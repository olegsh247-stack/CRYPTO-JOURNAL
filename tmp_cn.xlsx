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'Ввод'!$A$1:$H$24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tabColor rgb="00255B78"/>
    <outlinePr summaryBelow="1" summaryRight="1"/>
    <pageSetUpPr fitToPage="1"/>
  </sheetPr>
  <dimension ref="B1:G23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>
        <v>46299</v>
      </c>
      <c r="C5" s="279" t="n"/>
      <c r="D5" s="279" t="n"/>
      <c r="E5" s="280">
        <f>IF(AND(TRIM(C5)&lt;&gt;"",TRIM(D5)&lt;&gt;""),UPPER(TRIM(C5))&amp;"/"&amp;UPPER(TRIM(D5)),"")</f>
        <v/>
      </c>
      <c r="F5" s="279" t="n"/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позиция")),IF(ISNA(MATCH(C12,Торговля!$B$5:$B$300,0)),"Нет ID",IF(NOT(ISNUMBER(C10)),"Нет курса",IF(ISNUMBER(INDEX(Торговля!$F$5:$F$300,MATCH(C12,Торговля!$B$5:$B$300,0)))=(C8="Buy"),"Увеличение",IF(C13="Полностью","Закрытие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позиция")),IF(ISNA(MATCH(E12,Лэндинг!$B$5:$B$300,0)),"Нет ID",IF(NOT(ISNUMBER(E10)),"Нет суммы",IF(ISNUMBER(INDEX(Лэндинг!$F$5:$F$300,MATCH(E12,Лэндинг!$B$5:$B$300,0)))=(E8="Buy"),"Увеличение",IF(E13="Полностью","Закрытие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пула",IF(ISNA(MATCH(G9,Пул!$B$5:$B$300,0)),"Нет ID пула",IF(INDEX(Пул!$L$5:$L$300,MATCH(G9,Пул!$B$5:$B$300,0))="Закрыт","Пул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</t>
        </is>
      </c>
      <c r="G7" s="298" t="n"/>
    </row>
    <row r="8" ht="22" customHeight="1">
      <c r="B8" s="276" t="inlineStr">
        <is>
          <t>Действие</t>
        </is>
      </c>
      <c r="C8" s="279" t="n"/>
      <c r="D8" s="277" t="inlineStr">
        <is>
          <t>Действие</t>
        </is>
      </c>
      <c r="E8" s="279" t="n"/>
      <c r="F8" s="277" t="inlineStr">
        <is>
          <t>Действие</t>
        </is>
      </c>
      <c r="G8" s="279" t="n"/>
    </row>
    <row r="9" ht="22" customHeight="1">
      <c r="B9" s="276" t="inlineStr">
        <is>
          <t>Кол-во</t>
        </is>
      </c>
      <c r="C9" s="286" t="n"/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/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n"/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>
        <v>31000</v>
      </c>
      <c r="C17" s="294" t="n">
        <v>62000</v>
      </c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Пул: Min и Max — только для Web3 (могут быть дробными, меньше 1), оба поля или ни одного. Действия: Добавить, Частично (вывод части), Закрыть.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">
    <mergeCell ref="B3:G3"/>
    <mergeCell ref="B19:G19"/>
    <mergeCell ref="B20:G20"/>
    <mergeCell ref="B1:G2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1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C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=AND(ISERROR(FIND("/",C5)),UPPER(TRIM(C5))&lt;&gt;UPPER(TRIM(D5)))</formula1>
    </dataValidation>
    <dataValidation sqref="D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=AND(ISERROR(FIND("/",D5)),UPPER(TRIM(D5))&lt;&gt;UPPER(TRIM(C5)))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пула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  <dataValidation sqref="G12" showDropDown="0" showInputMessage="0" showErrorMessage="1" allowBlank="1" errorTitle="Один раздел" error="Введите число меньше Max (допустимы дробные и любые значения). Другие разделы должны быть пустыми." type="custom">
      <formula1>AND(ISNUMBER(G12),OR(NOT(ISNUMBER($G$13)),G12&lt;$G$13),COUNTA($C$9,$C$10,$C$12,$C$13,$E$9,$E$10,$E$12,$E$13)=0)</formula1>
    </dataValidation>
    <dataValidation sqref="G13" showDropDown="0" showInputMessage="0" showErrorMessage="1" allowBlank="1" errorTitle="Один раздел" error="Введите число больше Min (допустимы дробные и любые значения). Другие разделы должны быть пустыми." type="custom">
      <formula1>AND(ISNUMBER(G13),OR(NOT(ISNUMBER($G$12)),G13&gt;$G$12),COUNTA($C$9,$C$10,$C$12,$C$13,$E$9,$E$10,$E$12,$E$13)=0)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 codeName="Sheet2"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T-0001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T-0004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T-0002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T-0007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T-0008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T-0009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T-0010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T-0011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T-0012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T-0013</t>
        </is>
      </c>
      <c r="C15" s="314" t="n">
        <v>46302</v>
      </c>
      <c r="D15" s="313" t="inlineStr">
        <is>
          <t>Binance</t>
        </is>
      </c>
      <c r="E15" s="315" t="inlineStr">
        <is>
          <t>AAVE/ETH</t>
        </is>
      </c>
      <c r="F15" s="316" t="n">
        <v>20</v>
      </c>
      <c r="G15" s="317" t="n">
        <v>0.062625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T-0014</t>
        </is>
      </c>
      <c r="C16" s="319" t="n">
        <v>46302</v>
      </c>
      <c r="D16" s="318" t="inlineStr">
        <is>
          <t>Bybit</t>
        </is>
      </c>
      <c r="E16" s="320" t="inlineStr">
        <is>
          <t>DOGE/BTC</t>
        </is>
      </c>
      <c r="F16" s="321" t="n"/>
      <c r="G16" s="322" t="n"/>
      <c r="H16" s="271">
        <f>IF(AND(ISNUMBER(F16),ISNUMBER(G16)),F16*G16,"")</f>
        <v/>
      </c>
      <c r="I16" s="321" t="n">
        <v>100000</v>
      </c>
      <c r="J16" s="322" t="n">
        <v>2.89e-06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T-0015</t>
        </is>
      </c>
      <c r="C17" s="314" t="n">
        <v>46302</v>
      </c>
      <c r="D17" s="313" t="inlineStr">
        <is>
          <t>OKX</t>
        </is>
      </c>
      <c r="E17" s="315" t="inlineStr">
        <is>
          <t>LTC/BCH</t>
        </is>
      </c>
      <c r="F17" s="316" t="n">
        <v>50</v>
      </c>
      <c r="G17" s="317" t="n">
        <v>0.2004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T-0016</t>
        </is>
      </c>
      <c r="C18" s="319" t="n">
        <v>46302</v>
      </c>
      <c r="D18" s="318" t="inlineStr">
        <is>
          <t>Binance</t>
        </is>
      </c>
      <c r="E18" s="320" t="inlineStr">
        <is>
          <t>XRP/TRX</t>
        </is>
      </c>
      <c r="F18" s="321" t="n"/>
      <c r="G18" s="322" t="n"/>
      <c r="H18" s="271">
        <f>IF(AND(ISNUMBER(F18),ISNUMBER(G18)),F18*G18,"")</f>
        <v/>
      </c>
      <c r="I18" s="321" t="n">
        <v>3000</v>
      </c>
      <c r="J18" s="322" t="n">
        <v>8.133699999999999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T-0017</t>
        </is>
      </c>
      <c r="C19" s="314" t="n">
        <v>46302</v>
      </c>
      <c r="D19" s="313" t="inlineStr">
        <is>
          <t>Bybit</t>
        </is>
      </c>
      <c r="E19" s="315" t="inlineStr">
        <is>
          <t>SOL/USDT</t>
        </is>
      </c>
      <c r="F19" s="316" t="n">
        <v>40</v>
      </c>
      <c r="G19" s="317" t="n">
        <v>150.3</v>
      </c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T-0023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>
        <v>6</v>
      </c>
      <c r="G20" s="322" t="n">
        <v>0.187875</v>
      </c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T-0024</t>
        </is>
      </c>
      <c r="C21" s="314" t="n">
        <v>46303</v>
      </c>
      <c r="D21" s="313" t="inlineStr">
        <is>
          <t>Bybit</t>
        </is>
      </c>
      <c r="E21" s="315" t="inlineStr">
        <is>
          <t>BNB/BTC</t>
        </is>
      </c>
      <c r="F21" s="316" t="n"/>
      <c r="G21" s="317" t="n"/>
      <c r="H21" s="271">
        <f>IF(AND(ISNUMBER(F21),ISNUMBER(G21)),F21*G21,"")</f>
        <v/>
      </c>
      <c r="I21" s="316" t="n">
        <v>5</v>
      </c>
      <c r="J21" s="317" t="n">
        <v>0.00966064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T-0025</t>
        </is>
      </c>
      <c r="C22" s="319" t="n">
        <v>46303</v>
      </c>
      <c r="D22" s="318" t="inlineStr">
        <is>
          <t>OKX</t>
        </is>
      </c>
      <c r="E22" s="320" t="inlineStr">
        <is>
          <t>CAKE/ETH</t>
        </is>
      </c>
      <c r="F22" s="321" t="n">
        <v>350</v>
      </c>
      <c r="G22" s="322" t="n">
        <v>0.0007515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T-0026</t>
        </is>
      </c>
      <c r="C23" s="314" t="n">
        <v>46303</v>
      </c>
      <c r="D23" s="313" t="inlineStr">
        <is>
          <t>Binance</t>
        </is>
      </c>
      <c r="E23" s="315" t="inlineStr">
        <is>
          <t>DASH/BTC</t>
        </is>
      </c>
      <c r="F23" s="316" t="n">
        <v>18</v>
      </c>
      <c r="G23" s="317" t="n">
        <v>0.00061423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T-0027</t>
        </is>
      </c>
      <c r="C24" s="319" t="n">
        <v>46304</v>
      </c>
      <c r="D24" s="318" t="inlineStr">
        <is>
          <t>Bybit</t>
        </is>
      </c>
      <c r="E24" s="320" t="inlineStr">
        <is>
          <t>DASH/LTC</t>
        </is>
      </c>
      <c r="F24" s="321" t="n"/>
      <c r="G24" s="322" t="n"/>
      <c r="H24" s="271">
        <f>IF(AND(ISNUMBER(F24),ISNUMBER(G24)),F24*G24,"")</f>
        <v/>
      </c>
      <c r="I24" s="321" t="n">
        <v>30</v>
      </c>
      <c r="J24" s="322" t="n">
        <v>0.4213556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T-0029</t>
        </is>
      </c>
      <c r="C25" s="314" t="n">
        <v>46303</v>
      </c>
      <c r="D25" s="313" t="inlineStr">
        <is>
          <t>Bybit</t>
        </is>
      </c>
      <c r="E25" s="315" t="inlineStr">
        <is>
          <t>SOL/USDT</t>
        </is>
      </c>
      <c r="F25" s="316" t="n">
        <v>12</v>
      </c>
      <c r="G25" s="317" t="n">
        <v>150.3</v>
      </c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 codeName="Sheet3"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DOGE/BTC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XRP/TRX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 codeName="Sheet4"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L-0005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L-0001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L-0004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L-0002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L-0007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L-0008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L-0009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L-0010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L-0011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L-0012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L-0016</t>
        </is>
      </c>
      <c r="C15" s="314" t="n">
        <v>46302</v>
      </c>
      <c r="D15" s="313" t="inlineStr">
        <is>
          <t>Binance</t>
        </is>
      </c>
      <c r="E15" s="315" t="inlineStr">
        <is>
          <t>BNB/ETH</t>
        </is>
      </c>
      <c r="F15" s="316" t="n">
        <v>15</v>
      </c>
      <c r="G15" s="317" t="n">
        <v>0.188376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L-0017</t>
        </is>
      </c>
      <c r="C16" s="319" t="n">
        <v>46302</v>
      </c>
      <c r="D16" s="318" t="inlineStr">
        <is>
          <t>Bybit</t>
        </is>
      </c>
      <c r="E16" s="320" t="inlineStr">
        <is>
          <t>BNB/BTC</t>
        </is>
      </c>
      <c r="F16" s="321" t="n"/>
      <c r="G16" s="322" t="n"/>
      <c r="H16" s="271">
        <f>IF(AND(ISNUMBER(F16),ISNUMBER(G16)),F16*G16,"")</f>
        <v/>
      </c>
      <c r="I16" s="321" t="n">
        <v>10</v>
      </c>
      <c r="J16" s="322" t="n">
        <v>0.00965066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L-0018</t>
        </is>
      </c>
      <c r="C17" s="314" t="n">
        <v>46302</v>
      </c>
      <c r="D17" s="313" t="inlineStr">
        <is>
          <t>OKX</t>
        </is>
      </c>
      <c r="E17" s="315" t="inlineStr">
        <is>
          <t>CAKE/ETH</t>
        </is>
      </c>
      <c r="F17" s="316" t="n">
        <v>800</v>
      </c>
      <c r="G17" s="317" t="n">
        <v>0.0007515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L-0019</t>
        </is>
      </c>
      <c r="C18" s="319" t="n">
        <v>46303</v>
      </c>
      <c r="D18" s="318" t="inlineStr">
        <is>
          <t>AAVE</t>
        </is>
      </c>
      <c r="E18" s="320" t="inlineStr">
        <is>
          <t>ETH/BTC</t>
        </is>
      </c>
      <c r="F18" s="321" t="n">
        <v>3</v>
      </c>
      <c r="G18" s="322" t="n">
        <v>0.0517032</v>
      </c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L-0020</t>
        </is>
      </c>
      <c r="C19" s="314" t="n">
        <v>46303</v>
      </c>
      <c r="D19" s="313" t="inlineStr">
        <is>
          <t>Binance</t>
        </is>
      </c>
      <c r="E19" s="315" t="inlineStr">
        <is>
          <t>ETH/USDT</t>
        </is>
      </c>
      <c r="F19" s="316" t="n"/>
      <c r="G19" s="317" t="n"/>
      <c r="H19" s="271">
        <f>IF(AND(ISNUMBER(F19),ISNUMBER(G19)),F19*G19,"")</f>
        <v/>
      </c>
      <c r="I19" s="316" t="n">
        <v>2</v>
      </c>
      <c r="J19" s="317" t="n">
        <v>3203.58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L-0026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/>
      <c r="G20" s="322" t="n"/>
      <c r="H20" s="271">
        <f>IF(AND(ISNUMBER(F20),ISNUMBER(G20)),F20*G20,"")</f>
        <v/>
      </c>
      <c r="I20" s="321" t="n">
        <v>7</v>
      </c>
      <c r="J20" s="322" t="n">
        <v>0.188622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L-0027</t>
        </is>
      </c>
      <c r="C21" s="314" t="n">
        <v>46303</v>
      </c>
      <c r="D21" s="313" t="inlineStr">
        <is>
          <t>Bybit</t>
        </is>
      </c>
      <c r="E21" s="315" t="inlineStr">
        <is>
          <t>CAKE/BTC</t>
        </is>
      </c>
      <c r="F21" s="316" t="n">
        <v>400</v>
      </c>
      <c r="G21" s="317" t="n">
        <v>3.858e-05</v>
      </c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L-0028</t>
        </is>
      </c>
      <c r="C22" s="319" t="n">
        <v>46303</v>
      </c>
      <c r="D22" s="318" t="inlineStr">
        <is>
          <t>AAVE</t>
        </is>
      </c>
      <c r="E22" s="320" t="inlineStr">
        <is>
          <t>ETH/BTC</t>
        </is>
      </c>
      <c r="F22" s="321" t="n"/>
      <c r="G22" s="322" t="n"/>
      <c r="H22" s="271">
        <f>IF(AND(ISNUMBER(F22),ISNUMBER(G22)),F22*G22,"")</f>
        <v/>
      </c>
      <c r="I22" s="321" t="n">
        <v>2.5</v>
      </c>
      <c r="J22" s="322" t="n">
        <v>0.0516964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L-0029</t>
        </is>
      </c>
      <c r="C23" s="314" t="n">
        <v>46304</v>
      </c>
      <c r="D23" s="313" t="inlineStr">
        <is>
          <t>OKX</t>
        </is>
      </c>
      <c r="E23" s="315" t="inlineStr">
        <is>
          <t>BNB/ETH</t>
        </is>
      </c>
      <c r="F23" s="316" t="n">
        <v>5</v>
      </c>
      <c r="G23" s="317" t="n">
        <v>0.187374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L-0030</t>
        </is>
      </c>
      <c r="C24" s="319" t="n">
        <v>46304</v>
      </c>
      <c r="D24" s="318" t="inlineStr">
        <is>
          <t>Binance</t>
        </is>
      </c>
      <c r="E24" s="320" t="inlineStr">
        <is>
          <t>BTC/USDT</t>
        </is>
      </c>
      <c r="F24" s="321" t="n">
        <v>0.09</v>
      </c>
      <c r="G24" s="322" t="n">
        <v>62023.8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 codeName="Sheet5"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BNB/BTC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 codeName="Sheet6"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inlineStr">
        <is>
          <t>P-0003</t>
        </is>
      </c>
      <c r="C5" s="314" t="n">
        <v>46297</v>
      </c>
      <c r="D5" s="313" t="inlineStr">
        <is>
          <t>PancakeSwap</t>
        </is>
      </c>
      <c r="E5" s="315" t="inlineStr">
        <is>
          <t>BNB/USDT</t>
        </is>
      </c>
      <c r="F5" s="316" t="n">
        <v>4</v>
      </c>
      <c r="G5" s="324" t="n">
        <v>2360</v>
      </c>
      <c r="H5" s="316" t="n">
        <v>4.2</v>
      </c>
      <c r="I5" s="324" t="n">
        <v>2300</v>
      </c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inlineStr">
        <is>
          <t>Закрыт</t>
        </is>
      </c>
      <c r="M5" s="316" t="n"/>
      <c r="N5" s="324" t="n"/>
    </row>
    <row r="6" ht="22" customHeight="1">
      <c r="B6" s="326" t="inlineStr">
        <is>
          <t>P-0006</t>
        </is>
      </c>
      <c r="C6" s="319" t="n">
        <v>46299</v>
      </c>
      <c r="D6" s="318" t="inlineStr">
        <is>
          <t>Uniswap</t>
        </is>
      </c>
      <c r="E6" s="320" t="inlineStr">
        <is>
          <t>BTC/USDT</t>
        </is>
      </c>
      <c r="F6" s="321" t="n">
        <v>0.05</v>
      </c>
      <c r="G6" s="327" t="n">
        <v>3125</v>
      </c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inlineStr">
        <is>
          <t>Открыт</t>
        </is>
      </c>
      <c r="M6" s="321" t="n">
        <v>58000</v>
      </c>
      <c r="N6" s="327" t="n">
        <v>68000</v>
      </c>
    </row>
    <row r="7" ht="22" customHeight="1">
      <c r="B7" s="323" t="inlineStr">
        <is>
          <t>P-0001</t>
        </is>
      </c>
      <c r="C7" s="314" t="n">
        <v>46296</v>
      </c>
      <c r="D7" s="313" t="inlineStr">
        <is>
          <t>Uniswap</t>
        </is>
      </c>
      <c r="E7" s="315" t="inlineStr">
        <is>
          <t>ETH/BTC</t>
        </is>
      </c>
      <c r="F7" s="316" t="n">
        <v>2</v>
      </c>
      <c r="G7" s="324" t="n">
        <v>0.104</v>
      </c>
      <c r="H7" s="316" t="n">
        <v>1.96</v>
      </c>
      <c r="I7" s="324" t="n">
        <v>0.1092</v>
      </c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inlineStr">
        <is>
          <t>Закрыт</t>
        </is>
      </c>
      <c r="M7" s="316" t="n"/>
      <c r="N7" s="324" t="n"/>
    </row>
    <row r="8" ht="22" customHeight="1">
      <c r="B8" s="326" t="inlineStr">
        <is>
          <t>P-0007</t>
        </is>
      </c>
      <c r="C8" s="319" t="n">
        <v>46299</v>
      </c>
      <c r="D8" s="318" t="inlineStr">
        <is>
          <t>PancakeSwap</t>
        </is>
      </c>
      <c r="E8" s="320" t="inlineStr">
        <is>
          <t>ETH/BTC</t>
        </is>
      </c>
      <c r="F8" s="321" t="n">
        <v>1.2</v>
      </c>
      <c r="G8" s="327" t="n">
        <v>0.0624</v>
      </c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inlineStr">
        <is>
          <t>Открыт</t>
        </is>
      </c>
      <c r="M8" s="321" t="n"/>
      <c r="N8" s="327" t="n"/>
    </row>
    <row r="9" ht="22" customHeight="1">
      <c r="B9" s="323" t="inlineStr">
        <is>
          <t>P-0004</t>
        </is>
      </c>
      <c r="C9" s="314" t="n">
        <v>46298</v>
      </c>
      <c r="D9" s="313" t="inlineStr">
        <is>
          <t>Uniswap</t>
        </is>
      </c>
      <c r="E9" s="315" t="inlineStr">
        <is>
          <t>ETH/USDT</t>
        </is>
      </c>
      <c r="F9" s="316" t="n">
        <v>1.5</v>
      </c>
      <c r="G9" s="324" t="n">
        <v>4800</v>
      </c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inlineStr">
        <is>
          <t>Открыт</t>
        </is>
      </c>
      <c r="M9" s="316" t="n">
        <v>2800</v>
      </c>
      <c r="N9" s="324" t="n">
        <v>3600</v>
      </c>
    </row>
    <row r="10" ht="22" customHeight="1">
      <c r="B10" s="326" t="inlineStr">
        <is>
          <t>P-0002</t>
        </is>
      </c>
      <c r="C10" s="319" t="n">
        <v>46296</v>
      </c>
      <c r="D10" s="318" t="inlineStr">
        <is>
          <t>Raydium</t>
        </is>
      </c>
      <c r="E10" s="320" t="inlineStr">
        <is>
          <t>SOL/USDT</t>
        </is>
      </c>
      <c r="F10" s="321" t="n">
        <v>30</v>
      </c>
      <c r="G10" s="327" t="n">
        <v>4350</v>
      </c>
      <c r="H10" s="321" t="n">
        <v>28.5</v>
      </c>
      <c r="I10" s="327" t="n">
        <v>4560</v>
      </c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inlineStr">
        <is>
          <t>Закрыт</t>
        </is>
      </c>
      <c r="M10" s="321" t="n"/>
      <c r="N10" s="327" t="n"/>
    </row>
    <row r="11" ht="22" customHeight="1">
      <c r="B11" s="323" t="inlineStr">
        <is>
          <t>P-0005</t>
        </is>
      </c>
      <c r="C11" s="314" t="n">
        <v>46298</v>
      </c>
      <c r="D11" s="313" t="inlineStr">
        <is>
          <t>Orca</t>
        </is>
      </c>
      <c r="E11" s="315" t="inlineStr">
        <is>
          <t>SOL/USDT</t>
        </is>
      </c>
      <c r="F11" s="316" t="n">
        <v>12</v>
      </c>
      <c r="G11" s="324" t="n">
        <v>1740</v>
      </c>
      <c r="H11" s="316" t="n">
        <v>12.6</v>
      </c>
      <c r="I11" s="324" t="n">
        <v>1688</v>
      </c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inlineStr">
        <is>
          <t>Закрыт</t>
        </is>
      </c>
      <c r="M11" s="316" t="n"/>
      <c r="N11" s="324" t="n"/>
    </row>
    <row r="12" ht="22" customHeight="1">
      <c r="B12" s="326" t="inlineStr">
        <is>
          <t>P-0008</t>
        </is>
      </c>
      <c r="C12" s="319" t="n">
        <v>46299</v>
      </c>
      <c r="D12" s="318" t="inlineStr">
        <is>
          <t>Raydium</t>
        </is>
      </c>
      <c r="E12" s="320" t="inlineStr">
        <is>
          <t>SOL/USDT</t>
        </is>
      </c>
      <c r="F12" s="321" t="n">
        <v>25</v>
      </c>
      <c r="G12" s="327" t="n">
        <v>3625</v>
      </c>
      <c r="H12" s="321" t="n">
        <v>10</v>
      </c>
      <c r="I12" s="327" t="n">
        <v>1480</v>
      </c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inlineStr">
        <is>
          <t>Открыт</t>
        </is>
      </c>
      <c r="M12" s="321" t="n"/>
      <c r="N12" s="327" t="n"/>
    </row>
    <row r="13" ht="22" customHeight="1">
      <c r="B13" s="323" t="inlineStr">
        <is>
          <t>P-0009</t>
        </is>
      </c>
      <c r="C13" s="314" t="n">
        <v>46302</v>
      </c>
      <c r="D13" s="313" t="inlineStr">
        <is>
          <t>Raydium</t>
        </is>
      </c>
      <c r="E13" s="315" t="inlineStr">
        <is>
          <t>SOL/USDT</t>
        </is>
      </c>
      <c r="F13" s="316" t="n">
        <v>20</v>
      </c>
      <c r="G13" s="324" t="n">
        <v>3000</v>
      </c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inlineStr">
        <is>
          <t>Открыт</t>
        </is>
      </c>
      <c r="M13" s="316" t="n">
        <v>130</v>
      </c>
      <c r="N13" s="324" t="n">
        <v>170</v>
      </c>
    </row>
    <row r="14" ht="22" customHeight="1">
      <c r="B14" s="326" t="inlineStr">
        <is>
          <t>P-0010</t>
        </is>
      </c>
      <c r="C14" s="319" t="n">
        <v>46302</v>
      </c>
      <c r="D14" s="318" t="inlineStr">
        <is>
          <t>Raydium</t>
        </is>
      </c>
      <c r="E14" s="320" t="inlineStr">
        <is>
          <t>ELIZAOS/SOL</t>
        </is>
      </c>
      <c r="F14" s="321" t="n">
        <v>10000</v>
      </c>
      <c r="G14" s="327" t="n">
        <v>23.5</v>
      </c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inlineStr">
        <is>
          <t>Открыт</t>
        </is>
      </c>
      <c r="M14" s="321" t="n"/>
      <c r="N14" s="327" t="n"/>
    </row>
    <row r="15" ht="22" customHeight="1">
      <c r="B15" s="323" t="inlineStr">
        <is>
          <t>P-0011</t>
        </is>
      </c>
      <c r="C15" s="314" t="n">
        <v>46302</v>
      </c>
      <c r="D15" s="313" t="inlineStr">
        <is>
          <t>Orca</t>
        </is>
      </c>
      <c r="E15" s="315" t="inlineStr">
        <is>
          <t>SOL/USDT</t>
        </is>
      </c>
      <c r="F15" s="316" t="n">
        <v>15</v>
      </c>
      <c r="G15" s="324" t="n">
        <v>2250</v>
      </c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inlineStr">
        <is>
          <t>Открыт</t>
        </is>
      </c>
      <c r="M15" s="316" t="n"/>
      <c r="N15" s="324" t="n"/>
    </row>
    <row r="16" ht="22" customHeight="1">
      <c r="B16" s="326" t="inlineStr">
        <is>
          <t>P-0012</t>
        </is>
      </c>
      <c r="C16" s="319" t="n">
        <v>46302</v>
      </c>
      <c r="D16" s="318" t="inlineStr">
        <is>
          <t>Uniswap</t>
        </is>
      </c>
      <c r="E16" s="320" t="inlineStr">
        <is>
          <t>ETH/BTC</t>
        </is>
      </c>
      <c r="F16" s="321" t="n">
        <v>2.5</v>
      </c>
      <c r="G16" s="327" t="n">
        <v>0.129</v>
      </c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inlineStr">
        <is>
          <t>Открыт</t>
        </is>
      </c>
      <c r="M16" s="321" t="n"/>
      <c r="N16" s="327" t="n"/>
    </row>
    <row r="17" ht="22" customHeight="1">
      <c r="B17" s="323" t="inlineStr">
        <is>
          <t>P-0013</t>
        </is>
      </c>
      <c r="C17" s="314" t="n">
        <v>46303</v>
      </c>
      <c r="D17" s="313" t="inlineStr">
        <is>
          <t>PancakeSwap</t>
        </is>
      </c>
      <c r="E17" s="315" t="inlineStr">
        <is>
          <t>BNB/ETH</t>
        </is>
      </c>
      <c r="F17" s="316" t="n">
        <v>6</v>
      </c>
      <c r="G17" s="324" t="n">
        <v>1.125</v>
      </c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inlineStr">
        <is>
          <t>Открыт</t>
        </is>
      </c>
      <c r="M17" s="316" t="n"/>
      <c r="N17" s="324" t="n"/>
    </row>
    <row r="18" ht="22" customHeight="1">
      <c r="B18" s="326" t="inlineStr">
        <is>
          <t>P-0014</t>
        </is>
      </c>
      <c r="C18" s="319" t="n">
        <v>46302</v>
      </c>
      <c r="D18" s="318" t="inlineStr">
        <is>
          <t>Uniswap</t>
        </is>
      </c>
      <c r="E18" s="320" t="inlineStr">
        <is>
          <t>ETH/USDT</t>
        </is>
      </c>
      <c r="F18" s="321" t="n">
        <v>1.5</v>
      </c>
      <c r="G18" s="327" t="n">
        <v>4800</v>
      </c>
      <c r="H18" s="321" t="n">
        <v>1.46</v>
      </c>
      <c r="I18" s="327" t="n">
        <v>4990</v>
      </c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inlineStr">
        <is>
          <t>Закрыт</t>
        </is>
      </c>
      <c r="M18" s="321" t="n"/>
      <c r="N18" s="327" t="n"/>
    </row>
    <row r="19" ht="22" customHeight="1">
      <c r="B19" s="323" t="inlineStr">
        <is>
          <t>P-0015</t>
        </is>
      </c>
      <c r="C19" s="314" t="n">
        <v>46302</v>
      </c>
      <c r="D19" s="313" t="inlineStr">
        <is>
          <t>Uniswap</t>
        </is>
      </c>
      <c r="E19" s="315" t="inlineStr">
        <is>
          <t>ARB/ETH</t>
        </is>
      </c>
      <c r="F19" s="316" t="n">
        <v>8000</v>
      </c>
      <c r="G19" s="324" t="n">
        <v>1.375</v>
      </c>
      <c r="H19" s="316" t="n">
        <v>8350</v>
      </c>
      <c r="I19" s="324" t="n">
        <v>1.31</v>
      </c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inlineStr">
        <is>
          <t>Закрыт</t>
        </is>
      </c>
      <c r="M19" s="316" t="n"/>
      <c r="N19" s="324" t="n"/>
    </row>
    <row r="20" ht="22" customHeight="1">
      <c r="B20" s="326" t="inlineStr">
        <is>
          <t>P-0016</t>
        </is>
      </c>
      <c r="C20" s="319" t="n">
        <v>46303</v>
      </c>
      <c r="D20" s="318" t="inlineStr">
        <is>
          <t>Orca</t>
        </is>
      </c>
      <c r="E20" s="320" t="inlineStr">
        <is>
          <t>SOL/ETH</t>
        </is>
      </c>
      <c r="F20" s="321" t="n">
        <v>30</v>
      </c>
      <c r="G20" s="327" t="n">
        <v>1.4063</v>
      </c>
      <c r="H20" s="321" t="n">
        <v>28.8</v>
      </c>
      <c r="I20" s="327" t="n">
        <v>1.46</v>
      </c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inlineStr">
        <is>
          <t>Закрыт</t>
        </is>
      </c>
      <c r="M20" s="321" t="n"/>
      <c r="N20" s="327" t="n"/>
    </row>
    <row r="21" ht="22" customHeight="1">
      <c r="B21" s="323" t="inlineStr">
        <is>
          <t>P-0017</t>
        </is>
      </c>
      <c r="C21" s="314" t="n">
        <v>46303</v>
      </c>
      <c r="D21" s="313" t="inlineStr">
        <is>
          <t>PancakeSwap</t>
        </is>
      </c>
      <c r="E21" s="315" t="inlineStr">
        <is>
          <t>BNB/USDT</t>
        </is>
      </c>
      <c r="F21" s="316" t="n">
        <v>5</v>
      </c>
      <c r="G21" s="324" t="n">
        <v>3000</v>
      </c>
      <c r="H21" s="316" t="n">
        <v>5.2</v>
      </c>
      <c r="I21" s="324" t="n">
        <v>2920</v>
      </c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inlineStr">
        <is>
          <t>Закрыт</t>
        </is>
      </c>
      <c r="M21" s="316" t="n"/>
      <c r="N21" s="324" t="n"/>
    </row>
    <row r="22" ht="22" customHeight="1">
      <c r="B22" s="326" t="inlineStr">
        <is>
          <t>P-0018</t>
        </is>
      </c>
      <c r="C22" s="319" t="n">
        <v>46303</v>
      </c>
      <c r="D22" s="318" t="inlineStr">
        <is>
          <t>PancakeSwap</t>
        </is>
      </c>
      <c r="E22" s="320" t="inlineStr">
        <is>
          <t>CAKE/USDT</t>
        </is>
      </c>
      <c r="F22" s="321" t="n">
        <v>1000</v>
      </c>
      <c r="G22" s="327" t="n">
        <v>2400</v>
      </c>
      <c r="H22" s="321" t="n">
        <v>940</v>
      </c>
      <c r="I22" s="327" t="n">
        <v>2530</v>
      </c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inlineStr">
        <is>
          <t>Закрыт</t>
        </is>
      </c>
      <c r="M22" s="321" t="n"/>
      <c r="N22" s="327" t="n"/>
    </row>
    <row r="23" ht="22" customHeight="1">
      <c r="B23" s="323" t="inlineStr">
        <is>
          <t>P-0019</t>
        </is>
      </c>
      <c r="C23" s="314" t="n">
        <v>46303</v>
      </c>
      <c r="D23" s="313" t="inlineStr">
        <is>
          <t>Uniswap</t>
        </is>
      </c>
      <c r="E23" s="315" t="inlineStr">
        <is>
          <t>BTC/USDT</t>
        </is>
      </c>
      <c r="F23" s="316" t="n">
        <v>0.1</v>
      </c>
      <c r="G23" s="324" t="n">
        <v>6200</v>
      </c>
      <c r="H23" s="316" t="n">
        <v>0.04</v>
      </c>
      <c r="I23" s="324" t="n">
        <v>2600</v>
      </c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inlineStr">
        <is>
          <t>Открыт</t>
        </is>
      </c>
      <c r="M23" s="316" t="n"/>
      <c r="N23" s="324" t="n"/>
    </row>
    <row r="24" ht="22" customHeight="1">
      <c r="B24" s="326" t="inlineStr">
        <is>
          <t>P-0020</t>
        </is>
      </c>
      <c r="C24" s="319" t="n">
        <v>46303</v>
      </c>
      <c r="D24" s="318" t="inlineStr">
        <is>
          <t>Raydium</t>
        </is>
      </c>
      <c r="E24" s="320" t="inlineStr">
        <is>
          <t>BTC/USDT</t>
        </is>
      </c>
      <c r="F24" s="321" t="n">
        <v>0.08</v>
      </c>
      <c r="G24" s="327" t="n">
        <v>4960</v>
      </c>
      <c r="H24" s="321" t="n">
        <v>0.03</v>
      </c>
      <c r="I24" s="327" t="n">
        <v>1900</v>
      </c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inlineStr">
        <is>
          <t>Открыт</t>
        </is>
      </c>
      <c r="M24" s="321" t="n"/>
      <c r="N24" s="327" t="n"/>
    </row>
    <row r="25" ht="22" customHeight="1">
      <c r="B25" s="323" t="inlineStr">
        <is>
          <t>P-0021</t>
        </is>
      </c>
      <c r="C25" s="314" t="n">
        <v>46304</v>
      </c>
      <c r="D25" s="313" t="inlineStr">
        <is>
          <t>PancakeSwap</t>
        </is>
      </c>
      <c r="E25" s="315" t="inlineStr">
        <is>
          <t>BNB/ETH</t>
        </is>
      </c>
      <c r="F25" s="316" t="n">
        <v>4</v>
      </c>
      <c r="G25" s="324" t="n">
        <v>0.75</v>
      </c>
      <c r="H25" s="316" t="n">
        <v>1.5</v>
      </c>
      <c r="I25" s="324" t="n">
        <v>0.29</v>
      </c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inlineStr">
        <is>
          <t>Открыт</t>
        </is>
      </c>
      <c r="M25" s="316" t="n"/>
      <c r="N25" s="324" t="n"/>
    </row>
    <row r="26" ht="22" customHeight="1">
      <c r="B26" s="326" t="inlineStr">
        <is>
          <t>P-0022</t>
        </is>
      </c>
      <c r="C26" s="319" t="n">
        <v>46304</v>
      </c>
      <c r="D26" s="318" t="inlineStr">
        <is>
          <t>PancakeSwap</t>
        </is>
      </c>
      <c r="E26" s="320" t="inlineStr">
        <is>
          <t>CAKE/BNB</t>
        </is>
      </c>
      <c r="F26" s="321" t="n">
        <v>1500</v>
      </c>
      <c r="G26" s="327" t="n">
        <v>6</v>
      </c>
      <c r="H26" s="321" t="n">
        <v>500</v>
      </c>
      <c r="I26" s="327" t="n">
        <v>2.1</v>
      </c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inlineStr">
        <is>
          <t>Открыт</t>
        </is>
      </c>
      <c r="M26" s="321" t="n"/>
      <c r="N26" s="327" t="n"/>
    </row>
    <row r="27" ht="22" customHeight="1">
      <c r="B27" s="323" t="inlineStr">
        <is>
          <t>P-0023</t>
        </is>
      </c>
      <c r="C27" s="314" t="n">
        <v>46304</v>
      </c>
      <c r="D27" s="313" t="inlineStr">
        <is>
          <t>Uniswap</t>
        </is>
      </c>
      <c r="E27" s="315" t="inlineStr">
        <is>
          <t>ARB/BTC</t>
        </is>
      </c>
      <c r="F27" s="316" t="n">
        <v>12000</v>
      </c>
      <c r="G27" s="324" t="n">
        <v>0.1064</v>
      </c>
      <c r="H27" s="316" t="n">
        <v>5000</v>
      </c>
      <c r="I27" s="324" t="n">
        <v>0.047</v>
      </c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inlineStr">
        <is>
          <t>Открыт</t>
        </is>
      </c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 codeName="Sheet7"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inlineStr">
        <is>
          <t>ARB/BTC</t>
        </is>
      </c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inlineStr">
        <is>
          <t>ARB/ETH</t>
        </is>
      </c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inlineStr">
        <is>
          <t>BNB/ETH</t>
        </is>
      </c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inlineStr">
        <is>
          <t>BNB/USDT</t>
        </is>
      </c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inlineStr">
        <is>
          <t>BTC/USDT</t>
        </is>
      </c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inlineStr">
        <is>
          <t>ETH/BTC</t>
        </is>
      </c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inlineStr">
        <is>
          <t>SOL/ETH</t>
        </is>
      </c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 codeName="Sheet8"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>
        <v>2</v>
      </c>
      <c r="G5" s="317" t="n">
        <v>586.17</v>
      </c>
      <c r="H5" s="271">
        <f>IF(AND(ISNUMBER(F5),ISNUMBER(G5)),F5*G5,"")</f>
        <v/>
      </c>
      <c r="I5" s="316" t="n">
        <v>2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T-0006</t>
        </is>
      </c>
      <c r="C6" s="319" t="n">
        <v>46299</v>
      </c>
      <c r="D6" s="318" t="inlineStr">
        <is>
          <t>OKX</t>
        </is>
      </c>
      <c r="E6" s="320" t="inlineStr">
        <is>
          <t>BTC/USDT</t>
        </is>
      </c>
      <c r="F6" s="321" t="n">
        <v>0.05</v>
      </c>
      <c r="G6" s="322" t="n">
        <v>62324.4</v>
      </c>
      <c r="H6" s="271">
        <f>IF(AND(ISNUMBER(F6),ISNUMBER(G6)),F6*G6,"")</f>
        <v/>
      </c>
      <c r="I6" s="321" t="n">
        <v>0.05</v>
      </c>
      <c r="J6" s="322" t="n">
        <v>62874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T-0002</t>
        </is>
      </c>
      <c r="C7" s="314" t="n">
        <v>46297</v>
      </c>
      <c r="D7" s="313" t="inlineStr">
        <is>
          <t>Bybit</t>
        </is>
      </c>
      <c r="E7" s="315" t="inlineStr">
        <is>
          <t>ETH/USDT</t>
        </is>
      </c>
      <c r="F7" s="316" t="n">
        <v>1</v>
      </c>
      <c r="G7" s="317" t="n">
        <v>3206.4</v>
      </c>
      <c r="H7" s="271">
        <f>IF(AND(ISNUMBER(F7),ISNUMBER(G7)),F7*G7,"")</f>
        <v/>
      </c>
      <c r="I7" s="316" t="n">
        <v>1</v>
      </c>
      <c r="J7" s="317" t="n">
        <v>3343.3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T-0003</t>
        </is>
      </c>
      <c r="C8" s="319" t="n">
        <v>46298</v>
      </c>
      <c r="D8" s="318" t="inlineStr">
        <is>
          <t>OKX</t>
        </is>
      </c>
      <c r="E8" s="320" t="inlineStr">
        <is>
          <t>SOL/USDT</t>
        </is>
      </c>
      <c r="F8" s="321" t="n">
        <v>20</v>
      </c>
      <c r="G8" s="322" t="n">
        <v>145.29</v>
      </c>
      <c r="H8" s="271">
        <f>IF(AND(ISNUMBER(F8),ISNUMBER(G8)),F8*G8,"")</f>
        <v/>
      </c>
      <c r="I8" s="321" t="n">
        <v>20</v>
      </c>
      <c r="J8" s="322" t="n">
        <v>151.696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L-0013</t>
        </is>
      </c>
      <c r="C9" s="314" t="n">
        <v>46299</v>
      </c>
      <c r="D9" s="313" t="inlineStr">
        <is>
          <t>Binance</t>
        </is>
      </c>
      <c r="E9" s="315" t="inlineStr">
        <is>
          <t>BNB/USDT</t>
        </is>
      </c>
      <c r="F9" s="316" t="n">
        <v>1.5</v>
      </c>
      <c r="G9" s="317" t="n">
        <v>585</v>
      </c>
      <c r="H9" s="271">
        <f>IF(AND(ISNUMBER(F9),ISNUMBER(G9)),F9*G9,"")</f>
        <v/>
      </c>
      <c r="I9" s="316" t="n">
        <v>1.5</v>
      </c>
      <c r="J9" s="317" t="n">
        <v>597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L-0014</t>
        </is>
      </c>
      <c r="C10" s="319" t="n">
        <v>46298</v>
      </c>
      <c r="D10" s="318" t="inlineStr">
        <is>
          <t>OKX</t>
        </is>
      </c>
      <c r="E10" s="320" t="inlineStr">
        <is>
          <t>ETH/USDT</t>
        </is>
      </c>
      <c r="F10" s="321" t="n">
        <v>0.5</v>
      </c>
      <c r="G10" s="322" t="n">
        <v>3210</v>
      </c>
      <c r="H10" s="271">
        <f>IF(AND(ISNUMBER(F10),ISNUMBER(G10)),F10*G10,"")</f>
        <v/>
      </c>
      <c r="I10" s="321" t="n">
        <v>0.5</v>
      </c>
      <c r="J10" s="322" t="n">
        <v>3340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L-0015</t>
        </is>
      </c>
      <c r="C11" s="314" t="n">
        <v>46297</v>
      </c>
      <c r="D11" s="313" t="inlineStr">
        <is>
          <t>Bybit</t>
        </is>
      </c>
      <c r="E11" s="315" t="inlineStr">
        <is>
          <t>SOL/USDT</t>
        </is>
      </c>
      <c r="F11" s="316" t="n">
        <v>10</v>
      </c>
      <c r="G11" s="317" t="n">
        <v>145</v>
      </c>
      <c r="H11" s="271">
        <f>IF(AND(ISNUMBER(F11),ISNUMBER(G11)),F11*G11,"")</f>
        <v/>
      </c>
      <c r="I11" s="316" t="n">
        <v>10</v>
      </c>
      <c r="J11" s="317" t="n">
        <v>150.5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T-0018</t>
        </is>
      </c>
      <c r="C12" s="319" t="n">
        <v>46303</v>
      </c>
      <c r="D12" s="318" t="inlineStr">
        <is>
          <t>Binance</t>
        </is>
      </c>
      <c r="E12" s="320" t="inlineStr">
        <is>
          <t>BTC/USDT</t>
        </is>
      </c>
      <c r="F12" s="321" t="n">
        <v>0.2</v>
      </c>
      <c r="G12" s="322" t="n">
        <v>61923.6</v>
      </c>
      <c r="H12" s="271">
        <f>IF(AND(ISNUMBER(F12),ISNUMBER(G12)),F12*G12,"")</f>
        <v/>
      </c>
      <c r="I12" s="321" t="n">
        <v>0.2</v>
      </c>
      <c r="J12" s="322" t="n">
        <v>62375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T-0019</t>
        </is>
      </c>
      <c r="C13" s="314" t="n">
        <v>46304</v>
      </c>
      <c r="D13" s="313" t="inlineStr">
        <is>
          <t>Bybit</t>
        </is>
      </c>
      <c r="E13" s="315" t="inlineStr">
        <is>
          <t>ETH/BTC</t>
        </is>
      </c>
      <c r="F13" s="316" t="n">
        <v>2</v>
      </c>
      <c r="G13" s="317" t="n">
        <v>0.0510018</v>
      </c>
      <c r="H13" s="271">
        <f>IF(AND(ISNUMBER(F13),ISNUMBER(G13)),F13*G13,"")</f>
        <v/>
      </c>
      <c r="I13" s="316" t="n">
        <v>2</v>
      </c>
      <c r="J13" s="317" t="n">
        <v>0.0514968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T-0020</t>
        </is>
      </c>
      <c r="C14" s="319" t="n">
        <v>46304</v>
      </c>
      <c r="D14" s="318" t="inlineStr">
        <is>
          <t>OKX</t>
        </is>
      </c>
      <c r="E14" s="320" t="inlineStr">
        <is>
          <t>XRP/USDT</t>
        </is>
      </c>
      <c r="F14" s="321" t="n">
        <v>1500</v>
      </c>
      <c r="G14" s="322" t="n">
        <v>2.1543</v>
      </c>
      <c r="H14" s="271">
        <f>IF(AND(ISNUMBER(F14),ISNUMBER(G14)),F14*G14,"")</f>
        <v/>
      </c>
      <c r="I14" s="321" t="n">
        <v>1500</v>
      </c>
      <c r="J14" s="322" t="n">
        <v>2.27544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T-0021</t>
        </is>
      </c>
      <c r="C15" s="314" t="n">
        <v>46304</v>
      </c>
      <c r="D15" s="313" t="inlineStr">
        <is>
          <t>Binance</t>
        </is>
      </c>
      <c r="E15" s="315" t="inlineStr">
        <is>
          <t>DOGE/USDT</t>
        </is>
      </c>
      <c r="F15" s="316" t="n">
        <v>20000</v>
      </c>
      <c r="G15" s="317" t="n">
        <v>0.178356</v>
      </c>
      <c r="H15" s="271">
        <f>IF(AND(ISNUMBER(F15),ISNUMBER(G15)),F15*G15,"")</f>
        <v/>
      </c>
      <c r="I15" s="316" t="n">
        <v>20000</v>
      </c>
      <c r="J15" s="317" t="n">
        <v>0.18463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T-0022</t>
        </is>
      </c>
      <c r="C16" s="319" t="n">
        <v>46304</v>
      </c>
      <c r="D16" s="318" t="inlineStr">
        <is>
          <t>Bybit</t>
        </is>
      </c>
      <c r="E16" s="320" t="inlineStr">
        <is>
          <t>LINK/ETH</t>
        </is>
      </c>
      <c r="F16" s="321" t="n">
        <v>100</v>
      </c>
      <c r="G16" s="322" t="n">
        <v>0.0043587</v>
      </c>
      <c r="H16" s="271">
        <f>IF(AND(ISNUMBER(F16),ISNUMBER(G16)),F16*G16,"")</f>
        <v/>
      </c>
      <c r="I16" s="321" t="n">
        <v>100</v>
      </c>
      <c r="J16" s="322" t="n">
        <v>0.00447104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T-0023</t>
        </is>
      </c>
      <c r="C17" s="314" t="n">
        <v>46304</v>
      </c>
      <c r="D17" s="313" t="inlineStr">
        <is>
          <t>Binance</t>
        </is>
      </c>
      <c r="E17" s="315" t="inlineStr">
        <is>
          <t>BNB/ETH</t>
        </is>
      </c>
      <c r="F17" s="316" t="n">
        <v>4</v>
      </c>
      <c r="G17" s="317" t="n">
        <v>0.187875</v>
      </c>
      <c r="H17" s="271">
        <f>IF(AND(ISNUMBER(F17),ISNUMBER(G17)),F17*G17,"")</f>
        <v/>
      </c>
      <c r="I17" s="316" t="n">
        <v>4</v>
      </c>
      <c r="J17" s="317" t="n">
        <v>0.191616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T-0024</t>
        </is>
      </c>
      <c r="C18" s="319" t="n">
        <v>46304</v>
      </c>
      <c r="D18" s="318" t="inlineStr">
        <is>
          <t>Bybit</t>
        </is>
      </c>
      <c r="E18" s="320" t="inlineStr">
        <is>
          <t>BNB/BTC</t>
        </is>
      </c>
      <c r="F18" s="321" t="n">
        <v>3</v>
      </c>
      <c r="G18" s="322" t="n">
        <v>0.009569100000000001</v>
      </c>
      <c r="H18" s="271">
        <f>IF(AND(ISNUMBER(F18),ISNUMBER(G18)),F18*G18,"")</f>
        <v/>
      </c>
      <c r="I18" s="321" t="n">
        <v>3</v>
      </c>
      <c r="J18" s="322" t="n">
        <v>0.00966064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T-0025</t>
        </is>
      </c>
      <c r="C19" s="314" t="n">
        <v>46304</v>
      </c>
      <c r="D19" s="313" t="inlineStr">
        <is>
          <t>OKX</t>
        </is>
      </c>
      <c r="E19" s="315" t="inlineStr">
        <is>
          <t>CAKE/ETH</t>
        </is>
      </c>
      <c r="F19" s="316" t="n">
        <v>250</v>
      </c>
      <c r="G19" s="317" t="n">
        <v>0.0007515</v>
      </c>
      <c r="H19" s="271">
        <f>IF(AND(ISNUMBER(F19),ISNUMBER(G19)),F19*G19,"")</f>
        <v/>
      </c>
      <c r="I19" s="316" t="n">
        <v>250</v>
      </c>
      <c r="J19" s="317" t="n">
        <v>0.00078842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T-0026</t>
        </is>
      </c>
      <c r="C20" s="319" t="n">
        <v>46304</v>
      </c>
      <c r="D20" s="318" t="inlineStr">
        <is>
          <t>Binance</t>
        </is>
      </c>
      <c r="E20" s="320" t="inlineStr">
        <is>
          <t>DASH/BTC</t>
        </is>
      </c>
      <c r="F20" s="321" t="n">
        <v>12</v>
      </c>
      <c r="G20" s="322" t="n">
        <v>0.00061423</v>
      </c>
      <c r="H20" s="271">
        <f>IF(AND(ISNUMBER(F20),ISNUMBER(G20)),F20*G20,"")</f>
        <v/>
      </c>
      <c r="I20" s="321" t="n">
        <v>12</v>
      </c>
      <c r="J20" s="322" t="n">
        <v>0.00063872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T-0027</t>
        </is>
      </c>
      <c r="C21" s="314" t="n">
        <v>46304</v>
      </c>
      <c r="D21" s="313" t="inlineStr">
        <is>
          <t>Bybit</t>
        </is>
      </c>
      <c r="E21" s="315" t="inlineStr">
        <is>
          <t>DASH/LTC</t>
        </is>
      </c>
      <c r="F21" s="316" t="n">
        <v>20</v>
      </c>
      <c r="G21" s="317" t="n">
        <v>0.41082</v>
      </c>
      <c r="H21" s="271">
        <f>IF(AND(ISNUMBER(F21),ISNUMBER(G21)),F21*G21,"")</f>
        <v/>
      </c>
      <c r="I21" s="316" t="n">
        <v>20</v>
      </c>
      <c r="J21" s="317" t="n">
        <v>0.4213556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L-0021</t>
        </is>
      </c>
      <c r="C22" s="319" t="n">
        <v>46303</v>
      </c>
      <c r="D22" s="318" t="inlineStr">
        <is>
          <t>Binance</t>
        </is>
      </c>
      <c r="E22" s="320" t="inlineStr">
        <is>
          <t>SOL/USDT</t>
        </is>
      </c>
      <c r="F22" s="321" t="n">
        <v>30</v>
      </c>
      <c r="G22" s="322" t="n">
        <v>148.296</v>
      </c>
      <c r="H22" s="271">
        <f>IF(AND(ISNUMBER(F22),ISNUMBER(G22)),F22*G22,"")</f>
        <v/>
      </c>
      <c r="I22" s="321" t="n">
        <v>30</v>
      </c>
      <c r="J22" s="322" t="n">
        <v>154.69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L-0022</t>
        </is>
      </c>
      <c r="C23" s="314" t="n">
        <v>46304</v>
      </c>
      <c r="D23" s="313" t="inlineStr">
        <is>
          <t>Bybit</t>
        </is>
      </c>
      <c r="E23" s="315" t="inlineStr">
        <is>
          <t>BNB/USDT</t>
        </is>
      </c>
      <c r="F23" s="316" t="n">
        <v>5</v>
      </c>
      <c r="G23" s="317" t="n">
        <v>597.192</v>
      </c>
      <c r="H23" s="271">
        <f>IF(AND(ISNUMBER(F23),ISNUMBER(G23)),F23*G23,"")</f>
        <v/>
      </c>
      <c r="I23" s="316" t="n">
        <v>5</v>
      </c>
      <c r="J23" s="317" t="n">
        <v>602.792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L-0023</t>
        </is>
      </c>
      <c r="C24" s="319" t="n">
        <v>46304</v>
      </c>
      <c r="D24" s="318" t="inlineStr">
        <is>
          <t>AAVE</t>
        </is>
      </c>
      <c r="E24" s="320" t="inlineStr">
        <is>
          <t>AAVE/USDT</t>
        </is>
      </c>
      <c r="F24" s="321" t="n">
        <v>12</v>
      </c>
      <c r="G24" s="322" t="n">
        <v>198.396</v>
      </c>
      <c r="H24" s="271">
        <f>IF(AND(ISNUMBER(F24),ISNUMBER(G24)),F24*G24,"")</f>
        <v/>
      </c>
      <c r="I24" s="321" t="n">
        <v>12</v>
      </c>
      <c r="J24" s="322" t="n">
        <v>205.588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L-0024</t>
        </is>
      </c>
      <c r="C25" s="314" t="n">
        <v>46304</v>
      </c>
      <c r="D25" s="313" t="inlineStr">
        <is>
          <t>OKX</t>
        </is>
      </c>
      <c r="E25" s="315" t="inlineStr">
        <is>
          <t>ETH/USDT</t>
        </is>
      </c>
      <c r="F25" s="316" t="n">
        <v>1.5</v>
      </c>
      <c r="G25" s="317" t="n">
        <v>3196.38</v>
      </c>
      <c r="H25" s="271">
        <f>IF(AND(ISNUMBER(F25),ISNUMBER(G25)),F25*G25,"")</f>
        <v/>
      </c>
      <c r="I25" s="316" t="n">
        <v>1.5</v>
      </c>
      <c r="J25" s="317" t="n">
        <v>3258.47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L-0025</t>
        </is>
      </c>
      <c r="C26" s="319" t="n">
        <v>46304</v>
      </c>
      <c r="D26" s="318" t="inlineStr">
        <is>
          <t>Binance</t>
        </is>
      </c>
      <c r="E26" s="320" t="inlineStr">
        <is>
          <t>LTC/USDT</t>
        </is>
      </c>
      <c r="F26" s="321" t="n">
        <v>40</v>
      </c>
      <c r="G26" s="322" t="n">
        <v>88.176</v>
      </c>
      <c r="H26" s="271">
        <f>IF(AND(ISNUMBER(F26),ISNUMBER(G26)),F26*G26,"")</f>
        <v/>
      </c>
      <c r="I26" s="321" t="n">
        <v>40</v>
      </c>
      <c r="J26" s="322" t="n">
        <v>90.818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L-0026</t>
        </is>
      </c>
      <c r="C27" s="314" t="n">
        <v>46304</v>
      </c>
      <c r="D27" s="313" t="inlineStr">
        <is>
          <t>Binance</t>
        </is>
      </c>
      <c r="E27" s="315" t="inlineStr">
        <is>
          <t>BNB/ETH</t>
        </is>
      </c>
      <c r="F27" s="316" t="n">
        <v>5</v>
      </c>
      <c r="G27" s="317" t="n">
        <v>0.186372</v>
      </c>
      <c r="H27" s="271">
        <f>IF(AND(ISNUMBER(F27),ISNUMBER(G27)),F27*G27,"")</f>
        <v/>
      </c>
      <c r="I27" s="316" t="n">
        <v>5</v>
      </c>
      <c r="J27" s="317" t="n">
        <v>0.188622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L-0027</t>
        </is>
      </c>
      <c r="C28" s="319" t="n">
        <v>46304</v>
      </c>
      <c r="D28" s="318" t="inlineStr">
        <is>
          <t>Bybit</t>
        </is>
      </c>
      <c r="E28" s="320" t="inlineStr">
        <is>
          <t>CAKE/BTC</t>
        </is>
      </c>
      <c r="F28" s="321" t="n">
        <v>300</v>
      </c>
      <c r="G28" s="322" t="n">
        <v>3.858e-05</v>
      </c>
      <c r="H28" s="271">
        <f>IF(AND(ISNUMBER(F28),ISNUMBER(G28)),F28*G28,"")</f>
        <v/>
      </c>
      <c r="I28" s="321" t="n">
        <v>300</v>
      </c>
      <c r="J28" s="322" t="n">
        <v>3.942e-05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L-0028</t>
        </is>
      </c>
      <c r="C29" s="314" t="n">
        <v>46304</v>
      </c>
      <c r="D29" s="313" t="inlineStr">
        <is>
          <t>AAVE</t>
        </is>
      </c>
      <c r="E29" s="315" t="inlineStr">
        <is>
          <t>ETH/BTC</t>
        </is>
      </c>
      <c r="F29" s="316" t="n">
        <v>1.5</v>
      </c>
      <c r="G29" s="317" t="n">
        <v>0.0513024</v>
      </c>
      <c r="H29" s="271">
        <f>IF(AND(ISNUMBER(F29),ISNUMBER(G29)),F29*G29,"")</f>
        <v/>
      </c>
      <c r="I29" s="316" t="n">
        <v>1.5</v>
      </c>
      <c r="J29" s="317" t="n">
        <v>0.0516964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L-0029</t>
        </is>
      </c>
      <c r="C30" s="319" t="n">
        <v>46304</v>
      </c>
      <c r="D30" s="318" t="inlineStr">
        <is>
          <t>OKX</t>
        </is>
      </c>
      <c r="E30" s="320" t="inlineStr">
        <is>
          <t>BNB/ETH</t>
        </is>
      </c>
      <c r="F30" s="321" t="n">
        <v>4</v>
      </c>
      <c r="G30" s="322" t="n">
        <v>0.187374</v>
      </c>
      <c r="H30" s="271">
        <f>IF(AND(ISNUMBER(F30),ISNUMBER(G30)),F30*G30,"")</f>
        <v/>
      </c>
      <c r="I30" s="321" t="n">
        <v>4</v>
      </c>
      <c r="J30" s="322" t="n">
        <v>0.190119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L-0030</t>
        </is>
      </c>
      <c r="C31" s="314" t="n">
        <v>46304</v>
      </c>
      <c r="D31" s="313" t="inlineStr">
        <is>
          <t>Binance</t>
        </is>
      </c>
      <c r="E31" s="315" t="inlineStr">
        <is>
          <t>BTC/USDT</t>
        </is>
      </c>
      <c r="F31" s="316" t="n">
        <v>0.06</v>
      </c>
      <c r="G31" s="317" t="n">
        <v>62023.8</v>
      </c>
      <c r="H31" s="271">
        <f>IF(AND(ISNUMBER(F31),ISNUMBER(G31)),F31*G31,"")</f>
        <v/>
      </c>
      <c r="I31" s="316" t="n">
        <v>0.06</v>
      </c>
      <c r="J31" s="317" t="n">
        <v>62574.6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T-0028</t>
        </is>
      </c>
      <c r="C32" s="319" t="n">
        <v>46303</v>
      </c>
      <c r="D32" s="318" t="inlineStr">
        <is>
          <t>Binance</t>
        </is>
      </c>
      <c r="E32" s="320" t="inlineStr">
        <is>
          <t>ADA/USDT</t>
        </is>
      </c>
      <c r="F32" s="321" t="n">
        <v>40</v>
      </c>
      <c r="G32" s="322" t="n">
        <v>0.6012</v>
      </c>
      <c r="H32" s="271">
        <f>IF(AND(ISNUMBER(F32),ISNUMBER(G32)),F32*G32,"")</f>
        <v/>
      </c>
      <c r="I32" s="321" t="n">
        <v>40</v>
      </c>
      <c r="J32" s="322" t="n">
        <v>0.65868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T-0029</t>
        </is>
      </c>
      <c r="C33" s="314" t="n">
        <v>46303</v>
      </c>
      <c r="D33" s="313" t="inlineStr">
        <is>
          <t>Bybit</t>
        </is>
      </c>
      <c r="E33" s="315" t="inlineStr">
        <is>
          <t>SOL/USDT</t>
        </is>
      </c>
      <c r="F33" s="316" t="n">
        <v>10</v>
      </c>
      <c r="G33" s="317" t="n">
        <v>150.3</v>
      </c>
      <c r="H33" s="271">
        <f>IF(AND(ISNUMBER(F33),ISNUMBER(G33)),F33*G33,"")</f>
        <v/>
      </c>
      <c r="I33" s="316" t="n">
        <v>10</v>
      </c>
      <c r="J33" s="317" t="n">
        <v>154.69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T-0029</t>
        </is>
      </c>
      <c r="C34" s="319" t="n">
        <v>46304</v>
      </c>
      <c r="D34" s="318" t="inlineStr">
        <is>
          <t>Bybit</t>
        </is>
      </c>
      <c r="E34" s="320" t="inlineStr">
        <is>
          <t>SOL/USDT</t>
        </is>
      </c>
      <c r="F34" s="321" t="n">
        <v>8</v>
      </c>
      <c r="G34" s="322" t="n">
        <v>150.3</v>
      </c>
      <c r="H34" s="271">
        <f>IF(AND(ISNUMBER(F34),ISNUMBER(G34)),F34*G34,"")</f>
        <v/>
      </c>
      <c r="I34" s="321" t="n">
        <v>8</v>
      </c>
      <c r="J34" s="322" t="n">
        <v>157.684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T-0028</t>
        </is>
      </c>
      <c r="C35" s="314" t="n">
        <v>46304</v>
      </c>
      <c r="D35" s="313" t="inlineStr">
        <is>
          <t>Binance</t>
        </is>
      </c>
      <c r="E35" s="315" t="inlineStr">
        <is>
          <t>ADA/USDT</t>
        </is>
      </c>
      <c r="F35" s="316" t="n">
        <v>110</v>
      </c>
      <c r="G35" s="317" t="n">
        <v>0.61941818</v>
      </c>
      <c r="H35" s="271">
        <f>IF(AND(ISNUMBER(F35),ISNUMBER(G35)),F35*G35,"")</f>
        <v/>
      </c>
      <c r="I35" s="316" t="n">
        <v>110</v>
      </c>
      <c r="J35" s="317" t="n">
        <v>0.6986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 codeName="Sheet9"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Лэндинг'!$B$5:$B$300,$B5),8))</f>
        <v/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Лэндинг'!$B$5:$B$300,$B6),8))</f>
        <v/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Лэндинг'!$B$5:$B$300,$B7),8))</f>
        <v/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Лэндинг'!$B$5:$B$300,$B8),8))</f>
        <v/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Лэндинг'!$B$5:$B$300,$B9),8))</f>
        <v/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Лэндинг'!$B$5:$B$300,$B10),8))</f>
        <v/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Лэндинг'!$B$5:$B$300,$B11),8))</f>
        <v/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Лэндинг'!$B$5:$B$300,$B12),8))</f>
        <v/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Лэндинг'!$B$5:$B$300,$B13),8))</f>
        <v/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Лэндинг'!$B$5:$B$300,$B14),8))</f>
        <v/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Лэндинг'!$B$5:$B$300,$B15),8))</f>
        <v/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DOGE/BTC</t>
        </is>
      </c>
      <c r="C16" s="246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Лэндинг'!$B$5:$B$300,$B16),8))</f>
        <v/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Лэндинг'!$B$5:$B$300,$B17),8))</f>
        <v/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Лэндинг'!$B$5:$B$300,$B18),8))</f>
        <v/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Лэндинг'!$B$5:$B$300,$B19),8))</f>
        <v/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Лэндинг'!$B$5:$B$300,$B20),8))</f>
        <v/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Лэндинг'!$B$5:$B$300,$B21),8))</f>
        <v/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Лэндинг'!$B$5:$B$300,$B22),8))</f>
        <v/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Лэндинг'!$B$5:$B$300,$B23),8))</f>
        <v/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XRP/TRX</t>
        </is>
      </c>
      <c r="C24" s="246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Лэндинг'!$B$5:$B$300,$B24),8))</f>
        <v/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Лэндинг'!$B$5:$B$300,$B25),8))</f>
        <v/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 codeName="Sheet10"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2026-10-10T22:07:57Z</dcterms:modified>
</cp:coreProperties>
</file>