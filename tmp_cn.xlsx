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вод" sheetId="1" state="visible" r:id="rId1"/>
    <sheet xmlns:r="http://schemas.openxmlformats.org/officeDocument/2006/relationships" name="Торговля" sheetId="2" state="visible" r:id="rId2"/>
    <sheet xmlns:r="http://schemas.openxmlformats.org/officeDocument/2006/relationships" name="ИТОГО Торговля" sheetId="3" state="visible" r:id="rId3"/>
    <sheet xmlns:r="http://schemas.openxmlformats.org/officeDocument/2006/relationships" name="Лэндинг" sheetId="4" state="visible" r:id="rId4"/>
    <sheet xmlns:r="http://schemas.openxmlformats.org/officeDocument/2006/relationships" name="ИТОГО Лэндинг" sheetId="5" state="visible" r:id="rId5"/>
    <sheet xmlns:r="http://schemas.openxmlformats.org/officeDocument/2006/relationships" name="Пул" sheetId="6" state="visible" r:id="rId6"/>
    <sheet xmlns:r="http://schemas.openxmlformats.org/officeDocument/2006/relationships" name="ИТОГО ПУЛ" sheetId="7" state="visible" r:id="rId7"/>
    <sheet xmlns:r="http://schemas.openxmlformats.org/officeDocument/2006/relationships" name="Закрытые" sheetId="8" state="visible" r:id="rId8"/>
    <sheet xmlns:r="http://schemas.openxmlformats.org/officeDocument/2006/relationships" name="ИТОГО" sheetId="9" state="visible" r:id="rId9"/>
    <sheet xmlns:r="http://schemas.openxmlformats.org/officeDocument/2006/relationships" name="Справочники" sheetId="10" state="visible" r:id="rId10"/>
  </sheets>
  <definedNames>
    <definedName name="Список_Протокол">OFFSET(Справочники!$B$5,0,0,MAX(1,COUNTA(Справочники!$B$5:$B$104)),1)</definedName>
    <definedName name="Список_Действие_Торговля">OFFSET(Справочники!$C$5,0,0,MAX(1,COUNTA(Справочники!$C$5:$C$104)),1)</definedName>
    <definedName name="_xlnm.Print_Area" localSheetId="0">'Ввод'!$A$1:$H$24</definedName>
    <definedName name="_xlnm._FilterDatabase" localSheetId="1" hidden="1">'Торговля'!$B$4:$N$300</definedName>
    <definedName name="_xlnm.Print_Area" localSheetId="1">'Торговля'!$A$1:$N$17</definedName>
    <definedName name="_xlnm._FilterDatabase" localSheetId="2" hidden="1">'ИТОГО Торговля'!$B$4:$M$300</definedName>
    <definedName name="_xlnm.Print_Area" localSheetId="2">'ИТОГО Торговля'!$A$1:$N$13</definedName>
    <definedName name="_xlnm._FilterDatabase" localSheetId="3" hidden="1">'Лэндинг'!$B$4:$N$300</definedName>
    <definedName name="_xlnm.Print_Area" localSheetId="3">'Лэндинг'!$A$1:$N$17</definedName>
    <definedName name="_xlnm._FilterDatabase" localSheetId="4" hidden="1">'ИТОГО Лэндинг'!$B$4:$M$300</definedName>
    <definedName name="_xlnm.Print_Area" localSheetId="4">'ИТОГО Лэндинг'!$A$1:$N$13</definedName>
    <definedName name="_xlnm._FilterDatabase" localSheetId="5" hidden="1">'Пул'!$B$4:$N$300</definedName>
    <definedName name="_xlnm.Print_Area" localSheetId="5">'Пул'!$A$1:$N$13</definedName>
    <definedName name="_xlnm._FilterDatabase" localSheetId="6" hidden="1">'ИТОГО ПУЛ'!$B$4:$L$300</definedName>
    <definedName name="_xlnm.Print_Area" localSheetId="6">'ИТОГО ПУЛ'!$A$1:$M$13</definedName>
    <definedName name="_xlnm._FilterDatabase" localSheetId="7" hidden="1">'Закрытые'!$B$4:$O$300</definedName>
    <definedName name="_xlnm.Print_Area" localSheetId="7">'Закрытые'!$A$1:$P$13</definedName>
    <definedName name="_xlnm._FilterDatabase" localSheetId="8" hidden="1">'ИТОГО'!$B$4:$M$300</definedName>
    <definedName name="_xlnm.Print_Area" localSheetId="8">'ИТОГО'!$A$1:$N$13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.MM.YYYY"/>
    <numFmt numFmtId="165" formatCode="#,##0.00######;[Red]-#,##0.00######"/>
    <numFmt numFmtId="166" formatCode="yyyy.mm.dd"/>
    <numFmt numFmtId="167" formatCode="#,##0.00######"/>
    <numFmt numFmtId="168" formatCode="0.0##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i val="1"/>
      <color rgb="00FFFFFF"/>
      <sz val="12"/>
    </font>
    <font>
      <name val="Calibri"/>
      <b val="1"/>
      <i val="1"/>
      <color rgb="00FFFFFF"/>
      <sz val="10"/>
    </font>
    <font>
      <name val="Calibri"/>
      <color rgb="00244E62"/>
      <sz val="11"/>
    </font>
    <font>
      <name val="Calibri"/>
      <b val="1"/>
      <color rgb="00244E62"/>
      <sz val="11"/>
    </font>
    <font>
      <name val="Calibri"/>
      <b val="1"/>
      <color rgb="00FFFFFF"/>
      <sz val="14"/>
    </font>
    <font>
      <name val="Calibri"/>
      <i val="1"/>
      <color rgb="006F9EB3"/>
      <sz val="9"/>
    </font>
    <font>
      <name val="Calibri"/>
      <b val="1"/>
      <i val="1"/>
      <color rgb="00FFFFFF"/>
      <sz val="11"/>
    </font>
    <font>
      <name val="Calibri"/>
      <sz val="11"/>
    </font>
    <font>
      <name val="Calibri"/>
      <b val="1"/>
      <i val="1"/>
      <color rgb="FF244E62"/>
      <sz val="11"/>
    </font>
    <font>
      <name val="Calibri"/>
      <b val="1"/>
      <color rgb="00722F37"/>
      <sz val="14"/>
    </font>
    <font>
      <name val="Calibri"/>
      <color rgb="005B8499"/>
      <sz val="8"/>
    </font>
    <font>
      <name val="Calibri"/>
      <color rgb="00000000"/>
      <sz val="8"/>
    </font>
    <font>
      <name val="Calibri"/>
      <color rgb="00000000"/>
      <sz val="10"/>
    </font>
  </fonts>
  <fills count="22">
    <fill>
      <patternFill/>
    </fill>
    <fill>
      <patternFill patternType="gray125"/>
    </fill>
    <fill>
      <patternFill patternType="solid">
        <fgColor rgb="00255B78"/>
        <bgColor rgb="00255B78"/>
      </patternFill>
    </fill>
    <fill>
      <patternFill patternType="solid">
        <fgColor rgb="002F6F93"/>
        <bgColor rgb="002F6F93"/>
      </patternFill>
    </fill>
    <fill>
      <patternFill patternType="solid">
        <fgColor rgb="00FFFDF3"/>
        <bgColor rgb="00FFFDF3"/>
      </patternFill>
    </fill>
    <fill>
      <patternFill patternType="solid">
        <fgColor rgb="005E9E72"/>
        <bgColor rgb="005E9E72"/>
      </patternFill>
    </fill>
    <fill>
      <patternFill patternType="solid">
        <fgColor rgb="008064A2"/>
        <bgColor rgb="008064A2"/>
      </patternFill>
    </fill>
    <fill>
      <patternFill patternType="solid">
        <fgColor rgb="00FFFFFF"/>
        <bgColor rgb="00FFFFFF"/>
      </patternFill>
    </fill>
    <fill>
      <patternFill patternType="solid">
        <fgColor rgb="00722F37"/>
        <bgColor rgb="00722F37"/>
      </patternFill>
    </fill>
    <fill>
      <patternFill patternType="solid">
        <fgColor rgb="006D568F"/>
        <bgColor rgb="006D568F"/>
      </patternFill>
    </fill>
    <fill>
      <patternFill patternType="solid">
        <fgColor rgb="002F6F93"/>
      </patternFill>
    </fill>
    <fill>
      <patternFill patternType="solid">
        <fgColor rgb="00FFFDF3"/>
      </patternFill>
    </fill>
    <fill>
      <patternFill patternType="solid">
        <fgColor rgb="00FFF2CC"/>
      </patternFill>
    </fill>
    <fill>
      <patternFill patternType="solid">
        <fgColor rgb="00255B78"/>
      </patternFill>
    </fill>
    <fill>
      <patternFill patternType="solid">
        <fgColor rgb="008064A2"/>
      </patternFill>
    </fill>
    <fill>
      <patternFill patternType="solid">
        <fgColor rgb="006D568F"/>
      </patternFill>
    </fill>
    <fill>
      <patternFill patternType="solid">
        <fgColor rgb="005E9E72"/>
      </patternFill>
    </fill>
    <fill>
      <patternFill patternType="solid">
        <fgColor rgb="00722F37"/>
      </patternFill>
    </fill>
    <fill>
      <patternFill patternType="solid">
        <fgColor rgb="FFFFF2CC"/>
        <bgColor rgb="FFFFF2CC"/>
      </patternFill>
    </fill>
    <fill>
      <patternFill patternType="solid">
        <fgColor rgb="FF722F37"/>
        <bgColor rgb="FF722F37"/>
      </patternFill>
    </fill>
    <fill>
      <patternFill patternType="solid">
        <fgColor rgb="00E8C8CD"/>
      </patternFill>
    </fill>
    <fill>
      <patternFill patternType="solid">
        <fgColor rgb="008B1A1A"/>
      </patternFill>
    </fill>
  </fills>
  <borders count="69">
    <border>
      <left/>
      <right/>
      <top/>
      <bottom/>
      <diagonal/>
    </border>
    <border>
      <left style="thin">
        <color rgb="006F9EB3"/>
      </left>
      <right style="thin">
        <color rgb="006F9EB3"/>
      </right>
      <top style="thin">
        <color rgb="006F9EB3"/>
      </top>
      <bottom style="thin">
        <color rgb="006F9EB3"/>
      </bottom>
    </border>
    <border>
      <left style="thin">
        <color rgb="006F9EB3"/>
      </left>
      <top style="thin">
        <color rgb="006F9EB3"/>
      </top>
      <bottom style="thin">
        <color rgb="006F9EB3"/>
      </bottom>
    </border>
    <border>
      <top style="thin">
        <color rgb="006F9EB3"/>
      </top>
      <bottom style="thin">
        <color rgb="006F9EB3"/>
      </bottom>
    </border>
    <border>
      <right style="thin">
        <color rgb="006F9EB3"/>
      </right>
      <top style="thin">
        <color rgb="006F9EB3"/>
      </top>
      <bottom style="thin">
        <color rgb="006F9EB3"/>
      </bottom>
    </border>
    <border>
      <left style="medium">
        <color rgb="00FFFFFF"/>
      </left>
    </border>
    <border>
      <left style="thin">
        <color rgb="006F9EB3"/>
      </left>
      <top style="thin">
        <color rgb="006F9EB3"/>
      </top>
    </border>
    <border>
      <top style="thin">
        <color rgb="006F9EB3"/>
      </top>
    </border>
    <border>
      <right style="thin">
        <color rgb="006F9EB3"/>
      </right>
      <top style="thin">
        <color rgb="006F9EB3"/>
      </top>
    </border>
    <border>
      <left style="thin">
        <color rgb="006F9EB3"/>
      </left>
      <bottom style="thin">
        <color rgb="006F9EB3"/>
      </bottom>
    </border>
    <border>
      <bottom style="thin">
        <color rgb="006F9EB3"/>
      </bottom>
    </border>
    <border>
      <right style="thin">
        <color rgb="006F9EB3"/>
      </right>
      <bottom style="thin">
        <color rgb="006F9EB3"/>
      </bottom>
    </border>
    <border>
      <bottom style="medium">
        <color rgb="005E9E72"/>
      </bottom>
    </border>
    <border>
      <left style="medium">
        <color rgb="00FFFFFF"/>
      </left>
      <bottom style="medium">
        <color rgb="005E9E72"/>
      </bottom>
    </border>
    <border>
      <left style="medium">
        <color rgb="00FFFFFF"/>
      </left>
      <bottom/>
    </border>
    <border>
      <bottom style="medium">
        <color rgb="008064A2"/>
      </bottom>
    </border>
    <border>
      <bottom style="medium">
        <color rgb="00255B78"/>
      </bottom>
    </border>
    <border>
      <left style="medium">
        <color rgb="00FFFFFF"/>
      </left>
      <right style="medium">
        <color rgb="00FFFFFF"/>
      </right>
    </border>
    <border>
      <left style="medium">
        <color rgb="00FFFFFF"/>
      </left>
      <right style="thick">
        <color rgb="00FFFFFF"/>
      </right>
    </border>
    <border>
      <left style="thick">
        <color rgb="00FFFFFF"/>
      </left>
      <right style="medium">
        <color rgb="00FFFFFF"/>
      </right>
    </border>
    <border>
      <left style="thin">
        <color rgb="006F9EB3"/>
      </left>
      <right style="medium">
        <color rgb="00255B78"/>
      </right>
      <top style="thin">
        <color rgb="006F9EB3"/>
      </top>
      <bottom style="thin">
        <color rgb="006F9EB3"/>
      </bottom>
    </border>
    <border>
      <left style="medium">
        <color rgb="00255B78"/>
      </left>
      <right style="thin">
        <color rgb="006F9EB3"/>
      </right>
      <top style="thin">
        <color rgb="006F9EB3"/>
      </top>
      <bottom style="thin">
        <color rgb="006F9EB3"/>
      </bottom>
    </border>
    <border>
      <left/>
      <right/>
      <top style="thin">
        <color rgb="006F9EB3"/>
      </top>
      <bottom/>
      <diagonal/>
    </border>
    <border>
      <left/>
      <right style="thin">
        <color rgb="006F9EB3"/>
      </right>
      <top style="thin">
        <color rgb="006F9EB3"/>
      </top>
      <bottom/>
      <diagonal/>
    </border>
    <border>
      <left/>
      <right/>
      <top style="thin">
        <color rgb="006F9EB3"/>
      </top>
      <bottom style="thin">
        <color rgb="006F9EB3"/>
      </bottom>
      <diagonal/>
    </border>
    <border>
      <left/>
      <right style="thin">
        <color rgb="006F9EB3"/>
      </right>
      <top style="thin">
        <color rgb="006F9EB3"/>
      </top>
      <bottom style="thin">
        <color rgb="006F9EB3"/>
      </bottom>
      <diagonal/>
    </border>
    <border>
      <left style="thin">
        <color rgb="006F9EB3"/>
      </left>
      <right/>
      <top/>
      <bottom/>
      <diagonal/>
    </border>
    <border>
      <left/>
      <right style="thin">
        <color rgb="006F9EB3"/>
      </right>
      <top/>
      <bottom/>
      <diagonal/>
    </border>
    <border>
      <left style="thin">
        <color rgb="006F9EB3"/>
      </left>
      <right/>
      <top/>
      <bottom style="thin">
        <color rgb="006F9EB3"/>
      </bottom>
      <diagonal/>
    </border>
    <border>
      <left/>
      <right/>
      <top/>
      <bottom style="thin">
        <color rgb="006F9EB3"/>
      </bottom>
      <diagonal/>
    </border>
    <border>
      <left/>
      <right style="thin">
        <color rgb="006F9EB3"/>
      </right>
      <top/>
      <bottom style="thin">
        <color rgb="006F9EB3"/>
      </bottom>
      <diagonal/>
    </border>
    <border>
      <left/>
      <right/>
      <top/>
      <bottom style="medium">
        <color rgb="008064A2"/>
      </bottom>
      <diagonal/>
    </border>
    <border>
      <left/>
      <right/>
      <top/>
      <bottom style="medium">
        <color rgb="005E9E72"/>
      </bottom>
      <diagonal/>
    </border>
    <border>
      <left style="medium">
        <color rgb="00FFFFFF"/>
      </left>
      <right/>
      <bottom/>
    </border>
    <border>
      <left/>
      <right/>
      <top/>
      <bottom style="medium">
        <color rgb="00255B78"/>
      </bottom>
      <diagonal/>
    </border>
    <border>
      <left style="medium">
        <color rgb="00FFFFFF"/>
      </left>
      <right/>
      <top/>
      <bottom/>
      <diagonal/>
    </border>
    <border>
      <right/>
      <bottom style="medium">
        <color rgb="008064A2"/>
      </bottom>
    </border>
    <border>
      <right/>
      <bottom style="medium">
        <color rgb="005E9E72"/>
      </bottom>
    </border>
    <border>
      <left style="medium">
        <color rgb="00FFFFFF"/>
      </left>
      <right/>
      <bottom style="medium">
        <color rgb="005E9E72"/>
      </bottom>
    </border>
    <border>
      <right/>
      <bottom style="medium">
        <color rgb="00255B78"/>
      </bottom>
    </border>
    <border/>
    <border>
      <left style="thin">
        <color rgb="006F9EB3"/>
      </left>
    </border>
    <border>
      <right style="thin">
        <color rgb="006F9EB3"/>
      </right>
    </border>
    <border>
      <left style="thick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medium">
        <color rgb="00FFFFFF"/>
      </left>
      <right style="thick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 style="medium">
        <color rgb="00FFFFFF"/>
      </top>
      <bottom style="medium">
        <color rgb="00FFFFFF"/>
      </bottom>
      <diagonal/>
    </border>
    <border>
      <left style="thick">
        <color rgb="FFFFFFFF"/>
      </left>
      <right style="medium">
        <color rgb="FFFFFFFF"/>
      </right>
    </border>
    <border>
      <left style="medium">
        <color rgb="00FFFFFF"/>
      </left>
      <right style="thick">
        <color rgb="FFFFFFFF"/>
      </right>
    </border>
    <border>
      <left style="medium">
        <color rgb="FFFFFFFF"/>
      </left>
    </border>
    <border>
      <left style="thin">
        <color rgb="FF6F9EB3"/>
      </left>
      <right style="thin">
        <color rgb="FF6F9EB3"/>
      </right>
      <top style="thin">
        <color rgb="FF6F9EB3"/>
      </top>
      <bottom style="thin">
        <color rgb="FF6F9EB3"/>
      </bottom>
    </border>
    <border>
      <bottom style="medium">
        <color rgb="FF5E9E72"/>
      </bottom>
    </border>
    <border>
      <left style="medium">
        <color rgb="FFFFFFFF"/>
      </left>
      <bottom style="medium">
        <color rgb="FF5E9E72"/>
      </bottom>
    </border>
    <border>
      <left style="medium">
        <color rgb="FFFFFFFF"/>
      </left>
      <bottom style="medium">
        <color rgb="FF8064A2"/>
      </bottom>
    </border>
    <border>
      <bottom style="medium">
        <color rgb="FF8064A2"/>
      </bottom>
    </border>
    <border>
      <bottom style="medium">
        <color rgb="FF255B78"/>
      </bottom>
    </border>
    <border>
      <left/>
      <right/>
      <top/>
      <bottom style="medium">
        <color rgb="FF5E9E72"/>
      </bottom>
      <diagonal/>
    </border>
    <border>
      <left/>
      <right/>
      <top/>
      <bottom style="medium">
        <color rgb="FF255B78"/>
      </bottom>
      <diagonal/>
    </border>
    <border>
      <left/>
      <right/>
      <top/>
      <bottom style="medium">
        <color rgb="FF8064A2"/>
      </bottom>
      <diagonal/>
    </border>
    <border>
      <left style="medium">
        <color rgb="FFFFFFFF"/>
      </left>
      <right/>
      <top/>
      <bottom/>
      <diagonal/>
    </border>
    <border>
      <left style="thin">
        <color rgb="006F9EB3"/>
      </left>
      <right style="medium">
        <color rgb="FF255B78"/>
      </right>
      <top style="thin">
        <color rgb="006F9EB3"/>
      </top>
      <bottom style="thin">
        <color rgb="006F9EB3"/>
      </bottom>
    </border>
    <border>
      <left style="medium">
        <color rgb="FFFFFFFF"/>
      </left>
      <right/>
      <bottom style="medium">
        <color rgb="FF5E9E72"/>
      </bottom>
    </border>
    <border>
      <right/>
      <bottom style="medium">
        <color rgb="FF5E9E72"/>
      </bottom>
    </border>
    <border>
      <right/>
      <bottom style="medium">
        <color rgb="FF255B78"/>
      </bottom>
    </border>
    <border>
      <left style="medium">
        <color rgb="FFFFFFFF"/>
      </left>
      <right/>
      <bottom/>
    </border>
    <border>
      <left style="medium">
        <color rgb="FFFFFFFF"/>
      </left>
      <right/>
      <bottom style="medium">
        <color rgb="FF8064A2"/>
      </bottom>
    </border>
    <border>
      <right/>
      <bottom/>
    </border>
  </borders>
  <cellStyleXfs count="1">
    <xf numFmtId="0" fontId="0" fillId="0" borderId="0"/>
  </cellStyleXfs>
  <cellXfs count="33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2" fillId="5" borderId="12" applyAlignment="1" pivotButton="0" quotePrefix="0" xfId="0">
      <alignment horizontal="left" vertical="center" indent="1"/>
    </xf>
    <xf numFmtId="0" fontId="2" fillId="5" borderId="13" applyAlignment="1" pivotButton="0" quotePrefix="0" xfId="0">
      <alignment horizontal="left" vertical="center" indent="1"/>
    </xf>
    <xf numFmtId="0" fontId="4" fillId="4" borderId="2" applyAlignment="1" pivotButton="0" quotePrefix="0" xfId="0">
      <alignment horizontal="left" vertical="center" indent="1"/>
    </xf>
    <xf numFmtId="0" fontId="4" fillId="4" borderId="3" applyAlignment="1" pivotButton="0" quotePrefix="0" xfId="0">
      <alignment horizontal="left" vertical="center" indent="1"/>
    </xf>
    <xf numFmtId="0" fontId="4" fillId="4" borderId="4" applyAlignment="1" pivotButton="0" quotePrefix="0" xfId="0">
      <alignment horizontal="left" vertical="center" indent="1"/>
    </xf>
    <xf numFmtId="0" fontId="3" fillId="3" borderId="14" applyAlignment="1" pivotButton="0" quotePrefix="0" xfId="0">
      <alignment horizontal="left" vertical="center" indent="1"/>
    </xf>
    <xf numFmtId="2" fontId="4" fillId="4" borderId="2" applyAlignment="1" pivotButton="0" quotePrefix="0" xfId="0">
      <alignment horizontal="right" vertical="center" indent="1"/>
    </xf>
    <xf numFmtId="0" fontId="4" fillId="4" borderId="4" applyAlignment="1" pivotButton="0" quotePrefix="0" xfId="0">
      <alignment horizontal="right" vertical="center" indent="1"/>
    </xf>
    <xf numFmtId="3" fontId="4" fillId="4" borderId="2" applyAlignment="1" pivotButton="0" quotePrefix="0" xfId="0">
      <alignment horizontal="right" vertical="center" indent="1"/>
    </xf>
    <xf numFmtId="1" fontId="4" fillId="4" borderId="2" applyAlignment="1" pivotButton="0" quotePrefix="0" xfId="0">
      <alignment horizontal="right" vertical="center" indent="1"/>
    </xf>
    <xf numFmtId="0" fontId="3" fillId="3" borderId="5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5" fillId="4" borderId="2" applyAlignment="1" pivotButton="0" quotePrefix="0" xfId="0">
      <alignment horizontal="left" vertical="center" indent="1"/>
    </xf>
    <xf numFmtId="0" fontId="5" fillId="4" borderId="4" applyAlignment="1" pivotButton="0" quotePrefix="0" xfId="0">
      <alignment horizontal="left" vertical="center" indent="1"/>
    </xf>
    <xf numFmtId="0" fontId="2" fillId="6" borderId="15" applyAlignment="1" pivotButton="0" quotePrefix="0" xfId="0">
      <alignment horizontal="left" vertical="center" indent="1"/>
    </xf>
    <xf numFmtId="0" fontId="2" fillId="3" borderId="16" applyAlignment="1" pivotButton="0" quotePrefix="0" xfId="0">
      <alignment horizontal="left" vertical="center" indent="1"/>
    </xf>
    <xf numFmtId="0" fontId="4" fillId="4" borderId="6" applyAlignment="1" pivotButton="0" quotePrefix="0" xfId="0">
      <alignment horizontal="left" vertical="top" wrapText="1" indent="1"/>
    </xf>
    <xf numFmtId="0" fontId="4" fillId="4" borderId="7" applyAlignment="1" pivotButton="0" quotePrefix="0" xfId="0">
      <alignment horizontal="left" vertical="top" wrapText="1" indent="1"/>
    </xf>
    <xf numFmtId="0" fontId="4" fillId="4" borderId="8" applyAlignment="1" pivotButton="0" quotePrefix="0" xfId="0">
      <alignment horizontal="left" vertical="top" wrapText="1" indent="1"/>
    </xf>
    <xf numFmtId="0" fontId="4" fillId="4" borderId="9" applyAlignment="1" pivotButton="0" quotePrefix="0" xfId="0">
      <alignment horizontal="left" vertical="top" wrapText="1" indent="1"/>
    </xf>
    <xf numFmtId="0" fontId="4" fillId="4" borderId="10" applyAlignment="1" pivotButton="0" quotePrefix="0" xfId="0">
      <alignment horizontal="left" vertical="top" wrapText="1" indent="1"/>
    </xf>
    <xf numFmtId="0" fontId="4" fillId="4" borderId="11" applyAlignment="1" pivotButton="0" quotePrefix="0" xfId="0">
      <alignment horizontal="left" vertical="top" wrapText="1" indent="1"/>
    </xf>
    <xf numFmtId="0" fontId="6" fillId="5" borderId="0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24" pivotButton="0" quotePrefix="0" xfId="0"/>
    <xf numFmtId="0" fontId="0" fillId="0" borderId="25" pivotButton="0" quotePrefix="0" xfId="0"/>
    <xf numFmtId="2" fontId="4" fillId="4" borderId="1" applyAlignment="1" pivotButton="0" quotePrefix="0" xfId="0">
      <alignment horizontal="right" vertical="center" indent="1"/>
    </xf>
    <xf numFmtId="3" fontId="4" fillId="4" borderId="1" applyAlignment="1" pivotButton="0" quotePrefix="0" xfId="0">
      <alignment horizontal="right" vertical="center" indent="1"/>
    </xf>
    <xf numFmtId="1" fontId="4" fillId="4" borderId="1" applyAlignment="1" pivotButton="0" quotePrefix="0" xfId="0">
      <alignment horizontal="right" vertical="center" indent="1"/>
    </xf>
    <xf numFmtId="0" fontId="3" fillId="3" borderId="33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0" fillId="0" borderId="31" pivotButton="0" quotePrefix="0" xfId="0"/>
    <xf numFmtId="0" fontId="0" fillId="0" borderId="34" pivotButton="0" quotePrefix="0" xfId="0"/>
    <xf numFmtId="0" fontId="4" fillId="4" borderId="1" applyAlignment="1" pivotButton="0" quotePrefix="0" xfId="0">
      <alignment horizontal="left" vertical="top" wrapText="1" indent="1"/>
    </xf>
    <xf numFmtId="0" fontId="0" fillId="0" borderId="22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6" fillId="3" borderId="33" applyAlignment="1" pivotButton="0" quotePrefix="0" xfId="0">
      <alignment horizontal="center" vertical="center"/>
    </xf>
    <xf numFmtId="0" fontId="0" fillId="0" borderId="35" pivotButton="0" quotePrefix="0" xfId="0"/>
    <xf numFmtId="164" fontId="4" fillId="4" borderId="1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2" fillId="5" borderId="37" applyAlignment="1" pivotButton="0" quotePrefix="0" xfId="0">
      <alignment horizontal="left" vertical="center" indent="1"/>
    </xf>
    <xf numFmtId="0" fontId="2" fillId="5" borderId="38" applyAlignment="1" pivotButton="0" quotePrefix="0" xfId="0">
      <alignment horizontal="left" vertical="center" indent="1"/>
    </xf>
    <xf numFmtId="0" fontId="2" fillId="6" borderId="36" applyAlignment="1" pivotButton="0" quotePrefix="0" xfId="0">
      <alignment horizontal="left" vertical="center" indent="1"/>
    </xf>
    <xf numFmtId="0" fontId="2" fillId="3" borderId="39" applyAlignment="1" pivotButton="0" quotePrefix="0" xfId="0">
      <alignment horizontal="left" vertical="center" indent="1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9" borderId="19" applyAlignment="1" pivotButton="0" quotePrefix="0" xfId="0">
      <alignment horizontal="center" vertical="center"/>
    </xf>
    <xf numFmtId="0" fontId="8" fillId="9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6" fontId="4" fillId="4" borderId="1" applyAlignment="1" applyProtection="1" pivotButton="0" quotePrefix="0" xfId="0">
      <alignment horizontal="left" vertical="center" indent="1"/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indent="1"/>
      <protection locked="0" hidden="0"/>
    </xf>
    <xf numFmtId="2" fontId="4" fillId="4" borderId="1" applyAlignment="1" applyProtection="1" pivotButton="0" quotePrefix="0" xfId="0">
      <alignment horizontal="right" vertical="center" indent="1"/>
      <protection locked="0" hidden="0"/>
    </xf>
    <xf numFmtId="3" fontId="4" fillId="4" borderId="1" applyAlignment="1" applyProtection="1" pivotButton="0" quotePrefix="0" xfId="0">
      <alignment horizontal="right" vertical="center" indent="1"/>
      <protection locked="0" hidden="0"/>
    </xf>
    <xf numFmtId="1" fontId="4" fillId="4" borderId="1" applyAlignment="1" applyProtection="1" pivotButton="0" quotePrefix="0" xfId="0">
      <alignment horizontal="right" vertical="center" indent="1"/>
      <protection locked="0" hidden="0"/>
    </xf>
    <xf numFmtId="0" fontId="5" fillId="12" borderId="1" applyAlignment="1" pivotButton="0" quotePrefix="0" xfId="0">
      <alignment horizontal="left" vertical="center" indent="1"/>
    </xf>
    <xf numFmtId="0" fontId="0" fillId="12" borderId="25" pivotButton="0" quotePrefix="0" xfId="0"/>
    <xf numFmtId="0" fontId="4" fillId="4" borderId="1" applyAlignment="1" applyProtection="1" pivotButton="0" quotePrefix="0" xfId="0">
      <alignment horizontal="left" vertical="top" wrapText="1" inden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166" fontId="4" fillId="4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9" fillId="0" borderId="40" pivotButton="0" quotePrefix="0" xfId="0"/>
    <xf numFmtId="166" fontId="4" fillId="4" borderId="1" applyAlignment="1" applyProtection="1" pivotButton="0" quotePrefix="0" xfId="0">
      <alignment horizontal="left" vertical="center" indent="1"/>
      <protection locked="0" hidden="0"/>
    </xf>
    <xf numFmtId="166" fontId="4" fillId="4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167" fontId="4" fillId="12" borderId="1" applyAlignment="1" pivotButton="0" quotePrefix="0" xfId="0">
      <alignment horizontal="right" vertical="center" indent="1"/>
    </xf>
    <xf numFmtId="0" fontId="4" fillId="4" borderId="6" applyAlignment="1" applyProtection="1" pivotButton="0" quotePrefix="0" xfId="0">
      <alignment horizontal="left" vertical="top" wrapText="1" indent="1"/>
      <protection locked="0" hidden="0"/>
    </xf>
    <xf numFmtId="0" fontId="4" fillId="4" borderId="7" applyAlignment="1" applyProtection="1" pivotButton="0" quotePrefix="0" xfId="0">
      <alignment horizontal="left" vertical="top" wrapText="1" indent="1"/>
      <protection locked="0" hidden="0"/>
    </xf>
    <xf numFmtId="0" fontId="4" fillId="4" borderId="8" applyAlignment="1" applyProtection="1" pivotButton="0" quotePrefix="0" xfId="0">
      <alignment horizontal="left" vertical="top" wrapText="1" indent="1"/>
      <protection locked="0" hidden="0"/>
    </xf>
    <xf numFmtId="0" fontId="4" fillId="4" borderId="41" applyAlignment="1" applyProtection="1" pivotButton="0" quotePrefix="0" xfId="0">
      <alignment horizontal="left" vertical="top" wrapText="1" indent="1"/>
      <protection locked="0" hidden="0"/>
    </xf>
    <xf numFmtId="0" fontId="4" fillId="4" borderId="40" applyAlignment="1" applyProtection="1" pivotButton="0" quotePrefix="0" xfId="0">
      <alignment horizontal="left" vertical="top" wrapText="1" indent="1"/>
      <protection locked="0" hidden="0"/>
    </xf>
    <xf numFmtId="0" fontId="4" fillId="4" borderId="42" applyAlignment="1" applyProtection="1" pivotButton="0" quotePrefix="0" xfId="0">
      <alignment horizontal="left" vertical="top" wrapText="1" indent="1"/>
      <protection locked="0" hidden="0"/>
    </xf>
    <xf numFmtId="0" fontId="4" fillId="4" borderId="9" applyAlignment="1" applyProtection="1" pivotButton="0" quotePrefix="0" xfId="0">
      <alignment horizontal="left" vertical="top" wrapText="1" indent="1"/>
      <protection locked="0" hidden="0"/>
    </xf>
    <xf numFmtId="0" fontId="4" fillId="4" borderId="10" applyAlignment="1" applyProtection="1" pivotButton="0" quotePrefix="0" xfId="0">
      <alignment horizontal="left" vertical="top" wrapText="1" indent="1"/>
      <protection locked="0" hidden="0"/>
    </xf>
    <xf numFmtId="0" fontId="4" fillId="4" borderId="11" applyAlignment="1" applyProtection="1" pivotButton="0" quotePrefix="0" xfId="0">
      <alignment horizontal="left" vertical="top" wrapText="1" indent="1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168" fontId="4" fillId="4" borderId="1" applyAlignment="1" applyProtection="1" pivotButton="0" quotePrefix="0" xfId="0">
      <alignment horizontal="right" vertical="center" indent="1"/>
      <protection locked="0" hidden="0"/>
    </xf>
    <xf numFmtId="167" fontId="4" fillId="4" borderId="1" applyAlignment="1" applyProtection="1" pivotButton="0" quotePrefix="0" xfId="0">
      <alignment horizontal="right" vertical="center" indent="1"/>
      <protection locked="0" hidden="0"/>
    </xf>
    <xf numFmtId="0" fontId="1" fillId="2" borderId="0" applyAlignment="1" pivotButton="0" quotePrefix="0" xfId="0">
      <alignment horizontal="left" vertical="center"/>
    </xf>
    <xf numFmtId="0" fontId="8" fillId="13" borderId="43" applyAlignment="1" pivotButton="0" quotePrefix="0" xfId="0">
      <alignment horizontal="center" vertical="center"/>
    </xf>
    <xf numFmtId="0" fontId="8" fillId="13" borderId="44" applyAlignment="1" pivotButton="0" quotePrefix="0" xfId="0">
      <alignment horizontal="center" vertical="center"/>
    </xf>
    <xf numFmtId="0" fontId="8" fillId="13" borderId="45" applyAlignment="1" pivotButton="0" quotePrefix="0" xfId="0">
      <alignment horizontal="center" vertical="center"/>
    </xf>
    <xf numFmtId="0" fontId="8" fillId="14" borderId="43" applyAlignment="1" pivotButton="0" quotePrefix="0" xfId="0">
      <alignment horizontal="center" vertical="center"/>
    </xf>
    <xf numFmtId="0" fontId="8" fillId="14" borderId="45" applyAlignment="1" pivotButton="0" quotePrefix="0" xfId="0">
      <alignment horizontal="center" vertical="center"/>
    </xf>
    <xf numFmtId="0" fontId="8" fillId="15" borderId="43" applyAlignment="1" pivotButton="0" quotePrefix="0" xfId="0">
      <alignment horizontal="center" vertical="center"/>
    </xf>
    <xf numFmtId="0" fontId="8" fillId="15" borderId="45" applyAlignment="1" pivotButton="0" quotePrefix="0" xfId="0">
      <alignment horizontal="center" vertical="center"/>
    </xf>
    <xf numFmtId="0" fontId="8" fillId="10" borderId="43" applyAlignment="1" pivotButton="0" quotePrefix="0" xfId="0">
      <alignment horizontal="center" vertical="center"/>
    </xf>
    <xf numFmtId="0" fontId="8" fillId="10" borderId="45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10" borderId="43" applyAlignment="1" pivotButton="0" quotePrefix="0" xfId="0">
      <alignment horizontal="center" vertical="center"/>
    </xf>
    <xf numFmtId="0" fontId="8" fillId="10" borderId="45" applyAlignment="1" pivotButton="0" quotePrefix="0" xfId="0">
      <alignment horizontal="center" vertical="center"/>
    </xf>
    <xf numFmtId="0" fontId="8" fillId="16" borderId="43" applyAlignment="1" pivotButton="0" quotePrefix="0" xfId="0">
      <alignment horizontal="center" vertical="center"/>
    </xf>
    <xf numFmtId="0" fontId="8" fillId="16" borderId="45" applyAlignment="1" pivotButton="0" quotePrefix="0" xfId="0">
      <alignment horizontal="center" vertical="center"/>
    </xf>
    <xf numFmtId="0" fontId="8" fillId="14" borderId="43" applyAlignment="1" pivotButton="0" quotePrefix="0" xfId="0">
      <alignment horizontal="center" vertical="center"/>
    </xf>
    <xf numFmtId="0" fontId="8" fillId="14" borderId="45" applyAlignment="1" pivotButton="0" quotePrefix="0" xfId="0">
      <alignment horizontal="center" vertical="center"/>
    </xf>
    <xf numFmtId="0" fontId="8" fillId="10" borderId="43" applyAlignment="1" pivotButton="0" quotePrefix="0" xfId="0">
      <alignment horizontal="center" vertical="center"/>
    </xf>
    <xf numFmtId="0" fontId="8" fillId="10" borderId="45" applyAlignment="1" pivotButton="0" quotePrefix="0" xfId="0">
      <alignment horizontal="center" vertical="center"/>
    </xf>
    <xf numFmtId="0" fontId="8" fillId="16" borderId="43" applyAlignment="1" pivotButton="0" quotePrefix="0" xfId="0">
      <alignment horizontal="center" vertical="center"/>
    </xf>
    <xf numFmtId="0" fontId="8" fillId="16" borderId="45" applyAlignment="1" pivotButton="0" quotePrefix="0" xfId="0">
      <alignment horizontal="center" vertical="center"/>
    </xf>
    <xf numFmtId="0" fontId="8" fillId="14" borderId="43" applyAlignment="1" pivotButton="0" quotePrefix="0" xfId="0">
      <alignment horizontal="center" vertical="center"/>
    </xf>
    <xf numFmtId="0" fontId="8" fillId="14" borderId="45" applyAlignment="1" pivotButton="0" quotePrefix="0" xfId="0">
      <alignment horizontal="center" vertical="center"/>
    </xf>
    <xf numFmtId="0" fontId="8" fillId="17" borderId="43" applyAlignment="1" pivotButton="0" quotePrefix="0" xfId="0">
      <alignment horizontal="center" vertical="center"/>
    </xf>
    <xf numFmtId="0" fontId="8" fillId="17" borderId="44" applyAlignment="1" pivotButton="0" quotePrefix="0" xfId="0">
      <alignment horizontal="center" vertical="center"/>
    </xf>
    <xf numFmtId="0" fontId="8" fillId="17" borderId="45" applyAlignment="1" pivotButton="0" quotePrefix="0" xfId="0">
      <alignment horizontal="center" vertical="center"/>
    </xf>
    <xf numFmtId="167" fontId="4" fillId="12" borderId="1" applyAlignment="1" applyProtection="1" pivotButton="0" quotePrefix="0" xfId="0">
      <alignment horizontal="right" vertical="center" indent="1"/>
      <protection locked="0" hidden="0"/>
    </xf>
    <xf numFmtId="0" fontId="8" fillId="10" borderId="0" applyAlignment="1" pivotButton="0" quotePrefix="0" xfId="0">
      <alignment horizontal="center" vertical="center"/>
    </xf>
    <xf numFmtId="0" fontId="8" fillId="10" borderId="33" applyAlignment="1" pivotButton="0" quotePrefix="0" xfId="0">
      <alignment horizontal="center" vertical="center"/>
    </xf>
    <xf numFmtId="0" fontId="4" fillId="11" borderId="1" applyAlignment="1" applyProtection="1" pivotButton="0" quotePrefix="0" xfId="0">
      <alignment horizontal="center" vertical="center"/>
      <protection locked="0" hidden="0"/>
    </xf>
    <xf numFmtId="0" fontId="4" fillId="12" borderId="1" applyAlignment="1" pivotButton="0" quotePrefix="0" xfId="0">
      <alignment horizontal="center" vertical="center"/>
    </xf>
    <xf numFmtId="168" fontId="4" fillId="11" borderId="1" applyAlignment="1" applyProtection="1" pivotButton="0" quotePrefix="0" xfId="0">
      <alignment horizontal="center" vertical="center"/>
      <protection locked="0" hidden="0"/>
    </xf>
    <xf numFmtId="167" fontId="4" fillId="12" borderId="1" applyAlignment="1" pivotButton="0" quotePrefix="0" xfId="0">
      <alignment horizontal="center" vertical="center"/>
    </xf>
    <xf numFmtId="0" fontId="0" fillId="0" borderId="48" pivotButton="0" quotePrefix="0" xfId="0"/>
    <xf numFmtId="165" fontId="4" fillId="18" borderId="20" applyAlignment="1" pivotButton="0" quotePrefix="0" xfId="0">
      <alignment horizontal="center" vertical="center"/>
    </xf>
    <xf numFmtId="0" fontId="8" fillId="6" borderId="50" applyAlignment="1" pivotButton="0" quotePrefix="0" xfId="0">
      <alignment horizontal="center" vertical="center"/>
    </xf>
    <xf numFmtId="0" fontId="8" fillId="17" borderId="49" applyAlignment="1" pivotButton="0" quotePrefix="0" xfId="0">
      <alignment horizontal="center" vertical="center"/>
    </xf>
    <xf numFmtId="0" fontId="1" fillId="2" borderId="40" applyAlignment="1" pivotButton="0" quotePrefix="0" xfId="0">
      <alignment horizontal="left" vertical="center" indent="1"/>
    </xf>
    <xf numFmtId="0" fontId="2" fillId="3" borderId="40" applyAlignment="1" pivotButton="0" quotePrefix="0" xfId="0">
      <alignment horizontal="left" vertical="center" indent="1"/>
    </xf>
    <xf numFmtId="0" fontId="3" fillId="3" borderId="40" applyAlignment="1" pivotButton="0" quotePrefix="0" xfId="0">
      <alignment horizontal="left" vertical="center" indent="1"/>
    </xf>
    <xf numFmtId="0" fontId="3" fillId="3" borderId="51" applyAlignment="1" pivotButton="0" quotePrefix="0" xfId="0">
      <alignment horizontal="left" vertical="center" indent="1"/>
    </xf>
    <xf numFmtId="166" fontId="4" fillId="4" borderId="52" applyAlignment="1" applyProtection="1" pivotButton="0" quotePrefix="0" xfId="0">
      <alignment horizontal="left" vertical="center" indent="1"/>
      <protection locked="0" hidden="0"/>
    </xf>
    <xf numFmtId="0" fontId="4" fillId="4" borderId="52" applyAlignment="1" applyProtection="1" pivotButton="0" quotePrefix="0" xfId="0">
      <alignment horizontal="left" vertical="center" indent="1"/>
      <protection locked="0" hidden="0"/>
    </xf>
    <xf numFmtId="0" fontId="5" fillId="12" borderId="52" applyAlignment="1" pivotButton="0" quotePrefix="0" xfId="0">
      <alignment horizontal="left" vertical="center" indent="1"/>
    </xf>
    <xf numFmtId="0" fontId="4" fillId="4" borderId="52" applyAlignment="1" pivotButton="0" quotePrefix="0" xfId="0">
      <alignment horizontal="left" vertical="center" wrapText="1" indent="1"/>
    </xf>
    <xf numFmtId="0" fontId="2" fillId="5" borderId="53" applyAlignment="1" pivotButton="0" quotePrefix="0" xfId="0">
      <alignment horizontal="left" vertical="center" indent="1"/>
    </xf>
    <xf numFmtId="0" fontId="2" fillId="5" borderId="54" applyAlignment="1" pivotButton="0" quotePrefix="0" xfId="0">
      <alignment horizontal="left" vertical="center" indent="1"/>
    </xf>
    <xf numFmtId="0" fontId="2" fillId="6" borderId="55" applyAlignment="1" pivotButton="0" quotePrefix="0" xfId="0">
      <alignment horizontal="left" vertical="center" indent="1"/>
    </xf>
    <xf numFmtId="0" fontId="2" fillId="6" borderId="56" applyAlignment="1" pivotButton="0" quotePrefix="0" xfId="0">
      <alignment horizontal="left" vertical="center" indent="1"/>
    </xf>
    <xf numFmtId="167" fontId="4" fillId="4" borderId="52" applyAlignment="1" applyProtection="1" pivotButton="0" quotePrefix="0" xfId="0">
      <alignment horizontal="right" vertical="center" indent="1"/>
      <protection locked="0" hidden="0"/>
    </xf>
    <xf numFmtId="1" fontId="4" fillId="4" borderId="52" applyAlignment="1" applyProtection="1" pivotButton="0" quotePrefix="0" xfId="0">
      <alignment horizontal="right" vertical="center" indent="1"/>
      <protection locked="0" hidden="0"/>
    </xf>
    <xf numFmtId="167" fontId="4" fillId="12" borderId="52" applyAlignment="1" pivotButton="0" quotePrefix="0" xfId="0">
      <alignment horizontal="right" vertical="center" indent="1"/>
    </xf>
    <xf numFmtId="0" fontId="2" fillId="3" borderId="57" applyAlignment="1" pivotButton="0" quotePrefix="0" xfId="0">
      <alignment horizontal="left" vertical="center" indent="1"/>
    </xf>
    <xf numFmtId="0" fontId="8" fillId="10" borderId="40" applyAlignment="1" pivotButton="0" quotePrefix="0" xfId="0">
      <alignment horizontal="center" vertical="center"/>
    </xf>
    <xf numFmtId="0" fontId="8" fillId="10" borderId="51" applyAlignment="1" pivotButton="0" quotePrefix="0" xfId="0">
      <alignment horizontal="center" vertical="center"/>
    </xf>
    <xf numFmtId="0" fontId="6" fillId="5" borderId="40" applyAlignment="1" pivotButton="0" quotePrefix="0" xfId="0">
      <alignment horizontal="center" vertical="center"/>
    </xf>
    <xf numFmtId="0" fontId="6" fillId="3" borderId="51" applyAlignment="1" pivotButton="0" quotePrefix="0" xfId="0">
      <alignment horizontal="center" vertical="center"/>
    </xf>
    <xf numFmtId="0" fontId="4" fillId="11" borderId="52" applyAlignment="1" applyProtection="1" pivotButton="0" quotePrefix="0" xfId="0">
      <alignment horizontal="center" vertical="center"/>
      <protection locked="0" hidden="0"/>
    </xf>
    <xf numFmtId="167" fontId="4" fillId="12" borderId="52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0" fillId="0" borderId="58" pivotButton="0" quotePrefix="0" xfId="0"/>
    <xf numFmtId="0" fontId="0" fillId="0" borderId="60" pivotButton="0" quotePrefix="0" xfId="0"/>
    <xf numFmtId="0" fontId="0" fillId="0" borderId="59" pivotButton="0" quotePrefix="0" xfId="0"/>
    <xf numFmtId="0" fontId="0" fillId="0" borderId="61" pivotButton="0" quotePrefix="0" xfId="0"/>
    <xf numFmtId="0" fontId="8" fillId="19" borderId="43" applyAlignment="1" pivotButton="0" quotePrefix="0" xfId="0">
      <alignment horizontal="center" vertical="center"/>
    </xf>
    <xf numFmtId="0" fontId="8" fillId="19" borderId="45" applyAlignment="1" pivotButton="0" quotePrefix="0" xfId="0">
      <alignment horizontal="center" vertical="center"/>
    </xf>
    <xf numFmtId="0" fontId="4" fillId="4" borderId="62" applyAlignment="1" pivotButton="0" quotePrefix="0" xfId="0">
      <alignment horizontal="center" vertical="center"/>
    </xf>
    <xf numFmtId="0" fontId="4" fillId="7" borderId="62" applyAlignment="1" pivotButton="0" quotePrefix="0" xfId="0">
      <alignment horizontal="center" vertical="center"/>
    </xf>
    <xf numFmtId="0" fontId="2" fillId="5" borderId="64" applyAlignment="1" pivotButton="0" quotePrefix="0" xfId="0">
      <alignment horizontal="left" vertical="center" indent="1"/>
    </xf>
    <xf numFmtId="0" fontId="2" fillId="5" borderId="63" applyAlignment="1" pivotButton="0" quotePrefix="0" xfId="0">
      <alignment horizontal="left" vertical="center" indent="1"/>
    </xf>
    <xf numFmtId="0" fontId="2" fillId="6" borderId="67" applyAlignment="1" pivotButton="0" quotePrefix="0" xfId="0">
      <alignment horizontal="left" vertical="center" indent="1"/>
    </xf>
    <xf numFmtId="0" fontId="2" fillId="3" borderId="65" applyAlignment="1" pivotButton="0" quotePrefix="0" xfId="0">
      <alignment horizontal="left" vertical="center" indent="1"/>
    </xf>
    <xf numFmtId="0" fontId="6" fillId="3" borderId="66" applyAlignment="1" pivotButton="0" quotePrefix="0" xfId="0">
      <alignment horizontal="center" vertical="center"/>
    </xf>
    <xf numFmtId="0" fontId="10" fillId="18" borderId="43" applyAlignment="1" pivotButton="0" quotePrefix="0" xfId="0">
      <alignment horizontal="center" vertical="center"/>
    </xf>
    <xf numFmtId="0" fontId="10" fillId="18" borderId="45" applyAlignment="1" pivotButton="0" quotePrefix="0" xfId="0">
      <alignment horizontal="center" vertical="center"/>
    </xf>
    <xf numFmtId="0" fontId="4" fillId="4" borderId="52" applyAlignment="1" pivotButton="0" quotePrefix="0" xfId="0">
      <alignment horizontal="left" vertical="center" shrinkToFit="1" indent="1"/>
    </xf>
    <xf numFmtId="0" fontId="4" fillId="4" borderId="1" applyAlignment="1" applyProtection="1" pivotButton="0" quotePrefix="0" xfId="0">
      <alignment horizontal="center" vertical="center"/>
      <protection locked="0" hidden="0"/>
    </xf>
    <xf numFmtId="166" fontId="4" fillId="4" borderId="1" applyAlignment="1" applyProtection="1" pivotButton="0" quotePrefix="0" xfId="0">
      <alignment horizontal="center" vertical="center"/>
      <protection locked="0" hidden="0"/>
    </xf>
    <xf numFmtId="0" fontId="4" fillId="4" borderId="20" applyAlignment="1" applyProtection="1" pivotButton="0" quotePrefix="0" xfId="0">
      <alignment horizontal="center" vertical="center"/>
      <protection locked="0" hidden="0"/>
    </xf>
    <xf numFmtId="165" fontId="4" fillId="4" borderId="21" applyAlignment="1" applyProtection="1" pivotButton="0" quotePrefix="0" xfId="0">
      <alignment horizontal="center" vertical="center"/>
      <protection locked="0" hidden="0"/>
    </xf>
    <xf numFmtId="165" fontId="4" fillId="4" borderId="1" applyAlignment="1" applyProtection="1" pivotButton="0" quotePrefix="0" xfId="0">
      <alignment horizontal="center" vertical="center"/>
      <protection locked="0" hidden="0"/>
    </xf>
    <xf numFmtId="0" fontId="4" fillId="7" borderId="1" applyAlignment="1" applyProtection="1" pivotButton="0" quotePrefix="0" xfId="0">
      <alignment horizontal="center" vertical="center"/>
      <protection locked="0" hidden="0"/>
    </xf>
    <xf numFmtId="166" fontId="4" fillId="7" borderId="1" applyAlignment="1" applyProtection="1" pivotButton="0" quotePrefix="0" xfId="0">
      <alignment horizontal="center" vertical="center"/>
      <protection locked="0" hidden="0"/>
    </xf>
    <xf numFmtId="0" fontId="4" fillId="7" borderId="20" applyAlignment="1" applyProtection="1" pivotButton="0" quotePrefix="0" xfId="0">
      <alignment horizontal="center" vertical="center"/>
      <protection locked="0" hidden="0"/>
    </xf>
    <xf numFmtId="165" fontId="4" fillId="7" borderId="21" applyAlignment="1" applyProtection="1" pivotButton="0" quotePrefix="0" xfId="0">
      <alignment horizontal="center" vertical="center"/>
      <protection locked="0" hidden="0"/>
    </xf>
    <xf numFmtId="165" fontId="4" fillId="7" borderId="1" applyAlignment="1" applyProtection="1" pivotButton="0" quotePrefix="0" xfId="0">
      <alignment horizontal="center" vertical="center"/>
      <protection locked="0" hidden="0"/>
    </xf>
    <xf numFmtId="0" fontId="4" fillId="4" borderId="21" applyAlignment="1" applyProtection="1" pivotButton="0" quotePrefix="0" xfId="0">
      <alignment horizontal="center" vertical="center"/>
      <protection locked="0" hidden="0"/>
    </xf>
    <xf numFmtId="165" fontId="4" fillId="4" borderId="20" applyAlignment="1" applyProtection="1" pivotButton="0" quotePrefix="0" xfId="0">
      <alignment horizontal="center" vertical="center"/>
      <protection locked="0" hidden="0"/>
    </xf>
    <xf numFmtId="0" fontId="4" fillId="4" borderId="62" applyAlignment="1" applyProtection="1" pivotButton="0" quotePrefix="0" xfId="0">
      <alignment horizontal="center" vertical="center"/>
      <protection locked="0" hidden="0"/>
    </xf>
    <xf numFmtId="0" fontId="4" fillId="7" borderId="21" applyAlignment="1" applyProtection="1" pivotButton="0" quotePrefix="0" xfId="0">
      <alignment horizontal="center" vertical="center"/>
      <protection locked="0" hidden="0"/>
    </xf>
    <xf numFmtId="165" fontId="4" fillId="7" borderId="20" applyAlignment="1" applyProtection="1" pivotButton="0" quotePrefix="0" xfId="0">
      <alignment horizontal="center" vertical="center"/>
      <protection locked="0" hidden="0"/>
    </xf>
    <xf numFmtId="0" fontId="4" fillId="7" borderId="62" applyAlignment="1" applyProtection="1" pivotButton="0" quotePrefix="0" xfId="0">
      <alignment horizontal="center" vertical="center"/>
      <protection locked="0" hidden="0"/>
    </xf>
    <xf numFmtId="0" fontId="11" fillId="20" borderId="40" applyAlignment="1" pivotButton="0" quotePrefix="0" xfId="0">
      <alignment horizontal="center" vertical="center"/>
    </xf>
    <xf numFmtId="0" fontId="0" fillId="20" borderId="0" pivotButton="0" quotePrefix="0" xfId="0"/>
    <xf numFmtId="0" fontId="12" fillId="0" borderId="0" applyAlignment="1" pivotButton="0" quotePrefix="0" xfId="0">
      <alignment horizontal="left" vertical="center" wrapText="1"/>
    </xf>
    <xf numFmtId="0" fontId="4" fillId="4" borderId="52" applyAlignment="1" applyProtection="1" pivotButton="0" quotePrefix="0" xfId="0">
      <alignment horizontal="center" vertical="center"/>
      <protection locked="0" hidden="0"/>
    </xf>
    <xf numFmtId="0" fontId="6" fillId="16" borderId="68" applyAlignment="1" pivotButton="0" quotePrefix="0" xfId="0">
      <alignment horizontal="center" vertical="center"/>
    </xf>
    <xf numFmtId="0" fontId="6" fillId="21" borderId="66" applyAlignment="1" pivotButton="0" quotePrefix="0" xfId="0">
      <alignment horizontal="center" vertical="center"/>
    </xf>
    <xf numFmtId="0" fontId="0" fillId="16" borderId="0" pivotButton="0" quotePrefix="0" xfId="0"/>
    <xf numFmtId="0" fontId="0" fillId="21" borderId="61" pivotButton="0" quotePrefix="0" xfId="0"/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6">
    <dxf>
      <fill>
        <patternFill patternType="solid">
          <fgColor rgb="00FDE9D9"/>
          <bgColor rgb="00FDE9D9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FFFDF3"/>
          <bgColor rgb="FFFFFDF3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808080"/>
      </font>
      <fill>
        <patternFill patternType="solid">
          <fgColor rgb="FFD9D9D9"/>
          <bgColor rgb="FFD9D9D9"/>
        </patternFill>
      </fill>
    </dxf>
    <dxf>
      <font>
        <b val="1"/>
        <color rgb="FF722F37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tabColor rgb="00255B78"/>
    <outlinePr summaryBelow="1" summaryRight="1"/>
    <pageSetUpPr fitToPage="1"/>
  </sheetPr>
  <dimension ref="B1:G23"/>
  <sheetViews>
    <sheetView showGridLines="0" zoomScale="100" zoomScaleNormal="100" workbookViewId="0">
      <selection activeCell="B5" sqref="B5"/>
    </sheetView>
  </sheetViews>
  <sheetFormatPr baseColWidth="8" defaultRowHeight="15"/>
  <cols>
    <col width="2.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1" customHeight="1">
      <c r="B1" s="274" t="inlineStr">
        <is>
          <t>CRYPTO JOURNAL • ВВОД</t>
        </is>
      </c>
    </row>
    <row r="2" ht="21" customHeight="1"/>
    <row r="3" ht="22" customHeight="1">
      <c r="B3" s="275" t="inlineStr">
        <is>
          <t>ОСНОВНЫЕ ДАННЫЕ</t>
        </is>
      </c>
    </row>
    <row r="4" ht="22" customHeight="1">
      <c r="B4" s="276" t="inlineStr">
        <is>
          <t>Дата</t>
        </is>
      </c>
      <c r="C4" s="277" t="inlineStr">
        <is>
          <t>Актив 1</t>
        </is>
      </c>
      <c r="D4" s="277" t="inlineStr">
        <is>
          <t>Актив 2</t>
        </is>
      </c>
      <c r="E4" s="277" t="inlineStr">
        <is>
          <t>Пара (авто)</t>
        </is>
      </c>
      <c r="F4" s="277" t="inlineStr">
        <is>
          <t>Протокол</t>
        </is>
      </c>
      <c r="G4" s="277" t="inlineStr">
        <is>
          <t>Статус</t>
        </is>
      </c>
    </row>
    <row r="5" ht="22" customHeight="1">
      <c r="B5" s="278" t="n">
        <v>46299</v>
      </c>
      <c r="C5" s="279" t="inlineStr">
        <is>
          <t>ETH</t>
        </is>
      </c>
      <c r="D5" s="279" t="inlineStr">
        <is>
          <t>BTC</t>
        </is>
      </c>
      <c r="E5" s="280">
        <f>IF(AND(TRIM(C5)&lt;&gt;"",TRIM(D5)&lt;&gt;""),UPPER(TRIM(C5))&amp;"/"&amp;UPPER(TRIM(D5)),"")</f>
        <v/>
      </c>
      <c r="F5" s="279" t="inlineStr">
        <is>
          <t>Binance</t>
        </is>
      </c>
      <c r="G5" s="312">
        <f>IF((COUNTA($C$9,$C$10,$C$12,$C$13)&gt;0)+(COUNTA($E$9,$E$10,$E$12,$E$13)&gt;0)+(COUNTA($G$9:$G$13)&gt;0)&gt;1,"Два раздела",IF(COUNTA($C$9,$C$10,$C$12,$C$13)&gt;0,IF(C8="","Нет действия",IF(NOT(ISNUMBER(C9)),"Нет Кол-ва",IF(C12="",IF(C13&lt;&gt;"","Нет ID",IF(NOT(ISNUMBER(C10)),"Нет курса","Новая позиция")),IF(ISNA(MATCH(C12,Торговля!$B$5:$B$300,0)),"Нет ID",IF(NOT(ISNUMBER(C10)),"Нет курса",IF(ISNUMBER(INDEX(Торговля!$F$5:$F$300,MATCH(C12,Торговля!$B$5:$B$300,0)))=(C8="Buy"),"Увеличение",IF(C13="Полностью","Закрытие полностью","Закрытие частично"))))))),IF(COUNTA($E$9,$E$10,$E$12,$E$13)&gt;0,IF(E8="","Нет действия",IF(NOT(ISNUMBER(E9)),"Нет Кол-ва",IF(E12="",IF(E13&lt;&gt;"","Нет ID",IF(NOT(ISNUMBER(E10)),"Нет суммы","Новая позиция")),IF(ISNA(MATCH(E12,Лэндинг!$B$5:$B$300,0)),"Нет ID",IF(NOT(ISNUMBER(E10)),"Нет суммы",IF(ISNUMBER(INDEX(Лэндинг!$F$5:$F$300,MATCH(E12,Лэндинг!$B$5:$B$300,0)))=(E8="Buy"),"Увеличение",IF(E13="Полностью","Закрытие полностью","Закрытие частично"))))))),IF(COUNTA($G$9:$G$13)&gt;0,IF(G8="","Нет действия",IF(OR(NOT(ISNUMBER(G10)),NOT(ISNUMBER(G11))),"Нет Кол-ва",IF(COUNT(G12,G13)=1,"Нужны Min и Max",IF(AND(G8="Добавить",G9=""),"Новый пул",IF(G9="","Нет ID пула",IF(ISNA(MATCH(G9,Пул!$B$5:$B$300,0)),"Нет ID пула",IF(INDEX(Пул!$L$5:$L$300,MATCH(G9,Пул!$B$5:$B$300,0))="Закрыт","Пул закрыт",IF(G8="Добавить","Добавить в пул",IF(G8="Частично","Частично","Закрытие пула"))))))))),"Готово"))))</f>
        <v/>
      </c>
    </row>
    <row r="6" ht="14" customHeight="1"/>
    <row r="7" ht="22" customHeight="1">
      <c r="B7" s="305" t="inlineStr">
        <is>
          <t>ТОРГОВЛЯ</t>
        </is>
      </c>
      <c r="C7" s="297" t="n"/>
      <c r="D7" s="306" t="inlineStr">
        <is>
          <t>ЛЭНДИНГ</t>
        </is>
      </c>
      <c r="E7" s="297" t="n"/>
      <c r="F7" s="307" t="inlineStr">
        <is>
          <t>ПУЛ</t>
        </is>
      </c>
      <c r="G7" s="298" t="n"/>
    </row>
    <row r="8" ht="22" customHeight="1">
      <c r="B8" s="276" t="inlineStr">
        <is>
          <t>Действие</t>
        </is>
      </c>
      <c r="C8" s="279" t="inlineStr">
        <is>
          <t>Buy</t>
        </is>
      </c>
      <c r="D8" s="277" t="inlineStr">
        <is>
          <t>Действие</t>
        </is>
      </c>
      <c r="E8" s="279" t="inlineStr">
        <is>
          <t>Buy</t>
        </is>
      </c>
      <c r="F8" s="277" t="inlineStr">
        <is>
          <t>Действие</t>
        </is>
      </c>
      <c r="G8" s="279" t="inlineStr">
        <is>
          <t>Добавить</t>
        </is>
      </c>
    </row>
    <row r="9" ht="22" customHeight="1">
      <c r="B9" s="276" t="inlineStr">
        <is>
          <t>Кол-во</t>
        </is>
      </c>
      <c r="C9" s="286" t="n">
        <v>0.5</v>
      </c>
      <c r="D9" s="277" t="inlineStr">
        <is>
          <t>Кол-во</t>
        </is>
      </c>
      <c r="E9" s="286" t="n"/>
      <c r="F9" s="277" t="inlineStr">
        <is>
          <t>ID пула</t>
        </is>
      </c>
      <c r="G9" s="287" t="n"/>
    </row>
    <row r="10" ht="22" customHeight="1">
      <c r="B10" s="276" t="inlineStr">
        <is>
          <t>Курс</t>
        </is>
      </c>
      <c r="C10" s="286" t="n">
        <v>62000</v>
      </c>
      <c r="D10" s="277" t="inlineStr">
        <is>
          <t>Сумма</t>
        </is>
      </c>
      <c r="E10" s="286" t="n"/>
      <c r="F10" s="277" t="inlineStr">
        <is>
          <t>Кол-во 1</t>
        </is>
      </c>
      <c r="G10" s="286" t="n"/>
    </row>
    <row r="11" ht="22" customHeight="1">
      <c r="B11" s="276" t="inlineStr">
        <is>
          <t>Сумма (авто)</t>
        </is>
      </c>
      <c r="C11" s="288">
        <f>IF(AND(ISNUMBER(C9),ISNUMBER(C10),OR(C8="Buy",C8="Sell")),C9*C10*(1+IF(C8="Buy",1,-1)*N($E$17)/100),"")</f>
        <v/>
      </c>
      <c r="D11" s="277" t="inlineStr">
        <is>
          <t>Курс (авто)</t>
        </is>
      </c>
      <c r="E11" s="288">
        <f>IF(AND(ISNUMBER(E9),ISNUMBER(E10),E9&lt;&gt;0),IF(E8="Buy",E10/(E9*(1+N($E$17)/100)),IF(AND(E8="Sell",1-N($E$17)/100&lt;&gt;0),E10/(E9*(1-N($E$17)/100)),"")),"")</f>
        <v/>
      </c>
      <c r="F11" s="277" t="inlineStr">
        <is>
          <t>Кол-во 2</t>
        </is>
      </c>
      <c r="G11" s="286" t="n"/>
    </row>
    <row r="12" ht="22" customHeight="1">
      <c r="B12" s="276" t="inlineStr">
        <is>
          <t>ID позиции</t>
        </is>
      </c>
      <c r="C12" s="287" t="inlineStr">
        <is>
          <t>T-0001</t>
        </is>
      </c>
      <c r="D12" s="277" t="inlineStr">
        <is>
          <t>ID позиции</t>
        </is>
      </c>
      <c r="E12" s="287" t="n"/>
      <c r="F12" s="277" t="inlineStr">
        <is>
          <t>Min</t>
        </is>
      </c>
      <c r="G12" s="286" t="n"/>
    </row>
    <row r="13" ht="22" customHeight="1">
      <c r="B13" s="276" t="inlineStr">
        <is>
          <t>Закрыть</t>
        </is>
      </c>
      <c r="C13" s="332" t="n"/>
      <c r="D13" s="277" t="inlineStr">
        <is>
          <t>Закрыть</t>
        </is>
      </c>
      <c r="E13" s="332" t="n"/>
      <c r="F13" s="277" t="inlineStr">
        <is>
          <t>Max</t>
        </is>
      </c>
      <c r="G13" s="286" t="n"/>
    </row>
    <row r="14" ht="14" customHeight="1"/>
    <row r="15" ht="22" customHeight="1">
      <c r="B15" s="308" t="inlineStr">
        <is>
          <t>ОБРАТНЫЙ РАСЧЁТ</t>
        </is>
      </c>
      <c r="C15" s="299" t="n"/>
      <c r="D15" s="299" t="n"/>
      <c r="E15" s="299" t="n"/>
      <c r="F15" s="299" t="n"/>
      <c r="G15" s="299" t="n"/>
    </row>
    <row r="16" ht="26" customHeight="1">
      <c r="B16" s="290" t="inlineStr">
        <is>
          <t>Сумма</t>
        </is>
      </c>
      <c r="C16" s="291" t="inlineStr">
        <is>
          <t>Курс</t>
        </is>
      </c>
      <c r="D16" s="291" t="inlineStr">
        <is>
          <t>Кол-во (авто)</t>
        </is>
      </c>
      <c r="E16" s="291" t="inlineStr">
        <is>
          <t>Комиссия</t>
        </is>
      </c>
      <c r="F16" s="333" t="inlineStr">
        <is>
          <t>ЗАПИСАТЬ</t>
        </is>
      </c>
      <c r="G16" s="334" t="inlineStr">
        <is>
          <t>ОЧИСТИТЬ</t>
        </is>
      </c>
    </row>
    <row r="17" ht="26" customHeight="1">
      <c r="B17" s="294" t="n">
        <v>31000</v>
      </c>
      <c r="C17" s="294" t="n">
        <v>62000</v>
      </c>
      <c r="D17" s="295">
        <f>IF(AND(ISNUMBER(B17),ISNUMBER(C17),C17&lt;&gt;0,1-N(E17)/100&lt;&gt;0),B17/(C17*(1-N(E17)/100)),"")</f>
        <v/>
      </c>
      <c r="E17" s="294" t="n">
        <v>0.2</v>
      </c>
      <c r="G17" s="300" t="n"/>
    </row>
    <row r="18" ht="14" customHeight="1"/>
    <row r="19" ht="34" customHeight="1">
      <c r="B19" s="338" t="inlineStr">
        <is>
          <t>Торговля / Лэндинг: ID пусто — новая позиция; ID и то же Действие (Buy к Buy) — увеличение; ID и противоположное — закрытие.</t>
        </is>
      </c>
    </row>
    <row r="20" ht="34" customHeight="1">
      <c r="B20" s="338" t="inlineStr">
        <is>
          <t>Закрыть (только при ID): «Частично» списывает проданное Кол-во (пусто = Частично), «Полностью» закрывает весь остаток; разница с проданным остаётся прибылью в монетах.</t>
        </is>
      </c>
    </row>
    <row r="21" ht="34" customHeight="1">
      <c r="B21" s="338" t="inlineStr">
        <is>
          <t>Торговля: курс биржевой, без комиссии (Комиссия E17 уже учитывается в курсе журнала). Лэндинг: вводятся Кол-во и Сумма.</t>
        </is>
      </c>
    </row>
    <row r="22" ht="34" customHeight="1">
      <c r="B22" s="338" t="inlineStr">
        <is>
          <t>Пул: Min и Max — только для Web3 (могут быть дробными, меньше 1), оба поля или ни одного. Действия: Добавить, Частично (вывод части), Закрыть.</t>
        </is>
      </c>
    </row>
    <row r="23" ht="34" customHeight="1">
      <c r="B23" s="338" t="inlineStr">
        <is>
          <t>ЗАПИСАТЬ переносит данные в журнал и очищает поля (Дата и Комиссия остаются). ОЧИСТИТЬ только очищает поля. Заполняется только один раздел.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3">
    <mergeCell ref="B3:G3"/>
    <mergeCell ref="B19:G19"/>
    <mergeCell ref="B20:G20"/>
    <mergeCell ref="B1:G2"/>
    <mergeCell ref="D7:E7"/>
    <mergeCell ref="B7:C7"/>
    <mergeCell ref="B22:G22"/>
    <mergeCell ref="B23:G23"/>
    <mergeCell ref="B21:G21"/>
    <mergeCell ref="F16:F17"/>
    <mergeCell ref="B15:G15"/>
    <mergeCell ref="G16:G17"/>
    <mergeCell ref="F7:G7"/>
  </mergeCells>
  <conditionalFormatting sqref="B7:C13">
    <cfRule type="expression" priority="1" dxfId="4">
      <formula>COUNTA($E$9,$E$10,$E$12,$E$13,$G$9,$G$10,$G$11,$G$12,$G$13)&gt;0</formula>
    </cfRule>
  </conditionalFormatting>
  <conditionalFormatting sqref="D7:E13">
    <cfRule type="expression" priority="2" dxfId="4">
      <formula>COUNTA($C$9,$C$10,$C$12,$C$13,$G$9,$G$10,$G$11,$G$12,$G$13)&gt;0</formula>
    </cfRule>
  </conditionalFormatting>
  <conditionalFormatting sqref="F7:G13">
    <cfRule type="expression" priority="3" dxfId="4">
      <formula>COUNTA($C$9,$C$10,$C$12,$C$13,$E$9,$E$10,$E$12,$E$13)&gt;0</formula>
    </cfRule>
  </conditionalFormatting>
  <conditionalFormatting sqref="G5">
    <cfRule type="expression" priority="4" dxfId="5">
      <formula>OR(LEFT(G5,3)="Нет",LEFT(G5,6)="Нужны",G5="Два раздела",G5="Пул закрыт")</formula>
    </cfRule>
  </conditionalFormatting>
  <dataValidations count="21">
    <dataValidation sqref="B5" showDropDown="0" showInputMessage="0" showErrorMessage="1" allowBlank="1" errorTitle="Дата" error="Введите корректную дату (ГГГГ.ММ.ДД)." type="date" operator="greaterThan">
      <formula1>36526</formula1>
    </dataValidation>
    <dataValidation sqref="F5" showDropDown="0" showInputMessage="0" showErrorMessage="1" allowBlank="1" errorTitle="Протокол" error="Выберите значение из списка." type="list">
      <formula1>=Список_Протокол</formula1>
    </dataValidation>
    <dataValidation sqref="C8" showDropDown="0" showInputMessage="0" showErrorMessage="1" allowBlank="1" errorTitle="Действие" error="Выберите значение из списка." type="list">
      <formula1>=Список_Действие_Торговля</formula1>
    </dataValidation>
    <dataValidation sqref="E8" showDropDown="0" showInputMessage="0" showErrorMessage="1" allowBlank="1" errorTitle="Действие" error="Выберите значение из списка." type="list">
      <formula1>=Список_Действие_Торговля</formula1>
    </dataValidation>
    <dataValidation sqref="C5" showDropDown="0" showInputMessage="0" showErrorMessage="1" allowBlank="1" errorTitle="Актив" error="Актив 1 и Актив 2 не могут совпадать, символ «/» в тикере не допускается." type="custom">
      <formula1>=AND(ISERROR(FIND("/",C5)),UPPER(TRIM(C5))&lt;&gt;UPPER(TRIM(D5)))</formula1>
    </dataValidation>
    <dataValidation sqref="D5" showDropDown="0" showInputMessage="0" showErrorMessage="1" allowBlank="1" errorTitle="Актив" error="Актив 1 и Актив 2 не могут совпадать, символ «/» в тикере не допускается." type="custom">
      <formula1>=AND(ISERROR(FIND("/",D5)),UPPER(TRIM(D5))&lt;&gt;UPPER(TRIM(C5)))</formula1>
    </dataValidation>
    <dataValidation sqref="E17" showDropDown="0" showInputMessage="0" showErrorMessage="1" allowBlank="1" errorTitle="Комиссия" error="Введите число от 0 до 100 (например, 0.2 — это 0,2%)." type="decimal" operator="between">
      <formula1>0</formula1>
      <formula2>100</formula2>
    </dataValidation>
    <dataValidation sqref="C9" showDropDown="0" showInputMessage="0" showErrorMessage="1" allowBlank="1" errorTitle="Один раздел" error="Введите число больше нуля. Заполнять можно только один раздел: другой раздел уже заполнен, сначала очистите его." type="custom">
      <formula1>AND(AND(ISNUMBER(C9),C9&gt;0),COUNTA($E$9,$E$10,$E$12,$E$13,$G$9,$G$10,$G$11,$G$12,$G$13)=0)</formula1>
    </dataValidation>
    <dataValidation sqref="C10" showDropDown="0" showInputMessage="0" showErrorMessage="1" allowBlank="1" errorTitle="Один раздел" error="Введите число больше нуля. Заполнять можно только один раздел: другой раздел уже заполнен, сначала очистите его." type="custom">
      <formula1>AND(AND(ISNUMBER(C10),C10&gt;0),COUNTA($E$9,$E$10,$E$12,$E$13,$G$9,$G$10,$G$11,$G$12,$G$13)=0)</formula1>
    </dataValidation>
    <dataValidation sqref="C12" showDropDown="0" showInputMessage="0" showErrorMessage="1" allowBlank="1" errorTitle="Один раздел" error="Введите ID в формате T-0001. Заполнять можно только один раздел: другой раздел уже заполнен, сначала очистите его." type="custom">
      <formula1>AND(IFERROR(AND(EXACT(LEFT(C12,2),"T-"),ISNUMBER(--MID(C12,3,20)),MID(C12,3,20)=TEXT(--MID(C12,3,20),"0000")),FALSE),COUNTA($E$9,$E$10,$E$12,$E$13,$G$9,$G$10,$G$11,$G$12,$G$13)=0)</formula1>
    </dataValidation>
    <dataValidation sqref="E9" showDropDown="0" showInputMessage="0" showErrorMessage="1" allowBlank="1" errorTitle="Один раздел" error="Введите число больше нуля. Заполнять можно только один раздел: другой раздел уже заполнен, сначала очистите его." type="custom">
      <formula1>AND(AND(ISNUMBER(E9),E9&gt;0),COUNTA($C$9,$C$10,$C$12,$C$13,$G$9,$G$10,$G$11,$G$12,$G$13)=0)</formula1>
    </dataValidation>
    <dataValidation sqref="E10" showDropDown="0" showInputMessage="0" showErrorMessage="1" allowBlank="1" errorTitle="Один раздел" error="Введите число больше нуля. Заполнять можно только один раздел: другой раздел уже заполнен, сначала очистите его." type="custom">
      <formula1>AND(AND(ISNUMBER(E10),E10&gt;0),COUNTA($C$9,$C$10,$C$12,$C$13,$G$9,$G$10,$G$11,$G$12,$G$13)=0)</formula1>
    </dataValidation>
    <dataValidation sqref="E12" showDropDown="0" showInputMessage="0" showErrorMessage="1" allowBlank="1" errorTitle="Один раздел" error="Введите ID в формате L-0001. Заполнять можно только один раздел: другой раздел уже заполнен, сначала очистите его." type="custom">
      <formula1>AND(IFERROR(AND(EXACT(LEFT(E12,2),"L-"),ISNUMBER(--MID(E12,3,20)),MID(E12,3,20)=TEXT(--MID(E12,3,20),"0000")),FALSE),COUNTA($C$9,$C$10,$C$12,$C$13,$G$9,$G$10,$G$11,$G$12,$G$13)=0)</formula1>
    </dataValidation>
    <dataValidation sqref="G10" showDropDown="0" showInputMessage="0" showErrorMessage="1" allowBlank="1" errorTitle="Один раздел" error="Введите число больше нуля. Заполнять можно только один раздел: другой раздел уже заполнен, сначала очистите его." type="custom">
      <formula1>AND(AND(ISNUMBER(G10),G10&gt;0),COUNTA($C$9,$C$10,$C$12,$C$13,$E$9,$E$10,$E$12,$E$13)=0)</formula1>
    </dataValidation>
    <dataValidation sqref="G11" showDropDown="0" showInputMessage="0" showErrorMessage="1" allowBlank="1" errorTitle="Один раздел" error="Введите число больше нуля. Заполнять можно только один раздел: другой раздел уже заполнен, сначала очистите его." type="custom">
      <formula1>AND(AND(ISNUMBER(G11),G11&gt;0),COUNTA($C$9,$C$10,$C$12,$C$13,$E$9,$E$10,$E$12,$E$13)=0)</formula1>
    </dataValidation>
    <dataValidation sqref="G9" showDropDown="0" showInputMessage="0" showErrorMessage="1" allowBlank="1" errorTitle="Один раздел" error="Введите ID пула в формате P-0001. Заполнять можно только один раздел: другой раздел уже заполнен, сначала очистите его." type="custom">
      <formula1>AND(IFERROR(AND(EXACT(LEFT(G9,2),"P-"),ISNUMBER(--MID(G9,3,20)),MID(G9,3,20)=TEXT(--MID(G9,3,20),"0000")),FALSE),COUNTA($C$9,$C$10,$C$12,$C$13,$E$9,$E$10,$E$12,$E$13)=0)</formula1>
    </dataValidation>
    <dataValidation sqref="G12" showDropDown="0" showInputMessage="0" showErrorMessage="1" allowBlank="1" errorTitle="Один раздел" error="Введите число больше нуля, меньше Max. Заполнять можно только один раздел: другой раздел уже заполнен, сначала очистите его." type="custom">
      <formula1>AND(AND(ISNUMBER(G12),G12&gt;0,OR($G$13="",G12&lt;$G$13)),COUNTA($C$9,$C$10,$C$12,$C$13,$E$9,$E$10,$E$12,$E$13)=0)</formula1>
    </dataValidation>
    <dataValidation sqref="G13" showDropDown="0" showInputMessage="0" showErrorMessage="1" allowBlank="1" errorTitle="Один раздел" error="Введите число больше нуля, больше Min. Заполнять можно только один раздел: другой раздел уже заполнен, сначала очистите его." type="custom">
      <formula1>AND(AND(ISNUMBER(G13),G13&gt;0,OR($G$12="",G13&gt;$G$12)),COUNTA($C$9,$C$10,$C$12,$C$13,$E$9,$E$10,$E$12,$E$13)=0)</formula1>
    </dataValidation>
    <dataValidation sqref="G8" showDropDown="0" showInputMessage="0" showErrorMessage="1" allowBlank="1" errorTitle="Действие" error="Выберите значение из списка: Добавить, Частично или Закрыть." type="list">
      <formula1>"Добавить,Частично,Закрыть"</formula1>
    </dataValidation>
    <dataValidation sqref="C13" showDropDown="0" showInputMessage="0" showErrorMessage="1" allowBlank="1" errorTitle="Закрыть" error="Выберите Частично или Полностью." type="list">
      <formula1>"Частично,Полностью"</formula1>
    </dataValidation>
    <dataValidation sqref="E13" showDropDown="0" showInputMessage="0" showErrorMessage="1" allowBlank="1" errorTitle="Закрыть" error="Выберите Частично или Полностью." type="list">
      <formula1>"Частично,Полностью"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 codeName="Sheet2">
    <tabColor rgb="005E9E72"/>
    <outlinePr summaryBelow="1" summaryRight="1"/>
    <pageSetUpPr fitToPage="1"/>
  </sheetPr>
  <dimension ref="B1:N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7" customWidth="1" min="14" max="14"/>
  </cols>
  <sheetData>
    <row r="1" ht="21" customHeight="1">
      <c r="B1" s="1" t="inlineStr">
        <is>
          <t>CRYPTO JOURNAL • ТОРГОВЛЯ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3" t="inlineStr">
        <is>
          <t>Покупка</t>
        </is>
      </c>
      <c r="G4" s="185" t="inlineStr">
        <is>
          <t>Курс</t>
        </is>
      </c>
      <c r="H4" s="165" t="inlineStr">
        <is>
          <t>Сумма</t>
        </is>
      </c>
      <c r="I4" s="166" t="inlineStr">
        <is>
          <t>Продажа</t>
        </is>
      </c>
      <c r="J4" s="167" t="inlineStr">
        <is>
          <t>Курс</t>
        </is>
      </c>
      <c r="K4" s="168" t="inlineStr">
        <is>
          <t>Сумма</t>
        </is>
      </c>
      <c r="L4" s="169" t="inlineStr">
        <is>
          <t>Дельта 1</t>
        </is>
      </c>
      <c r="M4" s="272" t="inlineStr">
        <is>
          <t>Дельта 2</t>
        </is>
      </c>
      <c r="N4" s="273" t="inlineStr">
        <is>
          <t>Break even</t>
        </is>
      </c>
    </row>
    <row r="5" ht="22" customHeight="1">
      <c r="B5" s="313" t="inlineStr">
        <is>
          <t>T-0005</t>
        </is>
      </c>
      <c r="C5" s="314" t="n">
        <v>46299</v>
      </c>
      <c r="D5" s="313" t="inlineStr">
        <is>
          <t>Bybit</t>
        </is>
      </c>
      <c r="E5" s="315" t="inlineStr">
        <is>
          <t>BNB/USDT</t>
        </is>
      </c>
      <c r="F5" s="316" t="n"/>
      <c r="G5" s="317" t="n"/>
      <c r="H5" s="271">
        <f>IF(AND(ISNUMBER(F5),ISNUMBER(G5)),F5*G5,"")</f>
        <v/>
      </c>
      <c r="I5" s="316" t="n">
        <v>3</v>
      </c>
      <c r="J5" s="317" t="n">
        <v>598.8</v>
      </c>
      <c r="K5" s="271">
        <f>IF(AND(ISNUMBER(I5),ISNUMBER(J5)),I5*J5,"")</f>
        <v/>
      </c>
      <c r="L5" s="240">
        <f>IF(COUNT(F5,I5)=0,"",N(F5)-N(I5))</f>
        <v/>
      </c>
      <c r="M5" s="241">
        <f>IF(COUNT(H5,K5)=0,"",N(K5)-N(H5))</f>
        <v/>
      </c>
      <c r="N5" s="240">
        <f>IF(AND(ISNUMBER(F5),ISNUMBER(G5),F5&gt;0,1-N(Ввод!$E$17)/100&gt;0),MAX(0,(F5*G5-SUMPRODUCT((Закрытые!$B$5:$B$300=$B5)*((Закрытые!$F$5:$F$300+Закрытые!$I$5:$I$300-ABS(Закрытые!$F$5:$F$300-Закрытые!$I$5:$I$300))/2)*(Закрытые!$J$5:$J$300-Закрытые!$G$5:$G$300)))/F5)/(1-N(Ввод!$E$17)/100),IF(AND(ISNUMBER(I5),ISNUMBER(J5),I5&gt;0),MAX(0,(I5*J5+SUMPRODUCT((Закрытые!$B$5:$B$300=$B5)*((Закрытые!$F$5:$F$300+Закрытые!$I$5:$I$300-ABS(Закрытые!$F$5:$F$300-Закрытые!$I$5:$I$300))/2)*(Закрытые!$J$5:$J$300-Закрытые!$G$5:$G$300)))/I5)/(1+N(Ввод!$E$17)/100),""))</f>
        <v/>
      </c>
    </row>
    <row r="6" ht="22" customHeight="1">
      <c r="B6" s="318" t="inlineStr">
        <is>
          <t>T-0001</t>
        </is>
      </c>
      <c r="C6" s="319" t="n">
        <v>46296</v>
      </c>
      <c r="D6" s="318" t="inlineStr">
        <is>
          <t>Binance</t>
        </is>
      </c>
      <c r="E6" s="320" t="inlineStr">
        <is>
          <t>BTC/USDT</t>
        </is>
      </c>
      <c r="F6" s="321" t="n">
        <v>0.1</v>
      </c>
      <c r="G6" s="322" t="n">
        <v>62124</v>
      </c>
      <c r="H6" s="271">
        <f>IF(AND(ISNUMBER(F6),ISNUMBER(G6)),F6*G6,"")</f>
        <v/>
      </c>
      <c r="I6" s="321" t="n"/>
      <c r="J6" s="322" t="n"/>
      <c r="K6" s="271">
        <f>IF(AND(ISNUMBER(I6),ISNUMBER(J6)),I6*J6,"")</f>
        <v/>
      </c>
      <c r="L6" s="246">
        <f>IF(COUNT(F6,I6)=0,"",N(F6)-N(I6))</f>
        <v/>
      </c>
      <c r="M6" s="247">
        <f>IF(COUNT(H6,K6)=0,"",N(K6)-N(H6))</f>
        <v/>
      </c>
      <c r="N6" s="246">
        <f>IF(AND(ISNUMBER(F6),ISNUMBER(G6),F6&gt;0,1-N(Ввод!$E$17)/100&gt;0),MAX(0,(F6*G6-SUMPRODUCT((Закрытые!$B$5:$B$300=$B6)*((Закрытые!$F$5:$F$300+Закрытые!$I$5:$I$300-ABS(Закрытые!$F$5:$F$300-Закрытые!$I$5:$I$300))/2)*(Закрытые!$J$5:$J$300-Закрытые!$G$5:$G$300)))/F6)/(1-N(Ввод!$E$17)/100),IF(AND(ISNUMBER(I6),ISNUMBER(J6),I6&gt;0),MAX(0,(I6*J6+SUMPRODUCT((Закрытые!$B$5:$B$300=$B6)*((Закрытые!$F$5:$F$300+Закрытые!$I$5:$I$300-ABS(Закрытые!$F$5:$F$300-Закрытые!$I$5:$I$300))/2)*(Закрытые!$J$5:$J$300-Закрытые!$G$5:$G$300)))/I6)/(1+N(Ввод!$E$17)/100),""))</f>
        <v/>
      </c>
    </row>
    <row r="7" ht="22" customHeight="1">
      <c r="B7" s="313" t="inlineStr">
        <is>
          <t>T-0004</t>
        </is>
      </c>
      <c r="C7" s="314" t="n">
        <v>46298</v>
      </c>
      <c r="D7" s="313" t="inlineStr">
        <is>
          <t>Binance</t>
        </is>
      </c>
      <c r="E7" s="315" t="inlineStr">
        <is>
          <t>ETH/BTC</t>
        </is>
      </c>
      <c r="F7" s="316" t="n"/>
      <c r="G7" s="317" t="n"/>
      <c r="H7" s="271">
        <f>IF(AND(ISNUMBER(F7),ISNUMBER(G7)),F7*G7,"")</f>
        <v/>
      </c>
      <c r="I7" s="316" t="n">
        <v>1.5</v>
      </c>
      <c r="J7" s="317" t="n">
        <v>0.052395</v>
      </c>
      <c r="K7" s="271">
        <f>IF(AND(ISNUMBER(I7),ISNUMBER(J7)),I7*J7,"")</f>
        <v/>
      </c>
      <c r="L7" s="240">
        <f>IF(COUNT(F7,I7)=0,"",N(F7)-N(I7))</f>
        <v/>
      </c>
      <c r="M7" s="241">
        <f>IF(COUNT(H7,K7)=0,"",N(K7)-N(H7))</f>
        <v/>
      </c>
      <c r="N7" s="240">
        <f>IF(AND(ISNUMBER(F7),ISNUMBER(G7),F7&gt;0,1-N(Ввод!$E$17)/100&gt;0),MAX(0,(F7*G7-SUMPRODUCT((Закрытые!$B$5:$B$300=$B7)*((Закрытые!$F$5:$F$300+Закрытые!$I$5:$I$300-ABS(Закрытые!$F$5:$F$300-Закрытые!$I$5:$I$300))/2)*(Закрытые!$J$5:$J$300-Закрытые!$G$5:$G$300)))/F7)/(1-N(Ввод!$E$17)/100),IF(AND(ISNUMBER(I7),ISNUMBER(J7),I7&gt;0),MAX(0,(I7*J7+SUMPRODUCT((Закрытые!$B$5:$B$300=$B7)*((Закрытые!$F$5:$F$300+Закрытые!$I$5:$I$300-ABS(Закрытые!$F$5:$F$300-Закрытые!$I$5:$I$300))/2)*(Закрытые!$J$5:$J$300-Закрытые!$G$5:$G$300)))/I7)/(1+N(Ввод!$E$17)/100),""))</f>
        <v/>
      </c>
    </row>
    <row r="8" ht="22" customHeight="1">
      <c r="B8" s="318" t="inlineStr">
        <is>
          <t>T-0002</t>
        </is>
      </c>
      <c r="C8" s="319" t="n">
        <v>46297</v>
      </c>
      <c r="D8" s="318" t="inlineStr">
        <is>
          <t>Bybit</t>
        </is>
      </c>
      <c r="E8" s="320" t="inlineStr">
        <is>
          <t>ETH/USDT</t>
        </is>
      </c>
      <c r="F8" s="321" t="n">
        <v>1</v>
      </c>
      <c r="G8" s="322" t="n">
        <v>3206.4</v>
      </c>
      <c r="H8" s="271">
        <f>IF(AND(ISNUMBER(F8),ISNUMBER(G8)),F8*G8,"")</f>
        <v/>
      </c>
      <c r="I8" s="321" t="n"/>
      <c r="J8" s="322" t="n"/>
      <c r="K8" s="271">
        <f>IF(AND(ISNUMBER(I8),ISNUMBER(J8)),I8*J8,"")</f>
        <v/>
      </c>
      <c r="L8" s="246">
        <f>IF(COUNT(F8,I8)=0,"",N(F8)-N(I8))</f>
        <v/>
      </c>
      <c r="M8" s="247">
        <f>IF(COUNT(H8,K8)=0,"",N(K8)-N(H8))</f>
        <v/>
      </c>
      <c r="N8" s="246">
        <f>IF(AND(ISNUMBER(F8),ISNUMBER(G8),F8&gt;0,1-N(Ввод!$E$17)/100&gt;0),MAX(0,(F8*G8-SUMPRODUCT((Закрытые!$B$5:$B$300=$B8)*((Закрытые!$F$5:$F$300+Закрытые!$I$5:$I$300-ABS(Закрытые!$F$5:$F$300-Закрытые!$I$5:$I$300))/2)*(Закрытые!$J$5:$J$300-Закрытые!$G$5:$G$300)))/F8)/(1-N(Ввод!$E$17)/100),IF(AND(ISNUMBER(I8),ISNUMBER(J8),I8&gt;0),MAX(0,(I8*J8+SUMPRODUCT((Закрытые!$B$5:$B$300=$B8)*((Закрытые!$F$5:$F$300+Закрытые!$I$5:$I$300-ABS(Закрытые!$F$5:$F$300-Закрытые!$I$5:$I$300))/2)*(Закрытые!$J$5:$J$300-Закрытые!$G$5:$G$300)))/I8)/(1+N(Ввод!$E$17)/100),""))</f>
        <v/>
      </c>
    </row>
    <row r="9" ht="22" customHeight="1">
      <c r="B9" s="313" t="inlineStr">
        <is>
          <t>T-0007</t>
        </is>
      </c>
      <c r="C9" s="314" t="n">
        <v>46300</v>
      </c>
      <c r="D9" s="313" t="inlineStr">
        <is>
          <t>Binance</t>
        </is>
      </c>
      <c r="E9" s="315" t="inlineStr">
        <is>
          <t>ETH/USDT</t>
        </is>
      </c>
      <c r="F9" s="316" t="n">
        <v>1.2</v>
      </c>
      <c r="G9" s="317" t="n">
        <v>3186.36</v>
      </c>
      <c r="H9" s="271">
        <f>IF(AND(ISNUMBER(F9),ISNUMBER(G9)),F9*G9,"")</f>
        <v/>
      </c>
      <c r="I9" s="316" t="n"/>
      <c r="J9" s="317" t="n"/>
      <c r="K9" s="271">
        <f>IF(AND(ISNUMBER(I9),ISNUMBER(J9)),I9*J9,"")</f>
        <v/>
      </c>
      <c r="L9" s="240">
        <f>IF(COUNT(F9,I9)=0,"",N(F9)-N(I9))</f>
        <v/>
      </c>
      <c r="M9" s="241">
        <f>IF(COUNT(H9,K9)=0,"",N(K9)-N(H9))</f>
        <v/>
      </c>
      <c r="N9" s="240">
        <f>IF(AND(ISNUMBER(F9),ISNUMBER(G9),F9&gt;0,1-N(Ввод!$E$17)/100&gt;0),MAX(0,(F9*G9-SUMPRODUCT((Закрытые!$B$5:$B$300=$B9)*((Закрытые!$F$5:$F$300+Закрытые!$I$5:$I$300-ABS(Закрытые!$F$5:$F$300-Закрытые!$I$5:$I$300))/2)*(Закрытые!$J$5:$J$300-Закрытые!$G$5:$G$300)))/F9)/(1-N(Ввод!$E$17)/100),IF(AND(ISNUMBER(I9),ISNUMBER(J9),I9&gt;0),MAX(0,(I9*J9+SUMPRODUCT((Закрытые!$B$5:$B$300=$B9)*((Закрытые!$F$5:$F$300+Закрытые!$I$5:$I$300-ABS(Закрытые!$F$5:$F$300-Закрытые!$I$5:$I$300))/2)*(Закрытые!$J$5:$J$300-Закрытые!$G$5:$G$300)))/I9)/(1+N(Ввод!$E$17)/100),""))</f>
        <v/>
      </c>
    </row>
    <row r="10" ht="22" customHeight="1">
      <c r="B10" s="318" t="inlineStr">
        <is>
          <t>T-0008</t>
        </is>
      </c>
      <c r="C10" s="319" t="n">
        <v>46300</v>
      </c>
      <c r="D10" s="318" t="inlineStr">
        <is>
          <t>Bybit</t>
        </is>
      </c>
      <c r="E10" s="320" t="inlineStr">
        <is>
          <t>ETH/USDT</t>
        </is>
      </c>
      <c r="F10" s="321" t="n">
        <v>0.8</v>
      </c>
      <c r="G10" s="322" t="n">
        <v>3256.5</v>
      </c>
      <c r="H10" s="271">
        <f>IF(AND(ISNUMBER(F10),ISNUMBER(G10)),F10*G10,"")</f>
        <v/>
      </c>
      <c r="I10" s="321" t="n"/>
      <c r="J10" s="322" t="n"/>
      <c r="K10" s="271">
        <f>IF(AND(ISNUMBER(I10),ISNUMBER(J10)),I10*J10,"")</f>
        <v/>
      </c>
      <c r="L10" s="246">
        <f>IF(COUNT(F10,I10)=0,"",N(F10)-N(I10))</f>
        <v/>
      </c>
      <c r="M10" s="247">
        <f>IF(COUNT(H10,K10)=0,"",N(K10)-N(H10))</f>
        <v/>
      </c>
      <c r="N10" s="246">
        <f>IF(AND(ISNUMBER(F10),ISNUMBER(G10),F10&gt;0,1-N(Ввод!$E$17)/100&gt;0),MAX(0,(F10*G10-SUMPRODUCT((Закрытые!$B$5:$B$300=$B10)*((Закрытые!$F$5:$F$300+Закрытые!$I$5:$I$300-ABS(Закрытые!$F$5:$F$300-Закрытые!$I$5:$I$300))/2)*(Закрытые!$J$5:$J$300-Закрытые!$G$5:$G$300)))/F10)/(1-N(Ввод!$E$17)/100),IF(AND(ISNUMBER(I10),ISNUMBER(J10),I10&gt;0),MAX(0,(I10*J10+SUMPRODUCT((Закрытые!$B$5:$B$300=$B10)*((Закрытые!$F$5:$F$300+Закрытые!$I$5:$I$300-ABS(Закрытые!$F$5:$F$300-Закрытые!$I$5:$I$300))/2)*(Закрытые!$J$5:$J$300-Закрытые!$G$5:$G$300)))/I10)/(1+N(Ввод!$E$17)/100),""))</f>
        <v/>
      </c>
    </row>
    <row r="11" ht="22" customHeight="1">
      <c r="B11" s="313" t="inlineStr">
        <is>
          <t>T-0009</t>
        </is>
      </c>
      <c r="C11" s="314" t="n">
        <v>46301</v>
      </c>
      <c r="D11" s="313" t="inlineStr">
        <is>
          <t>OKX</t>
        </is>
      </c>
      <c r="E11" s="315" t="inlineStr">
        <is>
          <t>ETH/USDT</t>
        </is>
      </c>
      <c r="F11" s="316" t="n"/>
      <c r="G11" s="317" t="n"/>
      <c r="H11" s="271">
        <f>IF(AND(ISNUMBER(F11),ISNUMBER(G11)),F11*G11,"")</f>
        <v/>
      </c>
      <c r="I11" s="316" t="n">
        <v>1.5</v>
      </c>
      <c r="J11" s="317" t="n">
        <v>3393.2</v>
      </c>
      <c r="K11" s="271">
        <f>IF(AND(ISNUMBER(I11),ISNUMBER(J11)),I11*J11,"")</f>
        <v/>
      </c>
      <c r="L11" s="240">
        <f>IF(COUNT(F11,I11)=0,"",N(F11)-N(I11))</f>
        <v/>
      </c>
      <c r="M11" s="241">
        <f>IF(COUNT(H11,K11)=0,"",N(K11)-N(H11))</f>
        <v/>
      </c>
      <c r="N11" s="240">
        <f>IF(AND(ISNUMBER(F11),ISNUMBER(G11),F11&gt;0,1-N(Ввод!$E$17)/100&gt;0),MAX(0,(F11*G11-SUMPRODUCT((Закрытые!$B$5:$B$300=$B11)*((Закрытые!$F$5:$F$300+Закрытые!$I$5:$I$300-ABS(Закрытые!$F$5:$F$300-Закрытые!$I$5:$I$300))/2)*(Закрытые!$J$5:$J$300-Закрытые!$G$5:$G$300)))/F11)/(1-N(Ввод!$E$17)/100),IF(AND(ISNUMBER(I11),ISNUMBER(J11),I11&gt;0),MAX(0,(I11*J11+SUMPRODUCT((Закрытые!$B$5:$B$300=$B11)*((Закрытые!$F$5:$F$300+Закрытые!$I$5:$I$300-ABS(Закрытые!$F$5:$F$300-Закрытые!$I$5:$I$300))/2)*(Закрытые!$J$5:$J$300-Закрытые!$G$5:$G$300)))/I11)/(1+N(Ввод!$E$17)/100),""))</f>
        <v/>
      </c>
    </row>
    <row r="12" ht="22" customHeight="1">
      <c r="B12" s="318" t="inlineStr">
        <is>
          <t>T-0010</t>
        </is>
      </c>
      <c r="C12" s="319" t="n">
        <v>46300</v>
      </c>
      <c r="D12" s="318" t="inlineStr">
        <is>
          <t>Binance</t>
        </is>
      </c>
      <c r="E12" s="320" t="inlineStr">
        <is>
          <t>SOL/USDT</t>
        </is>
      </c>
      <c r="F12" s="321" t="n"/>
      <c r="G12" s="322" t="n"/>
      <c r="H12" s="271">
        <f>IF(AND(ISNUMBER(F12),ISNUMBER(G12)),F12*G12,"")</f>
        <v/>
      </c>
      <c r="I12" s="321" t="n">
        <v>30</v>
      </c>
      <c r="J12" s="322" t="n">
        <v>149.7</v>
      </c>
      <c r="K12" s="271">
        <f>IF(AND(ISNUMBER(I12),ISNUMBER(J12)),I12*J12,"")</f>
        <v/>
      </c>
      <c r="L12" s="246">
        <f>IF(COUNT(F12,I12)=0,"",N(F12)-N(I12))</f>
        <v/>
      </c>
      <c r="M12" s="247">
        <f>IF(COUNT(H12,K12)=0,"",N(K12)-N(H12))</f>
        <v/>
      </c>
      <c r="N12" s="246">
        <f>IF(AND(ISNUMBER(F12),ISNUMBER(G12),F12&gt;0,1-N(Ввод!$E$17)/100&gt;0),MAX(0,(F12*G12-SUMPRODUCT((Закрытые!$B$5:$B$300=$B12)*((Закрытые!$F$5:$F$300+Закрытые!$I$5:$I$300-ABS(Закрытые!$F$5:$F$300-Закрытые!$I$5:$I$300))/2)*(Закрытые!$J$5:$J$300-Закрытые!$G$5:$G$300)))/F12)/(1-N(Ввод!$E$17)/100),IF(AND(ISNUMBER(I12),ISNUMBER(J12),I12&gt;0),MAX(0,(I12*J12+SUMPRODUCT((Закрытые!$B$5:$B$300=$B12)*((Закрытые!$F$5:$F$300+Закрытые!$I$5:$I$300-ABS(Закрытые!$F$5:$F$300-Закрытые!$I$5:$I$300))/2)*(Закрытые!$J$5:$J$300-Закрытые!$G$5:$G$300)))/I12)/(1+N(Ввод!$E$17)/100),""))</f>
        <v/>
      </c>
    </row>
    <row r="13" ht="22" customHeight="1">
      <c r="B13" s="313" t="inlineStr">
        <is>
          <t>T-0011</t>
        </is>
      </c>
      <c r="C13" s="314" t="n">
        <v>46301</v>
      </c>
      <c r="D13" s="313" t="inlineStr">
        <is>
          <t>Bybit</t>
        </is>
      </c>
      <c r="E13" s="315" t="inlineStr">
        <is>
          <t>SOL/USDT</t>
        </is>
      </c>
      <c r="F13" s="316" t="n"/>
      <c r="G13" s="317" t="n"/>
      <c r="H13" s="271">
        <f>IF(AND(ISNUMBER(F13),ISNUMBER(G13)),F13*G13,"")</f>
        <v/>
      </c>
      <c r="I13" s="316" t="n">
        <v>10</v>
      </c>
      <c r="J13" s="317" t="n">
        <v>151.696</v>
      </c>
      <c r="K13" s="271">
        <f>IF(AND(ISNUMBER(I13),ISNUMBER(J13)),I13*J13,"")</f>
        <v/>
      </c>
      <c r="L13" s="240">
        <f>IF(COUNT(F13,I13)=0,"",N(F13)-N(I13))</f>
        <v/>
      </c>
      <c r="M13" s="241">
        <f>IF(COUNT(H13,K13)=0,"",N(K13)-N(H13))</f>
        <v/>
      </c>
      <c r="N13" s="240">
        <f>IF(AND(ISNUMBER(F13),ISNUMBER(G13),F13&gt;0,1-N(Ввод!$E$17)/100&gt;0),MAX(0,(F13*G13-SUMPRODUCT((Закрытые!$B$5:$B$300=$B13)*((Закрытые!$F$5:$F$300+Закрытые!$I$5:$I$300-ABS(Закрытые!$F$5:$F$300-Закрытые!$I$5:$I$300))/2)*(Закрытые!$J$5:$J$300-Закрытые!$G$5:$G$300)))/F13)/(1-N(Ввод!$E$17)/100),IF(AND(ISNUMBER(I13),ISNUMBER(J13),I13&gt;0),MAX(0,(I13*J13+SUMPRODUCT((Закрытые!$B$5:$B$300=$B13)*((Закрытые!$F$5:$F$300+Закрытые!$I$5:$I$300-ABS(Закрытые!$F$5:$F$300-Закрытые!$I$5:$I$300))/2)*(Закрытые!$J$5:$J$300-Закрытые!$G$5:$G$300)))/I13)/(1+N(Ввод!$E$17)/100),""))</f>
        <v/>
      </c>
    </row>
    <row r="14" ht="22" customHeight="1">
      <c r="B14" s="318" t="inlineStr">
        <is>
          <t>T-0012</t>
        </is>
      </c>
      <c r="C14" s="319" t="n">
        <v>46301</v>
      </c>
      <c r="D14" s="318" t="inlineStr">
        <is>
          <t>OKX</t>
        </is>
      </c>
      <c r="E14" s="320" t="inlineStr">
        <is>
          <t>SOL/USDT</t>
        </is>
      </c>
      <c r="F14" s="321" t="n">
        <v>25</v>
      </c>
      <c r="G14" s="322" t="n">
        <v>146.292</v>
      </c>
      <c r="H14" s="271">
        <f>IF(AND(ISNUMBER(F14),ISNUMBER(G14)),F14*G14,"")</f>
        <v/>
      </c>
      <c r="I14" s="321" t="n"/>
      <c r="J14" s="322" t="n"/>
      <c r="K14" s="271">
        <f>IF(AND(ISNUMBER(I14),ISNUMBER(J14)),I14*J14,"")</f>
        <v/>
      </c>
      <c r="L14" s="246">
        <f>IF(COUNT(F14,I14)=0,"",N(F14)-N(I14))</f>
        <v/>
      </c>
      <c r="M14" s="247">
        <f>IF(COUNT(H14,K14)=0,"",N(K14)-N(H14))</f>
        <v/>
      </c>
      <c r="N14" s="246">
        <f>IF(AND(ISNUMBER(F14),ISNUMBER(G14),F14&gt;0,1-N(Ввод!$E$17)/100&gt;0),MAX(0,(F14*G14-SUMPRODUCT((Закрытые!$B$5:$B$300=$B14)*((Закрытые!$F$5:$F$300+Закрытые!$I$5:$I$300-ABS(Закрытые!$F$5:$F$300-Закрытые!$I$5:$I$300))/2)*(Закрытые!$J$5:$J$300-Закрытые!$G$5:$G$300)))/F14)/(1-N(Ввод!$E$17)/100),IF(AND(ISNUMBER(I14),ISNUMBER(J14),I14&gt;0),MAX(0,(I14*J14+SUMPRODUCT((Закрытые!$B$5:$B$300=$B14)*((Закрытые!$F$5:$F$300+Закрытые!$I$5:$I$300-ABS(Закрытые!$F$5:$F$300-Закрытые!$I$5:$I$300))/2)*(Закрытые!$J$5:$J$300-Закрытые!$G$5:$G$300)))/I14)/(1+N(Ввод!$E$17)/100),""))</f>
        <v/>
      </c>
    </row>
    <row r="15" ht="22" customHeight="1">
      <c r="B15" s="313" t="inlineStr">
        <is>
          <t>T-0013</t>
        </is>
      </c>
      <c r="C15" s="314" t="n">
        <v>46302</v>
      </c>
      <c r="D15" s="313" t="inlineStr">
        <is>
          <t>Binance</t>
        </is>
      </c>
      <c r="E15" s="315" t="inlineStr">
        <is>
          <t>AAVE/ETH</t>
        </is>
      </c>
      <c r="F15" s="316" t="n">
        <v>20</v>
      </c>
      <c r="G15" s="317" t="n">
        <v>0.062625</v>
      </c>
      <c r="H15" s="271">
        <f>IF(AND(ISNUMBER(F15),ISNUMBER(G15)),F15*G15,"")</f>
        <v/>
      </c>
      <c r="I15" s="316" t="n"/>
      <c r="J15" s="317" t="n"/>
      <c r="K15" s="271">
        <f>IF(AND(ISNUMBER(I15),ISNUMBER(J15)),I15*J15,"")</f>
        <v/>
      </c>
      <c r="L15" s="240">
        <f>IF(COUNT(F15,I15)=0,"",N(F15)-N(I15))</f>
        <v/>
      </c>
      <c r="M15" s="241">
        <f>IF(COUNT(H15,K15)=0,"",N(K15)-N(H15))</f>
        <v/>
      </c>
      <c r="N15" s="240">
        <f>IF(AND(ISNUMBER(F15),ISNUMBER(G15),F15&gt;0,1-N(Ввод!$E$17)/100&gt;0),MAX(0,(F15*G15-SUMPRODUCT((Закрытые!$B$5:$B$300=$B15)*((Закрытые!$F$5:$F$300+Закрытые!$I$5:$I$300-ABS(Закрытые!$F$5:$F$300-Закрытые!$I$5:$I$300))/2)*(Закрытые!$J$5:$J$300-Закрытые!$G$5:$G$300)))/F15)/(1-N(Ввод!$E$17)/100),IF(AND(ISNUMBER(I15),ISNUMBER(J15),I15&gt;0),MAX(0,(I15*J15+SUMPRODUCT((Закрытые!$B$5:$B$300=$B15)*((Закрытые!$F$5:$F$300+Закрытые!$I$5:$I$300-ABS(Закрытые!$F$5:$F$300-Закрытые!$I$5:$I$300))/2)*(Закрытые!$J$5:$J$300-Закрытые!$G$5:$G$300)))/I15)/(1+N(Ввод!$E$17)/100),""))</f>
        <v/>
      </c>
    </row>
    <row r="16" ht="22" customHeight="1">
      <c r="B16" s="318" t="inlineStr">
        <is>
          <t>T-0014</t>
        </is>
      </c>
      <c r="C16" s="319" t="n">
        <v>46302</v>
      </c>
      <c r="D16" s="318" t="inlineStr">
        <is>
          <t>Bybit</t>
        </is>
      </c>
      <c r="E16" s="320" t="inlineStr">
        <is>
          <t>DOGE/BTC</t>
        </is>
      </c>
      <c r="F16" s="321" t="n"/>
      <c r="G16" s="322" t="n"/>
      <c r="H16" s="271">
        <f>IF(AND(ISNUMBER(F16),ISNUMBER(G16)),F16*G16,"")</f>
        <v/>
      </c>
      <c r="I16" s="321" t="n">
        <v>100000</v>
      </c>
      <c r="J16" s="322" t="n">
        <v>2.89e-06</v>
      </c>
      <c r="K16" s="271">
        <f>IF(AND(ISNUMBER(I16),ISNUMBER(J16)),I16*J16,"")</f>
        <v/>
      </c>
      <c r="L16" s="246">
        <f>IF(COUNT(F16,I16)=0,"",N(F16)-N(I16))</f>
        <v/>
      </c>
      <c r="M16" s="247">
        <f>IF(COUNT(H16,K16)=0,"",N(K16)-N(H16))</f>
        <v/>
      </c>
      <c r="N16" s="246">
        <f>IF(AND(ISNUMBER(F16),ISNUMBER(G16),F16&gt;0,1-N(Ввод!$E$17)/100&gt;0),MAX(0,(F16*G16-SUMPRODUCT((Закрытые!$B$5:$B$300=$B16)*((Закрытые!$F$5:$F$300+Закрытые!$I$5:$I$300-ABS(Закрытые!$F$5:$F$300-Закрытые!$I$5:$I$300))/2)*(Закрытые!$J$5:$J$300-Закрытые!$G$5:$G$300)))/F16)/(1-N(Ввод!$E$17)/100),IF(AND(ISNUMBER(I16),ISNUMBER(J16),I16&gt;0),MAX(0,(I16*J16+SUMPRODUCT((Закрытые!$B$5:$B$300=$B16)*((Закрытые!$F$5:$F$300+Закрытые!$I$5:$I$300-ABS(Закрытые!$F$5:$F$300-Закрытые!$I$5:$I$300))/2)*(Закрытые!$J$5:$J$300-Закрытые!$G$5:$G$300)))/I16)/(1+N(Ввод!$E$17)/100),""))</f>
        <v/>
      </c>
    </row>
    <row r="17" ht="22" customHeight="1">
      <c r="B17" s="313" t="inlineStr">
        <is>
          <t>T-0015</t>
        </is>
      </c>
      <c r="C17" s="314" t="n">
        <v>46302</v>
      </c>
      <c r="D17" s="313" t="inlineStr">
        <is>
          <t>OKX</t>
        </is>
      </c>
      <c r="E17" s="315" t="inlineStr">
        <is>
          <t>LTC/BCH</t>
        </is>
      </c>
      <c r="F17" s="316" t="n">
        <v>50</v>
      </c>
      <c r="G17" s="317" t="n">
        <v>0.2004</v>
      </c>
      <c r="H17" s="271">
        <f>IF(AND(ISNUMBER(F17),ISNUMBER(G17)),F17*G17,"")</f>
        <v/>
      </c>
      <c r="I17" s="316" t="n"/>
      <c r="J17" s="317" t="n"/>
      <c r="K17" s="271">
        <f>IF(AND(ISNUMBER(I17),ISNUMBER(J17)),I17*J17,"")</f>
        <v/>
      </c>
      <c r="L17" s="240">
        <f>IF(COUNT(F17,I17)=0,"",N(F17)-N(I17))</f>
        <v/>
      </c>
      <c r="M17" s="241">
        <f>IF(COUNT(H17,K17)=0,"",N(K17)-N(H17))</f>
        <v/>
      </c>
      <c r="N17" s="240">
        <f>IF(AND(ISNUMBER(F17),ISNUMBER(G17),F17&gt;0,1-N(Ввод!$E$17)/100&gt;0),MAX(0,(F17*G17-SUMPRODUCT((Закрытые!$B$5:$B$300=$B17)*((Закрытые!$F$5:$F$300+Закрытые!$I$5:$I$300-ABS(Закрытые!$F$5:$F$300-Закрытые!$I$5:$I$300))/2)*(Закрытые!$J$5:$J$300-Закрытые!$G$5:$G$300)))/F17)/(1-N(Ввод!$E$17)/100),IF(AND(ISNUMBER(I17),ISNUMBER(J17),I17&gt;0),MAX(0,(I17*J17+SUMPRODUCT((Закрытые!$B$5:$B$300=$B17)*((Закрытые!$F$5:$F$300+Закрытые!$I$5:$I$300-ABS(Закрытые!$F$5:$F$300-Закрытые!$I$5:$I$300))/2)*(Закрытые!$J$5:$J$300-Закрытые!$G$5:$G$300)))/I17)/(1+N(Ввод!$E$17)/100),""))</f>
        <v/>
      </c>
    </row>
    <row r="18" ht="22" customHeight="1">
      <c r="B18" s="318" t="inlineStr">
        <is>
          <t>T-0016</t>
        </is>
      </c>
      <c r="C18" s="319" t="n">
        <v>46302</v>
      </c>
      <c r="D18" s="318" t="inlineStr">
        <is>
          <t>Binance</t>
        </is>
      </c>
      <c r="E18" s="320" t="inlineStr">
        <is>
          <t>XRP/TRX</t>
        </is>
      </c>
      <c r="F18" s="321" t="n"/>
      <c r="G18" s="322" t="n"/>
      <c r="H18" s="271">
        <f>IF(AND(ISNUMBER(F18),ISNUMBER(G18)),F18*G18,"")</f>
        <v/>
      </c>
      <c r="I18" s="321" t="n">
        <v>3000</v>
      </c>
      <c r="J18" s="322" t="n">
        <v>8.133699999999999</v>
      </c>
      <c r="K18" s="271">
        <f>IF(AND(ISNUMBER(I18),ISNUMBER(J18)),I18*J18,"")</f>
        <v/>
      </c>
      <c r="L18" s="246">
        <f>IF(COUNT(F18,I18)=0,"",N(F18)-N(I18))</f>
        <v/>
      </c>
      <c r="M18" s="247">
        <f>IF(COUNT(H18,K18)=0,"",N(K18)-N(H18))</f>
        <v/>
      </c>
      <c r="N18" s="246">
        <f>IF(AND(ISNUMBER(F18),ISNUMBER(G18),F18&gt;0,1-N(Ввод!$E$17)/100&gt;0),MAX(0,(F18*G18-SUMPRODUCT((Закрытые!$B$5:$B$300=$B18)*((Закрытые!$F$5:$F$300+Закрытые!$I$5:$I$300-ABS(Закрытые!$F$5:$F$300-Закрытые!$I$5:$I$300))/2)*(Закрытые!$J$5:$J$300-Закрытые!$G$5:$G$300)))/F18)/(1-N(Ввод!$E$17)/100),IF(AND(ISNUMBER(I18),ISNUMBER(J18),I18&gt;0),MAX(0,(I18*J18+SUMPRODUCT((Закрытые!$B$5:$B$300=$B18)*((Закрытые!$F$5:$F$300+Закрытые!$I$5:$I$300-ABS(Закрытые!$F$5:$F$300-Закрытые!$I$5:$I$300))/2)*(Закрытые!$J$5:$J$300-Закрытые!$G$5:$G$300)))/I18)/(1+N(Ввод!$E$17)/100),""))</f>
        <v/>
      </c>
    </row>
    <row r="19" ht="22" customHeight="1">
      <c r="B19" s="313" t="inlineStr">
        <is>
          <t>T-0017</t>
        </is>
      </c>
      <c r="C19" s="314" t="n">
        <v>46302</v>
      </c>
      <c r="D19" s="313" t="inlineStr">
        <is>
          <t>Bybit</t>
        </is>
      </c>
      <c r="E19" s="315" t="inlineStr">
        <is>
          <t>SOL/USDT</t>
        </is>
      </c>
      <c r="F19" s="316" t="n">
        <v>40</v>
      </c>
      <c r="G19" s="317" t="n">
        <v>150.3</v>
      </c>
      <c r="H19" s="271">
        <f>IF(AND(ISNUMBER(F19),ISNUMBER(G19)),F19*G19,"")</f>
        <v/>
      </c>
      <c r="I19" s="316" t="n"/>
      <c r="J19" s="317" t="n"/>
      <c r="K19" s="271">
        <f>IF(AND(ISNUMBER(I19),ISNUMBER(J19)),I19*J19,"")</f>
        <v/>
      </c>
      <c r="L19" s="240">
        <f>IF(COUNT(F19,I19)=0,"",N(F19)-N(I19))</f>
        <v/>
      </c>
      <c r="M19" s="241">
        <f>IF(COUNT(H19,K19)=0,"",N(K19)-N(H19))</f>
        <v/>
      </c>
      <c r="N19" s="240">
        <f>IF(AND(ISNUMBER(F19),ISNUMBER(G19),F19&gt;0,1-N(Ввод!$E$17)/100&gt;0),MAX(0,(F19*G19-SUMPRODUCT((Закрытые!$B$5:$B$300=$B19)*((Закрытые!$F$5:$F$300+Закрытые!$I$5:$I$300-ABS(Закрытые!$F$5:$F$300-Закрытые!$I$5:$I$300))/2)*(Закрытые!$J$5:$J$300-Закрытые!$G$5:$G$300)))/F19)/(1-N(Ввод!$E$17)/100),IF(AND(ISNUMBER(I19),ISNUMBER(J19),I19&gt;0),MAX(0,(I19*J19+SUMPRODUCT((Закрытые!$B$5:$B$300=$B19)*((Закрытые!$F$5:$F$300+Закрытые!$I$5:$I$300-ABS(Закрытые!$F$5:$F$300-Закрытые!$I$5:$I$300))/2)*(Закрытые!$J$5:$J$300-Закрытые!$G$5:$G$300)))/I19)/(1+N(Ввод!$E$17)/100),""))</f>
        <v/>
      </c>
    </row>
    <row r="20" ht="22" customHeight="1">
      <c r="B20" s="318" t="inlineStr">
        <is>
          <t>T-0023</t>
        </is>
      </c>
      <c r="C20" s="319" t="n">
        <v>46303</v>
      </c>
      <c r="D20" s="318" t="inlineStr">
        <is>
          <t>Binance</t>
        </is>
      </c>
      <c r="E20" s="320" t="inlineStr">
        <is>
          <t>BNB/ETH</t>
        </is>
      </c>
      <c r="F20" s="321" t="n">
        <v>6</v>
      </c>
      <c r="G20" s="322" t="n">
        <v>0.187875</v>
      </c>
      <c r="H20" s="271">
        <f>IF(AND(ISNUMBER(F20),ISNUMBER(G20)),F20*G20,"")</f>
        <v/>
      </c>
      <c r="I20" s="321" t="n"/>
      <c r="J20" s="322" t="n"/>
      <c r="K20" s="271">
        <f>IF(AND(ISNUMBER(I20),ISNUMBER(J20)),I20*J20,"")</f>
        <v/>
      </c>
      <c r="L20" s="246">
        <f>IF(COUNT(F20,I20)=0,"",N(F20)-N(I20))</f>
        <v/>
      </c>
      <c r="M20" s="247">
        <f>IF(COUNT(H20,K20)=0,"",N(K20)-N(H20))</f>
        <v/>
      </c>
      <c r="N20" s="246">
        <f>IF(AND(ISNUMBER(F20),ISNUMBER(G20),F20&gt;0,1-N(Ввод!$E$17)/100&gt;0),MAX(0,(F20*G20-SUMPRODUCT((Закрытые!$B$5:$B$300=$B20)*((Закрытые!$F$5:$F$300+Закрытые!$I$5:$I$300-ABS(Закрытые!$F$5:$F$300-Закрытые!$I$5:$I$300))/2)*(Закрытые!$J$5:$J$300-Закрытые!$G$5:$G$300)))/F20)/(1-N(Ввод!$E$17)/100),IF(AND(ISNUMBER(I20),ISNUMBER(J20),I20&gt;0),MAX(0,(I20*J20+SUMPRODUCT((Закрытые!$B$5:$B$300=$B20)*((Закрытые!$F$5:$F$300+Закрытые!$I$5:$I$300-ABS(Закрытые!$F$5:$F$300-Закрытые!$I$5:$I$300))/2)*(Закрытые!$J$5:$J$300-Закрытые!$G$5:$G$300)))/I20)/(1+N(Ввод!$E$17)/100),""))</f>
        <v/>
      </c>
    </row>
    <row r="21" ht="22" customHeight="1">
      <c r="B21" s="313" t="inlineStr">
        <is>
          <t>T-0024</t>
        </is>
      </c>
      <c r="C21" s="314" t="n">
        <v>46303</v>
      </c>
      <c r="D21" s="313" t="inlineStr">
        <is>
          <t>Bybit</t>
        </is>
      </c>
      <c r="E21" s="315" t="inlineStr">
        <is>
          <t>BNB/BTC</t>
        </is>
      </c>
      <c r="F21" s="316" t="n"/>
      <c r="G21" s="317" t="n"/>
      <c r="H21" s="271">
        <f>IF(AND(ISNUMBER(F21),ISNUMBER(G21)),F21*G21,"")</f>
        <v/>
      </c>
      <c r="I21" s="316" t="n">
        <v>5</v>
      </c>
      <c r="J21" s="317" t="n">
        <v>0.00966064</v>
      </c>
      <c r="K21" s="271">
        <f>IF(AND(ISNUMBER(I21),ISNUMBER(J21)),I21*J21,"")</f>
        <v/>
      </c>
      <c r="L21" s="240">
        <f>IF(COUNT(F21,I21)=0,"",N(F21)-N(I21))</f>
        <v/>
      </c>
      <c r="M21" s="241">
        <f>IF(COUNT(H21,K21)=0,"",N(K21)-N(H21))</f>
        <v/>
      </c>
      <c r="N21" s="240">
        <f>IF(AND(ISNUMBER(F21),ISNUMBER(G21),F21&gt;0,1-N(Ввод!$E$17)/100&gt;0),MAX(0,(F21*G21-SUMPRODUCT((Закрытые!$B$5:$B$300=$B21)*((Закрытые!$F$5:$F$300+Закрытые!$I$5:$I$300-ABS(Закрытые!$F$5:$F$300-Закрытые!$I$5:$I$300))/2)*(Закрытые!$J$5:$J$300-Закрытые!$G$5:$G$300)))/F21)/(1-N(Ввод!$E$17)/100),IF(AND(ISNUMBER(I21),ISNUMBER(J21),I21&gt;0),MAX(0,(I21*J21+SUMPRODUCT((Закрытые!$B$5:$B$300=$B21)*((Закрытые!$F$5:$F$300+Закрытые!$I$5:$I$300-ABS(Закрытые!$F$5:$F$300-Закрытые!$I$5:$I$300))/2)*(Закрытые!$J$5:$J$300-Закрытые!$G$5:$G$300)))/I21)/(1+N(Ввод!$E$17)/100),""))</f>
        <v/>
      </c>
    </row>
    <row r="22" ht="22" customHeight="1">
      <c r="B22" s="318" t="inlineStr">
        <is>
          <t>T-0025</t>
        </is>
      </c>
      <c r="C22" s="319" t="n">
        <v>46303</v>
      </c>
      <c r="D22" s="318" t="inlineStr">
        <is>
          <t>OKX</t>
        </is>
      </c>
      <c r="E22" s="320" t="inlineStr">
        <is>
          <t>CAKE/ETH</t>
        </is>
      </c>
      <c r="F22" s="321" t="n">
        <v>350</v>
      </c>
      <c r="G22" s="322" t="n">
        <v>0.0007515</v>
      </c>
      <c r="H22" s="271">
        <f>IF(AND(ISNUMBER(F22),ISNUMBER(G22)),F22*G22,"")</f>
        <v/>
      </c>
      <c r="I22" s="321" t="n"/>
      <c r="J22" s="322" t="n"/>
      <c r="K22" s="271">
        <f>IF(AND(ISNUMBER(I22),ISNUMBER(J22)),I22*J22,"")</f>
        <v/>
      </c>
      <c r="L22" s="246">
        <f>IF(COUNT(F22,I22)=0,"",N(F22)-N(I22))</f>
        <v/>
      </c>
      <c r="M22" s="247">
        <f>IF(COUNT(H22,K22)=0,"",N(K22)-N(H22))</f>
        <v/>
      </c>
      <c r="N22" s="246">
        <f>IF(AND(ISNUMBER(F22),ISNUMBER(G22),F22&gt;0,1-N(Ввод!$E$17)/100&gt;0),MAX(0,(F22*G22-SUMPRODUCT((Закрытые!$B$5:$B$300=$B22)*((Закрытые!$F$5:$F$300+Закрытые!$I$5:$I$300-ABS(Закрытые!$F$5:$F$300-Закрытые!$I$5:$I$300))/2)*(Закрытые!$J$5:$J$300-Закрытые!$G$5:$G$300)))/F22)/(1-N(Ввод!$E$17)/100),IF(AND(ISNUMBER(I22),ISNUMBER(J22),I22&gt;0),MAX(0,(I22*J22+SUMPRODUCT((Закрытые!$B$5:$B$300=$B22)*((Закрытые!$F$5:$F$300+Закрытые!$I$5:$I$300-ABS(Закрытые!$F$5:$F$300-Закрытые!$I$5:$I$300))/2)*(Закрытые!$J$5:$J$300-Закрытые!$G$5:$G$300)))/I22)/(1+N(Ввод!$E$17)/100),""))</f>
        <v/>
      </c>
    </row>
    <row r="23" ht="22" customHeight="1">
      <c r="B23" s="313" t="inlineStr">
        <is>
          <t>T-0026</t>
        </is>
      </c>
      <c r="C23" s="314" t="n">
        <v>46303</v>
      </c>
      <c r="D23" s="313" t="inlineStr">
        <is>
          <t>Binance</t>
        </is>
      </c>
      <c r="E23" s="315" t="inlineStr">
        <is>
          <t>DASH/BTC</t>
        </is>
      </c>
      <c r="F23" s="316" t="n">
        <v>18</v>
      </c>
      <c r="G23" s="317" t="n">
        <v>0.00061423</v>
      </c>
      <c r="H23" s="271">
        <f>IF(AND(ISNUMBER(F23),ISNUMBER(G23)),F23*G23,"")</f>
        <v/>
      </c>
      <c r="I23" s="316" t="n"/>
      <c r="J23" s="317" t="n"/>
      <c r="K23" s="271">
        <f>IF(AND(ISNUMBER(I23),ISNUMBER(J23)),I23*J23,"")</f>
        <v/>
      </c>
      <c r="L23" s="240">
        <f>IF(COUNT(F23,I23)=0,"",N(F23)-N(I23))</f>
        <v/>
      </c>
      <c r="M23" s="241">
        <f>IF(COUNT(H23,K23)=0,"",N(K23)-N(H23))</f>
        <v/>
      </c>
      <c r="N23" s="240">
        <f>IF(AND(ISNUMBER(F23),ISNUMBER(G23),F23&gt;0,1-N(Ввод!$E$17)/100&gt;0),MAX(0,(F23*G23-SUMPRODUCT((Закрытые!$B$5:$B$300=$B23)*((Закрытые!$F$5:$F$300+Закрытые!$I$5:$I$300-ABS(Закрытые!$F$5:$F$300-Закрытые!$I$5:$I$300))/2)*(Закрытые!$J$5:$J$300-Закрытые!$G$5:$G$300)))/F23)/(1-N(Ввод!$E$17)/100),IF(AND(ISNUMBER(I23),ISNUMBER(J23),I23&gt;0),MAX(0,(I23*J23+SUMPRODUCT((Закрытые!$B$5:$B$300=$B23)*((Закрытые!$F$5:$F$300+Закрытые!$I$5:$I$300-ABS(Закрытые!$F$5:$F$300-Закрытые!$I$5:$I$300))/2)*(Закрытые!$J$5:$J$300-Закрытые!$G$5:$G$300)))/I23)/(1+N(Ввод!$E$17)/100),""))</f>
        <v/>
      </c>
    </row>
    <row r="24" ht="22" customHeight="1">
      <c r="B24" s="318" t="inlineStr">
        <is>
          <t>T-0027</t>
        </is>
      </c>
      <c r="C24" s="319" t="n">
        <v>46304</v>
      </c>
      <c r="D24" s="318" t="inlineStr">
        <is>
          <t>Bybit</t>
        </is>
      </c>
      <c r="E24" s="320" t="inlineStr">
        <is>
          <t>DASH/LTC</t>
        </is>
      </c>
      <c r="F24" s="321" t="n"/>
      <c r="G24" s="322" t="n"/>
      <c r="H24" s="271">
        <f>IF(AND(ISNUMBER(F24),ISNUMBER(G24)),F24*G24,"")</f>
        <v/>
      </c>
      <c r="I24" s="321" t="n">
        <v>30</v>
      </c>
      <c r="J24" s="322" t="n">
        <v>0.4213556</v>
      </c>
      <c r="K24" s="271">
        <f>IF(AND(ISNUMBER(I24),ISNUMBER(J24)),I24*J24,"")</f>
        <v/>
      </c>
      <c r="L24" s="246">
        <f>IF(COUNT(F24,I24)=0,"",N(F24)-N(I24))</f>
        <v/>
      </c>
      <c r="M24" s="247">
        <f>IF(COUNT(H24,K24)=0,"",N(K24)-N(H24))</f>
        <v/>
      </c>
      <c r="N24" s="246">
        <f>IF(AND(ISNUMBER(F24),ISNUMBER(G24),F24&gt;0,1-N(Ввод!$E$17)/100&gt;0),MAX(0,(F24*G24-SUMPRODUCT((Закрытые!$B$5:$B$300=$B24)*((Закрытые!$F$5:$F$300+Закрытые!$I$5:$I$300-ABS(Закрытые!$F$5:$F$300-Закрытые!$I$5:$I$300))/2)*(Закрытые!$J$5:$J$300-Закрытые!$G$5:$G$300)))/F24)/(1-N(Ввод!$E$17)/100),IF(AND(ISNUMBER(I24),ISNUMBER(J24),I24&gt;0),MAX(0,(I24*J24+SUMPRODUCT((Закрытые!$B$5:$B$300=$B24)*((Закрытые!$F$5:$F$300+Закрытые!$I$5:$I$300-ABS(Закрытые!$F$5:$F$300-Закрытые!$I$5:$I$300))/2)*(Закрытые!$J$5:$J$300-Закрытые!$G$5:$G$300)))/I24)/(1+N(Ввод!$E$17)/100),""))</f>
        <v/>
      </c>
    </row>
    <row r="25" ht="22" customHeight="1">
      <c r="B25" s="313" t="inlineStr">
        <is>
          <t>T-0029</t>
        </is>
      </c>
      <c r="C25" s="314" t="n">
        <v>46303</v>
      </c>
      <c r="D25" s="313" t="inlineStr">
        <is>
          <t>Bybit</t>
        </is>
      </c>
      <c r="E25" s="315" t="inlineStr">
        <is>
          <t>SOL/USDT</t>
        </is>
      </c>
      <c r="F25" s="316" t="n">
        <v>12</v>
      </c>
      <c r="G25" s="317" t="n">
        <v>150.3</v>
      </c>
      <c r="H25" s="271">
        <f>IF(AND(ISNUMBER(F25),ISNUMBER(G25)),F25*G25,"")</f>
        <v/>
      </c>
      <c r="I25" s="316" t="n"/>
      <c r="J25" s="317" t="n"/>
      <c r="K25" s="271">
        <f>IF(AND(ISNUMBER(I25),ISNUMBER(J25)),I25*J25,"")</f>
        <v/>
      </c>
      <c r="L25" s="240">
        <f>IF(COUNT(F25,I25)=0,"",N(F25)-N(I25))</f>
        <v/>
      </c>
      <c r="M25" s="241">
        <f>IF(COUNT(H25,K25)=0,"",N(K25)-N(H25))</f>
        <v/>
      </c>
      <c r="N25" s="240">
        <f>IF(AND(ISNUMBER(F25),ISNUMBER(G25),F25&gt;0,1-N(Ввод!$E$17)/100&gt;0),MAX(0,(F25*G25-SUMPRODUCT((Закрытые!$B$5:$B$300=$B25)*((Закрытые!$F$5:$F$300+Закрытые!$I$5:$I$300-ABS(Закрытые!$F$5:$F$300-Закрытые!$I$5:$I$300))/2)*(Закрытые!$J$5:$J$300-Закрытые!$G$5:$G$300)))/F25)/(1-N(Ввод!$E$17)/100),IF(AND(ISNUMBER(I25),ISNUMBER(J25),I25&gt;0),MAX(0,(I25*J25+SUMPRODUCT((Закрытые!$B$5:$B$300=$B25)*((Закрытые!$F$5:$F$300+Закрытые!$I$5:$I$300-ABS(Закрытые!$F$5:$F$300-Закрытые!$I$5:$I$300))/2)*(Закрытые!$J$5:$J$300-Закрытые!$G$5:$G$300)))/I25)/(1+N(Ввод!$E$17)/100),""))</f>
        <v/>
      </c>
    </row>
    <row r="26" ht="22" customHeight="1">
      <c r="B26" s="318" t="n"/>
      <c r="C26" s="319" t="n"/>
      <c r="D26" s="318" t="n"/>
      <c r="E26" s="320" t="n"/>
      <c r="F26" s="321" t="n"/>
      <c r="G26" s="322" t="n"/>
      <c r="H26" s="271">
        <f>IF(AND(ISNUMBER(F26),ISNUMBER(G26)),F26*G26,"")</f>
        <v/>
      </c>
      <c r="I26" s="321" t="n"/>
      <c r="J26" s="322" t="n"/>
      <c r="K26" s="271">
        <f>IF(AND(ISNUMBER(I26),ISNUMBER(J26)),I26*J26,"")</f>
        <v/>
      </c>
      <c r="L26" s="246">
        <f>IF(COUNT(F26,I26)=0,"",N(F26)-N(I26))</f>
        <v/>
      </c>
      <c r="M26" s="247">
        <f>IF(COUNT(H26,K26)=0,"",N(K26)-N(H26))</f>
        <v/>
      </c>
      <c r="N26" s="246">
        <f>IF(AND(ISNUMBER(F26),ISNUMBER(G26),F26&gt;0,1-N(Ввод!$E$17)/100&gt;0),MAX(0,(F26*G26-SUMPRODUCT((Закрытые!$B$5:$B$300=$B26)*((Закрытые!$F$5:$F$300+Закрытые!$I$5:$I$300-ABS(Закрытые!$F$5:$F$300-Закрытые!$I$5:$I$300))/2)*(Закрытые!$J$5:$J$300-Закрытые!$G$5:$G$300)))/F26)/(1-N(Ввод!$E$17)/100),IF(AND(ISNUMBER(I26),ISNUMBER(J26),I26&gt;0),MAX(0,(I26*J26+SUMPRODUCT((Закрытые!$B$5:$B$300=$B26)*((Закрытые!$F$5:$F$300+Закрытые!$I$5:$I$300-ABS(Закрытые!$F$5:$F$300-Закрытые!$I$5:$I$300))/2)*(Закрытые!$J$5:$J$300-Закрытые!$G$5:$G$300)))/I26)/(1+N(Ввод!$E$17)/100),""))</f>
        <v/>
      </c>
    </row>
    <row r="27" ht="22" customHeight="1">
      <c r="B27" s="313" t="n"/>
      <c r="C27" s="314" t="n"/>
      <c r="D27" s="313" t="n"/>
      <c r="E27" s="315" t="n"/>
      <c r="F27" s="316" t="n"/>
      <c r="G27" s="317" t="n"/>
      <c r="H27" s="271">
        <f>IF(AND(ISNUMBER(F27),ISNUMBER(G27)),F27*G27,"")</f>
        <v/>
      </c>
      <c r="I27" s="316" t="n"/>
      <c r="J27" s="317" t="n"/>
      <c r="K27" s="271">
        <f>IF(AND(ISNUMBER(I27),ISNUMBER(J27)),I27*J27,"")</f>
        <v/>
      </c>
      <c r="L27" s="240">
        <f>IF(COUNT(F27,I27)=0,"",N(F27)-N(I27))</f>
        <v/>
      </c>
      <c r="M27" s="241">
        <f>IF(COUNT(H27,K27)=0,"",N(K27)-N(H27))</f>
        <v/>
      </c>
      <c r="N27" s="240">
        <f>IF(AND(ISNUMBER(F27),ISNUMBER(G27),F27&gt;0,1-N(Ввод!$E$17)/100&gt;0),MAX(0,(F27*G27-SUMPRODUCT((Закрытые!$B$5:$B$300=$B27)*((Закрытые!$F$5:$F$300+Закрытые!$I$5:$I$300-ABS(Закрытые!$F$5:$F$300-Закрытые!$I$5:$I$300))/2)*(Закрытые!$J$5:$J$300-Закрытые!$G$5:$G$300)))/F27)/(1-N(Ввод!$E$17)/100),IF(AND(ISNUMBER(I27),ISNUMBER(J27),I27&gt;0),MAX(0,(I27*J27+SUMPRODUCT((Закрытые!$B$5:$B$300=$B27)*((Закрытые!$F$5:$F$300+Закрытые!$I$5:$I$300-ABS(Закрытые!$F$5:$F$300-Закрытые!$I$5:$I$300))/2)*(Закрытые!$J$5:$J$300-Закрытые!$G$5:$G$300)))/I27)/(1+N(Ввод!$E$17)/100),""))</f>
        <v/>
      </c>
    </row>
    <row r="28" ht="22" customHeight="1">
      <c r="B28" s="318" t="n"/>
      <c r="C28" s="319" t="n"/>
      <c r="D28" s="318" t="n"/>
      <c r="E28" s="320" t="n"/>
      <c r="F28" s="321" t="n"/>
      <c r="G28" s="322" t="n"/>
      <c r="H28" s="271">
        <f>IF(AND(ISNUMBER(F28),ISNUMBER(G28)),F28*G28,"")</f>
        <v/>
      </c>
      <c r="I28" s="321" t="n"/>
      <c r="J28" s="322" t="n"/>
      <c r="K28" s="271">
        <f>IF(AND(ISNUMBER(I28),ISNUMBER(J28)),I28*J28,"")</f>
        <v/>
      </c>
      <c r="L28" s="246">
        <f>IF(COUNT(F28,I28)=0,"",N(F28)-N(I28))</f>
        <v/>
      </c>
      <c r="M28" s="247">
        <f>IF(COUNT(H28,K28)=0,"",N(K28)-N(H28))</f>
        <v/>
      </c>
      <c r="N28" s="246">
        <f>IF(AND(ISNUMBER(F28),ISNUMBER(G28),F28&gt;0,1-N(Ввод!$E$17)/100&gt;0),MAX(0,(F28*G28-SUMPRODUCT((Закрытые!$B$5:$B$300=$B28)*((Закрытые!$F$5:$F$300+Закрытые!$I$5:$I$300-ABS(Закрытые!$F$5:$F$300-Закрытые!$I$5:$I$300))/2)*(Закрытые!$J$5:$J$300-Закрытые!$G$5:$G$300)))/F28)/(1-N(Ввод!$E$17)/100),IF(AND(ISNUMBER(I28),ISNUMBER(J28),I28&gt;0),MAX(0,(I28*J28+SUMPRODUCT((Закрытые!$B$5:$B$300=$B28)*((Закрытые!$F$5:$F$300+Закрытые!$I$5:$I$300-ABS(Закрытые!$F$5:$F$300-Закрытые!$I$5:$I$300))/2)*(Закрытые!$J$5:$J$300-Закрытые!$G$5:$G$300)))/I28)/(1+N(Ввод!$E$17)/100),""))</f>
        <v/>
      </c>
    </row>
    <row r="29" ht="22" customHeight="1">
      <c r="B29" s="313" t="n"/>
      <c r="C29" s="314" t="n"/>
      <c r="D29" s="313" t="n"/>
      <c r="E29" s="315" t="n"/>
      <c r="F29" s="316" t="n"/>
      <c r="G29" s="317" t="n"/>
      <c r="H29" s="271">
        <f>IF(AND(ISNUMBER(F29),ISNUMBER(G29)),F29*G29,"")</f>
        <v/>
      </c>
      <c r="I29" s="316" t="n"/>
      <c r="J29" s="317" t="n"/>
      <c r="K29" s="271">
        <f>IF(AND(ISNUMBER(I29),ISNUMBER(J29)),I29*J29,"")</f>
        <v/>
      </c>
      <c r="L29" s="240">
        <f>IF(COUNT(F29,I29)=0,"",N(F29)-N(I29))</f>
        <v/>
      </c>
      <c r="M29" s="241">
        <f>IF(COUNT(H29,K29)=0,"",N(K29)-N(H29))</f>
        <v/>
      </c>
      <c r="N29" s="240">
        <f>IF(AND(ISNUMBER(F29),ISNUMBER(G29),F29&gt;0,1-N(Ввод!$E$17)/100&gt;0),MAX(0,(F29*G29-SUMPRODUCT((Закрытые!$B$5:$B$300=$B29)*((Закрытые!$F$5:$F$300+Закрытые!$I$5:$I$300-ABS(Закрытые!$F$5:$F$300-Закрытые!$I$5:$I$300))/2)*(Закрытые!$J$5:$J$300-Закрытые!$G$5:$G$300)))/F29)/(1-N(Ввод!$E$17)/100),IF(AND(ISNUMBER(I29),ISNUMBER(J29),I29&gt;0),MAX(0,(I29*J29+SUMPRODUCT((Закрытые!$B$5:$B$300=$B29)*((Закрытые!$F$5:$F$300+Закрытые!$I$5:$I$300-ABS(Закрытые!$F$5:$F$300-Закрытые!$I$5:$I$300))/2)*(Закрытые!$J$5:$J$300-Закрытые!$G$5:$G$300)))/I29)/(1+N(Ввод!$E$17)/100),""))</f>
        <v/>
      </c>
    </row>
    <row r="30" ht="22" customHeight="1">
      <c r="B30" s="318" t="n"/>
      <c r="C30" s="319" t="n"/>
      <c r="D30" s="318" t="n"/>
      <c r="E30" s="320" t="n"/>
      <c r="F30" s="321" t="n"/>
      <c r="G30" s="322" t="n"/>
      <c r="H30" s="271">
        <f>IF(AND(ISNUMBER(F30),ISNUMBER(G30)),F30*G30,"")</f>
        <v/>
      </c>
      <c r="I30" s="321" t="n"/>
      <c r="J30" s="322" t="n"/>
      <c r="K30" s="271">
        <f>IF(AND(ISNUMBER(I30),ISNUMBER(J30)),I30*J30,"")</f>
        <v/>
      </c>
      <c r="L30" s="246">
        <f>IF(COUNT(F30,I30)=0,"",N(F30)-N(I30))</f>
        <v/>
      </c>
      <c r="M30" s="247">
        <f>IF(COUNT(H30,K30)=0,"",N(K30)-N(H30))</f>
        <v/>
      </c>
      <c r="N30" s="246">
        <f>IF(AND(ISNUMBER(F30),ISNUMBER(G30),F30&gt;0,1-N(Ввод!$E$17)/100&gt;0),MAX(0,(F30*G30-SUMPRODUCT((Закрытые!$B$5:$B$300=$B30)*((Закрытые!$F$5:$F$300+Закрытые!$I$5:$I$300-ABS(Закрытые!$F$5:$F$300-Закрытые!$I$5:$I$300))/2)*(Закрытые!$J$5:$J$300-Закрытые!$G$5:$G$300)))/F30)/(1-N(Ввод!$E$17)/100),IF(AND(ISNUMBER(I30),ISNUMBER(J30),I30&gt;0),MAX(0,(I30*J30+SUMPRODUCT((Закрытые!$B$5:$B$300=$B30)*((Закрытые!$F$5:$F$300+Закрытые!$I$5:$I$300-ABS(Закрытые!$F$5:$F$300-Закрытые!$I$5:$I$300))/2)*(Закрытые!$J$5:$J$300-Закрытые!$G$5:$G$300)))/I30)/(1+N(Ввод!$E$17)/100),""))</f>
        <v/>
      </c>
    </row>
    <row r="31" ht="22" customHeight="1">
      <c r="B31" s="313" t="n"/>
      <c r="C31" s="314" t="n"/>
      <c r="D31" s="313" t="n"/>
      <c r="E31" s="315" t="n"/>
      <c r="F31" s="316" t="n"/>
      <c r="G31" s="317" t="n"/>
      <c r="H31" s="271">
        <f>IF(AND(ISNUMBER(F31),ISNUMBER(G31)),F31*G31,"")</f>
        <v/>
      </c>
      <c r="I31" s="316" t="n"/>
      <c r="J31" s="317" t="n"/>
      <c r="K31" s="271">
        <f>IF(AND(ISNUMBER(I31),ISNUMBER(J31)),I31*J31,"")</f>
        <v/>
      </c>
      <c r="L31" s="240">
        <f>IF(COUNT(F31,I31)=0,"",N(F31)-N(I31))</f>
        <v/>
      </c>
      <c r="M31" s="241">
        <f>IF(COUNT(H31,K31)=0,"",N(K31)-N(H31))</f>
        <v/>
      </c>
      <c r="N31" s="240">
        <f>IF(AND(ISNUMBER(F31),ISNUMBER(G31),F31&gt;0,1-N(Ввод!$E$17)/100&gt;0),MAX(0,(F31*G31-SUMPRODUCT((Закрытые!$B$5:$B$300=$B31)*((Закрытые!$F$5:$F$300+Закрытые!$I$5:$I$300-ABS(Закрытые!$F$5:$F$300-Закрытые!$I$5:$I$300))/2)*(Закрытые!$J$5:$J$300-Закрытые!$G$5:$G$300)))/F31)/(1-N(Ввод!$E$17)/100),IF(AND(ISNUMBER(I31),ISNUMBER(J31),I31&gt;0),MAX(0,(I31*J31+SUMPRODUCT((Закрытые!$B$5:$B$300=$B31)*((Закрытые!$F$5:$F$300+Закрытые!$I$5:$I$300-ABS(Закрытые!$F$5:$F$300-Закрытые!$I$5:$I$300))/2)*(Закрытые!$J$5:$J$300-Закрытые!$G$5:$G$300)))/I31)/(1+N(Ввод!$E$17)/100),""))</f>
        <v/>
      </c>
    </row>
    <row r="32" ht="22" customHeight="1">
      <c r="B32" s="318" t="n"/>
      <c r="C32" s="319" t="n"/>
      <c r="D32" s="318" t="n"/>
      <c r="E32" s="320" t="n"/>
      <c r="F32" s="321" t="n"/>
      <c r="G32" s="322" t="n"/>
      <c r="H32" s="271">
        <f>IF(AND(ISNUMBER(F32),ISNUMBER(G32)),F32*G32,"")</f>
        <v/>
      </c>
      <c r="I32" s="321" t="n"/>
      <c r="J32" s="322" t="n"/>
      <c r="K32" s="271">
        <f>IF(AND(ISNUMBER(I32),ISNUMBER(J32)),I32*J32,"")</f>
        <v/>
      </c>
      <c r="L32" s="246">
        <f>IF(COUNT(F32,I32)=0,"",N(F32)-N(I32))</f>
        <v/>
      </c>
      <c r="M32" s="247">
        <f>IF(COUNT(H32,K32)=0,"",N(K32)-N(H32))</f>
        <v/>
      </c>
      <c r="N32" s="246">
        <f>IF(AND(ISNUMBER(F32),ISNUMBER(G32),F32&gt;0,1-N(Ввод!$E$17)/100&gt;0),MAX(0,(F32*G32-SUMPRODUCT((Закрытые!$B$5:$B$300=$B32)*((Закрытые!$F$5:$F$300+Закрытые!$I$5:$I$300-ABS(Закрытые!$F$5:$F$300-Закрытые!$I$5:$I$300))/2)*(Закрытые!$J$5:$J$300-Закрытые!$G$5:$G$300)))/F32)/(1-N(Ввод!$E$17)/100),IF(AND(ISNUMBER(I32),ISNUMBER(J32),I32&gt;0),MAX(0,(I32*J32+SUMPRODUCT((Закрытые!$B$5:$B$300=$B32)*((Закрытые!$F$5:$F$300+Закрытые!$I$5:$I$300-ABS(Закрытые!$F$5:$F$300-Закрытые!$I$5:$I$300))/2)*(Закрытые!$J$5:$J$300-Закрытые!$G$5:$G$300)))/I32)/(1+N(Ввод!$E$17)/100),""))</f>
        <v/>
      </c>
    </row>
    <row r="33" ht="22" customHeight="1">
      <c r="B33" s="313" t="n"/>
      <c r="C33" s="314" t="n"/>
      <c r="D33" s="313" t="n"/>
      <c r="E33" s="315" t="n"/>
      <c r="F33" s="316" t="n"/>
      <c r="G33" s="317" t="n"/>
      <c r="H33" s="271">
        <f>IF(AND(ISNUMBER(F33),ISNUMBER(G33)),F33*G33,"")</f>
        <v/>
      </c>
      <c r="I33" s="316" t="n"/>
      <c r="J33" s="317" t="n"/>
      <c r="K33" s="271">
        <f>IF(AND(ISNUMBER(I33),ISNUMBER(J33)),I33*J33,"")</f>
        <v/>
      </c>
      <c r="L33" s="240">
        <f>IF(COUNT(F33,I33)=0,"",N(F33)-N(I33))</f>
        <v/>
      </c>
      <c r="M33" s="241">
        <f>IF(COUNT(H33,K33)=0,"",N(K33)-N(H33))</f>
        <v/>
      </c>
      <c r="N33" s="240">
        <f>IF(AND(ISNUMBER(F33),ISNUMBER(G33),F33&gt;0,1-N(Ввод!$E$17)/100&gt;0),MAX(0,(F33*G33-SUMPRODUCT((Закрытые!$B$5:$B$300=$B33)*((Закрытые!$F$5:$F$300+Закрытые!$I$5:$I$300-ABS(Закрытые!$F$5:$F$300-Закрытые!$I$5:$I$300))/2)*(Закрытые!$J$5:$J$300-Закрытые!$G$5:$G$300)))/F33)/(1-N(Ввод!$E$17)/100),IF(AND(ISNUMBER(I33),ISNUMBER(J33),I33&gt;0),MAX(0,(I33*J33+SUMPRODUCT((Закрытые!$B$5:$B$300=$B33)*((Закрытые!$F$5:$F$300+Закрытые!$I$5:$I$300-ABS(Закрытые!$F$5:$F$300-Закрытые!$I$5:$I$300))/2)*(Закрытые!$J$5:$J$300-Закрытые!$G$5:$G$300)))/I33)/(1+N(Ввод!$E$17)/100),""))</f>
        <v/>
      </c>
    </row>
    <row r="34" ht="22" customHeight="1">
      <c r="B34" s="318" t="n"/>
      <c r="C34" s="319" t="n"/>
      <c r="D34" s="318" t="n"/>
      <c r="E34" s="320" t="n"/>
      <c r="F34" s="321" t="n"/>
      <c r="G34" s="322" t="n"/>
      <c r="H34" s="271">
        <f>IF(AND(ISNUMBER(F34),ISNUMBER(G34)),F34*G34,"")</f>
        <v/>
      </c>
      <c r="I34" s="321" t="n"/>
      <c r="J34" s="322" t="n"/>
      <c r="K34" s="271">
        <f>IF(AND(ISNUMBER(I34),ISNUMBER(J34)),I34*J34,"")</f>
        <v/>
      </c>
      <c r="L34" s="246">
        <f>IF(COUNT(F34,I34)=0,"",N(F34)-N(I34))</f>
        <v/>
      </c>
      <c r="M34" s="247">
        <f>IF(COUNT(H34,K34)=0,"",N(K34)-N(H34))</f>
        <v/>
      </c>
      <c r="N34" s="246">
        <f>IF(AND(ISNUMBER(F34),ISNUMBER(G34),F34&gt;0,1-N(Ввод!$E$17)/100&gt;0),MAX(0,(F34*G34-SUMPRODUCT((Закрытые!$B$5:$B$300=$B34)*((Закрытые!$F$5:$F$300+Закрытые!$I$5:$I$300-ABS(Закрытые!$F$5:$F$300-Закрытые!$I$5:$I$300))/2)*(Закрытые!$J$5:$J$300-Закрытые!$G$5:$G$300)))/F34)/(1-N(Ввод!$E$17)/100),IF(AND(ISNUMBER(I34),ISNUMBER(J34),I34&gt;0),MAX(0,(I34*J34+SUMPRODUCT((Закрытые!$B$5:$B$300=$B34)*((Закрытые!$F$5:$F$300+Закрытые!$I$5:$I$300-ABS(Закрытые!$F$5:$F$300-Закрытые!$I$5:$I$300))/2)*(Закрытые!$J$5:$J$300-Закрытые!$G$5:$G$300)))/I34)/(1+N(Ввод!$E$17)/100),""))</f>
        <v/>
      </c>
    </row>
    <row r="35" ht="22" customHeight="1">
      <c r="B35" s="313" t="n"/>
      <c r="C35" s="314" t="n"/>
      <c r="D35" s="313" t="n"/>
      <c r="E35" s="315" t="n"/>
      <c r="F35" s="316" t="n"/>
      <c r="G35" s="317" t="n"/>
      <c r="H35" s="271">
        <f>IF(AND(ISNUMBER(F35),ISNUMBER(G35)),F35*G35,"")</f>
        <v/>
      </c>
      <c r="I35" s="316" t="n"/>
      <c r="J35" s="317" t="n"/>
      <c r="K35" s="271">
        <f>IF(AND(ISNUMBER(I35),ISNUMBER(J35)),I35*J35,"")</f>
        <v/>
      </c>
      <c r="L35" s="240">
        <f>IF(COUNT(F35,I35)=0,"",N(F35)-N(I35))</f>
        <v/>
      </c>
      <c r="M35" s="241">
        <f>IF(COUNT(H35,K35)=0,"",N(K35)-N(H35))</f>
        <v/>
      </c>
      <c r="N35" s="240">
        <f>IF(AND(ISNUMBER(F35),ISNUMBER(G35),F35&gt;0,1-N(Ввод!$E$17)/100&gt;0),MAX(0,(F35*G35-SUMPRODUCT((Закрытые!$B$5:$B$300=$B35)*((Закрытые!$F$5:$F$300+Закрытые!$I$5:$I$300-ABS(Закрытые!$F$5:$F$300-Закрытые!$I$5:$I$300))/2)*(Закрытые!$J$5:$J$300-Закрытые!$G$5:$G$300)))/F35)/(1-N(Ввод!$E$17)/100),IF(AND(ISNUMBER(I35),ISNUMBER(J35),I35&gt;0),MAX(0,(I35*J35+SUMPRODUCT((Закрытые!$B$5:$B$300=$B35)*((Закрытые!$F$5:$F$300+Закрытые!$I$5:$I$300-ABS(Закрытые!$F$5:$F$300-Закрытые!$I$5:$I$300))/2)*(Закрытые!$J$5:$J$300-Закрытые!$G$5:$G$300)))/I35)/(1+N(Ввод!$E$17)/100),""))</f>
        <v/>
      </c>
    </row>
    <row r="36" ht="22" customHeight="1">
      <c r="B36" s="318" t="n"/>
      <c r="C36" s="319" t="n"/>
      <c r="D36" s="318" t="n"/>
      <c r="E36" s="320" t="n"/>
      <c r="F36" s="321" t="n"/>
      <c r="G36" s="322" t="n"/>
      <c r="H36" s="271">
        <f>IF(AND(ISNUMBER(F36),ISNUMBER(G36)),F36*G36,"")</f>
        <v/>
      </c>
      <c r="I36" s="321" t="n"/>
      <c r="J36" s="322" t="n"/>
      <c r="K36" s="271">
        <f>IF(AND(ISNUMBER(I36),ISNUMBER(J36)),I36*J36,"")</f>
        <v/>
      </c>
      <c r="L36" s="246">
        <f>IF(COUNT(F36,I36)=0,"",N(F36)-N(I36))</f>
        <v/>
      </c>
      <c r="M36" s="247">
        <f>IF(COUNT(H36,K36)=0,"",N(K36)-N(H36))</f>
        <v/>
      </c>
      <c r="N36" s="246">
        <f>IF(AND(ISNUMBER(F36),ISNUMBER(G36),F36&gt;0,1-N(Ввод!$E$17)/100&gt;0),MAX(0,(F36*G36-SUMPRODUCT((Закрытые!$B$5:$B$300=$B36)*((Закрытые!$F$5:$F$300+Закрытые!$I$5:$I$300-ABS(Закрытые!$F$5:$F$300-Закрытые!$I$5:$I$300))/2)*(Закрытые!$J$5:$J$300-Закрытые!$G$5:$G$300)))/F36)/(1-N(Ввод!$E$17)/100),IF(AND(ISNUMBER(I36),ISNUMBER(J36),I36&gt;0),MAX(0,(I36*J36+SUMPRODUCT((Закрытые!$B$5:$B$300=$B36)*((Закрытые!$F$5:$F$300+Закрытые!$I$5:$I$300-ABS(Закрытые!$F$5:$F$300-Закрытые!$I$5:$I$300))/2)*(Закрытые!$J$5:$J$300-Закрытые!$G$5:$G$300)))/I36)/(1+N(Ввод!$E$17)/100),""))</f>
        <v/>
      </c>
    </row>
    <row r="37" ht="22" customHeight="1">
      <c r="B37" s="313" t="n"/>
      <c r="C37" s="314" t="n"/>
      <c r="D37" s="313" t="n"/>
      <c r="E37" s="315" t="n"/>
      <c r="F37" s="316" t="n"/>
      <c r="G37" s="317" t="n"/>
      <c r="H37" s="271">
        <f>IF(AND(ISNUMBER(F37),ISNUMBER(G37)),F37*G37,"")</f>
        <v/>
      </c>
      <c r="I37" s="316" t="n"/>
      <c r="J37" s="317" t="n"/>
      <c r="K37" s="271">
        <f>IF(AND(ISNUMBER(I37),ISNUMBER(J37)),I37*J37,"")</f>
        <v/>
      </c>
      <c r="L37" s="240">
        <f>IF(COUNT(F37,I37)=0,"",N(F37)-N(I37))</f>
        <v/>
      </c>
      <c r="M37" s="241">
        <f>IF(COUNT(H37,K37)=0,"",N(K37)-N(H37))</f>
        <v/>
      </c>
      <c r="N37" s="240">
        <f>IF(AND(ISNUMBER(F37),ISNUMBER(G37),F37&gt;0,1-N(Ввод!$E$17)/100&gt;0),MAX(0,(F37*G37-SUMPRODUCT((Закрытые!$B$5:$B$300=$B37)*((Закрытые!$F$5:$F$300+Закрытые!$I$5:$I$300-ABS(Закрытые!$F$5:$F$300-Закрытые!$I$5:$I$300))/2)*(Закрытые!$J$5:$J$300-Закрытые!$G$5:$G$300)))/F37)/(1-N(Ввод!$E$17)/100),IF(AND(ISNUMBER(I37),ISNUMBER(J37),I37&gt;0),MAX(0,(I37*J37+SUMPRODUCT((Закрытые!$B$5:$B$300=$B37)*((Закрытые!$F$5:$F$300+Закрытые!$I$5:$I$300-ABS(Закрытые!$F$5:$F$300-Закрытые!$I$5:$I$300))/2)*(Закрытые!$J$5:$J$300-Закрытые!$G$5:$G$300)))/I37)/(1+N(Ввод!$E$17)/100),""))</f>
        <v/>
      </c>
    </row>
    <row r="38" ht="22" customHeight="1">
      <c r="B38" s="318" t="n"/>
      <c r="C38" s="319" t="n"/>
      <c r="D38" s="318" t="n"/>
      <c r="E38" s="320" t="n"/>
      <c r="F38" s="321" t="n"/>
      <c r="G38" s="322" t="n"/>
      <c r="H38" s="271">
        <f>IF(AND(ISNUMBER(F38),ISNUMBER(G38)),F38*G38,"")</f>
        <v/>
      </c>
      <c r="I38" s="321" t="n"/>
      <c r="J38" s="322" t="n"/>
      <c r="K38" s="271">
        <f>IF(AND(ISNUMBER(I38),ISNUMBER(J38)),I38*J38,"")</f>
        <v/>
      </c>
      <c r="L38" s="246">
        <f>IF(COUNT(F38,I38)=0,"",N(F38)-N(I38))</f>
        <v/>
      </c>
      <c r="M38" s="247">
        <f>IF(COUNT(H38,K38)=0,"",N(K38)-N(H38))</f>
        <v/>
      </c>
      <c r="N38" s="246">
        <f>IF(AND(ISNUMBER(F38),ISNUMBER(G38),F38&gt;0,1-N(Ввод!$E$17)/100&gt;0),MAX(0,(F38*G38-SUMPRODUCT((Закрытые!$B$5:$B$300=$B38)*((Закрытые!$F$5:$F$300+Закрытые!$I$5:$I$300-ABS(Закрытые!$F$5:$F$300-Закрытые!$I$5:$I$300))/2)*(Закрытые!$J$5:$J$300-Закрытые!$G$5:$G$300)))/F38)/(1-N(Ввод!$E$17)/100),IF(AND(ISNUMBER(I38),ISNUMBER(J38),I38&gt;0),MAX(0,(I38*J38+SUMPRODUCT((Закрытые!$B$5:$B$300=$B38)*((Закрытые!$F$5:$F$300+Закрытые!$I$5:$I$300-ABS(Закрытые!$F$5:$F$300-Закрытые!$I$5:$I$300))/2)*(Закрытые!$J$5:$J$300-Закрытые!$G$5:$G$300)))/I38)/(1+N(Ввод!$E$17)/100),""))</f>
        <v/>
      </c>
    </row>
    <row r="39" ht="22" customHeight="1">
      <c r="B39" s="313" t="n"/>
      <c r="C39" s="314" t="n"/>
      <c r="D39" s="313" t="n"/>
      <c r="E39" s="315" t="n"/>
      <c r="F39" s="316" t="n"/>
      <c r="G39" s="317" t="n"/>
      <c r="H39" s="271">
        <f>IF(AND(ISNUMBER(F39),ISNUMBER(G39)),F39*G39,"")</f>
        <v/>
      </c>
      <c r="I39" s="316" t="n"/>
      <c r="J39" s="317" t="n"/>
      <c r="K39" s="271">
        <f>IF(AND(ISNUMBER(I39),ISNUMBER(J39)),I39*J39,"")</f>
        <v/>
      </c>
      <c r="L39" s="240">
        <f>IF(COUNT(F39,I39)=0,"",N(F39)-N(I39))</f>
        <v/>
      </c>
      <c r="M39" s="241">
        <f>IF(COUNT(H39,K39)=0,"",N(K39)-N(H39))</f>
        <v/>
      </c>
      <c r="N39" s="240">
        <f>IF(AND(ISNUMBER(F39),ISNUMBER(G39),F39&gt;0,1-N(Ввод!$E$17)/100&gt;0),MAX(0,(F39*G39-SUMPRODUCT((Закрытые!$B$5:$B$300=$B39)*((Закрытые!$F$5:$F$300+Закрытые!$I$5:$I$300-ABS(Закрытые!$F$5:$F$300-Закрытые!$I$5:$I$300))/2)*(Закрытые!$J$5:$J$300-Закрытые!$G$5:$G$300)))/F39)/(1-N(Ввод!$E$17)/100),IF(AND(ISNUMBER(I39),ISNUMBER(J39),I39&gt;0),MAX(0,(I39*J39+SUMPRODUCT((Закрытые!$B$5:$B$300=$B39)*((Закрытые!$F$5:$F$300+Закрытые!$I$5:$I$300-ABS(Закрытые!$F$5:$F$300-Закрытые!$I$5:$I$300))/2)*(Закрытые!$J$5:$J$300-Закрытые!$G$5:$G$300)))/I39)/(1+N(Ввод!$E$17)/100),""))</f>
        <v/>
      </c>
    </row>
    <row r="40" ht="22" customHeight="1">
      <c r="B40" s="318" t="n"/>
      <c r="C40" s="319" t="n"/>
      <c r="D40" s="318" t="n"/>
      <c r="E40" s="320" t="n"/>
      <c r="F40" s="321" t="n"/>
      <c r="G40" s="322" t="n"/>
      <c r="H40" s="271">
        <f>IF(AND(ISNUMBER(F40),ISNUMBER(G40)),F40*G40,"")</f>
        <v/>
      </c>
      <c r="I40" s="321" t="n"/>
      <c r="J40" s="322" t="n"/>
      <c r="K40" s="271">
        <f>IF(AND(ISNUMBER(I40),ISNUMBER(J40)),I40*J40,"")</f>
        <v/>
      </c>
      <c r="L40" s="246">
        <f>IF(COUNT(F40,I40)=0,"",N(F40)-N(I40))</f>
        <v/>
      </c>
      <c r="M40" s="247">
        <f>IF(COUNT(H40,K40)=0,"",N(K40)-N(H40))</f>
        <v/>
      </c>
      <c r="N40" s="246">
        <f>IF(AND(ISNUMBER(F40),ISNUMBER(G40),F40&gt;0,1-N(Ввод!$E$17)/100&gt;0),MAX(0,(F40*G40-SUMPRODUCT((Закрытые!$B$5:$B$300=$B40)*((Закрытые!$F$5:$F$300+Закрытые!$I$5:$I$300-ABS(Закрытые!$F$5:$F$300-Закрытые!$I$5:$I$300))/2)*(Закрытые!$J$5:$J$300-Закрытые!$G$5:$G$300)))/F40)/(1-N(Ввод!$E$17)/100),IF(AND(ISNUMBER(I40),ISNUMBER(J40),I40&gt;0),MAX(0,(I40*J40+SUMPRODUCT((Закрытые!$B$5:$B$300=$B40)*((Закрытые!$F$5:$F$300+Закрытые!$I$5:$I$300-ABS(Закрытые!$F$5:$F$300-Закрытые!$I$5:$I$300))/2)*(Закрытые!$J$5:$J$300-Закрытые!$G$5:$G$300)))/I40)/(1+N(Ввод!$E$17)/100),""))</f>
        <v/>
      </c>
    </row>
    <row r="41" ht="22" customHeight="1">
      <c r="B41" s="313" t="n"/>
      <c r="C41" s="314" t="n"/>
      <c r="D41" s="313" t="n"/>
      <c r="E41" s="315" t="n"/>
      <c r="F41" s="316" t="n"/>
      <c r="G41" s="317" t="n"/>
      <c r="H41" s="271">
        <f>IF(AND(ISNUMBER(F41),ISNUMBER(G41)),F41*G41,"")</f>
        <v/>
      </c>
      <c r="I41" s="316" t="n"/>
      <c r="J41" s="317" t="n"/>
      <c r="K41" s="271">
        <f>IF(AND(ISNUMBER(I41),ISNUMBER(J41)),I41*J41,"")</f>
        <v/>
      </c>
      <c r="L41" s="240">
        <f>IF(COUNT(F41,I41)=0,"",N(F41)-N(I41))</f>
        <v/>
      </c>
      <c r="M41" s="241">
        <f>IF(COUNT(H41,K41)=0,"",N(K41)-N(H41))</f>
        <v/>
      </c>
      <c r="N41" s="240">
        <f>IF(AND(ISNUMBER(F41),ISNUMBER(G41),F41&gt;0,1-N(Ввод!$E$17)/100&gt;0),MAX(0,(F41*G41-SUMPRODUCT((Закрытые!$B$5:$B$300=$B41)*((Закрытые!$F$5:$F$300+Закрытые!$I$5:$I$300-ABS(Закрытые!$F$5:$F$300-Закрытые!$I$5:$I$300))/2)*(Закрытые!$J$5:$J$300-Закрытые!$G$5:$G$300)))/F41)/(1-N(Ввод!$E$17)/100),IF(AND(ISNUMBER(I41),ISNUMBER(J41),I41&gt;0),MAX(0,(I41*J41+SUMPRODUCT((Закрытые!$B$5:$B$300=$B41)*((Закрытые!$F$5:$F$300+Закрытые!$I$5:$I$300-ABS(Закрытые!$F$5:$F$300-Закрытые!$I$5:$I$300))/2)*(Закрытые!$J$5:$J$300-Закрытые!$G$5:$G$300)))/I41)/(1+N(Ввод!$E$17)/100),""))</f>
        <v/>
      </c>
    </row>
    <row r="42" ht="22" customHeight="1">
      <c r="B42" s="318" t="n"/>
      <c r="C42" s="319" t="n"/>
      <c r="D42" s="318" t="n"/>
      <c r="E42" s="320" t="n"/>
      <c r="F42" s="321" t="n"/>
      <c r="G42" s="322" t="n"/>
      <c r="H42" s="271">
        <f>IF(AND(ISNUMBER(F42),ISNUMBER(G42)),F42*G42,"")</f>
        <v/>
      </c>
      <c r="I42" s="321" t="n"/>
      <c r="J42" s="322" t="n"/>
      <c r="K42" s="271">
        <f>IF(AND(ISNUMBER(I42),ISNUMBER(J42)),I42*J42,"")</f>
        <v/>
      </c>
      <c r="L42" s="246">
        <f>IF(COUNT(F42,I42)=0,"",N(F42)-N(I42))</f>
        <v/>
      </c>
      <c r="M42" s="247">
        <f>IF(COUNT(H42,K42)=0,"",N(K42)-N(H42))</f>
        <v/>
      </c>
      <c r="N42" s="246">
        <f>IF(AND(ISNUMBER(F42),ISNUMBER(G42),F42&gt;0,1-N(Ввод!$E$17)/100&gt;0),MAX(0,(F42*G42-SUMPRODUCT((Закрытые!$B$5:$B$300=$B42)*((Закрытые!$F$5:$F$300+Закрытые!$I$5:$I$300-ABS(Закрытые!$F$5:$F$300-Закрытые!$I$5:$I$300))/2)*(Закрытые!$J$5:$J$300-Закрытые!$G$5:$G$300)))/F42)/(1-N(Ввод!$E$17)/100),IF(AND(ISNUMBER(I42),ISNUMBER(J42),I42&gt;0),MAX(0,(I42*J42+SUMPRODUCT((Закрытые!$B$5:$B$300=$B42)*((Закрытые!$F$5:$F$300+Закрытые!$I$5:$I$300-ABS(Закрытые!$F$5:$F$300-Закрытые!$I$5:$I$300))/2)*(Закрытые!$J$5:$J$300-Закрытые!$G$5:$G$300)))/I42)/(1+N(Ввод!$E$17)/100),""))</f>
        <v/>
      </c>
    </row>
    <row r="43" ht="22" customHeight="1">
      <c r="B43" s="313" t="n"/>
      <c r="C43" s="314" t="n"/>
      <c r="D43" s="313" t="n"/>
      <c r="E43" s="315" t="n"/>
      <c r="F43" s="316" t="n"/>
      <c r="G43" s="317" t="n"/>
      <c r="H43" s="271">
        <f>IF(AND(ISNUMBER(F43),ISNUMBER(G43)),F43*G43,"")</f>
        <v/>
      </c>
      <c r="I43" s="316" t="n"/>
      <c r="J43" s="317" t="n"/>
      <c r="K43" s="271">
        <f>IF(AND(ISNUMBER(I43),ISNUMBER(J43)),I43*J43,"")</f>
        <v/>
      </c>
      <c r="L43" s="240">
        <f>IF(COUNT(F43,I43)=0,"",N(F43)-N(I43))</f>
        <v/>
      </c>
      <c r="M43" s="241">
        <f>IF(COUNT(H43,K43)=0,"",N(K43)-N(H43))</f>
        <v/>
      </c>
      <c r="N43" s="240">
        <f>IF(AND(ISNUMBER(F43),ISNUMBER(G43),F43&gt;0,1-N(Ввод!$E$17)/100&gt;0),MAX(0,(F43*G43-SUMPRODUCT((Закрытые!$B$5:$B$300=$B43)*((Закрытые!$F$5:$F$300+Закрытые!$I$5:$I$300-ABS(Закрытые!$F$5:$F$300-Закрытые!$I$5:$I$300))/2)*(Закрытые!$J$5:$J$300-Закрытые!$G$5:$G$300)))/F43)/(1-N(Ввод!$E$17)/100),IF(AND(ISNUMBER(I43),ISNUMBER(J43),I43&gt;0),MAX(0,(I43*J43+SUMPRODUCT((Закрытые!$B$5:$B$300=$B43)*((Закрытые!$F$5:$F$300+Закрытые!$I$5:$I$300-ABS(Закрытые!$F$5:$F$300-Закрытые!$I$5:$I$300))/2)*(Закрытые!$J$5:$J$300-Закрытые!$G$5:$G$300)))/I43)/(1+N(Ввод!$E$17)/100),""))</f>
        <v/>
      </c>
    </row>
    <row r="44" ht="22" customHeight="1">
      <c r="B44" s="318" t="n"/>
      <c r="C44" s="319" t="n"/>
      <c r="D44" s="318" t="n"/>
      <c r="E44" s="320" t="n"/>
      <c r="F44" s="321" t="n"/>
      <c r="G44" s="322" t="n"/>
      <c r="H44" s="271">
        <f>IF(AND(ISNUMBER(F44),ISNUMBER(G44)),F44*G44,"")</f>
        <v/>
      </c>
      <c r="I44" s="321" t="n"/>
      <c r="J44" s="322" t="n"/>
      <c r="K44" s="271">
        <f>IF(AND(ISNUMBER(I44),ISNUMBER(J44)),I44*J44,"")</f>
        <v/>
      </c>
      <c r="L44" s="246">
        <f>IF(COUNT(F44,I44)=0,"",N(F44)-N(I44))</f>
        <v/>
      </c>
      <c r="M44" s="247">
        <f>IF(COUNT(H44,K44)=0,"",N(K44)-N(H44))</f>
        <v/>
      </c>
      <c r="N44" s="246">
        <f>IF(AND(ISNUMBER(F44),ISNUMBER(G44),F44&gt;0,1-N(Ввод!$E$17)/100&gt;0),MAX(0,(F44*G44-SUMPRODUCT((Закрытые!$B$5:$B$300=$B44)*((Закрытые!$F$5:$F$300+Закрытые!$I$5:$I$300-ABS(Закрытые!$F$5:$F$300-Закрытые!$I$5:$I$300))/2)*(Закрытые!$J$5:$J$300-Закрытые!$G$5:$G$300)))/F44)/(1-N(Ввод!$E$17)/100),IF(AND(ISNUMBER(I44),ISNUMBER(J44),I44&gt;0),MAX(0,(I44*J44+SUMPRODUCT((Закрытые!$B$5:$B$300=$B44)*((Закрытые!$F$5:$F$300+Закрытые!$I$5:$I$300-ABS(Закрытые!$F$5:$F$300-Закрытые!$I$5:$I$300))/2)*(Закрытые!$J$5:$J$300-Закрытые!$G$5:$G$300)))/I44)/(1+N(Ввод!$E$17)/100),""))</f>
        <v/>
      </c>
    </row>
    <row r="45" ht="22" customHeight="1">
      <c r="B45" s="313" t="n"/>
      <c r="C45" s="314" t="n"/>
      <c r="D45" s="313" t="n"/>
      <c r="E45" s="315" t="n"/>
      <c r="F45" s="316" t="n"/>
      <c r="G45" s="317" t="n"/>
      <c r="H45" s="271">
        <f>IF(AND(ISNUMBER(F45),ISNUMBER(G45)),F45*G45,"")</f>
        <v/>
      </c>
      <c r="I45" s="316" t="n"/>
      <c r="J45" s="317" t="n"/>
      <c r="K45" s="271">
        <f>IF(AND(ISNUMBER(I45),ISNUMBER(J45)),I45*J45,"")</f>
        <v/>
      </c>
      <c r="L45" s="240">
        <f>IF(COUNT(F45,I45)=0,"",N(F45)-N(I45))</f>
        <v/>
      </c>
      <c r="M45" s="241">
        <f>IF(COUNT(H45,K45)=0,"",N(K45)-N(H45))</f>
        <v/>
      </c>
      <c r="N45" s="240">
        <f>IF(AND(ISNUMBER(F45),ISNUMBER(G45),F45&gt;0,1-N(Ввод!$E$17)/100&gt;0),MAX(0,(F45*G45-SUMPRODUCT((Закрытые!$B$5:$B$300=$B45)*((Закрытые!$F$5:$F$300+Закрытые!$I$5:$I$300-ABS(Закрытые!$F$5:$F$300-Закрытые!$I$5:$I$300))/2)*(Закрытые!$J$5:$J$300-Закрытые!$G$5:$G$300)))/F45)/(1-N(Ввод!$E$17)/100),IF(AND(ISNUMBER(I45),ISNUMBER(J45),I45&gt;0),MAX(0,(I45*J45+SUMPRODUCT((Закрытые!$B$5:$B$300=$B45)*((Закрытые!$F$5:$F$300+Закрытые!$I$5:$I$300-ABS(Закрытые!$F$5:$F$300-Закрытые!$I$5:$I$300))/2)*(Закрытые!$J$5:$J$300-Закрытые!$G$5:$G$300)))/I45)/(1+N(Ввод!$E$17)/100),""))</f>
        <v/>
      </c>
    </row>
    <row r="46" ht="22" customHeight="1">
      <c r="B46" s="318" t="n"/>
      <c r="C46" s="319" t="n"/>
      <c r="D46" s="318" t="n"/>
      <c r="E46" s="320" t="n"/>
      <c r="F46" s="321" t="n"/>
      <c r="G46" s="322" t="n"/>
      <c r="H46" s="271">
        <f>IF(AND(ISNUMBER(F46),ISNUMBER(G46)),F46*G46,"")</f>
        <v/>
      </c>
      <c r="I46" s="321" t="n"/>
      <c r="J46" s="322" t="n"/>
      <c r="K46" s="271">
        <f>IF(AND(ISNUMBER(I46),ISNUMBER(J46)),I46*J46,"")</f>
        <v/>
      </c>
      <c r="L46" s="246">
        <f>IF(COUNT(F46,I46)=0,"",N(F46)-N(I46))</f>
        <v/>
      </c>
      <c r="M46" s="247">
        <f>IF(COUNT(H46,K46)=0,"",N(K46)-N(H46))</f>
        <v/>
      </c>
      <c r="N46" s="246">
        <f>IF(AND(ISNUMBER(F46),ISNUMBER(G46),F46&gt;0,1-N(Ввод!$E$17)/100&gt;0),MAX(0,(F46*G46-SUMPRODUCT((Закрытые!$B$5:$B$300=$B46)*((Закрытые!$F$5:$F$300+Закрытые!$I$5:$I$300-ABS(Закрытые!$F$5:$F$300-Закрытые!$I$5:$I$300))/2)*(Закрытые!$J$5:$J$300-Закрытые!$G$5:$G$300)))/F46)/(1-N(Ввод!$E$17)/100),IF(AND(ISNUMBER(I46),ISNUMBER(J46),I46&gt;0),MAX(0,(I46*J46+SUMPRODUCT((Закрытые!$B$5:$B$300=$B46)*((Закрытые!$F$5:$F$300+Закрытые!$I$5:$I$300-ABS(Закрытые!$F$5:$F$300-Закрытые!$I$5:$I$300))/2)*(Закрытые!$J$5:$J$300-Закрытые!$G$5:$G$300)))/I46)/(1+N(Ввод!$E$17)/100),""))</f>
        <v/>
      </c>
    </row>
    <row r="47" ht="22" customHeight="1">
      <c r="B47" s="313" t="n"/>
      <c r="C47" s="314" t="n"/>
      <c r="D47" s="313" t="n"/>
      <c r="E47" s="315" t="n"/>
      <c r="F47" s="316" t="n"/>
      <c r="G47" s="317" t="n"/>
      <c r="H47" s="271">
        <f>IF(AND(ISNUMBER(F47),ISNUMBER(G47)),F47*G47,"")</f>
        <v/>
      </c>
      <c r="I47" s="316" t="n"/>
      <c r="J47" s="317" t="n"/>
      <c r="K47" s="271">
        <f>IF(AND(ISNUMBER(I47),ISNUMBER(J47)),I47*J47,"")</f>
        <v/>
      </c>
      <c r="L47" s="240">
        <f>IF(COUNT(F47,I47)=0,"",N(F47)-N(I47))</f>
        <v/>
      </c>
      <c r="M47" s="241">
        <f>IF(COUNT(H47,K47)=0,"",N(K47)-N(H47))</f>
        <v/>
      </c>
      <c r="N47" s="240">
        <f>IF(AND(ISNUMBER(F47),ISNUMBER(G47),F47&gt;0,1-N(Ввод!$E$17)/100&gt;0),MAX(0,(F47*G47-SUMPRODUCT((Закрытые!$B$5:$B$300=$B47)*((Закрытые!$F$5:$F$300+Закрытые!$I$5:$I$300-ABS(Закрытые!$F$5:$F$300-Закрытые!$I$5:$I$300))/2)*(Закрытые!$J$5:$J$300-Закрытые!$G$5:$G$300)))/F47)/(1-N(Ввод!$E$17)/100),IF(AND(ISNUMBER(I47),ISNUMBER(J47),I47&gt;0),MAX(0,(I47*J47+SUMPRODUCT((Закрытые!$B$5:$B$300=$B47)*((Закрытые!$F$5:$F$300+Закрытые!$I$5:$I$300-ABS(Закрытые!$F$5:$F$300-Закрытые!$I$5:$I$300))/2)*(Закрытые!$J$5:$J$300-Закрытые!$G$5:$G$300)))/I47)/(1+N(Ввод!$E$17)/100),""))</f>
        <v/>
      </c>
    </row>
    <row r="48" ht="22" customHeight="1">
      <c r="B48" s="318" t="n"/>
      <c r="C48" s="319" t="n"/>
      <c r="D48" s="318" t="n"/>
      <c r="E48" s="320" t="n"/>
      <c r="F48" s="321" t="n"/>
      <c r="G48" s="322" t="n"/>
      <c r="H48" s="271">
        <f>IF(AND(ISNUMBER(F48),ISNUMBER(G48)),F48*G48,"")</f>
        <v/>
      </c>
      <c r="I48" s="321" t="n"/>
      <c r="J48" s="322" t="n"/>
      <c r="K48" s="271">
        <f>IF(AND(ISNUMBER(I48),ISNUMBER(J48)),I48*J48,"")</f>
        <v/>
      </c>
      <c r="L48" s="246">
        <f>IF(COUNT(F48,I48)=0,"",N(F48)-N(I48))</f>
        <v/>
      </c>
      <c r="M48" s="247">
        <f>IF(COUNT(H48,K48)=0,"",N(K48)-N(H48))</f>
        <v/>
      </c>
      <c r="N48" s="246">
        <f>IF(AND(ISNUMBER(F48),ISNUMBER(G48),F48&gt;0,1-N(Ввод!$E$17)/100&gt;0),MAX(0,(F48*G48-SUMPRODUCT((Закрытые!$B$5:$B$300=$B48)*((Закрытые!$F$5:$F$300+Закрытые!$I$5:$I$300-ABS(Закрытые!$F$5:$F$300-Закрытые!$I$5:$I$300))/2)*(Закрытые!$J$5:$J$300-Закрытые!$G$5:$G$300)))/F48)/(1-N(Ввод!$E$17)/100),IF(AND(ISNUMBER(I48),ISNUMBER(J48),I48&gt;0),MAX(0,(I48*J48+SUMPRODUCT((Закрытые!$B$5:$B$300=$B48)*((Закрытые!$F$5:$F$300+Закрытые!$I$5:$I$300-ABS(Закрытые!$F$5:$F$300-Закрытые!$I$5:$I$300))/2)*(Закрытые!$J$5:$J$300-Закрытые!$G$5:$G$300)))/I48)/(1+N(Ввод!$E$17)/100),""))</f>
        <v/>
      </c>
    </row>
    <row r="49" ht="22" customHeight="1">
      <c r="B49" s="313" t="n"/>
      <c r="C49" s="314" t="n"/>
      <c r="D49" s="313" t="n"/>
      <c r="E49" s="315" t="n"/>
      <c r="F49" s="316" t="n"/>
      <c r="G49" s="317" t="n"/>
      <c r="H49" s="271">
        <f>IF(AND(ISNUMBER(F49),ISNUMBER(G49)),F49*G49,"")</f>
        <v/>
      </c>
      <c r="I49" s="316" t="n"/>
      <c r="J49" s="317" t="n"/>
      <c r="K49" s="271">
        <f>IF(AND(ISNUMBER(I49),ISNUMBER(J49)),I49*J49,"")</f>
        <v/>
      </c>
      <c r="L49" s="240">
        <f>IF(COUNT(F49,I49)=0,"",N(F49)-N(I49))</f>
        <v/>
      </c>
      <c r="M49" s="241">
        <f>IF(COUNT(H49,K49)=0,"",N(K49)-N(H49))</f>
        <v/>
      </c>
      <c r="N49" s="240">
        <f>IF(AND(ISNUMBER(F49),ISNUMBER(G49),F49&gt;0,1-N(Ввод!$E$17)/100&gt;0),MAX(0,(F49*G49-SUMPRODUCT((Закрытые!$B$5:$B$300=$B49)*((Закрытые!$F$5:$F$300+Закрытые!$I$5:$I$300-ABS(Закрытые!$F$5:$F$300-Закрытые!$I$5:$I$300))/2)*(Закрытые!$J$5:$J$300-Закрытые!$G$5:$G$300)))/F49)/(1-N(Ввод!$E$17)/100),IF(AND(ISNUMBER(I49),ISNUMBER(J49),I49&gt;0),MAX(0,(I49*J49+SUMPRODUCT((Закрытые!$B$5:$B$300=$B49)*((Закрытые!$F$5:$F$300+Закрытые!$I$5:$I$300-ABS(Закрытые!$F$5:$F$300-Закрытые!$I$5:$I$300))/2)*(Закрытые!$J$5:$J$300-Закрытые!$G$5:$G$300)))/I49)/(1+N(Ввод!$E$17)/100),""))</f>
        <v/>
      </c>
    </row>
    <row r="50" ht="22" customHeight="1">
      <c r="B50" s="318" t="n"/>
      <c r="C50" s="319" t="n"/>
      <c r="D50" s="318" t="n"/>
      <c r="E50" s="320" t="n"/>
      <c r="F50" s="321" t="n"/>
      <c r="G50" s="322" t="n"/>
      <c r="H50" s="271">
        <f>IF(AND(ISNUMBER(F50),ISNUMBER(G50)),F50*G50,"")</f>
        <v/>
      </c>
      <c r="I50" s="321" t="n"/>
      <c r="J50" s="322" t="n"/>
      <c r="K50" s="271">
        <f>IF(AND(ISNUMBER(I50),ISNUMBER(J50)),I50*J50,"")</f>
        <v/>
      </c>
      <c r="L50" s="246">
        <f>IF(COUNT(F50,I50)=0,"",N(F50)-N(I50))</f>
        <v/>
      </c>
      <c r="M50" s="247">
        <f>IF(COUNT(H50,K50)=0,"",N(K50)-N(H50))</f>
        <v/>
      </c>
      <c r="N50" s="246">
        <f>IF(AND(ISNUMBER(F50),ISNUMBER(G50),F50&gt;0,1-N(Ввод!$E$17)/100&gt;0),MAX(0,(F50*G50-SUMPRODUCT((Закрытые!$B$5:$B$300=$B50)*((Закрытые!$F$5:$F$300+Закрытые!$I$5:$I$300-ABS(Закрытые!$F$5:$F$300-Закрытые!$I$5:$I$300))/2)*(Закрытые!$J$5:$J$300-Закрытые!$G$5:$G$300)))/F50)/(1-N(Ввод!$E$17)/100),IF(AND(ISNUMBER(I50),ISNUMBER(J50),I50&gt;0),MAX(0,(I50*J50+SUMPRODUCT((Закрытые!$B$5:$B$300=$B50)*((Закрытые!$F$5:$F$300+Закрытые!$I$5:$I$300-ABS(Закрытые!$F$5:$F$300-Закрытые!$I$5:$I$300))/2)*(Закрытые!$J$5:$J$300-Закрытые!$G$5:$G$300)))/I50)/(1+N(Ввод!$E$17)/100),""))</f>
        <v/>
      </c>
    </row>
    <row r="51" ht="22" customHeight="1">
      <c r="B51" s="313" t="n"/>
      <c r="C51" s="314" t="n"/>
      <c r="D51" s="313" t="n"/>
      <c r="E51" s="315" t="n"/>
      <c r="F51" s="316" t="n"/>
      <c r="G51" s="317" t="n"/>
      <c r="H51" s="271">
        <f>IF(AND(ISNUMBER(F51),ISNUMBER(G51)),F51*G51,"")</f>
        <v/>
      </c>
      <c r="I51" s="316" t="n"/>
      <c r="J51" s="317" t="n"/>
      <c r="K51" s="271">
        <f>IF(AND(ISNUMBER(I51),ISNUMBER(J51)),I51*J51,"")</f>
        <v/>
      </c>
      <c r="L51" s="240">
        <f>IF(COUNT(F51,I51)=0,"",N(F51)-N(I51))</f>
        <v/>
      </c>
      <c r="M51" s="241">
        <f>IF(COUNT(H51,K51)=0,"",N(K51)-N(H51))</f>
        <v/>
      </c>
      <c r="N51" s="240">
        <f>IF(AND(ISNUMBER(F51),ISNUMBER(G51),F51&gt;0,1-N(Ввод!$E$17)/100&gt;0),MAX(0,(F51*G51-SUMPRODUCT((Закрытые!$B$5:$B$300=$B51)*((Закрытые!$F$5:$F$300+Закрытые!$I$5:$I$300-ABS(Закрытые!$F$5:$F$300-Закрытые!$I$5:$I$300))/2)*(Закрытые!$J$5:$J$300-Закрытые!$G$5:$G$300)))/F51)/(1-N(Ввод!$E$17)/100),IF(AND(ISNUMBER(I51),ISNUMBER(J51),I51&gt;0),MAX(0,(I51*J51+SUMPRODUCT((Закрытые!$B$5:$B$300=$B51)*((Закрытые!$F$5:$F$300+Закрытые!$I$5:$I$300-ABS(Закрытые!$F$5:$F$300-Закрытые!$I$5:$I$300))/2)*(Закрытые!$J$5:$J$300-Закрытые!$G$5:$G$300)))/I51)/(1+N(Ввод!$E$17)/100),""))</f>
        <v/>
      </c>
    </row>
    <row r="52" ht="22" customHeight="1">
      <c r="B52" s="318" t="n"/>
      <c r="C52" s="319" t="n"/>
      <c r="D52" s="318" t="n"/>
      <c r="E52" s="320" t="n"/>
      <c r="F52" s="321" t="n"/>
      <c r="G52" s="322" t="n"/>
      <c r="H52" s="271">
        <f>IF(AND(ISNUMBER(F52),ISNUMBER(G52)),F52*G52,"")</f>
        <v/>
      </c>
      <c r="I52" s="321" t="n"/>
      <c r="J52" s="322" t="n"/>
      <c r="K52" s="271">
        <f>IF(AND(ISNUMBER(I52),ISNUMBER(J52)),I52*J52,"")</f>
        <v/>
      </c>
      <c r="L52" s="246">
        <f>IF(COUNT(F52,I52)=0,"",N(F52)-N(I52))</f>
        <v/>
      </c>
      <c r="M52" s="247">
        <f>IF(COUNT(H52,K52)=0,"",N(K52)-N(H52))</f>
        <v/>
      </c>
      <c r="N52" s="246">
        <f>IF(AND(ISNUMBER(F52),ISNUMBER(G52),F52&gt;0,1-N(Ввод!$E$17)/100&gt;0),MAX(0,(F52*G52-SUMPRODUCT((Закрытые!$B$5:$B$300=$B52)*((Закрытые!$F$5:$F$300+Закрытые!$I$5:$I$300-ABS(Закрытые!$F$5:$F$300-Закрытые!$I$5:$I$300))/2)*(Закрытые!$J$5:$J$300-Закрытые!$G$5:$G$300)))/F52)/(1-N(Ввод!$E$17)/100),IF(AND(ISNUMBER(I52),ISNUMBER(J52),I52&gt;0),MAX(0,(I52*J52+SUMPRODUCT((Закрытые!$B$5:$B$300=$B52)*((Закрытые!$F$5:$F$300+Закрытые!$I$5:$I$300-ABS(Закрытые!$F$5:$F$300-Закрытые!$I$5:$I$300))/2)*(Закрытые!$J$5:$J$300-Закрытые!$G$5:$G$300)))/I52)/(1+N(Ввод!$E$17)/100),""))</f>
        <v/>
      </c>
    </row>
    <row r="53" ht="22" customHeight="1">
      <c r="B53" s="313" t="n"/>
      <c r="C53" s="314" t="n"/>
      <c r="D53" s="313" t="n"/>
      <c r="E53" s="315" t="n"/>
      <c r="F53" s="316" t="n"/>
      <c r="G53" s="317" t="n"/>
      <c r="H53" s="271">
        <f>IF(AND(ISNUMBER(F53),ISNUMBER(G53)),F53*G53,"")</f>
        <v/>
      </c>
      <c r="I53" s="316" t="n"/>
      <c r="J53" s="317" t="n"/>
      <c r="K53" s="271">
        <f>IF(AND(ISNUMBER(I53),ISNUMBER(J53)),I53*J53,"")</f>
        <v/>
      </c>
      <c r="L53" s="240">
        <f>IF(COUNT(F53,I53)=0,"",N(F53)-N(I53))</f>
        <v/>
      </c>
      <c r="M53" s="241">
        <f>IF(COUNT(H53,K53)=0,"",N(K53)-N(H53))</f>
        <v/>
      </c>
      <c r="N53" s="240">
        <f>IF(AND(ISNUMBER(F53),ISNUMBER(G53),F53&gt;0,1-N(Ввод!$E$17)/100&gt;0),MAX(0,(F53*G53-SUMPRODUCT((Закрытые!$B$5:$B$300=$B53)*((Закрытые!$F$5:$F$300+Закрытые!$I$5:$I$300-ABS(Закрытые!$F$5:$F$300-Закрытые!$I$5:$I$300))/2)*(Закрытые!$J$5:$J$300-Закрытые!$G$5:$G$300)))/F53)/(1-N(Ввод!$E$17)/100),IF(AND(ISNUMBER(I53),ISNUMBER(J53),I53&gt;0),MAX(0,(I53*J53+SUMPRODUCT((Закрытые!$B$5:$B$300=$B53)*((Закрытые!$F$5:$F$300+Закрытые!$I$5:$I$300-ABS(Закрытые!$F$5:$F$300-Закрытые!$I$5:$I$300))/2)*(Закрытые!$J$5:$J$300-Закрытые!$G$5:$G$300)))/I53)/(1+N(Ввод!$E$17)/100),""))</f>
        <v/>
      </c>
    </row>
    <row r="54" ht="22" customHeight="1">
      <c r="B54" s="318" t="n"/>
      <c r="C54" s="319" t="n"/>
      <c r="D54" s="318" t="n"/>
      <c r="E54" s="320" t="n"/>
      <c r="F54" s="321" t="n"/>
      <c r="G54" s="322" t="n"/>
      <c r="H54" s="271">
        <f>IF(AND(ISNUMBER(F54),ISNUMBER(G54)),F54*G54,"")</f>
        <v/>
      </c>
      <c r="I54" s="321" t="n"/>
      <c r="J54" s="322" t="n"/>
      <c r="K54" s="271">
        <f>IF(AND(ISNUMBER(I54),ISNUMBER(J54)),I54*J54,"")</f>
        <v/>
      </c>
      <c r="L54" s="246">
        <f>IF(COUNT(F54,I54)=0,"",N(F54)-N(I54))</f>
        <v/>
      </c>
      <c r="M54" s="247">
        <f>IF(COUNT(H54,K54)=0,"",N(K54)-N(H54))</f>
        <v/>
      </c>
      <c r="N54" s="246">
        <f>IF(AND(ISNUMBER(F54),ISNUMBER(G54),F54&gt;0,1-N(Ввод!$E$17)/100&gt;0),MAX(0,(F54*G54-SUMPRODUCT((Закрытые!$B$5:$B$300=$B54)*((Закрытые!$F$5:$F$300+Закрытые!$I$5:$I$300-ABS(Закрытые!$F$5:$F$300-Закрытые!$I$5:$I$300))/2)*(Закрытые!$J$5:$J$300-Закрытые!$G$5:$G$300)))/F54)/(1-N(Ввод!$E$17)/100),IF(AND(ISNUMBER(I54),ISNUMBER(J54),I54&gt;0),MAX(0,(I54*J54+SUMPRODUCT((Закрытые!$B$5:$B$300=$B54)*((Закрытые!$F$5:$F$300+Закрытые!$I$5:$I$300-ABS(Закрытые!$F$5:$F$300-Закрытые!$I$5:$I$300))/2)*(Закрытые!$J$5:$J$300-Закрытые!$G$5:$G$300)))/I54)/(1+N(Ввод!$E$17)/100),""))</f>
        <v/>
      </c>
    </row>
    <row r="55" ht="22" customHeight="1">
      <c r="B55" s="313" t="n"/>
      <c r="C55" s="314" t="n"/>
      <c r="D55" s="313" t="n"/>
      <c r="E55" s="315" t="n"/>
      <c r="F55" s="316" t="n"/>
      <c r="G55" s="317" t="n"/>
      <c r="H55" s="271">
        <f>IF(AND(ISNUMBER(F55),ISNUMBER(G55)),F55*G55,"")</f>
        <v/>
      </c>
      <c r="I55" s="316" t="n"/>
      <c r="J55" s="317" t="n"/>
      <c r="K55" s="271">
        <f>IF(AND(ISNUMBER(I55),ISNUMBER(J55)),I55*J55,"")</f>
        <v/>
      </c>
      <c r="L55" s="240">
        <f>IF(COUNT(F55,I55)=0,"",N(F55)-N(I55))</f>
        <v/>
      </c>
      <c r="M55" s="241">
        <f>IF(COUNT(H55,K55)=0,"",N(K55)-N(H55))</f>
        <v/>
      </c>
      <c r="N55" s="240">
        <f>IF(AND(ISNUMBER(F55),ISNUMBER(G55),F55&gt;0,1-N(Ввод!$E$17)/100&gt;0),MAX(0,(F55*G55-SUMPRODUCT((Закрытые!$B$5:$B$300=$B55)*((Закрытые!$F$5:$F$300+Закрытые!$I$5:$I$300-ABS(Закрытые!$F$5:$F$300-Закрытые!$I$5:$I$300))/2)*(Закрытые!$J$5:$J$300-Закрытые!$G$5:$G$300)))/F55)/(1-N(Ввод!$E$17)/100),IF(AND(ISNUMBER(I55),ISNUMBER(J55),I55&gt;0),MAX(0,(I55*J55+SUMPRODUCT((Закрытые!$B$5:$B$300=$B55)*((Закрытые!$F$5:$F$300+Закрытые!$I$5:$I$300-ABS(Закрытые!$F$5:$F$300-Закрытые!$I$5:$I$300))/2)*(Закрытые!$J$5:$J$300-Закрытые!$G$5:$G$300)))/I55)/(1+N(Ввод!$E$17)/100),""))</f>
        <v/>
      </c>
    </row>
    <row r="56" ht="22" customHeight="1">
      <c r="B56" s="318" t="n"/>
      <c r="C56" s="319" t="n"/>
      <c r="D56" s="318" t="n"/>
      <c r="E56" s="320" t="n"/>
      <c r="F56" s="321" t="n"/>
      <c r="G56" s="322" t="n"/>
      <c r="H56" s="271">
        <f>IF(AND(ISNUMBER(F56),ISNUMBER(G56)),F56*G56,"")</f>
        <v/>
      </c>
      <c r="I56" s="321" t="n"/>
      <c r="J56" s="322" t="n"/>
      <c r="K56" s="271">
        <f>IF(AND(ISNUMBER(I56),ISNUMBER(J56)),I56*J56,"")</f>
        <v/>
      </c>
      <c r="L56" s="246">
        <f>IF(COUNT(F56,I56)=0,"",N(F56)-N(I56))</f>
        <v/>
      </c>
      <c r="M56" s="247">
        <f>IF(COUNT(H56,K56)=0,"",N(K56)-N(H56))</f>
        <v/>
      </c>
      <c r="N56" s="246">
        <f>IF(AND(ISNUMBER(F56),ISNUMBER(G56),F56&gt;0,1-N(Ввод!$E$17)/100&gt;0),MAX(0,(F56*G56-SUMPRODUCT((Закрытые!$B$5:$B$300=$B56)*((Закрытые!$F$5:$F$300+Закрытые!$I$5:$I$300-ABS(Закрытые!$F$5:$F$300-Закрытые!$I$5:$I$300))/2)*(Закрытые!$J$5:$J$300-Закрытые!$G$5:$G$300)))/F56)/(1-N(Ввод!$E$17)/100),IF(AND(ISNUMBER(I56),ISNUMBER(J56),I56&gt;0),MAX(0,(I56*J56+SUMPRODUCT((Закрытые!$B$5:$B$300=$B56)*((Закрытые!$F$5:$F$300+Закрытые!$I$5:$I$300-ABS(Закрытые!$F$5:$F$300-Закрытые!$I$5:$I$300))/2)*(Закрытые!$J$5:$J$300-Закрытые!$G$5:$G$300)))/I56)/(1+N(Ввод!$E$17)/100),""))</f>
        <v/>
      </c>
    </row>
    <row r="57" ht="22" customHeight="1">
      <c r="B57" s="313" t="n"/>
      <c r="C57" s="314" t="n"/>
      <c r="D57" s="313" t="n"/>
      <c r="E57" s="315" t="n"/>
      <c r="F57" s="316" t="n"/>
      <c r="G57" s="317" t="n"/>
      <c r="H57" s="271">
        <f>IF(AND(ISNUMBER(F57),ISNUMBER(G57)),F57*G57,"")</f>
        <v/>
      </c>
      <c r="I57" s="316" t="n"/>
      <c r="J57" s="317" t="n"/>
      <c r="K57" s="271">
        <f>IF(AND(ISNUMBER(I57),ISNUMBER(J57)),I57*J57,"")</f>
        <v/>
      </c>
      <c r="L57" s="240">
        <f>IF(COUNT(F57,I57)=0,"",N(F57)-N(I57))</f>
        <v/>
      </c>
      <c r="M57" s="241">
        <f>IF(COUNT(H57,K57)=0,"",N(K57)-N(H57))</f>
        <v/>
      </c>
      <c r="N57" s="240">
        <f>IF(AND(ISNUMBER(F57),ISNUMBER(G57),F57&gt;0,1-N(Ввод!$E$17)/100&gt;0),MAX(0,(F57*G57-SUMPRODUCT((Закрытые!$B$5:$B$300=$B57)*((Закрытые!$F$5:$F$300+Закрытые!$I$5:$I$300-ABS(Закрытые!$F$5:$F$300-Закрытые!$I$5:$I$300))/2)*(Закрытые!$J$5:$J$300-Закрытые!$G$5:$G$300)))/F57)/(1-N(Ввод!$E$17)/100),IF(AND(ISNUMBER(I57),ISNUMBER(J57),I57&gt;0),MAX(0,(I57*J57+SUMPRODUCT((Закрытые!$B$5:$B$300=$B57)*((Закрытые!$F$5:$F$300+Закрытые!$I$5:$I$300-ABS(Закрытые!$F$5:$F$300-Закрытые!$I$5:$I$300))/2)*(Закрытые!$J$5:$J$300-Закрытые!$G$5:$G$300)))/I57)/(1+N(Ввод!$E$17)/100),""))</f>
        <v/>
      </c>
    </row>
    <row r="58" ht="22" customHeight="1">
      <c r="B58" s="318" t="n"/>
      <c r="C58" s="319" t="n"/>
      <c r="D58" s="318" t="n"/>
      <c r="E58" s="320" t="n"/>
      <c r="F58" s="321" t="n"/>
      <c r="G58" s="322" t="n"/>
      <c r="H58" s="271">
        <f>IF(AND(ISNUMBER(F58),ISNUMBER(G58)),F58*G58,"")</f>
        <v/>
      </c>
      <c r="I58" s="321" t="n"/>
      <c r="J58" s="322" t="n"/>
      <c r="K58" s="271">
        <f>IF(AND(ISNUMBER(I58),ISNUMBER(J58)),I58*J58,"")</f>
        <v/>
      </c>
      <c r="L58" s="246">
        <f>IF(COUNT(F58,I58)=0,"",N(F58)-N(I58))</f>
        <v/>
      </c>
      <c r="M58" s="247">
        <f>IF(COUNT(H58,K58)=0,"",N(K58)-N(H58))</f>
        <v/>
      </c>
      <c r="N58" s="246">
        <f>IF(AND(ISNUMBER(F58),ISNUMBER(G58),F58&gt;0,1-N(Ввод!$E$17)/100&gt;0),MAX(0,(F58*G58-SUMPRODUCT((Закрытые!$B$5:$B$300=$B58)*((Закрытые!$F$5:$F$300+Закрытые!$I$5:$I$300-ABS(Закрытые!$F$5:$F$300-Закрытые!$I$5:$I$300))/2)*(Закрытые!$J$5:$J$300-Закрытые!$G$5:$G$300)))/F58)/(1-N(Ввод!$E$17)/100),IF(AND(ISNUMBER(I58),ISNUMBER(J58),I58&gt;0),MAX(0,(I58*J58+SUMPRODUCT((Закрытые!$B$5:$B$300=$B58)*((Закрытые!$F$5:$F$300+Закрытые!$I$5:$I$300-ABS(Закрытые!$F$5:$F$300-Закрытые!$I$5:$I$300))/2)*(Закрытые!$J$5:$J$300-Закрытые!$G$5:$G$300)))/I58)/(1+N(Ввод!$E$17)/100),""))</f>
        <v/>
      </c>
    </row>
    <row r="59" ht="22" customHeight="1">
      <c r="B59" s="313" t="n"/>
      <c r="C59" s="314" t="n"/>
      <c r="D59" s="313" t="n"/>
      <c r="E59" s="315" t="n"/>
      <c r="F59" s="316" t="n"/>
      <c r="G59" s="317" t="n"/>
      <c r="H59" s="271">
        <f>IF(AND(ISNUMBER(F59),ISNUMBER(G59)),F59*G59,"")</f>
        <v/>
      </c>
      <c r="I59" s="316" t="n"/>
      <c r="J59" s="317" t="n"/>
      <c r="K59" s="271">
        <f>IF(AND(ISNUMBER(I59),ISNUMBER(J59)),I59*J59,"")</f>
        <v/>
      </c>
      <c r="L59" s="240">
        <f>IF(COUNT(F59,I59)=0,"",N(F59)-N(I59))</f>
        <v/>
      </c>
      <c r="M59" s="241">
        <f>IF(COUNT(H59,K59)=0,"",N(K59)-N(H59))</f>
        <v/>
      </c>
      <c r="N59" s="240">
        <f>IF(AND(ISNUMBER(F59),ISNUMBER(G59),F59&gt;0,1-N(Ввод!$E$17)/100&gt;0),MAX(0,(F59*G59-SUMPRODUCT((Закрытые!$B$5:$B$300=$B59)*((Закрытые!$F$5:$F$300+Закрытые!$I$5:$I$300-ABS(Закрытые!$F$5:$F$300-Закрытые!$I$5:$I$300))/2)*(Закрытые!$J$5:$J$300-Закрытые!$G$5:$G$300)))/F59)/(1-N(Ввод!$E$17)/100),IF(AND(ISNUMBER(I59),ISNUMBER(J59),I59&gt;0),MAX(0,(I59*J59+SUMPRODUCT((Закрытые!$B$5:$B$300=$B59)*((Закрытые!$F$5:$F$300+Закрытые!$I$5:$I$300-ABS(Закрытые!$F$5:$F$300-Закрытые!$I$5:$I$300))/2)*(Закрытые!$J$5:$J$300-Закрытые!$G$5:$G$300)))/I59)/(1+N(Ввод!$E$17)/100),""))</f>
        <v/>
      </c>
    </row>
    <row r="60" ht="22" customHeight="1">
      <c r="B60" s="318" t="n"/>
      <c r="C60" s="319" t="n"/>
      <c r="D60" s="318" t="n"/>
      <c r="E60" s="320" t="n"/>
      <c r="F60" s="321" t="n"/>
      <c r="G60" s="322" t="n"/>
      <c r="H60" s="271">
        <f>IF(AND(ISNUMBER(F60),ISNUMBER(G60)),F60*G60,"")</f>
        <v/>
      </c>
      <c r="I60" s="321" t="n"/>
      <c r="J60" s="322" t="n"/>
      <c r="K60" s="271">
        <f>IF(AND(ISNUMBER(I60),ISNUMBER(J60)),I60*J60,"")</f>
        <v/>
      </c>
      <c r="L60" s="246">
        <f>IF(COUNT(F60,I60)=0,"",N(F60)-N(I60))</f>
        <v/>
      </c>
      <c r="M60" s="247">
        <f>IF(COUNT(H60,K60)=0,"",N(K60)-N(H60))</f>
        <v/>
      </c>
      <c r="N60" s="246">
        <f>IF(AND(ISNUMBER(F60),ISNUMBER(G60),F60&gt;0,1-N(Ввод!$E$17)/100&gt;0),MAX(0,(F60*G60-SUMPRODUCT((Закрытые!$B$5:$B$300=$B60)*((Закрытые!$F$5:$F$300+Закрытые!$I$5:$I$300-ABS(Закрытые!$F$5:$F$300-Закрытые!$I$5:$I$300))/2)*(Закрытые!$J$5:$J$300-Закрытые!$G$5:$G$300)))/F60)/(1-N(Ввод!$E$17)/100),IF(AND(ISNUMBER(I60),ISNUMBER(J60),I60&gt;0),MAX(0,(I60*J60+SUMPRODUCT((Закрытые!$B$5:$B$300=$B60)*((Закрытые!$F$5:$F$300+Закрытые!$I$5:$I$300-ABS(Закрытые!$F$5:$F$300-Закрытые!$I$5:$I$300))/2)*(Закрытые!$J$5:$J$300-Закрытые!$G$5:$G$300)))/I60)/(1+N(Ввод!$E$17)/100),""))</f>
        <v/>
      </c>
    </row>
    <row r="61" ht="22" customHeight="1">
      <c r="B61" s="313" t="n"/>
      <c r="C61" s="314" t="n"/>
      <c r="D61" s="313" t="n"/>
      <c r="E61" s="315" t="n"/>
      <c r="F61" s="316" t="n"/>
      <c r="G61" s="317" t="n"/>
      <c r="H61" s="271">
        <f>IF(AND(ISNUMBER(F61),ISNUMBER(G61)),F61*G61,"")</f>
        <v/>
      </c>
      <c r="I61" s="316" t="n"/>
      <c r="J61" s="317" t="n"/>
      <c r="K61" s="271">
        <f>IF(AND(ISNUMBER(I61),ISNUMBER(J61)),I61*J61,"")</f>
        <v/>
      </c>
      <c r="L61" s="240">
        <f>IF(COUNT(F61,I61)=0,"",N(F61)-N(I61))</f>
        <v/>
      </c>
      <c r="M61" s="241">
        <f>IF(COUNT(H61,K61)=0,"",N(K61)-N(H61))</f>
        <v/>
      </c>
      <c r="N61" s="240">
        <f>IF(AND(ISNUMBER(F61),ISNUMBER(G61),F61&gt;0,1-N(Ввод!$E$17)/100&gt;0),MAX(0,(F61*G61-SUMPRODUCT((Закрытые!$B$5:$B$300=$B61)*((Закрытые!$F$5:$F$300+Закрытые!$I$5:$I$300-ABS(Закрытые!$F$5:$F$300-Закрытые!$I$5:$I$300))/2)*(Закрытые!$J$5:$J$300-Закрытые!$G$5:$G$300)))/F61)/(1-N(Ввод!$E$17)/100),IF(AND(ISNUMBER(I61),ISNUMBER(J61),I61&gt;0),MAX(0,(I61*J61+SUMPRODUCT((Закрытые!$B$5:$B$300=$B61)*((Закрытые!$F$5:$F$300+Закрытые!$I$5:$I$300-ABS(Закрытые!$F$5:$F$300-Закрытые!$I$5:$I$300))/2)*(Закрытые!$J$5:$J$300-Закрытые!$G$5:$G$300)))/I61)/(1+N(Ввод!$E$17)/100),""))</f>
        <v/>
      </c>
    </row>
    <row r="62" ht="22" customHeight="1">
      <c r="B62" s="318" t="n"/>
      <c r="C62" s="319" t="n"/>
      <c r="D62" s="318" t="n"/>
      <c r="E62" s="320" t="n"/>
      <c r="F62" s="321" t="n"/>
      <c r="G62" s="322" t="n"/>
      <c r="H62" s="271">
        <f>IF(AND(ISNUMBER(F62),ISNUMBER(G62)),F62*G62,"")</f>
        <v/>
      </c>
      <c r="I62" s="321" t="n"/>
      <c r="J62" s="322" t="n"/>
      <c r="K62" s="271">
        <f>IF(AND(ISNUMBER(I62),ISNUMBER(J62)),I62*J62,"")</f>
        <v/>
      </c>
      <c r="L62" s="246">
        <f>IF(COUNT(F62,I62)=0,"",N(F62)-N(I62))</f>
        <v/>
      </c>
      <c r="M62" s="247">
        <f>IF(COUNT(H62,K62)=0,"",N(K62)-N(H62))</f>
        <v/>
      </c>
      <c r="N62" s="246">
        <f>IF(AND(ISNUMBER(F62),ISNUMBER(G62),F62&gt;0,1-N(Ввод!$E$17)/100&gt;0),MAX(0,(F62*G62-SUMPRODUCT((Закрытые!$B$5:$B$300=$B62)*((Закрытые!$F$5:$F$300+Закрытые!$I$5:$I$300-ABS(Закрытые!$F$5:$F$300-Закрытые!$I$5:$I$300))/2)*(Закрытые!$J$5:$J$300-Закрытые!$G$5:$G$300)))/F62)/(1-N(Ввод!$E$17)/100),IF(AND(ISNUMBER(I62),ISNUMBER(J62),I62&gt;0),MAX(0,(I62*J62+SUMPRODUCT((Закрытые!$B$5:$B$300=$B62)*((Закрытые!$F$5:$F$300+Закрытые!$I$5:$I$300-ABS(Закрытые!$F$5:$F$300-Закрытые!$I$5:$I$300))/2)*(Закрытые!$J$5:$J$300-Закрытые!$G$5:$G$300)))/I62)/(1+N(Ввод!$E$17)/100),""))</f>
        <v/>
      </c>
    </row>
    <row r="63" ht="22" customHeight="1">
      <c r="B63" s="313" t="n"/>
      <c r="C63" s="314" t="n"/>
      <c r="D63" s="313" t="n"/>
      <c r="E63" s="315" t="n"/>
      <c r="F63" s="316" t="n"/>
      <c r="G63" s="317" t="n"/>
      <c r="H63" s="271">
        <f>IF(AND(ISNUMBER(F63),ISNUMBER(G63)),F63*G63,"")</f>
        <v/>
      </c>
      <c r="I63" s="316" t="n"/>
      <c r="J63" s="317" t="n"/>
      <c r="K63" s="271">
        <f>IF(AND(ISNUMBER(I63),ISNUMBER(J63)),I63*J63,"")</f>
        <v/>
      </c>
      <c r="L63" s="240">
        <f>IF(COUNT(F63,I63)=0,"",N(F63)-N(I63))</f>
        <v/>
      </c>
      <c r="M63" s="241">
        <f>IF(COUNT(H63,K63)=0,"",N(K63)-N(H63))</f>
        <v/>
      </c>
      <c r="N63" s="240">
        <f>IF(AND(ISNUMBER(F63),ISNUMBER(G63),F63&gt;0,1-N(Ввод!$E$17)/100&gt;0),MAX(0,(F63*G63-SUMPRODUCT((Закрытые!$B$5:$B$300=$B63)*((Закрытые!$F$5:$F$300+Закрытые!$I$5:$I$300-ABS(Закрытые!$F$5:$F$300-Закрытые!$I$5:$I$300))/2)*(Закрытые!$J$5:$J$300-Закрытые!$G$5:$G$300)))/F63)/(1-N(Ввод!$E$17)/100),IF(AND(ISNUMBER(I63),ISNUMBER(J63),I63&gt;0),MAX(0,(I63*J63+SUMPRODUCT((Закрытые!$B$5:$B$300=$B63)*((Закрытые!$F$5:$F$300+Закрытые!$I$5:$I$300-ABS(Закрытые!$F$5:$F$300-Закрытые!$I$5:$I$300))/2)*(Закрытые!$J$5:$J$300-Закрытые!$G$5:$G$300)))/I63)/(1+N(Ввод!$E$17)/100),""))</f>
        <v/>
      </c>
    </row>
    <row r="64" ht="22" customHeight="1">
      <c r="B64" s="318" t="n"/>
      <c r="C64" s="319" t="n"/>
      <c r="D64" s="318" t="n"/>
      <c r="E64" s="320" t="n"/>
      <c r="F64" s="321" t="n"/>
      <c r="G64" s="322" t="n"/>
      <c r="H64" s="271">
        <f>IF(AND(ISNUMBER(F64),ISNUMBER(G64)),F64*G64,"")</f>
        <v/>
      </c>
      <c r="I64" s="321" t="n"/>
      <c r="J64" s="322" t="n"/>
      <c r="K64" s="271">
        <f>IF(AND(ISNUMBER(I64),ISNUMBER(J64)),I64*J64,"")</f>
        <v/>
      </c>
      <c r="L64" s="246">
        <f>IF(COUNT(F64,I64)=0,"",N(F64)-N(I64))</f>
        <v/>
      </c>
      <c r="M64" s="247">
        <f>IF(COUNT(H64,K64)=0,"",N(K64)-N(H64))</f>
        <v/>
      </c>
      <c r="N64" s="246">
        <f>IF(AND(ISNUMBER(F64),ISNUMBER(G64),F64&gt;0,1-N(Ввод!$E$17)/100&gt;0),MAX(0,(F64*G64-SUMPRODUCT((Закрытые!$B$5:$B$300=$B64)*((Закрытые!$F$5:$F$300+Закрытые!$I$5:$I$300-ABS(Закрытые!$F$5:$F$300-Закрытые!$I$5:$I$300))/2)*(Закрытые!$J$5:$J$300-Закрытые!$G$5:$G$300)))/F64)/(1-N(Ввод!$E$17)/100),IF(AND(ISNUMBER(I64),ISNUMBER(J64),I64&gt;0),MAX(0,(I64*J64+SUMPRODUCT((Закрытые!$B$5:$B$300=$B64)*((Закрытые!$F$5:$F$300+Закрытые!$I$5:$I$300-ABS(Закрытые!$F$5:$F$300-Закрытые!$I$5:$I$300))/2)*(Закрытые!$J$5:$J$300-Закрытые!$G$5:$G$300)))/I64)/(1+N(Ввод!$E$17)/100),""))</f>
        <v/>
      </c>
    </row>
    <row r="65" ht="22" customHeight="1">
      <c r="B65" s="313" t="n"/>
      <c r="C65" s="314" t="n"/>
      <c r="D65" s="313" t="n"/>
      <c r="E65" s="315" t="n"/>
      <c r="F65" s="316" t="n"/>
      <c r="G65" s="317" t="n"/>
      <c r="H65" s="271">
        <f>IF(AND(ISNUMBER(F65),ISNUMBER(G65)),F65*G65,"")</f>
        <v/>
      </c>
      <c r="I65" s="316" t="n"/>
      <c r="J65" s="317" t="n"/>
      <c r="K65" s="271">
        <f>IF(AND(ISNUMBER(I65),ISNUMBER(J65)),I65*J65,"")</f>
        <v/>
      </c>
      <c r="L65" s="240">
        <f>IF(COUNT(F65,I65)=0,"",N(F65)-N(I65))</f>
        <v/>
      </c>
      <c r="M65" s="241">
        <f>IF(COUNT(H65,K65)=0,"",N(K65)-N(H65))</f>
        <v/>
      </c>
      <c r="N65" s="240">
        <f>IF(AND(ISNUMBER(F65),ISNUMBER(G65),F65&gt;0,1-N(Ввод!$E$17)/100&gt;0),MAX(0,(F65*G65-SUMPRODUCT((Закрытые!$B$5:$B$300=$B65)*((Закрытые!$F$5:$F$300+Закрытые!$I$5:$I$300-ABS(Закрытые!$F$5:$F$300-Закрытые!$I$5:$I$300))/2)*(Закрытые!$J$5:$J$300-Закрытые!$G$5:$G$300)))/F65)/(1-N(Ввод!$E$17)/100),IF(AND(ISNUMBER(I65),ISNUMBER(J65),I65&gt;0),MAX(0,(I65*J65+SUMPRODUCT((Закрытые!$B$5:$B$300=$B65)*((Закрытые!$F$5:$F$300+Закрытые!$I$5:$I$300-ABS(Закрытые!$F$5:$F$300-Закрытые!$I$5:$I$300))/2)*(Закрытые!$J$5:$J$300-Закрытые!$G$5:$G$300)))/I65)/(1+N(Ввод!$E$17)/100),""))</f>
        <v/>
      </c>
    </row>
    <row r="66" ht="22" customHeight="1">
      <c r="B66" s="318" t="n"/>
      <c r="C66" s="319" t="n"/>
      <c r="D66" s="318" t="n"/>
      <c r="E66" s="320" t="n"/>
      <c r="F66" s="321" t="n"/>
      <c r="G66" s="322" t="n"/>
      <c r="H66" s="271">
        <f>IF(AND(ISNUMBER(F66),ISNUMBER(G66)),F66*G66,"")</f>
        <v/>
      </c>
      <c r="I66" s="321" t="n"/>
      <c r="J66" s="322" t="n"/>
      <c r="K66" s="271">
        <f>IF(AND(ISNUMBER(I66),ISNUMBER(J66)),I66*J66,"")</f>
        <v/>
      </c>
      <c r="L66" s="246">
        <f>IF(COUNT(F66,I66)=0,"",N(F66)-N(I66))</f>
        <v/>
      </c>
      <c r="M66" s="247">
        <f>IF(COUNT(H66,K66)=0,"",N(K66)-N(H66))</f>
        <v/>
      </c>
      <c r="N66" s="246">
        <f>IF(AND(ISNUMBER(F66),ISNUMBER(G66),F66&gt;0,1-N(Ввод!$E$17)/100&gt;0),MAX(0,(F66*G66-SUMPRODUCT((Закрытые!$B$5:$B$300=$B66)*((Закрытые!$F$5:$F$300+Закрытые!$I$5:$I$300-ABS(Закрытые!$F$5:$F$300-Закрытые!$I$5:$I$300))/2)*(Закрытые!$J$5:$J$300-Закрытые!$G$5:$G$300)))/F66)/(1-N(Ввод!$E$17)/100),IF(AND(ISNUMBER(I66),ISNUMBER(J66),I66&gt;0),MAX(0,(I66*J66+SUMPRODUCT((Закрытые!$B$5:$B$300=$B66)*((Закрытые!$F$5:$F$300+Закрытые!$I$5:$I$300-ABS(Закрытые!$F$5:$F$300-Закрытые!$I$5:$I$300))/2)*(Закрытые!$J$5:$J$300-Закрытые!$G$5:$G$300)))/I66)/(1+N(Ввод!$E$17)/100),""))</f>
        <v/>
      </c>
    </row>
    <row r="67" ht="22" customHeight="1">
      <c r="B67" s="313" t="n"/>
      <c r="C67" s="314" t="n"/>
      <c r="D67" s="313" t="n"/>
      <c r="E67" s="315" t="n"/>
      <c r="F67" s="316" t="n"/>
      <c r="G67" s="317" t="n"/>
      <c r="H67" s="271">
        <f>IF(AND(ISNUMBER(F67),ISNUMBER(G67)),F67*G67,"")</f>
        <v/>
      </c>
      <c r="I67" s="316" t="n"/>
      <c r="J67" s="317" t="n"/>
      <c r="K67" s="271">
        <f>IF(AND(ISNUMBER(I67),ISNUMBER(J67)),I67*J67,"")</f>
        <v/>
      </c>
      <c r="L67" s="240">
        <f>IF(COUNT(F67,I67)=0,"",N(F67)-N(I67))</f>
        <v/>
      </c>
      <c r="M67" s="241">
        <f>IF(COUNT(H67,K67)=0,"",N(K67)-N(H67))</f>
        <v/>
      </c>
      <c r="N67" s="240">
        <f>IF(AND(ISNUMBER(F67),ISNUMBER(G67),F67&gt;0,1-N(Ввод!$E$17)/100&gt;0),MAX(0,(F67*G67-SUMPRODUCT((Закрытые!$B$5:$B$300=$B67)*((Закрытые!$F$5:$F$300+Закрытые!$I$5:$I$300-ABS(Закрытые!$F$5:$F$300-Закрытые!$I$5:$I$300))/2)*(Закрытые!$J$5:$J$300-Закрытые!$G$5:$G$300)))/F67)/(1-N(Ввод!$E$17)/100),IF(AND(ISNUMBER(I67),ISNUMBER(J67),I67&gt;0),MAX(0,(I67*J67+SUMPRODUCT((Закрытые!$B$5:$B$300=$B67)*((Закрытые!$F$5:$F$300+Закрытые!$I$5:$I$300-ABS(Закрытые!$F$5:$F$300-Закрытые!$I$5:$I$300))/2)*(Закрытые!$J$5:$J$300-Закрытые!$G$5:$G$300)))/I67)/(1+N(Ввод!$E$17)/100),""))</f>
        <v/>
      </c>
    </row>
    <row r="68" ht="22" customHeight="1">
      <c r="B68" s="318" t="n"/>
      <c r="C68" s="319" t="n"/>
      <c r="D68" s="318" t="n"/>
      <c r="E68" s="320" t="n"/>
      <c r="F68" s="321" t="n"/>
      <c r="G68" s="322" t="n"/>
      <c r="H68" s="271">
        <f>IF(AND(ISNUMBER(F68),ISNUMBER(G68)),F68*G68,"")</f>
        <v/>
      </c>
      <c r="I68" s="321" t="n"/>
      <c r="J68" s="322" t="n"/>
      <c r="K68" s="271">
        <f>IF(AND(ISNUMBER(I68),ISNUMBER(J68)),I68*J68,"")</f>
        <v/>
      </c>
      <c r="L68" s="246">
        <f>IF(COUNT(F68,I68)=0,"",N(F68)-N(I68))</f>
        <v/>
      </c>
      <c r="M68" s="247">
        <f>IF(COUNT(H68,K68)=0,"",N(K68)-N(H68))</f>
        <v/>
      </c>
      <c r="N68" s="246">
        <f>IF(AND(ISNUMBER(F68),ISNUMBER(G68),F68&gt;0,1-N(Ввод!$E$17)/100&gt;0),MAX(0,(F68*G68-SUMPRODUCT((Закрытые!$B$5:$B$300=$B68)*((Закрытые!$F$5:$F$300+Закрытые!$I$5:$I$300-ABS(Закрытые!$F$5:$F$300-Закрытые!$I$5:$I$300))/2)*(Закрытые!$J$5:$J$300-Закрытые!$G$5:$G$300)))/F68)/(1-N(Ввод!$E$17)/100),IF(AND(ISNUMBER(I68),ISNUMBER(J68),I68&gt;0),MAX(0,(I68*J68+SUMPRODUCT((Закрытые!$B$5:$B$300=$B68)*((Закрытые!$F$5:$F$300+Закрытые!$I$5:$I$300-ABS(Закрытые!$F$5:$F$300-Закрытые!$I$5:$I$300))/2)*(Закрытые!$J$5:$J$300-Закрытые!$G$5:$G$300)))/I68)/(1+N(Ввод!$E$17)/100),""))</f>
        <v/>
      </c>
    </row>
    <row r="69" ht="22" customHeight="1">
      <c r="B69" s="313" t="n"/>
      <c r="C69" s="314" t="n"/>
      <c r="D69" s="313" t="n"/>
      <c r="E69" s="315" t="n"/>
      <c r="F69" s="316" t="n"/>
      <c r="G69" s="317" t="n"/>
      <c r="H69" s="271">
        <f>IF(AND(ISNUMBER(F69),ISNUMBER(G69)),F69*G69,"")</f>
        <v/>
      </c>
      <c r="I69" s="316" t="n"/>
      <c r="J69" s="317" t="n"/>
      <c r="K69" s="271">
        <f>IF(AND(ISNUMBER(I69),ISNUMBER(J69)),I69*J69,"")</f>
        <v/>
      </c>
      <c r="L69" s="240">
        <f>IF(COUNT(F69,I69)=0,"",N(F69)-N(I69))</f>
        <v/>
      </c>
      <c r="M69" s="241">
        <f>IF(COUNT(H69,K69)=0,"",N(K69)-N(H69))</f>
        <v/>
      </c>
      <c r="N69" s="240">
        <f>IF(AND(ISNUMBER(F69),ISNUMBER(G69),F69&gt;0,1-N(Ввод!$E$17)/100&gt;0),MAX(0,(F69*G69-SUMPRODUCT((Закрытые!$B$5:$B$300=$B69)*((Закрытые!$F$5:$F$300+Закрытые!$I$5:$I$300-ABS(Закрытые!$F$5:$F$300-Закрытые!$I$5:$I$300))/2)*(Закрытые!$J$5:$J$300-Закрытые!$G$5:$G$300)))/F69)/(1-N(Ввод!$E$17)/100),IF(AND(ISNUMBER(I69),ISNUMBER(J69),I69&gt;0),MAX(0,(I69*J69+SUMPRODUCT((Закрытые!$B$5:$B$300=$B69)*((Закрытые!$F$5:$F$300+Закрытые!$I$5:$I$300-ABS(Закрытые!$F$5:$F$300-Закрытые!$I$5:$I$300))/2)*(Закрытые!$J$5:$J$300-Закрытые!$G$5:$G$300)))/I69)/(1+N(Ввод!$E$17)/100),""))</f>
        <v/>
      </c>
    </row>
    <row r="70" ht="22" customHeight="1">
      <c r="B70" s="318" t="n"/>
      <c r="C70" s="319" t="n"/>
      <c r="D70" s="318" t="n"/>
      <c r="E70" s="320" t="n"/>
      <c r="F70" s="321" t="n"/>
      <c r="G70" s="322" t="n"/>
      <c r="H70" s="271">
        <f>IF(AND(ISNUMBER(F70),ISNUMBER(G70)),F70*G70,"")</f>
        <v/>
      </c>
      <c r="I70" s="321" t="n"/>
      <c r="J70" s="322" t="n"/>
      <c r="K70" s="271">
        <f>IF(AND(ISNUMBER(I70),ISNUMBER(J70)),I70*J70,"")</f>
        <v/>
      </c>
      <c r="L70" s="246">
        <f>IF(COUNT(F70,I70)=0,"",N(F70)-N(I70))</f>
        <v/>
      </c>
      <c r="M70" s="247">
        <f>IF(COUNT(H70,K70)=0,"",N(K70)-N(H70))</f>
        <v/>
      </c>
      <c r="N70" s="246">
        <f>IF(AND(ISNUMBER(F70),ISNUMBER(G70),F70&gt;0,1-N(Ввод!$E$17)/100&gt;0),MAX(0,(F70*G70-SUMPRODUCT((Закрытые!$B$5:$B$300=$B70)*((Закрытые!$F$5:$F$300+Закрытые!$I$5:$I$300-ABS(Закрытые!$F$5:$F$300-Закрытые!$I$5:$I$300))/2)*(Закрытые!$J$5:$J$300-Закрытые!$G$5:$G$300)))/F70)/(1-N(Ввод!$E$17)/100),IF(AND(ISNUMBER(I70),ISNUMBER(J70),I70&gt;0),MAX(0,(I70*J70+SUMPRODUCT((Закрытые!$B$5:$B$300=$B70)*((Закрытые!$F$5:$F$300+Закрытые!$I$5:$I$300-ABS(Закрытые!$F$5:$F$300-Закрытые!$I$5:$I$300))/2)*(Закрытые!$J$5:$J$300-Закрытые!$G$5:$G$300)))/I70)/(1+N(Ввод!$E$17)/100),""))</f>
        <v/>
      </c>
    </row>
    <row r="71" ht="22" customHeight="1">
      <c r="B71" s="313" t="n"/>
      <c r="C71" s="314" t="n"/>
      <c r="D71" s="313" t="n"/>
      <c r="E71" s="315" t="n"/>
      <c r="F71" s="316" t="n"/>
      <c r="G71" s="317" t="n"/>
      <c r="H71" s="271">
        <f>IF(AND(ISNUMBER(F71),ISNUMBER(G71)),F71*G71,"")</f>
        <v/>
      </c>
      <c r="I71" s="316" t="n"/>
      <c r="J71" s="317" t="n"/>
      <c r="K71" s="271">
        <f>IF(AND(ISNUMBER(I71),ISNUMBER(J71)),I71*J71,"")</f>
        <v/>
      </c>
      <c r="L71" s="240">
        <f>IF(COUNT(F71,I71)=0,"",N(F71)-N(I71))</f>
        <v/>
      </c>
      <c r="M71" s="241">
        <f>IF(COUNT(H71,K71)=0,"",N(K71)-N(H71))</f>
        <v/>
      </c>
      <c r="N71" s="240">
        <f>IF(AND(ISNUMBER(F71),ISNUMBER(G71),F71&gt;0,1-N(Ввод!$E$17)/100&gt;0),MAX(0,(F71*G71-SUMPRODUCT((Закрытые!$B$5:$B$300=$B71)*((Закрытые!$F$5:$F$300+Закрытые!$I$5:$I$300-ABS(Закрытые!$F$5:$F$300-Закрытые!$I$5:$I$300))/2)*(Закрытые!$J$5:$J$300-Закрытые!$G$5:$G$300)))/F71)/(1-N(Ввод!$E$17)/100),IF(AND(ISNUMBER(I71),ISNUMBER(J71),I71&gt;0),MAX(0,(I71*J71+SUMPRODUCT((Закрытые!$B$5:$B$300=$B71)*((Закрытые!$F$5:$F$300+Закрытые!$I$5:$I$300-ABS(Закрытые!$F$5:$F$300-Закрытые!$I$5:$I$300))/2)*(Закрытые!$J$5:$J$300-Закрытые!$G$5:$G$300)))/I71)/(1+N(Ввод!$E$17)/100),""))</f>
        <v/>
      </c>
    </row>
    <row r="72" ht="22" customHeight="1">
      <c r="B72" s="318" t="n"/>
      <c r="C72" s="319" t="n"/>
      <c r="D72" s="318" t="n"/>
      <c r="E72" s="320" t="n"/>
      <c r="F72" s="321" t="n"/>
      <c r="G72" s="322" t="n"/>
      <c r="H72" s="271">
        <f>IF(AND(ISNUMBER(F72),ISNUMBER(G72)),F72*G72,"")</f>
        <v/>
      </c>
      <c r="I72" s="321" t="n"/>
      <c r="J72" s="322" t="n"/>
      <c r="K72" s="271">
        <f>IF(AND(ISNUMBER(I72),ISNUMBER(J72)),I72*J72,"")</f>
        <v/>
      </c>
      <c r="L72" s="246">
        <f>IF(COUNT(F72,I72)=0,"",N(F72)-N(I72))</f>
        <v/>
      </c>
      <c r="M72" s="247">
        <f>IF(COUNT(H72,K72)=0,"",N(K72)-N(H72))</f>
        <v/>
      </c>
      <c r="N72" s="246">
        <f>IF(AND(ISNUMBER(F72),ISNUMBER(G72),F72&gt;0,1-N(Ввод!$E$17)/100&gt;0),MAX(0,(F72*G72-SUMPRODUCT((Закрытые!$B$5:$B$300=$B72)*((Закрытые!$F$5:$F$300+Закрытые!$I$5:$I$300-ABS(Закрытые!$F$5:$F$300-Закрытые!$I$5:$I$300))/2)*(Закрытые!$J$5:$J$300-Закрытые!$G$5:$G$300)))/F72)/(1-N(Ввод!$E$17)/100),IF(AND(ISNUMBER(I72),ISNUMBER(J72),I72&gt;0),MAX(0,(I72*J72+SUMPRODUCT((Закрытые!$B$5:$B$300=$B72)*((Закрытые!$F$5:$F$300+Закрытые!$I$5:$I$300-ABS(Закрытые!$F$5:$F$300-Закрытые!$I$5:$I$300))/2)*(Закрытые!$J$5:$J$300-Закрытые!$G$5:$G$300)))/I72)/(1+N(Ввод!$E$17)/100),""))</f>
        <v/>
      </c>
    </row>
    <row r="73" ht="22" customHeight="1">
      <c r="B73" s="313" t="n"/>
      <c r="C73" s="314" t="n"/>
      <c r="D73" s="313" t="n"/>
      <c r="E73" s="315" t="n"/>
      <c r="F73" s="316" t="n"/>
      <c r="G73" s="317" t="n"/>
      <c r="H73" s="271">
        <f>IF(AND(ISNUMBER(F73),ISNUMBER(G73)),F73*G73,"")</f>
        <v/>
      </c>
      <c r="I73" s="316" t="n"/>
      <c r="J73" s="317" t="n"/>
      <c r="K73" s="271">
        <f>IF(AND(ISNUMBER(I73),ISNUMBER(J73)),I73*J73,"")</f>
        <v/>
      </c>
      <c r="L73" s="240">
        <f>IF(COUNT(F73,I73)=0,"",N(F73)-N(I73))</f>
        <v/>
      </c>
      <c r="M73" s="241">
        <f>IF(COUNT(H73,K73)=0,"",N(K73)-N(H73))</f>
        <v/>
      </c>
      <c r="N73" s="240">
        <f>IF(AND(ISNUMBER(F73),ISNUMBER(G73),F73&gt;0,1-N(Ввод!$E$17)/100&gt;0),MAX(0,(F73*G73-SUMPRODUCT((Закрытые!$B$5:$B$300=$B73)*((Закрытые!$F$5:$F$300+Закрытые!$I$5:$I$300-ABS(Закрытые!$F$5:$F$300-Закрытые!$I$5:$I$300))/2)*(Закрытые!$J$5:$J$300-Закрытые!$G$5:$G$300)))/F73)/(1-N(Ввод!$E$17)/100),IF(AND(ISNUMBER(I73),ISNUMBER(J73),I73&gt;0),MAX(0,(I73*J73+SUMPRODUCT((Закрытые!$B$5:$B$300=$B73)*((Закрытые!$F$5:$F$300+Закрытые!$I$5:$I$300-ABS(Закрытые!$F$5:$F$300-Закрытые!$I$5:$I$300))/2)*(Закрытые!$J$5:$J$300-Закрытые!$G$5:$G$300)))/I73)/(1+N(Ввод!$E$17)/100),""))</f>
        <v/>
      </c>
    </row>
    <row r="74" ht="22" customHeight="1">
      <c r="B74" s="318" t="n"/>
      <c r="C74" s="319" t="n"/>
      <c r="D74" s="318" t="n"/>
      <c r="E74" s="320" t="n"/>
      <c r="F74" s="321" t="n"/>
      <c r="G74" s="322" t="n"/>
      <c r="H74" s="271">
        <f>IF(AND(ISNUMBER(F74),ISNUMBER(G74)),F74*G74,"")</f>
        <v/>
      </c>
      <c r="I74" s="321" t="n"/>
      <c r="J74" s="322" t="n"/>
      <c r="K74" s="271">
        <f>IF(AND(ISNUMBER(I74),ISNUMBER(J74)),I74*J74,"")</f>
        <v/>
      </c>
      <c r="L74" s="246">
        <f>IF(COUNT(F74,I74)=0,"",N(F74)-N(I74))</f>
        <v/>
      </c>
      <c r="M74" s="247">
        <f>IF(COUNT(H74,K74)=0,"",N(K74)-N(H74))</f>
        <v/>
      </c>
      <c r="N74" s="246">
        <f>IF(AND(ISNUMBER(F74),ISNUMBER(G74),F74&gt;0,1-N(Ввод!$E$17)/100&gt;0),MAX(0,(F74*G74-SUMPRODUCT((Закрытые!$B$5:$B$300=$B74)*((Закрытые!$F$5:$F$300+Закрытые!$I$5:$I$300-ABS(Закрытые!$F$5:$F$300-Закрытые!$I$5:$I$300))/2)*(Закрытые!$J$5:$J$300-Закрытые!$G$5:$G$300)))/F74)/(1-N(Ввод!$E$17)/100),IF(AND(ISNUMBER(I74),ISNUMBER(J74),I74&gt;0),MAX(0,(I74*J74+SUMPRODUCT((Закрытые!$B$5:$B$300=$B74)*((Закрытые!$F$5:$F$300+Закрытые!$I$5:$I$300-ABS(Закрытые!$F$5:$F$300-Закрытые!$I$5:$I$300))/2)*(Закрытые!$J$5:$J$300-Закрытые!$G$5:$G$300)))/I74)/(1+N(Ввод!$E$17)/100),""))</f>
        <v/>
      </c>
    </row>
    <row r="75" ht="22" customHeight="1">
      <c r="B75" s="313" t="n"/>
      <c r="C75" s="314" t="n"/>
      <c r="D75" s="313" t="n"/>
      <c r="E75" s="315" t="n"/>
      <c r="F75" s="316" t="n"/>
      <c r="G75" s="317" t="n"/>
      <c r="H75" s="271">
        <f>IF(AND(ISNUMBER(F75),ISNUMBER(G75)),F75*G75,"")</f>
        <v/>
      </c>
      <c r="I75" s="316" t="n"/>
      <c r="J75" s="317" t="n"/>
      <c r="K75" s="271">
        <f>IF(AND(ISNUMBER(I75),ISNUMBER(J75)),I75*J75,"")</f>
        <v/>
      </c>
      <c r="L75" s="240">
        <f>IF(COUNT(F75,I75)=0,"",N(F75)-N(I75))</f>
        <v/>
      </c>
      <c r="M75" s="241">
        <f>IF(COUNT(H75,K75)=0,"",N(K75)-N(H75))</f>
        <v/>
      </c>
      <c r="N75" s="240">
        <f>IF(AND(ISNUMBER(F75),ISNUMBER(G75),F75&gt;0,1-N(Ввод!$E$17)/100&gt;0),MAX(0,(F75*G75-SUMPRODUCT((Закрытые!$B$5:$B$300=$B75)*((Закрытые!$F$5:$F$300+Закрытые!$I$5:$I$300-ABS(Закрытые!$F$5:$F$300-Закрытые!$I$5:$I$300))/2)*(Закрытые!$J$5:$J$300-Закрытые!$G$5:$G$300)))/F75)/(1-N(Ввод!$E$17)/100),IF(AND(ISNUMBER(I75),ISNUMBER(J75),I75&gt;0),MAX(0,(I75*J75+SUMPRODUCT((Закрытые!$B$5:$B$300=$B75)*((Закрытые!$F$5:$F$300+Закрытые!$I$5:$I$300-ABS(Закрытые!$F$5:$F$300-Закрытые!$I$5:$I$300))/2)*(Закрытые!$J$5:$J$300-Закрытые!$G$5:$G$300)))/I75)/(1+N(Ввод!$E$17)/100),""))</f>
        <v/>
      </c>
    </row>
    <row r="76" ht="22" customHeight="1">
      <c r="B76" s="318" t="n"/>
      <c r="C76" s="319" t="n"/>
      <c r="D76" s="318" t="n"/>
      <c r="E76" s="320" t="n"/>
      <c r="F76" s="321" t="n"/>
      <c r="G76" s="322" t="n"/>
      <c r="H76" s="271">
        <f>IF(AND(ISNUMBER(F76),ISNUMBER(G76)),F76*G76,"")</f>
        <v/>
      </c>
      <c r="I76" s="321" t="n"/>
      <c r="J76" s="322" t="n"/>
      <c r="K76" s="271">
        <f>IF(AND(ISNUMBER(I76),ISNUMBER(J76)),I76*J76,"")</f>
        <v/>
      </c>
      <c r="L76" s="246">
        <f>IF(COUNT(F76,I76)=0,"",N(F76)-N(I76))</f>
        <v/>
      </c>
      <c r="M76" s="247">
        <f>IF(COUNT(H76,K76)=0,"",N(K76)-N(H76))</f>
        <v/>
      </c>
      <c r="N76" s="246">
        <f>IF(AND(ISNUMBER(F76),ISNUMBER(G76),F76&gt;0,1-N(Ввод!$E$17)/100&gt;0),MAX(0,(F76*G76-SUMPRODUCT((Закрытые!$B$5:$B$300=$B76)*((Закрытые!$F$5:$F$300+Закрытые!$I$5:$I$300-ABS(Закрытые!$F$5:$F$300-Закрытые!$I$5:$I$300))/2)*(Закрытые!$J$5:$J$300-Закрытые!$G$5:$G$300)))/F76)/(1-N(Ввод!$E$17)/100),IF(AND(ISNUMBER(I76),ISNUMBER(J76),I76&gt;0),MAX(0,(I76*J76+SUMPRODUCT((Закрытые!$B$5:$B$300=$B76)*((Закрытые!$F$5:$F$300+Закрытые!$I$5:$I$300-ABS(Закрытые!$F$5:$F$300-Закрытые!$I$5:$I$300))/2)*(Закрытые!$J$5:$J$300-Закрытые!$G$5:$G$300)))/I76)/(1+N(Ввод!$E$17)/100),""))</f>
        <v/>
      </c>
    </row>
    <row r="77" ht="22" customHeight="1">
      <c r="B77" s="313" t="n"/>
      <c r="C77" s="314" t="n"/>
      <c r="D77" s="313" t="n"/>
      <c r="E77" s="315" t="n"/>
      <c r="F77" s="316" t="n"/>
      <c r="G77" s="317" t="n"/>
      <c r="H77" s="271">
        <f>IF(AND(ISNUMBER(F77),ISNUMBER(G77)),F77*G77,"")</f>
        <v/>
      </c>
      <c r="I77" s="316" t="n"/>
      <c r="J77" s="317" t="n"/>
      <c r="K77" s="271">
        <f>IF(AND(ISNUMBER(I77),ISNUMBER(J77)),I77*J77,"")</f>
        <v/>
      </c>
      <c r="L77" s="240">
        <f>IF(COUNT(F77,I77)=0,"",N(F77)-N(I77))</f>
        <v/>
      </c>
      <c r="M77" s="241">
        <f>IF(COUNT(H77,K77)=0,"",N(K77)-N(H77))</f>
        <v/>
      </c>
      <c r="N77" s="240">
        <f>IF(AND(ISNUMBER(F77),ISNUMBER(G77),F77&gt;0,1-N(Ввод!$E$17)/100&gt;0),MAX(0,(F77*G77-SUMPRODUCT((Закрытые!$B$5:$B$300=$B77)*((Закрытые!$F$5:$F$300+Закрытые!$I$5:$I$300-ABS(Закрытые!$F$5:$F$300-Закрытые!$I$5:$I$300))/2)*(Закрытые!$J$5:$J$300-Закрытые!$G$5:$G$300)))/F77)/(1-N(Ввод!$E$17)/100),IF(AND(ISNUMBER(I77),ISNUMBER(J77),I77&gt;0),MAX(0,(I77*J77+SUMPRODUCT((Закрытые!$B$5:$B$300=$B77)*((Закрытые!$F$5:$F$300+Закрытые!$I$5:$I$300-ABS(Закрытые!$F$5:$F$300-Закрытые!$I$5:$I$300))/2)*(Закрытые!$J$5:$J$300-Закрытые!$G$5:$G$300)))/I77)/(1+N(Ввод!$E$17)/100),""))</f>
        <v/>
      </c>
    </row>
    <row r="78" ht="22" customHeight="1">
      <c r="B78" s="318" t="n"/>
      <c r="C78" s="319" t="n"/>
      <c r="D78" s="318" t="n"/>
      <c r="E78" s="320" t="n"/>
      <c r="F78" s="321" t="n"/>
      <c r="G78" s="322" t="n"/>
      <c r="H78" s="271">
        <f>IF(AND(ISNUMBER(F78),ISNUMBER(G78)),F78*G78,"")</f>
        <v/>
      </c>
      <c r="I78" s="321" t="n"/>
      <c r="J78" s="322" t="n"/>
      <c r="K78" s="271">
        <f>IF(AND(ISNUMBER(I78),ISNUMBER(J78)),I78*J78,"")</f>
        <v/>
      </c>
      <c r="L78" s="246">
        <f>IF(COUNT(F78,I78)=0,"",N(F78)-N(I78))</f>
        <v/>
      </c>
      <c r="M78" s="247">
        <f>IF(COUNT(H78,K78)=0,"",N(K78)-N(H78))</f>
        <v/>
      </c>
      <c r="N78" s="246">
        <f>IF(AND(ISNUMBER(F78),ISNUMBER(G78),F78&gt;0,1-N(Ввод!$E$17)/100&gt;0),MAX(0,(F78*G78-SUMPRODUCT((Закрытые!$B$5:$B$300=$B78)*((Закрытые!$F$5:$F$300+Закрытые!$I$5:$I$300-ABS(Закрытые!$F$5:$F$300-Закрытые!$I$5:$I$300))/2)*(Закрытые!$J$5:$J$300-Закрытые!$G$5:$G$300)))/F78)/(1-N(Ввод!$E$17)/100),IF(AND(ISNUMBER(I78),ISNUMBER(J78),I78&gt;0),MAX(0,(I78*J78+SUMPRODUCT((Закрытые!$B$5:$B$300=$B78)*((Закрытые!$F$5:$F$300+Закрытые!$I$5:$I$300-ABS(Закрытые!$F$5:$F$300-Закрытые!$I$5:$I$300))/2)*(Закрытые!$J$5:$J$300-Закрытые!$G$5:$G$300)))/I78)/(1+N(Ввод!$E$17)/100),""))</f>
        <v/>
      </c>
    </row>
    <row r="79" ht="22" customHeight="1">
      <c r="B79" s="313" t="n"/>
      <c r="C79" s="314" t="n"/>
      <c r="D79" s="313" t="n"/>
      <c r="E79" s="315" t="n"/>
      <c r="F79" s="316" t="n"/>
      <c r="G79" s="317" t="n"/>
      <c r="H79" s="271">
        <f>IF(AND(ISNUMBER(F79),ISNUMBER(G79)),F79*G79,"")</f>
        <v/>
      </c>
      <c r="I79" s="316" t="n"/>
      <c r="J79" s="317" t="n"/>
      <c r="K79" s="271">
        <f>IF(AND(ISNUMBER(I79),ISNUMBER(J79)),I79*J79,"")</f>
        <v/>
      </c>
      <c r="L79" s="240">
        <f>IF(COUNT(F79,I79)=0,"",N(F79)-N(I79))</f>
        <v/>
      </c>
      <c r="M79" s="241">
        <f>IF(COUNT(H79,K79)=0,"",N(K79)-N(H79))</f>
        <v/>
      </c>
      <c r="N79" s="240">
        <f>IF(AND(ISNUMBER(F79),ISNUMBER(G79),F79&gt;0,1-N(Ввод!$E$17)/100&gt;0),MAX(0,(F79*G79-SUMPRODUCT((Закрытые!$B$5:$B$300=$B79)*((Закрытые!$F$5:$F$300+Закрытые!$I$5:$I$300-ABS(Закрытые!$F$5:$F$300-Закрытые!$I$5:$I$300))/2)*(Закрытые!$J$5:$J$300-Закрытые!$G$5:$G$300)))/F79)/(1-N(Ввод!$E$17)/100),IF(AND(ISNUMBER(I79),ISNUMBER(J79),I79&gt;0),MAX(0,(I79*J79+SUMPRODUCT((Закрытые!$B$5:$B$300=$B79)*((Закрытые!$F$5:$F$300+Закрытые!$I$5:$I$300-ABS(Закрытые!$F$5:$F$300-Закрытые!$I$5:$I$300))/2)*(Закрытые!$J$5:$J$300-Закрытые!$G$5:$G$300)))/I79)/(1+N(Ввод!$E$17)/100),""))</f>
        <v/>
      </c>
    </row>
    <row r="80" ht="22" customHeight="1">
      <c r="B80" s="318" t="n"/>
      <c r="C80" s="319" t="n"/>
      <c r="D80" s="318" t="n"/>
      <c r="E80" s="320" t="n"/>
      <c r="F80" s="321" t="n"/>
      <c r="G80" s="322" t="n"/>
      <c r="H80" s="271">
        <f>IF(AND(ISNUMBER(F80),ISNUMBER(G80)),F80*G80,"")</f>
        <v/>
      </c>
      <c r="I80" s="321" t="n"/>
      <c r="J80" s="322" t="n"/>
      <c r="K80" s="271">
        <f>IF(AND(ISNUMBER(I80),ISNUMBER(J80)),I80*J80,"")</f>
        <v/>
      </c>
      <c r="L80" s="246">
        <f>IF(COUNT(F80,I80)=0,"",N(F80)-N(I80))</f>
        <v/>
      </c>
      <c r="M80" s="247">
        <f>IF(COUNT(H80,K80)=0,"",N(K80)-N(H80))</f>
        <v/>
      </c>
      <c r="N80" s="246">
        <f>IF(AND(ISNUMBER(F80),ISNUMBER(G80),F80&gt;0,1-N(Ввод!$E$17)/100&gt;0),MAX(0,(F80*G80-SUMPRODUCT((Закрытые!$B$5:$B$300=$B80)*((Закрытые!$F$5:$F$300+Закрытые!$I$5:$I$300-ABS(Закрытые!$F$5:$F$300-Закрытые!$I$5:$I$300))/2)*(Закрытые!$J$5:$J$300-Закрытые!$G$5:$G$300)))/F80)/(1-N(Ввод!$E$17)/100),IF(AND(ISNUMBER(I80),ISNUMBER(J80),I80&gt;0),MAX(0,(I80*J80+SUMPRODUCT((Закрытые!$B$5:$B$300=$B80)*((Закрытые!$F$5:$F$300+Закрытые!$I$5:$I$300-ABS(Закрытые!$F$5:$F$300-Закрытые!$I$5:$I$300))/2)*(Закрытые!$J$5:$J$300-Закрытые!$G$5:$G$300)))/I80)/(1+N(Ввод!$E$17)/100),""))</f>
        <v/>
      </c>
    </row>
    <row r="81" ht="22" customHeight="1">
      <c r="B81" s="313" t="n"/>
      <c r="C81" s="314" t="n"/>
      <c r="D81" s="313" t="n"/>
      <c r="E81" s="315" t="n"/>
      <c r="F81" s="316" t="n"/>
      <c r="G81" s="317" t="n"/>
      <c r="H81" s="271">
        <f>IF(AND(ISNUMBER(F81),ISNUMBER(G81)),F81*G81,"")</f>
        <v/>
      </c>
      <c r="I81" s="316" t="n"/>
      <c r="J81" s="317" t="n"/>
      <c r="K81" s="271">
        <f>IF(AND(ISNUMBER(I81),ISNUMBER(J81)),I81*J81,"")</f>
        <v/>
      </c>
      <c r="L81" s="240">
        <f>IF(COUNT(F81,I81)=0,"",N(F81)-N(I81))</f>
        <v/>
      </c>
      <c r="M81" s="241">
        <f>IF(COUNT(H81,K81)=0,"",N(K81)-N(H81))</f>
        <v/>
      </c>
      <c r="N81" s="240">
        <f>IF(AND(ISNUMBER(F81),ISNUMBER(G81),F81&gt;0,1-N(Ввод!$E$17)/100&gt;0),MAX(0,(F81*G81-SUMPRODUCT((Закрытые!$B$5:$B$300=$B81)*((Закрытые!$F$5:$F$300+Закрытые!$I$5:$I$300-ABS(Закрытые!$F$5:$F$300-Закрытые!$I$5:$I$300))/2)*(Закрытые!$J$5:$J$300-Закрытые!$G$5:$G$300)))/F81)/(1-N(Ввод!$E$17)/100),IF(AND(ISNUMBER(I81),ISNUMBER(J81),I81&gt;0),MAX(0,(I81*J81+SUMPRODUCT((Закрытые!$B$5:$B$300=$B81)*((Закрытые!$F$5:$F$300+Закрытые!$I$5:$I$300-ABS(Закрытые!$F$5:$F$300-Закрытые!$I$5:$I$300))/2)*(Закрытые!$J$5:$J$300-Закрытые!$G$5:$G$300)))/I81)/(1+N(Ввод!$E$17)/100),""))</f>
        <v/>
      </c>
    </row>
    <row r="82" ht="22" customHeight="1">
      <c r="B82" s="318" t="n"/>
      <c r="C82" s="319" t="n"/>
      <c r="D82" s="318" t="n"/>
      <c r="E82" s="320" t="n"/>
      <c r="F82" s="321" t="n"/>
      <c r="G82" s="322" t="n"/>
      <c r="H82" s="271">
        <f>IF(AND(ISNUMBER(F82),ISNUMBER(G82)),F82*G82,"")</f>
        <v/>
      </c>
      <c r="I82" s="321" t="n"/>
      <c r="J82" s="322" t="n"/>
      <c r="K82" s="271">
        <f>IF(AND(ISNUMBER(I82),ISNUMBER(J82)),I82*J82,"")</f>
        <v/>
      </c>
      <c r="L82" s="246">
        <f>IF(COUNT(F82,I82)=0,"",N(F82)-N(I82))</f>
        <v/>
      </c>
      <c r="M82" s="247">
        <f>IF(COUNT(H82,K82)=0,"",N(K82)-N(H82))</f>
        <v/>
      </c>
      <c r="N82" s="246">
        <f>IF(AND(ISNUMBER(F82),ISNUMBER(G82),F82&gt;0,1-N(Ввод!$E$17)/100&gt;0),MAX(0,(F82*G82-SUMPRODUCT((Закрытые!$B$5:$B$300=$B82)*((Закрытые!$F$5:$F$300+Закрытые!$I$5:$I$300-ABS(Закрытые!$F$5:$F$300-Закрытые!$I$5:$I$300))/2)*(Закрытые!$J$5:$J$300-Закрытые!$G$5:$G$300)))/F82)/(1-N(Ввод!$E$17)/100),IF(AND(ISNUMBER(I82),ISNUMBER(J82),I82&gt;0),MAX(0,(I82*J82+SUMPRODUCT((Закрытые!$B$5:$B$300=$B82)*((Закрытые!$F$5:$F$300+Закрытые!$I$5:$I$300-ABS(Закрытые!$F$5:$F$300-Закрытые!$I$5:$I$300))/2)*(Закрытые!$J$5:$J$300-Закрытые!$G$5:$G$300)))/I82)/(1+N(Ввод!$E$17)/100),""))</f>
        <v/>
      </c>
    </row>
    <row r="83" ht="22" customHeight="1">
      <c r="B83" s="313" t="n"/>
      <c r="C83" s="314" t="n"/>
      <c r="D83" s="313" t="n"/>
      <c r="E83" s="315" t="n"/>
      <c r="F83" s="316" t="n"/>
      <c r="G83" s="317" t="n"/>
      <c r="H83" s="271">
        <f>IF(AND(ISNUMBER(F83),ISNUMBER(G83)),F83*G83,"")</f>
        <v/>
      </c>
      <c r="I83" s="316" t="n"/>
      <c r="J83" s="317" t="n"/>
      <c r="K83" s="271">
        <f>IF(AND(ISNUMBER(I83),ISNUMBER(J83)),I83*J83,"")</f>
        <v/>
      </c>
      <c r="L83" s="240">
        <f>IF(COUNT(F83,I83)=0,"",N(F83)-N(I83))</f>
        <v/>
      </c>
      <c r="M83" s="241">
        <f>IF(COUNT(H83,K83)=0,"",N(K83)-N(H83))</f>
        <v/>
      </c>
      <c r="N83" s="240">
        <f>IF(AND(ISNUMBER(F83),ISNUMBER(G83),F83&gt;0,1-N(Ввод!$E$17)/100&gt;0),MAX(0,(F83*G83-SUMPRODUCT((Закрытые!$B$5:$B$300=$B83)*((Закрытые!$F$5:$F$300+Закрытые!$I$5:$I$300-ABS(Закрытые!$F$5:$F$300-Закрытые!$I$5:$I$300))/2)*(Закрытые!$J$5:$J$300-Закрытые!$G$5:$G$300)))/F83)/(1-N(Ввод!$E$17)/100),IF(AND(ISNUMBER(I83),ISNUMBER(J83),I83&gt;0),MAX(0,(I83*J83+SUMPRODUCT((Закрытые!$B$5:$B$300=$B83)*((Закрытые!$F$5:$F$300+Закрытые!$I$5:$I$300-ABS(Закрытые!$F$5:$F$300-Закрытые!$I$5:$I$300))/2)*(Закрытые!$J$5:$J$300-Закрытые!$G$5:$G$300)))/I83)/(1+N(Ввод!$E$17)/100),""))</f>
        <v/>
      </c>
    </row>
    <row r="84" ht="22" customHeight="1">
      <c r="B84" s="318" t="n"/>
      <c r="C84" s="319" t="n"/>
      <c r="D84" s="318" t="n"/>
      <c r="E84" s="320" t="n"/>
      <c r="F84" s="321" t="n"/>
      <c r="G84" s="322" t="n"/>
      <c r="H84" s="271">
        <f>IF(AND(ISNUMBER(F84),ISNUMBER(G84)),F84*G84,"")</f>
        <v/>
      </c>
      <c r="I84" s="321" t="n"/>
      <c r="J84" s="322" t="n"/>
      <c r="K84" s="271">
        <f>IF(AND(ISNUMBER(I84),ISNUMBER(J84)),I84*J84,"")</f>
        <v/>
      </c>
      <c r="L84" s="246">
        <f>IF(COUNT(F84,I84)=0,"",N(F84)-N(I84))</f>
        <v/>
      </c>
      <c r="M84" s="247">
        <f>IF(COUNT(H84,K84)=0,"",N(K84)-N(H84))</f>
        <v/>
      </c>
      <c r="N84" s="246">
        <f>IF(AND(ISNUMBER(F84),ISNUMBER(G84),F84&gt;0,1-N(Ввод!$E$17)/100&gt;0),MAX(0,(F84*G84-SUMPRODUCT((Закрытые!$B$5:$B$300=$B84)*((Закрытые!$F$5:$F$300+Закрытые!$I$5:$I$300-ABS(Закрытые!$F$5:$F$300-Закрытые!$I$5:$I$300))/2)*(Закрытые!$J$5:$J$300-Закрытые!$G$5:$G$300)))/F84)/(1-N(Ввод!$E$17)/100),IF(AND(ISNUMBER(I84),ISNUMBER(J84),I84&gt;0),MAX(0,(I84*J84+SUMPRODUCT((Закрытые!$B$5:$B$300=$B84)*((Закрытые!$F$5:$F$300+Закрытые!$I$5:$I$300-ABS(Закрытые!$F$5:$F$300-Закрытые!$I$5:$I$300))/2)*(Закрытые!$J$5:$J$300-Закрытые!$G$5:$G$300)))/I84)/(1+N(Ввод!$E$17)/100),""))</f>
        <v/>
      </c>
    </row>
    <row r="85" ht="22" customHeight="1">
      <c r="B85" s="313" t="n"/>
      <c r="C85" s="314" t="n"/>
      <c r="D85" s="313" t="n"/>
      <c r="E85" s="315" t="n"/>
      <c r="F85" s="316" t="n"/>
      <c r="G85" s="317" t="n"/>
      <c r="H85" s="271">
        <f>IF(AND(ISNUMBER(F85),ISNUMBER(G85)),F85*G85,"")</f>
        <v/>
      </c>
      <c r="I85" s="316" t="n"/>
      <c r="J85" s="317" t="n"/>
      <c r="K85" s="271">
        <f>IF(AND(ISNUMBER(I85),ISNUMBER(J85)),I85*J85,"")</f>
        <v/>
      </c>
      <c r="L85" s="240">
        <f>IF(COUNT(F85,I85)=0,"",N(F85)-N(I85))</f>
        <v/>
      </c>
      <c r="M85" s="241">
        <f>IF(COUNT(H85,K85)=0,"",N(K85)-N(H85))</f>
        <v/>
      </c>
      <c r="N85" s="240">
        <f>IF(AND(ISNUMBER(F85),ISNUMBER(G85),F85&gt;0,1-N(Ввод!$E$17)/100&gt;0),MAX(0,(F85*G85-SUMPRODUCT((Закрытые!$B$5:$B$300=$B85)*((Закрытые!$F$5:$F$300+Закрытые!$I$5:$I$300-ABS(Закрытые!$F$5:$F$300-Закрытые!$I$5:$I$300))/2)*(Закрытые!$J$5:$J$300-Закрытые!$G$5:$G$300)))/F85)/(1-N(Ввод!$E$17)/100),IF(AND(ISNUMBER(I85),ISNUMBER(J85),I85&gt;0),MAX(0,(I85*J85+SUMPRODUCT((Закрытые!$B$5:$B$300=$B85)*((Закрытые!$F$5:$F$300+Закрытые!$I$5:$I$300-ABS(Закрытые!$F$5:$F$300-Закрытые!$I$5:$I$300))/2)*(Закрытые!$J$5:$J$300-Закрытые!$G$5:$G$300)))/I85)/(1+N(Ввод!$E$17)/100),""))</f>
        <v/>
      </c>
    </row>
    <row r="86" ht="22" customHeight="1">
      <c r="B86" s="318" t="n"/>
      <c r="C86" s="319" t="n"/>
      <c r="D86" s="318" t="n"/>
      <c r="E86" s="320" t="n"/>
      <c r="F86" s="321" t="n"/>
      <c r="G86" s="322" t="n"/>
      <c r="H86" s="271">
        <f>IF(AND(ISNUMBER(F86),ISNUMBER(G86)),F86*G86,"")</f>
        <v/>
      </c>
      <c r="I86" s="321" t="n"/>
      <c r="J86" s="322" t="n"/>
      <c r="K86" s="271">
        <f>IF(AND(ISNUMBER(I86),ISNUMBER(J86)),I86*J86,"")</f>
        <v/>
      </c>
      <c r="L86" s="246">
        <f>IF(COUNT(F86,I86)=0,"",N(F86)-N(I86))</f>
        <v/>
      </c>
      <c r="M86" s="247">
        <f>IF(COUNT(H86,K86)=0,"",N(K86)-N(H86))</f>
        <v/>
      </c>
      <c r="N86" s="246">
        <f>IF(AND(ISNUMBER(F86),ISNUMBER(G86),F86&gt;0,1-N(Ввод!$E$17)/100&gt;0),MAX(0,(F86*G86-SUMPRODUCT((Закрытые!$B$5:$B$300=$B86)*((Закрытые!$F$5:$F$300+Закрытые!$I$5:$I$300-ABS(Закрытые!$F$5:$F$300-Закрытые!$I$5:$I$300))/2)*(Закрытые!$J$5:$J$300-Закрытые!$G$5:$G$300)))/F86)/(1-N(Ввод!$E$17)/100),IF(AND(ISNUMBER(I86),ISNUMBER(J86),I86&gt;0),MAX(0,(I86*J86+SUMPRODUCT((Закрытые!$B$5:$B$300=$B86)*((Закрытые!$F$5:$F$300+Закрытые!$I$5:$I$300-ABS(Закрытые!$F$5:$F$300-Закрытые!$I$5:$I$300))/2)*(Закрытые!$J$5:$J$300-Закрытые!$G$5:$G$300)))/I86)/(1+N(Ввод!$E$17)/100),""))</f>
        <v/>
      </c>
    </row>
    <row r="87" ht="22" customHeight="1">
      <c r="B87" s="313" t="n"/>
      <c r="C87" s="314" t="n"/>
      <c r="D87" s="313" t="n"/>
      <c r="E87" s="315" t="n"/>
      <c r="F87" s="316" t="n"/>
      <c r="G87" s="317" t="n"/>
      <c r="H87" s="271">
        <f>IF(AND(ISNUMBER(F87),ISNUMBER(G87)),F87*G87,"")</f>
        <v/>
      </c>
      <c r="I87" s="316" t="n"/>
      <c r="J87" s="317" t="n"/>
      <c r="K87" s="271">
        <f>IF(AND(ISNUMBER(I87),ISNUMBER(J87)),I87*J87,"")</f>
        <v/>
      </c>
      <c r="L87" s="240">
        <f>IF(COUNT(F87,I87)=0,"",N(F87)-N(I87))</f>
        <v/>
      </c>
      <c r="M87" s="241">
        <f>IF(COUNT(H87,K87)=0,"",N(K87)-N(H87))</f>
        <v/>
      </c>
      <c r="N87" s="240">
        <f>IF(AND(ISNUMBER(F87),ISNUMBER(G87),F87&gt;0,1-N(Ввод!$E$17)/100&gt;0),MAX(0,(F87*G87-SUMPRODUCT((Закрытые!$B$5:$B$300=$B87)*((Закрытые!$F$5:$F$300+Закрытые!$I$5:$I$300-ABS(Закрытые!$F$5:$F$300-Закрытые!$I$5:$I$300))/2)*(Закрытые!$J$5:$J$300-Закрытые!$G$5:$G$300)))/F87)/(1-N(Ввод!$E$17)/100),IF(AND(ISNUMBER(I87),ISNUMBER(J87),I87&gt;0),MAX(0,(I87*J87+SUMPRODUCT((Закрытые!$B$5:$B$300=$B87)*((Закрытые!$F$5:$F$300+Закрытые!$I$5:$I$300-ABS(Закрытые!$F$5:$F$300-Закрытые!$I$5:$I$300))/2)*(Закрытые!$J$5:$J$300-Закрытые!$G$5:$G$300)))/I87)/(1+N(Ввод!$E$17)/100),""))</f>
        <v/>
      </c>
    </row>
    <row r="88" ht="22" customHeight="1">
      <c r="B88" s="318" t="n"/>
      <c r="C88" s="319" t="n"/>
      <c r="D88" s="318" t="n"/>
      <c r="E88" s="320" t="n"/>
      <c r="F88" s="321" t="n"/>
      <c r="G88" s="322" t="n"/>
      <c r="H88" s="271">
        <f>IF(AND(ISNUMBER(F88),ISNUMBER(G88)),F88*G88,"")</f>
        <v/>
      </c>
      <c r="I88" s="321" t="n"/>
      <c r="J88" s="322" t="n"/>
      <c r="K88" s="271">
        <f>IF(AND(ISNUMBER(I88),ISNUMBER(J88)),I88*J88,"")</f>
        <v/>
      </c>
      <c r="L88" s="246">
        <f>IF(COUNT(F88,I88)=0,"",N(F88)-N(I88))</f>
        <v/>
      </c>
      <c r="M88" s="247">
        <f>IF(COUNT(H88,K88)=0,"",N(K88)-N(H88))</f>
        <v/>
      </c>
      <c r="N88" s="246">
        <f>IF(AND(ISNUMBER(F88),ISNUMBER(G88),F88&gt;0,1-N(Ввод!$E$17)/100&gt;0),MAX(0,(F88*G88-SUMPRODUCT((Закрытые!$B$5:$B$300=$B88)*((Закрытые!$F$5:$F$300+Закрытые!$I$5:$I$300-ABS(Закрытые!$F$5:$F$300-Закрытые!$I$5:$I$300))/2)*(Закрытые!$J$5:$J$300-Закрытые!$G$5:$G$300)))/F88)/(1-N(Ввод!$E$17)/100),IF(AND(ISNUMBER(I88),ISNUMBER(J88),I88&gt;0),MAX(0,(I88*J88+SUMPRODUCT((Закрытые!$B$5:$B$300=$B88)*((Закрытые!$F$5:$F$300+Закрытые!$I$5:$I$300-ABS(Закрытые!$F$5:$F$300-Закрытые!$I$5:$I$300))/2)*(Закрытые!$J$5:$J$300-Закрытые!$G$5:$G$300)))/I88)/(1+N(Ввод!$E$17)/100),""))</f>
        <v/>
      </c>
    </row>
    <row r="89" ht="22" customHeight="1">
      <c r="B89" s="313" t="n"/>
      <c r="C89" s="314" t="n"/>
      <c r="D89" s="313" t="n"/>
      <c r="E89" s="315" t="n"/>
      <c r="F89" s="316" t="n"/>
      <c r="G89" s="317" t="n"/>
      <c r="H89" s="271">
        <f>IF(AND(ISNUMBER(F89),ISNUMBER(G89)),F89*G89,"")</f>
        <v/>
      </c>
      <c r="I89" s="316" t="n"/>
      <c r="J89" s="317" t="n"/>
      <c r="K89" s="271">
        <f>IF(AND(ISNUMBER(I89),ISNUMBER(J89)),I89*J89,"")</f>
        <v/>
      </c>
      <c r="L89" s="240">
        <f>IF(COUNT(F89,I89)=0,"",N(F89)-N(I89))</f>
        <v/>
      </c>
      <c r="M89" s="241">
        <f>IF(COUNT(H89,K89)=0,"",N(K89)-N(H89))</f>
        <v/>
      </c>
      <c r="N89" s="240">
        <f>IF(AND(ISNUMBER(F89),ISNUMBER(G89),F89&gt;0,1-N(Ввод!$E$17)/100&gt;0),MAX(0,(F89*G89-SUMPRODUCT((Закрытые!$B$5:$B$300=$B89)*((Закрытые!$F$5:$F$300+Закрытые!$I$5:$I$300-ABS(Закрытые!$F$5:$F$300-Закрытые!$I$5:$I$300))/2)*(Закрытые!$J$5:$J$300-Закрытые!$G$5:$G$300)))/F89)/(1-N(Ввод!$E$17)/100),IF(AND(ISNUMBER(I89),ISNUMBER(J89),I89&gt;0),MAX(0,(I89*J89+SUMPRODUCT((Закрытые!$B$5:$B$300=$B89)*((Закрытые!$F$5:$F$300+Закрытые!$I$5:$I$300-ABS(Закрытые!$F$5:$F$300-Закрытые!$I$5:$I$300))/2)*(Закрытые!$J$5:$J$300-Закрытые!$G$5:$G$300)))/I89)/(1+N(Ввод!$E$17)/100),""))</f>
        <v/>
      </c>
    </row>
    <row r="90" ht="22" customHeight="1">
      <c r="B90" s="318" t="n"/>
      <c r="C90" s="319" t="n"/>
      <c r="D90" s="318" t="n"/>
      <c r="E90" s="320" t="n"/>
      <c r="F90" s="321" t="n"/>
      <c r="G90" s="322" t="n"/>
      <c r="H90" s="271">
        <f>IF(AND(ISNUMBER(F90),ISNUMBER(G90)),F90*G90,"")</f>
        <v/>
      </c>
      <c r="I90" s="321" t="n"/>
      <c r="J90" s="322" t="n"/>
      <c r="K90" s="271">
        <f>IF(AND(ISNUMBER(I90),ISNUMBER(J90)),I90*J90,"")</f>
        <v/>
      </c>
      <c r="L90" s="246">
        <f>IF(COUNT(F90,I90)=0,"",N(F90)-N(I90))</f>
        <v/>
      </c>
      <c r="M90" s="247">
        <f>IF(COUNT(H90,K90)=0,"",N(K90)-N(H90))</f>
        <v/>
      </c>
      <c r="N90" s="246">
        <f>IF(AND(ISNUMBER(F90),ISNUMBER(G90),F90&gt;0,1-N(Ввод!$E$17)/100&gt;0),MAX(0,(F90*G90-SUMPRODUCT((Закрытые!$B$5:$B$300=$B90)*((Закрытые!$F$5:$F$300+Закрытые!$I$5:$I$300-ABS(Закрытые!$F$5:$F$300-Закрытые!$I$5:$I$300))/2)*(Закрытые!$J$5:$J$300-Закрытые!$G$5:$G$300)))/F90)/(1-N(Ввод!$E$17)/100),IF(AND(ISNUMBER(I90),ISNUMBER(J90),I90&gt;0),MAX(0,(I90*J90+SUMPRODUCT((Закрытые!$B$5:$B$300=$B90)*((Закрытые!$F$5:$F$300+Закрытые!$I$5:$I$300-ABS(Закрытые!$F$5:$F$300-Закрытые!$I$5:$I$300))/2)*(Закрытые!$J$5:$J$300-Закрытые!$G$5:$G$300)))/I90)/(1+N(Ввод!$E$17)/100),""))</f>
        <v/>
      </c>
    </row>
    <row r="91" ht="22" customHeight="1">
      <c r="B91" s="313" t="n"/>
      <c r="C91" s="314" t="n"/>
      <c r="D91" s="313" t="n"/>
      <c r="E91" s="315" t="n"/>
      <c r="F91" s="316" t="n"/>
      <c r="G91" s="317" t="n"/>
      <c r="H91" s="271">
        <f>IF(AND(ISNUMBER(F91),ISNUMBER(G91)),F91*G91,"")</f>
        <v/>
      </c>
      <c r="I91" s="316" t="n"/>
      <c r="J91" s="317" t="n"/>
      <c r="K91" s="271">
        <f>IF(AND(ISNUMBER(I91),ISNUMBER(J91)),I91*J91,"")</f>
        <v/>
      </c>
      <c r="L91" s="240">
        <f>IF(COUNT(F91,I91)=0,"",N(F91)-N(I91))</f>
        <v/>
      </c>
      <c r="M91" s="241">
        <f>IF(COUNT(H91,K91)=0,"",N(K91)-N(H91))</f>
        <v/>
      </c>
      <c r="N91" s="240">
        <f>IF(AND(ISNUMBER(F91),ISNUMBER(G91),F91&gt;0,1-N(Ввод!$E$17)/100&gt;0),MAX(0,(F91*G91-SUMPRODUCT((Закрытые!$B$5:$B$300=$B91)*((Закрытые!$F$5:$F$300+Закрытые!$I$5:$I$300-ABS(Закрытые!$F$5:$F$300-Закрытые!$I$5:$I$300))/2)*(Закрытые!$J$5:$J$300-Закрытые!$G$5:$G$300)))/F91)/(1-N(Ввод!$E$17)/100),IF(AND(ISNUMBER(I91),ISNUMBER(J91),I91&gt;0),MAX(0,(I91*J91+SUMPRODUCT((Закрытые!$B$5:$B$300=$B91)*((Закрытые!$F$5:$F$300+Закрытые!$I$5:$I$300-ABS(Закрытые!$F$5:$F$300-Закрытые!$I$5:$I$300))/2)*(Закрытые!$J$5:$J$300-Закрытые!$G$5:$G$300)))/I91)/(1+N(Ввод!$E$17)/100),""))</f>
        <v/>
      </c>
    </row>
    <row r="92" ht="22" customHeight="1">
      <c r="B92" s="318" t="n"/>
      <c r="C92" s="319" t="n"/>
      <c r="D92" s="318" t="n"/>
      <c r="E92" s="320" t="n"/>
      <c r="F92" s="321" t="n"/>
      <c r="G92" s="322" t="n"/>
      <c r="H92" s="271">
        <f>IF(AND(ISNUMBER(F92),ISNUMBER(G92)),F92*G92,"")</f>
        <v/>
      </c>
      <c r="I92" s="321" t="n"/>
      <c r="J92" s="322" t="n"/>
      <c r="K92" s="271">
        <f>IF(AND(ISNUMBER(I92),ISNUMBER(J92)),I92*J92,"")</f>
        <v/>
      </c>
      <c r="L92" s="246">
        <f>IF(COUNT(F92,I92)=0,"",N(F92)-N(I92))</f>
        <v/>
      </c>
      <c r="M92" s="247">
        <f>IF(COUNT(H92,K92)=0,"",N(K92)-N(H92))</f>
        <v/>
      </c>
      <c r="N92" s="246">
        <f>IF(AND(ISNUMBER(F92),ISNUMBER(G92),F92&gt;0,1-N(Ввод!$E$17)/100&gt;0),MAX(0,(F92*G92-SUMPRODUCT((Закрытые!$B$5:$B$300=$B92)*((Закрытые!$F$5:$F$300+Закрытые!$I$5:$I$300-ABS(Закрытые!$F$5:$F$300-Закрытые!$I$5:$I$300))/2)*(Закрытые!$J$5:$J$300-Закрытые!$G$5:$G$300)))/F92)/(1-N(Ввод!$E$17)/100),IF(AND(ISNUMBER(I92),ISNUMBER(J92),I92&gt;0),MAX(0,(I92*J92+SUMPRODUCT((Закрытые!$B$5:$B$300=$B92)*((Закрытые!$F$5:$F$300+Закрытые!$I$5:$I$300-ABS(Закрытые!$F$5:$F$300-Закрытые!$I$5:$I$300))/2)*(Закрытые!$J$5:$J$300-Закрытые!$G$5:$G$300)))/I92)/(1+N(Ввод!$E$17)/100),""))</f>
        <v/>
      </c>
    </row>
    <row r="93" ht="22" customHeight="1">
      <c r="B93" s="313" t="n"/>
      <c r="C93" s="314" t="n"/>
      <c r="D93" s="313" t="n"/>
      <c r="E93" s="315" t="n"/>
      <c r="F93" s="316" t="n"/>
      <c r="G93" s="317" t="n"/>
      <c r="H93" s="271">
        <f>IF(AND(ISNUMBER(F93),ISNUMBER(G93)),F93*G93,"")</f>
        <v/>
      </c>
      <c r="I93" s="316" t="n"/>
      <c r="J93" s="317" t="n"/>
      <c r="K93" s="271">
        <f>IF(AND(ISNUMBER(I93),ISNUMBER(J93)),I93*J93,"")</f>
        <v/>
      </c>
      <c r="L93" s="240">
        <f>IF(COUNT(F93,I93)=0,"",N(F93)-N(I93))</f>
        <v/>
      </c>
      <c r="M93" s="241">
        <f>IF(COUNT(H93,K93)=0,"",N(K93)-N(H93))</f>
        <v/>
      </c>
      <c r="N93" s="240">
        <f>IF(AND(ISNUMBER(F93),ISNUMBER(G93),F93&gt;0,1-N(Ввод!$E$17)/100&gt;0),MAX(0,(F93*G93-SUMPRODUCT((Закрытые!$B$5:$B$300=$B93)*((Закрытые!$F$5:$F$300+Закрытые!$I$5:$I$300-ABS(Закрытые!$F$5:$F$300-Закрытые!$I$5:$I$300))/2)*(Закрытые!$J$5:$J$300-Закрытые!$G$5:$G$300)))/F93)/(1-N(Ввод!$E$17)/100),IF(AND(ISNUMBER(I93),ISNUMBER(J93),I93&gt;0),MAX(0,(I93*J93+SUMPRODUCT((Закрытые!$B$5:$B$300=$B93)*((Закрытые!$F$5:$F$300+Закрытые!$I$5:$I$300-ABS(Закрытые!$F$5:$F$300-Закрытые!$I$5:$I$300))/2)*(Закрытые!$J$5:$J$300-Закрытые!$G$5:$G$300)))/I93)/(1+N(Ввод!$E$17)/100),""))</f>
        <v/>
      </c>
    </row>
    <row r="94" ht="22" customHeight="1">
      <c r="B94" s="318" t="n"/>
      <c r="C94" s="319" t="n"/>
      <c r="D94" s="318" t="n"/>
      <c r="E94" s="320" t="n"/>
      <c r="F94" s="321" t="n"/>
      <c r="G94" s="322" t="n"/>
      <c r="H94" s="271">
        <f>IF(AND(ISNUMBER(F94),ISNUMBER(G94)),F94*G94,"")</f>
        <v/>
      </c>
      <c r="I94" s="321" t="n"/>
      <c r="J94" s="322" t="n"/>
      <c r="K94" s="271">
        <f>IF(AND(ISNUMBER(I94),ISNUMBER(J94)),I94*J94,"")</f>
        <v/>
      </c>
      <c r="L94" s="246">
        <f>IF(COUNT(F94,I94)=0,"",N(F94)-N(I94))</f>
        <v/>
      </c>
      <c r="M94" s="247">
        <f>IF(COUNT(H94,K94)=0,"",N(K94)-N(H94))</f>
        <v/>
      </c>
      <c r="N94" s="246">
        <f>IF(AND(ISNUMBER(F94),ISNUMBER(G94),F94&gt;0,1-N(Ввод!$E$17)/100&gt;0),MAX(0,(F94*G94-SUMPRODUCT((Закрытые!$B$5:$B$300=$B94)*((Закрытые!$F$5:$F$300+Закрытые!$I$5:$I$300-ABS(Закрытые!$F$5:$F$300-Закрытые!$I$5:$I$300))/2)*(Закрытые!$J$5:$J$300-Закрытые!$G$5:$G$300)))/F94)/(1-N(Ввод!$E$17)/100),IF(AND(ISNUMBER(I94),ISNUMBER(J94),I94&gt;0),MAX(0,(I94*J94+SUMPRODUCT((Закрытые!$B$5:$B$300=$B94)*((Закрытые!$F$5:$F$300+Закрытые!$I$5:$I$300-ABS(Закрытые!$F$5:$F$300-Закрытые!$I$5:$I$300))/2)*(Закрытые!$J$5:$J$300-Закрытые!$G$5:$G$300)))/I94)/(1+N(Ввод!$E$17)/100),""))</f>
        <v/>
      </c>
    </row>
    <row r="95" ht="22" customHeight="1">
      <c r="B95" s="313" t="n"/>
      <c r="C95" s="314" t="n"/>
      <c r="D95" s="313" t="n"/>
      <c r="E95" s="315" t="n"/>
      <c r="F95" s="316" t="n"/>
      <c r="G95" s="317" t="n"/>
      <c r="H95" s="271">
        <f>IF(AND(ISNUMBER(F95),ISNUMBER(G95)),F95*G95,"")</f>
        <v/>
      </c>
      <c r="I95" s="316" t="n"/>
      <c r="J95" s="317" t="n"/>
      <c r="K95" s="271">
        <f>IF(AND(ISNUMBER(I95),ISNUMBER(J95)),I95*J95,"")</f>
        <v/>
      </c>
      <c r="L95" s="240">
        <f>IF(COUNT(F95,I95)=0,"",N(F95)-N(I95))</f>
        <v/>
      </c>
      <c r="M95" s="241">
        <f>IF(COUNT(H95,K95)=0,"",N(K95)-N(H95))</f>
        <v/>
      </c>
      <c r="N95" s="240">
        <f>IF(AND(ISNUMBER(F95),ISNUMBER(G95),F95&gt;0,1-N(Ввод!$E$17)/100&gt;0),MAX(0,(F95*G95-SUMPRODUCT((Закрытые!$B$5:$B$300=$B95)*((Закрытые!$F$5:$F$300+Закрытые!$I$5:$I$300-ABS(Закрытые!$F$5:$F$300-Закрытые!$I$5:$I$300))/2)*(Закрытые!$J$5:$J$300-Закрытые!$G$5:$G$300)))/F95)/(1-N(Ввод!$E$17)/100),IF(AND(ISNUMBER(I95),ISNUMBER(J95),I95&gt;0),MAX(0,(I95*J95+SUMPRODUCT((Закрытые!$B$5:$B$300=$B95)*((Закрытые!$F$5:$F$300+Закрытые!$I$5:$I$300-ABS(Закрытые!$F$5:$F$300-Закрытые!$I$5:$I$300))/2)*(Закрытые!$J$5:$J$300-Закрытые!$G$5:$G$300)))/I95)/(1+N(Ввод!$E$17)/100),""))</f>
        <v/>
      </c>
    </row>
    <row r="96" ht="22" customHeight="1">
      <c r="B96" s="318" t="n"/>
      <c r="C96" s="319" t="n"/>
      <c r="D96" s="318" t="n"/>
      <c r="E96" s="320" t="n"/>
      <c r="F96" s="321" t="n"/>
      <c r="G96" s="322" t="n"/>
      <c r="H96" s="271">
        <f>IF(AND(ISNUMBER(F96),ISNUMBER(G96)),F96*G96,"")</f>
        <v/>
      </c>
      <c r="I96" s="321" t="n"/>
      <c r="J96" s="322" t="n"/>
      <c r="K96" s="271">
        <f>IF(AND(ISNUMBER(I96),ISNUMBER(J96)),I96*J96,"")</f>
        <v/>
      </c>
      <c r="L96" s="246">
        <f>IF(COUNT(F96,I96)=0,"",N(F96)-N(I96))</f>
        <v/>
      </c>
      <c r="M96" s="247">
        <f>IF(COUNT(H96,K96)=0,"",N(K96)-N(H96))</f>
        <v/>
      </c>
      <c r="N96" s="246">
        <f>IF(AND(ISNUMBER(F96),ISNUMBER(G96),F96&gt;0,1-N(Ввод!$E$17)/100&gt;0),MAX(0,(F96*G96-SUMPRODUCT((Закрытые!$B$5:$B$300=$B96)*((Закрытые!$F$5:$F$300+Закрытые!$I$5:$I$300-ABS(Закрытые!$F$5:$F$300-Закрытые!$I$5:$I$300))/2)*(Закрытые!$J$5:$J$300-Закрытые!$G$5:$G$300)))/F96)/(1-N(Ввод!$E$17)/100),IF(AND(ISNUMBER(I96),ISNUMBER(J96),I96&gt;0),MAX(0,(I96*J96+SUMPRODUCT((Закрытые!$B$5:$B$300=$B96)*((Закрытые!$F$5:$F$300+Закрытые!$I$5:$I$300-ABS(Закрытые!$F$5:$F$300-Закрытые!$I$5:$I$300))/2)*(Закрытые!$J$5:$J$300-Закрытые!$G$5:$G$300)))/I96)/(1+N(Ввод!$E$17)/100),""))</f>
        <v/>
      </c>
    </row>
    <row r="97" ht="22" customHeight="1">
      <c r="B97" s="313" t="n"/>
      <c r="C97" s="314" t="n"/>
      <c r="D97" s="313" t="n"/>
      <c r="E97" s="315" t="n"/>
      <c r="F97" s="316" t="n"/>
      <c r="G97" s="317" t="n"/>
      <c r="H97" s="271">
        <f>IF(AND(ISNUMBER(F97),ISNUMBER(G97)),F97*G97,"")</f>
        <v/>
      </c>
      <c r="I97" s="316" t="n"/>
      <c r="J97" s="317" t="n"/>
      <c r="K97" s="271">
        <f>IF(AND(ISNUMBER(I97),ISNUMBER(J97)),I97*J97,"")</f>
        <v/>
      </c>
      <c r="L97" s="240">
        <f>IF(COUNT(F97,I97)=0,"",N(F97)-N(I97))</f>
        <v/>
      </c>
      <c r="M97" s="241">
        <f>IF(COUNT(H97,K97)=0,"",N(K97)-N(H97))</f>
        <v/>
      </c>
      <c r="N97" s="240">
        <f>IF(AND(ISNUMBER(F97),ISNUMBER(G97),F97&gt;0,1-N(Ввод!$E$17)/100&gt;0),MAX(0,(F97*G97-SUMPRODUCT((Закрытые!$B$5:$B$300=$B97)*((Закрытые!$F$5:$F$300+Закрытые!$I$5:$I$300-ABS(Закрытые!$F$5:$F$300-Закрытые!$I$5:$I$300))/2)*(Закрытые!$J$5:$J$300-Закрытые!$G$5:$G$300)))/F97)/(1-N(Ввод!$E$17)/100),IF(AND(ISNUMBER(I97),ISNUMBER(J97),I97&gt;0),MAX(0,(I97*J97+SUMPRODUCT((Закрытые!$B$5:$B$300=$B97)*((Закрытые!$F$5:$F$300+Закрытые!$I$5:$I$300-ABS(Закрытые!$F$5:$F$300-Закрытые!$I$5:$I$300))/2)*(Закрытые!$J$5:$J$300-Закрытые!$G$5:$G$300)))/I97)/(1+N(Ввод!$E$17)/100),""))</f>
        <v/>
      </c>
    </row>
    <row r="98" ht="22" customHeight="1">
      <c r="B98" s="318" t="n"/>
      <c r="C98" s="319" t="n"/>
      <c r="D98" s="318" t="n"/>
      <c r="E98" s="320" t="n"/>
      <c r="F98" s="321" t="n"/>
      <c r="G98" s="322" t="n"/>
      <c r="H98" s="271">
        <f>IF(AND(ISNUMBER(F98),ISNUMBER(G98)),F98*G98,"")</f>
        <v/>
      </c>
      <c r="I98" s="321" t="n"/>
      <c r="J98" s="322" t="n"/>
      <c r="K98" s="271">
        <f>IF(AND(ISNUMBER(I98),ISNUMBER(J98)),I98*J98,"")</f>
        <v/>
      </c>
      <c r="L98" s="246">
        <f>IF(COUNT(F98,I98)=0,"",N(F98)-N(I98))</f>
        <v/>
      </c>
      <c r="M98" s="247">
        <f>IF(COUNT(H98,K98)=0,"",N(K98)-N(H98))</f>
        <v/>
      </c>
      <c r="N98" s="246">
        <f>IF(AND(ISNUMBER(F98),ISNUMBER(G98),F98&gt;0,1-N(Ввод!$E$17)/100&gt;0),MAX(0,(F98*G98-SUMPRODUCT((Закрытые!$B$5:$B$300=$B98)*((Закрытые!$F$5:$F$300+Закрытые!$I$5:$I$300-ABS(Закрытые!$F$5:$F$300-Закрытые!$I$5:$I$300))/2)*(Закрытые!$J$5:$J$300-Закрытые!$G$5:$G$300)))/F98)/(1-N(Ввод!$E$17)/100),IF(AND(ISNUMBER(I98),ISNUMBER(J98),I98&gt;0),MAX(0,(I98*J98+SUMPRODUCT((Закрытые!$B$5:$B$300=$B98)*((Закрытые!$F$5:$F$300+Закрытые!$I$5:$I$300-ABS(Закрытые!$F$5:$F$300-Закрытые!$I$5:$I$300))/2)*(Закрытые!$J$5:$J$300-Закрытые!$G$5:$G$300)))/I98)/(1+N(Ввод!$E$17)/100),""))</f>
        <v/>
      </c>
    </row>
    <row r="99" ht="22" customHeight="1">
      <c r="B99" s="313" t="n"/>
      <c r="C99" s="314" t="n"/>
      <c r="D99" s="313" t="n"/>
      <c r="E99" s="315" t="n"/>
      <c r="F99" s="316" t="n"/>
      <c r="G99" s="317" t="n"/>
      <c r="H99" s="271">
        <f>IF(AND(ISNUMBER(F99),ISNUMBER(G99)),F99*G99,"")</f>
        <v/>
      </c>
      <c r="I99" s="316" t="n"/>
      <c r="J99" s="317" t="n"/>
      <c r="K99" s="271">
        <f>IF(AND(ISNUMBER(I99),ISNUMBER(J99)),I99*J99,"")</f>
        <v/>
      </c>
      <c r="L99" s="240">
        <f>IF(COUNT(F99,I99)=0,"",N(F99)-N(I99))</f>
        <v/>
      </c>
      <c r="M99" s="241">
        <f>IF(COUNT(H99,K99)=0,"",N(K99)-N(H99))</f>
        <v/>
      </c>
      <c r="N99" s="240">
        <f>IF(AND(ISNUMBER(F99),ISNUMBER(G99),F99&gt;0,1-N(Ввод!$E$17)/100&gt;0),MAX(0,(F99*G99-SUMPRODUCT((Закрытые!$B$5:$B$300=$B99)*((Закрытые!$F$5:$F$300+Закрытые!$I$5:$I$300-ABS(Закрытые!$F$5:$F$300-Закрытые!$I$5:$I$300))/2)*(Закрытые!$J$5:$J$300-Закрытые!$G$5:$G$300)))/F99)/(1-N(Ввод!$E$17)/100),IF(AND(ISNUMBER(I99),ISNUMBER(J99),I99&gt;0),MAX(0,(I99*J99+SUMPRODUCT((Закрытые!$B$5:$B$300=$B99)*((Закрытые!$F$5:$F$300+Закрытые!$I$5:$I$300-ABS(Закрытые!$F$5:$F$300-Закрытые!$I$5:$I$300))/2)*(Закрытые!$J$5:$J$300-Закрытые!$G$5:$G$300)))/I99)/(1+N(Ввод!$E$17)/100),""))</f>
        <v/>
      </c>
    </row>
    <row r="100" ht="22" customHeight="1">
      <c r="B100" s="318" t="n"/>
      <c r="C100" s="319" t="n"/>
      <c r="D100" s="318" t="n"/>
      <c r="E100" s="320" t="n"/>
      <c r="F100" s="321" t="n"/>
      <c r="G100" s="322" t="n"/>
      <c r="H100" s="271">
        <f>IF(AND(ISNUMBER(F100),ISNUMBER(G100)),F100*G100,"")</f>
        <v/>
      </c>
      <c r="I100" s="321" t="n"/>
      <c r="J100" s="322" t="n"/>
      <c r="K100" s="271">
        <f>IF(AND(ISNUMBER(I100),ISNUMBER(J100)),I100*J100,"")</f>
        <v/>
      </c>
      <c r="L100" s="246">
        <f>IF(COUNT(F100,I100)=0,"",N(F100)-N(I100))</f>
        <v/>
      </c>
      <c r="M100" s="247">
        <f>IF(COUNT(H100,K100)=0,"",N(K100)-N(H100))</f>
        <v/>
      </c>
      <c r="N100" s="246">
        <f>IF(AND(ISNUMBER(F100),ISNUMBER(G100),F100&gt;0,1-N(Ввод!$E$17)/100&gt;0),MAX(0,(F100*G100-SUMPRODUCT((Закрытые!$B$5:$B$300=$B100)*((Закрытые!$F$5:$F$300+Закрытые!$I$5:$I$300-ABS(Закрытые!$F$5:$F$300-Закрытые!$I$5:$I$300))/2)*(Закрытые!$J$5:$J$300-Закрытые!$G$5:$G$300)))/F100)/(1-N(Ввод!$E$17)/100),IF(AND(ISNUMBER(I100),ISNUMBER(J100),I100&gt;0),MAX(0,(I100*J100+SUMPRODUCT((Закрытые!$B$5:$B$300=$B100)*((Закрытые!$F$5:$F$300+Закрытые!$I$5:$I$300-ABS(Закрытые!$F$5:$F$300-Закрытые!$I$5:$I$300))/2)*(Закрытые!$J$5:$J$300-Закрытые!$G$5:$G$300)))/I100)/(1+N(Ввод!$E$17)/100),""))</f>
        <v/>
      </c>
    </row>
    <row r="101" ht="22" customHeight="1">
      <c r="B101" s="313" t="n"/>
      <c r="C101" s="314" t="n"/>
      <c r="D101" s="313" t="n"/>
      <c r="E101" s="315" t="n"/>
      <c r="F101" s="316" t="n"/>
      <c r="G101" s="317" t="n"/>
      <c r="H101" s="271">
        <f>IF(AND(ISNUMBER(F101),ISNUMBER(G101)),F101*G101,"")</f>
        <v/>
      </c>
      <c r="I101" s="316" t="n"/>
      <c r="J101" s="317" t="n"/>
      <c r="K101" s="271">
        <f>IF(AND(ISNUMBER(I101),ISNUMBER(J101)),I101*J101,"")</f>
        <v/>
      </c>
      <c r="L101" s="240">
        <f>IF(COUNT(F101,I101)=0,"",N(F101)-N(I101))</f>
        <v/>
      </c>
      <c r="M101" s="241">
        <f>IF(COUNT(H101,K101)=0,"",N(K101)-N(H101))</f>
        <v/>
      </c>
      <c r="N101" s="240">
        <f>IF(AND(ISNUMBER(F101),ISNUMBER(G101),F101&gt;0,1-N(Ввод!$E$17)/100&gt;0),MAX(0,(F101*G101-SUMPRODUCT((Закрытые!$B$5:$B$300=$B101)*((Закрытые!$F$5:$F$300+Закрытые!$I$5:$I$300-ABS(Закрытые!$F$5:$F$300-Закрытые!$I$5:$I$300))/2)*(Закрытые!$J$5:$J$300-Закрытые!$G$5:$G$300)))/F101)/(1-N(Ввод!$E$17)/100),IF(AND(ISNUMBER(I101),ISNUMBER(J101),I101&gt;0),MAX(0,(I101*J101+SUMPRODUCT((Закрытые!$B$5:$B$300=$B101)*((Закрытые!$F$5:$F$300+Закрытые!$I$5:$I$300-ABS(Закрытые!$F$5:$F$300-Закрытые!$I$5:$I$300))/2)*(Закрытые!$J$5:$J$300-Закрытые!$G$5:$G$300)))/I101)/(1+N(Ввод!$E$17)/100),""))</f>
        <v/>
      </c>
    </row>
    <row r="102" ht="22" customHeight="1">
      <c r="B102" s="318" t="n"/>
      <c r="C102" s="319" t="n"/>
      <c r="D102" s="318" t="n"/>
      <c r="E102" s="320" t="n"/>
      <c r="F102" s="321" t="n"/>
      <c r="G102" s="322" t="n"/>
      <c r="H102" s="271">
        <f>IF(AND(ISNUMBER(F102),ISNUMBER(G102)),F102*G102,"")</f>
        <v/>
      </c>
      <c r="I102" s="321" t="n"/>
      <c r="J102" s="322" t="n"/>
      <c r="K102" s="271">
        <f>IF(AND(ISNUMBER(I102),ISNUMBER(J102)),I102*J102,"")</f>
        <v/>
      </c>
      <c r="L102" s="246">
        <f>IF(COUNT(F102,I102)=0,"",N(F102)-N(I102))</f>
        <v/>
      </c>
      <c r="M102" s="247">
        <f>IF(COUNT(H102,K102)=0,"",N(K102)-N(H102))</f>
        <v/>
      </c>
      <c r="N102" s="246">
        <f>IF(AND(ISNUMBER(F102),ISNUMBER(G102),F102&gt;0,1-N(Ввод!$E$17)/100&gt;0),MAX(0,(F102*G102-SUMPRODUCT((Закрытые!$B$5:$B$300=$B102)*((Закрытые!$F$5:$F$300+Закрытые!$I$5:$I$300-ABS(Закрытые!$F$5:$F$300-Закрытые!$I$5:$I$300))/2)*(Закрытые!$J$5:$J$300-Закрытые!$G$5:$G$300)))/F102)/(1-N(Ввод!$E$17)/100),IF(AND(ISNUMBER(I102),ISNUMBER(J102),I102&gt;0),MAX(0,(I102*J102+SUMPRODUCT((Закрытые!$B$5:$B$300=$B102)*((Закрытые!$F$5:$F$300+Закрытые!$I$5:$I$300-ABS(Закрытые!$F$5:$F$300-Закрытые!$I$5:$I$300))/2)*(Закрытые!$J$5:$J$300-Закрытые!$G$5:$G$300)))/I102)/(1+N(Ввод!$E$17)/100),""))</f>
        <v/>
      </c>
    </row>
    <row r="103" ht="22" customHeight="1">
      <c r="B103" s="313" t="n"/>
      <c r="C103" s="314" t="n"/>
      <c r="D103" s="313" t="n"/>
      <c r="E103" s="315" t="n"/>
      <c r="F103" s="316" t="n"/>
      <c r="G103" s="317" t="n"/>
      <c r="H103" s="271">
        <f>IF(AND(ISNUMBER(F103),ISNUMBER(G103)),F103*G103,"")</f>
        <v/>
      </c>
      <c r="I103" s="316" t="n"/>
      <c r="J103" s="317" t="n"/>
      <c r="K103" s="271">
        <f>IF(AND(ISNUMBER(I103),ISNUMBER(J103)),I103*J103,"")</f>
        <v/>
      </c>
      <c r="L103" s="240">
        <f>IF(COUNT(F103,I103)=0,"",N(F103)-N(I103))</f>
        <v/>
      </c>
      <c r="M103" s="241">
        <f>IF(COUNT(H103,K103)=0,"",N(K103)-N(H103))</f>
        <v/>
      </c>
      <c r="N103" s="240">
        <f>IF(AND(ISNUMBER(F103),ISNUMBER(G103),F103&gt;0,1-N(Ввод!$E$17)/100&gt;0),MAX(0,(F103*G103-SUMPRODUCT((Закрытые!$B$5:$B$300=$B103)*((Закрытые!$F$5:$F$300+Закрытые!$I$5:$I$300-ABS(Закрытые!$F$5:$F$300-Закрытые!$I$5:$I$300))/2)*(Закрытые!$J$5:$J$300-Закрытые!$G$5:$G$300)))/F103)/(1-N(Ввод!$E$17)/100),IF(AND(ISNUMBER(I103),ISNUMBER(J103),I103&gt;0),MAX(0,(I103*J103+SUMPRODUCT((Закрытые!$B$5:$B$300=$B103)*((Закрытые!$F$5:$F$300+Закрытые!$I$5:$I$300-ABS(Закрытые!$F$5:$F$300-Закрытые!$I$5:$I$300))/2)*(Закрытые!$J$5:$J$300-Закрытые!$G$5:$G$300)))/I103)/(1+N(Ввод!$E$17)/100),""))</f>
        <v/>
      </c>
    </row>
    <row r="104" ht="22" customHeight="1">
      <c r="B104" s="318" t="n"/>
      <c r="C104" s="319" t="n"/>
      <c r="D104" s="318" t="n"/>
      <c r="E104" s="320" t="n"/>
      <c r="F104" s="321" t="n"/>
      <c r="G104" s="322" t="n"/>
      <c r="H104" s="271">
        <f>IF(AND(ISNUMBER(F104),ISNUMBER(G104)),F104*G104,"")</f>
        <v/>
      </c>
      <c r="I104" s="321" t="n"/>
      <c r="J104" s="322" t="n"/>
      <c r="K104" s="271">
        <f>IF(AND(ISNUMBER(I104),ISNUMBER(J104)),I104*J104,"")</f>
        <v/>
      </c>
      <c r="L104" s="246">
        <f>IF(COUNT(F104,I104)=0,"",N(F104)-N(I104))</f>
        <v/>
      </c>
      <c r="M104" s="247">
        <f>IF(COUNT(H104,K104)=0,"",N(K104)-N(H104))</f>
        <v/>
      </c>
      <c r="N104" s="246">
        <f>IF(AND(ISNUMBER(F104),ISNUMBER(G104),F104&gt;0,1-N(Ввод!$E$17)/100&gt;0),MAX(0,(F104*G104-SUMPRODUCT((Закрытые!$B$5:$B$300=$B104)*((Закрытые!$F$5:$F$300+Закрытые!$I$5:$I$300-ABS(Закрытые!$F$5:$F$300-Закрытые!$I$5:$I$300))/2)*(Закрытые!$J$5:$J$300-Закрытые!$G$5:$G$300)))/F104)/(1-N(Ввод!$E$17)/100),IF(AND(ISNUMBER(I104),ISNUMBER(J104),I104&gt;0),MAX(0,(I104*J104+SUMPRODUCT((Закрытые!$B$5:$B$300=$B104)*((Закрытые!$F$5:$F$300+Закрытые!$I$5:$I$300-ABS(Закрытые!$F$5:$F$300-Закрытые!$I$5:$I$300))/2)*(Закрытые!$J$5:$J$300-Закрытые!$G$5:$G$300)))/I104)/(1+N(Ввод!$E$17)/100),""))</f>
        <v/>
      </c>
    </row>
    <row r="105" ht="22" customHeight="1">
      <c r="B105" s="313" t="n"/>
      <c r="C105" s="314" t="n"/>
      <c r="D105" s="313" t="n"/>
      <c r="E105" s="315" t="n"/>
      <c r="F105" s="316" t="n"/>
      <c r="G105" s="317" t="n"/>
      <c r="H105" s="271">
        <f>IF(AND(ISNUMBER(F105),ISNUMBER(G105)),F105*G105,"")</f>
        <v/>
      </c>
      <c r="I105" s="316" t="n"/>
      <c r="J105" s="317" t="n"/>
      <c r="K105" s="271">
        <f>IF(AND(ISNUMBER(I105),ISNUMBER(J105)),I105*J105,"")</f>
        <v/>
      </c>
      <c r="L105" s="240">
        <f>IF(COUNT(F105,I105)=0,"",N(F105)-N(I105))</f>
        <v/>
      </c>
      <c r="M105" s="241">
        <f>IF(COUNT(H105,K105)=0,"",N(K105)-N(H105))</f>
        <v/>
      </c>
      <c r="N105" s="240">
        <f>IF(AND(ISNUMBER(F105),ISNUMBER(G105),F105&gt;0,1-N(Ввод!$E$17)/100&gt;0),MAX(0,(F105*G105-SUMPRODUCT((Закрытые!$B$5:$B$300=$B105)*((Закрытые!$F$5:$F$300+Закрытые!$I$5:$I$300-ABS(Закрытые!$F$5:$F$300-Закрытые!$I$5:$I$300))/2)*(Закрытые!$J$5:$J$300-Закрытые!$G$5:$G$300)))/F105)/(1-N(Ввод!$E$17)/100),IF(AND(ISNUMBER(I105),ISNUMBER(J105),I105&gt;0),MAX(0,(I105*J105+SUMPRODUCT((Закрытые!$B$5:$B$300=$B105)*((Закрытые!$F$5:$F$300+Закрытые!$I$5:$I$300-ABS(Закрытые!$F$5:$F$300-Закрытые!$I$5:$I$300))/2)*(Закрытые!$J$5:$J$300-Закрытые!$G$5:$G$300)))/I105)/(1+N(Ввод!$E$17)/100),""))</f>
        <v/>
      </c>
    </row>
    <row r="106" ht="22" customHeight="1">
      <c r="B106" s="318" t="n"/>
      <c r="C106" s="319" t="n"/>
      <c r="D106" s="318" t="n"/>
      <c r="E106" s="320" t="n"/>
      <c r="F106" s="321" t="n"/>
      <c r="G106" s="322" t="n"/>
      <c r="H106" s="271">
        <f>IF(AND(ISNUMBER(F106),ISNUMBER(G106)),F106*G106,"")</f>
        <v/>
      </c>
      <c r="I106" s="321" t="n"/>
      <c r="J106" s="322" t="n"/>
      <c r="K106" s="271">
        <f>IF(AND(ISNUMBER(I106),ISNUMBER(J106)),I106*J106,"")</f>
        <v/>
      </c>
      <c r="L106" s="246">
        <f>IF(COUNT(F106,I106)=0,"",N(F106)-N(I106))</f>
        <v/>
      </c>
      <c r="M106" s="247">
        <f>IF(COUNT(H106,K106)=0,"",N(K106)-N(H106))</f>
        <v/>
      </c>
      <c r="N106" s="246">
        <f>IF(AND(ISNUMBER(F106),ISNUMBER(G106),F106&gt;0,1-N(Ввод!$E$17)/100&gt;0),MAX(0,(F106*G106-SUMPRODUCT((Закрытые!$B$5:$B$300=$B106)*((Закрытые!$F$5:$F$300+Закрытые!$I$5:$I$300-ABS(Закрытые!$F$5:$F$300-Закрытые!$I$5:$I$300))/2)*(Закрытые!$J$5:$J$300-Закрытые!$G$5:$G$300)))/F106)/(1-N(Ввод!$E$17)/100),IF(AND(ISNUMBER(I106),ISNUMBER(J106),I106&gt;0),MAX(0,(I106*J106+SUMPRODUCT((Закрытые!$B$5:$B$300=$B106)*((Закрытые!$F$5:$F$300+Закрытые!$I$5:$I$300-ABS(Закрытые!$F$5:$F$300-Закрытые!$I$5:$I$300))/2)*(Закрытые!$J$5:$J$300-Закрытые!$G$5:$G$300)))/I106)/(1+N(Ввод!$E$17)/100),""))</f>
        <v/>
      </c>
    </row>
    <row r="107" ht="22" customHeight="1">
      <c r="B107" s="313" t="n"/>
      <c r="C107" s="314" t="n"/>
      <c r="D107" s="313" t="n"/>
      <c r="E107" s="315" t="n"/>
      <c r="F107" s="316" t="n"/>
      <c r="G107" s="317" t="n"/>
      <c r="H107" s="271">
        <f>IF(AND(ISNUMBER(F107),ISNUMBER(G107)),F107*G107,"")</f>
        <v/>
      </c>
      <c r="I107" s="316" t="n"/>
      <c r="J107" s="317" t="n"/>
      <c r="K107" s="271">
        <f>IF(AND(ISNUMBER(I107),ISNUMBER(J107)),I107*J107,"")</f>
        <v/>
      </c>
      <c r="L107" s="240">
        <f>IF(COUNT(F107,I107)=0,"",N(F107)-N(I107))</f>
        <v/>
      </c>
      <c r="M107" s="241">
        <f>IF(COUNT(H107,K107)=0,"",N(K107)-N(H107))</f>
        <v/>
      </c>
      <c r="N107" s="240">
        <f>IF(AND(ISNUMBER(F107),ISNUMBER(G107),F107&gt;0,1-N(Ввод!$E$17)/100&gt;0),MAX(0,(F107*G107-SUMPRODUCT((Закрытые!$B$5:$B$300=$B107)*((Закрытые!$F$5:$F$300+Закрытые!$I$5:$I$300-ABS(Закрытые!$F$5:$F$300-Закрытые!$I$5:$I$300))/2)*(Закрытые!$J$5:$J$300-Закрытые!$G$5:$G$300)))/F107)/(1-N(Ввод!$E$17)/100),IF(AND(ISNUMBER(I107),ISNUMBER(J107),I107&gt;0),MAX(0,(I107*J107+SUMPRODUCT((Закрытые!$B$5:$B$300=$B107)*((Закрытые!$F$5:$F$300+Закрытые!$I$5:$I$300-ABS(Закрытые!$F$5:$F$300-Закрытые!$I$5:$I$300))/2)*(Закрытые!$J$5:$J$300-Закрытые!$G$5:$G$300)))/I107)/(1+N(Ввод!$E$17)/100),""))</f>
        <v/>
      </c>
    </row>
    <row r="108" ht="22" customHeight="1">
      <c r="B108" s="318" t="n"/>
      <c r="C108" s="319" t="n"/>
      <c r="D108" s="318" t="n"/>
      <c r="E108" s="320" t="n"/>
      <c r="F108" s="321" t="n"/>
      <c r="G108" s="322" t="n"/>
      <c r="H108" s="271">
        <f>IF(AND(ISNUMBER(F108),ISNUMBER(G108)),F108*G108,"")</f>
        <v/>
      </c>
      <c r="I108" s="321" t="n"/>
      <c r="J108" s="322" t="n"/>
      <c r="K108" s="271">
        <f>IF(AND(ISNUMBER(I108),ISNUMBER(J108)),I108*J108,"")</f>
        <v/>
      </c>
      <c r="L108" s="246">
        <f>IF(COUNT(F108,I108)=0,"",N(F108)-N(I108))</f>
        <v/>
      </c>
      <c r="M108" s="247">
        <f>IF(COUNT(H108,K108)=0,"",N(K108)-N(H108))</f>
        <v/>
      </c>
      <c r="N108" s="246">
        <f>IF(AND(ISNUMBER(F108),ISNUMBER(G108),F108&gt;0,1-N(Ввод!$E$17)/100&gt;0),MAX(0,(F108*G108-SUMPRODUCT((Закрытые!$B$5:$B$300=$B108)*((Закрытые!$F$5:$F$300+Закрытые!$I$5:$I$300-ABS(Закрытые!$F$5:$F$300-Закрытые!$I$5:$I$300))/2)*(Закрытые!$J$5:$J$300-Закрытые!$G$5:$G$300)))/F108)/(1-N(Ввод!$E$17)/100),IF(AND(ISNUMBER(I108),ISNUMBER(J108),I108&gt;0),MAX(0,(I108*J108+SUMPRODUCT((Закрытые!$B$5:$B$300=$B108)*((Закрытые!$F$5:$F$300+Закрытые!$I$5:$I$300-ABS(Закрытые!$F$5:$F$300-Закрытые!$I$5:$I$300))/2)*(Закрытые!$J$5:$J$300-Закрытые!$G$5:$G$300)))/I108)/(1+N(Ввод!$E$17)/100),""))</f>
        <v/>
      </c>
    </row>
    <row r="109" ht="22" customHeight="1">
      <c r="B109" s="313" t="n"/>
      <c r="C109" s="314" t="n"/>
      <c r="D109" s="313" t="n"/>
      <c r="E109" s="315" t="n"/>
      <c r="F109" s="316" t="n"/>
      <c r="G109" s="317" t="n"/>
      <c r="H109" s="271">
        <f>IF(AND(ISNUMBER(F109),ISNUMBER(G109)),F109*G109,"")</f>
        <v/>
      </c>
      <c r="I109" s="316" t="n"/>
      <c r="J109" s="317" t="n"/>
      <c r="K109" s="271">
        <f>IF(AND(ISNUMBER(I109),ISNUMBER(J109)),I109*J109,"")</f>
        <v/>
      </c>
      <c r="L109" s="240">
        <f>IF(COUNT(F109,I109)=0,"",N(F109)-N(I109))</f>
        <v/>
      </c>
      <c r="M109" s="241">
        <f>IF(COUNT(H109,K109)=0,"",N(K109)-N(H109))</f>
        <v/>
      </c>
      <c r="N109" s="240">
        <f>IF(AND(ISNUMBER(F109),ISNUMBER(G109),F109&gt;0,1-N(Ввод!$E$17)/100&gt;0),MAX(0,(F109*G109-SUMPRODUCT((Закрытые!$B$5:$B$300=$B109)*((Закрытые!$F$5:$F$300+Закрытые!$I$5:$I$300-ABS(Закрытые!$F$5:$F$300-Закрытые!$I$5:$I$300))/2)*(Закрытые!$J$5:$J$300-Закрытые!$G$5:$G$300)))/F109)/(1-N(Ввод!$E$17)/100),IF(AND(ISNUMBER(I109),ISNUMBER(J109),I109&gt;0),MAX(0,(I109*J109+SUMPRODUCT((Закрытые!$B$5:$B$300=$B109)*((Закрытые!$F$5:$F$300+Закрытые!$I$5:$I$300-ABS(Закрытые!$F$5:$F$300-Закрытые!$I$5:$I$300))/2)*(Закрытые!$J$5:$J$300-Закрытые!$G$5:$G$300)))/I109)/(1+N(Ввод!$E$17)/100),""))</f>
        <v/>
      </c>
    </row>
    <row r="110" ht="22" customHeight="1">
      <c r="B110" s="318" t="n"/>
      <c r="C110" s="319" t="n"/>
      <c r="D110" s="318" t="n"/>
      <c r="E110" s="320" t="n"/>
      <c r="F110" s="321" t="n"/>
      <c r="G110" s="322" t="n"/>
      <c r="H110" s="271">
        <f>IF(AND(ISNUMBER(F110),ISNUMBER(G110)),F110*G110,"")</f>
        <v/>
      </c>
      <c r="I110" s="321" t="n"/>
      <c r="J110" s="322" t="n"/>
      <c r="K110" s="271">
        <f>IF(AND(ISNUMBER(I110),ISNUMBER(J110)),I110*J110,"")</f>
        <v/>
      </c>
      <c r="L110" s="246">
        <f>IF(COUNT(F110,I110)=0,"",N(F110)-N(I110))</f>
        <v/>
      </c>
      <c r="M110" s="247">
        <f>IF(COUNT(H110,K110)=0,"",N(K110)-N(H110))</f>
        <v/>
      </c>
      <c r="N110" s="246">
        <f>IF(AND(ISNUMBER(F110),ISNUMBER(G110),F110&gt;0,1-N(Ввод!$E$17)/100&gt;0),MAX(0,(F110*G110-SUMPRODUCT((Закрытые!$B$5:$B$300=$B110)*((Закрытые!$F$5:$F$300+Закрытые!$I$5:$I$300-ABS(Закрытые!$F$5:$F$300-Закрытые!$I$5:$I$300))/2)*(Закрытые!$J$5:$J$300-Закрытые!$G$5:$G$300)))/F110)/(1-N(Ввод!$E$17)/100),IF(AND(ISNUMBER(I110),ISNUMBER(J110),I110&gt;0),MAX(0,(I110*J110+SUMPRODUCT((Закрытые!$B$5:$B$300=$B110)*((Закрытые!$F$5:$F$300+Закрытые!$I$5:$I$300-ABS(Закрытые!$F$5:$F$300-Закрытые!$I$5:$I$300))/2)*(Закрытые!$J$5:$J$300-Закрытые!$G$5:$G$300)))/I110)/(1+N(Ввод!$E$17)/100),""))</f>
        <v/>
      </c>
    </row>
    <row r="111" ht="22" customHeight="1">
      <c r="B111" s="313" t="n"/>
      <c r="C111" s="314" t="n"/>
      <c r="D111" s="313" t="n"/>
      <c r="E111" s="315" t="n"/>
      <c r="F111" s="316" t="n"/>
      <c r="G111" s="317" t="n"/>
      <c r="H111" s="271">
        <f>IF(AND(ISNUMBER(F111),ISNUMBER(G111)),F111*G111,"")</f>
        <v/>
      </c>
      <c r="I111" s="316" t="n"/>
      <c r="J111" s="317" t="n"/>
      <c r="K111" s="271">
        <f>IF(AND(ISNUMBER(I111),ISNUMBER(J111)),I111*J111,"")</f>
        <v/>
      </c>
      <c r="L111" s="240">
        <f>IF(COUNT(F111,I111)=0,"",N(F111)-N(I111))</f>
        <v/>
      </c>
      <c r="M111" s="241">
        <f>IF(COUNT(H111,K111)=0,"",N(K111)-N(H111))</f>
        <v/>
      </c>
      <c r="N111" s="240">
        <f>IF(AND(ISNUMBER(F111),ISNUMBER(G111),F111&gt;0,1-N(Ввод!$E$17)/100&gt;0),MAX(0,(F111*G111-SUMPRODUCT((Закрытые!$B$5:$B$300=$B111)*((Закрытые!$F$5:$F$300+Закрытые!$I$5:$I$300-ABS(Закрытые!$F$5:$F$300-Закрытые!$I$5:$I$300))/2)*(Закрытые!$J$5:$J$300-Закрытые!$G$5:$G$300)))/F111)/(1-N(Ввод!$E$17)/100),IF(AND(ISNUMBER(I111),ISNUMBER(J111),I111&gt;0),MAX(0,(I111*J111+SUMPRODUCT((Закрытые!$B$5:$B$300=$B111)*((Закрытые!$F$5:$F$300+Закрытые!$I$5:$I$300-ABS(Закрытые!$F$5:$F$300-Закрытые!$I$5:$I$300))/2)*(Закрытые!$J$5:$J$300-Закрытые!$G$5:$G$300)))/I111)/(1+N(Ввод!$E$17)/100),""))</f>
        <v/>
      </c>
    </row>
    <row r="112" ht="22" customHeight="1">
      <c r="B112" s="318" t="n"/>
      <c r="C112" s="319" t="n"/>
      <c r="D112" s="318" t="n"/>
      <c r="E112" s="320" t="n"/>
      <c r="F112" s="321" t="n"/>
      <c r="G112" s="322" t="n"/>
      <c r="H112" s="271">
        <f>IF(AND(ISNUMBER(F112),ISNUMBER(G112)),F112*G112,"")</f>
        <v/>
      </c>
      <c r="I112" s="321" t="n"/>
      <c r="J112" s="322" t="n"/>
      <c r="K112" s="271">
        <f>IF(AND(ISNUMBER(I112),ISNUMBER(J112)),I112*J112,"")</f>
        <v/>
      </c>
      <c r="L112" s="246">
        <f>IF(COUNT(F112,I112)=0,"",N(F112)-N(I112))</f>
        <v/>
      </c>
      <c r="M112" s="247">
        <f>IF(COUNT(H112,K112)=0,"",N(K112)-N(H112))</f>
        <v/>
      </c>
      <c r="N112" s="246">
        <f>IF(AND(ISNUMBER(F112),ISNUMBER(G112),F112&gt;0,1-N(Ввод!$E$17)/100&gt;0),MAX(0,(F112*G112-SUMPRODUCT((Закрытые!$B$5:$B$300=$B112)*((Закрытые!$F$5:$F$300+Закрытые!$I$5:$I$300-ABS(Закрытые!$F$5:$F$300-Закрытые!$I$5:$I$300))/2)*(Закрытые!$J$5:$J$300-Закрытые!$G$5:$G$300)))/F112)/(1-N(Ввод!$E$17)/100),IF(AND(ISNUMBER(I112),ISNUMBER(J112),I112&gt;0),MAX(0,(I112*J112+SUMPRODUCT((Закрытые!$B$5:$B$300=$B112)*((Закрытые!$F$5:$F$300+Закрытые!$I$5:$I$300-ABS(Закрытые!$F$5:$F$300-Закрытые!$I$5:$I$300))/2)*(Закрытые!$J$5:$J$300-Закрытые!$G$5:$G$300)))/I112)/(1+N(Ввод!$E$17)/100),""))</f>
        <v/>
      </c>
    </row>
    <row r="113" ht="22" customHeight="1">
      <c r="B113" s="313" t="n"/>
      <c r="C113" s="314" t="n"/>
      <c r="D113" s="313" t="n"/>
      <c r="E113" s="315" t="n"/>
      <c r="F113" s="316" t="n"/>
      <c r="G113" s="317" t="n"/>
      <c r="H113" s="271">
        <f>IF(AND(ISNUMBER(F113),ISNUMBER(G113)),F113*G113,"")</f>
        <v/>
      </c>
      <c r="I113" s="316" t="n"/>
      <c r="J113" s="317" t="n"/>
      <c r="K113" s="271">
        <f>IF(AND(ISNUMBER(I113),ISNUMBER(J113)),I113*J113,"")</f>
        <v/>
      </c>
      <c r="L113" s="240">
        <f>IF(COUNT(F113,I113)=0,"",N(F113)-N(I113))</f>
        <v/>
      </c>
      <c r="M113" s="241">
        <f>IF(COUNT(H113,K113)=0,"",N(K113)-N(H113))</f>
        <v/>
      </c>
      <c r="N113" s="240">
        <f>IF(AND(ISNUMBER(F113),ISNUMBER(G113),F113&gt;0,1-N(Ввод!$E$17)/100&gt;0),MAX(0,(F113*G113-SUMPRODUCT((Закрытые!$B$5:$B$300=$B113)*((Закрытые!$F$5:$F$300+Закрытые!$I$5:$I$300-ABS(Закрытые!$F$5:$F$300-Закрытые!$I$5:$I$300))/2)*(Закрытые!$J$5:$J$300-Закрытые!$G$5:$G$300)))/F113)/(1-N(Ввод!$E$17)/100),IF(AND(ISNUMBER(I113),ISNUMBER(J113),I113&gt;0),MAX(0,(I113*J113+SUMPRODUCT((Закрытые!$B$5:$B$300=$B113)*((Закрытые!$F$5:$F$300+Закрытые!$I$5:$I$300-ABS(Закрытые!$F$5:$F$300-Закрытые!$I$5:$I$300))/2)*(Закрытые!$J$5:$J$300-Закрытые!$G$5:$G$300)))/I113)/(1+N(Ввод!$E$17)/100),""))</f>
        <v/>
      </c>
    </row>
    <row r="114" ht="22" customHeight="1">
      <c r="B114" s="318" t="n"/>
      <c r="C114" s="319" t="n"/>
      <c r="D114" s="318" t="n"/>
      <c r="E114" s="320" t="n"/>
      <c r="F114" s="321" t="n"/>
      <c r="G114" s="322" t="n"/>
      <c r="H114" s="271">
        <f>IF(AND(ISNUMBER(F114),ISNUMBER(G114)),F114*G114,"")</f>
        <v/>
      </c>
      <c r="I114" s="321" t="n"/>
      <c r="J114" s="322" t="n"/>
      <c r="K114" s="271">
        <f>IF(AND(ISNUMBER(I114),ISNUMBER(J114)),I114*J114,"")</f>
        <v/>
      </c>
      <c r="L114" s="246">
        <f>IF(COUNT(F114,I114)=0,"",N(F114)-N(I114))</f>
        <v/>
      </c>
      <c r="M114" s="247">
        <f>IF(COUNT(H114,K114)=0,"",N(K114)-N(H114))</f>
        <v/>
      </c>
      <c r="N114" s="246">
        <f>IF(AND(ISNUMBER(F114),ISNUMBER(G114),F114&gt;0,1-N(Ввод!$E$17)/100&gt;0),MAX(0,(F114*G114-SUMPRODUCT((Закрытые!$B$5:$B$300=$B114)*((Закрытые!$F$5:$F$300+Закрытые!$I$5:$I$300-ABS(Закрытые!$F$5:$F$300-Закрытые!$I$5:$I$300))/2)*(Закрытые!$J$5:$J$300-Закрытые!$G$5:$G$300)))/F114)/(1-N(Ввод!$E$17)/100),IF(AND(ISNUMBER(I114),ISNUMBER(J114),I114&gt;0),MAX(0,(I114*J114+SUMPRODUCT((Закрытые!$B$5:$B$300=$B114)*((Закрытые!$F$5:$F$300+Закрытые!$I$5:$I$300-ABS(Закрытые!$F$5:$F$300-Закрытые!$I$5:$I$300))/2)*(Закрытые!$J$5:$J$300-Закрытые!$G$5:$G$300)))/I114)/(1+N(Ввод!$E$17)/100),""))</f>
        <v/>
      </c>
    </row>
    <row r="115" ht="22" customHeight="1">
      <c r="B115" s="313" t="n"/>
      <c r="C115" s="314" t="n"/>
      <c r="D115" s="313" t="n"/>
      <c r="E115" s="315" t="n"/>
      <c r="F115" s="316" t="n"/>
      <c r="G115" s="317" t="n"/>
      <c r="H115" s="271">
        <f>IF(AND(ISNUMBER(F115),ISNUMBER(G115)),F115*G115,"")</f>
        <v/>
      </c>
      <c r="I115" s="316" t="n"/>
      <c r="J115" s="317" t="n"/>
      <c r="K115" s="271">
        <f>IF(AND(ISNUMBER(I115),ISNUMBER(J115)),I115*J115,"")</f>
        <v/>
      </c>
      <c r="L115" s="240">
        <f>IF(COUNT(F115,I115)=0,"",N(F115)-N(I115))</f>
        <v/>
      </c>
      <c r="M115" s="241">
        <f>IF(COUNT(H115,K115)=0,"",N(K115)-N(H115))</f>
        <v/>
      </c>
      <c r="N115" s="240">
        <f>IF(AND(ISNUMBER(F115),ISNUMBER(G115),F115&gt;0,1-N(Ввод!$E$17)/100&gt;0),MAX(0,(F115*G115-SUMPRODUCT((Закрытые!$B$5:$B$300=$B115)*((Закрытые!$F$5:$F$300+Закрытые!$I$5:$I$300-ABS(Закрытые!$F$5:$F$300-Закрытые!$I$5:$I$300))/2)*(Закрытые!$J$5:$J$300-Закрытые!$G$5:$G$300)))/F115)/(1-N(Ввод!$E$17)/100),IF(AND(ISNUMBER(I115),ISNUMBER(J115),I115&gt;0),MAX(0,(I115*J115+SUMPRODUCT((Закрытые!$B$5:$B$300=$B115)*((Закрытые!$F$5:$F$300+Закрытые!$I$5:$I$300-ABS(Закрытые!$F$5:$F$300-Закрытые!$I$5:$I$300))/2)*(Закрытые!$J$5:$J$300-Закрытые!$G$5:$G$300)))/I115)/(1+N(Ввод!$E$17)/100),""))</f>
        <v/>
      </c>
    </row>
    <row r="116" ht="22" customHeight="1">
      <c r="B116" s="318" t="n"/>
      <c r="C116" s="319" t="n"/>
      <c r="D116" s="318" t="n"/>
      <c r="E116" s="320" t="n"/>
      <c r="F116" s="321" t="n"/>
      <c r="G116" s="322" t="n"/>
      <c r="H116" s="271">
        <f>IF(AND(ISNUMBER(F116),ISNUMBER(G116)),F116*G116,"")</f>
        <v/>
      </c>
      <c r="I116" s="321" t="n"/>
      <c r="J116" s="322" t="n"/>
      <c r="K116" s="271">
        <f>IF(AND(ISNUMBER(I116),ISNUMBER(J116)),I116*J116,"")</f>
        <v/>
      </c>
      <c r="L116" s="246">
        <f>IF(COUNT(F116,I116)=0,"",N(F116)-N(I116))</f>
        <v/>
      </c>
      <c r="M116" s="247">
        <f>IF(COUNT(H116,K116)=0,"",N(K116)-N(H116))</f>
        <v/>
      </c>
      <c r="N116" s="246">
        <f>IF(AND(ISNUMBER(F116),ISNUMBER(G116),F116&gt;0,1-N(Ввод!$E$17)/100&gt;0),MAX(0,(F116*G116-SUMPRODUCT((Закрытые!$B$5:$B$300=$B116)*((Закрытые!$F$5:$F$300+Закрытые!$I$5:$I$300-ABS(Закрытые!$F$5:$F$300-Закрытые!$I$5:$I$300))/2)*(Закрытые!$J$5:$J$300-Закрытые!$G$5:$G$300)))/F116)/(1-N(Ввод!$E$17)/100),IF(AND(ISNUMBER(I116),ISNUMBER(J116),I116&gt;0),MAX(0,(I116*J116+SUMPRODUCT((Закрытые!$B$5:$B$300=$B116)*((Закрытые!$F$5:$F$300+Закрытые!$I$5:$I$300-ABS(Закрытые!$F$5:$F$300-Закрытые!$I$5:$I$300))/2)*(Закрытые!$J$5:$J$300-Закрытые!$G$5:$G$300)))/I116)/(1+N(Ввод!$E$17)/100),""))</f>
        <v/>
      </c>
    </row>
    <row r="117" ht="22" customHeight="1">
      <c r="B117" s="313" t="n"/>
      <c r="C117" s="314" t="n"/>
      <c r="D117" s="313" t="n"/>
      <c r="E117" s="315" t="n"/>
      <c r="F117" s="316" t="n"/>
      <c r="G117" s="317" t="n"/>
      <c r="H117" s="271">
        <f>IF(AND(ISNUMBER(F117),ISNUMBER(G117)),F117*G117,"")</f>
        <v/>
      </c>
      <c r="I117" s="316" t="n"/>
      <c r="J117" s="317" t="n"/>
      <c r="K117" s="271">
        <f>IF(AND(ISNUMBER(I117),ISNUMBER(J117)),I117*J117,"")</f>
        <v/>
      </c>
      <c r="L117" s="240">
        <f>IF(COUNT(F117,I117)=0,"",N(F117)-N(I117))</f>
        <v/>
      </c>
      <c r="M117" s="241">
        <f>IF(COUNT(H117,K117)=0,"",N(K117)-N(H117))</f>
        <v/>
      </c>
      <c r="N117" s="240">
        <f>IF(AND(ISNUMBER(F117),ISNUMBER(G117),F117&gt;0,1-N(Ввод!$E$17)/100&gt;0),MAX(0,(F117*G117-SUMPRODUCT((Закрытые!$B$5:$B$300=$B117)*((Закрытые!$F$5:$F$300+Закрытые!$I$5:$I$300-ABS(Закрытые!$F$5:$F$300-Закрытые!$I$5:$I$300))/2)*(Закрытые!$J$5:$J$300-Закрытые!$G$5:$G$300)))/F117)/(1-N(Ввод!$E$17)/100),IF(AND(ISNUMBER(I117),ISNUMBER(J117),I117&gt;0),MAX(0,(I117*J117+SUMPRODUCT((Закрытые!$B$5:$B$300=$B117)*((Закрытые!$F$5:$F$300+Закрытые!$I$5:$I$300-ABS(Закрытые!$F$5:$F$300-Закрытые!$I$5:$I$300))/2)*(Закрытые!$J$5:$J$300-Закрытые!$G$5:$G$300)))/I117)/(1+N(Ввод!$E$17)/100),""))</f>
        <v/>
      </c>
    </row>
    <row r="118" ht="22" customHeight="1">
      <c r="B118" s="318" t="n"/>
      <c r="C118" s="319" t="n"/>
      <c r="D118" s="318" t="n"/>
      <c r="E118" s="320" t="n"/>
      <c r="F118" s="321" t="n"/>
      <c r="G118" s="322" t="n"/>
      <c r="H118" s="271">
        <f>IF(AND(ISNUMBER(F118),ISNUMBER(G118)),F118*G118,"")</f>
        <v/>
      </c>
      <c r="I118" s="321" t="n"/>
      <c r="J118" s="322" t="n"/>
      <c r="K118" s="271">
        <f>IF(AND(ISNUMBER(I118),ISNUMBER(J118)),I118*J118,"")</f>
        <v/>
      </c>
      <c r="L118" s="246">
        <f>IF(COUNT(F118,I118)=0,"",N(F118)-N(I118))</f>
        <v/>
      </c>
      <c r="M118" s="247">
        <f>IF(COUNT(H118,K118)=0,"",N(K118)-N(H118))</f>
        <v/>
      </c>
      <c r="N118" s="246">
        <f>IF(AND(ISNUMBER(F118),ISNUMBER(G118),F118&gt;0,1-N(Ввод!$E$17)/100&gt;0),MAX(0,(F118*G118-SUMPRODUCT((Закрытые!$B$5:$B$300=$B118)*((Закрытые!$F$5:$F$300+Закрытые!$I$5:$I$300-ABS(Закрытые!$F$5:$F$300-Закрытые!$I$5:$I$300))/2)*(Закрытые!$J$5:$J$300-Закрытые!$G$5:$G$300)))/F118)/(1-N(Ввод!$E$17)/100),IF(AND(ISNUMBER(I118),ISNUMBER(J118),I118&gt;0),MAX(0,(I118*J118+SUMPRODUCT((Закрытые!$B$5:$B$300=$B118)*((Закрытые!$F$5:$F$300+Закрытые!$I$5:$I$300-ABS(Закрытые!$F$5:$F$300-Закрытые!$I$5:$I$300))/2)*(Закрытые!$J$5:$J$300-Закрытые!$G$5:$G$300)))/I118)/(1+N(Ввод!$E$17)/100),""))</f>
        <v/>
      </c>
    </row>
    <row r="119" ht="22" customHeight="1">
      <c r="B119" s="313" t="n"/>
      <c r="C119" s="314" t="n"/>
      <c r="D119" s="313" t="n"/>
      <c r="E119" s="315" t="n"/>
      <c r="F119" s="316" t="n"/>
      <c r="G119" s="317" t="n"/>
      <c r="H119" s="271">
        <f>IF(AND(ISNUMBER(F119),ISNUMBER(G119)),F119*G119,"")</f>
        <v/>
      </c>
      <c r="I119" s="316" t="n"/>
      <c r="J119" s="317" t="n"/>
      <c r="K119" s="271">
        <f>IF(AND(ISNUMBER(I119),ISNUMBER(J119)),I119*J119,"")</f>
        <v/>
      </c>
      <c r="L119" s="240">
        <f>IF(COUNT(F119,I119)=0,"",N(F119)-N(I119))</f>
        <v/>
      </c>
      <c r="M119" s="241">
        <f>IF(COUNT(H119,K119)=0,"",N(K119)-N(H119))</f>
        <v/>
      </c>
      <c r="N119" s="240">
        <f>IF(AND(ISNUMBER(F119),ISNUMBER(G119),F119&gt;0,1-N(Ввод!$E$17)/100&gt;0),MAX(0,(F119*G119-SUMPRODUCT((Закрытые!$B$5:$B$300=$B119)*((Закрытые!$F$5:$F$300+Закрытые!$I$5:$I$300-ABS(Закрытые!$F$5:$F$300-Закрытые!$I$5:$I$300))/2)*(Закрытые!$J$5:$J$300-Закрытые!$G$5:$G$300)))/F119)/(1-N(Ввод!$E$17)/100),IF(AND(ISNUMBER(I119),ISNUMBER(J119),I119&gt;0),MAX(0,(I119*J119+SUMPRODUCT((Закрытые!$B$5:$B$300=$B119)*((Закрытые!$F$5:$F$300+Закрытые!$I$5:$I$300-ABS(Закрытые!$F$5:$F$300-Закрытые!$I$5:$I$300))/2)*(Закрытые!$J$5:$J$300-Закрытые!$G$5:$G$300)))/I119)/(1+N(Ввод!$E$17)/100),""))</f>
        <v/>
      </c>
    </row>
    <row r="120" ht="22" customHeight="1">
      <c r="B120" s="318" t="n"/>
      <c r="C120" s="319" t="n"/>
      <c r="D120" s="318" t="n"/>
      <c r="E120" s="320" t="n"/>
      <c r="F120" s="321" t="n"/>
      <c r="G120" s="322" t="n"/>
      <c r="H120" s="271">
        <f>IF(AND(ISNUMBER(F120),ISNUMBER(G120)),F120*G120,"")</f>
        <v/>
      </c>
      <c r="I120" s="321" t="n"/>
      <c r="J120" s="322" t="n"/>
      <c r="K120" s="271">
        <f>IF(AND(ISNUMBER(I120),ISNUMBER(J120)),I120*J120,"")</f>
        <v/>
      </c>
      <c r="L120" s="246">
        <f>IF(COUNT(F120,I120)=0,"",N(F120)-N(I120))</f>
        <v/>
      </c>
      <c r="M120" s="247">
        <f>IF(COUNT(H120,K120)=0,"",N(K120)-N(H120))</f>
        <v/>
      </c>
      <c r="N120" s="246">
        <f>IF(AND(ISNUMBER(F120),ISNUMBER(G120),F120&gt;0,1-N(Ввод!$E$17)/100&gt;0),MAX(0,(F120*G120-SUMPRODUCT((Закрытые!$B$5:$B$300=$B120)*((Закрытые!$F$5:$F$300+Закрытые!$I$5:$I$300-ABS(Закрытые!$F$5:$F$300-Закрытые!$I$5:$I$300))/2)*(Закрытые!$J$5:$J$300-Закрытые!$G$5:$G$300)))/F120)/(1-N(Ввод!$E$17)/100),IF(AND(ISNUMBER(I120),ISNUMBER(J120),I120&gt;0),MAX(0,(I120*J120+SUMPRODUCT((Закрытые!$B$5:$B$300=$B120)*((Закрытые!$F$5:$F$300+Закрытые!$I$5:$I$300-ABS(Закрытые!$F$5:$F$300-Закрытые!$I$5:$I$300))/2)*(Закрытые!$J$5:$J$300-Закрытые!$G$5:$G$300)))/I120)/(1+N(Ввод!$E$17)/100),""))</f>
        <v/>
      </c>
    </row>
    <row r="121" ht="22" customHeight="1">
      <c r="B121" s="313" t="n"/>
      <c r="C121" s="314" t="n"/>
      <c r="D121" s="313" t="n"/>
      <c r="E121" s="315" t="n"/>
      <c r="F121" s="316" t="n"/>
      <c r="G121" s="317" t="n"/>
      <c r="H121" s="271">
        <f>IF(AND(ISNUMBER(F121),ISNUMBER(G121)),F121*G121,"")</f>
        <v/>
      </c>
      <c r="I121" s="316" t="n"/>
      <c r="J121" s="317" t="n"/>
      <c r="K121" s="271">
        <f>IF(AND(ISNUMBER(I121),ISNUMBER(J121)),I121*J121,"")</f>
        <v/>
      </c>
      <c r="L121" s="240">
        <f>IF(COUNT(F121,I121)=0,"",N(F121)-N(I121))</f>
        <v/>
      </c>
      <c r="M121" s="241">
        <f>IF(COUNT(H121,K121)=0,"",N(K121)-N(H121))</f>
        <v/>
      </c>
      <c r="N121" s="240">
        <f>IF(AND(ISNUMBER(F121),ISNUMBER(G121),F121&gt;0,1-N(Ввод!$E$17)/100&gt;0),MAX(0,(F121*G121-SUMPRODUCT((Закрытые!$B$5:$B$300=$B121)*((Закрытые!$F$5:$F$300+Закрытые!$I$5:$I$300-ABS(Закрытые!$F$5:$F$300-Закрытые!$I$5:$I$300))/2)*(Закрытые!$J$5:$J$300-Закрытые!$G$5:$G$300)))/F121)/(1-N(Ввод!$E$17)/100),IF(AND(ISNUMBER(I121),ISNUMBER(J121),I121&gt;0),MAX(0,(I121*J121+SUMPRODUCT((Закрытые!$B$5:$B$300=$B121)*((Закрытые!$F$5:$F$300+Закрытые!$I$5:$I$300-ABS(Закрытые!$F$5:$F$300-Закрытые!$I$5:$I$300))/2)*(Закрытые!$J$5:$J$300-Закрытые!$G$5:$G$300)))/I121)/(1+N(Ввод!$E$17)/100),""))</f>
        <v/>
      </c>
    </row>
    <row r="122" ht="22" customHeight="1">
      <c r="B122" s="318" t="n"/>
      <c r="C122" s="319" t="n"/>
      <c r="D122" s="318" t="n"/>
      <c r="E122" s="320" t="n"/>
      <c r="F122" s="321" t="n"/>
      <c r="G122" s="322" t="n"/>
      <c r="H122" s="271">
        <f>IF(AND(ISNUMBER(F122),ISNUMBER(G122)),F122*G122,"")</f>
        <v/>
      </c>
      <c r="I122" s="321" t="n"/>
      <c r="J122" s="322" t="n"/>
      <c r="K122" s="271">
        <f>IF(AND(ISNUMBER(I122),ISNUMBER(J122)),I122*J122,"")</f>
        <v/>
      </c>
      <c r="L122" s="246">
        <f>IF(COUNT(F122,I122)=0,"",N(F122)-N(I122))</f>
        <v/>
      </c>
      <c r="M122" s="247">
        <f>IF(COUNT(H122,K122)=0,"",N(K122)-N(H122))</f>
        <v/>
      </c>
      <c r="N122" s="246">
        <f>IF(AND(ISNUMBER(F122),ISNUMBER(G122),F122&gt;0,1-N(Ввод!$E$17)/100&gt;0),MAX(0,(F122*G122-SUMPRODUCT((Закрытые!$B$5:$B$300=$B122)*((Закрытые!$F$5:$F$300+Закрытые!$I$5:$I$300-ABS(Закрытые!$F$5:$F$300-Закрытые!$I$5:$I$300))/2)*(Закрытые!$J$5:$J$300-Закрытые!$G$5:$G$300)))/F122)/(1-N(Ввод!$E$17)/100),IF(AND(ISNUMBER(I122),ISNUMBER(J122),I122&gt;0),MAX(0,(I122*J122+SUMPRODUCT((Закрытые!$B$5:$B$300=$B122)*((Закрытые!$F$5:$F$300+Закрытые!$I$5:$I$300-ABS(Закрытые!$F$5:$F$300-Закрытые!$I$5:$I$300))/2)*(Закрытые!$J$5:$J$300-Закрытые!$G$5:$G$300)))/I122)/(1+N(Ввод!$E$17)/100),""))</f>
        <v/>
      </c>
    </row>
    <row r="123" ht="22" customHeight="1">
      <c r="B123" s="313" t="n"/>
      <c r="C123" s="314" t="n"/>
      <c r="D123" s="313" t="n"/>
      <c r="E123" s="315" t="n"/>
      <c r="F123" s="316" t="n"/>
      <c r="G123" s="317" t="n"/>
      <c r="H123" s="271">
        <f>IF(AND(ISNUMBER(F123),ISNUMBER(G123)),F123*G123,"")</f>
        <v/>
      </c>
      <c r="I123" s="316" t="n"/>
      <c r="J123" s="317" t="n"/>
      <c r="K123" s="271">
        <f>IF(AND(ISNUMBER(I123),ISNUMBER(J123)),I123*J123,"")</f>
        <v/>
      </c>
      <c r="L123" s="240">
        <f>IF(COUNT(F123,I123)=0,"",N(F123)-N(I123))</f>
        <v/>
      </c>
      <c r="M123" s="241">
        <f>IF(COUNT(H123,K123)=0,"",N(K123)-N(H123))</f>
        <v/>
      </c>
      <c r="N123" s="240">
        <f>IF(AND(ISNUMBER(F123),ISNUMBER(G123),F123&gt;0,1-N(Ввод!$E$17)/100&gt;0),MAX(0,(F123*G123-SUMPRODUCT((Закрытые!$B$5:$B$300=$B123)*((Закрытые!$F$5:$F$300+Закрытые!$I$5:$I$300-ABS(Закрытые!$F$5:$F$300-Закрытые!$I$5:$I$300))/2)*(Закрытые!$J$5:$J$300-Закрытые!$G$5:$G$300)))/F123)/(1-N(Ввод!$E$17)/100),IF(AND(ISNUMBER(I123),ISNUMBER(J123),I123&gt;0),MAX(0,(I123*J123+SUMPRODUCT((Закрытые!$B$5:$B$300=$B123)*((Закрытые!$F$5:$F$300+Закрытые!$I$5:$I$300-ABS(Закрытые!$F$5:$F$300-Закрытые!$I$5:$I$300))/2)*(Закрытые!$J$5:$J$300-Закрытые!$G$5:$G$300)))/I123)/(1+N(Ввод!$E$17)/100),""))</f>
        <v/>
      </c>
    </row>
    <row r="124" ht="22" customHeight="1">
      <c r="B124" s="318" t="n"/>
      <c r="C124" s="319" t="n"/>
      <c r="D124" s="318" t="n"/>
      <c r="E124" s="320" t="n"/>
      <c r="F124" s="321" t="n"/>
      <c r="G124" s="322" t="n"/>
      <c r="H124" s="271">
        <f>IF(AND(ISNUMBER(F124),ISNUMBER(G124)),F124*G124,"")</f>
        <v/>
      </c>
      <c r="I124" s="321" t="n"/>
      <c r="J124" s="322" t="n"/>
      <c r="K124" s="271">
        <f>IF(AND(ISNUMBER(I124),ISNUMBER(J124)),I124*J124,"")</f>
        <v/>
      </c>
      <c r="L124" s="246">
        <f>IF(COUNT(F124,I124)=0,"",N(F124)-N(I124))</f>
        <v/>
      </c>
      <c r="M124" s="247">
        <f>IF(COUNT(H124,K124)=0,"",N(K124)-N(H124))</f>
        <v/>
      </c>
      <c r="N124" s="246">
        <f>IF(AND(ISNUMBER(F124),ISNUMBER(G124),F124&gt;0,1-N(Ввод!$E$17)/100&gt;0),MAX(0,(F124*G124-SUMPRODUCT((Закрытые!$B$5:$B$300=$B124)*((Закрытые!$F$5:$F$300+Закрытые!$I$5:$I$300-ABS(Закрытые!$F$5:$F$300-Закрытые!$I$5:$I$300))/2)*(Закрытые!$J$5:$J$300-Закрытые!$G$5:$G$300)))/F124)/(1-N(Ввод!$E$17)/100),IF(AND(ISNUMBER(I124),ISNUMBER(J124),I124&gt;0),MAX(0,(I124*J124+SUMPRODUCT((Закрытые!$B$5:$B$300=$B124)*((Закрытые!$F$5:$F$300+Закрытые!$I$5:$I$300-ABS(Закрытые!$F$5:$F$300-Закрытые!$I$5:$I$300))/2)*(Закрытые!$J$5:$J$300-Закрытые!$G$5:$G$300)))/I124)/(1+N(Ввод!$E$17)/100),""))</f>
        <v/>
      </c>
    </row>
    <row r="125" ht="22" customHeight="1">
      <c r="B125" s="313" t="n"/>
      <c r="C125" s="314" t="n"/>
      <c r="D125" s="313" t="n"/>
      <c r="E125" s="315" t="n"/>
      <c r="F125" s="316" t="n"/>
      <c r="G125" s="317" t="n"/>
      <c r="H125" s="271">
        <f>IF(AND(ISNUMBER(F125),ISNUMBER(G125)),F125*G125,"")</f>
        <v/>
      </c>
      <c r="I125" s="316" t="n"/>
      <c r="J125" s="317" t="n"/>
      <c r="K125" s="271">
        <f>IF(AND(ISNUMBER(I125),ISNUMBER(J125)),I125*J125,"")</f>
        <v/>
      </c>
      <c r="L125" s="240">
        <f>IF(COUNT(F125,I125)=0,"",N(F125)-N(I125))</f>
        <v/>
      </c>
      <c r="M125" s="241">
        <f>IF(COUNT(H125,K125)=0,"",N(K125)-N(H125))</f>
        <v/>
      </c>
      <c r="N125" s="240">
        <f>IF(AND(ISNUMBER(F125),ISNUMBER(G125),F125&gt;0,1-N(Ввод!$E$17)/100&gt;0),MAX(0,(F125*G125-SUMPRODUCT((Закрытые!$B$5:$B$300=$B125)*((Закрытые!$F$5:$F$300+Закрытые!$I$5:$I$300-ABS(Закрытые!$F$5:$F$300-Закрытые!$I$5:$I$300))/2)*(Закрытые!$J$5:$J$300-Закрытые!$G$5:$G$300)))/F125)/(1-N(Ввод!$E$17)/100),IF(AND(ISNUMBER(I125),ISNUMBER(J125),I125&gt;0),MAX(0,(I125*J125+SUMPRODUCT((Закрытые!$B$5:$B$300=$B125)*((Закрытые!$F$5:$F$300+Закрытые!$I$5:$I$300-ABS(Закрытые!$F$5:$F$300-Закрытые!$I$5:$I$300))/2)*(Закрытые!$J$5:$J$300-Закрытые!$G$5:$G$300)))/I125)/(1+N(Ввод!$E$17)/100),""))</f>
        <v/>
      </c>
    </row>
    <row r="126" ht="22" customHeight="1">
      <c r="B126" s="318" t="n"/>
      <c r="C126" s="319" t="n"/>
      <c r="D126" s="318" t="n"/>
      <c r="E126" s="320" t="n"/>
      <c r="F126" s="321" t="n"/>
      <c r="G126" s="322" t="n"/>
      <c r="H126" s="271">
        <f>IF(AND(ISNUMBER(F126),ISNUMBER(G126)),F126*G126,"")</f>
        <v/>
      </c>
      <c r="I126" s="321" t="n"/>
      <c r="J126" s="322" t="n"/>
      <c r="K126" s="271">
        <f>IF(AND(ISNUMBER(I126),ISNUMBER(J126)),I126*J126,"")</f>
        <v/>
      </c>
      <c r="L126" s="246">
        <f>IF(COUNT(F126,I126)=0,"",N(F126)-N(I126))</f>
        <v/>
      </c>
      <c r="M126" s="247">
        <f>IF(COUNT(H126,K126)=0,"",N(K126)-N(H126))</f>
        <v/>
      </c>
      <c r="N126" s="246">
        <f>IF(AND(ISNUMBER(F126),ISNUMBER(G126),F126&gt;0,1-N(Ввод!$E$17)/100&gt;0),MAX(0,(F126*G126-SUMPRODUCT((Закрытые!$B$5:$B$300=$B126)*((Закрытые!$F$5:$F$300+Закрытые!$I$5:$I$300-ABS(Закрытые!$F$5:$F$300-Закрытые!$I$5:$I$300))/2)*(Закрытые!$J$5:$J$300-Закрытые!$G$5:$G$300)))/F126)/(1-N(Ввод!$E$17)/100),IF(AND(ISNUMBER(I126),ISNUMBER(J126),I126&gt;0),MAX(0,(I126*J126+SUMPRODUCT((Закрытые!$B$5:$B$300=$B126)*((Закрытые!$F$5:$F$300+Закрытые!$I$5:$I$300-ABS(Закрытые!$F$5:$F$300-Закрытые!$I$5:$I$300))/2)*(Закрытые!$J$5:$J$300-Закрытые!$G$5:$G$300)))/I126)/(1+N(Ввод!$E$17)/100),""))</f>
        <v/>
      </c>
    </row>
    <row r="127" ht="22" customHeight="1">
      <c r="B127" s="313" t="n"/>
      <c r="C127" s="314" t="n"/>
      <c r="D127" s="313" t="n"/>
      <c r="E127" s="315" t="n"/>
      <c r="F127" s="316" t="n"/>
      <c r="G127" s="317" t="n"/>
      <c r="H127" s="271">
        <f>IF(AND(ISNUMBER(F127),ISNUMBER(G127)),F127*G127,"")</f>
        <v/>
      </c>
      <c r="I127" s="316" t="n"/>
      <c r="J127" s="317" t="n"/>
      <c r="K127" s="271">
        <f>IF(AND(ISNUMBER(I127),ISNUMBER(J127)),I127*J127,"")</f>
        <v/>
      </c>
      <c r="L127" s="240">
        <f>IF(COUNT(F127,I127)=0,"",N(F127)-N(I127))</f>
        <v/>
      </c>
      <c r="M127" s="241">
        <f>IF(COUNT(H127,K127)=0,"",N(K127)-N(H127))</f>
        <v/>
      </c>
      <c r="N127" s="240">
        <f>IF(AND(ISNUMBER(F127),ISNUMBER(G127),F127&gt;0,1-N(Ввод!$E$17)/100&gt;0),MAX(0,(F127*G127-SUMPRODUCT((Закрытые!$B$5:$B$300=$B127)*((Закрытые!$F$5:$F$300+Закрытые!$I$5:$I$300-ABS(Закрытые!$F$5:$F$300-Закрытые!$I$5:$I$300))/2)*(Закрытые!$J$5:$J$300-Закрытые!$G$5:$G$300)))/F127)/(1-N(Ввод!$E$17)/100),IF(AND(ISNUMBER(I127),ISNUMBER(J127),I127&gt;0),MAX(0,(I127*J127+SUMPRODUCT((Закрытые!$B$5:$B$300=$B127)*((Закрытые!$F$5:$F$300+Закрытые!$I$5:$I$300-ABS(Закрытые!$F$5:$F$300-Закрытые!$I$5:$I$300))/2)*(Закрытые!$J$5:$J$300-Закрытые!$G$5:$G$300)))/I127)/(1+N(Ввод!$E$17)/100),""))</f>
        <v/>
      </c>
    </row>
    <row r="128" ht="22" customHeight="1">
      <c r="B128" s="318" t="n"/>
      <c r="C128" s="319" t="n"/>
      <c r="D128" s="318" t="n"/>
      <c r="E128" s="320" t="n"/>
      <c r="F128" s="321" t="n"/>
      <c r="G128" s="322" t="n"/>
      <c r="H128" s="271">
        <f>IF(AND(ISNUMBER(F128),ISNUMBER(G128)),F128*G128,"")</f>
        <v/>
      </c>
      <c r="I128" s="321" t="n"/>
      <c r="J128" s="322" t="n"/>
      <c r="K128" s="271">
        <f>IF(AND(ISNUMBER(I128),ISNUMBER(J128)),I128*J128,"")</f>
        <v/>
      </c>
      <c r="L128" s="246">
        <f>IF(COUNT(F128,I128)=0,"",N(F128)-N(I128))</f>
        <v/>
      </c>
      <c r="M128" s="247">
        <f>IF(COUNT(H128,K128)=0,"",N(K128)-N(H128))</f>
        <v/>
      </c>
      <c r="N128" s="246">
        <f>IF(AND(ISNUMBER(F128),ISNUMBER(G128),F128&gt;0,1-N(Ввод!$E$17)/100&gt;0),MAX(0,(F128*G128-SUMPRODUCT((Закрытые!$B$5:$B$300=$B128)*((Закрытые!$F$5:$F$300+Закрытые!$I$5:$I$300-ABS(Закрытые!$F$5:$F$300-Закрытые!$I$5:$I$300))/2)*(Закрытые!$J$5:$J$300-Закрытые!$G$5:$G$300)))/F128)/(1-N(Ввод!$E$17)/100),IF(AND(ISNUMBER(I128),ISNUMBER(J128),I128&gt;0),MAX(0,(I128*J128+SUMPRODUCT((Закрытые!$B$5:$B$300=$B128)*((Закрытые!$F$5:$F$300+Закрытые!$I$5:$I$300-ABS(Закрытые!$F$5:$F$300-Закрытые!$I$5:$I$300))/2)*(Закрытые!$J$5:$J$300-Закрытые!$G$5:$G$300)))/I128)/(1+N(Ввод!$E$17)/100),""))</f>
        <v/>
      </c>
    </row>
    <row r="129" ht="22" customHeight="1">
      <c r="B129" s="313" t="n"/>
      <c r="C129" s="314" t="n"/>
      <c r="D129" s="313" t="n"/>
      <c r="E129" s="315" t="n"/>
      <c r="F129" s="316" t="n"/>
      <c r="G129" s="317" t="n"/>
      <c r="H129" s="271">
        <f>IF(AND(ISNUMBER(F129),ISNUMBER(G129)),F129*G129,"")</f>
        <v/>
      </c>
      <c r="I129" s="316" t="n"/>
      <c r="J129" s="317" t="n"/>
      <c r="K129" s="271">
        <f>IF(AND(ISNUMBER(I129),ISNUMBER(J129)),I129*J129,"")</f>
        <v/>
      </c>
      <c r="L129" s="240">
        <f>IF(COUNT(F129,I129)=0,"",N(F129)-N(I129))</f>
        <v/>
      </c>
      <c r="M129" s="241">
        <f>IF(COUNT(H129,K129)=0,"",N(K129)-N(H129))</f>
        <v/>
      </c>
      <c r="N129" s="240">
        <f>IF(AND(ISNUMBER(F129),ISNUMBER(G129),F129&gt;0,1-N(Ввод!$E$17)/100&gt;0),MAX(0,(F129*G129-SUMPRODUCT((Закрытые!$B$5:$B$300=$B129)*((Закрытые!$F$5:$F$300+Закрытые!$I$5:$I$300-ABS(Закрытые!$F$5:$F$300-Закрытые!$I$5:$I$300))/2)*(Закрытые!$J$5:$J$300-Закрытые!$G$5:$G$300)))/F129)/(1-N(Ввод!$E$17)/100),IF(AND(ISNUMBER(I129),ISNUMBER(J129),I129&gt;0),MAX(0,(I129*J129+SUMPRODUCT((Закрытые!$B$5:$B$300=$B129)*((Закрытые!$F$5:$F$300+Закрытые!$I$5:$I$300-ABS(Закрытые!$F$5:$F$300-Закрытые!$I$5:$I$300))/2)*(Закрытые!$J$5:$J$300-Закрытые!$G$5:$G$300)))/I129)/(1+N(Ввод!$E$17)/100),""))</f>
        <v/>
      </c>
    </row>
    <row r="130" ht="22" customHeight="1">
      <c r="B130" s="318" t="n"/>
      <c r="C130" s="319" t="n"/>
      <c r="D130" s="318" t="n"/>
      <c r="E130" s="320" t="n"/>
      <c r="F130" s="321" t="n"/>
      <c r="G130" s="322" t="n"/>
      <c r="H130" s="271">
        <f>IF(AND(ISNUMBER(F130),ISNUMBER(G130)),F130*G130,"")</f>
        <v/>
      </c>
      <c r="I130" s="321" t="n"/>
      <c r="J130" s="322" t="n"/>
      <c r="K130" s="271">
        <f>IF(AND(ISNUMBER(I130),ISNUMBER(J130)),I130*J130,"")</f>
        <v/>
      </c>
      <c r="L130" s="246">
        <f>IF(COUNT(F130,I130)=0,"",N(F130)-N(I130))</f>
        <v/>
      </c>
      <c r="M130" s="247">
        <f>IF(COUNT(H130,K130)=0,"",N(K130)-N(H130))</f>
        <v/>
      </c>
      <c r="N130" s="246">
        <f>IF(AND(ISNUMBER(F130),ISNUMBER(G130),F130&gt;0,1-N(Ввод!$E$17)/100&gt;0),MAX(0,(F130*G130-SUMPRODUCT((Закрытые!$B$5:$B$300=$B130)*((Закрытые!$F$5:$F$300+Закрытые!$I$5:$I$300-ABS(Закрытые!$F$5:$F$300-Закрытые!$I$5:$I$300))/2)*(Закрытые!$J$5:$J$300-Закрытые!$G$5:$G$300)))/F130)/(1-N(Ввод!$E$17)/100),IF(AND(ISNUMBER(I130),ISNUMBER(J130),I130&gt;0),MAX(0,(I130*J130+SUMPRODUCT((Закрытые!$B$5:$B$300=$B130)*((Закрытые!$F$5:$F$300+Закрытые!$I$5:$I$300-ABS(Закрытые!$F$5:$F$300-Закрытые!$I$5:$I$300))/2)*(Закрытые!$J$5:$J$300-Закрытые!$G$5:$G$300)))/I130)/(1+N(Ввод!$E$17)/100),""))</f>
        <v/>
      </c>
    </row>
    <row r="131" ht="22" customHeight="1">
      <c r="B131" s="313" t="n"/>
      <c r="C131" s="314" t="n"/>
      <c r="D131" s="313" t="n"/>
      <c r="E131" s="315" t="n"/>
      <c r="F131" s="316" t="n"/>
      <c r="G131" s="317" t="n"/>
      <c r="H131" s="271">
        <f>IF(AND(ISNUMBER(F131),ISNUMBER(G131)),F131*G131,"")</f>
        <v/>
      </c>
      <c r="I131" s="316" t="n"/>
      <c r="J131" s="317" t="n"/>
      <c r="K131" s="271">
        <f>IF(AND(ISNUMBER(I131),ISNUMBER(J131)),I131*J131,"")</f>
        <v/>
      </c>
      <c r="L131" s="240">
        <f>IF(COUNT(F131,I131)=0,"",N(F131)-N(I131))</f>
        <v/>
      </c>
      <c r="M131" s="241">
        <f>IF(COUNT(H131,K131)=0,"",N(K131)-N(H131))</f>
        <v/>
      </c>
      <c r="N131" s="240">
        <f>IF(AND(ISNUMBER(F131),ISNUMBER(G131),F131&gt;0,1-N(Ввод!$E$17)/100&gt;0),MAX(0,(F131*G131-SUMPRODUCT((Закрытые!$B$5:$B$300=$B131)*((Закрытые!$F$5:$F$300+Закрытые!$I$5:$I$300-ABS(Закрытые!$F$5:$F$300-Закрытые!$I$5:$I$300))/2)*(Закрытые!$J$5:$J$300-Закрытые!$G$5:$G$300)))/F131)/(1-N(Ввод!$E$17)/100),IF(AND(ISNUMBER(I131),ISNUMBER(J131),I131&gt;0),MAX(0,(I131*J131+SUMPRODUCT((Закрытые!$B$5:$B$300=$B131)*((Закрытые!$F$5:$F$300+Закрытые!$I$5:$I$300-ABS(Закрытые!$F$5:$F$300-Закрытые!$I$5:$I$300))/2)*(Закрытые!$J$5:$J$300-Закрытые!$G$5:$G$300)))/I131)/(1+N(Ввод!$E$17)/100),""))</f>
        <v/>
      </c>
    </row>
    <row r="132" ht="22" customHeight="1">
      <c r="B132" s="318" t="n"/>
      <c r="C132" s="319" t="n"/>
      <c r="D132" s="318" t="n"/>
      <c r="E132" s="320" t="n"/>
      <c r="F132" s="321" t="n"/>
      <c r="G132" s="322" t="n"/>
      <c r="H132" s="271">
        <f>IF(AND(ISNUMBER(F132),ISNUMBER(G132)),F132*G132,"")</f>
        <v/>
      </c>
      <c r="I132" s="321" t="n"/>
      <c r="J132" s="322" t="n"/>
      <c r="K132" s="271">
        <f>IF(AND(ISNUMBER(I132),ISNUMBER(J132)),I132*J132,"")</f>
        <v/>
      </c>
      <c r="L132" s="246">
        <f>IF(COUNT(F132,I132)=0,"",N(F132)-N(I132))</f>
        <v/>
      </c>
      <c r="M132" s="247">
        <f>IF(COUNT(H132,K132)=0,"",N(K132)-N(H132))</f>
        <v/>
      </c>
      <c r="N132" s="246">
        <f>IF(AND(ISNUMBER(F132),ISNUMBER(G132),F132&gt;0,1-N(Ввод!$E$17)/100&gt;0),MAX(0,(F132*G132-SUMPRODUCT((Закрытые!$B$5:$B$300=$B132)*((Закрытые!$F$5:$F$300+Закрытые!$I$5:$I$300-ABS(Закрытые!$F$5:$F$300-Закрытые!$I$5:$I$300))/2)*(Закрытые!$J$5:$J$300-Закрытые!$G$5:$G$300)))/F132)/(1-N(Ввод!$E$17)/100),IF(AND(ISNUMBER(I132),ISNUMBER(J132),I132&gt;0),MAX(0,(I132*J132+SUMPRODUCT((Закрытые!$B$5:$B$300=$B132)*((Закрытые!$F$5:$F$300+Закрытые!$I$5:$I$300-ABS(Закрытые!$F$5:$F$300-Закрытые!$I$5:$I$300))/2)*(Закрытые!$J$5:$J$300-Закрытые!$G$5:$G$300)))/I132)/(1+N(Ввод!$E$17)/100),""))</f>
        <v/>
      </c>
    </row>
    <row r="133" ht="22" customHeight="1">
      <c r="B133" s="313" t="n"/>
      <c r="C133" s="314" t="n"/>
      <c r="D133" s="313" t="n"/>
      <c r="E133" s="315" t="n"/>
      <c r="F133" s="316" t="n"/>
      <c r="G133" s="317" t="n"/>
      <c r="H133" s="271">
        <f>IF(AND(ISNUMBER(F133),ISNUMBER(G133)),F133*G133,"")</f>
        <v/>
      </c>
      <c r="I133" s="316" t="n"/>
      <c r="J133" s="317" t="n"/>
      <c r="K133" s="271">
        <f>IF(AND(ISNUMBER(I133),ISNUMBER(J133)),I133*J133,"")</f>
        <v/>
      </c>
      <c r="L133" s="240">
        <f>IF(COUNT(F133,I133)=0,"",N(F133)-N(I133))</f>
        <v/>
      </c>
      <c r="M133" s="241">
        <f>IF(COUNT(H133,K133)=0,"",N(K133)-N(H133))</f>
        <v/>
      </c>
      <c r="N133" s="240">
        <f>IF(AND(ISNUMBER(F133),ISNUMBER(G133),F133&gt;0,1-N(Ввод!$E$17)/100&gt;0),MAX(0,(F133*G133-SUMPRODUCT((Закрытые!$B$5:$B$300=$B133)*((Закрытые!$F$5:$F$300+Закрытые!$I$5:$I$300-ABS(Закрытые!$F$5:$F$300-Закрытые!$I$5:$I$300))/2)*(Закрытые!$J$5:$J$300-Закрытые!$G$5:$G$300)))/F133)/(1-N(Ввод!$E$17)/100),IF(AND(ISNUMBER(I133),ISNUMBER(J133),I133&gt;0),MAX(0,(I133*J133+SUMPRODUCT((Закрытые!$B$5:$B$300=$B133)*((Закрытые!$F$5:$F$300+Закрытые!$I$5:$I$300-ABS(Закрытые!$F$5:$F$300-Закрытые!$I$5:$I$300))/2)*(Закрытые!$J$5:$J$300-Закрытые!$G$5:$G$300)))/I133)/(1+N(Ввод!$E$17)/100),""))</f>
        <v/>
      </c>
    </row>
    <row r="134" ht="22" customHeight="1">
      <c r="B134" s="318" t="n"/>
      <c r="C134" s="319" t="n"/>
      <c r="D134" s="318" t="n"/>
      <c r="E134" s="320" t="n"/>
      <c r="F134" s="321" t="n"/>
      <c r="G134" s="322" t="n"/>
      <c r="H134" s="271">
        <f>IF(AND(ISNUMBER(F134),ISNUMBER(G134)),F134*G134,"")</f>
        <v/>
      </c>
      <c r="I134" s="321" t="n"/>
      <c r="J134" s="322" t="n"/>
      <c r="K134" s="271">
        <f>IF(AND(ISNUMBER(I134),ISNUMBER(J134)),I134*J134,"")</f>
        <v/>
      </c>
      <c r="L134" s="246">
        <f>IF(COUNT(F134,I134)=0,"",N(F134)-N(I134))</f>
        <v/>
      </c>
      <c r="M134" s="247">
        <f>IF(COUNT(H134,K134)=0,"",N(K134)-N(H134))</f>
        <v/>
      </c>
      <c r="N134" s="246">
        <f>IF(AND(ISNUMBER(F134),ISNUMBER(G134),F134&gt;0,1-N(Ввод!$E$17)/100&gt;0),MAX(0,(F134*G134-SUMPRODUCT((Закрытые!$B$5:$B$300=$B134)*((Закрытые!$F$5:$F$300+Закрытые!$I$5:$I$300-ABS(Закрытые!$F$5:$F$300-Закрытые!$I$5:$I$300))/2)*(Закрытые!$J$5:$J$300-Закрытые!$G$5:$G$300)))/F134)/(1-N(Ввод!$E$17)/100),IF(AND(ISNUMBER(I134),ISNUMBER(J134),I134&gt;0),MAX(0,(I134*J134+SUMPRODUCT((Закрытые!$B$5:$B$300=$B134)*((Закрытые!$F$5:$F$300+Закрытые!$I$5:$I$300-ABS(Закрытые!$F$5:$F$300-Закрытые!$I$5:$I$300))/2)*(Закрытые!$J$5:$J$300-Закрытые!$G$5:$G$300)))/I134)/(1+N(Ввод!$E$17)/100),""))</f>
        <v/>
      </c>
    </row>
    <row r="135" ht="22" customHeight="1">
      <c r="B135" s="313" t="n"/>
      <c r="C135" s="314" t="n"/>
      <c r="D135" s="313" t="n"/>
      <c r="E135" s="315" t="n"/>
      <c r="F135" s="316" t="n"/>
      <c r="G135" s="317" t="n"/>
      <c r="H135" s="271">
        <f>IF(AND(ISNUMBER(F135),ISNUMBER(G135)),F135*G135,"")</f>
        <v/>
      </c>
      <c r="I135" s="316" t="n"/>
      <c r="J135" s="317" t="n"/>
      <c r="K135" s="271">
        <f>IF(AND(ISNUMBER(I135),ISNUMBER(J135)),I135*J135,"")</f>
        <v/>
      </c>
      <c r="L135" s="240">
        <f>IF(COUNT(F135,I135)=0,"",N(F135)-N(I135))</f>
        <v/>
      </c>
      <c r="M135" s="241">
        <f>IF(COUNT(H135,K135)=0,"",N(K135)-N(H135))</f>
        <v/>
      </c>
      <c r="N135" s="240">
        <f>IF(AND(ISNUMBER(F135),ISNUMBER(G135),F135&gt;0,1-N(Ввод!$E$17)/100&gt;0),MAX(0,(F135*G135-SUMPRODUCT((Закрытые!$B$5:$B$300=$B135)*((Закрытые!$F$5:$F$300+Закрытые!$I$5:$I$300-ABS(Закрытые!$F$5:$F$300-Закрытые!$I$5:$I$300))/2)*(Закрытые!$J$5:$J$300-Закрытые!$G$5:$G$300)))/F135)/(1-N(Ввод!$E$17)/100),IF(AND(ISNUMBER(I135),ISNUMBER(J135),I135&gt;0),MAX(0,(I135*J135+SUMPRODUCT((Закрытые!$B$5:$B$300=$B135)*((Закрытые!$F$5:$F$300+Закрытые!$I$5:$I$300-ABS(Закрытые!$F$5:$F$300-Закрытые!$I$5:$I$300))/2)*(Закрытые!$J$5:$J$300-Закрытые!$G$5:$G$300)))/I135)/(1+N(Ввод!$E$17)/100),""))</f>
        <v/>
      </c>
    </row>
    <row r="136" ht="22" customHeight="1">
      <c r="B136" s="318" t="n"/>
      <c r="C136" s="319" t="n"/>
      <c r="D136" s="318" t="n"/>
      <c r="E136" s="320" t="n"/>
      <c r="F136" s="321" t="n"/>
      <c r="G136" s="322" t="n"/>
      <c r="H136" s="271">
        <f>IF(AND(ISNUMBER(F136),ISNUMBER(G136)),F136*G136,"")</f>
        <v/>
      </c>
      <c r="I136" s="321" t="n"/>
      <c r="J136" s="322" t="n"/>
      <c r="K136" s="271">
        <f>IF(AND(ISNUMBER(I136),ISNUMBER(J136)),I136*J136,"")</f>
        <v/>
      </c>
      <c r="L136" s="246">
        <f>IF(COUNT(F136,I136)=0,"",N(F136)-N(I136))</f>
        <v/>
      </c>
      <c r="M136" s="247">
        <f>IF(COUNT(H136,K136)=0,"",N(K136)-N(H136))</f>
        <v/>
      </c>
      <c r="N136" s="246">
        <f>IF(AND(ISNUMBER(F136),ISNUMBER(G136),F136&gt;0,1-N(Ввод!$E$17)/100&gt;0),MAX(0,(F136*G136-SUMPRODUCT((Закрытые!$B$5:$B$300=$B136)*((Закрытые!$F$5:$F$300+Закрытые!$I$5:$I$300-ABS(Закрытые!$F$5:$F$300-Закрытые!$I$5:$I$300))/2)*(Закрытые!$J$5:$J$300-Закрытые!$G$5:$G$300)))/F136)/(1-N(Ввод!$E$17)/100),IF(AND(ISNUMBER(I136),ISNUMBER(J136),I136&gt;0),MAX(0,(I136*J136+SUMPRODUCT((Закрытые!$B$5:$B$300=$B136)*((Закрытые!$F$5:$F$300+Закрытые!$I$5:$I$300-ABS(Закрытые!$F$5:$F$300-Закрытые!$I$5:$I$300))/2)*(Закрытые!$J$5:$J$300-Закрытые!$G$5:$G$300)))/I136)/(1+N(Ввод!$E$17)/100),""))</f>
        <v/>
      </c>
    </row>
    <row r="137" ht="22" customHeight="1">
      <c r="B137" s="313" t="n"/>
      <c r="C137" s="314" t="n"/>
      <c r="D137" s="313" t="n"/>
      <c r="E137" s="315" t="n"/>
      <c r="F137" s="316" t="n"/>
      <c r="G137" s="317" t="n"/>
      <c r="H137" s="271">
        <f>IF(AND(ISNUMBER(F137),ISNUMBER(G137)),F137*G137,"")</f>
        <v/>
      </c>
      <c r="I137" s="316" t="n"/>
      <c r="J137" s="317" t="n"/>
      <c r="K137" s="271">
        <f>IF(AND(ISNUMBER(I137),ISNUMBER(J137)),I137*J137,"")</f>
        <v/>
      </c>
      <c r="L137" s="240">
        <f>IF(COUNT(F137,I137)=0,"",N(F137)-N(I137))</f>
        <v/>
      </c>
      <c r="M137" s="241">
        <f>IF(COUNT(H137,K137)=0,"",N(K137)-N(H137))</f>
        <v/>
      </c>
      <c r="N137" s="240">
        <f>IF(AND(ISNUMBER(F137),ISNUMBER(G137),F137&gt;0,1-N(Ввод!$E$17)/100&gt;0),MAX(0,(F137*G137-SUMPRODUCT((Закрытые!$B$5:$B$300=$B137)*((Закрытые!$F$5:$F$300+Закрытые!$I$5:$I$300-ABS(Закрытые!$F$5:$F$300-Закрытые!$I$5:$I$300))/2)*(Закрытые!$J$5:$J$300-Закрытые!$G$5:$G$300)))/F137)/(1-N(Ввод!$E$17)/100),IF(AND(ISNUMBER(I137),ISNUMBER(J137),I137&gt;0),MAX(0,(I137*J137+SUMPRODUCT((Закрытые!$B$5:$B$300=$B137)*((Закрытые!$F$5:$F$300+Закрытые!$I$5:$I$300-ABS(Закрытые!$F$5:$F$300-Закрытые!$I$5:$I$300))/2)*(Закрытые!$J$5:$J$300-Закрытые!$G$5:$G$300)))/I137)/(1+N(Ввод!$E$17)/100),""))</f>
        <v/>
      </c>
    </row>
    <row r="138" ht="22" customHeight="1">
      <c r="B138" s="318" t="n"/>
      <c r="C138" s="319" t="n"/>
      <c r="D138" s="318" t="n"/>
      <c r="E138" s="320" t="n"/>
      <c r="F138" s="321" t="n"/>
      <c r="G138" s="322" t="n"/>
      <c r="H138" s="271">
        <f>IF(AND(ISNUMBER(F138),ISNUMBER(G138)),F138*G138,"")</f>
        <v/>
      </c>
      <c r="I138" s="321" t="n"/>
      <c r="J138" s="322" t="n"/>
      <c r="K138" s="271">
        <f>IF(AND(ISNUMBER(I138),ISNUMBER(J138)),I138*J138,"")</f>
        <v/>
      </c>
      <c r="L138" s="246">
        <f>IF(COUNT(F138,I138)=0,"",N(F138)-N(I138))</f>
        <v/>
      </c>
      <c r="M138" s="247">
        <f>IF(COUNT(H138,K138)=0,"",N(K138)-N(H138))</f>
        <v/>
      </c>
      <c r="N138" s="246">
        <f>IF(AND(ISNUMBER(F138),ISNUMBER(G138),F138&gt;0,1-N(Ввод!$E$17)/100&gt;0),MAX(0,(F138*G138-SUMPRODUCT((Закрытые!$B$5:$B$300=$B138)*((Закрытые!$F$5:$F$300+Закрытые!$I$5:$I$300-ABS(Закрытые!$F$5:$F$300-Закрытые!$I$5:$I$300))/2)*(Закрытые!$J$5:$J$300-Закрытые!$G$5:$G$300)))/F138)/(1-N(Ввод!$E$17)/100),IF(AND(ISNUMBER(I138),ISNUMBER(J138),I138&gt;0),MAX(0,(I138*J138+SUMPRODUCT((Закрытые!$B$5:$B$300=$B138)*((Закрытые!$F$5:$F$300+Закрытые!$I$5:$I$300-ABS(Закрытые!$F$5:$F$300-Закрытые!$I$5:$I$300))/2)*(Закрытые!$J$5:$J$300-Закрытые!$G$5:$G$300)))/I138)/(1+N(Ввод!$E$17)/100),""))</f>
        <v/>
      </c>
    </row>
    <row r="139" ht="22" customHeight="1">
      <c r="B139" s="313" t="n"/>
      <c r="C139" s="314" t="n"/>
      <c r="D139" s="313" t="n"/>
      <c r="E139" s="315" t="n"/>
      <c r="F139" s="316" t="n"/>
      <c r="G139" s="317" t="n"/>
      <c r="H139" s="271">
        <f>IF(AND(ISNUMBER(F139),ISNUMBER(G139)),F139*G139,"")</f>
        <v/>
      </c>
      <c r="I139" s="316" t="n"/>
      <c r="J139" s="317" t="n"/>
      <c r="K139" s="271">
        <f>IF(AND(ISNUMBER(I139),ISNUMBER(J139)),I139*J139,"")</f>
        <v/>
      </c>
      <c r="L139" s="240">
        <f>IF(COUNT(F139,I139)=0,"",N(F139)-N(I139))</f>
        <v/>
      </c>
      <c r="M139" s="241">
        <f>IF(COUNT(H139,K139)=0,"",N(K139)-N(H139))</f>
        <v/>
      </c>
      <c r="N139" s="240">
        <f>IF(AND(ISNUMBER(F139),ISNUMBER(G139),F139&gt;0,1-N(Ввод!$E$17)/100&gt;0),MAX(0,(F139*G139-SUMPRODUCT((Закрытые!$B$5:$B$300=$B139)*((Закрытые!$F$5:$F$300+Закрытые!$I$5:$I$300-ABS(Закрытые!$F$5:$F$300-Закрытые!$I$5:$I$300))/2)*(Закрытые!$J$5:$J$300-Закрытые!$G$5:$G$300)))/F139)/(1-N(Ввод!$E$17)/100),IF(AND(ISNUMBER(I139),ISNUMBER(J139),I139&gt;0),MAX(0,(I139*J139+SUMPRODUCT((Закрытые!$B$5:$B$300=$B139)*((Закрытые!$F$5:$F$300+Закрытые!$I$5:$I$300-ABS(Закрытые!$F$5:$F$300-Закрытые!$I$5:$I$300))/2)*(Закрытые!$J$5:$J$300-Закрытые!$G$5:$G$300)))/I139)/(1+N(Ввод!$E$17)/100),""))</f>
        <v/>
      </c>
    </row>
    <row r="140" ht="22" customHeight="1">
      <c r="B140" s="318" t="n"/>
      <c r="C140" s="319" t="n"/>
      <c r="D140" s="318" t="n"/>
      <c r="E140" s="320" t="n"/>
      <c r="F140" s="321" t="n"/>
      <c r="G140" s="322" t="n"/>
      <c r="H140" s="271">
        <f>IF(AND(ISNUMBER(F140),ISNUMBER(G140)),F140*G140,"")</f>
        <v/>
      </c>
      <c r="I140" s="321" t="n"/>
      <c r="J140" s="322" t="n"/>
      <c r="K140" s="271">
        <f>IF(AND(ISNUMBER(I140),ISNUMBER(J140)),I140*J140,"")</f>
        <v/>
      </c>
      <c r="L140" s="246">
        <f>IF(COUNT(F140,I140)=0,"",N(F140)-N(I140))</f>
        <v/>
      </c>
      <c r="M140" s="247">
        <f>IF(COUNT(H140,K140)=0,"",N(K140)-N(H140))</f>
        <v/>
      </c>
      <c r="N140" s="246">
        <f>IF(AND(ISNUMBER(F140),ISNUMBER(G140),F140&gt;0,1-N(Ввод!$E$17)/100&gt;0),MAX(0,(F140*G140-SUMPRODUCT((Закрытые!$B$5:$B$300=$B140)*((Закрытые!$F$5:$F$300+Закрытые!$I$5:$I$300-ABS(Закрытые!$F$5:$F$300-Закрытые!$I$5:$I$300))/2)*(Закрытые!$J$5:$J$300-Закрытые!$G$5:$G$300)))/F140)/(1-N(Ввод!$E$17)/100),IF(AND(ISNUMBER(I140),ISNUMBER(J140),I140&gt;0),MAX(0,(I140*J140+SUMPRODUCT((Закрытые!$B$5:$B$300=$B140)*((Закрытые!$F$5:$F$300+Закрытые!$I$5:$I$300-ABS(Закрытые!$F$5:$F$300-Закрытые!$I$5:$I$300))/2)*(Закрытые!$J$5:$J$300-Закрытые!$G$5:$G$300)))/I140)/(1+N(Ввод!$E$17)/100),""))</f>
        <v/>
      </c>
    </row>
    <row r="141" ht="22" customHeight="1">
      <c r="B141" s="313" t="n"/>
      <c r="C141" s="314" t="n"/>
      <c r="D141" s="313" t="n"/>
      <c r="E141" s="315" t="n"/>
      <c r="F141" s="316" t="n"/>
      <c r="G141" s="317" t="n"/>
      <c r="H141" s="271">
        <f>IF(AND(ISNUMBER(F141),ISNUMBER(G141)),F141*G141,"")</f>
        <v/>
      </c>
      <c r="I141" s="316" t="n"/>
      <c r="J141" s="317" t="n"/>
      <c r="K141" s="271">
        <f>IF(AND(ISNUMBER(I141),ISNUMBER(J141)),I141*J141,"")</f>
        <v/>
      </c>
      <c r="L141" s="240">
        <f>IF(COUNT(F141,I141)=0,"",N(F141)-N(I141))</f>
        <v/>
      </c>
      <c r="M141" s="241">
        <f>IF(COUNT(H141,K141)=0,"",N(K141)-N(H141))</f>
        <v/>
      </c>
      <c r="N141" s="240">
        <f>IF(AND(ISNUMBER(F141),ISNUMBER(G141),F141&gt;0,1-N(Ввод!$E$17)/100&gt;0),MAX(0,(F141*G141-SUMPRODUCT((Закрытые!$B$5:$B$300=$B141)*((Закрытые!$F$5:$F$300+Закрытые!$I$5:$I$300-ABS(Закрытые!$F$5:$F$300-Закрытые!$I$5:$I$300))/2)*(Закрытые!$J$5:$J$300-Закрытые!$G$5:$G$300)))/F141)/(1-N(Ввод!$E$17)/100),IF(AND(ISNUMBER(I141),ISNUMBER(J141),I141&gt;0),MAX(0,(I141*J141+SUMPRODUCT((Закрытые!$B$5:$B$300=$B141)*((Закрытые!$F$5:$F$300+Закрытые!$I$5:$I$300-ABS(Закрытые!$F$5:$F$300-Закрытые!$I$5:$I$300))/2)*(Закрытые!$J$5:$J$300-Закрытые!$G$5:$G$300)))/I141)/(1+N(Ввод!$E$17)/100),""))</f>
        <v/>
      </c>
    </row>
    <row r="142" ht="22" customHeight="1">
      <c r="B142" s="318" t="n"/>
      <c r="C142" s="319" t="n"/>
      <c r="D142" s="318" t="n"/>
      <c r="E142" s="320" t="n"/>
      <c r="F142" s="321" t="n"/>
      <c r="G142" s="322" t="n"/>
      <c r="H142" s="271">
        <f>IF(AND(ISNUMBER(F142),ISNUMBER(G142)),F142*G142,"")</f>
        <v/>
      </c>
      <c r="I142" s="321" t="n"/>
      <c r="J142" s="322" t="n"/>
      <c r="K142" s="271">
        <f>IF(AND(ISNUMBER(I142),ISNUMBER(J142)),I142*J142,"")</f>
        <v/>
      </c>
      <c r="L142" s="246">
        <f>IF(COUNT(F142,I142)=0,"",N(F142)-N(I142))</f>
        <v/>
      </c>
      <c r="M142" s="247">
        <f>IF(COUNT(H142,K142)=0,"",N(K142)-N(H142))</f>
        <v/>
      </c>
      <c r="N142" s="246">
        <f>IF(AND(ISNUMBER(F142),ISNUMBER(G142),F142&gt;0,1-N(Ввод!$E$17)/100&gt;0),MAX(0,(F142*G142-SUMPRODUCT((Закрытые!$B$5:$B$300=$B142)*((Закрытые!$F$5:$F$300+Закрытые!$I$5:$I$300-ABS(Закрытые!$F$5:$F$300-Закрытые!$I$5:$I$300))/2)*(Закрытые!$J$5:$J$300-Закрытые!$G$5:$G$300)))/F142)/(1-N(Ввод!$E$17)/100),IF(AND(ISNUMBER(I142),ISNUMBER(J142),I142&gt;0),MAX(0,(I142*J142+SUMPRODUCT((Закрытые!$B$5:$B$300=$B142)*((Закрытые!$F$5:$F$300+Закрытые!$I$5:$I$300-ABS(Закрытые!$F$5:$F$300-Закрытые!$I$5:$I$300))/2)*(Закрытые!$J$5:$J$300-Закрытые!$G$5:$G$300)))/I142)/(1+N(Ввод!$E$17)/100),""))</f>
        <v/>
      </c>
    </row>
    <row r="143" ht="22" customHeight="1">
      <c r="B143" s="313" t="n"/>
      <c r="C143" s="314" t="n"/>
      <c r="D143" s="313" t="n"/>
      <c r="E143" s="315" t="n"/>
      <c r="F143" s="316" t="n"/>
      <c r="G143" s="317" t="n"/>
      <c r="H143" s="271">
        <f>IF(AND(ISNUMBER(F143),ISNUMBER(G143)),F143*G143,"")</f>
        <v/>
      </c>
      <c r="I143" s="316" t="n"/>
      <c r="J143" s="317" t="n"/>
      <c r="K143" s="271">
        <f>IF(AND(ISNUMBER(I143),ISNUMBER(J143)),I143*J143,"")</f>
        <v/>
      </c>
      <c r="L143" s="240">
        <f>IF(COUNT(F143,I143)=0,"",N(F143)-N(I143))</f>
        <v/>
      </c>
      <c r="M143" s="241">
        <f>IF(COUNT(H143,K143)=0,"",N(K143)-N(H143))</f>
        <v/>
      </c>
      <c r="N143" s="240">
        <f>IF(AND(ISNUMBER(F143),ISNUMBER(G143),F143&gt;0,1-N(Ввод!$E$17)/100&gt;0),MAX(0,(F143*G143-SUMPRODUCT((Закрытые!$B$5:$B$300=$B143)*((Закрытые!$F$5:$F$300+Закрытые!$I$5:$I$300-ABS(Закрытые!$F$5:$F$300-Закрытые!$I$5:$I$300))/2)*(Закрытые!$J$5:$J$300-Закрытые!$G$5:$G$300)))/F143)/(1-N(Ввод!$E$17)/100),IF(AND(ISNUMBER(I143),ISNUMBER(J143),I143&gt;0),MAX(0,(I143*J143+SUMPRODUCT((Закрытые!$B$5:$B$300=$B143)*((Закрытые!$F$5:$F$300+Закрытые!$I$5:$I$300-ABS(Закрытые!$F$5:$F$300-Закрытые!$I$5:$I$300))/2)*(Закрытые!$J$5:$J$300-Закрытые!$G$5:$G$300)))/I143)/(1+N(Ввод!$E$17)/100),""))</f>
        <v/>
      </c>
    </row>
    <row r="144" ht="22" customHeight="1">
      <c r="B144" s="318" t="n"/>
      <c r="C144" s="319" t="n"/>
      <c r="D144" s="318" t="n"/>
      <c r="E144" s="320" t="n"/>
      <c r="F144" s="321" t="n"/>
      <c r="G144" s="322" t="n"/>
      <c r="H144" s="271">
        <f>IF(AND(ISNUMBER(F144),ISNUMBER(G144)),F144*G144,"")</f>
        <v/>
      </c>
      <c r="I144" s="321" t="n"/>
      <c r="J144" s="322" t="n"/>
      <c r="K144" s="271">
        <f>IF(AND(ISNUMBER(I144),ISNUMBER(J144)),I144*J144,"")</f>
        <v/>
      </c>
      <c r="L144" s="246">
        <f>IF(COUNT(F144,I144)=0,"",N(F144)-N(I144))</f>
        <v/>
      </c>
      <c r="M144" s="247">
        <f>IF(COUNT(H144,K144)=0,"",N(K144)-N(H144))</f>
        <v/>
      </c>
      <c r="N144" s="246">
        <f>IF(AND(ISNUMBER(F144),ISNUMBER(G144),F144&gt;0,1-N(Ввод!$E$17)/100&gt;0),MAX(0,(F144*G144-SUMPRODUCT((Закрытые!$B$5:$B$300=$B144)*((Закрытые!$F$5:$F$300+Закрытые!$I$5:$I$300-ABS(Закрытые!$F$5:$F$300-Закрытые!$I$5:$I$300))/2)*(Закрытые!$J$5:$J$300-Закрытые!$G$5:$G$300)))/F144)/(1-N(Ввод!$E$17)/100),IF(AND(ISNUMBER(I144),ISNUMBER(J144),I144&gt;0),MAX(0,(I144*J144+SUMPRODUCT((Закрытые!$B$5:$B$300=$B144)*((Закрытые!$F$5:$F$300+Закрытые!$I$5:$I$300-ABS(Закрытые!$F$5:$F$300-Закрытые!$I$5:$I$300))/2)*(Закрытые!$J$5:$J$300-Закрытые!$G$5:$G$300)))/I144)/(1+N(Ввод!$E$17)/100),""))</f>
        <v/>
      </c>
    </row>
    <row r="145" ht="22" customHeight="1">
      <c r="B145" s="313" t="n"/>
      <c r="C145" s="314" t="n"/>
      <c r="D145" s="313" t="n"/>
      <c r="E145" s="315" t="n"/>
      <c r="F145" s="316" t="n"/>
      <c r="G145" s="317" t="n"/>
      <c r="H145" s="271">
        <f>IF(AND(ISNUMBER(F145),ISNUMBER(G145)),F145*G145,"")</f>
        <v/>
      </c>
      <c r="I145" s="316" t="n"/>
      <c r="J145" s="317" t="n"/>
      <c r="K145" s="271">
        <f>IF(AND(ISNUMBER(I145),ISNUMBER(J145)),I145*J145,"")</f>
        <v/>
      </c>
      <c r="L145" s="240">
        <f>IF(COUNT(F145,I145)=0,"",N(F145)-N(I145))</f>
        <v/>
      </c>
      <c r="M145" s="241">
        <f>IF(COUNT(H145,K145)=0,"",N(K145)-N(H145))</f>
        <v/>
      </c>
      <c r="N145" s="240">
        <f>IF(AND(ISNUMBER(F145),ISNUMBER(G145),F145&gt;0,1-N(Ввод!$E$17)/100&gt;0),MAX(0,(F145*G145-SUMPRODUCT((Закрытые!$B$5:$B$300=$B145)*((Закрытые!$F$5:$F$300+Закрытые!$I$5:$I$300-ABS(Закрытые!$F$5:$F$300-Закрытые!$I$5:$I$300))/2)*(Закрытые!$J$5:$J$300-Закрытые!$G$5:$G$300)))/F145)/(1-N(Ввод!$E$17)/100),IF(AND(ISNUMBER(I145),ISNUMBER(J145),I145&gt;0),MAX(0,(I145*J145+SUMPRODUCT((Закрытые!$B$5:$B$300=$B145)*((Закрытые!$F$5:$F$300+Закрытые!$I$5:$I$300-ABS(Закрытые!$F$5:$F$300-Закрытые!$I$5:$I$300))/2)*(Закрытые!$J$5:$J$300-Закрытые!$G$5:$G$300)))/I145)/(1+N(Ввод!$E$17)/100),""))</f>
        <v/>
      </c>
    </row>
    <row r="146" ht="22" customHeight="1">
      <c r="B146" s="318" t="n"/>
      <c r="C146" s="319" t="n"/>
      <c r="D146" s="318" t="n"/>
      <c r="E146" s="320" t="n"/>
      <c r="F146" s="321" t="n"/>
      <c r="G146" s="322" t="n"/>
      <c r="H146" s="271">
        <f>IF(AND(ISNUMBER(F146),ISNUMBER(G146)),F146*G146,"")</f>
        <v/>
      </c>
      <c r="I146" s="321" t="n"/>
      <c r="J146" s="322" t="n"/>
      <c r="K146" s="271">
        <f>IF(AND(ISNUMBER(I146),ISNUMBER(J146)),I146*J146,"")</f>
        <v/>
      </c>
      <c r="L146" s="246">
        <f>IF(COUNT(F146,I146)=0,"",N(F146)-N(I146))</f>
        <v/>
      </c>
      <c r="M146" s="247">
        <f>IF(COUNT(H146,K146)=0,"",N(K146)-N(H146))</f>
        <v/>
      </c>
      <c r="N146" s="246">
        <f>IF(AND(ISNUMBER(F146),ISNUMBER(G146),F146&gt;0,1-N(Ввод!$E$17)/100&gt;0),MAX(0,(F146*G146-SUMPRODUCT((Закрытые!$B$5:$B$300=$B146)*((Закрытые!$F$5:$F$300+Закрытые!$I$5:$I$300-ABS(Закрытые!$F$5:$F$300-Закрытые!$I$5:$I$300))/2)*(Закрытые!$J$5:$J$300-Закрытые!$G$5:$G$300)))/F146)/(1-N(Ввод!$E$17)/100),IF(AND(ISNUMBER(I146),ISNUMBER(J146),I146&gt;0),MAX(0,(I146*J146+SUMPRODUCT((Закрытые!$B$5:$B$300=$B146)*((Закрытые!$F$5:$F$300+Закрытые!$I$5:$I$300-ABS(Закрытые!$F$5:$F$300-Закрытые!$I$5:$I$300))/2)*(Закрытые!$J$5:$J$300-Закрытые!$G$5:$G$300)))/I146)/(1+N(Ввод!$E$17)/100),""))</f>
        <v/>
      </c>
    </row>
    <row r="147" ht="22" customHeight="1">
      <c r="B147" s="313" t="n"/>
      <c r="C147" s="314" t="n"/>
      <c r="D147" s="313" t="n"/>
      <c r="E147" s="315" t="n"/>
      <c r="F147" s="316" t="n"/>
      <c r="G147" s="317" t="n"/>
      <c r="H147" s="271">
        <f>IF(AND(ISNUMBER(F147),ISNUMBER(G147)),F147*G147,"")</f>
        <v/>
      </c>
      <c r="I147" s="316" t="n"/>
      <c r="J147" s="317" t="n"/>
      <c r="K147" s="271">
        <f>IF(AND(ISNUMBER(I147),ISNUMBER(J147)),I147*J147,"")</f>
        <v/>
      </c>
      <c r="L147" s="240">
        <f>IF(COUNT(F147,I147)=0,"",N(F147)-N(I147))</f>
        <v/>
      </c>
      <c r="M147" s="241">
        <f>IF(COUNT(H147,K147)=0,"",N(K147)-N(H147))</f>
        <v/>
      </c>
      <c r="N147" s="240">
        <f>IF(AND(ISNUMBER(F147),ISNUMBER(G147),F147&gt;0,1-N(Ввод!$E$17)/100&gt;0),MAX(0,(F147*G147-SUMPRODUCT((Закрытые!$B$5:$B$300=$B147)*((Закрытые!$F$5:$F$300+Закрытые!$I$5:$I$300-ABS(Закрытые!$F$5:$F$300-Закрытые!$I$5:$I$300))/2)*(Закрытые!$J$5:$J$300-Закрытые!$G$5:$G$300)))/F147)/(1-N(Ввод!$E$17)/100),IF(AND(ISNUMBER(I147),ISNUMBER(J147),I147&gt;0),MAX(0,(I147*J147+SUMPRODUCT((Закрытые!$B$5:$B$300=$B147)*((Закрытые!$F$5:$F$300+Закрытые!$I$5:$I$300-ABS(Закрытые!$F$5:$F$300-Закрытые!$I$5:$I$300))/2)*(Закрытые!$J$5:$J$300-Закрытые!$G$5:$G$300)))/I147)/(1+N(Ввод!$E$17)/100),""))</f>
        <v/>
      </c>
    </row>
    <row r="148" ht="22" customHeight="1">
      <c r="B148" s="318" t="n"/>
      <c r="C148" s="319" t="n"/>
      <c r="D148" s="318" t="n"/>
      <c r="E148" s="320" t="n"/>
      <c r="F148" s="321" t="n"/>
      <c r="G148" s="322" t="n"/>
      <c r="H148" s="271">
        <f>IF(AND(ISNUMBER(F148),ISNUMBER(G148)),F148*G148,"")</f>
        <v/>
      </c>
      <c r="I148" s="321" t="n"/>
      <c r="J148" s="322" t="n"/>
      <c r="K148" s="271">
        <f>IF(AND(ISNUMBER(I148),ISNUMBER(J148)),I148*J148,"")</f>
        <v/>
      </c>
      <c r="L148" s="246">
        <f>IF(COUNT(F148,I148)=0,"",N(F148)-N(I148))</f>
        <v/>
      </c>
      <c r="M148" s="247">
        <f>IF(COUNT(H148,K148)=0,"",N(K148)-N(H148))</f>
        <v/>
      </c>
      <c r="N148" s="246">
        <f>IF(AND(ISNUMBER(F148),ISNUMBER(G148),F148&gt;0,1-N(Ввод!$E$17)/100&gt;0),MAX(0,(F148*G148-SUMPRODUCT((Закрытые!$B$5:$B$300=$B148)*((Закрытые!$F$5:$F$300+Закрытые!$I$5:$I$300-ABS(Закрытые!$F$5:$F$300-Закрытые!$I$5:$I$300))/2)*(Закрытые!$J$5:$J$300-Закрытые!$G$5:$G$300)))/F148)/(1-N(Ввод!$E$17)/100),IF(AND(ISNUMBER(I148),ISNUMBER(J148),I148&gt;0),MAX(0,(I148*J148+SUMPRODUCT((Закрытые!$B$5:$B$300=$B148)*((Закрытые!$F$5:$F$300+Закрытые!$I$5:$I$300-ABS(Закрытые!$F$5:$F$300-Закрытые!$I$5:$I$300))/2)*(Закрытые!$J$5:$J$300-Закрытые!$G$5:$G$300)))/I148)/(1+N(Ввод!$E$17)/100),""))</f>
        <v/>
      </c>
    </row>
    <row r="149" ht="22" customHeight="1">
      <c r="B149" s="313" t="n"/>
      <c r="C149" s="314" t="n"/>
      <c r="D149" s="313" t="n"/>
      <c r="E149" s="315" t="n"/>
      <c r="F149" s="316" t="n"/>
      <c r="G149" s="317" t="n"/>
      <c r="H149" s="271">
        <f>IF(AND(ISNUMBER(F149),ISNUMBER(G149)),F149*G149,"")</f>
        <v/>
      </c>
      <c r="I149" s="316" t="n"/>
      <c r="J149" s="317" t="n"/>
      <c r="K149" s="271">
        <f>IF(AND(ISNUMBER(I149),ISNUMBER(J149)),I149*J149,"")</f>
        <v/>
      </c>
      <c r="L149" s="240">
        <f>IF(COUNT(F149,I149)=0,"",N(F149)-N(I149))</f>
        <v/>
      </c>
      <c r="M149" s="241">
        <f>IF(COUNT(H149,K149)=0,"",N(K149)-N(H149))</f>
        <v/>
      </c>
      <c r="N149" s="240">
        <f>IF(AND(ISNUMBER(F149),ISNUMBER(G149),F149&gt;0,1-N(Ввод!$E$17)/100&gt;0),MAX(0,(F149*G149-SUMPRODUCT((Закрытые!$B$5:$B$300=$B149)*((Закрытые!$F$5:$F$300+Закрытые!$I$5:$I$300-ABS(Закрытые!$F$5:$F$300-Закрытые!$I$5:$I$300))/2)*(Закрытые!$J$5:$J$300-Закрытые!$G$5:$G$300)))/F149)/(1-N(Ввод!$E$17)/100),IF(AND(ISNUMBER(I149),ISNUMBER(J149),I149&gt;0),MAX(0,(I149*J149+SUMPRODUCT((Закрытые!$B$5:$B$300=$B149)*((Закрытые!$F$5:$F$300+Закрытые!$I$5:$I$300-ABS(Закрытые!$F$5:$F$300-Закрытые!$I$5:$I$300))/2)*(Закрытые!$J$5:$J$300-Закрытые!$G$5:$G$300)))/I149)/(1+N(Ввод!$E$17)/100),""))</f>
        <v/>
      </c>
    </row>
    <row r="150" ht="22" customHeight="1">
      <c r="B150" s="318" t="n"/>
      <c r="C150" s="319" t="n"/>
      <c r="D150" s="318" t="n"/>
      <c r="E150" s="320" t="n"/>
      <c r="F150" s="321" t="n"/>
      <c r="G150" s="322" t="n"/>
      <c r="H150" s="271">
        <f>IF(AND(ISNUMBER(F150),ISNUMBER(G150)),F150*G150,"")</f>
        <v/>
      </c>
      <c r="I150" s="321" t="n"/>
      <c r="J150" s="322" t="n"/>
      <c r="K150" s="271">
        <f>IF(AND(ISNUMBER(I150),ISNUMBER(J150)),I150*J150,"")</f>
        <v/>
      </c>
      <c r="L150" s="246">
        <f>IF(COUNT(F150,I150)=0,"",N(F150)-N(I150))</f>
        <v/>
      </c>
      <c r="M150" s="247">
        <f>IF(COUNT(H150,K150)=0,"",N(K150)-N(H150))</f>
        <v/>
      </c>
      <c r="N150" s="246">
        <f>IF(AND(ISNUMBER(F150),ISNUMBER(G150),F150&gt;0,1-N(Ввод!$E$17)/100&gt;0),MAX(0,(F150*G150-SUMPRODUCT((Закрытые!$B$5:$B$300=$B150)*((Закрытые!$F$5:$F$300+Закрытые!$I$5:$I$300-ABS(Закрытые!$F$5:$F$300-Закрытые!$I$5:$I$300))/2)*(Закрытые!$J$5:$J$300-Закрытые!$G$5:$G$300)))/F150)/(1-N(Ввод!$E$17)/100),IF(AND(ISNUMBER(I150),ISNUMBER(J150),I150&gt;0),MAX(0,(I150*J150+SUMPRODUCT((Закрытые!$B$5:$B$300=$B150)*((Закрытые!$F$5:$F$300+Закрытые!$I$5:$I$300-ABS(Закрытые!$F$5:$F$300-Закрытые!$I$5:$I$300))/2)*(Закрытые!$J$5:$J$300-Закрытые!$G$5:$G$300)))/I150)/(1+N(Ввод!$E$17)/100),""))</f>
        <v/>
      </c>
    </row>
    <row r="151" ht="22" customHeight="1">
      <c r="B151" s="313" t="n"/>
      <c r="C151" s="314" t="n"/>
      <c r="D151" s="313" t="n"/>
      <c r="E151" s="315" t="n"/>
      <c r="F151" s="316" t="n"/>
      <c r="G151" s="317" t="n"/>
      <c r="H151" s="271">
        <f>IF(AND(ISNUMBER(F151),ISNUMBER(G151)),F151*G151,"")</f>
        <v/>
      </c>
      <c r="I151" s="316" t="n"/>
      <c r="J151" s="317" t="n"/>
      <c r="K151" s="271">
        <f>IF(AND(ISNUMBER(I151),ISNUMBER(J151)),I151*J151,"")</f>
        <v/>
      </c>
      <c r="L151" s="240">
        <f>IF(COUNT(F151,I151)=0,"",N(F151)-N(I151))</f>
        <v/>
      </c>
      <c r="M151" s="241">
        <f>IF(COUNT(H151,K151)=0,"",N(K151)-N(H151))</f>
        <v/>
      </c>
      <c r="N151" s="240">
        <f>IF(AND(ISNUMBER(F151),ISNUMBER(G151),F151&gt;0,1-N(Ввод!$E$17)/100&gt;0),MAX(0,(F151*G151-SUMPRODUCT((Закрытые!$B$5:$B$300=$B151)*((Закрытые!$F$5:$F$300+Закрытые!$I$5:$I$300-ABS(Закрытые!$F$5:$F$300-Закрытые!$I$5:$I$300))/2)*(Закрытые!$J$5:$J$300-Закрытые!$G$5:$G$300)))/F151)/(1-N(Ввод!$E$17)/100),IF(AND(ISNUMBER(I151),ISNUMBER(J151),I151&gt;0),MAX(0,(I151*J151+SUMPRODUCT((Закрытые!$B$5:$B$300=$B151)*((Закрытые!$F$5:$F$300+Закрытые!$I$5:$I$300-ABS(Закрытые!$F$5:$F$300-Закрытые!$I$5:$I$300))/2)*(Закрытые!$J$5:$J$300-Закрытые!$G$5:$G$300)))/I151)/(1+N(Ввод!$E$17)/100),""))</f>
        <v/>
      </c>
    </row>
    <row r="152" ht="22" customHeight="1">
      <c r="B152" s="318" t="n"/>
      <c r="C152" s="319" t="n"/>
      <c r="D152" s="318" t="n"/>
      <c r="E152" s="320" t="n"/>
      <c r="F152" s="321" t="n"/>
      <c r="G152" s="322" t="n"/>
      <c r="H152" s="271">
        <f>IF(AND(ISNUMBER(F152),ISNUMBER(G152)),F152*G152,"")</f>
        <v/>
      </c>
      <c r="I152" s="321" t="n"/>
      <c r="J152" s="322" t="n"/>
      <c r="K152" s="271">
        <f>IF(AND(ISNUMBER(I152),ISNUMBER(J152)),I152*J152,"")</f>
        <v/>
      </c>
      <c r="L152" s="246">
        <f>IF(COUNT(F152,I152)=0,"",N(F152)-N(I152))</f>
        <v/>
      </c>
      <c r="M152" s="247">
        <f>IF(COUNT(H152,K152)=0,"",N(K152)-N(H152))</f>
        <v/>
      </c>
      <c r="N152" s="246">
        <f>IF(AND(ISNUMBER(F152),ISNUMBER(G152),F152&gt;0,1-N(Ввод!$E$17)/100&gt;0),MAX(0,(F152*G152-SUMPRODUCT((Закрытые!$B$5:$B$300=$B152)*((Закрытые!$F$5:$F$300+Закрытые!$I$5:$I$300-ABS(Закрытые!$F$5:$F$300-Закрытые!$I$5:$I$300))/2)*(Закрытые!$J$5:$J$300-Закрытые!$G$5:$G$300)))/F152)/(1-N(Ввод!$E$17)/100),IF(AND(ISNUMBER(I152),ISNUMBER(J152),I152&gt;0),MAX(0,(I152*J152+SUMPRODUCT((Закрытые!$B$5:$B$300=$B152)*((Закрытые!$F$5:$F$300+Закрытые!$I$5:$I$300-ABS(Закрытые!$F$5:$F$300-Закрытые!$I$5:$I$300))/2)*(Закрытые!$J$5:$J$300-Закрытые!$G$5:$G$300)))/I152)/(1+N(Ввод!$E$17)/100),""))</f>
        <v/>
      </c>
    </row>
    <row r="153" ht="22" customHeight="1">
      <c r="B153" s="313" t="n"/>
      <c r="C153" s="314" t="n"/>
      <c r="D153" s="313" t="n"/>
      <c r="E153" s="315" t="n"/>
      <c r="F153" s="316" t="n"/>
      <c r="G153" s="317" t="n"/>
      <c r="H153" s="271">
        <f>IF(AND(ISNUMBER(F153),ISNUMBER(G153)),F153*G153,"")</f>
        <v/>
      </c>
      <c r="I153" s="316" t="n"/>
      <c r="J153" s="317" t="n"/>
      <c r="K153" s="271">
        <f>IF(AND(ISNUMBER(I153),ISNUMBER(J153)),I153*J153,"")</f>
        <v/>
      </c>
      <c r="L153" s="240">
        <f>IF(COUNT(F153,I153)=0,"",N(F153)-N(I153))</f>
        <v/>
      </c>
      <c r="M153" s="241">
        <f>IF(COUNT(H153,K153)=0,"",N(K153)-N(H153))</f>
        <v/>
      </c>
      <c r="N153" s="240">
        <f>IF(AND(ISNUMBER(F153),ISNUMBER(G153),F153&gt;0,1-N(Ввод!$E$17)/100&gt;0),MAX(0,(F153*G153-SUMPRODUCT((Закрытые!$B$5:$B$300=$B153)*((Закрытые!$F$5:$F$300+Закрытые!$I$5:$I$300-ABS(Закрытые!$F$5:$F$300-Закрытые!$I$5:$I$300))/2)*(Закрытые!$J$5:$J$300-Закрытые!$G$5:$G$300)))/F153)/(1-N(Ввод!$E$17)/100),IF(AND(ISNUMBER(I153),ISNUMBER(J153),I153&gt;0),MAX(0,(I153*J153+SUMPRODUCT((Закрытые!$B$5:$B$300=$B153)*((Закрытые!$F$5:$F$300+Закрытые!$I$5:$I$300-ABS(Закрытые!$F$5:$F$300-Закрытые!$I$5:$I$300))/2)*(Закрытые!$J$5:$J$300-Закрытые!$G$5:$G$300)))/I153)/(1+N(Ввод!$E$17)/100),""))</f>
        <v/>
      </c>
    </row>
    <row r="154" ht="22" customHeight="1">
      <c r="B154" s="318" t="n"/>
      <c r="C154" s="319" t="n"/>
      <c r="D154" s="318" t="n"/>
      <c r="E154" s="320" t="n"/>
      <c r="F154" s="321" t="n"/>
      <c r="G154" s="322" t="n"/>
      <c r="H154" s="271">
        <f>IF(AND(ISNUMBER(F154),ISNUMBER(G154)),F154*G154,"")</f>
        <v/>
      </c>
      <c r="I154" s="321" t="n"/>
      <c r="J154" s="322" t="n"/>
      <c r="K154" s="271">
        <f>IF(AND(ISNUMBER(I154),ISNUMBER(J154)),I154*J154,"")</f>
        <v/>
      </c>
      <c r="L154" s="246">
        <f>IF(COUNT(F154,I154)=0,"",N(F154)-N(I154))</f>
        <v/>
      </c>
      <c r="M154" s="247">
        <f>IF(COUNT(H154,K154)=0,"",N(K154)-N(H154))</f>
        <v/>
      </c>
      <c r="N154" s="246">
        <f>IF(AND(ISNUMBER(F154),ISNUMBER(G154),F154&gt;0,1-N(Ввод!$E$17)/100&gt;0),MAX(0,(F154*G154-SUMPRODUCT((Закрытые!$B$5:$B$300=$B154)*((Закрытые!$F$5:$F$300+Закрытые!$I$5:$I$300-ABS(Закрытые!$F$5:$F$300-Закрытые!$I$5:$I$300))/2)*(Закрытые!$J$5:$J$300-Закрытые!$G$5:$G$300)))/F154)/(1-N(Ввод!$E$17)/100),IF(AND(ISNUMBER(I154),ISNUMBER(J154),I154&gt;0),MAX(0,(I154*J154+SUMPRODUCT((Закрытые!$B$5:$B$300=$B154)*((Закрытые!$F$5:$F$300+Закрытые!$I$5:$I$300-ABS(Закрытые!$F$5:$F$300-Закрытые!$I$5:$I$300))/2)*(Закрытые!$J$5:$J$300-Закрытые!$G$5:$G$300)))/I154)/(1+N(Ввод!$E$17)/100),""))</f>
        <v/>
      </c>
    </row>
    <row r="155" ht="22" customHeight="1">
      <c r="B155" s="313" t="n"/>
      <c r="C155" s="314" t="n"/>
      <c r="D155" s="313" t="n"/>
      <c r="E155" s="315" t="n"/>
      <c r="F155" s="316" t="n"/>
      <c r="G155" s="317" t="n"/>
      <c r="H155" s="271">
        <f>IF(AND(ISNUMBER(F155),ISNUMBER(G155)),F155*G155,"")</f>
        <v/>
      </c>
      <c r="I155" s="316" t="n"/>
      <c r="J155" s="317" t="n"/>
      <c r="K155" s="271">
        <f>IF(AND(ISNUMBER(I155),ISNUMBER(J155)),I155*J155,"")</f>
        <v/>
      </c>
      <c r="L155" s="240">
        <f>IF(COUNT(F155,I155)=0,"",N(F155)-N(I155))</f>
        <v/>
      </c>
      <c r="M155" s="241">
        <f>IF(COUNT(H155,K155)=0,"",N(K155)-N(H155))</f>
        <v/>
      </c>
      <c r="N155" s="240">
        <f>IF(AND(ISNUMBER(F155),ISNUMBER(G155),F155&gt;0,1-N(Ввод!$E$17)/100&gt;0),MAX(0,(F155*G155-SUMPRODUCT((Закрытые!$B$5:$B$300=$B155)*((Закрытые!$F$5:$F$300+Закрытые!$I$5:$I$300-ABS(Закрытые!$F$5:$F$300-Закрытые!$I$5:$I$300))/2)*(Закрытые!$J$5:$J$300-Закрытые!$G$5:$G$300)))/F155)/(1-N(Ввод!$E$17)/100),IF(AND(ISNUMBER(I155),ISNUMBER(J155),I155&gt;0),MAX(0,(I155*J155+SUMPRODUCT((Закрытые!$B$5:$B$300=$B155)*((Закрытые!$F$5:$F$300+Закрытые!$I$5:$I$300-ABS(Закрытые!$F$5:$F$300-Закрытые!$I$5:$I$300))/2)*(Закрытые!$J$5:$J$300-Закрытые!$G$5:$G$300)))/I155)/(1+N(Ввод!$E$17)/100),""))</f>
        <v/>
      </c>
    </row>
    <row r="156" ht="22" customHeight="1">
      <c r="B156" s="318" t="n"/>
      <c r="C156" s="319" t="n"/>
      <c r="D156" s="318" t="n"/>
      <c r="E156" s="320" t="n"/>
      <c r="F156" s="321" t="n"/>
      <c r="G156" s="322" t="n"/>
      <c r="H156" s="271">
        <f>IF(AND(ISNUMBER(F156),ISNUMBER(G156)),F156*G156,"")</f>
        <v/>
      </c>
      <c r="I156" s="321" t="n"/>
      <c r="J156" s="322" t="n"/>
      <c r="K156" s="271">
        <f>IF(AND(ISNUMBER(I156),ISNUMBER(J156)),I156*J156,"")</f>
        <v/>
      </c>
      <c r="L156" s="246">
        <f>IF(COUNT(F156,I156)=0,"",N(F156)-N(I156))</f>
        <v/>
      </c>
      <c r="M156" s="247">
        <f>IF(COUNT(H156,K156)=0,"",N(K156)-N(H156))</f>
        <v/>
      </c>
      <c r="N156" s="246">
        <f>IF(AND(ISNUMBER(F156),ISNUMBER(G156),F156&gt;0,1-N(Ввод!$E$17)/100&gt;0),MAX(0,(F156*G156-SUMPRODUCT((Закрытые!$B$5:$B$300=$B156)*((Закрытые!$F$5:$F$300+Закрытые!$I$5:$I$300-ABS(Закрытые!$F$5:$F$300-Закрытые!$I$5:$I$300))/2)*(Закрытые!$J$5:$J$300-Закрытые!$G$5:$G$300)))/F156)/(1-N(Ввод!$E$17)/100),IF(AND(ISNUMBER(I156),ISNUMBER(J156),I156&gt;0),MAX(0,(I156*J156+SUMPRODUCT((Закрытые!$B$5:$B$300=$B156)*((Закрытые!$F$5:$F$300+Закрытые!$I$5:$I$300-ABS(Закрытые!$F$5:$F$300-Закрытые!$I$5:$I$300))/2)*(Закрытые!$J$5:$J$300-Закрытые!$G$5:$G$300)))/I156)/(1+N(Ввод!$E$17)/100),""))</f>
        <v/>
      </c>
    </row>
    <row r="157" ht="22" customHeight="1">
      <c r="B157" s="313" t="n"/>
      <c r="C157" s="314" t="n"/>
      <c r="D157" s="313" t="n"/>
      <c r="E157" s="315" t="n"/>
      <c r="F157" s="316" t="n"/>
      <c r="G157" s="317" t="n"/>
      <c r="H157" s="271">
        <f>IF(AND(ISNUMBER(F157),ISNUMBER(G157)),F157*G157,"")</f>
        <v/>
      </c>
      <c r="I157" s="316" t="n"/>
      <c r="J157" s="317" t="n"/>
      <c r="K157" s="271">
        <f>IF(AND(ISNUMBER(I157),ISNUMBER(J157)),I157*J157,"")</f>
        <v/>
      </c>
      <c r="L157" s="240">
        <f>IF(COUNT(F157,I157)=0,"",N(F157)-N(I157))</f>
        <v/>
      </c>
      <c r="M157" s="241">
        <f>IF(COUNT(H157,K157)=0,"",N(K157)-N(H157))</f>
        <v/>
      </c>
      <c r="N157" s="240">
        <f>IF(AND(ISNUMBER(F157),ISNUMBER(G157),F157&gt;0,1-N(Ввод!$E$17)/100&gt;0),MAX(0,(F157*G157-SUMPRODUCT((Закрытые!$B$5:$B$300=$B157)*((Закрытые!$F$5:$F$300+Закрытые!$I$5:$I$300-ABS(Закрытые!$F$5:$F$300-Закрытые!$I$5:$I$300))/2)*(Закрытые!$J$5:$J$300-Закрытые!$G$5:$G$300)))/F157)/(1-N(Ввод!$E$17)/100),IF(AND(ISNUMBER(I157),ISNUMBER(J157),I157&gt;0),MAX(0,(I157*J157+SUMPRODUCT((Закрытые!$B$5:$B$300=$B157)*((Закрытые!$F$5:$F$300+Закрытые!$I$5:$I$300-ABS(Закрытые!$F$5:$F$300-Закрытые!$I$5:$I$300))/2)*(Закрытые!$J$5:$J$300-Закрытые!$G$5:$G$300)))/I157)/(1+N(Ввод!$E$17)/100),""))</f>
        <v/>
      </c>
    </row>
    <row r="158" ht="22" customHeight="1">
      <c r="B158" s="318" t="n"/>
      <c r="C158" s="319" t="n"/>
      <c r="D158" s="318" t="n"/>
      <c r="E158" s="320" t="n"/>
      <c r="F158" s="321" t="n"/>
      <c r="G158" s="322" t="n"/>
      <c r="H158" s="271">
        <f>IF(AND(ISNUMBER(F158),ISNUMBER(G158)),F158*G158,"")</f>
        <v/>
      </c>
      <c r="I158" s="321" t="n"/>
      <c r="J158" s="322" t="n"/>
      <c r="K158" s="271">
        <f>IF(AND(ISNUMBER(I158),ISNUMBER(J158)),I158*J158,"")</f>
        <v/>
      </c>
      <c r="L158" s="246">
        <f>IF(COUNT(F158,I158)=0,"",N(F158)-N(I158))</f>
        <v/>
      </c>
      <c r="M158" s="247">
        <f>IF(COUNT(H158,K158)=0,"",N(K158)-N(H158))</f>
        <v/>
      </c>
      <c r="N158" s="246">
        <f>IF(AND(ISNUMBER(F158),ISNUMBER(G158),F158&gt;0,1-N(Ввод!$E$17)/100&gt;0),MAX(0,(F158*G158-SUMPRODUCT((Закрытые!$B$5:$B$300=$B158)*((Закрытые!$F$5:$F$300+Закрытые!$I$5:$I$300-ABS(Закрытые!$F$5:$F$300-Закрытые!$I$5:$I$300))/2)*(Закрытые!$J$5:$J$300-Закрытые!$G$5:$G$300)))/F158)/(1-N(Ввод!$E$17)/100),IF(AND(ISNUMBER(I158),ISNUMBER(J158),I158&gt;0),MAX(0,(I158*J158+SUMPRODUCT((Закрытые!$B$5:$B$300=$B158)*((Закрытые!$F$5:$F$300+Закрытые!$I$5:$I$300-ABS(Закрытые!$F$5:$F$300-Закрытые!$I$5:$I$300))/2)*(Закрытые!$J$5:$J$300-Закрытые!$G$5:$G$300)))/I158)/(1+N(Ввод!$E$17)/100),""))</f>
        <v/>
      </c>
    </row>
    <row r="159" ht="22" customHeight="1">
      <c r="B159" s="313" t="n"/>
      <c r="C159" s="314" t="n"/>
      <c r="D159" s="313" t="n"/>
      <c r="E159" s="315" t="n"/>
      <c r="F159" s="316" t="n"/>
      <c r="G159" s="317" t="n"/>
      <c r="H159" s="271">
        <f>IF(AND(ISNUMBER(F159),ISNUMBER(G159)),F159*G159,"")</f>
        <v/>
      </c>
      <c r="I159" s="316" t="n"/>
      <c r="J159" s="317" t="n"/>
      <c r="K159" s="271">
        <f>IF(AND(ISNUMBER(I159),ISNUMBER(J159)),I159*J159,"")</f>
        <v/>
      </c>
      <c r="L159" s="240">
        <f>IF(COUNT(F159,I159)=0,"",N(F159)-N(I159))</f>
        <v/>
      </c>
      <c r="M159" s="241">
        <f>IF(COUNT(H159,K159)=0,"",N(K159)-N(H159))</f>
        <v/>
      </c>
      <c r="N159" s="240">
        <f>IF(AND(ISNUMBER(F159),ISNUMBER(G159),F159&gt;0,1-N(Ввод!$E$17)/100&gt;0),MAX(0,(F159*G159-SUMPRODUCT((Закрытые!$B$5:$B$300=$B159)*((Закрытые!$F$5:$F$300+Закрытые!$I$5:$I$300-ABS(Закрытые!$F$5:$F$300-Закрытые!$I$5:$I$300))/2)*(Закрытые!$J$5:$J$300-Закрытые!$G$5:$G$300)))/F159)/(1-N(Ввод!$E$17)/100),IF(AND(ISNUMBER(I159),ISNUMBER(J159),I159&gt;0),MAX(0,(I159*J159+SUMPRODUCT((Закрытые!$B$5:$B$300=$B159)*((Закрытые!$F$5:$F$300+Закрытые!$I$5:$I$300-ABS(Закрытые!$F$5:$F$300-Закрытые!$I$5:$I$300))/2)*(Закрытые!$J$5:$J$300-Закрытые!$G$5:$G$300)))/I159)/(1+N(Ввод!$E$17)/100),""))</f>
        <v/>
      </c>
    </row>
    <row r="160" ht="22" customHeight="1">
      <c r="B160" s="318" t="n"/>
      <c r="C160" s="319" t="n"/>
      <c r="D160" s="318" t="n"/>
      <c r="E160" s="320" t="n"/>
      <c r="F160" s="321" t="n"/>
      <c r="G160" s="322" t="n"/>
      <c r="H160" s="271">
        <f>IF(AND(ISNUMBER(F160),ISNUMBER(G160)),F160*G160,"")</f>
        <v/>
      </c>
      <c r="I160" s="321" t="n"/>
      <c r="J160" s="322" t="n"/>
      <c r="K160" s="271">
        <f>IF(AND(ISNUMBER(I160),ISNUMBER(J160)),I160*J160,"")</f>
        <v/>
      </c>
      <c r="L160" s="246">
        <f>IF(COUNT(F160,I160)=0,"",N(F160)-N(I160))</f>
        <v/>
      </c>
      <c r="M160" s="247">
        <f>IF(COUNT(H160,K160)=0,"",N(K160)-N(H160))</f>
        <v/>
      </c>
      <c r="N160" s="246">
        <f>IF(AND(ISNUMBER(F160),ISNUMBER(G160),F160&gt;0,1-N(Ввод!$E$17)/100&gt;0),MAX(0,(F160*G160-SUMPRODUCT((Закрытые!$B$5:$B$300=$B160)*((Закрытые!$F$5:$F$300+Закрытые!$I$5:$I$300-ABS(Закрытые!$F$5:$F$300-Закрытые!$I$5:$I$300))/2)*(Закрытые!$J$5:$J$300-Закрытые!$G$5:$G$300)))/F160)/(1-N(Ввод!$E$17)/100),IF(AND(ISNUMBER(I160),ISNUMBER(J160),I160&gt;0),MAX(0,(I160*J160+SUMPRODUCT((Закрытые!$B$5:$B$300=$B160)*((Закрытые!$F$5:$F$300+Закрытые!$I$5:$I$300-ABS(Закрытые!$F$5:$F$300-Закрытые!$I$5:$I$300))/2)*(Закрытые!$J$5:$J$300-Закрытые!$G$5:$G$300)))/I160)/(1+N(Ввод!$E$17)/100),""))</f>
        <v/>
      </c>
    </row>
    <row r="161" ht="22" customHeight="1">
      <c r="B161" s="313" t="n"/>
      <c r="C161" s="314" t="n"/>
      <c r="D161" s="313" t="n"/>
      <c r="E161" s="315" t="n"/>
      <c r="F161" s="316" t="n"/>
      <c r="G161" s="317" t="n"/>
      <c r="H161" s="271">
        <f>IF(AND(ISNUMBER(F161),ISNUMBER(G161)),F161*G161,"")</f>
        <v/>
      </c>
      <c r="I161" s="316" t="n"/>
      <c r="J161" s="317" t="n"/>
      <c r="K161" s="271">
        <f>IF(AND(ISNUMBER(I161),ISNUMBER(J161)),I161*J161,"")</f>
        <v/>
      </c>
      <c r="L161" s="240">
        <f>IF(COUNT(F161,I161)=0,"",N(F161)-N(I161))</f>
        <v/>
      </c>
      <c r="M161" s="241">
        <f>IF(COUNT(H161,K161)=0,"",N(K161)-N(H161))</f>
        <v/>
      </c>
      <c r="N161" s="240">
        <f>IF(AND(ISNUMBER(F161),ISNUMBER(G161),F161&gt;0,1-N(Ввод!$E$17)/100&gt;0),MAX(0,(F161*G161-SUMPRODUCT((Закрытые!$B$5:$B$300=$B161)*((Закрытые!$F$5:$F$300+Закрытые!$I$5:$I$300-ABS(Закрытые!$F$5:$F$300-Закрытые!$I$5:$I$300))/2)*(Закрытые!$J$5:$J$300-Закрытые!$G$5:$G$300)))/F161)/(1-N(Ввод!$E$17)/100),IF(AND(ISNUMBER(I161),ISNUMBER(J161),I161&gt;0),MAX(0,(I161*J161+SUMPRODUCT((Закрытые!$B$5:$B$300=$B161)*((Закрытые!$F$5:$F$300+Закрытые!$I$5:$I$300-ABS(Закрытые!$F$5:$F$300-Закрытые!$I$5:$I$300))/2)*(Закрытые!$J$5:$J$300-Закрытые!$G$5:$G$300)))/I161)/(1+N(Ввод!$E$17)/100),""))</f>
        <v/>
      </c>
    </row>
    <row r="162" ht="22" customHeight="1">
      <c r="B162" s="318" t="n"/>
      <c r="C162" s="319" t="n"/>
      <c r="D162" s="318" t="n"/>
      <c r="E162" s="320" t="n"/>
      <c r="F162" s="321" t="n"/>
      <c r="G162" s="322" t="n"/>
      <c r="H162" s="271">
        <f>IF(AND(ISNUMBER(F162),ISNUMBER(G162)),F162*G162,"")</f>
        <v/>
      </c>
      <c r="I162" s="321" t="n"/>
      <c r="J162" s="322" t="n"/>
      <c r="K162" s="271">
        <f>IF(AND(ISNUMBER(I162),ISNUMBER(J162)),I162*J162,"")</f>
        <v/>
      </c>
      <c r="L162" s="246">
        <f>IF(COUNT(F162,I162)=0,"",N(F162)-N(I162))</f>
        <v/>
      </c>
      <c r="M162" s="247">
        <f>IF(COUNT(H162,K162)=0,"",N(K162)-N(H162))</f>
        <v/>
      </c>
      <c r="N162" s="246">
        <f>IF(AND(ISNUMBER(F162),ISNUMBER(G162),F162&gt;0,1-N(Ввод!$E$17)/100&gt;0),MAX(0,(F162*G162-SUMPRODUCT((Закрытые!$B$5:$B$300=$B162)*((Закрытые!$F$5:$F$300+Закрытые!$I$5:$I$300-ABS(Закрытые!$F$5:$F$300-Закрытые!$I$5:$I$300))/2)*(Закрытые!$J$5:$J$300-Закрытые!$G$5:$G$300)))/F162)/(1-N(Ввод!$E$17)/100),IF(AND(ISNUMBER(I162),ISNUMBER(J162),I162&gt;0),MAX(0,(I162*J162+SUMPRODUCT((Закрытые!$B$5:$B$300=$B162)*((Закрытые!$F$5:$F$300+Закрытые!$I$5:$I$300-ABS(Закрытые!$F$5:$F$300-Закрытые!$I$5:$I$300))/2)*(Закрытые!$J$5:$J$300-Закрытые!$G$5:$G$300)))/I162)/(1+N(Ввод!$E$17)/100),""))</f>
        <v/>
      </c>
    </row>
    <row r="163" ht="22" customHeight="1">
      <c r="B163" s="313" t="n"/>
      <c r="C163" s="314" t="n"/>
      <c r="D163" s="313" t="n"/>
      <c r="E163" s="315" t="n"/>
      <c r="F163" s="316" t="n"/>
      <c r="G163" s="317" t="n"/>
      <c r="H163" s="271">
        <f>IF(AND(ISNUMBER(F163),ISNUMBER(G163)),F163*G163,"")</f>
        <v/>
      </c>
      <c r="I163" s="316" t="n"/>
      <c r="J163" s="317" t="n"/>
      <c r="K163" s="271">
        <f>IF(AND(ISNUMBER(I163),ISNUMBER(J163)),I163*J163,"")</f>
        <v/>
      </c>
      <c r="L163" s="240">
        <f>IF(COUNT(F163,I163)=0,"",N(F163)-N(I163))</f>
        <v/>
      </c>
      <c r="M163" s="241">
        <f>IF(COUNT(H163,K163)=0,"",N(K163)-N(H163))</f>
        <v/>
      </c>
      <c r="N163" s="240">
        <f>IF(AND(ISNUMBER(F163),ISNUMBER(G163),F163&gt;0,1-N(Ввод!$E$17)/100&gt;0),MAX(0,(F163*G163-SUMPRODUCT((Закрытые!$B$5:$B$300=$B163)*((Закрытые!$F$5:$F$300+Закрытые!$I$5:$I$300-ABS(Закрытые!$F$5:$F$300-Закрытые!$I$5:$I$300))/2)*(Закрытые!$J$5:$J$300-Закрытые!$G$5:$G$300)))/F163)/(1-N(Ввод!$E$17)/100),IF(AND(ISNUMBER(I163),ISNUMBER(J163),I163&gt;0),MAX(0,(I163*J163+SUMPRODUCT((Закрытые!$B$5:$B$300=$B163)*((Закрытые!$F$5:$F$300+Закрытые!$I$5:$I$300-ABS(Закрытые!$F$5:$F$300-Закрытые!$I$5:$I$300))/2)*(Закрытые!$J$5:$J$300-Закрытые!$G$5:$G$300)))/I163)/(1+N(Ввод!$E$17)/100),""))</f>
        <v/>
      </c>
    </row>
    <row r="164" ht="22" customHeight="1">
      <c r="B164" s="318" t="n"/>
      <c r="C164" s="319" t="n"/>
      <c r="D164" s="318" t="n"/>
      <c r="E164" s="320" t="n"/>
      <c r="F164" s="321" t="n"/>
      <c r="G164" s="322" t="n"/>
      <c r="H164" s="271">
        <f>IF(AND(ISNUMBER(F164),ISNUMBER(G164)),F164*G164,"")</f>
        <v/>
      </c>
      <c r="I164" s="321" t="n"/>
      <c r="J164" s="322" t="n"/>
      <c r="K164" s="271">
        <f>IF(AND(ISNUMBER(I164),ISNUMBER(J164)),I164*J164,"")</f>
        <v/>
      </c>
      <c r="L164" s="246">
        <f>IF(COUNT(F164,I164)=0,"",N(F164)-N(I164))</f>
        <v/>
      </c>
      <c r="M164" s="247">
        <f>IF(COUNT(H164,K164)=0,"",N(K164)-N(H164))</f>
        <v/>
      </c>
      <c r="N164" s="246">
        <f>IF(AND(ISNUMBER(F164),ISNUMBER(G164),F164&gt;0,1-N(Ввод!$E$17)/100&gt;0),MAX(0,(F164*G164-SUMPRODUCT((Закрытые!$B$5:$B$300=$B164)*((Закрытые!$F$5:$F$300+Закрытые!$I$5:$I$300-ABS(Закрытые!$F$5:$F$300-Закрытые!$I$5:$I$300))/2)*(Закрытые!$J$5:$J$300-Закрытые!$G$5:$G$300)))/F164)/(1-N(Ввод!$E$17)/100),IF(AND(ISNUMBER(I164),ISNUMBER(J164),I164&gt;0),MAX(0,(I164*J164+SUMPRODUCT((Закрытые!$B$5:$B$300=$B164)*((Закрытые!$F$5:$F$300+Закрытые!$I$5:$I$300-ABS(Закрытые!$F$5:$F$300-Закрытые!$I$5:$I$300))/2)*(Закрытые!$J$5:$J$300-Закрытые!$G$5:$G$300)))/I164)/(1+N(Ввод!$E$17)/100),""))</f>
        <v/>
      </c>
    </row>
    <row r="165" ht="22" customHeight="1">
      <c r="B165" s="313" t="n"/>
      <c r="C165" s="314" t="n"/>
      <c r="D165" s="313" t="n"/>
      <c r="E165" s="315" t="n"/>
      <c r="F165" s="316" t="n"/>
      <c r="G165" s="317" t="n"/>
      <c r="H165" s="271">
        <f>IF(AND(ISNUMBER(F165),ISNUMBER(G165)),F165*G165,"")</f>
        <v/>
      </c>
      <c r="I165" s="316" t="n"/>
      <c r="J165" s="317" t="n"/>
      <c r="K165" s="271">
        <f>IF(AND(ISNUMBER(I165),ISNUMBER(J165)),I165*J165,"")</f>
        <v/>
      </c>
      <c r="L165" s="240">
        <f>IF(COUNT(F165,I165)=0,"",N(F165)-N(I165))</f>
        <v/>
      </c>
      <c r="M165" s="241">
        <f>IF(COUNT(H165,K165)=0,"",N(K165)-N(H165))</f>
        <v/>
      </c>
      <c r="N165" s="240">
        <f>IF(AND(ISNUMBER(F165),ISNUMBER(G165),F165&gt;0,1-N(Ввод!$E$17)/100&gt;0),MAX(0,(F165*G165-SUMPRODUCT((Закрытые!$B$5:$B$300=$B165)*((Закрытые!$F$5:$F$300+Закрытые!$I$5:$I$300-ABS(Закрытые!$F$5:$F$300-Закрытые!$I$5:$I$300))/2)*(Закрытые!$J$5:$J$300-Закрытые!$G$5:$G$300)))/F165)/(1-N(Ввод!$E$17)/100),IF(AND(ISNUMBER(I165),ISNUMBER(J165),I165&gt;0),MAX(0,(I165*J165+SUMPRODUCT((Закрытые!$B$5:$B$300=$B165)*((Закрытые!$F$5:$F$300+Закрытые!$I$5:$I$300-ABS(Закрытые!$F$5:$F$300-Закрытые!$I$5:$I$300))/2)*(Закрытые!$J$5:$J$300-Закрытые!$G$5:$G$300)))/I165)/(1+N(Ввод!$E$17)/100),""))</f>
        <v/>
      </c>
    </row>
    <row r="166" ht="22" customHeight="1">
      <c r="B166" s="318" t="n"/>
      <c r="C166" s="319" t="n"/>
      <c r="D166" s="318" t="n"/>
      <c r="E166" s="320" t="n"/>
      <c r="F166" s="321" t="n"/>
      <c r="G166" s="322" t="n"/>
      <c r="H166" s="271">
        <f>IF(AND(ISNUMBER(F166),ISNUMBER(G166)),F166*G166,"")</f>
        <v/>
      </c>
      <c r="I166" s="321" t="n"/>
      <c r="J166" s="322" t="n"/>
      <c r="K166" s="271">
        <f>IF(AND(ISNUMBER(I166),ISNUMBER(J166)),I166*J166,"")</f>
        <v/>
      </c>
      <c r="L166" s="246">
        <f>IF(COUNT(F166,I166)=0,"",N(F166)-N(I166))</f>
        <v/>
      </c>
      <c r="M166" s="247">
        <f>IF(COUNT(H166,K166)=0,"",N(K166)-N(H166))</f>
        <v/>
      </c>
      <c r="N166" s="246">
        <f>IF(AND(ISNUMBER(F166),ISNUMBER(G166),F166&gt;0,1-N(Ввод!$E$17)/100&gt;0),MAX(0,(F166*G166-SUMPRODUCT((Закрытые!$B$5:$B$300=$B166)*((Закрытые!$F$5:$F$300+Закрытые!$I$5:$I$300-ABS(Закрытые!$F$5:$F$300-Закрытые!$I$5:$I$300))/2)*(Закрытые!$J$5:$J$300-Закрытые!$G$5:$G$300)))/F166)/(1-N(Ввод!$E$17)/100),IF(AND(ISNUMBER(I166),ISNUMBER(J166),I166&gt;0),MAX(0,(I166*J166+SUMPRODUCT((Закрытые!$B$5:$B$300=$B166)*((Закрытые!$F$5:$F$300+Закрытые!$I$5:$I$300-ABS(Закрытые!$F$5:$F$300-Закрытые!$I$5:$I$300))/2)*(Закрытые!$J$5:$J$300-Закрытые!$G$5:$G$300)))/I166)/(1+N(Ввод!$E$17)/100),""))</f>
        <v/>
      </c>
    </row>
    <row r="167" ht="22" customHeight="1">
      <c r="B167" s="313" t="n"/>
      <c r="C167" s="314" t="n"/>
      <c r="D167" s="313" t="n"/>
      <c r="E167" s="315" t="n"/>
      <c r="F167" s="316" t="n"/>
      <c r="G167" s="317" t="n"/>
      <c r="H167" s="271">
        <f>IF(AND(ISNUMBER(F167),ISNUMBER(G167)),F167*G167,"")</f>
        <v/>
      </c>
      <c r="I167" s="316" t="n"/>
      <c r="J167" s="317" t="n"/>
      <c r="K167" s="271">
        <f>IF(AND(ISNUMBER(I167),ISNUMBER(J167)),I167*J167,"")</f>
        <v/>
      </c>
      <c r="L167" s="240">
        <f>IF(COUNT(F167,I167)=0,"",N(F167)-N(I167))</f>
        <v/>
      </c>
      <c r="M167" s="241">
        <f>IF(COUNT(H167,K167)=0,"",N(K167)-N(H167))</f>
        <v/>
      </c>
      <c r="N167" s="240">
        <f>IF(AND(ISNUMBER(F167),ISNUMBER(G167),F167&gt;0,1-N(Ввод!$E$17)/100&gt;0),MAX(0,(F167*G167-SUMPRODUCT((Закрытые!$B$5:$B$300=$B167)*((Закрытые!$F$5:$F$300+Закрытые!$I$5:$I$300-ABS(Закрытые!$F$5:$F$300-Закрытые!$I$5:$I$300))/2)*(Закрытые!$J$5:$J$300-Закрытые!$G$5:$G$300)))/F167)/(1-N(Ввод!$E$17)/100),IF(AND(ISNUMBER(I167),ISNUMBER(J167),I167&gt;0),MAX(0,(I167*J167+SUMPRODUCT((Закрытые!$B$5:$B$300=$B167)*((Закрытые!$F$5:$F$300+Закрытые!$I$5:$I$300-ABS(Закрытые!$F$5:$F$300-Закрытые!$I$5:$I$300))/2)*(Закрытые!$J$5:$J$300-Закрытые!$G$5:$G$300)))/I167)/(1+N(Ввод!$E$17)/100),""))</f>
        <v/>
      </c>
    </row>
    <row r="168" ht="22" customHeight="1">
      <c r="B168" s="318" t="n"/>
      <c r="C168" s="319" t="n"/>
      <c r="D168" s="318" t="n"/>
      <c r="E168" s="320" t="n"/>
      <c r="F168" s="321" t="n"/>
      <c r="G168" s="322" t="n"/>
      <c r="H168" s="271">
        <f>IF(AND(ISNUMBER(F168),ISNUMBER(G168)),F168*G168,"")</f>
        <v/>
      </c>
      <c r="I168" s="321" t="n"/>
      <c r="J168" s="322" t="n"/>
      <c r="K168" s="271">
        <f>IF(AND(ISNUMBER(I168),ISNUMBER(J168)),I168*J168,"")</f>
        <v/>
      </c>
      <c r="L168" s="246">
        <f>IF(COUNT(F168,I168)=0,"",N(F168)-N(I168))</f>
        <v/>
      </c>
      <c r="M168" s="247">
        <f>IF(COUNT(H168,K168)=0,"",N(K168)-N(H168))</f>
        <v/>
      </c>
      <c r="N168" s="246">
        <f>IF(AND(ISNUMBER(F168),ISNUMBER(G168),F168&gt;0,1-N(Ввод!$E$17)/100&gt;0),MAX(0,(F168*G168-SUMPRODUCT((Закрытые!$B$5:$B$300=$B168)*((Закрытые!$F$5:$F$300+Закрытые!$I$5:$I$300-ABS(Закрытые!$F$5:$F$300-Закрытые!$I$5:$I$300))/2)*(Закрытые!$J$5:$J$300-Закрытые!$G$5:$G$300)))/F168)/(1-N(Ввод!$E$17)/100),IF(AND(ISNUMBER(I168),ISNUMBER(J168),I168&gt;0),MAX(0,(I168*J168+SUMPRODUCT((Закрытые!$B$5:$B$300=$B168)*((Закрытые!$F$5:$F$300+Закрытые!$I$5:$I$300-ABS(Закрытые!$F$5:$F$300-Закрытые!$I$5:$I$300))/2)*(Закрытые!$J$5:$J$300-Закрытые!$G$5:$G$300)))/I168)/(1+N(Ввод!$E$17)/100),""))</f>
        <v/>
      </c>
    </row>
    <row r="169" ht="22" customHeight="1">
      <c r="B169" s="313" t="n"/>
      <c r="C169" s="314" t="n"/>
      <c r="D169" s="313" t="n"/>
      <c r="E169" s="315" t="n"/>
      <c r="F169" s="316" t="n"/>
      <c r="G169" s="317" t="n"/>
      <c r="H169" s="271">
        <f>IF(AND(ISNUMBER(F169),ISNUMBER(G169)),F169*G169,"")</f>
        <v/>
      </c>
      <c r="I169" s="316" t="n"/>
      <c r="J169" s="317" t="n"/>
      <c r="K169" s="271">
        <f>IF(AND(ISNUMBER(I169),ISNUMBER(J169)),I169*J169,"")</f>
        <v/>
      </c>
      <c r="L169" s="240">
        <f>IF(COUNT(F169,I169)=0,"",N(F169)-N(I169))</f>
        <v/>
      </c>
      <c r="M169" s="241">
        <f>IF(COUNT(H169,K169)=0,"",N(K169)-N(H169))</f>
        <v/>
      </c>
      <c r="N169" s="240">
        <f>IF(AND(ISNUMBER(F169),ISNUMBER(G169),F169&gt;0,1-N(Ввод!$E$17)/100&gt;0),MAX(0,(F169*G169-SUMPRODUCT((Закрытые!$B$5:$B$300=$B169)*((Закрытые!$F$5:$F$300+Закрытые!$I$5:$I$300-ABS(Закрытые!$F$5:$F$300-Закрытые!$I$5:$I$300))/2)*(Закрытые!$J$5:$J$300-Закрытые!$G$5:$G$300)))/F169)/(1-N(Ввод!$E$17)/100),IF(AND(ISNUMBER(I169),ISNUMBER(J169),I169&gt;0),MAX(0,(I169*J169+SUMPRODUCT((Закрытые!$B$5:$B$300=$B169)*((Закрытые!$F$5:$F$300+Закрытые!$I$5:$I$300-ABS(Закрытые!$F$5:$F$300-Закрытые!$I$5:$I$300))/2)*(Закрытые!$J$5:$J$300-Закрытые!$G$5:$G$300)))/I169)/(1+N(Ввод!$E$17)/100),""))</f>
        <v/>
      </c>
    </row>
    <row r="170" ht="22" customHeight="1">
      <c r="B170" s="318" t="n"/>
      <c r="C170" s="319" t="n"/>
      <c r="D170" s="318" t="n"/>
      <c r="E170" s="320" t="n"/>
      <c r="F170" s="321" t="n"/>
      <c r="G170" s="322" t="n"/>
      <c r="H170" s="271">
        <f>IF(AND(ISNUMBER(F170),ISNUMBER(G170)),F170*G170,"")</f>
        <v/>
      </c>
      <c r="I170" s="321" t="n"/>
      <c r="J170" s="322" t="n"/>
      <c r="K170" s="271">
        <f>IF(AND(ISNUMBER(I170),ISNUMBER(J170)),I170*J170,"")</f>
        <v/>
      </c>
      <c r="L170" s="246">
        <f>IF(COUNT(F170,I170)=0,"",N(F170)-N(I170))</f>
        <v/>
      </c>
      <c r="M170" s="247">
        <f>IF(COUNT(H170,K170)=0,"",N(K170)-N(H170))</f>
        <v/>
      </c>
      <c r="N170" s="246">
        <f>IF(AND(ISNUMBER(F170),ISNUMBER(G170),F170&gt;0,1-N(Ввод!$E$17)/100&gt;0),MAX(0,(F170*G170-SUMPRODUCT((Закрытые!$B$5:$B$300=$B170)*((Закрытые!$F$5:$F$300+Закрытые!$I$5:$I$300-ABS(Закрытые!$F$5:$F$300-Закрытые!$I$5:$I$300))/2)*(Закрытые!$J$5:$J$300-Закрытые!$G$5:$G$300)))/F170)/(1-N(Ввод!$E$17)/100),IF(AND(ISNUMBER(I170),ISNUMBER(J170),I170&gt;0),MAX(0,(I170*J170+SUMPRODUCT((Закрытые!$B$5:$B$300=$B170)*((Закрытые!$F$5:$F$300+Закрытые!$I$5:$I$300-ABS(Закрытые!$F$5:$F$300-Закрытые!$I$5:$I$300))/2)*(Закрытые!$J$5:$J$300-Закрытые!$G$5:$G$300)))/I170)/(1+N(Ввод!$E$17)/100),""))</f>
        <v/>
      </c>
    </row>
    <row r="171" ht="22" customHeight="1">
      <c r="B171" s="313" t="n"/>
      <c r="C171" s="314" t="n"/>
      <c r="D171" s="313" t="n"/>
      <c r="E171" s="315" t="n"/>
      <c r="F171" s="316" t="n"/>
      <c r="G171" s="317" t="n"/>
      <c r="H171" s="271">
        <f>IF(AND(ISNUMBER(F171),ISNUMBER(G171)),F171*G171,"")</f>
        <v/>
      </c>
      <c r="I171" s="316" t="n"/>
      <c r="J171" s="317" t="n"/>
      <c r="K171" s="271">
        <f>IF(AND(ISNUMBER(I171),ISNUMBER(J171)),I171*J171,"")</f>
        <v/>
      </c>
      <c r="L171" s="240">
        <f>IF(COUNT(F171,I171)=0,"",N(F171)-N(I171))</f>
        <v/>
      </c>
      <c r="M171" s="241">
        <f>IF(COUNT(H171,K171)=0,"",N(K171)-N(H171))</f>
        <v/>
      </c>
      <c r="N171" s="240">
        <f>IF(AND(ISNUMBER(F171),ISNUMBER(G171),F171&gt;0,1-N(Ввод!$E$17)/100&gt;0),MAX(0,(F171*G171-SUMPRODUCT((Закрытые!$B$5:$B$300=$B171)*((Закрытые!$F$5:$F$300+Закрытые!$I$5:$I$300-ABS(Закрытые!$F$5:$F$300-Закрытые!$I$5:$I$300))/2)*(Закрытые!$J$5:$J$300-Закрытые!$G$5:$G$300)))/F171)/(1-N(Ввод!$E$17)/100),IF(AND(ISNUMBER(I171),ISNUMBER(J171),I171&gt;0),MAX(0,(I171*J171+SUMPRODUCT((Закрытые!$B$5:$B$300=$B171)*((Закрытые!$F$5:$F$300+Закрытые!$I$5:$I$300-ABS(Закрытые!$F$5:$F$300-Закрытые!$I$5:$I$300))/2)*(Закрытые!$J$5:$J$300-Закрытые!$G$5:$G$300)))/I171)/(1+N(Ввод!$E$17)/100),""))</f>
        <v/>
      </c>
    </row>
    <row r="172" ht="22" customHeight="1">
      <c r="B172" s="318" t="n"/>
      <c r="C172" s="319" t="n"/>
      <c r="D172" s="318" t="n"/>
      <c r="E172" s="320" t="n"/>
      <c r="F172" s="321" t="n"/>
      <c r="G172" s="322" t="n"/>
      <c r="H172" s="271">
        <f>IF(AND(ISNUMBER(F172),ISNUMBER(G172)),F172*G172,"")</f>
        <v/>
      </c>
      <c r="I172" s="321" t="n"/>
      <c r="J172" s="322" t="n"/>
      <c r="K172" s="271">
        <f>IF(AND(ISNUMBER(I172),ISNUMBER(J172)),I172*J172,"")</f>
        <v/>
      </c>
      <c r="L172" s="246">
        <f>IF(COUNT(F172,I172)=0,"",N(F172)-N(I172))</f>
        <v/>
      </c>
      <c r="M172" s="247">
        <f>IF(COUNT(H172,K172)=0,"",N(K172)-N(H172))</f>
        <v/>
      </c>
      <c r="N172" s="246">
        <f>IF(AND(ISNUMBER(F172),ISNUMBER(G172),F172&gt;0,1-N(Ввод!$E$17)/100&gt;0),MAX(0,(F172*G172-SUMPRODUCT((Закрытые!$B$5:$B$300=$B172)*((Закрытые!$F$5:$F$300+Закрытые!$I$5:$I$300-ABS(Закрытые!$F$5:$F$300-Закрытые!$I$5:$I$300))/2)*(Закрытые!$J$5:$J$300-Закрытые!$G$5:$G$300)))/F172)/(1-N(Ввод!$E$17)/100),IF(AND(ISNUMBER(I172),ISNUMBER(J172),I172&gt;0),MAX(0,(I172*J172+SUMPRODUCT((Закрытые!$B$5:$B$300=$B172)*((Закрытые!$F$5:$F$300+Закрытые!$I$5:$I$300-ABS(Закрытые!$F$5:$F$300-Закрытые!$I$5:$I$300))/2)*(Закрытые!$J$5:$J$300-Закрытые!$G$5:$G$300)))/I172)/(1+N(Ввод!$E$17)/100),""))</f>
        <v/>
      </c>
    </row>
    <row r="173" ht="22" customHeight="1">
      <c r="B173" s="313" t="n"/>
      <c r="C173" s="314" t="n"/>
      <c r="D173" s="313" t="n"/>
      <c r="E173" s="315" t="n"/>
      <c r="F173" s="316" t="n"/>
      <c r="G173" s="317" t="n"/>
      <c r="H173" s="271">
        <f>IF(AND(ISNUMBER(F173),ISNUMBER(G173)),F173*G173,"")</f>
        <v/>
      </c>
      <c r="I173" s="316" t="n"/>
      <c r="J173" s="317" t="n"/>
      <c r="K173" s="271">
        <f>IF(AND(ISNUMBER(I173),ISNUMBER(J173)),I173*J173,"")</f>
        <v/>
      </c>
      <c r="L173" s="240">
        <f>IF(COUNT(F173,I173)=0,"",N(F173)-N(I173))</f>
        <v/>
      </c>
      <c r="M173" s="241">
        <f>IF(COUNT(H173,K173)=0,"",N(K173)-N(H173))</f>
        <v/>
      </c>
      <c r="N173" s="240">
        <f>IF(AND(ISNUMBER(F173),ISNUMBER(G173),F173&gt;0,1-N(Ввод!$E$17)/100&gt;0),MAX(0,(F173*G173-SUMPRODUCT((Закрытые!$B$5:$B$300=$B173)*((Закрытые!$F$5:$F$300+Закрытые!$I$5:$I$300-ABS(Закрытые!$F$5:$F$300-Закрытые!$I$5:$I$300))/2)*(Закрытые!$J$5:$J$300-Закрытые!$G$5:$G$300)))/F173)/(1-N(Ввод!$E$17)/100),IF(AND(ISNUMBER(I173),ISNUMBER(J173),I173&gt;0),MAX(0,(I173*J173+SUMPRODUCT((Закрытые!$B$5:$B$300=$B173)*((Закрытые!$F$5:$F$300+Закрытые!$I$5:$I$300-ABS(Закрытые!$F$5:$F$300-Закрытые!$I$5:$I$300))/2)*(Закрытые!$J$5:$J$300-Закрытые!$G$5:$G$300)))/I173)/(1+N(Ввод!$E$17)/100),""))</f>
        <v/>
      </c>
    </row>
    <row r="174" ht="22" customHeight="1">
      <c r="B174" s="318" t="n"/>
      <c r="C174" s="319" t="n"/>
      <c r="D174" s="318" t="n"/>
      <c r="E174" s="320" t="n"/>
      <c r="F174" s="321" t="n"/>
      <c r="G174" s="322" t="n"/>
      <c r="H174" s="271">
        <f>IF(AND(ISNUMBER(F174),ISNUMBER(G174)),F174*G174,"")</f>
        <v/>
      </c>
      <c r="I174" s="321" t="n"/>
      <c r="J174" s="322" t="n"/>
      <c r="K174" s="271">
        <f>IF(AND(ISNUMBER(I174),ISNUMBER(J174)),I174*J174,"")</f>
        <v/>
      </c>
      <c r="L174" s="246">
        <f>IF(COUNT(F174,I174)=0,"",N(F174)-N(I174))</f>
        <v/>
      </c>
      <c r="M174" s="247">
        <f>IF(COUNT(H174,K174)=0,"",N(K174)-N(H174))</f>
        <v/>
      </c>
      <c r="N174" s="246">
        <f>IF(AND(ISNUMBER(F174),ISNUMBER(G174),F174&gt;0,1-N(Ввод!$E$17)/100&gt;0),MAX(0,(F174*G174-SUMPRODUCT((Закрытые!$B$5:$B$300=$B174)*((Закрытые!$F$5:$F$300+Закрытые!$I$5:$I$300-ABS(Закрытые!$F$5:$F$300-Закрытые!$I$5:$I$300))/2)*(Закрытые!$J$5:$J$300-Закрытые!$G$5:$G$300)))/F174)/(1-N(Ввод!$E$17)/100),IF(AND(ISNUMBER(I174),ISNUMBER(J174),I174&gt;0),MAX(0,(I174*J174+SUMPRODUCT((Закрытые!$B$5:$B$300=$B174)*((Закрытые!$F$5:$F$300+Закрытые!$I$5:$I$300-ABS(Закрытые!$F$5:$F$300-Закрытые!$I$5:$I$300))/2)*(Закрытые!$J$5:$J$300-Закрытые!$G$5:$G$300)))/I174)/(1+N(Ввод!$E$17)/100),""))</f>
        <v/>
      </c>
    </row>
    <row r="175" ht="22" customHeight="1">
      <c r="B175" s="313" t="n"/>
      <c r="C175" s="314" t="n"/>
      <c r="D175" s="313" t="n"/>
      <c r="E175" s="315" t="n"/>
      <c r="F175" s="316" t="n"/>
      <c r="G175" s="317" t="n"/>
      <c r="H175" s="271">
        <f>IF(AND(ISNUMBER(F175),ISNUMBER(G175)),F175*G175,"")</f>
        <v/>
      </c>
      <c r="I175" s="316" t="n"/>
      <c r="J175" s="317" t="n"/>
      <c r="K175" s="271">
        <f>IF(AND(ISNUMBER(I175),ISNUMBER(J175)),I175*J175,"")</f>
        <v/>
      </c>
      <c r="L175" s="240">
        <f>IF(COUNT(F175,I175)=0,"",N(F175)-N(I175))</f>
        <v/>
      </c>
      <c r="M175" s="241">
        <f>IF(COUNT(H175,K175)=0,"",N(K175)-N(H175))</f>
        <v/>
      </c>
      <c r="N175" s="240">
        <f>IF(AND(ISNUMBER(F175),ISNUMBER(G175),F175&gt;0,1-N(Ввод!$E$17)/100&gt;0),MAX(0,(F175*G175-SUMPRODUCT((Закрытые!$B$5:$B$300=$B175)*((Закрытые!$F$5:$F$300+Закрытые!$I$5:$I$300-ABS(Закрытые!$F$5:$F$300-Закрытые!$I$5:$I$300))/2)*(Закрытые!$J$5:$J$300-Закрытые!$G$5:$G$300)))/F175)/(1-N(Ввод!$E$17)/100),IF(AND(ISNUMBER(I175),ISNUMBER(J175),I175&gt;0),MAX(0,(I175*J175+SUMPRODUCT((Закрытые!$B$5:$B$300=$B175)*((Закрытые!$F$5:$F$300+Закрытые!$I$5:$I$300-ABS(Закрытые!$F$5:$F$300-Закрытые!$I$5:$I$300))/2)*(Закрытые!$J$5:$J$300-Закрытые!$G$5:$G$300)))/I175)/(1+N(Ввод!$E$17)/100),""))</f>
        <v/>
      </c>
    </row>
    <row r="176" ht="22" customHeight="1">
      <c r="B176" s="318" t="n"/>
      <c r="C176" s="319" t="n"/>
      <c r="D176" s="318" t="n"/>
      <c r="E176" s="320" t="n"/>
      <c r="F176" s="321" t="n"/>
      <c r="G176" s="322" t="n"/>
      <c r="H176" s="271">
        <f>IF(AND(ISNUMBER(F176),ISNUMBER(G176)),F176*G176,"")</f>
        <v/>
      </c>
      <c r="I176" s="321" t="n"/>
      <c r="J176" s="322" t="n"/>
      <c r="K176" s="271">
        <f>IF(AND(ISNUMBER(I176),ISNUMBER(J176)),I176*J176,"")</f>
        <v/>
      </c>
      <c r="L176" s="246">
        <f>IF(COUNT(F176,I176)=0,"",N(F176)-N(I176))</f>
        <v/>
      </c>
      <c r="M176" s="247">
        <f>IF(COUNT(H176,K176)=0,"",N(K176)-N(H176))</f>
        <v/>
      </c>
      <c r="N176" s="246">
        <f>IF(AND(ISNUMBER(F176),ISNUMBER(G176),F176&gt;0,1-N(Ввод!$E$17)/100&gt;0),MAX(0,(F176*G176-SUMPRODUCT((Закрытые!$B$5:$B$300=$B176)*((Закрытые!$F$5:$F$300+Закрытые!$I$5:$I$300-ABS(Закрытые!$F$5:$F$300-Закрытые!$I$5:$I$300))/2)*(Закрытые!$J$5:$J$300-Закрытые!$G$5:$G$300)))/F176)/(1-N(Ввод!$E$17)/100),IF(AND(ISNUMBER(I176),ISNUMBER(J176),I176&gt;0),MAX(0,(I176*J176+SUMPRODUCT((Закрытые!$B$5:$B$300=$B176)*((Закрытые!$F$5:$F$300+Закрытые!$I$5:$I$300-ABS(Закрытые!$F$5:$F$300-Закрытые!$I$5:$I$300))/2)*(Закрытые!$J$5:$J$300-Закрытые!$G$5:$G$300)))/I176)/(1+N(Ввод!$E$17)/100),""))</f>
        <v/>
      </c>
    </row>
    <row r="177" ht="22" customHeight="1">
      <c r="B177" s="313" t="n"/>
      <c r="C177" s="314" t="n"/>
      <c r="D177" s="313" t="n"/>
      <c r="E177" s="315" t="n"/>
      <c r="F177" s="316" t="n"/>
      <c r="G177" s="317" t="n"/>
      <c r="H177" s="271">
        <f>IF(AND(ISNUMBER(F177),ISNUMBER(G177)),F177*G177,"")</f>
        <v/>
      </c>
      <c r="I177" s="316" t="n"/>
      <c r="J177" s="317" t="n"/>
      <c r="K177" s="271">
        <f>IF(AND(ISNUMBER(I177),ISNUMBER(J177)),I177*J177,"")</f>
        <v/>
      </c>
      <c r="L177" s="240">
        <f>IF(COUNT(F177,I177)=0,"",N(F177)-N(I177))</f>
        <v/>
      </c>
      <c r="M177" s="241">
        <f>IF(COUNT(H177,K177)=0,"",N(K177)-N(H177))</f>
        <v/>
      </c>
      <c r="N177" s="240">
        <f>IF(AND(ISNUMBER(F177),ISNUMBER(G177),F177&gt;0,1-N(Ввод!$E$17)/100&gt;0),MAX(0,(F177*G177-SUMPRODUCT((Закрытые!$B$5:$B$300=$B177)*((Закрытые!$F$5:$F$300+Закрытые!$I$5:$I$300-ABS(Закрытые!$F$5:$F$300-Закрытые!$I$5:$I$300))/2)*(Закрытые!$J$5:$J$300-Закрытые!$G$5:$G$300)))/F177)/(1-N(Ввод!$E$17)/100),IF(AND(ISNUMBER(I177),ISNUMBER(J177),I177&gt;0),MAX(0,(I177*J177+SUMPRODUCT((Закрытые!$B$5:$B$300=$B177)*((Закрытые!$F$5:$F$300+Закрытые!$I$5:$I$300-ABS(Закрытые!$F$5:$F$300-Закрытые!$I$5:$I$300))/2)*(Закрытые!$J$5:$J$300-Закрытые!$G$5:$G$300)))/I177)/(1+N(Ввод!$E$17)/100),""))</f>
        <v/>
      </c>
    </row>
    <row r="178" ht="22" customHeight="1">
      <c r="B178" s="318" t="n"/>
      <c r="C178" s="319" t="n"/>
      <c r="D178" s="318" t="n"/>
      <c r="E178" s="320" t="n"/>
      <c r="F178" s="321" t="n"/>
      <c r="G178" s="322" t="n"/>
      <c r="H178" s="271">
        <f>IF(AND(ISNUMBER(F178),ISNUMBER(G178)),F178*G178,"")</f>
        <v/>
      </c>
      <c r="I178" s="321" t="n"/>
      <c r="J178" s="322" t="n"/>
      <c r="K178" s="271">
        <f>IF(AND(ISNUMBER(I178),ISNUMBER(J178)),I178*J178,"")</f>
        <v/>
      </c>
      <c r="L178" s="246">
        <f>IF(COUNT(F178,I178)=0,"",N(F178)-N(I178))</f>
        <v/>
      </c>
      <c r="M178" s="247">
        <f>IF(COUNT(H178,K178)=0,"",N(K178)-N(H178))</f>
        <v/>
      </c>
      <c r="N178" s="246">
        <f>IF(AND(ISNUMBER(F178),ISNUMBER(G178),F178&gt;0,1-N(Ввод!$E$17)/100&gt;0),MAX(0,(F178*G178-SUMPRODUCT((Закрытые!$B$5:$B$300=$B178)*((Закрытые!$F$5:$F$300+Закрытые!$I$5:$I$300-ABS(Закрытые!$F$5:$F$300-Закрытые!$I$5:$I$300))/2)*(Закрытые!$J$5:$J$300-Закрытые!$G$5:$G$300)))/F178)/(1-N(Ввод!$E$17)/100),IF(AND(ISNUMBER(I178),ISNUMBER(J178),I178&gt;0),MAX(0,(I178*J178+SUMPRODUCT((Закрытые!$B$5:$B$300=$B178)*((Закрытые!$F$5:$F$300+Закрытые!$I$5:$I$300-ABS(Закрытые!$F$5:$F$300-Закрытые!$I$5:$I$300))/2)*(Закрытые!$J$5:$J$300-Закрытые!$G$5:$G$300)))/I178)/(1+N(Ввод!$E$17)/100),""))</f>
        <v/>
      </c>
    </row>
    <row r="179" ht="22" customHeight="1">
      <c r="B179" s="313" t="n"/>
      <c r="C179" s="314" t="n"/>
      <c r="D179" s="313" t="n"/>
      <c r="E179" s="315" t="n"/>
      <c r="F179" s="316" t="n"/>
      <c r="G179" s="317" t="n"/>
      <c r="H179" s="271">
        <f>IF(AND(ISNUMBER(F179),ISNUMBER(G179)),F179*G179,"")</f>
        <v/>
      </c>
      <c r="I179" s="316" t="n"/>
      <c r="J179" s="317" t="n"/>
      <c r="K179" s="271">
        <f>IF(AND(ISNUMBER(I179),ISNUMBER(J179)),I179*J179,"")</f>
        <v/>
      </c>
      <c r="L179" s="240">
        <f>IF(COUNT(F179,I179)=0,"",N(F179)-N(I179))</f>
        <v/>
      </c>
      <c r="M179" s="241">
        <f>IF(COUNT(H179,K179)=0,"",N(K179)-N(H179))</f>
        <v/>
      </c>
      <c r="N179" s="240">
        <f>IF(AND(ISNUMBER(F179),ISNUMBER(G179),F179&gt;0,1-N(Ввод!$E$17)/100&gt;0),MAX(0,(F179*G179-SUMPRODUCT((Закрытые!$B$5:$B$300=$B179)*((Закрытые!$F$5:$F$300+Закрытые!$I$5:$I$300-ABS(Закрытые!$F$5:$F$300-Закрытые!$I$5:$I$300))/2)*(Закрытые!$J$5:$J$300-Закрытые!$G$5:$G$300)))/F179)/(1-N(Ввод!$E$17)/100),IF(AND(ISNUMBER(I179),ISNUMBER(J179),I179&gt;0),MAX(0,(I179*J179+SUMPRODUCT((Закрытые!$B$5:$B$300=$B179)*((Закрытые!$F$5:$F$300+Закрытые!$I$5:$I$300-ABS(Закрытые!$F$5:$F$300-Закрытые!$I$5:$I$300))/2)*(Закрытые!$J$5:$J$300-Закрытые!$G$5:$G$300)))/I179)/(1+N(Ввод!$E$17)/100),""))</f>
        <v/>
      </c>
    </row>
    <row r="180" ht="22" customHeight="1">
      <c r="B180" s="318" t="n"/>
      <c r="C180" s="319" t="n"/>
      <c r="D180" s="318" t="n"/>
      <c r="E180" s="320" t="n"/>
      <c r="F180" s="321" t="n"/>
      <c r="G180" s="322" t="n"/>
      <c r="H180" s="271">
        <f>IF(AND(ISNUMBER(F180),ISNUMBER(G180)),F180*G180,"")</f>
        <v/>
      </c>
      <c r="I180" s="321" t="n"/>
      <c r="J180" s="322" t="n"/>
      <c r="K180" s="271">
        <f>IF(AND(ISNUMBER(I180),ISNUMBER(J180)),I180*J180,"")</f>
        <v/>
      </c>
      <c r="L180" s="246">
        <f>IF(COUNT(F180,I180)=0,"",N(F180)-N(I180))</f>
        <v/>
      </c>
      <c r="M180" s="247">
        <f>IF(COUNT(H180,K180)=0,"",N(K180)-N(H180))</f>
        <v/>
      </c>
      <c r="N180" s="246">
        <f>IF(AND(ISNUMBER(F180),ISNUMBER(G180),F180&gt;0,1-N(Ввод!$E$17)/100&gt;0),MAX(0,(F180*G180-SUMPRODUCT((Закрытые!$B$5:$B$300=$B180)*((Закрытые!$F$5:$F$300+Закрытые!$I$5:$I$300-ABS(Закрытые!$F$5:$F$300-Закрытые!$I$5:$I$300))/2)*(Закрытые!$J$5:$J$300-Закрытые!$G$5:$G$300)))/F180)/(1-N(Ввод!$E$17)/100),IF(AND(ISNUMBER(I180),ISNUMBER(J180),I180&gt;0),MAX(0,(I180*J180+SUMPRODUCT((Закрытые!$B$5:$B$300=$B180)*((Закрытые!$F$5:$F$300+Закрытые!$I$5:$I$300-ABS(Закрытые!$F$5:$F$300-Закрытые!$I$5:$I$300))/2)*(Закрытые!$J$5:$J$300-Закрытые!$G$5:$G$300)))/I180)/(1+N(Ввод!$E$17)/100),""))</f>
        <v/>
      </c>
    </row>
    <row r="181" ht="22" customHeight="1">
      <c r="B181" s="313" t="n"/>
      <c r="C181" s="314" t="n"/>
      <c r="D181" s="313" t="n"/>
      <c r="E181" s="315" t="n"/>
      <c r="F181" s="316" t="n"/>
      <c r="G181" s="317" t="n"/>
      <c r="H181" s="271">
        <f>IF(AND(ISNUMBER(F181),ISNUMBER(G181)),F181*G181,"")</f>
        <v/>
      </c>
      <c r="I181" s="316" t="n"/>
      <c r="J181" s="317" t="n"/>
      <c r="K181" s="271">
        <f>IF(AND(ISNUMBER(I181),ISNUMBER(J181)),I181*J181,"")</f>
        <v/>
      </c>
      <c r="L181" s="240">
        <f>IF(COUNT(F181,I181)=0,"",N(F181)-N(I181))</f>
        <v/>
      </c>
      <c r="M181" s="241">
        <f>IF(COUNT(H181,K181)=0,"",N(K181)-N(H181))</f>
        <v/>
      </c>
      <c r="N181" s="240">
        <f>IF(AND(ISNUMBER(F181),ISNUMBER(G181),F181&gt;0,1-N(Ввод!$E$17)/100&gt;0),MAX(0,(F181*G181-SUMPRODUCT((Закрытые!$B$5:$B$300=$B181)*((Закрытые!$F$5:$F$300+Закрытые!$I$5:$I$300-ABS(Закрытые!$F$5:$F$300-Закрытые!$I$5:$I$300))/2)*(Закрытые!$J$5:$J$300-Закрытые!$G$5:$G$300)))/F181)/(1-N(Ввод!$E$17)/100),IF(AND(ISNUMBER(I181),ISNUMBER(J181),I181&gt;0),MAX(0,(I181*J181+SUMPRODUCT((Закрытые!$B$5:$B$300=$B181)*((Закрытые!$F$5:$F$300+Закрытые!$I$5:$I$300-ABS(Закрытые!$F$5:$F$300-Закрытые!$I$5:$I$300))/2)*(Закрытые!$J$5:$J$300-Закрытые!$G$5:$G$300)))/I181)/(1+N(Ввод!$E$17)/100),""))</f>
        <v/>
      </c>
    </row>
    <row r="182" ht="22" customHeight="1">
      <c r="B182" s="318" t="n"/>
      <c r="C182" s="319" t="n"/>
      <c r="D182" s="318" t="n"/>
      <c r="E182" s="320" t="n"/>
      <c r="F182" s="321" t="n"/>
      <c r="G182" s="322" t="n"/>
      <c r="H182" s="271">
        <f>IF(AND(ISNUMBER(F182),ISNUMBER(G182)),F182*G182,"")</f>
        <v/>
      </c>
      <c r="I182" s="321" t="n"/>
      <c r="J182" s="322" t="n"/>
      <c r="K182" s="271">
        <f>IF(AND(ISNUMBER(I182),ISNUMBER(J182)),I182*J182,"")</f>
        <v/>
      </c>
      <c r="L182" s="246">
        <f>IF(COUNT(F182,I182)=0,"",N(F182)-N(I182))</f>
        <v/>
      </c>
      <c r="M182" s="247">
        <f>IF(COUNT(H182,K182)=0,"",N(K182)-N(H182))</f>
        <v/>
      </c>
      <c r="N182" s="246">
        <f>IF(AND(ISNUMBER(F182),ISNUMBER(G182),F182&gt;0,1-N(Ввод!$E$17)/100&gt;0),MAX(0,(F182*G182-SUMPRODUCT((Закрытые!$B$5:$B$300=$B182)*((Закрытые!$F$5:$F$300+Закрытые!$I$5:$I$300-ABS(Закрытые!$F$5:$F$300-Закрытые!$I$5:$I$300))/2)*(Закрытые!$J$5:$J$300-Закрытые!$G$5:$G$300)))/F182)/(1-N(Ввод!$E$17)/100),IF(AND(ISNUMBER(I182),ISNUMBER(J182),I182&gt;0),MAX(0,(I182*J182+SUMPRODUCT((Закрытые!$B$5:$B$300=$B182)*((Закрытые!$F$5:$F$300+Закрытые!$I$5:$I$300-ABS(Закрытые!$F$5:$F$300-Закрытые!$I$5:$I$300))/2)*(Закрытые!$J$5:$J$300-Закрытые!$G$5:$G$300)))/I182)/(1+N(Ввод!$E$17)/100),""))</f>
        <v/>
      </c>
    </row>
    <row r="183" ht="22" customHeight="1">
      <c r="B183" s="313" t="n"/>
      <c r="C183" s="314" t="n"/>
      <c r="D183" s="313" t="n"/>
      <c r="E183" s="315" t="n"/>
      <c r="F183" s="316" t="n"/>
      <c r="G183" s="317" t="n"/>
      <c r="H183" s="271">
        <f>IF(AND(ISNUMBER(F183),ISNUMBER(G183)),F183*G183,"")</f>
        <v/>
      </c>
      <c r="I183" s="316" t="n"/>
      <c r="J183" s="317" t="n"/>
      <c r="K183" s="271">
        <f>IF(AND(ISNUMBER(I183),ISNUMBER(J183)),I183*J183,"")</f>
        <v/>
      </c>
      <c r="L183" s="240">
        <f>IF(COUNT(F183,I183)=0,"",N(F183)-N(I183))</f>
        <v/>
      </c>
      <c r="M183" s="241">
        <f>IF(COUNT(H183,K183)=0,"",N(K183)-N(H183))</f>
        <v/>
      </c>
      <c r="N183" s="240">
        <f>IF(AND(ISNUMBER(F183),ISNUMBER(G183),F183&gt;0,1-N(Ввод!$E$17)/100&gt;0),MAX(0,(F183*G183-SUMPRODUCT((Закрытые!$B$5:$B$300=$B183)*((Закрытые!$F$5:$F$300+Закрытые!$I$5:$I$300-ABS(Закрытые!$F$5:$F$300-Закрытые!$I$5:$I$300))/2)*(Закрытые!$J$5:$J$300-Закрытые!$G$5:$G$300)))/F183)/(1-N(Ввод!$E$17)/100),IF(AND(ISNUMBER(I183),ISNUMBER(J183),I183&gt;0),MAX(0,(I183*J183+SUMPRODUCT((Закрытые!$B$5:$B$300=$B183)*((Закрытые!$F$5:$F$300+Закрытые!$I$5:$I$300-ABS(Закрытые!$F$5:$F$300-Закрытые!$I$5:$I$300))/2)*(Закрытые!$J$5:$J$300-Закрытые!$G$5:$G$300)))/I183)/(1+N(Ввод!$E$17)/100),""))</f>
        <v/>
      </c>
    </row>
    <row r="184" ht="22" customHeight="1">
      <c r="B184" s="318" t="n"/>
      <c r="C184" s="319" t="n"/>
      <c r="D184" s="318" t="n"/>
      <c r="E184" s="320" t="n"/>
      <c r="F184" s="321" t="n"/>
      <c r="G184" s="322" t="n"/>
      <c r="H184" s="271">
        <f>IF(AND(ISNUMBER(F184),ISNUMBER(G184)),F184*G184,"")</f>
        <v/>
      </c>
      <c r="I184" s="321" t="n"/>
      <c r="J184" s="322" t="n"/>
      <c r="K184" s="271">
        <f>IF(AND(ISNUMBER(I184),ISNUMBER(J184)),I184*J184,"")</f>
        <v/>
      </c>
      <c r="L184" s="246">
        <f>IF(COUNT(F184,I184)=0,"",N(F184)-N(I184))</f>
        <v/>
      </c>
      <c r="M184" s="247">
        <f>IF(COUNT(H184,K184)=0,"",N(K184)-N(H184))</f>
        <v/>
      </c>
      <c r="N184" s="246">
        <f>IF(AND(ISNUMBER(F184),ISNUMBER(G184),F184&gt;0,1-N(Ввод!$E$17)/100&gt;0),MAX(0,(F184*G184-SUMPRODUCT((Закрытые!$B$5:$B$300=$B184)*((Закрытые!$F$5:$F$300+Закрытые!$I$5:$I$300-ABS(Закрытые!$F$5:$F$300-Закрытые!$I$5:$I$300))/2)*(Закрытые!$J$5:$J$300-Закрытые!$G$5:$G$300)))/F184)/(1-N(Ввод!$E$17)/100),IF(AND(ISNUMBER(I184),ISNUMBER(J184),I184&gt;0),MAX(0,(I184*J184+SUMPRODUCT((Закрытые!$B$5:$B$300=$B184)*((Закрытые!$F$5:$F$300+Закрытые!$I$5:$I$300-ABS(Закрытые!$F$5:$F$300-Закрытые!$I$5:$I$300))/2)*(Закрытые!$J$5:$J$300-Закрытые!$G$5:$G$300)))/I184)/(1+N(Ввод!$E$17)/100),""))</f>
        <v/>
      </c>
    </row>
    <row r="185" ht="22" customHeight="1">
      <c r="B185" s="313" t="n"/>
      <c r="C185" s="314" t="n"/>
      <c r="D185" s="313" t="n"/>
      <c r="E185" s="315" t="n"/>
      <c r="F185" s="316" t="n"/>
      <c r="G185" s="317" t="n"/>
      <c r="H185" s="271">
        <f>IF(AND(ISNUMBER(F185),ISNUMBER(G185)),F185*G185,"")</f>
        <v/>
      </c>
      <c r="I185" s="316" t="n"/>
      <c r="J185" s="317" t="n"/>
      <c r="K185" s="271">
        <f>IF(AND(ISNUMBER(I185),ISNUMBER(J185)),I185*J185,"")</f>
        <v/>
      </c>
      <c r="L185" s="240">
        <f>IF(COUNT(F185,I185)=0,"",N(F185)-N(I185))</f>
        <v/>
      </c>
      <c r="M185" s="241">
        <f>IF(COUNT(H185,K185)=0,"",N(K185)-N(H185))</f>
        <v/>
      </c>
      <c r="N185" s="240">
        <f>IF(AND(ISNUMBER(F185),ISNUMBER(G185),F185&gt;0,1-N(Ввод!$E$17)/100&gt;0),MAX(0,(F185*G185-SUMPRODUCT((Закрытые!$B$5:$B$300=$B185)*((Закрытые!$F$5:$F$300+Закрытые!$I$5:$I$300-ABS(Закрытые!$F$5:$F$300-Закрытые!$I$5:$I$300))/2)*(Закрытые!$J$5:$J$300-Закрытые!$G$5:$G$300)))/F185)/(1-N(Ввод!$E$17)/100),IF(AND(ISNUMBER(I185),ISNUMBER(J185),I185&gt;0),MAX(0,(I185*J185+SUMPRODUCT((Закрытые!$B$5:$B$300=$B185)*((Закрытые!$F$5:$F$300+Закрытые!$I$5:$I$300-ABS(Закрытые!$F$5:$F$300-Закрытые!$I$5:$I$300))/2)*(Закрытые!$J$5:$J$300-Закрытые!$G$5:$G$300)))/I185)/(1+N(Ввод!$E$17)/100),""))</f>
        <v/>
      </c>
    </row>
    <row r="186" ht="22" customHeight="1">
      <c r="B186" s="318" t="n"/>
      <c r="C186" s="319" t="n"/>
      <c r="D186" s="318" t="n"/>
      <c r="E186" s="320" t="n"/>
      <c r="F186" s="321" t="n"/>
      <c r="G186" s="322" t="n"/>
      <c r="H186" s="271">
        <f>IF(AND(ISNUMBER(F186),ISNUMBER(G186)),F186*G186,"")</f>
        <v/>
      </c>
      <c r="I186" s="321" t="n"/>
      <c r="J186" s="322" t="n"/>
      <c r="K186" s="271">
        <f>IF(AND(ISNUMBER(I186),ISNUMBER(J186)),I186*J186,"")</f>
        <v/>
      </c>
      <c r="L186" s="246">
        <f>IF(COUNT(F186,I186)=0,"",N(F186)-N(I186))</f>
        <v/>
      </c>
      <c r="M186" s="247">
        <f>IF(COUNT(H186,K186)=0,"",N(K186)-N(H186))</f>
        <v/>
      </c>
      <c r="N186" s="246">
        <f>IF(AND(ISNUMBER(F186),ISNUMBER(G186),F186&gt;0,1-N(Ввод!$E$17)/100&gt;0),MAX(0,(F186*G186-SUMPRODUCT((Закрытые!$B$5:$B$300=$B186)*((Закрытые!$F$5:$F$300+Закрытые!$I$5:$I$300-ABS(Закрытые!$F$5:$F$300-Закрытые!$I$5:$I$300))/2)*(Закрытые!$J$5:$J$300-Закрытые!$G$5:$G$300)))/F186)/(1-N(Ввод!$E$17)/100),IF(AND(ISNUMBER(I186),ISNUMBER(J186),I186&gt;0),MAX(0,(I186*J186+SUMPRODUCT((Закрытые!$B$5:$B$300=$B186)*((Закрытые!$F$5:$F$300+Закрытые!$I$5:$I$300-ABS(Закрытые!$F$5:$F$300-Закрытые!$I$5:$I$300))/2)*(Закрытые!$J$5:$J$300-Закрытые!$G$5:$G$300)))/I186)/(1+N(Ввод!$E$17)/100),""))</f>
        <v/>
      </c>
    </row>
    <row r="187" ht="22" customHeight="1">
      <c r="B187" s="313" t="n"/>
      <c r="C187" s="314" t="n"/>
      <c r="D187" s="313" t="n"/>
      <c r="E187" s="315" t="n"/>
      <c r="F187" s="316" t="n"/>
      <c r="G187" s="317" t="n"/>
      <c r="H187" s="271">
        <f>IF(AND(ISNUMBER(F187),ISNUMBER(G187)),F187*G187,"")</f>
        <v/>
      </c>
      <c r="I187" s="316" t="n"/>
      <c r="J187" s="317" t="n"/>
      <c r="K187" s="271">
        <f>IF(AND(ISNUMBER(I187),ISNUMBER(J187)),I187*J187,"")</f>
        <v/>
      </c>
      <c r="L187" s="240">
        <f>IF(COUNT(F187,I187)=0,"",N(F187)-N(I187))</f>
        <v/>
      </c>
      <c r="M187" s="241">
        <f>IF(COUNT(H187,K187)=0,"",N(K187)-N(H187))</f>
        <v/>
      </c>
      <c r="N187" s="240">
        <f>IF(AND(ISNUMBER(F187),ISNUMBER(G187),F187&gt;0,1-N(Ввод!$E$17)/100&gt;0),MAX(0,(F187*G187-SUMPRODUCT((Закрытые!$B$5:$B$300=$B187)*((Закрытые!$F$5:$F$300+Закрытые!$I$5:$I$300-ABS(Закрытые!$F$5:$F$300-Закрытые!$I$5:$I$300))/2)*(Закрытые!$J$5:$J$300-Закрытые!$G$5:$G$300)))/F187)/(1-N(Ввод!$E$17)/100),IF(AND(ISNUMBER(I187),ISNUMBER(J187),I187&gt;0),MAX(0,(I187*J187+SUMPRODUCT((Закрытые!$B$5:$B$300=$B187)*((Закрытые!$F$5:$F$300+Закрытые!$I$5:$I$300-ABS(Закрытые!$F$5:$F$300-Закрытые!$I$5:$I$300))/2)*(Закрытые!$J$5:$J$300-Закрытые!$G$5:$G$300)))/I187)/(1+N(Ввод!$E$17)/100),""))</f>
        <v/>
      </c>
    </row>
    <row r="188" ht="22" customHeight="1">
      <c r="B188" s="318" t="n"/>
      <c r="C188" s="319" t="n"/>
      <c r="D188" s="318" t="n"/>
      <c r="E188" s="320" t="n"/>
      <c r="F188" s="321" t="n"/>
      <c r="G188" s="322" t="n"/>
      <c r="H188" s="271">
        <f>IF(AND(ISNUMBER(F188),ISNUMBER(G188)),F188*G188,"")</f>
        <v/>
      </c>
      <c r="I188" s="321" t="n"/>
      <c r="J188" s="322" t="n"/>
      <c r="K188" s="271">
        <f>IF(AND(ISNUMBER(I188),ISNUMBER(J188)),I188*J188,"")</f>
        <v/>
      </c>
      <c r="L188" s="246">
        <f>IF(COUNT(F188,I188)=0,"",N(F188)-N(I188))</f>
        <v/>
      </c>
      <c r="M188" s="247">
        <f>IF(COUNT(H188,K188)=0,"",N(K188)-N(H188))</f>
        <v/>
      </c>
      <c r="N188" s="246">
        <f>IF(AND(ISNUMBER(F188),ISNUMBER(G188),F188&gt;0,1-N(Ввод!$E$17)/100&gt;0),MAX(0,(F188*G188-SUMPRODUCT((Закрытые!$B$5:$B$300=$B188)*((Закрытые!$F$5:$F$300+Закрытые!$I$5:$I$300-ABS(Закрытые!$F$5:$F$300-Закрытые!$I$5:$I$300))/2)*(Закрытые!$J$5:$J$300-Закрытые!$G$5:$G$300)))/F188)/(1-N(Ввод!$E$17)/100),IF(AND(ISNUMBER(I188),ISNUMBER(J188),I188&gt;0),MAX(0,(I188*J188+SUMPRODUCT((Закрытые!$B$5:$B$300=$B188)*((Закрытые!$F$5:$F$300+Закрытые!$I$5:$I$300-ABS(Закрытые!$F$5:$F$300-Закрытые!$I$5:$I$300))/2)*(Закрытые!$J$5:$J$300-Закрытые!$G$5:$G$300)))/I188)/(1+N(Ввод!$E$17)/100),""))</f>
        <v/>
      </c>
    </row>
    <row r="189" ht="22" customHeight="1">
      <c r="B189" s="313" t="n"/>
      <c r="C189" s="314" t="n"/>
      <c r="D189" s="313" t="n"/>
      <c r="E189" s="315" t="n"/>
      <c r="F189" s="316" t="n"/>
      <c r="G189" s="317" t="n"/>
      <c r="H189" s="271">
        <f>IF(AND(ISNUMBER(F189),ISNUMBER(G189)),F189*G189,"")</f>
        <v/>
      </c>
      <c r="I189" s="316" t="n"/>
      <c r="J189" s="317" t="n"/>
      <c r="K189" s="271">
        <f>IF(AND(ISNUMBER(I189),ISNUMBER(J189)),I189*J189,"")</f>
        <v/>
      </c>
      <c r="L189" s="240">
        <f>IF(COUNT(F189,I189)=0,"",N(F189)-N(I189))</f>
        <v/>
      </c>
      <c r="M189" s="241">
        <f>IF(COUNT(H189,K189)=0,"",N(K189)-N(H189))</f>
        <v/>
      </c>
      <c r="N189" s="240">
        <f>IF(AND(ISNUMBER(F189),ISNUMBER(G189),F189&gt;0,1-N(Ввод!$E$17)/100&gt;0),MAX(0,(F189*G189-SUMPRODUCT((Закрытые!$B$5:$B$300=$B189)*((Закрытые!$F$5:$F$300+Закрытые!$I$5:$I$300-ABS(Закрытые!$F$5:$F$300-Закрытые!$I$5:$I$300))/2)*(Закрытые!$J$5:$J$300-Закрытые!$G$5:$G$300)))/F189)/(1-N(Ввод!$E$17)/100),IF(AND(ISNUMBER(I189),ISNUMBER(J189),I189&gt;0),MAX(0,(I189*J189+SUMPRODUCT((Закрытые!$B$5:$B$300=$B189)*((Закрытые!$F$5:$F$300+Закрытые!$I$5:$I$300-ABS(Закрытые!$F$5:$F$300-Закрытые!$I$5:$I$300))/2)*(Закрытые!$J$5:$J$300-Закрытые!$G$5:$G$300)))/I189)/(1+N(Ввод!$E$17)/100),""))</f>
        <v/>
      </c>
    </row>
    <row r="190" ht="22" customHeight="1">
      <c r="B190" s="318" t="n"/>
      <c r="C190" s="319" t="n"/>
      <c r="D190" s="318" t="n"/>
      <c r="E190" s="320" t="n"/>
      <c r="F190" s="321" t="n"/>
      <c r="G190" s="322" t="n"/>
      <c r="H190" s="271">
        <f>IF(AND(ISNUMBER(F190),ISNUMBER(G190)),F190*G190,"")</f>
        <v/>
      </c>
      <c r="I190" s="321" t="n"/>
      <c r="J190" s="322" t="n"/>
      <c r="K190" s="271">
        <f>IF(AND(ISNUMBER(I190),ISNUMBER(J190)),I190*J190,"")</f>
        <v/>
      </c>
      <c r="L190" s="246">
        <f>IF(COUNT(F190,I190)=0,"",N(F190)-N(I190))</f>
        <v/>
      </c>
      <c r="M190" s="247">
        <f>IF(COUNT(H190,K190)=0,"",N(K190)-N(H190))</f>
        <v/>
      </c>
      <c r="N190" s="246">
        <f>IF(AND(ISNUMBER(F190),ISNUMBER(G190),F190&gt;0,1-N(Ввод!$E$17)/100&gt;0),MAX(0,(F190*G190-SUMPRODUCT((Закрытые!$B$5:$B$300=$B190)*((Закрытые!$F$5:$F$300+Закрытые!$I$5:$I$300-ABS(Закрытые!$F$5:$F$300-Закрытые!$I$5:$I$300))/2)*(Закрытые!$J$5:$J$300-Закрытые!$G$5:$G$300)))/F190)/(1-N(Ввод!$E$17)/100),IF(AND(ISNUMBER(I190),ISNUMBER(J190),I190&gt;0),MAX(0,(I190*J190+SUMPRODUCT((Закрытые!$B$5:$B$300=$B190)*((Закрытые!$F$5:$F$300+Закрытые!$I$5:$I$300-ABS(Закрытые!$F$5:$F$300-Закрытые!$I$5:$I$300))/2)*(Закрытые!$J$5:$J$300-Закрытые!$G$5:$G$300)))/I190)/(1+N(Ввод!$E$17)/100),""))</f>
        <v/>
      </c>
    </row>
    <row r="191" ht="22" customHeight="1">
      <c r="B191" s="313" t="n"/>
      <c r="C191" s="314" t="n"/>
      <c r="D191" s="313" t="n"/>
      <c r="E191" s="315" t="n"/>
      <c r="F191" s="316" t="n"/>
      <c r="G191" s="317" t="n"/>
      <c r="H191" s="271">
        <f>IF(AND(ISNUMBER(F191),ISNUMBER(G191)),F191*G191,"")</f>
        <v/>
      </c>
      <c r="I191" s="316" t="n"/>
      <c r="J191" s="317" t="n"/>
      <c r="K191" s="271">
        <f>IF(AND(ISNUMBER(I191),ISNUMBER(J191)),I191*J191,"")</f>
        <v/>
      </c>
      <c r="L191" s="240">
        <f>IF(COUNT(F191,I191)=0,"",N(F191)-N(I191))</f>
        <v/>
      </c>
      <c r="M191" s="241">
        <f>IF(COUNT(H191,K191)=0,"",N(K191)-N(H191))</f>
        <v/>
      </c>
      <c r="N191" s="240">
        <f>IF(AND(ISNUMBER(F191),ISNUMBER(G191),F191&gt;0,1-N(Ввод!$E$17)/100&gt;0),MAX(0,(F191*G191-SUMPRODUCT((Закрытые!$B$5:$B$300=$B191)*((Закрытые!$F$5:$F$300+Закрытые!$I$5:$I$300-ABS(Закрытые!$F$5:$F$300-Закрытые!$I$5:$I$300))/2)*(Закрытые!$J$5:$J$300-Закрытые!$G$5:$G$300)))/F191)/(1-N(Ввод!$E$17)/100),IF(AND(ISNUMBER(I191),ISNUMBER(J191),I191&gt;0),MAX(0,(I191*J191+SUMPRODUCT((Закрытые!$B$5:$B$300=$B191)*((Закрытые!$F$5:$F$300+Закрытые!$I$5:$I$300-ABS(Закрытые!$F$5:$F$300-Закрытые!$I$5:$I$300))/2)*(Закрытые!$J$5:$J$300-Закрытые!$G$5:$G$300)))/I191)/(1+N(Ввод!$E$17)/100),""))</f>
        <v/>
      </c>
    </row>
    <row r="192" ht="22" customHeight="1">
      <c r="B192" s="318" t="n"/>
      <c r="C192" s="319" t="n"/>
      <c r="D192" s="318" t="n"/>
      <c r="E192" s="320" t="n"/>
      <c r="F192" s="321" t="n"/>
      <c r="G192" s="322" t="n"/>
      <c r="H192" s="271">
        <f>IF(AND(ISNUMBER(F192),ISNUMBER(G192)),F192*G192,"")</f>
        <v/>
      </c>
      <c r="I192" s="321" t="n"/>
      <c r="J192" s="322" t="n"/>
      <c r="K192" s="271">
        <f>IF(AND(ISNUMBER(I192),ISNUMBER(J192)),I192*J192,"")</f>
        <v/>
      </c>
      <c r="L192" s="246">
        <f>IF(COUNT(F192,I192)=0,"",N(F192)-N(I192))</f>
        <v/>
      </c>
      <c r="M192" s="247">
        <f>IF(COUNT(H192,K192)=0,"",N(K192)-N(H192))</f>
        <v/>
      </c>
      <c r="N192" s="246">
        <f>IF(AND(ISNUMBER(F192),ISNUMBER(G192),F192&gt;0,1-N(Ввод!$E$17)/100&gt;0),MAX(0,(F192*G192-SUMPRODUCT((Закрытые!$B$5:$B$300=$B192)*((Закрытые!$F$5:$F$300+Закрытые!$I$5:$I$300-ABS(Закрытые!$F$5:$F$300-Закрытые!$I$5:$I$300))/2)*(Закрытые!$J$5:$J$300-Закрытые!$G$5:$G$300)))/F192)/(1-N(Ввод!$E$17)/100),IF(AND(ISNUMBER(I192),ISNUMBER(J192),I192&gt;0),MAX(0,(I192*J192+SUMPRODUCT((Закрытые!$B$5:$B$300=$B192)*((Закрытые!$F$5:$F$300+Закрытые!$I$5:$I$300-ABS(Закрытые!$F$5:$F$300-Закрытые!$I$5:$I$300))/2)*(Закрытые!$J$5:$J$300-Закрытые!$G$5:$G$300)))/I192)/(1+N(Ввод!$E$17)/100),""))</f>
        <v/>
      </c>
    </row>
    <row r="193" ht="22" customHeight="1">
      <c r="B193" s="313" t="n"/>
      <c r="C193" s="314" t="n"/>
      <c r="D193" s="313" t="n"/>
      <c r="E193" s="315" t="n"/>
      <c r="F193" s="316" t="n"/>
      <c r="G193" s="317" t="n"/>
      <c r="H193" s="271">
        <f>IF(AND(ISNUMBER(F193),ISNUMBER(G193)),F193*G193,"")</f>
        <v/>
      </c>
      <c r="I193" s="316" t="n"/>
      <c r="J193" s="317" t="n"/>
      <c r="K193" s="271">
        <f>IF(AND(ISNUMBER(I193),ISNUMBER(J193)),I193*J193,"")</f>
        <v/>
      </c>
      <c r="L193" s="240">
        <f>IF(COUNT(F193,I193)=0,"",N(F193)-N(I193))</f>
        <v/>
      </c>
      <c r="M193" s="241">
        <f>IF(COUNT(H193,K193)=0,"",N(K193)-N(H193))</f>
        <v/>
      </c>
      <c r="N193" s="240">
        <f>IF(AND(ISNUMBER(F193),ISNUMBER(G193),F193&gt;0,1-N(Ввод!$E$17)/100&gt;0),MAX(0,(F193*G193-SUMPRODUCT((Закрытые!$B$5:$B$300=$B193)*((Закрытые!$F$5:$F$300+Закрытые!$I$5:$I$300-ABS(Закрытые!$F$5:$F$300-Закрытые!$I$5:$I$300))/2)*(Закрытые!$J$5:$J$300-Закрытые!$G$5:$G$300)))/F193)/(1-N(Ввод!$E$17)/100),IF(AND(ISNUMBER(I193),ISNUMBER(J193),I193&gt;0),MAX(0,(I193*J193+SUMPRODUCT((Закрытые!$B$5:$B$300=$B193)*((Закрытые!$F$5:$F$300+Закрытые!$I$5:$I$300-ABS(Закрытые!$F$5:$F$300-Закрытые!$I$5:$I$300))/2)*(Закрытые!$J$5:$J$300-Закрытые!$G$5:$G$300)))/I193)/(1+N(Ввод!$E$17)/100),""))</f>
        <v/>
      </c>
    </row>
    <row r="194" ht="22" customHeight="1">
      <c r="B194" s="318" t="n"/>
      <c r="C194" s="319" t="n"/>
      <c r="D194" s="318" t="n"/>
      <c r="E194" s="320" t="n"/>
      <c r="F194" s="321" t="n"/>
      <c r="G194" s="322" t="n"/>
      <c r="H194" s="271">
        <f>IF(AND(ISNUMBER(F194),ISNUMBER(G194)),F194*G194,"")</f>
        <v/>
      </c>
      <c r="I194" s="321" t="n"/>
      <c r="J194" s="322" t="n"/>
      <c r="K194" s="271">
        <f>IF(AND(ISNUMBER(I194),ISNUMBER(J194)),I194*J194,"")</f>
        <v/>
      </c>
      <c r="L194" s="246">
        <f>IF(COUNT(F194,I194)=0,"",N(F194)-N(I194))</f>
        <v/>
      </c>
      <c r="M194" s="247">
        <f>IF(COUNT(H194,K194)=0,"",N(K194)-N(H194))</f>
        <v/>
      </c>
      <c r="N194" s="246">
        <f>IF(AND(ISNUMBER(F194),ISNUMBER(G194),F194&gt;0,1-N(Ввод!$E$17)/100&gt;0),MAX(0,(F194*G194-SUMPRODUCT((Закрытые!$B$5:$B$300=$B194)*((Закрытые!$F$5:$F$300+Закрытые!$I$5:$I$300-ABS(Закрытые!$F$5:$F$300-Закрытые!$I$5:$I$300))/2)*(Закрытые!$J$5:$J$300-Закрытые!$G$5:$G$300)))/F194)/(1-N(Ввод!$E$17)/100),IF(AND(ISNUMBER(I194),ISNUMBER(J194),I194&gt;0),MAX(0,(I194*J194+SUMPRODUCT((Закрытые!$B$5:$B$300=$B194)*((Закрытые!$F$5:$F$300+Закрытые!$I$5:$I$300-ABS(Закрытые!$F$5:$F$300-Закрытые!$I$5:$I$300))/2)*(Закрытые!$J$5:$J$300-Закрытые!$G$5:$G$300)))/I194)/(1+N(Ввод!$E$17)/100),""))</f>
        <v/>
      </c>
    </row>
    <row r="195" ht="22" customHeight="1">
      <c r="B195" s="313" t="n"/>
      <c r="C195" s="314" t="n"/>
      <c r="D195" s="313" t="n"/>
      <c r="E195" s="315" t="n"/>
      <c r="F195" s="316" t="n"/>
      <c r="G195" s="317" t="n"/>
      <c r="H195" s="271">
        <f>IF(AND(ISNUMBER(F195),ISNUMBER(G195)),F195*G195,"")</f>
        <v/>
      </c>
      <c r="I195" s="316" t="n"/>
      <c r="J195" s="317" t="n"/>
      <c r="K195" s="271">
        <f>IF(AND(ISNUMBER(I195),ISNUMBER(J195)),I195*J195,"")</f>
        <v/>
      </c>
      <c r="L195" s="240">
        <f>IF(COUNT(F195,I195)=0,"",N(F195)-N(I195))</f>
        <v/>
      </c>
      <c r="M195" s="241">
        <f>IF(COUNT(H195,K195)=0,"",N(K195)-N(H195))</f>
        <v/>
      </c>
      <c r="N195" s="240">
        <f>IF(AND(ISNUMBER(F195),ISNUMBER(G195),F195&gt;0,1-N(Ввод!$E$17)/100&gt;0),MAX(0,(F195*G195-SUMPRODUCT((Закрытые!$B$5:$B$300=$B195)*((Закрытые!$F$5:$F$300+Закрытые!$I$5:$I$300-ABS(Закрытые!$F$5:$F$300-Закрытые!$I$5:$I$300))/2)*(Закрытые!$J$5:$J$300-Закрытые!$G$5:$G$300)))/F195)/(1-N(Ввод!$E$17)/100),IF(AND(ISNUMBER(I195),ISNUMBER(J195),I195&gt;0),MAX(0,(I195*J195+SUMPRODUCT((Закрытые!$B$5:$B$300=$B195)*((Закрытые!$F$5:$F$300+Закрытые!$I$5:$I$300-ABS(Закрытые!$F$5:$F$300-Закрытые!$I$5:$I$300))/2)*(Закрытые!$J$5:$J$300-Закрытые!$G$5:$G$300)))/I195)/(1+N(Ввод!$E$17)/100),""))</f>
        <v/>
      </c>
    </row>
    <row r="196" ht="22" customHeight="1">
      <c r="B196" s="318" t="n"/>
      <c r="C196" s="319" t="n"/>
      <c r="D196" s="318" t="n"/>
      <c r="E196" s="320" t="n"/>
      <c r="F196" s="321" t="n"/>
      <c r="G196" s="322" t="n"/>
      <c r="H196" s="271">
        <f>IF(AND(ISNUMBER(F196),ISNUMBER(G196)),F196*G196,"")</f>
        <v/>
      </c>
      <c r="I196" s="321" t="n"/>
      <c r="J196" s="322" t="n"/>
      <c r="K196" s="271">
        <f>IF(AND(ISNUMBER(I196),ISNUMBER(J196)),I196*J196,"")</f>
        <v/>
      </c>
      <c r="L196" s="246">
        <f>IF(COUNT(F196,I196)=0,"",N(F196)-N(I196))</f>
        <v/>
      </c>
      <c r="M196" s="247">
        <f>IF(COUNT(H196,K196)=0,"",N(K196)-N(H196))</f>
        <v/>
      </c>
      <c r="N196" s="246">
        <f>IF(AND(ISNUMBER(F196),ISNUMBER(G196),F196&gt;0,1-N(Ввод!$E$17)/100&gt;0),MAX(0,(F196*G196-SUMPRODUCT((Закрытые!$B$5:$B$300=$B196)*((Закрытые!$F$5:$F$300+Закрытые!$I$5:$I$300-ABS(Закрытые!$F$5:$F$300-Закрытые!$I$5:$I$300))/2)*(Закрытые!$J$5:$J$300-Закрытые!$G$5:$G$300)))/F196)/(1-N(Ввод!$E$17)/100),IF(AND(ISNUMBER(I196),ISNUMBER(J196),I196&gt;0),MAX(0,(I196*J196+SUMPRODUCT((Закрытые!$B$5:$B$300=$B196)*((Закрытые!$F$5:$F$300+Закрытые!$I$5:$I$300-ABS(Закрытые!$F$5:$F$300-Закрытые!$I$5:$I$300))/2)*(Закрытые!$J$5:$J$300-Закрытые!$G$5:$G$300)))/I196)/(1+N(Ввод!$E$17)/100),""))</f>
        <v/>
      </c>
    </row>
    <row r="197" ht="22" customHeight="1">
      <c r="B197" s="313" t="n"/>
      <c r="C197" s="314" t="n"/>
      <c r="D197" s="313" t="n"/>
      <c r="E197" s="315" t="n"/>
      <c r="F197" s="316" t="n"/>
      <c r="G197" s="317" t="n"/>
      <c r="H197" s="271">
        <f>IF(AND(ISNUMBER(F197),ISNUMBER(G197)),F197*G197,"")</f>
        <v/>
      </c>
      <c r="I197" s="316" t="n"/>
      <c r="J197" s="317" t="n"/>
      <c r="K197" s="271">
        <f>IF(AND(ISNUMBER(I197),ISNUMBER(J197)),I197*J197,"")</f>
        <v/>
      </c>
      <c r="L197" s="240">
        <f>IF(COUNT(F197,I197)=0,"",N(F197)-N(I197))</f>
        <v/>
      </c>
      <c r="M197" s="241">
        <f>IF(COUNT(H197,K197)=0,"",N(K197)-N(H197))</f>
        <v/>
      </c>
      <c r="N197" s="240">
        <f>IF(AND(ISNUMBER(F197),ISNUMBER(G197),F197&gt;0,1-N(Ввод!$E$17)/100&gt;0),MAX(0,(F197*G197-SUMPRODUCT((Закрытые!$B$5:$B$300=$B197)*((Закрытые!$F$5:$F$300+Закрытые!$I$5:$I$300-ABS(Закрытые!$F$5:$F$300-Закрытые!$I$5:$I$300))/2)*(Закрытые!$J$5:$J$300-Закрытые!$G$5:$G$300)))/F197)/(1-N(Ввод!$E$17)/100),IF(AND(ISNUMBER(I197),ISNUMBER(J197),I197&gt;0),MAX(0,(I197*J197+SUMPRODUCT((Закрытые!$B$5:$B$300=$B197)*((Закрытые!$F$5:$F$300+Закрытые!$I$5:$I$300-ABS(Закрытые!$F$5:$F$300-Закрытые!$I$5:$I$300))/2)*(Закрытые!$J$5:$J$300-Закрытые!$G$5:$G$300)))/I197)/(1+N(Ввод!$E$17)/100),""))</f>
        <v/>
      </c>
    </row>
    <row r="198" ht="22" customHeight="1">
      <c r="B198" s="318" t="n"/>
      <c r="C198" s="319" t="n"/>
      <c r="D198" s="318" t="n"/>
      <c r="E198" s="320" t="n"/>
      <c r="F198" s="321" t="n"/>
      <c r="G198" s="322" t="n"/>
      <c r="H198" s="271">
        <f>IF(AND(ISNUMBER(F198),ISNUMBER(G198)),F198*G198,"")</f>
        <v/>
      </c>
      <c r="I198" s="321" t="n"/>
      <c r="J198" s="322" t="n"/>
      <c r="K198" s="271">
        <f>IF(AND(ISNUMBER(I198),ISNUMBER(J198)),I198*J198,"")</f>
        <v/>
      </c>
      <c r="L198" s="246">
        <f>IF(COUNT(F198,I198)=0,"",N(F198)-N(I198))</f>
        <v/>
      </c>
      <c r="M198" s="247">
        <f>IF(COUNT(H198,K198)=0,"",N(K198)-N(H198))</f>
        <v/>
      </c>
      <c r="N198" s="246">
        <f>IF(AND(ISNUMBER(F198),ISNUMBER(G198),F198&gt;0,1-N(Ввод!$E$17)/100&gt;0),MAX(0,(F198*G198-SUMPRODUCT((Закрытые!$B$5:$B$300=$B198)*((Закрытые!$F$5:$F$300+Закрытые!$I$5:$I$300-ABS(Закрытые!$F$5:$F$300-Закрытые!$I$5:$I$300))/2)*(Закрытые!$J$5:$J$300-Закрытые!$G$5:$G$300)))/F198)/(1-N(Ввод!$E$17)/100),IF(AND(ISNUMBER(I198),ISNUMBER(J198),I198&gt;0),MAX(0,(I198*J198+SUMPRODUCT((Закрытые!$B$5:$B$300=$B198)*((Закрытые!$F$5:$F$300+Закрытые!$I$5:$I$300-ABS(Закрытые!$F$5:$F$300-Закрытые!$I$5:$I$300))/2)*(Закрытые!$J$5:$J$300-Закрытые!$G$5:$G$300)))/I198)/(1+N(Ввод!$E$17)/100),""))</f>
        <v/>
      </c>
    </row>
    <row r="199" ht="22" customHeight="1">
      <c r="B199" s="313" t="n"/>
      <c r="C199" s="314" t="n"/>
      <c r="D199" s="313" t="n"/>
      <c r="E199" s="315" t="n"/>
      <c r="F199" s="316" t="n"/>
      <c r="G199" s="317" t="n"/>
      <c r="H199" s="271">
        <f>IF(AND(ISNUMBER(F199),ISNUMBER(G199)),F199*G199,"")</f>
        <v/>
      </c>
      <c r="I199" s="316" t="n"/>
      <c r="J199" s="317" t="n"/>
      <c r="K199" s="271">
        <f>IF(AND(ISNUMBER(I199),ISNUMBER(J199)),I199*J199,"")</f>
        <v/>
      </c>
      <c r="L199" s="240">
        <f>IF(COUNT(F199,I199)=0,"",N(F199)-N(I199))</f>
        <v/>
      </c>
      <c r="M199" s="241">
        <f>IF(COUNT(H199,K199)=0,"",N(K199)-N(H199))</f>
        <v/>
      </c>
      <c r="N199" s="240">
        <f>IF(AND(ISNUMBER(F199),ISNUMBER(G199),F199&gt;0,1-N(Ввод!$E$17)/100&gt;0),MAX(0,(F199*G199-SUMPRODUCT((Закрытые!$B$5:$B$300=$B199)*((Закрытые!$F$5:$F$300+Закрытые!$I$5:$I$300-ABS(Закрытые!$F$5:$F$300-Закрытые!$I$5:$I$300))/2)*(Закрытые!$J$5:$J$300-Закрытые!$G$5:$G$300)))/F199)/(1-N(Ввод!$E$17)/100),IF(AND(ISNUMBER(I199),ISNUMBER(J199),I199&gt;0),MAX(0,(I199*J199+SUMPRODUCT((Закрытые!$B$5:$B$300=$B199)*((Закрытые!$F$5:$F$300+Закрытые!$I$5:$I$300-ABS(Закрытые!$F$5:$F$300-Закрытые!$I$5:$I$300))/2)*(Закрытые!$J$5:$J$300-Закрытые!$G$5:$G$300)))/I199)/(1+N(Ввод!$E$17)/100),""))</f>
        <v/>
      </c>
    </row>
    <row r="200" ht="22" customHeight="1">
      <c r="B200" s="318" t="n"/>
      <c r="C200" s="319" t="n"/>
      <c r="D200" s="318" t="n"/>
      <c r="E200" s="320" t="n"/>
      <c r="F200" s="321" t="n"/>
      <c r="G200" s="322" t="n"/>
      <c r="H200" s="271">
        <f>IF(AND(ISNUMBER(F200),ISNUMBER(G200)),F200*G200,"")</f>
        <v/>
      </c>
      <c r="I200" s="321" t="n"/>
      <c r="J200" s="322" t="n"/>
      <c r="K200" s="271">
        <f>IF(AND(ISNUMBER(I200),ISNUMBER(J200)),I200*J200,"")</f>
        <v/>
      </c>
      <c r="L200" s="246">
        <f>IF(COUNT(F200,I200)=0,"",N(F200)-N(I200))</f>
        <v/>
      </c>
      <c r="M200" s="247">
        <f>IF(COUNT(H200,K200)=0,"",N(K200)-N(H200))</f>
        <v/>
      </c>
      <c r="N200" s="246">
        <f>IF(AND(ISNUMBER(F200),ISNUMBER(G200),F200&gt;0,1-N(Ввод!$E$17)/100&gt;0),MAX(0,(F200*G200-SUMPRODUCT((Закрытые!$B$5:$B$300=$B200)*((Закрытые!$F$5:$F$300+Закрытые!$I$5:$I$300-ABS(Закрытые!$F$5:$F$300-Закрытые!$I$5:$I$300))/2)*(Закрытые!$J$5:$J$300-Закрытые!$G$5:$G$300)))/F200)/(1-N(Ввод!$E$17)/100),IF(AND(ISNUMBER(I200),ISNUMBER(J200),I200&gt;0),MAX(0,(I200*J200+SUMPRODUCT((Закрытые!$B$5:$B$300=$B200)*((Закрытые!$F$5:$F$300+Закрытые!$I$5:$I$300-ABS(Закрытые!$F$5:$F$300-Закрытые!$I$5:$I$300))/2)*(Закрытые!$J$5:$J$300-Закрытые!$G$5:$G$300)))/I200)/(1+N(Ввод!$E$17)/100),""))</f>
        <v/>
      </c>
    </row>
    <row r="201" ht="22" customHeight="1">
      <c r="B201" s="313" t="n"/>
      <c r="C201" s="314" t="n"/>
      <c r="D201" s="313" t="n"/>
      <c r="E201" s="315" t="n"/>
      <c r="F201" s="316" t="n"/>
      <c r="G201" s="317" t="n"/>
      <c r="H201" s="271">
        <f>IF(AND(ISNUMBER(F201),ISNUMBER(G201)),F201*G201,"")</f>
        <v/>
      </c>
      <c r="I201" s="316" t="n"/>
      <c r="J201" s="317" t="n"/>
      <c r="K201" s="271">
        <f>IF(AND(ISNUMBER(I201),ISNUMBER(J201)),I201*J201,"")</f>
        <v/>
      </c>
      <c r="L201" s="240">
        <f>IF(COUNT(F201,I201)=0,"",N(F201)-N(I201))</f>
        <v/>
      </c>
      <c r="M201" s="241">
        <f>IF(COUNT(H201,K201)=0,"",N(K201)-N(H201))</f>
        <v/>
      </c>
      <c r="N201" s="240">
        <f>IF(AND(ISNUMBER(F201),ISNUMBER(G201),F201&gt;0,1-N(Ввод!$E$17)/100&gt;0),MAX(0,(F201*G201-SUMPRODUCT((Закрытые!$B$5:$B$300=$B201)*((Закрытые!$F$5:$F$300+Закрытые!$I$5:$I$300-ABS(Закрытые!$F$5:$F$300-Закрытые!$I$5:$I$300))/2)*(Закрытые!$J$5:$J$300-Закрытые!$G$5:$G$300)))/F201)/(1-N(Ввод!$E$17)/100),IF(AND(ISNUMBER(I201),ISNUMBER(J201),I201&gt;0),MAX(0,(I201*J201+SUMPRODUCT((Закрытые!$B$5:$B$300=$B201)*((Закрытые!$F$5:$F$300+Закрытые!$I$5:$I$300-ABS(Закрытые!$F$5:$F$300-Закрытые!$I$5:$I$300))/2)*(Закрытые!$J$5:$J$300-Закрытые!$G$5:$G$300)))/I201)/(1+N(Ввод!$E$17)/100),""))</f>
        <v/>
      </c>
    </row>
    <row r="202" ht="22" customHeight="1">
      <c r="B202" s="318" t="n"/>
      <c r="C202" s="319" t="n"/>
      <c r="D202" s="318" t="n"/>
      <c r="E202" s="320" t="n"/>
      <c r="F202" s="321" t="n"/>
      <c r="G202" s="322" t="n"/>
      <c r="H202" s="271">
        <f>IF(AND(ISNUMBER(F202),ISNUMBER(G202)),F202*G202,"")</f>
        <v/>
      </c>
      <c r="I202" s="321" t="n"/>
      <c r="J202" s="322" t="n"/>
      <c r="K202" s="271">
        <f>IF(AND(ISNUMBER(I202),ISNUMBER(J202)),I202*J202,"")</f>
        <v/>
      </c>
      <c r="L202" s="246">
        <f>IF(COUNT(F202,I202)=0,"",N(F202)-N(I202))</f>
        <v/>
      </c>
      <c r="M202" s="247">
        <f>IF(COUNT(H202,K202)=0,"",N(K202)-N(H202))</f>
        <v/>
      </c>
      <c r="N202" s="246">
        <f>IF(AND(ISNUMBER(F202),ISNUMBER(G202),F202&gt;0,1-N(Ввод!$E$17)/100&gt;0),MAX(0,(F202*G202-SUMPRODUCT((Закрытые!$B$5:$B$300=$B202)*((Закрытые!$F$5:$F$300+Закрытые!$I$5:$I$300-ABS(Закрытые!$F$5:$F$300-Закрытые!$I$5:$I$300))/2)*(Закрытые!$J$5:$J$300-Закрытые!$G$5:$G$300)))/F202)/(1-N(Ввод!$E$17)/100),IF(AND(ISNUMBER(I202),ISNUMBER(J202),I202&gt;0),MAX(0,(I202*J202+SUMPRODUCT((Закрытые!$B$5:$B$300=$B202)*((Закрытые!$F$5:$F$300+Закрытые!$I$5:$I$300-ABS(Закрытые!$F$5:$F$300-Закрытые!$I$5:$I$300))/2)*(Закрытые!$J$5:$J$300-Закрытые!$G$5:$G$300)))/I202)/(1+N(Ввод!$E$17)/100),""))</f>
        <v/>
      </c>
    </row>
    <row r="203" ht="22" customHeight="1">
      <c r="B203" s="313" t="n"/>
      <c r="C203" s="314" t="n"/>
      <c r="D203" s="313" t="n"/>
      <c r="E203" s="315" t="n"/>
      <c r="F203" s="316" t="n"/>
      <c r="G203" s="317" t="n"/>
      <c r="H203" s="271">
        <f>IF(AND(ISNUMBER(F203),ISNUMBER(G203)),F203*G203,"")</f>
        <v/>
      </c>
      <c r="I203" s="316" t="n"/>
      <c r="J203" s="317" t="n"/>
      <c r="K203" s="271">
        <f>IF(AND(ISNUMBER(I203),ISNUMBER(J203)),I203*J203,"")</f>
        <v/>
      </c>
      <c r="L203" s="240">
        <f>IF(COUNT(F203,I203)=0,"",N(F203)-N(I203))</f>
        <v/>
      </c>
      <c r="M203" s="241">
        <f>IF(COUNT(H203,K203)=0,"",N(K203)-N(H203))</f>
        <v/>
      </c>
      <c r="N203" s="240">
        <f>IF(AND(ISNUMBER(F203),ISNUMBER(G203),F203&gt;0,1-N(Ввод!$E$17)/100&gt;0),MAX(0,(F203*G203-SUMPRODUCT((Закрытые!$B$5:$B$300=$B203)*((Закрытые!$F$5:$F$300+Закрытые!$I$5:$I$300-ABS(Закрытые!$F$5:$F$300-Закрытые!$I$5:$I$300))/2)*(Закрытые!$J$5:$J$300-Закрытые!$G$5:$G$300)))/F203)/(1-N(Ввод!$E$17)/100),IF(AND(ISNUMBER(I203),ISNUMBER(J203),I203&gt;0),MAX(0,(I203*J203+SUMPRODUCT((Закрытые!$B$5:$B$300=$B203)*((Закрытые!$F$5:$F$300+Закрытые!$I$5:$I$300-ABS(Закрытые!$F$5:$F$300-Закрытые!$I$5:$I$300))/2)*(Закрытые!$J$5:$J$300-Закрытые!$G$5:$G$300)))/I203)/(1+N(Ввод!$E$17)/100),""))</f>
        <v/>
      </c>
    </row>
    <row r="204" ht="22" customHeight="1">
      <c r="B204" s="318" t="n"/>
      <c r="C204" s="319" t="n"/>
      <c r="D204" s="318" t="n"/>
      <c r="E204" s="320" t="n"/>
      <c r="F204" s="321" t="n"/>
      <c r="G204" s="322" t="n"/>
      <c r="H204" s="271">
        <f>IF(AND(ISNUMBER(F204),ISNUMBER(G204)),F204*G204,"")</f>
        <v/>
      </c>
      <c r="I204" s="321" t="n"/>
      <c r="J204" s="322" t="n"/>
      <c r="K204" s="271">
        <f>IF(AND(ISNUMBER(I204),ISNUMBER(J204)),I204*J204,"")</f>
        <v/>
      </c>
      <c r="L204" s="246">
        <f>IF(COUNT(F204,I204)=0,"",N(F204)-N(I204))</f>
        <v/>
      </c>
      <c r="M204" s="247">
        <f>IF(COUNT(H204,K204)=0,"",N(K204)-N(H204))</f>
        <v/>
      </c>
      <c r="N204" s="246">
        <f>IF(AND(ISNUMBER(F204),ISNUMBER(G204),F204&gt;0,1-N(Ввод!$E$17)/100&gt;0),MAX(0,(F204*G204-SUMPRODUCT((Закрытые!$B$5:$B$300=$B204)*((Закрытые!$F$5:$F$300+Закрытые!$I$5:$I$300-ABS(Закрытые!$F$5:$F$300-Закрытые!$I$5:$I$300))/2)*(Закрытые!$J$5:$J$300-Закрытые!$G$5:$G$300)))/F204)/(1-N(Ввод!$E$17)/100),IF(AND(ISNUMBER(I204),ISNUMBER(J204),I204&gt;0),MAX(0,(I204*J204+SUMPRODUCT((Закрытые!$B$5:$B$300=$B204)*((Закрытые!$F$5:$F$300+Закрытые!$I$5:$I$300-ABS(Закрытые!$F$5:$F$300-Закрытые!$I$5:$I$300))/2)*(Закрытые!$J$5:$J$300-Закрытые!$G$5:$G$300)))/I204)/(1+N(Ввод!$E$17)/100),""))</f>
        <v/>
      </c>
    </row>
    <row r="205" ht="22" customHeight="1">
      <c r="B205" s="313" t="n"/>
      <c r="C205" s="314" t="n"/>
      <c r="D205" s="313" t="n"/>
      <c r="E205" s="315" t="n"/>
      <c r="F205" s="316" t="n"/>
      <c r="G205" s="317" t="n"/>
      <c r="H205" s="271">
        <f>IF(AND(ISNUMBER(F205),ISNUMBER(G205)),F205*G205,"")</f>
        <v/>
      </c>
      <c r="I205" s="316" t="n"/>
      <c r="J205" s="317" t="n"/>
      <c r="K205" s="271">
        <f>IF(AND(ISNUMBER(I205),ISNUMBER(J205)),I205*J205,"")</f>
        <v/>
      </c>
      <c r="L205" s="240">
        <f>IF(COUNT(F205,I205)=0,"",N(F205)-N(I205))</f>
        <v/>
      </c>
      <c r="M205" s="241">
        <f>IF(COUNT(H205,K205)=0,"",N(K205)-N(H205))</f>
        <v/>
      </c>
      <c r="N205" s="240">
        <f>IF(AND(ISNUMBER(F205),ISNUMBER(G205),F205&gt;0,1-N(Ввод!$E$17)/100&gt;0),MAX(0,(F205*G205-SUMPRODUCT((Закрытые!$B$5:$B$300=$B205)*((Закрытые!$F$5:$F$300+Закрытые!$I$5:$I$300-ABS(Закрытые!$F$5:$F$300-Закрытые!$I$5:$I$300))/2)*(Закрытые!$J$5:$J$300-Закрытые!$G$5:$G$300)))/F205)/(1-N(Ввод!$E$17)/100),IF(AND(ISNUMBER(I205),ISNUMBER(J205),I205&gt;0),MAX(0,(I205*J205+SUMPRODUCT((Закрытые!$B$5:$B$300=$B205)*((Закрытые!$F$5:$F$300+Закрытые!$I$5:$I$300-ABS(Закрытые!$F$5:$F$300-Закрытые!$I$5:$I$300))/2)*(Закрытые!$J$5:$J$300-Закрытые!$G$5:$G$300)))/I205)/(1+N(Ввод!$E$17)/100),""))</f>
        <v/>
      </c>
    </row>
    <row r="206" ht="22" customHeight="1">
      <c r="B206" s="318" t="n"/>
      <c r="C206" s="319" t="n"/>
      <c r="D206" s="318" t="n"/>
      <c r="E206" s="320" t="n"/>
      <c r="F206" s="321" t="n"/>
      <c r="G206" s="322" t="n"/>
      <c r="H206" s="271">
        <f>IF(AND(ISNUMBER(F206),ISNUMBER(G206)),F206*G206,"")</f>
        <v/>
      </c>
      <c r="I206" s="321" t="n"/>
      <c r="J206" s="322" t="n"/>
      <c r="K206" s="271">
        <f>IF(AND(ISNUMBER(I206),ISNUMBER(J206)),I206*J206,"")</f>
        <v/>
      </c>
      <c r="L206" s="246">
        <f>IF(COUNT(F206,I206)=0,"",N(F206)-N(I206))</f>
        <v/>
      </c>
      <c r="M206" s="247">
        <f>IF(COUNT(H206,K206)=0,"",N(K206)-N(H206))</f>
        <v/>
      </c>
      <c r="N206" s="246">
        <f>IF(AND(ISNUMBER(F206),ISNUMBER(G206),F206&gt;0,1-N(Ввод!$E$17)/100&gt;0),MAX(0,(F206*G206-SUMPRODUCT((Закрытые!$B$5:$B$300=$B206)*((Закрытые!$F$5:$F$300+Закрытые!$I$5:$I$300-ABS(Закрытые!$F$5:$F$300-Закрытые!$I$5:$I$300))/2)*(Закрытые!$J$5:$J$300-Закрытые!$G$5:$G$300)))/F206)/(1-N(Ввод!$E$17)/100),IF(AND(ISNUMBER(I206),ISNUMBER(J206),I206&gt;0),MAX(0,(I206*J206+SUMPRODUCT((Закрытые!$B$5:$B$300=$B206)*((Закрытые!$F$5:$F$300+Закрытые!$I$5:$I$300-ABS(Закрытые!$F$5:$F$300-Закрытые!$I$5:$I$300))/2)*(Закрытые!$J$5:$J$300-Закрытые!$G$5:$G$300)))/I206)/(1+N(Ввод!$E$17)/100),""))</f>
        <v/>
      </c>
    </row>
    <row r="207" ht="22" customHeight="1">
      <c r="B207" s="313" t="n"/>
      <c r="C207" s="314" t="n"/>
      <c r="D207" s="313" t="n"/>
      <c r="E207" s="315" t="n"/>
      <c r="F207" s="316" t="n"/>
      <c r="G207" s="317" t="n"/>
      <c r="H207" s="271">
        <f>IF(AND(ISNUMBER(F207),ISNUMBER(G207)),F207*G207,"")</f>
        <v/>
      </c>
      <c r="I207" s="316" t="n"/>
      <c r="J207" s="317" t="n"/>
      <c r="K207" s="271">
        <f>IF(AND(ISNUMBER(I207),ISNUMBER(J207)),I207*J207,"")</f>
        <v/>
      </c>
      <c r="L207" s="240">
        <f>IF(COUNT(F207,I207)=0,"",N(F207)-N(I207))</f>
        <v/>
      </c>
      <c r="M207" s="241">
        <f>IF(COUNT(H207,K207)=0,"",N(K207)-N(H207))</f>
        <v/>
      </c>
      <c r="N207" s="240">
        <f>IF(AND(ISNUMBER(F207),ISNUMBER(G207),F207&gt;0,1-N(Ввод!$E$17)/100&gt;0),MAX(0,(F207*G207-SUMPRODUCT((Закрытые!$B$5:$B$300=$B207)*((Закрытые!$F$5:$F$300+Закрытые!$I$5:$I$300-ABS(Закрытые!$F$5:$F$300-Закрытые!$I$5:$I$300))/2)*(Закрытые!$J$5:$J$300-Закрытые!$G$5:$G$300)))/F207)/(1-N(Ввод!$E$17)/100),IF(AND(ISNUMBER(I207),ISNUMBER(J207),I207&gt;0),MAX(0,(I207*J207+SUMPRODUCT((Закрытые!$B$5:$B$300=$B207)*((Закрытые!$F$5:$F$300+Закрытые!$I$5:$I$300-ABS(Закрытые!$F$5:$F$300-Закрытые!$I$5:$I$300))/2)*(Закрытые!$J$5:$J$300-Закрытые!$G$5:$G$300)))/I207)/(1+N(Ввод!$E$17)/100),""))</f>
        <v/>
      </c>
    </row>
    <row r="208" ht="22" customHeight="1">
      <c r="B208" s="318" t="n"/>
      <c r="C208" s="319" t="n"/>
      <c r="D208" s="318" t="n"/>
      <c r="E208" s="320" t="n"/>
      <c r="F208" s="321" t="n"/>
      <c r="G208" s="322" t="n"/>
      <c r="H208" s="271">
        <f>IF(AND(ISNUMBER(F208),ISNUMBER(G208)),F208*G208,"")</f>
        <v/>
      </c>
      <c r="I208" s="321" t="n"/>
      <c r="J208" s="322" t="n"/>
      <c r="K208" s="271">
        <f>IF(AND(ISNUMBER(I208),ISNUMBER(J208)),I208*J208,"")</f>
        <v/>
      </c>
      <c r="L208" s="246">
        <f>IF(COUNT(F208,I208)=0,"",N(F208)-N(I208))</f>
        <v/>
      </c>
      <c r="M208" s="247">
        <f>IF(COUNT(H208,K208)=0,"",N(K208)-N(H208))</f>
        <v/>
      </c>
      <c r="N208" s="246">
        <f>IF(AND(ISNUMBER(F208),ISNUMBER(G208),F208&gt;0,1-N(Ввод!$E$17)/100&gt;0),MAX(0,(F208*G208-SUMPRODUCT((Закрытые!$B$5:$B$300=$B208)*((Закрытые!$F$5:$F$300+Закрытые!$I$5:$I$300-ABS(Закрытые!$F$5:$F$300-Закрытые!$I$5:$I$300))/2)*(Закрытые!$J$5:$J$300-Закрытые!$G$5:$G$300)))/F208)/(1-N(Ввод!$E$17)/100),IF(AND(ISNUMBER(I208),ISNUMBER(J208),I208&gt;0),MAX(0,(I208*J208+SUMPRODUCT((Закрытые!$B$5:$B$300=$B208)*((Закрытые!$F$5:$F$300+Закрытые!$I$5:$I$300-ABS(Закрытые!$F$5:$F$300-Закрытые!$I$5:$I$300))/2)*(Закрытые!$J$5:$J$300-Закрытые!$G$5:$G$300)))/I208)/(1+N(Ввод!$E$17)/100),""))</f>
        <v/>
      </c>
    </row>
    <row r="209" ht="22" customHeight="1">
      <c r="B209" s="313" t="n"/>
      <c r="C209" s="314" t="n"/>
      <c r="D209" s="313" t="n"/>
      <c r="E209" s="315" t="n"/>
      <c r="F209" s="316" t="n"/>
      <c r="G209" s="317" t="n"/>
      <c r="H209" s="271">
        <f>IF(AND(ISNUMBER(F209),ISNUMBER(G209)),F209*G209,"")</f>
        <v/>
      </c>
      <c r="I209" s="316" t="n"/>
      <c r="J209" s="317" t="n"/>
      <c r="K209" s="271">
        <f>IF(AND(ISNUMBER(I209),ISNUMBER(J209)),I209*J209,"")</f>
        <v/>
      </c>
      <c r="L209" s="240">
        <f>IF(COUNT(F209,I209)=0,"",N(F209)-N(I209))</f>
        <v/>
      </c>
      <c r="M209" s="241">
        <f>IF(COUNT(H209,K209)=0,"",N(K209)-N(H209))</f>
        <v/>
      </c>
      <c r="N209" s="240">
        <f>IF(AND(ISNUMBER(F209),ISNUMBER(G209),F209&gt;0,1-N(Ввод!$E$17)/100&gt;0),MAX(0,(F209*G209-SUMPRODUCT((Закрытые!$B$5:$B$300=$B209)*((Закрытые!$F$5:$F$300+Закрытые!$I$5:$I$300-ABS(Закрытые!$F$5:$F$300-Закрытые!$I$5:$I$300))/2)*(Закрытые!$J$5:$J$300-Закрытые!$G$5:$G$300)))/F209)/(1-N(Ввод!$E$17)/100),IF(AND(ISNUMBER(I209),ISNUMBER(J209),I209&gt;0),MAX(0,(I209*J209+SUMPRODUCT((Закрытые!$B$5:$B$300=$B209)*((Закрытые!$F$5:$F$300+Закрытые!$I$5:$I$300-ABS(Закрытые!$F$5:$F$300-Закрытые!$I$5:$I$300))/2)*(Закрытые!$J$5:$J$300-Закрытые!$G$5:$G$300)))/I209)/(1+N(Ввод!$E$17)/100),""))</f>
        <v/>
      </c>
    </row>
    <row r="210" ht="22" customHeight="1">
      <c r="B210" s="318" t="n"/>
      <c r="C210" s="319" t="n"/>
      <c r="D210" s="318" t="n"/>
      <c r="E210" s="320" t="n"/>
      <c r="F210" s="321" t="n"/>
      <c r="G210" s="322" t="n"/>
      <c r="H210" s="271">
        <f>IF(AND(ISNUMBER(F210),ISNUMBER(G210)),F210*G210,"")</f>
        <v/>
      </c>
      <c r="I210" s="321" t="n"/>
      <c r="J210" s="322" t="n"/>
      <c r="K210" s="271">
        <f>IF(AND(ISNUMBER(I210),ISNUMBER(J210)),I210*J210,"")</f>
        <v/>
      </c>
      <c r="L210" s="246">
        <f>IF(COUNT(F210,I210)=0,"",N(F210)-N(I210))</f>
        <v/>
      </c>
      <c r="M210" s="247">
        <f>IF(COUNT(H210,K210)=0,"",N(K210)-N(H210))</f>
        <v/>
      </c>
      <c r="N210" s="246">
        <f>IF(AND(ISNUMBER(F210),ISNUMBER(G210),F210&gt;0,1-N(Ввод!$E$17)/100&gt;0),MAX(0,(F210*G210-SUMPRODUCT((Закрытые!$B$5:$B$300=$B210)*((Закрытые!$F$5:$F$300+Закрытые!$I$5:$I$300-ABS(Закрытые!$F$5:$F$300-Закрытые!$I$5:$I$300))/2)*(Закрытые!$J$5:$J$300-Закрытые!$G$5:$G$300)))/F210)/(1-N(Ввод!$E$17)/100),IF(AND(ISNUMBER(I210),ISNUMBER(J210),I210&gt;0),MAX(0,(I210*J210+SUMPRODUCT((Закрытые!$B$5:$B$300=$B210)*((Закрытые!$F$5:$F$300+Закрытые!$I$5:$I$300-ABS(Закрытые!$F$5:$F$300-Закрытые!$I$5:$I$300))/2)*(Закрытые!$J$5:$J$300-Закрытые!$G$5:$G$300)))/I210)/(1+N(Ввод!$E$17)/100),""))</f>
        <v/>
      </c>
    </row>
    <row r="211" ht="22" customHeight="1">
      <c r="B211" s="313" t="n"/>
      <c r="C211" s="314" t="n"/>
      <c r="D211" s="313" t="n"/>
      <c r="E211" s="315" t="n"/>
      <c r="F211" s="316" t="n"/>
      <c r="G211" s="317" t="n"/>
      <c r="H211" s="271">
        <f>IF(AND(ISNUMBER(F211),ISNUMBER(G211)),F211*G211,"")</f>
        <v/>
      </c>
      <c r="I211" s="316" t="n"/>
      <c r="J211" s="317" t="n"/>
      <c r="K211" s="271">
        <f>IF(AND(ISNUMBER(I211),ISNUMBER(J211)),I211*J211,"")</f>
        <v/>
      </c>
      <c r="L211" s="240">
        <f>IF(COUNT(F211,I211)=0,"",N(F211)-N(I211))</f>
        <v/>
      </c>
      <c r="M211" s="241">
        <f>IF(COUNT(H211,K211)=0,"",N(K211)-N(H211))</f>
        <v/>
      </c>
      <c r="N211" s="240">
        <f>IF(AND(ISNUMBER(F211),ISNUMBER(G211),F211&gt;0,1-N(Ввод!$E$17)/100&gt;0),MAX(0,(F211*G211-SUMPRODUCT((Закрытые!$B$5:$B$300=$B211)*((Закрытые!$F$5:$F$300+Закрытые!$I$5:$I$300-ABS(Закрытые!$F$5:$F$300-Закрытые!$I$5:$I$300))/2)*(Закрытые!$J$5:$J$300-Закрытые!$G$5:$G$300)))/F211)/(1-N(Ввод!$E$17)/100),IF(AND(ISNUMBER(I211),ISNUMBER(J211),I211&gt;0),MAX(0,(I211*J211+SUMPRODUCT((Закрытые!$B$5:$B$300=$B211)*((Закрытые!$F$5:$F$300+Закрытые!$I$5:$I$300-ABS(Закрытые!$F$5:$F$300-Закрытые!$I$5:$I$300))/2)*(Закрытые!$J$5:$J$300-Закрытые!$G$5:$G$300)))/I211)/(1+N(Ввод!$E$17)/100),""))</f>
        <v/>
      </c>
    </row>
    <row r="212" ht="22" customHeight="1">
      <c r="B212" s="318" t="n"/>
      <c r="C212" s="319" t="n"/>
      <c r="D212" s="318" t="n"/>
      <c r="E212" s="320" t="n"/>
      <c r="F212" s="321" t="n"/>
      <c r="G212" s="322" t="n"/>
      <c r="H212" s="271">
        <f>IF(AND(ISNUMBER(F212),ISNUMBER(G212)),F212*G212,"")</f>
        <v/>
      </c>
      <c r="I212" s="321" t="n"/>
      <c r="J212" s="322" t="n"/>
      <c r="K212" s="271">
        <f>IF(AND(ISNUMBER(I212),ISNUMBER(J212)),I212*J212,"")</f>
        <v/>
      </c>
      <c r="L212" s="246">
        <f>IF(COUNT(F212,I212)=0,"",N(F212)-N(I212))</f>
        <v/>
      </c>
      <c r="M212" s="247">
        <f>IF(COUNT(H212,K212)=0,"",N(K212)-N(H212))</f>
        <v/>
      </c>
      <c r="N212" s="246">
        <f>IF(AND(ISNUMBER(F212),ISNUMBER(G212),F212&gt;0,1-N(Ввод!$E$17)/100&gt;0),MAX(0,(F212*G212-SUMPRODUCT((Закрытые!$B$5:$B$300=$B212)*((Закрытые!$F$5:$F$300+Закрытые!$I$5:$I$300-ABS(Закрытые!$F$5:$F$300-Закрытые!$I$5:$I$300))/2)*(Закрытые!$J$5:$J$300-Закрытые!$G$5:$G$300)))/F212)/(1-N(Ввод!$E$17)/100),IF(AND(ISNUMBER(I212),ISNUMBER(J212),I212&gt;0),MAX(0,(I212*J212+SUMPRODUCT((Закрытые!$B$5:$B$300=$B212)*((Закрытые!$F$5:$F$300+Закрытые!$I$5:$I$300-ABS(Закрытые!$F$5:$F$300-Закрытые!$I$5:$I$300))/2)*(Закрытые!$J$5:$J$300-Закрытые!$G$5:$G$300)))/I212)/(1+N(Ввод!$E$17)/100),""))</f>
        <v/>
      </c>
    </row>
    <row r="213" ht="22" customHeight="1">
      <c r="B213" s="313" t="n"/>
      <c r="C213" s="314" t="n"/>
      <c r="D213" s="313" t="n"/>
      <c r="E213" s="315" t="n"/>
      <c r="F213" s="316" t="n"/>
      <c r="G213" s="317" t="n"/>
      <c r="H213" s="271">
        <f>IF(AND(ISNUMBER(F213),ISNUMBER(G213)),F213*G213,"")</f>
        <v/>
      </c>
      <c r="I213" s="316" t="n"/>
      <c r="J213" s="317" t="n"/>
      <c r="K213" s="271">
        <f>IF(AND(ISNUMBER(I213),ISNUMBER(J213)),I213*J213,"")</f>
        <v/>
      </c>
      <c r="L213" s="240">
        <f>IF(COUNT(F213,I213)=0,"",N(F213)-N(I213))</f>
        <v/>
      </c>
      <c r="M213" s="241">
        <f>IF(COUNT(H213,K213)=0,"",N(K213)-N(H213))</f>
        <v/>
      </c>
      <c r="N213" s="240">
        <f>IF(AND(ISNUMBER(F213),ISNUMBER(G213),F213&gt;0,1-N(Ввод!$E$17)/100&gt;0),MAX(0,(F213*G213-SUMPRODUCT((Закрытые!$B$5:$B$300=$B213)*((Закрытые!$F$5:$F$300+Закрытые!$I$5:$I$300-ABS(Закрытые!$F$5:$F$300-Закрытые!$I$5:$I$300))/2)*(Закрытые!$J$5:$J$300-Закрытые!$G$5:$G$300)))/F213)/(1-N(Ввод!$E$17)/100),IF(AND(ISNUMBER(I213),ISNUMBER(J213),I213&gt;0),MAX(0,(I213*J213+SUMPRODUCT((Закрытые!$B$5:$B$300=$B213)*((Закрытые!$F$5:$F$300+Закрытые!$I$5:$I$300-ABS(Закрытые!$F$5:$F$300-Закрытые!$I$5:$I$300))/2)*(Закрытые!$J$5:$J$300-Закрытые!$G$5:$G$300)))/I213)/(1+N(Ввод!$E$17)/100),""))</f>
        <v/>
      </c>
    </row>
    <row r="214" ht="22" customHeight="1">
      <c r="B214" s="318" t="n"/>
      <c r="C214" s="319" t="n"/>
      <c r="D214" s="318" t="n"/>
      <c r="E214" s="320" t="n"/>
      <c r="F214" s="321" t="n"/>
      <c r="G214" s="322" t="n"/>
      <c r="H214" s="271">
        <f>IF(AND(ISNUMBER(F214),ISNUMBER(G214)),F214*G214,"")</f>
        <v/>
      </c>
      <c r="I214" s="321" t="n"/>
      <c r="J214" s="322" t="n"/>
      <c r="K214" s="271">
        <f>IF(AND(ISNUMBER(I214),ISNUMBER(J214)),I214*J214,"")</f>
        <v/>
      </c>
      <c r="L214" s="246">
        <f>IF(COUNT(F214,I214)=0,"",N(F214)-N(I214))</f>
        <v/>
      </c>
      <c r="M214" s="247">
        <f>IF(COUNT(H214,K214)=0,"",N(K214)-N(H214))</f>
        <v/>
      </c>
      <c r="N214" s="246">
        <f>IF(AND(ISNUMBER(F214),ISNUMBER(G214),F214&gt;0,1-N(Ввод!$E$17)/100&gt;0),MAX(0,(F214*G214-SUMPRODUCT((Закрытые!$B$5:$B$300=$B214)*((Закрытые!$F$5:$F$300+Закрытые!$I$5:$I$300-ABS(Закрытые!$F$5:$F$300-Закрытые!$I$5:$I$300))/2)*(Закрытые!$J$5:$J$300-Закрытые!$G$5:$G$300)))/F214)/(1-N(Ввод!$E$17)/100),IF(AND(ISNUMBER(I214),ISNUMBER(J214),I214&gt;0),MAX(0,(I214*J214+SUMPRODUCT((Закрытые!$B$5:$B$300=$B214)*((Закрытые!$F$5:$F$300+Закрытые!$I$5:$I$300-ABS(Закрытые!$F$5:$F$300-Закрытые!$I$5:$I$300))/2)*(Закрытые!$J$5:$J$300-Закрытые!$G$5:$G$300)))/I214)/(1+N(Ввод!$E$17)/100),""))</f>
        <v/>
      </c>
    </row>
    <row r="215" ht="22" customHeight="1">
      <c r="B215" s="313" t="n"/>
      <c r="C215" s="314" t="n"/>
      <c r="D215" s="313" t="n"/>
      <c r="E215" s="315" t="n"/>
      <c r="F215" s="316" t="n"/>
      <c r="G215" s="317" t="n"/>
      <c r="H215" s="271">
        <f>IF(AND(ISNUMBER(F215),ISNUMBER(G215)),F215*G215,"")</f>
        <v/>
      </c>
      <c r="I215" s="316" t="n"/>
      <c r="J215" s="317" t="n"/>
      <c r="K215" s="271">
        <f>IF(AND(ISNUMBER(I215),ISNUMBER(J215)),I215*J215,"")</f>
        <v/>
      </c>
      <c r="L215" s="240">
        <f>IF(COUNT(F215,I215)=0,"",N(F215)-N(I215))</f>
        <v/>
      </c>
      <c r="M215" s="241">
        <f>IF(COUNT(H215,K215)=0,"",N(K215)-N(H215))</f>
        <v/>
      </c>
      <c r="N215" s="240">
        <f>IF(AND(ISNUMBER(F215),ISNUMBER(G215),F215&gt;0,1-N(Ввод!$E$17)/100&gt;0),MAX(0,(F215*G215-SUMPRODUCT((Закрытые!$B$5:$B$300=$B215)*((Закрытые!$F$5:$F$300+Закрытые!$I$5:$I$300-ABS(Закрытые!$F$5:$F$300-Закрытые!$I$5:$I$300))/2)*(Закрытые!$J$5:$J$300-Закрытые!$G$5:$G$300)))/F215)/(1-N(Ввод!$E$17)/100),IF(AND(ISNUMBER(I215),ISNUMBER(J215),I215&gt;0),MAX(0,(I215*J215+SUMPRODUCT((Закрытые!$B$5:$B$300=$B215)*((Закрытые!$F$5:$F$300+Закрытые!$I$5:$I$300-ABS(Закрытые!$F$5:$F$300-Закрытые!$I$5:$I$300))/2)*(Закрытые!$J$5:$J$300-Закрытые!$G$5:$G$300)))/I215)/(1+N(Ввод!$E$17)/100),""))</f>
        <v/>
      </c>
    </row>
    <row r="216" ht="22" customHeight="1">
      <c r="B216" s="318" t="n"/>
      <c r="C216" s="319" t="n"/>
      <c r="D216" s="318" t="n"/>
      <c r="E216" s="320" t="n"/>
      <c r="F216" s="321" t="n"/>
      <c r="G216" s="322" t="n"/>
      <c r="H216" s="271">
        <f>IF(AND(ISNUMBER(F216),ISNUMBER(G216)),F216*G216,"")</f>
        <v/>
      </c>
      <c r="I216" s="321" t="n"/>
      <c r="J216" s="322" t="n"/>
      <c r="K216" s="271">
        <f>IF(AND(ISNUMBER(I216),ISNUMBER(J216)),I216*J216,"")</f>
        <v/>
      </c>
      <c r="L216" s="246">
        <f>IF(COUNT(F216,I216)=0,"",N(F216)-N(I216))</f>
        <v/>
      </c>
      <c r="M216" s="247">
        <f>IF(COUNT(H216,K216)=0,"",N(K216)-N(H216))</f>
        <v/>
      </c>
      <c r="N216" s="246">
        <f>IF(AND(ISNUMBER(F216),ISNUMBER(G216),F216&gt;0,1-N(Ввод!$E$17)/100&gt;0),MAX(0,(F216*G216-SUMPRODUCT((Закрытые!$B$5:$B$300=$B216)*((Закрытые!$F$5:$F$300+Закрытые!$I$5:$I$300-ABS(Закрытые!$F$5:$F$300-Закрытые!$I$5:$I$300))/2)*(Закрытые!$J$5:$J$300-Закрытые!$G$5:$G$300)))/F216)/(1-N(Ввод!$E$17)/100),IF(AND(ISNUMBER(I216),ISNUMBER(J216),I216&gt;0),MAX(0,(I216*J216+SUMPRODUCT((Закрытые!$B$5:$B$300=$B216)*((Закрытые!$F$5:$F$300+Закрытые!$I$5:$I$300-ABS(Закрытые!$F$5:$F$300-Закрытые!$I$5:$I$300))/2)*(Закрытые!$J$5:$J$300-Закрытые!$G$5:$G$300)))/I216)/(1+N(Ввод!$E$17)/100),""))</f>
        <v/>
      </c>
    </row>
    <row r="217" ht="22" customHeight="1">
      <c r="B217" s="313" t="n"/>
      <c r="C217" s="314" t="n"/>
      <c r="D217" s="313" t="n"/>
      <c r="E217" s="315" t="n"/>
      <c r="F217" s="316" t="n"/>
      <c r="G217" s="317" t="n"/>
      <c r="H217" s="271">
        <f>IF(AND(ISNUMBER(F217),ISNUMBER(G217)),F217*G217,"")</f>
        <v/>
      </c>
      <c r="I217" s="316" t="n"/>
      <c r="J217" s="317" t="n"/>
      <c r="K217" s="271">
        <f>IF(AND(ISNUMBER(I217),ISNUMBER(J217)),I217*J217,"")</f>
        <v/>
      </c>
      <c r="L217" s="240">
        <f>IF(COUNT(F217,I217)=0,"",N(F217)-N(I217))</f>
        <v/>
      </c>
      <c r="M217" s="241">
        <f>IF(COUNT(H217,K217)=0,"",N(K217)-N(H217))</f>
        <v/>
      </c>
      <c r="N217" s="240">
        <f>IF(AND(ISNUMBER(F217),ISNUMBER(G217),F217&gt;0,1-N(Ввод!$E$17)/100&gt;0),MAX(0,(F217*G217-SUMPRODUCT((Закрытые!$B$5:$B$300=$B217)*((Закрытые!$F$5:$F$300+Закрытые!$I$5:$I$300-ABS(Закрытые!$F$5:$F$300-Закрытые!$I$5:$I$300))/2)*(Закрытые!$J$5:$J$300-Закрытые!$G$5:$G$300)))/F217)/(1-N(Ввод!$E$17)/100),IF(AND(ISNUMBER(I217),ISNUMBER(J217),I217&gt;0),MAX(0,(I217*J217+SUMPRODUCT((Закрытые!$B$5:$B$300=$B217)*((Закрытые!$F$5:$F$300+Закрытые!$I$5:$I$300-ABS(Закрытые!$F$5:$F$300-Закрытые!$I$5:$I$300))/2)*(Закрытые!$J$5:$J$300-Закрытые!$G$5:$G$300)))/I217)/(1+N(Ввод!$E$17)/100),""))</f>
        <v/>
      </c>
    </row>
    <row r="218" ht="22" customHeight="1">
      <c r="B218" s="318" t="n"/>
      <c r="C218" s="319" t="n"/>
      <c r="D218" s="318" t="n"/>
      <c r="E218" s="320" t="n"/>
      <c r="F218" s="321" t="n"/>
      <c r="G218" s="322" t="n"/>
      <c r="H218" s="271">
        <f>IF(AND(ISNUMBER(F218),ISNUMBER(G218)),F218*G218,"")</f>
        <v/>
      </c>
      <c r="I218" s="321" t="n"/>
      <c r="J218" s="322" t="n"/>
      <c r="K218" s="271">
        <f>IF(AND(ISNUMBER(I218),ISNUMBER(J218)),I218*J218,"")</f>
        <v/>
      </c>
      <c r="L218" s="246">
        <f>IF(COUNT(F218,I218)=0,"",N(F218)-N(I218))</f>
        <v/>
      </c>
      <c r="M218" s="247">
        <f>IF(COUNT(H218,K218)=0,"",N(K218)-N(H218))</f>
        <v/>
      </c>
      <c r="N218" s="246">
        <f>IF(AND(ISNUMBER(F218),ISNUMBER(G218),F218&gt;0,1-N(Ввод!$E$17)/100&gt;0),MAX(0,(F218*G218-SUMPRODUCT((Закрытые!$B$5:$B$300=$B218)*((Закрытые!$F$5:$F$300+Закрытые!$I$5:$I$300-ABS(Закрытые!$F$5:$F$300-Закрытые!$I$5:$I$300))/2)*(Закрытые!$J$5:$J$300-Закрытые!$G$5:$G$300)))/F218)/(1-N(Ввод!$E$17)/100),IF(AND(ISNUMBER(I218),ISNUMBER(J218),I218&gt;0),MAX(0,(I218*J218+SUMPRODUCT((Закрытые!$B$5:$B$300=$B218)*((Закрытые!$F$5:$F$300+Закрытые!$I$5:$I$300-ABS(Закрытые!$F$5:$F$300-Закрытые!$I$5:$I$300))/2)*(Закрытые!$J$5:$J$300-Закрытые!$G$5:$G$300)))/I218)/(1+N(Ввод!$E$17)/100),""))</f>
        <v/>
      </c>
    </row>
    <row r="219" ht="22" customHeight="1">
      <c r="B219" s="313" t="n"/>
      <c r="C219" s="314" t="n"/>
      <c r="D219" s="313" t="n"/>
      <c r="E219" s="315" t="n"/>
      <c r="F219" s="316" t="n"/>
      <c r="G219" s="317" t="n"/>
      <c r="H219" s="271">
        <f>IF(AND(ISNUMBER(F219),ISNUMBER(G219)),F219*G219,"")</f>
        <v/>
      </c>
      <c r="I219" s="316" t="n"/>
      <c r="J219" s="317" t="n"/>
      <c r="K219" s="271">
        <f>IF(AND(ISNUMBER(I219),ISNUMBER(J219)),I219*J219,"")</f>
        <v/>
      </c>
      <c r="L219" s="240">
        <f>IF(COUNT(F219,I219)=0,"",N(F219)-N(I219))</f>
        <v/>
      </c>
      <c r="M219" s="241">
        <f>IF(COUNT(H219,K219)=0,"",N(K219)-N(H219))</f>
        <v/>
      </c>
      <c r="N219" s="240">
        <f>IF(AND(ISNUMBER(F219),ISNUMBER(G219),F219&gt;0,1-N(Ввод!$E$17)/100&gt;0),MAX(0,(F219*G219-SUMPRODUCT((Закрытые!$B$5:$B$300=$B219)*((Закрытые!$F$5:$F$300+Закрытые!$I$5:$I$300-ABS(Закрытые!$F$5:$F$300-Закрытые!$I$5:$I$300))/2)*(Закрытые!$J$5:$J$300-Закрытые!$G$5:$G$300)))/F219)/(1-N(Ввод!$E$17)/100),IF(AND(ISNUMBER(I219),ISNUMBER(J219),I219&gt;0),MAX(0,(I219*J219+SUMPRODUCT((Закрытые!$B$5:$B$300=$B219)*((Закрытые!$F$5:$F$300+Закрытые!$I$5:$I$300-ABS(Закрытые!$F$5:$F$300-Закрытые!$I$5:$I$300))/2)*(Закрытые!$J$5:$J$300-Закрытые!$G$5:$G$300)))/I219)/(1+N(Ввод!$E$17)/100),""))</f>
        <v/>
      </c>
    </row>
    <row r="220" ht="22" customHeight="1">
      <c r="B220" s="318" t="n"/>
      <c r="C220" s="319" t="n"/>
      <c r="D220" s="318" t="n"/>
      <c r="E220" s="320" t="n"/>
      <c r="F220" s="321" t="n"/>
      <c r="G220" s="322" t="n"/>
      <c r="H220" s="271">
        <f>IF(AND(ISNUMBER(F220),ISNUMBER(G220)),F220*G220,"")</f>
        <v/>
      </c>
      <c r="I220" s="321" t="n"/>
      <c r="J220" s="322" t="n"/>
      <c r="K220" s="271">
        <f>IF(AND(ISNUMBER(I220),ISNUMBER(J220)),I220*J220,"")</f>
        <v/>
      </c>
      <c r="L220" s="246">
        <f>IF(COUNT(F220,I220)=0,"",N(F220)-N(I220))</f>
        <v/>
      </c>
      <c r="M220" s="247">
        <f>IF(COUNT(H220,K220)=0,"",N(K220)-N(H220))</f>
        <v/>
      </c>
      <c r="N220" s="246">
        <f>IF(AND(ISNUMBER(F220),ISNUMBER(G220),F220&gt;0,1-N(Ввод!$E$17)/100&gt;0),MAX(0,(F220*G220-SUMPRODUCT((Закрытые!$B$5:$B$300=$B220)*((Закрытые!$F$5:$F$300+Закрытые!$I$5:$I$300-ABS(Закрытые!$F$5:$F$300-Закрытые!$I$5:$I$300))/2)*(Закрытые!$J$5:$J$300-Закрытые!$G$5:$G$300)))/F220)/(1-N(Ввод!$E$17)/100),IF(AND(ISNUMBER(I220),ISNUMBER(J220),I220&gt;0),MAX(0,(I220*J220+SUMPRODUCT((Закрытые!$B$5:$B$300=$B220)*((Закрытые!$F$5:$F$300+Закрытые!$I$5:$I$300-ABS(Закрытые!$F$5:$F$300-Закрытые!$I$5:$I$300))/2)*(Закрытые!$J$5:$J$300-Закрытые!$G$5:$G$300)))/I220)/(1+N(Ввод!$E$17)/100),""))</f>
        <v/>
      </c>
    </row>
    <row r="221" ht="22" customHeight="1">
      <c r="B221" s="313" t="n"/>
      <c r="C221" s="314" t="n"/>
      <c r="D221" s="313" t="n"/>
      <c r="E221" s="315" t="n"/>
      <c r="F221" s="316" t="n"/>
      <c r="G221" s="317" t="n"/>
      <c r="H221" s="271">
        <f>IF(AND(ISNUMBER(F221),ISNUMBER(G221)),F221*G221,"")</f>
        <v/>
      </c>
      <c r="I221" s="316" t="n"/>
      <c r="J221" s="317" t="n"/>
      <c r="K221" s="271">
        <f>IF(AND(ISNUMBER(I221),ISNUMBER(J221)),I221*J221,"")</f>
        <v/>
      </c>
      <c r="L221" s="240">
        <f>IF(COUNT(F221,I221)=0,"",N(F221)-N(I221))</f>
        <v/>
      </c>
      <c r="M221" s="241">
        <f>IF(COUNT(H221,K221)=0,"",N(K221)-N(H221))</f>
        <v/>
      </c>
      <c r="N221" s="240">
        <f>IF(AND(ISNUMBER(F221),ISNUMBER(G221),F221&gt;0,1-N(Ввод!$E$17)/100&gt;0),MAX(0,(F221*G221-SUMPRODUCT((Закрытые!$B$5:$B$300=$B221)*((Закрытые!$F$5:$F$300+Закрытые!$I$5:$I$300-ABS(Закрытые!$F$5:$F$300-Закрытые!$I$5:$I$300))/2)*(Закрытые!$J$5:$J$300-Закрытые!$G$5:$G$300)))/F221)/(1-N(Ввод!$E$17)/100),IF(AND(ISNUMBER(I221),ISNUMBER(J221),I221&gt;0),MAX(0,(I221*J221+SUMPRODUCT((Закрытые!$B$5:$B$300=$B221)*((Закрытые!$F$5:$F$300+Закрытые!$I$5:$I$300-ABS(Закрытые!$F$5:$F$300-Закрытые!$I$5:$I$300))/2)*(Закрытые!$J$5:$J$300-Закрытые!$G$5:$G$300)))/I221)/(1+N(Ввод!$E$17)/100),""))</f>
        <v/>
      </c>
    </row>
    <row r="222" ht="22" customHeight="1">
      <c r="B222" s="318" t="n"/>
      <c r="C222" s="319" t="n"/>
      <c r="D222" s="318" t="n"/>
      <c r="E222" s="320" t="n"/>
      <c r="F222" s="321" t="n"/>
      <c r="G222" s="322" t="n"/>
      <c r="H222" s="271">
        <f>IF(AND(ISNUMBER(F222),ISNUMBER(G222)),F222*G222,"")</f>
        <v/>
      </c>
      <c r="I222" s="321" t="n"/>
      <c r="J222" s="322" t="n"/>
      <c r="K222" s="271">
        <f>IF(AND(ISNUMBER(I222),ISNUMBER(J222)),I222*J222,"")</f>
        <v/>
      </c>
      <c r="L222" s="246">
        <f>IF(COUNT(F222,I222)=0,"",N(F222)-N(I222))</f>
        <v/>
      </c>
      <c r="M222" s="247">
        <f>IF(COUNT(H222,K222)=0,"",N(K222)-N(H222))</f>
        <v/>
      </c>
      <c r="N222" s="246">
        <f>IF(AND(ISNUMBER(F222),ISNUMBER(G222),F222&gt;0,1-N(Ввод!$E$17)/100&gt;0),MAX(0,(F222*G222-SUMPRODUCT((Закрытые!$B$5:$B$300=$B222)*((Закрытые!$F$5:$F$300+Закрытые!$I$5:$I$300-ABS(Закрытые!$F$5:$F$300-Закрытые!$I$5:$I$300))/2)*(Закрытые!$J$5:$J$300-Закрытые!$G$5:$G$300)))/F222)/(1-N(Ввод!$E$17)/100),IF(AND(ISNUMBER(I222),ISNUMBER(J222),I222&gt;0),MAX(0,(I222*J222+SUMPRODUCT((Закрытые!$B$5:$B$300=$B222)*((Закрытые!$F$5:$F$300+Закрытые!$I$5:$I$300-ABS(Закрытые!$F$5:$F$300-Закрытые!$I$5:$I$300))/2)*(Закрытые!$J$5:$J$300-Закрытые!$G$5:$G$300)))/I222)/(1+N(Ввод!$E$17)/100),""))</f>
        <v/>
      </c>
    </row>
    <row r="223" ht="22" customHeight="1">
      <c r="B223" s="313" t="n"/>
      <c r="C223" s="314" t="n"/>
      <c r="D223" s="313" t="n"/>
      <c r="E223" s="315" t="n"/>
      <c r="F223" s="316" t="n"/>
      <c r="G223" s="317" t="n"/>
      <c r="H223" s="271">
        <f>IF(AND(ISNUMBER(F223),ISNUMBER(G223)),F223*G223,"")</f>
        <v/>
      </c>
      <c r="I223" s="316" t="n"/>
      <c r="J223" s="317" t="n"/>
      <c r="K223" s="271">
        <f>IF(AND(ISNUMBER(I223),ISNUMBER(J223)),I223*J223,"")</f>
        <v/>
      </c>
      <c r="L223" s="240">
        <f>IF(COUNT(F223,I223)=0,"",N(F223)-N(I223))</f>
        <v/>
      </c>
      <c r="M223" s="241">
        <f>IF(COUNT(H223,K223)=0,"",N(K223)-N(H223))</f>
        <v/>
      </c>
      <c r="N223" s="240">
        <f>IF(AND(ISNUMBER(F223),ISNUMBER(G223),F223&gt;0,1-N(Ввод!$E$17)/100&gt;0),MAX(0,(F223*G223-SUMPRODUCT((Закрытые!$B$5:$B$300=$B223)*((Закрытые!$F$5:$F$300+Закрытые!$I$5:$I$300-ABS(Закрытые!$F$5:$F$300-Закрытые!$I$5:$I$300))/2)*(Закрытые!$J$5:$J$300-Закрытые!$G$5:$G$300)))/F223)/(1-N(Ввод!$E$17)/100),IF(AND(ISNUMBER(I223),ISNUMBER(J223),I223&gt;0),MAX(0,(I223*J223+SUMPRODUCT((Закрытые!$B$5:$B$300=$B223)*((Закрытые!$F$5:$F$300+Закрытые!$I$5:$I$300-ABS(Закрытые!$F$5:$F$300-Закрытые!$I$5:$I$300))/2)*(Закрытые!$J$5:$J$300-Закрытые!$G$5:$G$300)))/I223)/(1+N(Ввод!$E$17)/100),""))</f>
        <v/>
      </c>
    </row>
    <row r="224" ht="22" customHeight="1">
      <c r="B224" s="318" t="n"/>
      <c r="C224" s="319" t="n"/>
      <c r="D224" s="318" t="n"/>
      <c r="E224" s="320" t="n"/>
      <c r="F224" s="321" t="n"/>
      <c r="G224" s="322" t="n"/>
      <c r="H224" s="271">
        <f>IF(AND(ISNUMBER(F224),ISNUMBER(G224)),F224*G224,"")</f>
        <v/>
      </c>
      <c r="I224" s="321" t="n"/>
      <c r="J224" s="322" t="n"/>
      <c r="K224" s="271">
        <f>IF(AND(ISNUMBER(I224),ISNUMBER(J224)),I224*J224,"")</f>
        <v/>
      </c>
      <c r="L224" s="246">
        <f>IF(COUNT(F224,I224)=0,"",N(F224)-N(I224))</f>
        <v/>
      </c>
      <c r="M224" s="247">
        <f>IF(COUNT(H224,K224)=0,"",N(K224)-N(H224))</f>
        <v/>
      </c>
      <c r="N224" s="246">
        <f>IF(AND(ISNUMBER(F224),ISNUMBER(G224),F224&gt;0,1-N(Ввод!$E$17)/100&gt;0),MAX(0,(F224*G224-SUMPRODUCT((Закрытые!$B$5:$B$300=$B224)*((Закрытые!$F$5:$F$300+Закрытые!$I$5:$I$300-ABS(Закрытые!$F$5:$F$300-Закрытые!$I$5:$I$300))/2)*(Закрытые!$J$5:$J$300-Закрытые!$G$5:$G$300)))/F224)/(1-N(Ввод!$E$17)/100),IF(AND(ISNUMBER(I224),ISNUMBER(J224),I224&gt;0),MAX(0,(I224*J224+SUMPRODUCT((Закрытые!$B$5:$B$300=$B224)*((Закрытые!$F$5:$F$300+Закрытые!$I$5:$I$300-ABS(Закрытые!$F$5:$F$300-Закрытые!$I$5:$I$300))/2)*(Закрытые!$J$5:$J$300-Закрытые!$G$5:$G$300)))/I224)/(1+N(Ввод!$E$17)/100),""))</f>
        <v/>
      </c>
    </row>
    <row r="225" ht="22" customHeight="1">
      <c r="B225" s="313" t="n"/>
      <c r="C225" s="314" t="n"/>
      <c r="D225" s="313" t="n"/>
      <c r="E225" s="315" t="n"/>
      <c r="F225" s="316" t="n"/>
      <c r="G225" s="317" t="n"/>
      <c r="H225" s="271">
        <f>IF(AND(ISNUMBER(F225),ISNUMBER(G225)),F225*G225,"")</f>
        <v/>
      </c>
      <c r="I225" s="316" t="n"/>
      <c r="J225" s="317" t="n"/>
      <c r="K225" s="271">
        <f>IF(AND(ISNUMBER(I225),ISNUMBER(J225)),I225*J225,"")</f>
        <v/>
      </c>
      <c r="L225" s="240">
        <f>IF(COUNT(F225,I225)=0,"",N(F225)-N(I225))</f>
        <v/>
      </c>
      <c r="M225" s="241">
        <f>IF(COUNT(H225,K225)=0,"",N(K225)-N(H225))</f>
        <v/>
      </c>
      <c r="N225" s="240">
        <f>IF(AND(ISNUMBER(F225),ISNUMBER(G225),F225&gt;0,1-N(Ввод!$E$17)/100&gt;0),MAX(0,(F225*G225-SUMPRODUCT((Закрытые!$B$5:$B$300=$B225)*((Закрытые!$F$5:$F$300+Закрытые!$I$5:$I$300-ABS(Закрытые!$F$5:$F$300-Закрытые!$I$5:$I$300))/2)*(Закрытые!$J$5:$J$300-Закрытые!$G$5:$G$300)))/F225)/(1-N(Ввод!$E$17)/100),IF(AND(ISNUMBER(I225),ISNUMBER(J225),I225&gt;0),MAX(0,(I225*J225+SUMPRODUCT((Закрытые!$B$5:$B$300=$B225)*((Закрытые!$F$5:$F$300+Закрытые!$I$5:$I$300-ABS(Закрытые!$F$5:$F$300-Закрытые!$I$5:$I$300))/2)*(Закрытые!$J$5:$J$300-Закрытые!$G$5:$G$300)))/I225)/(1+N(Ввод!$E$17)/100),""))</f>
        <v/>
      </c>
    </row>
    <row r="226" ht="22" customHeight="1">
      <c r="B226" s="318" t="n"/>
      <c r="C226" s="319" t="n"/>
      <c r="D226" s="318" t="n"/>
      <c r="E226" s="320" t="n"/>
      <c r="F226" s="321" t="n"/>
      <c r="G226" s="322" t="n"/>
      <c r="H226" s="271">
        <f>IF(AND(ISNUMBER(F226),ISNUMBER(G226)),F226*G226,"")</f>
        <v/>
      </c>
      <c r="I226" s="321" t="n"/>
      <c r="J226" s="322" t="n"/>
      <c r="K226" s="271">
        <f>IF(AND(ISNUMBER(I226),ISNUMBER(J226)),I226*J226,"")</f>
        <v/>
      </c>
      <c r="L226" s="246">
        <f>IF(COUNT(F226,I226)=0,"",N(F226)-N(I226))</f>
        <v/>
      </c>
      <c r="M226" s="247">
        <f>IF(COUNT(H226,K226)=0,"",N(K226)-N(H226))</f>
        <v/>
      </c>
      <c r="N226" s="246">
        <f>IF(AND(ISNUMBER(F226),ISNUMBER(G226),F226&gt;0,1-N(Ввод!$E$17)/100&gt;0),MAX(0,(F226*G226-SUMPRODUCT((Закрытые!$B$5:$B$300=$B226)*((Закрытые!$F$5:$F$300+Закрытые!$I$5:$I$300-ABS(Закрытые!$F$5:$F$300-Закрытые!$I$5:$I$300))/2)*(Закрытые!$J$5:$J$300-Закрытые!$G$5:$G$300)))/F226)/(1-N(Ввод!$E$17)/100),IF(AND(ISNUMBER(I226),ISNUMBER(J226),I226&gt;0),MAX(0,(I226*J226+SUMPRODUCT((Закрытые!$B$5:$B$300=$B226)*((Закрытые!$F$5:$F$300+Закрытые!$I$5:$I$300-ABS(Закрытые!$F$5:$F$300-Закрытые!$I$5:$I$300))/2)*(Закрытые!$J$5:$J$300-Закрытые!$G$5:$G$300)))/I226)/(1+N(Ввод!$E$17)/100),""))</f>
        <v/>
      </c>
    </row>
    <row r="227" ht="22" customHeight="1">
      <c r="B227" s="313" t="n"/>
      <c r="C227" s="314" t="n"/>
      <c r="D227" s="313" t="n"/>
      <c r="E227" s="315" t="n"/>
      <c r="F227" s="316" t="n"/>
      <c r="G227" s="317" t="n"/>
      <c r="H227" s="271">
        <f>IF(AND(ISNUMBER(F227),ISNUMBER(G227)),F227*G227,"")</f>
        <v/>
      </c>
      <c r="I227" s="316" t="n"/>
      <c r="J227" s="317" t="n"/>
      <c r="K227" s="271">
        <f>IF(AND(ISNUMBER(I227),ISNUMBER(J227)),I227*J227,"")</f>
        <v/>
      </c>
      <c r="L227" s="240">
        <f>IF(COUNT(F227,I227)=0,"",N(F227)-N(I227))</f>
        <v/>
      </c>
      <c r="M227" s="241">
        <f>IF(COUNT(H227,K227)=0,"",N(K227)-N(H227))</f>
        <v/>
      </c>
      <c r="N227" s="240">
        <f>IF(AND(ISNUMBER(F227),ISNUMBER(G227),F227&gt;0,1-N(Ввод!$E$17)/100&gt;0),MAX(0,(F227*G227-SUMPRODUCT((Закрытые!$B$5:$B$300=$B227)*((Закрытые!$F$5:$F$300+Закрытые!$I$5:$I$300-ABS(Закрытые!$F$5:$F$300-Закрытые!$I$5:$I$300))/2)*(Закрытые!$J$5:$J$300-Закрытые!$G$5:$G$300)))/F227)/(1-N(Ввод!$E$17)/100),IF(AND(ISNUMBER(I227),ISNUMBER(J227),I227&gt;0),MAX(0,(I227*J227+SUMPRODUCT((Закрытые!$B$5:$B$300=$B227)*((Закрытые!$F$5:$F$300+Закрытые!$I$5:$I$300-ABS(Закрытые!$F$5:$F$300-Закрытые!$I$5:$I$300))/2)*(Закрытые!$J$5:$J$300-Закрытые!$G$5:$G$300)))/I227)/(1+N(Ввод!$E$17)/100),""))</f>
        <v/>
      </c>
    </row>
    <row r="228" ht="22" customHeight="1">
      <c r="B228" s="318" t="n"/>
      <c r="C228" s="319" t="n"/>
      <c r="D228" s="318" t="n"/>
      <c r="E228" s="320" t="n"/>
      <c r="F228" s="321" t="n"/>
      <c r="G228" s="322" t="n"/>
      <c r="H228" s="271">
        <f>IF(AND(ISNUMBER(F228),ISNUMBER(G228)),F228*G228,"")</f>
        <v/>
      </c>
      <c r="I228" s="321" t="n"/>
      <c r="J228" s="322" t="n"/>
      <c r="K228" s="271">
        <f>IF(AND(ISNUMBER(I228),ISNUMBER(J228)),I228*J228,"")</f>
        <v/>
      </c>
      <c r="L228" s="246">
        <f>IF(COUNT(F228,I228)=0,"",N(F228)-N(I228))</f>
        <v/>
      </c>
      <c r="M228" s="247">
        <f>IF(COUNT(H228,K228)=0,"",N(K228)-N(H228))</f>
        <v/>
      </c>
      <c r="N228" s="246">
        <f>IF(AND(ISNUMBER(F228),ISNUMBER(G228),F228&gt;0,1-N(Ввод!$E$17)/100&gt;0),MAX(0,(F228*G228-SUMPRODUCT((Закрытые!$B$5:$B$300=$B228)*((Закрытые!$F$5:$F$300+Закрытые!$I$5:$I$300-ABS(Закрытые!$F$5:$F$300-Закрытые!$I$5:$I$300))/2)*(Закрытые!$J$5:$J$300-Закрытые!$G$5:$G$300)))/F228)/(1-N(Ввод!$E$17)/100),IF(AND(ISNUMBER(I228),ISNUMBER(J228),I228&gt;0),MAX(0,(I228*J228+SUMPRODUCT((Закрытые!$B$5:$B$300=$B228)*((Закрытые!$F$5:$F$300+Закрытые!$I$5:$I$300-ABS(Закрытые!$F$5:$F$300-Закрытые!$I$5:$I$300))/2)*(Закрытые!$J$5:$J$300-Закрытые!$G$5:$G$300)))/I228)/(1+N(Ввод!$E$17)/100),""))</f>
        <v/>
      </c>
    </row>
    <row r="229" ht="22" customHeight="1">
      <c r="B229" s="313" t="n"/>
      <c r="C229" s="314" t="n"/>
      <c r="D229" s="313" t="n"/>
      <c r="E229" s="315" t="n"/>
      <c r="F229" s="316" t="n"/>
      <c r="G229" s="317" t="n"/>
      <c r="H229" s="271">
        <f>IF(AND(ISNUMBER(F229),ISNUMBER(G229)),F229*G229,"")</f>
        <v/>
      </c>
      <c r="I229" s="316" t="n"/>
      <c r="J229" s="317" t="n"/>
      <c r="K229" s="271">
        <f>IF(AND(ISNUMBER(I229),ISNUMBER(J229)),I229*J229,"")</f>
        <v/>
      </c>
      <c r="L229" s="240">
        <f>IF(COUNT(F229,I229)=0,"",N(F229)-N(I229))</f>
        <v/>
      </c>
      <c r="M229" s="241">
        <f>IF(COUNT(H229,K229)=0,"",N(K229)-N(H229))</f>
        <v/>
      </c>
      <c r="N229" s="240">
        <f>IF(AND(ISNUMBER(F229),ISNUMBER(G229),F229&gt;0,1-N(Ввод!$E$17)/100&gt;0),MAX(0,(F229*G229-SUMPRODUCT((Закрытые!$B$5:$B$300=$B229)*((Закрытые!$F$5:$F$300+Закрытые!$I$5:$I$300-ABS(Закрытые!$F$5:$F$300-Закрытые!$I$5:$I$300))/2)*(Закрытые!$J$5:$J$300-Закрытые!$G$5:$G$300)))/F229)/(1-N(Ввод!$E$17)/100),IF(AND(ISNUMBER(I229),ISNUMBER(J229),I229&gt;0),MAX(0,(I229*J229+SUMPRODUCT((Закрытые!$B$5:$B$300=$B229)*((Закрытые!$F$5:$F$300+Закрытые!$I$5:$I$300-ABS(Закрытые!$F$5:$F$300-Закрытые!$I$5:$I$300))/2)*(Закрытые!$J$5:$J$300-Закрытые!$G$5:$G$300)))/I229)/(1+N(Ввод!$E$17)/100),""))</f>
        <v/>
      </c>
    </row>
    <row r="230" ht="22" customHeight="1">
      <c r="B230" s="318" t="n"/>
      <c r="C230" s="319" t="n"/>
      <c r="D230" s="318" t="n"/>
      <c r="E230" s="320" t="n"/>
      <c r="F230" s="321" t="n"/>
      <c r="G230" s="322" t="n"/>
      <c r="H230" s="271">
        <f>IF(AND(ISNUMBER(F230),ISNUMBER(G230)),F230*G230,"")</f>
        <v/>
      </c>
      <c r="I230" s="321" t="n"/>
      <c r="J230" s="322" t="n"/>
      <c r="K230" s="271">
        <f>IF(AND(ISNUMBER(I230),ISNUMBER(J230)),I230*J230,"")</f>
        <v/>
      </c>
      <c r="L230" s="246">
        <f>IF(COUNT(F230,I230)=0,"",N(F230)-N(I230))</f>
        <v/>
      </c>
      <c r="M230" s="247">
        <f>IF(COUNT(H230,K230)=0,"",N(K230)-N(H230))</f>
        <v/>
      </c>
      <c r="N230" s="246">
        <f>IF(AND(ISNUMBER(F230),ISNUMBER(G230),F230&gt;0,1-N(Ввод!$E$17)/100&gt;0),MAX(0,(F230*G230-SUMPRODUCT((Закрытые!$B$5:$B$300=$B230)*((Закрытые!$F$5:$F$300+Закрытые!$I$5:$I$300-ABS(Закрытые!$F$5:$F$300-Закрытые!$I$5:$I$300))/2)*(Закрытые!$J$5:$J$300-Закрытые!$G$5:$G$300)))/F230)/(1-N(Ввод!$E$17)/100),IF(AND(ISNUMBER(I230),ISNUMBER(J230),I230&gt;0),MAX(0,(I230*J230+SUMPRODUCT((Закрытые!$B$5:$B$300=$B230)*((Закрытые!$F$5:$F$300+Закрытые!$I$5:$I$300-ABS(Закрытые!$F$5:$F$300-Закрытые!$I$5:$I$300))/2)*(Закрытые!$J$5:$J$300-Закрытые!$G$5:$G$300)))/I230)/(1+N(Ввод!$E$17)/100),""))</f>
        <v/>
      </c>
    </row>
    <row r="231" ht="22" customHeight="1">
      <c r="B231" s="313" t="n"/>
      <c r="C231" s="314" t="n"/>
      <c r="D231" s="313" t="n"/>
      <c r="E231" s="315" t="n"/>
      <c r="F231" s="316" t="n"/>
      <c r="G231" s="317" t="n"/>
      <c r="H231" s="271">
        <f>IF(AND(ISNUMBER(F231),ISNUMBER(G231)),F231*G231,"")</f>
        <v/>
      </c>
      <c r="I231" s="316" t="n"/>
      <c r="J231" s="317" t="n"/>
      <c r="K231" s="271">
        <f>IF(AND(ISNUMBER(I231),ISNUMBER(J231)),I231*J231,"")</f>
        <v/>
      </c>
      <c r="L231" s="240">
        <f>IF(COUNT(F231,I231)=0,"",N(F231)-N(I231))</f>
        <v/>
      </c>
      <c r="M231" s="241">
        <f>IF(COUNT(H231,K231)=0,"",N(K231)-N(H231))</f>
        <v/>
      </c>
      <c r="N231" s="240">
        <f>IF(AND(ISNUMBER(F231),ISNUMBER(G231),F231&gt;0,1-N(Ввод!$E$17)/100&gt;0),MAX(0,(F231*G231-SUMPRODUCT((Закрытые!$B$5:$B$300=$B231)*((Закрытые!$F$5:$F$300+Закрытые!$I$5:$I$300-ABS(Закрытые!$F$5:$F$300-Закрытые!$I$5:$I$300))/2)*(Закрытые!$J$5:$J$300-Закрытые!$G$5:$G$300)))/F231)/(1-N(Ввод!$E$17)/100),IF(AND(ISNUMBER(I231),ISNUMBER(J231),I231&gt;0),MAX(0,(I231*J231+SUMPRODUCT((Закрытые!$B$5:$B$300=$B231)*((Закрытые!$F$5:$F$300+Закрытые!$I$5:$I$300-ABS(Закрытые!$F$5:$F$300-Закрытые!$I$5:$I$300))/2)*(Закрытые!$J$5:$J$300-Закрытые!$G$5:$G$300)))/I231)/(1+N(Ввод!$E$17)/100),""))</f>
        <v/>
      </c>
    </row>
    <row r="232" ht="22" customHeight="1">
      <c r="B232" s="318" t="n"/>
      <c r="C232" s="319" t="n"/>
      <c r="D232" s="318" t="n"/>
      <c r="E232" s="320" t="n"/>
      <c r="F232" s="321" t="n"/>
      <c r="G232" s="322" t="n"/>
      <c r="H232" s="271">
        <f>IF(AND(ISNUMBER(F232),ISNUMBER(G232)),F232*G232,"")</f>
        <v/>
      </c>
      <c r="I232" s="321" t="n"/>
      <c r="J232" s="322" t="n"/>
      <c r="K232" s="271">
        <f>IF(AND(ISNUMBER(I232),ISNUMBER(J232)),I232*J232,"")</f>
        <v/>
      </c>
      <c r="L232" s="246">
        <f>IF(COUNT(F232,I232)=0,"",N(F232)-N(I232))</f>
        <v/>
      </c>
      <c r="M232" s="247">
        <f>IF(COUNT(H232,K232)=0,"",N(K232)-N(H232))</f>
        <v/>
      </c>
      <c r="N232" s="246">
        <f>IF(AND(ISNUMBER(F232),ISNUMBER(G232),F232&gt;0,1-N(Ввод!$E$17)/100&gt;0),MAX(0,(F232*G232-SUMPRODUCT((Закрытые!$B$5:$B$300=$B232)*((Закрытые!$F$5:$F$300+Закрытые!$I$5:$I$300-ABS(Закрытые!$F$5:$F$300-Закрытые!$I$5:$I$300))/2)*(Закрытые!$J$5:$J$300-Закрытые!$G$5:$G$300)))/F232)/(1-N(Ввод!$E$17)/100),IF(AND(ISNUMBER(I232),ISNUMBER(J232),I232&gt;0),MAX(0,(I232*J232+SUMPRODUCT((Закрытые!$B$5:$B$300=$B232)*((Закрытые!$F$5:$F$300+Закрытые!$I$5:$I$300-ABS(Закрытые!$F$5:$F$300-Закрытые!$I$5:$I$300))/2)*(Закрытые!$J$5:$J$300-Закрытые!$G$5:$G$300)))/I232)/(1+N(Ввод!$E$17)/100),""))</f>
        <v/>
      </c>
    </row>
    <row r="233" ht="22" customHeight="1">
      <c r="B233" s="313" t="n"/>
      <c r="C233" s="314" t="n"/>
      <c r="D233" s="313" t="n"/>
      <c r="E233" s="315" t="n"/>
      <c r="F233" s="316" t="n"/>
      <c r="G233" s="317" t="n"/>
      <c r="H233" s="271">
        <f>IF(AND(ISNUMBER(F233),ISNUMBER(G233)),F233*G233,"")</f>
        <v/>
      </c>
      <c r="I233" s="316" t="n"/>
      <c r="J233" s="317" t="n"/>
      <c r="K233" s="271">
        <f>IF(AND(ISNUMBER(I233),ISNUMBER(J233)),I233*J233,"")</f>
        <v/>
      </c>
      <c r="L233" s="240">
        <f>IF(COUNT(F233,I233)=0,"",N(F233)-N(I233))</f>
        <v/>
      </c>
      <c r="M233" s="241">
        <f>IF(COUNT(H233,K233)=0,"",N(K233)-N(H233))</f>
        <v/>
      </c>
      <c r="N233" s="240">
        <f>IF(AND(ISNUMBER(F233),ISNUMBER(G233),F233&gt;0,1-N(Ввод!$E$17)/100&gt;0),MAX(0,(F233*G233-SUMPRODUCT((Закрытые!$B$5:$B$300=$B233)*((Закрытые!$F$5:$F$300+Закрытые!$I$5:$I$300-ABS(Закрытые!$F$5:$F$300-Закрытые!$I$5:$I$300))/2)*(Закрытые!$J$5:$J$300-Закрытые!$G$5:$G$300)))/F233)/(1-N(Ввод!$E$17)/100),IF(AND(ISNUMBER(I233),ISNUMBER(J233),I233&gt;0),MAX(0,(I233*J233+SUMPRODUCT((Закрытые!$B$5:$B$300=$B233)*((Закрытые!$F$5:$F$300+Закрытые!$I$5:$I$300-ABS(Закрытые!$F$5:$F$300-Закрытые!$I$5:$I$300))/2)*(Закрытые!$J$5:$J$300-Закрытые!$G$5:$G$300)))/I233)/(1+N(Ввод!$E$17)/100),""))</f>
        <v/>
      </c>
    </row>
    <row r="234" ht="22" customHeight="1">
      <c r="B234" s="318" t="n"/>
      <c r="C234" s="319" t="n"/>
      <c r="D234" s="318" t="n"/>
      <c r="E234" s="320" t="n"/>
      <c r="F234" s="321" t="n"/>
      <c r="G234" s="322" t="n"/>
      <c r="H234" s="271">
        <f>IF(AND(ISNUMBER(F234),ISNUMBER(G234)),F234*G234,"")</f>
        <v/>
      </c>
      <c r="I234" s="321" t="n"/>
      <c r="J234" s="322" t="n"/>
      <c r="K234" s="271">
        <f>IF(AND(ISNUMBER(I234),ISNUMBER(J234)),I234*J234,"")</f>
        <v/>
      </c>
      <c r="L234" s="246">
        <f>IF(COUNT(F234,I234)=0,"",N(F234)-N(I234))</f>
        <v/>
      </c>
      <c r="M234" s="247">
        <f>IF(COUNT(H234,K234)=0,"",N(K234)-N(H234))</f>
        <v/>
      </c>
      <c r="N234" s="246">
        <f>IF(AND(ISNUMBER(F234),ISNUMBER(G234),F234&gt;0,1-N(Ввод!$E$17)/100&gt;0),MAX(0,(F234*G234-SUMPRODUCT((Закрытые!$B$5:$B$300=$B234)*((Закрытые!$F$5:$F$300+Закрытые!$I$5:$I$300-ABS(Закрытые!$F$5:$F$300-Закрытые!$I$5:$I$300))/2)*(Закрытые!$J$5:$J$300-Закрытые!$G$5:$G$300)))/F234)/(1-N(Ввод!$E$17)/100),IF(AND(ISNUMBER(I234),ISNUMBER(J234),I234&gt;0),MAX(0,(I234*J234+SUMPRODUCT((Закрытые!$B$5:$B$300=$B234)*((Закрытые!$F$5:$F$300+Закрытые!$I$5:$I$300-ABS(Закрытые!$F$5:$F$300-Закрытые!$I$5:$I$300))/2)*(Закрытые!$J$5:$J$300-Закрытые!$G$5:$G$300)))/I234)/(1+N(Ввод!$E$17)/100),""))</f>
        <v/>
      </c>
    </row>
    <row r="235" ht="22" customHeight="1">
      <c r="B235" s="313" t="n"/>
      <c r="C235" s="314" t="n"/>
      <c r="D235" s="313" t="n"/>
      <c r="E235" s="315" t="n"/>
      <c r="F235" s="316" t="n"/>
      <c r="G235" s="317" t="n"/>
      <c r="H235" s="271">
        <f>IF(AND(ISNUMBER(F235),ISNUMBER(G235)),F235*G235,"")</f>
        <v/>
      </c>
      <c r="I235" s="316" t="n"/>
      <c r="J235" s="317" t="n"/>
      <c r="K235" s="271">
        <f>IF(AND(ISNUMBER(I235),ISNUMBER(J235)),I235*J235,"")</f>
        <v/>
      </c>
      <c r="L235" s="240">
        <f>IF(COUNT(F235,I235)=0,"",N(F235)-N(I235))</f>
        <v/>
      </c>
      <c r="M235" s="241">
        <f>IF(COUNT(H235,K235)=0,"",N(K235)-N(H235))</f>
        <v/>
      </c>
      <c r="N235" s="240">
        <f>IF(AND(ISNUMBER(F235),ISNUMBER(G235),F235&gt;0,1-N(Ввод!$E$17)/100&gt;0),MAX(0,(F235*G235-SUMPRODUCT((Закрытые!$B$5:$B$300=$B235)*((Закрытые!$F$5:$F$300+Закрытые!$I$5:$I$300-ABS(Закрытые!$F$5:$F$300-Закрытые!$I$5:$I$300))/2)*(Закрытые!$J$5:$J$300-Закрытые!$G$5:$G$300)))/F235)/(1-N(Ввод!$E$17)/100),IF(AND(ISNUMBER(I235),ISNUMBER(J235),I235&gt;0),MAX(0,(I235*J235+SUMPRODUCT((Закрытые!$B$5:$B$300=$B235)*((Закрытые!$F$5:$F$300+Закрытые!$I$5:$I$300-ABS(Закрытые!$F$5:$F$300-Закрытые!$I$5:$I$300))/2)*(Закрытые!$J$5:$J$300-Закрытые!$G$5:$G$300)))/I235)/(1+N(Ввод!$E$17)/100),""))</f>
        <v/>
      </c>
    </row>
    <row r="236" ht="22" customHeight="1">
      <c r="B236" s="318" t="n"/>
      <c r="C236" s="319" t="n"/>
      <c r="D236" s="318" t="n"/>
      <c r="E236" s="320" t="n"/>
      <c r="F236" s="321" t="n"/>
      <c r="G236" s="322" t="n"/>
      <c r="H236" s="271">
        <f>IF(AND(ISNUMBER(F236),ISNUMBER(G236)),F236*G236,"")</f>
        <v/>
      </c>
      <c r="I236" s="321" t="n"/>
      <c r="J236" s="322" t="n"/>
      <c r="K236" s="271">
        <f>IF(AND(ISNUMBER(I236),ISNUMBER(J236)),I236*J236,"")</f>
        <v/>
      </c>
      <c r="L236" s="246">
        <f>IF(COUNT(F236,I236)=0,"",N(F236)-N(I236))</f>
        <v/>
      </c>
      <c r="M236" s="247">
        <f>IF(COUNT(H236,K236)=0,"",N(K236)-N(H236))</f>
        <v/>
      </c>
      <c r="N236" s="246">
        <f>IF(AND(ISNUMBER(F236),ISNUMBER(G236),F236&gt;0,1-N(Ввод!$E$17)/100&gt;0),MAX(0,(F236*G236-SUMPRODUCT((Закрытые!$B$5:$B$300=$B236)*((Закрытые!$F$5:$F$300+Закрытые!$I$5:$I$300-ABS(Закрытые!$F$5:$F$300-Закрытые!$I$5:$I$300))/2)*(Закрытые!$J$5:$J$300-Закрытые!$G$5:$G$300)))/F236)/(1-N(Ввод!$E$17)/100),IF(AND(ISNUMBER(I236),ISNUMBER(J236),I236&gt;0),MAX(0,(I236*J236+SUMPRODUCT((Закрытые!$B$5:$B$300=$B236)*((Закрытые!$F$5:$F$300+Закрытые!$I$5:$I$300-ABS(Закрытые!$F$5:$F$300-Закрытые!$I$5:$I$300))/2)*(Закрытые!$J$5:$J$300-Закрытые!$G$5:$G$300)))/I236)/(1+N(Ввод!$E$17)/100),""))</f>
        <v/>
      </c>
    </row>
    <row r="237" ht="22" customHeight="1">
      <c r="B237" s="313" t="n"/>
      <c r="C237" s="314" t="n"/>
      <c r="D237" s="313" t="n"/>
      <c r="E237" s="315" t="n"/>
      <c r="F237" s="316" t="n"/>
      <c r="G237" s="317" t="n"/>
      <c r="H237" s="271">
        <f>IF(AND(ISNUMBER(F237),ISNUMBER(G237)),F237*G237,"")</f>
        <v/>
      </c>
      <c r="I237" s="316" t="n"/>
      <c r="J237" s="317" t="n"/>
      <c r="K237" s="271">
        <f>IF(AND(ISNUMBER(I237),ISNUMBER(J237)),I237*J237,"")</f>
        <v/>
      </c>
      <c r="L237" s="240">
        <f>IF(COUNT(F237,I237)=0,"",N(F237)-N(I237))</f>
        <v/>
      </c>
      <c r="M237" s="241">
        <f>IF(COUNT(H237,K237)=0,"",N(K237)-N(H237))</f>
        <v/>
      </c>
      <c r="N237" s="240">
        <f>IF(AND(ISNUMBER(F237),ISNUMBER(G237),F237&gt;0,1-N(Ввод!$E$17)/100&gt;0),MAX(0,(F237*G237-SUMPRODUCT((Закрытые!$B$5:$B$300=$B237)*((Закрытые!$F$5:$F$300+Закрытые!$I$5:$I$300-ABS(Закрытые!$F$5:$F$300-Закрытые!$I$5:$I$300))/2)*(Закрытые!$J$5:$J$300-Закрытые!$G$5:$G$300)))/F237)/(1-N(Ввод!$E$17)/100),IF(AND(ISNUMBER(I237),ISNUMBER(J237),I237&gt;0),MAX(0,(I237*J237+SUMPRODUCT((Закрытые!$B$5:$B$300=$B237)*((Закрытые!$F$5:$F$300+Закрытые!$I$5:$I$300-ABS(Закрытые!$F$5:$F$300-Закрытые!$I$5:$I$300))/2)*(Закрытые!$J$5:$J$300-Закрытые!$G$5:$G$300)))/I237)/(1+N(Ввод!$E$17)/100),""))</f>
        <v/>
      </c>
    </row>
    <row r="238" ht="22" customHeight="1">
      <c r="B238" s="318" t="n"/>
      <c r="C238" s="319" t="n"/>
      <c r="D238" s="318" t="n"/>
      <c r="E238" s="320" t="n"/>
      <c r="F238" s="321" t="n"/>
      <c r="G238" s="322" t="n"/>
      <c r="H238" s="271">
        <f>IF(AND(ISNUMBER(F238),ISNUMBER(G238)),F238*G238,"")</f>
        <v/>
      </c>
      <c r="I238" s="321" t="n"/>
      <c r="J238" s="322" t="n"/>
      <c r="K238" s="271">
        <f>IF(AND(ISNUMBER(I238),ISNUMBER(J238)),I238*J238,"")</f>
        <v/>
      </c>
      <c r="L238" s="246">
        <f>IF(COUNT(F238,I238)=0,"",N(F238)-N(I238))</f>
        <v/>
      </c>
      <c r="M238" s="247">
        <f>IF(COUNT(H238,K238)=0,"",N(K238)-N(H238))</f>
        <v/>
      </c>
      <c r="N238" s="246">
        <f>IF(AND(ISNUMBER(F238),ISNUMBER(G238),F238&gt;0,1-N(Ввод!$E$17)/100&gt;0),MAX(0,(F238*G238-SUMPRODUCT((Закрытые!$B$5:$B$300=$B238)*((Закрытые!$F$5:$F$300+Закрытые!$I$5:$I$300-ABS(Закрытые!$F$5:$F$300-Закрытые!$I$5:$I$300))/2)*(Закрытые!$J$5:$J$300-Закрытые!$G$5:$G$300)))/F238)/(1-N(Ввод!$E$17)/100),IF(AND(ISNUMBER(I238),ISNUMBER(J238),I238&gt;0),MAX(0,(I238*J238+SUMPRODUCT((Закрытые!$B$5:$B$300=$B238)*((Закрытые!$F$5:$F$300+Закрытые!$I$5:$I$300-ABS(Закрытые!$F$5:$F$300-Закрытые!$I$5:$I$300))/2)*(Закрытые!$J$5:$J$300-Закрытые!$G$5:$G$300)))/I238)/(1+N(Ввод!$E$17)/100),""))</f>
        <v/>
      </c>
    </row>
    <row r="239" ht="22" customHeight="1">
      <c r="B239" s="313" t="n"/>
      <c r="C239" s="314" t="n"/>
      <c r="D239" s="313" t="n"/>
      <c r="E239" s="315" t="n"/>
      <c r="F239" s="316" t="n"/>
      <c r="G239" s="317" t="n"/>
      <c r="H239" s="271">
        <f>IF(AND(ISNUMBER(F239),ISNUMBER(G239)),F239*G239,"")</f>
        <v/>
      </c>
      <c r="I239" s="316" t="n"/>
      <c r="J239" s="317" t="n"/>
      <c r="K239" s="271">
        <f>IF(AND(ISNUMBER(I239),ISNUMBER(J239)),I239*J239,"")</f>
        <v/>
      </c>
      <c r="L239" s="240">
        <f>IF(COUNT(F239,I239)=0,"",N(F239)-N(I239))</f>
        <v/>
      </c>
      <c r="M239" s="241">
        <f>IF(COUNT(H239,K239)=0,"",N(K239)-N(H239))</f>
        <v/>
      </c>
      <c r="N239" s="240">
        <f>IF(AND(ISNUMBER(F239),ISNUMBER(G239),F239&gt;0,1-N(Ввод!$E$17)/100&gt;0),MAX(0,(F239*G239-SUMPRODUCT((Закрытые!$B$5:$B$300=$B239)*((Закрытые!$F$5:$F$300+Закрытые!$I$5:$I$300-ABS(Закрытые!$F$5:$F$300-Закрытые!$I$5:$I$300))/2)*(Закрытые!$J$5:$J$300-Закрытые!$G$5:$G$300)))/F239)/(1-N(Ввод!$E$17)/100),IF(AND(ISNUMBER(I239),ISNUMBER(J239),I239&gt;0),MAX(0,(I239*J239+SUMPRODUCT((Закрытые!$B$5:$B$300=$B239)*((Закрытые!$F$5:$F$300+Закрытые!$I$5:$I$300-ABS(Закрытые!$F$5:$F$300-Закрытые!$I$5:$I$300))/2)*(Закрытые!$J$5:$J$300-Закрытые!$G$5:$G$300)))/I239)/(1+N(Ввод!$E$17)/100),""))</f>
        <v/>
      </c>
    </row>
    <row r="240" ht="22" customHeight="1">
      <c r="B240" s="318" t="n"/>
      <c r="C240" s="319" t="n"/>
      <c r="D240" s="318" t="n"/>
      <c r="E240" s="320" t="n"/>
      <c r="F240" s="321" t="n"/>
      <c r="G240" s="322" t="n"/>
      <c r="H240" s="271">
        <f>IF(AND(ISNUMBER(F240),ISNUMBER(G240)),F240*G240,"")</f>
        <v/>
      </c>
      <c r="I240" s="321" t="n"/>
      <c r="J240" s="322" t="n"/>
      <c r="K240" s="271">
        <f>IF(AND(ISNUMBER(I240),ISNUMBER(J240)),I240*J240,"")</f>
        <v/>
      </c>
      <c r="L240" s="246">
        <f>IF(COUNT(F240,I240)=0,"",N(F240)-N(I240))</f>
        <v/>
      </c>
      <c r="M240" s="247">
        <f>IF(COUNT(H240,K240)=0,"",N(K240)-N(H240))</f>
        <v/>
      </c>
      <c r="N240" s="246">
        <f>IF(AND(ISNUMBER(F240),ISNUMBER(G240),F240&gt;0,1-N(Ввод!$E$17)/100&gt;0),MAX(0,(F240*G240-SUMPRODUCT((Закрытые!$B$5:$B$300=$B240)*((Закрытые!$F$5:$F$300+Закрытые!$I$5:$I$300-ABS(Закрытые!$F$5:$F$300-Закрытые!$I$5:$I$300))/2)*(Закрытые!$J$5:$J$300-Закрытые!$G$5:$G$300)))/F240)/(1-N(Ввод!$E$17)/100),IF(AND(ISNUMBER(I240),ISNUMBER(J240),I240&gt;0),MAX(0,(I240*J240+SUMPRODUCT((Закрытые!$B$5:$B$300=$B240)*((Закрытые!$F$5:$F$300+Закрытые!$I$5:$I$300-ABS(Закрытые!$F$5:$F$300-Закрытые!$I$5:$I$300))/2)*(Закрытые!$J$5:$J$300-Закрытые!$G$5:$G$300)))/I240)/(1+N(Ввод!$E$17)/100),""))</f>
        <v/>
      </c>
    </row>
    <row r="241" ht="22" customHeight="1">
      <c r="B241" s="313" t="n"/>
      <c r="C241" s="314" t="n"/>
      <c r="D241" s="313" t="n"/>
      <c r="E241" s="315" t="n"/>
      <c r="F241" s="316" t="n"/>
      <c r="G241" s="317" t="n"/>
      <c r="H241" s="271">
        <f>IF(AND(ISNUMBER(F241),ISNUMBER(G241)),F241*G241,"")</f>
        <v/>
      </c>
      <c r="I241" s="316" t="n"/>
      <c r="J241" s="317" t="n"/>
      <c r="K241" s="271">
        <f>IF(AND(ISNUMBER(I241),ISNUMBER(J241)),I241*J241,"")</f>
        <v/>
      </c>
      <c r="L241" s="240">
        <f>IF(COUNT(F241,I241)=0,"",N(F241)-N(I241))</f>
        <v/>
      </c>
      <c r="M241" s="241">
        <f>IF(COUNT(H241,K241)=0,"",N(K241)-N(H241))</f>
        <v/>
      </c>
      <c r="N241" s="240">
        <f>IF(AND(ISNUMBER(F241),ISNUMBER(G241),F241&gt;0,1-N(Ввод!$E$17)/100&gt;0),MAX(0,(F241*G241-SUMPRODUCT((Закрытые!$B$5:$B$300=$B241)*((Закрытые!$F$5:$F$300+Закрытые!$I$5:$I$300-ABS(Закрытые!$F$5:$F$300-Закрытые!$I$5:$I$300))/2)*(Закрытые!$J$5:$J$300-Закрытые!$G$5:$G$300)))/F241)/(1-N(Ввод!$E$17)/100),IF(AND(ISNUMBER(I241),ISNUMBER(J241),I241&gt;0),MAX(0,(I241*J241+SUMPRODUCT((Закрытые!$B$5:$B$300=$B241)*((Закрытые!$F$5:$F$300+Закрытые!$I$5:$I$300-ABS(Закрытые!$F$5:$F$300-Закрытые!$I$5:$I$300))/2)*(Закрытые!$J$5:$J$300-Закрытые!$G$5:$G$300)))/I241)/(1+N(Ввод!$E$17)/100),""))</f>
        <v/>
      </c>
    </row>
    <row r="242" ht="22" customHeight="1">
      <c r="B242" s="318" t="n"/>
      <c r="C242" s="319" t="n"/>
      <c r="D242" s="318" t="n"/>
      <c r="E242" s="320" t="n"/>
      <c r="F242" s="321" t="n"/>
      <c r="G242" s="322" t="n"/>
      <c r="H242" s="271">
        <f>IF(AND(ISNUMBER(F242),ISNUMBER(G242)),F242*G242,"")</f>
        <v/>
      </c>
      <c r="I242" s="321" t="n"/>
      <c r="J242" s="322" t="n"/>
      <c r="K242" s="271">
        <f>IF(AND(ISNUMBER(I242),ISNUMBER(J242)),I242*J242,"")</f>
        <v/>
      </c>
      <c r="L242" s="246">
        <f>IF(COUNT(F242,I242)=0,"",N(F242)-N(I242))</f>
        <v/>
      </c>
      <c r="M242" s="247">
        <f>IF(COUNT(H242,K242)=0,"",N(K242)-N(H242))</f>
        <v/>
      </c>
      <c r="N242" s="246">
        <f>IF(AND(ISNUMBER(F242),ISNUMBER(G242),F242&gt;0,1-N(Ввод!$E$17)/100&gt;0),MAX(0,(F242*G242-SUMPRODUCT((Закрытые!$B$5:$B$300=$B242)*((Закрытые!$F$5:$F$300+Закрытые!$I$5:$I$300-ABS(Закрытые!$F$5:$F$300-Закрытые!$I$5:$I$300))/2)*(Закрытые!$J$5:$J$300-Закрытые!$G$5:$G$300)))/F242)/(1-N(Ввод!$E$17)/100),IF(AND(ISNUMBER(I242),ISNUMBER(J242),I242&gt;0),MAX(0,(I242*J242+SUMPRODUCT((Закрытые!$B$5:$B$300=$B242)*((Закрытые!$F$5:$F$300+Закрытые!$I$5:$I$300-ABS(Закрытые!$F$5:$F$300-Закрытые!$I$5:$I$300))/2)*(Закрытые!$J$5:$J$300-Закрытые!$G$5:$G$300)))/I242)/(1+N(Ввод!$E$17)/100),""))</f>
        <v/>
      </c>
    </row>
    <row r="243" ht="22" customHeight="1">
      <c r="B243" s="313" t="n"/>
      <c r="C243" s="314" t="n"/>
      <c r="D243" s="313" t="n"/>
      <c r="E243" s="315" t="n"/>
      <c r="F243" s="316" t="n"/>
      <c r="G243" s="317" t="n"/>
      <c r="H243" s="271">
        <f>IF(AND(ISNUMBER(F243),ISNUMBER(G243)),F243*G243,"")</f>
        <v/>
      </c>
      <c r="I243" s="316" t="n"/>
      <c r="J243" s="317" t="n"/>
      <c r="K243" s="271">
        <f>IF(AND(ISNUMBER(I243),ISNUMBER(J243)),I243*J243,"")</f>
        <v/>
      </c>
      <c r="L243" s="240">
        <f>IF(COUNT(F243,I243)=0,"",N(F243)-N(I243))</f>
        <v/>
      </c>
      <c r="M243" s="241">
        <f>IF(COUNT(H243,K243)=0,"",N(K243)-N(H243))</f>
        <v/>
      </c>
      <c r="N243" s="240">
        <f>IF(AND(ISNUMBER(F243),ISNUMBER(G243),F243&gt;0,1-N(Ввод!$E$17)/100&gt;0),MAX(0,(F243*G243-SUMPRODUCT((Закрытые!$B$5:$B$300=$B243)*((Закрытые!$F$5:$F$300+Закрытые!$I$5:$I$300-ABS(Закрытые!$F$5:$F$300-Закрытые!$I$5:$I$300))/2)*(Закрытые!$J$5:$J$300-Закрытые!$G$5:$G$300)))/F243)/(1-N(Ввод!$E$17)/100),IF(AND(ISNUMBER(I243),ISNUMBER(J243),I243&gt;0),MAX(0,(I243*J243+SUMPRODUCT((Закрытые!$B$5:$B$300=$B243)*((Закрытые!$F$5:$F$300+Закрытые!$I$5:$I$300-ABS(Закрытые!$F$5:$F$300-Закрытые!$I$5:$I$300))/2)*(Закрытые!$J$5:$J$300-Закрытые!$G$5:$G$300)))/I243)/(1+N(Ввод!$E$17)/100),""))</f>
        <v/>
      </c>
    </row>
    <row r="244" ht="22" customHeight="1">
      <c r="B244" s="318" t="n"/>
      <c r="C244" s="319" t="n"/>
      <c r="D244" s="318" t="n"/>
      <c r="E244" s="320" t="n"/>
      <c r="F244" s="321" t="n"/>
      <c r="G244" s="322" t="n"/>
      <c r="H244" s="271">
        <f>IF(AND(ISNUMBER(F244),ISNUMBER(G244)),F244*G244,"")</f>
        <v/>
      </c>
      <c r="I244" s="321" t="n"/>
      <c r="J244" s="322" t="n"/>
      <c r="K244" s="271">
        <f>IF(AND(ISNUMBER(I244),ISNUMBER(J244)),I244*J244,"")</f>
        <v/>
      </c>
      <c r="L244" s="246">
        <f>IF(COUNT(F244,I244)=0,"",N(F244)-N(I244))</f>
        <v/>
      </c>
      <c r="M244" s="247">
        <f>IF(COUNT(H244,K244)=0,"",N(K244)-N(H244))</f>
        <v/>
      </c>
      <c r="N244" s="246">
        <f>IF(AND(ISNUMBER(F244),ISNUMBER(G244),F244&gt;0,1-N(Ввод!$E$17)/100&gt;0),MAX(0,(F244*G244-SUMPRODUCT((Закрытые!$B$5:$B$300=$B244)*((Закрытые!$F$5:$F$300+Закрытые!$I$5:$I$300-ABS(Закрытые!$F$5:$F$300-Закрытые!$I$5:$I$300))/2)*(Закрытые!$J$5:$J$300-Закрытые!$G$5:$G$300)))/F244)/(1-N(Ввод!$E$17)/100),IF(AND(ISNUMBER(I244),ISNUMBER(J244),I244&gt;0),MAX(0,(I244*J244+SUMPRODUCT((Закрытые!$B$5:$B$300=$B244)*((Закрытые!$F$5:$F$300+Закрытые!$I$5:$I$300-ABS(Закрытые!$F$5:$F$300-Закрытые!$I$5:$I$300))/2)*(Закрытые!$J$5:$J$300-Закрытые!$G$5:$G$300)))/I244)/(1+N(Ввод!$E$17)/100),""))</f>
        <v/>
      </c>
    </row>
    <row r="245" ht="22" customHeight="1">
      <c r="B245" s="313" t="n"/>
      <c r="C245" s="314" t="n"/>
      <c r="D245" s="313" t="n"/>
      <c r="E245" s="315" t="n"/>
      <c r="F245" s="316" t="n"/>
      <c r="G245" s="317" t="n"/>
      <c r="H245" s="271">
        <f>IF(AND(ISNUMBER(F245),ISNUMBER(G245)),F245*G245,"")</f>
        <v/>
      </c>
      <c r="I245" s="316" t="n"/>
      <c r="J245" s="317" t="n"/>
      <c r="K245" s="271">
        <f>IF(AND(ISNUMBER(I245),ISNUMBER(J245)),I245*J245,"")</f>
        <v/>
      </c>
      <c r="L245" s="240">
        <f>IF(COUNT(F245,I245)=0,"",N(F245)-N(I245))</f>
        <v/>
      </c>
      <c r="M245" s="241">
        <f>IF(COUNT(H245,K245)=0,"",N(K245)-N(H245))</f>
        <v/>
      </c>
      <c r="N245" s="240">
        <f>IF(AND(ISNUMBER(F245),ISNUMBER(G245),F245&gt;0,1-N(Ввод!$E$17)/100&gt;0),MAX(0,(F245*G245-SUMPRODUCT((Закрытые!$B$5:$B$300=$B245)*((Закрытые!$F$5:$F$300+Закрытые!$I$5:$I$300-ABS(Закрытые!$F$5:$F$300-Закрытые!$I$5:$I$300))/2)*(Закрытые!$J$5:$J$300-Закрытые!$G$5:$G$300)))/F245)/(1-N(Ввод!$E$17)/100),IF(AND(ISNUMBER(I245),ISNUMBER(J245),I245&gt;0),MAX(0,(I245*J245+SUMPRODUCT((Закрытые!$B$5:$B$300=$B245)*((Закрытые!$F$5:$F$300+Закрытые!$I$5:$I$300-ABS(Закрытые!$F$5:$F$300-Закрытые!$I$5:$I$300))/2)*(Закрытые!$J$5:$J$300-Закрытые!$G$5:$G$300)))/I245)/(1+N(Ввод!$E$17)/100),""))</f>
        <v/>
      </c>
    </row>
    <row r="246" ht="22" customHeight="1">
      <c r="B246" s="318" t="n"/>
      <c r="C246" s="319" t="n"/>
      <c r="D246" s="318" t="n"/>
      <c r="E246" s="320" t="n"/>
      <c r="F246" s="321" t="n"/>
      <c r="G246" s="322" t="n"/>
      <c r="H246" s="271">
        <f>IF(AND(ISNUMBER(F246),ISNUMBER(G246)),F246*G246,"")</f>
        <v/>
      </c>
      <c r="I246" s="321" t="n"/>
      <c r="J246" s="322" t="n"/>
      <c r="K246" s="271">
        <f>IF(AND(ISNUMBER(I246),ISNUMBER(J246)),I246*J246,"")</f>
        <v/>
      </c>
      <c r="L246" s="246">
        <f>IF(COUNT(F246,I246)=0,"",N(F246)-N(I246))</f>
        <v/>
      </c>
      <c r="M246" s="247">
        <f>IF(COUNT(H246,K246)=0,"",N(K246)-N(H246))</f>
        <v/>
      </c>
      <c r="N246" s="246">
        <f>IF(AND(ISNUMBER(F246),ISNUMBER(G246),F246&gt;0,1-N(Ввод!$E$17)/100&gt;0),MAX(0,(F246*G246-SUMPRODUCT((Закрытые!$B$5:$B$300=$B246)*((Закрытые!$F$5:$F$300+Закрытые!$I$5:$I$300-ABS(Закрытые!$F$5:$F$300-Закрытые!$I$5:$I$300))/2)*(Закрытые!$J$5:$J$300-Закрытые!$G$5:$G$300)))/F246)/(1-N(Ввод!$E$17)/100),IF(AND(ISNUMBER(I246),ISNUMBER(J246),I246&gt;0),MAX(0,(I246*J246+SUMPRODUCT((Закрытые!$B$5:$B$300=$B246)*((Закрытые!$F$5:$F$300+Закрытые!$I$5:$I$300-ABS(Закрытые!$F$5:$F$300-Закрытые!$I$5:$I$300))/2)*(Закрытые!$J$5:$J$300-Закрытые!$G$5:$G$300)))/I246)/(1+N(Ввод!$E$17)/100),""))</f>
        <v/>
      </c>
    </row>
    <row r="247" ht="22" customHeight="1">
      <c r="B247" s="313" t="n"/>
      <c r="C247" s="314" t="n"/>
      <c r="D247" s="313" t="n"/>
      <c r="E247" s="315" t="n"/>
      <c r="F247" s="316" t="n"/>
      <c r="G247" s="317" t="n"/>
      <c r="H247" s="271">
        <f>IF(AND(ISNUMBER(F247),ISNUMBER(G247)),F247*G247,"")</f>
        <v/>
      </c>
      <c r="I247" s="316" t="n"/>
      <c r="J247" s="317" t="n"/>
      <c r="K247" s="271">
        <f>IF(AND(ISNUMBER(I247),ISNUMBER(J247)),I247*J247,"")</f>
        <v/>
      </c>
      <c r="L247" s="240">
        <f>IF(COUNT(F247,I247)=0,"",N(F247)-N(I247))</f>
        <v/>
      </c>
      <c r="M247" s="241">
        <f>IF(COUNT(H247,K247)=0,"",N(K247)-N(H247))</f>
        <v/>
      </c>
      <c r="N247" s="240">
        <f>IF(AND(ISNUMBER(F247),ISNUMBER(G247),F247&gt;0,1-N(Ввод!$E$17)/100&gt;0),MAX(0,(F247*G247-SUMPRODUCT((Закрытые!$B$5:$B$300=$B247)*((Закрытые!$F$5:$F$300+Закрытые!$I$5:$I$300-ABS(Закрытые!$F$5:$F$300-Закрытые!$I$5:$I$300))/2)*(Закрытые!$J$5:$J$300-Закрытые!$G$5:$G$300)))/F247)/(1-N(Ввод!$E$17)/100),IF(AND(ISNUMBER(I247),ISNUMBER(J247),I247&gt;0),MAX(0,(I247*J247+SUMPRODUCT((Закрытые!$B$5:$B$300=$B247)*((Закрытые!$F$5:$F$300+Закрытые!$I$5:$I$300-ABS(Закрытые!$F$5:$F$300-Закрытые!$I$5:$I$300))/2)*(Закрытые!$J$5:$J$300-Закрытые!$G$5:$G$300)))/I247)/(1+N(Ввод!$E$17)/100),""))</f>
        <v/>
      </c>
    </row>
    <row r="248" ht="22" customHeight="1">
      <c r="B248" s="318" t="n"/>
      <c r="C248" s="319" t="n"/>
      <c r="D248" s="318" t="n"/>
      <c r="E248" s="320" t="n"/>
      <c r="F248" s="321" t="n"/>
      <c r="G248" s="322" t="n"/>
      <c r="H248" s="271">
        <f>IF(AND(ISNUMBER(F248),ISNUMBER(G248)),F248*G248,"")</f>
        <v/>
      </c>
      <c r="I248" s="321" t="n"/>
      <c r="J248" s="322" t="n"/>
      <c r="K248" s="271">
        <f>IF(AND(ISNUMBER(I248),ISNUMBER(J248)),I248*J248,"")</f>
        <v/>
      </c>
      <c r="L248" s="246">
        <f>IF(COUNT(F248,I248)=0,"",N(F248)-N(I248))</f>
        <v/>
      </c>
      <c r="M248" s="247">
        <f>IF(COUNT(H248,K248)=0,"",N(K248)-N(H248))</f>
        <v/>
      </c>
      <c r="N248" s="246">
        <f>IF(AND(ISNUMBER(F248),ISNUMBER(G248),F248&gt;0,1-N(Ввод!$E$17)/100&gt;0),MAX(0,(F248*G248-SUMPRODUCT((Закрытые!$B$5:$B$300=$B248)*((Закрытые!$F$5:$F$300+Закрытые!$I$5:$I$300-ABS(Закрытые!$F$5:$F$300-Закрытые!$I$5:$I$300))/2)*(Закрытые!$J$5:$J$300-Закрытые!$G$5:$G$300)))/F248)/(1-N(Ввод!$E$17)/100),IF(AND(ISNUMBER(I248),ISNUMBER(J248),I248&gt;0),MAX(0,(I248*J248+SUMPRODUCT((Закрытые!$B$5:$B$300=$B248)*((Закрытые!$F$5:$F$300+Закрытые!$I$5:$I$300-ABS(Закрытые!$F$5:$F$300-Закрытые!$I$5:$I$300))/2)*(Закрытые!$J$5:$J$300-Закрытые!$G$5:$G$300)))/I248)/(1+N(Ввод!$E$17)/100),""))</f>
        <v/>
      </c>
    </row>
    <row r="249" ht="22" customHeight="1">
      <c r="B249" s="313" t="n"/>
      <c r="C249" s="314" t="n"/>
      <c r="D249" s="313" t="n"/>
      <c r="E249" s="315" t="n"/>
      <c r="F249" s="316" t="n"/>
      <c r="G249" s="317" t="n"/>
      <c r="H249" s="271">
        <f>IF(AND(ISNUMBER(F249),ISNUMBER(G249)),F249*G249,"")</f>
        <v/>
      </c>
      <c r="I249" s="316" t="n"/>
      <c r="J249" s="317" t="n"/>
      <c r="K249" s="271">
        <f>IF(AND(ISNUMBER(I249),ISNUMBER(J249)),I249*J249,"")</f>
        <v/>
      </c>
      <c r="L249" s="240">
        <f>IF(COUNT(F249,I249)=0,"",N(F249)-N(I249))</f>
        <v/>
      </c>
      <c r="M249" s="241">
        <f>IF(COUNT(H249,K249)=0,"",N(K249)-N(H249))</f>
        <v/>
      </c>
      <c r="N249" s="240">
        <f>IF(AND(ISNUMBER(F249),ISNUMBER(G249),F249&gt;0,1-N(Ввод!$E$17)/100&gt;0),MAX(0,(F249*G249-SUMPRODUCT((Закрытые!$B$5:$B$300=$B249)*((Закрытые!$F$5:$F$300+Закрытые!$I$5:$I$300-ABS(Закрытые!$F$5:$F$300-Закрытые!$I$5:$I$300))/2)*(Закрытые!$J$5:$J$300-Закрытые!$G$5:$G$300)))/F249)/(1-N(Ввод!$E$17)/100),IF(AND(ISNUMBER(I249),ISNUMBER(J249),I249&gt;0),MAX(0,(I249*J249+SUMPRODUCT((Закрытые!$B$5:$B$300=$B249)*((Закрытые!$F$5:$F$300+Закрытые!$I$5:$I$300-ABS(Закрытые!$F$5:$F$300-Закрытые!$I$5:$I$300))/2)*(Закрытые!$J$5:$J$300-Закрытые!$G$5:$G$300)))/I249)/(1+N(Ввод!$E$17)/100),""))</f>
        <v/>
      </c>
    </row>
    <row r="250" ht="22" customHeight="1">
      <c r="B250" s="318" t="n"/>
      <c r="C250" s="319" t="n"/>
      <c r="D250" s="318" t="n"/>
      <c r="E250" s="320" t="n"/>
      <c r="F250" s="321" t="n"/>
      <c r="G250" s="322" t="n"/>
      <c r="H250" s="271">
        <f>IF(AND(ISNUMBER(F250),ISNUMBER(G250)),F250*G250,"")</f>
        <v/>
      </c>
      <c r="I250" s="321" t="n"/>
      <c r="J250" s="322" t="n"/>
      <c r="K250" s="271">
        <f>IF(AND(ISNUMBER(I250),ISNUMBER(J250)),I250*J250,"")</f>
        <v/>
      </c>
      <c r="L250" s="246">
        <f>IF(COUNT(F250,I250)=0,"",N(F250)-N(I250))</f>
        <v/>
      </c>
      <c r="M250" s="247">
        <f>IF(COUNT(H250,K250)=0,"",N(K250)-N(H250))</f>
        <v/>
      </c>
      <c r="N250" s="246">
        <f>IF(AND(ISNUMBER(F250),ISNUMBER(G250),F250&gt;0,1-N(Ввод!$E$17)/100&gt;0),MAX(0,(F250*G250-SUMPRODUCT((Закрытые!$B$5:$B$300=$B250)*((Закрытые!$F$5:$F$300+Закрытые!$I$5:$I$300-ABS(Закрытые!$F$5:$F$300-Закрытые!$I$5:$I$300))/2)*(Закрытые!$J$5:$J$300-Закрытые!$G$5:$G$300)))/F250)/(1-N(Ввод!$E$17)/100),IF(AND(ISNUMBER(I250),ISNUMBER(J250),I250&gt;0),MAX(0,(I250*J250+SUMPRODUCT((Закрытые!$B$5:$B$300=$B250)*((Закрытые!$F$5:$F$300+Закрытые!$I$5:$I$300-ABS(Закрытые!$F$5:$F$300-Закрытые!$I$5:$I$300))/2)*(Закрытые!$J$5:$J$300-Закрытые!$G$5:$G$300)))/I250)/(1+N(Ввод!$E$17)/100),""))</f>
        <v/>
      </c>
    </row>
    <row r="251" ht="22" customHeight="1">
      <c r="B251" s="313" t="n"/>
      <c r="C251" s="314" t="n"/>
      <c r="D251" s="313" t="n"/>
      <c r="E251" s="315" t="n"/>
      <c r="F251" s="316" t="n"/>
      <c r="G251" s="317" t="n"/>
      <c r="H251" s="271">
        <f>IF(AND(ISNUMBER(F251),ISNUMBER(G251)),F251*G251,"")</f>
        <v/>
      </c>
      <c r="I251" s="316" t="n"/>
      <c r="J251" s="317" t="n"/>
      <c r="K251" s="271">
        <f>IF(AND(ISNUMBER(I251),ISNUMBER(J251)),I251*J251,"")</f>
        <v/>
      </c>
      <c r="L251" s="240">
        <f>IF(COUNT(F251,I251)=0,"",N(F251)-N(I251))</f>
        <v/>
      </c>
      <c r="M251" s="241">
        <f>IF(COUNT(H251,K251)=0,"",N(K251)-N(H251))</f>
        <v/>
      </c>
      <c r="N251" s="240">
        <f>IF(AND(ISNUMBER(F251),ISNUMBER(G251),F251&gt;0,1-N(Ввод!$E$17)/100&gt;0),MAX(0,(F251*G251-SUMPRODUCT((Закрытые!$B$5:$B$300=$B251)*((Закрытые!$F$5:$F$300+Закрытые!$I$5:$I$300-ABS(Закрытые!$F$5:$F$300-Закрытые!$I$5:$I$300))/2)*(Закрытые!$J$5:$J$300-Закрытые!$G$5:$G$300)))/F251)/(1-N(Ввод!$E$17)/100),IF(AND(ISNUMBER(I251),ISNUMBER(J251),I251&gt;0),MAX(0,(I251*J251+SUMPRODUCT((Закрытые!$B$5:$B$300=$B251)*((Закрытые!$F$5:$F$300+Закрытые!$I$5:$I$300-ABS(Закрытые!$F$5:$F$300-Закрытые!$I$5:$I$300))/2)*(Закрытые!$J$5:$J$300-Закрытые!$G$5:$G$300)))/I251)/(1+N(Ввод!$E$17)/100),""))</f>
        <v/>
      </c>
    </row>
    <row r="252" ht="22" customHeight="1">
      <c r="B252" s="318" t="n"/>
      <c r="C252" s="319" t="n"/>
      <c r="D252" s="318" t="n"/>
      <c r="E252" s="320" t="n"/>
      <c r="F252" s="321" t="n"/>
      <c r="G252" s="322" t="n"/>
      <c r="H252" s="271">
        <f>IF(AND(ISNUMBER(F252),ISNUMBER(G252)),F252*G252,"")</f>
        <v/>
      </c>
      <c r="I252" s="321" t="n"/>
      <c r="J252" s="322" t="n"/>
      <c r="K252" s="271">
        <f>IF(AND(ISNUMBER(I252),ISNUMBER(J252)),I252*J252,"")</f>
        <v/>
      </c>
      <c r="L252" s="246">
        <f>IF(COUNT(F252,I252)=0,"",N(F252)-N(I252))</f>
        <v/>
      </c>
      <c r="M252" s="247">
        <f>IF(COUNT(H252,K252)=0,"",N(K252)-N(H252))</f>
        <v/>
      </c>
      <c r="N252" s="246">
        <f>IF(AND(ISNUMBER(F252),ISNUMBER(G252),F252&gt;0,1-N(Ввод!$E$17)/100&gt;0),MAX(0,(F252*G252-SUMPRODUCT((Закрытые!$B$5:$B$300=$B252)*((Закрытые!$F$5:$F$300+Закрытые!$I$5:$I$300-ABS(Закрытые!$F$5:$F$300-Закрытые!$I$5:$I$300))/2)*(Закрытые!$J$5:$J$300-Закрытые!$G$5:$G$300)))/F252)/(1-N(Ввод!$E$17)/100),IF(AND(ISNUMBER(I252),ISNUMBER(J252),I252&gt;0),MAX(0,(I252*J252+SUMPRODUCT((Закрытые!$B$5:$B$300=$B252)*((Закрытые!$F$5:$F$300+Закрытые!$I$5:$I$300-ABS(Закрытые!$F$5:$F$300-Закрытые!$I$5:$I$300))/2)*(Закрытые!$J$5:$J$300-Закрытые!$G$5:$G$300)))/I252)/(1+N(Ввод!$E$17)/100),""))</f>
        <v/>
      </c>
    </row>
    <row r="253" ht="22" customHeight="1">
      <c r="B253" s="313" t="n"/>
      <c r="C253" s="314" t="n"/>
      <c r="D253" s="313" t="n"/>
      <c r="E253" s="315" t="n"/>
      <c r="F253" s="316" t="n"/>
      <c r="G253" s="317" t="n"/>
      <c r="H253" s="271">
        <f>IF(AND(ISNUMBER(F253),ISNUMBER(G253)),F253*G253,"")</f>
        <v/>
      </c>
      <c r="I253" s="316" t="n"/>
      <c r="J253" s="317" t="n"/>
      <c r="K253" s="271">
        <f>IF(AND(ISNUMBER(I253),ISNUMBER(J253)),I253*J253,"")</f>
        <v/>
      </c>
      <c r="L253" s="240">
        <f>IF(COUNT(F253,I253)=0,"",N(F253)-N(I253))</f>
        <v/>
      </c>
      <c r="M253" s="241">
        <f>IF(COUNT(H253,K253)=0,"",N(K253)-N(H253))</f>
        <v/>
      </c>
      <c r="N253" s="240">
        <f>IF(AND(ISNUMBER(F253),ISNUMBER(G253),F253&gt;0,1-N(Ввод!$E$17)/100&gt;0),MAX(0,(F253*G253-SUMPRODUCT((Закрытые!$B$5:$B$300=$B253)*((Закрытые!$F$5:$F$300+Закрытые!$I$5:$I$300-ABS(Закрытые!$F$5:$F$300-Закрытые!$I$5:$I$300))/2)*(Закрытые!$J$5:$J$300-Закрытые!$G$5:$G$300)))/F253)/(1-N(Ввод!$E$17)/100),IF(AND(ISNUMBER(I253),ISNUMBER(J253),I253&gt;0),MAX(0,(I253*J253+SUMPRODUCT((Закрытые!$B$5:$B$300=$B253)*((Закрытые!$F$5:$F$300+Закрытые!$I$5:$I$300-ABS(Закрытые!$F$5:$F$300-Закрытые!$I$5:$I$300))/2)*(Закрытые!$J$5:$J$300-Закрытые!$G$5:$G$300)))/I253)/(1+N(Ввод!$E$17)/100),""))</f>
        <v/>
      </c>
    </row>
    <row r="254" ht="22" customHeight="1">
      <c r="B254" s="318" t="n"/>
      <c r="C254" s="319" t="n"/>
      <c r="D254" s="318" t="n"/>
      <c r="E254" s="320" t="n"/>
      <c r="F254" s="321" t="n"/>
      <c r="G254" s="322" t="n"/>
      <c r="H254" s="271">
        <f>IF(AND(ISNUMBER(F254),ISNUMBER(G254)),F254*G254,"")</f>
        <v/>
      </c>
      <c r="I254" s="321" t="n"/>
      <c r="J254" s="322" t="n"/>
      <c r="K254" s="271">
        <f>IF(AND(ISNUMBER(I254),ISNUMBER(J254)),I254*J254,"")</f>
        <v/>
      </c>
      <c r="L254" s="246">
        <f>IF(COUNT(F254,I254)=0,"",N(F254)-N(I254))</f>
        <v/>
      </c>
      <c r="M254" s="247">
        <f>IF(COUNT(H254,K254)=0,"",N(K254)-N(H254))</f>
        <v/>
      </c>
      <c r="N254" s="246">
        <f>IF(AND(ISNUMBER(F254),ISNUMBER(G254),F254&gt;0,1-N(Ввод!$E$17)/100&gt;0),MAX(0,(F254*G254-SUMPRODUCT((Закрытые!$B$5:$B$300=$B254)*((Закрытые!$F$5:$F$300+Закрытые!$I$5:$I$300-ABS(Закрытые!$F$5:$F$300-Закрытые!$I$5:$I$300))/2)*(Закрытые!$J$5:$J$300-Закрытые!$G$5:$G$300)))/F254)/(1-N(Ввод!$E$17)/100),IF(AND(ISNUMBER(I254),ISNUMBER(J254),I254&gt;0),MAX(0,(I254*J254+SUMPRODUCT((Закрытые!$B$5:$B$300=$B254)*((Закрытые!$F$5:$F$300+Закрытые!$I$5:$I$300-ABS(Закрытые!$F$5:$F$300-Закрытые!$I$5:$I$300))/2)*(Закрытые!$J$5:$J$300-Закрытые!$G$5:$G$300)))/I254)/(1+N(Ввод!$E$17)/100),""))</f>
        <v/>
      </c>
    </row>
    <row r="255" ht="22" customHeight="1">
      <c r="B255" s="313" t="n"/>
      <c r="C255" s="314" t="n"/>
      <c r="D255" s="313" t="n"/>
      <c r="E255" s="315" t="n"/>
      <c r="F255" s="316" t="n"/>
      <c r="G255" s="317" t="n"/>
      <c r="H255" s="271">
        <f>IF(AND(ISNUMBER(F255),ISNUMBER(G255)),F255*G255,"")</f>
        <v/>
      </c>
      <c r="I255" s="316" t="n"/>
      <c r="J255" s="317" t="n"/>
      <c r="K255" s="271">
        <f>IF(AND(ISNUMBER(I255),ISNUMBER(J255)),I255*J255,"")</f>
        <v/>
      </c>
      <c r="L255" s="240">
        <f>IF(COUNT(F255,I255)=0,"",N(F255)-N(I255))</f>
        <v/>
      </c>
      <c r="M255" s="241">
        <f>IF(COUNT(H255,K255)=0,"",N(K255)-N(H255))</f>
        <v/>
      </c>
      <c r="N255" s="240">
        <f>IF(AND(ISNUMBER(F255),ISNUMBER(G255),F255&gt;0,1-N(Ввод!$E$17)/100&gt;0),MAX(0,(F255*G255-SUMPRODUCT((Закрытые!$B$5:$B$300=$B255)*((Закрытые!$F$5:$F$300+Закрытые!$I$5:$I$300-ABS(Закрытые!$F$5:$F$300-Закрытые!$I$5:$I$300))/2)*(Закрытые!$J$5:$J$300-Закрытые!$G$5:$G$300)))/F255)/(1-N(Ввод!$E$17)/100),IF(AND(ISNUMBER(I255),ISNUMBER(J255),I255&gt;0),MAX(0,(I255*J255+SUMPRODUCT((Закрытые!$B$5:$B$300=$B255)*((Закрытые!$F$5:$F$300+Закрытые!$I$5:$I$300-ABS(Закрытые!$F$5:$F$300-Закрытые!$I$5:$I$300))/2)*(Закрытые!$J$5:$J$300-Закрытые!$G$5:$G$300)))/I255)/(1+N(Ввод!$E$17)/100),""))</f>
        <v/>
      </c>
    </row>
    <row r="256" ht="22" customHeight="1">
      <c r="B256" s="318" t="n"/>
      <c r="C256" s="319" t="n"/>
      <c r="D256" s="318" t="n"/>
      <c r="E256" s="320" t="n"/>
      <c r="F256" s="321" t="n"/>
      <c r="G256" s="322" t="n"/>
      <c r="H256" s="271">
        <f>IF(AND(ISNUMBER(F256),ISNUMBER(G256)),F256*G256,"")</f>
        <v/>
      </c>
      <c r="I256" s="321" t="n"/>
      <c r="J256" s="322" t="n"/>
      <c r="K256" s="271">
        <f>IF(AND(ISNUMBER(I256),ISNUMBER(J256)),I256*J256,"")</f>
        <v/>
      </c>
      <c r="L256" s="246">
        <f>IF(COUNT(F256,I256)=0,"",N(F256)-N(I256))</f>
        <v/>
      </c>
      <c r="M256" s="247">
        <f>IF(COUNT(H256,K256)=0,"",N(K256)-N(H256))</f>
        <v/>
      </c>
      <c r="N256" s="246">
        <f>IF(AND(ISNUMBER(F256),ISNUMBER(G256),F256&gt;0,1-N(Ввод!$E$17)/100&gt;0),MAX(0,(F256*G256-SUMPRODUCT((Закрытые!$B$5:$B$300=$B256)*((Закрытые!$F$5:$F$300+Закрытые!$I$5:$I$300-ABS(Закрытые!$F$5:$F$300-Закрытые!$I$5:$I$300))/2)*(Закрытые!$J$5:$J$300-Закрытые!$G$5:$G$300)))/F256)/(1-N(Ввод!$E$17)/100),IF(AND(ISNUMBER(I256),ISNUMBER(J256),I256&gt;0),MAX(0,(I256*J256+SUMPRODUCT((Закрытые!$B$5:$B$300=$B256)*((Закрытые!$F$5:$F$300+Закрытые!$I$5:$I$300-ABS(Закрытые!$F$5:$F$300-Закрытые!$I$5:$I$300))/2)*(Закрытые!$J$5:$J$300-Закрытые!$G$5:$G$300)))/I256)/(1+N(Ввод!$E$17)/100),""))</f>
        <v/>
      </c>
    </row>
    <row r="257" ht="22" customHeight="1">
      <c r="B257" s="313" t="n"/>
      <c r="C257" s="314" t="n"/>
      <c r="D257" s="313" t="n"/>
      <c r="E257" s="315" t="n"/>
      <c r="F257" s="316" t="n"/>
      <c r="G257" s="317" t="n"/>
      <c r="H257" s="271">
        <f>IF(AND(ISNUMBER(F257),ISNUMBER(G257)),F257*G257,"")</f>
        <v/>
      </c>
      <c r="I257" s="316" t="n"/>
      <c r="J257" s="317" t="n"/>
      <c r="K257" s="271">
        <f>IF(AND(ISNUMBER(I257),ISNUMBER(J257)),I257*J257,"")</f>
        <v/>
      </c>
      <c r="L257" s="240">
        <f>IF(COUNT(F257,I257)=0,"",N(F257)-N(I257))</f>
        <v/>
      </c>
      <c r="M257" s="241">
        <f>IF(COUNT(H257,K257)=0,"",N(K257)-N(H257))</f>
        <v/>
      </c>
      <c r="N257" s="240">
        <f>IF(AND(ISNUMBER(F257),ISNUMBER(G257),F257&gt;0,1-N(Ввод!$E$17)/100&gt;0),MAX(0,(F257*G257-SUMPRODUCT((Закрытые!$B$5:$B$300=$B257)*((Закрытые!$F$5:$F$300+Закрытые!$I$5:$I$300-ABS(Закрытые!$F$5:$F$300-Закрытые!$I$5:$I$300))/2)*(Закрытые!$J$5:$J$300-Закрытые!$G$5:$G$300)))/F257)/(1-N(Ввод!$E$17)/100),IF(AND(ISNUMBER(I257),ISNUMBER(J257),I257&gt;0),MAX(0,(I257*J257+SUMPRODUCT((Закрытые!$B$5:$B$300=$B257)*((Закрытые!$F$5:$F$300+Закрытые!$I$5:$I$300-ABS(Закрытые!$F$5:$F$300-Закрытые!$I$5:$I$300))/2)*(Закрытые!$J$5:$J$300-Закрытые!$G$5:$G$300)))/I257)/(1+N(Ввод!$E$17)/100),""))</f>
        <v/>
      </c>
    </row>
    <row r="258" ht="22" customHeight="1">
      <c r="B258" s="318" t="n"/>
      <c r="C258" s="319" t="n"/>
      <c r="D258" s="318" t="n"/>
      <c r="E258" s="320" t="n"/>
      <c r="F258" s="321" t="n"/>
      <c r="G258" s="322" t="n"/>
      <c r="H258" s="271">
        <f>IF(AND(ISNUMBER(F258),ISNUMBER(G258)),F258*G258,"")</f>
        <v/>
      </c>
      <c r="I258" s="321" t="n"/>
      <c r="J258" s="322" t="n"/>
      <c r="K258" s="271">
        <f>IF(AND(ISNUMBER(I258),ISNUMBER(J258)),I258*J258,"")</f>
        <v/>
      </c>
      <c r="L258" s="246">
        <f>IF(COUNT(F258,I258)=0,"",N(F258)-N(I258))</f>
        <v/>
      </c>
      <c r="M258" s="247">
        <f>IF(COUNT(H258,K258)=0,"",N(K258)-N(H258))</f>
        <v/>
      </c>
      <c r="N258" s="246">
        <f>IF(AND(ISNUMBER(F258),ISNUMBER(G258),F258&gt;0,1-N(Ввод!$E$17)/100&gt;0),MAX(0,(F258*G258-SUMPRODUCT((Закрытые!$B$5:$B$300=$B258)*((Закрытые!$F$5:$F$300+Закрытые!$I$5:$I$300-ABS(Закрытые!$F$5:$F$300-Закрытые!$I$5:$I$300))/2)*(Закрытые!$J$5:$J$300-Закрытые!$G$5:$G$300)))/F258)/(1-N(Ввод!$E$17)/100),IF(AND(ISNUMBER(I258),ISNUMBER(J258),I258&gt;0),MAX(0,(I258*J258+SUMPRODUCT((Закрытые!$B$5:$B$300=$B258)*((Закрытые!$F$5:$F$300+Закрытые!$I$5:$I$300-ABS(Закрытые!$F$5:$F$300-Закрытые!$I$5:$I$300))/2)*(Закрытые!$J$5:$J$300-Закрытые!$G$5:$G$300)))/I258)/(1+N(Ввод!$E$17)/100),""))</f>
        <v/>
      </c>
    </row>
    <row r="259" ht="22" customHeight="1">
      <c r="B259" s="313" t="n"/>
      <c r="C259" s="314" t="n"/>
      <c r="D259" s="313" t="n"/>
      <c r="E259" s="315" t="n"/>
      <c r="F259" s="316" t="n"/>
      <c r="G259" s="317" t="n"/>
      <c r="H259" s="271">
        <f>IF(AND(ISNUMBER(F259),ISNUMBER(G259)),F259*G259,"")</f>
        <v/>
      </c>
      <c r="I259" s="316" t="n"/>
      <c r="J259" s="317" t="n"/>
      <c r="K259" s="271">
        <f>IF(AND(ISNUMBER(I259),ISNUMBER(J259)),I259*J259,"")</f>
        <v/>
      </c>
      <c r="L259" s="240">
        <f>IF(COUNT(F259,I259)=0,"",N(F259)-N(I259))</f>
        <v/>
      </c>
      <c r="M259" s="241">
        <f>IF(COUNT(H259,K259)=0,"",N(K259)-N(H259))</f>
        <v/>
      </c>
      <c r="N259" s="240">
        <f>IF(AND(ISNUMBER(F259),ISNUMBER(G259),F259&gt;0,1-N(Ввод!$E$17)/100&gt;0),MAX(0,(F259*G259-SUMPRODUCT((Закрытые!$B$5:$B$300=$B259)*((Закрытые!$F$5:$F$300+Закрытые!$I$5:$I$300-ABS(Закрытые!$F$5:$F$300-Закрытые!$I$5:$I$300))/2)*(Закрытые!$J$5:$J$300-Закрытые!$G$5:$G$300)))/F259)/(1-N(Ввод!$E$17)/100),IF(AND(ISNUMBER(I259),ISNUMBER(J259),I259&gt;0),MAX(0,(I259*J259+SUMPRODUCT((Закрытые!$B$5:$B$300=$B259)*((Закрытые!$F$5:$F$300+Закрытые!$I$5:$I$300-ABS(Закрытые!$F$5:$F$300-Закрытые!$I$5:$I$300))/2)*(Закрытые!$J$5:$J$300-Закрытые!$G$5:$G$300)))/I259)/(1+N(Ввод!$E$17)/100),""))</f>
        <v/>
      </c>
    </row>
    <row r="260" ht="22" customHeight="1">
      <c r="B260" s="318" t="n"/>
      <c r="C260" s="319" t="n"/>
      <c r="D260" s="318" t="n"/>
      <c r="E260" s="320" t="n"/>
      <c r="F260" s="321" t="n"/>
      <c r="G260" s="322" t="n"/>
      <c r="H260" s="271">
        <f>IF(AND(ISNUMBER(F260),ISNUMBER(G260)),F260*G260,"")</f>
        <v/>
      </c>
      <c r="I260" s="321" t="n"/>
      <c r="J260" s="322" t="n"/>
      <c r="K260" s="271">
        <f>IF(AND(ISNUMBER(I260),ISNUMBER(J260)),I260*J260,"")</f>
        <v/>
      </c>
      <c r="L260" s="246">
        <f>IF(COUNT(F260,I260)=0,"",N(F260)-N(I260))</f>
        <v/>
      </c>
      <c r="M260" s="247">
        <f>IF(COUNT(H260,K260)=0,"",N(K260)-N(H260))</f>
        <v/>
      </c>
      <c r="N260" s="246">
        <f>IF(AND(ISNUMBER(F260),ISNUMBER(G260),F260&gt;0,1-N(Ввод!$E$17)/100&gt;0),MAX(0,(F260*G260-SUMPRODUCT((Закрытые!$B$5:$B$300=$B260)*((Закрытые!$F$5:$F$300+Закрытые!$I$5:$I$300-ABS(Закрытые!$F$5:$F$300-Закрытые!$I$5:$I$300))/2)*(Закрытые!$J$5:$J$300-Закрытые!$G$5:$G$300)))/F260)/(1-N(Ввод!$E$17)/100),IF(AND(ISNUMBER(I260),ISNUMBER(J260),I260&gt;0),MAX(0,(I260*J260+SUMPRODUCT((Закрытые!$B$5:$B$300=$B260)*((Закрытые!$F$5:$F$300+Закрытые!$I$5:$I$300-ABS(Закрытые!$F$5:$F$300-Закрытые!$I$5:$I$300))/2)*(Закрытые!$J$5:$J$300-Закрытые!$G$5:$G$300)))/I260)/(1+N(Ввод!$E$17)/100),""))</f>
        <v/>
      </c>
    </row>
    <row r="261" ht="22" customHeight="1">
      <c r="B261" s="313" t="n"/>
      <c r="C261" s="314" t="n"/>
      <c r="D261" s="313" t="n"/>
      <c r="E261" s="315" t="n"/>
      <c r="F261" s="316" t="n"/>
      <c r="G261" s="317" t="n"/>
      <c r="H261" s="271">
        <f>IF(AND(ISNUMBER(F261),ISNUMBER(G261)),F261*G261,"")</f>
        <v/>
      </c>
      <c r="I261" s="316" t="n"/>
      <c r="J261" s="317" t="n"/>
      <c r="K261" s="271">
        <f>IF(AND(ISNUMBER(I261),ISNUMBER(J261)),I261*J261,"")</f>
        <v/>
      </c>
      <c r="L261" s="240">
        <f>IF(COUNT(F261,I261)=0,"",N(F261)-N(I261))</f>
        <v/>
      </c>
      <c r="M261" s="241">
        <f>IF(COUNT(H261,K261)=0,"",N(K261)-N(H261))</f>
        <v/>
      </c>
      <c r="N261" s="240">
        <f>IF(AND(ISNUMBER(F261),ISNUMBER(G261),F261&gt;0,1-N(Ввод!$E$17)/100&gt;0),MAX(0,(F261*G261-SUMPRODUCT((Закрытые!$B$5:$B$300=$B261)*((Закрытые!$F$5:$F$300+Закрытые!$I$5:$I$300-ABS(Закрытые!$F$5:$F$300-Закрытые!$I$5:$I$300))/2)*(Закрытые!$J$5:$J$300-Закрытые!$G$5:$G$300)))/F261)/(1-N(Ввод!$E$17)/100),IF(AND(ISNUMBER(I261),ISNUMBER(J261),I261&gt;0),MAX(0,(I261*J261+SUMPRODUCT((Закрытые!$B$5:$B$300=$B261)*((Закрытые!$F$5:$F$300+Закрытые!$I$5:$I$300-ABS(Закрытые!$F$5:$F$300-Закрытые!$I$5:$I$300))/2)*(Закрытые!$J$5:$J$300-Закрытые!$G$5:$G$300)))/I261)/(1+N(Ввод!$E$17)/100),""))</f>
        <v/>
      </c>
    </row>
    <row r="262" ht="22" customHeight="1">
      <c r="B262" s="318" t="n"/>
      <c r="C262" s="319" t="n"/>
      <c r="D262" s="318" t="n"/>
      <c r="E262" s="320" t="n"/>
      <c r="F262" s="321" t="n"/>
      <c r="G262" s="322" t="n"/>
      <c r="H262" s="271">
        <f>IF(AND(ISNUMBER(F262),ISNUMBER(G262)),F262*G262,"")</f>
        <v/>
      </c>
      <c r="I262" s="321" t="n"/>
      <c r="J262" s="322" t="n"/>
      <c r="K262" s="271">
        <f>IF(AND(ISNUMBER(I262),ISNUMBER(J262)),I262*J262,"")</f>
        <v/>
      </c>
      <c r="L262" s="246">
        <f>IF(COUNT(F262,I262)=0,"",N(F262)-N(I262))</f>
        <v/>
      </c>
      <c r="M262" s="247">
        <f>IF(COUNT(H262,K262)=0,"",N(K262)-N(H262))</f>
        <v/>
      </c>
      <c r="N262" s="246">
        <f>IF(AND(ISNUMBER(F262),ISNUMBER(G262),F262&gt;0,1-N(Ввод!$E$17)/100&gt;0),MAX(0,(F262*G262-SUMPRODUCT((Закрытые!$B$5:$B$300=$B262)*((Закрытые!$F$5:$F$300+Закрытые!$I$5:$I$300-ABS(Закрытые!$F$5:$F$300-Закрытые!$I$5:$I$300))/2)*(Закрытые!$J$5:$J$300-Закрытые!$G$5:$G$300)))/F262)/(1-N(Ввод!$E$17)/100),IF(AND(ISNUMBER(I262),ISNUMBER(J262),I262&gt;0),MAX(0,(I262*J262+SUMPRODUCT((Закрытые!$B$5:$B$300=$B262)*((Закрытые!$F$5:$F$300+Закрытые!$I$5:$I$300-ABS(Закрытые!$F$5:$F$300-Закрытые!$I$5:$I$300))/2)*(Закрытые!$J$5:$J$300-Закрытые!$G$5:$G$300)))/I262)/(1+N(Ввод!$E$17)/100),""))</f>
        <v/>
      </c>
    </row>
    <row r="263" ht="22" customHeight="1">
      <c r="B263" s="313" t="n"/>
      <c r="C263" s="314" t="n"/>
      <c r="D263" s="313" t="n"/>
      <c r="E263" s="315" t="n"/>
      <c r="F263" s="316" t="n"/>
      <c r="G263" s="317" t="n"/>
      <c r="H263" s="271">
        <f>IF(AND(ISNUMBER(F263),ISNUMBER(G263)),F263*G263,"")</f>
        <v/>
      </c>
      <c r="I263" s="316" t="n"/>
      <c r="J263" s="317" t="n"/>
      <c r="K263" s="271">
        <f>IF(AND(ISNUMBER(I263),ISNUMBER(J263)),I263*J263,"")</f>
        <v/>
      </c>
      <c r="L263" s="240">
        <f>IF(COUNT(F263,I263)=0,"",N(F263)-N(I263))</f>
        <v/>
      </c>
      <c r="M263" s="241">
        <f>IF(COUNT(H263,K263)=0,"",N(K263)-N(H263))</f>
        <v/>
      </c>
      <c r="N263" s="240">
        <f>IF(AND(ISNUMBER(F263),ISNUMBER(G263),F263&gt;0,1-N(Ввод!$E$17)/100&gt;0),MAX(0,(F263*G263-SUMPRODUCT((Закрытые!$B$5:$B$300=$B263)*((Закрытые!$F$5:$F$300+Закрытые!$I$5:$I$300-ABS(Закрытые!$F$5:$F$300-Закрытые!$I$5:$I$300))/2)*(Закрытые!$J$5:$J$300-Закрытые!$G$5:$G$300)))/F263)/(1-N(Ввод!$E$17)/100),IF(AND(ISNUMBER(I263),ISNUMBER(J263),I263&gt;0),MAX(0,(I263*J263+SUMPRODUCT((Закрытые!$B$5:$B$300=$B263)*((Закрытые!$F$5:$F$300+Закрытые!$I$5:$I$300-ABS(Закрытые!$F$5:$F$300-Закрытые!$I$5:$I$300))/2)*(Закрытые!$J$5:$J$300-Закрытые!$G$5:$G$300)))/I263)/(1+N(Ввод!$E$17)/100),""))</f>
        <v/>
      </c>
    </row>
    <row r="264" ht="22" customHeight="1">
      <c r="B264" s="318" t="n"/>
      <c r="C264" s="319" t="n"/>
      <c r="D264" s="318" t="n"/>
      <c r="E264" s="320" t="n"/>
      <c r="F264" s="321" t="n"/>
      <c r="G264" s="322" t="n"/>
      <c r="H264" s="271">
        <f>IF(AND(ISNUMBER(F264),ISNUMBER(G264)),F264*G264,"")</f>
        <v/>
      </c>
      <c r="I264" s="321" t="n"/>
      <c r="J264" s="322" t="n"/>
      <c r="K264" s="271">
        <f>IF(AND(ISNUMBER(I264),ISNUMBER(J264)),I264*J264,"")</f>
        <v/>
      </c>
      <c r="L264" s="246">
        <f>IF(COUNT(F264,I264)=0,"",N(F264)-N(I264))</f>
        <v/>
      </c>
      <c r="M264" s="247">
        <f>IF(COUNT(H264,K264)=0,"",N(K264)-N(H264))</f>
        <v/>
      </c>
      <c r="N264" s="246">
        <f>IF(AND(ISNUMBER(F264),ISNUMBER(G264),F264&gt;0,1-N(Ввод!$E$17)/100&gt;0),MAX(0,(F264*G264-SUMPRODUCT((Закрытые!$B$5:$B$300=$B264)*((Закрытые!$F$5:$F$300+Закрытые!$I$5:$I$300-ABS(Закрытые!$F$5:$F$300-Закрытые!$I$5:$I$300))/2)*(Закрытые!$J$5:$J$300-Закрытые!$G$5:$G$300)))/F264)/(1-N(Ввод!$E$17)/100),IF(AND(ISNUMBER(I264),ISNUMBER(J264),I264&gt;0),MAX(0,(I264*J264+SUMPRODUCT((Закрытые!$B$5:$B$300=$B264)*((Закрытые!$F$5:$F$300+Закрытые!$I$5:$I$300-ABS(Закрытые!$F$5:$F$300-Закрытые!$I$5:$I$300))/2)*(Закрытые!$J$5:$J$300-Закрытые!$G$5:$G$300)))/I264)/(1+N(Ввод!$E$17)/100),""))</f>
        <v/>
      </c>
    </row>
    <row r="265" ht="22" customHeight="1">
      <c r="B265" s="313" t="n"/>
      <c r="C265" s="314" t="n"/>
      <c r="D265" s="313" t="n"/>
      <c r="E265" s="315" t="n"/>
      <c r="F265" s="316" t="n"/>
      <c r="G265" s="317" t="n"/>
      <c r="H265" s="271">
        <f>IF(AND(ISNUMBER(F265),ISNUMBER(G265)),F265*G265,"")</f>
        <v/>
      </c>
      <c r="I265" s="316" t="n"/>
      <c r="J265" s="317" t="n"/>
      <c r="K265" s="271">
        <f>IF(AND(ISNUMBER(I265),ISNUMBER(J265)),I265*J265,"")</f>
        <v/>
      </c>
      <c r="L265" s="240">
        <f>IF(COUNT(F265,I265)=0,"",N(F265)-N(I265))</f>
        <v/>
      </c>
      <c r="M265" s="241">
        <f>IF(COUNT(H265,K265)=0,"",N(K265)-N(H265))</f>
        <v/>
      </c>
      <c r="N265" s="240">
        <f>IF(AND(ISNUMBER(F265),ISNUMBER(G265),F265&gt;0,1-N(Ввод!$E$17)/100&gt;0),MAX(0,(F265*G265-SUMPRODUCT((Закрытые!$B$5:$B$300=$B265)*((Закрытые!$F$5:$F$300+Закрытые!$I$5:$I$300-ABS(Закрытые!$F$5:$F$300-Закрытые!$I$5:$I$300))/2)*(Закрытые!$J$5:$J$300-Закрытые!$G$5:$G$300)))/F265)/(1-N(Ввод!$E$17)/100),IF(AND(ISNUMBER(I265),ISNUMBER(J265),I265&gt;0),MAX(0,(I265*J265+SUMPRODUCT((Закрытые!$B$5:$B$300=$B265)*((Закрытые!$F$5:$F$300+Закрытые!$I$5:$I$300-ABS(Закрытые!$F$5:$F$300-Закрытые!$I$5:$I$300))/2)*(Закрытые!$J$5:$J$300-Закрытые!$G$5:$G$300)))/I265)/(1+N(Ввод!$E$17)/100),""))</f>
        <v/>
      </c>
    </row>
    <row r="266" ht="22" customHeight="1">
      <c r="B266" s="318" t="n"/>
      <c r="C266" s="319" t="n"/>
      <c r="D266" s="318" t="n"/>
      <c r="E266" s="320" t="n"/>
      <c r="F266" s="321" t="n"/>
      <c r="G266" s="322" t="n"/>
      <c r="H266" s="271">
        <f>IF(AND(ISNUMBER(F266),ISNUMBER(G266)),F266*G266,"")</f>
        <v/>
      </c>
      <c r="I266" s="321" t="n"/>
      <c r="J266" s="322" t="n"/>
      <c r="K266" s="271">
        <f>IF(AND(ISNUMBER(I266),ISNUMBER(J266)),I266*J266,"")</f>
        <v/>
      </c>
      <c r="L266" s="246">
        <f>IF(COUNT(F266,I266)=0,"",N(F266)-N(I266))</f>
        <v/>
      </c>
      <c r="M266" s="247">
        <f>IF(COUNT(H266,K266)=0,"",N(K266)-N(H266))</f>
        <v/>
      </c>
      <c r="N266" s="246">
        <f>IF(AND(ISNUMBER(F266),ISNUMBER(G266),F266&gt;0,1-N(Ввод!$E$17)/100&gt;0),MAX(0,(F266*G266-SUMPRODUCT((Закрытые!$B$5:$B$300=$B266)*((Закрытые!$F$5:$F$300+Закрытые!$I$5:$I$300-ABS(Закрытые!$F$5:$F$300-Закрытые!$I$5:$I$300))/2)*(Закрытые!$J$5:$J$300-Закрытые!$G$5:$G$300)))/F266)/(1-N(Ввод!$E$17)/100),IF(AND(ISNUMBER(I266),ISNUMBER(J266),I266&gt;0),MAX(0,(I266*J266+SUMPRODUCT((Закрытые!$B$5:$B$300=$B266)*((Закрытые!$F$5:$F$300+Закрытые!$I$5:$I$300-ABS(Закрытые!$F$5:$F$300-Закрытые!$I$5:$I$300))/2)*(Закрытые!$J$5:$J$300-Закрытые!$G$5:$G$300)))/I266)/(1+N(Ввод!$E$17)/100),""))</f>
        <v/>
      </c>
    </row>
    <row r="267" ht="22" customHeight="1">
      <c r="B267" s="313" t="n"/>
      <c r="C267" s="314" t="n"/>
      <c r="D267" s="313" t="n"/>
      <c r="E267" s="315" t="n"/>
      <c r="F267" s="316" t="n"/>
      <c r="G267" s="317" t="n"/>
      <c r="H267" s="271">
        <f>IF(AND(ISNUMBER(F267),ISNUMBER(G267)),F267*G267,"")</f>
        <v/>
      </c>
      <c r="I267" s="316" t="n"/>
      <c r="J267" s="317" t="n"/>
      <c r="K267" s="271">
        <f>IF(AND(ISNUMBER(I267),ISNUMBER(J267)),I267*J267,"")</f>
        <v/>
      </c>
      <c r="L267" s="240">
        <f>IF(COUNT(F267,I267)=0,"",N(F267)-N(I267))</f>
        <v/>
      </c>
      <c r="M267" s="241">
        <f>IF(COUNT(H267,K267)=0,"",N(K267)-N(H267))</f>
        <v/>
      </c>
      <c r="N267" s="240">
        <f>IF(AND(ISNUMBER(F267),ISNUMBER(G267),F267&gt;0,1-N(Ввод!$E$17)/100&gt;0),MAX(0,(F267*G267-SUMPRODUCT((Закрытые!$B$5:$B$300=$B267)*((Закрытые!$F$5:$F$300+Закрытые!$I$5:$I$300-ABS(Закрытые!$F$5:$F$300-Закрытые!$I$5:$I$300))/2)*(Закрытые!$J$5:$J$300-Закрытые!$G$5:$G$300)))/F267)/(1-N(Ввод!$E$17)/100),IF(AND(ISNUMBER(I267),ISNUMBER(J267),I267&gt;0),MAX(0,(I267*J267+SUMPRODUCT((Закрытые!$B$5:$B$300=$B267)*((Закрытые!$F$5:$F$300+Закрытые!$I$5:$I$300-ABS(Закрытые!$F$5:$F$300-Закрытые!$I$5:$I$300))/2)*(Закрытые!$J$5:$J$300-Закрытые!$G$5:$G$300)))/I267)/(1+N(Ввод!$E$17)/100),""))</f>
        <v/>
      </c>
    </row>
    <row r="268" ht="22" customHeight="1">
      <c r="B268" s="318" t="n"/>
      <c r="C268" s="319" t="n"/>
      <c r="D268" s="318" t="n"/>
      <c r="E268" s="320" t="n"/>
      <c r="F268" s="321" t="n"/>
      <c r="G268" s="322" t="n"/>
      <c r="H268" s="271">
        <f>IF(AND(ISNUMBER(F268),ISNUMBER(G268)),F268*G268,"")</f>
        <v/>
      </c>
      <c r="I268" s="321" t="n"/>
      <c r="J268" s="322" t="n"/>
      <c r="K268" s="271">
        <f>IF(AND(ISNUMBER(I268),ISNUMBER(J268)),I268*J268,"")</f>
        <v/>
      </c>
      <c r="L268" s="246">
        <f>IF(COUNT(F268,I268)=0,"",N(F268)-N(I268))</f>
        <v/>
      </c>
      <c r="M268" s="247">
        <f>IF(COUNT(H268,K268)=0,"",N(K268)-N(H268))</f>
        <v/>
      </c>
      <c r="N268" s="246">
        <f>IF(AND(ISNUMBER(F268),ISNUMBER(G268),F268&gt;0,1-N(Ввод!$E$17)/100&gt;0),MAX(0,(F268*G268-SUMPRODUCT((Закрытые!$B$5:$B$300=$B268)*((Закрытые!$F$5:$F$300+Закрытые!$I$5:$I$300-ABS(Закрытые!$F$5:$F$300-Закрытые!$I$5:$I$300))/2)*(Закрытые!$J$5:$J$300-Закрытые!$G$5:$G$300)))/F268)/(1-N(Ввод!$E$17)/100),IF(AND(ISNUMBER(I268),ISNUMBER(J268),I268&gt;0),MAX(0,(I268*J268+SUMPRODUCT((Закрытые!$B$5:$B$300=$B268)*((Закрытые!$F$5:$F$300+Закрытые!$I$5:$I$300-ABS(Закрытые!$F$5:$F$300-Закрытые!$I$5:$I$300))/2)*(Закрытые!$J$5:$J$300-Закрытые!$G$5:$G$300)))/I268)/(1+N(Ввод!$E$17)/100),""))</f>
        <v/>
      </c>
    </row>
    <row r="269" ht="22" customHeight="1">
      <c r="B269" s="313" t="n"/>
      <c r="C269" s="314" t="n"/>
      <c r="D269" s="313" t="n"/>
      <c r="E269" s="315" t="n"/>
      <c r="F269" s="316" t="n"/>
      <c r="G269" s="317" t="n"/>
      <c r="H269" s="271">
        <f>IF(AND(ISNUMBER(F269),ISNUMBER(G269)),F269*G269,"")</f>
        <v/>
      </c>
      <c r="I269" s="316" t="n"/>
      <c r="J269" s="317" t="n"/>
      <c r="K269" s="271">
        <f>IF(AND(ISNUMBER(I269),ISNUMBER(J269)),I269*J269,"")</f>
        <v/>
      </c>
      <c r="L269" s="240">
        <f>IF(COUNT(F269,I269)=0,"",N(F269)-N(I269))</f>
        <v/>
      </c>
      <c r="M269" s="241">
        <f>IF(COUNT(H269,K269)=0,"",N(K269)-N(H269))</f>
        <v/>
      </c>
      <c r="N269" s="240">
        <f>IF(AND(ISNUMBER(F269),ISNUMBER(G269),F269&gt;0,1-N(Ввод!$E$17)/100&gt;0),MAX(0,(F269*G269-SUMPRODUCT((Закрытые!$B$5:$B$300=$B269)*((Закрытые!$F$5:$F$300+Закрытые!$I$5:$I$300-ABS(Закрытые!$F$5:$F$300-Закрытые!$I$5:$I$300))/2)*(Закрытые!$J$5:$J$300-Закрытые!$G$5:$G$300)))/F269)/(1-N(Ввод!$E$17)/100),IF(AND(ISNUMBER(I269),ISNUMBER(J269),I269&gt;0),MAX(0,(I269*J269+SUMPRODUCT((Закрытые!$B$5:$B$300=$B269)*((Закрытые!$F$5:$F$300+Закрытые!$I$5:$I$300-ABS(Закрытые!$F$5:$F$300-Закрытые!$I$5:$I$300))/2)*(Закрытые!$J$5:$J$300-Закрытые!$G$5:$G$300)))/I269)/(1+N(Ввод!$E$17)/100),""))</f>
        <v/>
      </c>
    </row>
    <row r="270" ht="22" customHeight="1">
      <c r="B270" s="318" t="n"/>
      <c r="C270" s="319" t="n"/>
      <c r="D270" s="318" t="n"/>
      <c r="E270" s="320" t="n"/>
      <c r="F270" s="321" t="n"/>
      <c r="G270" s="322" t="n"/>
      <c r="H270" s="271">
        <f>IF(AND(ISNUMBER(F270),ISNUMBER(G270)),F270*G270,"")</f>
        <v/>
      </c>
      <c r="I270" s="321" t="n"/>
      <c r="J270" s="322" t="n"/>
      <c r="K270" s="271">
        <f>IF(AND(ISNUMBER(I270),ISNUMBER(J270)),I270*J270,"")</f>
        <v/>
      </c>
      <c r="L270" s="246">
        <f>IF(COUNT(F270,I270)=0,"",N(F270)-N(I270))</f>
        <v/>
      </c>
      <c r="M270" s="247">
        <f>IF(COUNT(H270,K270)=0,"",N(K270)-N(H270))</f>
        <v/>
      </c>
      <c r="N270" s="246">
        <f>IF(AND(ISNUMBER(F270),ISNUMBER(G270),F270&gt;0,1-N(Ввод!$E$17)/100&gt;0),MAX(0,(F270*G270-SUMPRODUCT((Закрытые!$B$5:$B$300=$B270)*((Закрытые!$F$5:$F$300+Закрытые!$I$5:$I$300-ABS(Закрытые!$F$5:$F$300-Закрытые!$I$5:$I$300))/2)*(Закрытые!$J$5:$J$300-Закрытые!$G$5:$G$300)))/F270)/(1-N(Ввод!$E$17)/100),IF(AND(ISNUMBER(I270),ISNUMBER(J270),I270&gt;0),MAX(0,(I270*J270+SUMPRODUCT((Закрытые!$B$5:$B$300=$B270)*((Закрытые!$F$5:$F$300+Закрытые!$I$5:$I$300-ABS(Закрытые!$F$5:$F$300-Закрытые!$I$5:$I$300))/2)*(Закрытые!$J$5:$J$300-Закрытые!$G$5:$G$300)))/I270)/(1+N(Ввод!$E$17)/100),""))</f>
        <v/>
      </c>
    </row>
    <row r="271" ht="22" customHeight="1">
      <c r="B271" s="313" t="n"/>
      <c r="C271" s="314" t="n"/>
      <c r="D271" s="313" t="n"/>
      <c r="E271" s="315" t="n"/>
      <c r="F271" s="316" t="n"/>
      <c r="G271" s="317" t="n"/>
      <c r="H271" s="271">
        <f>IF(AND(ISNUMBER(F271),ISNUMBER(G271)),F271*G271,"")</f>
        <v/>
      </c>
      <c r="I271" s="316" t="n"/>
      <c r="J271" s="317" t="n"/>
      <c r="K271" s="271">
        <f>IF(AND(ISNUMBER(I271),ISNUMBER(J271)),I271*J271,"")</f>
        <v/>
      </c>
      <c r="L271" s="240">
        <f>IF(COUNT(F271,I271)=0,"",N(F271)-N(I271))</f>
        <v/>
      </c>
      <c r="M271" s="241">
        <f>IF(COUNT(H271,K271)=0,"",N(K271)-N(H271))</f>
        <v/>
      </c>
      <c r="N271" s="240">
        <f>IF(AND(ISNUMBER(F271),ISNUMBER(G271),F271&gt;0,1-N(Ввод!$E$17)/100&gt;0),MAX(0,(F271*G271-SUMPRODUCT((Закрытые!$B$5:$B$300=$B271)*((Закрытые!$F$5:$F$300+Закрытые!$I$5:$I$300-ABS(Закрытые!$F$5:$F$300-Закрытые!$I$5:$I$300))/2)*(Закрытые!$J$5:$J$300-Закрытые!$G$5:$G$300)))/F271)/(1-N(Ввод!$E$17)/100),IF(AND(ISNUMBER(I271),ISNUMBER(J271),I271&gt;0),MAX(0,(I271*J271+SUMPRODUCT((Закрытые!$B$5:$B$300=$B271)*((Закрытые!$F$5:$F$300+Закрытые!$I$5:$I$300-ABS(Закрытые!$F$5:$F$300-Закрытые!$I$5:$I$300))/2)*(Закрытые!$J$5:$J$300-Закрытые!$G$5:$G$300)))/I271)/(1+N(Ввод!$E$17)/100),""))</f>
        <v/>
      </c>
    </row>
    <row r="272" ht="22" customHeight="1">
      <c r="B272" s="318" t="n"/>
      <c r="C272" s="319" t="n"/>
      <c r="D272" s="318" t="n"/>
      <c r="E272" s="320" t="n"/>
      <c r="F272" s="321" t="n"/>
      <c r="G272" s="322" t="n"/>
      <c r="H272" s="271">
        <f>IF(AND(ISNUMBER(F272),ISNUMBER(G272)),F272*G272,"")</f>
        <v/>
      </c>
      <c r="I272" s="321" t="n"/>
      <c r="J272" s="322" t="n"/>
      <c r="K272" s="271">
        <f>IF(AND(ISNUMBER(I272),ISNUMBER(J272)),I272*J272,"")</f>
        <v/>
      </c>
      <c r="L272" s="246">
        <f>IF(COUNT(F272,I272)=0,"",N(F272)-N(I272))</f>
        <v/>
      </c>
      <c r="M272" s="247">
        <f>IF(COUNT(H272,K272)=0,"",N(K272)-N(H272))</f>
        <v/>
      </c>
      <c r="N272" s="246">
        <f>IF(AND(ISNUMBER(F272),ISNUMBER(G272),F272&gt;0,1-N(Ввод!$E$17)/100&gt;0),MAX(0,(F272*G272-SUMPRODUCT((Закрытые!$B$5:$B$300=$B272)*((Закрытые!$F$5:$F$300+Закрытые!$I$5:$I$300-ABS(Закрытые!$F$5:$F$300-Закрытые!$I$5:$I$300))/2)*(Закрытые!$J$5:$J$300-Закрытые!$G$5:$G$300)))/F272)/(1-N(Ввод!$E$17)/100),IF(AND(ISNUMBER(I272),ISNUMBER(J272),I272&gt;0),MAX(0,(I272*J272+SUMPRODUCT((Закрытые!$B$5:$B$300=$B272)*((Закрытые!$F$5:$F$300+Закрытые!$I$5:$I$300-ABS(Закрытые!$F$5:$F$300-Закрытые!$I$5:$I$300))/2)*(Закрытые!$J$5:$J$300-Закрытые!$G$5:$G$300)))/I272)/(1+N(Ввод!$E$17)/100),""))</f>
        <v/>
      </c>
    </row>
    <row r="273" ht="22" customHeight="1">
      <c r="B273" s="313" t="n"/>
      <c r="C273" s="314" t="n"/>
      <c r="D273" s="313" t="n"/>
      <c r="E273" s="315" t="n"/>
      <c r="F273" s="316" t="n"/>
      <c r="G273" s="317" t="n"/>
      <c r="H273" s="271">
        <f>IF(AND(ISNUMBER(F273),ISNUMBER(G273)),F273*G273,"")</f>
        <v/>
      </c>
      <c r="I273" s="316" t="n"/>
      <c r="J273" s="317" t="n"/>
      <c r="K273" s="271">
        <f>IF(AND(ISNUMBER(I273),ISNUMBER(J273)),I273*J273,"")</f>
        <v/>
      </c>
      <c r="L273" s="240">
        <f>IF(COUNT(F273,I273)=0,"",N(F273)-N(I273))</f>
        <v/>
      </c>
      <c r="M273" s="241">
        <f>IF(COUNT(H273,K273)=0,"",N(K273)-N(H273))</f>
        <v/>
      </c>
      <c r="N273" s="240">
        <f>IF(AND(ISNUMBER(F273),ISNUMBER(G273),F273&gt;0,1-N(Ввод!$E$17)/100&gt;0),MAX(0,(F273*G273-SUMPRODUCT((Закрытые!$B$5:$B$300=$B273)*((Закрытые!$F$5:$F$300+Закрытые!$I$5:$I$300-ABS(Закрытые!$F$5:$F$300-Закрытые!$I$5:$I$300))/2)*(Закрытые!$J$5:$J$300-Закрытые!$G$5:$G$300)))/F273)/(1-N(Ввод!$E$17)/100),IF(AND(ISNUMBER(I273),ISNUMBER(J273),I273&gt;0),MAX(0,(I273*J273+SUMPRODUCT((Закрытые!$B$5:$B$300=$B273)*((Закрытые!$F$5:$F$300+Закрытые!$I$5:$I$300-ABS(Закрытые!$F$5:$F$300-Закрытые!$I$5:$I$300))/2)*(Закрытые!$J$5:$J$300-Закрытые!$G$5:$G$300)))/I273)/(1+N(Ввод!$E$17)/100),""))</f>
        <v/>
      </c>
    </row>
    <row r="274" ht="22" customHeight="1">
      <c r="B274" s="318" t="n"/>
      <c r="C274" s="319" t="n"/>
      <c r="D274" s="318" t="n"/>
      <c r="E274" s="320" t="n"/>
      <c r="F274" s="321" t="n"/>
      <c r="G274" s="322" t="n"/>
      <c r="H274" s="271">
        <f>IF(AND(ISNUMBER(F274),ISNUMBER(G274)),F274*G274,"")</f>
        <v/>
      </c>
      <c r="I274" s="321" t="n"/>
      <c r="J274" s="322" t="n"/>
      <c r="K274" s="271">
        <f>IF(AND(ISNUMBER(I274),ISNUMBER(J274)),I274*J274,"")</f>
        <v/>
      </c>
      <c r="L274" s="246">
        <f>IF(COUNT(F274,I274)=0,"",N(F274)-N(I274))</f>
        <v/>
      </c>
      <c r="M274" s="247">
        <f>IF(COUNT(H274,K274)=0,"",N(K274)-N(H274))</f>
        <v/>
      </c>
      <c r="N274" s="246">
        <f>IF(AND(ISNUMBER(F274),ISNUMBER(G274),F274&gt;0,1-N(Ввод!$E$17)/100&gt;0),MAX(0,(F274*G274-SUMPRODUCT((Закрытые!$B$5:$B$300=$B274)*((Закрытые!$F$5:$F$300+Закрытые!$I$5:$I$300-ABS(Закрытые!$F$5:$F$300-Закрытые!$I$5:$I$300))/2)*(Закрытые!$J$5:$J$300-Закрытые!$G$5:$G$300)))/F274)/(1-N(Ввод!$E$17)/100),IF(AND(ISNUMBER(I274),ISNUMBER(J274),I274&gt;0),MAX(0,(I274*J274+SUMPRODUCT((Закрытые!$B$5:$B$300=$B274)*((Закрытые!$F$5:$F$300+Закрытые!$I$5:$I$300-ABS(Закрытые!$F$5:$F$300-Закрытые!$I$5:$I$300))/2)*(Закрытые!$J$5:$J$300-Закрытые!$G$5:$G$300)))/I274)/(1+N(Ввод!$E$17)/100),""))</f>
        <v/>
      </c>
    </row>
    <row r="275" ht="22" customHeight="1">
      <c r="B275" s="313" t="n"/>
      <c r="C275" s="314" t="n"/>
      <c r="D275" s="313" t="n"/>
      <c r="E275" s="315" t="n"/>
      <c r="F275" s="316" t="n"/>
      <c r="G275" s="317" t="n"/>
      <c r="H275" s="271">
        <f>IF(AND(ISNUMBER(F275),ISNUMBER(G275)),F275*G275,"")</f>
        <v/>
      </c>
      <c r="I275" s="316" t="n"/>
      <c r="J275" s="317" t="n"/>
      <c r="K275" s="271">
        <f>IF(AND(ISNUMBER(I275),ISNUMBER(J275)),I275*J275,"")</f>
        <v/>
      </c>
      <c r="L275" s="240">
        <f>IF(COUNT(F275,I275)=0,"",N(F275)-N(I275))</f>
        <v/>
      </c>
      <c r="M275" s="241">
        <f>IF(COUNT(H275,K275)=0,"",N(K275)-N(H275))</f>
        <v/>
      </c>
      <c r="N275" s="240">
        <f>IF(AND(ISNUMBER(F275),ISNUMBER(G275),F275&gt;0,1-N(Ввод!$E$17)/100&gt;0),MAX(0,(F275*G275-SUMPRODUCT((Закрытые!$B$5:$B$300=$B275)*((Закрытые!$F$5:$F$300+Закрытые!$I$5:$I$300-ABS(Закрытые!$F$5:$F$300-Закрытые!$I$5:$I$300))/2)*(Закрытые!$J$5:$J$300-Закрытые!$G$5:$G$300)))/F275)/(1-N(Ввод!$E$17)/100),IF(AND(ISNUMBER(I275),ISNUMBER(J275),I275&gt;0),MAX(0,(I275*J275+SUMPRODUCT((Закрытые!$B$5:$B$300=$B275)*((Закрытые!$F$5:$F$300+Закрытые!$I$5:$I$300-ABS(Закрытые!$F$5:$F$300-Закрытые!$I$5:$I$300))/2)*(Закрытые!$J$5:$J$300-Закрытые!$G$5:$G$300)))/I275)/(1+N(Ввод!$E$17)/100),""))</f>
        <v/>
      </c>
    </row>
    <row r="276" ht="22" customHeight="1">
      <c r="B276" s="318" t="n"/>
      <c r="C276" s="319" t="n"/>
      <c r="D276" s="318" t="n"/>
      <c r="E276" s="320" t="n"/>
      <c r="F276" s="321" t="n"/>
      <c r="G276" s="322" t="n"/>
      <c r="H276" s="271">
        <f>IF(AND(ISNUMBER(F276),ISNUMBER(G276)),F276*G276,"")</f>
        <v/>
      </c>
      <c r="I276" s="321" t="n"/>
      <c r="J276" s="322" t="n"/>
      <c r="K276" s="271">
        <f>IF(AND(ISNUMBER(I276),ISNUMBER(J276)),I276*J276,"")</f>
        <v/>
      </c>
      <c r="L276" s="246">
        <f>IF(COUNT(F276,I276)=0,"",N(F276)-N(I276))</f>
        <v/>
      </c>
      <c r="M276" s="247">
        <f>IF(COUNT(H276,K276)=0,"",N(K276)-N(H276))</f>
        <v/>
      </c>
      <c r="N276" s="246">
        <f>IF(AND(ISNUMBER(F276),ISNUMBER(G276),F276&gt;0,1-N(Ввод!$E$17)/100&gt;0),MAX(0,(F276*G276-SUMPRODUCT((Закрытые!$B$5:$B$300=$B276)*((Закрытые!$F$5:$F$300+Закрытые!$I$5:$I$300-ABS(Закрытые!$F$5:$F$300-Закрытые!$I$5:$I$300))/2)*(Закрытые!$J$5:$J$300-Закрытые!$G$5:$G$300)))/F276)/(1-N(Ввод!$E$17)/100),IF(AND(ISNUMBER(I276),ISNUMBER(J276),I276&gt;0),MAX(0,(I276*J276+SUMPRODUCT((Закрытые!$B$5:$B$300=$B276)*((Закрытые!$F$5:$F$300+Закрытые!$I$5:$I$300-ABS(Закрытые!$F$5:$F$300-Закрытые!$I$5:$I$300))/2)*(Закрытые!$J$5:$J$300-Закрытые!$G$5:$G$300)))/I276)/(1+N(Ввод!$E$17)/100),""))</f>
        <v/>
      </c>
    </row>
    <row r="277" ht="22" customHeight="1">
      <c r="B277" s="313" t="n"/>
      <c r="C277" s="314" t="n"/>
      <c r="D277" s="313" t="n"/>
      <c r="E277" s="315" t="n"/>
      <c r="F277" s="316" t="n"/>
      <c r="G277" s="317" t="n"/>
      <c r="H277" s="271">
        <f>IF(AND(ISNUMBER(F277),ISNUMBER(G277)),F277*G277,"")</f>
        <v/>
      </c>
      <c r="I277" s="316" t="n"/>
      <c r="J277" s="317" t="n"/>
      <c r="K277" s="271">
        <f>IF(AND(ISNUMBER(I277),ISNUMBER(J277)),I277*J277,"")</f>
        <v/>
      </c>
      <c r="L277" s="240">
        <f>IF(COUNT(F277,I277)=0,"",N(F277)-N(I277))</f>
        <v/>
      </c>
      <c r="M277" s="241">
        <f>IF(COUNT(H277,K277)=0,"",N(K277)-N(H277))</f>
        <v/>
      </c>
      <c r="N277" s="240">
        <f>IF(AND(ISNUMBER(F277),ISNUMBER(G277),F277&gt;0,1-N(Ввод!$E$17)/100&gt;0),MAX(0,(F277*G277-SUMPRODUCT((Закрытые!$B$5:$B$300=$B277)*((Закрытые!$F$5:$F$300+Закрытые!$I$5:$I$300-ABS(Закрытые!$F$5:$F$300-Закрытые!$I$5:$I$300))/2)*(Закрытые!$J$5:$J$300-Закрытые!$G$5:$G$300)))/F277)/(1-N(Ввод!$E$17)/100),IF(AND(ISNUMBER(I277),ISNUMBER(J277),I277&gt;0),MAX(0,(I277*J277+SUMPRODUCT((Закрытые!$B$5:$B$300=$B277)*((Закрытые!$F$5:$F$300+Закрытые!$I$5:$I$300-ABS(Закрытые!$F$5:$F$300-Закрытые!$I$5:$I$300))/2)*(Закрытые!$J$5:$J$300-Закрытые!$G$5:$G$300)))/I277)/(1+N(Ввод!$E$17)/100),""))</f>
        <v/>
      </c>
    </row>
    <row r="278" ht="22" customHeight="1">
      <c r="B278" s="318" t="n"/>
      <c r="C278" s="319" t="n"/>
      <c r="D278" s="318" t="n"/>
      <c r="E278" s="320" t="n"/>
      <c r="F278" s="321" t="n"/>
      <c r="G278" s="322" t="n"/>
      <c r="H278" s="271">
        <f>IF(AND(ISNUMBER(F278),ISNUMBER(G278)),F278*G278,"")</f>
        <v/>
      </c>
      <c r="I278" s="321" t="n"/>
      <c r="J278" s="322" t="n"/>
      <c r="K278" s="271">
        <f>IF(AND(ISNUMBER(I278),ISNUMBER(J278)),I278*J278,"")</f>
        <v/>
      </c>
      <c r="L278" s="246">
        <f>IF(COUNT(F278,I278)=0,"",N(F278)-N(I278))</f>
        <v/>
      </c>
      <c r="M278" s="247">
        <f>IF(COUNT(H278,K278)=0,"",N(K278)-N(H278))</f>
        <v/>
      </c>
      <c r="N278" s="246">
        <f>IF(AND(ISNUMBER(F278),ISNUMBER(G278),F278&gt;0,1-N(Ввод!$E$17)/100&gt;0),MAX(0,(F278*G278-SUMPRODUCT((Закрытые!$B$5:$B$300=$B278)*((Закрытые!$F$5:$F$300+Закрытые!$I$5:$I$300-ABS(Закрытые!$F$5:$F$300-Закрытые!$I$5:$I$300))/2)*(Закрытые!$J$5:$J$300-Закрытые!$G$5:$G$300)))/F278)/(1-N(Ввод!$E$17)/100),IF(AND(ISNUMBER(I278),ISNUMBER(J278),I278&gt;0),MAX(0,(I278*J278+SUMPRODUCT((Закрытые!$B$5:$B$300=$B278)*((Закрытые!$F$5:$F$300+Закрытые!$I$5:$I$300-ABS(Закрытые!$F$5:$F$300-Закрытые!$I$5:$I$300))/2)*(Закрытые!$J$5:$J$300-Закрытые!$G$5:$G$300)))/I278)/(1+N(Ввод!$E$17)/100),""))</f>
        <v/>
      </c>
    </row>
    <row r="279" ht="22" customHeight="1">
      <c r="B279" s="313" t="n"/>
      <c r="C279" s="314" t="n"/>
      <c r="D279" s="313" t="n"/>
      <c r="E279" s="315" t="n"/>
      <c r="F279" s="316" t="n"/>
      <c r="G279" s="317" t="n"/>
      <c r="H279" s="271">
        <f>IF(AND(ISNUMBER(F279),ISNUMBER(G279)),F279*G279,"")</f>
        <v/>
      </c>
      <c r="I279" s="316" t="n"/>
      <c r="J279" s="317" t="n"/>
      <c r="K279" s="271">
        <f>IF(AND(ISNUMBER(I279),ISNUMBER(J279)),I279*J279,"")</f>
        <v/>
      </c>
      <c r="L279" s="240">
        <f>IF(COUNT(F279,I279)=0,"",N(F279)-N(I279))</f>
        <v/>
      </c>
      <c r="M279" s="241">
        <f>IF(COUNT(H279,K279)=0,"",N(K279)-N(H279))</f>
        <v/>
      </c>
      <c r="N279" s="240">
        <f>IF(AND(ISNUMBER(F279),ISNUMBER(G279),F279&gt;0,1-N(Ввод!$E$17)/100&gt;0),MAX(0,(F279*G279-SUMPRODUCT((Закрытые!$B$5:$B$300=$B279)*((Закрытые!$F$5:$F$300+Закрытые!$I$5:$I$300-ABS(Закрытые!$F$5:$F$300-Закрытые!$I$5:$I$300))/2)*(Закрытые!$J$5:$J$300-Закрытые!$G$5:$G$300)))/F279)/(1-N(Ввод!$E$17)/100),IF(AND(ISNUMBER(I279),ISNUMBER(J279),I279&gt;0),MAX(0,(I279*J279+SUMPRODUCT((Закрытые!$B$5:$B$300=$B279)*((Закрытые!$F$5:$F$300+Закрытые!$I$5:$I$300-ABS(Закрытые!$F$5:$F$300-Закрытые!$I$5:$I$300))/2)*(Закрытые!$J$5:$J$300-Закрытые!$G$5:$G$300)))/I279)/(1+N(Ввод!$E$17)/100),""))</f>
        <v/>
      </c>
    </row>
    <row r="280" ht="22" customHeight="1">
      <c r="B280" s="318" t="n"/>
      <c r="C280" s="319" t="n"/>
      <c r="D280" s="318" t="n"/>
      <c r="E280" s="320" t="n"/>
      <c r="F280" s="321" t="n"/>
      <c r="G280" s="322" t="n"/>
      <c r="H280" s="271">
        <f>IF(AND(ISNUMBER(F280),ISNUMBER(G280)),F280*G280,"")</f>
        <v/>
      </c>
      <c r="I280" s="321" t="n"/>
      <c r="J280" s="322" t="n"/>
      <c r="K280" s="271">
        <f>IF(AND(ISNUMBER(I280),ISNUMBER(J280)),I280*J280,"")</f>
        <v/>
      </c>
      <c r="L280" s="246">
        <f>IF(COUNT(F280,I280)=0,"",N(F280)-N(I280))</f>
        <v/>
      </c>
      <c r="M280" s="247">
        <f>IF(COUNT(H280,K280)=0,"",N(K280)-N(H280))</f>
        <v/>
      </c>
      <c r="N280" s="246">
        <f>IF(AND(ISNUMBER(F280),ISNUMBER(G280),F280&gt;0,1-N(Ввод!$E$17)/100&gt;0),MAX(0,(F280*G280-SUMPRODUCT((Закрытые!$B$5:$B$300=$B280)*((Закрытые!$F$5:$F$300+Закрытые!$I$5:$I$300-ABS(Закрытые!$F$5:$F$300-Закрытые!$I$5:$I$300))/2)*(Закрытые!$J$5:$J$300-Закрытые!$G$5:$G$300)))/F280)/(1-N(Ввод!$E$17)/100),IF(AND(ISNUMBER(I280),ISNUMBER(J280),I280&gt;0),MAX(0,(I280*J280+SUMPRODUCT((Закрытые!$B$5:$B$300=$B280)*((Закрытые!$F$5:$F$300+Закрытые!$I$5:$I$300-ABS(Закрытые!$F$5:$F$300-Закрытые!$I$5:$I$300))/2)*(Закрытые!$J$5:$J$300-Закрытые!$G$5:$G$300)))/I280)/(1+N(Ввод!$E$17)/100),""))</f>
        <v/>
      </c>
    </row>
    <row r="281" ht="22" customHeight="1">
      <c r="B281" s="313" t="n"/>
      <c r="C281" s="314" t="n"/>
      <c r="D281" s="313" t="n"/>
      <c r="E281" s="315" t="n"/>
      <c r="F281" s="316" t="n"/>
      <c r="G281" s="317" t="n"/>
      <c r="H281" s="271">
        <f>IF(AND(ISNUMBER(F281),ISNUMBER(G281)),F281*G281,"")</f>
        <v/>
      </c>
      <c r="I281" s="316" t="n"/>
      <c r="J281" s="317" t="n"/>
      <c r="K281" s="271">
        <f>IF(AND(ISNUMBER(I281),ISNUMBER(J281)),I281*J281,"")</f>
        <v/>
      </c>
      <c r="L281" s="240">
        <f>IF(COUNT(F281,I281)=0,"",N(F281)-N(I281))</f>
        <v/>
      </c>
      <c r="M281" s="241">
        <f>IF(COUNT(H281,K281)=0,"",N(K281)-N(H281))</f>
        <v/>
      </c>
      <c r="N281" s="240">
        <f>IF(AND(ISNUMBER(F281),ISNUMBER(G281),F281&gt;0,1-N(Ввод!$E$17)/100&gt;0),MAX(0,(F281*G281-SUMPRODUCT((Закрытые!$B$5:$B$300=$B281)*((Закрытые!$F$5:$F$300+Закрытые!$I$5:$I$300-ABS(Закрытые!$F$5:$F$300-Закрытые!$I$5:$I$300))/2)*(Закрытые!$J$5:$J$300-Закрытые!$G$5:$G$300)))/F281)/(1-N(Ввод!$E$17)/100),IF(AND(ISNUMBER(I281),ISNUMBER(J281),I281&gt;0),MAX(0,(I281*J281+SUMPRODUCT((Закрытые!$B$5:$B$300=$B281)*((Закрытые!$F$5:$F$300+Закрытые!$I$5:$I$300-ABS(Закрытые!$F$5:$F$300-Закрытые!$I$5:$I$300))/2)*(Закрытые!$J$5:$J$300-Закрытые!$G$5:$G$300)))/I281)/(1+N(Ввод!$E$17)/100),""))</f>
        <v/>
      </c>
    </row>
    <row r="282" ht="22" customHeight="1">
      <c r="B282" s="318" t="n"/>
      <c r="C282" s="319" t="n"/>
      <c r="D282" s="318" t="n"/>
      <c r="E282" s="320" t="n"/>
      <c r="F282" s="321" t="n"/>
      <c r="G282" s="322" t="n"/>
      <c r="H282" s="271">
        <f>IF(AND(ISNUMBER(F282),ISNUMBER(G282)),F282*G282,"")</f>
        <v/>
      </c>
      <c r="I282" s="321" t="n"/>
      <c r="J282" s="322" t="n"/>
      <c r="K282" s="271">
        <f>IF(AND(ISNUMBER(I282),ISNUMBER(J282)),I282*J282,"")</f>
        <v/>
      </c>
      <c r="L282" s="246">
        <f>IF(COUNT(F282,I282)=0,"",N(F282)-N(I282))</f>
        <v/>
      </c>
      <c r="M282" s="247">
        <f>IF(COUNT(H282,K282)=0,"",N(K282)-N(H282))</f>
        <v/>
      </c>
      <c r="N282" s="246">
        <f>IF(AND(ISNUMBER(F282),ISNUMBER(G282),F282&gt;0,1-N(Ввод!$E$17)/100&gt;0),MAX(0,(F282*G282-SUMPRODUCT((Закрытые!$B$5:$B$300=$B282)*((Закрытые!$F$5:$F$300+Закрытые!$I$5:$I$300-ABS(Закрытые!$F$5:$F$300-Закрытые!$I$5:$I$300))/2)*(Закрытые!$J$5:$J$300-Закрытые!$G$5:$G$300)))/F282)/(1-N(Ввод!$E$17)/100),IF(AND(ISNUMBER(I282),ISNUMBER(J282),I282&gt;0),MAX(0,(I282*J282+SUMPRODUCT((Закрытые!$B$5:$B$300=$B282)*((Закрытые!$F$5:$F$300+Закрытые!$I$5:$I$300-ABS(Закрытые!$F$5:$F$300-Закрытые!$I$5:$I$300))/2)*(Закрытые!$J$5:$J$300-Закрытые!$G$5:$G$300)))/I282)/(1+N(Ввод!$E$17)/100),""))</f>
        <v/>
      </c>
    </row>
    <row r="283" ht="22" customHeight="1">
      <c r="B283" s="313" t="n"/>
      <c r="C283" s="314" t="n"/>
      <c r="D283" s="313" t="n"/>
      <c r="E283" s="315" t="n"/>
      <c r="F283" s="316" t="n"/>
      <c r="G283" s="317" t="n"/>
      <c r="H283" s="271">
        <f>IF(AND(ISNUMBER(F283),ISNUMBER(G283)),F283*G283,"")</f>
        <v/>
      </c>
      <c r="I283" s="316" t="n"/>
      <c r="J283" s="317" t="n"/>
      <c r="K283" s="271">
        <f>IF(AND(ISNUMBER(I283),ISNUMBER(J283)),I283*J283,"")</f>
        <v/>
      </c>
      <c r="L283" s="240">
        <f>IF(COUNT(F283,I283)=0,"",N(F283)-N(I283))</f>
        <v/>
      </c>
      <c r="M283" s="241">
        <f>IF(COUNT(H283,K283)=0,"",N(K283)-N(H283))</f>
        <v/>
      </c>
      <c r="N283" s="240">
        <f>IF(AND(ISNUMBER(F283),ISNUMBER(G283),F283&gt;0,1-N(Ввод!$E$17)/100&gt;0),MAX(0,(F283*G283-SUMPRODUCT((Закрытые!$B$5:$B$300=$B283)*((Закрытые!$F$5:$F$300+Закрытые!$I$5:$I$300-ABS(Закрытые!$F$5:$F$300-Закрытые!$I$5:$I$300))/2)*(Закрытые!$J$5:$J$300-Закрытые!$G$5:$G$300)))/F283)/(1-N(Ввод!$E$17)/100),IF(AND(ISNUMBER(I283),ISNUMBER(J283),I283&gt;0),MAX(0,(I283*J283+SUMPRODUCT((Закрытые!$B$5:$B$300=$B283)*((Закрытые!$F$5:$F$300+Закрытые!$I$5:$I$300-ABS(Закрытые!$F$5:$F$300-Закрытые!$I$5:$I$300))/2)*(Закрытые!$J$5:$J$300-Закрытые!$G$5:$G$300)))/I283)/(1+N(Ввод!$E$17)/100),""))</f>
        <v/>
      </c>
    </row>
    <row r="284" ht="22" customHeight="1">
      <c r="B284" s="318" t="n"/>
      <c r="C284" s="319" t="n"/>
      <c r="D284" s="318" t="n"/>
      <c r="E284" s="320" t="n"/>
      <c r="F284" s="321" t="n"/>
      <c r="G284" s="322" t="n"/>
      <c r="H284" s="271">
        <f>IF(AND(ISNUMBER(F284),ISNUMBER(G284)),F284*G284,"")</f>
        <v/>
      </c>
      <c r="I284" s="321" t="n"/>
      <c r="J284" s="322" t="n"/>
      <c r="K284" s="271">
        <f>IF(AND(ISNUMBER(I284),ISNUMBER(J284)),I284*J284,"")</f>
        <v/>
      </c>
      <c r="L284" s="246">
        <f>IF(COUNT(F284,I284)=0,"",N(F284)-N(I284))</f>
        <v/>
      </c>
      <c r="M284" s="247">
        <f>IF(COUNT(H284,K284)=0,"",N(K284)-N(H284))</f>
        <v/>
      </c>
      <c r="N284" s="246">
        <f>IF(AND(ISNUMBER(F284),ISNUMBER(G284),F284&gt;0,1-N(Ввод!$E$17)/100&gt;0),MAX(0,(F284*G284-SUMPRODUCT((Закрытые!$B$5:$B$300=$B284)*((Закрытые!$F$5:$F$300+Закрытые!$I$5:$I$300-ABS(Закрытые!$F$5:$F$300-Закрытые!$I$5:$I$300))/2)*(Закрытые!$J$5:$J$300-Закрытые!$G$5:$G$300)))/F284)/(1-N(Ввод!$E$17)/100),IF(AND(ISNUMBER(I284),ISNUMBER(J284),I284&gt;0),MAX(0,(I284*J284+SUMPRODUCT((Закрытые!$B$5:$B$300=$B284)*((Закрытые!$F$5:$F$300+Закрытые!$I$5:$I$300-ABS(Закрытые!$F$5:$F$300-Закрытые!$I$5:$I$300))/2)*(Закрытые!$J$5:$J$300-Закрытые!$G$5:$G$300)))/I284)/(1+N(Ввод!$E$17)/100),""))</f>
        <v/>
      </c>
    </row>
    <row r="285" ht="22" customHeight="1">
      <c r="B285" s="313" t="n"/>
      <c r="C285" s="314" t="n"/>
      <c r="D285" s="313" t="n"/>
      <c r="E285" s="315" t="n"/>
      <c r="F285" s="316" t="n"/>
      <c r="G285" s="317" t="n"/>
      <c r="H285" s="271">
        <f>IF(AND(ISNUMBER(F285),ISNUMBER(G285)),F285*G285,"")</f>
        <v/>
      </c>
      <c r="I285" s="316" t="n"/>
      <c r="J285" s="317" t="n"/>
      <c r="K285" s="271">
        <f>IF(AND(ISNUMBER(I285),ISNUMBER(J285)),I285*J285,"")</f>
        <v/>
      </c>
      <c r="L285" s="240">
        <f>IF(COUNT(F285,I285)=0,"",N(F285)-N(I285))</f>
        <v/>
      </c>
      <c r="M285" s="241">
        <f>IF(COUNT(H285,K285)=0,"",N(K285)-N(H285))</f>
        <v/>
      </c>
      <c r="N285" s="240">
        <f>IF(AND(ISNUMBER(F285),ISNUMBER(G285),F285&gt;0,1-N(Ввод!$E$17)/100&gt;0),MAX(0,(F285*G285-SUMPRODUCT((Закрытые!$B$5:$B$300=$B285)*((Закрытые!$F$5:$F$300+Закрытые!$I$5:$I$300-ABS(Закрытые!$F$5:$F$300-Закрытые!$I$5:$I$300))/2)*(Закрытые!$J$5:$J$300-Закрытые!$G$5:$G$300)))/F285)/(1-N(Ввод!$E$17)/100),IF(AND(ISNUMBER(I285),ISNUMBER(J285),I285&gt;0),MAX(0,(I285*J285+SUMPRODUCT((Закрытые!$B$5:$B$300=$B285)*((Закрытые!$F$5:$F$300+Закрытые!$I$5:$I$300-ABS(Закрытые!$F$5:$F$300-Закрытые!$I$5:$I$300))/2)*(Закрытые!$J$5:$J$300-Закрытые!$G$5:$G$300)))/I285)/(1+N(Ввод!$E$17)/100),""))</f>
        <v/>
      </c>
    </row>
    <row r="286" ht="22" customHeight="1">
      <c r="B286" s="318" t="n"/>
      <c r="C286" s="319" t="n"/>
      <c r="D286" s="318" t="n"/>
      <c r="E286" s="320" t="n"/>
      <c r="F286" s="321" t="n"/>
      <c r="G286" s="322" t="n"/>
      <c r="H286" s="271">
        <f>IF(AND(ISNUMBER(F286),ISNUMBER(G286)),F286*G286,"")</f>
        <v/>
      </c>
      <c r="I286" s="321" t="n"/>
      <c r="J286" s="322" t="n"/>
      <c r="K286" s="271">
        <f>IF(AND(ISNUMBER(I286),ISNUMBER(J286)),I286*J286,"")</f>
        <v/>
      </c>
      <c r="L286" s="246">
        <f>IF(COUNT(F286,I286)=0,"",N(F286)-N(I286))</f>
        <v/>
      </c>
      <c r="M286" s="247">
        <f>IF(COUNT(H286,K286)=0,"",N(K286)-N(H286))</f>
        <v/>
      </c>
      <c r="N286" s="246">
        <f>IF(AND(ISNUMBER(F286),ISNUMBER(G286),F286&gt;0,1-N(Ввод!$E$17)/100&gt;0),MAX(0,(F286*G286-SUMPRODUCT((Закрытые!$B$5:$B$300=$B286)*((Закрытые!$F$5:$F$300+Закрытые!$I$5:$I$300-ABS(Закрытые!$F$5:$F$300-Закрытые!$I$5:$I$300))/2)*(Закрытые!$J$5:$J$300-Закрытые!$G$5:$G$300)))/F286)/(1-N(Ввод!$E$17)/100),IF(AND(ISNUMBER(I286),ISNUMBER(J286),I286&gt;0),MAX(0,(I286*J286+SUMPRODUCT((Закрытые!$B$5:$B$300=$B286)*((Закрытые!$F$5:$F$300+Закрытые!$I$5:$I$300-ABS(Закрытые!$F$5:$F$300-Закрытые!$I$5:$I$300))/2)*(Закрытые!$J$5:$J$300-Закрытые!$G$5:$G$300)))/I286)/(1+N(Ввод!$E$17)/100),""))</f>
        <v/>
      </c>
    </row>
    <row r="287" ht="22" customHeight="1">
      <c r="B287" s="313" t="n"/>
      <c r="C287" s="314" t="n"/>
      <c r="D287" s="313" t="n"/>
      <c r="E287" s="315" t="n"/>
      <c r="F287" s="316" t="n"/>
      <c r="G287" s="317" t="n"/>
      <c r="H287" s="271">
        <f>IF(AND(ISNUMBER(F287),ISNUMBER(G287)),F287*G287,"")</f>
        <v/>
      </c>
      <c r="I287" s="316" t="n"/>
      <c r="J287" s="317" t="n"/>
      <c r="K287" s="271">
        <f>IF(AND(ISNUMBER(I287),ISNUMBER(J287)),I287*J287,"")</f>
        <v/>
      </c>
      <c r="L287" s="240">
        <f>IF(COUNT(F287,I287)=0,"",N(F287)-N(I287))</f>
        <v/>
      </c>
      <c r="M287" s="241">
        <f>IF(COUNT(H287,K287)=0,"",N(K287)-N(H287))</f>
        <v/>
      </c>
      <c r="N287" s="240">
        <f>IF(AND(ISNUMBER(F287),ISNUMBER(G287),F287&gt;0,1-N(Ввод!$E$17)/100&gt;0),MAX(0,(F287*G287-SUMPRODUCT((Закрытые!$B$5:$B$300=$B287)*((Закрытые!$F$5:$F$300+Закрытые!$I$5:$I$300-ABS(Закрытые!$F$5:$F$300-Закрытые!$I$5:$I$300))/2)*(Закрытые!$J$5:$J$300-Закрытые!$G$5:$G$300)))/F287)/(1-N(Ввод!$E$17)/100),IF(AND(ISNUMBER(I287),ISNUMBER(J287),I287&gt;0),MAX(0,(I287*J287+SUMPRODUCT((Закрытые!$B$5:$B$300=$B287)*((Закрытые!$F$5:$F$300+Закрытые!$I$5:$I$300-ABS(Закрытые!$F$5:$F$300-Закрытые!$I$5:$I$300))/2)*(Закрытые!$J$5:$J$300-Закрытые!$G$5:$G$300)))/I287)/(1+N(Ввод!$E$17)/100),""))</f>
        <v/>
      </c>
    </row>
    <row r="288" ht="22" customHeight="1">
      <c r="B288" s="318" t="n"/>
      <c r="C288" s="319" t="n"/>
      <c r="D288" s="318" t="n"/>
      <c r="E288" s="320" t="n"/>
      <c r="F288" s="321" t="n"/>
      <c r="G288" s="322" t="n"/>
      <c r="H288" s="271">
        <f>IF(AND(ISNUMBER(F288),ISNUMBER(G288)),F288*G288,"")</f>
        <v/>
      </c>
      <c r="I288" s="321" t="n"/>
      <c r="J288" s="322" t="n"/>
      <c r="K288" s="271">
        <f>IF(AND(ISNUMBER(I288),ISNUMBER(J288)),I288*J288,"")</f>
        <v/>
      </c>
      <c r="L288" s="246">
        <f>IF(COUNT(F288,I288)=0,"",N(F288)-N(I288))</f>
        <v/>
      </c>
      <c r="M288" s="247">
        <f>IF(COUNT(H288,K288)=0,"",N(K288)-N(H288))</f>
        <v/>
      </c>
      <c r="N288" s="246">
        <f>IF(AND(ISNUMBER(F288),ISNUMBER(G288),F288&gt;0,1-N(Ввод!$E$17)/100&gt;0),MAX(0,(F288*G288-SUMPRODUCT((Закрытые!$B$5:$B$300=$B288)*((Закрытые!$F$5:$F$300+Закрытые!$I$5:$I$300-ABS(Закрытые!$F$5:$F$300-Закрытые!$I$5:$I$300))/2)*(Закрытые!$J$5:$J$300-Закрытые!$G$5:$G$300)))/F288)/(1-N(Ввод!$E$17)/100),IF(AND(ISNUMBER(I288),ISNUMBER(J288),I288&gt;0),MAX(0,(I288*J288+SUMPRODUCT((Закрытые!$B$5:$B$300=$B288)*((Закрытые!$F$5:$F$300+Закрытые!$I$5:$I$300-ABS(Закрытые!$F$5:$F$300-Закрытые!$I$5:$I$300))/2)*(Закрытые!$J$5:$J$300-Закрытые!$G$5:$G$300)))/I288)/(1+N(Ввод!$E$17)/100),""))</f>
        <v/>
      </c>
    </row>
    <row r="289" ht="22" customHeight="1">
      <c r="B289" s="313" t="n"/>
      <c r="C289" s="314" t="n"/>
      <c r="D289" s="313" t="n"/>
      <c r="E289" s="315" t="n"/>
      <c r="F289" s="316" t="n"/>
      <c r="G289" s="317" t="n"/>
      <c r="H289" s="271">
        <f>IF(AND(ISNUMBER(F289),ISNUMBER(G289)),F289*G289,"")</f>
        <v/>
      </c>
      <c r="I289" s="316" t="n"/>
      <c r="J289" s="317" t="n"/>
      <c r="K289" s="271">
        <f>IF(AND(ISNUMBER(I289),ISNUMBER(J289)),I289*J289,"")</f>
        <v/>
      </c>
      <c r="L289" s="240">
        <f>IF(COUNT(F289,I289)=0,"",N(F289)-N(I289))</f>
        <v/>
      </c>
      <c r="M289" s="241">
        <f>IF(COUNT(H289,K289)=0,"",N(K289)-N(H289))</f>
        <v/>
      </c>
      <c r="N289" s="240">
        <f>IF(AND(ISNUMBER(F289),ISNUMBER(G289),F289&gt;0,1-N(Ввод!$E$17)/100&gt;0),MAX(0,(F289*G289-SUMPRODUCT((Закрытые!$B$5:$B$300=$B289)*((Закрытые!$F$5:$F$300+Закрытые!$I$5:$I$300-ABS(Закрытые!$F$5:$F$300-Закрытые!$I$5:$I$300))/2)*(Закрытые!$J$5:$J$300-Закрытые!$G$5:$G$300)))/F289)/(1-N(Ввод!$E$17)/100),IF(AND(ISNUMBER(I289),ISNUMBER(J289),I289&gt;0),MAX(0,(I289*J289+SUMPRODUCT((Закрытые!$B$5:$B$300=$B289)*((Закрытые!$F$5:$F$300+Закрытые!$I$5:$I$300-ABS(Закрытые!$F$5:$F$300-Закрытые!$I$5:$I$300))/2)*(Закрытые!$J$5:$J$300-Закрытые!$G$5:$G$300)))/I289)/(1+N(Ввод!$E$17)/100),""))</f>
        <v/>
      </c>
    </row>
    <row r="290" ht="22" customHeight="1">
      <c r="B290" s="318" t="n"/>
      <c r="C290" s="319" t="n"/>
      <c r="D290" s="318" t="n"/>
      <c r="E290" s="320" t="n"/>
      <c r="F290" s="321" t="n"/>
      <c r="G290" s="322" t="n"/>
      <c r="H290" s="271">
        <f>IF(AND(ISNUMBER(F290),ISNUMBER(G290)),F290*G290,"")</f>
        <v/>
      </c>
      <c r="I290" s="321" t="n"/>
      <c r="J290" s="322" t="n"/>
      <c r="K290" s="271">
        <f>IF(AND(ISNUMBER(I290),ISNUMBER(J290)),I290*J290,"")</f>
        <v/>
      </c>
      <c r="L290" s="246">
        <f>IF(COUNT(F290,I290)=0,"",N(F290)-N(I290))</f>
        <v/>
      </c>
      <c r="M290" s="247">
        <f>IF(COUNT(H290,K290)=0,"",N(K290)-N(H290))</f>
        <v/>
      </c>
      <c r="N290" s="246">
        <f>IF(AND(ISNUMBER(F290),ISNUMBER(G290),F290&gt;0,1-N(Ввод!$E$17)/100&gt;0),MAX(0,(F290*G290-SUMPRODUCT((Закрытые!$B$5:$B$300=$B290)*((Закрытые!$F$5:$F$300+Закрытые!$I$5:$I$300-ABS(Закрытые!$F$5:$F$300-Закрытые!$I$5:$I$300))/2)*(Закрытые!$J$5:$J$300-Закрытые!$G$5:$G$300)))/F290)/(1-N(Ввод!$E$17)/100),IF(AND(ISNUMBER(I290),ISNUMBER(J290),I290&gt;0),MAX(0,(I290*J290+SUMPRODUCT((Закрытые!$B$5:$B$300=$B290)*((Закрытые!$F$5:$F$300+Закрытые!$I$5:$I$300-ABS(Закрытые!$F$5:$F$300-Закрытые!$I$5:$I$300))/2)*(Закрытые!$J$5:$J$300-Закрытые!$G$5:$G$300)))/I290)/(1+N(Ввод!$E$17)/100),""))</f>
        <v/>
      </c>
    </row>
    <row r="291" ht="22" customHeight="1">
      <c r="B291" s="313" t="n"/>
      <c r="C291" s="314" t="n"/>
      <c r="D291" s="313" t="n"/>
      <c r="E291" s="315" t="n"/>
      <c r="F291" s="316" t="n"/>
      <c r="G291" s="317" t="n"/>
      <c r="H291" s="271">
        <f>IF(AND(ISNUMBER(F291),ISNUMBER(G291)),F291*G291,"")</f>
        <v/>
      </c>
      <c r="I291" s="316" t="n"/>
      <c r="J291" s="317" t="n"/>
      <c r="K291" s="271">
        <f>IF(AND(ISNUMBER(I291),ISNUMBER(J291)),I291*J291,"")</f>
        <v/>
      </c>
      <c r="L291" s="240">
        <f>IF(COUNT(F291,I291)=0,"",N(F291)-N(I291))</f>
        <v/>
      </c>
      <c r="M291" s="241">
        <f>IF(COUNT(H291,K291)=0,"",N(K291)-N(H291))</f>
        <v/>
      </c>
      <c r="N291" s="240">
        <f>IF(AND(ISNUMBER(F291),ISNUMBER(G291),F291&gt;0,1-N(Ввод!$E$17)/100&gt;0),MAX(0,(F291*G291-SUMPRODUCT((Закрытые!$B$5:$B$300=$B291)*((Закрытые!$F$5:$F$300+Закрытые!$I$5:$I$300-ABS(Закрытые!$F$5:$F$300-Закрытые!$I$5:$I$300))/2)*(Закрытые!$J$5:$J$300-Закрытые!$G$5:$G$300)))/F291)/(1-N(Ввод!$E$17)/100),IF(AND(ISNUMBER(I291),ISNUMBER(J291),I291&gt;0),MAX(0,(I291*J291+SUMPRODUCT((Закрытые!$B$5:$B$300=$B291)*((Закрытые!$F$5:$F$300+Закрытые!$I$5:$I$300-ABS(Закрытые!$F$5:$F$300-Закрытые!$I$5:$I$300))/2)*(Закрытые!$J$5:$J$300-Закрытые!$G$5:$G$300)))/I291)/(1+N(Ввод!$E$17)/100),""))</f>
        <v/>
      </c>
    </row>
    <row r="292" ht="22" customHeight="1">
      <c r="B292" s="318" t="n"/>
      <c r="C292" s="319" t="n"/>
      <c r="D292" s="318" t="n"/>
      <c r="E292" s="320" t="n"/>
      <c r="F292" s="321" t="n"/>
      <c r="G292" s="322" t="n"/>
      <c r="H292" s="271">
        <f>IF(AND(ISNUMBER(F292),ISNUMBER(G292)),F292*G292,"")</f>
        <v/>
      </c>
      <c r="I292" s="321" t="n"/>
      <c r="J292" s="322" t="n"/>
      <c r="K292" s="271">
        <f>IF(AND(ISNUMBER(I292),ISNUMBER(J292)),I292*J292,"")</f>
        <v/>
      </c>
      <c r="L292" s="246">
        <f>IF(COUNT(F292,I292)=0,"",N(F292)-N(I292))</f>
        <v/>
      </c>
      <c r="M292" s="247">
        <f>IF(COUNT(H292,K292)=0,"",N(K292)-N(H292))</f>
        <v/>
      </c>
      <c r="N292" s="246">
        <f>IF(AND(ISNUMBER(F292),ISNUMBER(G292),F292&gt;0,1-N(Ввод!$E$17)/100&gt;0),MAX(0,(F292*G292-SUMPRODUCT((Закрытые!$B$5:$B$300=$B292)*((Закрытые!$F$5:$F$300+Закрытые!$I$5:$I$300-ABS(Закрытые!$F$5:$F$300-Закрытые!$I$5:$I$300))/2)*(Закрытые!$J$5:$J$300-Закрытые!$G$5:$G$300)))/F292)/(1-N(Ввод!$E$17)/100),IF(AND(ISNUMBER(I292),ISNUMBER(J292),I292&gt;0),MAX(0,(I292*J292+SUMPRODUCT((Закрытые!$B$5:$B$300=$B292)*((Закрытые!$F$5:$F$300+Закрытые!$I$5:$I$300-ABS(Закрытые!$F$5:$F$300-Закрытые!$I$5:$I$300))/2)*(Закрытые!$J$5:$J$300-Закрытые!$G$5:$G$300)))/I292)/(1+N(Ввод!$E$17)/100),""))</f>
        <v/>
      </c>
    </row>
    <row r="293" ht="22" customHeight="1">
      <c r="B293" s="313" t="n"/>
      <c r="C293" s="314" t="n"/>
      <c r="D293" s="313" t="n"/>
      <c r="E293" s="315" t="n"/>
      <c r="F293" s="316" t="n"/>
      <c r="G293" s="317" t="n"/>
      <c r="H293" s="271">
        <f>IF(AND(ISNUMBER(F293),ISNUMBER(G293)),F293*G293,"")</f>
        <v/>
      </c>
      <c r="I293" s="316" t="n"/>
      <c r="J293" s="317" t="n"/>
      <c r="K293" s="271">
        <f>IF(AND(ISNUMBER(I293),ISNUMBER(J293)),I293*J293,"")</f>
        <v/>
      </c>
      <c r="L293" s="240">
        <f>IF(COUNT(F293,I293)=0,"",N(F293)-N(I293))</f>
        <v/>
      </c>
      <c r="M293" s="241">
        <f>IF(COUNT(H293,K293)=0,"",N(K293)-N(H293))</f>
        <v/>
      </c>
      <c r="N293" s="240">
        <f>IF(AND(ISNUMBER(F293),ISNUMBER(G293),F293&gt;0,1-N(Ввод!$E$17)/100&gt;0),MAX(0,(F293*G293-SUMPRODUCT((Закрытые!$B$5:$B$300=$B293)*((Закрытые!$F$5:$F$300+Закрытые!$I$5:$I$300-ABS(Закрытые!$F$5:$F$300-Закрытые!$I$5:$I$300))/2)*(Закрытые!$J$5:$J$300-Закрытые!$G$5:$G$300)))/F293)/(1-N(Ввод!$E$17)/100),IF(AND(ISNUMBER(I293),ISNUMBER(J293),I293&gt;0),MAX(0,(I293*J293+SUMPRODUCT((Закрытые!$B$5:$B$300=$B293)*((Закрытые!$F$5:$F$300+Закрытые!$I$5:$I$300-ABS(Закрытые!$F$5:$F$300-Закрытые!$I$5:$I$300))/2)*(Закрытые!$J$5:$J$300-Закрытые!$G$5:$G$300)))/I293)/(1+N(Ввод!$E$17)/100),""))</f>
        <v/>
      </c>
    </row>
    <row r="294" ht="22" customHeight="1">
      <c r="B294" s="318" t="n"/>
      <c r="C294" s="319" t="n"/>
      <c r="D294" s="318" t="n"/>
      <c r="E294" s="320" t="n"/>
      <c r="F294" s="321" t="n"/>
      <c r="G294" s="322" t="n"/>
      <c r="H294" s="271">
        <f>IF(AND(ISNUMBER(F294),ISNUMBER(G294)),F294*G294,"")</f>
        <v/>
      </c>
      <c r="I294" s="321" t="n"/>
      <c r="J294" s="322" t="n"/>
      <c r="K294" s="271">
        <f>IF(AND(ISNUMBER(I294),ISNUMBER(J294)),I294*J294,"")</f>
        <v/>
      </c>
      <c r="L294" s="246">
        <f>IF(COUNT(F294,I294)=0,"",N(F294)-N(I294))</f>
        <v/>
      </c>
      <c r="M294" s="247">
        <f>IF(COUNT(H294,K294)=0,"",N(K294)-N(H294))</f>
        <v/>
      </c>
      <c r="N294" s="246">
        <f>IF(AND(ISNUMBER(F294),ISNUMBER(G294),F294&gt;0,1-N(Ввод!$E$17)/100&gt;0),MAX(0,(F294*G294-SUMPRODUCT((Закрытые!$B$5:$B$300=$B294)*((Закрытые!$F$5:$F$300+Закрытые!$I$5:$I$300-ABS(Закрытые!$F$5:$F$300-Закрытые!$I$5:$I$300))/2)*(Закрытые!$J$5:$J$300-Закрытые!$G$5:$G$300)))/F294)/(1-N(Ввод!$E$17)/100),IF(AND(ISNUMBER(I294),ISNUMBER(J294),I294&gt;0),MAX(0,(I294*J294+SUMPRODUCT((Закрытые!$B$5:$B$300=$B294)*((Закрытые!$F$5:$F$300+Закрытые!$I$5:$I$300-ABS(Закрытые!$F$5:$F$300-Закрытые!$I$5:$I$300))/2)*(Закрытые!$J$5:$J$300-Закрытые!$G$5:$G$300)))/I294)/(1+N(Ввод!$E$17)/100),""))</f>
        <v/>
      </c>
    </row>
    <row r="295" ht="22" customHeight="1">
      <c r="B295" s="313" t="n"/>
      <c r="C295" s="314" t="n"/>
      <c r="D295" s="313" t="n"/>
      <c r="E295" s="315" t="n"/>
      <c r="F295" s="316" t="n"/>
      <c r="G295" s="317" t="n"/>
      <c r="H295" s="271">
        <f>IF(AND(ISNUMBER(F295),ISNUMBER(G295)),F295*G295,"")</f>
        <v/>
      </c>
      <c r="I295" s="316" t="n"/>
      <c r="J295" s="317" t="n"/>
      <c r="K295" s="271">
        <f>IF(AND(ISNUMBER(I295),ISNUMBER(J295)),I295*J295,"")</f>
        <v/>
      </c>
      <c r="L295" s="240">
        <f>IF(COUNT(F295,I295)=0,"",N(F295)-N(I295))</f>
        <v/>
      </c>
      <c r="M295" s="241">
        <f>IF(COUNT(H295,K295)=0,"",N(K295)-N(H295))</f>
        <v/>
      </c>
      <c r="N295" s="240">
        <f>IF(AND(ISNUMBER(F295),ISNUMBER(G295),F295&gt;0,1-N(Ввод!$E$17)/100&gt;0),MAX(0,(F295*G295-SUMPRODUCT((Закрытые!$B$5:$B$300=$B295)*((Закрытые!$F$5:$F$300+Закрытые!$I$5:$I$300-ABS(Закрытые!$F$5:$F$300-Закрытые!$I$5:$I$300))/2)*(Закрытые!$J$5:$J$300-Закрытые!$G$5:$G$300)))/F295)/(1-N(Ввод!$E$17)/100),IF(AND(ISNUMBER(I295),ISNUMBER(J295),I295&gt;0),MAX(0,(I295*J295+SUMPRODUCT((Закрытые!$B$5:$B$300=$B295)*((Закрытые!$F$5:$F$300+Закрытые!$I$5:$I$300-ABS(Закрытые!$F$5:$F$300-Закрытые!$I$5:$I$300))/2)*(Закрытые!$J$5:$J$300-Закрытые!$G$5:$G$300)))/I295)/(1+N(Ввод!$E$17)/100),""))</f>
        <v/>
      </c>
    </row>
    <row r="296" ht="22" customHeight="1">
      <c r="B296" s="318" t="n"/>
      <c r="C296" s="319" t="n"/>
      <c r="D296" s="318" t="n"/>
      <c r="E296" s="320" t="n"/>
      <c r="F296" s="321" t="n"/>
      <c r="G296" s="322" t="n"/>
      <c r="H296" s="271">
        <f>IF(AND(ISNUMBER(F296),ISNUMBER(G296)),F296*G296,"")</f>
        <v/>
      </c>
      <c r="I296" s="321" t="n"/>
      <c r="J296" s="322" t="n"/>
      <c r="K296" s="271">
        <f>IF(AND(ISNUMBER(I296),ISNUMBER(J296)),I296*J296,"")</f>
        <v/>
      </c>
      <c r="L296" s="246">
        <f>IF(COUNT(F296,I296)=0,"",N(F296)-N(I296))</f>
        <v/>
      </c>
      <c r="M296" s="247">
        <f>IF(COUNT(H296,K296)=0,"",N(K296)-N(H296))</f>
        <v/>
      </c>
      <c r="N296" s="246">
        <f>IF(AND(ISNUMBER(F296),ISNUMBER(G296),F296&gt;0,1-N(Ввод!$E$17)/100&gt;0),MAX(0,(F296*G296-SUMPRODUCT((Закрытые!$B$5:$B$300=$B296)*((Закрытые!$F$5:$F$300+Закрытые!$I$5:$I$300-ABS(Закрытые!$F$5:$F$300-Закрытые!$I$5:$I$300))/2)*(Закрытые!$J$5:$J$300-Закрытые!$G$5:$G$300)))/F296)/(1-N(Ввод!$E$17)/100),IF(AND(ISNUMBER(I296),ISNUMBER(J296),I296&gt;0),MAX(0,(I296*J296+SUMPRODUCT((Закрытые!$B$5:$B$300=$B296)*((Закрытые!$F$5:$F$300+Закрытые!$I$5:$I$300-ABS(Закрытые!$F$5:$F$300-Закрытые!$I$5:$I$300))/2)*(Закрытые!$J$5:$J$300-Закрытые!$G$5:$G$300)))/I296)/(1+N(Ввод!$E$17)/100),""))</f>
        <v/>
      </c>
    </row>
    <row r="297" ht="22" customHeight="1">
      <c r="B297" s="313" t="n"/>
      <c r="C297" s="314" t="n"/>
      <c r="D297" s="313" t="n"/>
      <c r="E297" s="315" t="n"/>
      <c r="F297" s="316" t="n"/>
      <c r="G297" s="317" t="n"/>
      <c r="H297" s="271">
        <f>IF(AND(ISNUMBER(F297),ISNUMBER(G297)),F297*G297,"")</f>
        <v/>
      </c>
      <c r="I297" s="316" t="n"/>
      <c r="J297" s="317" t="n"/>
      <c r="K297" s="271">
        <f>IF(AND(ISNUMBER(I297),ISNUMBER(J297)),I297*J297,"")</f>
        <v/>
      </c>
      <c r="L297" s="240">
        <f>IF(COUNT(F297,I297)=0,"",N(F297)-N(I297))</f>
        <v/>
      </c>
      <c r="M297" s="241">
        <f>IF(COUNT(H297,K297)=0,"",N(K297)-N(H297))</f>
        <v/>
      </c>
      <c r="N297" s="240">
        <f>IF(AND(ISNUMBER(F297),ISNUMBER(G297),F297&gt;0,1-N(Ввод!$E$17)/100&gt;0),MAX(0,(F297*G297-SUMPRODUCT((Закрытые!$B$5:$B$300=$B297)*((Закрытые!$F$5:$F$300+Закрытые!$I$5:$I$300-ABS(Закрытые!$F$5:$F$300-Закрытые!$I$5:$I$300))/2)*(Закрытые!$J$5:$J$300-Закрытые!$G$5:$G$300)))/F297)/(1-N(Ввод!$E$17)/100),IF(AND(ISNUMBER(I297),ISNUMBER(J297),I297&gt;0),MAX(0,(I297*J297+SUMPRODUCT((Закрытые!$B$5:$B$300=$B297)*((Закрытые!$F$5:$F$300+Закрытые!$I$5:$I$300-ABS(Закрытые!$F$5:$F$300-Закрытые!$I$5:$I$300))/2)*(Закрытые!$J$5:$J$300-Закрытые!$G$5:$G$300)))/I297)/(1+N(Ввод!$E$17)/100),""))</f>
        <v/>
      </c>
    </row>
    <row r="298" ht="22" customHeight="1">
      <c r="B298" s="318" t="n"/>
      <c r="C298" s="319" t="n"/>
      <c r="D298" s="318" t="n"/>
      <c r="E298" s="320" t="n"/>
      <c r="F298" s="321" t="n"/>
      <c r="G298" s="322" t="n"/>
      <c r="H298" s="271">
        <f>IF(AND(ISNUMBER(F298),ISNUMBER(G298)),F298*G298,"")</f>
        <v/>
      </c>
      <c r="I298" s="321" t="n"/>
      <c r="J298" s="322" t="n"/>
      <c r="K298" s="271">
        <f>IF(AND(ISNUMBER(I298),ISNUMBER(J298)),I298*J298,"")</f>
        <v/>
      </c>
      <c r="L298" s="246">
        <f>IF(COUNT(F298,I298)=0,"",N(F298)-N(I298))</f>
        <v/>
      </c>
      <c r="M298" s="247">
        <f>IF(COUNT(H298,K298)=0,"",N(K298)-N(H298))</f>
        <v/>
      </c>
      <c r="N298" s="246">
        <f>IF(AND(ISNUMBER(F298),ISNUMBER(G298),F298&gt;0,1-N(Ввод!$E$17)/100&gt;0),MAX(0,(F298*G298-SUMPRODUCT((Закрытые!$B$5:$B$300=$B298)*((Закрытые!$F$5:$F$300+Закрытые!$I$5:$I$300-ABS(Закрытые!$F$5:$F$300-Закрытые!$I$5:$I$300))/2)*(Закрытые!$J$5:$J$300-Закрытые!$G$5:$G$300)))/F298)/(1-N(Ввод!$E$17)/100),IF(AND(ISNUMBER(I298),ISNUMBER(J298),I298&gt;0),MAX(0,(I298*J298+SUMPRODUCT((Закрытые!$B$5:$B$300=$B298)*((Закрытые!$F$5:$F$300+Закрытые!$I$5:$I$300-ABS(Закрытые!$F$5:$F$300-Закрытые!$I$5:$I$300))/2)*(Закрытые!$J$5:$J$300-Закрытые!$G$5:$G$300)))/I298)/(1+N(Ввод!$E$17)/100),""))</f>
        <v/>
      </c>
    </row>
    <row r="299" ht="22" customHeight="1">
      <c r="B299" s="313" t="n"/>
      <c r="C299" s="314" t="n"/>
      <c r="D299" s="313" t="n"/>
      <c r="E299" s="315" t="n"/>
      <c r="F299" s="316" t="n"/>
      <c r="G299" s="317" t="n"/>
      <c r="H299" s="271">
        <f>IF(AND(ISNUMBER(F299),ISNUMBER(G299)),F299*G299,"")</f>
        <v/>
      </c>
      <c r="I299" s="316" t="n"/>
      <c r="J299" s="317" t="n"/>
      <c r="K299" s="271">
        <f>IF(AND(ISNUMBER(I299),ISNUMBER(J299)),I299*J299,"")</f>
        <v/>
      </c>
      <c r="L299" s="240">
        <f>IF(COUNT(F299,I299)=0,"",N(F299)-N(I299))</f>
        <v/>
      </c>
      <c r="M299" s="241">
        <f>IF(COUNT(H299,K299)=0,"",N(K299)-N(H299))</f>
        <v/>
      </c>
      <c r="N299" s="240">
        <f>IF(AND(ISNUMBER(F299),ISNUMBER(G299),F299&gt;0,1-N(Ввод!$E$17)/100&gt;0),MAX(0,(F299*G299-SUMPRODUCT((Закрытые!$B$5:$B$300=$B299)*((Закрытые!$F$5:$F$300+Закрытые!$I$5:$I$300-ABS(Закрытые!$F$5:$F$300-Закрытые!$I$5:$I$300))/2)*(Закрытые!$J$5:$J$300-Закрытые!$G$5:$G$300)))/F299)/(1-N(Ввод!$E$17)/100),IF(AND(ISNUMBER(I299),ISNUMBER(J299),I299&gt;0),MAX(0,(I299*J299+SUMPRODUCT((Закрытые!$B$5:$B$300=$B299)*((Закрытые!$F$5:$F$300+Закрытые!$I$5:$I$300-ABS(Закрытые!$F$5:$F$300-Закрытые!$I$5:$I$300))/2)*(Закрытые!$J$5:$J$300-Закрытые!$G$5:$G$300)))/I299)/(1+N(Ввод!$E$17)/100),""))</f>
        <v/>
      </c>
    </row>
    <row r="300" ht="22" customHeight="1">
      <c r="B300" s="318" t="n"/>
      <c r="C300" s="319" t="n"/>
      <c r="D300" s="318" t="n"/>
      <c r="E300" s="320" t="n"/>
      <c r="F300" s="321" t="n"/>
      <c r="G300" s="322" t="n"/>
      <c r="H300" s="271">
        <f>IF(AND(ISNUMBER(F300),ISNUMBER(G300)),F300*G300,"")</f>
        <v/>
      </c>
      <c r="I300" s="321" t="n"/>
      <c r="J300" s="322" t="n"/>
      <c r="K300" s="271">
        <f>IF(AND(ISNUMBER(I300),ISNUMBER(J300)),I300*J300,"")</f>
        <v/>
      </c>
      <c r="L300" s="246">
        <f>IF(COUNT(F300,I300)=0,"",N(F300)-N(I300))</f>
        <v/>
      </c>
      <c r="M300" s="247">
        <f>IF(COUNT(H300,K300)=0,"",N(K300)-N(H300))</f>
        <v/>
      </c>
      <c r="N300" s="246">
        <f>IF(AND(ISNUMBER(F300),ISNUMBER(G300),F300&gt;0,1-N(Ввод!$E$17)/100&gt;0),MAX(0,(F300*G300-SUMPRODUCT((Закрытые!$B$5:$B$300=$B300)*((Закрытые!$F$5:$F$300+Закрытые!$I$5:$I$300-ABS(Закрытые!$F$5:$F$300-Закрытые!$I$5:$I$300))/2)*(Закрытые!$J$5:$J$300-Закрытые!$G$5:$G$300)))/F300)/(1-N(Ввод!$E$17)/100),IF(AND(ISNUMBER(I300),ISNUMBER(J300),I300&gt;0),MAX(0,(I300*J300+SUMPRODUCT((Закрытые!$B$5:$B$300=$B300)*((Закрытые!$F$5:$F$300+Закрытые!$I$5:$I$300-ABS(Закрытые!$F$5:$F$300-Закрытые!$I$5:$I$300))/2)*(Закрытые!$J$5:$J$300-Закрытые!$G$5:$G$300)))/I300)/(1+N(Ввод!$E$17)/100),""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N300"/>
  <mergeCells count="1">
    <mergeCell ref="B1:N2"/>
  </mergeCells>
  <conditionalFormatting sqref="B5:N300">
    <cfRule type="expression" priority="1" dxfId="0">
      <formula>AND($B5&lt;&gt;"",COUNTIF(Закрытые!$B$5:$B$300,$B5)&gt;0)</formula>
    </cfRule>
  </conditionalFormatting>
  <conditionalFormatting sqref="B5:G300 I5:J300 L5:N300">
    <cfRule type="expression" priority="2" dxfId="2">
      <formula>MOD(ROW(),2)=1</formula>
    </cfRule>
    <cfRule type="expression" priority="3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 codeName="Sheet3">
    <tabColor rgb="00722F37"/>
    <outlinePr summaryBelow="1" summaryRight="1"/>
    <pageSetUpPr fitToPage="1"/>
  </sheetPr>
  <dimension ref="B1:M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5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7" customWidth="1" min="13" max="13"/>
  </cols>
  <sheetData>
    <row r="1" ht="21" customHeight="1">
      <c r="B1" s="1" t="inlineStr">
        <is>
          <t>CRYPTO JOURNAL • ИТОГО ТОРГОВЛЯ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Покупка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Продажа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315" t="inlineStr">
        <is>
          <t>AAVE/ETH</t>
        </is>
      </c>
      <c r="C5" s="240">
        <f>IF(SUMIFS(Торговля!$F$5:$F$300,Торговля!$E$5:$E$300,$B5)+SUMIFS(Закрытые!$F$5:$F$300,Закрытые!$E$5:$E$300,$B5,Закрытые!$B$5:$B$300,"T-*")=0,"",SUMIFS(Торговля!$F$5:$F$300,Торговля!$E$5:$E$300,$B5)+SUMIFS(Закрытые!$F$5:$F$300,Закрытые!$E$5:$E$300,$B5,Закрытые!$B$5:$B$300,"T-*"))</f>
        <v/>
      </c>
      <c r="D5" s="177">
        <f>IF(C5="","",(SUMPRODUCT((Торговля!$E$5:$E$300=$B5)*Торговля!$F$5:$F$300*Торговля!$G$5:$G$300)+SUMPRODUCT((Закрытые!$E$5:$E$300=$B5)*(LEFT(Закрытые!$B$5:$B$300,2)="T-")*Закрытые!$F$5:$F$300*Закрытые!$G$5:$G$300))/C5)</f>
        <v/>
      </c>
      <c r="E5" s="241">
        <f>IF(C5="","",SUMIFS(Торговля!$H$5:$H$300,Торговля!$E$5:$E$300,$B5)+SUMIFS(Закрытые!$H$5:$H$300,Закрытые!$E$5:$E$300,$B5,Закрытые!$B$5:$B$300,"T-*"))</f>
        <v/>
      </c>
      <c r="F5" s="240">
        <f>IF(SUMIFS(Торговля!$I$5:$I$300,Торговля!$E$5:$E$300,$B5)+SUMIFS(Закрытые!$I$5:$I$300,Закрытые!$E$5:$E$300,$B5,Закрытые!$B$5:$B$300,"T-*")=0,"",SUMIFS(Торговля!$I$5:$I$300,Торговля!$E$5:$E$300,$B5)+SUMIFS(Закрытые!$I$5:$I$300,Закрытые!$E$5:$E$300,$B5,Закрытые!$B$5:$B$300,"T-*"))</f>
        <v/>
      </c>
      <c r="G5" s="177">
        <f>IF(F5="","",(SUMPRODUCT((Торговля!$E$5:$E$300=$B5)*Торговля!$I$5:$I$300*Торговля!$J$5:$J$300)+SUMPRODUCT((Закрытые!$E$5:$E$300=$B5)*(LEFT(Закрытые!$B$5:$B$300,2)="T-")*Закрытые!$I$5:$I$300*Закрытые!$J$5:$J$300))/F5)</f>
        <v/>
      </c>
      <c r="H5" s="241">
        <f>IF(F5="","",SUMIFS(Торговля!$K$5:$K$300,Торговля!$E$5:$E$300,$B5)+SUMIFS(Закрытые!$K$5:$K$300,Закрытые!$E$5:$E$300,$B5,Закрытые!$B$5:$B$300,"T-*"))</f>
        <v/>
      </c>
      <c r="I5" s="240">
        <f>IF($B5="","",IF(COUNTIFS(Торговля!$E$5:$E$300,$B5)+COUNTIFS(Закрытые!$E$5:$E$300,$B5,Закрытые!$B$5:$B$300,"T-*")=0,"",ROUND(SUMIFS(Торговля!$L$5:$L$300,Торговля!$E$5:$E$300,$B5)+SUMIFS(Закрытые!$L$5:$L$300,Закрытые!$E$5:$E$300,$B5,Закрытые!$B$5:$B$300,"T-*"),8)))</f>
        <v/>
      </c>
      <c r="J5" s="241">
        <f>IF($B5="","",IF(COUNTIFS(Торговля!$E$5:$E$300,$B5)+COUNTIFS(Закрытые!$E$5:$E$300,$B5,Закрытые!$B$5:$B$300,"T-*")=0,"",ROUND(SUMIFS(Торговля!$M$5:$M$300,Торговля!$E$5:$E$300,$B5)+SUMIFS(Закрытые!$M$5:$M$300,Закрытые!$E$5:$E$300,$B5,Закрытые!$B$5:$B$300,"T-*"),8)))</f>
        <v/>
      </c>
      <c r="K5" s="240">
        <f>IF($B5="","",ROUND(SUMIFS(Закрытые!$N$5:$N$300,Закрытые!$E$5:$E$300,$B5,Закрытые!$B$5:$B$300,"T-*"),8))</f>
        <v/>
      </c>
      <c r="L5" s="177">
        <f>IF(K5="","",IF(SUMPRODUCT((Закрытые!$E$5:$E$300=$B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/SUMPRODUCT((Закрытые!$E$5:$E$300=$B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" s="177">
        <f>IF(OR(ROUND(N(C5)-N(F5),8)=0,1-N(Ввод!$E$17)/100&lt;=0),"",IF(N(C5)&gt;N(F5),(N(E5)-N(H5))/((N(C5)-N(F5))*(1-N(Ввод!$E$17)/100)),(N(H5)-N(E5))/((N(F5)-N(C5))*(1+N(Ввод!$E$17)/100))))</f>
        <v/>
      </c>
    </row>
    <row r="6" ht="22" customHeight="1">
      <c r="B6" s="320" t="inlineStr">
        <is>
          <t>ADA/USDT</t>
        </is>
      </c>
      <c r="C6" s="246">
        <f>IF(SUMIFS(Торговля!$F$5:$F$300,Торговля!$E$5:$E$300,$B6)+SUMIFS(Закрытые!$F$5:$F$300,Закрытые!$E$5:$E$300,$B6,Закрытые!$B$5:$B$300,"T-*")=0,"",SUMIFS(Торговля!$F$5:$F$300,Торговля!$E$5:$E$300,$B6)+SUMIFS(Закрытые!$F$5:$F$300,Закрытые!$E$5:$E$300,$B6,Закрытые!$B$5:$B$300,"T-*"))</f>
        <v/>
      </c>
      <c r="D6" s="183">
        <f>IF(C6="","",(SUMPRODUCT((Торговля!$E$5:$E$300=$B6)*Торговля!$F$5:$F$300*Торговля!$G$5:$G$300)+SUMPRODUCT((Закрытые!$E$5:$E$300=$B6)*(LEFT(Закрытые!$B$5:$B$300,2)="T-")*Закрытые!$F$5:$F$300*Закрытые!$G$5:$G$300))/C6)</f>
        <v/>
      </c>
      <c r="E6" s="247">
        <f>IF(C6="","",SUMIFS(Торговля!$H$5:$H$300,Торговля!$E$5:$E$300,$B6)+SUMIFS(Закрытые!$H$5:$H$300,Закрытые!$E$5:$E$300,$B6,Закрытые!$B$5:$B$300,"T-*"))</f>
        <v/>
      </c>
      <c r="F6" s="246">
        <f>IF(SUMIFS(Торговля!$I$5:$I$300,Торговля!$E$5:$E$300,$B6)+SUMIFS(Закрытые!$I$5:$I$300,Закрытые!$E$5:$E$300,$B6,Закрытые!$B$5:$B$300,"T-*")=0,"",SUMIFS(Торговля!$I$5:$I$300,Торговля!$E$5:$E$300,$B6)+SUMIFS(Закрытые!$I$5:$I$300,Закрытые!$E$5:$E$300,$B6,Закрытые!$B$5:$B$300,"T-*"))</f>
        <v/>
      </c>
      <c r="G6" s="183">
        <f>IF(F6="","",(SUMPRODUCT((Торговля!$E$5:$E$300=$B6)*Торговля!$I$5:$I$300*Торговля!$J$5:$J$300)+SUMPRODUCT((Закрытые!$E$5:$E$300=$B6)*(LEFT(Закрытые!$B$5:$B$300,2)="T-")*Закрытые!$I$5:$I$300*Закрытые!$J$5:$J$300))/F6)</f>
        <v/>
      </c>
      <c r="H6" s="247">
        <f>IF(F6="","",SUMIFS(Торговля!$K$5:$K$300,Торговля!$E$5:$E$300,$B6)+SUMIFS(Закрытые!$K$5:$K$300,Закрытые!$E$5:$E$300,$B6,Закрытые!$B$5:$B$300,"T-*"))</f>
        <v/>
      </c>
      <c r="I6" s="246">
        <f>IF($B6="","",IF(COUNTIFS(Торговля!$E$5:$E$300,$B6)+COUNTIFS(Закрытые!$E$5:$E$300,$B6,Закрытые!$B$5:$B$300,"T-*")=0,"",ROUND(SUMIFS(Торговля!$L$5:$L$300,Торговля!$E$5:$E$300,$B6)+SUMIFS(Закрытые!$L$5:$L$300,Закрытые!$E$5:$E$300,$B6,Закрытые!$B$5:$B$300,"T-*"),8)))</f>
        <v/>
      </c>
      <c r="J6" s="247">
        <f>IF($B6="","",IF(COUNTIFS(Торговля!$E$5:$E$300,$B6)+COUNTIFS(Закрытые!$E$5:$E$300,$B6,Закрытые!$B$5:$B$300,"T-*")=0,"",ROUND(SUMIFS(Торговля!$M$5:$M$300,Торговля!$E$5:$E$300,$B6)+SUMIFS(Закрытые!$M$5:$M$300,Закрытые!$E$5:$E$300,$B6,Закрытые!$B$5:$B$300,"T-*"),8)))</f>
        <v/>
      </c>
      <c r="K6" s="246">
        <f>IF($B6="","",ROUND(SUMIFS(Закрытые!$N$5:$N$300,Закрытые!$E$5:$E$300,$B6,Закрытые!$B$5:$B$300,"T-*"),8))</f>
        <v/>
      </c>
      <c r="L6" s="183">
        <f>IF(K6="","",IF(SUMPRODUCT((Закрытые!$E$5:$E$300=$B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/SUMPRODUCT((Закрытые!$E$5:$E$300=$B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" s="183">
        <f>IF(OR(ROUND(N(C6)-N(F6),8)=0,1-N(Ввод!$E$17)/100&lt;=0),"",IF(N(C6)&gt;N(F6),(N(E6)-N(H6))/((N(C6)-N(F6))*(1-N(Ввод!$E$17)/100)),(N(H6)-N(E6))/((N(F6)-N(C6))*(1+N(Ввод!$E$17)/100))))</f>
        <v/>
      </c>
    </row>
    <row r="7" ht="22" customHeight="1">
      <c r="B7" s="315" t="inlineStr">
        <is>
          <t>BNB/BTC</t>
        </is>
      </c>
      <c r="C7" s="240">
        <f>IF(SUMIFS(Торговля!$F$5:$F$300,Торговля!$E$5:$E$300,$B7)+SUMIFS(Закрытые!$F$5:$F$300,Закрытые!$E$5:$E$300,$B7,Закрытые!$B$5:$B$300,"T-*")=0,"",SUMIFS(Торговля!$F$5:$F$300,Торговля!$E$5:$E$300,$B7)+SUMIFS(Закрытые!$F$5:$F$300,Закрытые!$E$5:$E$300,$B7,Закрытые!$B$5:$B$300,"T-*"))</f>
        <v/>
      </c>
      <c r="D7" s="177">
        <f>IF(C7="","",(SUMPRODUCT((Торговля!$E$5:$E$300=$B7)*Торговля!$F$5:$F$300*Торговля!$G$5:$G$300)+SUMPRODUCT((Закрытые!$E$5:$E$300=$B7)*(LEFT(Закрытые!$B$5:$B$300,2)="T-")*Закрытые!$F$5:$F$300*Закрытые!$G$5:$G$300))/C7)</f>
        <v/>
      </c>
      <c r="E7" s="241">
        <f>IF(C7="","",SUMIFS(Торговля!$H$5:$H$300,Торговля!$E$5:$E$300,$B7)+SUMIFS(Закрытые!$H$5:$H$300,Закрытые!$E$5:$E$300,$B7,Закрытые!$B$5:$B$300,"T-*"))</f>
        <v/>
      </c>
      <c r="F7" s="240">
        <f>IF(SUMIFS(Торговля!$I$5:$I$300,Торговля!$E$5:$E$300,$B7)+SUMIFS(Закрытые!$I$5:$I$300,Закрытые!$E$5:$E$300,$B7,Закрытые!$B$5:$B$300,"T-*")=0,"",SUMIFS(Торговля!$I$5:$I$300,Торговля!$E$5:$E$300,$B7)+SUMIFS(Закрытые!$I$5:$I$300,Закрытые!$E$5:$E$300,$B7,Закрытые!$B$5:$B$300,"T-*"))</f>
        <v/>
      </c>
      <c r="G7" s="177">
        <f>IF(F7="","",(SUMPRODUCT((Торговля!$E$5:$E$300=$B7)*Торговля!$I$5:$I$300*Торговля!$J$5:$J$300)+SUMPRODUCT((Закрытые!$E$5:$E$300=$B7)*(LEFT(Закрытые!$B$5:$B$300,2)="T-")*Закрытые!$I$5:$I$300*Закрытые!$J$5:$J$300))/F7)</f>
        <v/>
      </c>
      <c r="H7" s="241">
        <f>IF(F7="","",SUMIFS(Торговля!$K$5:$K$300,Торговля!$E$5:$E$300,$B7)+SUMIFS(Закрытые!$K$5:$K$300,Закрытые!$E$5:$E$300,$B7,Закрытые!$B$5:$B$300,"T-*"))</f>
        <v/>
      </c>
      <c r="I7" s="240">
        <f>IF($B7="","",IF(COUNTIFS(Торговля!$E$5:$E$300,$B7)+COUNTIFS(Закрытые!$E$5:$E$300,$B7,Закрытые!$B$5:$B$300,"T-*")=0,"",ROUND(SUMIFS(Торговля!$L$5:$L$300,Торговля!$E$5:$E$300,$B7)+SUMIFS(Закрытые!$L$5:$L$300,Закрытые!$E$5:$E$300,$B7,Закрытые!$B$5:$B$300,"T-*"),8)))</f>
        <v/>
      </c>
      <c r="J7" s="241">
        <f>IF($B7="","",IF(COUNTIFS(Торговля!$E$5:$E$300,$B7)+COUNTIFS(Закрытые!$E$5:$E$300,$B7,Закрытые!$B$5:$B$300,"T-*")=0,"",ROUND(SUMIFS(Торговля!$M$5:$M$300,Торговля!$E$5:$E$300,$B7)+SUMIFS(Закрытые!$M$5:$M$300,Закрытые!$E$5:$E$300,$B7,Закрытые!$B$5:$B$300,"T-*"),8)))</f>
        <v/>
      </c>
      <c r="K7" s="240">
        <f>IF($B7="","",ROUND(SUMIFS(Закрытые!$N$5:$N$300,Закрытые!$E$5:$E$300,$B7,Закрытые!$B$5:$B$300,"T-*"),8))</f>
        <v/>
      </c>
      <c r="L7" s="177">
        <f>IF(K7="","",IF(SUMPRODUCT((Закрытые!$E$5:$E$300=$B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/SUMPRODUCT((Закрытые!$E$5:$E$300=$B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" s="177">
        <f>IF(OR(ROUND(N(C7)-N(F7),8)=0,1-N(Ввод!$E$17)/100&lt;=0),"",IF(N(C7)&gt;N(F7),(N(E7)-N(H7))/((N(C7)-N(F7))*(1-N(Ввод!$E$17)/100)),(N(H7)-N(E7))/((N(F7)-N(C7))*(1+N(Ввод!$E$17)/100))))</f>
        <v/>
      </c>
    </row>
    <row r="8" ht="22" customHeight="1">
      <c r="B8" s="320" t="inlineStr">
        <is>
          <t>BNB/ETH</t>
        </is>
      </c>
      <c r="C8" s="246">
        <f>IF(SUMIFS(Торговля!$F$5:$F$300,Торговля!$E$5:$E$300,$B8)+SUMIFS(Закрытые!$F$5:$F$300,Закрытые!$E$5:$E$300,$B8,Закрытые!$B$5:$B$300,"T-*")=0,"",SUMIFS(Торговля!$F$5:$F$300,Торговля!$E$5:$E$300,$B8)+SUMIFS(Закрытые!$F$5:$F$300,Закрытые!$E$5:$E$300,$B8,Закрытые!$B$5:$B$300,"T-*"))</f>
        <v/>
      </c>
      <c r="D8" s="183">
        <f>IF(C8="","",(SUMPRODUCT((Торговля!$E$5:$E$300=$B8)*Торговля!$F$5:$F$300*Торговля!$G$5:$G$300)+SUMPRODUCT((Закрытые!$E$5:$E$300=$B8)*(LEFT(Закрытые!$B$5:$B$300,2)="T-")*Закрытые!$F$5:$F$300*Закрытые!$G$5:$G$300))/C8)</f>
        <v/>
      </c>
      <c r="E8" s="247">
        <f>IF(C8="","",SUMIFS(Торговля!$H$5:$H$300,Торговля!$E$5:$E$300,$B8)+SUMIFS(Закрытые!$H$5:$H$300,Закрытые!$E$5:$E$300,$B8,Закрытые!$B$5:$B$300,"T-*"))</f>
        <v/>
      </c>
      <c r="F8" s="246">
        <f>IF(SUMIFS(Торговля!$I$5:$I$300,Торговля!$E$5:$E$300,$B8)+SUMIFS(Закрытые!$I$5:$I$300,Закрытые!$E$5:$E$300,$B8,Закрытые!$B$5:$B$300,"T-*")=0,"",SUMIFS(Торговля!$I$5:$I$300,Торговля!$E$5:$E$300,$B8)+SUMIFS(Закрытые!$I$5:$I$300,Закрытые!$E$5:$E$300,$B8,Закрытые!$B$5:$B$300,"T-*"))</f>
        <v/>
      </c>
      <c r="G8" s="183">
        <f>IF(F8="","",(SUMPRODUCT((Торговля!$E$5:$E$300=$B8)*Торговля!$I$5:$I$300*Торговля!$J$5:$J$300)+SUMPRODUCT((Закрытые!$E$5:$E$300=$B8)*(LEFT(Закрытые!$B$5:$B$300,2)="T-")*Закрытые!$I$5:$I$300*Закрытые!$J$5:$J$300))/F8)</f>
        <v/>
      </c>
      <c r="H8" s="247">
        <f>IF(F8="","",SUMIFS(Торговля!$K$5:$K$300,Торговля!$E$5:$E$300,$B8)+SUMIFS(Закрытые!$K$5:$K$300,Закрытые!$E$5:$E$300,$B8,Закрытые!$B$5:$B$300,"T-*"))</f>
        <v/>
      </c>
      <c r="I8" s="246">
        <f>IF($B8="","",IF(COUNTIFS(Торговля!$E$5:$E$300,$B8)+COUNTIFS(Закрытые!$E$5:$E$300,$B8,Закрытые!$B$5:$B$300,"T-*")=0,"",ROUND(SUMIFS(Торговля!$L$5:$L$300,Торговля!$E$5:$E$300,$B8)+SUMIFS(Закрытые!$L$5:$L$300,Закрытые!$E$5:$E$300,$B8,Закрытые!$B$5:$B$300,"T-*"),8)))</f>
        <v/>
      </c>
      <c r="J8" s="247">
        <f>IF($B8="","",IF(COUNTIFS(Торговля!$E$5:$E$300,$B8)+COUNTIFS(Закрытые!$E$5:$E$300,$B8,Закрытые!$B$5:$B$300,"T-*")=0,"",ROUND(SUMIFS(Торговля!$M$5:$M$300,Торговля!$E$5:$E$300,$B8)+SUMIFS(Закрытые!$M$5:$M$300,Закрытые!$E$5:$E$300,$B8,Закрытые!$B$5:$B$300,"T-*"),8)))</f>
        <v/>
      </c>
      <c r="K8" s="246">
        <f>IF($B8="","",ROUND(SUMIFS(Закрытые!$N$5:$N$300,Закрытые!$E$5:$E$300,$B8,Закрытые!$B$5:$B$300,"T-*"),8))</f>
        <v/>
      </c>
      <c r="L8" s="183">
        <f>IF(K8="","",IF(SUMPRODUCT((Закрытые!$E$5:$E$300=$B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/SUMPRODUCT((Закрытые!$E$5:$E$300=$B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" s="183">
        <f>IF(OR(ROUND(N(C8)-N(F8),8)=0,1-N(Ввод!$E$17)/100&lt;=0),"",IF(N(C8)&gt;N(F8),(N(E8)-N(H8))/((N(C8)-N(F8))*(1-N(Ввод!$E$17)/100)),(N(H8)-N(E8))/((N(F8)-N(C8))*(1+N(Ввод!$E$17)/100))))</f>
        <v/>
      </c>
    </row>
    <row r="9" ht="22" customHeight="1">
      <c r="B9" s="315" t="inlineStr">
        <is>
          <t>BNB/USDT</t>
        </is>
      </c>
      <c r="C9" s="240">
        <f>IF(SUMIFS(Торговля!$F$5:$F$300,Торговля!$E$5:$E$300,$B9)+SUMIFS(Закрытые!$F$5:$F$300,Закрытые!$E$5:$E$300,$B9,Закрытые!$B$5:$B$300,"T-*")=0,"",SUMIFS(Торговля!$F$5:$F$300,Торговля!$E$5:$E$300,$B9)+SUMIFS(Закрытые!$F$5:$F$300,Закрытые!$E$5:$E$300,$B9,Закрытые!$B$5:$B$300,"T-*"))</f>
        <v/>
      </c>
      <c r="D9" s="177">
        <f>IF(C9="","",(SUMPRODUCT((Торговля!$E$5:$E$300=$B9)*Торговля!$F$5:$F$300*Торговля!$G$5:$G$300)+SUMPRODUCT((Закрытые!$E$5:$E$300=$B9)*(LEFT(Закрытые!$B$5:$B$300,2)="T-")*Закрытые!$F$5:$F$300*Закрытые!$G$5:$G$300))/C9)</f>
        <v/>
      </c>
      <c r="E9" s="241">
        <f>IF(C9="","",SUMIFS(Торговля!$H$5:$H$300,Торговля!$E$5:$E$300,$B9)+SUMIFS(Закрытые!$H$5:$H$300,Закрытые!$E$5:$E$300,$B9,Закрытые!$B$5:$B$300,"T-*"))</f>
        <v/>
      </c>
      <c r="F9" s="240">
        <f>IF(SUMIFS(Торговля!$I$5:$I$300,Торговля!$E$5:$E$300,$B9)+SUMIFS(Закрытые!$I$5:$I$300,Закрытые!$E$5:$E$300,$B9,Закрытые!$B$5:$B$300,"T-*")=0,"",SUMIFS(Торговля!$I$5:$I$300,Торговля!$E$5:$E$300,$B9)+SUMIFS(Закрытые!$I$5:$I$300,Закрытые!$E$5:$E$300,$B9,Закрытые!$B$5:$B$300,"T-*"))</f>
        <v/>
      </c>
      <c r="G9" s="177">
        <f>IF(F9="","",(SUMPRODUCT((Торговля!$E$5:$E$300=$B9)*Торговля!$I$5:$I$300*Торговля!$J$5:$J$300)+SUMPRODUCT((Закрытые!$E$5:$E$300=$B9)*(LEFT(Закрытые!$B$5:$B$300,2)="T-")*Закрытые!$I$5:$I$300*Закрытые!$J$5:$J$300))/F9)</f>
        <v/>
      </c>
      <c r="H9" s="241">
        <f>IF(F9="","",SUMIFS(Торговля!$K$5:$K$300,Торговля!$E$5:$E$300,$B9)+SUMIFS(Закрытые!$K$5:$K$300,Закрытые!$E$5:$E$300,$B9,Закрытые!$B$5:$B$300,"T-*"))</f>
        <v/>
      </c>
      <c r="I9" s="240">
        <f>IF($B9="","",IF(COUNTIFS(Торговля!$E$5:$E$300,$B9)+COUNTIFS(Закрытые!$E$5:$E$300,$B9,Закрытые!$B$5:$B$300,"T-*")=0,"",ROUND(SUMIFS(Торговля!$L$5:$L$300,Торговля!$E$5:$E$300,$B9)+SUMIFS(Закрытые!$L$5:$L$300,Закрытые!$E$5:$E$300,$B9,Закрытые!$B$5:$B$300,"T-*"),8)))</f>
        <v/>
      </c>
      <c r="J9" s="241">
        <f>IF($B9="","",IF(COUNTIFS(Торговля!$E$5:$E$300,$B9)+COUNTIFS(Закрытые!$E$5:$E$300,$B9,Закрытые!$B$5:$B$300,"T-*")=0,"",ROUND(SUMIFS(Торговля!$M$5:$M$300,Торговля!$E$5:$E$300,$B9)+SUMIFS(Закрытые!$M$5:$M$300,Закрытые!$E$5:$E$300,$B9,Закрытые!$B$5:$B$300,"T-*"),8)))</f>
        <v/>
      </c>
      <c r="K9" s="240">
        <f>IF($B9="","",ROUND(SUMIFS(Закрытые!$N$5:$N$300,Закрытые!$E$5:$E$300,$B9,Закрытые!$B$5:$B$300,"T-*"),8))</f>
        <v/>
      </c>
      <c r="L9" s="177">
        <f>IF(K9="","",IF(SUMPRODUCT((Закрытые!$E$5:$E$300=$B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/SUMPRODUCT((Закрытые!$E$5:$E$300=$B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" s="177">
        <f>IF(OR(ROUND(N(C9)-N(F9),8)=0,1-N(Ввод!$E$17)/100&lt;=0),"",IF(N(C9)&gt;N(F9),(N(E9)-N(H9))/((N(C9)-N(F9))*(1-N(Ввод!$E$17)/100)),(N(H9)-N(E9))/((N(F9)-N(C9))*(1+N(Ввод!$E$17)/100))))</f>
        <v/>
      </c>
    </row>
    <row r="10" ht="22" customHeight="1">
      <c r="B10" s="320" t="inlineStr">
        <is>
          <t>BTC/USDT</t>
        </is>
      </c>
      <c r="C10" s="246">
        <f>IF(SUMIFS(Торговля!$F$5:$F$300,Торговля!$E$5:$E$300,$B10)+SUMIFS(Закрытые!$F$5:$F$300,Закрытые!$E$5:$E$300,$B10,Закрытые!$B$5:$B$300,"T-*")=0,"",SUMIFS(Торговля!$F$5:$F$300,Торговля!$E$5:$E$300,$B10)+SUMIFS(Закрытые!$F$5:$F$300,Закрытые!$E$5:$E$300,$B10,Закрытые!$B$5:$B$300,"T-*"))</f>
        <v/>
      </c>
      <c r="D10" s="183">
        <f>IF(C10="","",(SUMPRODUCT((Торговля!$E$5:$E$300=$B10)*Торговля!$F$5:$F$300*Торговля!$G$5:$G$300)+SUMPRODUCT((Закрытые!$E$5:$E$300=$B10)*(LEFT(Закрытые!$B$5:$B$300,2)="T-")*Закрытые!$F$5:$F$300*Закрытые!$G$5:$G$300))/C10)</f>
        <v/>
      </c>
      <c r="E10" s="247">
        <f>IF(C10="","",SUMIFS(Торговля!$H$5:$H$300,Торговля!$E$5:$E$300,$B10)+SUMIFS(Закрытые!$H$5:$H$300,Закрытые!$E$5:$E$300,$B10,Закрытые!$B$5:$B$300,"T-*"))</f>
        <v/>
      </c>
      <c r="F10" s="246">
        <f>IF(SUMIFS(Торговля!$I$5:$I$300,Торговля!$E$5:$E$300,$B10)+SUMIFS(Закрытые!$I$5:$I$300,Закрытые!$E$5:$E$300,$B10,Закрытые!$B$5:$B$300,"T-*")=0,"",SUMIFS(Торговля!$I$5:$I$300,Торговля!$E$5:$E$300,$B10)+SUMIFS(Закрытые!$I$5:$I$300,Закрытые!$E$5:$E$300,$B10,Закрытые!$B$5:$B$300,"T-*"))</f>
        <v/>
      </c>
      <c r="G10" s="183">
        <f>IF(F10="","",(SUMPRODUCT((Торговля!$E$5:$E$300=$B10)*Торговля!$I$5:$I$300*Торговля!$J$5:$J$300)+SUMPRODUCT((Закрытые!$E$5:$E$300=$B10)*(LEFT(Закрытые!$B$5:$B$300,2)="T-")*Закрытые!$I$5:$I$300*Закрытые!$J$5:$J$300))/F10)</f>
        <v/>
      </c>
      <c r="H10" s="247">
        <f>IF(F10="","",SUMIFS(Торговля!$K$5:$K$300,Торговля!$E$5:$E$300,$B10)+SUMIFS(Закрытые!$K$5:$K$300,Закрытые!$E$5:$E$300,$B10,Закрытые!$B$5:$B$300,"T-*"))</f>
        <v/>
      </c>
      <c r="I10" s="246">
        <f>IF($B10="","",IF(COUNTIFS(Торговля!$E$5:$E$300,$B10)+COUNTIFS(Закрытые!$E$5:$E$300,$B10,Закрытые!$B$5:$B$300,"T-*")=0,"",ROUND(SUMIFS(Торговля!$L$5:$L$300,Торговля!$E$5:$E$300,$B10)+SUMIFS(Закрытые!$L$5:$L$300,Закрытые!$E$5:$E$300,$B10,Закрытые!$B$5:$B$300,"T-*"),8)))</f>
        <v/>
      </c>
      <c r="J10" s="247">
        <f>IF($B10="","",IF(COUNTIFS(Торговля!$E$5:$E$300,$B10)+COUNTIFS(Закрытые!$E$5:$E$300,$B10,Закрытые!$B$5:$B$300,"T-*")=0,"",ROUND(SUMIFS(Торговля!$M$5:$M$300,Торговля!$E$5:$E$300,$B10)+SUMIFS(Закрытые!$M$5:$M$300,Закрытые!$E$5:$E$300,$B10,Закрытые!$B$5:$B$300,"T-*"),8)))</f>
        <v/>
      </c>
      <c r="K10" s="246">
        <f>IF($B10="","",ROUND(SUMIFS(Закрытые!$N$5:$N$300,Закрытые!$E$5:$E$300,$B10,Закрытые!$B$5:$B$300,"T-*"),8))</f>
        <v/>
      </c>
      <c r="L10" s="183">
        <f>IF(K10="","",IF(SUMPRODUCT((Закрытые!$E$5:$E$300=$B10)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/SUMPRODUCT((Закрытые!$E$5:$E$300=$B10)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" s="183">
        <f>IF(OR(ROUND(N(C10)-N(F10),8)=0,1-N(Ввод!$E$17)/100&lt;=0),"",IF(N(C10)&gt;N(F10),(N(E10)-N(H10))/((N(C10)-N(F10))*(1-N(Ввод!$E$17)/100)),(N(H10)-N(E10))/((N(F10)-N(C10))*(1+N(Ввод!$E$17)/100))))</f>
        <v/>
      </c>
    </row>
    <row r="11" ht="22" customHeight="1">
      <c r="B11" s="315" t="inlineStr">
        <is>
          <t>CAKE/ETH</t>
        </is>
      </c>
      <c r="C11" s="240">
        <f>IF(SUMIFS(Торговля!$F$5:$F$300,Торговля!$E$5:$E$300,$B11)+SUMIFS(Закрытые!$F$5:$F$300,Закрытые!$E$5:$E$300,$B11,Закрытые!$B$5:$B$300,"T-*")=0,"",SUMIFS(Торговля!$F$5:$F$300,Торговля!$E$5:$E$300,$B11)+SUMIFS(Закрытые!$F$5:$F$300,Закрытые!$E$5:$E$300,$B11,Закрытые!$B$5:$B$300,"T-*"))</f>
        <v/>
      </c>
      <c r="D11" s="177">
        <f>IF(C11="","",(SUMPRODUCT((Торговля!$E$5:$E$300=$B11)*Торговля!$F$5:$F$300*Торговля!$G$5:$G$300)+SUMPRODUCT((Закрытые!$E$5:$E$300=$B11)*(LEFT(Закрытые!$B$5:$B$300,2)="T-")*Закрытые!$F$5:$F$300*Закрытые!$G$5:$G$300))/C11)</f>
        <v/>
      </c>
      <c r="E11" s="241">
        <f>IF(C11="","",SUMIFS(Торговля!$H$5:$H$300,Торговля!$E$5:$E$300,$B11)+SUMIFS(Закрытые!$H$5:$H$300,Закрытые!$E$5:$E$300,$B11,Закрытые!$B$5:$B$300,"T-*"))</f>
        <v/>
      </c>
      <c r="F11" s="240">
        <f>IF(SUMIFS(Торговля!$I$5:$I$300,Торговля!$E$5:$E$300,$B11)+SUMIFS(Закрытые!$I$5:$I$300,Закрытые!$E$5:$E$300,$B11,Закрытые!$B$5:$B$300,"T-*")=0,"",SUMIFS(Торговля!$I$5:$I$300,Торговля!$E$5:$E$300,$B11)+SUMIFS(Закрытые!$I$5:$I$300,Закрытые!$E$5:$E$300,$B11,Закрытые!$B$5:$B$300,"T-*"))</f>
        <v/>
      </c>
      <c r="G11" s="177">
        <f>IF(F11="","",(SUMPRODUCT((Торговля!$E$5:$E$300=$B11)*Торговля!$I$5:$I$300*Торговля!$J$5:$J$300)+SUMPRODUCT((Закрытые!$E$5:$E$300=$B11)*(LEFT(Закрытые!$B$5:$B$300,2)="T-")*Закрытые!$I$5:$I$300*Закрытые!$J$5:$J$300))/F11)</f>
        <v/>
      </c>
      <c r="H11" s="241">
        <f>IF(F11="","",SUMIFS(Торговля!$K$5:$K$300,Торговля!$E$5:$E$300,$B11)+SUMIFS(Закрытые!$K$5:$K$300,Закрытые!$E$5:$E$300,$B11,Закрытые!$B$5:$B$300,"T-*"))</f>
        <v/>
      </c>
      <c r="I11" s="240">
        <f>IF($B11="","",IF(COUNTIFS(Торговля!$E$5:$E$300,$B11)+COUNTIFS(Закрытые!$E$5:$E$300,$B11,Закрытые!$B$5:$B$300,"T-*")=0,"",ROUND(SUMIFS(Торговля!$L$5:$L$300,Торговля!$E$5:$E$300,$B11)+SUMIFS(Закрытые!$L$5:$L$300,Закрытые!$E$5:$E$300,$B11,Закрытые!$B$5:$B$300,"T-*"),8)))</f>
        <v/>
      </c>
      <c r="J11" s="241">
        <f>IF($B11="","",IF(COUNTIFS(Торговля!$E$5:$E$300,$B11)+COUNTIFS(Закрытые!$E$5:$E$300,$B11,Закрытые!$B$5:$B$300,"T-*")=0,"",ROUND(SUMIFS(Торговля!$M$5:$M$300,Торговля!$E$5:$E$300,$B11)+SUMIFS(Закрытые!$M$5:$M$300,Закрытые!$E$5:$E$300,$B11,Закрытые!$B$5:$B$300,"T-*"),8)))</f>
        <v/>
      </c>
      <c r="K11" s="240">
        <f>IF($B11="","",ROUND(SUMIFS(Закрытые!$N$5:$N$300,Закрытые!$E$5:$E$300,$B11,Закрытые!$B$5:$B$300,"T-*"),8))</f>
        <v/>
      </c>
      <c r="L11" s="177">
        <f>IF(K11="","",IF(SUMPRODUCT((Закрытые!$E$5:$E$300=$B11)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/SUMPRODUCT((Закрытые!$E$5:$E$300=$B11)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" s="177">
        <f>IF(OR(ROUND(N(C11)-N(F11),8)=0,1-N(Ввод!$E$17)/100&lt;=0),"",IF(N(C11)&gt;N(F11),(N(E11)-N(H11))/((N(C11)-N(F11))*(1-N(Ввод!$E$17)/100)),(N(H11)-N(E11))/((N(F11)-N(C11))*(1+N(Ввод!$E$17)/100))))</f>
        <v/>
      </c>
    </row>
    <row r="12" ht="22" customHeight="1">
      <c r="B12" s="320" t="inlineStr">
        <is>
          <t>DASH/BTC</t>
        </is>
      </c>
      <c r="C12" s="246">
        <f>IF(SUMIFS(Торговля!$F$5:$F$300,Торговля!$E$5:$E$300,$B12)+SUMIFS(Закрытые!$F$5:$F$300,Закрытые!$E$5:$E$300,$B12,Закрытые!$B$5:$B$300,"T-*")=0,"",SUMIFS(Торговля!$F$5:$F$300,Торговля!$E$5:$E$300,$B12)+SUMIFS(Закрытые!$F$5:$F$300,Закрытые!$E$5:$E$300,$B12,Закрытые!$B$5:$B$300,"T-*"))</f>
        <v/>
      </c>
      <c r="D12" s="183">
        <f>IF(C12="","",(SUMPRODUCT((Торговля!$E$5:$E$300=$B12)*Торговля!$F$5:$F$300*Торговля!$G$5:$G$300)+SUMPRODUCT((Закрытые!$E$5:$E$300=$B12)*(LEFT(Закрытые!$B$5:$B$300,2)="T-")*Закрытые!$F$5:$F$300*Закрытые!$G$5:$G$300))/C12)</f>
        <v/>
      </c>
      <c r="E12" s="247">
        <f>IF(C12="","",SUMIFS(Торговля!$H$5:$H$300,Торговля!$E$5:$E$300,$B12)+SUMIFS(Закрытые!$H$5:$H$300,Закрытые!$E$5:$E$300,$B12,Закрытые!$B$5:$B$300,"T-*"))</f>
        <v/>
      </c>
      <c r="F12" s="246">
        <f>IF(SUMIFS(Торговля!$I$5:$I$300,Торговля!$E$5:$E$300,$B12)+SUMIFS(Закрытые!$I$5:$I$300,Закрытые!$E$5:$E$300,$B12,Закрытые!$B$5:$B$300,"T-*")=0,"",SUMIFS(Торговля!$I$5:$I$300,Торговля!$E$5:$E$300,$B12)+SUMIFS(Закрытые!$I$5:$I$300,Закрытые!$E$5:$E$300,$B12,Закрытые!$B$5:$B$300,"T-*"))</f>
        <v/>
      </c>
      <c r="G12" s="183">
        <f>IF(F12="","",(SUMPRODUCT((Торговля!$E$5:$E$300=$B12)*Торговля!$I$5:$I$300*Торговля!$J$5:$J$300)+SUMPRODUCT((Закрытые!$E$5:$E$300=$B12)*(LEFT(Закрытые!$B$5:$B$300,2)="T-")*Закрытые!$I$5:$I$300*Закрытые!$J$5:$J$300))/F12)</f>
        <v/>
      </c>
      <c r="H12" s="247">
        <f>IF(F12="","",SUMIFS(Торговля!$K$5:$K$300,Торговля!$E$5:$E$300,$B12)+SUMIFS(Закрытые!$K$5:$K$300,Закрытые!$E$5:$E$300,$B12,Закрытые!$B$5:$B$300,"T-*"))</f>
        <v/>
      </c>
      <c r="I12" s="246">
        <f>IF($B12="","",IF(COUNTIFS(Торговля!$E$5:$E$300,$B12)+COUNTIFS(Закрытые!$E$5:$E$300,$B12,Закрытые!$B$5:$B$300,"T-*")=0,"",ROUND(SUMIFS(Торговля!$L$5:$L$300,Торговля!$E$5:$E$300,$B12)+SUMIFS(Закрытые!$L$5:$L$300,Закрытые!$E$5:$E$300,$B12,Закрытые!$B$5:$B$300,"T-*"),8)))</f>
        <v/>
      </c>
      <c r="J12" s="247">
        <f>IF($B12="","",IF(COUNTIFS(Торговля!$E$5:$E$300,$B12)+COUNTIFS(Закрытые!$E$5:$E$300,$B12,Закрытые!$B$5:$B$300,"T-*")=0,"",ROUND(SUMIFS(Торговля!$M$5:$M$300,Торговля!$E$5:$E$300,$B12)+SUMIFS(Закрытые!$M$5:$M$300,Закрытые!$E$5:$E$300,$B12,Закрытые!$B$5:$B$300,"T-*"),8)))</f>
        <v/>
      </c>
      <c r="K12" s="246">
        <f>IF($B12="","",ROUND(SUMIFS(Закрытые!$N$5:$N$300,Закрытые!$E$5:$E$300,$B12,Закрытые!$B$5:$B$300,"T-*"),8))</f>
        <v/>
      </c>
      <c r="L12" s="183">
        <f>IF(K12="","",IF(SUMPRODUCT((Закрытые!$E$5:$E$300=$B12)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/SUMPRODUCT((Закрытые!$E$5:$E$300=$B12)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" s="183">
        <f>IF(OR(ROUND(N(C12)-N(F12),8)=0,1-N(Ввод!$E$17)/100&lt;=0),"",IF(N(C12)&gt;N(F12),(N(E12)-N(H12))/((N(C12)-N(F12))*(1-N(Ввод!$E$17)/100)),(N(H12)-N(E12))/((N(F12)-N(C12))*(1+N(Ввод!$E$17)/100))))</f>
        <v/>
      </c>
    </row>
    <row r="13" ht="22" customHeight="1">
      <c r="B13" s="315" t="inlineStr">
        <is>
          <t>DASH/LTC</t>
        </is>
      </c>
      <c r="C13" s="240">
        <f>IF(SUMIFS(Торговля!$F$5:$F$300,Торговля!$E$5:$E$300,$B13)+SUMIFS(Закрытые!$F$5:$F$300,Закрытые!$E$5:$E$300,$B13,Закрытые!$B$5:$B$300,"T-*")=0,"",SUMIFS(Торговля!$F$5:$F$300,Торговля!$E$5:$E$300,$B13)+SUMIFS(Закрытые!$F$5:$F$300,Закрытые!$E$5:$E$300,$B13,Закрытые!$B$5:$B$300,"T-*"))</f>
        <v/>
      </c>
      <c r="D13" s="177">
        <f>IF(C13="","",(SUMPRODUCT((Торговля!$E$5:$E$300=$B13)*Торговля!$F$5:$F$300*Торговля!$G$5:$G$300)+SUMPRODUCT((Закрытые!$E$5:$E$300=$B13)*(LEFT(Закрытые!$B$5:$B$300,2)="T-")*Закрытые!$F$5:$F$300*Закрытые!$G$5:$G$300))/C13)</f>
        <v/>
      </c>
      <c r="E13" s="241">
        <f>IF(C13="","",SUMIFS(Торговля!$H$5:$H$300,Торговля!$E$5:$E$300,$B13)+SUMIFS(Закрытые!$H$5:$H$300,Закрытые!$E$5:$E$300,$B13,Закрытые!$B$5:$B$300,"T-*"))</f>
        <v/>
      </c>
      <c r="F13" s="240">
        <f>IF(SUMIFS(Торговля!$I$5:$I$300,Торговля!$E$5:$E$300,$B13)+SUMIFS(Закрытые!$I$5:$I$300,Закрытые!$E$5:$E$300,$B13,Закрытые!$B$5:$B$300,"T-*")=0,"",SUMIFS(Торговля!$I$5:$I$300,Торговля!$E$5:$E$300,$B13)+SUMIFS(Закрытые!$I$5:$I$300,Закрытые!$E$5:$E$300,$B13,Закрытые!$B$5:$B$300,"T-*"))</f>
        <v/>
      </c>
      <c r="G13" s="177">
        <f>IF(F13="","",(SUMPRODUCT((Торговля!$E$5:$E$300=$B13)*Торговля!$I$5:$I$300*Торговля!$J$5:$J$300)+SUMPRODUCT((Закрытые!$E$5:$E$300=$B13)*(LEFT(Закрытые!$B$5:$B$300,2)="T-")*Закрытые!$I$5:$I$300*Закрытые!$J$5:$J$300))/F13)</f>
        <v/>
      </c>
      <c r="H13" s="241">
        <f>IF(F13="","",SUMIFS(Торговля!$K$5:$K$300,Торговля!$E$5:$E$300,$B13)+SUMIFS(Закрытые!$K$5:$K$300,Закрытые!$E$5:$E$300,$B13,Закрытые!$B$5:$B$300,"T-*"))</f>
        <v/>
      </c>
      <c r="I13" s="240">
        <f>IF($B13="","",IF(COUNTIFS(Торговля!$E$5:$E$300,$B13)+COUNTIFS(Закрытые!$E$5:$E$300,$B13,Закрытые!$B$5:$B$300,"T-*")=0,"",ROUND(SUMIFS(Торговля!$L$5:$L$300,Торговля!$E$5:$E$300,$B13)+SUMIFS(Закрытые!$L$5:$L$300,Закрытые!$E$5:$E$300,$B13,Закрытые!$B$5:$B$300,"T-*"),8)))</f>
        <v/>
      </c>
      <c r="J13" s="241">
        <f>IF($B13="","",IF(COUNTIFS(Торговля!$E$5:$E$300,$B13)+COUNTIFS(Закрытые!$E$5:$E$300,$B13,Закрытые!$B$5:$B$300,"T-*")=0,"",ROUND(SUMIFS(Торговля!$M$5:$M$300,Торговля!$E$5:$E$300,$B13)+SUMIFS(Закрытые!$M$5:$M$300,Закрытые!$E$5:$E$300,$B13,Закрытые!$B$5:$B$300,"T-*"),8)))</f>
        <v/>
      </c>
      <c r="K13" s="240">
        <f>IF($B13="","",ROUND(SUMIFS(Закрытые!$N$5:$N$300,Закрытые!$E$5:$E$300,$B13,Закрытые!$B$5:$B$300,"T-*"),8))</f>
        <v/>
      </c>
      <c r="L13" s="177">
        <f>IF(K13="","",IF(SUMPRODUCT((Закрытые!$E$5:$E$300=$B13)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/SUMPRODUCT((Закрытые!$E$5:$E$300=$B13)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" s="177">
        <f>IF(OR(ROUND(N(C13)-N(F13),8)=0,1-N(Ввод!$E$17)/100&lt;=0),"",IF(N(C13)&gt;N(F13),(N(E13)-N(H13))/((N(C13)-N(F13))*(1-N(Ввод!$E$17)/100)),(N(H13)-N(E13))/((N(F13)-N(C13))*(1+N(Ввод!$E$17)/100))))</f>
        <v/>
      </c>
    </row>
    <row r="14" ht="22" customHeight="1">
      <c r="B14" s="320" t="inlineStr">
        <is>
          <t>DOGE/BTC</t>
        </is>
      </c>
      <c r="C14" s="246">
        <f>IF(SUMIFS(Торговля!$F$5:$F$300,Торговля!$E$5:$E$300,$B14)+SUMIFS(Закрытые!$F$5:$F$300,Закрытые!$E$5:$E$300,$B14,Закрытые!$B$5:$B$300,"T-*")=0,"",SUMIFS(Торговля!$F$5:$F$300,Торговля!$E$5:$E$300,$B14)+SUMIFS(Закрытые!$F$5:$F$300,Закрытые!$E$5:$E$300,$B14,Закрытые!$B$5:$B$300,"T-*"))</f>
        <v/>
      </c>
      <c r="D14" s="183">
        <f>IF(C14="","",(SUMPRODUCT((Торговля!$E$5:$E$300=$B14)*Торговля!$F$5:$F$300*Торговля!$G$5:$G$300)+SUMPRODUCT((Закрытые!$E$5:$E$300=$B14)*(LEFT(Закрытые!$B$5:$B$300,2)="T-")*Закрытые!$F$5:$F$300*Закрытые!$G$5:$G$300))/C14)</f>
        <v/>
      </c>
      <c r="E14" s="247">
        <f>IF(C14="","",SUMIFS(Торговля!$H$5:$H$300,Торговля!$E$5:$E$300,$B14)+SUMIFS(Закрытые!$H$5:$H$300,Закрытые!$E$5:$E$300,$B14,Закрытые!$B$5:$B$300,"T-*"))</f>
        <v/>
      </c>
      <c r="F14" s="246">
        <f>IF(SUMIFS(Торговля!$I$5:$I$300,Торговля!$E$5:$E$300,$B14)+SUMIFS(Закрытые!$I$5:$I$300,Закрытые!$E$5:$E$300,$B14,Закрытые!$B$5:$B$300,"T-*")=0,"",SUMIFS(Торговля!$I$5:$I$300,Торговля!$E$5:$E$300,$B14)+SUMIFS(Закрытые!$I$5:$I$300,Закрытые!$E$5:$E$300,$B14,Закрытые!$B$5:$B$300,"T-*"))</f>
        <v/>
      </c>
      <c r="G14" s="183">
        <f>IF(F14="","",(SUMPRODUCT((Торговля!$E$5:$E$300=$B14)*Торговля!$I$5:$I$300*Торговля!$J$5:$J$300)+SUMPRODUCT((Закрытые!$E$5:$E$300=$B14)*(LEFT(Закрытые!$B$5:$B$300,2)="T-")*Закрытые!$I$5:$I$300*Закрытые!$J$5:$J$300))/F14)</f>
        <v/>
      </c>
      <c r="H14" s="247">
        <f>IF(F14="","",SUMIFS(Торговля!$K$5:$K$300,Торговля!$E$5:$E$300,$B14)+SUMIFS(Закрытые!$K$5:$K$300,Закрытые!$E$5:$E$300,$B14,Закрытые!$B$5:$B$300,"T-*"))</f>
        <v/>
      </c>
      <c r="I14" s="246">
        <f>IF($B14="","",IF(COUNTIFS(Торговля!$E$5:$E$300,$B14)+COUNTIFS(Закрытые!$E$5:$E$300,$B14,Закрытые!$B$5:$B$300,"T-*")=0,"",ROUND(SUMIFS(Торговля!$L$5:$L$300,Торговля!$E$5:$E$300,$B14)+SUMIFS(Закрытые!$L$5:$L$300,Закрытые!$E$5:$E$300,$B14,Закрытые!$B$5:$B$300,"T-*"),8)))</f>
        <v/>
      </c>
      <c r="J14" s="247">
        <f>IF($B14="","",IF(COUNTIFS(Торговля!$E$5:$E$300,$B14)+COUNTIFS(Закрытые!$E$5:$E$300,$B14,Закрытые!$B$5:$B$300,"T-*")=0,"",ROUND(SUMIFS(Торговля!$M$5:$M$300,Торговля!$E$5:$E$300,$B14)+SUMIFS(Закрытые!$M$5:$M$300,Закрытые!$E$5:$E$300,$B14,Закрытые!$B$5:$B$300,"T-*"),8)))</f>
        <v/>
      </c>
      <c r="K14" s="246">
        <f>IF($B14="","",ROUND(SUMIFS(Закрытые!$N$5:$N$300,Закрытые!$E$5:$E$300,$B14,Закрытые!$B$5:$B$300,"T-*"),8))</f>
        <v/>
      </c>
      <c r="L14" s="183">
        <f>IF(K14="","",IF(SUMPRODUCT((Закрытые!$E$5:$E$300=$B14)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/SUMPRODUCT((Закрытые!$E$5:$E$300=$B14)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" s="183">
        <f>IF(OR(ROUND(N(C14)-N(F14),8)=0,1-N(Ввод!$E$17)/100&lt;=0),"",IF(N(C14)&gt;N(F14),(N(E14)-N(H14))/((N(C14)-N(F14))*(1-N(Ввод!$E$17)/100)),(N(H14)-N(E14))/((N(F14)-N(C14))*(1+N(Ввод!$E$17)/100))))</f>
        <v/>
      </c>
    </row>
    <row r="15" ht="22" customHeight="1">
      <c r="B15" s="315" t="inlineStr">
        <is>
          <t>DOGE/USDT</t>
        </is>
      </c>
      <c r="C15" s="240">
        <f>IF(SUMIFS(Торговля!$F$5:$F$300,Торговля!$E$5:$E$300,$B15)+SUMIFS(Закрытые!$F$5:$F$300,Закрытые!$E$5:$E$300,$B15,Закрытые!$B$5:$B$300,"T-*")=0,"",SUMIFS(Торговля!$F$5:$F$300,Торговля!$E$5:$E$300,$B15)+SUMIFS(Закрытые!$F$5:$F$300,Закрытые!$E$5:$E$300,$B15,Закрытые!$B$5:$B$300,"T-*"))</f>
        <v/>
      </c>
      <c r="D15" s="177">
        <f>IF(C15="","",(SUMPRODUCT((Торговля!$E$5:$E$300=$B15)*Торговля!$F$5:$F$300*Торговля!$G$5:$G$300)+SUMPRODUCT((Закрытые!$E$5:$E$300=$B15)*(LEFT(Закрытые!$B$5:$B$300,2)="T-")*Закрытые!$F$5:$F$300*Закрытые!$G$5:$G$300))/C15)</f>
        <v/>
      </c>
      <c r="E15" s="241">
        <f>IF(C15="","",SUMIFS(Торговля!$H$5:$H$300,Торговля!$E$5:$E$300,$B15)+SUMIFS(Закрытые!$H$5:$H$300,Закрытые!$E$5:$E$300,$B15,Закрытые!$B$5:$B$300,"T-*"))</f>
        <v/>
      </c>
      <c r="F15" s="240">
        <f>IF(SUMIFS(Торговля!$I$5:$I$300,Торговля!$E$5:$E$300,$B15)+SUMIFS(Закрытые!$I$5:$I$300,Закрытые!$E$5:$E$300,$B15,Закрытые!$B$5:$B$300,"T-*")=0,"",SUMIFS(Торговля!$I$5:$I$300,Торговля!$E$5:$E$300,$B15)+SUMIFS(Закрытые!$I$5:$I$300,Закрытые!$E$5:$E$300,$B15,Закрытые!$B$5:$B$300,"T-*"))</f>
        <v/>
      </c>
      <c r="G15" s="177">
        <f>IF(F15="","",(SUMPRODUCT((Торговля!$E$5:$E$300=$B15)*Торговля!$I$5:$I$300*Торговля!$J$5:$J$300)+SUMPRODUCT((Закрытые!$E$5:$E$300=$B15)*(LEFT(Закрытые!$B$5:$B$300,2)="T-")*Закрытые!$I$5:$I$300*Закрытые!$J$5:$J$300))/F15)</f>
        <v/>
      </c>
      <c r="H15" s="241">
        <f>IF(F15="","",SUMIFS(Торговля!$K$5:$K$300,Торговля!$E$5:$E$300,$B15)+SUMIFS(Закрытые!$K$5:$K$300,Закрытые!$E$5:$E$300,$B15,Закрытые!$B$5:$B$300,"T-*"))</f>
        <v/>
      </c>
      <c r="I15" s="240">
        <f>IF($B15="","",IF(COUNTIFS(Торговля!$E$5:$E$300,$B15)+COUNTIFS(Закрытые!$E$5:$E$300,$B15,Закрытые!$B$5:$B$300,"T-*")=0,"",ROUND(SUMIFS(Торговля!$L$5:$L$300,Торговля!$E$5:$E$300,$B15)+SUMIFS(Закрытые!$L$5:$L$300,Закрытые!$E$5:$E$300,$B15,Закрытые!$B$5:$B$300,"T-*"),8)))</f>
        <v/>
      </c>
      <c r="J15" s="241">
        <f>IF($B15="","",IF(COUNTIFS(Торговля!$E$5:$E$300,$B15)+COUNTIFS(Закрытые!$E$5:$E$300,$B15,Закрытые!$B$5:$B$300,"T-*")=0,"",ROUND(SUMIFS(Торговля!$M$5:$M$300,Торговля!$E$5:$E$300,$B15)+SUMIFS(Закрытые!$M$5:$M$300,Закрытые!$E$5:$E$300,$B15,Закрытые!$B$5:$B$300,"T-*"),8)))</f>
        <v/>
      </c>
      <c r="K15" s="240">
        <f>IF($B15="","",ROUND(SUMIFS(Закрытые!$N$5:$N$300,Закрытые!$E$5:$E$300,$B15,Закрытые!$B$5:$B$300,"T-*"),8))</f>
        <v/>
      </c>
      <c r="L15" s="177">
        <f>IF(K15="","",IF(SUMPRODUCT((Закрытые!$E$5:$E$300=$B15)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/SUMPRODUCT((Закрытые!$E$5:$E$300=$B15)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" s="177">
        <f>IF(OR(ROUND(N(C15)-N(F15),8)=0,1-N(Ввод!$E$17)/100&lt;=0),"",IF(N(C15)&gt;N(F15),(N(E15)-N(H15))/((N(C15)-N(F15))*(1-N(Ввод!$E$17)/100)),(N(H15)-N(E15))/((N(F15)-N(C15))*(1+N(Ввод!$E$17)/100))))</f>
        <v/>
      </c>
    </row>
    <row r="16" ht="22" customHeight="1">
      <c r="B16" s="320" t="inlineStr">
        <is>
          <t>ETH/BTC</t>
        </is>
      </c>
      <c r="C16" s="246">
        <f>IF(SUMIFS(Торговля!$F$5:$F$300,Торговля!$E$5:$E$300,$B16)+SUMIFS(Закрытые!$F$5:$F$300,Закрытые!$E$5:$E$300,$B16,Закрытые!$B$5:$B$300,"T-*")=0,"",SUMIFS(Торговля!$F$5:$F$300,Торговля!$E$5:$E$300,$B16)+SUMIFS(Закрытые!$F$5:$F$300,Закрытые!$E$5:$E$300,$B16,Закрытые!$B$5:$B$300,"T-*"))</f>
        <v/>
      </c>
      <c r="D16" s="183">
        <f>IF(C16="","",(SUMPRODUCT((Торговля!$E$5:$E$300=$B16)*Торговля!$F$5:$F$300*Торговля!$G$5:$G$300)+SUMPRODUCT((Закрытые!$E$5:$E$300=$B16)*(LEFT(Закрытые!$B$5:$B$300,2)="T-")*Закрытые!$F$5:$F$300*Закрытые!$G$5:$G$300))/C16)</f>
        <v/>
      </c>
      <c r="E16" s="247">
        <f>IF(C16="","",SUMIFS(Торговля!$H$5:$H$300,Торговля!$E$5:$E$300,$B16)+SUMIFS(Закрытые!$H$5:$H$300,Закрытые!$E$5:$E$300,$B16,Закрытые!$B$5:$B$300,"T-*"))</f>
        <v/>
      </c>
      <c r="F16" s="246">
        <f>IF(SUMIFS(Торговля!$I$5:$I$300,Торговля!$E$5:$E$300,$B16)+SUMIFS(Закрытые!$I$5:$I$300,Закрытые!$E$5:$E$300,$B16,Закрытые!$B$5:$B$300,"T-*")=0,"",SUMIFS(Торговля!$I$5:$I$300,Торговля!$E$5:$E$300,$B16)+SUMIFS(Закрытые!$I$5:$I$300,Закрытые!$E$5:$E$300,$B16,Закрытые!$B$5:$B$300,"T-*"))</f>
        <v/>
      </c>
      <c r="G16" s="183">
        <f>IF(F16="","",(SUMPRODUCT((Торговля!$E$5:$E$300=$B16)*Торговля!$I$5:$I$300*Торговля!$J$5:$J$300)+SUMPRODUCT((Закрытые!$E$5:$E$300=$B16)*(LEFT(Закрытые!$B$5:$B$300,2)="T-")*Закрытые!$I$5:$I$300*Закрытые!$J$5:$J$300))/F16)</f>
        <v/>
      </c>
      <c r="H16" s="247">
        <f>IF(F16="","",SUMIFS(Торговля!$K$5:$K$300,Торговля!$E$5:$E$300,$B16)+SUMIFS(Закрытые!$K$5:$K$300,Закрытые!$E$5:$E$300,$B16,Закрытые!$B$5:$B$300,"T-*"))</f>
        <v/>
      </c>
      <c r="I16" s="246">
        <f>IF($B16="","",IF(COUNTIFS(Торговля!$E$5:$E$300,$B16)+COUNTIFS(Закрытые!$E$5:$E$300,$B16,Закрытые!$B$5:$B$300,"T-*")=0,"",ROUND(SUMIFS(Торговля!$L$5:$L$300,Торговля!$E$5:$E$300,$B16)+SUMIFS(Закрытые!$L$5:$L$300,Закрытые!$E$5:$E$300,$B16,Закрытые!$B$5:$B$300,"T-*"),8)))</f>
        <v/>
      </c>
      <c r="J16" s="247">
        <f>IF($B16="","",IF(COUNTIFS(Торговля!$E$5:$E$300,$B16)+COUNTIFS(Закрытые!$E$5:$E$300,$B16,Закрытые!$B$5:$B$300,"T-*")=0,"",ROUND(SUMIFS(Торговля!$M$5:$M$300,Торговля!$E$5:$E$300,$B16)+SUMIFS(Закрытые!$M$5:$M$300,Закрытые!$E$5:$E$300,$B16,Закрытые!$B$5:$B$300,"T-*"),8)))</f>
        <v/>
      </c>
      <c r="K16" s="246">
        <f>IF($B16="","",ROUND(SUMIFS(Закрытые!$N$5:$N$300,Закрытые!$E$5:$E$300,$B16,Закрытые!$B$5:$B$300,"T-*"),8))</f>
        <v/>
      </c>
      <c r="L16" s="183">
        <f>IF(K16="","",IF(SUMPRODUCT((Закрытые!$E$5:$E$300=$B16)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/SUMPRODUCT((Закрытые!$E$5:$E$300=$B16)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" s="183">
        <f>IF(OR(ROUND(N(C16)-N(F16),8)=0,1-N(Ввод!$E$17)/100&lt;=0),"",IF(N(C16)&gt;N(F16),(N(E16)-N(H16))/((N(C16)-N(F16))*(1-N(Ввод!$E$17)/100)),(N(H16)-N(E16))/((N(F16)-N(C16))*(1+N(Ввод!$E$17)/100))))</f>
        <v/>
      </c>
    </row>
    <row r="17" ht="22" customHeight="1">
      <c r="B17" s="315" t="inlineStr">
        <is>
          <t>ETH/USDT</t>
        </is>
      </c>
      <c r="C17" s="240">
        <f>IF(SUMIFS(Торговля!$F$5:$F$300,Торговля!$E$5:$E$300,$B17)+SUMIFS(Закрытые!$F$5:$F$300,Закрытые!$E$5:$E$300,$B17,Закрытые!$B$5:$B$300,"T-*")=0,"",SUMIFS(Торговля!$F$5:$F$300,Торговля!$E$5:$E$300,$B17)+SUMIFS(Закрытые!$F$5:$F$300,Закрытые!$E$5:$E$300,$B17,Закрытые!$B$5:$B$300,"T-*"))</f>
        <v/>
      </c>
      <c r="D17" s="177">
        <f>IF(C17="","",(SUMPRODUCT((Торговля!$E$5:$E$300=$B17)*Торговля!$F$5:$F$300*Торговля!$G$5:$G$300)+SUMPRODUCT((Закрытые!$E$5:$E$300=$B17)*(LEFT(Закрытые!$B$5:$B$300,2)="T-")*Закрытые!$F$5:$F$300*Закрытые!$G$5:$G$300))/C17)</f>
        <v/>
      </c>
      <c r="E17" s="241">
        <f>IF(C17="","",SUMIFS(Торговля!$H$5:$H$300,Торговля!$E$5:$E$300,$B17)+SUMIFS(Закрытые!$H$5:$H$300,Закрытые!$E$5:$E$300,$B17,Закрытые!$B$5:$B$300,"T-*"))</f>
        <v/>
      </c>
      <c r="F17" s="240">
        <f>IF(SUMIFS(Торговля!$I$5:$I$300,Торговля!$E$5:$E$300,$B17)+SUMIFS(Закрытые!$I$5:$I$300,Закрытые!$E$5:$E$300,$B17,Закрытые!$B$5:$B$300,"T-*")=0,"",SUMIFS(Торговля!$I$5:$I$300,Торговля!$E$5:$E$300,$B17)+SUMIFS(Закрытые!$I$5:$I$300,Закрытые!$E$5:$E$300,$B17,Закрытые!$B$5:$B$300,"T-*"))</f>
        <v/>
      </c>
      <c r="G17" s="177">
        <f>IF(F17="","",(SUMPRODUCT((Торговля!$E$5:$E$300=$B17)*Торговля!$I$5:$I$300*Торговля!$J$5:$J$300)+SUMPRODUCT((Закрытые!$E$5:$E$300=$B17)*(LEFT(Закрытые!$B$5:$B$300,2)="T-")*Закрытые!$I$5:$I$300*Закрытые!$J$5:$J$300))/F17)</f>
        <v/>
      </c>
      <c r="H17" s="241">
        <f>IF(F17="","",SUMIFS(Торговля!$K$5:$K$300,Торговля!$E$5:$E$300,$B17)+SUMIFS(Закрытые!$K$5:$K$300,Закрытые!$E$5:$E$300,$B17,Закрытые!$B$5:$B$300,"T-*"))</f>
        <v/>
      </c>
      <c r="I17" s="240">
        <f>IF($B17="","",IF(COUNTIFS(Торговля!$E$5:$E$300,$B17)+COUNTIFS(Закрытые!$E$5:$E$300,$B17,Закрытые!$B$5:$B$300,"T-*")=0,"",ROUND(SUMIFS(Торговля!$L$5:$L$300,Торговля!$E$5:$E$300,$B17)+SUMIFS(Закрытые!$L$5:$L$300,Закрытые!$E$5:$E$300,$B17,Закрытые!$B$5:$B$300,"T-*"),8)))</f>
        <v/>
      </c>
      <c r="J17" s="241">
        <f>IF($B17="","",IF(COUNTIFS(Торговля!$E$5:$E$300,$B17)+COUNTIFS(Закрытые!$E$5:$E$300,$B17,Закрытые!$B$5:$B$300,"T-*")=0,"",ROUND(SUMIFS(Торговля!$M$5:$M$300,Торговля!$E$5:$E$300,$B17)+SUMIFS(Закрытые!$M$5:$M$300,Закрытые!$E$5:$E$300,$B17,Закрытые!$B$5:$B$300,"T-*"),8)))</f>
        <v/>
      </c>
      <c r="K17" s="240">
        <f>IF($B17="","",ROUND(SUMIFS(Закрытые!$N$5:$N$300,Закрытые!$E$5:$E$300,$B17,Закрытые!$B$5:$B$300,"T-*"),8))</f>
        <v/>
      </c>
      <c r="L17" s="177">
        <f>IF(K17="","",IF(SUMPRODUCT((Закрытые!$E$5:$E$300=$B17)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/SUMPRODUCT((Закрытые!$E$5:$E$300=$B17)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" s="177">
        <f>IF(OR(ROUND(N(C17)-N(F17),8)=0,1-N(Ввод!$E$17)/100&lt;=0),"",IF(N(C17)&gt;N(F17),(N(E17)-N(H17))/((N(C17)-N(F17))*(1-N(Ввод!$E$17)/100)),(N(H17)-N(E17))/((N(F17)-N(C17))*(1+N(Ввод!$E$17)/100))))</f>
        <v/>
      </c>
    </row>
    <row r="18" ht="22" customHeight="1">
      <c r="B18" s="320" t="inlineStr">
        <is>
          <t>LINK/ETH</t>
        </is>
      </c>
      <c r="C18" s="246">
        <f>IF(SUMIFS(Торговля!$F$5:$F$300,Торговля!$E$5:$E$300,$B18)+SUMIFS(Закрытые!$F$5:$F$300,Закрытые!$E$5:$E$300,$B18,Закрытые!$B$5:$B$300,"T-*")=0,"",SUMIFS(Торговля!$F$5:$F$300,Торговля!$E$5:$E$300,$B18)+SUMIFS(Закрытые!$F$5:$F$300,Закрытые!$E$5:$E$300,$B18,Закрытые!$B$5:$B$300,"T-*"))</f>
        <v/>
      </c>
      <c r="D18" s="183">
        <f>IF(C18="","",(SUMPRODUCT((Торговля!$E$5:$E$300=$B18)*Торговля!$F$5:$F$300*Торговля!$G$5:$G$300)+SUMPRODUCT((Закрытые!$E$5:$E$300=$B18)*(LEFT(Закрытые!$B$5:$B$300,2)="T-")*Закрытые!$F$5:$F$300*Закрытые!$G$5:$G$300))/C18)</f>
        <v/>
      </c>
      <c r="E18" s="247">
        <f>IF(C18="","",SUMIFS(Торговля!$H$5:$H$300,Торговля!$E$5:$E$300,$B18)+SUMIFS(Закрытые!$H$5:$H$300,Закрытые!$E$5:$E$300,$B18,Закрытые!$B$5:$B$300,"T-*"))</f>
        <v/>
      </c>
      <c r="F18" s="246">
        <f>IF(SUMIFS(Торговля!$I$5:$I$300,Торговля!$E$5:$E$300,$B18)+SUMIFS(Закрытые!$I$5:$I$300,Закрытые!$E$5:$E$300,$B18,Закрытые!$B$5:$B$300,"T-*")=0,"",SUMIFS(Торговля!$I$5:$I$300,Торговля!$E$5:$E$300,$B18)+SUMIFS(Закрытые!$I$5:$I$300,Закрытые!$E$5:$E$300,$B18,Закрытые!$B$5:$B$300,"T-*"))</f>
        <v/>
      </c>
      <c r="G18" s="183">
        <f>IF(F18="","",(SUMPRODUCT((Торговля!$E$5:$E$300=$B18)*Торговля!$I$5:$I$300*Торговля!$J$5:$J$300)+SUMPRODUCT((Закрытые!$E$5:$E$300=$B18)*(LEFT(Закрытые!$B$5:$B$300,2)="T-")*Закрытые!$I$5:$I$300*Закрытые!$J$5:$J$300))/F18)</f>
        <v/>
      </c>
      <c r="H18" s="247">
        <f>IF(F18="","",SUMIFS(Торговля!$K$5:$K$300,Торговля!$E$5:$E$300,$B18)+SUMIFS(Закрытые!$K$5:$K$300,Закрытые!$E$5:$E$300,$B18,Закрытые!$B$5:$B$300,"T-*"))</f>
        <v/>
      </c>
      <c r="I18" s="246">
        <f>IF($B18="","",IF(COUNTIFS(Торговля!$E$5:$E$300,$B18)+COUNTIFS(Закрытые!$E$5:$E$300,$B18,Закрытые!$B$5:$B$300,"T-*")=0,"",ROUND(SUMIFS(Торговля!$L$5:$L$300,Торговля!$E$5:$E$300,$B18)+SUMIFS(Закрытые!$L$5:$L$300,Закрытые!$E$5:$E$300,$B18,Закрытые!$B$5:$B$300,"T-*"),8)))</f>
        <v/>
      </c>
      <c r="J18" s="247">
        <f>IF($B18="","",IF(COUNTIFS(Торговля!$E$5:$E$300,$B18)+COUNTIFS(Закрытые!$E$5:$E$300,$B18,Закрытые!$B$5:$B$300,"T-*")=0,"",ROUND(SUMIFS(Торговля!$M$5:$M$300,Торговля!$E$5:$E$300,$B18)+SUMIFS(Закрытые!$M$5:$M$300,Закрытые!$E$5:$E$300,$B18,Закрытые!$B$5:$B$300,"T-*"),8)))</f>
        <v/>
      </c>
      <c r="K18" s="246">
        <f>IF($B18="","",ROUND(SUMIFS(Закрытые!$N$5:$N$300,Закрытые!$E$5:$E$300,$B18,Закрытые!$B$5:$B$300,"T-*"),8))</f>
        <v/>
      </c>
      <c r="L18" s="183">
        <f>IF(K18="","",IF(SUMPRODUCT((Закрытые!$E$5:$E$300=$B18)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/SUMPRODUCT((Закрытые!$E$5:$E$300=$B18)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" s="183">
        <f>IF(OR(ROUND(N(C18)-N(F18),8)=0,1-N(Ввод!$E$17)/100&lt;=0),"",IF(N(C18)&gt;N(F18),(N(E18)-N(H18))/((N(C18)-N(F18))*(1-N(Ввод!$E$17)/100)),(N(H18)-N(E18))/((N(F18)-N(C18))*(1+N(Ввод!$E$17)/100))))</f>
        <v/>
      </c>
    </row>
    <row r="19" ht="22" customHeight="1">
      <c r="B19" s="315" t="inlineStr">
        <is>
          <t>LTC/BCH</t>
        </is>
      </c>
      <c r="C19" s="240">
        <f>IF(SUMIFS(Торговля!$F$5:$F$300,Торговля!$E$5:$E$300,$B19)+SUMIFS(Закрытые!$F$5:$F$300,Закрытые!$E$5:$E$300,$B19,Закрытые!$B$5:$B$300,"T-*")=0,"",SUMIFS(Торговля!$F$5:$F$300,Торговля!$E$5:$E$300,$B19)+SUMIFS(Закрытые!$F$5:$F$300,Закрытые!$E$5:$E$300,$B19,Закрытые!$B$5:$B$300,"T-*"))</f>
        <v/>
      </c>
      <c r="D19" s="177">
        <f>IF(C19="","",(SUMPRODUCT((Торговля!$E$5:$E$300=$B19)*Торговля!$F$5:$F$300*Торговля!$G$5:$G$300)+SUMPRODUCT((Закрытые!$E$5:$E$300=$B19)*(LEFT(Закрытые!$B$5:$B$300,2)="T-")*Закрытые!$F$5:$F$300*Закрытые!$G$5:$G$300))/C19)</f>
        <v/>
      </c>
      <c r="E19" s="241">
        <f>IF(C19="","",SUMIFS(Торговля!$H$5:$H$300,Торговля!$E$5:$E$300,$B19)+SUMIFS(Закрытые!$H$5:$H$300,Закрытые!$E$5:$E$300,$B19,Закрытые!$B$5:$B$300,"T-*"))</f>
        <v/>
      </c>
      <c r="F19" s="240">
        <f>IF(SUMIFS(Торговля!$I$5:$I$300,Торговля!$E$5:$E$300,$B19)+SUMIFS(Закрытые!$I$5:$I$300,Закрытые!$E$5:$E$300,$B19,Закрытые!$B$5:$B$300,"T-*")=0,"",SUMIFS(Торговля!$I$5:$I$300,Торговля!$E$5:$E$300,$B19)+SUMIFS(Закрытые!$I$5:$I$300,Закрытые!$E$5:$E$300,$B19,Закрытые!$B$5:$B$300,"T-*"))</f>
        <v/>
      </c>
      <c r="G19" s="177">
        <f>IF(F19="","",(SUMPRODUCT((Торговля!$E$5:$E$300=$B19)*Торговля!$I$5:$I$300*Торговля!$J$5:$J$300)+SUMPRODUCT((Закрытые!$E$5:$E$300=$B19)*(LEFT(Закрытые!$B$5:$B$300,2)="T-")*Закрытые!$I$5:$I$300*Закрытые!$J$5:$J$300))/F19)</f>
        <v/>
      </c>
      <c r="H19" s="241">
        <f>IF(F19="","",SUMIFS(Торговля!$K$5:$K$300,Торговля!$E$5:$E$300,$B19)+SUMIFS(Закрытые!$K$5:$K$300,Закрытые!$E$5:$E$300,$B19,Закрытые!$B$5:$B$300,"T-*"))</f>
        <v/>
      </c>
      <c r="I19" s="240">
        <f>IF($B19="","",IF(COUNTIFS(Торговля!$E$5:$E$300,$B19)+COUNTIFS(Закрытые!$E$5:$E$300,$B19,Закрытые!$B$5:$B$300,"T-*")=0,"",ROUND(SUMIFS(Торговля!$L$5:$L$300,Торговля!$E$5:$E$300,$B19)+SUMIFS(Закрытые!$L$5:$L$300,Закрытые!$E$5:$E$300,$B19,Закрытые!$B$5:$B$300,"T-*"),8)))</f>
        <v/>
      </c>
      <c r="J19" s="241">
        <f>IF($B19="","",IF(COUNTIFS(Торговля!$E$5:$E$300,$B19)+COUNTIFS(Закрытые!$E$5:$E$300,$B19,Закрытые!$B$5:$B$300,"T-*")=0,"",ROUND(SUMIFS(Торговля!$M$5:$M$300,Торговля!$E$5:$E$300,$B19)+SUMIFS(Закрытые!$M$5:$M$300,Закрытые!$E$5:$E$300,$B19,Закрытые!$B$5:$B$300,"T-*"),8)))</f>
        <v/>
      </c>
      <c r="K19" s="240">
        <f>IF($B19="","",ROUND(SUMIFS(Закрытые!$N$5:$N$300,Закрытые!$E$5:$E$300,$B19,Закрытые!$B$5:$B$300,"T-*"),8))</f>
        <v/>
      </c>
      <c r="L19" s="177">
        <f>IF(K19="","",IF(SUMPRODUCT((Закрытые!$E$5:$E$300=$B19)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/SUMPRODUCT((Закрытые!$E$5:$E$300=$B19)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" s="177">
        <f>IF(OR(ROUND(N(C19)-N(F19),8)=0,1-N(Ввод!$E$17)/100&lt;=0),"",IF(N(C19)&gt;N(F19),(N(E19)-N(H19))/((N(C19)-N(F19))*(1-N(Ввод!$E$17)/100)),(N(H19)-N(E19))/((N(F19)-N(C19))*(1+N(Ввод!$E$17)/100))))</f>
        <v/>
      </c>
    </row>
    <row r="20" ht="22" customHeight="1">
      <c r="B20" s="320" t="inlineStr">
        <is>
          <t>SOL/USDT</t>
        </is>
      </c>
      <c r="C20" s="246">
        <f>IF(SUMIFS(Торговля!$F$5:$F$300,Торговля!$E$5:$E$300,$B20)+SUMIFS(Закрытые!$F$5:$F$300,Закрытые!$E$5:$E$300,$B20,Закрытые!$B$5:$B$300,"T-*")=0,"",SUMIFS(Торговля!$F$5:$F$300,Торговля!$E$5:$E$300,$B20)+SUMIFS(Закрытые!$F$5:$F$300,Закрытые!$E$5:$E$300,$B20,Закрытые!$B$5:$B$300,"T-*"))</f>
        <v/>
      </c>
      <c r="D20" s="183">
        <f>IF(C20="","",(SUMPRODUCT((Торговля!$E$5:$E$300=$B20)*Торговля!$F$5:$F$300*Торговля!$G$5:$G$300)+SUMPRODUCT((Закрытые!$E$5:$E$300=$B20)*(LEFT(Закрытые!$B$5:$B$300,2)="T-")*Закрытые!$F$5:$F$300*Закрытые!$G$5:$G$300))/C20)</f>
        <v/>
      </c>
      <c r="E20" s="247">
        <f>IF(C20="","",SUMIFS(Торговля!$H$5:$H$300,Торговля!$E$5:$E$300,$B20)+SUMIFS(Закрытые!$H$5:$H$300,Закрытые!$E$5:$E$300,$B20,Закрытые!$B$5:$B$300,"T-*"))</f>
        <v/>
      </c>
      <c r="F20" s="246">
        <f>IF(SUMIFS(Торговля!$I$5:$I$300,Торговля!$E$5:$E$300,$B20)+SUMIFS(Закрытые!$I$5:$I$300,Закрытые!$E$5:$E$300,$B20,Закрытые!$B$5:$B$300,"T-*")=0,"",SUMIFS(Торговля!$I$5:$I$300,Торговля!$E$5:$E$300,$B20)+SUMIFS(Закрытые!$I$5:$I$300,Закрытые!$E$5:$E$300,$B20,Закрытые!$B$5:$B$300,"T-*"))</f>
        <v/>
      </c>
      <c r="G20" s="183">
        <f>IF(F20="","",(SUMPRODUCT((Торговля!$E$5:$E$300=$B20)*Торговля!$I$5:$I$300*Торговля!$J$5:$J$300)+SUMPRODUCT((Закрытые!$E$5:$E$300=$B20)*(LEFT(Закрытые!$B$5:$B$300,2)="T-")*Закрытые!$I$5:$I$300*Закрытые!$J$5:$J$300))/F20)</f>
        <v/>
      </c>
      <c r="H20" s="247">
        <f>IF(F20="","",SUMIFS(Торговля!$K$5:$K$300,Торговля!$E$5:$E$300,$B20)+SUMIFS(Закрытые!$K$5:$K$300,Закрытые!$E$5:$E$300,$B20,Закрытые!$B$5:$B$300,"T-*"))</f>
        <v/>
      </c>
      <c r="I20" s="246">
        <f>IF($B20="","",IF(COUNTIFS(Торговля!$E$5:$E$300,$B20)+COUNTIFS(Закрытые!$E$5:$E$300,$B20,Закрытые!$B$5:$B$300,"T-*")=0,"",ROUND(SUMIFS(Торговля!$L$5:$L$300,Торговля!$E$5:$E$300,$B20)+SUMIFS(Закрытые!$L$5:$L$300,Закрытые!$E$5:$E$300,$B20,Закрытые!$B$5:$B$300,"T-*"),8)))</f>
        <v/>
      </c>
      <c r="J20" s="247">
        <f>IF($B20="","",IF(COUNTIFS(Торговля!$E$5:$E$300,$B20)+COUNTIFS(Закрытые!$E$5:$E$300,$B20,Закрытые!$B$5:$B$300,"T-*")=0,"",ROUND(SUMIFS(Торговля!$M$5:$M$300,Торговля!$E$5:$E$300,$B20)+SUMIFS(Закрытые!$M$5:$M$300,Закрытые!$E$5:$E$300,$B20,Закрытые!$B$5:$B$300,"T-*"),8)))</f>
        <v/>
      </c>
      <c r="K20" s="246">
        <f>IF($B20="","",ROUND(SUMIFS(Закрытые!$N$5:$N$300,Закрытые!$E$5:$E$300,$B20,Закрытые!$B$5:$B$300,"T-*"),8))</f>
        <v/>
      </c>
      <c r="L20" s="183">
        <f>IF(K20="","",IF(SUMPRODUCT((Закрытые!$E$5:$E$300=$B20)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/SUMPRODUCT((Закрытые!$E$5:$E$300=$B20)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" s="183">
        <f>IF(OR(ROUND(N(C20)-N(F20),8)=0,1-N(Ввод!$E$17)/100&lt;=0),"",IF(N(C20)&gt;N(F20),(N(E20)-N(H20))/((N(C20)-N(F20))*(1-N(Ввод!$E$17)/100)),(N(H20)-N(E20))/((N(F20)-N(C20))*(1+N(Ввод!$E$17)/100))))</f>
        <v/>
      </c>
    </row>
    <row r="21" ht="22" customHeight="1">
      <c r="B21" s="315" t="inlineStr">
        <is>
          <t>XRP/TRX</t>
        </is>
      </c>
      <c r="C21" s="240">
        <f>IF(SUMIFS(Торговля!$F$5:$F$300,Торговля!$E$5:$E$300,$B21)+SUMIFS(Закрытые!$F$5:$F$300,Закрытые!$E$5:$E$300,$B21,Закрытые!$B$5:$B$300,"T-*")=0,"",SUMIFS(Торговля!$F$5:$F$300,Торговля!$E$5:$E$300,$B21)+SUMIFS(Закрытые!$F$5:$F$300,Закрытые!$E$5:$E$300,$B21,Закрытые!$B$5:$B$300,"T-*"))</f>
        <v/>
      </c>
      <c r="D21" s="177">
        <f>IF(C21="","",(SUMPRODUCT((Торговля!$E$5:$E$300=$B21)*Торговля!$F$5:$F$300*Торговля!$G$5:$G$300)+SUMPRODUCT((Закрытые!$E$5:$E$300=$B21)*(LEFT(Закрытые!$B$5:$B$300,2)="T-")*Закрытые!$F$5:$F$300*Закрытые!$G$5:$G$300))/C21)</f>
        <v/>
      </c>
      <c r="E21" s="241">
        <f>IF(C21="","",SUMIFS(Торговля!$H$5:$H$300,Торговля!$E$5:$E$300,$B21)+SUMIFS(Закрытые!$H$5:$H$300,Закрытые!$E$5:$E$300,$B21,Закрытые!$B$5:$B$300,"T-*"))</f>
        <v/>
      </c>
      <c r="F21" s="240">
        <f>IF(SUMIFS(Торговля!$I$5:$I$300,Торговля!$E$5:$E$300,$B21)+SUMIFS(Закрытые!$I$5:$I$300,Закрытые!$E$5:$E$300,$B21,Закрытые!$B$5:$B$300,"T-*")=0,"",SUMIFS(Торговля!$I$5:$I$300,Торговля!$E$5:$E$300,$B21)+SUMIFS(Закрытые!$I$5:$I$300,Закрытые!$E$5:$E$300,$B21,Закрытые!$B$5:$B$300,"T-*"))</f>
        <v/>
      </c>
      <c r="G21" s="177">
        <f>IF(F21="","",(SUMPRODUCT((Торговля!$E$5:$E$300=$B21)*Торговля!$I$5:$I$300*Торговля!$J$5:$J$300)+SUMPRODUCT((Закрытые!$E$5:$E$300=$B21)*(LEFT(Закрытые!$B$5:$B$300,2)="T-")*Закрытые!$I$5:$I$300*Закрытые!$J$5:$J$300))/F21)</f>
        <v/>
      </c>
      <c r="H21" s="241">
        <f>IF(F21="","",SUMIFS(Торговля!$K$5:$K$300,Торговля!$E$5:$E$300,$B21)+SUMIFS(Закрытые!$K$5:$K$300,Закрытые!$E$5:$E$300,$B21,Закрытые!$B$5:$B$300,"T-*"))</f>
        <v/>
      </c>
      <c r="I21" s="240">
        <f>IF($B21="","",IF(COUNTIFS(Торговля!$E$5:$E$300,$B21)+COUNTIFS(Закрытые!$E$5:$E$300,$B21,Закрытые!$B$5:$B$300,"T-*")=0,"",ROUND(SUMIFS(Торговля!$L$5:$L$300,Торговля!$E$5:$E$300,$B21)+SUMIFS(Закрытые!$L$5:$L$300,Закрытые!$E$5:$E$300,$B21,Закрытые!$B$5:$B$300,"T-*"),8)))</f>
        <v/>
      </c>
      <c r="J21" s="241">
        <f>IF($B21="","",IF(COUNTIFS(Торговля!$E$5:$E$300,$B21)+COUNTIFS(Закрытые!$E$5:$E$300,$B21,Закрытые!$B$5:$B$300,"T-*")=0,"",ROUND(SUMIFS(Торговля!$M$5:$M$300,Торговля!$E$5:$E$300,$B21)+SUMIFS(Закрытые!$M$5:$M$300,Закрытые!$E$5:$E$300,$B21,Закрытые!$B$5:$B$300,"T-*"),8)))</f>
        <v/>
      </c>
      <c r="K21" s="240">
        <f>IF($B21="","",ROUND(SUMIFS(Закрытые!$N$5:$N$300,Закрытые!$E$5:$E$300,$B21,Закрытые!$B$5:$B$300,"T-*"),8))</f>
        <v/>
      </c>
      <c r="L21" s="177">
        <f>IF(K21="","",IF(SUMPRODUCT((Закрытые!$E$5:$E$300=$B21)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/SUMPRODUCT((Закрытые!$E$5:$E$300=$B21)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" s="177">
        <f>IF(OR(ROUND(N(C21)-N(F21),8)=0,1-N(Ввод!$E$17)/100&lt;=0),"",IF(N(C21)&gt;N(F21),(N(E21)-N(H21))/((N(C21)-N(F21))*(1-N(Ввод!$E$17)/100)),(N(H21)-N(E21))/((N(F21)-N(C21))*(1+N(Ввод!$E$17)/100))))</f>
        <v/>
      </c>
    </row>
    <row r="22" ht="22" customHeight="1">
      <c r="B22" s="320" t="inlineStr">
        <is>
          <t>XRP/USDT</t>
        </is>
      </c>
      <c r="C22" s="246">
        <f>IF(SUMIFS(Торговля!$F$5:$F$300,Торговля!$E$5:$E$300,$B22)+SUMIFS(Закрытые!$F$5:$F$300,Закрытые!$E$5:$E$300,$B22,Закрытые!$B$5:$B$300,"T-*")=0,"",SUMIFS(Торговля!$F$5:$F$300,Торговля!$E$5:$E$300,$B22)+SUMIFS(Закрытые!$F$5:$F$300,Закрытые!$E$5:$E$300,$B22,Закрытые!$B$5:$B$300,"T-*"))</f>
        <v/>
      </c>
      <c r="D22" s="183">
        <f>IF(C22="","",(SUMPRODUCT((Торговля!$E$5:$E$300=$B22)*Торговля!$F$5:$F$300*Торговля!$G$5:$G$300)+SUMPRODUCT((Закрытые!$E$5:$E$300=$B22)*(LEFT(Закрытые!$B$5:$B$300,2)="T-")*Закрытые!$F$5:$F$300*Закрытые!$G$5:$G$300))/C22)</f>
        <v/>
      </c>
      <c r="E22" s="247">
        <f>IF(C22="","",SUMIFS(Торговля!$H$5:$H$300,Торговля!$E$5:$E$300,$B22)+SUMIFS(Закрытые!$H$5:$H$300,Закрытые!$E$5:$E$300,$B22,Закрытые!$B$5:$B$300,"T-*"))</f>
        <v/>
      </c>
      <c r="F22" s="246">
        <f>IF(SUMIFS(Торговля!$I$5:$I$300,Торговля!$E$5:$E$300,$B22)+SUMIFS(Закрытые!$I$5:$I$300,Закрытые!$E$5:$E$300,$B22,Закрытые!$B$5:$B$300,"T-*")=0,"",SUMIFS(Торговля!$I$5:$I$300,Торговля!$E$5:$E$300,$B22)+SUMIFS(Закрытые!$I$5:$I$300,Закрытые!$E$5:$E$300,$B22,Закрытые!$B$5:$B$300,"T-*"))</f>
        <v/>
      </c>
      <c r="G22" s="183">
        <f>IF(F22="","",(SUMPRODUCT((Торговля!$E$5:$E$300=$B22)*Торговля!$I$5:$I$300*Торговля!$J$5:$J$300)+SUMPRODUCT((Закрытые!$E$5:$E$300=$B22)*(LEFT(Закрытые!$B$5:$B$300,2)="T-")*Закрытые!$I$5:$I$300*Закрытые!$J$5:$J$300))/F22)</f>
        <v/>
      </c>
      <c r="H22" s="247">
        <f>IF(F22="","",SUMIFS(Торговля!$K$5:$K$300,Торговля!$E$5:$E$300,$B22)+SUMIFS(Закрытые!$K$5:$K$300,Закрытые!$E$5:$E$300,$B22,Закрытые!$B$5:$B$300,"T-*"))</f>
        <v/>
      </c>
      <c r="I22" s="246">
        <f>IF($B22="","",IF(COUNTIFS(Торговля!$E$5:$E$300,$B22)+COUNTIFS(Закрытые!$E$5:$E$300,$B22,Закрытые!$B$5:$B$300,"T-*")=0,"",ROUND(SUMIFS(Торговля!$L$5:$L$300,Торговля!$E$5:$E$300,$B22)+SUMIFS(Закрытые!$L$5:$L$300,Закрытые!$E$5:$E$300,$B22,Закрытые!$B$5:$B$300,"T-*"),8)))</f>
        <v/>
      </c>
      <c r="J22" s="247">
        <f>IF($B22="","",IF(COUNTIFS(Торговля!$E$5:$E$300,$B22)+COUNTIFS(Закрытые!$E$5:$E$300,$B22,Закрытые!$B$5:$B$300,"T-*")=0,"",ROUND(SUMIFS(Торговля!$M$5:$M$300,Торговля!$E$5:$E$300,$B22)+SUMIFS(Закрытые!$M$5:$M$300,Закрытые!$E$5:$E$300,$B22,Закрытые!$B$5:$B$300,"T-*"),8)))</f>
        <v/>
      </c>
      <c r="K22" s="246">
        <f>IF($B22="","",ROUND(SUMIFS(Закрытые!$N$5:$N$300,Закрытые!$E$5:$E$300,$B22,Закрытые!$B$5:$B$300,"T-*"),8))</f>
        <v/>
      </c>
      <c r="L22" s="183">
        <f>IF(K22="","",IF(SUMPRODUCT((Закрытые!$E$5:$E$300=$B22)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/SUMPRODUCT((Закрытые!$E$5:$E$300=$B22)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" s="183">
        <f>IF(OR(ROUND(N(C22)-N(F22),8)=0,1-N(Ввод!$E$17)/100&lt;=0),"",IF(N(C22)&gt;N(F22),(N(E22)-N(H22))/((N(C22)-N(F22))*(1-N(Ввод!$E$17)/100)),(N(H22)-N(E22))/((N(F22)-N(C22))*(1+N(Ввод!$E$17)/100))))</f>
        <v/>
      </c>
    </row>
    <row r="23" ht="22" customHeight="1">
      <c r="B23" s="315" t="n"/>
      <c r="C23" s="240">
        <f>IF(SUMIFS(Торговля!$F$5:$F$300,Торговля!$E$5:$E$300,$B23)+SUMIFS(Закрытые!$F$5:$F$300,Закрытые!$E$5:$E$300,$B23,Закрытые!$B$5:$B$300,"T-*")=0,"",SUMIFS(Торговля!$F$5:$F$300,Торговля!$E$5:$E$300,$B23)+SUMIFS(Закрытые!$F$5:$F$300,Закрытые!$E$5:$E$300,$B23,Закрытые!$B$5:$B$300,"T-*"))</f>
        <v/>
      </c>
      <c r="D23" s="177">
        <f>IF(C23="","",(SUMPRODUCT((Торговля!$E$5:$E$300=$B23)*Торговля!$F$5:$F$300*Торговля!$G$5:$G$300)+SUMPRODUCT((Закрытые!$E$5:$E$300=$B23)*(LEFT(Закрытые!$B$5:$B$300,2)="T-")*Закрытые!$F$5:$F$300*Закрытые!$G$5:$G$300))/C23)</f>
        <v/>
      </c>
      <c r="E23" s="241">
        <f>IF(C23="","",SUMIFS(Торговля!$H$5:$H$300,Торговля!$E$5:$E$300,$B23)+SUMIFS(Закрытые!$H$5:$H$300,Закрытые!$E$5:$E$300,$B23,Закрытые!$B$5:$B$300,"T-*"))</f>
        <v/>
      </c>
      <c r="F23" s="240">
        <f>IF(SUMIFS(Торговля!$I$5:$I$300,Торговля!$E$5:$E$300,$B23)+SUMIFS(Закрытые!$I$5:$I$300,Закрытые!$E$5:$E$300,$B23,Закрытые!$B$5:$B$300,"T-*")=0,"",SUMIFS(Торговля!$I$5:$I$300,Торговля!$E$5:$E$300,$B23)+SUMIFS(Закрытые!$I$5:$I$300,Закрытые!$E$5:$E$300,$B23,Закрытые!$B$5:$B$300,"T-*"))</f>
        <v/>
      </c>
      <c r="G23" s="177">
        <f>IF(F23="","",(SUMPRODUCT((Торговля!$E$5:$E$300=$B23)*Торговля!$I$5:$I$300*Торговля!$J$5:$J$300)+SUMPRODUCT((Закрытые!$E$5:$E$300=$B23)*(LEFT(Закрытые!$B$5:$B$300,2)="T-")*Закрытые!$I$5:$I$300*Закрытые!$J$5:$J$300))/F23)</f>
        <v/>
      </c>
      <c r="H23" s="241">
        <f>IF(F23="","",SUMIFS(Торговля!$K$5:$K$300,Торговля!$E$5:$E$300,$B23)+SUMIFS(Закрытые!$K$5:$K$300,Закрытые!$E$5:$E$300,$B23,Закрытые!$B$5:$B$300,"T-*"))</f>
        <v/>
      </c>
      <c r="I23" s="240">
        <f>IF($B23="","",IF(COUNTIFS(Торговля!$E$5:$E$300,$B23)+COUNTIFS(Закрытые!$E$5:$E$300,$B23,Закрытые!$B$5:$B$300,"T-*")=0,"",ROUND(SUMIFS(Торговля!$L$5:$L$300,Торговля!$E$5:$E$300,$B23)+SUMIFS(Закрытые!$L$5:$L$300,Закрытые!$E$5:$E$300,$B23,Закрытые!$B$5:$B$300,"T-*"),8)))</f>
        <v/>
      </c>
      <c r="J23" s="241">
        <f>IF($B23="","",IF(COUNTIFS(Торговля!$E$5:$E$300,$B23)+COUNTIFS(Закрытые!$E$5:$E$300,$B23,Закрытые!$B$5:$B$300,"T-*")=0,"",ROUND(SUMIFS(Торговля!$M$5:$M$300,Торговля!$E$5:$E$300,$B23)+SUMIFS(Закрытые!$M$5:$M$300,Закрытые!$E$5:$E$300,$B23,Закрытые!$B$5:$B$300,"T-*"),8)))</f>
        <v/>
      </c>
      <c r="K23" s="240">
        <f>IF($B23="","",ROUND(SUMIFS(Закрытые!$N$5:$N$300,Закрытые!$E$5:$E$300,$B23,Закрытые!$B$5:$B$300,"T-*"),8))</f>
        <v/>
      </c>
      <c r="L23" s="177">
        <f>IF(K23="","",IF(SUMPRODUCT((Закрытые!$E$5:$E$300=$B23)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/SUMPRODUCT((Закрытые!$E$5:$E$300=$B23)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" s="177">
        <f>IF(OR(ROUND(N(C23)-N(F23),8)=0,1-N(Ввод!$E$17)/100&lt;=0),"",IF(N(C23)&gt;N(F23),(N(E23)-N(H23))/((N(C23)-N(F23))*(1-N(Ввод!$E$17)/100)),(N(H23)-N(E23))/((N(F23)-N(C23))*(1+N(Ввод!$E$17)/100))))</f>
        <v/>
      </c>
    </row>
    <row r="24" ht="22" customHeight="1">
      <c r="B24" s="320" t="n"/>
      <c r="C24" s="246">
        <f>IF(SUMIFS(Торговля!$F$5:$F$300,Торговля!$E$5:$E$300,$B24)+SUMIFS(Закрытые!$F$5:$F$300,Закрытые!$E$5:$E$300,$B24,Закрытые!$B$5:$B$300,"T-*")=0,"",SUMIFS(Торговля!$F$5:$F$300,Торговля!$E$5:$E$300,$B24)+SUMIFS(Закрытые!$F$5:$F$300,Закрытые!$E$5:$E$300,$B24,Закрытые!$B$5:$B$300,"T-*"))</f>
        <v/>
      </c>
      <c r="D24" s="183">
        <f>IF(C24="","",(SUMPRODUCT((Торговля!$E$5:$E$300=$B24)*Торговля!$F$5:$F$300*Торговля!$G$5:$G$300)+SUMPRODUCT((Закрытые!$E$5:$E$300=$B24)*(LEFT(Закрытые!$B$5:$B$300,2)="T-")*Закрытые!$F$5:$F$300*Закрытые!$G$5:$G$300))/C24)</f>
        <v/>
      </c>
      <c r="E24" s="247">
        <f>IF(C24="","",SUMIFS(Торговля!$H$5:$H$300,Торговля!$E$5:$E$300,$B24)+SUMIFS(Закрытые!$H$5:$H$300,Закрытые!$E$5:$E$300,$B24,Закрытые!$B$5:$B$300,"T-*"))</f>
        <v/>
      </c>
      <c r="F24" s="246">
        <f>IF(SUMIFS(Торговля!$I$5:$I$300,Торговля!$E$5:$E$300,$B24)+SUMIFS(Закрытые!$I$5:$I$300,Закрытые!$E$5:$E$300,$B24,Закрытые!$B$5:$B$300,"T-*")=0,"",SUMIFS(Торговля!$I$5:$I$300,Торговля!$E$5:$E$300,$B24)+SUMIFS(Закрытые!$I$5:$I$300,Закрытые!$E$5:$E$300,$B24,Закрытые!$B$5:$B$300,"T-*"))</f>
        <v/>
      </c>
      <c r="G24" s="183">
        <f>IF(F24="","",(SUMPRODUCT((Торговля!$E$5:$E$300=$B24)*Торговля!$I$5:$I$300*Торговля!$J$5:$J$300)+SUMPRODUCT((Закрытые!$E$5:$E$300=$B24)*(LEFT(Закрытые!$B$5:$B$300,2)="T-")*Закрытые!$I$5:$I$300*Закрытые!$J$5:$J$300))/F24)</f>
        <v/>
      </c>
      <c r="H24" s="247">
        <f>IF(F24="","",SUMIFS(Торговля!$K$5:$K$300,Торговля!$E$5:$E$300,$B24)+SUMIFS(Закрытые!$K$5:$K$300,Закрытые!$E$5:$E$300,$B24,Закрытые!$B$5:$B$300,"T-*"))</f>
        <v/>
      </c>
      <c r="I24" s="246">
        <f>IF($B24="","",IF(COUNTIFS(Торговля!$E$5:$E$300,$B24)+COUNTIFS(Закрытые!$E$5:$E$300,$B24,Закрытые!$B$5:$B$300,"T-*")=0,"",ROUND(SUMIFS(Торговля!$L$5:$L$300,Торговля!$E$5:$E$300,$B24)+SUMIFS(Закрытые!$L$5:$L$300,Закрытые!$E$5:$E$300,$B24,Закрытые!$B$5:$B$300,"T-*"),8)))</f>
        <v/>
      </c>
      <c r="J24" s="247">
        <f>IF($B24="","",IF(COUNTIFS(Торговля!$E$5:$E$300,$B24)+COUNTIFS(Закрытые!$E$5:$E$300,$B24,Закрытые!$B$5:$B$300,"T-*")=0,"",ROUND(SUMIFS(Торговля!$M$5:$M$300,Торговля!$E$5:$E$300,$B24)+SUMIFS(Закрытые!$M$5:$M$300,Закрытые!$E$5:$E$300,$B24,Закрытые!$B$5:$B$300,"T-*"),8)))</f>
        <v/>
      </c>
      <c r="K24" s="246">
        <f>IF($B24="","",ROUND(SUMIFS(Закрытые!$N$5:$N$300,Закрытые!$E$5:$E$300,$B24,Закрытые!$B$5:$B$300,"T-*"),8))</f>
        <v/>
      </c>
      <c r="L24" s="183">
        <f>IF(K24="","",IF(SUMPRODUCT((Закрытые!$E$5:$E$300=$B24)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/SUMPRODUCT((Закрытые!$E$5:$E$300=$B24)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" s="183">
        <f>IF(OR(ROUND(N(C24)-N(F24),8)=0,1-N(Ввод!$E$17)/100&lt;=0),"",IF(N(C24)&gt;N(F24),(N(E24)-N(H24))/((N(C24)-N(F24))*(1-N(Ввод!$E$17)/100)),(N(H24)-N(E24))/((N(F24)-N(C24))*(1+N(Ввод!$E$17)/100))))</f>
        <v/>
      </c>
    </row>
    <row r="25" ht="22" customHeight="1">
      <c r="B25" s="315" t="n"/>
      <c r="C25" s="240">
        <f>IF(SUMIFS(Торговля!$F$5:$F$300,Торговля!$E$5:$E$300,$B25)+SUMIFS(Закрытые!$F$5:$F$300,Закрытые!$E$5:$E$300,$B25,Закрытые!$B$5:$B$300,"T-*")=0,"",SUMIFS(Торговля!$F$5:$F$300,Торговля!$E$5:$E$300,$B25)+SUMIFS(Закрытые!$F$5:$F$300,Закрытые!$E$5:$E$300,$B25,Закрытые!$B$5:$B$300,"T-*"))</f>
        <v/>
      </c>
      <c r="D25" s="177">
        <f>IF(C25="","",(SUMPRODUCT((Торговля!$E$5:$E$300=$B25)*Торговля!$F$5:$F$300*Торговля!$G$5:$G$300)+SUMPRODUCT((Закрытые!$E$5:$E$300=$B25)*(LEFT(Закрытые!$B$5:$B$300,2)="T-")*Закрытые!$F$5:$F$300*Закрытые!$G$5:$G$300))/C25)</f>
        <v/>
      </c>
      <c r="E25" s="241">
        <f>IF(C25="","",SUMIFS(Торговля!$H$5:$H$300,Торговля!$E$5:$E$300,$B25)+SUMIFS(Закрытые!$H$5:$H$300,Закрытые!$E$5:$E$300,$B25,Закрытые!$B$5:$B$300,"T-*"))</f>
        <v/>
      </c>
      <c r="F25" s="240">
        <f>IF(SUMIFS(Торговля!$I$5:$I$300,Торговля!$E$5:$E$300,$B25)+SUMIFS(Закрытые!$I$5:$I$300,Закрытые!$E$5:$E$300,$B25,Закрытые!$B$5:$B$300,"T-*")=0,"",SUMIFS(Торговля!$I$5:$I$300,Торговля!$E$5:$E$300,$B25)+SUMIFS(Закрытые!$I$5:$I$300,Закрытые!$E$5:$E$300,$B25,Закрытые!$B$5:$B$300,"T-*"))</f>
        <v/>
      </c>
      <c r="G25" s="177">
        <f>IF(F25="","",(SUMPRODUCT((Торговля!$E$5:$E$300=$B25)*Торговля!$I$5:$I$300*Торговля!$J$5:$J$300)+SUMPRODUCT((Закрытые!$E$5:$E$300=$B25)*(LEFT(Закрытые!$B$5:$B$300,2)="T-")*Закрытые!$I$5:$I$300*Закрытые!$J$5:$J$300))/F25)</f>
        <v/>
      </c>
      <c r="H25" s="241">
        <f>IF(F25="","",SUMIFS(Торговля!$K$5:$K$300,Торговля!$E$5:$E$300,$B25)+SUMIFS(Закрытые!$K$5:$K$300,Закрытые!$E$5:$E$300,$B25,Закрытые!$B$5:$B$300,"T-*"))</f>
        <v/>
      </c>
      <c r="I25" s="240">
        <f>IF($B25="","",IF(COUNTIFS(Торговля!$E$5:$E$300,$B25)+COUNTIFS(Закрытые!$E$5:$E$300,$B25,Закрытые!$B$5:$B$300,"T-*")=0,"",ROUND(SUMIFS(Торговля!$L$5:$L$300,Торговля!$E$5:$E$300,$B25)+SUMIFS(Закрытые!$L$5:$L$300,Закрытые!$E$5:$E$300,$B25,Закрытые!$B$5:$B$300,"T-*"),8)))</f>
        <v/>
      </c>
      <c r="J25" s="241">
        <f>IF($B25="","",IF(COUNTIFS(Торговля!$E$5:$E$300,$B25)+COUNTIFS(Закрытые!$E$5:$E$300,$B25,Закрытые!$B$5:$B$300,"T-*")=0,"",ROUND(SUMIFS(Торговля!$M$5:$M$300,Торговля!$E$5:$E$300,$B25)+SUMIFS(Закрытые!$M$5:$M$300,Закрытые!$E$5:$E$300,$B25,Закрытые!$B$5:$B$300,"T-*"),8)))</f>
        <v/>
      </c>
      <c r="K25" s="240">
        <f>IF($B25="","",ROUND(SUMIFS(Закрытые!$N$5:$N$300,Закрытые!$E$5:$E$300,$B25,Закрытые!$B$5:$B$300,"T-*"),8))</f>
        <v/>
      </c>
      <c r="L25" s="177">
        <f>IF(K25="","",IF(SUMPRODUCT((Закрытые!$E$5:$E$300=$B25)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/SUMPRODUCT((Закрытые!$E$5:$E$300=$B25)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" s="177">
        <f>IF(OR(ROUND(N(C25)-N(F25),8)=0,1-N(Ввод!$E$17)/100&lt;=0),"",IF(N(C25)&gt;N(F25),(N(E25)-N(H25))/((N(C25)-N(F25))*(1-N(Ввод!$E$17)/100)),(N(H25)-N(E25))/((N(F25)-N(C25))*(1+N(Ввод!$E$17)/100))))</f>
        <v/>
      </c>
    </row>
    <row r="26" ht="22" customHeight="1">
      <c r="B26" s="320" t="n"/>
      <c r="C26" s="246">
        <f>IF(SUMIFS(Торговля!$F$5:$F$300,Торговля!$E$5:$E$300,$B26)+SUMIFS(Закрытые!$F$5:$F$300,Закрытые!$E$5:$E$300,$B26,Закрытые!$B$5:$B$300,"T-*")=0,"",SUMIFS(Торговля!$F$5:$F$300,Торговля!$E$5:$E$300,$B26)+SUMIFS(Закрытые!$F$5:$F$300,Закрытые!$E$5:$E$300,$B26,Закрытые!$B$5:$B$300,"T-*"))</f>
        <v/>
      </c>
      <c r="D26" s="183">
        <f>IF(C26="","",(SUMPRODUCT((Торговля!$E$5:$E$300=$B26)*Торговля!$F$5:$F$300*Торговля!$G$5:$G$300)+SUMPRODUCT((Закрытые!$E$5:$E$300=$B26)*(LEFT(Закрытые!$B$5:$B$300,2)="T-")*Закрытые!$F$5:$F$300*Закрытые!$G$5:$G$300))/C26)</f>
        <v/>
      </c>
      <c r="E26" s="247">
        <f>IF(C26="","",SUMIFS(Торговля!$H$5:$H$300,Торговля!$E$5:$E$300,$B26)+SUMIFS(Закрытые!$H$5:$H$300,Закрытые!$E$5:$E$300,$B26,Закрытые!$B$5:$B$300,"T-*"))</f>
        <v/>
      </c>
      <c r="F26" s="246">
        <f>IF(SUMIFS(Торговля!$I$5:$I$300,Торговля!$E$5:$E$300,$B26)+SUMIFS(Закрытые!$I$5:$I$300,Закрытые!$E$5:$E$300,$B26,Закрытые!$B$5:$B$300,"T-*")=0,"",SUMIFS(Торговля!$I$5:$I$300,Торговля!$E$5:$E$300,$B26)+SUMIFS(Закрытые!$I$5:$I$300,Закрытые!$E$5:$E$300,$B26,Закрытые!$B$5:$B$300,"T-*"))</f>
        <v/>
      </c>
      <c r="G26" s="183">
        <f>IF(F26="","",(SUMPRODUCT((Торговля!$E$5:$E$300=$B26)*Торговля!$I$5:$I$300*Торговля!$J$5:$J$300)+SUMPRODUCT((Закрытые!$E$5:$E$300=$B26)*(LEFT(Закрытые!$B$5:$B$300,2)="T-")*Закрытые!$I$5:$I$300*Закрытые!$J$5:$J$300))/F26)</f>
        <v/>
      </c>
      <c r="H26" s="247">
        <f>IF(F26="","",SUMIFS(Торговля!$K$5:$K$300,Торговля!$E$5:$E$300,$B26)+SUMIFS(Закрытые!$K$5:$K$300,Закрытые!$E$5:$E$300,$B26,Закрытые!$B$5:$B$300,"T-*"))</f>
        <v/>
      </c>
      <c r="I26" s="246">
        <f>IF($B26="","",IF(COUNTIFS(Торговля!$E$5:$E$300,$B26)+COUNTIFS(Закрытые!$E$5:$E$300,$B26,Закрытые!$B$5:$B$300,"T-*")=0,"",ROUND(SUMIFS(Торговля!$L$5:$L$300,Торговля!$E$5:$E$300,$B26)+SUMIFS(Закрытые!$L$5:$L$300,Закрытые!$E$5:$E$300,$B26,Закрытые!$B$5:$B$300,"T-*"),8)))</f>
        <v/>
      </c>
      <c r="J26" s="247">
        <f>IF($B26="","",IF(COUNTIFS(Торговля!$E$5:$E$300,$B26)+COUNTIFS(Закрытые!$E$5:$E$300,$B26,Закрытые!$B$5:$B$300,"T-*")=0,"",ROUND(SUMIFS(Торговля!$M$5:$M$300,Торговля!$E$5:$E$300,$B26)+SUMIFS(Закрытые!$M$5:$M$300,Закрытые!$E$5:$E$300,$B26,Закрытые!$B$5:$B$300,"T-*"),8)))</f>
        <v/>
      </c>
      <c r="K26" s="246">
        <f>IF($B26="","",ROUND(SUMIFS(Закрытые!$N$5:$N$300,Закрытые!$E$5:$E$300,$B26,Закрытые!$B$5:$B$300,"T-*"),8))</f>
        <v/>
      </c>
      <c r="L26" s="183">
        <f>IF(K26="","",IF(SUMPRODUCT((Закрытые!$E$5:$E$300=$B26)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/SUMPRODUCT((Закрытые!$E$5:$E$300=$B26)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" s="183">
        <f>IF(OR(ROUND(N(C26)-N(F26),8)=0,1-N(Ввод!$E$17)/100&lt;=0),"",IF(N(C26)&gt;N(F26),(N(E26)-N(H26))/((N(C26)-N(F26))*(1-N(Ввод!$E$17)/100)),(N(H26)-N(E26))/((N(F26)-N(C26))*(1+N(Ввод!$E$17)/100))))</f>
        <v/>
      </c>
    </row>
    <row r="27" ht="22" customHeight="1">
      <c r="B27" s="315" t="n"/>
      <c r="C27" s="240">
        <f>IF(SUMIFS(Торговля!$F$5:$F$300,Торговля!$E$5:$E$300,$B27)+SUMIFS(Закрытые!$F$5:$F$300,Закрытые!$E$5:$E$300,$B27,Закрытые!$B$5:$B$300,"T-*")=0,"",SUMIFS(Торговля!$F$5:$F$300,Торговля!$E$5:$E$300,$B27)+SUMIFS(Закрытые!$F$5:$F$300,Закрытые!$E$5:$E$300,$B27,Закрытые!$B$5:$B$300,"T-*"))</f>
        <v/>
      </c>
      <c r="D27" s="177">
        <f>IF(C27="","",(SUMPRODUCT((Торговля!$E$5:$E$300=$B27)*Торговля!$F$5:$F$300*Торговля!$G$5:$G$300)+SUMPRODUCT((Закрытые!$E$5:$E$300=$B27)*(LEFT(Закрытые!$B$5:$B$300,2)="T-")*Закрытые!$F$5:$F$300*Закрытые!$G$5:$G$300))/C27)</f>
        <v/>
      </c>
      <c r="E27" s="241">
        <f>IF(C27="","",SUMIFS(Торговля!$H$5:$H$300,Торговля!$E$5:$E$300,$B27)+SUMIFS(Закрытые!$H$5:$H$300,Закрытые!$E$5:$E$300,$B27,Закрытые!$B$5:$B$300,"T-*"))</f>
        <v/>
      </c>
      <c r="F27" s="240">
        <f>IF(SUMIFS(Торговля!$I$5:$I$300,Торговля!$E$5:$E$300,$B27)+SUMIFS(Закрытые!$I$5:$I$300,Закрытые!$E$5:$E$300,$B27,Закрытые!$B$5:$B$300,"T-*")=0,"",SUMIFS(Торговля!$I$5:$I$300,Торговля!$E$5:$E$300,$B27)+SUMIFS(Закрытые!$I$5:$I$300,Закрытые!$E$5:$E$300,$B27,Закрытые!$B$5:$B$300,"T-*"))</f>
        <v/>
      </c>
      <c r="G27" s="177">
        <f>IF(F27="","",(SUMPRODUCT((Торговля!$E$5:$E$300=$B27)*Торговля!$I$5:$I$300*Торговля!$J$5:$J$300)+SUMPRODUCT((Закрытые!$E$5:$E$300=$B27)*(LEFT(Закрытые!$B$5:$B$300,2)="T-")*Закрытые!$I$5:$I$300*Закрытые!$J$5:$J$300))/F27)</f>
        <v/>
      </c>
      <c r="H27" s="241">
        <f>IF(F27="","",SUMIFS(Торговля!$K$5:$K$300,Торговля!$E$5:$E$300,$B27)+SUMIFS(Закрытые!$K$5:$K$300,Закрытые!$E$5:$E$300,$B27,Закрытые!$B$5:$B$300,"T-*"))</f>
        <v/>
      </c>
      <c r="I27" s="240">
        <f>IF($B27="","",IF(COUNTIFS(Торговля!$E$5:$E$300,$B27)+COUNTIFS(Закрытые!$E$5:$E$300,$B27,Закрытые!$B$5:$B$300,"T-*")=0,"",ROUND(SUMIFS(Торговля!$L$5:$L$300,Торговля!$E$5:$E$300,$B27)+SUMIFS(Закрытые!$L$5:$L$300,Закрытые!$E$5:$E$300,$B27,Закрытые!$B$5:$B$300,"T-*"),8)))</f>
        <v/>
      </c>
      <c r="J27" s="241">
        <f>IF($B27="","",IF(COUNTIFS(Торговля!$E$5:$E$300,$B27)+COUNTIFS(Закрытые!$E$5:$E$300,$B27,Закрытые!$B$5:$B$300,"T-*")=0,"",ROUND(SUMIFS(Торговля!$M$5:$M$300,Торговля!$E$5:$E$300,$B27)+SUMIFS(Закрытые!$M$5:$M$300,Закрытые!$E$5:$E$300,$B27,Закрытые!$B$5:$B$300,"T-*"),8)))</f>
        <v/>
      </c>
      <c r="K27" s="240">
        <f>IF($B27="","",ROUND(SUMIFS(Закрытые!$N$5:$N$300,Закрытые!$E$5:$E$300,$B27,Закрытые!$B$5:$B$300,"T-*"),8))</f>
        <v/>
      </c>
      <c r="L27" s="177">
        <f>IF(K27="","",IF(SUMPRODUCT((Закрытые!$E$5:$E$300=$B27)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/SUMPRODUCT((Закрытые!$E$5:$E$300=$B27)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" s="177">
        <f>IF(OR(ROUND(N(C27)-N(F27),8)=0,1-N(Ввод!$E$17)/100&lt;=0),"",IF(N(C27)&gt;N(F27),(N(E27)-N(H27))/((N(C27)-N(F27))*(1-N(Ввод!$E$17)/100)),(N(H27)-N(E27))/((N(F27)-N(C27))*(1+N(Ввод!$E$17)/100))))</f>
        <v/>
      </c>
    </row>
    <row r="28" ht="22" customHeight="1">
      <c r="B28" s="320" t="n"/>
      <c r="C28" s="246">
        <f>IF(SUMIFS(Торговля!$F$5:$F$300,Торговля!$E$5:$E$300,$B28)+SUMIFS(Закрытые!$F$5:$F$300,Закрытые!$E$5:$E$300,$B28,Закрытые!$B$5:$B$300,"T-*")=0,"",SUMIFS(Торговля!$F$5:$F$300,Торговля!$E$5:$E$300,$B28)+SUMIFS(Закрытые!$F$5:$F$300,Закрытые!$E$5:$E$300,$B28,Закрытые!$B$5:$B$300,"T-*"))</f>
        <v/>
      </c>
      <c r="D28" s="183">
        <f>IF(C28="","",(SUMPRODUCT((Торговля!$E$5:$E$300=$B28)*Торговля!$F$5:$F$300*Торговля!$G$5:$G$300)+SUMPRODUCT((Закрытые!$E$5:$E$300=$B28)*(LEFT(Закрытые!$B$5:$B$300,2)="T-")*Закрытые!$F$5:$F$300*Закрытые!$G$5:$G$300))/C28)</f>
        <v/>
      </c>
      <c r="E28" s="247">
        <f>IF(C28="","",SUMIFS(Торговля!$H$5:$H$300,Торговля!$E$5:$E$300,$B28)+SUMIFS(Закрытые!$H$5:$H$300,Закрытые!$E$5:$E$300,$B28,Закрытые!$B$5:$B$300,"T-*"))</f>
        <v/>
      </c>
      <c r="F28" s="246">
        <f>IF(SUMIFS(Торговля!$I$5:$I$300,Торговля!$E$5:$E$300,$B28)+SUMIFS(Закрытые!$I$5:$I$300,Закрытые!$E$5:$E$300,$B28,Закрытые!$B$5:$B$300,"T-*")=0,"",SUMIFS(Торговля!$I$5:$I$300,Торговля!$E$5:$E$300,$B28)+SUMIFS(Закрытые!$I$5:$I$300,Закрытые!$E$5:$E$300,$B28,Закрытые!$B$5:$B$300,"T-*"))</f>
        <v/>
      </c>
      <c r="G28" s="183">
        <f>IF(F28="","",(SUMPRODUCT((Торговля!$E$5:$E$300=$B28)*Торговля!$I$5:$I$300*Торговля!$J$5:$J$300)+SUMPRODUCT((Закрытые!$E$5:$E$300=$B28)*(LEFT(Закрытые!$B$5:$B$300,2)="T-")*Закрытые!$I$5:$I$300*Закрытые!$J$5:$J$300))/F28)</f>
        <v/>
      </c>
      <c r="H28" s="247">
        <f>IF(F28="","",SUMIFS(Торговля!$K$5:$K$300,Торговля!$E$5:$E$300,$B28)+SUMIFS(Закрытые!$K$5:$K$300,Закрытые!$E$5:$E$300,$B28,Закрытые!$B$5:$B$300,"T-*"))</f>
        <v/>
      </c>
      <c r="I28" s="246">
        <f>IF($B28="","",IF(COUNTIFS(Торговля!$E$5:$E$300,$B28)+COUNTIFS(Закрытые!$E$5:$E$300,$B28,Закрытые!$B$5:$B$300,"T-*")=0,"",ROUND(SUMIFS(Торговля!$L$5:$L$300,Торговля!$E$5:$E$300,$B28)+SUMIFS(Закрытые!$L$5:$L$300,Закрытые!$E$5:$E$300,$B28,Закрытые!$B$5:$B$300,"T-*"),8)))</f>
        <v/>
      </c>
      <c r="J28" s="247">
        <f>IF($B28="","",IF(COUNTIFS(Торговля!$E$5:$E$300,$B28)+COUNTIFS(Закрытые!$E$5:$E$300,$B28,Закрытые!$B$5:$B$300,"T-*")=0,"",ROUND(SUMIFS(Торговля!$M$5:$M$300,Торговля!$E$5:$E$300,$B28)+SUMIFS(Закрытые!$M$5:$M$300,Закрытые!$E$5:$E$300,$B28,Закрытые!$B$5:$B$300,"T-*"),8)))</f>
        <v/>
      </c>
      <c r="K28" s="246">
        <f>IF($B28="","",ROUND(SUMIFS(Закрытые!$N$5:$N$300,Закрытые!$E$5:$E$300,$B28,Закрытые!$B$5:$B$300,"T-*"),8))</f>
        <v/>
      </c>
      <c r="L28" s="183">
        <f>IF(K28="","",IF(SUMPRODUCT((Закрытые!$E$5:$E$300=$B28)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/SUMPRODUCT((Закрытые!$E$5:$E$300=$B28)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" s="183">
        <f>IF(OR(ROUND(N(C28)-N(F28),8)=0,1-N(Ввод!$E$17)/100&lt;=0),"",IF(N(C28)&gt;N(F28),(N(E28)-N(H28))/((N(C28)-N(F28))*(1-N(Ввод!$E$17)/100)),(N(H28)-N(E28))/((N(F28)-N(C28))*(1+N(Ввод!$E$17)/100))))</f>
        <v/>
      </c>
    </row>
    <row r="29" ht="22" customHeight="1">
      <c r="B29" s="315" t="n"/>
      <c r="C29" s="240">
        <f>IF(SUMIFS(Торговля!$F$5:$F$300,Торговля!$E$5:$E$300,$B29)+SUMIFS(Закрытые!$F$5:$F$300,Закрытые!$E$5:$E$300,$B29,Закрытые!$B$5:$B$300,"T-*")=0,"",SUMIFS(Торговля!$F$5:$F$300,Торговля!$E$5:$E$300,$B29)+SUMIFS(Закрытые!$F$5:$F$300,Закрытые!$E$5:$E$300,$B29,Закрытые!$B$5:$B$300,"T-*"))</f>
        <v/>
      </c>
      <c r="D29" s="177">
        <f>IF(C29="","",(SUMPRODUCT((Торговля!$E$5:$E$300=$B29)*Торговля!$F$5:$F$300*Торговля!$G$5:$G$300)+SUMPRODUCT((Закрытые!$E$5:$E$300=$B29)*(LEFT(Закрытые!$B$5:$B$300,2)="T-")*Закрытые!$F$5:$F$300*Закрытые!$G$5:$G$300))/C29)</f>
        <v/>
      </c>
      <c r="E29" s="241">
        <f>IF(C29="","",SUMIFS(Торговля!$H$5:$H$300,Торговля!$E$5:$E$300,$B29)+SUMIFS(Закрытые!$H$5:$H$300,Закрытые!$E$5:$E$300,$B29,Закрытые!$B$5:$B$300,"T-*"))</f>
        <v/>
      </c>
      <c r="F29" s="240">
        <f>IF(SUMIFS(Торговля!$I$5:$I$300,Торговля!$E$5:$E$300,$B29)+SUMIFS(Закрытые!$I$5:$I$300,Закрытые!$E$5:$E$300,$B29,Закрытые!$B$5:$B$300,"T-*")=0,"",SUMIFS(Торговля!$I$5:$I$300,Торговля!$E$5:$E$300,$B29)+SUMIFS(Закрытые!$I$5:$I$300,Закрытые!$E$5:$E$300,$B29,Закрытые!$B$5:$B$300,"T-*"))</f>
        <v/>
      </c>
      <c r="G29" s="177">
        <f>IF(F29="","",(SUMPRODUCT((Торговля!$E$5:$E$300=$B29)*Торговля!$I$5:$I$300*Торговля!$J$5:$J$300)+SUMPRODUCT((Закрытые!$E$5:$E$300=$B29)*(LEFT(Закрытые!$B$5:$B$300,2)="T-")*Закрытые!$I$5:$I$300*Закрытые!$J$5:$J$300))/F29)</f>
        <v/>
      </c>
      <c r="H29" s="241">
        <f>IF(F29="","",SUMIFS(Торговля!$K$5:$K$300,Торговля!$E$5:$E$300,$B29)+SUMIFS(Закрытые!$K$5:$K$300,Закрытые!$E$5:$E$300,$B29,Закрытые!$B$5:$B$300,"T-*"))</f>
        <v/>
      </c>
      <c r="I29" s="240">
        <f>IF($B29="","",IF(COUNTIFS(Торговля!$E$5:$E$300,$B29)+COUNTIFS(Закрытые!$E$5:$E$300,$B29,Закрытые!$B$5:$B$300,"T-*")=0,"",ROUND(SUMIFS(Торговля!$L$5:$L$300,Торговля!$E$5:$E$300,$B29)+SUMIFS(Закрытые!$L$5:$L$300,Закрытые!$E$5:$E$300,$B29,Закрытые!$B$5:$B$300,"T-*"),8)))</f>
        <v/>
      </c>
      <c r="J29" s="241">
        <f>IF($B29="","",IF(COUNTIFS(Торговля!$E$5:$E$300,$B29)+COUNTIFS(Закрытые!$E$5:$E$300,$B29,Закрытые!$B$5:$B$300,"T-*")=0,"",ROUND(SUMIFS(Торговля!$M$5:$M$300,Торговля!$E$5:$E$300,$B29)+SUMIFS(Закрытые!$M$5:$M$300,Закрытые!$E$5:$E$300,$B29,Закрытые!$B$5:$B$300,"T-*"),8)))</f>
        <v/>
      </c>
      <c r="K29" s="240">
        <f>IF($B29="","",ROUND(SUMIFS(Закрытые!$N$5:$N$300,Закрытые!$E$5:$E$300,$B29,Закрытые!$B$5:$B$300,"T-*"),8))</f>
        <v/>
      </c>
      <c r="L29" s="177">
        <f>IF(K29="","",IF(SUMPRODUCT((Закрытые!$E$5:$E$300=$B29)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/SUMPRODUCT((Закрытые!$E$5:$E$300=$B29)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" s="177">
        <f>IF(OR(ROUND(N(C29)-N(F29),8)=0,1-N(Ввод!$E$17)/100&lt;=0),"",IF(N(C29)&gt;N(F29),(N(E29)-N(H29))/((N(C29)-N(F29))*(1-N(Ввод!$E$17)/100)),(N(H29)-N(E29))/((N(F29)-N(C29))*(1+N(Ввод!$E$17)/100))))</f>
        <v/>
      </c>
    </row>
    <row r="30" ht="22" customHeight="1">
      <c r="B30" s="320" t="n"/>
      <c r="C30" s="246">
        <f>IF(SUMIFS(Торговля!$F$5:$F$300,Торговля!$E$5:$E$300,$B30)+SUMIFS(Закрытые!$F$5:$F$300,Закрытые!$E$5:$E$300,$B30,Закрытые!$B$5:$B$300,"T-*")=0,"",SUMIFS(Торговля!$F$5:$F$300,Торговля!$E$5:$E$300,$B30)+SUMIFS(Закрытые!$F$5:$F$300,Закрытые!$E$5:$E$300,$B30,Закрытые!$B$5:$B$300,"T-*"))</f>
        <v/>
      </c>
      <c r="D30" s="183">
        <f>IF(C30="","",(SUMPRODUCT((Торговля!$E$5:$E$300=$B30)*Торговля!$F$5:$F$300*Торговля!$G$5:$G$300)+SUMPRODUCT((Закрытые!$E$5:$E$300=$B30)*(LEFT(Закрытые!$B$5:$B$300,2)="T-")*Закрытые!$F$5:$F$300*Закрытые!$G$5:$G$300))/C30)</f>
        <v/>
      </c>
      <c r="E30" s="247">
        <f>IF(C30="","",SUMIFS(Торговля!$H$5:$H$300,Торговля!$E$5:$E$300,$B30)+SUMIFS(Закрытые!$H$5:$H$300,Закрытые!$E$5:$E$300,$B30,Закрытые!$B$5:$B$300,"T-*"))</f>
        <v/>
      </c>
      <c r="F30" s="246">
        <f>IF(SUMIFS(Торговля!$I$5:$I$300,Торговля!$E$5:$E$300,$B30)+SUMIFS(Закрытые!$I$5:$I$300,Закрытые!$E$5:$E$300,$B30,Закрытые!$B$5:$B$300,"T-*")=0,"",SUMIFS(Торговля!$I$5:$I$300,Торговля!$E$5:$E$300,$B30)+SUMIFS(Закрытые!$I$5:$I$300,Закрытые!$E$5:$E$300,$B30,Закрытые!$B$5:$B$300,"T-*"))</f>
        <v/>
      </c>
      <c r="G30" s="183">
        <f>IF(F30="","",(SUMPRODUCT((Торговля!$E$5:$E$300=$B30)*Торговля!$I$5:$I$300*Торговля!$J$5:$J$300)+SUMPRODUCT((Закрытые!$E$5:$E$300=$B30)*(LEFT(Закрытые!$B$5:$B$300,2)="T-")*Закрытые!$I$5:$I$300*Закрытые!$J$5:$J$300))/F30)</f>
        <v/>
      </c>
      <c r="H30" s="247">
        <f>IF(F30="","",SUMIFS(Торговля!$K$5:$K$300,Торговля!$E$5:$E$300,$B30)+SUMIFS(Закрытые!$K$5:$K$300,Закрытые!$E$5:$E$300,$B30,Закрытые!$B$5:$B$300,"T-*"))</f>
        <v/>
      </c>
      <c r="I30" s="246">
        <f>IF($B30="","",IF(COUNTIFS(Торговля!$E$5:$E$300,$B30)+COUNTIFS(Закрытые!$E$5:$E$300,$B30,Закрытые!$B$5:$B$300,"T-*")=0,"",ROUND(SUMIFS(Торговля!$L$5:$L$300,Торговля!$E$5:$E$300,$B30)+SUMIFS(Закрытые!$L$5:$L$300,Закрытые!$E$5:$E$300,$B30,Закрытые!$B$5:$B$300,"T-*"),8)))</f>
        <v/>
      </c>
      <c r="J30" s="247">
        <f>IF($B30="","",IF(COUNTIFS(Торговля!$E$5:$E$300,$B30)+COUNTIFS(Закрытые!$E$5:$E$300,$B30,Закрытые!$B$5:$B$300,"T-*")=0,"",ROUND(SUMIFS(Торговля!$M$5:$M$300,Торговля!$E$5:$E$300,$B30)+SUMIFS(Закрытые!$M$5:$M$300,Закрытые!$E$5:$E$300,$B30,Закрытые!$B$5:$B$300,"T-*"),8)))</f>
        <v/>
      </c>
      <c r="K30" s="246">
        <f>IF($B30="","",ROUND(SUMIFS(Закрытые!$N$5:$N$300,Закрытые!$E$5:$E$300,$B30,Закрытые!$B$5:$B$300,"T-*"),8))</f>
        <v/>
      </c>
      <c r="L30" s="183">
        <f>IF(K30="","",IF(SUMPRODUCT((Закрытые!$E$5:$E$300=$B30)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30/SUMPRODUCT((Закрытые!$E$5:$E$300=$B30)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0" s="183">
        <f>IF(OR(ROUND(N(C30)-N(F30),8)=0,1-N(Ввод!$E$17)/100&lt;=0),"",IF(N(C30)&gt;N(F30),(N(E30)-N(H30))/((N(C30)-N(F30))*(1-N(Ввод!$E$17)/100)),(N(H30)-N(E30))/((N(F30)-N(C30))*(1+N(Ввод!$E$17)/100))))</f>
        <v/>
      </c>
    </row>
    <row r="31" ht="22" customHeight="1">
      <c r="B31" s="315" t="n"/>
      <c r="C31" s="240">
        <f>IF(SUMIFS(Торговля!$F$5:$F$300,Торговля!$E$5:$E$300,$B31)+SUMIFS(Закрытые!$F$5:$F$300,Закрытые!$E$5:$E$300,$B31,Закрытые!$B$5:$B$300,"T-*")=0,"",SUMIFS(Торговля!$F$5:$F$300,Торговля!$E$5:$E$300,$B31)+SUMIFS(Закрытые!$F$5:$F$300,Закрытые!$E$5:$E$300,$B31,Закрытые!$B$5:$B$300,"T-*"))</f>
        <v/>
      </c>
      <c r="D31" s="177">
        <f>IF(C31="","",(SUMPRODUCT((Торговля!$E$5:$E$300=$B31)*Торговля!$F$5:$F$300*Торговля!$G$5:$G$300)+SUMPRODUCT((Закрытые!$E$5:$E$300=$B31)*(LEFT(Закрытые!$B$5:$B$300,2)="T-")*Закрытые!$F$5:$F$300*Закрытые!$G$5:$G$300))/C31)</f>
        <v/>
      </c>
      <c r="E31" s="241">
        <f>IF(C31="","",SUMIFS(Торговля!$H$5:$H$300,Торговля!$E$5:$E$300,$B31)+SUMIFS(Закрытые!$H$5:$H$300,Закрытые!$E$5:$E$300,$B31,Закрытые!$B$5:$B$300,"T-*"))</f>
        <v/>
      </c>
      <c r="F31" s="240">
        <f>IF(SUMIFS(Торговля!$I$5:$I$300,Торговля!$E$5:$E$300,$B31)+SUMIFS(Закрытые!$I$5:$I$300,Закрытые!$E$5:$E$300,$B31,Закрытые!$B$5:$B$300,"T-*")=0,"",SUMIFS(Торговля!$I$5:$I$300,Торговля!$E$5:$E$300,$B31)+SUMIFS(Закрытые!$I$5:$I$300,Закрытые!$E$5:$E$300,$B31,Закрытые!$B$5:$B$300,"T-*"))</f>
        <v/>
      </c>
      <c r="G31" s="177">
        <f>IF(F31="","",(SUMPRODUCT((Торговля!$E$5:$E$300=$B31)*Торговля!$I$5:$I$300*Торговля!$J$5:$J$300)+SUMPRODUCT((Закрытые!$E$5:$E$300=$B31)*(LEFT(Закрытые!$B$5:$B$300,2)="T-")*Закрытые!$I$5:$I$300*Закрытые!$J$5:$J$300))/F31)</f>
        <v/>
      </c>
      <c r="H31" s="241">
        <f>IF(F31="","",SUMIFS(Торговля!$K$5:$K$300,Торговля!$E$5:$E$300,$B31)+SUMIFS(Закрытые!$K$5:$K$300,Закрытые!$E$5:$E$300,$B31,Закрытые!$B$5:$B$300,"T-*"))</f>
        <v/>
      </c>
      <c r="I31" s="240">
        <f>IF($B31="","",IF(COUNTIFS(Торговля!$E$5:$E$300,$B31)+COUNTIFS(Закрытые!$E$5:$E$300,$B31,Закрытые!$B$5:$B$300,"T-*")=0,"",ROUND(SUMIFS(Торговля!$L$5:$L$300,Торговля!$E$5:$E$300,$B31)+SUMIFS(Закрытые!$L$5:$L$300,Закрытые!$E$5:$E$300,$B31,Закрытые!$B$5:$B$300,"T-*"),8)))</f>
        <v/>
      </c>
      <c r="J31" s="241">
        <f>IF($B31="","",IF(COUNTIFS(Торговля!$E$5:$E$300,$B31)+COUNTIFS(Закрытые!$E$5:$E$300,$B31,Закрытые!$B$5:$B$300,"T-*")=0,"",ROUND(SUMIFS(Торговля!$M$5:$M$300,Торговля!$E$5:$E$300,$B31)+SUMIFS(Закрытые!$M$5:$M$300,Закрытые!$E$5:$E$300,$B31,Закрытые!$B$5:$B$300,"T-*"),8)))</f>
        <v/>
      </c>
      <c r="K31" s="240">
        <f>IF($B31="","",ROUND(SUMIFS(Закрытые!$N$5:$N$300,Закрытые!$E$5:$E$300,$B31,Закрытые!$B$5:$B$300,"T-*"),8))</f>
        <v/>
      </c>
      <c r="L31" s="177">
        <f>IF(K31="","",IF(SUMPRODUCT((Закрытые!$E$5:$E$300=$B31)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31/SUMPRODUCT((Закрытые!$E$5:$E$300=$B31)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1" s="177">
        <f>IF(OR(ROUND(N(C31)-N(F31),8)=0,1-N(Ввод!$E$17)/100&lt;=0),"",IF(N(C31)&gt;N(F31),(N(E31)-N(H31))/((N(C31)-N(F31))*(1-N(Ввод!$E$17)/100)),(N(H31)-N(E31))/((N(F31)-N(C31))*(1+N(Ввод!$E$17)/100))))</f>
        <v/>
      </c>
    </row>
    <row r="32" ht="22" customHeight="1">
      <c r="B32" s="320" t="n"/>
      <c r="C32" s="246">
        <f>IF(SUMIFS(Торговля!$F$5:$F$300,Торговля!$E$5:$E$300,$B32)+SUMIFS(Закрытые!$F$5:$F$300,Закрытые!$E$5:$E$300,$B32,Закрытые!$B$5:$B$300,"T-*")=0,"",SUMIFS(Торговля!$F$5:$F$300,Торговля!$E$5:$E$300,$B32)+SUMIFS(Закрытые!$F$5:$F$300,Закрытые!$E$5:$E$300,$B32,Закрытые!$B$5:$B$300,"T-*"))</f>
        <v/>
      </c>
      <c r="D32" s="183">
        <f>IF(C32="","",(SUMPRODUCT((Торговля!$E$5:$E$300=$B32)*Торговля!$F$5:$F$300*Торговля!$G$5:$G$300)+SUMPRODUCT((Закрытые!$E$5:$E$300=$B32)*(LEFT(Закрытые!$B$5:$B$300,2)="T-")*Закрытые!$F$5:$F$300*Закрытые!$G$5:$G$300))/C32)</f>
        <v/>
      </c>
      <c r="E32" s="247">
        <f>IF(C32="","",SUMIFS(Торговля!$H$5:$H$300,Торговля!$E$5:$E$300,$B32)+SUMIFS(Закрытые!$H$5:$H$300,Закрытые!$E$5:$E$300,$B32,Закрытые!$B$5:$B$300,"T-*"))</f>
        <v/>
      </c>
      <c r="F32" s="246">
        <f>IF(SUMIFS(Торговля!$I$5:$I$300,Торговля!$E$5:$E$300,$B32)+SUMIFS(Закрытые!$I$5:$I$300,Закрытые!$E$5:$E$300,$B32,Закрытые!$B$5:$B$300,"T-*")=0,"",SUMIFS(Торговля!$I$5:$I$300,Торговля!$E$5:$E$300,$B32)+SUMIFS(Закрытые!$I$5:$I$300,Закрытые!$E$5:$E$300,$B32,Закрытые!$B$5:$B$300,"T-*"))</f>
        <v/>
      </c>
      <c r="G32" s="183">
        <f>IF(F32="","",(SUMPRODUCT((Торговля!$E$5:$E$300=$B32)*Торговля!$I$5:$I$300*Торговля!$J$5:$J$300)+SUMPRODUCT((Закрытые!$E$5:$E$300=$B32)*(LEFT(Закрытые!$B$5:$B$300,2)="T-")*Закрытые!$I$5:$I$300*Закрытые!$J$5:$J$300))/F32)</f>
        <v/>
      </c>
      <c r="H32" s="247">
        <f>IF(F32="","",SUMIFS(Торговля!$K$5:$K$300,Торговля!$E$5:$E$300,$B32)+SUMIFS(Закрытые!$K$5:$K$300,Закрытые!$E$5:$E$300,$B32,Закрытые!$B$5:$B$300,"T-*"))</f>
        <v/>
      </c>
      <c r="I32" s="246">
        <f>IF($B32="","",IF(COUNTIFS(Торговля!$E$5:$E$300,$B32)+COUNTIFS(Закрытые!$E$5:$E$300,$B32,Закрытые!$B$5:$B$300,"T-*")=0,"",ROUND(SUMIFS(Торговля!$L$5:$L$300,Торговля!$E$5:$E$300,$B32)+SUMIFS(Закрытые!$L$5:$L$300,Закрытые!$E$5:$E$300,$B32,Закрытые!$B$5:$B$300,"T-*"),8)))</f>
        <v/>
      </c>
      <c r="J32" s="247">
        <f>IF($B32="","",IF(COUNTIFS(Торговля!$E$5:$E$300,$B32)+COUNTIFS(Закрытые!$E$5:$E$300,$B32,Закрытые!$B$5:$B$300,"T-*")=0,"",ROUND(SUMIFS(Торговля!$M$5:$M$300,Торговля!$E$5:$E$300,$B32)+SUMIFS(Закрытые!$M$5:$M$300,Закрытые!$E$5:$E$300,$B32,Закрытые!$B$5:$B$300,"T-*"),8)))</f>
        <v/>
      </c>
      <c r="K32" s="246">
        <f>IF($B32="","",ROUND(SUMIFS(Закрытые!$N$5:$N$300,Закрытые!$E$5:$E$300,$B32,Закрытые!$B$5:$B$300,"T-*"),8))</f>
        <v/>
      </c>
      <c r="L32" s="183">
        <f>IF(K32="","",IF(SUMPRODUCT((Закрытые!$E$5:$E$300=$B32)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32/SUMPRODUCT((Закрытые!$E$5:$E$300=$B32)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2" s="183">
        <f>IF(OR(ROUND(N(C32)-N(F32),8)=0,1-N(Ввод!$E$17)/100&lt;=0),"",IF(N(C32)&gt;N(F32),(N(E32)-N(H32))/((N(C32)-N(F32))*(1-N(Ввод!$E$17)/100)),(N(H32)-N(E32))/((N(F32)-N(C32))*(1+N(Ввод!$E$17)/100))))</f>
        <v/>
      </c>
    </row>
    <row r="33" ht="22" customHeight="1">
      <c r="B33" s="315" t="n"/>
      <c r="C33" s="240">
        <f>IF(SUMIFS(Торговля!$F$5:$F$300,Торговля!$E$5:$E$300,$B33)+SUMIFS(Закрытые!$F$5:$F$300,Закрытые!$E$5:$E$300,$B33,Закрытые!$B$5:$B$300,"T-*")=0,"",SUMIFS(Торговля!$F$5:$F$300,Торговля!$E$5:$E$300,$B33)+SUMIFS(Закрытые!$F$5:$F$300,Закрытые!$E$5:$E$300,$B33,Закрытые!$B$5:$B$300,"T-*"))</f>
        <v/>
      </c>
      <c r="D33" s="177">
        <f>IF(C33="","",(SUMPRODUCT((Торговля!$E$5:$E$300=$B33)*Торговля!$F$5:$F$300*Торговля!$G$5:$G$300)+SUMPRODUCT((Закрытые!$E$5:$E$300=$B33)*(LEFT(Закрытые!$B$5:$B$300,2)="T-")*Закрытые!$F$5:$F$300*Закрытые!$G$5:$G$300))/C33)</f>
        <v/>
      </c>
      <c r="E33" s="241">
        <f>IF(C33="","",SUMIFS(Торговля!$H$5:$H$300,Торговля!$E$5:$E$300,$B33)+SUMIFS(Закрытые!$H$5:$H$300,Закрытые!$E$5:$E$300,$B33,Закрытые!$B$5:$B$300,"T-*"))</f>
        <v/>
      </c>
      <c r="F33" s="240">
        <f>IF(SUMIFS(Торговля!$I$5:$I$300,Торговля!$E$5:$E$300,$B33)+SUMIFS(Закрытые!$I$5:$I$300,Закрытые!$E$5:$E$300,$B33,Закрытые!$B$5:$B$300,"T-*")=0,"",SUMIFS(Торговля!$I$5:$I$300,Торговля!$E$5:$E$300,$B33)+SUMIFS(Закрытые!$I$5:$I$300,Закрытые!$E$5:$E$300,$B33,Закрытые!$B$5:$B$300,"T-*"))</f>
        <v/>
      </c>
      <c r="G33" s="177">
        <f>IF(F33="","",(SUMPRODUCT((Торговля!$E$5:$E$300=$B33)*Торговля!$I$5:$I$300*Торговля!$J$5:$J$300)+SUMPRODUCT((Закрытые!$E$5:$E$300=$B33)*(LEFT(Закрытые!$B$5:$B$300,2)="T-")*Закрытые!$I$5:$I$300*Закрытые!$J$5:$J$300))/F33)</f>
        <v/>
      </c>
      <c r="H33" s="241">
        <f>IF(F33="","",SUMIFS(Торговля!$K$5:$K$300,Торговля!$E$5:$E$300,$B33)+SUMIFS(Закрытые!$K$5:$K$300,Закрытые!$E$5:$E$300,$B33,Закрытые!$B$5:$B$300,"T-*"))</f>
        <v/>
      </c>
      <c r="I33" s="240">
        <f>IF($B33="","",IF(COUNTIFS(Торговля!$E$5:$E$300,$B33)+COUNTIFS(Закрытые!$E$5:$E$300,$B33,Закрытые!$B$5:$B$300,"T-*")=0,"",ROUND(SUMIFS(Торговля!$L$5:$L$300,Торговля!$E$5:$E$300,$B33)+SUMIFS(Закрытые!$L$5:$L$300,Закрытые!$E$5:$E$300,$B33,Закрытые!$B$5:$B$300,"T-*"),8)))</f>
        <v/>
      </c>
      <c r="J33" s="241">
        <f>IF($B33="","",IF(COUNTIFS(Торговля!$E$5:$E$300,$B33)+COUNTIFS(Закрытые!$E$5:$E$300,$B33,Закрытые!$B$5:$B$300,"T-*")=0,"",ROUND(SUMIFS(Торговля!$M$5:$M$300,Торговля!$E$5:$E$300,$B33)+SUMIFS(Закрытые!$M$5:$M$300,Закрытые!$E$5:$E$300,$B33,Закрытые!$B$5:$B$300,"T-*"),8)))</f>
        <v/>
      </c>
      <c r="K33" s="240">
        <f>IF($B33="","",ROUND(SUMIFS(Закрытые!$N$5:$N$300,Закрытые!$E$5:$E$300,$B33,Закрытые!$B$5:$B$300,"T-*"),8))</f>
        <v/>
      </c>
      <c r="L33" s="177">
        <f>IF(K33="","",IF(SUMPRODUCT((Закрытые!$E$5:$E$300=$B33)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33/SUMPRODUCT((Закрытые!$E$5:$E$300=$B33)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3" s="177">
        <f>IF(OR(ROUND(N(C33)-N(F33),8)=0,1-N(Ввод!$E$17)/100&lt;=0),"",IF(N(C33)&gt;N(F33),(N(E33)-N(H33))/((N(C33)-N(F33))*(1-N(Ввод!$E$17)/100)),(N(H33)-N(E33))/((N(F33)-N(C33))*(1+N(Ввод!$E$17)/100))))</f>
        <v/>
      </c>
    </row>
    <row r="34" ht="22" customHeight="1">
      <c r="B34" s="320" t="n"/>
      <c r="C34" s="246">
        <f>IF(SUMIFS(Торговля!$F$5:$F$300,Торговля!$E$5:$E$300,$B34)+SUMIFS(Закрытые!$F$5:$F$300,Закрытые!$E$5:$E$300,$B34,Закрытые!$B$5:$B$300,"T-*")=0,"",SUMIFS(Торговля!$F$5:$F$300,Торговля!$E$5:$E$300,$B34)+SUMIFS(Закрытые!$F$5:$F$300,Закрытые!$E$5:$E$300,$B34,Закрытые!$B$5:$B$300,"T-*"))</f>
        <v/>
      </c>
      <c r="D34" s="183">
        <f>IF(C34="","",(SUMPRODUCT((Торговля!$E$5:$E$300=$B34)*Торговля!$F$5:$F$300*Торговля!$G$5:$G$300)+SUMPRODUCT((Закрытые!$E$5:$E$300=$B34)*(LEFT(Закрытые!$B$5:$B$300,2)="T-")*Закрытые!$F$5:$F$300*Закрытые!$G$5:$G$300))/C34)</f>
        <v/>
      </c>
      <c r="E34" s="247">
        <f>IF(C34="","",SUMIFS(Торговля!$H$5:$H$300,Торговля!$E$5:$E$300,$B34)+SUMIFS(Закрытые!$H$5:$H$300,Закрытые!$E$5:$E$300,$B34,Закрытые!$B$5:$B$300,"T-*"))</f>
        <v/>
      </c>
      <c r="F34" s="246">
        <f>IF(SUMIFS(Торговля!$I$5:$I$300,Торговля!$E$5:$E$300,$B34)+SUMIFS(Закрытые!$I$5:$I$300,Закрытые!$E$5:$E$300,$B34,Закрытые!$B$5:$B$300,"T-*")=0,"",SUMIFS(Торговля!$I$5:$I$300,Торговля!$E$5:$E$300,$B34)+SUMIFS(Закрытые!$I$5:$I$300,Закрытые!$E$5:$E$300,$B34,Закрытые!$B$5:$B$300,"T-*"))</f>
        <v/>
      </c>
      <c r="G34" s="183">
        <f>IF(F34="","",(SUMPRODUCT((Торговля!$E$5:$E$300=$B34)*Торговля!$I$5:$I$300*Торговля!$J$5:$J$300)+SUMPRODUCT((Закрытые!$E$5:$E$300=$B34)*(LEFT(Закрытые!$B$5:$B$300,2)="T-")*Закрытые!$I$5:$I$300*Закрытые!$J$5:$J$300))/F34)</f>
        <v/>
      </c>
      <c r="H34" s="247">
        <f>IF(F34="","",SUMIFS(Торговля!$K$5:$K$300,Торговля!$E$5:$E$300,$B34)+SUMIFS(Закрытые!$K$5:$K$300,Закрытые!$E$5:$E$300,$B34,Закрытые!$B$5:$B$300,"T-*"))</f>
        <v/>
      </c>
      <c r="I34" s="246">
        <f>IF($B34="","",IF(COUNTIFS(Торговля!$E$5:$E$300,$B34)+COUNTIFS(Закрытые!$E$5:$E$300,$B34,Закрытые!$B$5:$B$300,"T-*")=0,"",ROUND(SUMIFS(Торговля!$L$5:$L$300,Торговля!$E$5:$E$300,$B34)+SUMIFS(Закрытые!$L$5:$L$300,Закрытые!$E$5:$E$300,$B34,Закрытые!$B$5:$B$300,"T-*"),8)))</f>
        <v/>
      </c>
      <c r="J34" s="247">
        <f>IF($B34="","",IF(COUNTIFS(Торговля!$E$5:$E$300,$B34)+COUNTIFS(Закрытые!$E$5:$E$300,$B34,Закрытые!$B$5:$B$300,"T-*")=0,"",ROUND(SUMIFS(Торговля!$M$5:$M$300,Торговля!$E$5:$E$300,$B34)+SUMIFS(Закрытые!$M$5:$M$300,Закрытые!$E$5:$E$300,$B34,Закрытые!$B$5:$B$300,"T-*"),8)))</f>
        <v/>
      </c>
      <c r="K34" s="246">
        <f>IF($B34="","",ROUND(SUMIFS(Закрытые!$N$5:$N$300,Закрытые!$E$5:$E$300,$B34,Закрытые!$B$5:$B$300,"T-*"),8))</f>
        <v/>
      </c>
      <c r="L34" s="183">
        <f>IF(K34="","",IF(SUMPRODUCT((Закрытые!$E$5:$E$300=$B34)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34/SUMPRODUCT((Закрытые!$E$5:$E$300=$B34)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4" s="183">
        <f>IF(OR(ROUND(N(C34)-N(F34),8)=0,1-N(Ввод!$E$17)/100&lt;=0),"",IF(N(C34)&gt;N(F34),(N(E34)-N(H34))/((N(C34)-N(F34))*(1-N(Ввод!$E$17)/100)),(N(H34)-N(E34))/((N(F34)-N(C34))*(1+N(Ввод!$E$17)/100))))</f>
        <v/>
      </c>
    </row>
    <row r="35" ht="22" customHeight="1">
      <c r="B35" s="315" t="n"/>
      <c r="C35" s="240">
        <f>IF(SUMIFS(Торговля!$F$5:$F$300,Торговля!$E$5:$E$300,$B35)+SUMIFS(Закрытые!$F$5:$F$300,Закрытые!$E$5:$E$300,$B35,Закрытые!$B$5:$B$300,"T-*")=0,"",SUMIFS(Торговля!$F$5:$F$300,Торговля!$E$5:$E$300,$B35)+SUMIFS(Закрытые!$F$5:$F$300,Закрытые!$E$5:$E$300,$B35,Закрытые!$B$5:$B$300,"T-*"))</f>
        <v/>
      </c>
      <c r="D35" s="177">
        <f>IF(C35="","",(SUMPRODUCT((Торговля!$E$5:$E$300=$B35)*Торговля!$F$5:$F$300*Торговля!$G$5:$G$300)+SUMPRODUCT((Закрытые!$E$5:$E$300=$B35)*(LEFT(Закрытые!$B$5:$B$300,2)="T-")*Закрытые!$F$5:$F$300*Закрытые!$G$5:$G$300))/C35)</f>
        <v/>
      </c>
      <c r="E35" s="241">
        <f>IF(C35="","",SUMIFS(Торговля!$H$5:$H$300,Торговля!$E$5:$E$300,$B35)+SUMIFS(Закрытые!$H$5:$H$300,Закрытые!$E$5:$E$300,$B35,Закрытые!$B$5:$B$300,"T-*"))</f>
        <v/>
      </c>
      <c r="F35" s="240">
        <f>IF(SUMIFS(Торговля!$I$5:$I$300,Торговля!$E$5:$E$300,$B35)+SUMIFS(Закрытые!$I$5:$I$300,Закрытые!$E$5:$E$300,$B35,Закрытые!$B$5:$B$300,"T-*")=0,"",SUMIFS(Торговля!$I$5:$I$300,Торговля!$E$5:$E$300,$B35)+SUMIFS(Закрытые!$I$5:$I$300,Закрытые!$E$5:$E$300,$B35,Закрытые!$B$5:$B$300,"T-*"))</f>
        <v/>
      </c>
      <c r="G35" s="177">
        <f>IF(F35="","",(SUMPRODUCT((Торговля!$E$5:$E$300=$B35)*Торговля!$I$5:$I$300*Торговля!$J$5:$J$300)+SUMPRODUCT((Закрытые!$E$5:$E$300=$B35)*(LEFT(Закрытые!$B$5:$B$300,2)="T-")*Закрытые!$I$5:$I$300*Закрытые!$J$5:$J$300))/F35)</f>
        <v/>
      </c>
      <c r="H35" s="241">
        <f>IF(F35="","",SUMIFS(Торговля!$K$5:$K$300,Торговля!$E$5:$E$300,$B35)+SUMIFS(Закрытые!$K$5:$K$300,Закрытые!$E$5:$E$300,$B35,Закрытые!$B$5:$B$300,"T-*"))</f>
        <v/>
      </c>
      <c r="I35" s="240">
        <f>IF($B35="","",IF(COUNTIFS(Торговля!$E$5:$E$300,$B35)+COUNTIFS(Закрытые!$E$5:$E$300,$B35,Закрытые!$B$5:$B$300,"T-*")=0,"",ROUND(SUMIFS(Торговля!$L$5:$L$300,Торговля!$E$5:$E$300,$B35)+SUMIFS(Закрытые!$L$5:$L$300,Закрытые!$E$5:$E$300,$B35,Закрытые!$B$5:$B$300,"T-*"),8)))</f>
        <v/>
      </c>
      <c r="J35" s="241">
        <f>IF($B35="","",IF(COUNTIFS(Торговля!$E$5:$E$300,$B35)+COUNTIFS(Закрытые!$E$5:$E$300,$B35,Закрытые!$B$5:$B$300,"T-*")=0,"",ROUND(SUMIFS(Торговля!$M$5:$M$300,Торговля!$E$5:$E$300,$B35)+SUMIFS(Закрытые!$M$5:$M$300,Закрытые!$E$5:$E$300,$B35,Закрытые!$B$5:$B$300,"T-*"),8)))</f>
        <v/>
      </c>
      <c r="K35" s="240">
        <f>IF($B35="","",ROUND(SUMIFS(Закрытые!$N$5:$N$300,Закрытые!$E$5:$E$300,$B35,Закрытые!$B$5:$B$300,"T-*"),8))</f>
        <v/>
      </c>
      <c r="L35" s="177">
        <f>IF(K35="","",IF(SUMPRODUCT((Закрытые!$E$5:$E$300=$B35)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35/SUMPRODUCT((Закрытые!$E$5:$E$300=$B35)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5" s="177">
        <f>IF(OR(ROUND(N(C35)-N(F35),8)=0,1-N(Ввод!$E$17)/100&lt;=0),"",IF(N(C35)&gt;N(F35),(N(E35)-N(H35))/((N(C35)-N(F35))*(1-N(Ввод!$E$17)/100)),(N(H35)-N(E35))/((N(F35)-N(C35))*(1+N(Ввод!$E$17)/100))))</f>
        <v/>
      </c>
    </row>
    <row r="36" ht="22" customHeight="1">
      <c r="B36" s="320" t="n"/>
      <c r="C36" s="246">
        <f>IF(SUMIFS(Торговля!$F$5:$F$300,Торговля!$E$5:$E$300,$B36)+SUMIFS(Закрытые!$F$5:$F$300,Закрытые!$E$5:$E$300,$B36,Закрытые!$B$5:$B$300,"T-*")=0,"",SUMIFS(Торговля!$F$5:$F$300,Торговля!$E$5:$E$300,$B36)+SUMIFS(Закрытые!$F$5:$F$300,Закрытые!$E$5:$E$300,$B36,Закрытые!$B$5:$B$300,"T-*"))</f>
        <v/>
      </c>
      <c r="D36" s="183">
        <f>IF(C36="","",(SUMPRODUCT((Торговля!$E$5:$E$300=$B36)*Торговля!$F$5:$F$300*Торговля!$G$5:$G$300)+SUMPRODUCT((Закрытые!$E$5:$E$300=$B36)*(LEFT(Закрытые!$B$5:$B$300,2)="T-")*Закрытые!$F$5:$F$300*Закрытые!$G$5:$G$300))/C36)</f>
        <v/>
      </c>
      <c r="E36" s="247">
        <f>IF(C36="","",SUMIFS(Торговля!$H$5:$H$300,Торговля!$E$5:$E$300,$B36)+SUMIFS(Закрытые!$H$5:$H$300,Закрытые!$E$5:$E$300,$B36,Закрытые!$B$5:$B$300,"T-*"))</f>
        <v/>
      </c>
      <c r="F36" s="246">
        <f>IF(SUMIFS(Торговля!$I$5:$I$300,Торговля!$E$5:$E$300,$B36)+SUMIFS(Закрытые!$I$5:$I$300,Закрытые!$E$5:$E$300,$B36,Закрытые!$B$5:$B$300,"T-*")=0,"",SUMIFS(Торговля!$I$5:$I$300,Торговля!$E$5:$E$300,$B36)+SUMIFS(Закрытые!$I$5:$I$300,Закрытые!$E$5:$E$300,$B36,Закрытые!$B$5:$B$300,"T-*"))</f>
        <v/>
      </c>
      <c r="G36" s="183">
        <f>IF(F36="","",(SUMPRODUCT((Торговля!$E$5:$E$300=$B36)*Торговля!$I$5:$I$300*Торговля!$J$5:$J$300)+SUMPRODUCT((Закрытые!$E$5:$E$300=$B36)*(LEFT(Закрытые!$B$5:$B$300,2)="T-")*Закрытые!$I$5:$I$300*Закрытые!$J$5:$J$300))/F36)</f>
        <v/>
      </c>
      <c r="H36" s="247">
        <f>IF(F36="","",SUMIFS(Торговля!$K$5:$K$300,Торговля!$E$5:$E$300,$B36)+SUMIFS(Закрытые!$K$5:$K$300,Закрытые!$E$5:$E$300,$B36,Закрытые!$B$5:$B$300,"T-*"))</f>
        <v/>
      </c>
      <c r="I36" s="246">
        <f>IF($B36="","",IF(COUNTIFS(Торговля!$E$5:$E$300,$B36)+COUNTIFS(Закрытые!$E$5:$E$300,$B36,Закрытые!$B$5:$B$300,"T-*")=0,"",ROUND(SUMIFS(Торговля!$L$5:$L$300,Торговля!$E$5:$E$300,$B36)+SUMIFS(Закрытые!$L$5:$L$300,Закрытые!$E$5:$E$300,$B36,Закрытые!$B$5:$B$300,"T-*"),8)))</f>
        <v/>
      </c>
      <c r="J36" s="247">
        <f>IF($B36="","",IF(COUNTIFS(Торговля!$E$5:$E$300,$B36)+COUNTIFS(Закрытые!$E$5:$E$300,$B36,Закрытые!$B$5:$B$300,"T-*")=0,"",ROUND(SUMIFS(Торговля!$M$5:$M$300,Торговля!$E$5:$E$300,$B36)+SUMIFS(Закрытые!$M$5:$M$300,Закрытые!$E$5:$E$300,$B36,Закрытые!$B$5:$B$300,"T-*"),8)))</f>
        <v/>
      </c>
      <c r="K36" s="246">
        <f>IF($B36="","",ROUND(SUMIFS(Закрытые!$N$5:$N$300,Закрытые!$E$5:$E$300,$B36,Закрытые!$B$5:$B$300,"T-*"),8))</f>
        <v/>
      </c>
      <c r="L36" s="183">
        <f>IF(K36="","",IF(SUMPRODUCT((Закрытые!$E$5:$E$300=$B36)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36/SUMPRODUCT((Закрытые!$E$5:$E$300=$B36)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6" s="183">
        <f>IF(OR(ROUND(N(C36)-N(F36),8)=0,1-N(Ввод!$E$17)/100&lt;=0),"",IF(N(C36)&gt;N(F36),(N(E36)-N(H36))/((N(C36)-N(F36))*(1-N(Ввод!$E$17)/100)),(N(H36)-N(E36))/((N(F36)-N(C36))*(1+N(Ввод!$E$17)/100))))</f>
        <v/>
      </c>
    </row>
    <row r="37" ht="22" customHeight="1">
      <c r="B37" s="315" t="n"/>
      <c r="C37" s="240">
        <f>IF(SUMIFS(Торговля!$F$5:$F$300,Торговля!$E$5:$E$300,$B37)+SUMIFS(Закрытые!$F$5:$F$300,Закрытые!$E$5:$E$300,$B37,Закрытые!$B$5:$B$300,"T-*")=0,"",SUMIFS(Торговля!$F$5:$F$300,Торговля!$E$5:$E$300,$B37)+SUMIFS(Закрытые!$F$5:$F$300,Закрытые!$E$5:$E$300,$B37,Закрытые!$B$5:$B$300,"T-*"))</f>
        <v/>
      </c>
      <c r="D37" s="177">
        <f>IF(C37="","",(SUMPRODUCT((Торговля!$E$5:$E$300=$B37)*Торговля!$F$5:$F$300*Торговля!$G$5:$G$300)+SUMPRODUCT((Закрытые!$E$5:$E$300=$B37)*(LEFT(Закрытые!$B$5:$B$300,2)="T-")*Закрытые!$F$5:$F$300*Закрытые!$G$5:$G$300))/C37)</f>
        <v/>
      </c>
      <c r="E37" s="241">
        <f>IF(C37="","",SUMIFS(Торговля!$H$5:$H$300,Торговля!$E$5:$E$300,$B37)+SUMIFS(Закрытые!$H$5:$H$300,Закрытые!$E$5:$E$300,$B37,Закрытые!$B$5:$B$300,"T-*"))</f>
        <v/>
      </c>
      <c r="F37" s="240">
        <f>IF(SUMIFS(Торговля!$I$5:$I$300,Торговля!$E$5:$E$300,$B37)+SUMIFS(Закрытые!$I$5:$I$300,Закрытые!$E$5:$E$300,$B37,Закрытые!$B$5:$B$300,"T-*")=0,"",SUMIFS(Торговля!$I$5:$I$300,Торговля!$E$5:$E$300,$B37)+SUMIFS(Закрытые!$I$5:$I$300,Закрытые!$E$5:$E$300,$B37,Закрытые!$B$5:$B$300,"T-*"))</f>
        <v/>
      </c>
      <c r="G37" s="177">
        <f>IF(F37="","",(SUMPRODUCT((Торговля!$E$5:$E$300=$B37)*Торговля!$I$5:$I$300*Торговля!$J$5:$J$300)+SUMPRODUCT((Закрытые!$E$5:$E$300=$B37)*(LEFT(Закрытые!$B$5:$B$300,2)="T-")*Закрытые!$I$5:$I$300*Закрытые!$J$5:$J$300))/F37)</f>
        <v/>
      </c>
      <c r="H37" s="241">
        <f>IF(F37="","",SUMIFS(Торговля!$K$5:$K$300,Торговля!$E$5:$E$300,$B37)+SUMIFS(Закрытые!$K$5:$K$300,Закрытые!$E$5:$E$300,$B37,Закрытые!$B$5:$B$300,"T-*"))</f>
        <v/>
      </c>
      <c r="I37" s="240">
        <f>IF($B37="","",IF(COUNTIFS(Торговля!$E$5:$E$300,$B37)+COUNTIFS(Закрытые!$E$5:$E$300,$B37,Закрытые!$B$5:$B$300,"T-*")=0,"",ROUND(SUMIFS(Торговля!$L$5:$L$300,Торговля!$E$5:$E$300,$B37)+SUMIFS(Закрытые!$L$5:$L$300,Закрытые!$E$5:$E$300,$B37,Закрытые!$B$5:$B$300,"T-*"),8)))</f>
        <v/>
      </c>
      <c r="J37" s="241">
        <f>IF($B37="","",IF(COUNTIFS(Торговля!$E$5:$E$300,$B37)+COUNTIFS(Закрытые!$E$5:$E$300,$B37,Закрытые!$B$5:$B$300,"T-*")=0,"",ROUND(SUMIFS(Торговля!$M$5:$M$300,Торговля!$E$5:$E$300,$B37)+SUMIFS(Закрытые!$M$5:$M$300,Закрытые!$E$5:$E$300,$B37,Закрытые!$B$5:$B$300,"T-*"),8)))</f>
        <v/>
      </c>
      <c r="K37" s="240">
        <f>IF($B37="","",ROUND(SUMIFS(Закрытые!$N$5:$N$300,Закрытые!$E$5:$E$300,$B37,Закрытые!$B$5:$B$300,"T-*"),8))</f>
        <v/>
      </c>
      <c r="L37" s="177">
        <f>IF(K37="","",IF(SUMPRODUCT((Закрытые!$E$5:$E$300=$B37)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37/SUMPRODUCT((Закрытые!$E$5:$E$300=$B37)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7" s="177">
        <f>IF(OR(ROUND(N(C37)-N(F37),8)=0,1-N(Ввод!$E$17)/100&lt;=0),"",IF(N(C37)&gt;N(F37),(N(E37)-N(H37))/((N(C37)-N(F37))*(1-N(Ввод!$E$17)/100)),(N(H37)-N(E37))/((N(F37)-N(C37))*(1+N(Ввод!$E$17)/100))))</f>
        <v/>
      </c>
    </row>
    <row r="38" ht="22" customHeight="1">
      <c r="B38" s="320" t="n"/>
      <c r="C38" s="246">
        <f>IF(SUMIFS(Торговля!$F$5:$F$300,Торговля!$E$5:$E$300,$B38)+SUMIFS(Закрытые!$F$5:$F$300,Закрытые!$E$5:$E$300,$B38,Закрытые!$B$5:$B$300,"T-*")=0,"",SUMIFS(Торговля!$F$5:$F$300,Торговля!$E$5:$E$300,$B38)+SUMIFS(Закрытые!$F$5:$F$300,Закрытые!$E$5:$E$300,$B38,Закрытые!$B$5:$B$300,"T-*"))</f>
        <v/>
      </c>
      <c r="D38" s="183">
        <f>IF(C38="","",(SUMPRODUCT((Торговля!$E$5:$E$300=$B38)*Торговля!$F$5:$F$300*Торговля!$G$5:$G$300)+SUMPRODUCT((Закрытые!$E$5:$E$300=$B38)*(LEFT(Закрытые!$B$5:$B$300,2)="T-")*Закрытые!$F$5:$F$300*Закрытые!$G$5:$G$300))/C38)</f>
        <v/>
      </c>
      <c r="E38" s="247">
        <f>IF(C38="","",SUMIFS(Торговля!$H$5:$H$300,Торговля!$E$5:$E$300,$B38)+SUMIFS(Закрытые!$H$5:$H$300,Закрытые!$E$5:$E$300,$B38,Закрытые!$B$5:$B$300,"T-*"))</f>
        <v/>
      </c>
      <c r="F38" s="246">
        <f>IF(SUMIFS(Торговля!$I$5:$I$300,Торговля!$E$5:$E$300,$B38)+SUMIFS(Закрытые!$I$5:$I$300,Закрытые!$E$5:$E$300,$B38,Закрытые!$B$5:$B$300,"T-*")=0,"",SUMIFS(Торговля!$I$5:$I$300,Торговля!$E$5:$E$300,$B38)+SUMIFS(Закрытые!$I$5:$I$300,Закрытые!$E$5:$E$300,$B38,Закрытые!$B$5:$B$300,"T-*"))</f>
        <v/>
      </c>
      <c r="G38" s="183">
        <f>IF(F38="","",(SUMPRODUCT((Торговля!$E$5:$E$300=$B38)*Торговля!$I$5:$I$300*Торговля!$J$5:$J$300)+SUMPRODUCT((Закрытые!$E$5:$E$300=$B38)*(LEFT(Закрытые!$B$5:$B$300,2)="T-")*Закрытые!$I$5:$I$300*Закрытые!$J$5:$J$300))/F38)</f>
        <v/>
      </c>
      <c r="H38" s="247">
        <f>IF(F38="","",SUMIFS(Торговля!$K$5:$K$300,Торговля!$E$5:$E$300,$B38)+SUMIFS(Закрытые!$K$5:$K$300,Закрытые!$E$5:$E$300,$B38,Закрытые!$B$5:$B$300,"T-*"))</f>
        <v/>
      </c>
      <c r="I38" s="246">
        <f>IF($B38="","",IF(COUNTIFS(Торговля!$E$5:$E$300,$B38)+COUNTIFS(Закрытые!$E$5:$E$300,$B38,Закрытые!$B$5:$B$300,"T-*")=0,"",ROUND(SUMIFS(Торговля!$L$5:$L$300,Торговля!$E$5:$E$300,$B38)+SUMIFS(Закрытые!$L$5:$L$300,Закрытые!$E$5:$E$300,$B38,Закрытые!$B$5:$B$300,"T-*"),8)))</f>
        <v/>
      </c>
      <c r="J38" s="247">
        <f>IF($B38="","",IF(COUNTIFS(Торговля!$E$5:$E$300,$B38)+COUNTIFS(Закрытые!$E$5:$E$300,$B38,Закрытые!$B$5:$B$300,"T-*")=0,"",ROUND(SUMIFS(Торговля!$M$5:$M$300,Торговля!$E$5:$E$300,$B38)+SUMIFS(Закрытые!$M$5:$M$300,Закрытые!$E$5:$E$300,$B38,Закрытые!$B$5:$B$300,"T-*"),8)))</f>
        <v/>
      </c>
      <c r="K38" s="246">
        <f>IF($B38="","",ROUND(SUMIFS(Закрытые!$N$5:$N$300,Закрытые!$E$5:$E$300,$B38,Закрытые!$B$5:$B$300,"T-*"),8))</f>
        <v/>
      </c>
      <c r="L38" s="183">
        <f>IF(K38="","",IF(SUMPRODUCT((Закрытые!$E$5:$E$300=$B38)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38/SUMPRODUCT((Закрытые!$E$5:$E$300=$B38)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8" s="183">
        <f>IF(OR(ROUND(N(C38)-N(F38),8)=0,1-N(Ввод!$E$17)/100&lt;=0),"",IF(N(C38)&gt;N(F38),(N(E38)-N(H38))/((N(C38)-N(F38))*(1-N(Ввод!$E$17)/100)),(N(H38)-N(E38))/((N(F38)-N(C38))*(1+N(Ввод!$E$17)/100))))</f>
        <v/>
      </c>
    </row>
    <row r="39" ht="22" customHeight="1">
      <c r="B39" s="315" t="n"/>
      <c r="C39" s="240">
        <f>IF(SUMIFS(Торговля!$F$5:$F$300,Торговля!$E$5:$E$300,$B39)+SUMIFS(Закрытые!$F$5:$F$300,Закрытые!$E$5:$E$300,$B39,Закрытые!$B$5:$B$300,"T-*")=0,"",SUMIFS(Торговля!$F$5:$F$300,Торговля!$E$5:$E$300,$B39)+SUMIFS(Закрытые!$F$5:$F$300,Закрытые!$E$5:$E$300,$B39,Закрытые!$B$5:$B$300,"T-*"))</f>
        <v/>
      </c>
      <c r="D39" s="177">
        <f>IF(C39="","",(SUMPRODUCT((Торговля!$E$5:$E$300=$B39)*Торговля!$F$5:$F$300*Торговля!$G$5:$G$300)+SUMPRODUCT((Закрытые!$E$5:$E$300=$B39)*(LEFT(Закрытые!$B$5:$B$300,2)="T-")*Закрытые!$F$5:$F$300*Закрытые!$G$5:$G$300))/C39)</f>
        <v/>
      </c>
      <c r="E39" s="241">
        <f>IF(C39="","",SUMIFS(Торговля!$H$5:$H$300,Торговля!$E$5:$E$300,$B39)+SUMIFS(Закрытые!$H$5:$H$300,Закрытые!$E$5:$E$300,$B39,Закрытые!$B$5:$B$300,"T-*"))</f>
        <v/>
      </c>
      <c r="F39" s="240">
        <f>IF(SUMIFS(Торговля!$I$5:$I$300,Торговля!$E$5:$E$300,$B39)+SUMIFS(Закрытые!$I$5:$I$300,Закрытые!$E$5:$E$300,$B39,Закрытые!$B$5:$B$300,"T-*")=0,"",SUMIFS(Торговля!$I$5:$I$300,Торговля!$E$5:$E$300,$B39)+SUMIFS(Закрытые!$I$5:$I$300,Закрытые!$E$5:$E$300,$B39,Закрытые!$B$5:$B$300,"T-*"))</f>
        <v/>
      </c>
      <c r="G39" s="177">
        <f>IF(F39="","",(SUMPRODUCT((Торговля!$E$5:$E$300=$B39)*Торговля!$I$5:$I$300*Торговля!$J$5:$J$300)+SUMPRODUCT((Закрытые!$E$5:$E$300=$B39)*(LEFT(Закрытые!$B$5:$B$300,2)="T-")*Закрытые!$I$5:$I$300*Закрытые!$J$5:$J$300))/F39)</f>
        <v/>
      </c>
      <c r="H39" s="241">
        <f>IF(F39="","",SUMIFS(Торговля!$K$5:$K$300,Торговля!$E$5:$E$300,$B39)+SUMIFS(Закрытые!$K$5:$K$300,Закрытые!$E$5:$E$300,$B39,Закрытые!$B$5:$B$300,"T-*"))</f>
        <v/>
      </c>
      <c r="I39" s="240">
        <f>IF($B39="","",IF(COUNTIFS(Торговля!$E$5:$E$300,$B39)+COUNTIFS(Закрытые!$E$5:$E$300,$B39,Закрытые!$B$5:$B$300,"T-*")=0,"",ROUND(SUMIFS(Торговля!$L$5:$L$300,Торговля!$E$5:$E$300,$B39)+SUMIFS(Закрытые!$L$5:$L$300,Закрытые!$E$5:$E$300,$B39,Закрытые!$B$5:$B$300,"T-*"),8)))</f>
        <v/>
      </c>
      <c r="J39" s="241">
        <f>IF($B39="","",IF(COUNTIFS(Торговля!$E$5:$E$300,$B39)+COUNTIFS(Закрытые!$E$5:$E$300,$B39,Закрытые!$B$5:$B$300,"T-*")=0,"",ROUND(SUMIFS(Торговля!$M$5:$M$300,Торговля!$E$5:$E$300,$B39)+SUMIFS(Закрытые!$M$5:$M$300,Закрытые!$E$5:$E$300,$B39,Закрытые!$B$5:$B$300,"T-*"),8)))</f>
        <v/>
      </c>
      <c r="K39" s="240">
        <f>IF($B39="","",ROUND(SUMIFS(Закрытые!$N$5:$N$300,Закрытые!$E$5:$E$300,$B39,Закрытые!$B$5:$B$300,"T-*"),8))</f>
        <v/>
      </c>
      <c r="L39" s="177">
        <f>IF(K39="","",IF(SUMPRODUCT((Закрытые!$E$5:$E$300=$B39)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39/SUMPRODUCT((Закрытые!$E$5:$E$300=$B39)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9" s="177">
        <f>IF(OR(ROUND(N(C39)-N(F39),8)=0,1-N(Ввод!$E$17)/100&lt;=0),"",IF(N(C39)&gt;N(F39),(N(E39)-N(H39))/((N(C39)-N(F39))*(1-N(Ввод!$E$17)/100)),(N(H39)-N(E39))/((N(F39)-N(C39))*(1+N(Ввод!$E$17)/100))))</f>
        <v/>
      </c>
    </row>
    <row r="40" ht="22" customHeight="1">
      <c r="B40" s="320" t="n"/>
      <c r="C40" s="246">
        <f>IF(SUMIFS(Торговля!$F$5:$F$300,Торговля!$E$5:$E$300,$B40)+SUMIFS(Закрытые!$F$5:$F$300,Закрытые!$E$5:$E$300,$B40,Закрытые!$B$5:$B$300,"T-*")=0,"",SUMIFS(Торговля!$F$5:$F$300,Торговля!$E$5:$E$300,$B40)+SUMIFS(Закрытые!$F$5:$F$300,Закрытые!$E$5:$E$300,$B40,Закрытые!$B$5:$B$300,"T-*"))</f>
        <v/>
      </c>
      <c r="D40" s="183">
        <f>IF(C40="","",(SUMPRODUCT((Торговля!$E$5:$E$300=$B40)*Торговля!$F$5:$F$300*Торговля!$G$5:$G$300)+SUMPRODUCT((Закрытые!$E$5:$E$300=$B40)*(LEFT(Закрытые!$B$5:$B$300,2)="T-")*Закрытые!$F$5:$F$300*Закрытые!$G$5:$G$300))/C40)</f>
        <v/>
      </c>
      <c r="E40" s="247">
        <f>IF(C40="","",SUMIFS(Торговля!$H$5:$H$300,Торговля!$E$5:$E$300,$B40)+SUMIFS(Закрытые!$H$5:$H$300,Закрытые!$E$5:$E$300,$B40,Закрытые!$B$5:$B$300,"T-*"))</f>
        <v/>
      </c>
      <c r="F40" s="246">
        <f>IF(SUMIFS(Торговля!$I$5:$I$300,Торговля!$E$5:$E$300,$B40)+SUMIFS(Закрытые!$I$5:$I$300,Закрытые!$E$5:$E$300,$B40,Закрытые!$B$5:$B$300,"T-*")=0,"",SUMIFS(Торговля!$I$5:$I$300,Торговля!$E$5:$E$300,$B40)+SUMIFS(Закрытые!$I$5:$I$300,Закрытые!$E$5:$E$300,$B40,Закрытые!$B$5:$B$300,"T-*"))</f>
        <v/>
      </c>
      <c r="G40" s="183">
        <f>IF(F40="","",(SUMPRODUCT((Торговля!$E$5:$E$300=$B40)*Торговля!$I$5:$I$300*Торговля!$J$5:$J$300)+SUMPRODUCT((Закрытые!$E$5:$E$300=$B40)*(LEFT(Закрытые!$B$5:$B$300,2)="T-")*Закрытые!$I$5:$I$300*Закрытые!$J$5:$J$300))/F40)</f>
        <v/>
      </c>
      <c r="H40" s="247">
        <f>IF(F40="","",SUMIFS(Торговля!$K$5:$K$300,Торговля!$E$5:$E$300,$B40)+SUMIFS(Закрытые!$K$5:$K$300,Закрытые!$E$5:$E$300,$B40,Закрытые!$B$5:$B$300,"T-*"))</f>
        <v/>
      </c>
      <c r="I40" s="246">
        <f>IF($B40="","",IF(COUNTIFS(Торговля!$E$5:$E$300,$B40)+COUNTIFS(Закрытые!$E$5:$E$300,$B40,Закрытые!$B$5:$B$300,"T-*")=0,"",ROUND(SUMIFS(Торговля!$L$5:$L$300,Торговля!$E$5:$E$300,$B40)+SUMIFS(Закрытые!$L$5:$L$300,Закрытые!$E$5:$E$300,$B40,Закрытые!$B$5:$B$300,"T-*"),8)))</f>
        <v/>
      </c>
      <c r="J40" s="247">
        <f>IF($B40="","",IF(COUNTIFS(Торговля!$E$5:$E$300,$B40)+COUNTIFS(Закрытые!$E$5:$E$300,$B40,Закрытые!$B$5:$B$300,"T-*")=0,"",ROUND(SUMIFS(Торговля!$M$5:$M$300,Торговля!$E$5:$E$300,$B40)+SUMIFS(Закрытые!$M$5:$M$300,Закрытые!$E$5:$E$300,$B40,Закрытые!$B$5:$B$300,"T-*"),8)))</f>
        <v/>
      </c>
      <c r="K40" s="246">
        <f>IF($B40="","",ROUND(SUMIFS(Закрытые!$N$5:$N$300,Закрытые!$E$5:$E$300,$B40,Закрытые!$B$5:$B$300,"T-*"),8))</f>
        <v/>
      </c>
      <c r="L40" s="183">
        <f>IF(K40="","",IF(SUMPRODUCT((Закрытые!$E$5:$E$300=$B40)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40/SUMPRODUCT((Закрытые!$E$5:$E$300=$B40)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0" s="183">
        <f>IF(OR(ROUND(N(C40)-N(F40),8)=0,1-N(Ввод!$E$17)/100&lt;=0),"",IF(N(C40)&gt;N(F40),(N(E40)-N(H40))/((N(C40)-N(F40))*(1-N(Ввод!$E$17)/100)),(N(H40)-N(E40))/((N(F40)-N(C40))*(1+N(Ввод!$E$17)/100))))</f>
        <v/>
      </c>
    </row>
    <row r="41" ht="22" customHeight="1">
      <c r="B41" s="315" t="n"/>
      <c r="C41" s="240">
        <f>IF(SUMIFS(Торговля!$F$5:$F$300,Торговля!$E$5:$E$300,$B41)+SUMIFS(Закрытые!$F$5:$F$300,Закрытые!$E$5:$E$300,$B41,Закрытые!$B$5:$B$300,"T-*")=0,"",SUMIFS(Торговля!$F$5:$F$300,Торговля!$E$5:$E$300,$B41)+SUMIFS(Закрытые!$F$5:$F$300,Закрытые!$E$5:$E$300,$B41,Закрытые!$B$5:$B$300,"T-*"))</f>
        <v/>
      </c>
      <c r="D41" s="177">
        <f>IF(C41="","",(SUMPRODUCT((Торговля!$E$5:$E$300=$B41)*Торговля!$F$5:$F$300*Торговля!$G$5:$G$300)+SUMPRODUCT((Закрытые!$E$5:$E$300=$B41)*(LEFT(Закрытые!$B$5:$B$300,2)="T-")*Закрытые!$F$5:$F$300*Закрытые!$G$5:$G$300))/C41)</f>
        <v/>
      </c>
      <c r="E41" s="241">
        <f>IF(C41="","",SUMIFS(Торговля!$H$5:$H$300,Торговля!$E$5:$E$300,$B41)+SUMIFS(Закрытые!$H$5:$H$300,Закрытые!$E$5:$E$300,$B41,Закрытые!$B$5:$B$300,"T-*"))</f>
        <v/>
      </c>
      <c r="F41" s="240">
        <f>IF(SUMIFS(Торговля!$I$5:$I$300,Торговля!$E$5:$E$300,$B41)+SUMIFS(Закрытые!$I$5:$I$300,Закрытые!$E$5:$E$300,$B41,Закрытые!$B$5:$B$300,"T-*")=0,"",SUMIFS(Торговля!$I$5:$I$300,Торговля!$E$5:$E$300,$B41)+SUMIFS(Закрытые!$I$5:$I$300,Закрытые!$E$5:$E$300,$B41,Закрытые!$B$5:$B$300,"T-*"))</f>
        <v/>
      </c>
      <c r="G41" s="177">
        <f>IF(F41="","",(SUMPRODUCT((Торговля!$E$5:$E$300=$B41)*Торговля!$I$5:$I$300*Торговля!$J$5:$J$300)+SUMPRODUCT((Закрытые!$E$5:$E$300=$B41)*(LEFT(Закрытые!$B$5:$B$300,2)="T-")*Закрытые!$I$5:$I$300*Закрытые!$J$5:$J$300))/F41)</f>
        <v/>
      </c>
      <c r="H41" s="241">
        <f>IF(F41="","",SUMIFS(Торговля!$K$5:$K$300,Торговля!$E$5:$E$300,$B41)+SUMIFS(Закрытые!$K$5:$K$300,Закрытые!$E$5:$E$300,$B41,Закрытые!$B$5:$B$300,"T-*"))</f>
        <v/>
      </c>
      <c r="I41" s="240">
        <f>IF($B41="","",IF(COUNTIFS(Торговля!$E$5:$E$300,$B41)+COUNTIFS(Закрытые!$E$5:$E$300,$B41,Закрытые!$B$5:$B$300,"T-*")=0,"",ROUND(SUMIFS(Торговля!$L$5:$L$300,Торговля!$E$5:$E$300,$B41)+SUMIFS(Закрытые!$L$5:$L$300,Закрытые!$E$5:$E$300,$B41,Закрытые!$B$5:$B$300,"T-*"),8)))</f>
        <v/>
      </c>
      <c r="J41" s="241">
        <f>IF($B41="","",IF(COUNTIFS(Торговля!$E$5:$E$300,$B41)+COUNTIFS(Закрытые!$E$5:$E$300,$B41,Закрытые!$B$5:$B$300,"T-*")=0,"",ROUND(SUMIFS(Торговля!$M$5:$M$300,Торговля!$E$5:$E$300,$B41)+SUMIFS(Закрытые!$M$5:$M$300,Закрытые!$E$5:$E$300,$B41,Закрытые!$B$5:$B$300,"T-*"),8)))</f>
        <v/>
      </c>
      <c r="K41" s="240">
        <f>IF($B41="","",ROUND(SUMIFS(Закрытые!$N$5:$N$300,Закрытые!$E$5:$E$300,$B41,Закрытые!$B$5:$B$300,"T-*"),8))</f>
        <v/>
      </c>
      <c r="L41" s="177">
        <f>IF(K41="","",IF(SUMPRODUCT((Закрытые!$E$5:$E$300=$B41)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41/SUMPRODUCT((Закрытые!$E$5:$E$300=$B41)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1" s="177">
        <f>IF(OR(ROUND(N(C41)-N(F41),8)=0,1-N(Ввод!$E$17)/100&lt;=0),"",IF(N(C41)&gt;N(F41),(N(E41)-N(H41))/((N(C41)-N(F41))*(1-N(Ввод!$E$17)/100)),(N(H41)-N(E41))/((N(F41)-N(C41))*(1+N(Ввод!$E$17)/100))))</f>
        <v/>
      </c>
    </row>
    <row r="42" ht="22" customHeight="1">
      <c r="B42" s="320" t="n"/>
      <c r="C42" s="246">
        <f>IF(SUMIFS(Торговля!$F$5:$F$300,Торговля!$E$5:$E$300,$B42)+SUMIFS(Закрытые!$F$5:$F$300,Закрытые!$E$5:$E$300,$B42,Закрытые!$B$5:$B$300,"T-*")=0,"",SUMIFS(Торговля!$F$5:$F$300,Торговля!$E$5:$E$300,$B42)+SUMIFS(Закрытые!$F$5:$F$300,Закрытые!$E$5:$E$300,$B42,Закрытые!$B$5:$B$300,"T-*"))</f>
        <v/>
      </c>
      <c r="D42" s="183">
        <f>IF(C42="","",(SUMPRODUCT((Торговля!$E$5:$E$300=$B42)*Торговля!$F$5:$F$300*Торговля!$G$5:$G$300)+SUMPRODUCT((Закрытые!$E$5:$E$300=$B42)*(LEFT(Закрытые!$B$5:$B$300,2)="T-")*Закрытые!$F$5:$F$300*Закрытые!$G$5:$G$300))/C42)</f>
        <v/>
      </c>
      <c r="E42" s="247">
        <f>IF(C42="","",SUMIFS(Торговля!$H$5:$H$300,Торговля!$E$5:$E$300,$B42)+SUMIFS(Закрытые!$H$5:$H$300,Закрытые!$E$5:$E$300,$B42,Закрытые!$B$5:$B$300,"T-*"))</f>
        <v/>
      </c>
      <c r="F42" s="246">
        <f>IF(SUMIFS(Торговля!$I$5:$I$300,Торговля!$E$5:$E$300,$B42)+SUMIFS(Закрытые!$I$5:$I$300,Закрытые!$E$5:$E$300,$B42,Закрытые!$B$5:$B$300,"T-*")=0,"",SUMIFS(Торговля!$I$5:$I$300,Торговля!$E$5:$E$300,$B42)+SUMIFS(Закрытые!$I$5:$I$300,Закрытые!$E$5:$E$300,$B42,Закрытые!$B$5:$B$300,"T-*"))</f>
        <v/>
      </c>
      <c r="G42" s="183">
        <f>IF(F42="","",(SUMPRODUCT((Торговля!$E$5:$E$300=$B42)*Торговля!$I$5:$I$300*Торговля!$J$5:$J$300)+SUMPRODUCT((Закрытые!$E$5:$E$300=$B42)*(LEFT(Закрытые!$B$5:$B$300,2)="T-")*Закрытые!$I$5:$I$300*Закрытые!$J$5:$J$300))/F42)</f>
        <v/>
      </c>
      <c r="H42" s="247">
        <f>IF(F42="","",SUMIFS(Торговля!$K$5:$K$300,Торговля!$E$5:$E$300,$B42)+SUMIFS(Закрытые!$K$5:$K$300,Закрытые!$E$5:$E$300,$B42,Закрытые!$B$5:$B$300,"T-*"))</f>
        <v/>
      </c>
      <c r="I42" s="246">
        <f>IF($B42="","",IF(COUNTIFS(Торговля!$E$5:$E$300,$B42)+COUNTIFS(Закрытые!$E$5:$E$300,$B42,Закрытые!$B$5:$B$300,"T-*")=0,"",ROUND(SUMIFS(Торговля!$L$5:$L$300,Торговля!$E$5:$E$300,$B42)+SUMIFS(Закрытые!$L$5:$L$300,Закрытые!$E$5:$E$300,$B42,Закрытые!$B$5:$B$300,"T-*"),8)))</f>
        <v/>
      </c>
      <c r="J42" s="247">
        <f>IF($B42="","",IF(COUNTIFS(Торговля!$E$5:$E$300,$B42)+COUNTIFS(Закрытые!$E$5:$E$300,$B42,Закрытые!$B$5:$B$300,"T-*")=0,"",ROUND(SUMIFS(Торговля!$M$5:$M$300,Торговля!$E$5:$E$300,$B42)+SUMIFS(Закрытые!$M$5:$M$300,Закрытые!$E$5:$E$300,$B42,Закрытые!$B$5:$B$300,"T-*"),8)))</f>
        <v/>
      </c>
      <c r="K42" s="246">
        <f>IF($B42="","",ROUND(SUMIFS(Закрытые!$N$5:$N$300,Закрытые!$E$5:$E$300,$B42,Закрытые!$B$5:$B$300,"T-*"),8))</f>
        <v/>
      </c>
      <c r="L42" s="183">
        <f>IF(K42="","",IF(SUMPRODUCT((Закрытые!$E$5:$E$300=$B42)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42/SUMPRODUCT((Закрытые!$E$5:$E$300=$B42)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2" s="183">
        <f>IF(OR(ROUND(N(C42)-N(F42),8)=0,1-N(Ввод!$E$17)/100&lt;=0),"",IF(N(C42)&gt;N(F42),(N(E42)-N(H42))/((N(C42)-N(F42))*(1-N(Ввод!$E$17)/100)),(N(H42)-N(E42))/((N(F42)-N(C42))*(1+N(Ввод!$E$17)/100))))</f>
        <v/>
      </c>
    </row>
    <row r="43" ht="22" customHeight="1">
      <c r="B43" s="315" t="n"/>
      <c r="C43" s="240">
        <f>IF(SUMIFS(Торговля!$F$5:$F$300,Торговля!$E$5:$E$300,$B43)+SUMIFS(Закрытые!$F$5:$F$300,Закрытые!$E$5:$E$300,$B43,Закрытые!$B$5:$B$300,"T-*")=0,"",SUMIFS(Торговля!$F$5:$F$300,Торговля!$E$5:$E$300,$B43)+SUMIFS(Закрытые!$F$5:$F$300,Закрытые!$E$5:$E$300,$B43,Закрытые!$B$5:$B$300,"T-*"))</f>
        <v/>
      </c>
      <c r="D43" s="177">
        <f>IF(C43="","",(SUMPRODUCT((Торговля!$E$5:$E$300=$B43)*Торговля!$F$5:$F$300*Торговля!$G$5:$G$300)+SUMPRODUCT((Закрытые!$E$5:$E$300=$B43)*(LEFT(Закрытые!$B$5:$B$300,2)="T-")*Закрытые!$F$5:$F$300*Закрытые!$G$5:$G$300))/C43)</f>
        <v/>
      </c>
      <c r="E43" s="241">
        <f>IF(C43="","",SUMIFS(Торговля!$H$5:$H$300,Торговля!$E$5:$E$300,$B43)+SUMIFS(Закрытые!$H$5:$H$300,Закрытые!$E$5:$E$300,$B43,Закрытые!$B$5:$B$300,"T-*"))</f>
        <v/>
      </c>
      <c r="F43" s="240">
        <f>IF(SUMIFS(Торговля!$I$5:$I$300,Торговля!$E$5:$E$300,$B43)+SUMIFS(Закрытые!$I$5:$I$300,Закрытые!$E$5:$E$300,$B43,Закрытые!$B$5:$B$300,"T-*")=0,"",SUMIFS(Торговля!$I$5:$I$300,Торговля!$E$5:$E$300,$B43)+SUMIFS(Закрытые!$I$5:$I$300,Закрытые!$E$5:$E$300,$B43,Закрытые!$B$5:$B$300,"T-*"))</f>
        <v/>
      </c>
      <c r="G43" s="177">
        <f>IF(F43="","",(SUMPRODUCT((Торговля!$E$5:$E$300=$B43)*Торговля!$I$5:$I$300*Торговля!$J$5:$J$300)+SUMPRODUCT((Закрытые!$E$5:$E$300=$B43)*(LEFT(Закрытые!$B$5:$B$300,2)="T-")*Закрытые!$I$5:$I$300*Закрытые!$J$5:$J$300))/F43)</f>
        <v/>
      </c>
      <c r="H43" s="241">
        <f>IF(F43="","",SUMIFS(Торговля!$K$5:$K$300,Торговля!$E$5:$E$300,$B43)+SUMIFS(Закрытые!$K$5:$K$300,Закрытые!$E$5:$E$300,$B43,Закрытые!$B$5:$B$300,"T-*"))</f>
        <v/>
      </c>
      <c r="I43" s="240">
        <f>IF($B43="","",IF(COUNTIFS(Торговля!$E$5:$E$300,$B43)+COUNTIFS(Закрытые!$E$5:$E$300,$B43,Закрытые!$B$5:$B$300,"T-*")=0,"",ROUND(SUMIFS(Торговля!$L$5:$L$300,Торговля!$E$5:$E$300,$B43)+SUMIFS(Закрытые!$L$5:$L$300,Закрытые!$E$5:$E$300,$B43,Закрытые!$B$5:$B$300,"T-*"),8)))</f>
        <v/>
      </c>
      <c r="J43" s="241">
        <f>IF($B43="","",IF(COUNTIFS(Торговля!$E$5:$E$300,$B43)+COUNTIFS(Закрытые!$E$5:$E$300,$B43,Закрытые!$B$5:$B$300,"T-*")=0,"",ROUND(SUMIFS(Торговля!$M$5:$M$300,Торговля!$E$5:$E$300,$B43)+SUMIFS(Закрытые!$M$5:$M$300,Закрытые!$E$5:$E$300,$B43,Закрытые!$B$5:$B$300,"T-*"),8)))</f>
        <v/>
      </c>
      <c r="K43" s="240">
        <f>IF($B43="","",ROUND(SUMIFS(Закрытые!$N$5:$N$300,Закрытые!$E$5:$E$300,$B43,Закрытые!$B$5:$B$300,"T-*"),8))</f>
        <v/>
      </c>
      <c r="L43" s="177">
        <f>IF(K43="","",IF(SUMPRODUCT((Закрытые!$E$5:$E$300=$B43)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43/SUMPRODUCT((Закрытые!$E$5:$E$300=$B43)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3" s="177">
        <f>IF(OR(ROUND(N(C43)-N(F43),8)=0,1-N(Ввод!$E$17)/100&lt;=0),"",IF(N(C43)&gt;N(F43),(N(E43)-N(H43))/((N(C43)-N(F43))*(1-N(Ввод!$E$17)/100)),(N(H43)-N(E43))/((N(F43)-N(C43))*(1+N(Ввод!$E$17)/100))))</f>
        <v/>
      </c>
    </row>
    <row r="44" ht="22" customHeight="1">
      <c r="B44" s="320" t="n"/>
      <c r="C44" s="246">
        <f>IF(SUMIFS(Торговля!$F$5:$F$300,Торговля!$E$5:$E$300,$B44)+SUMIFS(Закрытые!$F$5:$F$300,Закрытые!$E$5:$E$300,$B44,Закрытые!$B$5:$B$300,"T-*")=0,"",SUMIFS(Торговля!$F$5:$F$300,Торговля!$E$5:$E$300,$B44)+SUMIFS(Закрытые!$F$5:$F$300,Закрытые!$E$5:$E$300,$B44,Закрытые!$B$5:$B$300,"T-*"))</f>
        <v/>
      </c>
      <c r="D44" s="183">
        <f>IF(C44="","",(SUMPRODUCT((Торговля!$E$5:$E$300=$B44)*Торговля!$F$5:$F$300*Торговля!$G$5:$G$300)+SUMPRODUCT((Закрытые!$E$5:$E$300=$B44)*(LEFT(Закрытые!$B$5:$B$300,2)="T-")*Закрытые!$F$5:$F$300*Закрытые!$G$5:$G$300))/C44)</f>
        <v/>
      </c>
      <c r="E44" s="247">
        <f>IF(C44="","",SUMIFS(Торговля!$H$5:$H$300,Торговля!$E$5:$E$300,$B44)+SUMIFS(Закрытые!$H$5:$H$300,Закрытые!$E$5:$E$300,$B44,Закрытые!$B$5:$B$300,"T-*"))</f>
        <v/>
      </c>
      <c r="F44" s="246">
        <f>IF(SUMIFS(Торговля!$I$5:$I$300,Торговля!$E$5:$E$300,$B44)+SUMIFS(Закрытые!$I$5:$I$300,Закрытые!$E$5:$E$300,$B44,Закрытые!$B$5:$B$300,"T-*")=0,"",SUMIFS(Торговля!$I$5:$I$300,Торговля!$E$5:$E$300,$B44)+SUMIFS(Закрытые!$I$5:$I$300,Закрытые!$E$5:$E$300,$B44,Закрытые!$B$5:$B$300,"T-*"))</f>
        <v/>
      </c>
      <c r="G44" s="183">
        <f>IF(F44="","",(SUMPRODUCT((Торговля!$E$5:$E$300=$B44)*Торговля!$I$5:$I$300*Торговля!$J$5:$J$300)+SUMPRODUCT((Закрытые!$E$5:$E$300=$B44)*(LEFT(Закрытые!$B$5:$B$300,2)="T-")*Закрытые!$I$5:$I$300*Закрытые!$J$5:$J$300))/F44)</f>
        <v/>
      </c>
      <c r="H44" s="247">
        <f>IF(F44="","",SUMIFS(Торговля!$K$5:$K$300,Торговля!$E$5:$E$300,$B44)+SUMIFS(Закрытые!$K$5:$K$300,Закрытые!$E$5:$E$300,$B44,Закрытые!$B$5:$B$300,"T-*"))</f>
        <v/>
      </c>
      <c r="I44" s="246">
        <f>IF($B44="","",IF(COUNTIFS(Торговля!$E$5:$E$300,$B44)+COUNTIFS(Закрытые!$E$5:$E$300,$B44,Закрытые!$B$5:$B$300,"T-*")=0,"",ROUND(SUMIFS(Торговля!$L$5:$L$300,Торговля!$E$5:$E$300,$B44)+SUMIFS(Закрытые!$L$5:$L$300,Закрытые!$E$5:$E$300,$B44,Закрытые!$B$5:$B$300,"T-*"),8)))</f>
        <v/>
      </c>
      <c r="J44" s="247">
        <f>IF($B44="","",IF(COUNTIFS(Торговля!$E$5:$E$300,$B44)+COUNTIFS(Закрытые!$E$5:$E$300,$B44,Закрытые!$B$5:$B$300,"T-*")=0,"",ROUND(SUMIFS(Торговля!$M$5:$M$300,Торговля!$E$5:$E$300,$B44)+SUMIFS(Закрытые!$M$5:$M$300,Закрытые!$E$5:$E$300,$B44,Закрытые!$B$5:$B$300,"T-*"),8)))</f>
        <v/>
      </c>
      <c r="K44" s="246">
        <f>IF($B44="","",ROUND(SUMIFS(Закрытые!$N$5:$N$300,Закрытые!$E$5:$E$300,$B44,Закрытые!$B$5:$B$300,"T-*"),8))</f>
        <v/>
      </c>
      <c r="L44" s="183">
        <f>IF(K44="","",IF(SUMPRODUCT((Закрытые!$E$5:$E$300=$B44)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44/SUMPRODUCT((Закрытые!$E$5:$E$300=$B44)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4" s="183">
        <f>IF(OR(ROUND(N(C44)-N(F44),8)=0,1-N(Ввод!$E$17)/100&lt;=0),"",IF(N(C44)&gt;N(F44),(N(E44)-N(H44))/((N(C44)-N(F44))*(1-N(Ввод!$E$17)/100)),(N(H44)-N(E44))/((N(F44)-N(C44))*(1+N(Ввод!$E$17)/100))))</f>
        <v/>
      </c>
    </row>
    <row r="45" ht="22" customHeight="1">
      <c r="B45" s="315" t="n"/>
      <c r="C45" s="240">
        <f>IF(SUMIFS(Торговля!$F$5:$F$300,Торговля!$E$5:$E$300,$B45)+SUMIFS(Закрытые!$F$5:$F$300,Закрытые!$E$5:$E$300,$B45,Закрытые!$B$5:$B$300,"T-*")=0,"",SUMIFS(Торговля!$F$5:$F$300,Торговля!$E$5:$E$300,$B45)+SUMIFS(Закрытые!$F$5:$F$300,Закрытые!$E$5:$E$300,$B45,Закрытые!$B$5:$B$300,"T-*"))</f>
        <v/>
      </c>
      <c r="D45" s="177">
        <f>IF(C45="","",(SUMPRODUCT((Торговля!$E$5:$E$300=$B45)*Торговля!$F$5:$F$300*Торговля!$G$5:$G$300)+SUMPRODUCT((Закрытые!$E$5:$E$300=$B45)*(LEFT(Закрытые!$B$5:$B$300,2)="T-")*Закрытые!$F$5:$F$300*Закрытые!$G$5:$G$300))/C45)</f>
        <v/>
      </c>
      <c r="E45" s="241">
        <f>IF(C45="","",SUMIFS(Торговля!$H$5:$H$300,Торговля!$E$5:$E$300,$B45)+SUMIFS(Закрытые!$H$5:$H$300,Закрытые!$E$5:$E$300,$B45,Закрытые!$B$5:$B$300,"T-*"))</f>
        <v/>
      </c>
      <c r="F45" s="240">
        <f>IF(SUMIFS(Торговля!$I$5:$I$300,Торговля!$E$5:$E$300,$B45)+SUMIFS(Закрытые!$I$5:$I$300,Закрытые!$E$5:$E$300,$B45,Закрытые!$B$5:$B$300,"T-*")=0,"",SUMIFS(Торговля!$I$5:$I$300,Торговля!$E$5:$E$300,$B45)+SUMIFS(Закрытые!$I$5:$I$300,Закрытые!$E$5:$E$300,$B45,Закрытые!$B$5:$B$300,"T-*"))</f>
        <v/>
      </c>
      <c r="G45" s="177">
        <f>IF(F45="","",(SUMPRODUCT((Торговля!$E$5:$E$300=$B45)*Торговля!$I$5:$I$300*Торговля!$J$5:$J$300)+SUMPRODUCT((Закрытые!$E$5:$E$300=$B45)*(LEFT(Закрытые!$B$5:$B$300,2)="T-")*Закрытые!$I$5:$I$300*Закрытые!$J$5:$J$300))/F45)</f>
        <v/>
      </c>
      <c r="H45" s="241">
        <f>IF(F45="","",SUMIFS(Торговля!$K$5:$K$300,Торговля!$E$5:$E$300,$B45)+SUMIFS(Закрытые!$K$5:$K$300,Закрытые!$E$5:$E$300,$B45,Закрытые!$B$5:$B$300,"T-*"))</f>
        <v/>
      </c>
      <c r="I45" s="240">
        <f>IF($B45="","",IF(COUNTIFS(Торговля!$E$5:$E$300,$B45)+COUNTIFS(Закрытые!$E$5:$E$300,$B45,Закрытые!$B$5:$B$300,"T-*")=0,"",ROUND(SUMIFS(Торговля!$L$5:$L$300,Торговля!$E$5:$E$300,$B45)+SUMIFS(Закрытые!$L$5:$L$300,Закрытые!$E$5:$E$300,$B45,Закрытые!$B$5:$B$300,"T-*"),8)))</f>
        <v/>
      </c>
      <c r="J45" s="241">
        <f>IF($B45="","",IF(COUNTIFS(Торговля!$E$5:$E$300,$B45)+COUNTIFS(Закрытые!$E$5:$E$300,$B45,Закрытые!$B$5:$B$300,"T-*")=0,"",ROUND(SUMIFS(Торговля!$M$5:$M$300,Торговля!$E$5:$E$300,$B45)+SUMIFS(Закрытые!$M$5:$M$300,Закрытые!$E$5:$E$300,$B45,Закрытые!$B$5:$B$300,"T-*"),8)))</f>
        <v/>
      </c>
      <c r="K45" s="240">
        <f>IF($B45="","",ROUND(SUMIFS(Закрытые!$N$5:$N$300,Закрытые!$E$5:$E$300,$B45,Закрытые!$B$5:$B$300,"T-*"),8))</f>
        <v/>
      </c>
      <c r="L45" s="177">
        <f>IF(K45="","",IF(SUMPRODUCT((Закрытые!$E$5:$E$300=$B45)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45/SUMPRODUCT((Закрытые!$E$5:$E$300=$B45)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5" s="177">
        <f>IF(OR(ROUND(N(C45)-N(F45),8)=0,1-N(Ввод!$E$17)/100&lt;=0),"",IF(N(C45)&gt;N(F45),(N(E45)-N(H45))/((N(C45)-N(F45))*(1-N(Ввод!$E$17)/100)),(N(H45)-N(E45))/((N(F45)-N(C45))*(1+N(Ввод!$E$17)/100))))</f>
        <v/>
      </c>
    </row>
    <row r="46" ht="22" customHeight="1">
      <c r="B46" s="320" t="n"/>
      <c r="C46" s="246">
        <f>IF(SUMIFS(Торговля!$F$5:$F$300,Торговля!$E$5:$E$300,$B46)+SUMIFS(Закрытые!$F$5:$F$300,Закрытые!$E$5:$E$300,$B46,Закрытые!$B$5:$B$300,"T-*")=0,"",SUMIFS(Торговля!$F$5:$F$300,Торговля!$E$5:$E$300,$B46)+SUMIFS(Закрытые!$F$5:$F$300,Закрытые!$E$5:$E$300,$B46,Закрытые!$B$5:$B$300,"T-*"))</f>
        <v/>
      </c>
      <c r="D46" s="183">
        <f>IF(C46="","",(SUMPRODUCT((Торговля!$E$5:$E$300=$B46)*Торговля!$F$5:$F$300*Торговля!$G$5:$G$300)+SUMPRODUCT((Закрытые!$E$5:$E$300=$B46)*(LEFT(Закрытые!$B$5:$B$300,2)="T-")*Закрытые!$F$5:$F$300*Закрытые!$G$5:$G$300))/C46)</f>
        <v/>
      </c>
      <c r="E46" s="247">
        <f>IF(C46="","",SUMIFS(Торговля!$H$5:$H$300,Торговля!$E$5:$E$300,$B46)+SUMIFS(Закрытые!$H$5:$H$300,Закрытые!$E$5:$E$300,$B46,Закрытые!$B$5:$B$300,"T-*"))</f>
        <v/>
      </c>
      <c r="F46" s="246">
        <f>IF(SUMIFS(Торговля!$I$5:$I$300,Торговля!$E$5:$E$300,$B46)+SUMIFS(Закрытые!$I$5:$I$300,Закрытые!$E$5:$E$300,$B46,Закрытые!$B$5:$B$300,"T-*")=0,"",SUMIFS(Торговля!$I$5:$I$300,Торговля!$E$5:$E$300,$B46)+SUMIFS(Закрытые!$I$5:$I$300,Закрытые!$E$5:$E$300,$B46,Закрытые!$B$5:$B$300,"T-*"))</f>
        <v/>
      </c>
      <c r="G46" s="183">
        <f>IF(F46="","",(SUMPRODUCT((Торговля!$E$5:$E$300=$B46)*Торговля!$I$5:$I$300*Торговля!$J$5:$J$300)+SUMPRODUCT((Закрытые!$E$5:$E$300=$B46)*(LEFT(Закрытые!$B$5:$B$300,2)="T-")*Закрытые!$I$5:$I$300*Закрытые!$J$5:$J$300))/F46)</f>
        <v/>
      </c>
      <c r="H46" s="247">
        <f>IF(F46="","",SUMIFS(Торговля!$K$5:$K$300,Торговля!$E$5:$E$300,$B46)+SUMIFS(Закрытые!$K$5:$K$300,Закрытые!$E$5:$E$300,$B46,Закрытые!$B$5:$B$300,"T-*"))</f>
        <v/>
      </c>
      <c r="I46" s="246">
        <f>IF($B46="","",IF(COUNTIFS(Торговля!$E$5:$E$300,$B46)+COUNTIFS(Закрытые!$E$5:$E$300,$B46,Закрытые!$B$5:$B$300,"T-*")=0,"",ROUND(SUMIFS(Торговля!$L$5:$L$300,Торговля!$E$5:$E$300,$B46)+SUMIFS(Закрытые!$L$5:$L$300,Закрытые!$E$5:$E$300,$B46,Закрытые!$B$5:$B$300,"T-*"),8)))</f>
        <v/>
      </c>
      <c r="J46" s="247">
        <f>IF($B46="","",IF(COUNTIFS(Торговля!$E$5:$E$300,$B46)+COUNTIFS(Закрытые!$E$5:$E$300,$B46,Закрытые!$B$5:$B$300,"T-*")=0,"",ROUND(SUMIFS(Торговля!$M$5:$M$300,Торговля!$E$5:$E$300,$B46)+SUMIFS(Закрытые!$M$5:$M$300,Закрытые!$E$5:$E$300,$B46,Закрытые!$B$5:$B$300,"T-*"),8)))</f>
        <v/>
      </c>
      <c r="K46" s="246">
        <f>IF($B46="","",ROUND(SUMIFS(Закрытые!$N$5:$N$300,Закрытые!$E$5:$E$300,$B46,Закрытые!$B$5:$B$300,"T-*"),8))</f>
        <v/>
      </c>
      <c r="L46" s="183">
        <f>IF(K46="","",IF(SUMPRODUCT((Закрытые!$E$5:$E$300=$B46)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46/SUMPRODUCT((Закрытые!$E$5:$E$300=$B46)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6" s="183">
        <f>IF(OR(ROUND(N(C46)-N(F46),8)=0,1-N(Ввод!$E$17)/100&lt;=0),"",IF(N(C46)&gt;N(F46),(N(E46)-N(H46))/((N(C46)-N(F46))*(1-N(Ввод!$E$17)/100)),(N(H46)-N(E46))/((N(F46)-N(C46))*(1+N(Ввод!$E$17)/100))))</f>
        <v/>
      </c>
    </row>
    <row r="47" ht="22" customHeight="1">
      <c r="B47" s="315" t="n"/>
      <c r="C47" s="240">
        <f>IF(SUMIFS(Торговля!$F$5:$F$300,Торговля!$E$5:$E$300,$B47)+SUMIFS(Закрытые!$F$5:$F$300,Закрытые!$E$5:$E$300,$B47,Закрытые!$B$5:$B$300,"T-*")=0,"",SUMIFS(Торговля!$F$5:$F$300,Торговля!$E$5:$E$300,$B47)+SUMIFS(Закрытые!$F$5:$F$300,Закрытые!$E$5:$E$300,$B47,Закрытые!$B$5:$B$300,"T-*"))</f>
        <v/>
      </c>
      <c r="D47" s="177">
        <f>IF(C47="","",(SUMPRODUCT((Торговля!$E$5:$E$300=$B47)*Торговля!$F$5:$F$300*Торговля!$G$5:$G$300)+SUMPRODUCT((Закрытые!$E$5:$E$300=$B47)*(LEFT(Закрытые!$B$5:$B$300,2)="T-")*Закрытые!$F$5:$F$300*Закрытые!$G$5:$G$300))/C47)</f>
        <v/>
      </c>
      <c r="E47" s="241">
        <f>IF(C47="","",SUMIFS(Торговля!$H$5:$H$300,Торговля!$E$5:$E$300,$B47)+SUMIFS(Закрытые!$H$5:$H$300,Закрытые!$E$5:$E$300,$B47,Закрытые!$B$5:$B$300,"T-*"))</f>
        <v/>
      </c>
      <c r="F47" s="240">
        <f>IF(SUMIFS(Торговля!$I$5:$I$300,Торговля!$E$5:$E$300,$B47)+SUMIFS(Закрытые!$I$5:$I$300,Закрытые!$E$5:$E$300,$B47,Закрытые!$B$5:$B$300,"T-*")=0,"",SUMIFS(Торговля!$I$5:$I$300,Торговля!$E$5:$E$300,$B47)+SUMIFS(Закрытые!$I$5:$I$300,Закрытые!$E$5:$E$300,$B47,Закрытые!$B$5:$B$300,"T-*"))</f>
        <v/>
      </c>
      <c r="G47" s="177">
        <f>IF(F47="","",(SUMPRODUCT((Торговля!$E$5:$E$300=$B47)*Торговля!$I$5:$I$300*Торговля!$J$5:$J$300)+SUMPRODUCT((Закрытые!$E$5:$E$300=$B47)*(LEFT(Закрытые!$B$5:$B$300,2)="T-")*Закрытые!$I$5:$I$300*Закрытые!$J$5:$J$300))/F47)</f>
        <v/>
      </c>
      <c r="H47" s="241">
        <f>IF(F47="","",SUMIFS(Торговля!$K$5:$K$300,Торговля!$E$5:$E$300,$B47)+SUMIFS(Закрытые!$K$5:$K$300,Закрытые!$E$5:$E$300,$B47,Закрытые!$B$5:$B$300,"T-*"))</f>
        <v/>
      </c>
      <c r="I47" s="240">
        <f>IF($B47="","",IF(COUNTIFS(Торговля!$E$5:$E$300,$B47)+COUNTIFS(Закрытые!$E$5:$E$300,$B47,Закрытые!$B$5:$B$300,"T-*")=0,"",ROUND(SUMIFS(Торговля!$L$5:$L$300,Торговля!$E$5:$E$300,$B47)+SUMIFS(Закрытые!$L$5:$L$300,Закрытые!$E$5:$E$300,$B47,Закрытые!$B$5:$B$300,"T-*"),8)))</f>
        <v/>
      </c>
      <c r="J47" s="241">
        <f>IF($B47="","",IF(COUNTIFS(Торговля!$E$5:$E$300,$B47)+COUNTIFS(Закрытые!$E$5:$E$300,$B47,Закрытые!$B$5:$B$300,"T-*")=0,"",ROUND(SUMIFS(Торговля!$M$5:$M$300,Торговля!$E$5:$E$300,$B47)+SUMIFS(Закрытые!$M$5:$M$300,Закрытые!$E$5:$E$300,$B47,Закрытые!$B$5:$B$300,"T-*"),8)))</f>
        <v/>
      </c>
      <c r="K47" s="240">
        <f>IF($B47="","",ROUND(SUMIFS(Закрытые!$N$5:$N$300,Закрытые!$E$5:$E$300,$B47,Закрытые!$B$5:$B$300,"T-*"),8))</f>
        <v/>
      </c>
      <c r="L47" s="177">
        <f>IF(K47="","",IF(SUMPRODUCT((Закрытые!$E$5:$E$300=$B47)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47/SUMPRODUCT((Закрытые!$E$5:$E$300=$B47)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7" s="177">
        <f>IF(OR(ROUND(N(C47)-N(F47),8)=0,1-N(Ввод!$E$17)/100&lt;=0),"",IF(N(C47)&gt;N(F47),(N(E47)-N(H47))/((N(C47)-N(F47))*(1-N(Ввод!$E$17)/100)),(N(H47)-N(E47))/((N(F47)-N(C47))*(1+N(Ввод!$E$17)/100))))</f>
        <v/>
      </c>
    </row>
    <row r="48" ht="22" customHeight="1">
      <c r="B48" s="320" t="n"/>
      <c r="C48" s="246">
        <f>IF(SUMIFS(Торговля!$F$5:$F$300,Торговля!$E$5:$E$300,$B48)+SUMIFS(Закрытые!$F$5:$F$300,Закрытые!$E$5:$E$300,$B48,Закрытые!$B$5:$B$300,"T-*")=0,"",SUMIFS(Торговля!$F$5:$F$300,Торговля!$E$5:$E$300,$B48)+SUMIFS(Закрытые!$F$5:$F$300,Закрытые!$E$5:$E$300,$B48,Закрытые!$B$5:$B$300,"T-*"))</f>
        <v/>
      </c>
      <c r="D48" s="183">
        <f>IF(C48="","",(SUMPRODUCT((Торговля!$E$5:$E$300=$B48)*Торговля!$F$5:$F$300*Торговля!$G$5:$G$300)+SUMPRODUCT((Закрытые!$E$5:$E$300=$B48)*(LEFT(Закрытые!$B$5:$B$300,2)="T-")*Закрытые!$F$5:$F$300*Закрытые!$G$5:$G$300))/C48)</f>
        <v/>
      </c>
      <c r="E48" s="247">
        <f>IF(C48="","",SUMIFS(Торговля!$H$5:$H$300,Торговля!$E$5:$E$300,$B48)+SUMIFS(Закрытые!$H$5:$H$300,Закрытые!$E$5:$E$300,$B48,Закрытые!$B$5:$B$300,"T-*"))</f>
        <v/>
      </c>
      <c r="F48" s="246">
        <f>IF(SUMIFS(Торговля!$I$5:$I$300,Торговля!$E$5:$E$300,$B48)+SUMIFS(Закрытые!$I$5:$I$300,Закрытые!$E$5:$E$300,$B48,Закрытые!$B$5:$B$300,"T-*")=0,"",SUMIFS(Торговля!$I$5:$I$300,Торговля!$E$5:$E$300,$B48)+SUMIFS(Закрытые!$I$5:$I$300,Закрытые!$E$5:$E$300,$B48,Закрытые!$B$5:$B$300,"T-*"))</f>
        <v/>
      </c>
      <c r="G48" s="183">
        <f>IF(F48="","",(SUMPRODUCT((Торговля!$E$5:$E$300=$B48)*Торговля!$I$5:$I$300*Торговля!$J$5:$J$300)+SUMPRODUCT((Закрытые!$E$5:$E$300=$B48)*(LEFT(Закрытые!$B$5:$B$300,2)="T-")*Закрытые!$I$5:$I$300*Закрытые!$J$5:$J$300))/F48)</f>
        <v/>
      </c>
      <c r="H48" s="247">
        <f>IF(F48="","",SUMIFS(Торговля!$K$5:$K$300,Торговля!$E$5:$E$300,$B48)+SUMIFS(Закрытые!$K$5:$K$300,Закрытые!$E$5:$E$300,$B48,Закрытые!$B$5:$B$300,"T-*"))</f>
        <v/>
      </c>
      <c r="I48" s="246">
        <f>IF($B48="","",IF(COUNTIFS(Торговля!$E$5:$E$300,$B48)+COUNTIFS(Закрытые!$E$5:$E$300,$B48,Закрытые!$B$5:$B$300,"T-*")=0,"",ROUND(SUMIFS(Торговля!$L$5:$L$300,Торговля!$E$5:$E$300,$B48)+SUMIFS(Закрытые!$L$5:$L$300,Закрытые!$E$5:$E$300,$B48,Закрытые!$B$5:$B$300,"T-*"),8)))</f>
        <v/>
      </c>
      <c r="J48" s="247">
        <f>IF($B48="","",IF(COUNTIFS(Торговля!$E$5:$E$300,$B48)+COUNTIFS(Закрытые!$E$5:$E$300,$B48,Закрытые!$B$5:$B$300,"T-*")=0,"",ROUND(SUMIFS(Торговля!$M$5:$M$300,Торговля!$E$5:$E$300,$B48)+SUMIFS(Закрытые!$M$5:$M$300,Закрытые!$E$5:$E$300,$B48,Закрытые!$B$5:$B$300,"T-*"),8)))</f>
        <v/>
      </c>
      <c r="K48" s="246">
        <f>IF($B48="","",ROUND(SUMIFS(Закрытые!$N$5:$N$300,Закрытые!$E$5:$E$300,$B48,Закрытые!$B$5:$B$300,"T-*"),8))</f>
        <v/>
      </c>
      <c r="L48" s="183">
        <f>IF(K48="","",IF(SUMPRODUCT((Закрытые!$E$5:$E$300=$B48)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48/SUMPRODUCT((Закрытые!$E$5:$E$300=$B48)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8" s="183">
        <f>IF(OR(ROUND(N(C48)-N(F48),8)=0,1-N(Ввод!$E$17)/100&lt;=0),"",IF(N(C48)&gt;N(F48),(N(E48)-N(H48))/((N(C48)-N(F48))*(1-N(Ввод!$E$17)/100)),(N(H48)-N(E48))/((N(F48)-N(C48))*(1+N(Ввод!$E$17)/100))))</f>
        <v/>
      </c>
    </row>
    <row r="49" ht="22" customHeight="1">
      <c r="B49" s="315" t="n"/>
      <c r="C49" s="240">
        <f>IF(SUMIFS(Торговля!$F$5:$F$300,Торговля!$E$5:$E$300,$B49)+SUMIFS(Закрытые!$F$5:$F$300,Закрытые!$E$5:$E$300,$B49,Закрытые!$B$5:$B$300,"T-*")=0,"",SUMIFS(Торговля!$F$5:$F$300,Торговля!$E$5:$E$300,$B49)+SUMIFS(Закрытые!$F$5:$F$300,Закрытые!$E$5:$E$300,$B49,Закрытые!$B$5:$B$300,"T-*"))</f>
        <v/>
      </c>
      <c r="D49" s="177">
        <f>IF(C49="","",(SUMPRODUCT((Торговля!$E$5:$E$300=$B49)*Торговля!$F$5:$F$300*Торговля!$G$5:$G$300)+SUMPRODUCT((Закрытые!$E$5:$E$300=$B49)*(LEFT(Закрытые!$B$5:$B$300,2)="T-")*Закрытые!$F$5:$F$300*Закрытые!$G$5:$G$300))/C49)</f>
        <v/>
      </c>
      <c r="E49" s="241">
        <f>IF(C49="","",SUMIFS(Торговля!$H$5:$H$300,Торговля!$E$5:$E$300,$B49)+SUMIFS(Закрытые!$H$5:$H$300,Закрытые!$E$5:$E$300,$B49,Закрытые!$B$5:$B$300,"T-*"))</f>
        <v/>
      </c>
      <c r="F49" s="240">
        <f>IF(SUMIFS(Торговля!$I$5:$I$300,Торговля!$E$5:$E$300,$B49)+SUMIFS(Закрытые!$I$5:$I$300,Закрытые!$E$5:$E$300,$B49,Закрытые!$B$5:$B$300,"T-*")=0,"",SUMIFS(Торговля!$I$5:$I$300,Торговля!$E$5:$E$300,$B49)+SUMIFS(Закрытые!$I$5:$I$300,Закрытые!$E$5:$E$300,$B49,Закрытые!$B$5:$B$300,"T-*"))</f>
        <v/>
      </c>
      <c r="G49" s="177">
        <f>IF(F49="","",(SUMPRODUCT((Торговля!$E$5:$E$300=$B49)*Торговля!$I$5:$I$300*Торговля!$J$5:$J$300)+SUMPRODUCT((Закрытые!$E$5:$E$300=$B49)*(LEFT(Закрытые!$B$5:$B$300,2)="T-")*Закрытые!$I$5:$I$300*Закрытые!$J$5:$J$300))/F49)</f>
        <v/>
      </c>
      <c r="H49" s="241">
        <f>IF(F49="","",SUMIFS(Торговля!$K$5:$K$300,Торговля!$E$5:$E$300,$B49)+SUMIFS(Закрытые!$K$5:$K$300,Закрытые!$E$5:$E$300,$B49,Закрытые!$B$5:$B$300,"T-*"))</f>
        <v/>
      </c>
      <c r="I49" s="240">
        <f>IF($B49="","",IF(COUNTIFS(Торговля!$E$5:$E$300,$B49)+COUNTIFS(Закрытые!$E$5:$E$300,$B49,Закрытые!$B$5:$B$300,"T-*")=0,"",ROUND(SUMIFS(Торговля!$L$5:$L$300,Торговля!$E$5:$E$300,$B49)+SUMIFS(Закрытые!$L$5:$L$300,Закрытые!$E$5:$E$300,$B49,Закрытые!$B$5:$B$300,"T-*"),8)))</f>
        <v/>
      </c>
      <c r="J49" s="241">
        <f>IF($B49="","",IF(COUNTIFS(Торговля!$E$5:$E$300,$B49)+COUNTIFS(Закрытые!$E$5:$E$300,$B49,Закрытые!$B$5:$B$300,"T-*")=0,"",ROUND(SUMIFS(Торговля!$M$5:$M$300,Торговля!$E$5:$E$300,$B49)+SUMIFS(Закрытые!$M$5:$M$300,Закрытые!$E$5:$E$300,$B49,Закрытые!$B$5:$B$300,"T-*"),8)))</f>
        <v/>
      </c>
      <c r="K49" s="240">
        <f>IF($B49="","",ROUND(SUMIFS(Закрытые!$N$5:$N$300,Закрытые!$E$5:$E$300,$B49,Закрытые!$B$5:$B$300,"T-*"),8))</f>
        <v/>
      </c>
      <c r="L49" s="177">
        <f>IF(K49="","",IF(SUMPRODUCT((Закрытые!$E$5:$E$300=$B49)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49/SUMPRODUCT((Закрытые!$E$5:$E$300=$B49)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9" s="177">
        <f>IF(OR(ROUND(N(C49)-N(F49),8)=0,1-N(Ввод!$E$17)/100&lt;=0),"",IF(N(C49)&gt;N(F49),(N(E49)-N(H49))/((N(C49)-N(F49))*(1-N(Ввод!$E$17)/100)),(N(H49)-N(E49))/((N(F49)-N(C49))*(1+N(Ввод!$E$17)/100))))</f>
        <v/>
      </c>
    </row>
    <row r="50" ht="22" customHeight="1">
      <c r="B50" s="320" t="n"/>
      <c r="C50" s="246">
        <f>IF(SUMIFS(Торговля!$F$5:$F$300,Торговля!$E$5:$E$300,$B50)+SUMIFS(Закрытые!$F$5:$F$300,Закрытые!$E$5:$E$300,$B50,Закрытые!$B$5:$B$300,"T-*")=0,"",SUMIFS(Торговля!$F$5:$F$300,Торговля!$E$5:$E$300,$B50)+SUMIFS(Закрытые!$F$5:$F$300,Закрытые!$E$5:$E$300,$B50,Закрытые!$B$5:$B$300,"T-*"))</f>
        <v/>
      </c>
      <c r="D50" s="183">
        <f>IF(C50="","",(SUMPRODUCT((Торговля!$E$5:$E$300=$B50)*Торговля!$F$5:$F$300*Торговля!$G$5:$G$300)+SUMPRODUCT((Закрытые!$E$5:$E$300=$B50)*(LEFT(Закрытые!$B$5:$B$300,2)="T-")*Закрытые!$F$5:$F$300*Закрытые!$G$5:$G$300))/C50)</f>
        <v/>
      </c>
      <c r="E50" s="247">
        <f>IF(C50="","",SUMIFS(Торговля!$H$5:$H$300,Торговля!$E$5:$E$300,$B50)+SUMIFS(Закрытые!$H$5:$H$300,Закрытые!$E$5:$E$300,$B50,Закрытые!$B$5:$B$300,"T-*"))</f>
        <v/>
      </c>
      <c r="F50" s="246">
        <f>IF(SUMIFS(Торговля!$I$5:$I$300,Торговля!$E$5:$E$300,$B50)+SUMIFS(Закрытые!$I$5:$I$300,Закрытые!$E$5:$E$300,$B50,Закрытые!$B$5:$B$300,"T-*")=0,"",SUMIFS(Торговля!$I$5:$I$300,Торговля!$E$5:$E$300,$B50)+SUMIFS(Закрытые!$I$5:$I$300,Закрытые!$E$5:$E$300,$B50,Закрытые!$B$5:$B$300,"T-*"))</f>
        <v/>
      </c>
      <c r="G50" s="183">
        <f>IF(F50="","",(SUMPRODUCT((Торговля!$E$5:$E$300=$B50)*Торговля!$I$5:$I$300*Торговля!$J$5:$J$300)+SUMPRODUCT((Закрытые!$E$5:$E$300=$B50)*(LEFT(Закрытые!$B$5:$B$300,2)="T-")*Закрытые!$I$5:$I$300*Закрытые!$J$5:$J$300))/F50)</f>
        <v/>
      </c>
      <c r="H50" s="247">
        <f>IF(F50="","",SUMIFS(Торговля!$K$5:$K$300,Торговля!$E$5:$E$300,$B50)+SUMIFS(Закрытые!$K$5:$K$300,Закрытые!$E$5:$E$300,$B50,Закрытые!$B$5:$B$300,"T-*"))</f>
        <v/>
      </c>
      <c r="I50" s="246">
        <f>IF($B50="","",IF(COUNTIFS(Торговля!$E$5:$E$300,$B50)+COUNTIFS(Закрытые!$E$5:$E$300,$B50,Закрытые!$B$5:$B$300,"T-*")=0,"",ROUND(SUMIFS(Торговля!$L$5:$L$300,Торговля!$E$5:$E$300,$B50)+SUMIFS(Закрытые!$L$5:$L$300,Закрытые!$E$5:$E$300,$B50,Закрытые!$B$5:$B$300,"T-*"),8)))</f>
        <v/>
      </c>
      <c r="J50" s="247">
        <f>IF($B50="","",IF(COUNTIFS(Торговля!$E$5:$E$300,$B50)+COUNTIFS(Закрытые!$E$5:$E$300,$B50,Закрытые!$B$5:$B$300,"T-*")=0,"",ROUND(SUMIFS(Торговля!$M$5:$M$300,Торговля!$E$5:$E$300,$B50)+SUMIFS(Закрытые!$M$5:$M$300,Закрытые!$E$5:$E$300,$B50,Закрытые!$B$5:$B$300,"T-*"),8)))</f>
        <v/>
      </c>
      <c r="K50" s="246">
        <f>IF($B50="","",ROUND(SUMIFS(Закрытые!$N$5:$N$300,Закрытые!$E$5:$E$300,$B50,Закрытые!$B$5:$B$300,"T-*"),8))</f>
        <v/>
      </c>
      <c r="L50" s="183">
        <f>IF(K50="","",IF(SUMPRODUCT((Закрытые!$E$5:$E$300=$B50)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50/SUMPRODUCT((Закрытые!$E$5:$E$300=$B50)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0" s="183">
        <f>IF(OR(ROUND(N(C50)-N(F50),8)=0,1-N(Ввод!$E$17)/100&lt;=0),"",IF(N(C50)&gt;N(F50),(N(E50)-N(H50))/((N(C50)-N(F50))*(1-N(Ввод!$E$17)/100)),(N(H50)-N(E50))/((N(F50)-N(C50))*(1+N(Ввод!$E$17)/100))))</f>
        <v/>
      </c>
    </row>
    <row r="51" ht="22" customHeight="1">
      <c r="B51" s="315" t="n"/>
      <c r="C51" s="240">
        <f>IF(SUMIFS(Торговля!$F$5:$F$300,Торговля!$E$5:$E$300,$B51)+SUMIFS(Закрытые!$F$5:$F$300,Закрытые!$E$5:$E$300,$B51,Закрытые!$B$5:$B$300,"T-*")=0,"",SUMIFS(Торговля!$F$5:$F$300,Торговля!$E$5:$E$300,$B51)+SUMIFS(Закрытые!$F$5:$F$300,Закрытые!$E$5:$E$300,$B51,Закрытые!$B$5:$B$300,"T-*"))</f>
        <v/>
      </c>
      <c r="D51" s="177">
        <f>IF(C51="","",(SUMPRODUCT((Торговля!$E$5:$E$300=$B51)*Торговля!$F$5:$F$300*Торговля!$G$5:$G$300)+SUMPRODUCT((Закрытые!$E$5:$E$300=$B51)*(LEFT(Закрытые!$B$5:$B$300,2)="T-")*Закрытые!$F$5:$F$300*Закрытые!$G$5:$G$300))/C51)</f>
        <v/>
      </c>
      <c r="E51" s="241">
        <f>IF(C51="","",SUMIFS(Торговля!$H$5:$H$300,Торговля!$E$5:$E$300,$B51)+SUMIFS(Закрытые!$H$5:$H$300,Закрытые!$E$5:$E$300,$B51,Закрытые!$B$5:$B$300,"T-*"))</f>
        <v/>
      </c>
      <c r="F51" s="240">
        <f>IF(SUMIFS(Торговля!$I$5:$I$300,Торговля!$E$5:$E$300,$B51)+SUMIFS(Закрытые!$I$5:$I$300,Закрытые!$E$5:$E$300,$B51,Закрытые!$B$5:$B$300,"T-*")=0,"",SUMIFS(Торговля!$I$5:$I$300,Торговля!$E$5:$E$300,$B51)+SUMIFS(Закрытые!$I$5:$I$300,Закрытые!$E$5:$E$300,$B51,Закрытые!$B$5:$B$300,"T-*"))</f>
        <v/>
      </c>
      <c r="G51" s="177">
        <f>IF(F51="","",(SUMPRODUCT((Торговля!$E$5:$E$300=$B51)*Торговля!$I$5:$I$300*Торговля!$J$5:$J$300)+SUMPRODUCT((Закрытые!$E$5:$E$300=$B51)*(LEFT(Закрытые!$B$5:$B$300,2)="T-")*Закрытые!$I$5:$I$300*Закрытые!$J$5:$J$300))/F51)</f>
        <v/>
      </c>
      <c r="H51" s="241">
        <f>IF(F51="","",SUMIFS(Торговля!$K$5:$K$300,Торговля!$E$5:$E$300,$B51)+SUMIFS(Закрытые!$K$5:$K$300,Закрытые!$E$5:$E$300,$B51,Закрытые!$B$5:$B$300,"T-*"))</f>
        <v/>
      </c>
      <c r="I51" s="240">
        <f>IF($B51="","",IF(COUNTIFS(Торговля!$E$5:$E$300,$B51)+COUNTIFS(Закрытые!$E$5:$E$300,$B51,Закрытые!$B$5:$B$300,"T-*")=0,"",ROUND(SUMIFS(Торговля!$L$5:$L$300,Торговля!$E$5:$E$300,$B51)+SUMIFS(Закрытые!$L$5:$L$300,Закрытые!$E$5:$E$300,$B51,Закрытые!$B$5:$B$300,"T-*"),8)))</f>
        <v/>
      </c>
      <c r="J51" s="241">
        <f>IF($B51="","",IF(COUNTIFS(Торговля!$E$5:$E$300,$B51)+COUNTIFS(Закрытые!$E$5:$E$300,$B51,Закрытые!$B$5:$B$300,"T-*")=0,"",ROUND(SUMIFS(Торговля!$M$5:$M$300,Торговля!$E$5:$E$300,$B51)+SUMIFS(Закрытые!$M$5:$M$300,Закрытые!$E$5:$E$300,$B51,Закрытые!$B$5:$B$300,"T-*"),8)))</f>
        <v/>
      </c>
      <c r="K51" s="240">
        <f>IF($B51="","",ROUND(SUMIFS(Закрытые!$N$5:$N$300,Закрытые!$E$5:$E$300,$B51,Закрытые!$B$5:$B$300,"T-*"),8))</f>
        <v/>
      </c>
      <c r="L51" s="177">
        <f>IF(K51="","",IF(SUMPRODUCT((Закрытые!$E$5:$E$300=$B51)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51/SUMPRODUCT((Закрытые!$E$5:$E$300=$B51)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1" s="177">
        <f>IF(OR(ROUND(N(C51)-N(F51),8)=0,1-N(Ввод!$E$17)/100&lt;=0),"",IF(N(C51)&gt;N(F51),(N(E51)-N(H51))/((N(C51)-N(F51))*(1-N(Ввод!$E$17)/100)),(N(H51)-N(E51))/((N(F51)-N(C51))*(1+N(Ввод!$E$17)/100))))</f>
        <v/>
      </c>
    </row>
    <row r="52" ht="22" customHeight="1">
      <c r="B52" s="320" t="n"/>
      <c r="C52" s="246">
        <f>IF(SUMIFS(Торговля!$F$5:$F$300,Торговля!$E$5:$E$300,$B52)+SUMIFS(Закрытые!$F$5:$F$300,Закрытые!$E$5:$E$300,$B52,Закрытые!$B$5:$B$300,"T-*")=0,"",SUMIFS(Торговля!$F$5:$F$300,Торговля!$E$5:$E$300,$B52)+SUMIFS(Закрытые!$F$5:$F$300,Закрытые!$E$5:$E$300,$B52,Закрытые!$B$5:$B$300,"T-*"))</f>
        <v/>
      </c>
      <c r="D52" s="183">
        <f>IF(C52="","",(SUMPRODUCT((Торговля!$E$5:$E$300=$B52)*Торговля!$F$5:$F$300*Торговля!$G$5:$G$300)+SUMPRODUCT((Закрытые!$E$5:$E$300=$B52)*(LEFT(Закрытые!$B$5:$B$300,2)="T-")*Закрытые!$F$5:$F$300*Закрытые!$G$5:$G$300))/C52)</f>
        <v/>
      </c>
      <c r="E52" s="247">
        <f>IF(C52="","",SUMIFS(Торговля!$H$5:$H$300,Торговля!$E$5:$E$300,$B52)+SUMIFS(Закрытые!$H$5:$H$300,Закрытые!$E$5:$E$300,$B52,Закрытые!$B$5:$B$300,"T-*"))</f>
        <v/>
      </c>
      <c r="F52" s="246">
        <f>IF(SUMIFS(Торговля!$I$5:$I$300,Торговля!$E$5:$E$300,$B52)+SUMIFS(Закрытые!$I$5:$I$300,Закрытые!$E$5:$E$300,$B52,Закрытые!$B$5:$B$300,"T-*")=0,"",SUMIFS(Торговля!$I$5:$I$300,Торговля!$E$5:$E$300,$B52)+SUMIFS(Закрытые!$I$5:$I$300,Закрытые!$E$5:$E$300,$B52,Закрытые!$B$5:$B$300,"T-*"))</f>
        <v/>
      </c>
      <c r="G52" s="183">
        <f>IF(F52="","",(SUMPRODUCT((Торговля!$E$5:$E$300=$B52)*Торговля!$I$5:$I$300*Торговля!$J$5:$J$300)+SUMPRODUCT((Закрытые!$E$5:$E$300=$B52)*(LEFT(Закрытые!$B$5:$B$300,2)="T-")*Закрытые!$I$5:$I$300*Закрытые!$J$5:$J$300))/F52)</f>
        <v/>
      </c>
      <c r="H52" s="247">
        <f>IF(F52="","",SUMIFS(Торговля!$K$5:$K$300,Торговля!$E$5:$E$300,$B52)+SUMIFS(Закрытые!$K$5:$K$300,Закрытые!$E$5:$E$300,$B52,Закрытые!$B$5:$B$300,"T-*"))</f>
        <v/>
      </c>
      <c r="I52" s="246">
        <f>IF($B52="","",IF(COUNTIFS(Торговля!$E$5:$E$300,$B52)+COUNTIFS(Закрытые!$E$5:$E$300,$B52,Закрытые!$B$5:$B$300,"T-*")=0,"",ROUND(SUMIFS(Торговля!$L$5:$L$300,Торговля!$E$5:$E$300,$B52)+SUMIFS(Закрытые!$L$5:$L$300,Закрытые!$E$5:$E$300,$B52,Закрытые!$B$5:$B$300,"T-*"),8)))</f>
        <v/>
      </c>
      <c r="J52" s="247">
        <f>IF($B52="","",IF(COUNTIFS(Торговля!$E$5:$E$300,$B52)+COUNTIFS(Закрытые!$E$5:$E$300,$B52,Закрытые!$B$5:$B$300,"T-*")=0,"",ROUND(SUMIFS(Торговля!$M$5:$M$300,Торговля!$E$5:$E$300,$B52)+SUMIFS(Закрытые!$M$5:$M$300,Закрытые!$E$5:$E$300,$B52,Закрытые!$B$5:$B$300,"T-*"),8)))</f>
        <v/>
      </c>
      <c r="K52" s="246">
        <f>IF($B52="","",ROUND(SUMIFS(Закрытые!$N$5:$N$300,Закрытые!$E$5:$E$300,$B52,Закрытые!$B$5:$B$300,"T-*"),8))</f>
        <v/>
      </c>
      <c r="L52" s="183">
        <f>IF(K52="","",IF(SUMPRODUCT((Закрытые!$E$5:$E$300=$B52)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52/SUMPRODUCT((Закрытые!$E$5:$E$300=$B52)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2" s="183">
        <f>IF(OR(ROUND(N(C52)-N(F52),8)=0,1-N(Ввод!$E$17)/100&lt;=0),"",IF(N(C52)&gt;N(F52),(N(E52)-N(H52))/((N(C52)-N(F52))*(1-N(Ввод!$E$17)/100)),(N(H52)-N(E52))/((N(F52)-N(C52))*(1+N(Ввод!$E$17)/100))))</f>
        <v/>
      </c>
    </row>
    <row r="53" ht="22" customHeight="1">
      <c r="B53" s="315" t="n"/>
      <c r="C53" s="240">
        <f>IF(SUMIFS(Торговля!$F$5:$F$300,Торговля!$E$5:$E$300,$B53)+SUMIFS(Закрытые!$F$5:$F$300,Закрытые!$E$5:$E$300,$B53,Закрытые!$B$5:$B$300,"T-*")=0,"",SUMIFS(Торговля!$F$5:$F$300,Торговля!$E$5:$E$300,$B53)+SUMIFS(Закрытые!$F$5:$F$300,Закрытые!$E$5:$E$300,$B53,Закрытые!$B$5:$B$300,"T-*"))</f>
        <v/>
      </c>
      <c r="D53" s="177">
        <f>IF(C53="","",(SUMPRODUCT((Торговля!$E$5:$E$300=$B53)*Торговля!$F$5:$F$300*Торговля!$G$5:$G$300)+SUMPRODUCT((Закрытые!$E$5:$E$300=$B53)*(LEFT(Закрытые!$B$5:$B$300,2)="T-")*Закрытые!$F$5:$F$300*Закрытые!$G$5:$G$300))/C53)</f>
        <v/>
      </c>
      <c r="E53" s="241">
        <f>IF(C53="","",SUMIFS(Торговля!$H$5:$H$300,Торговля!$E$5:$E$300,$B53)+SUMIFS(Закрытые!$H$5:$H$300,Закрытые!$E$5:$E$300,$B53,Закрытые!$B$5:$B$300,"T-*"))</f>
        <v/>
      </c>
      <c r="F53" s="240">
        <f>IF(SUMIFS(Торговля!$I$5:$I$300,Торговля!$E$5:$E$300,$B53)+SUMIFS(Закрытые!$I$5:$I$300,Закрытые!$E$5:$E$300,$B53,Закрытые!$B$5:$B$300,"T-*")=0,"",SUMIFS(Торговля!$I$5:$I$300,Торговля!$E$5:$E$300,$B53)+SUMIFS(Закрытые!$I$5:$I$300,Закрытые!$E$5:$E$300,$B53,Закрытые!$B$5:$B$300,"T-*"))</f>
        <v/>
      </c>
      <c r="G53" s="177">
        <f>IF(F53="","",(SUMPRODUCT((Торговля!$E$5:$E$300=$B53)*Торговля!$I$5:$I$300*Торговля!$J$5:$J$300)+SUMPRODUCT((Закрытые!$E$5:$E$300=$B53)*(LEFT(Закрытые!$B$5:$B$300,2)="T-")*Закрытые!$I$5:$I$300*Закрытые!$J$5:$J$300))/F53)</f>
        <v/>
      </c>
      <c r="H53" s="241">
        <f>IF(F53="","",SUMIFS(Торговля!$K$5:$K$300,Торговля!$E$5:$E$300,$B53)+SUMIFS(Закрытые!$K$5:$K$300,Закрытые!$E$5:$E$300,$B53,Закрытые!$B$5:$B$300,"T-*"))</f>
        <v/>
      </c>
      <c r="I53" s="240">
        <f>IF($B53="","",IF(COUNTIFS(Торговля!$E$5:$E$300,$B53)+COUNTIFS(Закрытые!$E$5:$E$300,$B53,Закрытые!$B$5:$B$300,"T-*")=0,"",ROUND(SUMIFS(Торговля!$L$5:$L$300,Торговля!$E$5:$E$300,$B53)+SUMIFS(Закрытые!$L$5:$L$300,Закрытые!$E$5:$E$300,$B53,Закрытые!$B$5:$B$300,"T-*"),8)))</f>
        <v/>
      </c>
      <c r="J53" s="241">
        <f>IF($B53="","",IF(COUNTIFS(Торговля!$E$5:$E$300,$B53)+COUNTIFS(Закрытые!$E$5:$E$300,$B53,Закрытые!$B$5:$B$300,"T-*")=0,"",ROUND(SUMIFS(Торговля!$M$5:$M$300,Торговля!$E$5:$E$300,$B53)+SUMIFS(Закрытые!$M$5:$M$300,Закрытые!$E$5:$E$300,$B53,Закрытые!$B$5:$B$300,"T-*"),8)))</f>
        <v/>
      </c>
      <c r="K53" s="240">
        <f>IF($B53="","",ROUND(SUMIFS(Закрытые!$N$5:$N$300,Закрытые!$E$5:$E$300,$B53,Закрытые!$B$5:$B$300,"T-*"),8))</f>
        <v/>
      </c>
      <c r="L53" s="177">
        <f>IF(K53="","",IF(SUMPRODUCT((Закрытые!$E$5:$E$300=$B53)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53/SUMPRODUCT((Закрытые!$E$5:$E$300=$B53)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3" s="177">
        <f>IF(OR(ROUND(N(C53)-N(F53),8)=0,1-N(Ввод!$E$17)/100&lt;=0),"",IF(N(C53)&gt;N(F53),(N(E53)-N(H53))/((N(C53)-N(F53))*(1-N(Ввод!$E$17)/100)),(N(H53)-N(E53))/((N(F53)-N(C53))*(1+N(Ввод!$E$17)/100))))</f>
        <v/>
      </c>
    </row>
    <row r="54" ht="22" customHeight="1">
      <c r="B54" s="320" t="n"/>
      <c r="C54" s="246">
        <f>IF(SUMIFS(Торговля!$F$5:$F$300,Торговля!$E$5:$E$300,$B54)+SUMIFS(Закрытые!$F$5:$F$300,Закрытые!$E$5:$E$300,$B54,Закрытые!$B$5:$B$300,"T-*")=0,"",SUMIFS(Торговля!$F$5:$F$300,Торговля!$E$5:$E$300,$B54)+SUMIFS(Закрытые!$F$5:$F$300,Закрытые!$E$5:$E$300,$B54,Закрытые!$B$5:$B$300,"T-*"))</f>
        <v/>
      </c>
      <c r="D54" s="183">
        <f>IF(C54="","",(SUMPRODUCT((Торговля!$E$5:$E$300=$B54)*Торговля!$F$5:$F$300*Торговля!$G$5:$G$300)+SUMPRODUCT((Закрытые!$E$5:$E$300=$B54)*(LEFT(Закрытые!$B$5:$B$300,2)="T-")*Закрытые!$F$5:$F$300*Закрытые!$G$5:$G$300))/C54)</f>
        <v/>
      </c>
      <c r="E54" s="247">
        <f>IF(C54="","",SUMIFS(Торговля!$H$5:$H$300,Торговля!$E$5:$E$300,$B54)+SUMIFS(Закрытые!$H$5:$H$300,Закрытые!$E$5:$E$300,$B54,Закрытые!$B$5:$B$300,"T-*"))</f>
        <v/>
      </c>
      <c r="F54" s="246">
        <f>IF(SUMIFS(Торговля!$I$5:$I$300,Торговля!$E$5:$E$300,$B54)+SUMIFS(Закрытые!$I$5:$I$300,Закрытые!$E$5:$E$300,$B54,Закрытые!$B$5:$B$300,"T-*")=0,"",SUMIFS(Торговля!$I$5:$I$300,Торговля!$E$5:$E$300,$B54)+SUMIFS(Закрытые!$I$5:$I$300,Закрытые!$E$5:$E$300,$B54,Закрытые!$B$5:$B$300,"T-*"))</f>
        <v/>
      </c>
      <c r="G54" s="183">
        <f>IF(F54="","",(SUMPRODUCT((Торговля!$E$5:$E$300=$B54)*Торговля!$I$5:$I$300*Торговля!$J$5:$J$300)+SUMPRODUCT((Закрытые!$E$5:$E$300=$B54)*(LEFT(Закрытые!$B$5:$B$300,2)="T-")*Закрытые!$I$5:$I$300*Закрытые!$J$5:$J$300))/F54)</f>
        <v/>
      </c>
      <c r="H54" s="247">
        <f>IF(F54="","",SUMIFS(Торговля!$K$5:$K$300,Торговля!$E$5:$E$300,$B54)+SUMIFS(Закрытые!$K$5:$K$300,Закрытые!$E$5:$E$300,$B54,Закрытые!$B$5:$B$300,"T-*"))</f>
        <v/>
      </c>
      <c r="I54" s="246">
        <f>IF($B54="","",IF(COUNTIFS(Торговля!$E$5:$E$300,$B54)+COUNTIFS(Закрытые!$E$5:$E$300,$B54,Закрытые!$B$5:$B$300,"T-*")=0,"",ROUND(SUMIFS(Торговля!$L$5:$L$300,Торговля!$E$5:$E$300,$B54)+SUMIFS(Закрытые!$L$5:$L$300,Закрытые!$E$5:$E$300,$B54,Закрытые!$B$5:$B$300,"T-*"),8)))</f>
        <v/>
      </c>
      <c r="J54" s="247">
        <f>IF($B54="","",IF(COUNTIFS(Торговля!$E$5:$E$300,$B54)+COUNTIFS(Закрытые!$E$5:$E$300,$B54,Закрытые!$B$5:$B$300,"T-*")=0,"",ROUND(SUMIFS(Торговля!$M$5:$M$300,Торговля!$E$5:$E$300,$B54)+SUMIFS(Закрытые!$M$5:$M$300,Закрытые!$E$5:$E$300,$B54,Закрытые!$B$5:$B$300,"T-*"),8)))</f>
        <v/>
      </c>
      <c r="K54" s="246">
        <f>IF($B54="","",ROUND(SUMIFS(Закрытые!$N$5:$N$300,Закрытые!$E$5:$E$300,$B54,Закрытые!$B$5:$B$300,"T-*"),8))</f>
        <v/>
      </c>
      <c r="L54" s="183">
        <f>IF(K54="","",IF(SUMPRODUCT((Закрытые!$E$5:$E$300=$B54)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54/SUMPRODUCT((Закрытые!$E$5:$E$300=$B54)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4" s="183">
        <f>IF(OR(ROUND(N(C54)-N(F54),8)=0,1-N(Ввод!$E$17)/100&lt;=0),"",IF(N(C54)&gt;N(F54),(N(E54)-N(H54))/((N(C54)-N(F54))*(1-N(Ввод!$E$17)/100)),(N(H54)-N(E54))/((N(F54)-N(C54))*(1+N(Ввод!$E$17)/100))))</f>
        <v/>
      </c>
    </row>
    <row r="55" ht="22" customHeight="1">
      <c r="B55" s="315" t="n"/>
      <c r="C55" s="240">
        <f>IF(SUMIFS(Торговля!$F$5:$F$300,Торговля!$E$5:$E$300,$B55)+SUMIFS(Закрытые!$F$5:$F$300,Закрытые!$E$5:$E$300,$B55,Закрытые!$B$5:$B$300,"T-*")=0,"",SUMIFS(Торговля!$F$5:$F$300,Торговля!$E$5:$E$300,$B55)+SUMIFS(Закрытые!$F$5:$F$300,Закрытые!$E$5:$E$300,$B55,Закрытые!$B$5:$B$300,"T-*"))</f>
        <v/>
      </c>
      <c r="D55" s="177">
        <f>IF(C55="","",(SUMPRODUCT((Торговля!$E$5:$E$300=$B55)*Торговля!$F$5:$F$300*Торговля!$G$5:$G$300)+SUMPRODUCT((Закрытые!$E$5:$E$300=$B55)*(LEFT(Закрытые!$B$5:$B$300,2)="T-")*Закрытые!$F$5:$F$300*Закрытые!$G$5:$G$300))/C55)</f>
        <v/>
      </c>
      <c r="E55" s="241">
        <f>IF(C55="","",SUMIFS(Торговля!$H$5:$H$300,Торговля!$E$5:$E$300,$B55)+SUMIFS(Закрытые!$H$5:$H$300,Закрытые!$E$5:$E$300,$B55,Закрытые!$B$5:$B$300,"T-*"))</f>
        <v/>
      </c>
      <c r="F55" s="240">
        <f>IF(SUMIFS(Торговля!$I$5:$I$300,Торговля!$E$5:$E$300,$B55)+SUMIFS(Закрытые!$I$5:$I$300,Закрытые!$E$5:$E$300,$B55,Закрытые!$B$5:$B$300,"T-*")=0,"",SUMIFS(Торговля!$I$5:$I$300,Торговля!$E$5:$E$300,$B55)+SUMIFS(Закрытые!$I$5:$I$300,Закрытые!$E$5:$E$300,$B55,Закрытые!$B$5:$B$300,"T-*"))</f>
        <v/>
      </c>
      <c r="G55" s="177">
        <f>IF(F55="","",(SUMPRODUCT((Торговля!$E$5:$E$300=$B55)*Торговля!$I$5:$I$300*Торговля!$J$5:$J$300)+SUMPRODUCT((Закрытые!$E$5:$E$300=$B55)*(LEFT(Закрытые!$B$5:$B$300,2)="T-")*Закрытые!$I$5:$I$300*Закрытые!$J$5:$J$300))/F55)</f>
        <v/>
      </c>
      <c r="H55" s="241">
        <f>IF(F55="","",SUMIFS(Торговля!$K$5:$K$300,Торговля!$E$5:$E$300,$B55)+SUMIFS(Закрытые!$K$5:$K$300,Закрытые!$E$5:$E$300,$B55,Закрытые!$B$5:$B$300,"T-*"))</f>
        <v/>
      </c>
      <c r="I55" s="240">
        <f>IF($B55="","",IF(COUNTIFS(Торговля!$E$5:$E$300,$B55)+COUNTIFS(Закрытые!$E$5:$E$300,$B55,Закрытые!$B$5:$B$300,"T-*")=0,"",ROUND(SUMIFS(Торговля!$L$5:$L$300,Торговля!$E$5:$E$300,$B55)+SUMIFS(Закрытые!$L$5:$L$300,Закрытые!$E$5:$E$300,$B55,Закрытые!$B$5:$B$300,"T-*"),8)))</f>
        <v/>
      </c>
      <c r="J55" s="241">
        <f>IF($B55="","",IF(COUNTIFS(Торговля!$E$5:$E$300,$B55)+COUNTIFS(Закрытые!$E$5:$E$300,$B55,Закрытые!$B$5:$B$300,"T-*")=0,"",ROUND(SUMIFS(Торговля!$M$5:$M$300,Торговля!$E$5:$E$300,$B55)+SUMIFS(Закрытые!$M$5:$M$300,Закрытые!$E$5:$E$300,$B55,Закрытые!$B$5:$B$300,"T-*"),8)))</f>
        <v/>
      </c>
      <c r="K55" s="240">
        <f>IF($B55="","",ROUND(SUMIFS(Закрытые!$N$5:$N$300,Закрытые!$E$5:$E$300,$B55,Закрытые!$B$5:$B$300,"T-*"),8))</f>
        <v/>
      </c>
      <c r="L55" s="177">
        <f>IF(K55="","",IF(SUMPRODUCT((Закрытые!$E$5:$E$300=$B55)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55/SUMPRODUCT((Закрытые!$E$5:$E$300=$B55)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5" s="177">
        <f>IF(OR(ROUND(N(C55)-N(F55),8)=0,1-N(Ввод!$E$17)/100&lt;=0),"",IF(N(C55)&gt;N(F55),(N(E55)-N(H55))/((N(C55)-N(F55))*(1-N(Ввод!$E$17)/100)),(N(H55)-N(E55))/((N(F55)-N(C55))*(1+N(Ввод!$E$17)/100))))</f>
        <v/>
      </c>
    </row>
    <row r="56" ht="22" customHeight="1">
      <c r="B56" s="320" t="n"/>
      <c r="C56" s="246">
        <f>IF(SUMIFS(Торговля!$F$5:$F$300,Торговля!$E$5:$E$300,$B56)+SUMIFS(Закрытые!$F$5:$F$300,Закрытые!$E$5:$E$300,$B56,Закрытые!$B$5:$B$300,"T-*")=0,"",SUMIFS(Торговля!$F$5:$F$300,Торговля!$E$5:$E$300,$B56)+SUMIFS(Закрытые!$F$5:$F$300,Закрытые!$E$5:$E$300,$B56,Закрытые!$B$5:$B$300,"T-*"))</f>
        <v/>
      </c>
      <c r="D56" s="183">
        <f>IF(C56="","",(SUMPRODUCT((Торговля!$E$5:$E$300=$B56)*Торговля!$F$5:$F$300*Торговля!$G$5:$G$300)+SUMPRODUCT((Закрытые!$E$5:$E$300=$B56)*(LEFT(Закрытые!$B$5:$B$300,2)="T-")*Закрытые!$F$5:$F$300*Закрытые!$G$5:$G$300))/C56)</f>
        <v/>
      </c>
      <c r="E56" s="247">
        <f>IF(C56="","",SUMIFS(Торговля!$H$5:$H$300,Торговля!$E$5:$E$300,$B56)+SUMIFS(Закрытые!$H$5:$H$300,Закрытые!$E$5:$E$300,$B56,Закрытые!$B$5:$B$300,"T-*"))</f>
        <v/>
      </c>
      <c r="F56" s="246">
        <f>IF(SUMIFS(Торговля!$I$5:$I$300,Торговля!$E$5:$E$300,$B56)+SUMIFS(Закрытые!$I$5:$I$300,Закрытые!$E$5:$E$300,$B56,Закрытые!$B$5:$B$300,"T-*")=0,"",SUMIFS(Торговля!$I$5:$I$300,Торговля!$E$5:$E$300,$B56)+SUMIFS(Закрытые!$I$5:$I$300,Закрытые!$E$5:$E$300,$B56,Закрытые!$B$5:$B$300,"T-*"))</f>
        <v/>
      </c>
      <c r="G56" s="183">
        <f>IF(F56="","",(SUMPRODUCT((Торговля!$E$5:$E$300=$B56)*Торговля!$I$5:$I$300*Торговля!$J$5:$J$300)+SUMPRODUCT((Закрытые!$E$5:$E$300=$B56)*(LEFT(Закрытые!$B$5:$B$300,2)="T-")*Закрытые!$I$5:$I$300*Закрытые!$J$5:$J$300))/F56)</f>
        <v/>
      </c>
      <c r="H56" s="247">
        <f>IF(F56="","",SUMIFS(Торговля!$K$5:$K$300,Торговля!$E$5:$E$300,$B56)+SUMIFS(Закрытые!$K$5:$K$300,Закрытые!$E$5:$E$300,$B56,Закрытые!$B$5:$B$300,"T-*"))</f>
        <v/>
      </c>
      <c r="I56" s="246">
        <f>IF($B56="","",IF(COUNTIFS(Торговля!$E$5:$E$300,$B56)+COUNTIFS(Закрытые!$E$5:$E$300,$B56,Закрытые!$B$5:$B$300,"T-*")=0,"",ROUND(SUMIFS(Торговля!$L$5:$L$300,Торговля!$E$5:$E$300,$B56)+SUMIFS(Закрытые!$L$5:$L$300,Закрытые!$E$5:$E$300,$B56,Закрытые!$B$5:$B$300,"T-*"),8)))</f>
        <v/>
      </c>
      <c r="J56" s="247">
        <f>IF($B56="","",IF(COUNTIFS(Торговля!$E$5:$E$300,$B56)+COUNTIFS(Закрытые!$E$5:$E$300,$B56,Закрытые!$B$5:$B$300,"T-*")=0,"",ROUND(SUMIFS(Торговля!$M$5:$M$300,Торговля!$E$5:$E$300,$B56)+SUMIFS(Закрытые!$M$5:$M$300,Закрытые!$E$5:$E$300,$B56,Закрытые!$B$5:$B$300,"T-*"),8)))</f>
        <v/>
      </c>
      <c r="K56" s="246">
        <f>IF($B56="","",ROUND(SUMIFS(Закрытые!$N$5:$N$300,Закрытые!$E$5:$E$300,$B56,Закрытые!$B$5:$B$300,"T-*"),8))</f>
        <v/>
      </c>
      <c r="L56" s="183">
        <f>IF(K56="","",IF(SUMPRODUCT((Закрытые!$E$5:$E$300=$B56)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56/SUMPRODUCT((Закрытые!$E$5:$E$300=$B56)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6" s="183">
        <f>IF(OR(ROUND(N(C56)-N(F56),8)=0,1-N(Ввод!$E$17)/100&lt;=0),"",IF(N(C56)&gt;N(F56),(N(E56)-N(H56))/((N(C56)-N(F56))*(1-N(Ввод!$E$17)/100)),(N(H56)-N(E56))/((N(F56)-N(C56))*(1+N(Ввод!$E$17)/100))))</f>
        <v/>
      </c>
    </row>
    <row r="57" ht="22" customHeight="1">
      <c r="B57" s="315" t="n"/>
      <c r="C57" s="240">
        <f>IF(SUMIFS(Торговля!$F$5:$F$300,Торговля!$E$5:$E$300,$B57)+SUMIFS(Закрытые!$F$5:$F$300,Закрытые!$E$5:$E$300,$B57,Закрытые!$B$5:$B$300,"T-*")=0,"",SUMIFS(Торговля!$F$5:$F$300,Торговля!$E$5:$E$300,$B57)+SUMIFS(Закрытые!$F$5:$F$300,Закрытые!$E$5:$E$300,$B57,Закрытые!$B$5:$B$300,"T-*"))</f>
        <v/>
      </c>
      <c r="D57" s="177">
        <f>IF(C57="","",(SUMPRODUCT((Торговля!$E$5:$E$300=$B57)*Торговля!$F$5:$F$300*Торговля!$G$5:$G$300)+SUMPRODUCT((Закрытые!$E$5:$E$300=$B57)*(LEFT(Закрытые!$B$5:$B$300,2)="T-")*Закрытые!$F$5:$F$300*Закрытые!$G$5:$G$300))/C57)</f>
        <v/>
      </c>
      <c r="E57" s="241">
        <f>IF(C57="","",SUMIFS(Торговля!$H$5:$H$300,Торговля!$E$5:$E$300,$B57)+SUMIFS(Закрытые!$H$5:$H$300,Закрытые!$E$5:$E$300,$B57,Закрытые!$B$5:$B$300,"T-*"))</f>
        <v/>
      </c>
      <c r="F57" s="240">
        <f>IF(SUMIFS(Торговля!$I$5:$I$300,Торговля!$E$5:$E$300,$B57)+SUMIFS(Закрытые!$I$5:$I$300,Закрытые!$E$5:$E$300,$B57,Закрытые!$B$5:$B$300,"T-*")=0,"",SUMIFS(Торговля!$I$5:$I$300,Торговля!$E$5:$E$300,$B57)+SUMIFS(Закрытые!$I$5:$I$300,Закрытые!$E$5:$E$300,$B57,Закрытые!$B$5:$B$300,"T-*"))</f>
        <v/>
      </c>
      <c r="G57" s="177">
        <f>IF(F57="","",(SUMPRODUCT((Торговля!$E$5:$E$300=$B57)*Торговля!$I$5:$I$300*Торговля!$J$5:$J$300)+SUMPRODUCT((Закрытые!$E$5:$E$300=$B57)*(LEFT(Закрытые!$B$5:$B$300,2)="T-")*Закрытые!$I$5:$I$300*Закрытые!$J$5:$J$300))/F57)</f>
        <v/>
      </c>
      <c r="H57" s="241">
        <f>IF(F57="","",SUMIFS(Торговля!$K$5:$K$300,Торговля!$E$5:$E$300,$B57)+SUMIFS(Закрытые!$K$5:$K$300,Закрытые!$E$5:$E$300,$B57,Закрытые!$B$5:$B$300,"T-*"))</f>
        <v/>
      </c>
      <c r="I57" s="240">
        <f>IF($B57="","",IF(COUNTIFS(Торговля!$E$5:$E$300,$B57)+COUNTIFS(Закрытые!$E$5:$E$300,$B57,Закрытые!$B$5:$B$300,"T-*")=0,"",ROUND(SUMIFS(Торговля!$L$5:$L$300,Торговля!$E$5:$E$300,$B57)+SUMIFS(Закрытые!$L$5:$L$300,Закрытые!$E$5:$E$300,$B57,Закрытые!$B$5:$B$300,"T-*"),8)))</f>
        <v/>
      </c>
      <c r="J57" s="241">
        <f>IF($B57="","",IF(COUNTIFS(Торговля!$E$5:$E$300,$B57)+COUNTIFS(Закрытые!$E$5:$E$300,$B57,Закрытые!$B$5:$B$300,"T-*")=0,"",ROUND(SUMIFS(Торговля!$M$5:$M$300,Торговля!$E$5:$E$300,$B57)+SUMIFS(Закрытые!$M$5:$M$300,Закрытые!$E$5:$E$300,$B57,Закрытые!$B$5:$B$300,"T-*"),8)))</f>
        <v/>
      </c>
      <c r="K57" s="240">
        <f>IF($B57="","",ROUND(SUMIFS(Закрытые!$N$5:$N$300,Закрытые!$E$5:$E$300,$B57,Закрытые!$B$5:$B$300,"T-*"),8))</f>
        <v/>
      </c>
      <c r="L57" s="177">
        <f>IF(K57="","",IF(SUMPRODUCT((Закрытые!$E$5:$E$300=$B57)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57/SUMPRODUCT((Закрытые!$E$5:$E$300=$B57)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7" s="177">
        <f>IF(OR(ROUND(N(C57)-N(F57),8)=0,1-N(Ввод!$E$17)/100&lt;=0),"",IF(N(C57)&gt;N(F57),(N(E57)-N(H57))/((N(C57)-N(F57))*(1-N(Ввод!$E$17)/100)),(N(H57)-N(E57))/((N(F57)-N(C57))*(1+N(Ввод!$E$17)/100))))</f>
        <v/>
      </c>
    </row>
    <row r="58" ht="22" customHeight="1">
      <c r="B58" s="320" t="n"/>
      <c r="C58" s="246">
        <f>IF(SUMIFS(Торговля!$F$5:$F$300,Торговля!$E$5:$E$300,$B58)+SUMIFS(Закрытые!$F$5:$F$300,Закрытые!$E$5:$E$300,$B58,Закрытые!$B$5:$B$300,"T-*")=0,"",SUMIFS(Торговля!$F$5:$F$300,Торговля!$E$5:$E$300,$B58)+SUMIFS(Закрытые!$F$5:$F$300,Закрытые!$E$5:$E$300,$B58,Закрытые!$B$5:$B$300,"T-*"))</f>
        <v/>
      </c>
      <c r="D58" s="183">
        <f>IF(C58="","",(SUMPRODUCT((Торговля!$E$5:$E$300=$B58)*Торговля!$F$5:$F$300*Торговля!$G$5:$G$300)+SUMPRODUCT((Закрытые!$E$5:$E$300=$B58)*(LEFT(Закрытые!$B$5:$B$300,2)="T-")*Закрытые!$F$5:$F$300*Закрытые!$G$5:$G$300))/C58)</f>
        <v/>
      </c>
      <c r="E58" s="247">
        <f>IF(C58="","",SUMIFS(Торговля!$H$5:$H$300,Торговля!$E$5:$E$300,$B58)+SUMIFS(Закрытые!$H$5:$H$300,Закрытые!$E$5:$E$300,$B58,Закрытые!$B$5:$B$300,"T-*"))</f>
        <v/>
      </c>
      <c r="F58" s="246">
        <f>IF(SUMIFS(Торговля!$I$5:$I$300,Торговля!$E$5:$E$300,$B58)+SUMIFS(Закрытые!$I$5:$I$300,Закрытые!$E$5:$E$300,$B58,Закрытые!$B$5:$B$300,"T-*")=0,"",SUMIFS(Торговля!$I$5:$I$300,Торговля!$E$5:$E$300,$B58)+SUMIFS(Закрытые!$I$5:$I$300,Закрытые!$E$5:$E$300,$B58,Закрытые!$B$5:$B$300,"T-*"))</f>
        <v/>
      </c>
      <c r="G58" s="183">
        <f>IF(F58="","",(SUMPRODUCT((Торговля!$E$5:$E$300=$B58)*Торговля!$I$5:$I$300*Торговля!$J$5:$J$300)+SUMPRODUCT((Закрытые!$E$5:$E$300=$B58)*(LEFT(Закрытые!$B$5:$B$300,2)="T-")*Закрытые!$I$5:$I$300*Закрытые!$J$5:$J$300))/F58)</f>
        <v/>
      </c>
      <c r="H58" s="247">
        <f>IF(F58="","",SUMIFS(Торговля!$K$5:$K$300,Торговля!$E$5:$E$300,$B58)+SUMIFS(Закрытые!$K$5:$K$300,Закрытые!$E$5:$E$300,$B58,Закрытые!$B$5:$B$300,"T-*"))</f>
        <v/>
      </c>
      <c r="I58" s="246">
        <f>IF($B58="","",IF(COUNTIFS(Торговля!$E$5:$E$300,$B58)+COUNTIFS(Закрытые!$E$5:$E$300,$B58,Закрытые!$B$5:$B$300,"T-*")=0,"",ROUND(SUMIFS(Торговля!$L$5:$L$300,Торговля!$E$5:$E$300,$B58)+SUMIFS(Закрытые!$L$5:$L$300,Закрытые!$E$5:$E$300,$B58,Закрытые!$B$5:$B$300,"T-*"),8)))</f>
        <v/>
      </c>
      <c r="J58" s="247">
        <f>IF($B58="","",IF(COUNTIFS(Торговля!$E$5:$E$300,$B58)+COUNTIFS(Закрытые!$E$5:$E$300,$B58,Закрытые!$B$5:$B$300,"T-*")=0,"",ROUND(SUMIFS(Торговля!$M$5:$M$300,Торговля!$E$5:$E$300,$B58)+SUMIFS(Закрытые!$M$5:$M$300,Закрытые!$E$5:$E$300,$B58,Закрытые!$B$5:$B$300,"T-*"),8)))</f>
        <v/>
      </c>
      <c r="K58" s="246">
        <f>IF($B58="","",ROUND(SUMIFS(Закрытые!$N$5:$N$300,Закрытые!$E$5:$E$300,$B58,Закрытые!$B$5:$B$300,"T-*"),8))</f>
        <v/>
      </c>
      <c r="L58" s="183">
        <f>IF(K58="","",IF(SUMPRODUCT((Закрытые!$E$5:$E$300=$B58)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58/SUMPRODUCT((Закрытые!$E$5:$E$300=$B58)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8" s="183">
        <f>IF(OR(ROUND(N(C58)-N(F58),8)=0,1-N(Ввод!$E$17)/100&lt;=0),"",IF(N(C58)&gt;N(F58),(N(E58)-N(H58))/((N(C58)-N(F58))*(1-N(Ввод!$E$17)/100)),(N(H58)-N(E58))/((N(F58)-N(C58))*(1+N(Ввод!$E$17)/100))))</f>
        <v/>
      </c>
    </row>
    <row r="59" ht="22" customHeight="1">
      <c r="B59" s="315" t="n"/>
      <c r="C59" s="240">
        <f>IF(SUMIFS(Торговля!$F$5:$F$300,Торговля!$E$5:$E$300,$B59)+SUMIFS(Закрытые!$F$5:$F$300,Закрытые!$E$5:$E$300,$B59,Закрытые!$B$5:$B$300,"T-*")=0,"",SUMIFS(Торговля!$F$5:$F$300,Торговля!$E$5:$E$300,$B59)+SUMIFS(Закрытые!$F$5:$F$300,Закрытые!$E$5:$E$300,$B59,Закрытые!$B$5:$B$300,"T-*"))</f>
        <v/>
      </c>
      <c r="D59" s="177">
        <f>IF(C59="","",(SUMPRODUCT((Торговля!$E$5:$E$300=$B59)*Торговля!$F$5:$F$300*Торговля!$G$5:$G$300)+SUMPRODUCT((Закрытые!$E$5:$E$300=$B59)*(LEFT(Закрытые!$B$5:$B$300,2)="T-")*Закрытые!$F$5:$F$300*Закрытые!$G$5:$G$300))/C59)</f>
        <v/>
      </c>
      <c r="E59" s="241">
        <f>IF(C59="","",SUMIFS(Торговля!$H$5:$H$300,Торговля!$E$5:$E$300,$B59)+SUMIFS(Закрытые!$H$5:$H$300,Закрытые!$E$5:$E$300,$B59,Закрытые!$B$5:$B$300,"T-*"))</f>
        <v/>
      </c>
      <c r="F59" s="240">
        <f>IF(SUMIFS(Торговля!$I$5:$I$300,Торговля!$E$5:$E$300,$B59)+SUMIFS(Закрытые!$I$5:$I$300,Закрытые!$E$5:$E$300,$B59,Закрытые!$B$5:$B$300,"T-*")=0,"",SUMIFS(Торговля!$I$5:$I$300,Торговля!$E$5:$E$300,$B59)+SUMIFS(Закрытые!$I$5:$I$300,Закрытые!$E$5:$E$300,$B59,Закрытые!$B$5:$B$300,"T-*"))</f>
        <v/>
      </c>
      <c r="G59" s="177">
        <f>IF(F59="","",(SUMPRODUCT((Торговля!$E$5:$E$300=$B59)*Торговля!$I$5:$I$300*Торговля!$J$5:$J$300)+SUMPRODUCT((Закрытые!$E$5:$E$300=$B59)*(LEFT(Закрытые!$B$5:$B$300,2)="T-")*Закрытые!$I$5:$I$300*Закрытые!$J$5:$J$300))/F59)</f>
        <v/>
      </c>
      <c r="H59" s="241">
        <f>IF(F59="","",SUMIFS(Торговля!$K$5:$K$300,Торговля!$E$5:$E$300,$B59)+SUMIFS(Закрытые!$K$5:$K$300,Закрытые!$E$5:$E$300,$B59,Закрытые!$B$5:$B$300,"T-*"))</f>
        <v/>
      </c>
      <c r="I59" s="240">
        <f>IF($B59="","",IF(COUNTIFS(Торговля!$E$5:$E$300,$B59)+COUNTIFS(Закрытые!$E$5:$E$300,$B59,Закрытые!$B$5:$B$300,"T-*")=0,"",ROUND(SUMIFS(Торговля!$L$5:$L$300,Торговля!$E$5:$E$300,$B59)+SUMIFS(Закрытые!$L$5:$L$300,Закрытые!$E$5:$E$300,$B59,Закрытые!$B$5:$B$300,"T-*"),8)))</f>
        <v/>
      </c>
      <c r="J59" s="241">
        <f>IF($B59="","",IF(COUNTIFS(Торговля!$E$5:$E$300,$B59)+COUNTIFS(Закрытые!$E$5:$E$300,$B59,Закрытые!$B$5:$B$300,"T-*")=0,"",ROUND(SUMIFS(Торговля!$M$5:$M$300,Торговля!$E$5:$E$300,$B59)+SUMIFS(Закрытые!$M$5:$M$300,Закрытые!$E$5:$E$300,$B59,Закрытые!$B$5:$B$300,"T-*"),8)))</f>
        <v/>
      </c>
      <c r="K59" s="240">
        <f>IF($B59="","",ROUND(SUMIFS(Закрытые!$N$5:$N$300,Закрытые!$E$5:$E$300,$B59,Закрытые!$B$5:$B$300,"T-*"),8))</f>
        <v/>
      </c>
      <c r="L59" s="177">
        <f>IF(K59="","",IF(SUMPRODUCT((Закрытые!$E$5:$E$300=$B59)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59/SUMPRODUCT((Закрытые!$E$5:$E$300=$B59)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9" s="177">
        <f>IF(OR(ROUND(N(C59)-N(F59),8)=0,1-N(Ввод!$E$17)/100&lt;=0),"",IF(N(C59)&gt;N(F59),(N(E59)-N(H59))/((N(C59)-N(F59))*(1-N(Ввод!$E$17)/100)),(N(H59)-N(E59))/((N(F59)-N(C59))*(1+N(Ввод!$E$17)/100))))</f>
        <v/>
      </c>
    </row>
    <row r="60" ht="22" customHeight="1">
      <c r="B60" s="320" t="n"/>
      <c r="C60" s="246">
        <f>IF(SUMIFS(Торговля!$F$5:$F$300,Торговля!$E$5:$E$300,$B60)+SUMIFS(Закрытые!$F$5:$F$300,Закрытые!$E$5:$E$300,$B60,Закрытые!$B$5:$B$300,"T-*")=0,"",SUMIFS(Торговля!$F$5:$F$300,Торговля!$E$5:$E$300,$B60)+SUMIFS(Закрытые!$F$5:$F$300,Закрытые!$E$5:$E$300,$B60,Закрытые!$B$5:$B$300,"T-*"))</f>
        <v/>
      </c>
      <c r="D60" s="183">
        <f>IF(C60="","",(SUMPRODUCT((Торговля!$E$5:$E$300=$B60)*Торговля!$F$5:$F$300*Торговля!$G$5:$G$300)+SUMPRODUCT((Закрытые!$E$5:$E$300=$B60)*(LEFT(Закрытые!$B$5:$B$300,2)="T-")*Закрытые!$F$5:$F$300*Закрытые!$G$5:$G$300))/C60)</f>
        <v/>
      </c>
      <c r="E60" s="247">
        <f>IF(C60="","",SUMIFS(Торговля!$H$5:$H$300,Торговля!$E$5:$E$300,$B60)+SUMIFS(Закрытые!$H$5:$H$300,Закрытые!$E$5:$E$300,$B60,Закрытые!$B$5:$B$300,"T-*"))</f>
        <v/>
      </c>
      <c r="F60" s="246">
        <f>IF(SUMIFS(Торговля!$I$5:$I$300,Торговля!$E$5:$E$300,$B60)+SUMIFS(Закрытые!$I$5:$I$300,Закрытые!$E$5:$E$300,$B60,Закрытые!$B$5:$B$300,"T-*")=0,"",SUMIFS(Торговля!$I$5:$I$300,Торговля!$E$5:$E$300,$B60)+SUMIFS(Закрытые!$I$5:$I$300,Закрытые!$E$5:$E$300,$B60,Закрытые!$B$5:$B$300,"T-*"))</f>
        <v/>
      </c>
      <c r="G60" s="183">
        <f>IF(F60="","",(SUMPRODUCT((Торговля!$E$5:$E$300=$B60)*Торговля!$I$5:$I$300*Торговля!$J$5:$J$300)+SUMPRODUCT((Закрытые!$E$5:$E$300=$B60)*(LEFT(Закрытые!$B$5:$B$300,2)="T-")*Закрытые!$I$5:$I$300*Закрытые!$J$5:$J$300))/F60)</f>
        <v/>
      </c>
      <c r="H60" s="247">
        <f>IF(F60="","",SUMIFS(Торговля!$K$5:$K$300,Торговля!$E$5:$E$300,$B60)+SUMIFS(Закрытые!$K$5:$K$300,Закрытые!$E$5:$E$300,$B60,Закрытые!$B$5:$B$300,"T-*"))</f>
        <v/>
      </c>
      <c r="I60" s="246">
        <f>IF($B60="","",IF(COUNTIFS(Торговля!$E$5:$E$300,$B60)+COUNTIFS(Закрытые!$E$5:$E$300,$B60,Закрытые!$B$5:$B$300,"T-*")=0,"",ROUND(SUMIFS(Торговля!$L$5:$L$300,Торговля!$E$5:$E$300,$B60)+SUMIFS(Закрытые!$L$5:$L$300,Закрытые!$E$5:$E$300,$B60,Закрытые!$B$5:$B$300,"T-*"),8)))</f>
        <v/>
      </c>
      <c r="J60" s="247">
        <f>IF($B60="","",IF(COUNTIFS(Торговля!$E$5:$E$300,$B60)+COUNTIFS(Закрытые!$E$5:$E$300,$B60,Закрытые!$B$5:$B$300,"T-*")=0,"",ROUND(SUMIFS(Торговля!$M$5:$M$300,Торговля!$E$5:$E$300,$B60)+SUMIFS(Закрытые!$M$5:$M$300,Закрытые!$E$5:$E$300,$B60,Закрытые!$B$5:$B$300,"T-*"),8)))</f>
        <v/>
      </c>
      <c r="K60" s="246">
        <f>IF($B60="","",ROUND(SUMIFS(Закрытые!$N$5:$N$300,Закрытые!$E$5:$E$300,$B60,Закрытые!$B$5:$B$300,"T-*"),8))</f>
        <v/>
      </c>
      <c r="L60" s="183">
        <f>IF(K60="","",IF(SUMPRODUCT((Закрытые!$E$5:$E$300=$B60)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60/SUMPRODUCT((Закрытые!$E$5:$E$300=$B60)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0" s="183">
        <f>IF(OR(ROUND(N(C60)-N(F60),8)=0,1-N(Ввод!$E$17)/100&lt;=0),"",IF(N(C60)&gt;N(F60),(N(E60)-N(H60))/((N(C60)-N(F60))*(1-N(Ввод!$E$17)/100)),(N(H60)-N(E60))/((N(F60)-N(C60))*(1+N(Ввод!$E$17)/100))))</f>
        <v/>
      </c>
    </row>
    <row r="61" ht="22" customHeight="1">
      <c r="B61" s="315" t="n"/>
      <c r="C61" s="240">
        <f>IF(SUMIFS(Торговля!$F$5:$F$300,Торговля!$E$5:$E$300,$B61)+SUMIFS(Закрытые!$F$5:$F$300,Закрытые!$E$5:$E$300,$B61,Закрытые!$B$5:$B$300,"T-*")=0,"",SUMIFS(Торговля!$F$5:$F$300,Торговля!$E$5:$E$300,$B61)+SUMIFS(Закрытые!$F$5:$F$300,Закрытые!$E$5:$E$300,$B61,Закрытые!$B$5:$B$300,"T-*"))</f>
        <v/>
      </c>
      <c r="D61" s="177">
        <f>IF(C61="","",(SUMPRODUCT((Торговля!$E$5:$E$300=$B61)*Торговля!$F$5:$F$300*Торговля!$G$5:$G$300)+SUMPRODUCT((Закрытые!$E$5:$E$300=$B61)*(LEFT(Закрытые!$B$5:$B$300,2)="T-")*Закрытые!$F$5:$F$300*Закрытые!$G$5:$G$300))/C61)</f>
        <v/>
      </c>
      <c r="E61" s="241">
        <f>IF(C61="","",SUMIFS(Торговля!$H$5:$H$300,Торговля!$E$5:$E$300,$B61)+SUMIFS(Закрытые!$H$5:$H$300,Закрытые!$E$5:$E$300,$B61,Закрытые!$B$5:$B$300,"T-*"))</f>
        <v/>
      </c>
      <c r="F61" s="240">
        <f>IF(SUMIFS(Торговля!$I$5:$I$300,Торговля!$E$5:$E$300,$B61)+SUMIFS(Закрытые!$I$5:$I$300,Закрытые!$E$5:$E$300,$B61,Закрытые!$B$5:$B$300,"T-*")=0,"",SUMIFS(Торговля!$I$5:$I$300,Торговля!$E$5:$E$300,$B61)+SUMIFS(Закрытые!$I$5:$I$300,Закрытые!$E$5:$E$300,$B61,Закрытые!$B$5:$B$300,"T-*"))</f>
        <v/>
      </c>
      <c r="G61" s="177">
        <f>IF(F61="","",(SUMPRODUCT((Торговля!$E$5:$E$300=$B61)*Торговля!$I$5:$I$300*Торговля!$J$5:$J$300)+SUMPRODUCT((Закрытые!$E$5:$E$300=$B61)*(LEFT(Закрытые!$B$5:$B$300,2)="T-")*Закрытые!$I$5:$I$300*Закрытые!$J$5:$J$300))/F61)</f>
        <v/>
      </c>
      <c r="H61" s="241">
        <f>IF(F61="","",SUMIFS(Торговля!$K$5:$K$300,Торговля!$E$5:$E$300,$B61)+SUMIFS(Закрытые!$K$5:$K$300,Закрытые!$E$5:$E$300,$B61,Закрытые!$B$5:$B$300,"T-*"))</f>
        <v/>
      </c>
      <c r="I61" s="240">
        <f>IF($B61="","",IF(COUNTIFS(Торговля!$E$5:$E$300,$B61)+COUNTIFS(Закрытые!$E$5:$E$300,$B61,Закрытые!$B$5:$B$300,"T-*")=0,"",ROUND(SUMIFS(Торговля!$L$5:$L$300,Торговля!$E$5:$E$300,$B61)+SUMIFS(Закрытые!$L$5:$L$300,Закрытые!$E$5:$E$300,$B61,Закрытые!$B$5:$B$300,"T-*"),8)))</f>
        <v/>
      </c>
      <c r="J61" s="241">
        <f>IF($B61="","",IF(COUNTIFS(Торговля!$E$5:$E$300,$B61)+COUNTIFS(Закрытые!$E$5:$E$300,$B61,Закрытые!$B$5:$B$300,"T-*")=0,"",ROUND(SUMIFS(Торговля!$M$5:$M$300,Торговля!$E$5:$E$300,$B61)+SUMIFS(Закрытые!$M$5:$M$300,Закрытые!$E$5:$E$300,$B61,Закрытые!$B$5:$B$300,"T-*"),8)))</f>
        <v/>
      </c>
      <c r="K61" s="240">
        <f>IF($B61="","",ROUND(SUMIFS(Закрытые!$N$5:$N$300,Закрытые!$E$5:$E$300,$B61,Закрытые!$B$5:$B$300,"T-*"),8))</f>
        <v/>
      </c>
      <c r="L61" s="177">
        <f>IF(K61="","",IF(SUMPRODUCT((Закрытые!$E$5:$E$300=$B61)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61/SUMPRODUCT((Закрытые!$E$5:$E$300=$B61)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1" s="177">
        <f>IF(OR(ROUND(N(C61)-N(F61),8)=0,1-N(Ввод!$E$17)/100&lt;=0),"",IF(N(C61)&gt;N(F61),(N(E61)-N(H61))/((N(C61)-N(F61))*(1-N(Ввод!$E$17)/100)),(N(H61)-N(E61))/((N(F61)-N(C61))*(1+N(Ввод!$E$17)/100))))</f>
        <v/>
      </c>
    </row>
    <row r="62" ht="22" customHeight="1">
      <c r="B62" s="320" t="n"/>
      <c r="C62" s="246">
        <f>IF(SUMIFS(Торговля!$F$5:$F$300,Торговля!$E$5:$E$300,$B62)+SUMIFS(Закрытые!$F$5:$F$300,Закрытые!$E$5:$E$300,$B62,Закрытые!$B$5:$B$300,"T-*")=0,"",SUMIFS(Торговля!$F$5:$F$300,Торговля!$E$5:$E$300,$B62)+SUMIFS(Закрытые!$F$5:$F$300,Закрытые!$E$5:$E$300,$B62,Закрытые!$B$5:$B$300,"T-*"))</f>
        <v/>
      </c>
      <c r="D62" s="183">
        <f>IF(C62="","",(SUMPRODUCT((Торговля!$E$5:$E$300=$B62)*Торговля!$F$5:$F$300*Торговля!$G$5:$G$300)+SUMPRODUCT((Закрытые!$E$5:$E$300=$B62)*(LEFT(Закрытые!$B$5:$B$300,2)="T-")*Закрытые!$F$5:$F$300*Закрытые!$G$5:$G$300))/C62)</f>
        <v/>
      </c>
      <c r="E62" s="247">
        <f>IF(C62="","",SUMIFS(Торговля!$H$5:$H$300,Торговля!$E$5:$E$300,$B62)+SUMIFS(Закрытые!$H$5:$H$300,Закрытые!$E$5:$E$300,$B62,Закрытые!$B$5:$B$300,"T-*"))</f>
        <v/>
      </c>
      <c r="F62" s="246">
        <f>IF(SUMIFS(Торговля!$I$5:$I$300,Торговля!$E$5:$E$300,$B62)+SUMIFS(Закрытые!$I$5:$I$300,Закрытые!$E$5:$E$300,$B62,Закрытые!$B$5:$B$300,"T-*")=0,"",SUMIFS(Торговля!$I$5:$I$300,Торговля!$E$5:$E$300,$B62)+SUMIFS(Закрытые!$I$5:$I$300,Закрытые!$E$5:$E$300,$B62,Закрытые!$B$5:$B$300,"T-*"))</f>
        <v/>
      </c>
      <c r="G62" s="183">
        <f>IF(F62="","",(SUMPRODUCT((Торговля!$E$5:$E$300=$B62)*Торговля!$I$5:$I$300*Торговля!$J$5:$J$300)+SUMPRODUCT((Закрытые!$E$5:$E$300=$B62)*(LEFT(Закрытые!$B$5:$B$300,2)="T-")*Закрытые!$I$5:$I$300*Закрытые!$J$5:$J$300))/F62)</f>
        <v/>
      </c>
      <c r="H62" s="247">
        <f>IF(F62="","",SUMIFS(Торговля!$K$5:$K$300,Торговля!$E$5:$E$300,$B62)+SUMIFS(Закрытые!$K$5:$K$300,Закрытые!$E$5:$E$300,$B62,Закрытые!$B$5:$B$300,"T-*"))</f>
        <v/>
      </c>
      <c r="I62" s="246">
        <f>IF($B62="","",IF(COUNTIFS(Торговля!$E$5:$E$300,$B62)+COUNTIFS(Закрытые!$E$5:$E$300,$B62,Закрытые!$B$5:$B$300,"T-*")=0,"",ROUND(SUMIFS(Торговля!$L$5:$L$300,Торговля!$E$5:$E$300,$B62)+SUMIFS(Закрытые!$L$5:$L$300,Закрытые!$E$5:$E$300,$B62,Закрытые!$B$5:$B$300,"T-*"),8)))</f>
        <v/>
      </c>
      <c r="J62" s="247">
        <f>IF($B62="","",IF(COUNTIFS(Торговля!$E$5:$E$300,$B62)+COUNTIFS(Закрытые!$E$5:$E$300,$B62,Закрытые!$B$5:$B$300,"T-*")=0,"",ROUND(SUMIFS(Торговля!$M$5:$M$300,Торговля!$E$5:$E$300,$B62)+SUMIFS(Закрытые!$M$5:$M$300,Закрытые!$E$5:$E$300,$B62,Закрытые!$B$5:$B$300,"T-*"),8)))</f>
        <v/>
      </c>
      <c r="K62" s="246">
        <f>IF($B62="","",ROUND(SUMIFS(Закрытые!$N$5:$N$300,Закрытые!$E$5:$E$300,$B62,Закрытые!$B$5:$B$300,"T-*"),8))</f>
        <v/>
      </c>
      <c r="L62" s="183">
        <f>IF(K62="","",IF(SUMPRODUCT((Закрытые!$E$5:$E$300=$B62)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62/SUMPRODUCT((Закрытые!$E$5:$E$300=$B62)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2" s="183">
        <f>IF(OR(ROUND(N(C62)-N(F62),8)=0,1-N(Ввод!$E$17)/100&lt;=0),"",IF(N(C62)&gt;N(F62),(N(E62)-N(H62))/((N(C62)-N(F62))*(1-N(Ввод!$E$17)/100)),(N(H62)-N(E62))/((N(F62)-N(C62))*(1+N(Ввод!$E$17)/100))))</f>
        <v/>
      </c>
    </row>
    <row r="63" ht="22" customHeight="1">
      <c r="B63" s="315" t="n"/>
      <c r="C63" s="240">
        <f>IF(SUMIFS(Торговля!$F$5:$F$300,Торговля!$E$5:$E$300,$B63)+SUMIFS(Закрытые!$F$5:$F$300,Закрытые!$E$5:$E$300,$B63,Закрытые!$B$5:$B$300,"T-*")=0,"",SUMIFS(Торговля!$F$5:$F$300,Торговля!$E$5:$E$300,$B63)+SUMIFS(Закрытые!$F$5:$F$300,Закрытые!$E$5:$E$300,$B63,Закрытые!$B$5:$B$300,"T-*"))</f>
        <v/>
      </c>
      <c r="D63" s="177">
        <f>IF(C63="","",(SUMPRODUCT((Торговля!$E$5:$E$300=$B63)*Торговля!$F$5:$F$300*Торговля!$G$5:$G$300)+SUMPRODUCT((Закрытые!$E$5:$E$300=$B63)*(LEFT(Закрытые!$B$5:$B$300,2)="T-")*Закрытые!$F$5:$F$300*Закрытые!$G$5:$G$300))/C63)</f>
        <v/>
      </c>
      <c r="E63" s="241">
        <f>IF(C63="","",SUMIFS(Торговля!$H$5:$H$300,Торговля!$E$5:$E$300,$B63)+SUMIFS(Закрытые!$H$5:$H$300,Закрытые!$E$5:$E$300,$B63,Закрытые!$B$5:$B$300,"T-*"))</f>
        <v/>
      </c>
      <c r="F63" s="240">
        <f>IF(SUMIFS(Торговля!$I$5:$I$300,Торговля!$E$5:$E$300,$B63)+SUMIFS(Закрытые!$I$5:$I$300,Закрытые!$E$5:$E$300,$B63,Закрытые!$B$5:$B$300,"T-*")=0,"",SUMIFS(Торговля!$I$5:$I$300,Торговля!$E$5:$E$300,$B63)+SUMIFS(Закрытые!$I$5:$I$300,Закрытые!$E$5:$E$300,$B63,Закрытые!$B$5:$B$300,"T-*"))</f>
        <v/>
      </c>
      <c r="G63" s="177">
        <f>IF(F63="","",(SUMPRODUCT((Торговля!$E$5:$E$300=$B63)*Торговля!$I$5:$I$300*Торговля!$J$5:$J$300)+SUMPRODUCT((Закрытые!$E$5:$E$300=$B63)*(LEFT(Закрытые!$B$5:$B$300,2)="T-")*Закрытые!$I$5:$I$300*Закрытые!$J$5:$J$300))/F63)</f>
        <v/>
      </c>
      <c r="H63" s="241">
        <f>IF(F63="","",SUMIFS(Торговля!$K$5:$K$300,Торговля!$E$5:$E$300,$B63)+SUMIFS(Закрытые!$K$5:$K$300,Закрытые!$E$5:$E$300,$B63,Закрытые!$B$5:$B$300,"T-*"))</f>
        <v/>
      </c>
      <c r="I63" s="240">
        <f>IF($B63="","",IF(COUNTIFS(Торговля!$E$5:$E$300,$B63)+COUNTIFS(Закрытые!$E$5:$E$300,$B63,Закрытые!$B$5:$B$300,"T-*")=0,"",ROUND(SUMIFS(Торговля!$L$5:$L$300,Торговля!$E$5:$E$300,$B63)+SUMIFS(Закрытые!$L$5:$L$300,Закрытые!$E$5:$E$300,$B63,Закрытые!$B$5:$B$300,"T-*"),8)))</f>
        <v/>
      </c>
      <c r="J63" s="241">
        <f>IF($B63="","",IF(COUNTIFS(Торговля!$E$5:$E$300,$B63)+COUNTIFS(Закрытые!$E$5:$E$300,$B63,Закрытые!$B$5:$B$300,"T-*")=0,"",ROUND(SUMIFS(Торговля!$M$5:$M$300,Торговля!$E$5:$E$300,$B63)+SUMIFS(Закрытые!$M$5:$M$300,Закрытые!$E$5:$E$300,$B63,Закрытые!$B$5:$B$300,"T-*"),8)))</f>
        <v/>
      </c>
      <c r="K63" s="240">
        <f>IF($B63="","",ROUND(SUMIFS(Закрытые!$N$5:$N$300,Закрытые!$E$5:$E$300,$B63,Закрытые!$B$5:$B$300,"T-*"),8))</f>
        <v/>
      </c>
      <c r="L63" s="177">
        <f>IF(K63="","",IF(SUMPRODUCT((Закрытые!$E$5:$E$300=$B63)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63/SUMPRODUCT((Закрытые!$E$5:$E$300=$B63)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3" s="177">
        <f>IF(OR(ROUND(N(C63)-N(F63),8)=0,1-N(Ввод!$E$17)/100&lt;=0),"",IF(N(C63)&gt;N(F63),(N(E63)-N(H63))/((N(C63)-N(F63))*(1-N(Ввод!$E$17)/100)),(N(H63)-N(E63))/((N(F63)-N(C63))*(1+N(Ввод!$E$17)/100))))</f>
        <v/>
      </c>
    </row>
    <row r="64" ht="22" customHeight="1">
      <c r="B64" s="320" t="n"/>
      <c r="C64" s="246">
        <f>IF(SUMIFS(Торговля!$F$5:$F$300,Торговля!$E$5:$E$300,$B64)+SUMIFS(Закрытые!$F$5:$F$300,Закрытые!$E$5:$E$300,$B64,Закрытые!$B$5:$B$300,"T-*")=0,"",SUMIFS(Торговля!$F$5:$F$300,Торговля!$E$5:$E$300,$B64)+SUMIFS(Закрытые!$F$5:$F$300,Закрытые!$E$5:$E$300,$B64,Закрытые!$B$5:$B$300,"T-*"))</f>
        <v/>
      </c>
      <c r="D64" s="183">
        <f>IF(C64="","",(SUMPRODUCT((Торговля!$E$5:$E$300=$B64)*Торговля!$F$5:$F$300*Торговля!$G$5:$G$300)+SUMPRODUCT((Закрытые!$E$5:$E$300=$B64)*(LEFT(Закрытые!$B$5:$B$300,2)="T-")*Закрытые!$F$5:$F$300*Закрытые!$G$5:$G$300))/C64)</f>
        <v/>
      </c>
      <c r="E64" s="247">
        <f>IF(C64="","",SUMIFS(Торговля!$H$5:$H$300,Торговля!$E$5:$E$300,$B64)+SUMIFS(Закрытые!$H$5:$H$300,Закрытые!$E$5:$E$300,$B64,Закрытые!$B$5:$B$300,"T-*"))</f>
        <v/>
      </c>
      <c r="F64" s="246">
        <f>IF(SUMIFS(Торговля!$I$5:$I$300,Торговля!$E$5:$E$300,$B64)+SUMIFS(Закрытые!$I$5:$I$300,Закрытые!$E$5:$E$300,$B64,Закрытые!$B$5:$B$300,"T-*")=0,"",SUMIFS(Торговля!$I$5:$I$300,Торговля!$E$5:$E$300,$B64)+SUMIFS(Закрытые!$I$5:$I$300,Закрытые!$E$5:$E$300,$B64,Закрытые!$B$5:$B$300,"T-*"))</f>
        <v/>
      </c>
      <c r="G64" s="183">
        <f>IF(F64="","",(SUMPRODUCT((Торговля!$E$5:$E$300=$B64)*Торговля!$I$5:$I$300*Торговля!$J$5:$J$300)+SUMPRODUCT((Закрытые!$E$5:$E$300=$B64)*(LEFT(Закрытые!$B$5:$B$300,2)="T-")*Закрытые!$I$5:$I$300*Закрытые!$J$5:$J$300))/F64)</f>
        <v/>
      </c>
      <c r="H64" s="247">
        <f>IF(F64="","",SUMIFS(Торговля!$K$5:$K$300,Торговля!$E$5:$E$300,$B64)+SUMIFS(Закрытые!$K$5:$K$300,Закрытые!$E$5:$E$300,$B64,Закрытые!$B$5:$B$300,"T-*"))</f>
        <v/>
      </c>
      <c r="I64" s="246">
        <f>IF($B64="","",IF(COUNTIFS(Торговля!$E$5:$E$300,$B64)+COUNTIFS(Закрытые!$E$5:$E$300,$B64,Закрытые!$B$5:$B$300,"T-*")=0,"",ROUND(SUMIFS(Торговля!$L$5:$L$300,Торговля!$E$5:$E$300,$B64)+SUMIFS(Закрытые!$L$5:$L$300,Закрытые!$E$5:$E$300,$B64,Закрытые!$B$5:$B$300,"T-*"),8)))</f>
        <v/>
      </c>
      <c r="J64" s="247">
        <f>IF($B64="","",IF(COUNTIFS(Торговля!$E$5:$E$300,$B64)+COUNTIFS(Закрытые!$E$5:$E$300,$B64,Закрытые!$B$5:$B$300,"T-*")=0,"",ROUND(SUMIFS(Торговля!$M$5:$M$300,Торговля!$E$5:$E$300,$B64)+SUMIFS(Закрытые!$M$5:$M$300,Закрытые!$E$5:$E$300,$B64,Закрытые!$B$5:$B$300,"T-*"),8)))</f>
        <v/>
      </c>
      <c r="K64" s="246">
        <f>IF($B64="","",ROUND(SUMIFS(Закрытые!$N$5:$N$300,Закрытые!$E$5:$E$300,$B64,Закрытые!$B$5:$B$300,"T-*"),8))</f>
        <v/>
      </c>
      <c r="L64" s="183">
        <f>IF(K64="","",IF(SUMPRODUCT((Закрытые!$E$5:$E$300=$B64)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64/SUMPRODUCT((Закрытые!$E$5:$E$300=$B64)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4" s="183">
        <f>IF(OR(ROUND(N(C64)-N(F64),8)=0,1-N(Ввод!$E$17)/100&lt;=0),"",IF(N(C64)&gt;N(F64),(N(E64)-N(H64))/((N(C64)-N(F64))*(1-N(Ввод!$E$17)/100)),(N(H64)-N(E64))/((N(F64)-N(C64))*(1+N(Ввод!$E$17)/100))))</f>
        <v/>
      </c>
    </row>
    <row r="65" ht="22" customHeight="1">
      <c r="B65" s="315" t="n"/>
      <c r="C65" s="240">
        <f>IF(SUMIFS(Торговля!$F$5:$F$300,Торговля!$E$5:$E$300,$B65)+SUMIFS(Закрытые!$F$5:$F$300,Закрытые!$E$5:$E$300,$B65,Закрытые!$B$5:$B$300,"T-*")=0,"",SUMIFS(Торговля!$F$5:$F$300,Торговля!$E$5:$E$300,$B65)+SUMIFS(Закрытые!$F$5:$F$300,Закрытые!$E$5:$E$300,$B65,Закрытые!$B$5:$B$300,"T-*"))</f>
        <v/>
      </c>
      <c r="D65" s="177">
        <f>IF(C65="","",(SUMPRODUCT((Торговля!$E$5:$E$300=$B65)*Торговля!$F$5:$F$300*Торговля!$G$5:$G$300)+SUMPRODUCT((Закрытые!$E$5:$E$300=$B65)*(LEFT(Закрытые!$B$5:$B$300,2)="T-")*Закрытые!$F$5:$F$300*Закрытые!$G$5:$G$300))/C65)</f>
        <v/>
      </c>
      <c r="E65" s="241">
        <f>IF(C65="","",SUMIFS(Торговля!$H$5:$H$300,Торговля!$E$5:$E$300,$B65)+SUMIFS(Закрытые!$H$5:$H$300,Закрытые!$E$5:$E$300,$B65,Закрытые!$B$5:$B$300,"T-*"))</f>
        <v/>
      </c>
      <c r="F65" s="240">
        <f>IF(SUMIFS(Торговля!$I$5:$I$300,Торговля!$E$5:$E$300,$B65)+SUMIFS(Закрытые!$I$5:$I$300,Закрытые!$E$5:$E$300,$B65,Закрытые!$B$5:$B$300,"T-*")=0,"",SUMIFS(Торговля!$I$5:$I$300,Торговля!$E$5:$E$300,$B65)+SUMIFS(Закрытые!$I$5:$I$300,Закрытые!$E$5:$E$300,$B65,Закрытые!$B$5:$B$300,"T-*"))</f>
        <v/>
      </c>
      <c r="G65" s="177">
        <f>IF(F65="","",(SUMPRODUCT((Торговля!$E$5:$E$300=$B65)*Торговля!$I$5:$I$300*Торговля!$J$5:$J$300)+SUMPRODUCT((Закрытые!$E$5:$E$300=$B65)*(LEFT(Закрытые!$B$5:$B$300,2)="T-")*Закрытые!$I$5:$I$300*Закрытые!$J$5:$J$300))/F65)</f>
        <v/>
      </c>
      <c r="H65" s="241">
        <f>IF(F65="","",SUMIFS(Торговля!$K$5:$K$300,Торговля!$E$5:$E$300,$B65)+SUMIFS(Закрытые!$K$5:$K$300,Закрытые!$E$5:$E$300,$B65,Закрытые!$B$5:$B$300,"T-*"))</f>
        <v/>
      </c>
      <c r="I65" s="240">
        <f>IF($B65="","",IF(COUNTIFS(Торговля!$E$5:$E$300,$B65)+COUNTIFS(Закрытые!$E$5:$E$300,$B65,Закрытые!$B$5:$B$300,"T-*")=0,"",ROUND(SUMIFS(Торговля!$L$5:$L$300,Торговля!$E$5:$E$300,$B65)+SUMIFS(Закрытые!$L$5:$L$300,Закрытые!$E$5:$E$300,$B65,Закрытые!$B$5:$B$300,"T-*"),8)))</f>
        <v/>
      </c>
      <c r="J65" s="241">
        <f>IF($B65="","",IF(COUNTIFS(Торговля!$E$5:$E$300,$B65)+COUNTIFS(Закрытые!$E$5:$E$300,$B65,Закрытые!$B$5:$B$300,"T-*")=0,"",ROUND(SUMIFS(Торговля!$M$5:$M$300,Торговля!$E$5:$E$300,$B65)+SUMIFS(Закрытые!$M$5:$M$300,Закрытые!$E$5:$E$300,$B65,Закрытые!$B$5:$B$300,"T-*"),8)))</f>
        <v/>
      </c>
      <c r="K65" s="240">
        <f>IF($B65="","",ROUND(SUMIFS(Закрытые!$N$5:$N$300,Закрытые!$E$5:$E$300,$B65,Закрытые!$B$5:$B$300,"T-*"),8))</f>
        <v/>
      </c>
      <c r="L65" s="177">
        <f>IF(K65="","",IF(SUMPRODUCT((Закрытые!$E$5:$E$300=$B65)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65/SUMPRODUCT((Закрытые!$E$5:$E$300=$B65)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5" s="177">
        <f>IF(OR(ROUND(N(C65)-N(F65),8)=0,1-N(Ввод!$E$17)/100&lt;=0),"",IF(N(C65)&gt;N(F65),(N(E65)-N(H65))/((N(C65)-N(F65))*(1-N(Ввод!$E$17)/100)),(N(H65)-N(E65))/((N(F65)-N(C65))*(1+N(Ввод!$E$17)/100))))</f>
        <v/>
      </c>
    </row>
    <row r="66" ht="22" customHeight="1">
      <c r="B66" s="320" t="n"/>
      <c r="C66" s="246">
        <f>IF(SUMIFS(Торговля!$F$5:$F$300,Торговля!$E$5:$E$300,$B66)+SUMIFS(Закрытые!$F$5:$F$300,Закрытые!$E$5:$E$300,$B66,Закрытые!$B$5:$B$300,"T-*")=0,"",SUMIFS(Торговля!$F$5:$F$300,Торговля!$E$5:$E$300,$B66)+SUMIFS(Закрытые!$F$5:$F$300,Закрытые!$E$5:$E$300,$B66,Закрытые!$B$5:$B$300,"T-*"))</f>
        <v/>
      </c>
      <c r="D66" s="183">
        <f>IF(C66="","",(SUMPRODUCT((Торговля!$E$5:$E$300=$B66)*Торговля!$F$5:$F$300*Торговля!$G$5:$G$300)+SUMPRODUCT((Закрытые!$E$5:$E$300=$B66)*(LEFT(Закрытые!$B$5:$B$300,2)="T-")*Закрытые!$F$5:$F$300*Закрытые!$G$5:$G$300))/C66)</f>
        <v/>
      </c>
      <c r="E66" s="247">
        <f>IF(C66="","",SUMIFS(Торговля!$H$5:$H$300,Торговля!$E$5:$E$300,$B66)+SUMIFS(Закрытые!$H$5:$H$300,Закрытые!$E$5:$E$300,$B66,Закрытые!$B$5:$B$300,"T-*"))</f>
        <v/>
      </c>
      <c r="F66" s="246">
        <f>IF(SUMIFS(Торговля!$I$5:$I$300,Торговля!$E$5:$E$300,$B66)+SUMIFS(Закрытые!$I$5:$I$300,Закрытые!$E$5:$E$300,$B66,Закрытые!$B$5:$B$300,"T-*")=0,"",SUMIFS(Торговля!$I$5:$I$300,Торговля!$E$5:$E$300,$B66)+SUMIFS(Закрытые!$I$5:$I$300,Закрытые!$E$5:$E$300,$B66,Закрытые!$B$5:$B$300,"T-*"))</f>
        <v/>
      </c>
      <c r="G66" s="183">
        <f>IF(F66="","",(SUMPRODUCT((Торговля!$E$5:$E$300=$B66)*Торговля!$I$5:$I$300*Торговля!$J$5:$J$300)+SUMPRODUCT((Закрытые!$E$5:$E$300=$B66)*(LEFT(Закрытые!$B$5:$B$300,2)="T-")*Закрытые!$I$5:$I$300*Закрытые!$J$5:$J$300))/F66)</f>
        <v/>
      </c>
      <c r="H66" s="247">
        <f>IF(F66="","",SUMIFS(Торговля!$K$5:$K$300,Торговля!$E$5:$E$300,$B66)+SUMIFS(Закрытые!$K$5:$K$300,Закрытые!$E$5:$E$300,$B66,Закрытые!$B$5:$B$300,"T-*"))</f>
        <v/>
      </c>
      <c r="I66" s="246">
        <f>IF($B66="","",IF(COUNTIFS(Торговля!$E$5:$E$300,$B66)+COUNTIFS(Закрытые!$E$5:$E$300,$B66,Закрытые!$B$5:$B$300,"T-*")=0,"",ROUND(SUMIFS(Торговля!$L$5:$L$300,Торговля!$E$5:$E$300,$B66)+SUMIFS(Закрытые!$L$5:$L$300,Закрытые!$E$5:$E$300,$B66,Закрытые!$B$5:$B$300,"T-*"),8)))</f>
        <v/>
      </c>
      <c r="J66" s="247">
        <f>IF($B66="","",IF(COUNTIFS(Торговля!$E$5:$E$300,$B66)+COUNTIFS(Закрытые!$E$5:$E$300,$B66,Закрытые!$B$5:$B$300,"T-*")=0,"",ROUND(SUMIFS(Торговля!$M$5:$M$300,Торговля!$E$5:$E$300,$B66)+SUMIFS(Закрытые!$M$5:$M$300,Закрытые!$E$5:$E$300,$B66,Закрытые!$B$5:$B$300,"T-*"),8)))</f>
        <v/>
      </c>
      <c r="K66" s="246">
        <f>IF($B66="","",ROUND(SUMIFS(Закрытые!$N$5:$N$300,Закрытые!$E$5:$E$300,$B66,Закрытые!$B$5:$B$300,"T-*"),8))</f>
        <v/>
      </c>
      <c r="L66" s="183">
        <f>IF(K66="","",IF(SUMPRODUCT((Закрытые!$E$5:$E$300=$B66)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66/SUMPRODUCT((Закрытые!$E$5:$E$300=$B66)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6" s="183">
        <f>IF(OR(ROUND(N(C66)-N(F66),8)=0,1-N(Ввод!$E$17)/100&lt;=0),"",IF(N(C66)&gt;N(F66),(N(E66)-N(H66))/((N(C66)-N(F66))*(1-N(Ввод!$E$17)/100)),(N(H66)-N(E66))/((N(F66)-N(C66))*(1+N(Ввод!$E$17)/100))))</f>
        <v/>
      </c>
    </row>
    <row r="67" ht="22" customHeight="1">
      <c r="B67" s="315" t="n"/>
      <c r="C67" s="240">
        <f>IF(SUMIFS(Торговля!$F$5:$F$300,Торговля!$E$5:$E$300,$B67)+SUMIFS(Закрытые!$F$5:$F$300,Закрытые!$E$5:$E$300,$B67,Закрытые!$B$5:$B$300,"T-*")=0,"",SUMIFS(Торговля!$F$5:$F$300,Торговля!$E$5:$E$300,$B67)+SUMIFS(Закрытые!$F$5:$F$300,Закрытые!$E$5:$E$300,$B67,Закрытые!$B$5:$B$300,"T-*"))</f>
        <v/>
      </c>
      <c r="D67" s="177">
        <f>IF(C67="","",(SUMPRODUCT((Торговля!$E$5:$E$300=$B67)*Торговля!$F$5:$F$300*Торговля!$G$5:$G$300)+SUMPRODUCT((Закрытые!$E$5:$E$300=$B67)*(LEFT(Закрытые!$B$5:$B$300,2)="T-")*Закрытые!$F$5:$F$300*Закрытые!$G$5:$G$300))/C67)</f>
        <v/>
      </c>
      <c r="E67" s="241">
        <f>IF(C67="","",SUMIFS(Торговля!$H$5:$H$300,Торговля!$E$5:$E$300,$B67)+SUMIFS(Закрытые!$H$5:$H$300,Закрытые!$E$5:$E$300,$B67,Закрытые!$B$5:$B$300,"T-*"))</f>
        <v/>
      </c>
      <c r="F67" s="240">
        <f>IF(SUMIFS(Торговля!$I$5:$I$300,Торговля!$E$5:$E$300,$B67)+SUMIFS(Закрытые!$I$5:$I$300,Закрытые!$E$5:$E$300,$B67,Закрытые!$B$5:$B$300,"T-*")=0,"",SUMIFS(Торговля!$I$5:$I$300,Торговля!$E$5:$E$300,$B67)+SUMIFS(Закрытые!$I$5:$I$300,Закрытые!$E$5:$E$300,$B67,Закрытые!$B$5:$B$300,"T-*"))</f>
        <v/>
      </c>
      <c r="G67" s="177">
        <f>IF(F67="","",(SUMPRODUCT((Торговля!$E$5:$E$300=$B67)*Торговля!$I$5:$I$300*Торговля!$J$5:$J$300)+SUMPRODUCT((Закрытые!$E$5:$E$300=$B67)*(LEFT(Закрытые!$B$5:$B$300,2)="T-")*Закрытые!$I$5:$I$300*Закрытые!$J$5:$J$300))/F67)</f>
        <v/>
      </c>
      <c r="H67" s="241">
        <f>IF(F67="","",SUMIFS(Торговля!$K$5:$K$300,Торговля!$E$5:$E$300,$B67)+SUMIFS(Закрытые!$K$5:$K$300,Закрытые!$E$5:$E$300,$B67,Закрытые!$B$5:$B$300,"T-*"))</f>
        <v/>
      </c>
      <c r="I67" s="240">
        <f>IF($B67="","",IF(COUNTIFS(Торговля!$E$5:$E$300,$B67)+COUNTIFS(Закрытые!$E$5:$E$300,$B67,Закрытые!$B$5:$B$300,"T-*")=0,"",ROUND(SUMIFS(Торговля!$L$5:$L$300,Торговля!$E$5:$E$300,$B67)+SUMIFS(Закрытые!$L$5:$L$300,Закрытые!$E$5:$E$300,$B67,Закрытые!$B$5:$B$300,"T-*"),8)))</f>
        <v/>
      </c>
      <c r="J67" s="241">
        <f>IF($B67="","",IF(COUNTIFS(Торговля!$E$5:$E$300,$B67)+COUNTIFS(Закрытые!$E$5:$E$300,$B67,Закрытые!$B$5:$B$300,"T-*")=0,"",ROUND(SUMIFS(Торговля!$M$5:$M$300,Торговля!$E$5:$E$300,$B67)+SUMIFS(Закрытые!$M$5:$M$300,Закрытые!$E$5:$E$300,$B67,Закрытые!$B$5:$B$300,"T-*"),8)))</f>
        <v/>
      </c>
      <c r="K67" s="240">
        <f>IF($B67="","",ROUND(SUMIFS(Закрытые!$N$5:$N$300,Закрытые!$E$5:$E$300,$B67,Закрытые!$B$5:$B$300,"T-*"),8))</f>
        <v/>
      </c>
      <c r="L67" s="177">
        <f>IF(K67="","",IF(SUMPRODUCT((Закрытые!$E$5:$E$300=$B67)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67/SUMPRODUCT((Закрытые!$E$5:$E$300=$B67)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7" s="177">
        <f>IF(OR(ROUND(N(C67)-N(F67),8)=0,1-N(Ввод!$E$17)/100&lt;=0),"",IF(N(C67)&gt;N(F67),(N(E67)-N(H67))/((N(C67)-N(F67))*(1-N(Ввод!$E$17)/100)),(N(H67)-N(E67))/((N(F67)-N(C67))*(1+N(Ввод!$E$17)/100))))</f>
        <v/>
      </c>
    </row>
    <row r="68" ht="22" customHeight="1">
      <c r="B68" s="320" t="n"/>
      <c r="C68" s="246">
        <f>IF(SUMIFS(Торговля!$F$5:$F$300,Торговля!$E$5:$E$300,$B68)+SUMIFS(Закрытые!$F$5:$F$300,Закрытые!$E$5:$E$300,$B68,Закрытые!$B$5:$B$300,"T-*")=0,"",SUMIFS(Торговля!$F$5:$F$300,Торговля!$E$5:$E$300,$B68)+SUMIFS(Закрытые!$F$5:$F$300,Закрытые!$E$5:$E$300,$B68,Закрытые!$B$5:$B$300,"T-*"))</f>
        <v/>
      </c>
      <c r="D68" s="183">
        <f>IF(C68="","",(SUMPRODUCT((Торговля!$E$5:$E$300=$B68)*Торговля!$F$5:$F$300*Торговля!$G$5:$G$300)+SUMPRODUCT((Закрытые!$E$5:$E$300=$B68)*(LEFT(Закрытые!$B$5:$B$300,2)="T-")*Закрытые!$F$5:$F$300*Закрытые!$G$5:$G$300))/C68)</f>
        <v/>
      </c>
      <c r="E68" s="247">
        <f>IF(C68="","",SUMIFS(Торговля!$H$5:$H$300,Торговля!$E$5:$E$300,$B68)+SUMIFS(Закрытые!$H$5:$H$300,Закрытые!$E$5:$E$300,$B68,Закрытые!$B$5:$B$300,"T-*"))</f>
        <v/>
      </c>
      <c r="F68" s="246">
        <f>IF(SUMIFS(Торговля!$I$5:$I$300,Торговля!$E$5:$E$300,$B68)+SUMIFS(Закрытые!$I$5:$I$300,Закрытые!$E$5:$E$300,$B68,Закрытые!$B$5:$B$300,"T-*")=0,"",SUMIFS(Торговля!$I$5:$I$300,Торговля!$E$5:$E$300,$B68)+SUMIFS(Закрытые!$I$5:$I$300,Закрытые!$E$5:$E$300,$B68,Закрытые!$B$5:$B$300,"T-*"))</f>
        <v/>
      </c>
      <c r="G68" s="183">
        <f>IF(F68="","",(SUMPRODUCT((Торговля!$E$5:$E$300=$B68)*Торговля!$I$5:$I$300*Торговля!$J$5:$J$300)+SUMPRODUCT((Закрытые!$E$5:$E$300=$B68)*(LEFT(Закрытые!$B$5:$B$300,2)="T-")*Закрытые!$I$5:$I$300*Закрытые!$J$5:$J$300))/F68)</f>
        <v/>
      </c>
      <c r="H68" s="247">
        <f>IF(F68="","",SUMIFS(Торговля!$K$5:$K$300,Торговля!$E$5:$E$300,$B68)+SUMIFS(Закрытые!$K$5:$K$300,Закрытые!$E$5:$E$300,$B68,Закрытые!$B$5:$B$300,"T-*"))</f>
        <v/>
      </c>
      <c r="I68" s="246">
        <f>IF($B68="","",IF(COUNTIFS(Торговля!$E$5:$E$300,$B68)+COUNTIFS(Закрытые!$E$5:$E$300,$B68,Закрытые!$B$5:$B$300,"T-*")=0,"",ROUND(SUMIFS(Торговля!$L$5:$L$300,Торговля!$E$5:$E$300,$B68)+SUMIFS(Закрытые!$L$5:$L$300,Закрытые!$E$5:$E$300,$B68,Закрытые!$B$5:$B$300,"T-*"),8)))</f>
        <v/>
      </c>
      <c r="J68" s="247">
        <f>IF($B68="","",IF(COUNTIFS(Торговля!$E$5:$E$300,$B68)+COUNTIFS(Закрытые!$E$5:$E$300,$B68,Закрытые!$B$5:$B$300,"T-*")=0,"",ROUND(SUMIFS(Торговля!$M$5:$M$300,Торговля!$E$5:$E$300,$B68)+SUMIFS(Закрытые!$M$5:$M$300,Закрытые!$E$5:$E$300,$B68,Закрытые!$B$5:$B$300,"T-*"),8)))</f>
        <v/>
      </c>
      <c r="K68" s="246">
        <f>IF($B68="","",ROUND(SUMIFS(Закрытые!$N$5:$N$300,Закрытые!$E$5:$E$300,$B68,Закрытые!$B$5:$B$300,"T-*"),8))</f>
        <v/>
      </c>
      <c r="L68" s="183">
        <f>IF(K68="","",IF(SUMPRODUCT((Закрытые!$E$5:$E$300=$B68)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68/SUMPRODUCT((Закрытые!$E$5:$E$300=$B68)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8" s="183">
        <f>IF(OR(ROUND(N(C68)-N(F68),8)=0,1-N(Ввод!$E$17)/100&lt;=0),"",IF(N(C68)&gt;N(F68),(N(E68)-N(H68))/((N(C68)-N(F68))*(1-N(Ввод!$E$17)/100)),(N(H68)-N(E68))/((N(F68)-N(C68))*(1+N(Ввод!$E$17)/100))))</f>
        <v/>
      </c>
    </row>
    <row r="69" ht="22" customHeight="1">
      <c r="B69" s="315" t="n"/>
      <c r="C69" s="240">
        <f>IF(SUMIFS(Торговля!$F$5:$F$300,Торговля!$E$5:$E$300,$B69)+SUMIFS(Закрытые!$F$5:$F$300,Закрытые!$E$5:$E$300,$B69,Закрытые!$B$5:$B$300,"T-*")=0,"",SUMIFS(Торговля!$F$5:$F$300,Торговля!$E$5:$E$300,$B69)+SUMIFS(Закрытые!$F$5:$F$300,Закрытые!$E$5:$E$300,$B69,Закрытые!$B$5:$B$300,"T-*"))</f>
        <v/>
      </c>
      <c r="D69" s="177">
        <f>IF(C69="","",(SUMPRODUCT((Торговля!$E$5:$E$300=$B69)*Торговля!$F$5:$F$300*Торговля!$G$5:$G$300)+SUMPRODUCT((Закрытые!$E$5:$E$300=$B69)*(LEFT(Закрытые!$B$5:$B$300,2)="T-")*Закрытые!$F$5:$F$300*Закрытые!$G$5:$G$300))/C69)</f>
        <v/>
      </c>
      <c r="E69" s="241">
        <f>IF(C69="","",SUMIFS(Торговля!$H$5:$H$300,Торговля!$E$5:$E$300,$B69)+SUMIFS(Закрытые!$H$5:$H$300,Закрытые!$E$5:$E$300,$B69,Закрытые!$B$5:$B$300,"T-*"))</f>
        <v/>
      </c>
      <c r="F69" s="240">
        <f>IF(SUMIFS(Торговля!$I$5:$I$300,Торговля!$E$5:$E$300,$B69)+SUMIFS(Закрытые!$I$5:$I$300,Закрытые!$E$5:$E$300,$B69,Закрытые!$B$5:$B$300,"T-*")=0,"",SUMIFS(Торговля!$I$5:$I$300,Торговля!$E$5:$E$300,$B69)+SUMIFS(Закрытые!$I$5:$I$300,Закрытые!$E$5:$E$300,$B69,Закрытые!$B$5:$B$300,"T-*"))</f>
        <v/>
      </c>
      <c r="G69" s="177">
        <f>IF(F69="","",(SUMPRODUCT((Торговля!$E$5:$E$300=$B69)*Торговля!$I$5:$I$300*Торговля!$J$5:$J$300)+SUMPRODUCT((Закрытые!$E$5:$E$300=$B69)*(LEFT(Закрытые!$B$5:$B$300,2)="T-")*Закрытые!$I$5:$I$300*Закрытые!$J$5:$J$300))/F69)</f>
        <v/>
      </c>
      <c r="H69" s="241">
        <f>IF(F69="","",SUMIFS(Торговля!$K$5:$K$300,Торговля!$E$5:$E$300,$B69)+SUMIFS(Закрытые!$K$5:$K$300,Закрытые!$E$5:$E$300,$B69,Закрытые!$B$5:$B$300,"T-*"))</f>
        <v/>
      </c>
      <c r="I69" s="240">
        <f>IF($B69="","",IF(COUNTIFS(Торговля!$E$5:$E$300,$B69)+COUNTIFS(Закрытые!$E$5:$E$300,$B69,Закрытые!$B$5:$B$300,"T-*")=0,"",ROUND(SUMIFS(Торговля!$L$5:$L$300,Торговля!$E$5:$E$300,$B69)+SUMIFS(Закрытые!$L$5:$L$300,Закрытые!$E$5:$E$300,$B69,Закрытые!$B$5:$B$300,"T-*"),8)))</f>
        <v/>
      </c>
      <c r="J69" s="241">
        <f>IF($B69="","",IF(COUNTIFS(Торговля!$E$5:$E$300,$B69)+COUNTIFS(Закрытые!$E$5:$E$300,$B69,Закрытые!$B$5:$B$300,"T-*")=0,"",ROUND(SUMIFS(Торговля!$M$5:$M$300,Торговля!$E$5:$E$300,$B69)+SUMIFS(Закрытые!$M$5:$M$300,Закрытые!$E$5:$E$300,$B69,Закрытые!$B$5:$B$300,"T-*"),8)))</f>
        <v/>
      </c>
      <c r="K69" s="240">
        <f>IF($B69="","",ROUND(SUMIFS(Закрытые!$N$5:$N$300,Закрытые!$E$5:$E$300,$B69,Закрытые!$B$5:$B$300,"T-*"),8))</f>
        <v/>
      </c>
      <c r="L69" s="177">
        <f>IF(K69="","",IF(SUMPRODUCT((Закрытые!$E$5:$E$300=$B69)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69/SUMPRODUCT((Закрытые!$E$5:$E$300=$B69)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9" s="177">
        <f>IF(OR(ROUND(N(C69)-N(F69),8)=0,1-N(Ввод!$E$17)/100&lt;=0),"",IF(N(C69)&gt;N(F69),(N(E69)-N(H69))/((N(C69)-N(F69))*(1-N(Ввод!$E$17)/100)),(N(H69)-N(E69))/((N(F69)-N(C69))*(1+N(Ввод!$E$17)/100))))</f>
        <v/>
      </c>
    </row>
    <row r="70" ht="22" customHeight="1">
      <c r="B70" s="320" t="n"/>
      <c r="C70" s="246">
        <f>IF(SUMIFS(Торговля!$F$5:$F$300,Торговля!$E$5:$E$300,$B70)+SUMIFS(Закрытые!$F$5:$F$300,Закрытые!$E$5:$E$300,$B70,Закрытые!$B$5:$B$300,"T-*")=0,"",SUMIFS(Торговля!$F$5:$F$300,Торговля!$E$5:$E$300,$B70)+SUMIFS(Закрытые!$F$5:$F$300,Закрытые!$E$5:$E$300,$B70,Закрытые!$B$5:$B$300,"T-*"))</f>
        <v/>
      </c>
      <c r="D70" s="183">
        <f>IF(C70="","",(SUMPRODUCT((Торговля!$E$5:$E$300=$B70)*Торговля!$F$5:$F$300*Торговля!$G$5:$G$300)+SUMPRODUCT((Закрытые!$E$5:$E$300=$B70)*(LEFT(Закрытые!$B$5:$B$300,2)="T-")*Закрытые!$F$5:$F$300*Закрытые!$G$5:$G$300))/C70)</f>
        <v/>
      </c>
      <c r="E70" s="247">
        <f>IF(C70="","",SUMIFS(Торговля!$H$5:$H$300,Торговля!$E$5:$E$300,$B70)+SUMIFS(Закрытые!$H$5:$H$300,Закрытые!$E$5:$E$300,$B70,Закрытые!$B$5:$B$300,"T-*"))</f>
        <v/>
      </c>
      <c r="F70" s="246">
        <f>IF(SUMIFS(Торговля!$I$5:$I$300,Торговля!$E$5:$E$300,$B70)+SUMIFS(Закрытые!$I$5:$I$300,Закрытые!$E$5:$E$300,$B70,Закрытые!$B$5:$B$300,"T-*")=0,"",SUMIFS(Торговля!$I$5:$I$300,Торговля!$E$5:$E$300,$B70)+SUMIFS(Закрытые!$I$5:$I$300,Закрытые!$E$5:$E$300,$B70,Закрытые!$B$5:$B$300,"T-*"))</f>
        <v/>
      </c>
      <c r="G70" s="183">
        <f>IF(F70="","",(SUMPRODUCT((Торговля!$E$5:$E$300=$B70)*Торговля!$I$5:$I$300*Торговля!$J$5:$J$300)+SUMPRODUCT((Закрытые!$E$5:$E$300=$B70)*(LEFT(Закрытые!$B$5:$B$300,2)="T-")*Закрытые!$I$5:$I$300*Закрытые!$J$5:$J$300))/F70)</f>
        <v/>
      </c>
      <c r="H70" s="247">
        <f>IF(F70="","",SUMIFS(Торговля!$K$5:$K$300,Торговля!$E$5:$E$300,$B70)+SUMIFS(Закрытые!$K$5:$K$300,Закрытые!$E$5:$E$300,$B70,Закрытые!$B$5:$B$300,"T-*"))</f>
        <v/>
      </c>
      <c r="I70" s="246">
        <f>IF($B70="","",IF(COUNTIFS(Торговля!$E$5:$E$300,$B70)+COUNTIFS(Закрытые!$E$5:$E$300,$B70,Закрытые!$B$5:$B$300,"T-*")=0,"",ROUND(SUMIFS(Торговля!$L$5:$L$300,Торговля!$E$5:$E$300,$B70)+SUMIFS(Закрытые!$L$5:$L$300,Закрытые!$E$5:$E$300,$B70,Закрытые!$B$5:$B$300,"T-*"),8)))</f>
        <v/>
      </c>
      <c r="J70" s="247">
        <f>IF($B70="","",IF(COUNTIFS(Торговля!$E$5:$E$300,$B70)+COUNTIFS(Закрытые!$E$5:$E$300,$B70,Закрытые!$B$5:$B$300,"T-*")=0,"",ROUND(SUMIFS(Торговля!$M$5:$M$300,Торговля!$E$5:$E$300,$B70)+SUMIFS(Закрытые!$M$5:$M$300,Закрытые!$E$5:$E$300,$B70,Закрытые!$B$5:$B$300,"T-*"),8)))</f>
        <v/>
      </c>
      <c r="K70" s="246">
        <f>IF($B70="","",ROUND(SUMIFS(Закрытые!$N$5:$N$300,Закрытые!$E$5:$E$300,$B70,Закрытые!$B$5:$B$300,"T-*"),8))</f>
        <v/>
      </c>
      <c r="L70" s="183">
        <f>IF(K70="","",IF(SUMPRODUCT((Закрытые!$E$5:$E$300=$B70)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70/SUMPRODUCT((Закрытые!$E$5:$E$300=$B70)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0" s="183">
        <f>IF(OR(ROUND(N(C70)-N(F70),8)=0,1-N(Ввод!$E$17)/100&lt;=0),"",IF(N(C70)&gt;N(F70),(N(E70)-N(H70))/((N(C70)-N(F70))*(1-N(Ввод!$E$17)/100)),(N(H70)-N(E70))/((N(F70)-N(C70))*(1+N(Ввод!$E$17)/100))))</f>
        <v/>
      </c>
    </row>
    <row r="71" ht="22" customHeight="1">
      <c r="B71" s="315" t="n"/>
      <c r="C71" s="240">
        <f>IF(SUMIFS(Торговля!$F$5:$F$300,Торговля!$E$5:$E$300,$B71)+SUMIFS(Закрытые!$F$5:$F$300,Закрытые!$E$5:$E$300,$B71,Закрытые!$B$5:$B$300,"T-*")=0,"",SUMIFS(Торговля!$F$5:$F$300,Торговля!$E$5:$E$300,$B71)+SUMIFS(Закрытые!$F$5:$F$300,Закрытые!$E$5:$E$300,$B71,Закрытые!$B$5:$B$300,"T-*"))</f>
        <v/>
      </c>
      <c r="D71" s="177">
        <f>IF(C71="","",(SUMPRODUCT((Торговля!$E$5:$E$300=$B71)*Торговля!$F$5:$F$300*Торговля!$G$5:$G$300)+SUMPRODUCT((Закрытые!$E$5:$E$300=$B71)*(LEFT(Закрытые!$B$5:$B$300,2)="T-")*Закрытые!$F$5:$F$300*Закрытые!$G$5:$G$300))/C71)</f>
        <v/>
      </c>
      <c r="E71" s="241">
        <f>IF(C71="","",SUMIFS(Торговля!$H$5:$H$300,Торговля!$E$5:$E$300,$B71)+SUMIFS(Закрытые!$H$5:$H$300,Закрытые!$E$5:$E$300,$B71,Закрытые!$B$5:$B$300,"T-*"))</f>
        <v/>
      </c>
      <c r="F71" s="240">
        <f>IF(SUMIFS(Торговля!$I$5:$I$300,Торговля!$E$5:$E$300,$B71)+SUMIFS(Закрытые!$I$5:$I$300,Закрытые!$E$5:$E$300,$B71,Закрытые!$B$5:$B$300,"T-*")=0,"",SUMIFS(Торговля!$I$5:$I$300,Торговля!$E$5:$E$300,$B71)+SUMIFS(Закрытые!$I$5:$I$300,Закрытые!$E$5:$E$300,$B71,Закрытые!$B$5:$B$300,"T-*"))</f>
        <v/>
      </c>
      <c r="G71" s="177">
        <f>IF(F71="","",(SUMPRODUCT((Торговля!$E$5:$E$300=$B71)*Торговля!$I$5:$I$300*Торговля!$J$5:$J$300)+SUMPRODUCT((Закрытые!$E$5:$E$300=$B71)*(LEFT(Закрытые!$B$5:$B$300,2)="T-")*Закрытые!$I$5:$I$300*Закрытые!$J$5:$J$300))/F71)</f>
        <v/>
      </c>
      <c r="H71" s="241">
        <f>IF(F71="","",SUMIFS(Торговля!$K$5:$K$300,Торговля!$E$5:$E$300,$B71)+SUMIFS(Закрытые!$K$5:$K$300,Закрытые!$E$5:$E$300,$B71,Закрытые!$B$5:$B$300,"T-*"))</f>
        <v/>
      </c>
      <c r="I71" s="240">
        <f>IF($B71="","",IF(COUNTIFS(Торговля!$E$5:$E$300,$B71)+COUNTIFS(Закрытые!$E$5:$E$300,$B71,Закрытые!$B$5:$B$300,"T-*")=0,"",ROUND(SUMIFS(Торговля!$L$5:$L$300,Торговля!$E$5:$E$300,$B71)+SUMIFS(Закрытые!$L$5:$L$300,Закрытые!$E$5:$E$300,$B71,Закрытые!$B$5:$B$300,"T-*"),8)))</f>
        <v/>
      </c>
      <c r="J71" s="241">
        <f>IF($B71="","",IF(COUNTIFS(Торговля!$E$5:$E$300,$B71)+COUNTIFS(Закрытые!$E$5:$E$300,$B71,Закрытые!$B$5:$B$300,"T-*")=0,"",ROUND(SUMIFS(Торговля!$M$5:$M$300,Торговля!$E$5:$E$300,$B71)+SUMIFS(Закрытые!$M$5:$M$300,Закрытые!$E$5:$E$300,$B71,Закрытые!$B$5:$B$300,"T-*"),8)))</f>
        <v/>
      </c>
      <c r="K71" s="240">
        <f>IF($B71="","",ROUND(SUMIFS(Закрытые!$N$5:$N$300,Закрытые!$E$5:$E$300,$B71,Закрытые!$B$5:$B$300,"T-*"),8))</f>
        <v/>
      </c>
      <c r="L71" s="177">
        <f>IF(K71="","",IF(SUMPRODUCT((Закрытые!$E$5:$E$300=$B71)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71/SUMPRODUCT((Закрытые!$E$5:$E$300=$B71)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1" s="177">
        <f>IF(OR(ROUND(N(C71)-N(F71),8)=0,1-N(Ввод!$E$17)/100&lt;=0),"",IF(N(C71)&gt;N(F71),(N(E71)-N(H71))/((N(C71)-N(F71))*(1-N(Ввод!$E$17)/100)),(N(H71)-N(E71))/((N(F71)-N(C71))*(1+N(Ввод!$E$17)/100))))</f>
        <v/>
      </c>
    </row>
    <row r="72" ht="22" customHeight="1">
      <c r="B72" s="320" t="n"/>
      <c r="C72" s="246">
        <f>IF(SUMIFS(Торговля!$F$5:$F$300,Торговля!$E$5:$E$300,$B72)+SUMIFS(Закрытые!$F$5:$F$300,Закрытые!$E$5:$E$300,$B72,Закрытые!$B$5:$B$300,"T-*")=0,"",SUMIFS(Торговля!$F$5:$F$300,Торговля!$E$5:$E$300,$B72)+SUMIFS(Закрытые!$F$5:$F$300,Закрытые!$E$5:$E$300,$B72,Закрытые!$B$5:$B$300,"T-*"))</f>
        <v/>
      </c>
      <c r="D72" s="183">
        <f>IF(C72="","",(SUMPRODUCT((Торговля!$E$5:$E$300=$B72)*Торговля!$F$5:$F$300*Торговля!$G$5:$G$300)+SUMPRODUCT((Закрытые!$E$5:$E$300=$B72)*(LEFT(Закрытые!$B$5:$B$300,2)="T-")*Закрытые!$F$5:$F$300*Закрытые!$G$5:$G$300))/C72)</f>
        <v/>
      </c>
      <c r="E72" s="247">
        <f>IF(C72="","",SUMIFS(Торговля!$H$5:$H$300,Торговля!$E$5:$E$300,$B72)+SUMIFS(Закрытые!$H$5:$H$300,Закрытые!$E$5:$E$300,$B72,Закрытые!$B$5:$B$300,"T-*"))</f>
        <v/>
      </c>
      <c r="F72" s="246">
        <f>IF(SUMIFS(Торговля!$I$5:$I$300,Торговля!$E$5:$E$300,$B72)+SUMIFS(Закрытые!$I$5:$I$300,Закрытые!$E$5:$E$300,$B72,Закрытые!$B$5:$B$300,"T-*")=0,"",SUMIFS(Торговля!$I$5:$I$300,Торговля!$E$5:$E$300,$B72)+SUMIFS(Закрытые!$I$5:$I$300,Закрытые!$E$5:$E$300,$B72,Закрытые!$B$5:$B$300,"T-*"))</f>
        <v/>
      </c>
      <c r="G72" s="183">
        <f>IF(F72="","",(SUMPRODUCT((Торговля!$E$5:$E$300=$B72)*Торговля!$I$5:$I$300*Торговля!$J$5:$J$300)+SUMPRODUCT((Закрытые!$E$5:$E$300=$B72)*(LEFT(Закрытые!$B$5:$B$300,2)="T-")*Закрытые!$I$5:$I$300*Закрытые!$J$5:$J$300))/F72)</f>
        <v/>
      </c>
      <c r="H72" s="247">
        <f>IF(F72="","",SUMIFS(Торговля!$K$5:$K$300,Торговля!$E$5:$E$300,$B72)+SUMIFS(Закрытые!$K$5:$K$300,Закрытые!$E$5:$E$300,$B72,Закрытые!$B$5:$B$300,"T-*"))</f>
        <v/>
      </c>
      <c r="I72" s="246">
        <f>IF($B72="","",IF(COUNTIFS(Торговля!$E$5:$E$300,$B72)+COUNTIFS(Закрытые!$E$5:$E$300,$B72,Закрытые!$B$5:$B$300,"T-*")=0,"",ROUND(SUMIFS(Торговля!$L$5:$L$300,Торговля!$E$5:$E$300,$B72)+SUMIFS(Закрытые!$L$5:$L$300,Закрытые!$E$5:$E$300,$B72,Закрытые!$B$5:$B$300,"T-*"),8)))</f>
        <v/>
      </c>
      <c r="J72" s="247">
        <f>IF($B72="","",IF(COUNTIFS(Торговля!$E$5:$E$300,$B72)+COUNTIFS(Закрытые!$E$5:$E$300,$B72,Закрытые!$B$5:$B$300,"T-*")=0,"",ROUND(SUMIFS(Торговля!$M$5:$M$300,Торговля!$E$5:$E$300,$B72)+SUMIFS(Закрытые!$M$5:$M$300,Закрытые!$E$5:$E$300,$B72,Закрытые!$B$5:$B$300,"T-*"),8)))</f>
        <v/>
      </c>
      <c r="K72" s="246">
        <f>IF($B72="","",ROUND(SUMIFS(Закрытые!$N$5:$N$300,Закрытые!$E$5:$E$300,$B72,Закрытые!$B$5:$B$300,"T-*"),8))</f>
        <v/>
      </c>
      <c r="L72" s="183">
        <f>IF(K72="","",IF(SUMPRODUCT((Закрытые!$E$5:$E$300=$B72)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72/SUMPRODUCT((Закрытые!$E$5:$E$300=$B72)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2" s="183">
        <f>IF(OR(ROUND(N(C72)-N(F72),8)=0,1-N(Ввод!$E$17)/100&lt;=0),"",IF(N(C72)&gt;N(F72),(N(E72)-N(H72))/((N(C72)-N(F72))*(1-N(Ввод!$E$17)/100)),(N(H72)-N(E72))/((N(F72)-N(C72))*(1+N(Ввод!$E$17)/100))))</f>
        <v/>
      </c>
    </row>
    <row r="73" ht="22" customHeight="1">
      <c r="B73" s="315" t="n"/>
      <c r="C73" s="240">
        <f>IF(SUMIFS(Торговля!$F$5:$F$300,Торговля!$E$5:$E$300,$B73)+SUMIFS(Закрытые!$F$5:$F$300,Закрытые!$E$5:$E$300,$B73,Закрытые!$B$5:$B$300,"T-*")=0,"",SUMIFS(Торговля!$F$5:$F$300,Торговля!$E$5:$E$300,$B73)+SUMIFS(Закрытые!$F$5:$F$300,Закрытые!$E$5:$E$300,$B73,Закрытые!$B$5:$B$300,"T-*"))</f>
        <v/>
      </c>
      <c r="D73" s="177">
        <f>IF(C73="","",(SUMPRODUCT((Торговля!$E$5:$E$300=$B73)*Торговля!$F$5:$F$300*Торговля!$G$5:$G$300)+SUMPRODUCT((Закрытые!$E$5:$E$300=$B73)*(LEFT(Закрытые!$B$5:$B$300,2)="T-")*Закрытые!$F$5:$F$300*Закрытые!$G$5:$G$300))/C73)</f>
        <v/>
      </c>
      <c r="E73" s="241">
        <f>IF(C73="","",SUMIFS(Торговля!$H$5:$H$300,Торговля!$E$5:$E$300,$B73)+SUMIFS(Закрытые!$H$5:$H$300,Закрытые!$E$5:$E$300,$B73,Закрытые!$B$5:$B$300,"T-*"))</f>
        <v/>
      </c>
      <c r="F73" s="240">
        <f>IF(SUMIFS(Торговля!$I$5:$I$300,Торговля!$E$5:$E$300,$B73)+SUMIFS(Закрытые!$I$5:$I$300,Закрытые!$E$5:$E$300,$B73,Закрытые!$B$5:$B$300,"T-*")=0,"",SUMIFS(Торговля!$I$5:$I$300,Торговля!$E$5:$E$300,$B73)+SUMIFS(Закрытые!$I$5:$I$300,Закрытые!$E$5:$E$300,$B73,Закрытые!$B$5:$B$300,"T-*"))</f>
        <v/>
      </c>
      <c r="G73" s="177">
        <f>IF(F73="","",(SUMPRODUCT((Торговля!$E$5:$E$300=$B73)*Торговля!$I$5:$I$300*Торговля!$J$5:$J$300)+SUMPRODUCT((Закрытые!$E$5:$E$300=$B73)*(LEFT(Закрытые!$B$5:$B$300,2)="T-")*Закрытые!$I$5:$I$300*Закрытые!$J$5:$J$300))/F73)</f>
        <v/>
      </c>
      <c r="H73" s="241">
        <f>IF(F73="","",SUMIFS(Торговля!$K$5:$K$300,Торговля!$E$5:$E$300,$B73)+SUMIFS(Закрытые!$K$5:$K$300,Закрытые!$E$5:$E$300,$B73,Закрытые!$B$5:$B$300,"T-*"))</f>
        <v/>
      </c>
      <c r="I73" s="240">
        <f>IF($B73="","",IF(COUNTIFS(Торговля!$E$5:$E$300,$B73)+COUNTIFS(Закрытые!$E$5:$E$300,$B73,Закрытые!$B$5:$B$300,"T-*")=0,"",ROUND(SUMIFS(Торговля!$L$5:$L$300,Торговля!$E$5:$E$300,$B73)+SUMIFS(Закрытые!$L$5:$L$300,Закрытые!$E$5:$E$300,$B73,Закрытые!$B$5:$B$300,"T-*"),8)))</f>
        <v/>
      </c>
      <c r="J73" s="241">
        <f>IF($B73="","",IF(COUNTIFS(Торговля!$E$5:$E$300,$B73)+COUNTIFS(Закрытые!$E$5:$E$300,$B73,Закрытые!$B$5:$B$300,"T-*")=0,"",ROUND(SUMIFS(Торговля!$M$5:$M$300,Торговля!$E$5:$E$300,$B73)+SUMIFS(Закрытые!$M$5:$M$300,Закрытые!$E$5:$E$300,$B73,Закрытые!$B$5:$B$300,"T-*"),8)))</f>
        <v/>
      </c>
      <c r="K73" s="240">
        <f>IF($B73="","",ROUND(SUMIFS(Закрытые!$N$5:$N$300,Закрытые!$E$5:$E$300,$B73,Закрытые!$B$5:$B$300,"T-*"),8))</f>
        <v/>
      </c>
      <c r="L73" s="177">
        <f>IF(K73="","",IF(SUMPRODUCT((Закрытые!$E$5:$E$300=$B73)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73/SUMPRODUCT((Закрытые!$E$5:$E$300=$B73)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3" s="177">
        <f>IF(OR(ROUND(N(C73)-N(F73),8)=0,1-N(Ввод!$E$17)/100&lt;=0),"",IF(N(C73)&gt;N(F73),(N(E73)-N(H73))/((N(C73)-N(F73))*(1-N(Ввод!$E$17)/100)),(N(H73)-N(E73))/((N(F73)-N(C73))*(1+N(Ввод!$E$17)/100))))</f>
        <v/>
      </c>
    </row>
    <row r="74" ht="22" customHeight="1">
      <c r="B74" s="320" t="n"/>
      <c r="C74" s="246">
        <f>IF(SUMIFS(Торговля!$F$5:$F$300,Торговля!$E$5:$E$300,$B74)+SUMIFS(Закрытые!$F$5:$F$300,Закрытые!$E$5:$E$300,$B74,Закрытые!$B$5:$B$300,"T-*")=0,"",SUMIFS(Торговля!$F$5:$F$300,Торговля!$E$5:$E$300,$B74)+SUMIFS(Закрытые!$F$5:$F$300,Закрытые!$E$5:$E$300,$B74,Закрытые!$B$5:$B$300,"T-*"))</f>
        <v/>
      </c>
      <c r="D74" s="183">
        <f>IF(C74="","",(SUMPRODUCT((Торговля!$E$5:$E$300=$B74)*Торговля!$F$5:$F$300*Торговля!$G$5:$G$300)+SUMPRODUCT((Закрытые!$E$5:$E$300=$B74)*(LEFT(Закрытые!$B$5:$B$300,2)="T-")*Закрытые!$F$5:$F$300*Закрытые!$G$5:$G$300))/C74)</f>
        <v/>
      </c>
      <c r="E74" s="247">
        <f>IF(C74="","",SUMIFS(Торговля!$H$5:$H$300,Торговля!$E$5:$E$300,$B74)+SUMIFS(Закрытые!$H$5:$H$300,Закрытые!$E$5:$E$300,$B74,Закрытые!$B$5:$B$300,"T-*"))</f>
        <v/>
      </c>
      <c r="F74" s="246">
        <f>IF(SUMIFS(Торговля!$I$5:$I$300,Торговля!$E$5:$E$300,$B74)+SUMIFS(Закрытые!$I$5:$I$300,Закрытые!$E$5:$E$300,$B74,Закрытые!$B$5:$B$300,"T-*")=0,"",SUMIFS(Торговля!$I$5:$I$300,Торговля!$E$5:$E$300,$B74)+SUMIFS(Закрытые!$I$5:$I$300,Закрытые!$E$5:$E$300,$B74,Закрытые!$B$5:$B$300,"T-*"))</f>
        <v/>
      </c>
      <c r="G74" s="183">
        <f>IF(F74="","",(SUMPRODUCT((Торговля!$E$5:$E$300=$B74)*Торговля!$I$5:$I$300*Торговля!$J$5:$J$300)+SUMPRODUCT((Закрытые!$E$5:$E$300=$B74)*(LEFT(Закрытые!$B$5:$B$300,2)="T-")*Закрытые!$I$5:$I$300*Закрытые!$J$5:$J$300))/F74)</f>
        <v/>
      </c>
      <c r="H74" s="247">
        <f>IF(F74="","",SUMIFS(Торговля!$K$5:$K$300,Торговля!$E$5:$E$300,$B74)+SUMIFS(Закрытые!$K$5:$K$300,Закрытые!$E$5:$E$300,$B74,Закрытые!$B$5:$B$300,"T-*"))</f>
        <v/>
      </c>
      <c r="I74" s="246">
        <f>IF($B74="","",IF(COUNTIFS(Торговля!$E$5:$E$300,$B74)+COUNTIFS(Закрытые!$E$5:$E$300,$B74,Закрытые!$B$5:$B$300,"T-*")=0,"",ROUND(SUMIFS(Торговля!$L$5:$L$300,Торговля!$E$5:$E$300,$B74)+SUMIFS(Закрытые!$L$5:$L$300,Закрытые!$E$5:$E$300,$B74,Закрытые!$B$5:$B$300,"T-*"),8)))</f>
        <v/>
      </c>
      <c r="J74" s="247">
        <f>IF($B74="","",IF(COUNTIFS(Торговля!$E$5:$E$300,$B74)+COUNTIFS(Закрытые!$E$5:$E$300,$B74,Закрытые!$B$5:$B$300,"T-*")=0,"",ROUND(SUMIFS(Торговля!$M$5:$M$300,Торговля!$E$5:$E$300,$B74)+SUMIFS(Закрытые!$M$5:$M$300,Закрытые!$E$5:$E$300,$B74,Закрытые!$B$5:$B$300,"T-*"),8)))</f>
        <v/>
      </c>
      <c r="K74" s="246">
        <f>IF($B74="","",ROUND(SUMIFS(Закрытые!$N$5:$N$300,Закрытые!$E$5:$E$300,$B74,Закрытые!$B$5:$B$300,"T-*"),8))</f>
        <v/>
      </c>
      <c r="L74" s="183">
        <f>IF(K74="","",IF(SUMPRODUCT((Закрытые!$E$5:$E$300=$B74)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74/SUMPRODUCT((Закрытые!$E$5:$E$300=$B74)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4" s="183">
        <f>IF(OR(ROUND(N(C74)-N(F74),8)=0,1-N(Ввод!$E$17)/100&lt;=0),"",IF(N(C74)&gt;N(F74),(N(E74)-N(H74))/((N(C74)-N(F74))*(1-N(Ввод!$E$17)/100)),(N(H74)-N(E74))/((N(F74)-N(C74))*(1+N(Ввод!$E$17)/100))))</f>
        <v/>
      </c>
    </row>
    <row r="75" ht="22" customHeight="1">
      <c r="B75" s="315" t="n"/>
      <c r="C75" s="240">
        <f>IF(SUMIFS(Торговля!$F$5:$F$300,Торговля!$E$5:$E$300,$B75)+SUMIFS(Закрытые!$F$5:$F$300,Закрытые!$E$5:$E$300,$B75,Закрытые!$B$5:$B$300,"T-*")=0,"",SUMIFS(Торговля!$F$5:$F$300,Торговля!$E$5:$E$300,$B75)+SUMIFS(Закрытые!$F$5:$F$300,Закрытые!$E$5:$E$300,$B75,Закрытые!$B$5:$B$300,"T-*"))</f>
        <v/>
      </c>
      <c r="D75" s="177">
        <f>IF(C75="","",(SUMPRODUCT((Торговля!$E$5:$E$300=$B75)*Торговля!$F$5:$F$300*Торговля!$G$5:$G$300)+SUMPRODUCT((Закрытые!$E$5:$E$300=$B75)*(LEFT(Закрытые!$B$5:$B$300,2)="T-")*Закрытые!$F$5:$F$300*Закрытые!$G$5:$G$300))/C75)</f>
        <v/>
      </c>
      <c r="E75" s="241">
        <f>IF(C75="","",SUMIFS(Торговля!$H$5:$H$300,Торговля!$E$5:$E$300,$B75)+SUMIFS(Закрытые!$H$5:$H$300,Закрытые!$E$5:$E$300,$B75,Закрытые!$B$5:$B$300,"T-*"))</f>
        <v/>
      </c>
      <c r="F75" s="240">
        <f>IF(SUMIFS(Торговля!$I$5:$I$300,Торговля!$E$5:$E$300,$B75)+SUMIFS(Закрытые!$I$5:$I$300,Закрытые!$E$5:$E$300,$B75,Закрытые!$B$5:$B$300,"T-*")=0,"",SUMIFS(Торговля!$I$5:$I$300,Торговля!$E$5:$E$300,$B75)+SUMIFS(Закрытые!$I$5:$I$300,Закрытые!$E$5:$E$300,$B75,Закрытые!$B$5:$B$300,"T-*"))</f>
        <v/>
      </c>
      <c r="G75" s="177">
        <f>IF(F75="","",(SUMPRODUCT((Торговля!$E$5:$E$300=$B75)*Торговля!$I$5:$I$300*Торговля!$J$5:$J$300)+SUMPRODUCT((Закрытые!$E$5:$E$300=$B75)*(LEFT(Закрытые!$B$5:$B$300,2)="T-")*Закрытые!$I$5:$I$300*Закрытые!$J$5:$J$300))/F75)</f>
        <v/>
      </c>
      <c r="H75" s="241">
        <f>IF(F75="","",SUMIFS(Торговля!$K$5:$K$300,Торговля!$E$5:$E$300,$B75)+SUMIFS(Закрытые!$K$5:$K$300,Закрытые!$E$5:$E$300,$B75,Закрытые!$B$5:$B$300,"T-*"))</f>
        <v/>
      </c>
      <c r="I75" s="240">
        <f>IF($B75="","",IF(COUNTIFS(Торговля!$E$5:$E$300,$B75)+COUNTIFS(Закрытые!$E$5:$E$300,$B75,Закрытые!$B$5:$B$300,"T-*")=0,"",ROUND(SUMIFS(Торговля!$L$5:$L$300,Торговля!$E$5:$E$300,$B75)+SUMIFS(Закрытые!$L$5:$L$300,Закрытые!$E$5:$E$300,$B75,Закрытые!$B$5:$B$300,"T-*"),8)))</f>
        <v/>
      </c>
      <c r="J75" s="241">
        <f>IF($B75="","",IF(COUNTIFS(Торговля!$E$5:$E$300,$B75)+COUNTIFS(Закрытые!$E$5:$E$300,$B75,Закрытые!$B$5:$B$300,"T-*")=0,"",ROUND(SUMIFS(Торговля!$M$5:$M$300,Торговля!$E$5:$E$300,$B75)+SUMIFS(Закрытые!$M$5:$M$300,Закрытые!$E$5:$E$300,$B75,Закрытые!$B$5:$B$300,"T-*"),8)))</f>
        <v/>
      </c>
      <c r="K75" s="240">
        <f>IF($B75="","",ROUND(SUMIFS(Закрытые!$N$5:$N$300,Закрытые!$E$5:$E$300,$B75,Закрытые!$B$5:$B$300,"T-*"),8))</f>
        <v/>
      </c>
      <c r="L75" s="177">
        <f>IF(K75="","",IF(SUMPRODUCT((Закрытые!$E$5:$E$300=$B75)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75/SUMPRODUCT((Закрытые!$E$5:$E$300=$B75)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5" s="177">
        <f>IF(OR(ROUND(N(C75)-N(F75),8)=0,1-N(Ввод!$E$17)/100&lt;=0),"",IF(N(C75)&gt;N(F75),(N(E75)-N(H75))/((N(C75)-N(F75))*(1-N(Ввод!$E$17)/100)),(N(H75)-N(E75))/((N(F75)-N(C75))*(1+N(Ввод!$E$17)/100))))</f>
        <v/>
      </c>
    </row>
    <row r="76" ht="22" customHeight="1">
      <c r="B76" s="320" t="n"/>
      <c r="C76" s="246">
        <f>IF(SUMIFS(Торговля!$F$5:$F$300,Торговля!$E$5:$E$300,$B76)+SUMIFS(Закрытые!$F$5:$F$300,Закрытые!$E$5:$E$300,$B76,Закрытые!$B$5:$B$300,"T-*")=0,"",SUMIFS(Торговля!$F$5:$F$300,Торговля!$E$5:$E$300,$B76)+SUMIFS(Закрытые!$F$5:$F$300,Закрытые!$E$5:$E$300,$B76,Закрытые!$B$5:$B$300,"T-*"))</f>
        <v/>
      </c>
      <c r="D76" s="183">
        <f>IF(C76="","",(SUMPRODUCT((Торговля!$E$5:$E$300=$B76)*Торговля!$F$5:$F$300*Торговля!$G$5:$G$300)+SUMPRODUCT((Закрытые!$E$5:$E$300=$B76)*(LEFT(Закрытые!$B$5:$B$300,2)="T-")*Закрытые!$F$5:$F$300*Закрытые!$G$5:$G$300))/C76)</f>
        <v/>
      </c>
      <c r="E76" s="247">
        <f>IF(C76="","",SUMIFS(Торговля!$H$5:$H$300,Торговля!$E$5:$E$300,$B76)+SUMIFS(Закрытые!$H$5:$H$300,Закрытые!$E$5:$E$300,$B76,Закрытые!$B$5:$B$300,"T-*"))</f>
        <v/>
      </c>
      <c r="F76" s="246">
        <f>IF(SUMIFS(Торговля!$I$5:$I$300,Торговля!$E$5:$E$300,$B76)+SUMIFS(Закрытые!$I$5:$I$300,Закрытые!$E$5:$E$300,$B76,Закрытые!$B$5:$B$300,"T-*")=0,"",SUMIFS(Торговля!$I$5:$I$300,Торговля!$E$5:$E$300,$B76)+SUMIFS(Закрытые!$I$5:$I$300,Закрытые!$E$5:$E$300,$B76,Закрытые!$B$5:$B$300,"T-*"))</f>
        <v/>
      </c>
      <c r="G76" s="183">
        <f>IF(F76="","",(SUMPRODUCT((Торговля!$E$5:$E$300=$B76)*Торговля!$I$5:$I$300*Торговля!$J$5:$J$300)+SUMPRODUCT((Закрытые!$E$5:$E$300=$B76)*(LEFT(Закрытые!$B$5:$B$300,2)="T-")*Закрытые!$I$5:$I$300*Закрытые!$J$5:$J$300))/F76)</f>
        <v/>
      </c>
      <c r="H76" s="247">
        <f>IF(F76="","",SUMIFS(Торговля!$K$5:$K$300,Торговля!$E$5:$E$300,$B76)+SUMIFS(Закрытые!$K$5:$K$300,Закрытые!$E$5:$E$300,$B76,Закрытые!$B$5:$B$300,"T-*"))</f>
        <v/>
      </c>
      <c r="I76" s="246">
        <f>IF($B76="","",IF(COUNTIFS(Торговля!$E$5:$E$300,$B76)+COUNTIFS(Закрытые!$E$5:$E$300,$B76,Закрытые!$B$5:$B$300,"T-*")=0,"",ROUND(SUMIFS(Торговля!$L$5:$L$300,Торговля!$E$5:$E$300,$B76)+SUMIFS(Закрытые!$L$5:$L$300,Закрытые!$E$5:$E$300,$B76,Закрытые!$B$5:$B$300,"T-*"),8)))</f>
        <v/>
      </c>
      <c r="J76" s="247">
        <f>IF($B76="","",IF(COUNTIFS(Торговля!$E$5:$E$300,$B76)+COUNTIFS(Закрытые!$E$5:$E$300,$B76,Закрытые!$B$5:$B$300,"T-*")=0,"",ROUND(SUMIFS(Торговля!$M$5:$M$300,Торговля!$E$5:$E$300,$B76)+SUMIFS(Закрытые!$M$5:$M$300,Закрытые!$E$5:$E$300,$B76,Закрытые!$B$5:$B$300,"T-*"),8)))</f>
        <v/>
      </c>
      <c r="K76" s="246">
        <f>IF($B76="","",ROUND(SUMIFS(Закрытые!$N$5:$N$300,Закрытые!$E$5:$E$300,$B76,Закрытые!$B$5:$B$300,"T-*"),8))</f>
        <v/>
      </c>
      <c r="L76" s="183">
        <f>IF(K76="","",IF(SUMPRODUCT((Закрытые!$E$5:$E$300=$B76)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76/SUMPRODUCT((Закрытые!$E$5:$E$300=$B76)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6" s="183">
        <f>IF(OR(ROUND(N(C76)-N(F76),8)=0,1-N(Ввод!$E$17)/100&lt;=0),"",IF(N(C76)&gt;N(F76),(N(E76)-N(H76))/((N(C76)-N(F76))*(1-N(Ввод!$E$17)/100)),(N(H76)-N(E76))/((N(F76)-N(C76))*(1+N(Ввод!$E$17)/100))))</f>
        <v/>
      </c>
    </row>
    <row r="77" ht="22" customHeight="1">
      <c r="B77" s="315" t="n"/>
      <c r="C77" s="240">
        <f>IF(SUMIFS(Торговля!$F$5:$F$300,Торговля!$E$5:$E$300,$B77)+SUMIFS(Закрытые!$F$5:$F$300,Закрытые!$E$5:$E$300,$B77,Закрытые!$B$5:$B$300,"T-*")=0,"",SUMIFS(Торговля!$F$5:$F$300,Торговля!$E$5:$E$300,$B77)+SUMIFS(Закрытые!$F$5:$F$300,Закрытые!$E$5:$E$300,$B77,Закрытые!$B$5:$B$300,"T-*"))</f>
        <v/>
      </c>
      <c r="D77" s="177">
        <f>IF(C77="","",(SUMPRODUCT((Торговля!$E$5:$E$300=$B77)*Торговля!$F$5:$F$300*Торговля!$G$5:$G$300)+SUMPRODUCT((Закрытые!$E$5:$E$300=$B77)*(LEFT(Закрытые!$B$5:$B$300,2)="T-")*Закрытые!$F$5:$F$300*Закрытые!$G$5:$G$300))/C77)</f>
        <v/>
      </c>
      <c r="E77" s="241">
        <f>IF(C77="","",SUMIFS(Торговля!$H$5:$H$300,Торговля!$E$5:$E$300,$B77)+SUMIFS(Закрытые!$H$5:$H$300,Закрытые!$E$5:$E$300,$B77,Закрытые!$B$5:$B$300,"T-*"))</f>
        <v/>
      </c>
      <c r="F77" s="240">
        <f>IF(SUMIFS(Торговля!$I$5:$I$300,Торговля!$E$5:$E$300,$B77)+SUMIFS(Закрытые!$I$5:$I$300,Закрытые!$E$5:$E$300,$B77,Закрытые!$B$5:$B$300,"T-*")=0,"",SUMIFS(Торговля!$I$5:$I$300,Торговля!$E$5:$E$300,$B77)+SUMIFS(Закрытые!$I$5:$I$300,Закрытые!$E$5:$E$300,$B77,Закрытые!$B$5:$B$300,"T-*"))</f>
        <v/>
      </c>
      <c r="G77" s="177">
        <f>IF(F77="","",(SUMPRODUCT((Торговля!$E$5:$E$300=$B77)*Торговля!$I$5:$I$300*Торговля!$J$5:$J$300)+SUMPRODUCT((Закрытые!$E$5:$E$300=$B77)*(LEFT(Закрытые!$B$5:$B$300,2)="T-")*Закрытые!$I$5:$I$300*Закрытые!$J$5:$J$300))/F77)</f>
        <v/>
      </c>
      <c r="H77" s="241">
        <f>IF(F77="","",SUMIFS(Торговля!$K$5:$K$300,Торговля!$E$5:$E$300,$B77)+SUMIFS(Закрытые!$K$5:$K$300,Закрытые!$E$5:$E$300,$B77,Закрытые!$B$5:$B$300,"T-*"))</f>
        <v/>
      </c>
      <c r="I77" s="240">
        <f>IF($B77="","",IF(COUNTIFS(Торговля!$E$5:$E$300,$B77)+COUNTIFS(Закрытые!$E$5:$E$300,$B77,Закрытые!$B$5:$B$300,"T-*")=0,"",ROUND(SUMIFS(Торговля!$L$5:$L$300,Торговля!$E$5:$E$300,$B77)+SUMIFS(Закрытые!$L$5:$L$300,Закрытые!$E$5:$E$300,$B77,Закрытые!$B$5:$B$300,"T-*"),8)))</f>
        <v/>
      </c>
      <c r="J77" s="241">
        <f>IF($B77="","",IF(COUNTIFS(Торговля!$E$5:$E$300,$B77)+COUNTIFS(Закрытые!$E$5:$E$300,$B77,Закрытые!$B$5:$B$300,"T-*")=0,"",ROUND(SUMIFS(Торговля!$M$5:$M$300,Торговля!$E$5:$E$300,$B77)+SUMIFS(Закрытые!$M$5:$M$300,Закрытые!$E$5:$E$300,$B77,Закрытые!$B$5:$B$300,"T-*"),8)))</f>
        <v/>
      </c>
      <c r="K77" s="240">
        <f>IF($B77="","",ROUND(SUMIFS(Закрытые!$N$5:$N$300,Закрытые!$E$5:$E$300,$B77,Закрытые!$B$5:$B$300,"T-*"),8))</f>
        <v/>
      </c>
      <c r="L77" s="177">
        <f>IF(K77="","",IF(SUMPRODUCT((Закрытые!$E$5:$E$300=$B77)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77/SUMPRODUCT((Закрытые!$E$5:$E$300=$B77)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7" s="177">
        <f>IF(OR(ROUND(N(C77)-N(F77),8)=0,1-N(Ввод!$E$17)/100&lt;=0),"",IF(N(C77)&gt;N(F77),(N(E77)-N(H77))/((N(C77)-N(F77))*(1-N(Ввод!$E$17)/100)),(N(H77)-N(E77))/((N(F77)-N(C77))*(1+N(Ввод!$E$17)/100))))</f>
        <v/>
      </c>
    </row>
    <row r="78" ht="22" customHeight="1">
      <c r="B78" s="320" t="n"/>
      <c r="C78" s="246">
        <f>IF(SUMIFS(Торговля!$F$5:$F$300,Торговля!$E$5:$E$300,$B78)+SUMIFS(Закрытые!$F$5:$F$300,Закрытые!$E$5:$E$300,$B78,Закрытые!$B$5:$B$300,"T-*")=0,"",SUMIFS(Торговля!$F$5:$F$300,Торговля!$E$5:$E$300,$B78)+SUMIFS(Закрытые!$F$5:$F$300,Закрытые!$E$5:$E$300,$B78,Закрытые!$B$5:$B$300,"T-*"))</f>
        <v/>
      </c>
      <c r="D78" s="183">
        <f>IF(C78="","",(SUMPRODUCT((Торговля!$E$5:$E$300=$B78)*Торговля!$F$5:$F$300*Торговля!$G$5:$G$300)+SUMPRODUCT((Закрытые!$E$5:$E$300=$B78)*(LEFT(Закрытые!$B$5:$B$300,2)="T-")*Закрытые!$F$5:$F$300*Закрытые!$G$5:$G$300))/C78)</f>
        <v/>
      </c>
      <c r="E78" s="247">
        <f>IF(C78="","",SUMIFS(Торговля!$H$5:$H$300,Торговля!$E$5:$E$300,$B78)+SUMIFS(Закрытые!$H$5:$H$300,Закрытые!$E$5:$E$300,$B78,Закрытые!$B$5:$B$300,"T-*"))</f>
        <v/>
      </c>
      <c r="F78" s="246">
        <f>IF(SUMIFS(Торговля!$I$5:$I$300,Торговля!$E$5:$E$300,$B78)+SUMIFS(Закрытые!$I$5:$I$300,Закрытые!$E$5:$E$300,$B78,Закрытые!$B$5:$B$300,"T-*")=0,"",SUMIFS(Торговля!$I$5:$I$300,Торговля!$E$5:$E$300,$B78)+SUMIFS(Закрытые!$I$5:$I$300,Закрытые!$E$5:$E$300,$B78,Закрытые!$B$5:$B$300,"T-*"))</f>
        <v/>
      </c>
      <c r="G78" s="183">
        <f>IF(F78="","",(SUMPRODUCT((Торговля!$E$5:$E$300=$B78)*Торговля!$I$5:$I$300*Торговля!$J$5:$J$300)+SUMPRODUCT((Закрытые!$E$5:$E$300=$B78)*(LEFT(Закрытые!$B$5:$B$300,2)="T-")*Закрытые!$I$5:$I$300*Закрытые!$J$5:$J$300))/F78)</f>
        <v/>
      </c>
      <c r="H78" s="247">
        <f>IF(F78="","",SUMIFS(Торговля!$K$5:$K$300,Торговля!$E$5:$E$300,$B78)+SUMIFS(Закрытые!$K$5:$K$300,Закрытые!$E$5:$E$300,$B78,Закрытые!$B$5:$B$300,"T-*"))</f>
        <v/>
      </c>
      <c r="I78" s="246">
        <f>IF($B78="","",IF(COUNTIFS(Торговля!$E$5:$E$300,$B78)+COUNTIFS(Закрытые!$E$5:$E$300,$B78,Закрытые!$B$5:$B$300,"T-*")=0,"",ROUND(SUMIFS(Торговля!$L$5:$L$300,Торговля!$E$5:$E$300,$B78)+SUMIFS(Закрытые!$L$5:$L$300,Закрытые!$E$5:$E$300,$B78,Закрытые!$B$5:$B$300,"T-*"),8)))</f>
        <v/>
      </c>
      <c r="J78" s="247">
        <f>IF($B78="","",IF(COUNTIFS(Торговля!$E$5:$E$300,$B78)+COUNTIFS(Закрытые!$E$5:$E$300,$B78,Закрытые!$B$5:$B$300,"T-*")=0,"",ROUND(SUMIFS(Торговля!$M$5:$M$300,Торговля!$E$5:$E$300,$B78)+SUMIFS(Закрытые!$M$5:$M$300,Закрытые!$E$5:$E$300,$B78,Закрытые!$B$5:$B$300,"T-*"),8)))</f>
        <v/>
      </c>
      <c r="K78" s="246">
        <f>IF($B78="","",ROUND(SUMIFS(Закрытые!$N$5:$N$300,Закрытые!$E$5:$E$300,$B78,Закрытые!$B$5:$B$300,"T-*"),8))</f>
        <v/>
      </c>
      <c r="L78" s="183">
        <f>IF(K78="","",IF(SUMPRODUCT((Закрытые!$E$5:$E$300=$B78)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78/SUMPRODUCT((Закрытые!$E$5:$E$300=$B78)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8" s="183">
        <f>IF(OR(ROUND(N(C78)-N(F78),8)=0,1-N(Ввод!$E$17)/100&lt;=0),"",IF(N(C78)&gt;N(F78),(N(E78)-N(H78))/((N(C78)-N(F78))*(1-N(Ввод!$E$17)/100)),(N(H78)-N(E78))/((N(F78)-N(C78))*(1+N(Ввод!$E$17)/100))))</f>
        <v/>
      </c>
    </row>
    <row r="79" ht="22" customHeight="1">
      <c r="B79" s="315" t="n"/>
      <c r="C79" s="240">
        <f>IF(SUMIFS(Торговля!$F$5:$F$300,Торговля!$E$5:$E$300,$B79)+SUMIFS(Закрытые!$F$5:$F$300,Закрытые!$E$5:$E$300,$B79,Закрытые!$B$5:$B$300,"T-*")=0,"",SUMIFS(Торговля!$F$5:$F$300,Торговля!$E$5:$E$300,$B79)+SUMIFS(Закрытые!$F$5:$F$300,Закрытые!$E$5:$E$300,$B79,Закрытые!$B$5:$B$300,"T-*"))</f>
        <v/>
      </c>
      <c r="D79" s="177">
        <f>IF(C79="","",(SUMPRODUCT((Торговля!$E$5:$E$300=$B79)*Торговля!$F$5:$F$300*Торговля!$G$5:$G$300)+SUMPRODUCT((Закрытые!$E$5:$E$300=$B79)*(LEFT(Закрытые!$B$5:$B$300,2)="T-")*Закрытые!$F$5:$F$300*Закрытые!$G$5:$G$300))/C79)</f>
        <v/>
      </c>
      <c r="E79" s="241">
        <f>IF(C79="","",SUMIFS(Торговля!$H$5:$H$300,Торговля!$E$5:$E$300,$B79)+SUMIFS(Закрытые!$H$5:$H$300,Закрытые!$E$5:$E$300,$B79,Закрытые!$B$5:$B$300,"T-*"))</f>
        <v/>
      </c>
      <c r="F79" s="240">
        <f>IF(SUMIFS(Торговля!$I$5:$I$300,Торговля!$E$5:$E$300,$B79)+SUMIFS(Закрытые!$I$5:$I$300,Закрытые!$E$5:$E$300,$B79,Закрытые!$B$5:$B$300,"T-*")=0,"",SUMIFS(Торговля!$I$5:$I$300,Торговля!$E$5:$E$300,$B79)+SUMIFS(Закрытые!$I$5:$I$300,Закрытые!$E$5:$E$300,$B79,Закрытые!$B$5:$B$300,"T-*"))</f>
        <v/>
      </c>
      <c r="G79" s="177">
        <f>IF(F79="","",(SUMPRODUCT((Торговля!$E$5:$E$300=$B79)*Торговля!$I$5:$I$300*Торговля!$J$5:$J$300)+SUMPRODUCT((Закрытые!$E$5:$E$300=$B79)*(LEFT(Закрытые!$B$5:$B$300,2)="T-")*Закрытые!$I$5:$I$300*Закрытые!$J$5:$J$300))/F79)</f>
        <v/>
      </c>
      <c r="H79" s="241">
        <f>IF(F79="","",SUMIFS(Торговля!$K$5:$K$300,Торговля!$E$5:$E$300,$B79)+SUMIFS(Закрытые!$K$5:$K$300,Закрытые!$E$5:$E$300,$B79,Закрытые!$B$5:$B$300,"T-*"))</f>
        <v/>
      </c>
      <c r="I79" s="240">
        <f>IF($B79="","",IF(COUNTIFS(Торговля!$E$5:$E$300,$B79)+COUNTIFS(Закрытые!$E$5:$E$300,$B79,Закрытые!$B$5:$B$300,"T-*")=0,"",ROUND(SUMIFS(Торговля!$L$5:$L$300,Торговля!$E$5:$E$300,$B79)+SUMIFS(Закрытые!$L$5:$L$300,Закрытые!$E$5:$E$300,$B79,Закрытые!$B$5:$B$300,"T-*"),8)))</f>
        <v/>
      </c>
      <c r="J79" s="241">
        <f>IF($B79="","",IF(COUNTIFS(Торговля!$E$5:$E$300,$B79)+COUNTIFS(Закрытые!$E$5:$E$300,$B79,Закрытые!$B$5:$B$300,"T-*")=0,"",ROUND(SUMIFS(Торговля!$M$5:$M$300,Торговля!$E$5:$E$300,$B79)+SUMIFS(Закрытые!$M$5:$M$300,Закрытые!$E$5:$E$300,$B79,Закрытые!$B$5:$B$300,"T-*"),8)))</f>
        <v/>
      </c>
      <c r="K79" s="240">
        <f>IF($B79="","",ROUND(SUMIFS(Закрытые!$N$5:$N$300,Закрытые!$E$5:$E$300,$B79,Закрытые!$B$5:$B$300,"T-*"),8))</f>
        <v/>
      </c>
      <c r="L79" s="177">
        <f>IF(K79="","",IF(SUMPRODUCT((Закрытые!$E$5:$E$300=$B79)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79/SUMPRODUCT((Закрытые!$E$5:$E$300=$B79)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9" s="177">
        <f>IF(OR(ROUND(N(C79)-N(F79),8)=0,1-N(Ввод!$E$17)/100&lt;=0),"",IF(N(C79)&gt;N(F79),(N(E79)-N(H79))/((N(C79)-N(F79))*(1-N(Ввод!$E$17)/100)),(N(H79)-N(E79))/((N(F79)-N(C79))*(1+N(Ввод!$E$17)/100))))</f>
        <v/>
      </c>
    </row>
    <row r="80" ht="22" customHeight="1">
      <c r="B80" s="320" t="n"/>
      <c r="C80" s="246">
        <f>IF(SUMIFS(Торговля!$F$5:$F$300,Торговля!$E$5:$E$300,$B80)+SUMIFS(Закрытые!$F$5:$F$300,Закрытые!$E$5:$E$300,$B80,Закрытые!$B$5:$B$300,"T-*")=0,"",SUMIFS(Торговля!$F$5:$F$300,Торговля!$E$5:$E$300,$B80)+SUMIFS(Закрытые!$F$5:$F$300,Закрытые!$E$5:$E$300,$B80,Закрытые!$B$5:$B$300,"T-*"))</f>
        <v/>
      </c>
      <c r="D80" s="183">
        <f>IF(C80="","",(SUMPRODUCT((Торговля!$E$5:$E$300=$B80)*Торговля!$F$5:$F$300*Торговля!$G$5:$G$300)+SUMPRODUCT((Закрытые!$E$5:$E$300=$B80)*(LEFT(Закрытые!$B$5:$B$300,2)="T-")*Закрытые!$F$5:$F$300*Закрытые!$G$5:$G$300))/C80)</f>
        <v/>
      </c>
      <c r="E80" s="247">
        <f>IF(C80="","",SUMIFS(Торговля!$H$5:$H$300,Торговля!$E$5:$E$300,$B80)+SUMIFS(Закрытые!$H$5:$H$300,Закрытые!$E$5:$E$300,$B80,Закрытые!$B$5:$B$300,"T-*"))</f>
        <v/>
      </c>
      <c r="F80" s="246">
        <f>IF(SUMIFS(Торговля!$I$5:$I$300,Торговля!$E$5:$E$300,$B80)+SUMIFS(Закрытые!$I$5:$I$300,Закрытые!$E$5:$E$300,$B80,Закрытые!$B$5:$B$300,"T-*")=0,"",SUMIFS(Торговля!$I$5:$I$300,Торговля!$E$5:$E$300,$B80)+SUMIFS(Закрытые!$I$5:$I$300,Закрытые!$E$5:$E$300,$B80,Закрытые!$B$5:$B$300,"T-*"))</f>
        <v/>
      </c>
      <c r="G80" s="183">
        <f>IF(F80="","",(SUMPRODUCT((Торговля!$E$5:$E$300=$B80)*Торговля!$I$5:$I$300*Торговля!$J$5:$J$300)+SUMPRODUCT((Закрытые!$E$5:$E$300=$B80)*(LEFT(Закрытые!$B$5:$B$300,2)="T-")*Закрытые!$I$5:$I$300*Закрытые!$J$5:$J$300))/F80)</f>
        <v/>
      </c>
      <c r="H80" s="247">
        <f>IF(F80="","",SUMIFS(Торговля!$K$5:$K$300,Торговля!$E$5:$E$300,$B80)+SUMIFS(Закрытые!$K$5:$K$300,Закрытые!$E$5:$E$300,$B80,Закрытые!$B$5:$B$300,"T-*"))</f>
        <v/>
      </c>
      <c r="I80" s="246">
        <f>IF($B80="","",IF(COUNTIFS(Торговля!$E$5:$E$300,$B80)+COUNTIFS(Закрытые!$E$5:$E$300,$B80,Закрытые!$B$5:$B$300,"T-*")=0,"",ROUND(SUMIFS(Торговля!$L$5:$L$300,Торговля!$E$5:$E$300,$B80)+SUMIFS(Закрытые!$L$5:$L$300,Закрытые!$E$5:$E$300,$B80,Закрытые!$B$5:$B$300,"T-*"),8)))</f>
        <v/>
      </c>
      <c r="J80" s="247">
        <f>IF($B80="","",IF(COUNTIFS(Торговля!$E$5:$E$300,$B80)+COUNTIFS(Закрытые!$E$5:$E$300,$B80,Закрытые!$B$5:$B$300,"T-*")=0,"",ROUND(SUMIFS(Торговля!$M$5:$M$300,Торговля!$E$5:$E$300,$B80)+SUMIFS(Закрытые!$M$5:$M$300,Закрытые!$E$5:$E$300,$B80,Закрытые!$B$5:$B$300,"T-*"),8)))</f>
        <v/>
      </c>
      <c r="K80" s="246">
        <f>IF($B80="","",ROUND(SUMIFS(Закрытые!$N$5:$N$300,Закрытые!$E$5:$E$300,$B80,Закрытые!$B$5:$B$300,"T-*"),8))</f>
        <v/>
      </c>
      <c r="L80" s="183">
        <f>IF(K80="","",IF(SUMPRODUCT((Закрытые!$E$5:$E$300=$B80)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80/SUMPRODUCT((Закрытые!$E$5:$E$300=$B80)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0" s="183">
        <f>IF(OR(ROUND(N(C80)-N(F80),8)=0,1-N(Ввод!$E$17)/100&lt;=0),"",IF(N(C80)&gt;N(F80),(N(E80)-N(H80))/((N(C80)-N(F80))*(1-N(Ввод!$E$17)/100)),(N(H80)-N(E80))/((N(F80)-N(C80))*(1+N(Ввод!$E$17)/100))))</f>
        <v/>
      </c>
    </row>
    <row r="81" ht="22" customHeight="1">
      <c r="B81" s="315" t="n"/>
      <c r="C81" s="240">
        <f>IF(SUMIFS(Торговля!$F$5:$F$300,Торговля!$E$5:$E$300,$B81)+SUMIFS(Закрытые!$F$5:$F$300,Закрытые!$E$5:$E$300,$B81,Закрытые!$B$5:$B$300,"T-*")=0,"",SUMIFS(Торговля!$F$5:$F$300,Торговля!$E$5:$E$300,$B81)+SUMIFS(Закрытые!$F$5:$F$300,Закрытые!$E$5:$E$300,$B81,Закрытые!$B$5:$B$300,"T-*"))</f>
        <v/>
      </c>
      <c r="D81" s="177">
        <f>IF(C81="","",(SUMPRODUCT((Торговля!$E$5:$E$300=$B81)*Торговля!$F$5:$F$300*Торговля!$G$5:$G$300)+SUMPRODUCT((Закрытые!$E$5:$E$300=$B81)*(LEFT(Закрытые!$B$5:$B$300,2)="T-")*Закрытые!$F$5:$F$300*Закрытые!$G$5:$G$300))/C81)</f>
        <v/>
      </c>
      <c r="E81" s="241">
        <f>IF(C81="","",SUMIFS(Торговля!$H$5:$H$300,Торговля!$E$5:$E$300,$B81)+SUMIFS(Закрытые!$H$5:$H$300,Закрытые!$E$5:$E$300,$B81,Закрытые!$B$5:$B$300,"T-*"))</f>
        <v/>
      </c>
      <c r="F81" s="240">
        <f>IF(SUMIFS(Торговля!$I$5:$I$300,Торговля!$E$5:$E$300,$B81)+SUMIFS(Закрытые!$I$5:$I$300,Закрытые!$E$5:$E$300,$B81,Закрытые!$B$5:$B$300,"T-*")=0,"",SUMIFS(Торговля!$I$5:$I$300,Торговля!$E$5:$E$300,$B81)+SUMIFS(Закрытые!$I$5:$I$300,Закрытые!$E$5:$E$300,$B81,Закрытые!$B$5:$B$300,"T-*"))</f>
        <v/>
      </c>
      <c r="G81" s="177">
        <f>IF(F81="","",(SUMPRODUCT((Торговля!$E$5:$E$300=$B81)*Торговля!$I$5:$I$300*Торговля!$J$5:$J$300)+SUMPRODUCT((Закрытые!$E$5:$E$300=$B81)*(LEFT(Закрытые!$B$5:$B$300,2)="T-")*Закрытые!$I$5:$I$300*Закрытые!$J$5:$J$300))/F81)</f>
        <v/>
      </c>
      <c r="H81" s="241">
        <f>IF(F81="","",SUMIFS(Торговля!$K$5:$K$300,Торговля!$E$5:$E$300,$B81)+SUMIFS(Закрытые!$K$5:$K$300,Закрытые!$E$5:$E$300,$B81,Закрытые!$B$5:$B$300,"T-*"))</f>
        <v/>
      </c>
      <c r="I81" s="240">
        <f>IF($B81="","",IF(COUNTIFS(Торговля!$E$5:$E$300,$B81)+COUNTIFS(Закрытые!$E$5:$E$300,$B81,Закрытые!$B$5:$B$300,"T-*")=0,"",ROUND(SUMIFS(Торговля!$L$5:$L$300,Торговля!$E$5:$E$300,$B81)+SUMIFS(Закрытые!$L$5:$L$300,Закрытые!$E$5:$E$300,$B81,Закрытые!$B$5:$B$300,"T-*"),8)))</f>
        <v/>
      </c>
      <c r="J81" s="241">
        <f>IF($B81="","",IF(COUNTIFS(Торговля!$E$5:$E$300,$B81)+COUNTIFS(Закрытые!$E$5:$E$300,$B81,Закрытые!$B$5:$B$300,"T-*")=0,"",ROUND(SUMIFS(Торговля!$M$5:$M$300,Торговля!$E$5:$E$300,$B81)+SUMIFS(Закрытые!$M$5:$M$300,Закрытые!$E$5:$E$300,$B81,Закрытые!$B$5:$B$300,"T-*"),8)))</f>
        <v/>
      </c>
      <c r="K81" s="240">
        <f>IF($B81="","",ROUND(SUMIFS(Закрытые!$N$5:$N$300,Закрытые!$E$5:$E$300,$B81,Закрытые!$B$5:$B$300,"T-*"),8))</f>
        <v/>
      </c>
      <c r="L81" s="177">
        <f>IF(K81="","",IF(SUMPRODUCT((Закрытые!$E$5:$E$300=$B81)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81/SUMPRODUCT((Закрытые!$E$5:$E$300=$B81)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1" s="177">
        <f>IF(OR(ROUND(N(C81)-N(F81),8)=0,1-N(Ввод!$E$17)/100&lt;=0),"",IF(N(C81)&gt;N(F81),(N(E81)-N(H81))/((N(C81)-N(F81))*(1-N(Ввод!$E$17)/100)),(N(H81)-N(E81))/((N(F81)-N(C81))*(1+N(Ввод!$E$17)/100))))</f>
        <v/>
      </c>
    </row>
    <row r="82" ht="22" customHeight="1">
      <c r="B82" s="320" t="n"/>
      <c r="C82" s="246">
        <f>IF(SUMIFS(Торговля!$F$5:$F$300,Торговля!$E$5:$E$300,$B82)+SUMIFS(Закрытые!$F$5:$F$300,Закрытые!$E$5:$E$300,$B82,Закрытые!$B$5:$B$300,"T-*")=0,"",SUMIFS(Торговля!$F$5:$F$300,Торговля!$E$5:$E$300,$B82)+SUMIFS(Закрытые!$F$5:$F$300,Закрытые!$E$5:$E$300,$B82,Закрытые!$B$5:$B$300,"T-*"))</f>
        <v/>
      </c>
      <c r="D82" s="183">
        <f>IF(C82="","",(SUMPRODUCT((Торговля!$E$5:$E$300=$B82)*Торговля!$F$5:$F$300*Торговля!$G$5:$G$300)+SUMPRODUCT((Закрытые!$E$5:$E$300=$B82)*(LEFT(Закрытые!$B$5:$B$300,2)="T-")*Закрытые!$F$5:$F$300*Закрытые!$G$5:$G$300))/C82)</f>
        <v/>
      </c>
      <c r="E82" s="247">
        <f>IF(C82="","",SUMIFS(Торговля!$H$5:$H$300,Торговля!$E$5:$E$300,$B82)+SUMIFS(Закрытые!$H$5:$H$300,Закрытые!$E$5:$E$300,$B82,Закрытые!$B$5:$B$300,"T-*"))</f>
        <v/>
      </c>
      <c r="F82" s="246">
        <f>IF(SUMIFS(Торговля!$I$5:$I$300,Торговля!$E$5:$E$300,$B82)+SUMIFS(Закрытые!$I$5:$I$300,Закрытые!$E$5:$E$300,$B82,Закрытые!$B$5:$B$300,"T-*")=0,"",SUMIFS(Торговля!$I$5:$I$300,Торговля!$E$5:$E$300,$B82)+SUMIFS(Закрытые!$I$5:$I$300,Закрытые!$E$5:$E$300,$B82,Закрытые!$B$5:$B$300,"T-*"))</f>
        <v/>
      </c>
      <c r="G82" s="183">
        <f>IF(F82="","",(SUMPRODUCT((Торговля!$E$5:$E$300=$B82)*Торговля!$I$5:$I$300*Торговля!$J$5:$J$300)+SUMPRODUCT((Закрытые!$E$5:$E$300=$B82)*(LEFT(Закрытые!$B$5:$B$300,2)="T-")*Закрытые!$I$5:$I$300*Закрытые!$J$5:$J$300))/F82)</f>
        <v/>
      </c>
      <c r="H82" s="247">
        <f>IF(F82="","",SUMIFS(Торговля!$K$5:$K$300,Торговля!$E$5:$E$300,$B82)+SUMIFS(Закрытые!$K$5:$K$300,Закрытые!$E$5:$E$300,$B82,Закрытые!$B$5:$B$300,"T-*"))</f>
        <v/>
      </c>
      <c r="I82" s="246">
        <f>IF($B82="","",IF(COUNTIFS(Торговля!$E$5:$E$300,$B82)+COUNTIFS(Закрытые!$E$5:$E$300,$B82,Закрытые!$B$5:$B$300,"T-*")=0,"",ROUND(SUMIFS(Торговля!$L$5:$L$300,Торговля!$E$5:$E$300,$B82)+SUMIFS(Закрытые!$L$5:$L$300,Закрытые!$E$5:$E$300,$B82,Закрытые!$B$5:$B$300,"T-*"),8)))</f>
        <v/>
      </c>
      <c r="J82" s="247">
        <f>IF($B82="","",IF(COUNTIFS(Торговля!$E$5:$E$300,$B82)+COUNTIFS(Закрытые!$E$5:$E$300,$B82,Закрытые!$B$5:$B$300,"T-*")=0,"",ROUND(SUMIFS(Торговля!$M$5:$M$300,Торговля!$E$5:$E$300,$B82)+SUMIFS(Закрытые!$M$5:$M$300,Закрытые!$E$5:$E$300,$B82,Закрытые!$B$5:$B$300,"T-*"),8)))</f>
        <v/>
      </c>
      <c r="K82" s="246">
        <f>IF($B82="","",ROUND(SUMIFS(Закрытые!$N$5:$N$300,Закрытые!$E$5:$E$300,$B82,Закрытые!$B$5:$B$300,"T-*"),8))</f>
        <v/>
      </c>
      <c r="L82" s="183">
        <f>IF(K82="","",IF(SUMPRODUCT((Закрытые!$E$5:$E$300=$B82)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82/SUMPRODUCT((Закрытые!$E$5:$E$300=$B82)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2" s="183">
        <f>IF(OR(ROUND(N(C82)-N(F82),8)=0,1-N(Ввод!$E$17)/100&lt;=0),"",IF(N(C82)&gt;N(F82),(N(E82)-N(H82))/((N(C82)-N(F82))*(1-N(Ввод!$E$17)/100)),(N(H82)-N(E82))/((N(F82)-N(C82))*(1+N(Ввод!$E$17)/100))))</f>
        <v/>
      </c>
    </row>
    <row r="83" ht="22" customHeight="1">
      <c r="B83" s="315" t="n"/>
      <c r="C83" s="240">
        <f>IF(SUMIFS(Торговля!$F$5:$F$300,Торговля!$E$5:$E$300,$B83)+SUMIFS(Закрытые!$F$5:$F$300,Закрытые!$E$5:$E$300,$B83,Закрытые!$B$5:$B$300,"T-*")=0,"",SUMIFS(Торговля!$F$5:$F$300,Торговля!$E$5:$E$300,$B83)+SUMIFS(Закрытые!$F$5:$F$300,Закрытые!$E$5:$E$300,$B83,Закрытые!$B$5:$B$300,"T-*"))</f>
        <v/>
      </c>
      <c r="D83" s="177">
        <f>IF(C83="","",(SUMPRODUCT((Торговля!$E$5:$E$300=$B83)*Торговля!$F$5:$F$300*Торговля!$G$5:$G$300)+SUMPRODUCT((Закрытые!$E$5:$E$300=$B83)*(LEFT(Закрытые!$B$5:$B$300,2)="T-")*Закрытые!$F$5:$F$300*Закрытые!$G$5:$G$300))/C83)</f>
        <v/>
      </c>
      <c r="E83" s="241">
        <f>IF(C83="","",SUMIFS(Торговля!$H$5:$H$300,Торговля!$E$5:$E$300,$B83)+SUMIFS(Закрытые!$H$5:$H$300,Закрытые!$E$5:$E$300,$B83,Закрытые!$B$5:$B$300,"T-*"))</f>
        <v/>
      </c>
      <c r="F83" s="240">
        <f>IF(SUMIFS(Торговля!$I$5:$I$300,Торговля!$E$5:$E$300,$B83)+SUMIFS(Закрытые!$I$5:$I$300,Закрытые!$E$5:$E$300,$B83,Закрытые!$B$5:$B$300,"T-*")=0,"",SUMIFS(Торговля!$I$5:$I$300,Торговля!$E$5:$E$300,$B83)+SUMIFS(Закрытые!$I$5:$I$300,Закрытые!$E$5:$E$300,$B83,Закрытые!$B$5:$B$300,"T-*"))</f>
        <v/>
      </c>
      <c r="G83" s="177">
        <f>IF(F83="","",(SUMPRODUCT((Торговля!$E$5:$E$300=$B83)*Торговля!$I$5:$I$300*Торговля!$J$5:$J$300)+SUMPRODUCT((Закрытые!$E$5:$E$300=$B83)*(LEFT(Закрытые!$B$5:$B$300,2)="T-")*Закрытые!$I$5:$I$300*Закрытые!$J$5:$J$300))/F83)</f>
        <v/>
      </c>
      <c r="H83" s="241">
        <f>IF(F83="","",SUMIFS(Торговля!$K$5:$K$300,Торговля!$E$5:$E$300,$B83)+SUMIFS(Закрытые!$K$5:$K$300,Закрытые!$E$5:$E$300,$B83,Закрытые!$B$5:$B$300,"T-*"))</f>
        <v/>
      </c>
      <c r="I83" s="240">
        <f>IF($B83="","",IF(COUNTIFS(Торговля!$E$5:$E$300,$B83)+COUNTIFS(Закрытые!$E$5:$E$300,$B83,Закрытые!$B$5:$B$300,"T-*")=0,"",ROUND(SUMIFS(Торговля!$L$5:$L$300,Торговля!$E$5:$E$300,$B83)+SUMIFS(Закрытые!$L$5:$L$300,Закрытые!$E$5:$E$300,$B83,Закрытые!$B$5:$B$300,"T-*"),8)))</f>
        <v/>
      </c>
      <c r="J83" s="241">
        <f>IF($B83="","",IF(COUNTIFS(Торговля!$E$5:$E$300,$B83)+COUNTIFS(Закрытые!$E$5:$E$300,$B83,Закрытые!$B$5:$B$300,"T-*")=0,"",ROUND(SUMIFS(Торговля!$M$5:$M$300,Торговля!$E$5:$E$300,$B83)+SUMIFS(Закрытые!$M$5:$M$300,Закрытые!$E$5:$E$300,$B83,Закрытые!$B$5:$B$300,"T-*"),8)))</f>
        <v/>
      </c>
      <c r="K83" s="240">
        <f>IF($B83="","",ROUND(SUMIFS(Закрытые!$N$5:$N$300,Закрытые!$E$5:$E$300,$B83,Закрытые!$B$5:$B$300,"T-*"),8))</f>
        <v/>
      </c>
      <c r="L83" s="177">
        <f>IF(K83="","",IF(SUMPRODUCT((Закрытые!$E$5:$E$300=$B83)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83/SUMPRODUCT((Закрытые!$E$5:$E$300=$B83)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3" s="177">
        <f>IF(OR(ROUND(N(C83)-N(F83),8)=0,1-N(Ввод!$E$17)/100&lt;=0),"",IF(N(C83)&gt;N(F83),(N(E83)-N(H83))/((N(C83)-N(F83))*(1-N(Ввод!$E$17)/100)),(N(H83)-N(E83))/((N(F83)-N(C83))*(1+N(Ввод!$E$17)/100))))</f>
        <v/>
      </c>
    </row>
    <row r="84" ht="22" customHeight="1">
      <c r="B84" s="320" t="n"/>
      <c r="C84" s="246">
        <f>IF(SUMIFS(Торговля!$F$5:$F$300,Торговля!$E$5:$E$300,$B84)+SUMIFS(Закрытые!$F$5:$F$300,Закрытые!$E$5:$E$300,$B84,Закрытые!$B$5:$B$300,"T-*")=0,"",SUMIFS(Торговля!$F$5:$F$300,Торговля!$E$5:$E$300,$B84)+SUMIFS(Закрытые!$F$5:$F$300,Закрытые!$E$5:$E$300,$B84,Закрытые!$B$5:$B$300,"T-*"))</f>
        <v/>
      </c>
      <c r="D84" s="183">
        <f>IF(C84="","",(SUMPRODUCT((Торговля!$E$5:$E$300=$B84)*Торговля!$F$5:$F$300*Торговля!$G$5:$G$300)+SUMPRODUCT((Закрытые!$E$5:$E$300=$B84)*(LEFT(Закрытые!$B$5:$B$300,2)="T-")*Закрытые!$F$5:$F$300*Закрытые!$G$5:$G$300))/C84)</f>
        <v/>
      </c>
      <c r="E84" s="247">
        <f>IF(C84="","",SUMIFS(Торговля!$H$5:$H$300,Торговля!$E$5:$E$300,$B84)+SUMIFS(Закрытые!$H$5:$H$300,Закрытые!$E$5:$E$300,$B84,Закрытые!$B$5:$B$300,"T-*"))</f>
        <v/>
      </c>
      <c r="F84" s="246">
        <f>IF(SUMIFS(Торговля!$I$5:$I$300,Торговля!$E$5:$E$300,$B84)+SUMIFS(Закрытые!$I$5:$I$300,Закрытые!$E$5:$E$300,$B84,Закрытые!$B$5:$B$300,"T-*")=0,"",SUMIFS(Торговля!$I$5:$I$300,Торговля!$E$5:$E$300,$B84)+SUMIFS(Закрытые!$I$5:$I$300,Закрытые!$E$5:$E$300,$B84,Закрытые!$B$5:$B$300,"T-*"))</f>
        <v/>
      </c>
      <c r="G84" s="183">
        <f>IF(F84="","",(SUMPRODUCT((Торговля!$E$5:$E$300=$B84)*Торговля!$I$5:$I$300*Торговля!$J$5:$J$300)+SUMPRODUCT((Закрытые!$E$5:$E$300=$B84)*(LEFT(Закрытые!$B$5:$B$300,2)="T-")*Закрытые!$I$5:$I$300*Закрытые!$J$5:$J$300))/F84)</f>
        <v/>
      </c>
      <c r="H84" s="247">
        <f>IF(F84="","",SUMIFS(Торговля!$K$5:$K$300,Торговля!$E$5:$E$300,$B84)+SUMIFS(Закрытые!$K$5:$K$300,Закрытые!$E$5:$E$300,$B84,Закрытые!$B$5:$B$300,"T-*"))</f>
        <v/>
      </c>
      <c r="I84" s="246">
        <f>IF($B84="","",IF(COUNTIFS(Торговля!$E$5:$E$300,$B84)+COUNTIFS(Закрытые!$E$5:$E$300,$B84,Закрытые!$B$5:$B$300,"T-*")=0,"",ROUND(SUMIFS(Торговля!$L$5:$L$300,Торговля!$E$5:$E$300,$B84)+SUMIFS(Закрытые!$L$5:$L$300,Закрытые!$E$5:$E$300,$B84,Закрытые!$B$5:$B$300,"T-*"),8)))</f>
        <v/>
      </c>
      <c r="J84" s="247">
        <f>IF($B84="","",IF(COUNTIFS(Торговля!$E$5:$E$300,$B84)+COUNTIFS(Закрытые!$E$5:$E$300,$B84,Закрытые!$B$5:$B$300,"T-*")=0,"",ROUND(SUMIFS(Торговля!$M$5:$M$300,Торговля!$E$5:$E$300,$B84)+SUMIFS(Закрытые!$M$5:$M$300,Закрытые!$E$5:$E$300,$B84,Закрытые!$B$5:$B$300,"T-*"),8)))</f>
        <v/>
      </c>
      <c r="K84" s="246">
        <f>IF($B84="","",ROUND(SUMIFS(Закрытые!$N$5:$N$300,Закрытые!$E$5:$E$300,$B84,Закрытые!$B$5:$B$300,"T-*"),8))</f>
        <v/>
      </c>
      <c r="L84" s="183">
        <f>IF(K84="","",IF(SUMPRODUCT((Закрытые!$E$5:$E$300=$B84)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84/SUMPRODUCT((Закрытые!$E$5:$E$300=$B84)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4" s="183">
        <f>IF(OR(ROUND(N(C84)-N(F84),8)=0,1-N(Ввод!$E$17)/100&lt;=0),"",IF(N(C84)&gt;N(F84),(N(E84)-N(H84))/((N(C84)-N(F84))*(1-N(Ввод!$E$17)/100)),(N(H84)-N(E84))/((N(F84)-N(C84))*(1+N(Ввод!$E$17)/100))))</f>
        <v/>
      </c>
    </row>
    <row r="85" ht="22" customHeight="1">
      <c r="B85" s="315" t="n"/>
      <c r="C85" s="240">
        <f>IF(SUMIFS(Торговля!$F$5:$F$300,Торговля!$E$5:$E$300,$B85)+SUMIFS(Закрытые!$F$5:$F$300,Закрытые!$E$5:$E$300,$B85,Закрытые!$B$5:$B$300,"T-*")=0,"",SUMIFS(Торговля!$F$5:$F$300,Торговля!$E$5:$E$300,$B85)+SUMIFS(Закрытые!$F$5:$F$300,Закрытые!$E$5:$E$300,$B85,Закрытые!$B$5:$B$300,"T-*"))</f>
        <v/>
      </c>
      <c r="D85" s="177">
        <f>IF(C85="","",(SUMPRODUCT((Торговля!$E$5:$E$300=$B85)*Торговля!$F$5:$F$300*Торговля!$G$5:$G$300)+SUMPRODUCT((Закрытые!$E$5:$E$300=$B85)*(LEFT(Закрытые!$B$5:$B$300,2)="T-")*Закрытые!$F$5:$F$300*Закрытые!$G$5:$G$300))/C85)</f>
        <v/>
      </c>
      <c r="E85" s="241">
        <f>IF(C85="","",SUMIFS(Торговля!$H$5:$H$300,Торговля!$E$5:$E$300,$B85)+SUMIFS(Закрытые!$H$5:$H$300,Закрытые!$E$5:$E$300,$B85,Закрытые!$B$5:$B$300,"T-*"))</f>
        <v/>
      </c>
      <c r="F85" s="240">
        <f>IF(SUMIFS(Торговля!$I$5:$I$300,Торговля!$E$5:$E$300,$B85)+SUMIFS(Закрытые!$I$5:$I$300,Закрытые!$E$5:$E$300,$B85,Закрытые!$B$5:$B$300,"T-*")=0,"",SUMIFS(Торговля!$I$5:$I$300,Торговля!$E$5:$E$300,$B85)+SUMIFS(Закрытые!$I$5:$I$300,Закрытые!$E$5:$E$300,$B85,Закрытые!$B$5:$B$300,"T-*"))</f>
        <v/>
      </c>
      <c r="G85" s="177">
        <f>IF(F85="","",(SUMPRODUCT((Торговля!$E$5:$E$300=$B85)*Торговля!$I$5:$I$300*Торговля!$J$5:$J$300)+SUMPRODUCT((Закрытые!$E$5:$E$300=$B85)*(LEFT(Закрытые!$B$5:$B$300,2)="T-")*Закрытые!$I$5:$I$300*Закрытые!$J$5:$J$300))/F85)</f>
        <v/>
      </c>
      <c r="H85" s="241">
        <f>IF(F85="","",SUMIFS(Торговля!$K$5:$K$300,Торговля!$E$5:$E$300,$B85)+SUMIFS(Закрытые!$K$5:$K$300,Закрытые!$E$5:$E$300,$B85,Закрытые!$B$5:$B$300,"T-*"))</f>
        <v/>
      </c>
      <c r="I85" s="240">
        <f>IF($B85="","",IF(COUNTIFS(Торговля!$E$5:$E$300,$B85)+COUNTIFS(Закрытые!$E$5:$E$300,$B85,Закрытые!$B$5:$B$300,"T-*")=0,"",ROUND(SUMIFS(Торговля!$L$5:$L$300,Торговля!$E$5:$E$300,$B85)+SUMIFS(Закрытые!$L$5:$L$300,Закрытые!$E$5:$E$300,$B85,Закрытые!$B$5:$B$300,"T-*"),8)))</f>
        <v/>
      </c>
      <c r="J85" s="241">
        <f>IF($B85="","",IF(COUNTIFS(Торговля!$E$5:$E$300,$B85)+COUNTIFS(Закрытые!$E$5:$E$300,$B85,Закрытые!$B$5:$B$300,"T-*")=0,"",ROUND(SUMIFS(Торговля!$M$5:$M$300,Торговля!$E$5:$E$300,$B85)+SUMIFS(Закрытые!$M$5:$M$300,Закрытые!$E$5:$E$300,$B85,Закрытые!$B$5:$B$300,"T-*"),8)))</f>
        <v/>
      </c>
      <c r="K85" s="240">
        <f>IF($B85="","",ROUND(SUMIFS(Закрытые!$N$5:$N$300,Закрытые!$E$5:$E$300,$B85,Закрытые!$B$5:$B$300,"T-*"),8))</f>
        <v/>
      </c>
      <c r="L85" s="177">
        <f>IF(K85="","",IF(SUMPRODUCT((Закрытые!$E$5:$E$300=$B85)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85/SUMPRODUCT((Закрытые!$E$5:$E$300=$B85)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5" s="177">
        <f>IF(OR(ROUND(N(C85)-N(F85),8)=0,1-N(Ввод!$E$17)/100&lt;=0),"",IF(N(C85)&gt;N(F85),(N(E85)-N(H85))/((N(C85)-N(F85))*(1-N(Ввод!$E$17)/100)),(N(H85)-N(E85))/((N(F85)-N(C85))*(1+N(Ввод!$E$17)/100))))</f>
        <v/>
      </c>
    </row>
    <row r="86" ht="22" customHeight="1">
      <c r="B86" s="320" t="n"/>
      <c r="C86" s="246">
        <f>IF(SUMIFS(Торговля!$F$5:$F$300,Торговля!$E$5:$E$300,$B86)+SUMIFS(Закрытые!$F$5:$F$300,Закрытые!$E$5:$E$300,$B86,Закрытые!$B$5:$B$300,"T-*")=0,"",SUMIFS(Торговля!$F$5:$F$300,Торговля!$E$5:$E$300,$B86)+SUMIFS(Закрытые!$F$5:$F$300,Закрытые!$E$5:$E$300,$B86,Закрытые!$B$5:$B$300,"T-*"))</f>
        <v/>
      </c>
      <c r="D86" s="183">
        <f>IF(C86="","",(SUMPRODUCT((Торговля!$E$5:$E$300=$B86)*Торговля!$F$5:$F$300*Торговля!$G$5:$G$300)+SUMPRODUCT((Закрытые!$E$5:$E$300=$B86)*(LEFT(Закрытые!$B$5:$B$300,2)="T-")*Закрытые!$F$5:$F$300*Закрытые!$G$5:$G$300))/C86)</f>
        <v/>
      </c>
      <c r="E86" s="247">
        <f>IF(C86="","",SUMIFS(Торговля!$H$5:$H$300,Торговля!$E$5:$E$300,$B86)+SUMIFS(Закрытые!$H$5:$H$300,Закрытые!$E$5:$E$300,$B86,Закрытые!$B$5:$B$300,"T-*"))</f>
        <v/>
      </c>
      <c r="F86" s="246">
        <f>IF(SUMIFS(Торговля!$I$5:$I$300,Торговля!$E$5:$E$300,$B86)+SUMIFS(Закрытые!$I$5:$I$300,Закрытые!$E$5:$E$300,$B86,Закрытые!$B$5:$B$300,"T-*")=0,"",SUMIFS(Торговля!$I$5:$I$300,Торговля!$E$5:$E$300,$B86)+SUMIFS(Закрытые!$I$5:$I$300,Закрытые!$E$5:$E$300,$B86,Закрытые!$B$5:$B$300,"T-*"))</f>
        <v/>
      </c>
      <c r="G86" s="183">
        <f>IF(F86="","",(SUMPRODUCT((Торговля!$E$5:$E$300=$B86)*Торговля!$I$5:$I$300*Торговля!$J$5:$J$300)+SUMPRODUCT((Закрытые!$E$5:$E$300=$B86)*(LEFT(Закрытые!$B$5:$B$300,2)="T-")*Закрытые!$I$5:$I$300*Закрытые!$J$5:$J$300))/F86)</f>
        <v/>
      </c>
      <c r="H86" s="247">
        <f>IF(F86="","",SUMIFS(Торговля!$K$5:$K$300,Торговля!$E$5:$E$300,$B86)+SUMIFS(Закрытые!$K$5:$K$300,Закрытые!$E$5:$E$300,$B86,Закрытые!$B$5:$B$300,"T-*"))</f>
        <v/>
      </c>
      <c r="I86" s="246">
        <f>IF($B86="","",IF(COUNTIFS(Торговля!$E$5:$E$300,$B86)+COUNTIFS(Закрытые!$E$5:$E$300,$B86,Закрытые!$B$5:$B$300,"T-*")=0,"",ROUND(SUMIFS(Торговля!$L$5:$L$300,Торговля!$E$5:$E$300,$B86)+SUMIFS(Закрытые!$L$5:$L$300,Закрытые!$E$5:$E$300,$B86,Закрытые!$B$5:$B$300,"T-*"),8)))</f>
        <v/>
      </c>
      <c r="J86" s="247">
        <f>IF($B86="","",IF(COUNTIFS(Торговля!$E$5:$E$300,$B86)+COUNTIFS(Закрытые!$E$5:$E$300,$B86,Закрытые!$B$5:$B$300,"T-*")=0,"",ROUND(SUMIFS(Торговля!$M$5:$M$300,Торговля!$E$5:$E$300,$B86)+SUMIFS(Закрытые!$M$5:$M$300,Закрытые!$E$5:$E$300,$B86,Закрытые!$B$5:$B$300,"T-*"),8)))</f>
        <v/>
      </c>
      <c r="K86" s="246">
        <f>IF($B86="","",ROUND(SUMIFS(Закрытые!$N$5:$N$300,Закрытые!$E$5:$E$300,$B86,Закрытые!$B$5:$B$300,"T-*"),8))</f>
        <v/>
      </c>
      <c r="L86" s="183">
        <f>IF(K86="","",IF(SUMPRODUCT((Закрытые!$E$5:$E$300=$B86)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86/SUMPRODUCT((Закрытые!$E$5:$E$300=$B86)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6" s="183">
        <f>IF(OR(ROUND(N(C86)-N(F86),8)=0,1-N(Ввод!$E$17)/100&lt;=0),"",IF(N(C86)&gt;N(F86),(N(E86)-N(H86))/((N(C86)-N(F86))*(1-N(Ввод!$E$17)/100)),(N(H86)-N(E86))/((N(F86)-N(C86))*(1+N(Ввод!$E$17)/100))))</f>
        <v/>
      </c>
    </row>
    <row r="87" ht="22" customHeight="1">
      <c r="B87" s="315" t="n"/>
      <c r="C87" s="240">
        <f>IF(SUMIFS(Торговля!$F$5:$F$300,Торговля!$E$5:$E$300,$B87)+SUMIFS(Закрытые!$F$5:$F$300,Закрытые!$E$5:$E$300,$B87,Закрытые!$B$5:$B$300,"T-*")=0,"",SUMIFS(Торговля!$F$5:$F$300,Торговля!$E$5:$E$300,$B87)+SUMIFS(Закрытые!$F$5:$F$300,Закрытые!$E$5:$E$300,$B87,Закрытые!$B$5:$B$300,"T-*"))</f>
        <v/>
      </c>
      <c r="D87" s="177">
        <f>IF(C87="","",(SUMPRODUCT((Торговля!$E$5:$E$300=$B87)*Торговля!$F$5:$F$300*Торговля!$G$5:$G$300)+SUMPRODUCT((Закрытые!$E$5:$E$300=$B87)*(LEFT(Закрытые!$B$5:$B$300,2)="T-")*Закрытые!$F$5:$F$300*Закрытые!$G$5:$G$300))/C87)</f>
        <v/>
      </c>
      <c r="E87" s="241">
        <f>IF(C87="","",SUMIFS(Торговля!$H$5:$H$300,Торговля!$E$5:$E$300,$B87)+SUMIFS(Закрытые!$H$5:$H$300,Закрытые!$E$5:$E$300,$B87,Закрытые!$B$5:$B$300,"T-*"))</f>
        <v/>
      </c>
      <c r="F87" s="240">
        <f>IF(SUMIFS(Торговля!$I$5:$I$300,Торговля!$E$5:$E$300,$B87)+SUMIFS(Закрытые!$I$5:$I$300,Закрытые!$E$5:$E$300,$B87,Закрытые!$B$5:$B$300,"T-*")=0,"",SUMIFS(Торговля!$I$5:$I$300,Торговля!$E$5:$E$300,$B87)+SUMIFS(Закрытые!$I$5:$I$300,Закрытые!$E$5:$E$300,$B87,Закрытые!$B$5:$B$300,"T-*"))</f>
        <v/>
      </c>
      <c r="G87" s="177">
        <f>IF(F87="","",(SUMPRODUCT((Торговля!$E$5:$E$300=$B87)*Торговля!$I$5:$I$300*Торговля!$J$5:$J$300)+SUMPRODUCT((Закрытые!$E$5:$E$300=$B87)*(LEFT(Закрытые!$B$5:$B$300,2)="T-")*Закрытые!$I$5:$I$300*Закрытые!$J$5:$J$300))/F87)</f>
        <v/>
      </c>
      <c r="H87" s="241">
        <f>IF(F87="","",SUMIFS(Торговля!$K$5:$K$300,Торговля!$E$5:$E$300,$B87)+SUMIFS(Закрытые!$K$5:$K$300,Закрытые!$E$5:$E$300,$B87,Закрытые!$B$5:$B$300,"T-*"))</f>
        <v/>
      </c>
      <c r="I87" s="240">
        <f>IF($B87="","",IF(COUNTIFS(Торговля!$E$5:$E$300,$B87)+COUNTIFS(Закрытые!$E$5:$E$300,$B87,Закрытые!$B$5:$B$300,"T-*")=0,"",ROUND(SUMIFS(Торговля!$L$5:$L$300,Торговля!$E$5:$E$300,$B87)+SUMIFS(Закрытые!$L$5:$L$300,Закрытые!$E$5:$E$300,$B87,Закрытые!$B$5:$B$300,"T-*"),8)))</f>
        <v/>
      </c>
      <c r="J87" s="241">
        <f>IF($B87="","",IF(COUNTIFS(Торговля!$E$5:$E$300,$B87)+COUNTIFS(Закрытые!$E$5:$E$300,$B87,Закрытые!$B$5:$B$300,"T-*")=0,"",ROUND(SUMIFS(Торговля!$M$5:$M$300,Торговля!$E$5:$E$300,$B87)+SUMIFS(Закрытые!$M$5:$M$300,Закрытые!$E$5:$E$300,$B87,Закрытые!$B$5:$B$300,"T-*"),8)))</f>
        <v/>
      </c>
      <c r="K87" s="240">
        <f>IF($B87="","",ROUND(SUMIFS(Закрытые!$N$5:$N$300,Закрытые!$E$5:$E$300,$B87,Закрытые!$B$5:$B$300,"T-*"),8))</f>
        <v/>
      </c>
      <c r="L87" s="177">
        <f>IF(K87="","",IF(SUMPRODUCT((Закрытые!$E$5:$E$300=$B87)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87/SUMPRODUCT((Закрытые!$E$5:$E$300=$B87)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7" s="177">
        <f>IF(OR(ROUND(N(C87)-N(F87),8)=0,1-N(Ввод!$E$17)/100&lt;=0),"",IF(N(C87)&gt;N(F87),(N(E87)-N(H87))/((N(C87)-N(F87))*(1-N(Ввод!$E$17)/100)),(N(H87)-N(E87))/((N(F87)-N(C87))*(1+N(Ввод!$E$17)/100))))</f>
        <v/>
      </c>
    </row>
    <row r="88" ht="22" customHeight="1">
      <c r="B88" s="320" t="n"/>
      <c r="C88" s="246">
        <f>IF(SUMIFS(Торговля!$F$5:$F$300,Торговля!$E$5:$E$300,$B88)+SUMIFS(Закрытые!$F$5:$F$300,Закрытые!$E$5:$E$300,$B88,Закрытые!$B$5:$B$300,"T-*")=0,"",SUMIFS(Торговля!$F$5:$F$300,Торговля!$E$5:$E$300,$B88)+SUMIFS(Закрытые!$F$5:$F$300,Закрытые!$E$5:$E$300,$B88,Закрытые!$B$5:$B$300,"T-*"))</f>
        <v/>
      </c>
      <c r="D88" s="183">
        <f>IF(C88="","",(SUMPRODUCT((Торговля!$E$5:$E$300=$B88)*Торговля!$F$5:$F$300*Торговля!$G$5:$G$300)+SUMPRODUCT((Закрытые!$E$5:$E$300=$B88)*(LEFT(Закрытые!$B$5:$B$300,2)="T-")*Закрытые!$F$5:$F$300*Закрытые!$G$5:$G$300))/C88)</f>
        <v/>
      </c>
      <c r="E88" s="247">
        <f>IF(C88="","",SUMIFS(Торговля!$H$5:$H$300,Торговля!$E$5:$E$300,$B88)+SUMIFS(Закрытые!$H$5:$H$300,Закрытые!$E$5:$E$300,$B88,Закрытые!$B$5:$B$300,"T-*"))</f>
        <v/>
      </c>
      <c r="F88" s="246">
        <f>IF(SUMIFS(Торговля!$I$5:$I$300,Торговля!$E$5:$E$300,$B88)+SUMIFS(Закрытые!$I$5:$I$300,Закрытые!$E$5:$E$300,$B88,Закрытые!$B$5:$B$300,"T-*")=0,"",SUMIFS(Торговля!$I$5:$I$300,Торговля!$E$5:$E$300,$B88)+SUMIFS(Закрытые!$I$5:$I$300,Закрытые!$E$5:$E$300,$B88,Закрытые!$B$5:$B$300,"T-*"))</f>
        <v/>
      </c>
      <c r="G88" s="183">
        <f>IF(F88="","",(SUMPRODUCT((Торговля!$E$5:$E$300=$B88)*Торговля!$I$5:$I$300*Торговля!$J$5:$J$300)+SUMPRODUCT((Закрытые!$E$5:$E$300=$B88)*(LEFT(Закрытые!$B$5:$B$300,2)="T-")*Закрытые!$I$5:$I$300*Закрытые!$J$5:$J$300))/F88)</f>
        <v/>
      </c>
      <c r="H88" s="247">
        <f>IF(F88="","",SUMIFS(Торговля!$K$5:$K$300,Торговля!$E$5:$E$300,$B88)+SUMIFS(Закрытые!$K$5:$K$300,Закрытые!$E$5:$E$300,$B88,Закрытые!$B$5:$B$300,"T-*"))</f>
        <v/>
      </c>
      <c r="I88" s="246">
        <f>IF($B88="","",IF(COUNTIFS(Торговля!$E$5:$E$300,$B88)+COUNTIFS(Закрытые!$E$5:$E$300,$B88,Закрытые!$B$5:$B$300,"T-*")=0,"",ROUND(SUMIFS(Торговля!$L$5:$L$300,Торговля!$E$5:$E$300,$B88)+SUMIFS(Закрытые!$L$5:$L$300,Закрытые!$E$5:$E$300,$B88,Закрытые!$B$5:$B$300,"T-*"),8)))</f>
        <v/>
      </c>
      <c r="J88" s="247">
        <f>IF($B88="","",IF(COUNTIFS(Торговля!$E$5:$E$300,$B88)+COUNTIFS(Закрытые!$E$5:$E$300,$B88,Закрытые!$B$5:$B$300,"T-*")=0,"",ROUND(SUMIFS(Торговля!$M$5:$M$300,Торговля!$E$5:$E$300,$B88)+SUMIFS(Закрытые!$M$5:$M$300,Закрытые!$E$5:$E$300,$B88,Закрытые!$B$5:$B$300,"T-*"),8)))</f>
        <v/>
      </c>
      <c r="K88" s="246">
        <f>IF($B88="","",ROUND(SUMIFS(Закрытые!$N$5:$N$300,Закрытые!$E$5:$E$300,$B88,Закрытые!$B$5:$B$300,"T-*"),8))</f>
        <v/>
      </c>
      <c r="L88" s="183">
        <f>IF(K88="","",IF(SUMPRODUCT((Закрытые!$E$5:$E$300=$B88)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88/SUMPRODUCT((Закрытые!$E$5:$E$300=$B88)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8" s="183">
        <f>IF(OR(ROUND(N(C88)-N(F88),8)=0,1-N(Ввод!$E$17)/100&lt;=0),"",IF(N(C88)&gt;N(F88),(N(E88)-N(H88))/((N(C88)-N(F88))*(1-N(Ввод!$E$17)/100)),(N(H88)-N(E88))/((N(F88)-N(C88))*(1+N(Ввод!$E$17)/100))))</f>
        <v/>
      </c>
    </row>
    <row r="89" ht="22" customHeight="1">
      <c r="B89" s="315" t="n"/>
      <c r="C89" s="240">
        <f>IF(SUMIFS(Торговля!$F$5:$F$300,Торговля!$E$5:$E$300,$B89)+SUMIFS(Закрытые!$F$5:$F$300,Закрытые!$E$5:$E$300,$B89,Закрытые!$B$5:$B$300,"T-*")=0,"",SUMIFS(Торговля!$F$5:$F$300,Торговля!$E$5:$E$300,$B89)+SUMIFS(Закрытые!$F$5:$F$300,Закрытые!$E$5:$E$300,$B89,Закрытые!$B$5:$B$300,"T-*"))</f>
        <v/>
      </c>
      <c r="D89" s="177">
        <f>IF(C89="","",(SUMPRODUCT((Торговля!$E$5:$E$300=$B89)*Торговля!$F$5:$F$300*Торговля!$G$5:$G$300)+SUMPRODUCT((Закрытые!$E$5:$E$300=$B89)*(LEFT(Закрытые!$B$5:$B$300,2)="T-")*Закрытые!$F$5:$F$300*Закрытые!$G$5:$G$300))/C89)</f>
        <v/>
      </c>
      <c r="E89" s="241">
        <f>IF(C89="","",SUMIFS(Торговля!$H$5:$H$300,Торговля!$E$5:$E$300,$B89)+SUMIFS(Закрытые!$H$5:$H$300,Закрытые!$E$5:$E$300,$B89,Закрытые!$B$5:$B$300,"T-*"))</f>
        <v/>
      </c>
      <c r="F89" s="240">
        <f>IF(SUMIFS(Торговля!$I$5:$I$300,Торговля!$E$5:$E$300,$B89)+SUMIFS(Закрытые!$I$5:$I$300,Закрытые!$E$5:$E$300,$B89,Закрытые!$B$5:$B$300,"T-*")=0,"",SUMIFS(Торговля!$I$5:$I$300,Торговля!$E$5:$E$300,$B89)+SUMIFS(Закрытые!$I$5:$I$300,Закрытые!$E$5:$E$300,$B89,Закрытые!$B$5:$B$300,"T-*"))</f>
        <v/>
      </c>
      <c r="G89" s="177">
        <f>IF(F89="","",(SUMPRODUCT((Торговля!$E$5:$E$300=$B89)*Торговля!$I$5:$I$300*Торговля!$J$5:$J$300)+SUMPRODUCT((Закрытые!$E$5:$E$300=$B89)*(LEFT(Закрытые!$B$5:$B$300,2)="T-")*Закрытые!$I$5:$I$300*Закрытые!$J$5:$J$300))/F89)</f>
        <v/>
      </c>
      <c r="H89" s="241">
        <f>IF(F89="","",SUMIFS(Торговля!$K$5:$K$300,Торговля!$E$5:$E$300,$B89)+SUMIFS(Закрытые!$K$5:$K$300,Закрытые!$E$5:$E$300,$B89,Закрытые!$B$5:$B$300,"T-*"))</f>
        <v/>
      </c>
      <c r="I89" s="240">
        <f>IF($B89="","",IF(COUNTIFS(Торговля!$E$5:$E$300,$B89)+COUNTIFS(Закрытые!$E$5:$E$300,$B89,Закрытые!$B$5:$B$300,"T-*")=0,"",ROUND(SUMIFS(Торговля!$L$5:$L$300,Торговля!$E$5:$E$300,$B89)+SUMIFS(Закрытые!$L$5:$L$300,Закрытые!$E$5:$E$300,$B89,Закрытые!$B$5:$B$300,"T-*"),8)))</f>
        <v/>
      </c>
      <c r="J89" s="241">
        <f>IF($B89="","",IF(COUNTIFS(Торговля!$E$5:$E$300,$B89)+COUNTIFS(Закрытые!$E$5:$E$300,$B89,Закрытые!$B$5:$B$300,"T-*")=0,"",ROUND(SUMIFS(Торговля!$M$5:$M$300,Торговля!$E$5:$E$300,$B89)+SUMIFS(Закрытые!$M$5:$M$300,Закрытые!$E$5:$E$300,$B89,Закрытые!$B$5:$B$300,"T-*"),8)))</f>
        <v/>
      </c>
      <c r="K89" s="240">
        <f>IF($B89="","",ROUND(SUMIFS(Закрытые!$N$5:$N$300,Закрытые!$E$5:$E$300,$B89,Закрытые!$B$5:$B$300,"T-*"),8))</f>
        <v/>
      </c>
      <c r="L89" s="177">
        <f>IF(K89="","",IF(SUMPRODUCT((Закрытые!$E$5:$E$300=$B89)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89/SUMPRODUCT((Закрытые!$E$5:$E$300=$B89)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9" s="177">
        <f>IF(OR(ROUND(N(C89)-N(F89),8)=0,1-N(Ввод!$E$17)/100&lt;=0),"",IF(N(C89)&gt;N(F89),(N(E89)-N(H89))/((N(C89)-N(F89))*(1-N(Ввод!$E$17)/100)),(N(H89)-N(E89))/((N(F89)-N(C89))*(1+N(Ввод!$E$17)/100))))</f>
        <v/>
      </c>
    </row>
    <row r="90" ht="22" customHeight="1">
      <c r="B90" s="320" t="n"/>
      <c r="C90" s="246">
        <f>IF(SUMIFS(Торговля!$F$5:$F$300,Торговля!$E$5:$E$300,$B90)+SUMIFS(Закрытые!$F$5:$F$300,Закрытые!$E$5:$E$300,$B90,Закрытые!$B$5:$B$300,"T-*")=0,"",SUMIFS(Торговля!$F$5:$F$300,Торговля!$E$5:$E$300,$B90)+SUMIFS(Закрытые!$F$5:$F$300,Закрытые!$E$5:$E$300,$B90,Закрытые!$B$5:$B$300,"T-*"))</f>
        <v/>
      </c>
      <c r="D90" s="183">
        <f>IF(C90="","",(SUMPRODUCT((Торговля!$E$5:$E$300=$B90)*Торговля!$F$5:$F$300*Торговля!$G$5:$G$300)+SUMPRODUCT((Закрытые!$E$5:$E$300=$B90)*(LEFT(Закрытые!$B$5:$B$300,2)="T-")*Закрытые!$F$5:$F$300*Закрытые!$G$5:$G$300))/C90)</f>
        <v/>
      </c>
      <c r="E90" s="247">
        <f>IF(C90="","",SUMIFS(Торговля!$H$5:$H$300,Торговля!$E$5:$E$300,$B90)+SUMIFS(Закрытые!$H$5:$H$300,Закрытые!$E$5:$E$300,$B90,Закрытые!$B$5:$B$300,"T-*"))</f>
        <v/>
      </c>
      <c r="F90" s="246">
        <f>IF(SUMIFS(Торговля!$I$5:$I$300,Торговля!$E$5:$E$300,$B90)+SUMIFS(Закрытые!$I$5:$I$300,Закрытые!$E$5:$E$300,$B90,Закрытые!$B$5:$B$300,"T-*")=0,"",SUMIFS(Торговля!$I$5:$I$300,Торговля!$E$5:$E$300,$B90)+SUMIFS(Закрытые!$I$5:$I$300,Закрытые!$E$5:$E$300,$B90,Закрытые!$B$5:$B$300,"T-*"))</f>
        <v/>
      </c>
      <c r="G90" s="183">
        <f>IF(F90="","",(SUMPRODUCT((Торговля!$E$5:$E$300=$B90)*Торговля!$I$5:$I$300*Торговля!$J$5:$J$300)+SUMPRODUCT((Закрытые!$E$5:$E$300=$B90)*(LEFT(Закрытые!$B$5:$B$300,2)="T-")*Закрытые!$I$5:$I$300*Закрытые!$J$5:$J$300))/F90)</f>
        <v/>
      </c>
      <c r="H90" s="247">
        <f>IF(F90="","",SUMIFS(Торговля!$K$5:$K$300,Торговля!$E$5:$E$300,$B90)+SUMIFS(Закрытые!$K$5:$K$300,Закрытые!$E$5:$E$300,$B90,Закрытые!$B$5:$B$300,"T-*"))</f>
        <v/>
      </c>
      <c r="I90" s="246">
        <f>IF($B90="","",IF(COUNTIFS(Торговля!$E$5:$E$300,$B90)+COUNTIFS(Закрытые!$E$5:$E$300,$B90,Закрытые!$B$5:$B$300,"T-*")=0,"",ROUND(SUMIFS(Торговля!$L$5:$L$300,Торговля!$E$5:$E$300,$B90)+SUMIFS(Закрытые!$L$5:$L$300,Закрытые!$E$5:$E$300,$B90,Закрытые!$B$5:$B$300,"T-*"),8)))</f>
        <v/>
      </c>
      <c r="J90" s="247">
        <f>IF($B90="","",IF(COUNTIFS(Торговля!$E$5:$E$300,$B90)+COUNTIFS(Закрытые!$E$5:$E$300,$B90,Закрытые!$B$5:$B$300,"T-*")=0,"",ROUND(SUMIFS(Торговля!$M$5:$M$300,Торговля!$E$5:$E$300,$B90)+SUMIFS(Закрытые!$M$5:$M$300,Закрытые!$E$5:$E$300,$B90,Закрытые!$B$5:$B$300,"T-*"),8)))</f>
        <v/>
      </c>
      <c r="K90" s="246">
        <f>IF($B90="","",ROUND(SUMIFS(Закрытые!$N$5:$N$300,Закрытые!$E$5:$E$300,$B90,Закрытые!$B$5:$B$300,"T-*"),8))</f>
        <v/>
      </c>
      <c r="L90" s="183">
        <f>IF(K90="","",IF(SUMPRODUCT((Закрытые!$E$5:$E$300=$B90)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90/SUMPRODUCT((Закрытые!$E$5:$E$300=$B90)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0" s="183">
        <f>IF(OR(ROUND(N(C90)-N(F90),8)=0,1-N(Ввод!$E$17)/100&lt;=0),"",IF(N(C90)&gt;N(F90),(N(E90)-N(H90))/((N(C90)-N(F90))*(1-N(Ввод!$E$17)/100)),(N(H90)-N(E90))/((N(F90)-N(C90))*(1+N(Ввод!$E$17)/100))))</f>
        <v/>
      </c>
    </row>
    <row r="91" ht="22" customHeight="1">
      <c r="B91" s="315" t="n"/>
      <c r="C91" s="240">
        <f>IF(SUMIFS(Торговля!$F$5:$F$300,Торговля!$E$5:$E$300,$B91)+SUMIFS(Закрытые!$F$5:$F$300,Закрытые!$E$5:$E$300,$B91,Закрытые!$B$5:$B$300,"T-*")=0,"",SUMIFS(Торговля!$F$5:$F$300,Торговля!$E$5:$E$300,$B91)+SUMIFS(Закрытые!$F$5:$F$300,Закрытые!$E$5:$E$300,$B91,Закрытые!$B$5:$B$300,"T-*"))</f>
        <v/>
      </c>
      <c r="D91" s="177">
        <f>IF(C91="","",(SUMPRODUCT((Торговля!$E$5:$E$300=$B91)*Торговля!$F$5:$F$300*Торговля!$G$5:$G$300)+SUMPRODUCT((Закрытые!$E$5:$E$300=$B91)*(LEFT(Закрытые!$B$5:$B$300,2)="T-")*Закрытые!$F$5:$F$300*Закрытые!$G$5:$G$300))/C91)</f>
        <v/>
      </c>
      <c r="E91" s="241">
        <f>IF(C91="","",SUMIFS(Торговля!$H$5:$H$300,Торговля!$E$5:$E$300,$B91)+SUMIFS(Закрытые!$H$5:$H$300,Закрытые!$E$5:$E$300,$B91,Закрытые!$B$5:$B$300,"T-*"))</f>
        <v/>
      </c>
      <c r="F91" s="240">
        <f>IF(SUMIFS(Торговля!$I$5:$I$300,Торговля!$E$5:$E$300,$B91)+SUMIFS(Закрытые!$I$5:$I$300,Закрытые!$E$5:$E$300,$B91,Закрытые!$B$5:$B$300,"T-*")=0,"",SUMIFS(Торговля!$I$5:$I$300,Торговля!$E$5:$E$300,$B91)+SUMIFS(Закрытые!$I$5:$I$300,Закрытые!$E$5:$E$300,$B91,Закрытые!$B$5:$B$300,"T-*"))</f>
        <v/>
      </c>
      <c r="G91" s="177">
        <f>IF(F91="","",(SUMPRODUCT((Торговля!$E$5:$E$300=$B91)*Торговля!$I$5:$I$300*Торговля!$J$5:$J$300)+SUMPRODUCT((Закрытые!$E$5:$E$300=$B91)*(LEFT(Закрытые!$B$5:$B$300,2)="T-")*Закрытые!$I$5:$I$300*Закрытые!$J$5:$J$300))/F91)</f>
        <v/>
      </c>
      <c r="H91" s="241">
        <f>IF(F91="","",SUMIFS(Торговля!$K$5:$K$300,Торговля!$E$5:$E$300,$B91)+SUMIFS(Закрытые!$K$5:$K$300,Закрытые!$E$5:$E$300,$B91,Закрытые!$B$5:$B$300,"T-*"))</f>
        <v/>
      </c>
      <c r="I91" s="240">
        <f>IF($B91="","",IF(COUNTIFS(Торговля!$E$5:$E$300,$B91)+COUNTIFS(Закрытые!$E$5:$E$300,$B91,Закрытые!$B$5:$B$300,"T-*")=0,"",ROUND(SUMIFS(Торговля!$L$5:$L$300,Торговля!$E$5:$E$300,$B91)+SUMIFS(Закрытые!$L$5:$L$300,Закрытые!$E$5:$E$300,$B91,Закрытые!$B$5:$B$300,"T-*"),8)))</f>
        <v/>
      </c>
      <c r="J91" s="241">
        <f>IF($B91="","",IF(COUNTIFS(Торговля!$E$5:$E$300,$B91)+COUNTIFS(Закрытые!$E$5:$E$300,$B91,Закрытые!$B$5:$B$300,"T-*")=0,"",ROUND(SUMIFS(Торговля!$M$5:$M$300,Торговля!$E$5:$E$300,$B91)+SUMIFS(Закрытые!$M$5:$M$300,Закрытые!$E$5:$E$300,$B91,Закрытые!$B$5:$B$300,"T-*"),8)))</f>
        <v/>
      </c>
      <c r="K91" s="240">
        <f>IF($B91="","",ROUND(SUMIFS(Закрытые!$N$5:$N$300,Закрытые!$E$5:$E$300,$B91,Закрытые!$B$5:$B$300,"T-*"),8))</f>
        <v/>
      </c>
      <c r="L91" s="177">
        <f>IF(K91="","",IF(SUMPRODUCT((Закрытые!$E$5:$E$300=$B91)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91/SUMPRODUCT((Закрытые!$E$5:$E$300=$B91)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1" s="177">
        <f>IF(OR(ROUND(N(C91)-N(F91),8)=0,1-N(Ввод!$E$17)/100&lt;=0),"",IF(N(C91)&gt;N(F91),(N(E91)-N(H91))/((N(C91)-N(F91))*(1-N(Ввод!$E$17)/100)),(N(H91)-N(E91))/((N(F91)-N(C91))*(1+N(Ввод!$E$17)/100))))</f>
        <v/>
      </c>
    </row>
    <row r="92" ht="22" customHeight="1">
      <c r="B92" s="320" t="n"/>
      <c r="C92" s="246">
        <f>IF(SUMIFS(Торговля!$F$5:$F$300,Торговля!$E$5:$E$300,$B92)+SUMIFS(Закрытые!$F$5:$F$300,Закрытые!$E$5:$E$300,$B92,Закрытые!$B$5:$B$300,"T-*")=0,"",SUMIFS(Торговля!$F$5:$F$300,Торговля!$E$5:$E$300,$B92)+SUMIFS(Закрытые!$F$5:$F$300,Закрытые!$E$5:$E$300,$B92,Закрытые!$B$5:$B$300,"T-*"))</f>
        <v/>
      </c>
      <c r="D92" s="183">
        <f>IF(C92="","",(SUMPRODUCT((Торговля!$E$5:$E$300=$B92)*Торговля!$F$5:$F$300*Торговля!$G$5:$G$300)+SUMPRODUCT((Закрытые!$E$5:$E$300=$B92)*(LEFT(Закрытые!$B$5:$B$300,2)="T-")*Закрытые!$F$5:$F$300*Закрытые!$G$5:$G$300))/C92)</f>
        <v/>
      </c>
      <c r="E92" s="247">
        <f>IF(C92="","",SUMIFS(Торговля!$H$5:$H$300,Торговля!$E$5:$E$300,$B92)+SUMIFS(Закрытые!$H$5:$H$300,Закрытые!$E$5:$E$300,$B92,Закрытые!$B$5:$B$300,"T-*"))</f>
        <v/>
      </c>
      <c r="F92" s="246">
        <f>IF(SUMIFS(Торговля!$I$5:$I$300,Торговля!$E$5:$E$300,$B92)+SUMIFS(Закрытые!$I$5:$I$300,Закрытые!$E$5:$E$300,$B92,Закрытые!$B$5:$B$300,"T-*")=0,"",SUMIFS(Торговля!$I$5:$I$300,Торговля!$E$5:$E$300,$B92)+SUMIFS(Закрытые!$I$5:$I$300,Закрытые!$E$5:$E$300,$B92,Закрытые!$B$5:$B$300,"T-*"))</f>
        <v/>
      </c>
      <c r="G92" s="183">
        <f>IF(F92="","",(SUMPRODUCT((Торговля!$E$5:$E$300=$B92)*Торговля!$I$5:$I$300*Торговля!$J$5:$J$300)+SUMPRODUCT((Закрытые!$E$5:$E$300=$B92)*(LEFT(Закрытые!$B$5:$B$300,2)="T-")*Закрытые!$I$5:$I$300*Закрытые!$J$5:$J$300))/F92)</f>
        <v/>
      </c>
      <c r="H92" s="247">
        <f>IF(F92="","",SUMIFS(Торговля!$K$5:$K$300,Торговля!$E$5:$E$300,$B92)+SUMIFS(Закрытые!$K$5:$K$300,Закрытые!$E$5:$E$300,$B92,Закрытые!$B$5:$B$300,"T-*"))</f>
        <v/>
      </c>
      <c r="I92" s="246">
        <f>IF($B92="","",IF(COUNTIFS(Торговля!$E$5:$E$300,$B92)+COUNTIFS(Закрытые!$E$5:$E$300,$B92,Закрытые!$B$5:$B$300,"T-*")=0,"",ROUND(SUMIFS(Торговля!$L$5:$L$300,Торговля!$E$5:$E$300,$B92)+SUMIFS(Закрытые!$L$5:$L$300,Закрытые!$E$5:$E$300,$B92,Закрытые!$B$5:$B$300,"T-*"),8)))</f>
        <v/>
      </c>
      <c r="J92" s="247">
        <f>IF($B92="","",IF(COUNTIFS(Торговля!$E$5:$E$300,$B92)+COUNTIFS(Закрытые!$E$5:$E$300,$B92,Закрытые!$B$5:$B$300,"T-*")=0,"",ROUND(SUMIFS(Торговля!$M$5:$M$300,Торговля!$E$5:$E$300,$B92)+SUMIFS(Закрытые!$M$5:$M$300,Закрытые!$E$5:$E$300,$B92,Закрытые!$B$5:$B$300,"T-*"),8)))</f>
        <v/>
      </c>
      <c r="K92" s="246">
        <f>IF($B92="","",ROUND(SUMIFS(Закрытые!$N$5:$N$300,Закрытые!$E$5:$E$300,$B92,Закрытые!$B$5:$B$300,"T-*"),8))</f>
        <v/>
      </c>
      <c r="L92" s="183">
        <f>IF(K92="","",IF(SUMPRODUCT((Закрытые!$E$5:$E$300=$B92)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92/SUMPRODUCT((Закрытые!$E$5:$E$300=$B92)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2" s="183">
        <f>IF(OR(ROUND(N(C92)-N(F92),8)=0,1-N(Ввод!$E$17)/100&lt;=0),"",IF(N(C92)&gt;N(F92),(N(E92)-N(H92))/((N(C92)-N(F92))*(1-N(Ввод!$E$17)/100)),(N(H92)-N(E92))/((N(F92)-N(C92))*(1+N(Ввод!$E$17)/100))))</f>
        <v/>
      </c>
    </row>
    <row r="93" ht="22" customHeight="1">
      <c r="B93" s="315" t="n"/>
      <c r="C93" s="240">
        <f>IF(SUMIFS(Торговля!$F$5:$F$300,Торговля!$E$5:$E$300,$B93)+SUMIFS(Закрытые!$F$5:$F$300,Закрытые!$E$5:$E$300,$B93,Закрытые!$B$5:$B$300,"T-*")=0,"",SUMIFS(Торговля!$F$5:$F$300,Торговля!$E$5:$E$300,$B93)+SUMIFS(Закрытые!$F$5:$F$300,Закрытые!$E$5:$E$300,$B93,Закрытые!$B$5:$B$300,"T-*"))</f>
        <v/>
      </c>
      <c r="D93" s="177">
        <f>IF(C93="","",(SUMPRODUCT((Торговля!$E$5:$E$300=$B93)*Торговля!$F$5:$F$300*Торговля!$G$5:$G$300)+SUMPRODUCT((Закрытые!$E$5:$E$300=$B93)*(LEFT(Закрытые!$B$5:$B$300,2)="T-")*Закрытые!$F$5:$F$300*Закрытые!$G$5:$G$300))/C93)</f>
        <v/>
      </c>
      <c r="E93" s="241">
        <f>IF(C93="","",SUMIFS(Торговля!$H$5:$H$300,Торговля!$E$5:$E$300,$B93)+SUMIFS(Закрытые!$H$5:$H$300,Закрытые!$E$5:$E$300,$B93,Закрытые!$B$5:$B$300,"T-*"))</f>
        <v/>
      </c>
      <c r="F93" s="240">
        <f>IF(SUMIFS(Торговля!$I$5:$I$300,Торговля!$E$5:$E$300,$B93)+SUMIFS(Закрытые!$I$5:$I$300,Закрытые!$E$5:$E$300,$B93,Закрытые!$B$5:$B$300,"T-*")=0,"",SUMIFS(Торговля!$I$5:$I$300,Торговля!$E$5:$E$300,$B93)+SUMIFS(Закрытые!$I$5:$I$300,Закрытые!$E$5:$E$300,$B93,Закрытые!$B$5:$B$300,"T-*"))</f>
        <v/>
      </c>
      <c r="G93" s="177">
        <f>IF(F93="","",(SUMPRODUCT((Торговля!$E$5:$E$300=$B93)*Торговля!$I$5:$I$300*Торговля!$J$5:$J$300)+SUMPRODUCT((Закрытые!$E$5:$E$300=$B93)*(LEFT(Закрытые!$B$5:$B$300,2)="T-")*Закрытые!$I$5:$I$300*Закрытые!$J$5:$J$300))/F93)</f>
        <v/>
      </c>
      <c r="H93" s="241">
        <f>IF(F93="","",SUMIFS(Торговля!$K$5:$K$300,Торговля!$E$5:$E$300,$B93)+SUMIFS(Закрытые!$K$5:$K$300,Закрытые!$E$5:$E$300,$B93,Закрытые!$B$5:$B$300,"T-*"))</f>
        <v/>
      </c>
      <c r="I93" s="240">
        <f>IF($B93="","",IF(COUNTIFS(Торговля!$E$5:$E$300,$B93)+COUNTIFS(Закрытые!$E$5:$E$300,$B93,Закрытые!$B$5:$B$300,"T-*")=0,"",ROUND(SUMIFS(Торговля!$L$5:$L$300,Торговля!$E$5:$E$300,$B93)+SUMIFS(Закрытые!$L$5:$L$300,Закрытые!$E$5:$E$300,$B93,Закрытые!$B$5:$B$300,"T-*"),8)))</f>
        <v/>
      </c>
      <c r="J93" s="241">
        <f>IF($B93="","",IF(COUNTIFS(Торговля!$E$5:$E$300,$B93)+COUNTIFS(Закрытые!$E$5:$E$300,$B93,Закрытые!$B$5:$B$300,"T-*")=0,"",ROUND(SUMIFS(Торговля!$M$5:$M$300,Торговля!$E$5:$E$300,$B93)+SUMIFS(Закрытые!$M$5:$M$300,Закрытые!$E$5:$E$300,$B93,Закрытые!$B$5:$B$300,"T-*"),8)))</f>
        <v/>
      </c>
      <c r="K93" s="240">
        <f>IF($B93="","",ROUND(SUMIFS(Закрытые!$N$5:$N$300,Закрытые!$E$5:$E$300,$B93,Закрытые!$B$5:$B$300,"T-*"),8))</f>
        <v/>
      </c>
      <c r="L93" s="177">
        <f>IF(K93="","",IF(SUMPRODUCT((Закрытые!$E$5:$E$300=$B93)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93/SUMPRODUCT((Закрытые!$E$5:$E$300=$B93)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3" s="177">
        <f>IF(OR(ROUND(N(C93)-N(F93),8)=0,1-N(Ввод!$E$17)/100&lt;=0),"",IF(N(C93)&gt;N(F93),(N(E93)-N(H93))/((N(C93)-N(F93))*(1-N(Ввод!$E$17)/100)),(N(H93)-N(E93))/((N(F93)-N(C93))*(1+N(Ввод!$E$17)/100))))</f>
        <v/>
      </c>
    </row>
    <row r="94" ht="22" customHeight="1">
      <c r="B94" s="320" t="n"/>
      <c r="C94" s="246">
        <f>IF(SUMIFS(Торговля!$F$5:$F$300,Торговля!$E$5:$E$300,$B94)+SUMIFS(Закрытые!$F$5:$F$300,Закрытые!$E$5:$E$300,$B94,Закрытые!$B$5:$B$300,"T-*")=0,"",SUMIFS(Торговля!$F$5:$F$300,Торговля!$E$5:$E$300,$B94)+SUMIFS(Закрытые!$F$5:$F$300,Закрытые!$E$5:$E$300,$B94,Закрытые!$B$5:$B$300,"T-*"))</f>
        <v/>
      </c>
      <c r="D94" s="183">
        <f>IF(C94="","",(SUMPRODUCT((Торговля!$E$5:$E$300=$B94)*Торговля!$F$5:$F$300*Торговля!$G$5:$G$300)+SUMPRODUCT((Закрытые!$E$5:$E$300=$B94)*(LEFT(Закрытые!$B$5:$B$300,2)="T-")*Закрытые!$F$5:$F$300*Закрытые!$G$5:$G$300))/C94)</f>
        <v/>
      </c>
      <c r="E94" s="247">
        <f>IF(C94="","",SUMIFS(Торговля!$H$5:$H$300,Торговля!$E$5:$E$300,$B94)+SUMIFS(Закрытые!$H$5:$H$300,Закрытые!$E$5:$E$300,$B94,Закрытые!$B$5:$B$300,"T-*"))</f>
        <v/>
      </c>
      <c r="F94" s="246">
        <f>IF(SUMIFS(Торговля!$I$5:$I$300,Торговля!$E$5:$E$300,$B94)+SUMIFS(Закрытые!$I$5:$I$300,Закрытые!$E$5:$E$300,$B94,Закрытые!$B$5:$B$300,"T-*")=0,"",SUMIFS(Торговля!$I$5:$I$300,Торговля!$E$5:$E$300,$B94)+SUMIFS(Закрытые!$I$5:$I$300,Закрытые!$E$5:$E$300,$B94,Закрытые!$B$5:$B$300,"T-*"))</f>
        <v/>
      </c>
      <c r="G94" s="183">
        <f>IF(F94="","",(SUMPRODUCT((Торговля!$E$5:$E$300=$B94)*Торговля!$I$5:$I$300*Торговля!$J$5:$J$300)+SUMPRODUCT((Закрытые!$E$5:$E$300=$B94)*(LEFT(Закрытые!$B$5:$B$300,2)="T-")*Закрытые!$I$5:$I$300*Закрытые!$J$5:$J$300))/F94)</f>
        <v/>
      </c>
      <c r="H94" s="247">
        <f>IF(F94="","",SUMIFS(Торговля!$K$5:$K$300,Торговля!$E$5:$E$300,$B94)+SUMIFS(Закрытые!$K$5:$K$300,Закрытые!$E$5:$E$300,$B94,Закрытые!$B$5:$B$300,"T-*"))</f>
        <v/>
      </c>
      <c r="I94" s="246">
        <f>IF($B94="","",IF(COUNTIFS(Торговля!$E$5:$E$300,$B94)+COUNTIFS(Закрытые!$E$5:$E$300,$B94,Закрытые!$B$5:$B$300,"T-*")=0,"",ROUND(SUMIFS(Торговля!$L$5:$L$300,Торговля!$E$5:$E$300,$B94)+SUMIFS(Закрытые!$L$5:$L$300,Закрытые!$E$5:$E$300,$B94,Закрытые!$B$5:$B$300,"T-*"),8)))</f>
        <v/>
      </c>
      <c r="J94" s="247">
        <f>IF($B94="","",IF(COUNTIFS(Торговля!$E$5:$E$300,$B94)+COUNTIFS(Закрытые!$E$5:$E$300,$B94,Закрытые!$B$5:$B$300,"T-*")=0,"",ROUND(SUMIFS(Торговля!$M$5:$M$300,Торговля!$E$5:$E$300,$B94)+SUMIFS(Закрытые!$M$5:$M$300,Закрытые!$E$5:$E$300,$B94,Закрытые!$B$5:$B$300,"T-*"),8)))</f>
        <v/>
      </c>
      <c r="K94" s="246">
        <f>IF($B94="","",ROUND(SUMIFS(Закрытые!$N$5:$N$300,Закрытые!$E$5:$E$300,$B94,Закрытые!$B$5:$B$300,"T-*"),8))</f>
        <v/>
      </c>
      <c r="L94" s="183">
        <f>IF(K94="","",IF(SUMPRODUCT((Закрытые!$E$5:$E$300=$B94)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94/SUMPRODUCT((Закрытые!$E$5:$E$300=$B94)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4" s="183">
        <f>IF(OR(ROUND(N(C94)-N(F94),8)=0,1-N(Ввод!$E$17)/100&lt;=0),"",IF(N(C94)&gt;N(F94),(N(E94)-N(H94))/((N(C94)-N(F94))*(1-N(Ввод!$E$17)/100)),(N(H94)-N(E94))/((N(F94)-N(C94))*(1+N(Ввод!$E$17)/100))))</f>
        <v/>
      </c>
    </row>
    <row r="95" ht="22" customHeight="1">
      <c r="B95" s="315" t="n"/>
      <c r="C95" s="240">
        <f>IF(SUMIFS(Торговля!$F$5:$F$300,Торговля!$E$5:$E$300,$B95)+SUMIFS(Закрытые!$F$5:$F$300,Закрытые!$E$5:$E$300,$B95,Закрытые!$B$5:$B$300,"T-*")=0,"",SUMIFS(Торговля!$F$5:$F$300,Торговля!$E$5:$E$300,$B95)+SUMIFS(Закрытые!$F$5:$F$300,Закрытые!$E$5:$E$300,$B95,Закрытые!$B$5:$B$300,"T-*"))</f>
        <v/>
      </c>
      <c r="D95" s="177">
        <f>IF(C95="","",(SUMPRODUCT((Торговля!$E$5:$E$300=$B95)*Торговля!$F$5:$F$300*Торговля!$G$5:$G$300)+SUMPRODUCT((Закрытые!$E$5:$E$300=$B95)*(LEFT(Закрытые!$B$5:$B$300,2)="T-")*Закрытые!$F$5:$F$300*Закрытые!$G$5:$G$300))/C95)</f>
        <v/>
      </c>
      <c r="E95" s="241">
        <f>IF(C95="","",SUMIFS(Торговля!$H$5:$H$300,Торговля!$E$5:$E$300,$B95)+SUMIFS(Закрытые!$H$5:$H$300,Закрытые!$E$5:$E$300,$B95,Закрытые!$B$5:$B$300,"T-*"))</f>
        <v/>
      </c>
      <c r="F95" s="240">
        <f>IF(SUMIFS(Торговля!$I$5:$I$300,Торговля!$E$5:$E$300,$B95)+SUMIFS(Закрытые!$I$5:$I$300,Закрытые!$E$5:$E$300,$B95,Закрытые!$B$5:$B$300,"T-*")=0,"",SUMIFS(Торговля!$I$5:$I$300,Торговля!$E$5:$E$300,$B95)+SUMIFS(Закрытые!$I$5:$I$300,Закрытые!$E$5:$E$300,$B95,Закрытые!$B$5:$B$300,"T-*"))</f>
        <v/>
      </c>
      <c r="G95" s="177">
        <f>IF(F95="","",(SUMPRODUCT((Торговля!$E$5:$E$300=$B95)*Торговля!$I$5:$I$300*Торговля!$J$5:$J$300)+SUMPRODUCT((Закрытые!$E$5:$E$300=$B95)*(LEFT(Закрытые!$B$5:$B$300,2)="T-")*Закрытые!$I$5:$I$300*Закрытые!$J$5:$J$300))/F95)</f>
        <v/>
      </c>
      <c r="H95" s="241">
        <f>IF(F95="","",SUMIFS(Торговля!$K$5:$K$300,Торговля!$E$5:$E$300,$B95)+SUMIFS(Закрытые!$K$5:$K$300,Закрытые!$E$5:$E$300,$B95,Закрытые!$B$5:$B$300,"T-*"))</f>
        <v/>
      </c>
      <c r="I95" s="240">
        <f>IF($B95="","",IF(COUNTIFS(Торговля!$E$5:$E$300,$B95)+COUNTIFS(Закрытые!$E$5:$E$300,$B95,Закрытые!$B$5:$B$300,"T-*")=0,"",ROUND(SUMIFS(Торговля!$L$5:$L$300,Торговля!$E$5:$E$300,$B95)+SUMIFS(Закрытые!$L$5:$L$300,Закрытые!$E$5:$E$300,$B95,Закрытые!$B$5:$B$300,"T-*"),8)))</f>
        <v/>
      </c>
      <c r="J95" s="241">
        <f>IF($B95="","",IF(COUNTIFS(Торговля!$E$5:$E$300,$B95)+COUNTIFS(Закрытые!$E$5:$E$300,$B95,Закрытые!$B$5:$B$300,"T-*")=0,"",ROUND(SUMIFS(Торговля!$M$5:$M$300,Торговля!$E$5:$E$300,$B95)+SUMIFS(Закрытые!$M$5:$M$300,Закрытые!$E$5:$E$300,$B95,Закрытые!$B$5:$B$300,"T-*"),8)))</f>
        <v/>
      </c>
      <c r="K95" s="240">
        <f>IF($B95="","",ROUND(SUMIFS(Закрытые!$N$5:$N$300,Закрытые!$E$5:$E$300,$B95,Закрытые!$B$5:$B$300,"T-*"),8))</f>
        <v/>
      </c>
      <c r="L95" s="177">
        <f>IF(K95="","",IF(SUMPRODUCT((Закрытые!$E$5:$E$300=$B95)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95/SUMPRODUCT((Закрытые!$E$5:$E$300=$B95)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5" s="177">
        <f>IF(OR(ROUND(N(C95)-N(F95),8)=0,1-N(Ввод!$E$17)/100&lt;=0),"",IF(N(C95)&gt;N(F95),(N(E95)-N(H95))/((N(C95)-N(F95))*(1-N(Ввод!$E$17)/100)),(N(H95)-N(E95))/((N(F95)-N(C95))*(1+N(Ввод!$E$17)/100))))</f>
        <v/>
      </c>
    </row>
    <row r="96" ht="22" customHeight="1">
      <c r="B96" s="320" t="n"/>
      <c r="C96" s="246">
        <f>IF(SUMIFS(Торговля!$F$5:$F$300,Торговля!$E$5:$E$300,$B96)+SUMIFS(Закрытые!$F$5:$F$300,Закрытые!$E$5:$E$300,$B96,Закрытые!$B$5:$B$300,"T-*")=0,"",SUMIFS(Торговля!$F$5:$F$300,Торговля!$E$5:$E$300,$B96)+SUMIFS(Закрытые!$F$5:$F$300,Закрытые!$E$5:$E$300,$B96,Закрытые!$B$5:$B$300,"T-*"))</f>
        <v/>
      </c>
      <c r="D96" s="183">
        <f>IF(C96="","",(SUMPRODUCT((Торговля!$E$5:$E$300=$B96)*Торговля!$F$5:$F$300*Торговля!$G$5:$G$300)+SUMPRODUCT((Закрытые!$E$5:$E$300=$B96)*(LEFT(Закрытые!$B$5:$B$300,2)="T-")*Закрытые!$F$5:$F$300*Закрытые!$G$5:$G$300))/C96)</f>
        <v/>
      </c>
      <c r="E96" s="247">
        <f>IF(C96="","",SUMIFS(Торговля!$H$5:$H$300,Торговля!$E$5:$E$300,$B96)+SUMIFS(Закрытые!$H$5:$H$300,Закрытые!$E$5:$E$300,$B96,Закрытые!$B$5:$B$300,"T-*"))</f>
        <v/>
      </c>
      <c r="F96" s="246">
        <f>IF(SUMIFS(Торговля!$I$5:$I$300,Торговля!$E$5:$E$300,$B96)+SUMIFS(Закрытые!$I$5:$I$300,Закрытые!$E$5:$E$300,$B96,Закрытые!$B$5:$B$300,"T-*")=0,"",SUMIFS(Торговля!$I$5:$I$300,Торговля!$E$5:$E$300,$B96)+SUMIFS(Закрытые!$I$5:$I$300,Закрытые!$E$5:$E$300,$B96,Закрытые!$B$5:$B$300,"T-*"))</f>
        <v/>
      </c>
      <c r="G96" s="183">
        <f>IF(F96="","",(SUMPRODUCT((Торговля!$E$5:$E$300=$B96)*Торговля!$I$5:$I$300*Торговля!$J$5:$J$300)+SUMPRODUCT((Закрытые!$E$5:$E$300=$B96)*(LEFT(Закрытые!$B$5:$B$300,2)="T-")*Закрытые!$I$5:$I$300*Закрытые!$J$5:$J$300))/F96)</f>
        <v/>
      </c>
      <c r="H96" s="247">
        <f>IF(F96="","",SUMIFS(Торговля!$K$5:$K$300,Торговля!$E$5:$E$300,$B96)+SUMIFS(Закрытые!$K$5:$K$300,Закрытые!$E$5:$E$300,$B96,Закрытые!$B$5:$B$300,"T-*"))</f>
        <v/>
      </c>
      <c r="I96" s="246">
        <f>IF($B96="","",IF(COUNTIFS(Торговля!$E$5:$E$300,$B96)+COUNTIFS(Закрытые!$E$5:$E$300,$B96,Закрытые!$B$5:$B$300,"T-*")=0,"",ROUND(SUMIFS(Торговля!$L$5:$L$300,Торговля!$E$5:$E$300,$B96)+SUMIFS(Закрытые!$L$5:$L$300,Закрытые!$E$5:$E$300,$B96,Закрытые!$B$5:$B$300,"T-*"),8)))</f>
        <v/>
      </c>
      <c r="J96" s="247">
        <f>IF($B96="","",IF(COUNTIFS(Торговля!$E$5:$E$300,$B96)+COUNTIFS(Закрытые!$E$5:$E$300,$B96,Закрытые!$B$5:$B$300,"T-*")=0,"",ROUND(SUMIFS(Торговля!$M$5:$M$300,Торговля!$E$5:$E$300,$B96)+SUMIFS(Закрытые!$M$5:$M$300,Закрытые!$E$5:$E$300,$B96,Закрытые!$B$5:$B$300,"T-*"),8)))</f>
        <v/>
      </c>
      <c r="K96" s="246">
        <f>IF($B96="","",ROUND(SUMIFS(Закрытые!$N$5:$N$300,Закрытые!$E$5:$E$300,$B96,Закрытые!$B$5:$B$300,"T-*"),8))</f>
        <v/>
      </c>
      <c r="L96" s="183">
        <f>IF(K96="","",IF(SUMPRODUCT((Закрытые!$E$5:$E$300=$B96)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96/SUMPRODUCT((Закрытые!$E$5:$E$300=$B96)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6" s="183">
        <f>IF(OR(ROUND(N(C96)-N(F96),8)=0,1-N(Ввод!$E$17)/100&lt;=0),"",IF(N(C96)&gt;N(F96),(N(E96)-N(H96))/((N(C96)-N(F96))*(1-N(Ввод!$E$17)/100)),(N(H96)-N(E96))/((N(F96)-N(C96))*(1+N(Ввод!$E$17)/100))))</f>
        <v/>
      </c>
    </row>
    <row r="97" ht="22" customHeight="1">
      <c r="B97" s="315" t="n"/>
      <c r="C97" s="240">
        <f>IF(SUMIFS(Торговля!$F$5:$F$300,Торговля!$E$5:$E$300,$B97)+SUMIFS(Закрытые!$F$5:$F$300,Закрытые!$E$5:$E$300,$B97,Закрытые!$B$5:$B$300,"T-*")=0,"",SUMIFS(Торговля!$F$5:$F$300,Торговля!$E$5:$E$300,$B97)+SUMIFS(Закрытые!$F$5:$F$300,Закрытые!$E$5:$E$300,$B97,Закрытые!$B$5:$B$300,"T-*"))</f>
        <v/>
      </c>
      <c r="D97" s="177">
        <f>IF(C97="","",(SUMPRODUCT((Торговля!$E$5:$E$300=$B97)*Торговля!$F$5:$F$300*Торговля!$G$5:$G$300)+SUMPRODUCT((Закрытые!$E$5:$E$300=$B97)*(LEFT(Закрытые!$B$5:$B$300,2)="T-")*Закрытые!$F$5:$F$300*Закрытые!$G$5:$G$300))/C97)</f>
        <v/>
      </c>
      <c r="E97" s="241">
        <f>IF(C97="","",SUMIFS(Торговля!$H$5:$H$300,Торговля!$E$5:$E$300,$B97)+SUMIFS(Закрытые!$H$5:$H$300,Закрытые!$E$5:$E$300,$B97,Закрытые!$B$5:$B$300,"T-*"))</f>
        <v/>
      </c>
      <c r="F97" s="240">
        <f>IF(SUMIFS(Торговля!$I$5:$I$300,Торговля!$E$5:$E$300,$B97)+SUMIFS(Закрытые!$I$5:$I$300,Закрытые!$E$5:$E$300,$B97,Закрытые!$B$5:$B$300,"T-*")=0,"",SUMIFS(Торговля!$I$5:$I$300,Торговля!$E$5:$E$300,$B97)+SUMIFS(Закрытые!$I$5:$I$300,Закрытые!$E$5:$E$300,$B97,Закрытые!$B$5:$B$300,"T-*"))</f>
        <v/>
      </c>
      <c r="G97" s="177">
        <f>IF(F97="","",(SUMPRODUCT((Торговля!$E$5:$E$300=$B97)*Торговля!$I$5:$I$300*Торговля!$J$5:$J$300)+SUMPRODUCT((Закрытые!$E$5:$E$300=$B97)*(LEFT(Закрытые!$B$5:$B$300,2)="T-")*Закрытые!$I$5:$I$300*Закрытые!$J$5:$J$300))/F97)</f>
        <v/>
      </c>
      <c r="H97" s="241">
        <f>IF(F97="","",SUMIFS(Торговля!$K$5:$K$300,Торговля!$E$5:$E$300,$B97)+SUMIFS(Закрытые!$K$5:$K$300,Закрытые!$E$5:$E$300,$B97,Закрытые!$B$5:$B$300,"T-*"))</f>
        <v/>
      </c>
      <c r="I97" s="240">
        <f>IF($B97="","",IF(COUNTIFS(Торговля!$E$5:$E$300,$B97)+COUNTIFS(Закрытые!$E$5:$E$300,$B97,Закрытые!$B$5:$B$300,"T-*")=0,"",ROUND(SUMIFS(Торговля!$L$5:$L$300,Торговля!$E$5:$E$300,$B97)+SUMIFS(Закрытые!$L$5:$L$300,Закрытые!$E$5:$E$300,$B97,Закрытые!$B$5:$B$300,"T-*"),8)))</f>
        <v/>
      </c>
      <c r="J97" s="241">
        <f>IF($B97="","",IF(COUNTIFS(Торговля!$E$5:$E$300,$B97)+COUNTIFS(Закрытые!$E$5:$E$300,$B97,Закрытые!$B$5:$B$300,"T-*")=0,"",ROUND(SUMIFS(Торговля!$M$5:$M$300,Торговля!$E$5:$E$300,$B97)+SUMIFS(Закрытые!$M$5:$M$300,Закрытые!$E$5:$E$300,$B97,Закрытые!$B$5:$B$300,"T-*"),8)))</f>
        <v/>
      </c>
      <c r="K97" s="240">
        <f>IF($B97="","",ROUND(SUMIFS(Закрытые!$N$5:$N$300,Закрытые!$E$5:$E$300,$B97,Закрытые!$B$5:$B$300,"T-*"),8))</f>
        <v/>
      </c>
      <c r="L97" s="177">
        <f>IF(K97="","",IF(SUMPRODUCT((Закрытые!$E$5:$E$300=$B97)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97/SUMPRODUCT((Закрытые!$E$5:$E$300=$B97)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7" s="177">
        <f>IF(OR(ROUND(N(C97)-N(F97),8)=0,1-N(Ввод!$E$17)/100&lt;=0),"",IF(N(C97)&gt;N(F97),(N(E97)-N(H97))/((N(C97)-N(F97))*(1-N(Ввод!$E$17)/100)),(N(H97)-N(E97))/((N(F97)-N(C97))*(1+N(Ввод!$E$17)/100))))</f>
        <v/>
      </c>
    </row>
    <row r="98" ht="22" customHeight="1">
      <c r="B98" s="320" t="n"/>
      <c r="C98" s="246">
        <f>IF(SUMIFS(Торговля!$F$5:$F$300,Торговля!$E$5:$E$300,$B98)+SUMIFS(Закрытые!$F$5:$F$300,Закрытые!$E$5:$E$300,$B98,Закрытые!$B$5:$B$300,"T-*")=0,"",SUMIFS(Торговля!$F$5:$F$300,Торговля!$E$5:$E$300,$B98)+SUMIFS(Закрытые!$F$5:$F$300,Закрытые!$E$5:$E$300,$B98,Закрытые!$B$5:$B$300,"T-*"))</f>
        <v/>
      </c>
      <c r="D98" s="183">
        <f>IF(C98="","",(SUMPRODUCT((Торговля!$E$5:$E$300=$B98)*Торговля!$F$5:$F$300*Торговля!$G$5:$G$300)+SUMPRODUCT((Закрытые!$E$5:$E$300=$B98)*(LEFT(Закрытые!$B$5:$B$300,2)="T-")*Закрытые!$F$5:$F$300*Закрытые!$G$5:$G$300))/C98)</f>
        <v/>
      </c>
      <c r="E98" s="247">
        <f>IF(C98="","",SUMIFS(Торговля!$H$5:$H$300,Торговля!$E$5:$E$300,$B98)+SUMIFS(Закрытые!$H$5:$H$300,Закрытые!$E$5:$E$300,$B98,Закрытые!$B$5:$B$300,"T-*"))</f>
        <v/>
      </c>
      <c r="F98" s="246">
        <f>IF(SUMIFS(Торговля!$I$5:$I$300,Торговля!$E$5:$E$300,$B98)+SUMIFS(Закрытые!$I$5:$I$300,Закрытые!$E$5:$E$300,$B98,Закрытые!$B$5:$B$300,"T-*")=0,"",SUMIFS(Торговля!$I$5:$I$300,Торговля!$E$5:$E$300,$B98)+SUMIFS(Закрытые!$I$5:$I$300,Закрытые!$E$5:$E$300,$B98,Закрытые!$B$5:$B$300,"T-*"))</f>
        <v/>
      </c>
      <c r="G98" s="183">
        <f>IF(F98="","",(SUMPRODUCT((Торговля!$E$5:$E$300=$B98)*Торговля!$I$5:$I$300*Торговля!$J$5:$J$300)+SUMPRODUCT((Закрытые!$E$5:$E$300=$B98)*(LEFT(Закрытые!$B$5:$B$300,2)="T-")*Закрытые!$I$5:$I$300*Закрытые!$J$5:$J$300))/F98)</f>
        <v/>
      </c>
      <c r="H98" s="247">
        <f>IF(F98="","",SUMIFS(Торговля!$K$5:$K$300,Торговля!$E$5:$E$300,$B98)+SUMIFS(Закрытые!$K$5:$K$300,Закрытые!$E$5:$E$300,$B98,Закрытые!$B$5:$B$300,"T-*"))</f>
        <v/>
      </c>
      <c r="I98" s="246">
        <f>IF($B98="","",IF(COUNTIFS(Торговля!$E$5:$E$300,$B98)+COUNTIFS(Закрытые!$E$5:$E$300,$B98,Закрытые!$B$5:$B$300,"T-*")=0,"",ROUND(SUMIFS(Торговля!$L$5:$L$300,Торговля!$E$5:$E$300,$B98)+SUMIFS(Закрытые!$L$5:$L$300,Закрытые!$E$5:$E$300,$B98,Закрытые!$B$5:$B$300,"T-*"),8)))</f>
        <v/>
      </c>
      <c r="J98" s="247">
        <f>IF($B98="","",IF(COUNTIFS(Торговля!$E$5:$E$300,$B98)+COUNTIFS(Закрытые!$E$5:$E$300,$B98,Закрытые!$B$5:$B$300,"T-*")=0,"",ROUND(SUMIFS(Торговля!$M$5:$M$300,Торговля!$E$5:$E$300,$B98)+SUMIFS(Закрытые!$M$5:$M$300,Закрытые!$E$5:$E$300,$B98,Закрытые!$B$5:$B$300,"T-*"),8)))</f>
        <v/>
      </c>
      <c r="K98" s="246">
        <f>IF($B98="","",ROUND(SUMIFS(Закрытые!$N$5:$N$300,Закрытые!$E$5:$E$300,$B98,Закрытые!$B$5:$B$300,"T-*"),8))</f>
        <v/>
      </c>
      <c r="L98" s="183">
        <f>IF(K98="","",IF(SUMPRODUCT((Закрытые!$E$5:$E$300=$B98)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98/SUMPRODUCT((Закрытые!$E$5:$E$300=$B98)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8" s="183">
        <f>IF(OR(ROUND(N(C98)-N(F98),8)=0,1-N(Ввод!$E$17)/100&lt;=0),"",IF(N(C98)&gt;N(F98),(N(E98)-N(H98))/((N(C98)-N(F98))*(1-N(Ввод!$E$17)/100)),(N(H98)-N(E98))/((N(F98)-N(C98))*(1+N(Ввод!$E$17)/100))))</f>
        <v/>
      </c>
    </row>
    <row r="99" ht="22" customHeight="1">
      <c r="B99" s="315" t="n"/>
      <c r="C99" s="240">
        <f>IF(SUMIFS(Торговля!$F$5:$F$300,Торговля!$E$5:$E$300,$B99)+SUMIFS(Закрытые!$F$5:$F$300,Закрытые!$E$5:$E$300,$B99,Закрытые!$B$5:$B$300,"T-*")=0,"",SUMIFS(Торговля!$F$5:$F$300,Торговля!$E$5:$E$300,$B99)+SUMIFS(Закрытые!$F$5:$F$300,Закрытые!$E$5:$E$300,$B99,Закрытые!$B$5:$B$300,"T-*"))</f>
        <v/>
      </c>
      <c r="D99" s="177">
        <f>IF(C99="","",(SUMPRODUCT((Торговля!$E$5:$E$300=$B99)*Торговля!$F$5:$F$300*Торговля!$G$5:$G$300)+SUMPRODUCT((Закрытые!$E$5:$E$300=$B99)*(LEFT(Закрытые!$B$5:$B$300,2)="T-")*Закрытые!$F$5:$F$300*Закрытые!$G$5:$G$300))/C99)</f>
        <v/>
      </c>
      <c r="E99" s="241">
        <f>IF(C99="","",SUMIFS(Торговля!$H$5:$H$300,Торговля!$E$5:$E$300,$B99)+SUMIFS(Закрытые!$H$5:$H$300,Закрытые!$E$5:$E$300,$B99,Закрытые!$B$5:$B$300,"T-*"))</f>
        <v/>
      </c>
      <c r="F99" s="240">
        <f>IF(SUMIFS(Торговля!$I$5:$I$300,Торговля!$E$5:$E$300,$B99)+SUMIFS(Закрытые!$I$5:$I$300,Закрытые!$E$5:$E$300,$B99,Закрытые!$B$5:$B$300,"T-*")=0,"",SUMIFS(Торговля!$I$5:$I$300,Торговля!$E$5:$E$300,$B99)+SUMIFS(Закрытые!$I$5:$I$300,Закрытые!$E$5:$E$300,$B99,Закрытые!$B$5:$B$300,"T-*"))</f>
        <v/>
      </c>
      <c r="G99" s="177">
        <f>IF(F99="","",(SUMPRODUCT((Торговля!$E$5:$E$300=$B99)*Торговля!$I$5:$I$300*Торговля!$J$5:$J$300)+SUMPRODUCT((Закрытые!$E$5:$E$300=$B99)*(LEFT(Закрытые!$B$5:$B$300,2)="T-")*Закрытые!$I$5:$I$300*Закрытые!$J$5:$J$300))/F99)</f>
        <v/>
      </c>
      <c r="H99" s="241">
        <f>IF(F99="","",SUMIFS(Торговля!$K$5:$K$300,Торговля!$E$5:$E$300,$B99)+SUMIFS(Закрытые!$K$5:$K$300,Закрытые!$E$5:$E$300,$B99,Закрытые!$B$5:$B$300,"T-*"))</f>
        <v/>
      </c>
      <c r="I99" s="240">
        <f>IF($B99="","",IF(COUNTIFS(Торговля!$E$5:$E$300,$B99)+COUNTIFS(Закрытые!$E$5:$E$300,$B99,Закрытые!$B$5:$B$300,"T-*")=0,"",ROUND(SUMIFS(Торговля!$L$5:$L$300,Торговля!$E$5:$E$300,$B99)+SUMIFS(Закрытые!$L$5:$L$300,Закрытые!$E$5:$E$300,$B99,Закрытые!$B$5:$B$300,"T-*"),8)))</f>
        <v/>
      </c>
      <c r="J99" s="241">
        <f>IF($B99="","",IF(COUNTIFS(Торговля!$E$5:$E$300,$B99)+COUNTIFS(Закрытые!$E$5:$E$300,$B99,Закрытые!$B$5:$B$300,"T-*")=0,"",ROUND(SUMIFS(Торговля!$M$5:$M$300,Торговля!$E$5:$E$300,$B99)+SUMIFS(Закрытые!$M$5:$M$300,Закрытые!$E$5:$E$300,$B99,Закрытые!$B$5:$B$300,"T-*"),8)))</f>
        <v/>
      </c>
      <c r="K99" s="240">
        <f>IF($B99="","",ROUND(SUMIFS(Закрытые!$N$5:$N$300,Закрытые!$E$5:$E$300,$B99,Закрытые!$B$5:$B$300,"T-*"),8))</f>
        <v/>
      </c>
      <c r="L99" s="177">
        <f>IF(K99="","",IF(SUMPRODUCT((Закрытые!$E$5:$E$300=$B99)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99/SUMPRODUCT((Закрытые!$E$5:$E$300=$B99)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9" s="177">
        <f>IF(OR(ROUND(N(C99)-N(F99),8)=0,1-N(Ввод!$E$17)/100&lt;=0),"",IF(N(C99)&gt;N(F99),(N(E99)-N(H99))/((N(C99)-N(F99))*(1-N(Ввод!$E$17)/100)),(N(H99)-N(E99))/((N(F99)-N(C99))*(1+N(Ввод!$E$17)/100))))</f>
        <v/>
      </c>
    </row>
    <row r="100" ht="22" customHeight="1">
      <c r="B100" s="320" t="n"/>
      <c r="C100" s="246">
        <f>IF(SUMIFS(Торговля!$F$5:$F$300,Торговля!$E$5:$E$300,$B100)+SUMIFS(Закрытые!$F$5:$F$300,Закрытые!$E$5:$E$300,$B100,Закрытые!$B$5:$B$300,"T-*")=0,"",SUMIFS(Торговля!$F$5:$F$300,Торговля!$E$5:$E$300,$B100)+SUMIFS(Закрытые!$F$5:$F$300,Закрытые!$E$5:$E$300,$B100,Закрытые!$B$5:$B$300,"T-*"))</f>
        <v/>
      </c>
      <c r="D100" s="183">
        <f>IF(C100="","",(SUMPRODUCT((Торговля!$E$5:$E$300=$B100)*Торговля!$F$5:$F$300*Торговля!$G$5:$G$300)+SUMPRODUCT((Закрытые!$E$5:$E$300=$B100)*(LEFT(Закрытые!$B$5:$B$300,2)="T-")*Закрытые!$F$5:$F$300*Закрытые!$G$5:$G$300))/C100)</f>
        <v/>
      </c>
      <c r="E100" s="247">
        <f>IF(C100="","",SUMIFS(Торговля!$H$5:$H$300,Торговля!$E$5:$E$300,$B100)+SUMIFS(Закрытые!$H$5:$H$300,Закрытые!$E$5:$E$300,$B100,Закрытые!$B$5:$B$300,"T-*"))</f>
        <v/>
      </c>
      <c r="F100" s="246">
        <f>IF(SUMIFS(Торговля!$I$5:$I$300,Торговля!$E$5:$E$300,$B100)+SUMIFS(Закрытые!$I$5:$I$300,Закрытые!$E$5:$E$300,$B100,Закрытые!$B$5:$B$300,"T-*")=0,"",SUMIFS(Торговля!$I$5:$I$300,Торговля!$E$5:$E$300,$B100)+SUMIFS(Закрытые!$I$5:$I$300,Закрытые!$E$5:$E$300,$B100,Закрытые!$B$5:$B$300,"T-*"))</f>
        <v/>
      </c>
      <c r="G100" s="183">
        <f>IF(F100="","",(SUMPRODUCT((Торговля!$E$5:$E$300=$B100)*Торговля!$I$5:$I$300*Торговля!$J$5:$J$300)+SUMPRODUCT((Закрытые!$E$5:$E$300=$B100)*(LEFT(Закрытые!$B$5:$B$300,2)="T-")*Закрытые!$I$5:$I$300*Закрытые!$J$5:$J$300))/F100)</f>
        <v/>
      </c>
      <c r="H100" s="247">
        <f>IF(F100="","",SUMIFS(Торговля!$K$5:$K$300,Торговля!$E$5:$E$300,$B100)+SUMIFS(Закрытые!$K$5:$K$300,Закрытые!$E$5:$E$300,$B100,Закрытые!$B$5:$B$300,"T-*"))</f>
        <v/>
      </c>
      <c r="I100" s="246">
        <f>IF($B100="","",IF(COUNTIFS(Торговля!$E$5:$E$300,$B100)+COUNTIFS(Закрытые!$E$5:$E$300,$B100,Закрытые!$B$5:$B$300,"T-*")=0,"",ROUND(SUMIFS(Торговля!$L$5:$L$300,Торговля!$E$5:$E$300,$B100)+SUMIFS(Закрытые!$L$5:$L$300,Закрытые!$E$5:$E$300,$B100,Закрытые!$B$5:$B$300,"T-*"),8)))</f>
        <v/>
      </c>
      <c r="J100" s="247">
        <f>IF($B100="","",IF(COUNTIFS(Торговля!$E$5:$E$300,$B100)+COUNTIFS(Закрытые!$E$5:$E$300,$B100,Закрытые!$B$5:$B$300,"T-*")=0,"",ROUND(SUMIFS(Торговля!$M$5:$M$300,Торговля!$E$5:$E$300,$B100)+SUMIFS(Закрытые!$M$5:$M$300,Закрытые!$E$5:$E$300,$B100,Закрытые!$B$5:$B$300,"T-*"),8)))</f>
        <v/>
      </c>
      <c r="K100" s="246">
        <f>IF($B100="","",ROUND(SUMIFS(Закрытые!$N$5:$N$300,Закрытые!$E$5:$E$300,$B100,Закрытые!$B$5:$B$300,"T-*"),8))</f>
        <v/>
      </c>
      <c r="L100" s="183">
        <f>IF(K100="","",IF(SUMPRODUCT((Закрытые!$E$5:$E$300=$B100)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100/SUMPRODUCT((Закрытые!$E$5:$E$300=$B100)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0" s="183">
        <f>IF(OR(ROUND(N(C100)-N(F100),8)=0,1-N(Ввод!$E$17)/100&lt;=0),"",IF(N(C100)&gt;N(F100),(N(E100)-N(H100))/((N(C100)-N(F100))*(1-N(Ввод!$E$17)/100)),(N(H100)-N(E100))/((N(F100)-N(C100))*(1+N(Ввод!$E$17)/100))))</f>
        <v/>
      </c>
    </row>
    <row r="101" ht="22" customHeight="1">
      <c r="B101" s="315" t="n"/>
      <c r="C101" s="240">
        <f>IF(SUMIFS(Торговля!$F$5:$F$300,Торговля!$E$5:$E$300,$B101)+SUMIFS(Закрытые!$F$5:$F$300,Закрытые!$E$5:$E$300,$B101,Закрытые!$B$5:$B$300,"T-*")=0,"",SUMIFS(Торговля!$F$5:$F$300,Торговля!$E$5:$E$300,$B101)+SUMIFS(Закрытые!$F$5:$F$300,Закрытые!$E$5:$E$300,$B101,Закрытые!$B$5:$B$300,"T-*"))</f>
        <v/>
      </c>
      <c r="D101" s="177">
        <f>IF(C101="","",(SUMPRODUCT((Торговля!$E$5:$E$300=$B101)*Торговля!$F$5:$F$300*Торговля!$G$5:$G$300)+SUMPRODUCT((Закрытые!$E$5:$E$300=$B101)*(LEFT(Закрытые!$B$5:$B$300,2)="T-")*Закрытые!$F$5:$F$300*Закрытые!$G$5:$G$300))/C101)</f>
        <v/>
      </c>
      <c r="E101" s="241">
        <f>IF(C101="","",SUMIFS(Торговля!$H$5:$H$300,Торговля!$E$5:$E$300,$B101)+SUMIFS(Закрытые!$H$5:$H$300,Закрытые!$E$5:$E$300,$B101,Закрытые!$B$5:$B$300,"T-*"))</f>
        <v/>
      </c>
      <c r="F101" s="240">
        <f>IF(SUMIFS(Торговля!$I$5:$I$300,Торговля!$E$5:$E$300,$B101)+SUMIFS(Закрытые!$I$5:$I$300,Закрытые!$E$5:$E$300,$B101,Закрытые!$B$5:$B$300,"T-*")=0,"",SUMIFS(Торговля!$I$5:$I$300,Торговля!$E$5:$E$300,$B101)+SUMIFS(Закрытые!$I$5:$I$300,Закрытые!$E$5:$E$300,$B101,Закрытые!$B$5:$B$300,"T-*"))</f>
        <v/>
      </c>
      <c r="G101" s="177">
        <f>IF(F101="","",(SUMPRODUCT((Торговля!$E$5:$E$300=$B101)*Торговля!$I$5:$I$300*Торговля!$J$5:$J$300)+SUMPRODUCT((Закрытые!$E$5:$E$300=$B101)*(LEFT(Закрытые!$B$5:$B$300,2)="T-")*Закрытые!$I$5:$I$300*Закрытые!$J$5:$J$300))/F101)</f>
        <v/>
      </c>
      <c r="H101" s="241">
        <f>IF(F101="","",SUMIFS(Торговля!$K$5:$K$300,Торговля!$E$5:$E$300,$B101)+SUMIFS(Закрытые!$K$5:$K$300,Закрытые!$E$5:$E$300,$B101,Закрытые!$B$5:$B$300,"T-*"))</f>
        <v/>
      </c>
      <c r="I101" s="240">
        <f>IF($B101="","",IF(COUNTIFS(Торговля!$E$5:$E$300,$B101)+COUNTIFS(Закрытые!$E$5:$E$300,$B101,Закрытые!$B$5:$B$300,"T-*")=0,"",ROUND(SUMIFS(Торговля!$L$5:$L$300,Торговля!$E$5:$E$300,$B101)+SUMIFS(Закрытые!$L$5:$L$300,Закрытые!$E$5:$E$300,$B101,Закрытые!$B$5:$B$300,"T-*"),8)))</f>
        <v/>
      </c>
      <c r="J101" s="241">
        <f>IF($B101="","",IF(COUNTIFS(Торговля!$E$5:$E$300,$B101)+COUNTIFS(Закрытые!$E$5:$E$300,$B101,Закрытые!$B$5:$B$300,"T-*")=0,"",ROUND(SUMIFS(Торговля!$M$5:$M$300,Торговля!$E$5:$E$300,$B101)+SUMIFS(Закрытые!$M$5:$M$300,Закрытые!$E$5:$E$300,$B101,Закрытые!$B$5:$B$300,"T-*"),8)))</f>
        <v/>
      </c>
      <c r="K101" s="240">
        <f>IF($B101="","",ROUND(SUMIFS(Закрытые!$N$5:$N$300,Закрытые!$E$5:$E$300,$B101,Закрытые!$B$5:$B$300,"T-*"),8))</f>
        <v/>
      </c>
      <c r="L101" s="177">
        <f>IF(K101="","",IF(SUMPRODUCT((Закрытые!$E$5:$E$300=$B101)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101/SUMPRODUCT((Закрытые!$E$5:$E$300=$B101)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1" s="177">
        <f>IF(OR(ROUND(N(C101)-N(F101),8)=0,1-N(Ввод!$E$17)/100&lt;=0),"",IF(N(C101)&gt;N(F101),(N(E101)-N(H101))/((N(C101)-N(F101))*(1-N(Ввод!$E$17)/100)),(N(H101)-N(E101))/((N(F101)-N(C101))*(1+N(Ввод!$E$17)/100))))</f>
        <v/>
      </c>
    </row>
    <row r="102" ht="22" customHeight="1">
      <c r="B102" s="320" t="n"/>
      <c r="C102" s="246">
        <f>IF(SUMIFS(Торговля!$F$5:$F$300,Торговля!$E$5:$E$300,$B102)+SUMIFS(Закрытые!$F$5:$F$300,Закрытые!$E$5:$E$300,$B102,Закрытые!$B$5:$B$300,"T-*")=0,"",SUMIFS(Торговля!$F$5:$F$300,Торговля!$E$5:$E$300,$B102)+SUMIFS(Закрытые!$F$5:$F$300,Закрытые!$E$5:$E$300,$B102,Закрытые!$B$5:$B$300,"T-*"))</f>
        <v/>
      </c>
      <c r="D102" s="183">
        <f>IF(C102="","",(SUMPRODUCT((Торговля!$E$5:$E$300=$B102)*Торговля!$F$5:$F$300*Торговля!$G$5:$G$300)+SUMPRODUCT((Закрытые!$E$5:$E$300=$B102)*(LEFT(Закрытые!$B$5:$B$300,2)="T-")*Закрытые!$F$5:$F$300*Закрытые!$G$5:$G$300))/C102)</f>
        <v/>
      </c>
      <c r="E102" s="247">
        <f>IF(C102="","",SUMIFS(Торговля!$H$5:$H$300,Торговля!$E$5:$E$300,$B102)+SUMIFS(Закрытые!$H$5:$H$300,Закрытые!$E$5:$E$300,$B102,Закрытые!$B$5:$B$300,"T-*"))</f>
        <v/>
      </c>
      <c r="F102" s="246">
        <f>IF(SUMIFS(Торговля!$I$5:$I$300,Торговля!$E$5:$E$300,$B102)+SUMIFS(Закрытые!$I$5:$I$300,Закрытые!$E$5:$E$300,$B102,Закрытые!$B$5:$B$300,"T-*")=0,"",SUMIFS(Торговля!$I$5:$I$300,Торговля!$E$5:$E$300,$B102)+SUMIFS(Закрытые!$I$5:$I$300,Закрытые!$E$5:$E$300,$B102,Закрытые!$B$5:$B$300,"T-*"))</f>
        <v/>
      </c>
      <c r="G102" s="183">
        <f>IF(F102="","",(SUMPRODUCT((Торговля!$E$5:$E$300=$B102)*Торговля!$I$5:$I$300*Торговля!$J$5:$J$300)+SUMPRODUCT((Закрытые!$E$5:$E$300=$B102)*(LEFT(Закрытые!$B$5:$B$300,2)="T-")*Закрытые!$I$5:$I$300*Закрытые!$J$5:$J$300))/F102)</f>
        <v/>
      </c>
      <c r="H102" s="247">
        <f>IF(F102="","",SUMIFS(Торговля!$K$5:$K$300,Торговля!$E$5:$E$300,$B102)+SUMIFS(Закрытые!$K$5:$K$300,Закрытые!$E$5:$E$300,$B102,Закрытые!$B$5:$B$300,"T-*"))</f>
        <v/>
      </c>
      <c r="I102" s="246">
        <f>IF($B102="","",IF(COUNTIFS(Торговля!$E$5:$E$300,$B102)+COUNTIFS(Закрытые!$E$5:$E$300,$B102,Закрытые!$B$5:$B$300,"T-*")=0,"",ROUND(SUMIFS(Торговля!$L$5:$L$300,Торговля!$E$5:$E$300,$B102)+SUMIFS(Закрытые!$L$5:$L$300,Закрытые!$E$5:$E$300,$B102,Закрытые!$B$5:$B$300,"T-*"),8)))</f>
        <v/>
      </c>
      <c r="J102" s="247">
        <f>IF($B102="","",IF(COUNTIFS(Торговля!$E$5:$E$300,$B102)+COUNTIFS(Закрытые!$E$5:$E$300,$B102,Закрытые!$B$5:$B$300,"T-*")=0,"",ROUND(SUMIFS(Торговля!$M$5:$M$300,Торговля!$E$5:$E$300,$B102)+SUMIFS(Закрытые!$M$5:$M$300,Закрытые!$E$5:$E$300,$B102,Закрытые!$B$5:$B$300,"T-*"),8)))</f>
        <v/>
      </c>
      <c r="K102" s="246">
        <f>IF($B102="","",ROUND(SUMIFS(Закрытые!$N$5:$N$300,Закрытые!$E$5:$E$300,$B102,Закрытые!$B$5:$B$300,"T-*"),8))</f>
        <v/>
      </c>
      <c r="L102" s="183">
        <f>IF(K102="","",IF(SUMPRODUCT((Закрытые!$E$5:$E$300=$B102)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102/SUMPRODUCT((Закрытые!$E$5:$E$300=$B102)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2" s="183">
        <f>IF(OR(ROUND(N(C102)-N(F102),8)=0,1-N(Ввод!$E$17)/100&lt;=0),"",IF(N(C102)&gt;N(F102),(N(E102)-N(H102))/((N(C102)-N(F102))*(1-N(Ввод!$E$17)/100)),(N(H102)-N(E102))/((N(F102)-N(C102))*(1+N(Ввод!$E$17)/100))))</f>
        <v/>
      </c>
    </row>
    <row r="103" ht="22" customHeight="1">
      <c r="B103" s="315" t="n"/>
      <c r="C103" s="240">
        <f>IF(SUMIFS(Торговля!$F$5:$F$300,Торговля!$E$5:$E$300,$B103)+SUMIFS(Закрытые!$F$5:$F$300,Закрытые!$E$5:$E$300,$B103,Закрытые!$B$5:$B$300,"T-*")=0,"",SUMIFS(Торговля!$F$5:$F$300,Торговля!$E$5:$E$300,$B103)+SUMIFS(Закрытые!$F$5:$F$300,Закрытые!$E$5:$E$300,$B103,Закрытые!$B$5:$B$300,"T-*"))</f>
        <v/>
      </c>
      <c r="D103" s="177">
        <f>IF(C103="","",(SUMPRODUCT((Торговля!$E$5:$E$300=$B103)*Торговля!$F$5:$F$300*Торговля!$G$5:$G$300)+SUMPRODUCT((Закрытые!$E$5:$E$300=$B103)*(LEFT(Закрытые!$B$5:$B$300,2)="T-")*Закрытые!$F$5:$F$300*Закрытые!$G$5:$G$300))/C103)</f>
        <v/>
      </c>
      <c r="E103" s="241">
        <f>IF(C103="","",SUMIFS(Торговля!$H$5:$H$300,Торговля!$E$5:$E$300,$B103)+SUMIFS(Закрытые!$H$5:$H$300,Закрытые!$E$5:$E$300,$B103,Закрытые!$B$5:$B$300,"T-*"))</f>
        <v/>
      </c>
      <c r="F103" s="240">
        <f>IF(SUMIFS(Торговля!$I$5:$I$300,Торговля!$E$5:$E$300,$B103)+SUMIFS(Закрытые!$I$5:$I$300,Закрытые!$E$5:$E$300,$B103,Закрытые!$B$5:$B$300,"T-*")=0,"",SUMIFS(Торговля!$I$5:$I$300,Торговля!$E$5:$E$300,$B103)+SUMIFS(Закрытые!$I$5:$I$300,Закрытые!$E$5:$E$300,$B103,Закрытые!$B$5:$B$300,"T-*"))</f>
        <v/>
      </c>
      <c r="G103" s="177">
        <f>IF(F103="","",(SUMPRODUCT((Торговля!$E$5:$E$300=$B103)*Торговля!$I$5:$I$300*Торговля!$J$5:$J$300)+SUMPRODUCT((Закрытые!$E$5:$E$300=$B103)*(LEFT(Закрытые!$B$5:$B$300,2)="T-")*Закрытые!$I$5:$I$300*Закрытые!$J$5:$J$300))/F103)</f>
        <v/>
      </c>
      <c r="H103" s="241">
        <f>IF(F103="","",SUMIFS(Торговля!$K$5:$K$300,Торговля!$E$5:$E$300,$B103)+SUMIFS(Закрытые!$K$5:$K$300,Закрытые!$E$5:$E$300,$B103,Закрытые!$B$5:$B$300,"T-*"))</f>
        <v/>
      </c>
      <c r="I103" s="240">
        <f>IF($B103="","",IF(COUNTIFS(Торговля!$E$5:$E$300,$B103)+COUNTIFS(Закрытые!$E$5:$E$300,$B103,Закрытые!$B$5:$B$300,"T-*")=0,"",ROUND(SUMIFS(Торговля!$L$5:$L$300,Торговля!$E$5:$E$300,$B103)+SUMIFS(Закрытые!$L$5:$L$300,Закрытые!$E$5:$E$300,$B103,Закрытые!$B$5:$B$300,"T-*"),8)))</f>
        <v/>
      </c>
      <c r="J103" s="241">
        <f>IF($B103="","",IF(COUNTIFS(Торговля!$E$5:$E$300,$B103)+COUNTIFS(Закрытые!$E$5:$E$300,$B103,Закрытые!$B$5:$B$300,"T-*")=0,"",ROUND(SUMIFS(Торговля!$M$5:$M$300,Торговля!$E$5:$E$300,$B103)+SUMIFS(Закрытые!$M$5:$M$300,Закрытые!$E$5:$E$300,$B103,Закрытые!$B$5:$B$300,"T-*"),8)))</f>
        <v/>
      </c>
      <c r="K103" s="240">
        <f>IF($B103="","",ROUND(SUMIFS(Закрытые!$N$5:$N$300,Закрытые!$E$5:$E$300,$B103,Закрытые!$B$5:$B$300,"T-*"),8))</f>
        <v/>
      </c>
      <c r="L103" s="177">
        <f>IF(K103="","",IF(SUMPRODUCT((Закрытые!$E$5:$E$300=$B103)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103/SUMPRODUCT((Закрытые!$E$5:$E$300=$B103)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3" s="177">
        <f>IF(OR(ROUND(N(C103)-N(F103),8)=0,1-N(Ввод!$E$17)/100&lt;=0),"",IF(N(C103)&gt;N(F103),(N(E103)-N(H103))/((N(C103)-N(F103))*(1-N(Ввод!$E$17)/100)),(N(H103)-N(E103))/((N(F103)-N(C103))*(1+N(Ввод!$E$17)/100))))</f>
        <v/>
      </c>
    </row>
    <row r="104" ht="22" customHeight="1">
      <c r="B104" s="320" t="n"/>
      <c r="C104" s="246">
        <f>IF(SUMIFS(Торговля!$F$5:$F$300,Торговля!$E$5:$E$300,$B104)+SUMIFS(Закрытые!$F$5:$F$300,Закрытые!$E$5:$E$300,$B104,Закрытые!$B$5:$B$300,"T-*")=0,"",SUMIFS(Торговля!$F$5:$F$300,Торговля!$E$5:$E$300,$B104)+SUMIFS(Закрытые!$F$5:$F$300,Закрытые!$E$5:$E$300,$B104,Закрытые!$B$5:$B$300,"T-*"))</f>
        <v/>
      </c>
      <c r="D104" s="183">
        <f>IF(C104="","",(SUMPRODUCT((Торговля!$E$5:$E$300=$B104)*Торговля!$F$5:$F$300*Торговля!$G$5:$G$300)+SUMPRODUCT((Закрытые!$E$5:$E$300=$B104)*(LEFT(Закрытые!$B$5:$B$300,2)="T-")*Закрытые!$F$5:$F$300*Закрытые!$G$5:$G$300))/C104)</f>
        <v/>
      </c>
      <c r="E104" s="247">
        <f>IF(C104="","",SUMIFS(Торговля!$H$5:$H$300,Торговля!$E$5:$E$300,$B104)+SUMIFS(Закрытые!$H$5:$H$300,Закрытые!$E$5:$E$300,$B104,Закрытые!$B$5:$B$300,"T-*"))</f>
        <v/>
      </c>
      <c r="F104" s="246">
        <f>IF(SUMIFS(Торговля!$I$5:$I$300,Торговля!$E$5:$E$300,$B104)+SUMIFS(Закрытые!$I$5:$I$300,Закрытые!$E$5:$E$300,$B104,Закрытые!$B$5:$B$300,"T-*")=0,"",SUMIFS(Торговля!$I$5:$I$300,Торговля!$E$5:$E$300,$B104)+SUMIFS(Закрытые!$I$5:$I$300,Закрытые!$E$5:$E$300,$B104,Закрытые!$B$5:$B$300,"T-*"))</f>
        <v/>
      </c>
      <c r="G104" s="183">
        <f>IF(F104="","",(SUMPRODUCT((Торговля!$E$5:$E$300=$B104)*Торговля!$I$5:$I$300*Торговля!$J$5:$J$300)+SUMPRODUCT((Закрытые!$E$5:$E$300=$B104)*(LEFT(Закрытые!$B$5:$B$300,2)="T-")*Закрытые!$I$5:$I$300*Закрытые!$J$5:$J$300))/F104)</f>
        <v/>
      </c>
      <c r="H104" s="247">
        <f>IF(F104="","",SUMIFS(Торговля!$K$5:$K$300,Торговля!$E$5:$E$300,$B104)+SUMIFS(Закрытые!$K$5:$K$300,Закрытые!$E$5:$E$300,$B104,Закрытые!$B$5:$B$300,"T-*"))</f>
        <v/>
      </c>
      <c r="I104" s="246">
        <f>IF($B104="","",IF(COUNTIFS(Торговля!$E$5:$E$300,$B104)+COUNTIFS(Закрытые!$E$5:$E$300,$B104,Закрытые!$B$5:$B$300,"T-*")=0,"",ROUND(SUMIFS(Торговля!$L$5:$L$300,Торговля!$E$5:$E$300,$B104)+SUMIFS(Закрытые!$L$5:$L$300,Закрытые!$E$5:$E$300,$B104,Закрытые!$B$5:$B$300,"T-*"),8)))</f>
        <v/>
      </c>
      <c r="J104" s="247">
        <f>IF($B104="","",IF(COUNTIFS(Торговля!$E$5:$E$300,$B104)+COUNTIFS(Закрытые!$E$5:$E$300,$B104,Закрытые!$B$5:$B$300,"T-*")=0,"",ROUND(SUMIFS(Торговля!$M$5:$M$300,Торговля!$E$5:$E$300,$B104)+SUMIFS(Закрытые!$M$5:$M$300,Закрытые!$E$5:$E$300,$B104,Закрытые!$B$5:$B$300,"T-*"),8)))</f>
        <v/>
      </c>
      <c r="K104" s="246">
        <f>IF($B104="","",ROUND(SUMIFS(Закрытые!$N$5:$N$300,Закрытые!$E$5:$E$300,$B104,Закрытые!$B$5:$B$300,"T-*"),8))</f>
        <v/>
      </c>
      <c r="L104" s="183">
        <f>IF(K104="","",IF(SUMPRODUCT((Закрытые!$E$5:$E$300=$B104)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104/SUMPRODUCT((Закрытые!$E$5:$E$300=$B104)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4" s="183">
        <f>IF(OR(ROUND(N(C104)-N(F104),8)=0,1-N(Ввод!$E$17)/100&lt;=0),"",IF(N(C104)&gt;N(F104),(N(E104)-N(H104))/((N(C104)-N(F104))*(1-N(Ввод!$E$17)/100)),(N(H104)-N(E104))/((N(F104)-N(C104))*(1+N(Ввод!$E$17)/100))))</f>
        <v/>
      </c>
    </row>
    <row r="105" ht="22" customHeight="1">
      <c r="B105" s="315" t="n"/>
      <c r="C105" s="240">
        <f>IF(SUMIFS(Торговля!$F$5:$F$300,Торговля!$E$5:$E$300,$B105)+SUMIFS(Закрытые!$F$5:$F$300,Закрытые!$E$5:$E$300,$B105,Закрытые!$B$5:$B$300,"T-*")=0,"",SUMIFS(Торговля!$F$5:$F$300,Торговля!$E$5:$E$300,$B105)+SUMIFS(Закрытые!$F$5:$F$300,Закрытые!$E$5:$E$300,$B105,Закрытые!$B$5:$B$300,"T-*"))</f>
        <v/>
      </c>
      <c r="D105" s="177">
        <f>IF(C105="","",(SUMPRODUCT((Торговля!$E$5:$E$300=$B105)*Торговля!$F$5:$F$300*Торговля!$G$5:$G$300)+SUMPRODUCT((Закрытые!$E$5:$E$300=$B105)*(LEFT(Закрытые!$B$5:$B$300,2)="T-")*Закрытые!$F$5:$F$300*Закрытые!$G$5:$G$300))/C105)</f>
        <v/>
      </c>
      <c r="E105" s="241">
        <f>IF(C105="","",SUMIFS(Торговля!$H$5:$H$300,Торговля!$E$5:$E$300,$B105)+SUMIFS(Закрытые!$H$5:$H$300,Закрытые!$E$5:$E$300,$B105,Закрытые!$B$5:$B$300,"T-*"))</f>
        <v/>
      </c>
      <c r="F105" s="240">
        <f>IF(SUMIFS(Торговля!$I$5:$I$300,Торговля!$E$5:$E$300,$B105)+SUMIFS(Закрытые!$I$5:$I$300,Закрытые!$E$5:$E$300,$B105,Закрытые!$B$5:$B$300,"T-*")=0,"",SUMIFS(Торговля!$I$5:$I$300,Торговля!$E$5:$E$300,$B105)+SUMIFS(Закрытые!$I$5:$I$300,Закрытые!$E$5:$E$300,$B105,Закрытые!$B$5:$B$300,"T-*"))</f>
        <v/>
      </c>
      <c r="G105" s="177">
        <f>IF(F105="","",(SUMPRODUCT((Торговля!$E$5:$E$300=$B105)*Торговля!$I$5:$I$300*Торговля!$J$5:$J$300)+SUMPRODUCT((Закрытые!$E$5:$E$300=$B105)*(LEFT(Закрытые!$B$5:$B$300,2)="T-")*Закрытые!$I$5:$I$300*Закрытые!$J$5:$J$300))/F105)</f>
        <v/>
      </c>
      <c r="H105" s="241">
        <f>IF(F105="","",SUMIFS(Торговля!$K$5:$K$300,Торговля!$E$5:$E$300,$B105)+SUMIFS(Закрытые!$K$5:$K$300,Закрытые!$E$5:$E$300,$B105,Закрытые!$B$5:$B$300,"T-*"))</f>
        <v/>
      </c>
      <c r="I105" s="240">
        <f>IF($B105="","",IF(COUNTIFS(Торговля!$E$5:$E$300,$B105)+COUNTIFS(Закрытые!$E$5:$E$300,$B105,Закрытые!$B$5:$B$300,"T-*")=0,"",ROUND(SUMIFS(Торговля!$L$5:$L$300,Торговля!$E$5:$E$300,$B105)+SUMIFS(Закрытые!$L$5:$L$300,Закрытые!$E$5:$E$300,$B105,Закрытые!$B$5:$B$300,"T-*"),8)))</f>
        <v/>
      </c>
      <c r="J105" s="241">
        <f>IF($B105="","",IF(COUNTIFS(Торговля!$E$5:$E$300,$B105)+COUNTIFS(Закрытые!$E$5:$E$300,$B105,Закрытые!$B$5:$B$300,"T-*")=0,"",ROUND(SUMIFS(Торговля!$M$5:$M$300,Торговля!$E$5:$E$300,$B105)+SUMIFS(Закрытые!$M$5:$M$300,Закрытые!$E$5:$E$300,$B105,Закрытые!$B$5:$B$300,"T-*"),8)))</f>
        <v/>
      </c>
      <c r="K105" s="240">
        <f>IF($B105="","",ROUND(SUMIFS(Закрытые!$N$5:$N$300,Закрытые!$E$5:$E$300,$B105,Закрытые!$B$5:$B$300,"T-*"),8))</f>
        <v/>
      </c>
      <c r="L105" s="177">
        <f>IF(K105="","",IF(SUMPRODUCT((Закрытые!$E$5:$E$300=$B105)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105/SUMPRODUCT((Закрытые!$E$5:$E$300=$B105)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5" s="177">
        <f>IF(OR(ROUND(N(C105)-N(F105),8)=0,1-N(Ввод!$E$17)/100&lt;=0),"",IF(N(C105)&gt;N(F105),(N(E105)-N(H105))/((N(C105)-N(F105))*(1-N(Ввод!$E$17)/100)),(N(H105)-N(E105))/((N(F105)-N(C105))*(1+N(Ввод!$E$17)/100))))</f>
        <v/>
      </c>
    </row>
    <row r="106" ht="22" customHeight="1">
      <c r="B106" s="320" t="n"/>
      <c r="C106" s="246">
        <f>IF(SUMIFS(Торговля!$F$5:$F$300,Торговля!$E$5:$E$300,$B106)+SUMIFS(Закрытые!$F$5:$F$300,Закрытые!$E$5:$E$300,$B106,Закрытые!$B$5:$B$300,"T-*")=0,"",SUMIFS(Торговля!$F$5:$F$300,Торговля!$E$5:$E$300,$B106)+SUMIFS(Закрытые!$F$5:$F$300,Закрытые!$E$5:$E$300,$B106,Закрытые!$B$5:$B$300,"T-*"))</f>
        <v/>
      </c>
      <c r="D106" s="183">
        <f>IF(C106="","",(SUMPRODUCT((Торговля!$E$5:$E$300=$B106)*Торговля!$F$5:$F$300*Торговля!$G$5:$G$300)+SUMPRODUCT((Закрытые!$E$5:$E$300=$B106)*(LEFT(Закрытые!$B$5:$B$300,2)="T-")*Закрытые!$F$5:$F$300*Закрытые!$G$5:$G$300))/C106)</f>
        <v/>
      </c>
      <c r="E106" s="247">
        <f>IF(C106="","",SUMIFS(Торговля!$H$5:$H$300,Торговля!$E$5:$E$300,$B106)+SUMIFS(Закрытые!$H$5:$H$300,Закрытые!$E$5:$E$300,$B106,Закрытые!$B$5:$B$300,"T-*"))</f>
        <v/>
      </c>
      <c r="F106" s="246">
        <f>IF(SUMIFS(Торговля!$I$5:$I$300,Торговля!$E$5:$E$300,$B106)+SUMIFS(Закрытые!$I$5:$I$300,Закрытые!$E$5:$E$300,$B106,Закрытые!$B$5:$B$300,"T-*")=0,"",SUMIFS(Торговля!$I$5:$I$300,Торговля!$E$5:$E$300,$B106)+SUMIFS(Закрытые!$I$5:$I$300,Закрытые!$E$5:$E$300,$B106,Закрытые!$B$5:$B$300,"T-*"))</f>
        <v/>
      </c>
      <c r="G106" s="183">
        <f>IF(F106="","",(SUMPRODUCT((Торговля!$E$5:$E$300=$B106)*Торговля!$I$5:$I$300*Торговля!$J$5:$J$300)+SUMPRODUCT((Закрытые!$E$5:$E$300=$B106)*(LEFT(Закрытые!$B$5:$B$300,2)="T-")*Закрытые!$I$5:$I$300*Закрытые!$J$5:$J$300))/F106)</f>
        <v/>
      </c>
      <c r="H106" s="247">
        <f>IF(F106="","",SUMIFS(Торговля!$K$5:$K$300,Торговля!$E$5:$E$300,$B106)+SUMIFS(Закрытые!$K$5:$K$300,Закрытые!$E$5:$E$300,$B106,Закрытые!$B$5:$B$300,"T-*"))</f>
        <v/>
      </c>
      <c r="I106" s="246">
        <f>IF($B106="","",IF(COUNTIFS(Торговля!$E$5:$E$300,$B106)+COUNTIFS(Закрытые!$E$5:$E$300,$B106,Закрытые!$B$5:$B$300,"T-*")=0,"",ROUND(SUMIFS(Торговля!$L$5:$L$300,Торговля!$E$5:$E$300,$B106)+SUMIFS(Закрытые!$L$5:$L$300,Закрытые!$E$5:$E$300,$B106,Закрытые!$B$5:$B$300,"T-*"),8)))</f>
        <v/>
      </c>
      <c r="J106" s="247">
        <f>IF($B106="","",IF(COUNTIFS(Торговля!$E$5:$E$300,$B106)+COUNTIFS(Закрытые!$E$5:$E$300,$B106,Закрытые!$B$5:$B$300,"T-*")=0,"",ROUND(SUMIFS(Торговля!$M$5:$M$300,Торговля!$E$5:$E$300,$B106)+SUMIFS(Закрытые!$M$5:$M$300,Закрытые!$E$5:$E$300,$B106,Закрытые!$B$5:$B$300,"T-*"),8)))</f>
        <v/>
      </c>
      <c r="K106" s="246">
        <f>IF($B106="","",ROUND(SUMIFS(Закрытые!$N$5:$N$300,Закрытые!$E$5:$E$300,$B106,Закрытые!$B$5:$B$300,"T-*"),8))</f>
        <v/>
      </c>
      <c r="L106" s="183">
        <f>IF(K106="","",IF(SUMPRODUCT((Закрытые!$E$5:$E$300=$B106)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106/SUMPRODUCT((Закрытые!$E$5:$E$300=$B106)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6" s="183">
        <f>IF(OR(ROUND(N(C106)-N(F106),8)=0,1-N(Ввод!$E$17)/100&lt;=0),"",IF(N(C106)&gt;N(F106),(N(E106)-N(H106))/((N(C106)-N(F106))*(1-N(Ввод!$E$17)/100)),(N(H106)-N(E106))/((N(F106)-N(C106))*(1+N(Ввод!$E$17)/100))))</f>
        <v/>
      </c>
    </row>
    <row r="107" ht="22" customHeight="1">
      <c r="B107" s="315" t="n"/>
      <c r="C107" s="240">
        <f>IF(SUMIFS(Торговля!$F$5:$F$300,Торговля!$E$5:$E$300,$B107)+SUMIFS(Закрытые!$F$5:$F$300,Закрытые!$E$5:$E$300,$B107,Закрытые!$B$5:$B$300,"T-*")=0,"",SUMIFS(Торговля!$F$5:$F$300,Торговля!$E$5:$E$300,$B107)+SUMIFS(Закрытые!$F$5:$F$300,Закрытые!$E$5:$E$300,$B107,Закрытые!$B$5:$B$300,"T-*"))</f>
        <v/>
      </c>
      <c r="D107" s="177">
        <f>IF(C107="","",(SUMPRODUCT((Торговля!$E$5:$E$300=$B107)*Торговля!$F$5:$F$300*Торговля!$G$5:$G$300)+SUMPRODUCT((Закрытые!$E$5:$E$300=$B107)*(LEFT(Закрытые!$B$5:$B$300,2)="T-")*Закрытые!$F$5:$F$300*Закрытые!$G$5:$G$300))/C107)</f>
        <v/>
      </c>
      <c r="E107" s="241">
        <f>IF(C107="","",SUMIFS(Торговля!$H$5:$H$300,Торговля!$E$5:$E$300,$B107)+SUMIFS(Закрытые!$H$5:$H$300,Закрытые!$E$5:$E$300,$B107,Закрытые!$B$5:$B$300,"T-*"))</f>
        <v/>
      </c>
      <c r="F107" s="240">
        <f>IF(SUMIFS(Торговля!$I$5:$I$300,Торговля!$E$5:$E$300,$B107)+SUMIFS(Закрытые!$I$5:$I$300,Закрытые!$E$5:$E$300,$B107,Закрытые!$B$5:$B$300,"T-*")=0,"",SUMIFS(Торговля!$I$5:$I$300,Торговля!$E$5:$E$300,$B107)+SUMIFS(Закрытые!$I$5:$I$300,Закрытые!$E$5:$E$300,$B107,Закрытые!$B$5:$B$300,"T-*"))</f>
        <v/>
      </c>
      <c r="G107" s="177">
        <f>IF(F107="","",(SUMPRODUCT((Торговля!$E$5:$E$300=$B107)*Торговля!$I$5:$I$300*Торговля!$J$5:$J$300)+SUMPRODUCT((Закрытые!$E$5:$E$300=$B107)*(LEFT(Закрытые!$B$5:$B$300,2)="T-")*Закрытые!$I$5:$I$300*Закрытые!$J$5:$J$300))/F107)</f>
        <v/>
      </c>
      <c r="H107" s="241">
        <f>IF(F107="","",SUMIFS(Торговля!$K$5:$K$300,Торговля!$E$5:$E$300,$B107)+SUMIFS(Закрытые!$K$5:$K$300,Закрытые!$E$5:$E$300,$B107,Закрытые!$B$5:$B$300,"T-*"))</f>
        <v/>
      </c>
      <c r="I107" s="240">
        <f>IF($B107="","",IF(COUNTIFS(Торговля!$E$5:$E$300,$B107)+COUNTIFS(Закрытые!$E$5:$E$300,$B107,Закрытые!$B$5:$B$300,"T-*")=0,"",ROUND(SUMIFS(Торговля!$L$5:$L$300,Торговля!$E$5:$E$300,$B107)+SUMIFS(Закрытые!$L$5:$L$300,Закрытые!$E$5:$E$300,$B107,Закрытые!$B$5:$B$300,"T-*"),8)))</f>
        <v/>
      </c>
      <c r="J107" s="241">
        <f>IF($B107="","",IF(COUNTIFS(Торговля!$E$5:$E$300,$B107)+COUNTIFS(Закрытые!$E$5:$E$300,$B107,Закрытые!$B$5:$B$300,"T-*")=0,"",ROUND(SUMIFS(Торговля!$M$5:$M$300,Торговля!$E$5:$E$300,$B107)+SUMIFS(Закрытые!$M$5:$M$300,Закрытые!$E$5:$E$300,$B107,Закрытые!$B$5:$B$300,"T-*"),8)))</f>
        <v/>
      </c>
      <c r="K107" s="240">
        <f>IF($B107="","",ROUND(SUMIFS(Закрытые!$N$5:$N$300,Закрытые!$E$5:$E$300,$B107,Закрытые!$B$5:$B$300,"T-*"),8))</f>
        <v/>
      </c>
      <c r="L107" s="177">
        <f>IF(K107="","",IF(SUMPRODUCT((Закрытые!$E$5:$E$300=$B107)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107/SUMPRODUCT((Закрытые!$E$5:$E$300=$B107)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7" s="177">
        <f>IF(OR(ROUND(N(C107)-N(F107),8)=0,1-N(Ввод!$E$17)/100&lt;=0),"",IF(N(C107)&gt;N(F107),(N(E107)-N(H107))/((N(C107)-N(F107))*(1-N(Ввод!$E$17)/100)),(N(H107)-N(E107))/((N(F107)-N(C107))*(1+N(Ввод!$E$17)/100))))</f>
        <v/>
      </c>
    </row>
    <row r="108" ht="22" customHeight="1">
      <c r="B108" s="320" t="n"/>
      <c r="C108" s="246">
        <f>IF(SUMIFS(Торговля!$F$5:$F$300,Торговля!$E$5:$E$300,$B108)+SUMIFS(Закрытые!$F$5:$F$300,Закрытые!$E$5:$E$300,$B108,Закрытые!$B$5:$B$300,"T-*")=0,"",SUMIFS(Торговля!$F$5:$F$300,Торговля!$E$5:$E$300,$B108)+SUMIFS(Закрытые!$F$5:$F$300,Закрытые!$E$5:$E$300,$B108,Закрытые!$B$5:$B$300,"T-*"))</f>
        <v/>
      </c>
      <c r="D108" s="183">
        <f>IF(C108="","",(SUMPRODUCT((Торговля!$E$5:$E$300=$B108)*Торговля!$F$5:$F$300*Торговля!$G$5:$G$300)+SUMPRODUCT((Закрытые!$E$5:$E$300=$B108)*(LEFT(Закрытые!$B$5:$B$300,2)="T-")*Закрытые!$F$5:$F$300*Закрытые!$G$5:$G$300))/C108)</f>
        <v/>
      </c>
      <c r="E108" s="247">
        <f>IF(C108="","",SUMIFS(Торговля!$H$5:$H$300,Торговля!$E$5:$E$300,$B108)+SUMIFS(Закрытые!$H$5:$H$300,Закрытые!$E$5:$E$300,$B108,Закрытые!$B$5:$B$300,"T-*"))</f>
        <v/>
      </c>
      <c r="F108" s="246">
        <f>IF(SUMIFS(Торговля!$I$5:$I$300,Торговля!$E$5:$E$300,$B108)+SUMIFS(Закрытые!$I$5:$I$300,Закрытые!$E$5:$E$300,$B108,Закрытые!$B$5:$B$300,"T-*")=0,"",SUMIFS(Торговля!$I$5:$I$300,Торговля!$E$5:$E$300,$B108)+SUMIFS(Закрытые!$I$5:$I$300,Закрытые!$E$5:$E$300,$B108,Закрытые!$B$5:$B$300,"T-*"))</f>
        <v/>
      </c>
      <c r="G108" s="183">
        <f>IF(F108="","",(SUMPRODUCT((Торговля!$E$5:$E$300=$B108)*Торговля!$I$5:$I$300*Торговля!$J$5:$J$300)+SUMPRODUCT((Закрытые!$E$5:$E$300=$B108)*(LEFT(Закрытые!$B$5:$B$300,2)="T-")*Закрытые!$I$5:$I$300*Закрытые!$J$5:$J$300))/F108)</f>
        <v/>
      </c>
      <c r="H108" s="247">
        <f>IF(F108="","",SUMIFS(Торговля!$K$5:$K$300,Торговля!$E$5:$E$300,$B108)+SUMIFS(Закрытые!$K$5:$K$300,Закрытые!$E$5:$E$300,$B108,Закрытые!$B$5:$B$300,"T-*"))</f>
        <v/>
      </c>
      <c r="I108" s="246">
        <f>IF($B108="","",IF(COUNTIFS(Торговля!$E$5:$E$300,$B108)+COUNTIFS(Закрытые!$E$5:$E$300,$B108,Закрытые!$B$5:$B$300,"T-*")=0,"",ROUND(SUMIFS(Торговля!$L$5:$L$300,Торговля!$E$5:$E$300,$B108)+SUMIFS(Закрытые!$L$5:$L$300,Закрытые!$E$5:$E$300,$B108,Закрытые!$B$5:$B$300,"T-*"),8)))</f>
        <v/>
      </c>
      <c r="J108" s="247">
        <f>IF($B108="","",IF(COUNTIFS(Торговля!$E$5:$E$300,$B108)+COUNTIFS(Закрытые!$E$5:$E$300,$B108,Закрытые!$B$5:$B$300,"T-*")=0,"",ROUND(SUMIFS(Торговля!$M$5:$M$300,Торговля!$E$5:$E$300,$B108)+SUMIFS(Закрытые!$M$5:$M$300,Закрытые!$E$5:$E$300,$B108,Закрытые!$B$5:$B$300,"T-*"),8)))</f>
        <v/>
      </c>
      <c r="K108" s="246">
        <f>IF($B108="","",ROUND(SUMIFS(Закрытые!$N$5:$N$300,Закрытые!$E$5:$E$300,$B108,Закрытые!$B$5:$B$300,"T-*"),8))</f>
        <v/>
      </c>
      <c r="L108" s="183">
        <f>IF(K108="","",IF(SUMPRODUCT((Закрытые!$E$5:$E$300=$B108)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108/SUMPRODUCT((Закрытые!$E$5:$E$300=$B108)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8" s="183">
        <f>IF(OR(ROUND(N(C108)-N(F108),8)=0,1-N(Ввод!$E$17)/100&lt;=0),"",IF(N(C108)&gt;N(F108),(N(E108)-N(H108))/((N(C108)-N(F108))*(1-N(Ввод!$E$17)/100)),(N(H108)-N(E108))/((N(F108)-N(C108))*(1+N(Ввод!$E$17)/100))))</f>
        <v/>
      </c>
    </row>
    <row r="109" ht="22" customHeight="1">
      <c r="B109" s="315" t="n"/>
      <c r="C109" s="240">
        <f>IF(SUMIFS(Торговля!$F$5:$F$300,Торговля!$E$5:$E$300,$B109)+SUMIFS(Закрытые!$F$5:$F$300,Закрытые!$E$5:$E$300,$B109,Закрытые!$B$5:$B$300,"T-*")=0,"",SUMIFS(Торговля!$F$5:$F$300,Торговля!$E$5:$E$300,$B109)+SUMIFS(Закрытые!$F$5:$F$300,Закрытые!$E$5:$E$300,$B109,Закрытые!$B$5:$B$300,"T-*"))</f>
        <v/>
      </c>
      <c r="D109" s="177">
        <f>IF(C109="","",(SUMPRODUCT((Торговля!$E$5:$E$300=$B109)*Торговля!$F$5:$F$300*Торговля!$G$5:$G$300)+SUMPRODUCT((Закрытые!$E$5:$E$300=$B109)*(LEFT(Закрытые!$B$5:$B$300,2)="T-")*Закрытые!$F$5:$F$300*Закрытые!$G$5:$G$300))/C109)</f>
        <v/>
      </c>
      <c r="E109" s="241">
        <f>IF(C109="","",SUMIFS(Торговля!$H$5:$H$300,Торговля!$E$5:$E$300,$B109)+SUMIFS(Закрытые!$H$5:$H$300,Закрытые!$E$5:$E$300,$B109,Закрытые!$B$5:$B$300,"T-*"))</f>
        <v/>
      </c>
      <c r="F109" s="240">
        <f>IF(SUMIFS(Торговля!$I$5:$I$300,Торговля!$E$5:$E$300,$B109)+SUMIFS(Закрытые!$I$5:$I$300,Закрытые!$E$5:$E$300,$B109,Закрытые!$B$5:$B$300,"T-*")=0,"",SUMIFS(Торговля!$I$5:$I$300,Торговля!$E$5:$E$300,$B109)+SUMIFS(Закрытые!$I$5:$I$300,Закрытые!$E$5:$E$300,$B109,Закрытые!$B$5:$B$300,"T-*"))</f>
        <v/>
      </c>
      <c r="G109" s="177">
        <f>IF(F109="","",(SUMPRODUCT((Торговля!$E$5:$E$300=$B109)*Торговля!$I$5:$I$300*Торговля!$J$5:$J$300)+SUMPRODUCT((Закрытые!$E$5:$E$300=$B109)*(LEFT(Закрытые!$B$5:$B$300,2)="T-")*Закрытые!$I$5:$I$300*Закрытые!$J$5:$J$300))/F109)</f>
        <v/>
      </c>
      <c r="H109" s="241">
        <f>IF(F109="","",SUMIFS(Торговля!$K$5:$K$300,Торговля!$E$5:$E$300,$B109)+SUMIFS(Закрытые!$K$5:$K$300,Закрытые!$E$5:$E$300,$B109,Закрытые!$B$5:$B$300,"T-*"))</f>
        <v/>
      </c>
      <c r="I109" s="240">
        <f>IF($B109="","",IF(COUNTIFS(Торговля!$E$5:$E$300,$B109)+COUNTIFS(Закрытые!$E$5:$E$300,$B109,Закрытые!$B$5:$B$300,"T-*")=0,"",ROUND(SUMIFS(Торговля!$L$5:$L$300,Торговля!$E$5:$E$300,$B109)+SUMIFS(Закрытые!$L$5:$L$300,Закрытые!$E$5:$E$300,$B109,Закрытые!$B$5:$B$300,"T-*"),8)))</f>
        <v/>
      </c>
      <c r="J109" s="241">
        <f>IF($B109="","",IF(COUNTIFS(Торговля!$E$5:$E$300,$B109)+COUNTIFS(Закрытые!$E$5:$E$300,$B109,Закрытые!$B$5:$B$300,"T-*")=0,"",ROUND(SUMIFS(Торговля!$M$5:$M$300,Торговля!$E$5:$E$300,$B109)+SUMIFS(Закрытые!$M$5:$M$300,Закрытые!$E$5:$E$300,$B109,Закрытые!$B$5:$B$300,"T-*"),8)))</f>
        <v/>
      </c>
      <c r="K109" s="240">
        <f>IF($B109="","",ROUND(SUMIFS(Закрытые!$N$5:$N$300,Закрытые!$E$5:$E$300,$B109,Закрытые!$B$5:$B$300,"T-*"),8))</f>
        <v/>
      </c>
      <c r="L109" s="177">
        <f>IF(K109="","",IF(SUMPRODUCT((Закрытые!$E$5:$E$300=$B109)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109/SUMPRODUCT((Закрытые!$E$5:$E$300=$B109)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9" s="177">
        <f>IF(OR(ROUND(N(C109)-N(F109),8)=0,1-N(Ввод!$E$17)/100&lt;=0),"",IF(N(C109)&gt;N(F109),(N(E109)-N(H109))/((N(C109)-N(F109))*(1-N(Ввод!$E$17)/100)),(N(H109)-N(E109))/((N(F109)-N(C109))*(1+N(Ввод!$E$17)/100))))</f>
        <v/>
      </c>
    </row>
    <row r="110" ht="22" customHeight="1">
      <c r="B110" s="320" t="n"/>
      <c r="C110" s="246">
        <f>IF(SUMIFS(Торговля!$F$5:$F$300,Торговля!$E$5:$E$300,$B110)+SUMIFS(Закрытые!$F$5:$F$300,Закрытые!$E$5:$E$300,$B110,Закрытые!$B$5:$B$300,"T-*")=0,"",SUMIFS(Торговля!$F$5:$F$300,Торговля!$E$5:$E$300,$B110)+SUMIFS(Закрытые!$F$5:$F$300,Закрытые!$E$5:$E$300,$B110,Закрытые!$B$5:$B$300,"T-*"))</f>
        <v/>
      </c>
      <c r="D110" s="183">
        <f>IF(C110="","",(SUMPRODUCT((Торговля!$E$5:$E$300=$B110)*Торговля!$F$5:$F$300*Торговля!$G$5:$G$300)+SUMPRODUCT((Закрытые!$E$5:$E$300=$B110)*(LEFT(Закрытые!$B$5:$B$300,2)="T-")*Закрытые!$F$5:$F$300*Закрытые!$G$5:$G$300))/C110)</f>
        <v/>
      </c>
      <c r="E110" s="247">
        <f>IF(C110="","",SUMIFS(Торговля!$H$5:$H$300,Торговля!$E$5:$E$300,$B110)+SUMIFS(Закрытые!$H$5:$H$300,Закрытые!$E$5:$E$300,$B110,Закрытые!$B$5:$B$300,"T-*"))</f>
        <v/>
      </c>
      <c r="F110" s="246">
        <f>IF(SUMIFS(Торговля!$I$5:$I$300,Торговля!$E$5:$E$300,$B110)+SUMIFS(Закрытые!$I$5:$I$300,Закрытые!$E$5:$E$300,$B110,Закрытые!$B$5:$B$300,"T-*")=0,"",SUMIFS(Торговля!$I$5:$I$300,Торговля!$E$5:$E$300,$B110)+SUMIFS(Закрытые!$I$5:$I$300,Закрытые!$E$5:$E$300,$B110,Закрытые!$B$5:$B$300,"T-*"))</f>
        <v/>
      </c>
      <c r="G110" s="183">
        <f>IF(F110="","",(SUMPRODUCT((Торговля!$E$5:$E$300=$B110)*Торговля!$I$5:$I$300*Торговля!$J$5:$J$300)+SUMPRODUCT((Закрытые!$E$5:$E$300=$B110)*(LEFT(Закрытые!$B$5:$B$300,2)="T-")*Закрытые!$I$5:$I$300*Закрытые!$J$5:$J$300))/F110)</f>
        <v/>
      </c>
      <c r="H110" s="247">
        <f>IF(F110="","",SUMIFS(Торговля!$K$5:$K$300,Торговля!$E$5:$E$300,$B110)+SUMIFS(Закрытые!$K$5:$K$300,Закрытые!$E$5:$E$300,$B110,Закрытые!$B$5:$B$300,"T-*"))</f>
        <v/>
      </c>
      <c r="I110" s="246">
        <f>IF($B110="","",IF(COUNTIFS(Торговля!$E$5:$E$300,$B110)+COUNTIFS(Закрытые!$E$5:$E$300,$B110,Закрытые!$B$5:$B$300,"T-*")=0,"",ROUND(SUMIFS(Торговля!$L$5:$L$300,Торговля!$E$5:$E$300,$B110)+SUMIFS(Закрытые!$L$5:$L$300,Закрытые!$E$5:$E$300,$B110,Закрытые!$B$5:$B$300,"T-*"),8)))</f>
        <v/>
      </c>
      <c r="J110" s="247">
        <f>IF($B110="","",IF(COUNTIFS(Торговля!$E$5:$E$300,$B110)+COUNTIFS(Закрытые!$E$5:$E$300,$B110,Закрытые!$B$5:$B$300,"T-*")=0,"",ROUND(SUMIFS(Торговля!$M$5:$M$300,Торговля!$E$5:$E$300,$B110)+SUMIFS(Закрытые!$M$5:$M$300,Закрытые!$E$5:$E$300,$B110,Закрытые!$B$5:$B$300,"T-*"),8)))</f>
        <v/>
      </c>
      <c r="K110" s="246">
        <f>IF($B110="","",ROUND(SUMIFS(Закрытые!$N$5:$N$300,Закрытые!$E$5:$E$300,$B110,Закрытые!$B$5:$B$300,"T-*"),8))</f>
        <v/>
      </c>
      <c r="L110" s="183">
        <f>IF(K110="","",IF(SUMPRODUCT((Закрытые!$E$5:$E$300=$B110)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110/SUMPRODUCT((Закрытые!$E$5:$E$300=$B110)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0" s="183">
        <f>IF(OR(ROUND(N(C110)-N(F110),8)=0,1-N(Ввод!$E$17)/100&lt;=0),"",IF(N(C110)&gt;N(F110),(N(E110)-N(H110))/((N(C110)-N(F110))*(1-N(Ввод!$E$17)/100)),(N(H110)-N(E110))/((N(F110)-N(C110))*(1+N(Ввод!$E$17)/100))))</f>
        <v/>
      </c>
    </row>
    <row r="111" ht="22" customHeight="1">
      <c r="B111" s="315" t="n"/>
      <c r="C111" s="240">
        <f>IF(SUMIFS(Торговля!$F$5:$F$300,Торговля!$E$5:$E$300,$B111)+SUMIFS(Закрытые!$F$5:$F$300,Закрытые!$E$5:$E$300,$B111,Закрытые!$B$5:$B$300,"T-*")=0,"",SUMIFS(Торговля!$F$5:$F$300,Торговля!$E$5:$E$300,$B111)+SUMIFS(Закрытые!$F$5:$F$300,Закрытые!$E$5:$E$300,$B111,Закрытые!$B$5:$B$300,"T-*"))</f>
        <v/>
      </c>
      <c r="D111" s="177">
        <f>IF(C111="","",(SUMPRODUCT((Торговля!$E$5:$E$300=$B111)*Торговля!$F$5:$F$300*Торговля!$G$5:$G$300)+SUMPRODUCT((Закрытые!$E$5:$E$300=$B111)*(LEFT(Закрытые!$B$5:$B$300,2)="T-")*Закрытые!$F$5:$F$300*Закрытые!$G$5:$G$300))/C111)</f>
        <v/>
      </c>
      <c r="E111" s="241">
        <f>IF(C111="","",SUMIFS(Торговля!$H$5:$H$300,Торговля!$E$5:$E$300,$B111)+SUMIFS(Закрытые!$H$5:$H$300,Закрытые!$E$5:$E$300,$B111,Закрытые!$B$5:$B$300,"T-*"))</f>
        <v/>
      </c>
      <c r="F111" s="240">
        <f>IF(SUMIFS(Торговля!$I$5:$I$300,Торговля!$E$5:$E$300,$B111)+SUMIFS(Закрытые!$I$5:$I$300,Закрытые!$E$5:$E$300,$B111,Закрытые!$B$5:$B$300,"T-*")=0,"",SUMIFS(Торговля!$I$5:$I$300,Торговля!$E$5:$E$300,$B111)+SUMIFS(Закрытые!$I$5:$I$300,Закрытые!$E$5:$E$300,$B111,Закрытые!$B$5:$B$300,"T-*"))</f>
        <v/>
      </c>
      <c r="G111" s="177">
        <f>IF(F111="","",(SUMPRODUCT((Торговля!$E$5:$E$300=$B111)*Торговля!$I$5:$I$300*Торговля!$J$5:$J$300)+SUMPRODUCT((Закрытые!$E$5:$E$300=$B111)*(LEFT(Закрытые!$B$5:$B$300,2)="T-")*Закрытые!$I$5:$I$300*Закрытые!$J$5:$J$300))/F111)</f>
        <v/>
      </c>
      <c r="H111" s="241">
        <f>IF(F111="","",SUMIFS(Торговля!$K$5:$K$300,Торговля!$E$5:$E$300,$B111)+SUMIFS(Закрытые!$K$5:$K$300,Закрытые!$E$5:$E$300,$B111,Закрытые!$B$5:$B$300,"T-*"))</f>
        <v/>
      </c>
      <c r="I111" s="240">
        <f>IF($B111="","",IF(COUNTIFS(Торговля!$E$5:$E$300,$B111)+COUNTIFS(Закрытые!$E$5:$E$300,$B111,Закрытые!$B$5:$B$300,"T-*")=0,"",ROUND(SUMIFS(Торговля!$L$5:$L$300,Торговля!$E$5:$E$300,$B111)+SUMIFS(Закрытые!$L$5:$L$300,Закрытые!$E$5:$E$300,$B111,Закрытые!$B$5:$B$300,"T-*"),8)))</f>
        <v/>
      </c>
      <c r="J111" s="241">
        <f>IF($B111="","",IF(COUNTIFS(Торговля!$E$5:$E$300,$B111)+COUNTIFS(Закрытые!$E$5:$E$300,$B111,Закрытые!$B$5:$B$300,"T-*")=0,"",ROUND(SUMIFS(Торговля!$M$5:$M$300,Торговля!$E$5:$E$300,$B111)+SUMIFS(Закрытые!$M$5:$M$300,Закрытые!$E$5:$E$300,$B111,Закрытые!$B$5:$B$300,"T-*"),8)))</f>
        <v/>
      </c>
      <c r="K111" s="240">
        <f>IF($B111="","",ROUND(SUMIFS(Закрытые!$N$5:$N$300,Закрытые!$E$5:$E$300,$B111,Закрытые!$B$5:$B$300,"T-*"),8))</f>
        <v/>
      </c>
      <c r="L111" s="177">
        <f>IF(K111="","",IF(SUMPRODUCT((Закрытые!$E$5:$E$300=$B111)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111/SUMPRODUCT((Закрытые!$E$5:$E$300=$B111)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1" s="177">
        <f>IF(OR(ROUND(N(C111)-N(F111),8)=0,1-N(Ввод!$E$17)/100&lt;=0),"",IF(N(C111)&gt;N(F111),(N(E111)-N(H111))/((N(C111)-N(F111))*(1-N(Ввод!$E$17)/100)),(N(H111)-N(E111))/((N(F111)-N(C111))*(1+N(Ввод!$E$17)/100))))</f>
        <v/>
      </c>
    </row>
    <row r="112" ht="22" customHeight="1">
      <c r="B112" s="320" t="n"/>
      <c r="C112" s="246">
        <f>IF(SUMIFS(Торговля!$F$5:$F$300,Торговля!$E$5:$E$300,$B112)+SUMIFS(Закрытые!$F$5:$F$300,Закрытые!$E$5:$E$300,$B112,Закрытые!$B$5:$B$300,"T-*")=0,"",SUMIFS(Торговля!$F$5:$F$300,Торговля!$E$5:$E$300,$B112)+SUMIFS(Закрытые!$F$5:$F$300,Закрытые!$E$5:$E$300,$B112,Закрытые!$B$5:$B$300,"T-*"))</f>
        <v/>
      </c>
      <c r="D112" s="183">
        <f>IF(C112="","",(SUMPRODUCT((Торговля!$E$5:$E$300=$B112)*Торговля!$F$5:$F$300*Торговля!$G$5:$G$300)+SUMPRODUCT((Закрытые!$E$5:$E$300=$B112)*(LEFT(Закрытые!$B$5:$B$300,2)="T-")*Закрытые!$F$5:$F$300*Закрытые!$G$5:$G$300))/C112)</f>
        <v/>
      </c>
      <c r="E112" s="247">
        <f>IF(C112="","",SUMIFS(Торговля!$H$5:$H$300,Торговля!$E$5:$E$300,$B112)+SUMIFS(Закрытые!$H$5:$H$300,Закрытые!$E$5:$E$300,$B112,Закрытые!$B$5:$B$300,"T-*"))</f>
        <v/>
      </c>
      <c r="F112" s="246">
        <f>IF(SUMIFS(Торговля!$I$5:$I$300,Торговля!$E$5:$E$300,$B112)+SUMIFS(Закрытые!$I$5:$I$300,Закрытые!$E$5:$E$300,$B112,Закрытые!$B$5:$B$300,"T-*")=0,"",SUMIFS(Торговля!$I$5:$I$300,Торговля!$E$5:$E$300,$B112)+SUMIFS(Закрытые!$I$5:$I$300,Закрытые!$E$5:$E$300,$B112,Закрытые!$B$5:$B$300,"T-*"))</f>
        <v/>
      </c>
      <c r="G112" s="183">
        <f>IF(F112="","",(SUMPRODUCT((Торговля!$E$5:$E$300=$B112)*Торговля!$I$5:$I$300*Торговля!$J$5:$J$300)+SUMPRODUCT((Закрытые!$E$5:$E$300=$B112)*(LEFT(Закрытые!$B$5:$B$300,2)="T-")*Закрытые!$I$5:$I$300*Закрытые!$J$5:$J$300))/F112)</f>
        <v/>
      </c>
      <c r="H112" s="247">
        <f>IF(F112="","",SUMIFS(Торговля!$K$5:$K$300,Торговля!$E$5:$E$300,$B112)+SUMIFS(Закрытые!$K$5:$K$300,Закрытые!$E$5:$E$300,$B112,Закрытые!$B$5:$B$300,"T-*"))</f>
        <v/>
      </c>
      <c r="I112" s="246">
        <f>IF($B112="","",IF(COUNTIFS(Торговля!$E$5:$E$300,$B112)+COUNTIFS(Закрытые!$E$5:$E$300,$B112,Закрытые!$B$5:$B$300,"T-*")=0,"",ROUND(SUMIFS(Торговля!$L$5:$L$300,Торговля!$E$5:$E$300,$B112)+SUMIFS(Закрытые!$L$5:$L$300,Закрытые!$E$5:$E$300,$B112,Закрытые!$B$5:$B$300,"T-*"),8)))</f>
        <v/>
      </c>
      <c r="J112" s="247">
        <f>IF($B112="","",IF(COUNTIFS(Торговля!$E$5:$E$300,$B112)+COUNTIFS(Закрытые!$E$5:$E$300,$B112,Закрытые!$B$5:$B$300,"T-*")=0,"",ROUND(SUMIFS(Торговля!$M$5:$M$300,Торговля!$E$5:$E$300,$B112)+SUMIFS(Закрытые!$M$5:$M$300,Закрытые!$E$5:$E$300,$B112,Закрытые!$B$5:$B$300,"T-*"),8)))</f>
        <v/>
      </c>
      <c r="K112" s="246">
        <f>IF($B112="","",ROUND(SUMIFS(Закрытые!$N$5:$N$300,Закрытые!$E$5:$E$300,$B112,Закрытые!$B$5:$B$300,"T-*"),8))</f>
        <v/>
      </c>
      <c r="L112" s="183">
        <f>IF(K112="","",IF(SUMPRODUCT((Закрытые!$E$5:$E$300=$B112)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112/SUMPRODUCT((Закрытые!$E$5:$E$300=$B112)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2" s="183">
        <f>IF(OR(ROUND(N(C112)-N(F112),8)=0,1-N(Ввод!$E$17)/100&lt;=0),"",IF(N(C112)&gt;N(F112),(N(E112)-N(H112))/((N(C112)-N(F112))*(1-N(Ввод!$E$17)/100)),(N(H112)-N(E112))/((N(F112)-N(C112))*(1+N(Ввод!$E$17)/100))))</f>
        <v/>
      </c>
    </row>
    <row r="113" ht="22" customHeight="1">
      <c r="B113" s="315" t="n"/>
      <c r="C113" s="240">
        <f>IF(SUMIFS(Торговля!$F$5:$F$300,Торговля!$E$5:$E$300,$B113)+SUMIFS(Закрытые!$F$5:$F$300,Закрытые!$E$5:$E$300,$B113,Закрытые!$B$5:$B$300,"T-*")=0,"",SUMIFS(Торговля!$F$5:$F$300,Торговля!$E$5:$E$300,$B113)+SUMIFS(Закрытые!$F$5:$F$300,Закрытые!$E$5:$E$300,$B113,Закрытые!$B$5:$B$300,"T-*"))</f>
        <v/>
      </c>
      <c r="D113" s="177">
        <f>IF(C113="","",(SUMPRODUCT((Торговля!$E$5:$E$300=$B113)*Торговля!$F$5:$F$300*Торговля!$G$5:$G$300)+SUMPRODUCT((Закрытые!$E$5:$E$300=$B113)*(LEFT(Закрытые!$B$5:$B$300,2)="T-")*Закрытые!$F$5:$F$300*Закрытые!$G$5:$G$300))/C113)</f>
        <v/>
      </c>
      <c r="E113" s="241">
        <f>IF(C113="","",SUMIFS(Торговля!$H$5:$H$300,Торговля!$E$5:$E$300,$B113)+SUMIFS(Закрытые!$H$5:$H$300,Закрытые!$E$5:$E$300,$B113,Закрытые!$B$5:$B$300,"T-*"))</f>
        <v/>
      </c>
      <c r="F113" s="240">
        <f>IF(SUMIFS(Торговля!$I$5:$I$300,Торговля!$E$5:$E$300,$B113)+SUMIFS(Закрытые!$I$5:$I$300,Закрытые!$E$5:$E$300,$B113,Закрытые!$B$5:$B$300,"T-*")=0,"",SUMIFS(Торговля!$I$5:$I$300,Торговля!$E$5:$E$300,$B113)+SUMIFS(Закрытые!$I$5:$I$300,Закрытые!$E$5:$E$300,$B113,Закрытые!$B$5:$B$300,"T-*"))</f>
        <v/>
      </c>
      <c r="G113" s="177">
        <f>IF(F113="","",(SUMPRODUCT((Торговля!$E$5:$E$300=$B113)*Торговля!$I$5:$I$300*Торговля!$J$5:$J$300)+SUMPRODUCT((Закрытые!$E$5:$E$300=$B113)*(LEFT(Закрытые!$B$5:$B$300,2)="T-")*Закрытые!$I$5:$I$300*Закрытые!$J$5:$J$300))/F113)</f>
        <v/>
      </c>
      <c r="H113" s="241">
        <f>IF(F113="","",SUMIFS(Торговля!$K$5:$K$300,Торговля!$E$5:$E$300,$B113)+SUMIFS(Закрытые!$K$5:$K$300,Закрытые!$E$5:$E$300,$B113,Закрытые!$B$5:$B$300,"T-*"))</f>
        <v/>
      </c>
      <c r="I113" s="240">
        <f>IF($B113="","",IF(COUNTIFS(Торговля!$E$5:$E$300,$B113)+COUNTIFS(Закрытые!$E$5:$E$300,$B113,Закрытые!$B$5:$B$300,"T-*")=0,"",ROUND(SUMIFS(Торговля!$L$5:$L$300,Торговля!$E$5:$E$300,$B113)+SUMIFS(Закрытые!$L$5:$L$300,Закрытые!$E$5:$E$300,$B113,Закрытые!$B$5:$B$300,"T-*"),8)))</f>
        <v/>
      </c>
      <c r="J113" s="241">
        <f>IF($B113="","",IF(COUNTIFS(Торговля!$E$5:$E$300,$B113)+COUNTIFS(Закрытые!$E$5:$E$300,$B113,Закрытые!$B$5:$B$300,"T-*")=0,"",ROUND(SUMIFS(Торговля!$M$5:$M$300,Торговля!$E$5:$E$300,$B113)+SUMIFS(Закрытые!$M$5:$M$300,Закрытые!$E$5:$E$300,$B113,Закрытые!$B$5:$B$300,"T-*"),8)))</f>
        <v/>
      </c>
      <c r="K113" s="240">
        <f>IF($B113="","",ROUND(SUMIFS(Закрытые!$N$5:$N$300,Закрытые!$E$5:$E$300,$B113,Закрытые!$B$5:$B$300,"T-*"),8))</f>
        <v/>
      </c>
      <c r="L113" s="177">
        <f>IF(K113="","",IF(SUMPRODUCT((Закрытые!$E$5:$E$300=$B113)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113/SUMPRODUCT((Закрытые!$E$5:$E$300=$B113)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3" s="177">
        <f>IF(OR(ROUND(N(C113)-N(F113),8)=0,1-N(Ввод!$E$17)/100&lt;=0),"",IF(N(C113)&gt;N(F113),(N(E113)-N(H113))/((N(C113)-N(F113))*(1-N(Ввод!$E$17)/100)),(N(H113)-N(E113))/((N(F113)-N(C113))*(1+N(Ввод!$E$17)/100))))</f>
        <v/>
      </c>
    </row>
    <row r="114" ht="22" customHeight="1">
      <c r="B114" s="320" t="n"/>
      <c r="C114" s="246">
        <f>IF(SUMIFS(Торговля!$F$5:$F$300,Торговля!$E$5:$E$300,$B114)+SUMIFS(Закрытые!$F$5:$F$300,Закрытые!$E$5:$E$300,$B114,Закрытые!$B$5:$B$300,"T-*")=0,"",SUMIFS(Торговля!$F$5:$F$300,Торговля!$E$5:$E$300,$B114)+SUMIFS(Закрытые!$F$5:$F$300,Закрытые!$E$5:$E$300,$B114,Закрытые!$B$5:$B$300,"T-*"))</f>
        <v/>
      </c>
      <c r="D114" s="183">
        <f>IF(C114="","",(SUMPRODUCT((Торговля!$E$5:$E$300=$B114)*Торговля!$F$5:$F$300*Торговля!$G$5:$G$300)+SUMPRODUCT((Закрытые!$E$5:$E$300=$B114)*(LEFT(Закрытые!$B$5:$B$300,2)="T-")*Закрытые!$F$5:$F$300*Закрытые!$G$5:$G$300))/C114)</f>
        <v/>
      </c>
      <c r="E114" s="247">
        <f>IF(C114="","",SUMIFS(Торговля!$H$5:$H$300,Торговля!$E$5:$E$300,$B114)+SUMIFS(Закрытые!$H$5:$H$300,Закрытые!$E$5:$E$300,$B114,Закрытые!$B$5:$B$300,"T-*"))</f>
        <v/>
      </c>
      <c r="F114" s="246">
        <f>IF(SUMIFS(Торговля!$I$5:$I$300,Торговля!$E$5:$E$300,$B114)+SUMIFS(Закрытые!$I$5:$I$300,Закрытые!$E$5:$E$300,$B114,Закрытые!$B$5:$B$300,"T-*")=0,"",SUMIFS(Торговля!$I$5:$I$300,Торговля!$E$5:$E$300,$B114)+SUMIFS(Закрытые!$I$5:$I$300,Закрытые!$E$5:$E$300,$B114,Закрытые!$B$5:$B$300,"T-*"))</f>
        <v/>
      </c>
      <c r="G114" s="183">
        <f>IF(F114="","",(SUMPRODUCT((Торговля!$E$5:$E$300=$B114)*Торговля!$I$5:$I$300*Торговля!$J$5:$J$300)+SUMPRODUCT((Закрытые!$E$5:$E$300=$B114)*(LEFT(Закрытые!$B$5:$B$300,2)="T-")*Закрытые!$I$5:$I$300*Закрытые!$J$5:$J$300))/F114)</f>
        <v/>
      </c>
      <c r="H114" s="247">
        <f>IF(F114="","",SUMIFS(Торговля!$K$5:$K$300,Торговля!$E$5:$E$300,$B114)+SUMIFS(Закрытые!$K$5:$K$300,Закрытые!$E$5:$E$300,$B114,Закрытые!$B$5:$B$300,"T-*"))</f>
        <v/>
      </c>
      <c r="I114" s="246">
        <f>IF($B114="","",IF(COUNTIFS(Торговля!$E$5:$E$300,$B114)+COUNTIFS(Закрытые!$E$5:$E$300,$B114,Закрытые!$B$5:$B$300,"T-*")=0,"",ROUND(SUMIFS(Торговля!$L$5:$L$300,Торговля!$E$5:$E$300,$B114)+SUMIFS(Закрытые!$L$5:$L$300,Закрытые!$E$5:$E$300,$B114,Закрытые!$B$5:$B$300,"T-*"),8)))</f>
        <v/>
      </c>
      <c r="J114" s="247">
        <f>IF($B114="","",IF(COUNTIFS(Торговля!$E$5:$E$300,$B114)+COUNTIFS(Закрытые!$E$5:$E$300,$B114,Закрытые!$B$5:$B$300,"T-*")=0,"",ROUND(SUMIFS(Торговля!$M$5:$M$300,Торговля!$E$5:$E$300,$B114)+SUMIFS(Закрытые!$M$5:$M$300,Закрытые!$E$5:$E$300,$B114,Закрытые!$B$5:$B$300,"T-*"),8)))</f>
        <v/>
      </c>
      <c r="K114" s="246">
        <f>IF($B114="","",ROUND(SUMIFS(Закрытые!$N$5:$N$300,Закрытые!$E$5:$E$300,$B114,Закрытые!$B$5:$B$300,"T-*"),8))</f>
        <v/>
      </c>
      <c r="L114" s="183">
        <f>IF(K114="","",IF(SUMPRODUCT((Закрытые!$E$5:$E$300=$B114)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114/SUMPRODUCT((Закрытые!$E$5:$E$300=$B114)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4" s="183">
        <f>IF(OR(ROUND(N(C114)-N(F114),8)=0,1-N(Ввод!$E$17)/100&lt;=0),"",IF(N(C114)&gt;N(F114),(N(E114)-N(H114))/((N(C114)-N(F114))*(1-N(Ввод!$E$17)/100)),(N(H114)-N(E114))/((N(F114)-N(C114))*(1+N(Ввод!$E$17)/100))))</f>
        <v/>
      </c>
    </row>
    <row r="115" ht="22" customHeight="1">
      <c r="B115" s="315" t="n"/>
      <c r="C115" s="240">
        <f>IF(SUMIFS(Торговля!$F$5:$F$300,Торговля!$E$5:$E$300,$B115)+SUMIFS(Закрытые!$F$5:$F$300,Закрытые!$E$5:$E$300,$B115,Закрытые!$B$5:$B$300,"T-*")=0,"",SUMIFS(Торговля!$F$5:$F$300,Торговля!$E$5:$E$300,$B115)+SUMIFS(Закрытые!$F$5:$F$300,Закрытые!$E$5:$E$300,$B115,Закрытые!$B$5:$B$300,"T-*"))</f>
        <v/>
      </c>
      <c r="D115" s="177">
        <f>IF(C115="","",(SUMPRODUCT((Торговля!$E$5:$E$300=$B115)*Торговля!$F$5:$F$300*Торговля!$G$5:$G$300)+SUMPRODUCT((Закрытые!$E$5:$E$300=$B115)*(LEFT(Закрытые!$B$5:$B$300,2)="T-")*Закрытые!$F$5:$F$300*Закрытые!$G$5:$G$300))/C115)</f>
        <v/>
      </c>
      <c r="E115" s="241">
        <f>IF(C115="","",SUMIFS(Торговля!$H$5:$H$300,Торговля!$E$5:$E$300,$B115)+SUMIFS(Закрытые!$H$5:$H$300,Закрытые!$E$5:$E$300,$B115,Закрытые!$B$5:$B$300,"T-*"))</f>
        <v/>
      </c>
      <c r="F115" s="240">
        <f>IF(SUMIFS(Торговля!$I$5:$I$300,Торговля!$E$5:$E$300,$B115)+SUMIFS(Закрытые!$I$5:$I$300,Закрытые!$E$5:$E$300,$B115,Закрытые!$B$5:$B$300,"T-*")=0,"",SUMIFS(Торговля!$I$5:$I$300,Торговля!$E$5:$E$300,$B115)+SUMIFS(Закрытые!$I$5:$I$300,Закрытые!$E$5:$E$300,$B115,Закрытые!$B$5:$B$300,"T-*"))</f>
        <v/>
      </c>
      <c r="G115" s="177">
        <f>IF(F115="","",(SUMPRODUCT((Торговля!$E$5:$E$300=$B115)*Торговля!$I$5:$I$300*Торговля!$J$5:$J$300)+SUMPRODUCT((Закрытые!$E$5:$E$300=$B115)*(LEFT(Закрытые!$B$5:$B$300,2)="T-")*Закрытые!$I$5:$I$300*Закрытые!$J$5:$J$300))/F115)</f>
        <v/>
      </c>
      <c r="H115" s="241">
        <f>IF(F115="","",SUMIFS(Торговля!$K$5:$K$300,Торговля!$E$5:$E$300,$B115)+SUMIFS(Закрытые!$K$5:$K$300,Закрытые!$E$5:$E$300,$B115,Закрытые!$B$5:$B$300,"T-*"))</f>
        <v/>
      </c>
      <c r="I115" s="240">
        <f>IF($B115="","",IF(COUNTIFS(Торговля!$E$5:$E$300,$B115)+COUNTIFS(Закрытые!$E$5:$E$300,$B115,Закрытые!$B$5:$B$300,"T-*")=0,"",ROUND(SUMIFS(Торговля!$L$5:$L$300,Торговля!$E$5:$E$300,$B115)+SUMIFS(Закрытые!$L$5:$L$300,Закрытые!$E$5:$E$300,$B115,Закрытые!$B$5:$B$300,"T-*"),8)))</f>
        <v/>
      </c>
      <c r="J115" s="241">
        <f>IF($B115="","",IF(COUNTIFS(Торговля!$E$5:$E$300,$B115)+COUNTIFS(Закрытые!$E$5:$E$300,$B115,Закрытые!$B$5:$B$300,"T-*")=0,"",ROUND(SUMIFS(Торговля!$M$5:$M$300,Торговля!$E$5:$E$300,$B115)+SUMIFS(Закрытые!$M$5:$M$300,Закрытые!$E$5:$E$300,$B115,Закрытые!$B$5:$B$300,"T-*"),8)))</f>
        <v/>
      </c>
      <c r="K115" s="240">
        <f>IF($B115="","",ROUND(SUMIFS(Закрытые!$N$5:$N$300,Закрытые!$E$5:$E$300,$B115,Закрытые!$B$5:$B$300,"T-*"),8))</f>
        <v/>
      </c>
      <c r="L115" s="177">
        <f>IF(K115="","",IF(SUMPRODUCT((Закрытые!$E$5:$E$300=$B115)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115/SUMPRODUCT((Закрытые!$E$5:$E$300=$B115)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5" s="177">
        <f>IF(OR(ROUND(N(C115)-N(F115),8)=0,1-N(Ввод!$E$17)/100&lt;=0),"",IF(N(C115)&gt;N(F115),(N(E115)-N(H115))/((N(C115)-N(F115))*(1-N(Ввод!$E$17)/100)),(N(H115)-N(E115))/((N(F115)-N(C115))*(1+N(Ввод!$E$17)/100))))</f>
        <v/>
      </c>
    </row>
    <row r="116" ht="22" customHeight="1">
      <c r="B116" s="320" t="n"/>
      <c r="C116" s="246">
        <f>IF(SUMIFS(Торговля!$F$5:$F$300,Торговля!$E$5:$E$300,$B116)+SUMIFS(Закрытые!$F$5:$F$300,Закрытые!$E$5:$E$300,$B116,Закрытые!$B$5:$B$300,"T-*")=0,"",SUMIFS(Торговля!$F$5:$F$300,Торговля!$E$5:$E$300,$B116)+SUMIFS(Закрытые!$F$5:$F$300,Закрытые!$E$5:$E$300,$B116,Закрытые!$B$5:$B$300,"T-*"))</f>
        <v/>
      </c>
      <c r="D116" s="183">
        <f>IF(C116="","",(SUMPRODUCT((Торговля!$E$5:$E$300=$B116)*Торговля!$F$5:$F$300*Торговля!$G$5:$G$300)+SUMPRODUCT((Закрытые!$E$5:$E$300=$B116)*(LEFT(Закрытые!$B$5:$B$300,2)="T-")*Закрытые!$F$5:$F$300*Закрытые!$G$5:$G$300))/C116)</f>
        <v/>
      </c>
      <c r="E116" s="247">
        <f>IF(C116="","",SUMIFS(Торговля!$H$5:$H$300,Торговля!$E$5:$E$300,$B116)+SUMIFS(Закрытые!$H$5:$H$300,Закрытые!$E$5:$E$300,$B116,Закрытые!$B$5:$B$300,"T-*"))</f>
        <v/>
      </c>
      <c r="F116" s="246">
        <f>IF(SUMIFS(Торговля!$I$5:$I$300,Торговля!$E$5:$E$300,$B116)+SUMIFS(Закрытые!$I$5:$I$300,Закрытые!$E$5:$E$300,$B116,Закрытые!$B$5:$B$300,"T-*")=0,"",SUMIFS(Торговля!$I$5:$I$300,Торговля!$E$5:$E$300,$B116)+SUMIFS(Закрытые!$I$5:$I$300,Закрытые!$E$5:$E$300,$B116,Закрытые!$B$5:$B$300,"T-*"))</f>
        <v/>
      </c>
      <c r="G116" s="183">
        <f>IF(F116="","",(SUMPRODUCT((Торговля!$E$5:$E$300=$B116)*Торговля!$I$5:$I$300*Торговля!$J$5:$J$300)+SUMPRODUCT((Закрытые!$E$5:$E$300=$B116)*(LEFT(Закрытые!$B$5:$B$300,2)="T-")*Закрытые!$I$5:$I$300*Закрытые!$J$5:$J$300))/F116)</f>
        <v/>
      </c>
      <c r="H116" s="247">
        <f>IF(F116="","",SUMIFS(Торговля!$K$5:$K$300,Торговля!$E$5:$E$300,$B116)+SUMIFS(Закрытые!$K$5:$K$300,Закрытые!$E$5:$E$300,$B116,Закрытые!$B$5:$B$300,"T-*"))</f>
        <v/>
      </c>
      <c r="I116" s="246">
        <f>IF($B116="","",IF(COUNTIFS(Торговля!$E$5:$E$300,$B116)+COUNTIFS(Закрытые!$E$5:$E$300,$B116,Закрытые!$B$5:$B$300,"T-*")=0,"",ROUND(SUMIFS(Торговля!$L$5:$L$300,Торговля!$E$5:$E$300,$B116)+SUMIFS(Закрытые!$L$5:$L$300,Закрытые!$E$5:$E$300,$B116,Закрытые!$B$5:$B$300,"T-*"),8)))</f>
        <v/>
      </c>
      <c r="J116" s="247">
        <f>IF($B116="","",IF(COUNTIFS(Торговля!$E$5:$E$300,$B116)+COUNTIFS(Закрытые!$E$5:$E$300,$B116,Закрытые!$B$5:$B$300,"T-*")=0,"",ROUND(SUMIFS(Торговля!$M$5:$M$300,Торговля!$E$5:$E$300,$B116)+SUMIFS(Закрытые!$M$5:$M$300,Закрытые!$E$5:$E$300,$B116,Закрытые!$B$5:$B$300,"T-*"),8)))</f>
        <v/>
      </c>
      <c r="K116" s="246">
        <f>IF($B116="","",ROUND(SUMIFS(Закрытые!$N$5:$N$300,Закрытые!$E$5:$E$300,$B116,Закрытые!$B$5:$B$300,"T-*"),8))</f>
        <v/>
      </c>
      <c r="L116" s="183">
        <f>IF(K116="","",IF(SUMPRODUCT((Закрытые!$E$5:$E$300=$B116)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116/SUMPRODUCT((Закрытые!$E$5:$E$300=$B116)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6" s="183">
        <f>IF(OR(ROUND(N(C116)-N(F116),8)=0,1-N(Ввод!$E$17)/100&lt;=0),"",IF(N(C116)&gt;N(F116),(N(E116)-N(H116))/((N(C116)-N(F116))*(1-N(Ввод!$E$17)/100)),(N(H116)-N(E116))/((N(F116)-N(C116))*(1+N(Ввод!$E$17)/100))))</f>
        <v/>
      </c>
    </row>
    <row r="117" ht="22" customHeight="1">
      <c r="B117" s="315" t="n"/>
      <c r="C117" s="240">
        <f>IF(SUMIFS(Торговля!$F$5:$F$300,Торговля!$E$5:$E$300,$B117)+SUMIFS(Закрытые!$F$5:$F$300,Закрытые!$E$5:$E$300,$B117,Закрытые!$B$5:$B$300,"T-*")=0,"",SUMIFS(Торговля!$F$5:$F$300,Торговля!$E$5:$E$300,$B117)+SUMIFS(Закрытые!$F$5:$F$300,Закрытые!$E$5:$E$300,$B117,Закрытые!$B$5:$B$300,"T-*"))</f>
        <v/>
      </c>
      <c r="D117" s="177">
        <f>IF(C117="","",(SUMPRODUCT((Торговля!$E$5:$E$300=$B117)*Торговля!$F$5:$F$300*Торговля!$G$5:$G$300)+SUMPRODUCT((Закрытые!$E$5:$E$300=$B117)*(LEFT(Закрытые!$B$5:$B$300,2)="T-")*Закрытые!$F$5:$F$300*Закрытые!$G$5:$G$300))/C117)</f>
        <v/>
      </c>
      <c r="E117" s="241">
        <f>IF(C117="","",SUMIFS(Торговля!$H$5:$H$300,Торговля!$E$5:$E$300,$B117)+SUMIFS(Закрытые!$H$5:$H$300,Закрытые!$E$5:$E$300,$B117,Закрытые!$B$5:$B$300,"T-*"))</f>
        <v/>
      </c>
      <c r="F117" s="240">
        <f>IF(SUMIFS(Торговля!$I$5:$I$300,Торговля!$E$5:$E$300,$B117)+SUMIFS(Закрытые!$I$5:$I$300,Закрытые!$E$5:$E$300,$B117,Закрытые!$B$5:$B$300,"T-*")=0,"",SUMIFS(Торговля!$I$5:$I$300,Торговля!$E$5:$E$300,$B117)+SUMIFS(Закрытые!$I$5:$I$300,Закрытые!$E$5:$E$300,$B117,Закрытые!$B$5:$B$300,"T-*"))</f>
        <v/>
      </c>
      <c r="G117" s="177">
        <f>IF(F117="","",(SUMPRODUCT((Торговля!$E$5:$E$300=$B117)*Торговля!$I$5:$I$300*Торговля!$J$5:$J$300)+SUMPRODUCT((Закрытые!$E$5:$E$300=$B117)*(LEFT(Закрытые!$B$5:$B$300,2)="T-")*Закрытые!$I$5:$I$300*Закрытые!$J$5:$J$300))/F117)</f>
        <v/>
      </c>
      <c r="H117" s="241">
        <f>IF(F117="","",SUMIFS(Торговля!$K$5:$K$300,Торговля!$E$5:$E$300,$B117)+SUMIFS(Закрытые!$K$5:$K$300,Закрытые!$E$5:$E$300,$B117,Закрытые!$B$5:$B$300,"T-*"))</f>
        <v/>
      </c>
      <c r="I117" s="240">
        <f>IF($B117="","",IF(COUNTIFS(Торговля!$E$5:$E$300,$B117)+COUNTIFS(Закрытые!$E$5:$E$300,$B117,Закрытые!$B$5:$B$300,"T-*")=0,"",ROUND(SUMIFS(Торговля!$L$5:$L$300,Торговля!$E$5:$E$300,$B117)+SUMIFS(Закрытые!$L$5:$L$300,Закрытые!$E$5:$E$300,$B117,Закрытые!$B$5:$B$300,"T-*"),8)))</f>
        <v/>
      </c>
      <c r="J117" s="241">
        <f>IF($B117="","",IF(COUNTIFS(Торговля!$E$5:$E$300,$B117)+COUNTIFS(Закрытые!$E$5:$E$300,$B117,Закрытые!$B$5:$B$300,"T-*")=0,"",ROUND(SUMIFS(Торговля!$M$5:$M$300,Торговля!$E$5:$E$300,$B117)+SUMIFS(Закрытые!$M$5:$M$300,Закрытые!$E$5:$E$300,$B117,Закрытые!$B$5:$B$300,"T-*"),8)))</f>
        <v/>
      </c>
      <c r="K117" s="240">
        <f>IF($B117="","",ROUND(SUMIFS(Закрытые!$N$5:$N$300,Закрытые!$E$5:$E$300,$B117,Закрытые!$B$5:$B$300,"T-*"),8))</f>
        <v/>
      </c>
      <c r="L117" s="177">
        <f>IF(K117="","",IF(SUMPRODUCT((Закрытые!$E$5:$E$300=$B117)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117/SUMPRODUCT((Закрытые!$E$5:$E$300=$B117)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7" s="177">
        <f>IF(OR(ROUND(N(C117)-N(F117),8)=0,1-N(Ввод!$E$17)/100&lt;=0),"",IF(N(C117)&gt;N(F117),(N(E117)-N(H117))/((N(C117)-N(F117))*(1-N(Ввод!$E$17)/100)),(N(H117)-N(E117))/((N(F117)-N(C117))*(1+N(Ввод!$E$17)/100))))</f>
        <v/>
      </c>
    </row>
    <row r="118" ht="22" customHeight="1">
      <c r="B118" s="320" t="n"/>
      <c r="C118" s="246">
        <f>IF(SUMIFS(Торговля!$F$5:$F$300,Торговля!$E$5:$E$300,$B118)+SUMIFS(Закрытые!$F$5:$F$300,Закрытые!$E$5:$E$300,$B118,Закрытые!$B$5:$B$300,"T-*")=0,"",SUMIFS(Торговля!$F$5:$F$300,Торговля!$E$5:$E$300,$B118)+SUMIFS(Закрытые!$F$5:$F$300,Закрытые!$E$5:$E$300,$B118,Закрытые!$B$5:$B$300,"T-*"))</f>
        <v/>
      </c>
      <c r="D118" s="183">
        <f>IF(C118="","",(SUMPRODUCT((Торговля!$E$5:$E$300=$B118)*Торговля!$F$5:$F$300*Торговля!$G$5:$G$300)+SUMPRODUCT((Закрытые!$E$5:$E$300=$B118)*(LEFT(Закрытые!$B$5:$B$300,2)="T-")*Закрытые!$F$5:$F$300*Закрытые!$G$5:$G$300))/C118)</f>
        <v/>
      </c>
      <c r="E118" s="247">
        <f>IF(C118="","",SUMIFS(Торговля!$H$5:$H$300,Торговля!$E$5:$E$300,$B118)+SUMIFS(Закрытые!$H$5:$H$300,Закрытые!$E$5:$E$300,$B118,Закрытые!$B$5:$B$300,"T-*"))</f>
        <v/>
      </c>
      <c r="F118" s="246">
        <f>IF(SUMIFS(Торговля!$I$5:$I$300,Торговля!$E$5:$E$300,$B118)+SUMIFS(Закрытые!$I$5:$I$300,Закрытые!$E$5:$E$300,$B118,Закрытые!$B$5:$B$300,"T-*")=0,"",SUMIFS(Торговля!$I$5:$I$300,Торговля!$E$5:$E$300,$B118)+SUMIFS(Закрытые!$I$5:$I$300,Закрытые!$E$5:$E$300,$B118,Закрытые!$B$5:$B$300,"T-*"))</f>
        <v/>
      </c>
      <c r="G118" s="183">
        <f>IF(F118="","",(SUMPRODUCT((Торговля!$E$5:$E$300=$B118)*Торговля!$I$5:$I$300*Торговля!$J$5:$J$300)+SUMPRODUCT((Закрытые!$E$5:$E$300=$B118)*(LEFT(Закрытые!$B$5:$B$300,2)="T-")*Закрытые!$I$5:$I$300*Закрытые!$J$5:$J$300))/F118)</f>
        <v/>
      </c>
      <c r="H118" s="247">
        <f>IF(F118="","",SUMIFS(Торговля!$K$5:$K$300,Торговля!$E$5:$E$300,$B118)+SUMIFS(Закрытые!$K$5:$K$300,Закрытые!$E$5:$E$300,$B118,Закрытые!$B$5:$B$300,"T-*"))</f>
        <v/>
      </c>
      <c r="I118" s="246">
        <f>IF($B118="","",IF(COUNTIFS(Торговля!$E$5:$E$300,$B118)+COUNTIFS(Закрытые!$E$5:$E$300,$B118,Закрытые!$B$5:$B$300,"T-*")=0,"",ROUND(SUMIFS(Торговля!$L$5:$L$300,Торговля!$E$5:$E$300,$B118)+SUMIFS(Закрытые!$L$5:$L$300,Закрытые!$E$5:$E$300,$B118,Закрытые!$B$5:$B$300,"T-*"),8)))</f>
        <v/>
      </c>
      <c r="J118" s="247">
        <f>IF($B118="","",IF(COUNTIFS(Торговля!$E$5:$E$300,$B118)+COUNTIFS(Закрытые!$E$5:$E$300,$B118,Закрытые!$B$5:$B$300,"T-*")=0,"",ROUND(SUMIFS(Торговля!$M$5:$M$300,Торговля!$E$5:$E$300,$B118)+SUMIFS(Закрытые!$M$5:$M$300,Закрытые!$E$5:$E$300,$B118,Закрытые!$B$5:$B$300,"T-*"),8)))</f>
        <v/>
      </c>
      <c r="K118" s="246">
        <f>IF($B118="","",ROUND(SUMIFS(Закрытые!$N$5:$N$300,Закрытые!$E$5:$E$300,$B118,Закрытые!$B$5:$B$300,"T-*"),8))</f>
        <v/>
      </c>
      <c r="L118" s="183">
        <f>IF(K118="","",IF(SUMPRODUCT((Закрытые!$E$5:$E$300=$B118)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118/SUMPRODUCT((Закрытые!$E$5:$E$300=$B118)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8" s="183">
        <f>IF(OR(ROUND(N(C118)-N(F118),8)=0,1-N(Ввод!$E$17)/100&lt;=0),"",IF(N(C118)&gt;N(F118),(N(E118)-N(H118))/((N(C118)-N(F118))*(1-N(Ввод!$E$17)/100)),(N(H118)-N(E118))/((N(F118)-N(C118))*(1+N(Ввод!$E$17)/100))))</f>
        <v/>
      </c>
    </row>
    <row r="119" ht="22" customHeight="1">
      <c r="B119" s="315" t="n"/>
      <c r="C119" s="240">
        <f>IF(SUMIFS(Торговля!$F$5:$F$300,Торговля!$E$5:$E$300,$B119)+SUMIFS(Закрытые!$F$5:$F$300,Закрытые!$E$5:$E$300,$B119,Закрытые!$B$5:$B$300,"T-*")=0,"",SUMIFS(Торговля!$F$5:$F$300,Торговля!$E$5:$E$300,$B119)+SUMIFS(Закрытые!$F$5:$F$300,Закрытые!$E$5:$E$300,$B119,Закрытые!$B$5:$B$300,"T-*"))</f>
        <v/>
      </c>
      <c r="D119" s="177">
        <f>IF(C119="","",(SUMPRODUCT((Торговля!$E$5:$E$300=$B119)*Торговля!$F$5:$F$300*Торговля!$G$5:$G$300)+SUMPRODUCT((Закрытые!$E$5:$E$300=$B119)*(LEFT(Закрытые!$B$5:$B$300,2)="T-")*Закрытые!$F$5:$F$300*Закрытые!$G$5:$G$300))/C119)</f>
        <v/>
      </c>
      <c r="E119" s="241">
        <f>IF(C119="","",SUMIFS(Торговля!$H$5:$H$300,Торговля!$E$5:$E$300,$B119)+SUMIFS(Закрытые!$H$5:$H$300,Закрытые!$E$5:$E$300,$B119,Закрытые!$B$5:$B$300,"T-*"))</f>
        <v/>
      </c>
      <c r="F119" s="240">
        <f>IF(SUMIFS(Торговля!$I$5:$I$300,Торговля!$E$5:$E$300,$B119)+SUMIFS(Закрытые!$I$5:$I$300,Закрытые!$E$5:$E$300,$B119,Закрытые!$B$5:$B$300,"T-*")=0,"",SUMIFS(Торговля!$I$5:$I$300,Торговля!$E$5:$E$300,$B119)+SUMIFS(Закрытые!$I$5:$I$300,Закрытые!$E$5:$E$300,$B119,Закрытые!$B$5:$B$300,"T-*"))</f>
        <v/>
      </c>
      <c r="G119" s="177">
        <f>IF(F119="","",(SUMPRODUCT((Торговля!$E$5:$E$300=$B119)*Торговля!$I$5:$I$300*Торговля!$J$5:$J$300)+SUMPRODUCT((Закрытые!$E$5:$E$300=$B119)*(LEFT(Закрытые!$B$5:$B$300,2)="T-")*Закрытые!$I$5:$I$300*Закрытые!$J$5:$J$300))/F119)</f>
        <v/>
      </c>
      <c r="H119" s="241">
        <f>IF(F119="","",SUMIFS(Торговля!$K$5:$K$300,Торговля!$E$5:$E$300,$B119)+SUMIFS(Закрытые!$K$5:$K$300,Закрытые!$E$5:$E$300,$B119,Закрытые!$B$5:$B$300,"T-*"))</f>
        <v/>
      </c>
      <c r="I119" s="240">
        <f>IF($B119="","",IF(COUNTIFS(Торговля!$E$5:$E$300,$B119)+COUNTIFS(Закрытые!$E$5:$E$300,$B119,Закрытые!$B$5:$B$300,"T-*")=0,"",ROUND(SUMIFS(Торговля!$L$5:$L$300,Торговля!$E$5:$E$300,$B119)+SUMIFS(Закрытые!$L$5:$L$300,Закрытые!$E$5:$E$300,$B119,Закрытые!$B$5:$B$300,"T-*"),8)))</f>
        <v/>
      </c>
      <c r="J119" s="241">
        <f>IF($B119="","",IF(COUNTIFS(Торговля!$E$5:$E$300,$B119)+COUNTIFS(Закрытые!$E$5:$E$300,$B119,Закрытые!$B$5:$B$300,"T-*")=0,"",ROUND(SUMIFS(Торговля!$M$5:$M$300,Торговля!$E$5:$E$300,$B119)+SUMIFS(Закрытые!$M$5:$M$300,Закрытые!$E$5:$E$300,$B119,Закрытые!$B$5:$B$300,"T-*"),8)))</f>
        <v/>
      </c>
      <c r="K119" s="240">
        <f>IF($B119="","",ROUND(SUMIFS(Закрытые!$N$5:$N$300,Закрытые!$E$5:$E$300,$B119,Закрытые!$B$5:$B$300,"T-*"),8))</f>
        <v/>
      </c>
      <c r="L119" s="177">
        <f>IF(K119="","",IF(SUMPRODUCT((Закрытые!$E$5:$E$300=$B119)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119/SUMPRODUCT((Закрытые!$E$5:$E$300=$B119)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9" s="177">
        <f>IF(OR(ROUND(N(C119)-N(F119),8)=0,1-N(Ввод!$E$17)/100&lt;=0),"",IF(N(C119)&gt;N(F119),(N(E119)-N(H119))/((N(C119)-N(F119))*(1-N(Ввод!$E$17)/100)),(N(H119)-N(E119))/((N(F119)-N(C119))*(1+N(Ввод!$E$17)/100))))</f>
        <v/>
      </c>
    </row>
    <row r="120" ht="22" customHeight="1">
      <c r="B120" s="320" t="n"/>
      <c r="C120" s="246">
        <f>IF(SUMIFS(Торговля!$F$5:$F$300,Торговля!$E$5:$E$300,$B120)+SUMIFS(Закрытые!$F$5:$F$300,Закрытые!$E$5:$E$300,$B120,Закрытые!$B$5:$B$300,"T-*")=0,"",SUMIFS(Торговля!$F$5:$F$300,Торговля!$E$5:$E$300,$B120)+SUMIFS(Закрытые!$F$5:$F$300,Закрытые!$E$5:$E$300,$B120,Закрытые!$B$5:$B$300,"T-*"))</f>
        <v/>
      </c>
      <c r="D120" s="183">
        <f>IF(C120="","",(SUMPRODUCT((Торговля!$E$5:$E$300=$B120)*Торговля!$F$5:$F$300*Торговля!$G$5:$G$300)+SUMPRODUCT((Закрытые!$E$5:$E$300=$B120)*(LEFT(Закрытые!$B$5:$B$300,2)="T-")*Закрытые!$F$5:$F$300*Закрытые!$G$5:$G$300))/C120)</f>
        <v/>
      </c>
      <c r="E120" s="247">
        <f>IF(C120="","",SUMIFS(Торговля!$H$5:$H$300,Торговля!$E$5:$E$300,$B120)+SUMIFS(Закрытые!$H$5:$H$300,Закрытые!$E$5:$E$300,$B120,Закрытые!$B$5:$B$300,"T-*"))</f>
        <v/>
      </c>
      <c r="F120" s="246">
        <f>IF(SUMIFS(Торговля!$I$5:$I$300,Торговля!$E$5:$E$300,$B120)+SUMIFS(Закрытые!$I$5:$I$300,Закрытые!$E$5:$E$300,$B120,Закрытые!$B$5:$B$300,"T-*")=0,"",SUMIFS(Торговля!$I$5:$I$300,Торговля!$E$5:$E$300,$B120)+SUMIFS(Закрытые!$I$5:$I$300,Закрытые!$E$5:$E$300,$B120,Закрытые!$B$5:$B$300,"T-*"))</f>
        <v/>
      </c>
      <c r="G120" s="183">
        <f>IF(F120="","",(SUMPRODUCT((Торговля!$E$5:$E$300=$B120)*Торговля!$I$5:$I$300*Торговля!$J$5:$J$300)+SUMPRODUCT((Закрытые!$E$5:$E$300=$B120)*(LEFT(Закрытые!$B$5:$B$300,2)="T-")*Закрытые!$I$5:$I$300*Закрытые!$J$5:$J$300))/F120)</f>
        <v/>
      </c>
      <c r="H120" s="247">
        <f>IF(F120="","",SUMIFS(Торговля!$K$5:$K$300,Торговля!$E$5:$E$300,$B120)+SUMIFS(Закрытые!$K$5:$K$300,Закрытые!$E$5:$E$300,$B120,Закрытые!$B$5:$B$300,"T-*"))</f>
        <v/>
      </c>
      <c r="I120" s="246">
        <f>IF($B120="","",IF(COUNTIFS(Торговля!$E$5:$E$300,$B120)+COUNTIFS(Закрытые!$E$5:$E$300,$B120,Закрытые!$B$5:$B$300,"T-*")=0,"",ROUND(SUMIFS(Торговля!$L$5:$L$300,Торговля!$E$5:$E$300,$B120)+SUMIFS(Закрытые!$L$5:$L$300,Закрытые!$E$5:$E$300,$B120,Закрытые!$B$5:$B$300,"T-*"),8)))</f>
        <v/>
      </c>
      <c r="J120" s="247">
        <f>IF($B120="","",IF(COUNTIFS(Торговля!$E$5:$E$300,$B120)+COUNTIFS(Закрытые!$E$5:$E$300,$B120,Закрытые!$B$5:$B$300,"T-*")=0,"",ROUND(SUMIFS(Торговля!$M$5:$M$300,Торговля!$E$5:$E$300,$B120)+SUMIFS(Закрытые!$M$5:$M$300,Закрытые!$E$5:$E$300,$B120,Закрытые!$B$5:$B$300,"T-*"),8)))</f>
        <v/>
      </c>
      <c r="K120" s="246">
        <f>IF($B120="","",ROUND(SUMIFS(Закрытые!$N$5:$N$300,Закрытые!$E$5:$E$300,$B120,Закрытые!$B$5:$B$300,"T-*"),8))</f>
        <v/>
      </c>
      <c r="L120" s="183">
        <f>IF(K120="","",IF(SUMPRODUCT((Закрытые!$E$5:$E$300=$B120)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120/SUMPRODUCT((Закрытые!$E$5:$E$300=$B120)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0" s="183">
        <f>IF(OR(ROUND(N(C120)-N(F120),8)=0,1-N(Ввод!$E$17)/100&lt;=0),"",IF(N(C120)&gt;N(F120),(N(E120)-N(H120))/((N(C120)-N(F120))*(1-N(Ввод!$E$17)/100)),(N(H120)-N(E120))/((N(F120)-N(C120))*(1+N(Ввод!$E$17)/100))))</f>
        <v/>
      </c>
    </row>
    <row r="121" ht="22" customHeight="1">
      <c r="B121" s="315" t="n"/>
      <c r="C121" s="240">
        <f>IF(SUMIFS(Торговля!$F$5:$F$300,Торговля!$E$5:$E$300,$B121)+SUMIFS(Закрытые!$F$5:$F$300,Закрытые!$E$5:$E$300,$B121,Закрытые!$B$5:$B$300,"T-*")=0,"",SUMIFS(Торговля!$F$5:$F$300,Торговля!$E$5:$E$300,$B121)+SUMIFS(Закрытые!$F$5:$F$300,Закрытые!$E$5:$E$300,$B121,Закрытые!$B$5:$B$300,"T-*"))</f>
        <v/>
      </c>
      <c r="D121" s="177">
        <f>IF(C121="","",(SUMPRODUCT((Торговля!$E$5:$E$300=$B121)*Торговля!$F$5:$F$300*Торговля!$G$5:$G$300)+SUMPRODUCT((Закрытые!$E$5:$E$300=$B121)*(LEFT(Закрытые!$B$5:$B$300,2)="T-")*Закрытые!$F$5:$F$300*Закрытые!$G$5:$G$300))/C121)</f>
        <v/>
      </c>
      <c r="E121" s="241">
        <f>IF(C121="","",SUMIFS(Торговля!$H$5:$H$300,Торговля!$E$5:$E$300,$B121)+SUMIFS(Закрытые!$H$5:$H$300,Закрытые!$E$5:$E$300,$B121,Закрытые!$B$5:$B$300,"T-*"))</f>
        <v/>
      </c>
      <c r="F121" s="240">
        <f>IF(SUMIFS(Торговля!$I$5:$I$300,Торговля!$E$5:$E$300,$B121)+SUMIFS(Закрытые!$I$5:$I$300,Закрытые!$E$5:$E$300,$B121,Закрытые!$B$5:$B$300,"T-*")=0,"",SUMIFS(Торговля!$I$5:$I$300,Торговля!$E$5:$E$300,$B121)+SUMIFS(Закрытые!$I$5:$I$300,Закрытые!$E$5:$E$300,$B121,Закрытые!$B$5:$B$300,"T-*"))</f>
        <v/>
      </c>
      <c r="G121" s="177">
        <f>IF(F121="","",(SUMPRODUCT((Торговля!$E$5:$E$300=$B121)*Торговля!$I$5:$I$300*Торговля!$J$5:$J$300)+SUMPRODUCT((Закрытые!$E$5:$E$300=$B121)*(LEFT(Закрытые!$B$5:$B$300,2)="T-")*Закрытые!$I$5:$I$300*Закрытые!$J$5:$J$300))/F121)</f>
        <v/>
      </c>
      <c r="H121" s="241">
        <f>IF(F121="","",SUMIFS(Торговля!$K$5:$K$300,Торговля!$E$5:$E$300,$B121)+SUMIFS(Закрытые!$K$5:$K$300,Закрытые!$E$5:$E$300,$B121,Закрытые!$B$5:$B$300,"T-*"))</f>
        <v/>
      </c>
      <c r="I121" s="240">
        <f>IF($B121="","",IF(COUNTIFS(Торговля!$E$5:$E$300,$B121)+COUNTIFS(Закрытые!$E$5:$E$300,$B121,Закрытые!$B$5:$B$300,"T-*")=0,"",ROUND(SUMIFS(Торговля!$L$5:$L$300,Торговля!$E$5:$E$300,$B121)+SUMIFS(Закрытые!$L$5:$L$300,Закрытые!$E$5:$E$300,$B121,Закрытые!$B$5:$B$300,"T-*"),8)))</f>
        <v/>
      </c>
      <c r="J121" s="241">
        <f>IF($B121="","",IF(COUNTIFS(Торговля!$E$5:$E$300,$B121)+COUNTIFS(Закрытые!$E$5:$E$300,$B121,Закрытые!$B$5:$B$300,"T-*")=0,"",ROUND(SUMIFS(Торговля!$M$5:$M$300,Торговля!$E$5:$E$300,$B121)+SUMIFS(Закрытые!$M$5:$M$300,Закрытые!$E$5:$E$300,$B121,Закрытые!$B$5:$B$300,"T-*"),8)))</f>
        <v/>
      </c>
      <c r="K121" s="240">
        <f>IF($B121="","",ROUND(SUMIFS(Закрытые!$N$5:$N$300,Закрытые!$E$5:$E$300,$B121,Закрытые!$B$5:$B$300,"T-*"),8))</f>
        <v/>
      </c>
      <c r="L121" s="177">
        <f>IF(K121="","",IF(SUMPRODUCT((Закрытые!$E$5:$E$300=$B121)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121/SUMPRODUCT((Закрытые!$E$5:$E$300=$B121)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1" s="177">
        <f>IF(OR(ROUND(N(C121)-N(F121),8)=0,1-N(Ввод!$E$17)/100&lt;=0),"",IF(N(C121)&gt;N(F121),(N(E121)-N(H121))/((N(C121)-N(F121))*(1-N(Ввод!$E$17)/100)),(N(H121)-N(E121))/((N(F121)-N(C121))*(1+N(Ввод!$E$17)/100))))</f>
        <v/>
      </c>
    </row>
    <row r="122" ht="22" customHeight="1">
      <c r="B122" s="320" t="n"/>
      <c r="C122" s="246">
        <f>IF(SUMIFS(Торговля!$F$5:$F$300,Торговля!$E$5:$E$300,$B122)+SUMIFS(Закрытые!$F$5:$F$300,Закрытые!$E$5:$E$300,$B122,Закрытые!$B$5:$B$300,"T-*")=0,"",SUMIFS(Торговля!$F$5:$F$300,Торговля!$E$5:$E$300,$B122)+SUMIFS(Закрытые!$F$5:$F$300,Закрытые!$E$5:$E$300,$B122,Закрытые!$B$5:$B$300,"T-*"))</f>
        <v/>
      </c>
      <c r="D122" s="183">
        <f>IF(C122="","",(SUMPRODUCT((Торговля!$E$5:$E$300=$B122)*Торговля!$F$5:$F$300*Торговля!$G$5:$G$300)+SUMPRODUCT((Закрытые!$E$5:$E$300=$B122)*(LEFT(Закрытые!$B$5:$B$300,2)="T-")*Закрытые!$F$5:$F$300*Закрытые!$G$5:$G$300))/C122)</f>
        <v/>
      </c>
      <c r="E122" s="247">
        <f>IF(C122="","",SUMIFS(Торговля!$H$5:$H$300,Торговля!$E$5:$E$300,$B122)+SUMIFS(Закрытые!$H$5:$H$300,Закрытые!$E$5:$E$300,$B122,Закрытые!$B$5:$B$300,"T-*"))</f>
        <v/>
      </c>
      <c r="F122" s="246">
        <f>IF(SUMIFS(Торговля!$I$5:$I$300,Торговля!$E$5:$E$300,$B122)+SUMIFS(Закрытые!$I$5:$I$300,Закрытые!$E$5:$E$300,$B122,Закрытые!$B$5:$B$300,"T-*")=0,"",SUMIFS(Торговля!$I$5:$I$300,Торговля!$E$5:$E$300,$B122)+SUMIFS(Закрытые!$I$5:$I$300,Закрытые!$E$5:$E$300,$B122,Закрытые!$B$5:$B$300,"T-*"))</f>
        <v/>
      </c>
      <c r="G122" s="183">
        <f>IF(F122="","",(SUMPRODUCT((Торговля!$E$5:$E$300=$B122)*Торговля!$I$5:$I$300*Торговля!$J$5:$J$300)+SUMPRODUCT((Закрытые!$E$5:$E$300=$B122)*(LEFT(Закрытые!$B$5:$B$300,2)="T-")*Закрытые!$I$5:$I$300*Закрытые!$J$5:$J$300))/F122)</f>
        <v/>
      </c>
      <c r="H122" s="247">
        <f>IF(F122="","",SUMIFS(Торговля!$K$5:$K$300,Торговля!$E$5:$E$300,$B122)+SUMIFS(Закрытые!$K$5:$K$300,Закрытые!$E$5:$E$300,$B122,Закрытые!$B$5:$B$300,"T-*"))</f>
        <v/>
      </c>
      <c r="I122" s="246">
        <f>IF($B122="","",IF(COUNTIFS(Торговля!$E$5:$E$300,$B122)+COUNTIFS(Закрытые!$E$5:$E$300,$B122,Закрытые!$B$5:$B$300,"T-*")=0,"",ROUND(SUMIFS(Торговля!$L$5:$L$300,Торговля!$E$5:$E$300,$B122)+SUMIFS(Закрытые!$L$5:$L$300,Закрытые!$E$5:$E$300,$B122,Закрытые!$B$5:$B$300,"T-*"),8)))</f>
        <v/>
      </c>
      <c r="J122" s="247">
        <f>IF($B122="","",IF(COUNTIFS(Торговля!$E$5:$E$300,$B122)+COUNTIFS(Закрытые!$E$5:$E$300,$B122,Закрытые!$B$5:$B$300,"T-*")=0,"",ROUND(SUMIFS(Торговля!$M$5:$M$300,Торговля!$E$5:$E$300,$B122)+SUMIFS(Закрытые!$M$5:$M$300,Закрытые!$E$5:$E$300,$B122,Закрытые!$B$5:$B$300,"T-*"),8)))</f>
        <v/>
      </c>
      <c r="K122" s="246">
        <f>IF($B122="","",ROUND(SUMIFS(Закрытые!$N$5:$N$300,Закрытые!$E$5:$E$300,$B122,Закрытые!$B$5:$B$300,"T-*"),8))</f>
        <v/>
      </c>
      <c r="L122" s="183">
        <f>IF(K122="","",IF(SUMPRODUCT((Закрытые!$E$5:$E$300=$B122)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122/SUMPRODUCT((Закрытые!$E$5:$E$300=$B122)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2" s="183">
        <f>IF(OR(ROUND(N(C122)-N(F122),8)=0,1-N(Ввод!$E$17)/100&lt;=0),"",IF(N(C122)&gt;N(F122),(N(E122)-N(H122))/((N(C122)-N(F122))*(1-N(Ввод!$E$17)/100)),(N(H122)-N(E122))/((N(F122)-N(C122))*(1+N(Ввод!$E$17)/100))))</f>
        <v/>
      </c>
    </row>
    <row r="123" ht="22" customHeight="1">
      <c r="B123" s="315" t="n"/>
      <c r="C123" s="240">
        <f>IF(SUMIFS(Торговля!$F$5:$F$300,Торговля!$E$5:$E$300,$B123)+SUMIFS(Закрытые!$F$5:$F$300,Закрытые!$E$5:$E$300,$B123,Закрытые!$B$5:$B$300,"T-*")=0,"",SUMIFS(Торговля!$F$5:$F$300,Торговля!$E$5:$E$300,$B123)+SUMIFS(Закрытые!$F$5:$F$300,Закрытые!$E$5:$E$300,$B123,Закрытые!$B$5:$B$300,"T-*"))</f>
        <v/>
      </c>
      <c r="D123" s="177">
        <f>IF(C123="","",(SUMPRODUCT((Торговля!$E$5:$E$300=$B123)*Торговля!$F$5:$F$300*Торговля!$G$5:$G$300)+SUMPRODUCT((Закрытые!$E$5:$E$300=$B123)*(LEFT(Закрытые!$B$5:$B$300,2)="T-")*Закрытые!$F$5:$F$300*Закрытые!$G$5:$G$300))/C123)</f>
        <v/>
      </c>
      <c r="E123" s="241">
        <f>IF(C123="","",SUMIFS(Торговля!$H$5:$H$300,Торговля!$E$5:$E$300,$B123)+SUMIFS(Закрытые!$H$5:$H$300,Закрытые!$E$5:$E$300,$B123,Закрытые!$B$5:$B$300,"T-*"))</f>
        <v/>
      </c>
      <c r="F123" s="240">
        <f>IF(SUMIFS(Торговля!$I$5:$I$300,Торговля!$E$5:$E$300,$B123)+SUMIFS(Закрытые!$I$5:$I$300,Закрытые!$E$5:$E$300,$B123,Закрытые!$B$5:$B$300,"T-*")=0,"",SUMIFS(Торговля!$I$5:$I$300,Торговля!$E$5:$E$300,$B123)+SUMIFS(Закрытые!$I$5:$I$300,Закрытые!$E$5:$E$300,$B123,Закрытые!$B$5:$B$300,"T-*"))</f>
        <v/>
      </c>
      <c r="G123" s="177">
        <f>IF(F123="","",(SUMPRODUCT((Торговля!$E$5:$E$300=$B123)*Торговля!$I$5:$I$300*Торговля!$J$5:$J$300)+SUMPRODUCT((Закрытые!$E$5:$E$300=$B123)*(LEFT(Закрытые!$B$5:$B$300,2)="T-")*Закрытые!$I$5:$I$300*Закрытые!$J$5:$J$300))/F123)</f>
        <v/>
      </c>
      <c r="H123" s="241">
        <f>IF(F123="","",SUMIFS(Торговля!$K$5:$K$300,Торговля!$E$5:$E$300,$B123)+SUMIFS(Закрытые!$K$5:$K$300,Закрытые!$E$5:$E$300,$B123,Закрытые!$B$5:$B$300,"T-*"))</f>
        <v/>
      </c>
      <c r="I123" s="240">
        <f>IF($B123="","",IF(COUNTIFS(Торговля!$E$5:$E$300,$B123)+COUNTIFS(Закрытые!$E$5:$E$300,$B123,Закрытые!$B$5:$B$300,"T-*")=0,"",ROUND(SUMIFS(Торговля!$L$5:$L$300,Торговля!$E$5:$E$300,$B123)+SUMIFS(Закрытые!$L$5:$L$300,Закрытые!$E$5:$E$300,$B123,Закрытые!$B$5:$B$300,"T-*"),8)))</f>
        <v/>
      </c>
      <c r="J123" s="241">
        <f>IF($B123="","",IF(COUNTIFS(Торговля!$E$5:$E$300,$B123)+COUNTIFS(Закрытые!$E$5:$E$300,$B123,Закрытые!$B$5:$B$300,"T-*")=0,"",ROUND(SUMIFS(Торговля!$M$5:$M$300,Торговля!$E$5:$E$300,$B123)+SUMIFS(Закрытые!$M$5:$M$300,Закрытые!$E$5:$E$300,$B123,Закрытые!$B$5:$B$300,"T-*"),8)))</f>
        <v/>
      </c>
      <c r="K123" s="240">
        <f>IF($B123="","",ROUND(SUMIFS(Закрытые!$N$5:$N$300,Закрытые!$E$5:$E$300,$B123,Закрытые!$B$5:$B$300,"T-*"),8))</f>
        <v/>
      </c>
      <c r="L123" s="177">
        <f>IF(K123="","",IF(SUMPRODUCT((Закрытые!$E$5:$E$300=$B123)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123/SUMPRODUCT((Закрытые!$E$5:$E$300=$B123)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3" s="177">
        <f>IF(OR(ROUND(N(C123)-N(F123),8)=0,1-N(Ввод!$E$17)/100&lt;=0),"",IF(N(C123)&gt;N(F123),(N(E123)-N(H123))/((N(C123)-N(F123))*(1-N(Ввод!$E$17)/100)),(N(H123)-N(E123))/((N(F123)-N(C123))*(1+N(Ввод!$E$17)/100))))</f>
        <v/>
      </c>
    </row>
    <row r="124" ht="22" customHeight="1">
      <c r="B124" s="320" t="n"/>
      <c r="C124" s="246">
        <f>IF(SUMIFS(Торговля!$F$5:$F$300,Торговля!$E$5:$E$300,$B124)+SUMIFS(Закрытые!$F$5:$F$300,Закрытые!$E$5:$E$300,$B124,Закрытые!$B$5:$B$300,"T-*")=0,"",SUMIFS(Торговля!$F$5:$F$300,Торговля!$E$5:$E$300,$B124)+SUMIFS(Закрытые!$F$5:$F$300,Закрытые!$E$5:$E$300,$B124,Закрытые!$B$5:$B$300,"T-*"))</f>
        <v/>
      </c>
      <c r="D124" s="183">
        <f>IF(C124="","",(SUMPRODUCT((Торговля!$E$5:$E$300=$B124)*Торговля!$F$5:$F$300*Торговля!$G$5:$G$300)+SUMPRODUCT((Закрытые!$E$5:$E$300=$B124)*(LEFT(Закрытые!$B$5:$B$300,2)="T-")*Закрытые!$F$5:$F$300*Закрытые!$G$5:$G$300))/C124)</f>
        <v/>
      </c>
      <c r="E124" s="247">
        <f>IF(C124="","",SUMIFS(Торговля!$H$5:$H$300,Торговля!$E$5:$E$300,$B124)+SUMIFS(Закрытые!$H$5:$H$300,Закрытые!$E$5:$E$300,$B124,Закрытые!$B$5:$B$300,"T-*"))</f>
        <v/>
      </c>
      <c r="F124" s="246">
        <f>IF(SUMIFS(Торговля!$I$5:$I$300,Торговля!$E$5:$E$300,$B124)+SUMIFS(Закрытые!$I$5:$I$300,Закрытые!$E$5:$E$300,$B124,Закрытые!$B$5:$B$300,"T-*")=0,"",SUMIFS(Торговля!$I$5:$I$300,Торговля!$E$5:$E$300,$B124)+SUMIFS(Закрытые!$I$5:$I$300,Закрытые!$E$5:$E$300,$B124,Закрытые!$B$5:$B$300,"T-*"))</f>
        <v/>
      </c>
      <c r="G124" s="183">
        <f>IF(F124="","",(SUMPRODUCT((Торговля!$E$5:$E$300=$B124)*Торговля!$I$5:$I$300*Торговля!$J$5:$J$300)+SUMPRODUCT((Закрытые!$E$5:$E$300=$B124)*(LEFT(Закрытые!$B$5:$B$300,2)="T-")*Закрытые!$I$5:$I$300*Закрытые!$J$5:$J$300))/F124)</f>
        <v/>
      </c>
      <c r="H124" s="247">
        <f>IF(F124="","",SUMIFS(Торговля!$K$5:$K$300,Торговля!$E$5:$E$300,$B124)+SUMIFS(Закрытые!$K$5:$K$300,Закрытые!$E$5:$E$300,$B124,Закрытые!$B$5:$B$300,"T-*"))</f>
        <v/>
      </c>
      <c r="I124" s="246">
        <f>IF($B124="","",IF(COUNTIFS(Торговля!$E$5:$E$300,$B124)+COUNTIFS(Закрытые!$E$5:$E$300,$B124,Закрытые!$B$5:$B$300,"T-*")=0,"",ROUND(SUMIFS(Торговля!$L$5:$L$300,Торговля!$E$5:$E$300,$B124)+SUMIFS(Закрытые!$L$5:$L$300,Закрытые!$E$5:$E$300,$B124,Закрытые!$B$5:$B$300,"T-*"),8)))</f>
        <v/>
      </c>
      <c r="J124" s="247">
        <f>IF($B124="","",IF(COUNTIFS(Торговля!$E$5:$E$300,$B124)+COUNTIFS(Закрытые!$E$5:$E$300,$B124,Закрытые!$B$5:$B$300,"T-*")=0,"",ROUND(SUMIFS(Торговля!$M$5:$M$300,Торговля!$E$5:$E$300,$B124)+SUMIFS(Закрытые!$M$5:$M$300,Закрытые!$E$5:$E$300,$B124,Закрытые!$B$5:$B$300,"T-*"),8)))</f>
        <v/>
      </c>
      <c r="K124" s="246">
        <f>IF($B124="","",ROUND(SUMIFS(Закрытые!$N$5:$N$300,Закрытые!$E$5:$E$300,$B124,Закрытые!$B$5:$B$300,"T-*"),8))</f>
        <v/>
      </c>
      <c r="L124" s="183">
        <f>IF(K124="","",IF(SUMPRODUCT((Закрытые!$E$5:$E$300=$B124)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124/SUMPRODUCT((Закрытые!$E$5:$E$300=$B124)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4" s="183">
        <f>IF(OR(ROUND(N(C124)-N(F124),8)=0,1-N(Ввод!$E$17)/100&lt;=0),"",IF(N(C124)&gt;N(F124),(N(E124)-N(H124))/((N(C124)-N(F124))*(1-N(Ввод!$E$17)/100)),(N(H124)-N(E124))/((N(F124)-N(C124))*(1+N(Ввод!$E$17)/100))))</f>
        <v/>
      </c>
    </row>
    <row r="125" ht="22" customHeight="1">
      <c r="B125" s="315" t="n"/>
      <c r="C125" s="240">
        <f>IF(SUMIFS(Торговля!$F$5:$F$300,Торговля!$E$5:$E$300,$B125)+SUMIFS(Закрытые!$F$5:$F$300,Закрытые!$E$5:$E$300,$B125,Закрытые!$B$5:$B$300,"T-*")=0,"",SUMIFS(Торговля!$F$5:$F$300,Торговля!$E$5:$E$300,$B125)+SUMIFS(Закрытые!$F$5:$F$300,Закрытые!$E$5:$E$300,$B125,Закрытые!$B$5:$B$300,"T-*"))</f>
        <v/>
      </c>
      <c r="D125" s="177">
        <f>IF(C125="","",(SUMPRODUCT((Торговля!$E$5:$E$300=$B125)*Торговля!$F$5:$F$300*Торговля!$G$5:$G$300)+SUMPRODUCT((Закрытые!$E$5:$E$300=$B125)*(LEFT(Закрытые!$B$5:$B$300,2)="T-")*Закрытые!$F$5:$F$300*Закрытые!$G$5:$G$300))/C125)</f>
        <v/>
      </c>
      <c r="E125" s="241">
        <f>IF(C125="","",SUMIFS(Торговля!$H$5:$H$300,Торговля!$E$5:$E$300,$B125)+SUMIFS(Закрытые!$H$5:$H$300,Закрытые!$E$5:$E$300,$B125,Закрытые!$B$5:$B$300,"T-*"))</f>
        <v/>
      </c>
      <c r="F125" s="240">
        <f>IF(SUMIFS(Торговля!$I$5:$I$300,Торговля!$E$5:$E$300,$B125)+SUMIFS(Закрытые!$I$5:$I$300,Закрытые!$E$5:$E$300,$B125,Закрытые!$B$5:$B$300,"T-*")=0,"",SUMIFS(Торговля!$I$5:$I$300,Торговля!$E$5:$E$300,$B125)+SUMIFS(Закрытые!$I$5:$I$300,Закрытые!$E$5:$E$300,$B125,Закрытые!$B$5:$B$300,"T-*"))</f>
        <v/>
      </c>
      <c r="G125" s="177">
        <f>IF(F125="","",(SUMPRODUCT((Торговля!$E$5:$E$300=$B125)*Торговля!$I$5:$I$300*Торговля!$J$5:$J$300)+SUMPRODUCT((Закрытые!$E$5:$E$300=$B125)*(LEFT(Закрытые!$B$5:$B$300,2)="T-")*Закрытые!$I$5:$I$300*Закрытые!$J$5:$J$300))/F125)</f>
        <v/>
      </c>
      <c r="H125" s="241">
        <f>IF(F125="","",SUMIFS(Торговля!$K$5:$K$300,Торговля!$E$5:$E$300,$B125)+SUMIFS(Закрытые!$K$5:$K$300,Закрытые!$E$5:$E$300,$B125,Закрытые!$B$5:$B$300,"T-*"))</f>
        <v/>
      </c>
      <c r="I125" s="240">
        <f>IF($B125="","",IF(COUNTIFS(Торговля!$E$5:$E$300,$B125)+COUNTIFS(Закрытые!$E$5:$E$300,$B125,Закрытые!$B$5:$B$300,"T-*")=0,"",ROUND(SUMIFS(Торговля!$L$5:$L$300,Торговля!$E$5:$E$300,$B125)+SUMIFS(Закрытые!$L$5:$L$300,Закрытые!$E$5:$E$300,$B125,Закрытые!$B$5:$B$300,"T-*"),8)))</f>
        <v/>
      </c>
      <c r="J125" s="241">
        <f>IF($B125="","",IF(COUNTIFS(Торговля!$E$5:$E$300,$B125)+COUNTIFS(Закрытые!$E$5:$E$300,$B125,Закрытые!$B$5:$B$300,"T-*")=0,"",ROUND(SUMIFS(Торговля!$M$5:$M$300,Торговля!$E$5:$E$300,$B125)+SUMIFS(Закрытые!$M$5:$M$300,Закрытые!$E$5:$E$300,$B125,Закрытые!$B$5:$B$300,"T-*"),8)))</f>
        <v/>
      </c>
      <c r="K125" s="240">
        <f>IF($B125="","",ROUND(SUMIFS(Закрытые!$N$5:$N$300,Закрытые!$E$5:$E$300,$B125,Закрытые!$B$5:$B$300,"T-*"),8))</f>
        <v/>
      </c>
      <c r="L125" s="177">
        <f>IF(K125="","",IF(SUMPRODUCT((Закрытые!$E$5:$E$300=$B125)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125/SUMPRODUCT((Закрытые!$E$5:$E$300=$B125)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5" s="177">
        <f>IF(OR(ROUND(N(C125)-N(F125),8)=0,1-N(Ввод!$E$17)/100&lt;=0),"",IF(N(C125)&gt;N(F125),(N(E125)-N(H125))/((N(C125)-N(F125))*(1-N(Ввод!$E$17)/100)),(N(H125)-N(E125))/((N(F125)-N(C125))*(1+N(Ввод!$E$17)/100))))</f>
        <v/>
      </c>
    </row>
    <row r="126" ht="22" customHeight="1">
      <c r="B126" s="320" t="n"/>
      <c r="C126" s="246">
        <f>IF(SUMIFS(Торговля!$F$5:$F$300,Торговля!$E$5:$E$300,$B126)+SUMIFS(Закрытые!$F$5:$F$300,Закрытые!$E$5:$E$300,$B126,Закрытые!$B$5:$B$300,"T-*")=0,"",SUMIFS(Торговля!$F$5:$F$300,Торговля!$E$5:$E$300,$B126)+SUMIFS(Закрытые!$F$5:$F$300,Закрытые!$E$5:$E$300,$B126,Закрытые!$B$5:$B$300,"T-*"))</f>
        <v/>
      </c>
      <c r="D126" s="183">
        <f>IF(C126="","",(SUMPRODUCT((Торговля!$E$5:$E$300=$B126)*Торговля!$F$5:$F$300*Торговля!$G$5:$G$300)+SUMPRODUCT((Закрытые!$E$5:$E$300=$B126)*(LEFT(Закрытые!$B$5:$B$300,2)="T-")*Закрытые!$F$5:$F$300*Закрытые!$G$5:$G$300))/C126)</f>
        <v/>
      </c>
      <c r="E126" s="247">
        <f>IF(C126="","",SUMIFS(Торговля!$H$5:$H$300,Торговля!$E$5:$E$300,$B126)+SUMIFS(Закрытые!$H$5:$H$300,Закрытые!$E$5:$E$300,$B126,Закрытые!$B$5:$B$300,"T-*"))</f>
        <v/>
      </c>
      <c r="F126" s="246">
        <f>IF(SUMIFS(Торговля!$I$5:$I$300,Торговля!$E$5:$E$300,$B126)+SUMIFS(Закрытые!$I$5:$I$300,Закрытые!$E$5:$E$300,$B126,Закрытые!$B$5:$B$300,"T-*")=0,"",SUMIFS(Торговля!$I$5:$I$300,Торговля!$E$5:$E$300,$B126)+SUMIFS(Закрытые!$I$5:$I$300,Закрытые!$E$5:$E$300,$B126,Закрытые!$B$5:$B$300,"T-*"))</f>
        <v/>
      </c>
      <c r="G126" s="183">
        <f>IF(F126="","",(SUMPRODUCT((Торговля!$E$5:$E$300=$B126)*Торговля!$I$5:$I$300*Торговля!$J$5:$J$300)+SUMPRODUCT((Закрытые!$E$5:$E$300=$B126)*(LEFT(Закрытые!$B$5:$B$300,2)="T-")*Закрытые!$I$5:$I$300*Закрытые!$J$5:$J$300))/F126)</f>
        <v/>
      </c>
      <c r="H126" s="247">
        <f>IF(F126="","",SUMIFS(Торговля!$K$5:$K$300,Торговля!$E$5:$E$300,$B126)+SUMIFS(Закрытые!$K$5:$K$300,Закрытые!$E$5:$E$300,$B126,Закрытые!$B$5:$B$300,"T-*"))</f>
        <v/>
      </c>
      <c r="I126" s="246">
        <f>IF($B126="","",IF(COUNTIFS(Торговля!$E$5:$E$300,$B126)+COUNTIFS(Закрытые!$E$5:$E$300,$B126,Закрытые!$B$5:$B$300,"T-*")=0,"",ROUND(SUMIFS(Торговля!$L$5:$L$300,Торговля!$E$5:$E$300,$B126)+SUMIFS(Закрытые!$L$5:$L$300,Закрытые!$E$5:$E$300,$B126,Закрытые!$B$5:$B$300,"T-*"),8)))</f>
        <v/>
      </c>
      <c r="J126" s="247">
        <f>IF($B126="","",IF(COUNTIFS(Торговля!$E$5:$E$300,$B126)+COUNTIFS(Закрытые!$E$5:$E$300,$B126,Закрытые!$B$5:$B$300,"T-*")=0,"",ROUND(SUMIFS(Торговля!$M$5:$M$300,Торговля!$E$5:$E$300,$B126)+SUMIFS(Закрытые!$M$5:$M$300,Закрытые!$E$5:$E$300,$B126,Закрытые!$B$5:$B$300,"T-*"),8)))</f>
        <v/>
      </c>
      <c r="K126" s="246">
        <f>IF($B126="","",ROUND(SUMIFS(Закрытые!$N$5:$N$300,Закрытые!$E$5:$E$300,$B126,Закрытые!$B$5:$B$300,"T-*"),8))</f>
        <v/>
      </c>
      <c r="L126" s="183">
        <f>IF(K126="","",IF(SUMPRODUCT((Закрытые!$E$5:$E$300=$B126)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126/SUMPRODUCT((Закрытые!$E$5:$E$300=$B126)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6" s="183">
        <f>IF(OR(ROUND(N(C126)-N(F126),8)=0,1-N(Ввод!$E$17)/100&lt;=0),"",IF(N(C126)&gt;N(F126),(N(E126)-N(H126))/((N(C126)-N(F126))*(1-N(Ввод!$E$17)/100)),(N(H126)-N(E126))/((N(F126)-N(C126))*(1+N(Ввод!$E$17)/100))))</f>
        <v/>
      </c>
    </row>
    <row r="127" ht="22" customHeight="1">
      <c r="B127" s="315" t="n"/>
      <c r="C127" s="240">
        <f>IF(SUMIFS(Торговля!$F$5:$F$300,Торговля!$E$5:$E$300,$B127)+SUMIFS(Закрытые!$F$5:$F$300,Закрытые!$E$5:$E$300,$B127,Закрытые!$B$5:$B$300,"T-*")=0,"",SUMIFS(Торговля!$F$5:$F$300,Торговля!$E$5:$E$300,$B127)+SUMIFS(Закрытые!$F$5:$F$300,Закрытые!$E$5:$E$300,$B127,Закрытые!$B$5:$B$300,"T-*"))</f>
        <v/>
      </c>
      <c r="D127" s="177">
        <f>IF(C127="","",(SUMPRODUCT((Торговля!$E$5:$E$300=$B127)*Торговля!$F$5:$F$300*Торговля!$G$5:$G$300)+SUMPRODUCT((Закрытые!$E$5:$E$300=$B127)*(LEFT(Закрытые!$B$5:$B$300,2)="T-")*Закрытые!$F$5:$F$300*Закрытые!$G$5:$G$300))/C127)</f>
        <v/>
      </c>
      <c r="E127" s="241">
        <f>IF(C127="","",SUMIFS(Торговля!$H$5:$H$300,Торговля!$E$5:$E$300,$B127)+SUMIFS(Закрытые!$H$5:$H$300,Закрытые!$E$5:$E$300,$B127,Закрытые!$B$5:$B$300,"T-*"))</f>
        <v/>
      </c>
      <c r="F127" s="240">
        <f>IF(SUMIFS(Торговля!$I$5:$I$300,Торговля!$E$5:$E$300,$B127)+SUMIFS(Закрытые!$I$5:$I$300,Закрытые!$E$5:$E$300,$B127,Закрытые!$B$5:$B$300,"T-*")=0,"",SUMIFS(Торговля!$I$5:$I$300,Торговля!$E$5:$E$300,$B127)+SUMIFS(Закрытые!$I$5:$I$300,Закрытые!$E$5:$E$300,$B127,Закрытые!$B$5:$B$300,"T-*"))</f>
        <v/>
      </c>
      <c r="G127" s="177">
        <f>IF(F127="","",(SUMPRODUCT((Торговля!$E$5:$E$300=$B127)*Торговля!$I$5:$I$300*Торговля!$J$5:$J$300)+SUMPRODUCT((Закрытые!$E$5:$E$300=$B127)*(LEFT(Закрытые!$B$5:$B$300,2)="T-")*Закрытые!$I$5:$I$300*Закрытые!$J$5:$J$300))/F127)</f>
        <v/>
      </c>
      <c r="H127" s="241">
        <f>IF(F127="","",SUMIFS(Торговля!$K$5:$K$300,Торговля!$E$5:$E$300,$B127)+SUMIFS(Закрытые!$K$5:$K$300,Закрытые!$E$5:$E$300,$B127,Закрытые!$B$5:$B$300,"T-*"))</f>
        <v/>
      </c>
      <c r="I127" s="240">
        <f>IF($B127="","",IF(COUNTIFS(Торговля!$E$5:$E$300,$B127)+COUNTIFS(Закрытые!$E$5:$E$300,$B127,Закрытые!$B$5:$B$300,"T-*")=0,"",ROUND(SUMIFS(Торговля!$L$5:$L$300,Торговля!$E$5:$E$300,$B127)+SUMIFS(Закрытые!$L$5:$L$300,Закрытые!$E$5:$E$300,$B127,Закрытые!$B$5:$B$300,"T-*"),8)))</f>
        <v/>
      </c>
      <c r="J127" s="241">
        <f>IF($B127="","",IF(COUNTIFS(Торговля!$E$5:$E$300,$B127)+COUNTIFS(Закрытые!$E$5:$E$300,$B127,Закрытые!$B$5:$B$300,"T-*")=0,"",ROUND(SUMIFS(Торговля!$M$5:$M$300,Торговля!$E$5:$E$300,$B127)+SUMIFS(Закрытые!$M$5:$M$300,Закрытые!$E$5:$E$300,$B127,Закрытые!$B$5:$B$300,"T-*"),8)))</f>
        <v/>
      </c>
      <c r="K127" s="240">
        <f>IF($B127="","",ROUND(SUMIFS(Закрытые!$N$5:$N$300,Закрытые!$E$5:$E$300,$B127,Закрытые!$B$5:$B$300,"T-*"),8))</f>
        <v/>
      </c>
      <c r="L127" s="177">
        <f>IF(K127="","",IF(SUMPRODUCT((Закрытые!$E$5:$E$300=$B127)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127/SUMPRODUCT((Закрытые!$E$5:$E$300=$B127)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7" s="177">
        <f>IF(OR(ROUND(N(C127)-N(F127),8)=0,1-N(Ввод!$E$17)/100&lt;=0),"",IF(N(C127)&gt;N(F127),(N(E127)-N(H127))/((N(C127)-N(F127))*(1-N(Ввод!$E$17)/100)),(N(H127)-N(E127))/((N(F127)-N(C127))*(1+N(Ввод!$E$17)/100))))</f>
        <v/>
      </c>
    </row>
    <row r="128" ht="22" customHeight="1">
      <c r="B128" s="320" t="n"/>
      <c r="C128" s="246">
        <f>IF(SUMIFS(Торговля!$F$5:$F$300,Торговля!$E$5:$E$300,$B128)+SUMIFS(Закрытые!$F$5:$F$300,Закрытые!$E$5:$E$300,$B128,Закрытые!$B$5:$B$300,"T-*")=0,"",SUMIFS(Торговля!$F$5:$F$300,Торговля!$E$5:$E$300,$B128)+SUMIFS(Закрытые!$F$5:$F$300,Закрытые!$E$5:$E$300,$B128,Закрытые!$B$5:$B$300,"T-*"))</f>
        <v/>
      </c>
      <c r="D128" s="183">
        <f>IF(C128="","",(SUMPRODUCT((Торговля!$E$5:$E$300=$B128)*Торговля!$F$5:$F$300*Торговля!$G$5:$G$300)+SUMPRODUCT((Закрытые!$E$5:$E$300=$B128)*(LEFT(Закрытые!$B$5:$B$300,2)="T-")*Закрытые!$F$5:$F$300*Закрытые!$G$5:$G$300))/C128)</f>
        <v/>
      </c>
      <c r="E128" s="247">
        <f>IF(C128="","",SUMIFS(Торговля!$H$5:$H$300,Торговля!$E$5:$E$300,$B128)+SUMIFS(Закрытые!$H$5:$H$300,Закрытые!$E$5:$E$300,$B128,Закрытые!$B$5:$B$300,"T-*"))</f>
        <v/>
      </c>
      <c r="F128" s="246">
        <f>IF(SUMIFS(Торговля!$I$5:$I$300,Торговля!$E$5:$E$300,$B128)+SUMIFS(Закрытые!$I$5:$I$300,Закрытые!$E$5:$E$300,$B128,Закрытые!$B$5:$B$300,"T-*")=0,"",SUMIFS(Торговля!$I$5:$I$300,Торговля!$E$5:$E$300,$B128)+SUMIFS(Закрытые!$I$5:$I$300,Закрытые!$E$5:$E$300,$B128,Закрытые!$B$5:$B$300,"T-*"))</f>
        <v/>
      </c>
      <c r="G128" s="183">
        <f>IF(F128="","",(SUMPRODUCT((Торговля!$E$5:$E$300=$B128)*Торговля!$I$5:$I$300*Торговля!$J$5:$J$300)+SUMPRODUCT((Закрытые!$E$5:$E$300=$B128)*(LEFT(Закрытые!$B$5:$B$300,2)="T-")*Закрытые!$I$5:$I$300*Закрытые!$J$5:$J$300))/F128)</f>
        <v/>
      </c>
      <c r="H128" s="247">
        <f>IF(F128="","",SUMIFS(Торговля!$K$5:$K$300,Торговля!$E$5:$E$300,$B128)+SUMIFS(Закрытые!$K$5:$K$300,Закрытые!$E$5:$E$300,$B128,Закрытые!$B$5:$B$300,"T-*"))</f>
        <v/>
      </c>
      <c r="I128" s="246">
        <f>IF($B128="","",IF(COUNTIFS(Торговля!$E$5:$E$300,$B128)+COUNTIFS(Закрытые!$E$5:$E$300,$B128,Закрытые!$B$5:$B$300,"T-*")=0,"",ROUND(SUMIFS(Торговля!$L$5:$L$300,Торговля!$E$5:$E$300,$B128)+SUMIFS(Закрытые!$L$5:$L$300,Закрытые!$E$5:$E$300,$B128,Закрытые!$B$5:$B$300,"T-*"),8)))</f>
        <v/>
      </c>
      <c r="J128" s="247">
        <f>IF($B128="","",IF(COUNTIFS(Торговля!$E$5:$E$300,$B128)+COUNTIFS(Закрытые!$E$5:$E$300,$B128,Закрытые!$B$5:$B$300,"T-*")=0,"",ROUND(SUMIFS(Торговля!$M$5:$M$300,Торговля!$E$5:$E$300,$B128)+SUMIFS(Закрытые!$M$5:$M$300,Закрытые!$E$5:$E$300,$B128,Закрытые!$B$5:$B$300,"T-*"),8)))</f>
        <v/>
      </c>
      <c r="K128" s="246">
        <f>IF($B128="","",ROUND(SUMIFS(Закрытые!$N$5:$N$300,Закрытые!$E$5:$E$300,$B128,Закрытые!$B$5:$B$300,"T-*"),8))</f>
        <v/>
      </c>
      <c r="L128" s="183">
        <f>IF(K128="","",IF(SUMPRODUCT((Закрытые!$E$5:$E$300=$B128)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128/SUMPRODUCT((Закрытые!$E$5:$E$300=$B128)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8" s="183">
        <f>IF(OR(ROUND(N(C128)-N(F128),8)=0,1-N(Ввод!$E$17)/100&lt;=0),"",IF(N(C128)&gt;N(F128),(N(E128)-N(H128))/((N(C128)-N(F128))*(1-N(Ввод!$E$17)/100)),(N(H128)-N(E128))/((N(F128)-N(C128))*(1+N(Ввод!$E$17)/100))))</f>
        <v/>
      </c>
    </row>
    <row r="129" ht="22" customHeight="1">
      <c r="B129" s="315" t="n"/>
      <c r="C129" s="240">
        <f>IF(SUMIFS(Торговля!$F$5:$F$300,Торговля!$E$5:$E$300,$B129)+SUMIFS(Закрытые!$F$5:$F$300,Закрытые!$E$5:$E$300,$B129,Закрытые!$B$5:$B$300,"T-*")=0,"",SUMIFS(Торговля!$F$5:$F$300,Торговля!$E$5:$E$300,$B129)+SUMIFS(Закрытые!$F$5:$F$300,Закрытые!$E$5:$E$300,$B129,Закрытые!$B$5:$B$300,"T-*"))</f>
        <v/>
      </c>
      <c r="D129" s="177">
        <f>IF(C129="","",(SUMPRODUCT((Торговля!$E$5:$E$300=$B129)*Торговля!$F$5:$F$300*Торговля!$G$5:$G$300)+SUMPRODUCT((Закрытые!$E$5:$E$300=$B129)*(LEFT(Закрытые!$B$5:$B$300,2)="T-")*Закрытые!$F$5:$F$300*Закрытые!$G$5:$G$300))/C129)</f>
        <v/>
      </c>
      <c r="E129" s="241">
        <f>IF(C129="","",SUMIFS(Торговля!$H$5:$H$300,Торговля!$E$5:$E$300,$B129)+SUMIFS(Закрытые!$H$5:$H$300,Закрытые!$E$5:$E$300,$B129,Закрытые!$B$5:$B$300,"T-*"))</f>
        <v/>
      </c>
      <c r="F129" s="240">
        <f>IF(SUMIFS(Торговля!$I$5:$I$300,Торговля!$E$5:$E$300,$B129)+SUMIFS(Закрытые!$I$5:$I$300,Закрытые!$E$5:$E$300,$B129,Закрытые!$B$5:$B$300,"T-*")=0,"",SUMIFS(Торговля!$I$5:$I$300,Торговля!$E$5:$E$300,$B129)+SUMIFS(Закрытые!$I$5:$I$300,Закрытые!$E$5:$E$300,$B129,Закрытые!$B$5:$B$300,"T-*"))</f>
        <v/>
      </c>
      <c r="G129" s="177">
        <f>IF(F129="","",(SUMPRODUCT((Торговля!$E$5:$E$300=$B129)*Торговля!$I$5:$I$300*Торговля!$J$5:$J$300)+SUMPRODUCT((Закрытые!$E$5:$E$300=$B129)*(LEFT(Закрытые!$B$5:$B$300,2)="T-")*Закрытые!$I$5:$I$300*Закрытые!$J$5:$J$300))/F129)</f>
        <v/>
      </c>
      <c r="H129" s="241">
        <f>IF(F129="","",SUMIFS(Торговля!$K$5:$K$300,Торговля!$E$5:$E$300,$B129)+SUMIFS(Закрытые!$K$5:$K$300,Закрытые!$E$5:$E$300,$B129,Закрытые!$B$5:$B$300,"T-*"))</f>
        <v/>
      </c>
      <c r="I129" s="240">
        <f>IF($B129="","",IF(COUNTIFS(Торговля!$E$5:$E$300,$B129)+COUNTIFS(Закрытые!$E$5:$E$300,$B129,Закрытые!$B$5:$B$300,"T-*")=0,"",ROUND(SUMIFS(Торговля!$L$5:$L$300,Торговля!$E$5:$E$300,$B129)+SUMIFS(Закрытые!$L$5:$L$300,Закрытые!$E$5:$E$300,$B129,Закрытые!$B$5:$B$300,"T-*"),8)))</f>
        <v/>
      </c>
      <c r="J129" s="241">
        <f>IF($B129="","",IF(COUNTIFS(Торговля!$E$5:$E$300,$B129)+COUNTIFS(Закрытые!$E$5:$E$300,$B129,Закрытые!$B$5:$B$300,"T-*")=0,"",ROUND(SUMIFS(Торговля!$M$5:$M$300,Торговля!$E$5:$E$300,$B129)+SUMIFS(Закрытые!$M$5:$M$300,Закрытые!$E$5:$E$300,$B129,Закрытые!$B$5:$B$300,"T-*"),8)))</f>
        <v/>
      </c>
      <c r="K129" s="240">
        <f>IF($B129="","",ROUND(SUMIFS(Закрытые!$N$5:$N$300,Закрытые!$E$5:$E$300,$B129,Закрытые!$B$5:$B$300,"T-*"),8))</f>
        <v/>
      </c>
      <c r="L129" s="177">
        <f>IF(K129="","",IF(SUMPRODUCT((Закрытые!$E$5:$E$300=$B129)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129/SUMPRODUCT((Закрытые!$E$5:$E$300=$B129)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9" s="177">
        <f>IF(OR(ROUND(N(C129)-N(F129),8)=0,1-N(Ввод!$E$17)/100&lt;=0),"",IF(N(C129)&gt;N(F129),(N(E129)-N(H129))/((N(C129)-N(F129))*(1-N(Ввод!$E$17)/100)),(N(H129)-N(E129))/((N(F129)-N(C129))*(1+N(Ввод!$E$17)/100))))</f>
        <v/>
      </c>
    </row>
    <row r="130" ht="22" customHeight="1">
      <c r="B130" s="320" t="n"/>
      <c r="C130" s="246">
        <f>IF(SUMIFS(Торговля!$F$5:$F$300,Торговля!$E$5:$E$300,$B130)+SUMIFS(Закрытые!$F$5:$F$300,Закрытые!$E$5:$E$300,$B130,Закрытые!$B$5:$B$300,"T-*")=0,"",SUMIFS(Торговля!$F$5:$F$300,Торговля!$E$5:$E$300,$B130)+SUMIFS(Закрытые!$F$5:$F$300,Закрытые!$E$5:$E$300,$B130,Закрытые!$B$5:$B$300,"T-*"))</f>
        <v/>
      </c>
      <c r="D130" s="183">
        <f>IF(C130="","",(SUMPRODUCT((Торговля!$E$5:$E$300=$B130)*Торговля!$F$5:$F$300*Торговля!$G$5:$G$300)+SUMPRODUCT((Закрытые!$E$5:$E$300=$B130)*(LEFT(Закрытые!$B$5:$B$300,2)="T-")*Закрытые!$F$5:$F$300*Закрытые!$G$5:$G$300))/C130)</f>
        <v/>
      </c>
      <c r="E130" s="247">
        <f>IF(C130="","",SUMIFS(Торговля!$H$5:$H$300,Торговля!$E$5:$E$300,$B130)+SUMIFS(Закрытые!$H$5:$H$300,Закрытые!$E$5:$E$300,$B130,Закрытые!$B$5:$B$300,"T-*"))</f>
        <v/>
      </c>
      <c r="F130" s="246">
        <f>IF(SUMIFS(Торговля!$I$5:$I$300,Торговля!$E$5:$E$300,$B130)+SUMIFS(Закрытые!$I$5:$I$300,Закрытые!$E$5:$E$300,$B130,Закрытые!$B$5:$B$300,"T-*")=0,"",SUMIFS(Торговля!$I$5:$I$300,Торговля!$E$5:$E$300,$B130)+SUMIFS(Закрытые!$I$5:$I$300,Закрытые!$E$5:$E$300,$B130,Закрытые!$B$5:$B$300,"T-*"))</f>
        <v/>
      </c>
      <c r="G130" s="183">
        <f>IF(F130="","",(SUMPRODUCT((Торговля!$E$5:$E$300=$B130)*Торговля!$I$5:$I$300*Торговля!$J$5:$J$300)+SUMPRODUCT((Закрытые!$E$5:$E$300=$B130)*(LEFT(Закрытые!$B$5:$B$300,2)="T-")*Закрытые!$I$5:$I$300*Закрытые!$J$5:$J$300))/F130)</f>
        <v/>
      </c>
      <c r="H130" s="247">
        <f>IF(F130="","",SUMIFS(Торговля!$K$5:$K$300,Торговля!$E$5:$E$300,$B130)+SUMIFS(Закрытые!$K$5:$K$300,Закрытые!$E$5:$E$300,$B130,Закрытые!$B$5:$B$300,"T-*"))</f>
        <v/>
      </c>
      <c r="I130" s="246">
        <f>IF($B130="","",IF(COUNTIFS(Торговля!$E$5:$E$300,$B130)+COUNTIFS(Закрытые!$E$5:$E$300,$B130,Закрытые!$B$5:$B$300,"T-*")=0,"",ROUND(SUMIFS(Торговля!$L$5:$L$300,Торговля!$E$5:$E$300,$B130)+SUMIFS(Закрытые!$L$5:$L$300,Закрытые!$E$5:$E$300,$B130,Закрытые!$B$5:$B$300,"T-*"),8)))</f>
        <v/>
      </c>
      <c r="J130" s="247">
        <f>IF($B130="","",IF(COUNTIFS(Торговля!$E$5:$E$300,$B130)+COUNTIFS(Закрытые!$E$5:$E$300,$B130,Закрытые!$B$5:$B$300,"T-*")=0,"",ROUND(SUMIFS(Торговля!$M$5:$M$300,Торговля!$E$5:$E$300,$B130)+SUMIFS(Закрытые!$M$5:$M$300,Закрытые!$E$5:$E$300,$B130,Закрытые!$B$5:$B$300,"T-*"),8)))</f>
        <v/>
      </c>
      <c r="K130" s="246">
        <f>IF($B130="","",ROUND(SUMIFS(Закрытые!$N$5:$N$300,Закрытые!$E$5:$E$300,$B130,Закрытые!$B$5:$B$300,"T-*"),8))</f>
        <v/>
      </c>
      <c r="L130" s="183">
        <f>IF(K130="","",IF(SUMPRODUCT((Закрытые!$E$5:$E$300=$B130)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130/SUMPRODUCT((Закрытые!$E$5:$E$300=$B130)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0" s="183">
        <f>IF(OR(ROUND(N(C130)-N(F130),8)=0,1-N(Ввод!$E$17)/100&lt;=0),"",IF(N(C130)&gt;N(F130),(N(E130)-N(H130))/((N(C130)-N(F130))*(1-N(Ввод!$E$17)/100)),(N(H130)-N(E130))/((N(F130)-N(C130))*(1+N(Ввод!$E$17)/100))))</f>
        <v/>
      </c>
    </row>
    <row r="131" ht="22" customHeight="1">
      <c r="B131" s="315" t="n"/>
      <c r="C131" s="240">
        <f>IF(SUMIFS(Торговля!$F$5:$F$300,Торговля!$E$5:$E$300,$B131)+SUMIFS(Закрытые!$F$5:$F$300,Закрытые!$E$5:$E$300,$B131,Закрытые!$B$5:$B$300,"T-*")=0,"",SUMIFS(Торговля!$F$5:$F$300,Торговля!$E$5:$E$300,$B131)+SUMIFS(Закрытые!$F$5:$F$300,Закрытые!$E$5:$E$300,$B131,Закрытые!$B$5:$B$300,"T-*"))</f>
        <v/>
      </c>
      <c r="D131" s="177">
        <f>IF(C131="","",(SUMPRODUCT((Торговля!$E$5:$E$300=$B131)*Торговля!$F$5:$F$300*Торговля!$G$5:$G$300)+SUMPRODUCT((Закрытые!$E$5:$E$300=$B131)*(LEFT(Закрытые!$B$5:$B$300,2)="T-")*Закрытые!$F$5:$F$300*Закрытые!$G$5:$G$300))/C131)</f>
        <v/>
      </c>
      <c r="E131" s="241">
        <f>IF(C131="","",SUMIFS(Торговля!$H$5:$H$300,Торговля!$E$5:$E$300,$B131)+SUMIFS(Закрытые!$H$5:$H$300,Закрытые!$E$5:$E$300,$B131,Закрытые!$B$5:$B$300,"T-*"))</f>
        <v/>
      </c>
      <c r="F131" s="240">
        <f>IF(SUMIFS(Торговля!$I$5:$I$300,Торговля!$E$5:$E$300,$B131)+SUMIFS(Закрытые!$I$5:$I$300,Закрытые!$E$5:$E$300,$B131,Закрытые!$B$5:$B$300,"T-*")=0,"",SUMIFS(Торговля!$I$5:$I$300,Торговля!$E$5:$E$300,$B131)+SUMIFS(Закрытые!$I$5:$I$300,Закрытые!$E$5:$E$300,$B131,Закрытые!$B$5:$B$300,"T-*"))</f>
        <v/>
      </c>
      <c r="G131" s="177">
        <f>IF(F131="","",(SUMPRODUCT((Торговля!$E$5:$E$300=$B131)*Торговля!$I$5:$I$300*Торговля!$J$5:$J$300)+SUMPRODUCT((Закрытые!$E$5:$E$300=$B131)*(LEFT(Закрытые!$B$5:$B$300,2)="T-")*Закрытые!$I$5:$I$300*Закрытые!$J$5:$J$300))/F131)</f>
        <v/>
      </c>
      <c r="H131" s="241">
        <f>IF(F131="","",SUMIFS(Торговля!$K$5:$K$300,Торговля!$E$5:$E$300,$B131)+SUMIFS(Закрытые!$K$5:$K$300,Закрытые!$E$5:$E$300,$B131,Закрытые!$B$5:$B$300,"T-*"))</f>
        <v/>
      </c>
      <c r="I131" s="240">
        <f>IF($B131="","",IF(COUNTIFS(Торговля!$E$5:$E$300,$B131)+COUNTIFS(Закрытые!$E$5:$E$300,$B131,Закрытые!$B$5:$B$300,"T-*")=0,"",ROUND(SUMIFS(Торговля!$L$5:$L$300,Торговля!$E$5:$E$300,$B131)+SUMIFS(Закрытые!$L$5:$L$300,Закрытые!$E$5:$E$300,$B131,Закрытые!$B$5:$B$300,"T-*"),8)))</f>
        <v/>
      </c>
      <c r="J131" s="241">
        <f>IF($B131="","",IF(COUNTIFS(Торговля!$E$5:$E$300,$B131)+COUNTIFS(Закрытые!$E$5:$E$300,$B131,Закрытые!$B$5:$B$300,"T-*")=0,"",ROUND(SUMIFS(Торговля!$M$5:$M$300,Торговля!$E$5:$E$300,$B131)+SUMIFS(Закрытые!$M$5:$M$300,Закрытые!$E$5:$E$300,$B131,Закрытые!$B$5:$B$300,"T-*"),8)))</f>
        <v/>
      </c>
      <c r="K131" s="240">
        <f>IF($B131="","",ROUND(SUMIFS(Закрытые!$N$5:$N$300,Закрытые!$E$5:$E$300,$B131,Закрытые!$B$5:$B$300,"T-*"),8))</f>
        <v/>
      </c>
      <c r="L131" s="177">
        <f>IF(K131="","",IF(SUMPRODUCT((Закрытые!$E$5:$E$300=$B131)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131/SUMPRODUCT((Закрытые!$E$5:$E$300=$B131)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1" s="177">
        <f>IF(OR(ROUND(N(C131)-N(F131),8)=0,1-N(Ввод!$E$17)/100&lt;=0),"",IF(N(C131)&gt;N(F131),(N(E131)-N(H131))/((N(C131)-N(F131))*(1-N(Ввод!$E$17)/100)),(N(H131)-N(E131))/((N(F131)-N(C131))*(1+N(Ввод!$E$17)/100))))</f>
        <v/>
      </c>
    </row>
    <row r="132" ht="22" customHeight="1">
      <c r="B132" s="320" t="n"/>
      <c r="C132" s="246">
        <f>IF(SUMIFS(Торговля!$F$5:$F$300,Торговля!$E$5:$E$300,$B132)+SUMIFS(Закрытые!$F$5:$F$300,Закрытые!$E$5:$E$300,$B132,Закрытые!$B$5:$B$300,"T-*")=0,"",SUMIFS(Торговля!$F$5:$F$300,Торговля!$E$5:$E$300,$B132)+SUMIFS(Закрытые!$F$5:$F$300,Закрытые!$E$5:$E$300,$B132,Закрытые!$B$5:$B$300,"T-*"))</f>
        <v/>
      </c>
      <c r="D132" s="183">
        <f>IF(C132="","",(SUMPRODUCT((Торговля!$E$5:$E$300=$B132)*Торговля!$F$5:$F$300*Торговля!$G$5:$G$300)+SUMPRODUCT((Закрытые!$E$5:$E$300=$B132)*(LEFT(Закрытые!$B$5:$B$300,2)="T-")*Закрытые!$F$5:$F$300*Закрытые!$G$5:$G$300))/C132)</f>
        <v/>
      </c>
      <c r="E132" s="247">
        <f>IF(C132="","",SUMIFS(Торговля!$H$5:$H$300,Торговля!$E$5:$E$300,$B132)+SUMIFS(Закрытые!$H$5:$H$300,Закрытые!$E$5:$E$300,$B132,Закрытые!$B$5:$B$300,"T-*"))</f>
        <v/>
      </c>
      <c r="F132" s="246">
        <f>IF(SUMIFS(Торговля!$I$5:$I$300,Торговля!$E$5:$E$300,$B132)+SUMIFS(Закрытые!$I$5:$I$300,Закрытые!$E$5:$E$300,$B132,Закрытые!$B$5:$B$300,"T-*")=0,"",SUMIFS(Торговля!$I$5:$I$300,Торговля!$E$5:$E$300,$B132)+SUMIFS(Закрытые!$I$5:$I$300,Закрытые!$E$5:$E$300,$B132,Закрытые!$B$5:$B$300,"T-*"))</f>
        <v/>
      </c>
      <c r="G132" s="183">
        <f>IF(F132="","",(SUMPRODUCT((Торговля!$E$5:$E$300=$B132)*Торговля!$I$5:$I$300*Торговля!$J$5:$J$300)+SUMPRODUCT((Закрытые!$E$5:$E$300=$B132)*(LEFT(Закрытые!$B$5:$B$300,2)="T-")*Закрытые!$I$5:$I$300*Закрытые!$J$5:$J$300))/F132)</f>
        <v/>
      </c>
      <c r="H132" s="247">
        <f>IF(F132="","",SUMIFS(Торговля!$K$5:$K$300,Торговля!$E$5:$E$300,$B132)+SUMIFS(Закрытые!$K$5:$K$300,Закрытые!$E$5:$E$300,$B132,Закрытые!$B$5:$B$300,"T-*"))</f>
        <v/>
      </c>
      <c r="I132" s="246">
        <f>IF($B132="","",IF(COUNTIFS(Торговля!$E$5:$E$300,$B132)+COUNTIFS(Закрытые!$E$5:$E$300,$B132,Закрытые!$B$5:$B$300,"T-*")=0,"",ROUND(SUMIFS(Торговля!$L$5:$L$300,Торговля!$E$5:$E$300,$B132)+SUMIFS(Закрытые!$L$5:$L$300,Закрытые!$E$5:$E$300,$B132,Закрытые!$B$5:$B$300,"T-*"),8)))</f>
        <v/>
      </c>
      <c r="J132" s="247">
        <f>IF($B132="","",IF(COUNTIFS(Торговля!$E$5:$E$300,$B132)+COUNTIFS(Закрытые!$E$5:$E$300,$B132,Закрытые!$B$5:$B$300,"T-*")=0,"",ROUND(SUMIFS(Торговля!$M$5:$M$300,Торговля!$E$5:$E$300,$B132)+SUMIFS(Закрытые!$M$5:$M$300,Закрытые!$E$5:$E$300,$B132,Закрытые!$B$5:$B$300,"T-*"),8)))</f>
        <v/>
      </c>
      <c r="K132" s="246">
        <f>IF($B132="","",ROUND(SUMIFS(Закрытые!$N$5:$N$300,Закрытые!$E$5:$E$300,$B132,Закрытые!$B$5:$B$300,"T-*"),8))</f>
        <v/>
      </c>
      <c r="L132" s="183">
        <f>IF(K132="","",IF(SUMPRODUCT((Закрытые!$E$5:$E$300=$B132)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132/SUMPRODUCT((Закрытые!$E$5:$E$300=$B132)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2" s="183">
        <f>IF(OR(ROUND(N(C132)-N(F132),8)=0,1-N(Ввод!$E$17)/100&lt;=0),"",IF(N(C132)&gt;N(F132),(N(E132)-N(H132))/((N(C132)-N(F132))*(1-N(Ввод!$E$17)/100)),(N(H132)-N(E132))/((N(F132)-N(C132))*(1+N(Ввод!$E$17)/100))))</f>
        <v/>
      </c>
    </row>
    <row r="133" ht="22" customHeight="1">
      <c r="B133" s="315" t="n"/>
      <c r="C133" s="240">
        <f>IF(SUMIFS(Торговля!$F$5:$F$300,Торговля!$E$5:$E$300,$B133)+SUMIFS(Закрытые!$F$5:$F$300,Закрытые!$E$5:$E$300,$B133,Закрытые!$B$5:$B$300,"T-*")=0,"",SUMIFS(Торговля!$F$5:$F$300,Торговля!$E$5:$E$300,$B133)+SUMIFS(Закрытые!$F$5:$F$300,Закрытые!$E$5:$E$300,$B133,Закрытые!$B$5:$B$300,"T-*"))</f>
        <v/>
      </c>
      <c r="D133" s="177">
        <f>IF(C133="","",(SUMPRODUCT((Торговля!$E$5:$E$300=$B133)*Торговля!$F$5:$F$300*Торговля!$G$5:$G$300)+SUMPRODUCT((Закрытые!$E$5:$E$300=$B133)*(LEFT(Закрытые!$B$5:$B$300,2)="T-")*Закрытые!$F$5:$F$300*Закрытые!$G$5:$G$300))/C133)</f>
        <v/>
      </c>
      <c r="E133" s="241">
        <f>IF(C133="","",SUMIFS(Торговля!$H$5:$H$300,Торговля!$E$5:$E$300,$B133)+SUMIFS(Закрытые!$H$5:$H$300,Закрытые!$E$5:$E$300,$B133,Закрытые!$B$5:$B$300,"T-*"))</f>
        <v/>
      </c>
      <c r="F133" s="240">
        <f>IF(SUMIFS(Торговля!$I$5:$I$300,Торговля!$E$5:$E$300,$B133)+SUMIFS(Закрытые!$I$5:$I$300,Закрытые!$E$5:$E$300,$B133,Закрытые!$B$5:$B$300,"T-*")=0,"",SUMIFS(Торговля!$I$5:$I$300,Торговля!$E$5:$E$300,$B133)+SUMIFS(Закрытые!$I$5:$I$300,Закрытые!$E$5:$E$300,$B133,Закрытые!$B$5:$B$300,"T-*"))</f>
        <v/>
      </c>
      <c r="G133" s="177">
        <f>IF(F133="","",(SUMPRODUCT((Торговля!$E$5:$E$300=$B133)*Торговля!$I$5:$I$300*Торговля!$J$5:$J$300)+SUMPRODUCT((Закрытые!$E$5:$E$300=$B133)*(LEFT(Закрытые!$B$5:$B$300,2)="T-")*Закрытые!$I$5:$I$300*Закрытые!$J$5:$J$300))/F133)</f>
        <v/>
      </c>
      <c r="H133" s="241">
        <f>IF(F133="","",SUMIFS(Торговля!$K$5:$K$300,Торговля!$E$5:$E$300,$B133)+SUMIFS(Закрытые!$K$5:$K$300,Закрытые!$E$5:$E$300,$B133,Закрытые!$B$5:$B$300,"T-*"))</f>
        <v/>
      </c>
      <c r="I133" s="240">
        <f>IF($B133="","",IF(COUNTIFS(Торговля!$E$5:$E$300,$B133)+COUNTIFS(Закрытые!$E$5:$E$300,$B133,Закрытые!$B$5:$B$300,"T-*")=0,"",ROUND(SUMIFS(Торговля!$L$5:$L$300,Торговля!$E$5:$E$300,$B133)+SUMIFS(Закрытые!$L$5:$L$300,Закрытые!$E$5:$E$300,$B133,Закрытые!$B$5:$B$300,"T-*"),8)))</f>
        <v/>
      </c>
      <c r="J133" s="241">
        <f>IF($B133="","",IF(COUNTIFS(Торговля!$E$5:$E$300,$B133)+COUNTIFS(Закрытые!$E$5:$E$300,$B133,Закрытые!$B$5:$B$300,"T-*")=0,"",ROUND(SUMIFS(Торговля!$M$5:$M$300,Торговля!$E$5:$E$300,$B133)+SUMIFS(Закрытые!$M$5:$M$300,Закрытые!$E$5:$E$300,$B133,Закрытые!$B$5:$B$300,"T-*"),8)))</f>
        <v/>
      </c>
      <c r="K133" s="240">
        <f>IF($B133="","",ROUND(SUMIFS(Закрытые!$N$5:$N$300,Закрытые!$E$5:$E$300,$B133,Закрытые!$B$5:$B$300,"T-*"),8))</f>
        <v/>
      </c>
      <c r="L133" s="177">
        <f>IF(K133="","",IF(SUMPRODUCT((Закрытые!$E$5:$E$300=$B133)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133/SUMPRODUCT((Закрытые!$E$5:$E$300=$B133)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3" s="177">
        <f>IF(OR(ROUND(N(C133)-N(F133),8)=0,1-N(Ввод!$E$17)/100&lt;=0),"",IF(N(C133)&gt;N(F133),(N(E133)-N(H133))/((N(C133)-N(F133))*(1-N(Ввод!$E$17)/100)),(N(H133)-N(E133))/((N(F133)-N(C133))*(1+N(Ввод!$E$17)/100))))</f>
        <v/>
      </c>
    </row>
    <row r="134" ht="22" customHeight="1">
      <c r="B134" s="320" t="n"/>
      <c r="C134" s="246">
        <f>IF(SUMIFS(Торговля!$F$5:$F$300,Торговля!$E$5:$E$300,$B134)+SUMIFS(Закрытые!$F$5:$F$300,Закрытые!$E$5:$E$300,$B134,Закрытые!$B$5:$B$300,"T-*")=0,"",SUMIFS(Торговля!$F$5:$F$300,Торговля!$E$5:$E$300,$B134)+SUMIFS(Закрытые!$F$5:$F$300,Закрытые!$E$5:$E$300,$B134,Закрытые!$B$5:$B$300,"T-*"))</f>
        <v/>
      </c>
      <c r="D134" s="183">
        <f>IF(C134="","",(SUMPRODUCT((Торговля!$E$5:$E$300=$B134)*Торговля!$F$5:$F$300*Торговля!$G$5:$G$300)+SUMPRODUCT((Закрытые!$E$5:$E$300=$B134)*(LEFT(Закрытые!$B$5:$B$300,2)="T-")*Закрытые!$F$5:$F$300*Закрытые!$G$5:$G$300))/C134)</f>
        <v/>
      </c>
      <c r="E134" s="247">
        <f>IF(C134="","",SUMIFS(Торговля!$H$5:$H$300,Торговля!$E$5:$E$300,$B134)+SUMIFS(Закрытые!$H$5:$H$300,Закрытые!$E$5:$E$300,$B134,Закрытые!$B$5:$B$300,"T-*"))</f>
        <v/>
      </c>
      <c r="F134" s="246">
        <f>IF(SUMIFS(Торговля!$I$5:$I$300,Торговля!$E$5:$E$300,$B134)+SUMIFS(Закрытые!$I$5:$I$300,Закрытые!$E$5:$E$300,$B134,Закрытые!$B$5:$B$300,"T-*")=0,"",SUMIFS(Торговля!$I$5:$I$300,Торговля!$E$5:$E$300,$B134)+SUMIFS(Закрытые!$I$5:$I$300,Закрытые!$E$5:$E$300,$B134,Закрытые!$B$5:$B$300,"T-*"))</f>
        <v/>
      </c>
      <c r="G134" s="183">
        <f>IF(F134="","",(SUMPRODUCT((Торговля!$E$5:$E$300=$B134)*Торговля!$I$5:$I$300*Торговля!$J$5:$J$300)+SUMPRODUCT((Закрытые!$E$5:$E$300=$B134)*(LEFT(Закрытые!$B$5:$B$300,2)="T-")*Закрытые!$I$5:$I$300*Закрытые!$J$5:$J$300))/F134)</f>
        <v/>
      </c>
      <c r="H134" s="247">
        <f>IF(F134="","",SUMIFS(Торговля!$K$5:$K$300,Торговля!$E$5:$E$300,$B134)+SUMIFS(Закрытые!$K$5:$K$300,Закрытые!$E$5:$E$300,$B134,Закрытые!$B$5:$B$300,"T-*"))</f>
        <v/>
      </c>
      <c r="I134" s="246">
        <f>IF($B134="","",IF(COUNTIFS(Торговля!$E$5:$E$300,$B134)+COUNTIFS(Закрытые!$E$5:$E$300,$B134,Закрытые!$B$5:$B$300,"T-*")=0,"",ROUND(SUMIFS(Торговля!$L$5:$L$300,Торговля!$E$5:$E$300,$B134)+SUMIFS(Закрытые!$L$5:$L$300,Закрытые!$E$5:$E$300,$B134,Закрытые!$B$5:$B$300,"T-*"),8)))</f>
        <v/>
      </c>
      <c r="J134" s="247">
        <f>IF($B134="","",IF(COUNTIFS(Торговля!$E$5:$E$300,$B134)+COUNTIFS(Закрытые!$E$5:$E$300,$B134,Закрытые!$B$5:$B$300,"T-*")=0,"",ROUND(SUMIFS(Торговля!$M$5:$M$300,Торговля!$E$5:$E$300,$B134)+SUMIFS(Закрытые!$M$5:$M$300,Закрытые!$E$5:$E$300,$B134,Закрытые!$B$5:$B$300,"T-*"),8)))</f>
        <v/>
      </c>
      <c r="K134" s="246">
        <f>IF($B134="","",ROUND(SUMIFS(Закрытые!$N$5:$N$300,Закрытые!$E$5:$E$300,$B134,Закрытые!$B$5:$B$300,"T-*"),8))</f>
        <v/>
      </c>
      <c r="L134" s="183">
        <f>IF(K134="","",IF(SUMPRODUCT((Закрытые!$E$5:$E$300=$B134)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134/SUMPRODUCT((Закрытые!$E$5:$E$300=$B134)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4" s="183">
        <f>IF(OR(ROUND(N(C134)-N(F134),8)=0,1-N(Ввод!$E$17)/100&lt;=0),"",IF(N(C134)&gt;N(F134),(N(E134)-N(H134))/((N(C134)-N(F134))*(1-N(Ввод!$E$17)/100)),(N(H134)-N(E134))/((N(F134)-N(C134))*(1+N(Ввод!$E$17)/100))))</f>
        <v/>
      </c>
    </row>
    <row r="135" ht="22" customHeight="1">
      <c r="B135" s="315" t="n"/>
      <c r="C135" s="240">
        <f>IF(SUMIFS(Торговля!$F$5:$F$300,Торговля!$E$5:$E$300,$B135)+SUMIFS(Закрытые!$F$5:$F$300,Закрытые!$E$5:$E$300,$B135,Закрытые!$B$5:$B$300,"T-*")=0,"",SUMIFS(Торговля!$F$5:$F$300,Торговля!$E$5:$E$300,$B135)+SUMIFS(Закрытые!$F$5:$F$300,Закрытые!$E$5:$E$300,$B135,Закрытые!$B$5:$B$300,"T-*"))</f>
        <v/>
      </c>
      <c r="D135" s="177">
        <f>IF(C135="","",(SUMPRODUCT((Торговля!$E$5:$E$300=$B135)*Торговля!$F$5:$F$300*Торговля!$G$5:$G$300)+SUMPRODUCT((Закрытые!$E$5:$E$300=$B135)*(LEFT(Закрытые!$B$5:$B$300,2)="T-")*Закрытые!$F$5:$F$300*Закрытые!$G$5:$G$300))/C135)</f>
        <v/>
      </c>
      <c r="E135" s="241">
        <f>IF(C135="","",SUMIFS(Торговля!$H$5:$H$300,Торговля!$E$5:$E$300,$B135)+SUMIFS(Закрытые!$H$5:$H$300,Закрытые!$E$5:$E$300,$B135,Закрытые!$B$5:$B$300,"T-*"))</f>
        <v/>
      </c>
      <c r="F135" s="240">
        <f>IF(SUMIFS(Торговля!$I$5:$I$300,Торговля!$E$5:$E$300,$B135)+SUMIFS(Закрытые!$I$5:$I$300,Закрытые!$E$5:$E$300,$B135,Закрытые!$B$5:$B$300,"T-*")=0,"",SUMIFS(Торговля!$I$5:$I$300,Торговля!$E$5:$E$300,$B135)+SUMIFS(Закрытые!$I$5:$I$300,Закрытые!$E$5:$E$300,$B135,Закрытые!$B$5:$B$300,"T-*"))</f>
        <v/>
      </c>
      <c r="G135" s="177">
        <f>IF(F135="","",(SUMPRODUCT((Торговля!$E$5:$E$300=$B135)*Торговля!$I$5:$I$300*Торговля!$J$5:$J$300)+SUMPRODUCT((Закрытые!$E$5:$E$300=$B135)*(LEFT(Закрытые!$B$5:$B$300,2)="T-")*Закрытые!$I$5:$I$300*Закрытые!$J$5:$J$300))/F135)</f>
        <v/>
      </c>
      <c r="H135" s="241">
        <f>IF(F135="","",SUMIFS(Торговля!$K$5:$K$300,Торговля!$E$5:$E$300,$B135)+SUMIFS(Закрытые!$K$5:$K$300,Закрытые!$E$5:$E$300,$B135,Закрытые!$B$5:$B$300,"T-*"))</f>
        <v/>
      </c>
      <c r="I135" s="240">
        <f>IF($B135="","",IF(COUNTIFS(Торговля!$E$5:$E$300,$B135)+COUNTIFS(Закрытые!$E$5:$E$300,$B135,Закрытые!$B$5:$B$300,"T-*")=0,"",ROUND(SUMIFS(Торговля!$L$5:$L$300,Торговля!$E$5:$E$300,$B135)+SUMIFS(Закрытые!$L$5:$L$300,Закрытые!$E$5:$E$300,$B135,Закрытые!$B$5:$B$300,"T-*"),8)))</f>
        <v/>
      </c>
      <c r="J135" s="241">
        <f>IF($B135="","",IF(COUNTIFS(Торговля!$E$5:$E$300,$B135)+COUNTIFS(Закрытые!$E$5:$E$300,$B135,Закрытые!$B$5:$B$300,"T-*")=0,"",ROUND(SUMIFS(Торговля!$M$5:$M$300,Торговля!$E$5:$E$300,$B135)+SUMIFS(Закрытые!$M$5:$M$300,Закрытые!$E$5:$E$300,$B135,Закрытые!$B$5:$B$300,"T-*"),8)))</f>
        <v/>
      </c>
      <c r="K135" s="240">
        <f>IF($B135="","",ROUND(SUMIFS(Закрытые!$N$5:$N$300,Закрытые!$E$5:$E$300,$B135,Закрытые!$B$5:$B$300,"T-*"),8))</f>
        <v/>
      </c>
      <c r="L135" s="177">
        <f>IF(K135="","",IF(SUMPRODUCT((Закрытые!$E$5:$E$300=$B135)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135/SUMPRODUCT((Закрытые!$E$5:$E$300=$B135)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5" s="177">
        <f>IF(OR(ROUND(N(C135)-N(F135),8)=0,1-N(Ввод!$E$17)/100&lt;=0),"",IF(N(C135)&gt;N(F135),(N(E135)-N(H135))/((N(C135)-N(F135))*(1-N(Ввод!$E$17)/100)),(N(H135)-N(E135))/((N(F135)-N(C135))*(1+N(Ввод!$E$17)/100))))</f>
        <v/>
      </c>
    </row>
    <row r="136" ht="22" customHeight="1">
      <c r="B136" s="320" t="n"/>
      <c r="C136" s="246">
        <f>IF(SUMIFS(Торговля!$F$5:$F$300,Торговля!$E$5:$E$300,$B136)+SUMIFS(Закрытые!$F$5:$F$300,Закрытые!$E$5:$E$300,$B136,Закрытые!$B$5:$B$300,"T-*")=0,"",SUMIFS(Торговля!$F$5:$F$300,Торговля!$E$5:$E$300,$B136)+SUMIFS(Закрытые!$F$5:$F$300,Закрытые!$E$5:$E$300,$B136,Закрытые!$B$5:$B$300,"T-*"))</f>
        <v/>
      </c>
      <c r="D136" s="183">
        <f>IF(C136="","",(SUMPRODUCT((Торговля!$E$5:$E$300=$B136)*Торговля!$F$5:$F$300*Торговля!$G$5:$G$300)+SUMPRODUCT((Закрытые!$E$5:$E$300=$B136)*(LEFT(Закрытые!$B$5:$B$300,2)="T-")*Закрытые!$F$5:$F$300*Закрытые!$G$5:$G$300))/C136)</f>
        <v/>
      </c>
      <c r="E136" s="247">
        <f>IF(C136="","",SUMIFS(Торговля!$H$5:$H$300,Торговля!$E$5:$E$300,$B136)+SUMIFS(Закрытые!$H$5:$H$300,Закрытые!$E$5:$E$300,$B136,Закрытые!$B$5:$B$300,"T-*"))</f>
        <v/>
      </c>
      <c r="F136" s="246">
        <f>IF(SUMIFS(Торговля!$I$5:$I$300,Торговля!$E$5:$E$300,$B136)+SUMIFS(Закрытые!$I$5:$I$300,Закрытые!$E$5:$E$300,$B136,Закрытые!$B$5:$B$300,"T-*")=0,"",SUMIFS(Торговля!$I$5:$I$300,Торговля!$E$5:$E$300,$B136)+SUMIFS(Закрытые!$I$5:$I$300,Закрытые!$E$5:$E$300,$B136,Закрытые!$B$5:$B$300,"T-*"))</f>
        <v/>
      </c>
      <c r="G136" s="183">
        <f>IF(F136="","",(SUMPRODUCT((Торговля!$E$5:$E$300=$B136)*Торговля!$I$5:$I$300*Торговля!$J$5:$J$300)+SUMPRODUCT((Закрытые!$E$5:$E$300=$B136)*(LEFT(Закрытые!$B$5:$B$300,2)="T-")*Закрытые!$I$5:$I$300*Закрытые!$J$5:$J$300))/F136)</f>
        <v/>
      </c>
      <c r="H136" s="247">
        <f>IF(F136="","",SUMIFS(Торговля!$K$5:$K$300,Торговля!$E$5:$E$300,$B136)+SUMIFS(Закрытые!$K$5:$K$300,Закрытые!$E$5:$E$300,$B136,Закрытые!$B$5:$B$300,"T-*"))</f>
        <v/>
      </c>
      <c r="I136" s="246">
        <f>IF($B136="","",IF(COUNTIFS(Торговля!$E$5:$E$300,$B136)+COUNTIFS(Закрытые!$E$5:$E$300,$B136,Закрытые!$B$5:$B$300,"T-*")=0,"",ROUND(SUMIFS(Торговля!$L$5:$L$300,Торговля!$E$5:$E$300,$B136)+SUMIFS(Закрытые!$L$5:$L$300,Закрытые!$E$5:$E$300,$B136,Закрытые!$B$5:$B$300,"T-*"),8)))</f>
        <v/>
      </c>
      <c r="J136" s="247">
        <f>IF($B136="","",IF(COUNTIFS(Торговля!$E$5:$E$300,$B136)+COUNTIFS(Закрытые!$E$5:$E$300,$B136,Закрытые!$B$5:$B$300,"T-*")=0,"",ROUND(SUMIFS(Торговля!$M$5:$M$300,Торговля!$E$5:$E$300,$B136)+SUMIFS(Закрытые!$M$5:$M$300,Закрытые!$E$5:$E$300,$B136,Закрытые!$B$5:$B$300,"T-*"),8)))</f>
        <v/>
      </c>
      <c r="K136" s="246">
        <f>IF($B136="","",ROUND(SUMIFS(Закрытые!$N$5:$N$300,Закрытые!$E$5:$E$300,$B136,Закрытые!$B$5:$B$300,"T-*"),8))</f>
        <v/>
      </c>
      <c r="L136" s="183">
        <f>IF(K136="","",IF(SUMPRODUCT((Закрытые!$E$5:$E$300=$B136)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136/SUMPRODUCT((Закрытые!$E$5:$E$300=$B136)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6" s="183">
        <f>IF(OR(ROUND(N(C136)-N(F136),8)=0,1-N(Ввод!$E$17)/100&lt;=0),"",IF(N(C136)&gt;N(F136),(N(E136)-N(H136))/((N(C136)-N(F136))*(1-N(Ввод!$E$17)/100)),(N(H136)-N(E136))/((N(F136)-N(C136))*(1+N(Ввод!$E$17)/100))))</f>
        <v/>
      </c>
    </row>
    <row r="137" ht="22" customHeight="1">
      <c r="B137" s="315" t="n"/>
      <c r="C137" s="240">
        <f>IF(SUMIFS(Торговля!$F$5:$F$300,Торговля!$E$5:$E$300,$B137)+SUMIFS(Закрытые!$F$5:$F$300,Закрытые!$E$5:$E$300,$B137,Закрытые!$B$5:$B$300,"T-*")=0,"",SUMIFS(Торговля!$F$5:$F$300,Торговля!$E$5:$E$300,$B137)+SUMIFS(Закрытые!$F$5:$F$300,Закрытые!$E$5:$E$300,$B137,Закрытые!$B$5:$B$300,"T-*"))</f>
        <v/>
      </c>
      <c r="D137" s="177">
        <f>IF(C137="","",(SUMPRODUCT((Торговля!$E$5:$E$300=$B137)*Торговля!$F$5:$F$300*Торговля!$G$5:$G$300)+SUMPRODUCT((Закрытые!$E$5:$E$300=$B137)*(LEFT(Закрытые!$B$5:$B$300,2)="T-")*Закрытые!$F$5:$F$300*Закрытые!$G$5:$G$300))/C137)</f>
        <v/>
      </c>
      <c r="E137" s="241">
        <f>IF(C137="","",SUMIFS(Торговля!$H$5:$H$300,Торговля!$E$5:$E$300,$B137)+SUMIFS(Закрытые!$H$5:$H$300,Закрытые!$E$5:$E$300,$B137,Закрытые!$B$5:$B$300,"T-*"))</f>
        <v/>
      </c>
      <c r="F137" s="240">
        <f>IF(SUMIFS(Торговля!$I$5:$I$300,Торговля!$E$5:$E$300,$B137)+SUMIFS(Закрытые!$I$5:$I$300,Закрытые!$E$5:$E$300,$B137,Закрытые!$B$5:$B$300,"T-*")=0,"",SUMIFS(Торговля!$I$5:$I$300,Торговля!$E$5:$E$300,$B137)+SUMIFS(Закрытые!$I$5:$I$300,Закрытые!$E$5:$E$300,$B137,Закрытые!$B$5:$B$300,"T-*"))</f>
        <v/>
      </c>
      <c r="G137" s="177">
        <f>IF(F137="","",(SUMPRODUCT((Торговля!$E$5:$E$300=$B137)*Торговля!$I$5:$I$300*Торговля!$J$5:$J$300)+SUMPRODUCT((Закрытые!$E$5:$E$300=$B137)*(LEFT(Закрытые!$B$5:$B$300,2)="T-")*Закрытые!$I$5:$I$300*Закрытые!$J$5:$J$300))/F137)</f>
        <v/>
      </c>
      <c r="H137" s="241">
        <f>IF(F137="","",SUMIFS(Торговля!$K$5:$K$300,Торговля!$E$5:$E$300,$B137)+SUMIFS(Закрытые!$K$5:$K$300,Закрытые!$E$5:$E$300,$B137,Закрытые!$B$5:$B$300,"T-*"))</f>
        <v/>
      </c>
      <c r="I137" s="240">
        <f>IF($B137="","",IF(COUNTIFS(Торговля!$E$5:$E$300,$B137)+COUNTIFS(Закрытые!$E$5:$E$300,$B137,Закрытые!$B$5:$B$300,"T-*")=0,"",ROUND(SUMIFS(Торговля!$L$5:$L$300,Торговля!$E$5:$E$300,$B137)+SUMIFS(Закрытые!$L$5:$L$300,Закрытые!$E$5:$E$300,$B137,Закрытые!$B$5:$B$300,"T-*"),8)))</f>
        <v/>
      </c>
      <c r="J137" s="241">
        <f>IF($B137="","",IF(COUNTIFS(Торговля!$E$5:$E$300,$B137)+COUNTIFS(Закрытые!$E$5:$E$300,$B137,Закрытые!$B$5:$B$300,"T-*")=0,"",ROUND(SUMIFS(Торговля!$M$5:$M$300,Торговля!$E$5:$E$300,$B137)+SUMIFS(Закрытые!$M$5:$M$300,Закрытые!$E$5:$E$300,$B137,Закрытые!$B$5:$B$300,"T-*"),8)))</f>
        <v/>
      </c>
      <c r="K137" s="240">
        <f>IF($B137="","",ROUND(SUMIFS(Закрытые!$N$5:$N$300,Закрытые!$E$5:$E$300,$B137,Закрытые!$B$5:$B$300,"T-*"),8))</f>
        <v/>
      </c>
      <c r="L137" s="177">
        <f>IF(K137="","",IF(SUMPRODUCT((Закрытые!$E$5:$E$300=$B137)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137/SUMPRODUCT((Закрытые!$E$5:$E$300=$B137)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7" s="177">
        <f>IF(OR(ROUND(N(C137)-N(F137),8)=0,1-N(Ввод!$E$17)/100&lt;=0),"",IF(N(C137)&gt;N(F137),(N(E137)-N(H137))/((N(C137)-N(F137))*(1-N(Ввод!$E$17)/100)),(N(H137)-N(E137))/((N(F137)-N(C137))*(1+N(Ввод!$E$17)/100))))</f>
        <v/>
      </c>
    </row>
    <row r="138" ht="22" customHeight="1">
      <c r="B138" s="320" t="n"/>
      <c r="C138" s="246">
        <f>IF(SUMIFS(Торговля!$F$5:$F$300,Торговля!$E$5:$E$300,$B138)+SUMIFS(Закрытые!$F$5:$F$300,Закрытые!$E$5:$E$300,$B138,Закрытые!$B$5:$B$300,"T-*")=0,"",SUMIFS(Торговля!$F$5:$F$300,Торговля!$E$5:$E$300,$B138)+SUMIFS(Закрытые!$F$5:$F$300,Закрытые!$E$5:$E$300,$B138,Закрытые!$B$5:$B$300,"T-*"))</f>
        <v/>
      </c>
      <c r="D138" s="183">
        <f>IF(C138="","",(SUMPRODUCT((Торговля!$E$5:$E$300=$B138)*Торговля!$F$5:$F$300*Торговля!$G$5:$G$300)+SUMPRODUCT((Закрытые!$E$5:$E$300=$B138)*(LEFT(Закрытые!$B$5:$B$300,2)="T-")*Закрытые!$F$5:$F$300*Закрытые!$G$5:$G$300))/C138)</f>
        <v/>
      </c>
      <c r="E138" s="247">
        <f>IF(C138="","",SUMIFS(Торговля!$H$5:$H$300,Торговля!$E$5:$E$300,$B138)+SUMIFS(Закрытые!$H$5:$H$300,Закрытые!$E$5:$E$300,$B138,Закрытые!$B$5:$B$300,"T-*"))</f>
        <v/>
      </c>
      <c r="F138" s="246">
        <f>IF(SUMIFS(Торговля!$I$5:$I$300,Торговля!$E$5:$E$300,$B138)+SUMIFS(Закрытые!$I$5:$I$300,Закрытые!$E$5:$E$300,$B138,Закрытые!$B$5:$B$300,"T-*")=0,"",SUMIFS(Торговля!$I$5:$I$300,Торговля!$E$5:$E$300,$B138)+SUMIFS(Закрытые!$I$5:$I$300,Закрытые!$E$5:$E$300,$B138,Закрытые!$B$5:$B$300,"T-*"))</f>
        <v/>
      </c>
      <c r="G138" s="183">
        <f>IF(F138="","",(SUMPRODUCT((Торговля!$E$5:$E$300=$B138)*Торговля!$I$5:$I$300*Торговля!$J$5:$J$300)+SUMPRODUCT((Закрытые!$E$5:$E$300=$B138)*(LEFT(Закрытые!$B$5:$B$300,2)="T-")*Закрытые!$I$5:$I$300*Закрытые!$J$5:$J$300))/F138)</f>
        <v/>
      </c>
      <c r="H138" s="247">
        <f>IF(F138="","",SUMIFS(Торговля!$K$5:$K$300,Торговля!$E$5:$E$300,$B138)+SUMIFS(Закрытые!$K$5:$K$300,Закрытые!$E$5:$E$300,$B138,Закрытые!$B$5:$B$300,"T-*"))</f>
        <v/>
      </c>
      <c r="I138" s="246">
        <f>IF($B138="","",IF(COUNTIFS(Торговля!$E$5:$E$300,$B138)+COUNTIFS(Закрытые!$E$5:$E$300,$B138,Закрытые!$B$5:$B$300,"T-*")=0,"",ROUND(SUMIFS(Торговля!$L$5:$L$300,Торговля!$E$5:$E$300,$B138)+SUMIFS(Закрытые!$L$5:$L$300,Закрытые!$E$5:$E$300,$B138,Закрытые!$B$5:$B$300,"T-*"),8)))</f>
        <v/>
      </c>
      <c r="J138" s="247">
        <f>IF($B138="","",IF(COUNTIFS(Торговля!$E$5:$E$300,$B138)+COUNTIFS(Закрытые!$E$5:$E$300,$B138,Закрытые!$B$5:$B$300,"T-*")=0,"",ROUND(SUMIFS(Торговля!$M$5:$M$300,Торговля!$E$5:$E$300,$B138)+SUMIFS(Закрытые!$M$5:$M$300,Закрытые!$E$5:$E$300,$B138,Закрытые!$B$5:$B$300,"T-*"),8)))</f>
        <v/>
      </c>
      <c r="K138" s="246">
        <f>IF($B138="","",ROUND(SUMIFS(Закрытые!$N$5:$N$300,Закрытые!$E$5:$E$300,$B138,Закрытые!$B$5:$B$300,"T-*"),8))</f>
        <v/>
      </c>
      <c r="L138" s="183">
        <f>IF(K138="","",IF(SUMPRODUCT((Закрытые!$E$5:$E$300=$B138)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138/SUMPRODUCT((Закрытые!$E$5:$E$300=$B138)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8" s="183">
        <f>IF(OR(ROUND(N(C138)-N(F138),8)=0,1-N(Ввод!$E$17)/100&lt;=0),"",IF(N(C138)&gt;N(F138),(N(E138)-N(H138))/((N(C138)-N(F138))*(1-N(Ввод!$E$17)/100)),(N(H138)-N(E138))/((N(F138)-N(C138))*(1+N(Ввод!$E$17)/100))))</f>
        <v/>
      </c>
    </row>
    <row r="139" ht="22" customHeight="1">
      <c r="B139" s="315" t="n"/>
      <c r="C139" s="240">
        <f>IF(SUMIFS(Торговля!$F$5:$F$300,Торговля!$E$5:$E$300,$B139)+SUMIFS(Закрытые!$F$5:$F$300,Закрытые!$E$5:$E$300,$B139,Закрытые!$B$5:$B$300,"T-*")=0,"",SUMIFS(Торговля!$F$5:$F$300,Торговля!$E$5:$E$300,$B139)+SUMIFS(Закрытые!$F$5:$F$300,Закрытые!$E$5:$E$300,$B139,Закрытые!$B$5:$B$300,"T-*"))</f>
        <v/>
      </c>
      <c r="D139" s="177">
        <f>IF(C139="","",(SUMPRODUCT((Торговля!$E$5:$E$300=$B139)*Торговля!$F$5:$F$300*Торговля!$G$5:$G$300)+SUMPRODUCT((Закрытые!$E$5:$E$300=$B139)*(LEFT(Закрытые!$B$5:$B$300,2)="T-")*Закрытые!$F$5:$F$300*Закрытые!$G$5:$G$300))/C139)</f>
        <v/>
      </c>
      <c r="E139" s="241">
        <f>IF(C139="","",SUMIFS(Торговля!$H$5:$H$300,Торговля!$E$5:$E$300,$B139)+SUMIFS(Закрытые!$H$5:$H$300,Закрытые!$E$5:$E$300,$B139,Закрытые!$B$5:$B$300,"T-*"))</f>
        <v/>
      </c>
      <c r="F139" s="240">
        <f>IF(SUMIFS(Торговля!$I$5:$I$300,Торговля!$E$5:$E$300,$B139)+SUMIFS(Закрытые!$I$5:$I$300,Закрытые!$E$5:$E$300,$B139,Закрытые!$B$5:$B$300,"T-*")=0,"",SUMIFS(Торговля!$I$5:$I$300,Торговля!$E$5:$E$300,$B139)+SUMIFS(Закрытые!$I$5:$I$300,Закрытые!$E$5:$E$300,$B139,Закрытые!$B$5:$B$300,"T-*"))</f>
        <v/>
      </c>
      <c r="G139" s="177">
        <f>IF(F139="","",(SUMPRODUCT((Торговля!$E$5:$E$300=$B139)*Торговля!$I$5:$I$300*Торговля!$J$5:$J$300)+SUMPRODUCT((Закрытые!$E$5:$E$300=$B139)*(LEFT(Закрытые!$B$5:$B$300,2)="T-")*Закрытые!$I$5:$I$300*Закрытые!$J$5:$J$300))/F139)</f>
        <v/>
      </c>
      <c r="H139" s="241">
        <f>IF(F139="","",SUMIFS(Торговля!$K$5:$K$300,Торговля!$E$5:$E$300,$B139)+SUMIFS(Закрытые!$K$5:$K$300,Закрытые!$E$5:$E$300,$B139,Закрытые!$B$5:$B$300,"T-*"))</f>
        <v/>
      </c>
      <c r="I139" s="240">
        <f>IF($B139="","",IF(COUNTIFS(Торговля!$E$5:$E$300,$B139)+COUNTIFS(Закрытые!$E$5:$E$300,$B139,Закрытые!$B$5:$B$300,"T-*")=0,"",ROUND(SUMIFS(Торговля!$L$5:$L$300,Торговля!$E$5:$E$300,$B139)+SUMIFS(Закрытые!$L$5:$L$300,Закрытые!$E$5:$E$300,$B139,Закрытые!$B$5:$B$300,"T-*"),8)))</f>
        <v/>
      </c>
      <c r="J139" s="241">
        <f>IF($B139="","",IF(COUNTIFS(Торговля!$E$5:$E$300,$B139)+COUNTIFS(Закрытые!$E$5:$E$300,$B139,Закрытые!$B$5:$B$300,"T-*")=0,"",ROUND(SUMIFS(Торговля!$M$5:$M$300,Торговля!$E$5:$E$300,$B139)+SUMIFS(Закрытые!$M$5:$M$300,Закрытые!$E$5:$E$300,$B139,Закрытые!$B$5:$B$300,"T-*"),8)))</f>
        <v/>
      </c>
      <c r="K139" s="240">
        <f>IF($B139="","",ROUND(SUMIFS(Закрытые!$N$5:$N$300,Закрытые!$E$5:$E$300,$B139,Закрытые!$B$5:$B$300,"T-*"),8))</f>
        <v/>
      </c>
      <c r="L139" s="177">
        <f>IF(K139="","",IF(SUMPRODUCT((Закрытые!$E$5:$E$300=$B139)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139/SUMPRODUCT((Закрытые!$E$5:$E$300=$B139)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9" s="177">
        <f>IF(OR(ROUND(N(C139)-N(F139),8)=0,1-N(Ввод!$E$17)/100&lt;=0),"",IF(N(C139)&gt;N(F139),(N(E139)-N(H139))/((N(C139)-N(F139))*(1-N(Ввод!$E$17)/100)),(N(H139)-N(E139))/((N(F139)-N(C139))*(1+N(Ввод!$E$17)/100))))</f>
        <v/>
      </c>
    </row>
    <row r="140" ht="22" customHeight="1">
      <c r="B140" s="320" t="n"/>
      <c r="C140" s="246">
        <f>IF(SUMIFS(Торговля!$F$5:$F$300,Торговля!$E$5:$E$300,$B140)+SUMIFS(Закрытые!$F$5:$F$300,Закрытые!$E$5:$E$300,$B140,Закрытые!$B$5:$B$300,"T-*")=0,"",SUMIFS(Торговля!$F$5:$F$300,Торговля!$E$5:$E$300,$B140)+SUMIFS(Закрытые!$F$5:$F$300,Закрытые!$E$5:$E$300,$B140,Закрытые!$B$5:$B$300,"T-*"))</f>
        <v/>
      </c>
      <c r="D140" s="183">
        <f>IF(C140="","",(SUMPRODUCT((Торговля!$E$5:$E$300=$B140)*Торговля!$F$5:$F$300*Торговля!$G$5:$G$300)+SUMPRODUCT((Закрытые!$E$5:$E$300=$B140)*(LEFT(Закрытые!$B$5:$B$300,2)="T-")*Закрытые!$F$5:$F$300*Закрытые!$G$5:$G$300))/C140)</f>
        <v/>
      </c>
      <c r="E140" s="247">
        <f>IF(C140="","",SUMIFS(Торговля!$H$5:$H$300,Торговля!$E$5:$E$300,$B140)+SUMIFS(Закрытые!$H$5:$H$300,Закрытые!$E$5:$E$300,$B140,Закрытые!$B$5:$B$300,"T-*"))</f>
        <v/>
      </c>
      <c r="F140" s="246">
        <f>IF(SUMIFS(Торговля!$I$5:$I$300,Торговля!$E$5:$E$300,$B140)+SUMIFS(Закрытые!$I$5:$I$300,Закрытые!$E$5:$E$300,$B140,Закрытые!$B$5:$B$300,"T-*")=0,"",SUMIFS(Торговля!$I$5:$I$300,Торговля!$E$5:$E$300,$B140)+SUMIFS(Закрытые!$I$5:$I$300,Закрытые!$E$5:$E$300,$B140,Закрытые!$B$5:$B$300,"T-*"))</f>
        <v/>
      </c>
      <c r="G140" s="183">
        <f>IF(F140="","",(SUMPRODUCT((Торговля!$E$5:$E$300=$B140)*Торговля!$I$5:$I$300*Торговля!$J$5:$J$300)+SUMPRODUCT((Закрытые!$E$5:$E$300=$B140)*(LEFT(Закрытые!$B$5:$B$300,2)="T-")*Закрытые!$I$5:$I$300*Закрытые!$J$5:$J$300))/F140)</f>
        <v/>
      </c>
      <c r="H140" s="247">
        <f>IF(F140="","",SUMIFS(Торговля!$K$5:$K$300,Торговля!$E$5:$E$300,$B140)+SUMIFS(Закрытые!$K$5:$K$300,Закрытые!$E$5:$E$300,$B140,Закрытые!$B$5:$B$300,"T-*"))</f>
        <v/>
      </c>
      <c r="I140" s="246">
        <f>IF($B140="","",IF(COUNTIFS(Торговля!$E$5:$E$300,$B140)+COUNTIFS(Закрытые!$E$5:$E$300,$B140,Закрытые!$B$5:$B$300,"T-*")=0,"",ROUND(SUMIFS(Торговля!$L$5:$L$300,Торговля!$E$5:$E$300,$B140)+SUMIFS(Закрытые!$L$5:$L$300,Закрытые!$E$5:$E$300,$B140,Закрытые!$B$5:$B$300,"T-*"),8)))</f>
        <v/>
      </c>
      <c r="J140" s="247">
        <f>IF($B140="","",IF(COUNTIFS(Торговля!$E$5:$E$300,$B140)+COUNTIFS(Закрытые!$E$5:$E$300,$B140,Закрытые!$B$5:$B$300,"T-*")=0,"",ROUND(SUMIFS(Торговля!$M$5:$M$300,Торговля!$E$5:$E$300,$B140)+SUMIFS(Закрытые!$M$5:$M$300,Закрытые!$E$5:$E$300,$B140,Закрытые!$B$5:$B$300,"T-*"),8)))</f>
        <v/>
      </c>
      <c r="K140" s="246">
        <f>IF($B140="","",ROUND(SUMIFS(Закрытые!$N$5:$N$300,Закрытые!$E$5:$E$300,$B140,Закрытые!$B$5:$B$300,"T-*"),8))</f>
        <v/>
      </c>
      <c r="L140" s="183">
        <f>IF(K140="","",IF(SUMPRODUCT((Закрытые!$E$5:$E$300=$B140)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140/SUMPRODUCT((Закрытые!$E$5:$E$300=$B140)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0" s="183">
        <f>IF(OR(ROUND(N(C140)-N(F140),8)=0,1-N(Ввод!$E$17)/100&lt;=0),"",IF(N(C140)&gt;N(F140),(N(E140)-N(H140))/((N(C140)-N(F140))*(1-N(Ввод!$E$17)/100)),(N(H140)-N(E140))/((N(F140)-N(C140))*(1+N(Ввод!$E$17)/100))))</f>
        <v/>
      </c>
    </row>
    <row r="141" ht="22" customHeight="1">
      <c r="B141" s="315" t="n"/>
      <c r="C141" s="240">
        <f>IF(SUMIFS(Торговля!$F$5:$F$300,Торговля!$E$5:$E$300,$B141)+SUMIFS(Закрытые!$F$5:$F$300,Закрытые!$E$5:$E$300,$B141,Закрытые!$B$5:$B$300,"T-*")=0,"",SUMIFS(Торговля!$F$5:$F$300,Торговля!$E$5:$E$300,$B141)+SUMIFS(Закрытые!$F$5:$F$300,Закрытые!$E$5:$E$300,$B141,Закрытые!$B$5:$B$300,"T-*"))</f>
        <v/>
      </c>
      <c r="D141" s="177">
        <f>IF(C141="","",(SUMPRODUCT((Торговля!$E$5:$E$300=$B141)*Торговля!$F$5:$F$300*Торговля!$G$5:$G$300)+SUMPRODUCT((Закрытые!$E$5:$E$300=$B141)*(LEFT(Закрытые!$B$5:$B$300,2)="T-")*Закрытые!$F$5:$F$300*Закрытые!$G$5:$G$300))/C141)</f>
        <v/>
      </c>
      <c r="E141" s="241">
        <f>IF(C141="","",SUMIFS(Торговля!$H$5:$H$300,Торговля!$E$5:$E$300,$B141)+SUMIFS(Закрытые!$H$5:$H$300,Закрытые!$E$5:$E$300,$B141,Закрытые!$B$5:$B$300,"T-*"))</f>
        <v/>
      </c>
      <c r="F141" s="240">
        <f>IF(SUMIFS(Торговля!$I$5:$I$300,Торговля!$E$5:$E$300,$B141)+SUMIFS(Закрытые!$I$5:$I$300,Закрытые!$E$5:$E$300,$B141,Закрытые!$B$5:$B$300,"T-*")=0,"",SUMIFS(Торговля!$I$5:$I$300,Торговля!$E$5:$E$300,$B141)+SUMIFS(Закрытые!$I$5:$I$300,Закрытые!$E$5:$E$300,$B141,Закрытые!$B$5:$B$300,"T-*"))</f>
        <v/>
      </c>
      <c r="G141" s="177">
        <f>IF(F141="","",(SUMPRODUCT((Торговля!$E$5:$E$300=$B141)*Торговля!$I$5:$I$300*Торговля!$J$5:$J$300)+SUMPRODUCT((Закрытые!$E$5:$E$300=$B141)*(LEFT(Закрытые!$B$5:$B$300,2)="T-")*Закрытые!$I$5:$I$300*Закрытые!$J$5:$J$300))/F141)</f>
        <v/>
      </c>
      <c r="H141" s="241">
        <f>IF(F141="","",SUMIFS(Торговля!$K$5:$K$300,Торговля!$E$5:$E$300,$B141)+SUMIFS(Закрытые!$K$5:$K$300,Закрытые!$E$5:$E$300,$B141,Закрытые!$B$5:$B$300,"T-*"))</f>
        <v/>
      </c>
      <c r="I141" s="240">
        <f>IF($B141="","",IF(COUNTIFS(Торговля!$E$5:$E$300,$B141)+COUNTIFS(Закрытые!$E$5:$E$300,$B141,Закрытые!$B$5:$B$300,"T-*")=0,"",ROUND(SUMIFS(Торговля!$L$5:$L$300,Торговля!$E$5:$E$300,$B141)+SUMIFS(Закрытые!$L$5:$L$300,Закрытые!$E$5:$E$300,$B141,Закрытые!$B$5:$B$300,"T-*"),8)))</f>
        <v/>
      </c>
      <c r="J141" s="241">
        <f>IF($B141="","",IF(COUNTIFS(Торговля!$E$5:$E$300,$B141)+COUNTIFS(Закрытые!$E$5:$E$300,$B141,Закрытые!$B$5:$B$300,"T-*")=0,"",ROUND(SUMIFS(Торговля!$M$5:$M$300,Торговля!$E$5:$E$300,$B141)+SUMIFS(Закрытые!$M$5:$M$300,Закрытые!$E$5:$E$300,$B141,Закрытые!$B$5:$B$300,"T-*"),8)))</f>
        <v/>
      </c>
      <c r="K141" s="240">
        <f>IF($B141="","",ROUND(SUMIFS(Закрытые!$N$5:$N$300,Закрытые!$E$5:$E$300,$B141,Закрытые!$B$5:$B$300,"T-*"),8))</f>
        <v/>
      </c>
      <c r="L141" s="177">
        <f>IF(K141="","",IF(SUMPRODUCT((Закрытые!$E$5:$E$300=$B141)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141/SUMPRODUCT((Закрытые!$E$5:$E$300=$B141)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1" s="177">
        <f>IF(OR(ROUND(N(C141)-N(F141),8)=0,1-N(Ввод!$E$17)/100&lt;=0),"",IF(N(C141)&gt;N(F141),(N(E141)-N(H141))/((N(C141)-N(F141))*(1-N(Ввод!$E$17)/100)),(N(H141)-N(E141))/((N(F141)-N(C141))*(1+N(Ввод!$E$17)/100))))</f>
        <v/>
      </c>
    </row>
    <row r="142" ht="22" customHeight="1">
      <c r="B142" s="320" t="n"/>
      <c r="C142" s="246">
        <f>IF(SUMIFS(Торговля!$F$5:$F$300,Торговля!$E$5:$E$300,$B142)+SUMIFS(Закрытые!$F$5:$F$300,Закрытые!$E$5:$E$300,$B142,Закрытые!$B$5:$B$300,"T-*")=0,"",SUMIFS(Торговля!$F$5:$F$300,Торговля!$E$5:$E$300,$B142)+SUMIFS(Закрытые!$F$5:$F$300,Закрытые!$E$5:$E$300,$B142,Закрытые!$B$5:$B$300,"T-*"))</f>
        <v/>
      </c>
      <c r="D142" s="183">
        <f>IF(C142="","",(SUMPRODUCT((Торговля!$E$5:$E$300=$B142)*Торговля!$F$5:$F$300*Торговля!$G$5:$G$300)+SUMPRODUCT((Закрытые!$E$5:$E$300=$B142)*(LEFT(Закрытые!$B$5:$B$300,2)="T-")*Закрытые!$F$5:$F$300*Закрытые!$G$5:$G$300))/C142)</f>
        <v/>
      </c>
      <c r="E142" s="247">
        <f>IF(C142="","",SUMIFS(Торговля!$H$5:$H$300,Торговля!$E$5:$E$300,$B142)+SUMIFS(Закрытые!$H$5:$H$300,Закрытые!$E$5:$E$300,$B142,Закрытые!$B$5:$B$300,"T-*"))</f>
        <v/>
      </c>
      <c r="F142" s="246">
        <f>IF(SUMIFS(Торговля!$I$5:$I$300,Торговля!$E$5:$E$300,$B142)+SUMIFS(Закрытые!$I$5:$I$300,Закрытые!$E$5:$E$300,$B142,Закрытые!$B$5:$B$300,"T-*")=0,"",SUMIFS(Торговля!$I$5:$I$300,Торговля!$E$5:$E$300,$B142)+SUMIFS(Закрытые!$I$5:$I$300,Закрытые!$E$5:$E$300,$B142,Закрытые!$B$5:$B$300,"T-*"))</f>
        <v/>
      </c>
      <c r="G142" s="183">
        <f>IF(F142="","",(SUMPRODUCT((Торговля!$E$5:$E$300=$B142)*Торговля!$I$5:$I$300*Торговля!$J$5:$J$300)+SUMPRODUCT((Закрытые!$E$5:$E$300=$B142)*(LEFT(Закрытые!$B$5:$B$300,2)="T-")*Закрытые!$I$5:$I$300*Закрытые!$J$5:$J$300))/F142)</f>
        <v/>
      </c>
      <c r="H142" s="247">
        <f>IF(F142="","",SUMIFS(Торговля!$K$5:$K$300,Торговля!$E$5:$E$300,$B142)+SUMIFS(Закрытые!$K$5:$K$300,Закрытые!$E$5:$E$300,$B142,Закрытые!$B$5:$B$300,"T-*"))</f>
        <v/>
      </c>
      <c r="I142" s="246">
        <f>IF($B142="","",IF(COUNTIFS(Торговля!$E$5:$E$300,$B142)+COUNTIFS(Закрытые!$E$5:$E$300,$B142,Закрытые!$B$5:$B$300,"T-*")=0,"",ROUND(SUMIFS(Торговля!$L$5:$L$300,Торговля!$E$5:$E$300,$B142)+SUMIFS(Закрытые!$L$5:$L$300,Закрытые!$E$5:$E$300,$B142,Закрытые!$B$5:$B$300,"T-*"),8)))</f>
        <v/>
      </c>
      <c r="J142" s="247">
        <f>IF($B142="","",IF(COUNTIFS(Торговля!$E$5:$E$300,$B142)+COUNTIFS(Закрытые!$E$5:$E$300,$B142,Закрытые!$B$5:$B$300,"T-*")=0,"",ROUND(SUMIFS(Торговля!$M$5:$M$300,Торговля!$E$5:$E$300,$B142)+SUMIFS(Закрытые!$M$5:$M$300,Закрытые!$E$5:$E$300,$B142,Закрытые!$B$5:$B$300,"T-*"),8)))</f>
        <v/>
      </c>
      <c r="K142" s="246">
        <f>IF($B142="","",ROUND(SUMIFS(Закрытые!$N$5:$N$300,Закрытые!$E$5:$E$300,$B142,Закрытые!$B$5:$B$300,"T-*"),8))</f>
        <v/>
      </c>
      <c r="L142" s="183">
        <f>IF(K142="","",IF(SUMPRODUCT((Закрытые!$E$5:$E$300=$B142)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142/SUMPRODUCT((Закрытые!$E$5:$E$300=$B142)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2" s="183">
        <f>IF(OR(ROUND(N(C142)-N(F142),8)=0,1-N(Ввод!$E$17)/100&lt;=0),"",IF(N(C142)&gt;N(F142),(N(E142)-N(H142))/((N(C142)-N(F142))*(1-N(Ввод!$E$17)/100)),(N(H142)-N(E142))/((N(F142)-N(C142))*(1+N(Ввод!$E$17)/100))))</f>
        <v/>
      </c>
    </row>
    <row r="143" ht="22" customHeight="1">
      <c r="B143" s="315" t="n"/>
      <c r="C143" s="240">
        <f>IF(SUMIFS(Торговля!$F$5:$F$300,Торговля!$E$5:$E$300,$B143)+SUMIFS(Закрытые!$F$5:$F$300,Закрытые!$E$5:$E$300,$B143,Закрытые!$B$5:$B$300,"T-*")=0,"",SUMIFS(Торговля!$F$5:$F$300,Торговля!$E$5:$E$300,$B143)+SUMIFS(Закрытые!$F$5:$F$300,Закрытые!$E$5:$E$300,$B143,Закрытые!$B$5:$B$300,"T-*"))</f>
        <v/>
      </c>
      <c r="D143" s="177">
        <f>IF(C143="","",(SUMPRODUCT((Торговля!$E$5:$E$300=$B143)*Торговля!$F$5:$F$300*Торговля!$G$5:$G$300)+SUMPRODUCT((Закрытые!$E$5:$E$300=$B143)*(LEFT(Закрытые!$B$5:$B$300,2)="T-")*Закрытые!$F$5:$F$300*Закрытые!$G$5:$G$300))/C143)</f>
        <v/>
      </c>
      <c r="E143" s="241">
        <f>IF(C143="","",SUMIFS(Торговля!$H$5:$H$300,Торговля!$E$5:$E$300,$B143)+SUMIFS(Закрытые!$H$5:$H$300,Закрытые!$E$5:$E$300,$B143,Закрытые!$B$5:$B$300,"T-*"))</f>
        <v/>
      </c>
      <c r="F143" s="240">
        <f>IF(SUMIFS(Торговля!$I$5:$I$300,Торговля!$E$5:$E$300,$B143)+SUMIFS(Закрытые!$I$5:$I$300,Закрытые!$E$5:$E$300,$B143,Закрытые!$B$5:$B$300,"T-*")=0,"",SUMIFS(Торговля!$I$5:$I$300,Торговля!$E$5:$E$300,$B143)+SUMIFS(Закрытые!$I$5:$I$300,Закрытые!$E$5:$E$300,$B143,Закрытые!$B$5:$B$300,"T-*"))</f>
        <v/>
      </c>
      <c r="G143" s="177">
        <f>IF(F143="","",(SUMPRODUCT((Торговля!$E$5:$E$300=$B143)*Торговля!$I$5:$I$300*Торговля!$J$5:$J$300)+SUMPRODUCT((Закрытые!$E$5:$E$300=$B143)*(LEFT(Закрытые!$B$5:$B$300,2)="T-")*Закрытые!$I$5:$I$300*Закрытые!$J$5:$J$300))/F143)</f>
        <v/>
      </c>
      <c r="H143" s="241">
        <f>IF(F143="","",SUMIFS(Торговля!$K$5:$K$300,Торговля!$E$5:$E$300,$B143)+SUMIFS(Закрытые!$K$5:$K$300,Закрытые!$E$5:$E$300,$B143,Закрытые!$B$5:$B$300,"T-*"))</f>
        <v/>
      </c>
      <c r="I143" s="240">
        <f>IF($B143="","",IF(COUNTIFS(Торговля!$E$5:$E$300,$B143)+COUNTIFS(Закрытые!$E$5:$E$300,$B143,Закрытые!$B$5:$B$300,"T-*")=0,"",ROUND(SUMIFS(Торговля!$L$5:$L$300,Торговля!$E$5:$E$300,$B143)+SUMIFS(Закрытые!$L$5:$L$300,Закрытые!$E$5:$E$300,$B143,Закрытые!$B$5:$B$300,"T-*"),8)))</f>
        <v/>
      </c>
      <c r="J143" s="241">
        <f>IF($B143="","",IF(COUNTIFS(Торговля!$E$5:$E$300,$B143)+COUNTIFS(Закрытые!$E$5:$E$300,$B143,Закрытые!$B$5:$B$300,"T-*")=0,"",ROUND(SUMIFS(Торговля!$M$5:$M$300,Торговля!$E$5:$E$300,$B143)+SUMIFS(Закрытые!$M$5:$M$300,Закрытые!$E$5:$E$300,$B143,Закрытые!$B$5:$B$300,"T-*"),8)))</f>
        <v/>
      </c>
      <c r="K143" s="240">
        <f>IF($B143="","",ROUND(SUMIFS(Закрытые!$N$5:$N$300,Закрытые!$E$5:$E$300,$B143,Закрытые!$B$5:$B$300,"T-*"),8))</f>
        <v/>
      </c>
      <c r="L143" s="177">
        <f>IF(K143="","",IF(SUMPRODUCT((Закрытые!$E$5:$E$300=$B143)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143/SUMPRODUCT((Закрытые!$E$5:$E$300=$B143)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3" s="177">
        <f>IF(OR(ROUND(N(C143)-N(F143),8)=0,1-N(Ввод!$E$17)/100&lt;=0),"",IF(N(C143)&gt;N(F143),(N(E143)-N(H143))/((N(C143)-N(F143))*(1-N(Ввод!$E$17)/100)),(N(H143)-N(E143))/((N(F143)-N(C143))*(1+N(Ввод!$E$17)/100))))</f>
        <v/>
      </c>
    </row>
    <row r="144" ht="22" customHeight="1">
      <c r="B144" s="320" t="n"/>
      <c r="C144" s="246">
        <f>IF(SUMIFS(Торговля!$F$5:$F$300,Торговля!$E$5:$E$300,$B144)+SUMIFS(Закрытые!$F$5:$F$300,Закрытые!$E$5:$E$300,$B144,Закрытые!$B$5:$B$300,"T-*")=0,"",SUMIFS(Торговля!$F$5:$F$300,Торговля!$E$5:$E$300,$B144)+SUMIFS(Закрытые!$F$5:$F$300,Закрытые!$E$5:$E$300,$B144,Закрытые!$B$5:$B$300,"T-*"))</f>
        <v/>
      </c>
      <c r="D144" s="183">
        <f>IF(C144="","",(SUMPRODUCT((Торговля!$E$5:$E$300=$B144)*Торговля!$F$5:$F$300*Торговля!$G$5:$G$300)+SUMPRODUCT((Закрытые!$E$5:$E$300=$B144)*(LEFT(Закрытые!$B$5:$B$300,2)="T-")*Закрытые!$F$5:$F$300*Закрытые!$G$5:$G$300))/C144)</f>
        <v/>
      </c>
      <c r="E144" s="247">
        <f>IF(C144="","",SUMIFS(Торговля!$H$5:$H$300,Торговля!$E$5:$E$300,$B144)+SUMIFS(Закрытые!$H$5:$H$300,Закрытые!$E$5:$E$300,$B144,Закрытые!$B$5:$B$300,"T-*"))</f>
        <v/>
      </c>
      <c r="F144" s="246">
        <f>IF(SUMIFS(Торговля!$I$5:$I$300,Торговля!$E$5:$E$300,$B144)+SUMIFS(Закрытые!$I$5:$I$300,Закрытые!$E$5:$E$300,$B144,Закрытые!$B$5:$B$300,"T-*")=0,"",SUMIFS(Торговля!$I$5:$I$300,Торговля!$E$5:$E$300,$B144)+SUMIFS(Закрытые!$I$5:$I$300,Закрытые!$E$5:$E$300,$B144,Закрытые!$B$5:$B$300,"T-*"))</f>
        <v/>
      </c>
      <c r="G144" s="183">
        <f>IF(F144="","",(SUMPRODUCT((Торговля!$E$5:$E$300=$B144)*Торговля!$I$5:$I$300*Торговля!$J$5:$J$300)+SUMPRODUCT((Закрытые!$E$5:$E$300=$B144)*(LEFT(Закрытые!$B$5:$B$300,2)="T-")*Закрытые!$I$5:$I$300*Закрытые!$J$5:$J$300))/F144)</f>
        <v/>
      </c>
      <c r="H144" s="247">
        <f>IF(F144="","",SUMIFS(Торговля!$K$5:$K$300,Торговля!$E$5:$E$300,$B144)+SUMIFS(Закрытые!$K$5:$K$300,Закрытые!$E$5:$E$300,$B144,Закрытые!$B$5:$B$300,"T-*"))</f>
        <v/>
      </c>
      <c r="I144" s="246">
        <f>IF($B144="","",IF(COUNTIFS(Торговля!$E$5:$E$300,$B144)+COUNTIFS(Закрытые!$E$5:$E$300,$B144,Закрытые!$B$5:$B$300,"T-*")=0,"",ROUND(SUMIFS(Торговля!$L$5:$L$300,Торговля!$E$5:$E$300,$B144)+SUMIFS(Закрытые!$L$5:$L$300,Закрытые!$E$5:$E$300,$B144,Закрытые!$B$5:$B$300,"T-*"),8)))</f>
        <v/>
      </c>
      <c r="J144" s="247">
        <f>IF($B144="","",IF(COUNTIFS(Торговля!$E$5:$E$300,$B144)+COUNTIFS(Закрытые!$E$5:$E$300,$B144,Закрытые!$B$5:$B$300,"T-*")=0,"",ROUND(SUMIFS(Торговля!$M$5:$M$300,Торговля!$E$5:$E$300,$B144)+SUMIFS(Закрытые!$M$5:$M$300,Закрытые!$E$5:$E$300,$B144,Закрытые!$B$5:$B$300,"T-*"),8)))</f>
        <v/>
      </c>
      <c r="K144" s="246">
        <f>IF($B144="","",ROUND(SUMIFS(Закрытые!$N$5:$N$300,Закрытые!$E$5:$E$300,$B144,Закрытые!$B$5:$B$300,"T-*"),8))</f>
        <v/>
      </c>
      <c r="L144" s="183">
        <f>IF(K144="","",IF(SUMPRODUCT((Закрытые!$E$5:$E$300=$B144)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144/SUMPRODUCT((Закрытые!$E$5:$E$300=$B144)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4" s="183">
        <f>IF(OR(ROUND(N(C144)-N(F144),8)=0,1-N(Ввод!$E$17)/100&lt;=0),"",IF(N(C144)&gt;N(F144),(N(E144)-N(H144))/((N(C144)-N(F144))*(1-N(Ввод!$E$17)/100)),(N(H144)-N(E144))/((N(F144)-N(C144))*(1+N(Ввод!$E$17)/100))))</f>
        <v/>
      </c>
    </row>
    <row r="145" ht="22" customHeight="1">
      <c r="B145" s="315" t="n"/>
      <c r="C145" s="240">
        <f>IF(SUMIFS(Торговля!$F$5:$F$300,Торговля!$E$5:$E$300,$B145)+SUMIFS(Закрытые!$F$5:$F$300,Закрытые!$E$5:$E$300,$B145,Закрытые!$B$5:$B$300,"T-*")=0,"",SUMIFS(Торговля!$F$5:$F$300,Торговля!$E$5:$E$300,$B145)+SUMIFS(Закрытые!$F$5:$F$300,Закрытые!$E$5:$E$300,$B145,Закрытые!$B$5:$B$300,"T-*"))</f>
        <v/>
      </c>
      <c r="D145" s="177">
        <f>IF(C145="","",(SUMPRODUCT((Торговля!$E$5:$E$300=$B145)*Торговля!$F$5:$F$300*Торговля!$G$5:$G$300)+SUMPRODUCT((Закрытые!$E$5:$E$300=$B145)*(LEFT(Закрытые!$B$5:$B$300,2)="T-")*Закрытые!$F$5:$F$300*Закрытые!$G$5:$G$300))/C145)</f>
        <v/>
      </c>
      <c r="E145" s="241">
        <f>IF(C145="","",SUMIFS(Торговля!$H$5:$H$300,Торговля!$E$5:$E$300,$B145)+SUMIFS(Закрытые!$H$5:$H$300,Закрытые!$E$5:$E$300,$B145,Закрытые!$B$5:$B$300,"T-*"))</f>
        <v/>
      </c>
      <c r="F145" s="240">
        <f>IF(SUMIFS(Торговля!$I$5:$I$300,Торговля!$E$5:$E$300,$B145)+SUMIFS(Закрытые!$I$5:$I$300,Закрытые!$E$5:$E$300,$B145,Закрытые!$B$5:$B$300,"T-*")=0,"",SUMIFS(Торговля!$I$5:$I$300,Торговля!$E$5:$E$300,$B145)+SUMIFS(Закрытые!$I$5:$I$300,Закрытые!$E$5:$E$300,$B145,Закрытые!$B$5:$B$300,"T-*"))</f>
        <v/>
      </c>
      <c r="G145" s="177">
        <f>IF(F145="","",(SUMPRODUCT((Торговля!$E$5:$E$300=$B145)*Торговля!$I$5:$I$300*Торговля!$J$5:$J$300)+SUMPRODUCT((Закрытые!$E$5:$E$300=$B145)*(LEFT(Закрытые!$B$5:$B$300,2)="T-")*Закрытые!$I$5:$I$300*Закрытые!$J$5:$J$300))/F145)</f>
        <v/>
      </c>
      <c r="H145" s="241">
        <f>IF(F145="","",SUMIFS(Торговля!$K$5:$K$300,Торговля!$E$5:$E$300,$B145)+SUMIFS(Закрытые!$K$5:$K$300,Закрытые!$E$5:$E$300,$B145,Закрытые!$B$5:$B$300,"T-*"))</f>
        <v/>
      </c>
      <c r="I145" s="240">
        <f>IF($B145="","",IF(COUNTIFS(Торговля!$E$5:$E$300,$B145)+COUNTIFS(Закрытые!$E$5:$E$300,$B145,Закрытые!$B$5:$B$300,"T-*")=0,"",ROUND(SUMIFS(Торговля!$L$5:$L$300,Торговля!$E$5:$E$300,$B145)+SUMIFS(Закрытые!$L$5:$L$300,Закрытые!$E$5:$E$300,$B145,Закрытые!$B$5:$B$300,"T-*"),8)))</f>
        <v/>
      </c>
      <c r="J145" s="241">
        <f>IF($B145="","",IF(COUNTIFS(Торговля!$E$5:$E$300,$B145)+COUNTIFS(Закрытые!$E$5:$E$300,$B145,Закрытые!$B$5:$B$300,"T-*")=0,"",ROUND(SUMIFS(Торговля!$M$5:$M$300,Торговля!$E$5:$E$300,$B145)+SUMIFS(Закрытые!$M$5:$M$300,Закрытые!$E$5:$E$300,$B145,Закрытые!$B$5:$B$300,"T-*"),8)))</f>
        <v/>
      </c>
      <c r="K145" s="240">
        <f>IF($B145="","",ROUND(SUMIFS(Закрытые!$N$5:$N$300,Закрытые!$E$5:$E$300,$B145,Закрытые!$B$5:$B$300,"T-*"),8))</f>
        <v/>
      </c>
      <c r="L145" s="177">
        <f>IF(K145="","",IF(SUMPRODUCT((Закрытые!$E$5:$E$300=$B145)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145/SUMPRODUCT((Закрытые!$E$5:$E$300=$B145)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5" s="177">
        <f>IF(OR(ROUND(N(C145)-N(F145),8)=0,1-N(Ввод!$E$17)/100&lt;=0),"",IF(N(C145)&gt;N(F145),(N(E145)-N(H145))/((N(C145)-N(F145))*(1-N(Ввод!$E$17)/100)),(N(H145)-N(E145))/((N(F145)-N(C145))*(1+N(Ввод!$E$17)/100))))</f>
        <v/>
      </c>
    </row>
    <row r="146" ht="22" customHeight="1">
      <c r="B146" s="320" t="n"/>
      <c r="C146" s="246">
        <f>IF(SUMIFS(Торговля!$F$5:$F$300,Торговля!$E$5:$E$300,$B146)+SUMIFS(Закрытые!$F$5:$F$300,Закрытые!$E$5:$E$300,$B146,Закрытые!$B$5:$B$300,"T-*")=0,"",SUMIFS(Торговля!$F$5:$F$300,Торговля!$E$5:$E$300,$B146)+SUMIFS(Закрытые!$F$5:$F$300,Закрытые!$E$5:$E$300,$B146,Закрытые!$B$5:$B$300,"T-*"))</f>
        <v/>
      </c>
      <c r="D146" s="183">
        <f>IF(C146="","",(SUMPRODUCT((Торговля!$E$5:$E$300=$B146)*Торговля!$F$5:$F$300*Торговля!$G$5:$G$300)+SUMPRODUCT((Закрытые!$E$5:$E$300=$B146)*(LEFT(Закрытые!$B$5:$B$300,2)="T-")*Закрытые!$F$5:$F$300*Закрытые!$G$5:$G$300))/C146)</f>
        <v/>
      </c>
      <c r="E146" s="247">
        <f>IF(C146="","",SUMIFS(Торговля!$H$5:$H$300,Торговля!$E$5:$E$300,$B146)+SUMIFS(Закрытые!$H$5:$H$300,Закрытые!$E$5:$E$300,$B146,Закрытые!$B$5:$B$300,"T-*"))</f>
        <v/>
      </c>
      <c r="F146" s="246">
        <f>IF(SUMIFS(Торговля!$I$5:$I$300,Торговля!$E$5:$E$300,$B146)+SUMIFS(Закрытые!$I$5:$I$300,Закрытые!$E$5:$E$300,$B146,Закрытые!$B$5:$B$300,"T-*")=0,"",SUMIFS(Торговля!$I$5:$I$300,Торговля!$E$5:$E$300,$B146)+SUMIFS(Закрытые!$I$5:$I$300,Закрытые!$E$5:$E$300,$B146,Закрытые!$B$5:$B$300,"T-*"))</f>
        <v/>
      </c>
      <c r="G146" s="183">
        <f>IF(F146="","",(SUMPRODUCT((Торговля!$E$5:$E$300=$B146)*Торговля!$I$5:$I$300*Торговля!$J$5:$J$300)+SUMPRODUCT((Закрытые!$E$5:$E$300=$B146)*(LEFT(Закрытые!$B$5:$B$300,2)="T-")*Закрытые!$I$5:$I$300*Закрытые!$J$5:$J$300))/F146)</f>
        <v/>
      </c>
      <c r="H146" s="247">
        <f>IF(F146="","",SUMIFS(Торговля!$K$5:$K$300,Торговля!$E$5:$E$300,$B146)+SUMIFS(Закрытые!$K$5:$K$300,Закрытые!$E$5:$E$300,$B146,Закрытые!$B$5:$B$300,"T-*"))</f>
        <v/>
      </c>
      <c r="I146" s="246">
        <f>IF($B146="","",IF(COUNTIFS(Торговля!$E$5:$E$300,$B146)+COUNTIFS(Закрытые!$E$5:$E$300,$B146,Закрытые!$B$5:$B$300,"T-*")=0,"",ROUND(SUMIFS(Торговля!$L$5:$L$300,Торговля!$E$5:$E$300,$B146)+SUMIFS(Закрытые!$L$5:$L$300,Закрытые!$E$5:$E$300,$B146,Закрытые!$B$5:$B$300,"T-*"),8)))</f>
        <v/>
      </c>
      <c r="J146" s="247">
        <f>IF($B146="","",IF(COUNTIFS(Торговля!$E$5:$E$300,$B146)+COUNTIFS(Закрытые!$E$5:$E$300,$B146,Закрытые!$B$5:$B$300,"T-*")=0,"",ROUND(SUMIFS(Торговля!$M$5:$M$300,Торговля!$E$5:$E$300,$B146)+SUMIFS(Закрытые!$M$5:$M$300,Закрытые!$E$5:$E$300,$B146,Закрытые!$B$5:$B$300,"T-*"),8)))</f>
        <v/>
      </c>
      <c r="K146" s="246">
        <f>IF($B146="","",ROUND(SUMIFS(Закрытые!$N$5:$N$300,Закрытые!$E$5:$E$300,$B146,Закрытые!$B$5:$B$300,"T-*"),8))</f>
        <v/>
      </c>
      <c r="L146" s="183">
        <f>IF(K146="","",IF(SUMPRODUCT((Закрытые!$E$5:$E$300=$B146)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146/SUMPRODUCT((Закрытые!$E$5:$E$300=$B146)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6" s="183">
        <f>IF(OR(ROUND(N(C146)-N(F146),8)=0,1-N(Ввод!$E$17)/100&lt;=0),"",IF(N(C146)&gt;N(F146),(N(E146)-N(H146))/((N(C146)-N(F146))*(1-N(Ввод!$E$17)/100)),(N(H146)-N(E146))/((N(F146)-N(C146))*(1+N(Ввод!$E$17)/100))))</f>
        <v/>
      </c>
    </row>
    <row r="147" ht="22" customHeight="1">
      <c r="B147" s="315" t="n"/>
      <c r="C147" s="240">
        <f>IF(SUMIFS(Торговля!$F$5:$F$300,Торговля!$E$5:$E$300,$B147)+SUMIFS(Закрытые!$F$5:$F$300,Закрытые!$E$5:$E$300,$B147,Закрытые!$B$5:$B$300,"T-*")=0,"",SUMIFS(Торговля!$F$5:$F$300,Торговля!$E$5:$E$300,$B147)+SUMIFS(Закрытые!$F$5:$F$300,Закрытые!$E$5:$E$300,$B147,Закрытые!$B$5:$B$300,"T-*"))</f>
        <v/>
      </c>
      <c r="D147" s="177">
        <f>IF(C147="","",(SUMPRODUCT((Торговля!$E$5:$E$300=$B147)*Торговля!$F$5:$F$300*Торговля!$G$5:$G$300)+SUMPRODUCT((Закрытые!$E$5:$E$300=$B147)*(LEFT(Закрытые!$B$5:$B$300,2)="T-")*Закрытые!$F$5:$F$300*Закрытые!$G$5:$G$300))/C147)</f>
        <v/>
      </c>
      <c r="E147" s="241">
        <f>IF(C147="","",SUMIFS(Торговля!$H$5:$H$300,Торговля!$E$5:$E$300,$B147)+SUMIFS(Закрытые!$H$5:$H$300,Закрытые!$E$5:$E$300,$B147,Закрытые!$B$5:$B$300,"T-*"))</f>
        <v/>
      </c>
      <c r="F147" s="240">
        <f>IF(SUMIFS(Торговля!$I$5:$I$300,Торговля!$E$5:$E$300,$B147)+SUMIFS(Закрытые!$I$5:$I$300,Закрытые!$E$5:$E$300,$B147,Закрытые!$B$5:$B$300,"T-*")=0,"",SUMIFS(Торговля!$I$5:$I$300,Торговля!$E$5:$E$300,$B147)+SUMIFS(Закрытые!$I$5:$I$300,Закрытые!$E$5:$E$300,$B147,Закрытые!$B$5:$B$300,"T-*"))</f>
        <v/>
      </c>
      <c r="G147" s="177">
        <f>IF(F147="","",(SUMPRODUCT((Торговля!$E$5:$E$300=$B147)*Торговля!$I$5:$I$300*Торговля!$J$5:$J$300)+SUMPRODUCT((Закрытые!$E$5:$E$300=$B147)*(LEFT(Закрытые!$B$5:$B$300,2)="T-")*Закрытые!$I$5:$I$300*Закрытые!$J$5:$J$300))/F147)</f>
        <v/>
      </c>
      <c r="H147" s="241">
        <f>IF(F147="","",SUMIFS(Торговля!$K$5:$K$300,Торговля!$E$5:$E$300,$B147)+SUMIFS(Закрытые!$K$5:$K$300,Закрытые!$E$5:$E$300,$B147,Закрытые!$B$5:$B$300,"T-*"))</f>
        <v/>
      </c>
      <c r="I147" s="240">
        <f>IF($B147="","",IF(COUNTIFS(Торговля!$E$5:$E$300,$B147)+COUNTIFS(Закрытые!$E$5:$E$300,$B147,Закрытые!$B$5:$B$300,"T-*")=0,"",ROUND(SUMIFS(Торговля!$L$5:$L$300,Торговля!$E$5:$E$300,$B147)+SUMIFS(Закрытые!$L$5:$L$300,Закрытые!$E$5:$E$300,$B147,Закрытые!$B$5:$B$300,"T-*"),8)))</f>
        <v/>
      </c>
      <c r="J147" s="241">
        <f>IF($B147="","",IF(COUNTIFS(Торговля!$E$5:$E$300,$B147)+COUNTIFS(Закрытые!$E$5:$E$300,$B147,Закрытые!$B$5:$B$300,"T-*")=0,"",ROUND(SUMIFS(Торговля!$M$5:$M$300,Торговля!$E$5:$E$300,$B147)+SUMIFS(Закрытые!$M$5:$M$300,Закрытые!$E$5:$E$300,$B147,Закрытые!$B$5:$B$300,"T-*"),8)))</f>
        <v/>
      </c>
      <c r="K147" s="240">
        <f>IF($B147="","",ROUND(SUMIFS(Закрытые!$N$5:$N$300,Закрытые!$E$5:$E$300,$B147,Закрытые!$B$5:$B$300,"T-*"),8))</f>
        <v/>
      </c>
      <c r="L147" s="177">
        <f>IF(K147="","",IF(SUMPRODUCT((Закрытые!$E$5:$E$300=$B147)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147/SUMPRODUCT((Закрытые!$E$5:$E$300=$B147)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7" s="177">
        <f>IF(OR(ROUND(N(C147)-N(F147),8)=0,1-N(Ввод!$E$17)/100&lt;=0),"",IF(N(C147)&gt;N(F147),(N(E147)-N(H147))/((N(C147)-N(F147))*(1-N(Ввод!$E$17)/100)),(N(H147)-N(E147))/((N(F147)-N(C147))*(1+N(Ввод!$E$17)/100))))</f>
        <v/>
      </c>
    </row>
    <row r="148" ht="22" customHeight="1">
      <c r="B148" s="320" t="n"/>
      <c r="C148" s="246">
        <f>IF(SUMIFS(Торговля!$F$5:$F$300,Торговля!$E$5:$E$300,$B148)+SUMIFS(Закрытые!$F$5:$F$300,Закрытые!$E$5:$E$300,$B148,Закрытые!$B$5:$B$300,"T-*")=0,"",SUMIFS(Торговля!$F$5:$F$300,Торговля!$E$5:$E$300,$B148)+SUMIFS(Закрытые!$F$5:$F$300,Закрытые!$E$5:$E$300,$B148,Закрытые!$B$5:$B$300,"T-*"))</f>
        <v/>
      </c>
      <c r="D148" s="183">
        <f>IF(C148="","",(SUMPRODUCT((Торговля!$E$5:$E$300=$B148)*Торговля!$F$5:$F$300*Торговля!$G$5:$G$300)+SUMPRODUCT((Закрытые!$E$5:$E$300=$B148)*(LEFT(Закрытые!$B$5:$B$300,2)="T-")*Закрытые!$F$5:$F$300*Закрытые!$G$5:$G$300))/C148)</f>
        <v/>
      </c>
      <c r="E148" s="247">
        <f>IF(C148="","",SUMIFS(Торговля!$H$5:$H$300,Торговля!$E$5:$E$300,$B148)+SUMIFS(Закрытые!$H$5:$H$300,Закрытые!$E$5:$E$300,$B148,Закрытые!$B$5:$B$300,"T-*"))</f>
        <v/>
      </c>
      <c r="F148" s="246">
        <f>IF(SUMIFS(Торговля!$I$5:$I$300,Торговля!$E$5:$E$300,$B148)+SUMIFS(Закрытые!$I$5:$I$300,Закрытые!$E$5:$E$300,$B148,Закрытые!$B$5:$B$300,"T-*")=0,"",SUMIFS(Торговля!$I$5:$I$300,Торговля!$E$5:$E$300,$B148)+SUMIFS(Закрытые!$I$5:$I$300,Закрытые!$E$5:$E$300,$B148,Закрытые!$B$5:$B$300,"T-*"))</f>
        <v/>
      </c>
      <c r="G148" s="183">
        <f>IF(F148="","",(SUMPRODUCT((Торговля!$E$5:$E$300=$B148)*Торговля!$I$5:$I$300*Торговля!$J$5:$J$300)+SUMPRODUCT((Закрытые!$E$5:$E$300=$B148)*(LEFT(Закрытые!$B$5:$B$300,2)="T-")*Закрытые!$I$5:$I$300*Закрытые!$J$5:$J$300))/F148)</f>
        <v/>
      </c>
      <c r="H148" s="247">
        <f>IF(F148="","",SUMIFS(Торговля!$K$5:$K$300,Торговля!$E$5:$E$300,$B148)+SUMIFS(Закрытые!$K$5:$K$300,Закрытые!$E$5:$E$300,$B148,Закрытые!$B$5:$B$300,"T-*"))</f>
        <v/>
      </c>
      <c r="I148" s="246">
        <f>IF($B148="","",IF(COUNTIFS(Торговля!$E$5:$E$300,$B148)+COUNTIFS(Закрытые!$E$5:$E$300,$B148,Закрытые!$B$5:$B$300,"T-*")=0,"",ROUND(SUMIFS(Торговля!$L$5:$L$300,Торговля!$E$5:$E$300,$B148)+SUMIFS(Закрытые!$L$5:$L$300,Закрытые!$E$5:$E$300,$B148,Закрытые!$B$5:$B$300,"T-*"),8)))</f>
        <v/>
      </c>
      <c r="J148" s="247">
        <f>IF($B148="","",IF(COUNTIFS(Торговля!$E$5:$E$300,$B148)+COUNTIFS(Закрытые!$E$5:$E$300,$B148,Закрытые!$B$5:$B$300,"T-*")=0,"",ROUND(SUMIFS(Торговля!$M$5:$M$300,Торговля!$E$5:$E$300,$B148)+SUMIFS(Закрытые!$M$5:$M$300,Закрытые!$E$5:$E$300,$B148,Закрытые!$B$5:$B$300,"T-*"),8)))</f>
        <v/>
      </c>
      <c r="K148" s="246">
        <f>IF($B148="","",ROUND(SUMIFS(Закрытые!$N$5:$N$300,Закрытые!$E$5:$E$300,$B148,Закрытые!$B$5:$B$300,"T-*"),8))</f>
        <v/>
      </c>
      <c r="L148" s="183">
        <f>IF(K148="","",IF(SUMPRODUCT((Закрытые!$E$5:$E$300=$B148)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148/SUMPRODUCT((Закрытые!$E$5:$E$300=$B148)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8" s="183">
        <f>IF(OR(ROUND(N(C148)-N(F148),8)=0,1-N(Ввод!$E$17)/100&lt;=0),"",IF(N(C148)&gt;N(F148),(N(E148)-N(H148))/((N(C148)-N(F148))*(1-N(Ввод!$E$17)/100)),(N(H148)-N(E148))/((N(F148)-N(C148))*(1+N(Ввод!$E$17)/100))))</f>
        <v/>
      </c>
    </row>
    <row r="149" ht="22" customHeight="1">
      <c r="B149" s="315" t="n"/>
      <c r="C149" s="240">
        <f>IF(SUMIFS(Торговля!$F$5:$F$300,Торговля!$E$5:$E$300,$B149)+SUMIFS(Закрытые!$F$5:$F$300,Закрытые!$E$5:$E$300,$B149,Закрытые!$B$5:$B$300,"T-*")=0,"",SUMIFS(Торговля!$F$5:$F$300,Торговля!$E$5:$E$300,$B149)+SUMIFS(Закрытые!$F$5:$F$300,Закрытые!$E$5:$E$300,$B149,Закрытые!$B$5:$B$300,"T-*"))</f>
        <v/>
      </c>
      <c r="D149" s="177">
        <f>IF(C149="","",(SUMPRODUCT((Торговля!$E$5:$E$300=$B149)*Торговля!$F$5:$F$300*Торговля!$G$5:$G$300)+SUMPRODUCT((Закрытые!$E$5:$E$300=$B149)*(LEFT(Закрытые!$B$5:$B$300,2)="T-")*Закрытые!$F$5:$F$300*Закрытые!$G$5:$G$300))/C149)</f>
        <v/>
      </c>
      <c r="E149" s="241">
        <f>IF(C149="","",SUMIFS(Торговля!$H$5:$H$300,Торговля!$E$5:$E$300,$B149)+SUMIFS(Закрытые!$H$5:$H$300,Закрытые!$E$5:$E$300,$B149,Закрытые!$B$5:$B$300,"T-*"))</f>
        <v/>
      </c>
      <c r="F149" s="240">
        <f>IF(SUMIFS(Торговля!$I$5:$I$300,Торговля!$E$5:$E$300,$B149)+SUMIFS(Закрытые!$I$5:$I$300,Закрытые!$E$5:$E$300,$B149,Закрытые!$B$5:$B$300,"T-*")=0,"",SUMIFS(Торговля!$I$5:$I$300,Торговля!$E$5:$E$300,$B149)+SUMIFS(Закрытые!$I$5:$I$300,Закрытые!$E$5:$E$300,$B149,Закрытые!$B$5:$B$300,"T-*"))</f>
        <v/>
      </c>
      <c r="G149" s="177">
        <f>IF(F149="","",(SUMPRODUCT((Торговля!$E$5:$E$300=$B149)*Торговля!$I$5:$I$300*Торговля!$J$5:$J$300)+SUMPRODUCT((Закрытые!$E$5:$E$300=$B149)*(LEFT(Закрытые!$B$5:$B$300,2)="T-")*Закрытые!$I$5:$I$300*Закрытые!$J$5:$J$300))/F149)</f>
        <v/>
      </c>
      <c r="H149" s="241">
        <f>IF(F149="","",SUMIFS(Торговля!$K$5:$K$300,Торговля!$E$5:$E$300,$B149)+SUMIFS(Закрытые!$K$5:$K$300,Закрытые!$E$5:$E$300,$B149,Закрытые!$B$5:$B$300,"T-*"))</f>
        <v/>
      </c>
      <c r="I149" s="240">
        <f>IF($B149="","",IF(COUNTIFS(Торговля!$E$5:$E$300,$B149)+COUNTIFS(Закрытые!$E$5:$E$300,$B149,Закрытые!$B$5:$B$300,"T-*")=0,"",ROUND(SUMIFS(Торговля!$L$5:$L$300,Торговля!$E$5:$E$300,$B149)+SUMIFS(Закрытые!$L$5:$L$300,Закрытые!$E$5:$E$300,$B149,Закрытые!$B$5:$B$300,"T-*"),8)))</f>
        <v/>
      </c>
      <c r="J149" s="241">
        <f>IF($B149="","",IF(COUNTIFS(Торговля!$E$5:$E$300,$B149)+COUNTIFS(Закрытые!$E$5:$E$300,$B149,Закрытые!$B$5:$B$300,"T-*")=0,"",ROUND(SUMIFS(Торговля!$M$5:$M$300,Торговля!$E$5:$E$300,$B149)+SUMIFS(Закрытые!$M$5:$M$300,Закрытые!$E$5:$E$300,$B149,Закрытые!$B$5:$B$300,"T-*"),8)))</f>
        <v/>
      </c>
      <c r="K149" s="240">
        <f>IF($B149="","",ROUND(SUMIFS(Закрытые!$N$5:$N$300,Закрытые!$E$5:$E$300,$B149,Закрытые!$B$5:$B$300,"T-*"),8))</f>
        <v/>
      </c>
      <c r="L149" s="177">
        <f>IF(K149="","",IF(SUMPRODUCT((Закрытые!$E$5:$E$300=$B149)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149/SUMPRODUCT((Закрытые!$E$5:$E$300=$B149)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9" s="177">
        <f>IF(OR(ROUND(N(C149)-N(F149),8)=0,1-N(Ввод!$E$17)/100&lt;=0),"",IF(N(C149)&gt;N(F149),(N(E149)-N(H149))/((N(C149)-N(F149))*(1-N(Ввод!$E$17)/100)),(N(H149)-N(E149))/((N(F149)-N(C149))*(1+N(Ввод!$E$17)/100))))</f>
        <v/>
      </c>
    </row>
    <row r="150" ht="22" customHeight="1">
      <c r="B150" s="320" t="n"/>
      <c r="C150" s="246">
        <f>IF(SUMIFS(Торговля!$F$5:$F$300,Торговля!$E$5:$E$300,$B150)+SUMIFS(Закрытые!$F$5:$F$300,Закрытые!$E$5:$E$300,$B150,Закрытые!$B$5:$B$300,"T-*")=0,"",SUMIFS(Торговля!$F$5:$F$300,Торговля!$E$5:$E$300,$B150)+SUMIFS(Закрытые!$F$5:$F$300,Закрытые!$E$5:$E$300,$B150,Закрытые!$B$5:$B$300,"T-*"))</f>
        <v/>
      </c>
      <c r="D150" s="183">
        <f>IF(C150="","",(SUMPRODUCT((Торговля!$E$5:$E$300=$B150)*Торговля!$F$5:$F$300*Торговля!$G$5:$G$300)+SUMPRODUCT((Закрытые!$E$5:$E$300=$B150)*(LEFT(Закрытые!$B$5:$B$300,2)="T-")*Закрытые!$F$5:$F$300*Закрытые!$G$5:$G$300))/C150)</f>
        <v/>
      </c>
      <c r="E150" s="247">
        <f>IF(C150="","",SUMIFS(Торговля!$H$5:$H$300,Торговля!$E$5:$E$300,$B150)+SUMIFS(Закрытые!$H$5:$H$300,Закрытые!$E$5:$E$300,$B150,Закрытые!$B$5:$B$300,"T-*"))</f>
        <v/>
      </c>
      <c r="F150" s="246">
        <f>IF(SUMIFS(Торговля!$I$5:$I$300,Торговля!$E$5:$E$300,$B150)+SUMIFS(Закрытые!$I$5:$I$300,Закрытые!$E$5:$E$300,$B150,Закрытые!$B$5:$B$300,"T-*")=0,"",SUMIFS(Торговля!$I$5:$I$300,Торговля!$E$5:$E$300,$B150)+SUMIFS(Закрытые!$I$5:$I$300,Закрытые!$E$5:$E$300,$B150,Закрытые!$B$5:$B$300,"T-*"))</f>
        <v/>
      </c>
      <c r="G150" s="183">
        <f>IF(F150="","",(SUMPRODUCT((Торговля!$E$5:$E$300=$B150)*Торговля!$I$5:$I$300*Торговля!$J$5:$J$300)+SUMPRODUCT((Закрытые!$E$5:$E$300=$B150)*(LEFT(Закрытые!$B$5:$B$300,2)="T-")*Закрытые!$I$5:$I$300*Закрытые!$J$5:$J$300))/F150)</f>
        <v/>
      </c>
      <c r="H150" s="247">
        <f>IF(F150="","",SUMIFS(Торговля!$K$5:$K$300,Торговля!$E$5:$E$300,$B150)+SUMIFS(Закрытые!$K$5:$K$300,Закрытые!$E$5:$E$300,$B150,Закрытые!$B$5:$B$300,"T-*"))</f>
        <v/>
      </c>
      <c r="I150" s="246">
        <f>IF($B150="","",IF(COUNTIFS(Торговля!$E$5:$E$300,$B150)+COUNTIFS(Закрытые!$E$5:$E$300,$B150,Закрытые!$B$5:$B$300,"T-*")=0,"",ROUND(SUMIFS(Торговля!$L$5:$L$300,Торговля!$E$5:$E$300,$B150)+SUMIFS(Закрытые!$L$5:$L$300,Закрытые!$E$5:$E$300,$B150,Закрытые!$B$5:$B$300,"T-*"),8)))</f>
        <v/>
      </c>
      <c r="J150" s="247">
        <f>IF($B150="","",IF(COUNTIFS(Торговля!$E$5:$E$300,$B150)+COUNTIFS(Закрытые!$E$5:$E$300,$B150,Закрытые!$B$5:$B$300,"T-*")=0,"",ROUND(SUMIFS(Торговля!$M$5:$M$300,Торговля!$E$5:$E$300,$B150)+SUMIFS(Закрытые!$M$5:$M$300,Закрытые!$E$5:$E$300,$B150,Закрытые!$B$5:$B$300,"T-*"),8)))</f>
        <v/>
      </c>
      <c r="K150" s="246">
        <f>IF($B150="","",ROUND(SUMIFS(Закрытые!$N$5:$N$300,Закрытые!$E$5:$E$300,$B150,Закрытые!$B$5:$B$300,"T-*"),8))</f>
        <v/>
      </c>
      <c r="L150" s="183">
        <f>IF(K150="","",IF(SUMPRODUCT((Закрытые!$E$5:$E$300=$B150)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150/SUMPRODUCT((Закрытые!$E$5:$E$300=$B150)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0" s="183">
        <f>IF(OR(ROUND(N(C150)-N(F150),8)=0,1-N(Ввод!$E$17)/100&lt;=0),"",IF(N(C150)&gt;N(F150),(N(E150)-N(H150))/((N(C150)-N(F150))*(1-N(Ввод!$E$17)/100)),(N(H150)-N(E150))/((N(F150)-N(C150))*(1+N(Ввод!$E$17)/100))))</f>
        <v/>
      </c>
    </row>
    <row r="151" ht="22" customHeight="1">
      <c r="B151" s="315" t="n"/>
      <c r="C151" s="240">
        <f>IF(SUMIFS(Торговля!$F$5:$F$300,Торговля!$E$5:$E$300,$B151)+SUMIFS(Закрытые!$F$5:$F$300,Закрытые!$E$5:$E$300,$B151,Закрытые!$B$5:$B$300,"T-*")=0,"",SUMIFS(Торговля!$F$5:$F$300,Торговля!$E$5:$E$300,$B151)+SUMIFS(Закрытые!$F$5:$F$300,Закрытые!$E$5:$E$300,$B151,Закрытые!$B$5:$B$300,"T-*"))</f>
        <v/>
      </c>
      <c r="D151" s="177">
        <f>IF(C151="","",(SUMPRODUCT((Торговля!$E$5:$E$300=$B151)*Торговля!$F$5:$F$300*Торговля!$G$5:$G$300)+SUMPRODUCT((Закрытые!$E$5:$E$300=$B151)*(LEFT(Закрытые!$B$5:$B$300,2)="T-")*Закрытые!$F$5:$F$300*Закрытые!$G$5:$G$300))/C151)</f>
        <v/>
      </c>
      <c r="E151" s="241">
        <f>IF(C151="","",SUMIFS(Торговля!$H$5:$H$300,Торговля!$E$5:$E$300,$B151)+SUMIFS(Закрытые!$H$5:$H$300,Закрытые!$E$5:$E$300,$B151,Закрытые!$B$5:$B$300,"T-*"))</f>
        <v/>
      </c>
      <c r="F151" s="240">
        <f>IF(SUMIFS(Торговля!$I$5:$I$300,Торговля!$E$5:$E$300,$B151)+SUMIFS(Закрытые!$I$5:$I$300,Закрытые!$E$5:$E$300,$B151,Закрытые!$B$5:$B$300,"T-*")=0,"",SUMIFS(Торговля!$I$5:$I$300,Торговля!$E$5:$E$300,$B151)+SUMIFS(Закрытые!$I$5:$I$300,Закрытые!$E$5:$E$300,$B151,Закрытые!$B$5:$B$300,"T-*"))</f>
        <v/>
      </c>
      <c r="G151" s="177">
        <f>IF(F151="","",(SUMPRODUCT((Торговля!$E$5:$E$300=$B151)*Торговля!$I$5:$I$300*Торговля!$J$5:$J$300)+SUMPRODUCT((Закрытые!$E$5:$E$300=$B151)*(LEFT(Закрытые!$B$5:$B$300,2)="T-")*Закрытые!$I$5:$I$300*Закрытые!$J$5:$J$300))/F151)</f>
        <v/>
      </c>
      <c r="H151" s="241">
        <f>IF(F151="","",SUMIFS(Торговля!$K$5:$K$300,Торговля!$E$5:$E$300,$B151)+SUMIFS(Закрытые!$K$5:$K$300,Закрытые!$E$5:$E$300,$B151,Закрытые!$B$5:$B$300,"T-*"))</f>
        <v/>
      </c>
      <c r="I151" s="240">
        <f>IF($B151="","",IF(COUNTIFS(Торговля!$E$5:$E$300,$B151)+COUNTIFS(Закрытые!$E$5:$E$300,$B151,Закрытые!$B$5:$B$300,"T-*")=0,"",ROUND(SUMIFS(Торговля!$L$5:$L$300,Торговля!$E$5:$E$300,$B151)+SUMIFS(Закрытые!$L$5:$L$300,Закрытые!$E$5:$E$300,$B151,Закрытые!$B$5:$B$300,"T-*"),8)))</f>
        <v/>
      </c>
      <c r="J151" s="241">
        <f>IF($B151="","",IF(COUNTIFS(Торговля!$E$5:$E$300,$B151)+COUNTIFS(Закрытые!$E$5:$E$300,$B151,Закрытые!$B$5:$B$300,"T-*")=0,"",ROUND(SUMIFS(Торговля!$M$5:$M$300,Торговля!$E$5:$E$300,$B151)+SUMIFS(Закрытые!$M$5:$M$300,Закрытые!$E$5:$E$300,$B151,Закрытые!$B$5:$B$300,"T-*"),8)))</f>
        <v/>
      </c>
      <c r="K151" s="240">
        <f>IF($B151="","",ROUND(SUMIFS(Закрытые!$N$5:$N$300,Закрытые!$E$5:$E$300,$B151,Закрытые!$B$5:$B$300,"T-*"),8))</f>
        <v/>
      </c>
      <c r="L151" s="177">
        <f>IF(K151="","",IF(SUMPRODUCT((Закрытые!$E$5:$E$300=$B151)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151/SUMPRODUCT((Закрытые!$E$5:$E$300=$B151)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1" s="177">
        <f>IF(OR(ROUND(N(C151)-N(F151),8)=0,1-N(Ввод!$E$17)/100&lt;=0),"",IF(N(C151)&gt;N(F151),(N(E151)-N(H151))/((N(C151)-N(F151))*(1-N(Ввод!$E$17)/100)),(N(H151)-N(E151))/((N(F151)-N(C151))*(1+N(Ввод!$E$17)/100))))</f>
        <v/>
      </c>
    </row>
    <row r="152" ht="22" customHeight="1">
      <c r="B152" s="320" t="n"/>
      <c r="C152" s="246">
        <f>IF(SUMIFS(Торговля!$F$5:$F$300,Торговля!$E$5:$E$300,$B152)+SUMIFS(Закрытые!$F$5:$F$300,Закрытые!$E$5:$E$300,$B152,Закрытые!$B$5:$B$300,"T-*")=0,"",SUMIFS(Торговля!$F$5:$F$300,Торговля!$E$5:$E$300,$B152)+SUMIFS(Закрытые!$F$5:$F$300,Закрытые!$E$5:$E$300,$B152,Закрытые!$B$5:$B$300,"T-*"))</f>
        <v/>
      </c>
      <c r="D152" s="183">
        <f>IF(C152="","",(SUMPRODUCT((Торговля!$E$5:$E$300=$B152)*Торговля!$F$5:$F$300*Торговля!$G$5:$G$300)+SUMPRODUCT((Закрытые!$E$5:$E$300=$B152)*(LEFT(Закрытые!$B$5:$B$300,2)="T-")*Закрытые!$F$5:$F$300*Закрытые!$G$5:$G$300))/C152)</f>
        <v/>
      </c>
      <c r="E152" s="247">
        <f>IF(C152="","",SUMIFS(Торговля!$H$5:$H$300,Торговля!$E$5:$E$300,$B152)+SUMIFS(Закрытые!$H$5:$H$300,Закрытые!$E$5:$E$300,$B152,Закрытые!$B$5:$B$300,"T-*"))</f>
        <v/>
      </c>
      <c r="F152" s="246">
        <f>IF(SUMIFS(Торговля!$I$5:$I$300,Торговля!$E$5:$E$300,$B152)+SUMIFS(Закрытые!$I$5:$I$300,Закрытые!$E$5:$E$300,$B152,Закрытые!$B$5:$B$300,"T-*")=0,"",SUMIFS(Торговля!$I$5:$I$300,Торговля!$E$5:$E$300,$B152)+SUMIFS(Закрытые!$I$5:$I$300,Закрытые!$E$5:$E$300,$B152,Закрытые!$B$5:$B$300,"T-*"))</f>
        <v/>
      </c>
      <c r="G152" s="183">
        <f>IF(F152="","",(SUMPRODUCT((Торговля!$E$5:$E$300=$B152)*Торговля!$I$5:$I$300*Торговля!$J$5:$J$300)+SUMPRODUCT((Закрытые!$E$5:$E$300=$B152)*(LEFT(Закрытые!$B$5:$B$300,2)="T-")*Закрытые!$I$5:$I$300*Закрытые!$J$5:$J$300))/F152)</f>
        <v/>
      </c>
      <c r="H152" s="247">
        <f>IF(F152="","",SUMIFS(Торговля!$K$5:$K$300,Торговля!$E$5:$E$300,$B152)+SUMIFS(Закрытые!$K$5:$K$300,Закрытые!$E$5:$E$300,$B152,Закрытые!$B$5:$B$300,"T-*"))</f>
        <v/>
      </c>
      <c r="I152" s="246">
        <f>IF($B152="","",IF(COUNTIFS(Торговля!$E$5:$E$300,$B152)+COUNTIFS(Закрытые!$E$5:$E$300,$B152,Закрытые!$B$5:$B$300,"T-*")=0,"",ROUND(SUMIFS(Торговля!$L$5:$L$300,Торговля!$E$5:$E$300,$B152)+SUMIFS(Закрытые!$L$5:$L$300,Закрытые!$E$5:$E$300,$B152,Закрытые!$B$5:$B$300,"T-*"),8)))</f>
        <v/>
      </c>
      <c r="J152" s="247">
        <f>IF($B152="","",IF(COUNTIFS(Торговля!$E$5:$E$300,$B152)+COUNTIFS(Закрытые!$E$5:$E$300,$B152,Закрытые!$B$5:$B$300,"T-*")=0,"",ROUND(SUMIFS(Торговля!$M$5:$M$300,Торговля!$E$5:$E$300,$B152)+SUMIFS(Закрытые!$M$5:$M$300,Закрытые!$E$5:$E$300,$B152,Закрытые!$B$5:$B$300,"T-*"),8)))</f>
        <v/>
      </c>
      <c r="K152" s="246">
        <f>IF($B152="","",ROUND(SUMIFS(Закрытые!$N$5:$N$300,Закрытые!$E$5:$E$300,$B152,Закрытые!$B$5:$B$300,"T-*"),8))</f>
        <v/>
      </c>
      <c r="L152" s="183">
        <f>IF(K152="","",IF(SUMPRODUCT((Закрытые!$E$5:$E$300=$B152)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152/SUMPRODUCT((Закрытые!$E$5:$E$300=$B152)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2" s="183">
        <f>IF(OR(ROUND(N(C152)-N(F152),8)=0,1-N(Ввод!$E$17)/100&lt;=0),"",IF(N(C152)&gt;N(F152),(N(E152)-N(H152))/((N(C152)-N(F152))*(1-N(Ввод!$E$17)/100)),(N(H152)-N(E152))/((N(F152)-N(C152))*(1+N(Ввод!$E$17)/100))))</f>
        <v/>
      </c>
    </row>
    <row r="153" ht="22" customHeight="1">
      <c r="B153" s="315" t="n"/>
      <c r="C153" s="240">
        <f>IF(SUMIFS(Торговля!$F$5:$F$300,Торговля!$E$5:$E$300,$B153)+SUMIFS(Закрытые!$F$5:$F$300,Закрытые!$E$5:$E$300,$B153,Закрытые!$B$5:$B$300,"T-*")=0,"",SUMIFS(Торговля!$F$5:$F$300,Торговля!$E$5:$E$300,$B153)+SUMIFS(Закрытые!$F$5:$F$300,Закрытые!$E$5:$E$300,$B153,Закрытые!$B$5:$B$300,"T-*"))</f>
        <v/>
      </c>
      <c r="D153" s="177">
        <f>IF(C153="","",(SUMPRODUCT((Торговля!$E$5:$E$300=$B153)*Торговля!$F$5:$F$300*Торговля!$G$5:$G$300)+SUMPRODUCT((Закрытые!$E$5:$E$300=$B153)*(LEFT(Закрытые!$B$5:$B$300,2)="T-")*Закрытые!$F$5:$F$300*Закрытые!$G$5:$G$300))/C153)</f>
        <v/>
      </c>
      <c r="E153" s="241">
        <f>IF(C153="","",SUMIFS(Торговля!$H$5:$H$300,Торговля!$E$5:$E$300,$B153)+SUMIFS(Закрытые!$H$5:$H$300,Закрытые!$E$5:$E$300,$B153,Закрытые!$B$5:$B$300,"T-*"))</f>
        <v/>
      </c>
      <c r="F153" s="240">
        <f>IF(SUMIFS(Торговля!$I$5:$I$300,Торговля!$E$5:$E$300,$B153)+SUMIFS(Закрытые!$I$5:$I$300,Закрытые!$E$5:$E$300,$B153,Закрытые!$B$5:$B$300,"T-*")=0,"",SUMIFS(Торговля!$I$5:$I$300,Торговля!$E$5:$E$300,$B153)+SUMIFS(Закрытые!$I$5:$I$300,Закрытые!$E$5:$E$300,$B153,Закрытые!$B$5:$B$300,"T-*"))</f>
        <v/>
      </c>
      <c r="G153" s="177">
        <f>IF(F153="","",(SUMPRODUCT((Торговля!$E$5:$E$300=$B153)*Торговля!$I$5:$I$300*Торговля!$J$5:$J$300)+SUMPRODUCT((Закрытые!$E$5:$E$300=$B153)*(LEFT(Закрытые!$B$5:$B$300,2)="T-")*Закрытые!$I$5:$I$300*Закрытые!$J$5:$J$300))/F153)</f>
        <v/>
      </c>
      <c r="H153" s="241">
        <f>IF(F153="","",SUMIFS(Торговля!$K$5:$K$300,Торговля!$E$5:$E$300,$B153)+SUMIFS(Закрытые!$K$5:$K$300,Закрытые!$E$5:$E$300,$B153,Закрытые!$B$5:$B$300,"T-*"))</f>
        <v/>
      </c>
      <c r="I153" s="240">
        <f>IF($B153="","",IF(COUNTIFS(Торговля!$E$5:$E$300,$B153)+COUNTIFS(Закрытые!$E$5:$E$300,$B153,Закрытые!$B$5:$B$300,"T-*")=0,"",ROUND(SUMIFS(Торговля!$L$5:$L$300,Торговля!$E$5:$E$300,$B153)+SUMIFS(Закрытые!$L$5:$L$300,Закрытые!$E$5:$E$300,$B153,Закрытые!$B$5:$B$300,"T-*"),8)))</f>
        <v/>
      </c>
      <c r="J153" s="241">
        <f>IF($B153="","",IF(COUNTIFS(Торговля!$E$5:$E$300,$B153)+COUNTIFS(Закрытые!$E$5:$E$300,$B153,Закрытые!$B$5:$B$300,"T-*")=0,"",ROUND(SUMIFS(Торговля!$M$5:$M$300,Торговля!$E$5:$E$300,$B153)+SUMIFS(Закрытые!$M$5:$M$300,Закрытые!$E$5:$E$300,$B153,Закрытые!$B$5:$B$300,"T-*"),8)))</f>
        <v/>
      </c>
      <c r="K153" s="240">
        <f>IF($B153="","",ROUND(SUMIFS(Закрытые!$N$5:$N$300,Закрытые!$E$5:$E$300,$B153,Закрытые!$B$5:$B$300,"T-*"),8))</f>
        <v/>
      </c>
      <c r="L153" s="177">
        <f>IF(K153="","",IF(SUMPRODUCT((Закрытые!$E$5:$E$300=$B153)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153/SUMPRODUCT((Закрытые!$E$5:$E$300=$B153)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3" s="177">
        <f>IF(OR(ROUND(N(C153)-N(F153),8)=0,1-N(Ввод!$E$17)/100&lt;=0),"",IF(N(C153)&gt;N(F153),(N(E153)-N(H153))/((N(C153)-N(F153))*(1-N(Ввод!$E$17)/100)),(N(H153)-N(E153))/((N(F153)-N(C153))*(1+N(Ввод!$E$17)/100))))</f>
        <v/>
      </c>
    </row>
    <row r="154" ht="22" customHeight="1">
      <c r="B154" s="320" t="n"/>
      <c r="C154" s="246">
        <f>IF(SUMIFS(Торговля!$F$5:$F$300,Торговля!$E$5:$E$300,$B154)+SUMIFS(Закрытые!$F$5:$F$300,Закрытые!$E$5:$E$300,$B154,Закрытые!$B$5:$B$300,"T-*")=0,"",SUMIFS(Торговля!$F$5:$F$300,Торговля!$E$5:$E$300,$B154)+SUMIFS(Закрытые!$F$5:$F$300,Закрытые!$E$5:$E$300,$B154,Закрытые!$B$5:$B$300,"T-*"))</f>
        <v/>
      </c>
      <c r="D154" s="183">
        <f>IF(C154="","",(SUMPRODUCT((Торговля!$E$5:$E$300=$B154)*Торговля!$F$5:$F$300*Торговля!$G$5:$G$300)+SUMPRODUCT((Закрытые!$E$5:$E$300=$B154)*(LEFT(Закрытые!$B$5:$B$300,2)="T-")*Закрытые!$F$5:$F$300*Закрытые!$G$5:$G$300))/C154)</f>
        <v/>
      </c>
      <c r="E154" s="247">
        <f>IF(C154="","",SUMIFS(Торговля!$H$5:$H$300,Торговля!$E$5:$E$300,$B154)+SUMIFS(Закрытые!$H$5:$H$300,Закрытые!$E$5:$E$300,$B154,Закрытые!$B$5:$B$300,"T-*"))</f>
        <v/>
      </c>
      <c r="F154" s="246">
        <f>IF(SUMIFS(Торговля!$I$5:$I$300,Торговля!$E$5:$E$300,$B154)+SUMIFS(Закрытые!$I$5:$I$300,Закрытые!$E$5:$E$300,$B154,Закрытые!$B$5:$B$300,"T-*")=0,"",SUMIFS(Торговля!$I$5:$I$300,Торговля!$E$5:$E$300,$B154)+SUMIFS(Закрытые!$I$5:$I$300,Закрытые!$E$5:$E$300,$B154,Закрытые!$B$5:$B$300,"T-*"))</f>
        <v/>
      </c>
      <c r="G154" s="183">
        <f>IF(F154="","",(SUMPRODUCT((Торговля!$E$5:$E$300=$B154)*Торговля!$I$5:$I$300*Торговля!$J$5:$J$300)+SUMPRODUCT((Закрытые!$E$5:$E$300=$B154)*(LEFT(Закрытые!$B$5:$B$300,2)="T-")*Закрытые!$I$5:$I$300*Закрытые!$J$5:$J$300))/F154)</f>
        <v/>
      </c>
      <c r="H154" s="247">
        <f>IF(F154="","",SUMIFS(Торговля!$K$5:$K$300,Торговля!$E$5:$E$300,$B154)+SUMIFS(Закрытые!$K$5:$K$300,Закрытые!$E$5:$E$300,$B154,Закрытые!$B$5:$B$300,"T-*"))</f>
        <v/>
      </c>
      <c r="I154" s="246">
        <f>IF($B154="","",IF(COUNTIFS(Торговля!$E$5:$E$300,$B154)+COUNTIFS(Закрытые!$E$5:$E$300,$B154,Закрытые!$B$5:$B$300,"T-*")=0,"",ROUND(SUMIFS(Торговля!$L$5:$L$300,Торговля!$E$5:$E$300,$B154)+SUMIFS(Закрытые!$L$5:$L$300,Закрытые!$E$5:$E$300,$B154,Закрытые!$B$5:$B$300,"T-*"),8)))</f>
        <v/>
      </c>
      <c r="J154" s="247">
        <f>IF($B154="","",IF(COUNTIFS(Торговля!$E$5:$E$300,$B154)+COUNTIFS(Закрытые!$E$5:$E$300,$B154,Закрытые!$B$5:$B$300,"T-*")=0,"",ROUND(SUMIFS(Торговля!$M$5:$M$300,Торговля!$E$5:$E$300,$B154)+SUMIFS(Закрытые!$M$5:$M$300,Закрытые!$E$5:$E$300,$B154,Закрытые!$B$5:$B$300,"T-*"),8)))</f>
        <v/>
      </c>
      <c r="K154" s="246">
        <f>IF($B154="","",ROUND(SUMIFS(Закрытые!$N$5:$N$300,Закрытые!$E$5:$E$300,$B154,Закрытые!$B$5:$B$300,"T-*"),8))</f>
        <v/>
      </c>
      <c r="L154" s="183">
        <f>IF(K154="","",IF(SUMPRODUCT((Закрытые!$E$5:$E$300=$B154)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154/SUMPRODUCT((Закрытые!$E$5:$E$300=$B154)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4" s="183">
        <f>IF(OR(ROUND(N(C154)-N(F154),8)=0,1-N(Ввод!$E$17)/100&lt;=0),"",IF(N(C154)&gt;N(F154),(N(E154)-N(H154))/((N(C154)-N(F154))*(1-N(Ввод!$E$17)/100)),(N(H154)-N(E154))/((N(F154)-N(C154))*(1+N(Ввод!$E$17)/100))))</f>
        <v/>
      </c>
    </row>
    <row r="155" ht="22" customHeight="1">
      <c r="B155" s="315" t="n"/>
      <c r="C155" s="240">
        <f>IF(SUMIFS(Торговля!$F$5:$F$300,Торговля!$E$5:$E$300,$B155)+SUMIFS(Закрытые!$F$5:$F$300,Закрытые!$E$5:$E$300,$B155,Закрытые!$B$5:$B$300,"T-*")=0,"",SUMIFS(Торговля!$F$5:$F$300,Торговля!$E$5:$E$300,$B155)+SUMIFS(Закрытые!$F$5:$F$300,Закрытые!$E$5:$E$300,$B155,Закрытые!$B$5:$B$300,"T-*"))</f>
        <v/>
      </c>
      <c r="D155" s="177">
        <f>IF(C155="","",(SUMPRODUCT((Торговля!$E$5:$E$300=$B155)*Торговля!$F$5:$F$300*Торговля!$G$5:$G$300)+SUMPRODUCT((Закрытые!$E$5:$E$300=$B155)*(LEFT(Закрытые!$B$5:$B$300,2)="T-")*Закрытые!$F$5:$F$300*Закрытые!$G$5:$G$300))/C155)</f>
        <v/>
      </c>
      <c r="E155" s="241">
        <f>IF(C155="","",SUMIFS(Торговля!$H$5:$H$300,Торговля!$E$5:$E$300,$B155)+SUMIFS(Закрытые!$H$5:$H$300,Закрытые!$E$5:$E$300,$B155,Закрытые!$B$5:$B$300,"T-*"))</f>
        <v/>
      </c>
      <c r="F155" s="240">
        <f>IF(SUMIFS(Торговля!$I$5:$I$300,Торговля!$E$5:$E$300,$B155)+SUMIFS(Закрытые!$I$5:$I$300,Закрытые!$E$5:$E$300,$B155,Закрытые!$B$5:$B$300,"T-*")=0,"",SUMIFS(Торговля!$I$5:$I$300,Торговля!$E$5:$E$300,$B155)+SUMIFS(Закрытые!$I$5:$I$300,Закрытые!$E$5:$E$300,$B155,Закрытые!$B$5:$B$300,"T-*"))</f>
        <v/>
      </c>
      <c r="G155" s="177">
        <f>IF(F155="","",(SUMPRODUCT((Торговля!$E$5:$E$300=$B155)*Торговля!$I$5:$I$300*Торговля!$J$5:$J$300)+SUMPRODUCT((Закрытые!$E$5:$E$300=$B155)*(LEFT(Закрытые!$B$5:$B$300,2)="T-")*Закрытые!$I$5:$I$300*Закрытые!$J$5:$J$300))/F155)</f>
        <v/>
      </c>
      <c r="H155" s="241">
        <f>IF(F155="","",SUMIFS(Торговля!$K$5:$K$300,Торговля!$E$5:$E$300,$B155)+SUMIFS(Закрытые!$K$5:$K$300,Закрытые!$E$5:$E$300,$B155,Закрытые!$B$5:$B$300,"T-*"))</f>
        <v/>
      </c>
      <c r="I155" s="240">
        <f>IF($B155="","",IF(COUNTIFS(Торговля!$E$5:$E$300,$B155)+COUNTIFS(Закрытые!$E$5:$E$300,$B155,Закрытые!$B$5:$B$300,"T-*")=0,"",ROUND(SUMIFS(Торговля!$L$5:$L$300,Торговля!$E$5:$E$300,$B155)+SUMIFS(Закрытые!$L$5:$L$300,Закрытые!$E$5:$E$300,$B155,Закрытые!$B$5:$B$300,"T-*"),8)))</f>
        <v/>
      </c>
      <c r="J155" s="241">
        <f>IF($B155="","",IF(COUNTIFS(Торговля!$E$5:$E$300,$B155)+COUNTIFS(Закрытые!$E$5:$E$300,$B155,Закрытые!$B$5:$B$300,"T-*")=0,"",ROUND(SUMIFS(Торговля!$M$5:$M$300,Торговля!$E$5:$E$300,$B155)+SUMIFS(Закрытые!$M$5:$M$300,Закрытые!$E$5:$E$300,$B155,Закрытые!$B$5:$B$300,"T-*"),8)))</f>
        <v/>
      </c>
      <c r="K155" s="240">
        <f>IF($B155="","",ROUND(SUMIFS(Закрытые!$N$5:$N$300,Закрытые!$E$5:$E$300,$B155,Закрытые!$B$5:$B$300,"T-*"),8))</f>
        <v/>
      </c>
      <c r="L155" s="177">
        <f>IF(K155="","",IF(SUMPRODUCT((Закрытые!$E$5:$E$300=$B155)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155/SUMPRODUCT((Закрытые!$E$5:$E$300=$B155)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5" s="177">
        <f>IF(OR(ROUND(N(C155)-N(F155),8)=0,1-N(Ввод!$E$17)/100&lt;=0),"",IF(N(C155)&gt;N(F155),(N(E155)-N(H155))/((N(C155)-N(F155))*(1-N(Ввод!$E$17)/100)),(N(H155)-N(E155))/((N(F155)-N(C155))*(1+N(Ввод!$E$17)/100))))</f>
        <v/>
      </c>
    </row>
    <row r="156" ht="22" customHeight="1">
      <c r="B156" s="320" t="n"/>
      <c r="C156" s="246">
        <f>IF(SUMIFS(Торговля!$F$5:$F$300,Торговля!$E$5:$E$300,$B156)+SUMIFS(Закрытые!$F$5:$F$300,Закрытые!$E$5:$E$300,$B156,Закрытые!$B$5:$B$300,"T-*")=0,"",SUMIFS(Торговля!$F$5:$F$300,Торговля!$E$5:$E$300,$B156)+SUMIFS(Закрытые!$F$5:$F$300,Закрытые!$E$5:$E$300,$B156,Закрытые!$B$5:$B$300,"T-*"))</f>
        <v/>
      </c>
      <c r="D156" s="183">
        <f>IF(C156="","",(SUMPRODUCT((Торговля!$E$5:$E$300=$B156)*Торговля!$F$5:$F$300*Торговля!$G$5:$G$300)+SUMPRODUCT((Закрытые!$E$5:$E$300=$B156)*(LEFT(Закрытые!$B$5:$B$300,2)="T-")*Закрытые!$F$5:$F$300*Закрытые!$G$5:$G$300))/C156)</f>
        <v/>
      </c>
      <c r="E156" s="247">
        <f>IF(C156="","",SUMIFS(Торговля!$H$5:$H$300,Торговля!$E$5:$E$300,$B156)+SUMIFS(Закрытые!$H$5:$H$300,Закрытые!$E$5:$E$300,$B156,Закрытые!$B$5:$B$300,"T-*"))</f>
        <v/>
      </c>
      <c r="F156" s="246">
        <f>IF(SUMIFS(Торговля!$I$5:$I$300,Торговля!$E$5:$E$300,$B156)+SUMIFS(Закрытые!$I$5:$I$300,Закрытые!$E$5:$E$300,$B156,Закрытые!$B$5:$B$300,"T-*")=0,"",SUMIFS(Торговля!$I$5:$I$300,Торговля!$E$5:$E$300,$B156)+SUMIFS(Закрытые!$I$5:$I$300,Закрытые!$E$5:$E$300,$B156,Закрытые!$B$5:$B$300,"T-*"))</f>
        <v/>
      </c>
      <c r="G156" s="183">
        <f>IF(F156="","",(SUMPRODUCT((Торговля!$E$5:$E$300=$B156)*Торговля!$I$5:$I$300*Торговля!$J$5:$J$300)+SUMPRODUCT((Закрытые!$E$5:$E$300=$B156)*(LEFT(Закрытые!$B$5:$B$300,2)="T-")*Закрытые!$I$5:$I$300*Закрытые!$J$5:$J$300))/F156)</f>
        <v/>
      </c>
      <c r="H156" s="247">
        <f>IF(F156="","",SUMIFS(Торговля!$K$5:$K$300,Торговля!$E$5:$E$300,$B156)+SUMIFS(Закрытые!$K$5:$K$300,Закрытые!$E$5:$E$300,$B156,Закрытые!$B$5:$B$300,"T-*"))</f>
        <v/>
      </c>
      <c r="I156" s="246">
        <f>IF($B156="","",IF(COUNTIFS(Торговля!$E$5:$E$300,$B156)+COUNTIFS(Закрытые!$E$5:$E$300,$B156,Закрытые!$B$5:$B$300,"T-*")=0,"",ROUND(SUMIFS(Торговля!$L$5:$L$300,Торговля!$E$5:$E$300,$B156)+SUMIFS(Закрытые!$L$5:$L$300,Закрытые!$E$5:$E$300,$B156,Закрытые!$B$5:$B$300,"T-*"),8)))</f>
        <v/>
      </c>
      <c r="J156" s="247">
        <f>IF($B156="","",IF(COUNTIFS(Торговля!$E$5:$E$300,$B156)+COUNTIFS(Закрытые!$E$5:$E$300,$B156,Закрытые!$B$5:$B$300,"T-*")=0,"",ROUND(SUMIFS(Торговля!$M$5:$M$300,Торговля!$E$5:$E$300,$B156)+SUMIFS(Закрытые!$M$5:$M$300,Закрытые!$E$5:$E$300,$B156,Закрытые!$B$5:$B$300,"T-*"),8)))</f>
        <v/>
      </c>
      <c r="K156" s="246">
        <f>IF($B156="","",ROUND(SUMIFS(Закрытые!$N$5:$N$300,Закрытые!$E$5:$E$300,$B156,Закрытые!$B$5:$B$300,"T-*"),8))</f>
        <v/>
      </c>
      <c r="L156" s="183">
        <f>IF(K156="","",IF(SUMPRODUCT((Закрытые!$E$5:$E$300=$B156)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156/SUMPRODUCT((Закрытые!$E$5:$E$300=$B156)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6" s="183">
        <f>IF(OR(ROUND(N(C156)-N(F156),8)=0,1-N(Ввод!$E$17)/100&lt;=0),"",IF(N(C156)&gt;N(F156),(N(E156)-N(H156))/((N(C156)-N(F156))*(1-N(Ввод!$E$17)/100)),(N(H156)-N(E156))/((N(F156)-N(C156))*(1+N(Ввод!$E$17)/100))))</f>
        <v/>
      </c>
    </row>
    <row r="157" ht="22" customHeight="1">
      <c r="B157" s="315" t="n"/>
      <c r="C157" s="240">
        <f>IF(SUMIFS(Торговля!$F$5:$F$300,Торговля!$E$5:$E$300,$B157)+SUMIFS(Закрытые!$F$5:$F$300,Закрытые!$E$5:$E$300,$B157,Закрытые!$B$5:$B$300,"T-*")=0,"",SUMIFS(Торговля!$F$5:$F$300,Торговля!$E$5:$E$300,$B157)+SUMIFS(Закрытые!$F$5:$F$300,Закрытые!$E$5:$E$300,$B157,Закрытые!$B$5:$B$300,"T-*"))</f>
        <v/>
      </c>
      <c r="D157" s="177">
        <f>IF(C157="","",(SUMPRODUCT((Торговля!$E$5:$E$300=$B157)*Торговля!$F$5:$F$300*Торговля!$G$5:$G$300)+SUMPRODUCT((Закрытые!$E$5:$E$300=$B157)*(LEFT(Закрытые!$B$5:$B$300,2)="T-")*Закрытые!$F$5:$F$300*Закрытые!$G$5:$G$300))/C157)</f>
        <v/>
      </c>
      <c r="E157" s="241">
        <f>IF(C157="","",SUMIFS(Торговля!$H$5:$H$300,Торговля!$E$5:$E$300,$B157)+SUMIFS(Закрытые!$H$5:$H$300,Закрытые!$E$5:$E$300,$B157,Закрытые!$B$5:$B$300,"T-*"))</f>
        <v/>
      </c>
      <c r="F157" s="240">
        <f>IF(SUMIFS(Торговля!$I$5:$I$300,Торговля!$E$5:$E$300,$B157)+SUMIFS(Закрытые!$I$5:$I$300,Закрытые!$E$5:$E$300,$B157,Закрытые!$B$5:$B$300,"T-*")=0,"",SUMIFS(Торговля!$I$5:$I$300,Торговля!$E$5:$E$300,$B157)+SUMIFS(Закрытые!$I$5:$I$300,Закрытые!$E$5:$E$300,$B157,Закрытые!$B$5:$B$300,"T-*"))</f>
        <v/>
      </c>
      <c r="G157" s="177">
        <f>IF(F157="","",(SUMPRODUCT((Торговля!$E$5:$E$300=$B157)*Торговля!$I$5:$I$300*Торговля!$J$5:$J$300)+SUMPRODUCT((Закрытые!$E$5:$E$300=$B157)*(LEFT(Закрытые!$B$5:$B$300,2)="T-")*Закрытые!$I$5:$I$300*Закрытые!$J$5:$J$300))/F157)</f>
        <v/>
      </c>
      <c r="H157" s="241">
        <f>IF(F157="","",SUMIFS(Торговля!$K$5:$K$300,Торговля!$E$5:$E$300,$B157)+SUMIFS(Закрытые!$K$5:$K$300,Закрытые!$E$5:$E$300,$B157,Закрытые!$B$5:$B$300,"T-*"))</f>
        <v/>
      </c>
      <c r="I157" s="240">
        <f>IF($B157="","",IF(COUNTIFS(Торговля!$E$5:$E$300,$B157)+COUNTIFS(Закрытые!$E$5:$E$300,$B157,Закрытые!$B$5:$B$300,"T-*")=0,"",ROUND(SUMIFS(Торговля!$L$5:$L$300,Торговля!$E$5:$E$300,$B157)+SUMIFS(Закрытые!$L$5:$L$300,Закрытые!$E$5:$E$300,$B157,Закрытые!$B$5:$B$300,"T-*"),8)))</f>
        <v/>
      </c>
      <c r="J157" s="241">
        <f>IF($B157="","",IF(COUNTIFS(Торговля!$E$5:$E$300,$B157)+COUNTIFS(Закрытые!$E$5:$E$300,$B157,Закрытые!$B$5:$B$300,"T-*")=0,"",ROUND(SUMIFS(Торговля!$M$5:$M$300,Торговля!$E$5:$E$300,$B157)+SUMIFS(Закрытые!$M$5:$M$300,Закрытые!$E$5:$E$300,$B157,Закрытые!$B$5:$B$300,"T-*"),8)))</f>
        <v/>
      </c>
      <c r="K157" s="240">
        <f>IF($B157="","",ROUND(SUMIFS(Закрытые!$N$5:$N$300,Закрытые!$E$5:$E$300,$B157,Закрытые!$B$5:$B$300,"T-*"),8))</f>
        <v/>
      </c>
      <c r="L157" s="177">
        <f>IF(K157="","",IF(SUMPRODUCT((Закрытые!$E$5:$E$300=$B157)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157/SUMPRODUCT((Закрытые!$E$5:$E$300=$B157)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7" s="177">
        <f>IF(OR(ROUND(N(C157)-N(F157),8)=0,1-N(Ввод!$E$17)/100&lt;=0),"",IF(N(C157)&gt;N(F157),(N(E157)-N(H157))/((N(C157)-N(F157))*(1-N(Ввод!$E$17)/100)),(N(H157)-N(E157))/((N(F157)-N(C157))*(1+N(Ввод!$E$17)/100))))</f>
        <v/>
      </c>
    </row>
    <row r="158" ht="22" customHeight="1">
      <c r="B158" s="320" t="n"/>
      <c r="C158" s="246">
        <f>IF(SUMIFS(Торговля!$F$5:$F$300,Торговля!$E$5:$E$300,$B158)+SUMIFS(Закрытые!$F$5:$F$300,Закрытые!$E$5:$E$300,$B158,Закрытые!$B$5:$B$300,"T-*")=0,"",SUMIFS(Торговля!$F$5:$F$300,Торговля!$E$5:$E$300,$B158)+SUMIFS(Закрытые!$F$5:$F$300,Закрытые!$E$5:$E$300,$B158,Закрытые!$B$5:$B$300,"T-*"))</f>
        <v/>
      </c>
      <c r="D158" s="183">
        <f>IF(C158="","",(SUMPRODUCT((Торговля!$E$5:$E$300=$B158)*Торговля!$F$5:$F$300*Торговля!$G$5:$G$300)+SUMPRODUCT((Закрытые!$E$5:$E$300=$B158)*(LEFT(Закрытые!$B$5:$B$300,2)="T-")*Закрытые!$F$5:$F$300*Закрытые!$G$5:$G$300))/C158)</f>
        <v/>
      </c>
      <c r="E158" s="247">
        <f>IF(C158="","",SUMIFS(Торговля!$H$5:$H$300,Торговля!$E$5:$E$300,$B158)+SUMIFS(Закрытые!$H$5:$H$300,Закрытые!$E$5:$E$300,$B158,Закрытые!$B$5:$B$300,"T-*"))</f>
        <v/>
      </c>
      <c r="F158" s="246">
        <f>IF(SUMIFS(Торговля!$I$5:$I$300,Торговля!$E$5:$E$300,$B158)+SUMIFS(Закрытые!$I$5:$I$300,Закрытые!$E$5:$E$300,$B158,Закрытые!$B$5:$B$300,"T-*")=0,"",SUMIFS(Торговля!$I$5:$I$300,Торговля!$E$5:$E$300,$B158)+SUMIFS(Закрытые!$I$5:$I$300,Закрытые!$E$5:$E$300,$B158,Закрытые!$B$5:$B$300,"T-*"))</f>
        <v/>
      </c>
      <c r="G158" s="183">
        <f>IF(F158="","",(SUMPRODUCT((Торговля!$E$5:$E$300=$B158)*Торговля!$I$5:$I$300*Торговля!$J$5:$J$300)+SUMPRODUCT((Закрытые!$E$5:$E$300=$B158)*(LEFT(Закрытые!$B$5:$B$300,2)="T-")*Закрытые!$I$5:$I$300*Закрытые!$J$5:$J$300))/F158)</f>
        <v/>
      </c>
      <c r="H158" s="247">
        <f>IF(F158="","",SUMIFS(Торговля!$K$5:$K$300,Торговля!$E$5:$E$300,$B158)+SUMIFS(Закрытые!$K$5:$K$300,Закрытые!$E$5:$E$300,$B158,Закрытые!$B$5:$B$300,"T-*"))</f>
        <v/>
      </c>
      <c r="I158" s="246">
        <f>IF($B158="","",IF(COUNTIFS(Торговля!$E$5:$E$300,$B158)+COUNTIFS(Закрытые!$E$5:$E$300,$B158,Закрытые!$B$5:$B$300,"T-*")=0,"",ROUND(SUMIFS(Торговля!$L$5:$L$300,Торговля!$E$5:$E$300,$B158)+SUMIFS(Закрытые!$L$5:$L$300,Закрытые!$E$5:$E$300,$B158,Закрытые!$B$5:$B$300,"T-*"),8)))</f>
        <v/>
      </c>
      <c r="J158" s="247">
        <f>IF($B158="","",IF(COUNTIFS(Торговля!$E$5:$E$300,$B158)+COUNTIFS(Закрытые!$E$5:$E$300,$B158,Закрытые!$B$5:$B$300,"T-*")=0,"",ROUND(SUMIFS(Торговля!$M$5:$M$300,Торговля!$E$5:$E$300,$B158)+SUMIFS(Закрытые!$M$5:$M$300,Закрытые!$E$5:$E$300,$B158,Закрытые!$B$5:$B$300,"T-*"),8)))</f>
        <v/>
      </c>
      <c r="K158" s="246">
        <f>IF($B158="","",ROUND(SUMIFS(Закрытые!$N$5:$N$300,Закрытые!$E$5:$E$300,$B158,Закрытые!$B$5:$B$300,"T-*"),8))</f>
        <v/>
      </c>
      <c r="L158" s="183">
        <f>IF(K158="","",IF(SUMPRODUCT((Закрытые!$E$5:$E$300=$B158)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158/SUMPRODUCT((Закрытые!$E$5:$E$300=$B158)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8" s="183">
        <f>IF(OR(ROUND(N(C158)-N(F158),8)=0,1-N(Ввод!$E$17)/100&lt;=0),"",IF(N(C158)&gt;N(F158),(N(E158)-N(H158))/((N(C158)-N(F158))*(1-N(Ввод!$E$17)/100)),(N(H158)-N(E158))/((N(F158)-N(C158))*(1+N(Ввод!$E$17)/100))))</f>
        <v/>
      </c>
    </row>
    <row r="159" ht="22" customHeight="1">
      <c r="B159" s="315" t="n"/>
      <c r="C159" s="240">
        <f>IF(SUMIFS(Торговля!$F$5:$F$300,Торговля!$E$5:$E$300,$B159)+SUMIFS(Закрытые!$F$5:$F$300,Закрытые!$E$5:$E$300,$B159,Закрытые!$B$5:$B$300,"T-*")=0,"",SUMIFS(Торговля!$F$5:$F$300,Торговля!$E$5:$E$300,$B159)+SUMIFS(Закрытые!$F$5:$F$300,Закрытые!$E$5:$E$300,$B159,Закрытые!$B$5:$B$300,"T-*"))</f>
        <v/>
      </c>
      <c r="D159" s="177">
        <f>IF(C159="","",(SUMPRODUCT((Торговля!$E$5:$E$300=$B159)*Торговля!$F$5:$F$300*Торговля!$G$5:$G$300)+SUMPRODUCT((Закрытые!$E$5:$E$300=$B159)*(LEFT(Закрытые!$B$5:$B$300,2)="T-")*Закрытые!$F$5:$F$300*Закрытые!$G$5:$G$300))/C159)</f>
        <v/>
      </c>
      <c r="E159" s="241">
        <f>IF(C159="","",SUMIFS(Торговля!$H$5:$H$300,Торговля!$E$5:$E$300,$B159)+SUMIFS(Закрытые!$H$5:$H$300,Закрытые!$E$5:$E$300,$B159,Закрытые!$B$5:$B$300,"T-*"))</f>
        <v/>
      </c>
      <c r="F159" s="240">
        <f>IF(SUMIFS(Торговля!$I$5:$I$300,Торговля!$E$5:$E$300,$B159)+SUMIFS(Закрытые!$I$5:$I$300,Закрытые!$E$5:$E$300,$B159,Закрытые!$B$5:$B$300,"T-*")=0,"",SUMIFS(Торговля!$I$5:$I$300,Торговля!$E$5:$E$300,$B159)+SUMIFS(Закрытые!$I$5:$I$300,Закрытые!$E$5:$E$300,$B159,Закрытые!$B$5:$B$300,"T-*"))</f>
        <v/>
      </c>
      <c r="G159" s="177">
        <f>IF(F159="","",(SUMPRODUCT((Торговля!$E$5:$E$300=$B159)*Торговля!$I$5:$I$300*Торговля!$J$5:$J$300)+SUMPRODUCT((Закрытые!$E$5:$E$300=$B159)*(LEFT(Закрытые!$B$5:$B$300,2)="T-")*Закрытые!$I$5:$I$300*Закрытые!$J$5:$J$300))/F159)</f>
        <v/>
      </c>
      <c r="H159" s="241">
        <f>IF(F159="","",SUMIFS(Торговля!$K$5:$K$300,Торговля!$E$5:$E$300,$B159)+SUMIFS(Закрытые!$K$5:$K$300,Закрытые!$E$5:$E$300,$B159,Закрытые!$B$5:$B$300,"T-*"))</f>
        <v/>
      </c>
      <c r="I159" s="240">
        <f>IF($B159="","",IF(COUNTIFS(Торговля!$E$5:$E$300,$B159)+COUNTIFS(Закрытые!$E$5:$E$300,$B159,Закрытые!$B$5:$B$300,"T-*")=0,"",ROUND(SUMIFS(Торговля!$L$5:$L$300,Торговля!$E$5:$E$300,$B159)+SUMIFS(Закрытые!$L$5:$L$300,Закрытые!$E$5:$E$300,$B159,Закрытые!$B$5:$B$300,"T-*"),8)))</f>
        <v/>
      </c>
      <c r="J159" s="241">
        <f>IF($B159="","",IF(COUNTIFS(Торговля!$E$5:$E$300,$B159)+COUNTIFS(Закрытые!$E$5:$E$300,$B159,Закрытые!$B$5:$B$300,"T-*")=0,"",ROUND(SUMIFS(Торговля!$M$5:$M$300,Торговля!$E$5:$E$300,$B159)+SUMIFS(Закрытые!$M$5:$M$300,Закрытые!$E$5:$E$300,$B159,Закрытые!$B$5:$B$300,"T-*"),8)))</f>
        <v/>
      </c>
      <c r="K159" s="240">
        <f>IF($B159="","",ROUND(SUMIFS(Закрытые!$N$5:$N$300,Закрытые!$E$5:$E$300,$B159,Закрытые!$B$5:$B$300,"T-*"),8))</f>
        <v/>
      </c>
      <c r="L159" s="177">
        <f>IF(K159="","",IF(SUMPRODUCT((Закрытые!$E$5:$E$300=$B159)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159/SUMPRODUCT((Закрытые!$E$5:$E$300=$B159)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9" s="177">
        <f>IF(OR(ROUND(N(C159)-N(F159),8)=0,1-N(Ввод!$E$17)/100&lt;=0),"",IF(N(C159)&gt;N(F159),(N(E159)-N(H159))/((N(C159)-N(F159))*(1-N(Ввод!$E$17)/100)),(N(H159)-N(E159))/((N(F159)-N(C159))*(1+N(Ввод!$E$17)/100))))</f>
        <v/>
      </c>
    </row>
    <row r="160" ht="22" customHeight="1">
      <c r="B160" s="320" t="n"/>
      <c r="C160" s="246">
        <f>IF(SUMIFS(Торговля!$F$5:$F$300,Торговля!$E$5:$E$300,$B160)+SUMIFS(Закрытые!$F$5:$F$300,Закрытые!$E$5:$E$300,$B160,Закрытые!$B$5:$B$300,"T-*")=0,"",SUMIFS(Торговля!$F$5:$F$300,Торговля!$E$5:$E$300,$B160)+SUMIFS(Закрытые!$F$5:$F$300,Закрытые!$E$5:$E$300,$B160,Закрытые!$B$5:$B$300,"T-*"))</f>
        <v/>
      </c>
      <c r="D160" s="183">
        <f>IF(C160="","",(SUMPRODUCT((Торговля!$E$5:$E$300=$B160)*Торговля!$F$5:$F$300*Торговля!$G$5:$G$300)+SUMPRODUCT((Закрытые!$E$5:$E$300=$B160)*(LEFT(Закрытые!$B$5:$B$300,2)="T-")*Закрытые!$F$5:$F$300*Закрытые!$G$5:$G$300))/C160)</f>
        <v/>
      </c>
      <c r="E160" s="247">
        <f>IF(C160="","",SUMIFS(Торговля!$H$5:$H$300,Торговля!$E$5:$E$300,$B160)+SUMIFS(Закрытые!$H$5:$H$300,Закрытые!$E$5:$E$300,$B160,Закрытые!$B$5:$B$300,"T-*"))</f>
        <v/>
      </c>
      <c r="F160" s="246">
        <f>IF(SUMIFS(Торговля!$I$5:$I$300,Торговля!$E$5:$E$300,$B160)+SUMIFS(Закрытые!$I$5:$I$300,Закрытые!$E$5:$E$300,$B160,Закрытые!$B$5:$B$300,"T-*")=0,"",SUMIFS(Торговля!$I$5:$I$300,Торговля!$E$5:$E$300,$B160)+SUMIFS(Закрытые!$I$5:$I$300,Закрытые!$E$5:$E$300,$B160,Закрытые!$B$5:$B$300,"T-*"))</f>
        <v/>
      </c>
      <c r="G160" s="183">
        <f>IF(F160="","",(SUMPRODUCT((Торговля!$E$5:$E$300=$B160)*Торговля!$I$5:$I$300*Торговля!$J$5:$J$300)+SUMPRODUCT((Закрытые!$E$5:$E$300=$B160)*(LEFT(Закрытые!$B$5:$B$300,2)="T-")*Закрытые!$I$5:$I$300*Закрытые!$J$5:$J$300))/F160)</f>
        <v/>
      </c>
      <c r="H160" s="247">
        <f>IF(F160="","",SUMIFS(Торговля!$K$5:$K$300,Торговля!$E$5:$E$300,$B160)+SUMIFS(Закрытые!$K$5:$K$300,Закрытые!$E$5:$E$300,$B160,Закрытые!$B$5:$B$300,"T-*"))</f>
        <v/>
      </c>
      <c r="I160" s="246">
        <f>IF($B160="","",IF(COUNTIFS(Торговля!$E$5:$E$300,$B160)+COUNTIFS(Закрытые!$E$5:$E$300,$B160,Закрытые!$B$5:$B$300,"T-*")=0,"",ROUND(SUMIFS(Торговля!$L$5:$L$300,Торговля!$E$5:$E$300,$B160)+SUMIFS(Закрытые!$L$5:$L$300,Закрытые!$E$5:$E$300,$B160,Закрытые!$B$5:$B$300,"T-*"),8)))</f>
        <v/>
      </c>
      <c r="J160" s="247">
        <f>IF($B160="","",IF(COUNTIFS(Торговля!$E$5:$E$300,$B160)+COUNTIFS(Закрытые!$E$5:$E$300,$B160,Закрытые!$B$5:$B$300,"T-*")=0,"",ROUND(SUMIFS(Торговля!$M$5:$M$300,Торговля!$E$5:$E$300,$B160)+SUMIFS(Закрытые!$M$5:$M$300,Закрытые!$E$5:$E$300,$B160,Закрытые!$B$5:$B$300,"T-*"),8)))</f>
        <v/>
      </c>
      <c r="K160" s="246">
        <f>IF($B160="","",ROUND(SUMIFS(Закрытые!$N$5:$N$300,Закрытые!$E$5:$E$300,$B160,Закрытые!$B$5:$B$300,"T-*"),8))</f>
        <v/>
      </c>
      <c r="L160" s="183">
        <f>IF(K160="","",IF(SUMPRODUCT((Закрытые!$E$5:$E$300=$B160)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160/SUMPRODUCT((Закрытые!$E$5:$E$300=$B160)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0" s="183">
        <f>IF(OR(ROUND(N(C160)-N(F160),8)=0,1-N(Ввод!$E$17)/100&lt;=0),"",IF(N(C160)&gt;N(F160),(N(E160)-N(H160))/((N(C160)-N(F160))*(1-N(Ввод!$E$17)/100)),(N(H160)-N(E160))/((N(F160)-N(C160))*(1+N(Ввод!$E$17)/100))))</f>
        <v/>
      </c>
    </row>
    <row r="161" ht="22" customHeight="1">
      <c r="B161" s="315" t="n"/>
      <c r="C161" s="240">
        <f>IF(SUMIFS(Торговля!$F$5:$F$300,Торговля!$E$5:$E$300,$B161)+SUMIFS(Закрытые!$F$5:$F$300,Закрытые!$E$5:$E$300,$B161,Закрытые!$B$5:$B$300,"T-*")=0,"",SUMIFS(Торговля!$F$5:$F$300,Торговля!$E$5:$E$300,$B161)+SUMIFS(Закрытые!$F$5:$F$300,Закрытые!$E$5:$E$300,$B161,Закрытые!$B$5:$B$300,"T-*"))</f>
        <v/>
      </c>
      <c r="D161" s="177">
        <f>IF(C161="","",(SUMPRODUCT((Торговля!$E$5:$E$300=$B161)*Торговля!$F$5:$F$300*Торговля!$G$5:$G$300)+SUMPRODUCT((Закрытые!$E$5:$E$300=$B161)*(LEFT(Закрытые!$B$5:$B$300,2)="T-")*Закрытые!$F$5:$F$300*Закрытые!$G$5:$G$300))/C161)</f>
        <v/>
      </c>
      <c r="E161" s="241">
        <f>IF(C161="","",SUMIFS(Торговля!$H$5:$H$300,Торговля!$E$5:$E$300,$B161)+SUMIFS(Закрытые!$H$5:$H$300,Закрытые!$E$5:$E$300,$B161,Закрытые!$B$5:$B$300,"T-*"))</f>
        <v/>
      </c>
      <c r="F161" s="240">
        <f>IF(SUMIFS(Торговля!$I$5:$I$300,Торговля!$E$5:$E$300,$B161)+SUMIFS(Закрытые!$I$5:$I$300,Закрытые!$E$5:$E$300,$B161,Закрытые!$B$5:$B$300,"T-*")=0,"",SUMIFS(Торговля!$I$5:$I$300,Торговля!$E$5:$E$300,$B161)+SUMIFS(Закрытые!$I$5:$I$300,Закрытые!$E$5:$E$300,$B161,Закрытые!$B$5:$B$300,"T-*"))</f>
        <v/>
      </c>
      <c r="G161" s="177">
        <f>IF(F161="","",(SUMPRODUCT((Торговля!$E$5:$E$300=$B161)*Торговля!$I$5:$I$300*Торговля!$J$5:$J$300)+SUMPRODUCT((Закрытые!$E$5:$E$300=$B161)*(LEFT(Закрытые!$B$5:$B$300,2)="T-")*Закрытые!$I$5:$I$300*Закрытые!$J$5:$J$300))/F161)</f>
        <v/>
      </c>
      <c r="H161" s="241">
        <f>IF(F161="","",SUMIFS(Торговля!$K$5:$K$300,Торговля!$E$5:$E$300,$B161)+SUMIFS(Закрытые!$K$5:$K$300,Закрытые!$E$5:$E$300,$B161,Закрытые!$B$5:$B$300,"T-*"))</f>
        <v/>
      </c>
      <c r="I161" s="240">
        <f>IF($B161="","",IF(COUNTIFS(Торговля!$E$5:$E$300,$B161)+COUNTIFS(Закрытые!$E$5:$E$300,$B161,Закрытые!$B$5:$B$300,"T-*")=0,"",ROUND(SUMIFS(Торговля!$L$5:$L$300,Торговля!$E$5:$E$300,$B161)+SUMIFS(Закрытые!$L$5:$L$300,Закрытые!$E$5:$E$300,$B161,Закрытые!$B$5:$B$300,"T-*"),8)))</f>
        <v/>
      </c>
      <c r="J161" s="241">
        <f>IF($B161="","",IF(COUNTIFS(Торговля!$E$5:$E$300,$B161)+COUNTIFS(Закрытые!$E$5:$E$300,$B161,Закрытые!$B$5:$B$300,"T-*")=0,"",ROUND(SUMIFS(Торговля!$M$5:$M$300,Торговля!$E$5:$E$300,$B161)+SUMIFS(Закрытые!$M$5:$M$300,Закрытые!$E$5:$E$300,$B161,Закрытые!$B$5:$B$300,"T-*"),8)))</f>
        <v/>
      </c>
      <c r="K161" s="240">
        <f>IF($B161="","",ROUND(SUMIFS(Закрытые!$N$5:$N$300,Закрытые!$E$5:$E$300,$B161,Закрытые!$B$5:$B$300,"T-*"),8))</f>
        <v/>
      </c>
      <c r="L161" s="177">
        <f>IF(K161="","",IF(SUMPRODUCT((Закрытые!$E$5:$E$300=$B161)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161/SUMPRODUCT((Закрытые!$E$5:$E$300=$B161)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1" s="177">
        <f>IF(OR(ROUND(N(C161)-N(F161),8)=0,1-N(Ввод!$E$17)/100&lt;=0),"",IF(N(C161)&gt;N(F161),(N(E161)-N(H161))/((N(C161)-N(F161))*(1-N(Ввод!$E$17)/100)),(N(H161)-N(E161))/((N(F161)-N(C161))*(1+N(Ввод!$E$17)/100))))</f>
        <v/>
      </c>
    </row>
    <row r="162" ht="22" customHeight="1">
      <c r="B162" s="320" t="n"/>
      <c r="C162" s="246">
        <f>IF(SUMIFS(Торговля!$F$5:$F$300,Торговля!$E$5:$E$300,$B162)+SUMIFS(Закрытые!$F$5:$F$300,Закрытые!$E$5:$E$300,$B162,Закрытые!$B$5:$B$300,"T-*")=0,"",SUMIFS(Торговля!$F$5:$F$300,Торговля!$E$5:$E$300,$B162)+SUMIFS(Закрытые!$F$5:$F$300,Закрытые!$E$5:$E$300,$B162,Закрытые!$B$5:$B$300,"T-*"))</f>
        <v/>
      </c>
      <c r="D162" s="183">
        <f>IF(C162="","",(SUMPRODUCT((Торговля!$E$5:$E$300=$B162)*Торговля!$F$5:$F$300*Торговля!$G$5:$G$300)+SUMPRODUCT((Закрытые!$E$5:$E$300=$B162)*(LEFT(Закрытые!$B$5:$B$300,2)="T-")*Закрытые!$F$5:$F$300*Закрытые!$G$5:$G$300))/C162)</f>
        <v/>
      </c>
      <c r="E162" s="247">
        <f>IF(C162="","",SUMIFS(Торговля!$H$5:$H$300,Торговля!$E$5:$E$300,$B162)+SUMIFS(Закрытые!$H$5:$H$300,Закрытые!$E$5:$E$300,$B162,Закрытые!$B$5:$B$300,"T-*"))</f>
        <v/>
      </c>
      <c r="F162" s="246">
        <f>IF(SUMIFS(Торговля!$I$5:$I$300,Торговля!$E$5:$E$300,$B162)+SUMIFS(Закрытые!$I$5:$I$300,Закрытые!$E$5:$E$300,$B162,Закрытые!$B$5:$B$300,"T-*")=0,"",SUMIFS(Торговля!$I$5:$I$300,Торговля!$E$5:$E$300,$B162)+SUMIFS(Закрытые!$I$5:$I$300,Закрытые!$E$5:$E$300,$B162,Закрытые!$B$5:$B$300,"T-*"))</f>
        <v/>
      </c>
      <c r="G162" s="183">
        <f>IF(F162="","",(SUMPRODUCT((Торговля!$E$5:$E$300=$B162)*Торговля!$I$5:$I$300*Торговля!$J$5:$J$300)+SUMPRODUCT((Закрытые!$E$5:$E$300=$B162)*(LEFT(Закрытые!$B$5:$B$300,2)="T-")*Закрытые!$I$5:$I$300*Закрытые!$J$5:$J$300))/F162)</f>
        <v/>
      </c>
      <c r="H162" s="247">
        <f>IF(F162="","",SUMIFS(Торговля!$K$5:$K$300,Торговля!$E$5:$E$300,$B162)+SUMIFS(Закрытые!$K$5:$K$300,Закрытые!$E$5:$E$300,$B162,Закрытые!$B$5:$B$300,"T-*"))</f>
        <v/>
      </c>
      <c r="I162" s="246">
        <f>IF($B162="","",IF(COUNTIFS(Торговля!$E$5:$E$300,$B162)+COUNTIFS(Закрытые!$E$5:$E$300,$B162,Закрытые!$B$5:$B$300,"T-*")=0,"",ROUND(SUMIFS(Торговля!$L$5:$L$300,Торговля!$E$5:$E$300,$B162)+SUMIFS(Закрытые!$L$5:$L$300,Закрытые!$E$5:$E$300,$B162,Закрытые!$B$5:$B$300,"T-*"),8)))</f>
        <v/>
      </c>
      <c r="J162" s="247">
        <f>IF($B162="","",IF(COUNTIFS(Торговля!$E$5:$E$300,$B162)+COUNTIFS(Закрытые!$E$5:$E$300,$B162,Закрытые!$B$5:$B$300,"T-*")=0,"",ROUND(SUMIFS(Торговля!$M$5:$M$300,Торговля!$E$5:$E$300,$B162)+SUMIFS(Закрытые!$M$5:$M$300,Закрытые!$E$5:$E$300,$B162,Закрытые!$B$5:$B$300,"T-*"),8)))</f>
        <v/>
      </c>
      <c r="K162" s="246">
        <f>IF($B162="","",ROUND(SUMIFS(Закрытые!$N$5:$N$300,Закрытые!$E$5:$E$300,$B162,Закрытые!$B$5:$B$300,"T-*"),8))</f>
        <v/>
      </c>
      <c r="L162" s="183">
        <f>IF(K162="","",IF(SUMPRODUCT((Закрытые!$E$5:$E$300=$B162)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162/SUMPRODUCT((Закрытые!$E$5:$E$300=$B162)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2" s="183">
        <f>IF(OR(ROUND(N(C162)-N(F162),8)=0,1-N(Ввод!$E$17)/100&lt;=0),"",IF(N(C162)&gt;N(F162),(N(E162)-N(H162))/((N(C162)-N(F162))*(1-N(Ввод!$E$17)/100)),(N(H162)-N(E162))/((N(F162)-N(C162))*(1+N(Ввод!$E$17)/100))))</f>
        <v/>
      </c>
    </row>
    <row r="163" ht="22" customHeight="1">
      <c r="B163" s="315" t="n"/>
      <c r="C163" s="240">
        <f>IF(SUMIFS(Торговля!$F$5:$F$300,Торговля!$E$5:$E$300,$B163)+SUMIFS(Закрытые!$F$5:$F$300,Закрытые!$E$5:$E$300,$B163,Закрытые!$B$5:$B$300,"T-*")=0,"",SUMIFS(Торговля!$F$5:$F$300,Торговля!$E$5:$E$300,$B163)+SUMIFS(Закрытые!$F$5:$F$300,Закрытые!$E$5:$E$300,$B163,Закрытые!$B$5:$B$300,"T-*"))</f>
        <v/>
      </c>
      <c r="D163" s="177">
        <f>IF(C163="","",(SUMPRODUCT((Торговля!$E$5:$E$300=$B163)*Торговля!$F$5:$F$300*Торговля!$G$5:$G$300)+SUMPRODUCT((Закрытые!$E$5:$E$300=$B163)*(LEFT(Закрытые!$B$5:$B$300,2)="T-")*Закрытые!$F$5:$F$300*Закрытые!$G$5:$G$300))/C163)</f>
        <v/>
      </c>
      <c r="E163" s="241">
        <f>IF(C163="","",SUMIFS(Торговля!$H$5:$H$300,Торговля!$E$5:$E$300,$B163)+SUMIFS(Закрытые!$H$5:$H$300,Закрытые!$E$5:$E$300,$B163,Закрытые!$B$5:$B$300,"T-*"))</f>
        <v/>
      </c>
      <c r="F163" s="240">
        <f>IF(SUMIFS(Торговля!$I$5:$I$300,Торговля!$E$5:$E$300,$B163)+SUMIFS(Закрытые!$I$5:$I$300,Закрытые!$E$5:$E$300,$B163,Закрытые!$B$5:$B$300,"T-*")=0,"",SUMIFS(Торговля!$I$5:$I$300,Торговля!$E$5:$E$300,$B163)+SUMIFS(Закрытые!$I$5:$I$300,Закрытые!$E$5:$E$300,$B163,Закрытые!$B$5:$B$300,"T-*"))</f>
        <v/>
      </c>
      <c r="G163" s="177">
        <f>IF(F163="","",(SUMPRODUCT((Торговля!$E$5:$E$300=$B163)*Торговля!$I$5:$I$300*Торговля!$J$5:$J$300)+SUMPRODUCT((Закрытые!$E$5:$E$300=$B163)*(LEFT(Закрытые!$B$5:$B$300,2)="T-")*Закрытые!$I$5:$I$300*Закрытые!$J$5:$J$300))/F163)</f>
        <v/>
      </c>
      <c r="H163" s="241">
        <f>IF(F163="","",SUMIFS(Торговля!$K$5:$K$300,Торговля!$E$5:$E$300,$B163)+SUMIFS(Закрытые!$K$5:$K$300,Закрытые!$E$5:$E$300,$B163,Закрытые!$B$5:$B$300,"T-*"))</f>
        <v/>
      </c>
      <c r="I163" s="240">
        <f>IF($B163="","",IF(COUNTIFS(Торговля!$E$5:$E$300,$B163)+COUNTIFS(Закрытые!$E$5:$E$300,$B163,Закрытые!$B$5:$B$300,"T-*")=0,"",ROUND(SUMIFS(Торговля!$L$5:$L$300,Торговля!$E$5:$E$300,$B163)+SUMIFS(Закрытые!$L$5:$L$300,Закрытые!$E$5:$E$300,$B163,Закрытые!$B$5:$B$300,"T-*"),8)))</f>
        <v/>
      </c>
      <c r="J163" s="241">
        <f>IF($B163="","",IF(COUNTIFS(Торговля!$E$5:$E$300,$B163)+COUNTIFS(Закрытые!$E$5:$E$300,$B163,Закрытые!$B$5:$B$300,"T-*")=0,"",ROUND(SUMIFS(Торговля!$M$5:$M$300,Торговля!$E$5:$E$300,$B163)+SUMIFS(Закрытые!$M$5:$M$300,Закрытые!$E$5:$E$300,$B163,Закрытые!$B$5:$B$300,"T-*"),8)))</f>
        <v/>
      </c>
      <c r="K163" s="240">
        <f>IF($B163="","",ROUND(SUMIFS(Закрытые!$N$5:$N$300,Закрытые!$E$5:$E$300,$B163,Закрытые!$B$5:$B$300,"T-*"),8))</f>
        <v/>
      </c>
      <c r="L163" s="177">
        <f>IF(K163="","",IF(SUMPRODUCT((Закрытые!$E$5:$E$300=$B163)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163/SUMPRODUCT((Закрытые!$E$5:$E$300=$B163)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3" s="177">
        <f>IF(OR(ROUND(N(C163)-N(F163),8)=0,1-N(Ввод!$E$17)/100&lt;=0),"",IF(N(C163)&gt;N(F163),(N(E163)-N(H163))/((N(C163)-N(F163))*(1-N(Ввод!$E$17)/100)),(N(H163)-N(E163))/((N(F163)-N(C163))*(1+N(Ввод!$E$17)/100))))</f>
        <v/>
      </c>
    </row>
    <row r="164" ht="22" customHeight="1">
      <c r="B164" s="320" t="n"/>
      <c r="C164" s="246">
        <f>IF(SUMIFS(Торговля!$F$5:$F$300,Торговля!$E$5:$E$300,$B164)+SUMIFS(Закрытые!$F$5:$F$300,Закрытые!$E$5:$E$300,$B164,Закрытые!$B$5:$B$300,"T-*")=0,"",SUMIFS(Торговля!$F$5:$F$300,Торговля!$E$5:$E$300,$B164)+SUMIFS(Закрытые!$F$5:$F$300,Закрытые!$E$5:$E$300,$B164,Закрытые!$B$5:$B$300,"T-*"))</f>
        <v/>
      </c>
      <c r="D164" s="183">
        <f>IF(C164="","",(SUMPRODUCT((Торговля!$E$5:$E$300=$B164)*Торговля!$F$5:$F$300*Торговля!$G$5:$G$300)+SUMPRODUCT((Закрытые!$E$5:$E$300=$B164)*(LEFT(Закрытые!$B$5:$B$300,2)="T-")*Закрытые!$F$5:$F$300*Закрытые!$G$5:$G$300))/C164)</f>
        <v/>
      </c>
      <c r="E164" s="247">
        <f>IF(C164="","",SUMIFS(Торговля!$H$5:$H$300,Торговля!$E$5:$E$300,$B164)+SUMIFS(Закрытые!$H$5:$H$300,Закрытые!$E$5:$E$300,$B164,Закрытые!$B$5:$B$300,"T-*"))</f>
        <v/>
      </c>
      <c r="F164" s="246">
        <f>IF(SUMIFS(Торговля!$I$5:$I$300,Торговля!$E$5:$E$300,$B164)+SUMIFS(Закрытые!$I$5:$I$300,Закрытые!$E$5:$E$300,$B164,Закрытые!$B$5:$B$300,"T-*")=0,"",SUMIFS(Торговля!$I$5:$I$300,Торговля!$E$5:$E$300,$B164)+SUMIFS(Закрытые!$I$5:$I$300,Закрытые!$E$5:$E$300,$B164,Закрытые!$B$5:$B$300,"T-*"))</f>
        <v/>
      </c>
      <c r="G164" s="183">
        <f>IF(F164="","",(SUMPRODUCT((Торговля!$E$5:$E$300=$B164)*Торговля!$I$5:$I$300*Торговля!$J$5:$J$300)+SUMPRODUCT((Закрытые!$E$5:$E$300=$B164)*(LEFT(Закрытые!$B$5:$B$300,2)="T-")*Закрытые!$I$5:$I$300*Закрытые!$J$5:$J$300))/F164)</f>
        <v/>
      </c>
      <c r="H164" s="247">
        <f>IF(F164="","",SUMIFS(Торговля!$K$5:$K$300,Торговля!$E$5:$E$300,$B164)+SUMIFS(Закрытые!$K$5:$K$300,Закрытые!$E$5:$E$300,$B164,Закрытые!$B$5:$B$300,"T-*"))</f>
        <v/>
      </c>
      <c r="I164" s="246">
        <f>IF($B164="","",IF(COUNTIFS(Торговля!$E$5:$E$300,$B164)+COUNTIFS(Закрытые!$E$5:$E$300,$B164,Закрытые!$B$5:$B$300,"T-*")=0,"",ROUND(SUMIFS(Торговля!$L$5:$L$300,Торговля!$E$5:$E$300,$B164)+SUMIFS(Закрытые!$L$5:$L$300,Закрытые!$E$5:$E$300,$B164,Закрытые!$B$5:$B$300,"T-*"),8)))</f>
        <v/>
      </c>
      <c r="J164" s="247">
        <f>IF($B164="","",IF(COUNTIFS(Торговля!$E$5:$E$300,$B164)+COUNTIFS(Закрытые!$E$5:$E$300,$B164,Закрытые!$B$5:$B$300,"T-*")=0,"",ROUND(SUMIFS(Торговля!$M$5:$M$300,Торговля!$E$5:$E$300,$B164)+SUMIFS(Закрытые!$M$5:$M$300,Закрытые!$E$5:$E$300,$B164,Закрытые!$B$5:$B$300,"T-*"),8)))</f>
        <v/>
      </c>
      <c r="K164" s="246">
        <f>IF($B164="","",ROUND(SUMIFS(Закрытые!$N$5:$N$300,Закрытые!$E$5:$E$300,$B164,Закрытые!$B$5:$B$300,"T-*"),8))</f>
        <v/>
      </c>
      <c r="L164" s="183">
        <f>IF(K164="","",IF(SUMPRODUCT((Закрытые!$E$5:$E$300=$B164)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164/SUMPRODUCT((Закрытые!$E$5:$E$300=$B164)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4" s="183">
        <f>IF(OR(ROUND(N(C164)-N(F164),8)=0,1-N(Ввод!$E$17)/100&lt;=0),"",IF(N(C164)&gt;N(F164),(N(E164)-N(H164))/((N(C164)-N(F164))*(1-N(Ввод!$E$17)/100)),(N(H164)-N(E164))/((N(F164)-N(C164))*(1+N(Ввод!$E$17)/100))))</f>
        <v/>
      </c>
    </row>
    <row r="165" ht="22" customHeight="1">
      <c r="B165" s="315" t="n"/>
      <c r="C165" s="240">
        <f>IF(SUMIFS(Торговля!$F$5:$F$300,Торговля!$E$5:$E$300,$B165)+SUMIFS(Закрытые!$F$5:$F$300,Закрытые!$E$5:$E$300,$B165,Закрытые!$B$5:$B$300,"T-*")=0,"",SUMIFS(Торговля!$F$5:$F$300,Торговля!$E$5:$E$300,$B165)+SUMIFS(Закрытые!$F$5:$F$300,Закрытые!$E$5:$E$300,$B165,Закрытые!$B$5:$B$300,"T-*"))</f>
        <v/>
      </c>
      <c r="D165" s="177">
        <f>IF(C165="","",(SUMPRODUCT((Торговля!$E$5:$E$300=$B165)*Торговля!$F$5:$F$300*Торговля!$G$5:$G$300)+SUMPRODUCT((Закрытые!$E$5:$E$300=$B165)*(LEFT(Закрытые!$B$5:$B$300,2)="T-")*Закрытые!$F$5:$F$300*Закрытые!$G$5:$G$300))/C165)</f>
        <v/>
      </c>
      <c r="E165" s="241">
        <f>IF(C165="","",SUMIFS(Торговля!$H$5:$H$300,Торговля!$E$5:$E$300,$B165)+SUMIFS(Закрытые!$H$5:$H$300,Закрытые!$E$5:$E$300,$B165,Закрытые!$B$5:$B$300,"T-*"))</f>
        <v/>
      </c>
      <c r="F165" s="240">
        <f>IF(SUMIFS(Торговля!$I$5:$I$300,Торговля!$E$5:$E$300,$B165)+SUMIFS(Закрытые!$I$5:$I$300,Закрытые!$E$5:$E$300,$B165,Закрытые!$B$5:$B$300,"T-*")=0,"",SUMIFS(Торговля!$I$5:$I$300,Торговля!$E$5:$E$300,$B165)+SUMIFS(Закрытые!$I$5:$I$300,Закрытые!$E$5:$E$300,$B165,Закрытые!$B$5:$B$300,"T-*"))</f>
        <v/>
      </c>
      <c r="G165" s="177">
        <f>IF(F165="","",(SUMPRODUCT((Торговля!$E$5:$E$300=$B165)*Торговля!$I$5:$I$300*Торговля!$J$5:$J$300)+SUMPRODUCT((Закрытые!$E$5:$E$300=$B165)*(LEFT(Закрытые!$B$5:$B$300,2)="T-")*Закрытые!$I$5:$I$300*Закрытые!$J$5:$J$300))/F165)</f>
        <v/>
      </c>
      <c r="H165" s="241">
        <f>IF(F165="","",SUMIFS(Торговля!$K$5:$K$300,Торговля!$E$5:$E$300,$B165)+SUMIFS(Закрытые!$K$5:$K$300,Закрытые!$E$5:$E$300,$B165,Закрытые!$B$5:$B$300,"T-*"))</f>
        <v/>
      </c>
      <c r="I165" s="240">
        <f>IF($B165="","",IF(COUNTIFS(Торговля!$E$5:$E$300,$B165)+COUNTIFS(Закрытые!$E$5:$E$300,$B165,Закрытые!$B$5:$B$300,"T-*")=0,"",ROUND(SUMIFS(Торговля!$L$5:$L$300,Торговля!$E$5:$E$300,$B165)+SUMIFS(Закрытые!$L$5:$L$300,Закрытые!$E$5:$E$300,$B165,Закрытые!$B$5:$B$300,"T-*"),8)))</f>
        <v/>
      </c>
      <c r="J165" s="241">
        <f>IF($B165="","",IF(COUNTIFS(Торговля!$E$5:$E$300,$B165)+COUNTIFS(Закрытые!$E$5:$E$300,$B165,Закрытые!$B$5:$B$300,"T-*")=0,"",ROUND(SUMIFS(Торговля!$M$5:$M$300,Торговля!$E$5:$E$300,$B165)+SUMIFS(Закрытые!$M$5:$M$300,Закрытые!$E$5:$E$300,$B165,Закрытые!$B$5:$B$300,"T-*"),8)))</f>
        <v/>
      </c>
      <c r="K165" s="240">
        <f>IF($B165="","",ROUND(SUMIFS(Закрытые!$N$5:$N$300,Закрытые!$E$5:$E$300,$B165,Закрытые!$B$5:$B$300,"T-*"),8))</f>
        <v/>
      </c>
      <c r="L165" s="177">
        <f>IF(K165="","",IF(SUMPRODUCT((Закрытые!$E$5:$E$300=$B165)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165/SUMPRODUCT((Закрытые!$E$5:$E$300=$B165)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5" s="177">
        <f>IF(OR(ROUND(N(C165)-N(F165),8)=0,1-N(Ввод!$E$17)/100&lt;=0),"",IF(N(C165)&gt;N(F165),(N(E165)-N(H165))/((N(C165)-N(F165))*(1-N(Ввод!$E$17)/100)),(N(H165)-N(E165))/((N(F165)-N(C165))*(1+N(Ввод!$E$17)/100))))</f>
        <v/>
      </c>
    </row>
    <row r="166" ht="22" customHeight="1">
      <c r="B166" s="320" t="n"/>
      <c r="C166" s="246">
        <f>IF(SUMIFS(Торговля!$F$5:$F$300,Торговля!$E$5:$E$300,$B166)+SUMIFS(Закрытые!$F$5:$F$300,Закрытые!$E$5:$E$300,$B166,Закрытые!$B$5:$B$300,"T-*")=0,"",SUMIFS(Торговля!$F$5:$F$300,Торговля!$E$5:$E$300,$B166)+SUMIFS(Закрытые!$F$5:$F$300,Закрытые!$E$5:$E$300,$B166,Закрытые!$B$5:$B$300,"T-*"))</f>
        <v/>
      </c>
      <c r="D166" s="183">
        <f>IF(C166="","",(SUMPRODUCT((Торговля!$E$5:$E$300=$B166)*Торговля!$F$5:$F$300*Торговля!$G$5:$G$300)+SUMPRODUCT((Закрытые!$E$5:$E$300=$B166)*(LEFT(Закрытые!$B$5:$B$300,2)="T-")*Закрытые!$F$5:$F$300*Закрытые!$G$5:$G$300))/C166)</f>
        <v/>
      </c>
      <c r="E166" s="247">
        <f>IF(C166="","",SUMIFS(Торговля!$H$5:$H$300,Торговля!$E$5:$E$300,$B166)+SUMIFS(Закрытые!$H$5:$H$300,Закрытые!$E$5:$E$300,$B166,Закрытые!$B$5:$B$300,"T-*"))</f>
        <v/>
      </c>
      <c r="F166" s="246">
        <f>IF(SUMIFS(Торговля!$I$5:$I$300,Торговля!$E$5:$E$300,$B166)+SUMIFS(Закрытые!$I$5:$I$300,Закрытые!$E$5:$E$300,$B166,Закрытые!$B$5:$B$300,"T-*")=0,"",SUMIFS(Торговля!$I$5:$I$300,Торговля!$E$5:$E$300,$B166)+SUMIFS(Закрытые!$I$5:$I$300,Закрытые!$E$5:$E$300,$B166,Закрытые!$B$5:$B$300,"T-*"))</f>
        <v/>
      </c>
      <c r="G166" s="183">
        <f>IF(F166="","",(SUMPRODUCT((Торговля!$E$5:$E$300=$B166)*Торговля!$I$5:$I$300*Торговля!$J$5:$J$300)+SUMPRODUCT((Закрытые!$E$5:$E$300=$B166)*(LEFT(Закрытые!$B$5:$B$300,2)="T-")*Закрытые!$I$5:$I$300*Закрытые!$J$5:$J$300))/F166)</f>
        <v/>
      </c>
      <c r="H166" s="247">
        <f>IF(F166="","",SUMIFS(Торговля!$K$5:$K$300,Торговля!$E$5:$E$300,$B166)+SUMIFS(Закрытые!$K$5:$K$300,Закрытые!$E$5:$E$300,$B166,Закрытые!$B$5:$B$300,"T-*"))</f>
        <v/>
      </c>
      <c r="I166" s="246">
        <f>IF($B166="","",IF(COUNTIFS(Торговля!$E$5:$E$300,$B166)+COUNTIFS(Закрытые!$E$5:$E$300,$B166,Закрытые!$B$5:$B$300,"T-*")=0,"",ROUND(SUMIFS(Торговля!$L$5:$L$300,Торговля!$E$5:$E$300,$B166)+SUMIFS(Закрытые!$L$5:$L$300,Закрытые!$E$5:$E$300,$B166,Закрытые!$B$5:$B$300,"T-*"),8)))</f>
        <v/>
      </c>
      <c r="J166" s="247">
        <f>IF($B166="","",IF(COUNTIFS(Торговля!$E$5:$E$300,$B166)+COUNTIFS(Закрытые!$E$5:$E$300,$B166,Закрытые!$B$5:$B$300,"T-*")=0,"",ROUND(SUMIFS(Торговля!$M$5:$M$300,Торговля!$E$5:$E$300,$B166)+SUMIFS(Закрытые!$M$5:$M$300,Закрытые!$E$5:$E$300,$B166,Закрытые!$B$5:$B$300,"T-*"),8)))</f>
        <v/>
      </c>
      <c r="K166" s="246">
        <f>IF($B166="","",ROUND(SUMIFS(Закрытые!$N$5:$N$300,Закрытые!$E$5:$E$300,$B166,Закрытые!$B$5:$B$300,"T-*"),8))</f>
        <v/>
      </c>
      <c r="L166" s="183">
        <f>IF(K166="","",IF(SUMPRODUCT((Закрытые!$E$5:$E$300=$B166)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166/SUMPRODUCT((Закрытые!$E$5:$E$300=$B166)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6" s="183">
        <f>IF(OR(ROUND(N(C166)-N(F166),8)=0,1-N(Ввод!$E$17)/100&lt;=0),"",IF(N(C166)&gt;N(F166),(N(E166)-N(H166))/((N(C166)-N(F166))*(1-N(Ввод!$E$17)/100)),(N(H166)-N(E166))/((N(F166)-N(C166))*(1+N(Ввод!$E$17)/100))))</f>
        <v/>
      </c>
    </row>
    <row r="167" ht="22" customHeight="1">
      <c r="B167" s="315" t="n"/>
      <c r="C167" s="240">
        <f>IF(SUMIFS(Торговля!$F$5:$F$300,Торговля!$E$5:$E$300,$B167)+SUMIFS(Закрытые!$F$5:$F$300,Закрытые!$E$5:$E$300,$B167,Закрытые!$B$5:$B$300,"T-*")=0,"",SUMIFS(Торговля!$F$5:$F$300,Торговля!$E$5:$E$300,$B167)+SUMIFS(Закрытые!$F$5:$F$300,Закрытые!$E$5:$E$300,$B167,Закрытые!$B$5:$B$300,"T-*"))</f>
        <v/>
      </c>
      <c r="D167" s="177">
        <f>IF(C167="","",(SUMPRODUCT((Торговля!$E$5:$E$300=$B167)*Торговля!$F$5:$F$300*Торговля!$G$5:$G$300)+SUMPRODUCT((Закрытые!$E$5:$E$300=$B167)*(LEFT(Закрытые!$B$5:$B$300,2)="T-")*Закрытые!$F$5:$F$300*Закрытые!$G$5:$G$300))/C167)</f>
        <v/>
      </c>
      <c r="E167" s="241">
        <f>IF(C167="","",SUMIFS(Торговля!$H$5:$H$300,Торговля!$E$5:$E$300,$B167)+SUMIFS(Закрытые!$H$5:$H$300,Закрытые!$E$5:$E$300,$B167,Закрытые!$B$5:$B$300,"T-*"))</f>
        <v/>
      </c>
      <c r="F167" s="240">
        <f>IF(SUMIFS(Торговля!$I$5:$I$300,Торговля!$E$5:$E$300,$B167)+SUMIFS(Закрытые!$I$5:$I$300,Закрытые!$E$5:$E$300,$B167,Закрытые!$B$5:$B$300,"T-*")=0,"",SUMIFS(Торговля!$I$5:$I$300,Торговля!$E$5:$E$300,$B167)+SUMIFS(Закрытые!$I$5:$I$300,Закрытые!$E$5:$E$300,$B167,Закрытые!$B$5:$B$300,"T-*"))</f>
        <v/>
      </c>
      <c r="G167" s="177">
        <f>IF(F167="","",(SUMPRODUCT((Торговля!$E$5:$E$300=$B167)*Торговля!$I$5:$I$300*Торговля!$J$5:$J$300)+SUMPRODUCT((Закрытые!$E$5:$E$300=$B167)*(LEFT(Закрытые!$B$5:$B$300,2)="T-")*Закрытые!$I$5:$I$300*Закрытые!$J$5:$J$300))/F167)</f>
        <v/>
      </c>
      <c r="H167" s="241">
        <f>IF(F167="","",SUMIFS(Торговля!$K$5:$K$300,Торговля!$E$5:$E$300,$B167)+SUMIFS(Закрытые!$K$5:$K$300,Закрытые!$E$5:$E$300,$B167,Закрытые!$B$5:$B$300,"T-*"))</f>
        <v/>
      </c>
      <c r="I167" s="240">
        <f>IF($B167="","",IF(COUNTIFS(Торговля!$E$5:$E$300,$B167)+COUNTIFS(Закрытые!$E$5:$E$300,$B167,Закрытые!$B$5:$B$300,"T-*")=0,"",ROUND(SUMIFS(Торговля!$L$5:$L$300,Торговля!$E$5:$E$300,$B167)+SUMIFS(Закрытые!$L$5:$L$300,Закрытые!$E$5:$E$300,$B167,Закрытые!$B$5:$B$300,"T-*"),8)))</f>
        <v/>
      </c>
      <c r="J167" s="241">
        <f>IF($B167="","",IF(COUNTIFS(Торговля!$E$5:$E$300,$B167)+COUNTIFS(Закрытые!$E$5:$E$300,$B167,Закрытые!$B$5:$B$300,"T-*")=0,"",ROUND(SUMIFS(Торговля!$M$5:$M$300,Торговля!$E$5:$E$300,$B167)+SUMIFS(Закрытые!$M$5:$M$300,Закрытые!$E$5:$E$300,$B167,Закрытые!$B$5:$B$300,"T-*"),8)))</f>
        <v/>
      </c>
      <c r="K167" s="240">
        <f>IF($B167="","",ROUND(SUMIFS(Закрытые!$N$5:$N$300,Закрытые!$E$5:$E$300,$B167,Закрытые!$B$5:$B$300,"T-*"),8))</f>
        <v/>
      </c>
      <c r="L167" s="177">
        <f>IF(K167="","",IF(SUMPRODUCT((Закрытые!$E$5:$E$300=$B167)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167/SUMPRODUCT((Закрытые!$E$5:$E$300=$B167)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7" s="177">
        <f>IF(OR(ROUND(N(C167)-N(F167),8)=0,1-N(Ввод!$E$17)/100&lt;=0),"",IF(N(C167)&gt;N(F167),(N(E167)-N(H167))/((N(C167)-N(F167))*(1-N(Ввод!$E$17)/100)),(N(H167)-N(E167))/((N(F167)-N(C167))*(1+N(Ввод!$E$17)/100))))</f>
        <v/>
      </c>
    </row>
    <row r="168" ht="22" customHeight="1">
      <c r="B168" s="320" t="n"/>
      <c r="C168" s="246">
        <f>IF(SUMIFS(Торговля!$F$5:$F$300,Торговля!$E$5:$E$300,$B168)+SUMIFS(Закрытые!$F$5:$F$300,Закрытые!$E$5:$E$300,$B168,Закрытые!$B$5:$B$300,"T-*")=0,"",SUMIFS(Торговля!$F$5:$F$300,Торговля!$E$5:$E$300,$B168)+SUMIFS(Закрытые!$F$5:$F$300,Закрытые!$E$5:$E$300,$B168,Закрытые!$B$5:$B$300,"T-*"))</f>
        <v/>
      </c>
      <c r="D168" s="183">
        <f>IF(C168="","",(SUMPRODUCT((Торговля!$E$5:$E$300=$B168)*Торговля!$F$5:$F$300*Торговля!$G$5:$G$300)+SUMPRODUCT((Закрытые!$E$5:$E$300=$B168)*(LEFT(Закрытые!$B$5:$B$300,2)="T-")*Закрытые!$F$5:$F$300*Закрытые!$G$5:$G$300))/C168)</f>
        <v/>
      </c>
      <c r="E168" s="247">
        <f>IF(C168="","",SUMIFS(Торговля!$H$5:$H$300,Торговля!$E$5:$E$300,$B168)+SUMIFS(Закрытые!$H$5:$H$300,Закрытые!$E$5:$E$300,$B168,Закрытые!$B$5:$B$300,"T-*"))</f>
        <v/>
      </c>
      <c r="F168" s="246">
        <f>IF(SUMIFS(Торговля!$I$5:$I$300,Торговля!$E$5:$E$300,$B168)+SUMIFS(Закрытые!$I$5:$I$300,Закрытые!$E$5:$E$300,$B168,Закрытые!$B$5:$B$300,"T-*")=0,"",SUMIFS(Торговля!$I$5:$I$300,Торговля!$E$5:$E$300,$B168)+SUMIFS(Закрытые!$I$5:$I$300,Закрытые!$E$5:$E$300,$B168,Закрытые!$B$5:$B$300,"T-*"))</f>
        <v/>
      </c>
      <c r="G168" s="183">
        <f>IF(F168="","",(SUMPRODUCT((Торговля!$E$5:$E$300=$B168)*Торговля!$I$5:$I$300*Торговля!$J$5:$J$300)+SUMPRODUCT((Закрытые!$E$5:$E$300=$B168)*(LEFT(Закрытые!$B$5:$B$300,2)="T-")*Закрытые!$I$5:$I$300*Закрытые!$J$5:$J$300))/F168)</f>
        <v/>
      </c>
      <c r="H168" s="247">
        <f>IF(F168="","",SUMIFS(Торговля!$K$5:$K$300,Торговля!$E$5:$E$300,$B168)+SUMIFS(Закрытые!$K$5:$K$300,Закрытые!$E$5:$E$300,$B168,Закрытые!$B$5:$B$300,"T-*"))</f>
        <v/>
      </c>
      <c r="I168" s="246">
        <f>IF($B168="","",IF(COUNTIFS(Торговля!$E$5:$E$300,$B168)+COUNTIFS(Закрытые!$E$5:$E$300,$B168,Закрытые!$B$5:$B$300,"T-*")=0,"",ROUND(SUMIFS(Торговля!$L$5:$L$300,Торговля!$E$5:$E$300,$B168)+SUMIFS(Закрытые!$L$5:$L$300,Закрытые!$E$5:$E$300,$B168,Закрытые!$B$5:$B$300,"T-*"),8)))</f>
        <v/>
      </c>
      <c r="J168" s="247">
        <f>IF($B168="","",IF(COUNTIFS(Торговля!$E$5:$E$300,$B168)+COUNTIFS(Закрытые!$E$5:$E$300,$B168,Закрытые!$B$5:$B$300,"T-*")=0,"",ROUND(SUMIFS(Торговля!$M$5:$M$300,Торговля!$E$5:$E$300,$B168)+SUMIFS(Закрытые!$M$5:$M$300,Закрытые!$E$5:$E$300,$B168,Закрытые!$B$5:$B$300,"T-*"),8)))</f>
        <v/>
      </c>
      <c r="K168" s="246">
        <f>IF($B168="","",ROUND(SUMIFS(Закрытые!$N$5:$N$300,Закрытые!$E$5:$E$300,$B168,Закрытые!$B$5:$B$300,"T-*"),8))</f>
        <v/>
      </c>
      <c r="L168" s="183">
        <f>IF(K168="","",IF(SUMPRODUCT((Закрытые!$E$5:$E$300=$B168)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168/SUMPRODUCT((Закрытые!$E$5:$E$300=$B168)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8" s="183">
        <f>IF(OR(ROUND(N(C168)-N(F168),8)=0,1-N(Ввод!$E$17)/100&lt;=0),"",IF(N(C168)&gt;N(F168),(N(E168)-N(H168))/((N(C168)-N(F168))*(1-N(Ввод!$E$17)/100)),(N(H168)-N(E168))/((N(F168)-N(C168))*(1+N(Ввод!$E$17)/100))))</f>
        <v/>
      </c>
    </row>
    <row r="169" ht="22" customHeight="1">
      <c r="B169" s="315" t="n"/>
      <c r="C169" s="240">
        <f>IF(SUMIFS(Торговля!$F$5:$F$300,Торговля!$E$5:$E$300,$B169)+SUMIFS(Закрытые!$F$5:$F$300,Закрытые!$E$5:$E$300,$B169,Закрытые!$B$5:$B$300,"T-*")=0,"",SUMIFS(Торговля!$F$5:$F$300,Торговля!$E$5:$E$300,$B169)+SUMIFS(Закрытые!$F$5:$F$300,Закрытые!$E$5:$E$300,$B169,Закрытые!$B$5:$B$300,"T-*"))</f>
        <v/>
      </c>
      <c r="D169" s="177">
        <f>IF(C169="","",(SUMPRODUCT((Торговля!$E$5:$E$300=$B169)*Торговля!$F$5:$F$300*Торговля!$G$5:$G$300)+SUMPRODUCT((Закрытые!$E$5:$E$300=$B169)*(LEFT(Закрытые!$B$5:$B$300,2)="T-")*Закрытые!$F$5:$F$300*Закрытые!$G$5:$G$300))/C169)</f>
        <v/>
      </c>
      <c r="E169" s="241">
        <f>IF(C169="","",SUMIFS(Торговля!$H$5:$H$300,Торговля!$E$5:$E$300,$B169)+SUMIFS(Закрытые!$H$5:$H$300,Закрытые!$E$5:$E$300,$B169,Закрытые!$B$5:$B$300,"T-*"))</f>
        <v/>
      </c>
      <c r="F169" s="240">
        <f>IF(SUMIFS(Торговля!$I$5:$I$300,Торговля!$E$5:$E$300,$B169)+SUMIFS(Закрытые!$I$5:$I$300,Закрытые!$E$5:$E$300,$B169,Закрытые!$B$5:$B$300,"T-*")=0,"",SUMIFS(Торговля!$I$5:$I$300,Торговля!$E$5:$E$300,$B169)+SUMIFS(Закрытые!$I$5:$I$300,Закрытые!$E$5:$E$300,$B169,Закрытые!$B$5:$B$300,"T-*"))</f>
        <v/>
      </c>
      <c r="G169" s="177">
        <f>IF(F169="","",(SUMPRODUCT((Торговля!$E$5:$E$300=$B169)*Торговля!$I$5:$I$300*Торговля!$J$5:$J$300)+SUMPRODUCT((Закрытые!$E$5:$E$300=$B169)*(LEFT(Закрытые!$B$5:$B$300,2)="T-")*Закрытые!$I$5:$I$300*Закрытые!$J$5:$J$300))/F169)</f>
        <v/>
      </c>
      <c r="H169" s="241">
        <f>IF(F169="","",SUMIFS(Торговля!$K$5:$K$300,Торговля!$E$5:$E$300,$B169)+SUMIFS(Закрытые!$K$5:$K$300,Закрытые!$E$5:$E$300,$B169,Закрытые!$B$5:$B$300,"T-*"))</f>
        <v/>
      </c>
      <c r="I169" s="240">
        <f>IF($B169="","",IF(COUNTIFS(Торговля!$E$5:$E$300,$B169)+COUNTIFS(Закрытые!$E$5:$E$300,$B169,Закрытые!$B$5:$B$300,"T-*")=0,"",ROUND(SUMIFS(Торговля!$L$5:$L$300,Торговля!$E$5:$E$300,$B169)+SUMIFS(Закрытые!$L$5:$L$300,Закрытые!$E$5:$E$300,$B169,Закрытые!$B$5:$B$300,"T-*"),8)))</f>
        <v/>
      </c>
      <c r="J169" s="241">
        <f>IF($B169="","",IF(COUNTIFS(Торговля!$E$5:$E$300,$B169)+COUNTIFS(Закрытые!$E$5:$E$300,$B169,Закрытые!$B$5:$B$300,"T-*")=0,"",ROUND(SUMIFS(Торговля!$M$5:$M$300,Торговля!$E$5:$E$300,$B169)+SUMIFS(Закрытые!$M$5:$M$300,Закрытые!$E$5:$E$300,$B169,Закрытые!$B$5:$B$300,"T-*"),8)))</f>
        <v/>
      </c>
      <c r="K169" s="240">
        <f>IF($B169="","",ROUND(SUMIFS(Закрытые!$N$5:$N$300,Закрытые!$E$5:$E$300,$B169,Закрытые!$B$5:$B$300,"T-*"),8))</f>
        <v/>
      </c>
      <c r="L169" s="177">
        <f>IF(K169="","",IF(SUMPRODUCT((Закрытые!$E$5:$E$300=$B169)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169/SUMPRODUCT((Закрытые!$E$5:$E$300=$B169)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9" s="177">
        <f>IF(OR(ROUND(N(C169)-N(F169),8)=0,1-N(Ввод!$E$17)/100&lt;=0),"",IF(N(C169)&gt;N(F169),(N(E169)-N(H169))/((N(C169)-N(F169))*(1-N(Ввод!$E$17)/100)),(N(H169)-N(E169))/((N(F169)-N(C169))*(1+N(Ввод!$E$17)/100))))</f>
        <v/>
      </c>
    </row>
    <row r="170" ht="22" customHeight="1">
      <c r="B170" s="320" t="n"/>
      <c r="C170" s="246">
        <f>IF(SUMIFS(Торговля!$F$5:$F$300,Торговля!$E$5:$E$300,$B170)+SUMIFS(Закрытые!$F$5:$F$300,Закрытые!$E$5:$E$300,$B170,Закрытые!$B$5:$B$300,"T-*")=0,"",SUMIFS(Торговля!$F$5:$F$300,Торговля!$E$5:$E$300,$B170)+SUMIFS(Закрытые!$F$5:$F$300,Закрытые!$E$5:$E$300,$B170,Закрытые!$B$5:$B$300,"T-*"))</f>
        <v/>
      </c>
      <c r="D170" s="183">
        <f>IF(C170="","",(SUMPRODUCT((Торговля!$E$5:$E$300=$B170)*Торговля!$F$5:$F$300*Торговля!$G$5:$G$300)+SUMPRODUCT((Закрытые!$E$5:$E$300=$B170)*(LEFT(Закрытые!$B$5:$B$300,2)="T-")*Закрытые!$F$5:$F$300*Закрытые!$G$5:$G$300))/C170)</f>
        <v/>
      </c>
      <c r="E170" s="247">
        <f>IF(C170="","",SUMIFS(Торговля!$H$5:$H$300,Торговля!$E$5:$E$300,$B170)+SUMIFS(Закрытые!$H$5:$H$300,Закрытые!$E$5:$E$300,$B170,Закрытые!$B$5:$B$300,"T-*"))</f>
        <v/>
      </c>
      <c r="F170" s="246">
        <f>IF(SUMIFS(Торговля!$I$5:$I$300,Торговля!$E$5:$E$300,$B170)+SUMIFS(Закрытые!$I$5:$I$300,Закрытые!$E$5:$E$300,$B170,Закрытые!$B$5:$B$300,"T-*")=0,"",SUMIFS(Торговля!$I$5:$I$300,Торговля!$E$5:$E$300,$B170)+SUMIFS(Закрытые!$I$5:$I$300,Закрытые!$E$5:$E$300,$B170,Закрытые!$B$5:$B$300,"T-*"))</f>
        <v/>
      </c>
      <c r="G170" s="183">
        <f>IF(F170="","",(SUMPRODUCT((Торговля!$E$5:$E$300=$B170)*Торговля!$I$5:$I$300*Торговля!$J$5:$J$300)+SUMPRODUCT((Закрытые!$E$5:$E$300=$B170)*(LEFT(Закрытые!$B$5:$B$300,2)="T-")*Закрытые!$I$5:$I$300*Закрытые!$J$5:$J$300))/F170)</f>
        <v/>
      </c>
      <c r="H170" s="247">
        <f>IF(F170="","",SUMIFS(Торговля!$K$5:$K$300,Торговля!$E$5:$E$300,$B170)+SUMIFS(Закрытые!$K$5:$K$300,Закрытые!$E$5:$E$300,$B170,Закрытые!$B$5:$B$300,"T-*"))</f>
        <v/>
      </c>
      <c r="I170" s="246">
        <f>IF($B170="","",IF(COUNTIFS(Торговля!$E$5:$E$300,$B170)+COUNTIFS(Закрытые!$E$5:$E$300,$B170,Закрытые!$B$5:$B$300,"T-*")=0,"",ROUND(SUMIFS(Торговля!$L$5:$L$300,Торговля!$E$5:$E$300,$B170)+SUMIFS(Закрытые!$L$5:$L$300,Закрытые!$E$5:$E$300,$B170,Закрытые!$B$5:$B$300,"T-*"),8)))</f>
        <v/>
      </c>
      <c r="J170" s="247">
        <f>IF($B170="","",IF(COUNTIFS(Торговля!$E$5:$E$300,$B170)+COUNTIFS(Закрытые!$E$5:$E$300,$B170,Закрытые!$B$5:$B$300,"T-*")=0,"",ROUND(SUMIFS(Торговля!$M$5:$M$300,Торговля!$E$5:$E$300,$B170)+SUMIFS(Закрытые!$M$5:$M$300,Закрытые!$E$5:$E$300,$B170,Закрытые!$B$5:$B$300,"T-*"),8)))</f>
        <v/>
      </c>
      <c r="K170" s="246">
        <f>IF($B170="","",ROUND(SUMIFS(Закрытые!$N$5:$N$300,Закрытые!$E$5:$E$300,$B170,Закрытые!$B$5:$B$300,"T-*"),8))</f>
        <v/>
      </c>
      <c r="L170" s="183">
        <f>IF(K170="","",IF(SUMPRODUCT((Закрытые!$E$5:$E$300=$B170)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170/SUMPRODUCT((Закрытые!$E$5:$E$300=$B170)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0" s="183">
        <f>IF(OR(ROUND(N(C170)-N(F170),8)=0,1-N(Ввод!$E$17)/100&lt;=0),"",IF(N(C170)&gt;N(F170),(N(E170)-N(H170))/((N(C170)-N(F170))*(1-N(Ввод!$E$17)/100)),(N(H170)-N(E170))/((N(F170)-N(C170))*(1+N(Ввод!$E$17)/100))))</f>
        <v/>
      </c>
    </row>
    <row r="171" ht="22" customHeight="1">
      <c r="B171" s="315" t="n"/>
      <c r="C171" s="240">
        <f>IF(SUMIFS(Торговля!$F$5:$F$300,Торговля!$E$5:$E$300,$B171)+SUMIFS(Закрытые!$F$5:$F$300,Закрытые!$E$5:$E$300,$B171,Закрытые!$B$5:$B$300,"T-*")=0,"",SUMIFS(Торговля!$F$5:$F$300,Торговля!$E$5:$E$300,$B171)+SUMIFS(Закрытые!$F$5:$F$300,Закрытые!$E$5:$E$300,$B171,Закрытые!$B$5:$B$300,"T-*"))</f>
        <v/>
      </c>
      <c r="D171" s="177">
        <f>IF(C171="","",(SUMPRODUCT((Торговля!$E$5:$E$300=$B171)*Торговля!$F$5:$F$300*Торговля!$G$5:$G$300)+SUMPRODUCT((Закрытые!$E$5:$E$300=$B171)*(LEFT(Закрытые!$B$5:$B$300,2)="T-")*Закрытые!$F$5:$F$300*Закрытые!$G$5:$G$300))/C171)</f>
        <v/>
      </c>
      <c r="E171" s="241">
        <f>IF(C171="","",SUMIFS(Торговля!$H$5:$H$300,Торговля!$E$5:$E$300,$B171)+SUMIFS(Закрытые!$H$5:$H$300,Закрытые!$E$5:$E$300,$B171,Закрытые!$B$5:$B$300,"T-*"))</f>
        <v/>
      </c>
      <c r="F171" s="240">
        <f>IF(SUMIFS(Торговля!$I$5:$I$300,Торговля!$E$5:$E$300,$B171)+SUMIFS(Закрытые!$I$5:$I$300,Закрытые!$E$5:$E$300,$B171,Закрытые!$B$5:$B$300,"T-*")=0,"",SUMIFS(Торговля!$I$5:$I$300,Торговля!$E$5:$E$300,$B171)+SUMIFS(Закрытые!$I$5:$I$300,Закрытые!$E$5:$E$300,$B171,Закрытые!$B$5:$B$300,"T-*"))</f>
        <v/>
      </c>
      <c r="G171" s="177">
        <f>IF(F171="","",(SUMPRODUCT((Торговля!$E$5:$E$300=$B171)*Торговля!$I$5:$I$300*Торговля!$J$5:$J$300)+SUMPRODUCT((Закрытые!$E$5:$E$300=$B171)*(LEFT(Закрытые!$B$5:$B$300,2)="T-")*Закрытые!$I$5:$I$300*Закрытые!$J$5:$J$300))/F171)</f>
        <v/>
      </c>
      <c r="H171" s="241">
        <f>IF(F171="","",SUMIFS(Торговля!$K$5:$K$300,Торговля!$E$5:$E$300,$B171)+SUMIFS(Закрытые!$K$5:$K$300,Закрытые!$E$5:$E$300,$B171,Закрытые!$B$5:$B$300,"T-*"))</f>
        <v/>
      </c>
      <c r="I171" s="240">
        <f>IF($B171="","",IF(COUNTIFS(Торговля!$E$5:$E$300,$B171)+COUNTIFS(Закрытые!$E$5:$E$300,$B171,Закрытые!$B$5:$B$300,"T-*")=0,"",ROUND(SUMIFS(Торговля!$L$5:$L$300,Торговля!$E$5:$E$300,$B171)+SUMIFS(Закрытые!$L$5:$L$300,Закрытые!$E$5:$E$300,$B171,Закрытые!$B$5:$B$300,"T-*"),8)))</f>
        <v/>
      </c>
      <c r="J171" s="241">
        <f>IF($B171="","",IF(COUNTIFS(Торговля!$E$5:$E$300,$B171)+COUNTIFS(Закрытые!$E$5:$E$300,$B171,Закрытые!$B$5:$B$300,"T-*")=0,"",ROUND(SUMIFS(Торговля!$M$5:$M$300,Торговля!$E$5:$E$300,$B171)+SUMIFS(Закрытые!$M$5:$M$300,Закрытые!$E$5:$E$300,$B171,Закрытые!$B$5:$B$300,"T-*"),8)))</f>
        <v/>
      </c>
      <c r="K171" s="240">
        <f>IF($B171="","",ROUND(SUMIFS(Закрытые!$N$5:$N$300,Закрытые!$E$5:$E$300,$B171,Закрытые!$B$5:$B$300,"T-*"),8))</f>
        <v/>
      </c>
      <c r="L171" s="177">
        <f>IF(K171="","",IF(SUMPRODUCT((Закрытые!$E$5:$E$300=$B171)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171/SUMPRODUCT((Закрытые!$E$5:$E$300=$B171)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1" s="177">
        <f>IF(OR(ROUND(N(C171)-N(F171),8)=0,1-N(Ввод!$E$17)/100&lt;=0),"",IF(N(C171)&gt;N(F171),(N(E171)-N(H171))/((N(C171)-N(F171))*(1-N(Ввод!$E$17)/100)),(N(H171)-N(E171))/((N(F171)-N(C171))*(1+N(Ввод!$E$17)/100))))</f>
        <v/>
      </c>
    </row>
    <row r="172" ht="22" customHeight="1">
      <c r="B172" s="320" t="n"/>
      <c r="C172" s="246">
        <f>IF(SUMIFS(Торговля!$F$5:$F$300,Торговля!$E$5:$E$300,$B172)+SUMIFS(Закрытые!$F$5:$F$300,Закрытые!$E$5:$E$300,$B172,Закрытые!$B$5:$B$300,"T-*")=0,"",SUMIFS(Торговля!$F$5:$F$300,Торговля!$E$5:$E$300,$B172)+SUMIFS(Закрытые!$F$5:$F$300,Закрытые!$E$5:$E$300,$B172,Закрытые!$B$5:$B$300,"T-*"))</f>
        <v/>
      </c>
      <c r="D172" s="183">
        <f>IF(C172="","",(SUMPRODUCT((Торговля!$E$5:$E$300=$B172)*Торговля!$F$5:$F$300*Торговля!$G$5:$G$300)+SUMPRODUCT((Закрытые!$E$5:$E$300=$B172)*(LEFT(Закрытые!$B$5:$B$300,2)="T-")*Закрытые!$F$5:$F$300*Закрытые!$G$5:$G$300))/C172)</f>
        <v/>
      </c>
      <c r="E172" s="247">
        <f>IF(C172="","",SUMIFS(Торговля!$H$5:$H$300,Торговля!$E$5:$E$300,$B172)+SUMIFS(Закрытые!$H$5:$H$300,Закрытые!$E$5:$E$300,$B172,Закрытые!$B$5:$B$300,"T-*"))</f>
        <v/>
      </c>
      <c r="F172" s="246">
        <f>IF(SUMIFS(Торговля!$I$5:$I$300,Торговля!$E$5:$E$300,$B172)+SUMIFS(Закрытые!$I$5:$I$300,Закрытые!$E$5:$E$300,$B172,Закрытые!$B$5:$B$300,"T-*")=0,"",SUMIFS(Торговля!$I$5:$I$300,Торговля!$E$5:$E$300,$B172)+SUMIFS(Закрытые!$I$5:$I$300,Закрытые!$E$5:$E$300,$B172,Закрытые!$B$5:$B$300,"T-*"))</f>
        <v/>
      </c>
      <c r="G172" s="183">
        <f>IF(F172="","",(SUMPRODUCT((Торговля!$E$5:$E$300=$B172)*Торговля!$I$5:$I$300*Торговля!$J$5:$J$300)+SUMPRODUCT((Закрытые!$E$5:$E$300=$B172)*(LEFT(Закрытые!$B$5:$B$300,2)="T-")*Закрытые!$I$5:$I$300*Закрытые!$J$5:$J$300))/F172)</f>
        <v/>
      </c>
      <c r="H172" s="247">
        <f>IF(F172="","",SUMIFS(Торговля!$K$5:$K$300,Торговля!$E$5:$E$300,$B172)+SUMIFS(Закрытые!$K$5:$K$300,Закрытые!$E$5:$E$300,$B172,Закрытые!$B$5:$B$300,"T-*"))</f>
        <v/>
      </c>
      <c r="I172" s="246">
        <f>IF($B172="","",IF(COUNTIFS(Торговля!$E$5:$E$300,$B172)+COUNTIFS(Закрытые!$E$5:$E$300,$B172,Закрытые!$B$5:$B$300,"T-*")=0,"",ROUND(SUMIFS(Торговля!$L$5:$L$300,Торговля!$E$5:$E$300,$B172)+SUMIFS(Закрытые!$L$5:$L$300,Закрытые!$E$5:$E$300,$B172,Закрытые!$B$5:$B$300,"T-*"),8)))</f>
        <v/>
      </c>
      <c r="J172" s="247">
        <f>IF($B172="","",IF(COUNTIFS(Торговля!$E$5:$E$300,$B172)+COUNTIFS(Закрытые!$E$5:$E$300,$B172,Закрытые!$B$5:$B$300,"T-*")=0,"",ROUND(SUMIFS(Торговля!$M$5:$M$300,Торговля!$E$5:$E$300,$B172)+SUMIFS(Закрытые!$M$5:$M$300,Закрытые!$E$5:$E$300,$B172,Закрытые!$B$5:$B$300,"T-*"),8)))</f>
        <v/>
      </c>
      <c r="K172" s="246">
        <f>IF($B172="","",ROUND(SUMIFS(Закрытые!$N$5:$N$300,Закрытые!$E$5:$E$300,$B172,Закрытые!$B$5:$B$300,"T-*"),8))</f>
        <v/>
      </c>
      <c r="L172" s="183">
        <f>IF(K172="","",IF(SUMPRODUCT((Закрытые!$E$5:$E$300=$B172)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172/SUMPRODUCT((Закрытые!$E$5:$E$300=$B172)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2" s="183">
        <f>IF(OR(ROUND(N(C172)-N(F172),8)=0,1-N(Ввод!$E$17)/100&lt;=0),"",IF(N(C172)&gt;N(F172),(N(E172)-N(H172))/((N(C172)-N(F172))*(1-N(Ввод!$E$17)/100)),(N(H172)-N(E172))/((N(F172)-N(C172))*(1+N(Ввод!$E$17)/100))))</f>
        <v/>
      </c>
    </row>
    <row r="173" ht="22" customHeight="1">
      <c r="B173" s="315" t="n"/>
      <c r="C173" s="240">
        <f>IF(SUMIFS(Торговля!$F$5:$F$300,Торговля!$E$5:$E$300,$B173)+SUMIFS(Закрытые!$F$5:$F$300,Закрытые!$E$5:$E$300,$B173,Закрытые!$B$5:$B$300,"T-*")=0,"",SUMIFS(Торговля!$F$5:$F$300,Торговля!$E$5:$E$300,$B173)+SUMIFS(Закрытые!$F$5:$F$300,Закрытые!$E$5:$E$300,$B173,Закрытые!$B$5:$B$300,"T-*"))</f>
        <v/>
      </c>
      <c r="D173" s="177">
        <f>IF(C173="","",(SUMPRODUCT((Торговля!$E$5:$E$300=$B173)*Торговля!$F$5:$F$300*Торговля!$G$5:$G$300)+SUMPRODUCT((Закрытые!$E$5:$E$300=$B173)*(LEFT(Закрытые!$B$5:$B$300,2)="T-")*Закрытые!$F$5:$F$300*Закрытые!$G$5:$G$300))/C173)</f>
        <v/>
      </c>
      <c r="E173" s="241">
        <f>IF(C173="","",SUMIFS(Торговля!$H$5:$H$300,Торговля!$E$5:$E$300,$B173)+SUMIFS(Закрытые!$H$5:$H$300,Закрытые!$E$5:$E$300,$B173,Закрытые!$B$5:$B$300,"T-*"))</f>
        <v/>
      </c>
      <c r="F173" s="240">
        <f>IF(SUMIFS(Торговля!$I$5:$I$300,Торговля!$E$5:$E$300,$B173)+SUMIFS(Закрытые!$I$5:$I$300,Закрытые!$E$5:$E$300,$B173,Закрытые!$B$5:$B$300,"T-*")=0,"",SUMIFS(Торговля!$I$5:$I$300,Торговля!$E$5:$E$300,$B173)+SUMIFS(Закрытые!$I$5:$I$300,Закрытые!$E$5:$E$300,$B173,Закрытые!$B$5:$B$300,"T-*"))</f>
        <v/>
      </c>
      <c r="G173" s="177">
        <f>IF(F173="","",(SUMPRODUCT((Торговля!$E$5:$E$300=$B173)*Торговля!$I$5:$I$300*Торговля!$J$5:$J$300)+SUMPRODUCT((Закрытые!$E$5:$E$300=$B173)*(LEFT(Закрытые!$B$5:$B$300,2)="T-")*Закрытые!$I$5:$I$300*Закрытые!$J$5:$J$300))/F173)</f>
        <v/>
      </c>
      <c r="H173" s="241">
        <f>IF(F173="","",SUMIFS(Торговля!$K$5:$K$300,Торговля!$E$5:$E$300,$B173)+SUMIFS(Закрытые!$K$5:$K$300,Закрытые!$E$5:$E$300,$B173,Закрытые!$B$5:$B$300,"T-*"))</f>
        <v/>
      </c>
      <c r="I173" s="240">
        <f>IF($B173="","",IF(COUNTIFS(Торговля!$E$5:$E$300,$B173)+COUNTIFS(Закрытые!$E$5:$E$300,$B173,Закрытые!$B$5:$B$300,"T-*")=0,"",ROUND(SUMIFS(Торговля!$L$5:$L$300,Торговля!$E$5:$E$300,$B173)+SUMIFS(Закрытые!$L$5:$L$300,Закрытые!$E$5:$E$300,$B173,Закрытые!$B$5:$B$300,"T-*"),8)))</f>
        <v/>
      </c>
      <c r="J173" s="241">
        <f>IF($B173="","",IF(COUNTIFS(Торговля!$E$5:$E$300,$B173)+COUNTIFS(Закрытые!$E$5:$E$300,$B173,Закрытые!$B$5:$B$300,"T-*")=0,"",ROUND(SUMIFS(Торговля!$M$5:$M$300,Торговля!$E$5:$E$300,$B173)+SUMIFS(Закрытые!$M$5:$M$300,Закрытые!$E$5:$E$300,$B173,Закрытые!$B$5:$B$300,"T-*"),8)))</f>
        <v/>
      </c>
      <c r="K173" s="240">
        <f>IF($B173="","",ROUND(SUMIFS(Закрытые!$N$5:$N$300,Закрытые!$E$5:$E$300,$B173,Закрытые!$B$5:$B$300,"T-*"),8))</f>
        <v/>
      </c>
      <c r="L173" s="177">
        <f>IF(K173="","",IF(SUMPRODUCT((Закрытые!$E$5:$E$300=$B173)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173/SUMPRODUCT((Закрытые!$E$5:$E$300=$B173)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3" s="177">
        <f>IF(OR(ROUND(N(C173)-N(F173),8)=0,1-N(Ввод!$E$17)/100&lt;=0),"",IF(N(C173)&gt;N(F173),(N(E173)-N(H173))/((N(C173)-N(F173))*(1-N(Ввод!$E$17)/100)),(N(H173)-N(E173))/((N(F173)-N(C173))*(1+N(Ввод!$E$17)/100))))</f>
        <v/>
      </c>
    </row>
    <row r="174" ht="22" customHeight="1">
      <c r="B174" s="320" t="n"/>
      <c r="C174" s="246">
        <f>IF(SUMIFS(Торговля!$F$5:$F$300,Торговля!$E$5:$E$300,$B174)+SUMIFS(Закрытые!$F$5:$F$300,Закрытые!$E$5:$E$300,$B174,Закрытые!$B$5:$B$300,"T-*")=0,"",SUMIFS(Торговля!$F$5:$F$300,Торговля!$E$5:$E$300,$B174)+SUMIFS(Закрытые!$F$5:$F$300,Закрытые!$E$5:$E$300,$B174,Закрытые!$B$5:$B$300,"T-*"))</f>
        <v/>
      </c>
      <c r="D174" s="183">
        <f>IF(C174="","",(SUMPRODUCT((Торговля!$E$5:$E$300=$B174)*Торговля!$F$5:$F$300*Торговля!$G$5:$G$300)+SUMPRODUCT((Закрытые!$E$5:$E$300=$B174)*(LEFT(Закрытые!$B$5:$B$300,2)="T-")*Закрытые!$F$5:$F$300*Закрытые!$G$5:$G$300))/C174)</f>
        <v/>
      </c>
      <c r="E174" s="247">
        <f>IF(C174="","",SUMIFS(Торговля!$H$5:$H$300,Торговля!$E$5:$E$300,$B174)+SUMIFS(Закрытые!$H$5:$H$300,Закрытые!$E$5:$E$300,$B174,Закрытые!$B$5:$B$300,"T-*"))</f>
        <v/>
      </c>
      <c r="F174" s="246">
        <f>IF(SUMIFS(Торговля!$I$5:$I$300,Торговля!$E$5:$E$300,$B174)+SUMIFS(Закрытые!$I$5:$I$300,Закрытые!$E$5:$E$300,$B174,Закрытые!$B$5:$B$300,"T-*")=0,"",SUMIFS(Торговля!$I$5:$I$300,Торговля!$E$5:$E$300,$B174)+SUMIFS(Закрытые!$I$5:$I$300,Закрытые!$E$5:$E$300,$B174,Закрытые!$B$5:$B$300,"T-*"))</f>
        <v/>
      </c>
      <c r="G174" s="183">
        <f>IF(F174="","",(SUMPRODUCT((Торговля!$E$5:$E$300=$B174)*Торговля!$I$5:$I$300*Торговля!$J$5:$J$300)+SUMPRODUCT((Закрытые!$E$5:$E$300=$B174)*(LEFT(Закрытые!$B$5:$B$300,2)="T-")*Закрытые!$I$5:$I$300*Закрытые!$J$5:$J$300))/F174)</f>
        <v/>
      </c>
      <c r="H174" s="247">
        <f>IF(F174="","",SUMIFS(Торговля!$K$5:$K$300,Торговля!$E$5:$E$300,$B174)+SUMIFS(Закрытые!$K$5:$K$300,Закрытые!$E$5:$E$300,$B174,Закрытые!$B$5:$B$300,"T-*"))</f>
        <v/>
      </c>
      <c r="I174" s="246">
        <f>IF($B174="","",IF(COUNTIFS(Торговля!$E$5:$E$300,$B174)+COUNTIFS(Закрытые!$E$5:$E$300,$B174,Закрытые!$B$5:$B$300,"T-*")=0,"",ROUND(SUMIFS(Торговля!$L$5:$L$300,Торговля!$E$5:$E$300,$B174)+SUMIFS(Закрытые!$L$5:$L$300,Закрытые!$E$5:$E$300,$B174,Закрытые!$B$5:$B$300,"T-*"),8)))</f>
        <v/>
      </c>
      <c r="J174" s="247">
        <f>IF($B174="","",IF(COUNTIFS(Торговля!$E$5:$E$300,$B174)+COUNTIFS(Закрытые!$E$5:$E$300,$B174,Закрытые!$B$5:$B$300,"T-*")=0,"",ROUND(SUMIFS(Торговля!$M$5:$M$300,Торговля!$E$5:$E$300,$B174)+SUMIFS(Закрытые!$M$5:$M$300,Закрытые!$E$5:$E$300,$B174,Закрытые!$B$5:$B$300,"T-*"),8)))</f>
        <v/>
      </c>
      <c r="K174" s="246">
        <f>IF($B174="","",ROUND(SUMIFS(Закрытые!$N$5:$N$300,Закрытые!$E$5:$E$300,$B174,Закрытые!$B$5:$B$300,"T-*"),8))</f>
        <v/>
      </c>
      <c r="L174" s="183">
        <f>IF(K174="","",IF(SUMPRODUCT((Закрытые!$E$5:$E$300=$B174)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174/SUMPRODUCT((Закрытые!$E$5:$E$300=$B174)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4" s="183">
        <f>IF(OR(ROUND(N(C174)-N(F174),8)=0,1-N(Ввод!$E$17)/100&lt;=0),"",IF(N(C174)&gt;N(F174),(N(E174)-N(H174))/((N(C174)-N(F174))*(1-N(Ввод!$E$17)/100)),(N(H174)-N(E174))/((N(F174)-N(C174))*(1+N(Ввод!$E$17)/100))))</f>
        <v/>
      </c>
    </row>
    <row r="175" ht="22" customHeight="1">
      <c r="B175" s="315" t="n"/>
      <c r="C175" s="240">
        <f>IF(SUMIFS(Торговля!$F$5:$F$300,Торговля!$E$5:$E$300,$B175)+SUMIFS(Закрытые!$F$5:$F$300,Закрытые!$E$5:$E$300,$B175,Закрытые!$B$5:$B$300,"T-*")=0,"",SUMIFS(Торговля!$F$5:$F$300,Торговля!$E$5:$E$300,$B175)+SUMIFS(Закрытые!$F$5:$F$300,Закрытые!$E$5:$E$300,$B175,Закрытые!$B$5:$B$300,"T-*"))</f>
        <v/>
      </c>
      <c r="D175" s="177">
        <f>IF(C175="","",(SUMPRODUCT((Торговля!$E$5:$E$300=$B175)*Торговля!$F$5:$F$300*Торговля!$G$5:$G$300)+SUMPRODUCT((Закрытые!$E$5:$E$300=$B175)*(LEFT(Закрытые!$B$5:$B$300,2)="T-")*Закрытые!$F$5:$F$300*Закрытые!$G$5:$G$300))/C175)</f>
        <v/>
      </c>
      <c r="E175" s="241">
        <f>IF(C175="","",SUMIFS(Торговля!$H$5:$H$300,Торговля!$E$5:$E$300,$B175)+SUMIFS(Закрытые!$H$5:$H$300,Закрытые!$E$5:$E$300,$B175,Закрытые!$B$5:$B$300,"T-*"))</f>
        <v/>
      </c>
      <c r="F175" s="240">
        <f>IF(SUMIFS(Торговля!$I$5:$I$300,Торговля!$E$5:$E$300,$B175)+SUMIFS(Закрытые!$I$5:$I$300,Закрытые!$E$5:$E$300,$B175,Закрытые!$B$5:$B$300,"T-*")=0,"",SUMIFS(Торговля!$I$5:$I$300,Торговля!$E$5:$E$300,$B175)+SUMIFS(Закрытые!$I$5:$I$300,Закрытые!$E$5:$E$300,$B175,Закрытые!$B$5:$B$300,"T-*"))</f>
        <v/>
      </c>
      <c r="G175" s="177">
        <f>IF(F175="","",(SUMPRODUCT((Торговля!$E$5:$E$300=$B175)*Торговля!$I$5:$I$300*Торговля!$J$5:$J$300)+SUMPRODUCT((Закрытые!$E$5:$E$300=$B175)*(LEFT(Закрытые!$B$5:$B$300,2)="T-")*Закрытые!$I$5:$I$300*Закрытые!$J$5:$J$300))/F175)</f>
        <v/>
      </c>
      <c r="H175" s="241">
        <f>IF(F175="","",SUMIFS(Торговля!$K$5:$K$300,Торговля!$E$5:$E$300,$B175)+SUMIFS(Закрытые!$K$5:$K$300,Закрытые!$E$5:$E$300,$B175,Закрытые!$B$5:$B$300,"T-*"))</f>
        <v/>
      </c>
      <c r="I175" s="240">
        <f>IF($B175="","",IF(COUNTIFS(Торговля!$E$5:$E$300,$B175)+COUNTIFS(Закрытые!$E$5:$E$300,$B175,Закрытые!$B$5:$B$300,"T-*")=0,"",ROUND(SUMIFS(Торговля!$L$5:$L$300,Торговля!$E$5:$E$300,$B175)+SUMIFS(Закрытые!$L$5:$L$300,Закрытые!$E$5:$E$300,$B175,Закрытые!$B$5:$B$300,"T-*"),8)))</f>
        <v/>
      </c>
      <c r="J175" s="241">
        <f>IF($B175="","",IF(COUNTIFS(Торговля!$E$5:$E$300,$B175)+COUNTIFS(Закрытые!$E$5:$E$300,$B175,Закрытые!$B$5:$B$300,"T-*")=0,"",ROUND(SUMIFS(Торговля!$M$5:$M$300,Торговля!$E$5:$E$300,$B175)+SUMIFS(Закрытые!$M$5:$M$300,Закрытые!$E$5:$E$300,$B175,Закрытые!$B$5:$B$300,"T-*"),8)))</f>
        <v/>
      </c>
      <c r="K175" s="240">
        <f>IF($B175="","",ROUND(SUMIFS(Закрытые!$N$5:$N$300,Закрытые!$E$5:$E$300,$B175,Закрытые!$B$5:$B$300,"T-*"),8))</f>
        <v/>
      </c>
      <c r="L175" s="177">
        <f>IF(K175="","",IF(SUMPRODUCT((Закрытые!$E$5:$E$300=$B175)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175/SUMPRODUCT((Закрытые!$E$5:$E$300=$B175)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5" s="177">
        <f>IF(OR(ROUND(N(C175)-N(F175),8)=0,1-N(Ввод!$E$17)/100&lt;=0),"",IF(N(C175)&gt;N(F175),(N(E175)-N(H175))/((N(C175)-N(F175))*(1-N(Ввод!$E$17)/100)),(N(H175)-N(E175))/((N(F175)-N(C175))*(1+N(Ввод!$E$17)/100))))</f>
        <v/>
      </c>
    </row>
    <row r="176" ht="22" customHeight="1">
      <c r="B176" s="320" t="n"/>
      <c r="C176" s="246">
        <f>IF(SUMIFS(Торговля!$F$5:$F$300,Торговля!$E$5:$E$300,$B176)+SUMIFS(Закрытые!$F$5:$F$300,Закрытые!$E$5:$E$300,$B176,Закрытые!$B$5:$B$300,"T-*")=0,"",SUMIFS(Торговля!$F$5:$F$300,Торговля!$E$5:$E$300,$B176)+SUMIFS(Закрытые!$F$5:$F$300,Закрытые!$E$5:$E$300,$B176,Закрытые!$B$5:$B$300,"T-*"))</f>
        <v/>
      </c>
      <c r="D176" s="183">
        <f>IF(C176="","",(SUMPRODUCT((Торговля!$E$5:$E$300=$B176)*Торговля!$F$5:$F$300*Торговля!$G$5:$G$300)+SUMPRODUCT((Закрытые!$E$5:$E$300=$B176)*(LEFT(Закрытые!$B$5:$B$300,2)="T-")*Закрытые!$F$5:$F$300*Закрытые!$G$5:$G$300))/C176)</f>
        <v/>
      </c>
      <c r="E176" s="247">
        <f>IF(C176="","",SUMIFS(Торговля!$H$5:$H$300,Торговля!$E$5:$E$300,$B176)+SUMIFS(Закрытые!$H$5:$H$300,Закрытые!$E$5:$E$300,$B176,Закрытые!$B$5:$B$300,"T-*"))</f>
        <v/>
      </c>
      <c r="F176" s="246">
        <f>IF(SUMIFS(Торговля!$I$5:$I$300,Торговля!$E$5:$E$300,$B176)+SUMIFS(Закрытые!$I$5:$I$300,Закрытые!$E$5:$E$300,$B176,Закрытые!$B$5:$B$300,"T-*")=0,"",SUMIFS(Торговля!$I$5:$I$300,Торговля!$E$5:$E$300,$B176)+SUMIFS(Закрытые!$I$5:$I$300,Закрытые!$E$5:$E$300,$B176,Закрытые!$B$5:$B$300,"T-*"))</f>
        <v/>
      </c>
      <c r="G176" s="183">
        <f>IF(F176="","",(SUMPRODUCT((Торговля!$E$5:$E$300=$B176)*Торговля!$I$5:$I$300*Торговля!$J$5:$J$300)+SUMPRODUCT((Закрытые!$E$5:$E$300=$B176)*(LEFT(Закрытые!$B$5:$B$300,2)="T-")*Закрытые!$I$5:$I$300*Закрытые!$J$5:$J$300))/F176)</f>
        <v/>
      </c>
      <c r="H176" s="247">
        <f>IF(F176="","",SUMIFS(Торговля!$K$5:$K$300,Торговля!$E$5:$E$300,$B176)+SUMIFS(Закрытые!$K$5:$K$300,Закрытые!$E$5:$E$300,$B176,Закрытые!$B$5:$B$300,"T-*"))</f>
        <v/>
      </c>
      <c r="I176" s="246">
        <f>IF($B176="","",IF(COUNTIFS(Торговля!$E$5:$E$300,$B176)+COUNTIFS(Закрытые!$E$5:$E$300,$B176,Закрытые!$B$5:$B$300,"T-*")=0,"",ROUND(SUMIFS(Торговля!$L$5:$L$300,Торговля!$E$5:$E$300,$B176)+SUMIFS(Закрытые!$L$5:$L$300,Закрытые!$E$5:$E$300,$B176,Закрытые!$B$5:$B$300,"T-*"),8)))</f>
        <v/>
      </c>
      <c r="J176" s="247">
        <f>IF($B176="","",IF(COUNTIFS(Торговля!$E$5:$E$300,$B176)+COUNTIFS(Закрытые!$E$5:$E$300,$B176,Закрытые!$B$5:$B$300,"T-*")=0,"",ROUND(SUMIFS(Торговля!$M$5:$M$300,Торговля!$E$5:$E$300,$B176)+SUMIFS(Закрытые!$M$5:$M$300,Закрытые!$E$5:$E$300,$B176,Закрытые!$B$5:$B$300,"T-*"),8)))</f>
        <v/>
      </c>
      <c r="K176" s="246">
        <f>IF($B176="","",ROUND(SUMIFS(Закрытые!$N$5:$N$300,Закрытые!$E$5:$E$300,$B176,Закрытые!$B$5:$B$300,"T-*"),8))</f>
        <v/>
      </c>
      <c r="L176" s="183">
        <f>IF(K176="","",IF(SUMPRODUCT((Закрытые!$E$5:$E$300=$B176)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176/SUMPRODUCT((Закрытые!$E$5:$E$300=$B176)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6" s="183">
        <f>IF(OR(ROUND(N(C176)-N(F176),8)=0,1-N(Ввод!$E$17)/100&lt;=0),"",IF(N(C176)&gt;N(F176),(N(E176)-N(H176))/((N(C176)-N(F176))*(1-N(Ввод!$E$17)/100)),(N(H176)-N(E176))/((N(F176)-N(C176))*(1+N(Ввод!$E$17)/100))))</f>
        <v/>
      </c>
    </row>
    <row r="177" ht="22" customHeight="1">
      <c r="B177" s="315" t="n"/>
      <c r="C177" s="240">
        <f>IF(SUMIFS(Торговля!$F$5:$F$300,Торговля!$E$5:$E$300,$B177)+SUMIFS(Закрытые!$F$5:$F$300,Закрытые!$E$5:$E$300,$B177,Закрытые!$B$5:$B$300,"T-*")=0,"",SUMIFS(Торговля!$F$5:$F$300,Торговля!$E$5:$E$300,$B177)+SUMIFS(Закрытые!$F$5:$F$300,Закрытые!$E$5:$E$300,$B177,Закрытые!$B$5:$B$300,"T-*"))</f>
        <v/>
      </c>
      <c r="D177" s="177">
        <f>IF(C177="","",(SUMPRODUCT((Торговля!$E$5:$E$300=$B177)*Торговля!$F$5:$F$300*Торговля!$G$5:$G$300)+SUMPRODUCT((Закрытые!$E$5:$E$300=$B177)*(LEFT(Закрытые!$B$5:$B$300,2)="T-")*Закрытые!$F$5:$F$300*Закрытые!$G$5:$G$300))/C177)</f>
        <v/>
      </c>
      <c r="E177" s="241">
        <f>IF(C177="","",SUMIFS(Торговля!$H$5:$H$300,Торговля!$E$5:$E$300,$B177)+SUMIFS(Закрытые!$H$5:$H$300,Закрытые!$E$5:$E$300,$B177,Закрытые!$B$5:$B$300,"T-*"))</f>
        <v/>
      </c>
      <c r="F177" s="240">
        <f>IF(SUMIFS(Торговля!$I$5:$I$300,Торговля!$E$5:$E$300,$B177)+SUMIFS(Закрытые!$I$5:$I$300,Закрытые!$E$5:$E$300,$B177,Закрытые!$B$5:$B$300,"T-*")=0,"",SUMIFS(Торговля!$I$5:$I$300,Торговля!$E$5:$E$300,$B177)+SUMIFS(Закрытые!$I$5:$I$300,Закрытые!$E$5:$E$300,$B177,Закрытые!$B$5:$B$300,"T-*"))</f>
        <v/>
      </c>
      <c r="G177" s="177">
        <f>IF(F177="","",(SUMPRODUCT((Торговля!$E$5:$E$300=$B177)*Торговля!$I$5:$I$300*Торговля!$J$5:$J$300)+SUMPRODUCT((Закрытые!$E$5:$E$300=$B177)*(LEFT(Закрытые!$B$5:$B$300,2)="T-")*Закрытые!$I$5:$I$300*Закрытые!$J$5:$J$300))/F177)</f>
        <v/>
      </c>
      <c r="H177" s="241">
        <f>IF(F177="","",SUMIFS(Торговля!$K$5:$K$300,Торговля!$E$5:$E$300,$B177)+SUMIFS(Закрытые!$K$5:$K$300,Закрытые!$E$5:$E$300,$B177,Закрытые!$B$5:$B$300,"T-*"))</f>
        <v/>
      </c>
      <c r="I177" s="240">
        <f>IF($B177="","",IF(COUNTIFS(Торговля!$E$5:$E$300,$B177)+COUNTIFS(Закрытые!$E$5:$E$300,$B177,Закрытые!$B$5:$B$300,"T-*")=0,"",ROUND(SUMIFS(Торговля!$L$5:$L$300,Торговля!$E$5:$E$300,$B177)+SUMIFS(Закрытые!$L$5:$L$300,Закрытые!$E$5:$E$300,$B177,Закрытые!$B$5:$B$300,"T-*"),8)))</f>
        <v/>
      </c>
      <c r="J177" s="241">
        <f>IF($B177="","",IF(COUNTIFS(Торговля!$E$5:$E$300,$B177)+COUNTIFS(Закрытые!$E$5:$E$300,$B177,Закрытые!$B$5:$B$300,"T-*")=0,"",ROUND(SUMIFS(Торговля!$M$5:$M$300,Торговля!$E$5:$E$300,$B177)+SUMIFS(Закрытые!$M$5:$M$300,Закрытые!$E$5:$E$300,$B177,Закрытые!$B$5:$B$300,"T-*"),8)))</f>
        <v/>
      </c>
      <c r="K177" s="240">
        <f>IF($B177="","",ROUND(SUMIFS(Закрытые!$N$5:$N$300,Закрытые!$E$5:$E$300,$B177,Закрытые!$B$5:$B$300,"T-*"),8))</f>
        <v/>
      </c>
      <c r="L177" s="177">
        <f>IF(K177="","",IF(SUMPRODUCT((Закрытые!$E$5:$E$300=$B177)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177/SUMPRODUCT((Закрытые!$E$5:$E$300=$B177)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7" s="177">
        <f>IF(OR(ROUND(N(C177)-N(F177),8)=0,1-N(Ввод!$E$17)/100&lt;=0),"",IF(N(C177)&gt;N(F177),(N(E177)-N(H177))/((N(C177)-N(F177))*(1-N(Ввод!$E$17)/100)),(N(H177)-N(E177))/((N(F177)-N(C177))*(1+N(Ввод!$E$17)/100))))</f>
        <v/>
      </c>
    </row>
    <row r="178" ht="22" customHeight="1">
      <c r="B178" s="320" t="n"/>
      <c r="C178" s="246">
        <f>IF(SUMIFS(Торговля!$F$5:$F$300,Торговля!$E$5:$E$300,$B178)+SUMIFS(Закрытые!$F$5:$F$300,Закрытые!$E$5:$E$300,$B178,Закрытые!$B$5:$B$300,"T-*")=0,"",SUMIFS(Торговля!$F$5:$F$300,Торговля!$E$5:$E$300,$B178)+SUMIFS(Закрытые!$F$5:$F$300,Закрытые!$E$5:$E$300,$B178,Закрытые!$B$5:$B$300,"T-*"))</f>
        <v/>
      </c>
      <c r="D178" s="183">
        <f>IF(C178="","",(SUMPRODUCT((Торговля!$E$5:$E$300=$B178)*Торговля!$F$5:$F$300*Торговля!$G$5:$G$300)+SUMPRODUCT((Закрытые!$E$5:$E$300=$B178)*(LEFT(Закрытые!$B$5:$B$300,2)="T-")*Закрытые!$F$5:$F$300*Закрытые!$G$5:$G$300))/C178)</f>
        <v/>
      </c>
      <c r="E178" s="247">
        <f>IF(C178="","",SUMIFS(Торговля!$H$5:$H$300,Торговля!$E$5:$E$300,$B178)+SUMIFS(Закрытые!$H$5:$H$300,Закрытые!$E$5:$E$300,$B178,Закрытые!$B$5:$B$300,"T-*"))</f>
        <v/>
      </c>
      <c r="F178" s="246">
        <f>IF(SUMIFS(Торговля!$I$5:$I$300,Торговля!$E$5:$E$300,$B178)+SUMIFS(Закрытые!$I$5:$I$300,Закрытые!$E$5:$E$300,$B178,Закрытые!$B$5:$B$300,"T-*")=0,"",SUMIFS(Торговля!$I$5:$I$300,Торговля!$E$5:$E$300,$B178)+SUMIFS(Закрытые!$I$5:$I$300,Закрытые!$E$5:$E$300,$B178,Закрытые!$B$5:$B$300,"T-*"))</f>
        <v/>
      </c>
      <c r="G178" s="183">
        <f>IF(F178="","",(SUMPRODUCT((Торговля!$E$5:$E$300=$B178)*Торговля!$I$5:$I$300*Торговля!$J$5:$J$300)+SUMPRODUCT((Закрытые!$E$5:$E$300=$B178)*(LEFT(Закрытые!$B$5:$B$300,2)="T-")*Закрытые!$I$5:$I$300*Закрытые!$J$5:$J$300))/F178)</f>
        <v/>
      </c>
      <c r="H178" s="247">
        <f>IF(F178="","",SUMIFS(Торговля!$K$5:$K$300,Торговля!$E$5:$E$300,$B178)+SUMIFS(Закрытые!$K$5:$K$300,Закрытые!$E$5:$E$300,$B178,Закрытые!$B$5:$B$300,"T-*"))</f>
        <v/>
      </c>
      <c r="I178" s="246">
        <f>IF($B178="","",IF(COUNTIFS(Торговля!$E$5:$E$300,$B178)+COUNTIFS(Закрытые!$E$5:$E$300,$B178,Закрытые!$B$5:$B$300,"T-*")=0,"",ROUND(SUMIFS(Торговля!$L$5:$L$300,Торговля!$E$5:$E$300,$B178)+SUMIFS(Закрытые!$L$5:$L$300,Закрытые!$E$5:$E$300,$B178,Закрытые!$B$5:$B$300,"T-*"),8)))</f>
        <v/>
      </c>
      <c r="J178" s="247">
        <f>IF($B178="","",IF(COUNTIFS(Торговля!$E$5:$E$300,$B178)+COUNTIFS(Закрытые!$E$5:$E$300,$B178,Закрытые!$B$5:$B$300,"T-*")=0,"",ROUND(SUMIFS(Торговля!$M$5:$M$300,Торговля!$E$5:$E$300,$B178)+SUMIFS(Закрытые!$M$5:$M$300,Закрытые!$E$5:$E$300,$B178,Закрытые!$B$5:$B$300,"T-*"),8)))</f>
        <v/>
      </c>
      <c r="K178" s="246">
        <f>IF($B178="","",ROUND(SUMIFS(Закрытые!$N$5:$N$300,Закрытые!$E$5:$E$300,$B178,Закрытые!$B$5:$B$300,"T-*"),8))</f>
        <v/>
      </c>
      <c r="L178" s="183">
        <f>IF(K178="","",IF(SUMPRODUCT((Закрытые!$E$5:$E$300=$B178)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178/SUMPRODUCT((Закрытые!$E$5:$E$300=$B178)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8" s="183">
        <f>IF(OR(ROUND(N(C178)-N(F178),8)=0,1-N(Ввод!$E$17)/100&lt;=0),"",IF(N(C178)&gt;N(F178),(N(E178)-N(H178))/((N(C178)-N(F178))*(1-N(Ввод!$E$17)/100)),(N(H178)-N(E178))/((N(F178)-N(C178))*(1+N(Ввод!$E$17)/100))))</f>
        <v/>
      </c>
    </row>
    <row r="179" ht="22" customHeight="1">
      <c r="B179" s="315" t="n"/>
      <c r="C179" s="240">
        <f>IF(SUMIFS(Торговля!$F$5:$F$300,Торговля!$E$5:$E$300,$B179)+SUMIFS(Закрытые!$F$5:$F$300,Закрытые!$E$5:$E$300,$B179,Закрытые!$B$5:$B$300,"T-*")=0,"",SUMIFS(Торговля!$F$5:$F$300,Торговля!$E$5:$E$300,$B179)+SUMIFS(Закрытые!$F$5:$F$300,Закрытые!$E$5:$E$300,$B179,Закрытые!$B$5:$B$300,"T-*"))</f>
        <v/>
      </c>
      <c r="D179" s="177">
        <f>IF(C179="","",(SUMPRODUCT((Торговля!$E$5:$E$300=$B179)*Торговля!$F$5:$F$300*Торговля!$G$5:$G$300)+SUMPRODUCT((Закрытые!$E$5:$E$300=$B179)*(LEFT(Закрытые!$B$5:$B$300,2)="T-")*Закрытые!$F$5:$F$300*Закрытые!$G$5:$G$300))/C179)</f>
        <v/>
      </c>
      <c r="E179" s="241">
        <f>IF(C179="","",SUMIFS(Торговля!$H$5:$H$300,Торговля!$E$5:$E$300,$B179)+SUMIFS(Закрытые!$H$5:$H$300,Закрытые!$E$5:$E$300,$B179,Закрытые!$B$5:$B$300,"T-*"))</f>
        <v/>
      </c>
      <c r="F179" s="240">
        <f>IF(SUMIFS(Торговля!$I$5:$I$300,Торговля!$E$5:$E$300,$B179)+SUMIFS(Закрытые!$I$5:$I$300,Закрытые!$E$5:$E$300,$B179,Закрытые!$B$5:$B$300,"T-*")=0,"",SUMIFS(Торговля!$I$5:$I$300,Торговля!$E$5:$E$300,$B179)+SUMIFS(Закрытые!$I$5:$I$300,Закрытые!$E$5:$E$300,$B179,Закрытые!$B$5:$B$300,"T-*"))</f>
        <v/>
      </c>
      <c r="G179" s="177">
        <f>IF(F179="","",(SUMPRODUCT((Торговля!$E$5:$E$300=$B179)*Торговля!$I$5:$I$300*Торговля!$J$5:$J$300)+SUMPRODUCT((Закрытые!$E$5:$E$300=$B179)*(LEFT(Закрытые!$B$5:$B$300,2)="T-")*Закрытые!$I$5:$I$300*Закрытые!$J$5:$J$300))/F179)</f>
        <v/>
      </c>
      <c r="H179" s="241">
        <f>IF(F179="","",SUMIFS(Торговля!$K$5:$K$300,Торговля!$E$5:$E$300,$B179)+SUMIFS(Закрытые!$K$5:$K$300,Закрытые!$E$5:$E$300,$B179,Закрытые!$B$5:$B$300,"T-*"))</f>
        <v/>
      </c>
      <c r="I179" s="240">
        <f>IF($B179="","",IF(COUNTIFS(Торговля!$E$5:$E$300,$B179)+COUNTIFS(Закрытые!$E$5:$E$300,$B179,Закрытые!$B$5:$B$300,"T-*")=0,"",ROUND(SUMIFS(Торговля!$L$5:$L$300,Торговля!$E$5:$E$300,$B179)+SUMIFS(Закрытые!$L$5:$L$300,Закрытые!$E$5:$E$300,$B179,Закрытые!$B$5:$B$300,"T-*"),8)))</f>
        <v/>
      </c>
      <c r="J179" s="241">
        <f>IF($B179="","",IF(COUNTIFS(Торговля!$E$5:$E$300,$B179)+COUNTIFS(Закрытые!$E$5:$E$300,$B179,Закрытые!$B$5:$B$300,"T-*")=0,"",ROUND(SUMIFS(Торговля!$M$5:$M$300,Торговля!$E$5:$E$300,$B179)+SUMIFS(Закрытые!$M$5:$M$300,Закрытые!$E$5:$E$300,$B179,Закрытые!$B$5:$B$300,"T-*"),8)))</f>
        <v/>
      </c>
      <c r="K179" s="240">
        <f>IF($B179="","",ROUND(SUMIFS(Закрытые!$N$5:$N$300,Закрытые!$E$5:$E$300,$B179,Закрытые!$B$5:$B$300,"T-*"),8))</f>
        <v/>
      </c>
      <c r="L179" s="177">
        <f>IF(K179="","",IF(SUMPRODUCT((Закрытые!$E$5:$E$300=$B179)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179/SUMPRODUCT((Закрытые!$E$5:$E$300=$B179)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9" s="177">
        <f>IF(OR(ROUND(N(C179)-N(F179),8)=0,1-N(Ввод!$E$17)/100&lt;=0),"",IF(N(C179)&gt;N(F179),(N(E179)-N(H179))/((N(C179)-N(F179))*(1-N(Ввод!$E$17)/100)),(N(H179)-N(E179))/((N(F179)-N(C179))*(1+N(Ввод!$E$17)/100))))</f>
        <v/>
      </c>
    </row>
    <row r="180" ht="22" customHeight="1">
      <c r="B180" s="320" t="n"/>
      <c r="C180" s="246">
        <f>IF(SUMIFS(Торговля!$F$5:$F$300,Торговля!$E$5:$E$300,$B180)+SUMIFS(Закрытые!$F$5:$F$300,Закрытые!$E$5:$E$300,$B180,Закрытые!$B$5:$B$300,"T-*")=0,"",SUMIFS(Торговля!$F$5:$F$300,Торговля!$E$5:$E$300,$B180)+SUMIFS(Закрытые!$F$5:$F$300,Закрытые!$E$5:$E$300,$B180,Закрытые!$B$5:$B$300,"T-*"))</f>
        <v/>
      </c>
      <c r="D180" s="183">
        <f>IF(C180="","",(SUMPRODUCT((Торговля!$E$5:$E$300=$B180)*Торговля!$F$5:$F$300*Торговля!$G$5:$G$300)+SUMPRODUCT((Закрытые!$E$5:$E$300=$B180)*(LEFT(Закрытые!$B$5:$B$300,2)="T-")*Закрытые!$F$5:$F$300*Закрытые!$G$5:$G$300))/C180)</f>
        <v/>
      </c>
      <c r="E180" s="247">
        <f>IF(C180="","",SUMIFS(Торговля!$H$5:$H$300,Торговля!$E$5:$E$300,$B180)+SUMIFS(Закрытые!$H$5:$H$300,Закрытые!$E$5:$E$300,$B180,Закрытые!$B$5:$B$300,"T-*"))</f>
        <v/>
      </c>
      <c r="F180" s="246">
        <f>IF(SUMIFS(Торговля!$I$5:$I$300,Торговля!$E$5:$E$300,$B180)+SUMIFS(Закрытые!$I$5:$I$300,Закрытые!$E$5:$E$300,$B180,Закрытые!$B$5:$B$300,"T-*")=0,"",SUMIFS(Торговля!$I$5:$I$300,Торговля!$E$5:$E$300,$B180)+SUMIFS(Закрытые!$I$5:$I$300,Закрытые!$E$5:$E$300,$B180,Закрытые!$B$5:$B$300,"T-*"))</f>
        <v/>
      </c>
      <c r="G180" s="183">
        <f>IF(F180="","",(SUMPRODUCT((Торговля!$E$5:$E$300=$B180)*Торговля!$I$5:$I$300*Торговля!$J$5:$J$300)+SUMPRODUCT((Закрытые!$E$5:$E$300=$B180)*(LEFT(Закрытые!$B$5:$B$300,2)="T-")*Закрытые!$I$5:$I$300*Закрытые!$J$5:$J$300))/F180)</f>
        <v/>
      </c>
      <c r="H180" s="247">
        <f>IF(F180="","",SUMIFS(Торговля!$K$5:$K$300,Торговля!$E$5:$E$300,$B180)+SUMIFS(Закрытые!$K$5:$K$300,Закрытые!$E$5:$E$300,$B180,Закрытые!$B$5:$B$300,"T-*"))</f>
        <v/>
      </c>
      <c r="I180" s="246">
        <f>IF($B180="","",IF(COUNTIFS(Торговля!$E$5:$E$300,$B180)+COUNTIFS(Закрытые!$E$5:$E$300,$B180,Закрытые!$B$5:$B$300,"T-*")=0,"",ROUND(SUMIFS(Торговля!$L$5:$L$300,Торговля!$E$5:$E$300,$B180)+SUMIFS(Закрытые!$L$5:$L$300,Закрытые!$E$5:$E$300,$B180,Закрытые!$B$5:$B$300,"T-*"),8)))</f>
        <v/>
      </c>
      <c r="J180" s="247">
        <f>IF($B180="","",IF(COUNTIFS(Торговля!$E$5:$E$300,$B180)+COUNTIFS(Закрытые!$E$5:$E$300,$B180,Закрытые!$B$5:$B$300,"T-*")=0,"",ROUND(SUMIFS(Торговля!$M$5:$M$300,Торговля!$E$5:$E$300,$B180)+SUMIFS(Закрытые!$M$5:$M$300,Закрытые!$E$5:$E$300,$B180,Закрытые!$B$5:$B$300,"T-*"),8)))</f>
        <v/>
      </c>
      <c r="K180" s="246">
        <f>IF($B180="","",ROUND(SUMIFS(Закрытые!$N$5:$N$300,Закрытые!$E$5:$E$300,$B180,Закрытые!$B$5:$B$300,"T-*"),8))</f>
        <v/>
      </c>
      <c r="L180" s="183">
        <f>IF(K180="","",IF(SUMPRODUCT((Закрытые!$E$5:$E$300=$B180)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180/SUMPRODUCT((Закрытые!$E$5:$E$300=$B180)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0" s="183">
        <f>IF(OR(ROUND(N(C180)-N(F180),8)=0,1-N(Ввод!$E$17)/100&lt;=0),"",IF(N(C180)&gt;N(F180),(N(E180)-N(H180))/((N(C180)-N(F180))*(1-N(Ввод!$E$17)/100)),(N(H180)-N(E180))/((N(F180)-N(C180))*(1+N(Ввод!$E$17)/100))))</f>
        <v/>
      </c>
    </row>
    <row r="181" ht="22" customHeight="1">
      <c r="B181" s="315" t="n"/>
      <c r="C181" s="240">
        <f>IF(SUMIFS(Торговля!$F$5:$F$300,Торговля!$E$5:$E$300,$B181)+SUMIFS(Закрытые!$F$5:$F$300,Закрытые!$E$5:$E$300,$B181,Закрытые!$B$5:$B$300,"T-*")=0,"",SUMIFS(Торговля!$F$5:$F$300,Торговля!$E$5:$E$300,$B181)+SUMIFS(Закрытые!$F$5:$F$300,Закрытые!$E$5:$E$300,$B181,Закрытые!$B$5:$B$300,"T-*"))</f>
        <v/>
      </c>
      <c r="D181" s="177">
        <f>IF(C181="","",(SUMPRODUCT((Торговля!$E$5:$E$300=$B181)*Торговля!$F$5:$F$300*Торговля!$G$5:$G$300)+SUMPRODUCT((Закрытые!$E$5:$E$300=$B181)*(LEFT(Закрытые!$B$5:$B$300,2)="T-")*Закрытые!$F$5:$F$300*Закрытые!$G$5:$G$300))/C181)</f>
        <v/>
      </c>
      <c r="E181" s="241">
        <f>IF(C181="","",SUMIFS(Торговля!$H$5:$H$300,Торговля!$E$5:$E$300,$B181)+SUMIFS(Закрытые!$H$5:$H$300,Закрытые!$E$5:$E$300,$B181,Закрытые!$B$5:$B$300,"T-*"))</f>
        <v/>
      </c>
      <c r="F181" s="240">
        <f>IF(SUMIFS(Торговля!$I$5:$I$300,Торговля!$E$5:$E$300,$B181)+SUMIFS(Закрытые!$I$5:$I$300,Закрытые!$E$5:$E$300,$B181,Закрытые!$B$5:$B$300,"T-*")=0,"",SUMIFS(Торговля!$I$5:$I$300,Торговля!$E$5:$E$300,$B181)+SUMIFS(Закрытые!$I$5:$I$300,Закрытые!$E$5:$E$300,$B181,Закрытые!$B$5:$B$300,"T-*"))</f>
        <v/>
      </c>
      <c r="G181" s="177">
        <f>IF(F181="","",(SUMPRODUCT((Торговля!$E$5:$E$300=$B181)*Торговля!$I$5:$I$300*Торговля!$J$5:$J$300)+SUMPRODUCT((Закрытые!$E$5:$E$300=$B181)*(LEFT(Закрытые!$B$5:$B$300,2)="T-")*Закрытые!$I$5:$I$300*Закрытые!$J$5:$J$300))/F181)</f>
        <v/>
      </c>
      <c r="H181" s="241">
        <f>IF(F181="","",SUMIFS(Торговля!$K$5:$K$300,Торговля!$E$5:$E$300,$B181)+SUMIFS(Закрытые!$K$5:$K$300,Закрытые!$E$5:$E$300,$B181,Закрытые!$B$5:$B$300,"T-*"))</f>
        <v/>
      </c>
      <c r="I181" s="240">
        <f>IF($B181="","",IF(COUNTIFS(Торговля!$E$5:$E$300,$B181)+COUNTIFS(Закрытые!$E$5:$E$300,$B181,Закрытые!$B$5:$B$300,"T-*")=0,"",ROUND(SUMIFS(Торговля!$L$5:$L$300,Торговля!$E$5:$E$300,$B181)+SUMIFS(Закрытые!$L$5:$L$300,Закрытые!$E$5:$E$300,$B181,Закрытые!$B$5:$B$300,"T-*"),8)))</f>
        <v/>
      </c>
      <c r="J181" s="241">
        <f>IF($B181="","",IF(COUNTIFS(Торговля!$E$5:$E$300,$B181)+COUNTIFS(Закрытые!$E$5:$E$300,$B181,Закрытые!$B$5:$B$300,"T-*")=0,"",ROUND(SUMIFS(Торговля!$M$5:$M$300,Торговля!$E$5:$E$300,$B181)+SUMIFS(Закрытые!$M$5:$M$300,Закрытые!$E$5:$E$300,$B181,Закрытые!$B$5:$B$300,"T-*"),8)))</f>
        <v/>
      </c>
      <c r="K181" s="240">
        <f>IF($B181="","",ROUND(SUMIFS(Закрытые!$N$5:$N$300,Закрытые!$E$5:$E$300,$B181,Закрытые!$B$5:$B$300,"T-*"),8))</f>
        <v/>
      </c>
      <c r="L181" s="177">
        <f>IF(K181="","",IF(SUMPRODUCT((Закрытые!$E$5:$E$300=$B181)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181/SUMPRODUCT((Закрытые!$E$5:$E$300=$B181)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1" s="177">
        <f>IF(OR(ROUND(N(C181)-N(F181),8)=0,1-N(Ввод!$E$17)/100&lt;=0),"",IF(N(C181)&gt;N(F181),(N(E181)-N(H181))/((N(C181)-N(F181))*(1-N(Ввод!$E$17)/100)),(N(H181)-N(E181))/((N(F181)-N(C181))*(1+N(Ввод!$E$17)/100))))</f>
        <v/>
      </c>
    </row>
    <row r="182" ht="22" customHeight="1">
      <c r="B182" s="320" t="n"/>
      <c r="C182" s="246">
        <f>IF(SUMIFS(Торговля!$F$5:$F$300,Торговля!$E$5:$E$300,$B182)+SUMIFS(Закрытые!$F$5:$F$300,Закрытые!$E$5:$E$300,$B182,Закрытые!$B$5:$B$300,"T-*")=0,"",SUMIFS(Торговля!$F$5:$F$300,Торговля!$E$5:$E$300,$B182)+SUMIFS(Закрытые!$F$5:$F$300,Закрытые!$E$5:$E$300,$B182,Закрытые!$B$5:$B$300,"T-*"))</f>
        <v/>
      </c>
      <c r="D182" s="183">
        <f>IF(C182="","",(SUMPRODUCT((Торговля!$E$5:$E$300=$B182)*Торговля!$F$5:$F$300*Торговля!$G$5:$G$300)+SUMPRODUCT((Закрытые!$E$5:$E$300=$B182)*(LEFT(Закрытые!$B$5:$B$300,2)="T-")*Закрытые!$F$5:$F$300*Закрытые!$G$5:$G$300))/C182)</f>
        <v/>
      </c>
      <c r="E182" s="247">
        <f>IF(C182="","",SUMIFS(Торговля!$H$5:$H$300,Торговля!$E$5:$E$300,$B182)+SUMIFS(Закрытые!$H$5:$H$300,Закрытые!$E$5:$E$300,$B182,Закрытые!$B$5:$B$300,"T-*"))</f>
        <v/>
      </c>
      <c r="F182" s="246">
        <f>IF(SUMIFS(Торговля!$I$5:$I$300,Торговля!$E$5:$E$300,$B182)+SUMIFS(Закрытые!$I$5:$I$300,Закрытые!$E$5:$E$300,$B182,Закрытые!$B$5:$B$300,"T-*")=0,"",SUMIFS(Торговля!$I$5:$I$300,Торговля!$E$5:$E$300,$B182)+SUMIFS(Закрытые!$I$5:$I$300,Закрытые!$E$5:$E$300,$B182,Закрытые!$B$5:$B$300,"T-*"))</f>
        <v/>
      </c>
      <c r="G182" s="183">
        <f>IF(F182="","",(SUMPRODUCT((Торговля!$E$5:$E$300=$B182)*Торговля!$I$5:$I$300*Торговля!$J$5:$J$300)+SUMPRODUCT((Закрытые!$E$5:$E$300=$B182)*(LEFT(Закрытые!$B$5:$B$300,2)="T-")*Закрытые!$I$5:$I$300*Закрытые!$J$5:$J$300))/F182)</f>
        <v/>
      </c>
      <c r="H182" s="247">
        <f>IF(F182="","",SUMIFS(Торговля!$K$5:$K$300,Торговля!$E$5:$E$300,$B182)+SUMIFS(Закрытые!$K$5:$K$300,Закрытые!$E$5:$E$300,$B182,Закрытые!$B$5:$B$300,"T-*"))</f>
        <v/>
      </c>
      <c r="I182" s="246">
        <f>IF($B182="","",IF(COUNTIFS(Торговля!$E$5:$E$300,$B182)+COUNTIFS(Закрытые!$E$5:$E$300,$B182,Закрытые!$B$5:$B$300,"T-*")=0,"",ROUND(SUMIFS(Торговля!$L$5:$L$300,Торговля!$E$5:$E$300,$B182)+SUMIFS(Закрытые!$L$5:$L$300,Закрытые!$E$5:$E$300,$B182,Закрытые!$B$5:$B$300,"T-*"),8)))</f>
        <v/>
      </c>
      <c r="J182" s="247">
        <f>IF($B182="","",IF(COUNTIFS(Торговля!$E$5:$E$300,$B182)+COUNTIFS(Закрытые!$E$5:$E$300,$B182,Закрытые!$B$5:$B$300,"T-*")=0,"",ROUND(SUMIFS(Торговля!$M$5:$M$300,Торговля!$E$5:$E$300,$B182)+SUMIFS(Закрытые!$M$5:$M$300,Закрытые!$E$5:$E$300,$B182,Закрытые!$B$5:$B$300,"T-*"),8)))</f>
        <v/>
      </c>
      <c r="K182" s="246">
        <f>IF($B182="","",ROUND(SUMIFS(Закрытые!$N$5:$N$300,Закрытые!$E$5:$E$300,$B182,Закрытые!$B$5:$B$300,"T-*"),8))</f>
        <v/>
      </c>
      <c r="L182" s="183">
        <f>IF(K182="","",IF(SUMPRODUCT((Закрытые!$E$5:$E$300=$B182)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182/SUMPRODUCT((Закрытые!$E$5:$E$300=$B182)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2" s="183">
        <f>IF(OR(ROUND(N(C182)-N(F182),8)=0,1-N(Ввод!$E$17)/100&lt;=0),"",IF(N(C182)&gt;N(F182),(N(E182)-N(H182))/((N(C182)-N(F182))*(1-N(Ввод!$E$17)/100)),(N(H182)-N(E182))/((N(F182)-N(C182))*(1+N(Ввод!$E$17)/100))))</f>
        <v/>
      </c>
    </row>
    <row r="183" ht="22" customHeight="1">
      <c r="B183" s="315" t="n"/>
      <c r="C183" s="240">
        <f>IF(SUMIFS(Торговля!$F$5:$F$300,Торговля!$E$5:$E$300,$B183)+SUMIFS(Закрытые!$F$5:$F$300,Закрытые!$E$5:$E$300,$B183,Закрытые!$B$5:$B$300,"T-*")=0,"",SUMIFS(Торговля!$F$5:$F$300,Торговля!$E$5:$E$300,$B183)+SUMIFS(Закрытые!$F$5:$F$300,Закрытые!$E$5:$E$300,$B183,Закрытые!$B$5:$B$300,"T-*"))</f>
        <v/>
      </c>
      <c r="D183" s="177">
        <f>IF(C183="","",(SUMPRODUCT((Торговля!$E$5:$E$300=$B183)*Торговля!$F$5:$F$300*Торговля!$G$5:$G$300)+SUMPRODUCT((Закрытые!$E$5:$E$300=$B183)*(LEFT(Закрытые!$B$5:$B$300,2)="T-")*Закрытые!$F$5:$F$300*Закрытые!$G$5:$G$300))/C183)</f>
        <v/>
      </c>
      <c r="E183" s="241">
        <f>IF(C183="","",SUMIFS(Торговля!$H$5:$H$300,Торговля!$E$5:$E$300,$B183)+SUMIFS(Закрытые!$H$5:$H$300,Закрытые!$E$5:$E$300,$B183,Закрытые!$B$5:$B$300,"T-*"))</f>
        <v/>
      </c>
      <c r="F183" s="240">
        <f>IF(SUMIFS(Торговля!$I$5:$I$300,Торговля!$E$5:$E$300,$B183)+SUMIFS(Закрытые!$I$5:$I$300,Закрытые!$E$5:$E$300,$B183,Закрытые!$B$5:$B$300,"T-*")=0,"",SUMIFS(Торговля!$I$5:$I$300,Торговля!$E$5:$E$300,$B183)+SUMIFS(Закрытые!$I$5:$I$300,Закрытые!$E$5:$E$300,$B183,Закрытые!$B$5:$B$300,"T-*"))</f>
        <v/>
      </c>
      <c r="G183" s="177">
        <f>IF(F183="","",(SUMPRODUCT((Торговля!$E$5:$E$300=$B183)*Торговля!$I$5:$I$300*Торговля!$J$5:$J$300)+SUMPRODUCT((Закрытые!$E$5:$E$300=$B183)*(LEFT(Закрытые!$B$5:$B$300,2)="T-")*Закрытые!$I$5:$I$300*Закрытые!$J$5:$J$300))/F183)</f>
        <v/>
      </c>
      <c r="H183" s="241">
        <f>IF(F183="","",SUMIFS(Торговля!$K$5:$K$300,Торговля!$E$5:$E$300,$B183)+SUMIFS(Закрытые!$K$5:$K$300,Закрытые!$E$5:$E$300,$B183,Закрытые!$B$5:$B$300,"T-*"))</f>
        <v/>
      </c>
      <c r="I183" s="240">
        <f>IF($B183="","",IF(COUNTIFS(Торговля!$E$5:$E$300,$B183)+COUNTIFS(Закрытые!$E$5:$E$300,$B183,Закрытые!$B$5:$B$300,"T-*")=0,"",ROUND(SUMIFS(Торговля!$L$5:$L$300,Торговля!$E$5:$E$300,$B183)+SUMIFS(Закрытые!$L$5:$L$300,Закрытые!$E$5:$E$300,$B183,Закрытые!$B$5:$B$300,"T-*"),8)))</f>
        <v/>
      </c>
      <c r="J183" s="241">
        <f>IF($B183="","",IF(COUNTIFS(Торговля!$E$5:$E$300,$B183)+COUNTIFS(Закрытые!$E$5:$E$300,$B183,Закрытые!$B$5:$B$300,"T-*")=0,"",ROUND(SUMIFS(Торговля!$M$5:$M$300,Торговля!$E$5:$E$300,$B183)+SUMIFS(Закрытые!$M$5:$M$300,Закрытые!$E$5:$E$300,$B183,Закрытые!$B$5:$B$300,"T-*"),8)))</f>
        <v/>
      </c>
      <c r="K183" s="240">
        <f>IF($B183="","",ROUND(SUMIFS(Закрытые!$N$5:$N$300,Закрытые!$E$5:$E$300,$B183,Закрытые!$B$5:$B$300,"T-*"),8))</f>
        <v/>
      </c>
      <c r="L183" s="177">
        <f>IF(K183="","",IF(SUMPRODUCT((Закрытые!$E$5:$E$300=$B183)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183/SUMPRODUCT((Закрытые!$E$5:$E$300=$B183)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3" s="177">
        <f>IF(OR(ROUND(N(C183)-N(F183),8)=0,1-N(Ввод!$E$17)/100&lt;=0),"",IF(N(C183)&gt;N(F183),(N(E183)-N(H183))/((N(C183)-N(F183))*(1-N(Ввод!$E$17)/100)),(N(H183)-N(E183))/((N(F183)-N(C183))*(1+N(Ввод!$E$17)/100))))</f>
        <v/>
      </c>
    </row>
    <row r="184" ht="22" customHeight="1">
      <c r="B184" s="320" t="n"/>
      <c r="C184" s="246">
        <f>IF(SUMIFS(Торговля!$F$5:$F$300,Торговля!$E$5:$E$300,$B184)+SUMIFS(Закрытые!$F$5:$F$300,Закрытые!$E$5:$E$300,$B184,Закрытые!$B$5:$B$300,"T-*")=0,"",SUMIFS(Торговля!$F$5:$F$300,Торговля!$E$5:$E$300,$B184)+SUMIFS(Закрытые!$F$5:$F$300,Закрытые!$E$5:$E$300,$B184,Закрытые!$B$5:$B$300,"T-*"))</f>
        <v/>
      </c>
      <c r="D184" s="183">
        <f>IF(C184="","",(SUMPRODUCT((Торговля!$E$5:$E$300=$B184)*Торговля!$F$5:$F$300*Торговля!$G$5:$G$300)+SUMPRODUCT((Закрытые!$E$5:$E$300=$B184)*(LEFT(Закрытые!$B$5:$B$300,2)="T-")*Закрытые!$F$5:$F$300*Закрытые!$G$5:$G$300))/C184)</f>
        <v/>
      </c>
      <c r="E184" s="247">
        <f>IF(C184="","",SUMIFS(Торговля!$H$5:$H$300,Торговля!$E$5:$E$300,$B184)+SUMIFS(Закрытые!$H$5:$H$300,Закрытые!$E$5:$E$300,$B184,Закрытые!$B$5:$B$300,"T-*"))</f>
        <v/>
      </c>
      <c r="F184" s="246">
        <f>IF(SUMIFS(Торговля!$I$5:$I$300,Торговля!$E$5:$E$300,$B184)+SUMIFS(Закрытые!$I$5:$I$300,Закрытые!$E$5:$E$300,$B184,Закрытые!$B$5:$B$300,"T-*")=0,"",SUMIFS(Торговля!$I$5:$I$300,Торговля!$E$5:$E$300,$B184)+SUMIFS(Закрытые!$I$5:$I$300,Закрытые!$E$5:$E$300,$B184,Закрытые!$B$5:$B$300,"T-*"))</f>
        <v/>
      </c>
      <c r="G184" s="183">
        <f>IF(F184="","",(SUMPRODUCT((Торговля!$E$5:$E$300=$B184)*Торговля!$I$5:$I$300*Торговля!$J$5:$J$300)+SUMPRODUCT((Закрытые!$E$5:$E$300=$B184)*(LEFT(Закрытые!$B$5:$B$300,2)="T-")*Закрытые!$I$5:$I$300*Закрытые!$J$5:$J$300))/F184)</f>
        <v/>
      </c>
      <c r="H184" s="247">
        <f>IF(F184="","",SUMIFS(Торговля!$K$5:$K$300,Торговля!$E$5:$E$300,$B184)+SUMIFS(Закрытые!$K$5:$K$300,Закрытые!$E$5:$E$300,$B184,Закрытые!$B$5:$B$300,"T-*"))</f>
        <v/>
      </c>
      <c r="I184" s="246">
        <f>IF($B184="","",IF(COUNTIFS(Торговля!$E$5:$E$300,$B184)+COUNTIFS(Закрытые!$E$5:$E$300,$B184,Закрытые!$B$5:$B$300,"T-*")=0,"",ROUND(SUMIFS(Торговля!$L$5:$L$300,Торговля!$E$5:$E$300,$B184)+SUMIFS(Закрытые!$L$5:$L$300,Закрытые!$E$5:$E$300,$B184,Закрытые!$B$5:$B$300,"T-*"),8)))</f>
        <v/>
      </c>
      <c r="J184" s="247">
        <f>IF($B184="","",IF(COUNTIFS(Торговля!$E$5:$E$300,$B184)+COUNTIFS(Закрытые!$E$5:$E$300,$B184,Закрытые!$B$5:$B$300,"T-*")=0,"",ROUND(SUMIFS(Торговля!$M$5:$M$300,Торговля!$E$5:$E$300,$B184)+SUMIFS(Закрытые!$M$5:$M$300,Закрытые!$E$5:$E$300,$B184,Закрытые!$B$5:$B$300,"T-*"),8)))</f>
        <v/>
      </c>
      <c r="K184" s="246">
        <f>IF($B184="","",ROUND(SUMIFS(Закрытые!$N$5:$N$300,Закрытые!$E$5:$E$300,$B184,Закрытые!$B$5:$B$300,"T-*"),8))</f>
        <v/>
      </c>
      <c r="L184" s="183">
        <f>IF(K184="","",IF(SUMPRODUCT((Закрытые!$E$5:$E$300=$B184)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184/SUMPRODUCT((Закрытые!$E$5:$E$300=$B184)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4" s="183">
        <f>IF(OR(ROUND(N(C184)-N(F184),8)=0,1-N(Ввод!$E$17)/100&lt;=0),"",IF(N(C184)&gt;N(F184),(N(E184)-N(H184))/((N(C184)-N(F184))*(1-N(Ввод!$E$17)/100)),(N(H184)-N(E184))/((N(F184)-N(C184))*(1+N(Ввод!$E$17)/100))))</f>
        <v/>
      </c>
    </row>
    <row r="185" ht="22" customHeight="1">
      <c r="B185" s="315" t="n"/>
      <c r="C185" s="240">
        <f>IF(SUMIFS(Торговля!$F$5:$F$300,Торговля!$E$5:$E$300,$B185)+SUMIFS(Закрытые!$F$5:$F$300,Закрытые!$E$5:$E$300,$B185,Закрытые!$B$5:$B$300,"T-*")=0,"",SUMIFS(Торговля!$F$5:$F$300,Торговля!$E$5:$E$300,$B185)+SUMIFS(Закрытые!$F$5:$F$300,Закрытые!$E$5:$E$300,$B185,Закрытые!$B$5:$B$300,"T-*"))</f>
        <v/>
      </c>
      <c r="D185" s="177">
        <f>IF(C185="","",(SUMPRODUCT((Торговля!$E$5:$E$300=$B185)*Торговля!$F$5:$F$300*Торговля!$G$5:$G$300)+SUMPRODUCT((Закрытые!$E$5:$E$300=$B185)*(LEFT(Закрытые!$B$5:$B$300,2)="T-")*Закрытые!$F$5:$F$300*Закрытые!$G$5:$G$300))/C185)</f>
        <v/>
      </c>
      <c r="E185" s="241">
        <f>IF(C185="","",SUMIFS(Торговля!$H$5:$H$300,Торговля!$E$5:$E$300,$B185)+SUMIFS(Закрытые!$H$5:$H$300,Закрытые!$E$5:$E$300,$B185,Закрытые!$B$5:$B$300,"T-*"))</f>
        <v/>
      </c>
      <c r="F185" s="240">
        <f>IF(SUMIFS(Торговля!$I$5:$I$300,Торговля!$E$5:$E$300,$B185)+SUMIFS(Закрытые!$I$5:$I$300,Закрытые!$E$5:$E$300,$B185,Закрытые!$B$5:$B$300,"T-*")=0,"",SUMIFS(Торговля!$I$5:$I$300,Торговля!$E$5:$E$300,$B185)+SUMIFS(Закрытые!$I$5:$I$300,Закрытые!$E$5:$E$300,$B185,Закрытые!$B$5:$B$300,"T-*"))</f>
        <v/>
      </c>
      <c r="G185" s="177">
        <f>IF(F185="","",(SUMPRODUCT((Торговля!$E$5:$E$300=$B185)*Торговля!$I$5:$I$300*Торговля!$J$5:$J$300)+SUMPRODUCT((Закрытые!$E$5:$E$300=$B185)*(LEFT(Закрытые!$B$5:$B$300,2)="T-")*Закрытые!$I$5:$I$300*Закрытые!$J$5:$J$300))/F185)</f>
        <v/>
      </c>
      <c r="H185" s="241">
        <f>IF(F185="","",SUMIFS(Торговля!$K$5:$K$300,Торговля!$E$5:$E$300,$B185)+SUMIFS(Закрытые!$K$5:$K$300,Закрытые!$E$5:$E$300,$B185,Закрытые!$B$5:$B$300,"T-*"))</f>
        <v/>
      </c>
      <c r="I185" s="240">
        <f>IF($B185="","",IF(COUNTIFS(Торговля!$E$5:$E$300,$B185)+COUNTIFS(Закрытые!$E$5:$E$300,$B185,Закрытые!$B$5:$B$300,"T-*")=0,"",ROUND(SUMIFS(Торговля!$L$5:$L$300,Торговля!$E$5:$E$300,$B185)+SUMIFS(Закрытые!$L$5:$L$300,Закрытые!$E$5:$E$300,$B185,Закрытые!$B$5:$B$300,"T-*"),8)))</f>
        <v/>
      </c>
      <c r="J185" s="241">
        <f>IF($B185="","",IF(COUNTIFS(Торговля!$E$5:$E$300,$B185)+COUNTIFS(Закрытые!$E$5:$E$300,$B185,Закрытые!$B$5:$B$300,"T-*")=0,"",ROUND(SUMIFS(Торговля!$M$5:$M$300,Торговля!$E$5:$E$300,$B185)+SUMIFS(Закрытые!$M$5:$M$300,Закрытые!$E$5:$E$300,$B185,Закрытые!$B$5:$B$300,"T-*"),8)))</f>
        <v/>
      </c>
      <c r="K185" s="240">
        <f>IF($B185="","",ROUND(SUMIFS(Закрытые!$N$5:$N$300,Закрытые!$E$5:$E$300,$B185,Закрытые!$B$5:$B$300,"T-*"),8))</f>
        <v/>
      </c>
      <c r="L185" s="177">
        <f>IF(K185="","",IF(SUMPRODUCT((Закрытые!$E$5:$E$300=$B185)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185/SUMPRODUCT((Закрытые!$E$5:$E$300=$B185)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5" s="177">
        <f>IF(OR(ROUND(N(C185)-N(F185),8)=0,1-N(Ввод!$E$17)/100&lt;=0),"",IF(N(C185)&gt;N(F185),(N(E185)-N(H185))/((N(C185)-N(F185))*(1-N(Ввод!$E$17)/100)),(N(H185)-N(E185))/((N(F185)-N(C185))*(1+N(Ввод!$E$17)/100))))</f>
        <v/>
      </c>
    </row>
    <row r="186" ht="22" customHeight="1">
      <c r="B186" s="320" t="n"/>
      <c r="C186" s="246">
        <f>IF(SUMIFS(Торговля!$F$5:$F$300,Торговля!$E$5:$E$300,$B186)+SUMIFS(Закрытые!$F$5:$F$300,Закрытые!$E$5:$E$300,$B186,Закрытые!$B$5:$B$300,"T-*")=0,"",SUMIFS(Торговля!$F$5:$F$300,Торговля!$E$5:$E$300,$B186)+SUMIFS(Закрытые!$F$5:$F$300,Закрытые!$E$5:$E$300,$B186,Закрытые!$B$5:$B$300,"T-*"))</f>
        <v/>
      </c>
      <c r="D186" s="183">
        <f>IF(C186="","",(SUMPRODUCT((Торговля!$E$5:$E$300=$B186)*Торговля!$F$5:$F$300*Торговля!$G$5:$G$300)+SUMPRODUCT((Закрытые!$E$5:$E$300=$B186)*(LEFT(Закрытые!$B$5:$B$300,2)="T-")*Закрытые!$F$5:$F$300*Закрытые!$G$5:$G$300))/C186)</f>
        <v/>
      </c>
      <c r="E186" s="247">
        <f>IF(C186="","",SUMIFS(Торговля!$H$5:$H$300,Торговля!$E$5:$E$300,$B186)+SUMIFS(Закрытые!$H$5:$H$300,Закрытые!$E$5:$E$300,$B186,Закрытые!$B$5:$B$300,"T-*"))</f>
        <v/>
      </c>
      <c r="F186" s="246">
        <f>IF(SUMIFS(Торговля!$I$5:$I$300,Торговля!$E$5:$E$300,$B186)+SUMIFS(Закрытые!$I$5:$I$300,Закрытые!$E$5:$E$300,$B186,Закрытые!$B$5:$B$300,"T-*")=0,"",SUMIFS(Торговля!$I$5:$I$300,Торговля!$E$5:$E$300,$B186)+SUMIFS(Закрытые!$I$5:$I$300,Закрытые!$E$5:$E$300,$B186,Закрытые!$B$5:$B$300,"T-*"))</f>
        <v/>
      </c>
      <c r="G186" s="183">
        <f>IF(F186="","",(SUMPRODUCT((Торговля!$E$5:$E$300=$B186)*Торговля!$I$5:$I$300*Торговля!$J$5:$J$300)+SUMPRODUCT((Закрытые!$E$5:$E$300=$B186)*(LEFT(Закрытые!$B$5:$B$300,2)="T-")*Закрытые!$I$5:$I$300*Закрытые!$J$5:$J$300))/F186)</f>
        <v/>
      </c>
      <c r="H186" s="247">
        <f>IF(F186="","",SUMIFS(Торговля!$K$5:$K$300,Торговля!$E$5:$E$300,$B186)+SUMIFS(Закрытые!$K$5:$K$300,Закрытые!$E$5:$E$300,$B186,Закрытые!$B$5:$B$300,"T-*"))</f>
        <v/>
      </c>
      <c r="I186" s="246">
        <f>IF($B186="","",IF(COUNTIFS(Торговля!$E$5:$E$300,$B186)+COUNTIFS(Закрытые!$E$5:$E$300,$B186,Закрытые!$B$5:$B$300,"T-*")=0,"",ROUND(SUMIFS(Торговля!$L$5:$L$300,Торговля!$E$5:$E$300,$B186)+SUMIFS(Закрытые!$L$5:$L$300,Закрытые!$E$5:$E$300,$B186,Закрытые!$B$5:$B$300,"T-*"),8)))</f>
        <v/>
      </c>
      <c r="J186" s="247">
        <f>IF($B186="","",IF(COUNTIFS(Торговля!$E$5:$E$300,$B186)+COUNTIFS(Закрытые!$E$5:$E$300,$B186,Закрытые!$B$5:$B$300,"T-*")=0,"",ROUND(SUMIFS(Торговля!$M$5:$M$300,Торговля!$E$5:$E$300,$B186)+SUMIFS(Закрытые!$M$5:$M$300,Закрытые!$E$5:$E$300,$B186,Закрытые!$B$5:$B$300,"T-*"),8)))</f>
        <v/>
      </c>
      <c r="K186" s="246">
        <f>IF($B186="","",ROUND(SUMIFS(Закрытые!$N$5:$N$300,Закрытые!$E$5:$E$300,$B186,Закрытые!$B$5:$B$300,"T-*"),8))</f>
        <v/>
      </c>
      <c r="L186" s="183">
        <f>IF(K186="","",IF(SUMPRODUCT((Закрытые!$E$5:$E$300=$B186)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186/SUMPRODUCT((Закрытые!$E$5:$E$300=$B186)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6" s="183">
        <f>IF(OR(ROUND(N(C186)-N(F186),8)=0,1-N(Ввод!$E$17)/100&lt;=0),"",IF(N(C186)&gt;N(F186),(N(E186)-N(H186))/((N(C186)-N(F186))*(1-N(Ввод!$E$17)/100)),(N(H186)-N(E186))/((N(F186)-N(C186))*(1+N(Ввод!$E$17)/100))))</f>
        <v/>
      </c>
    </row>
    <row r="187" ht="22" customHeight="1">
      <c r="B187" s="315" t="n"/>
      <c r="C187" s="240">
        <f>IF(SUMIFS(Торговля!$F$5:$F$300,Торговля!$E$5:$E$300,$B187)+SUMIFS(Закрытые!$F$5:$F$300,Закрытые!$E$5:$E$300,$B187,Закрытые!$B$5:$B$300,"T-*")=0,"",SUMIFS(Торговля!$F$5:$F$300,Торговля!$E$5:$E$300,$B187)+SUMIFS(Закрытые!$F$5:$F$300,Закрытые!$E$5:$E$300,$B187,Закрытые!$B$5:$B$300,"T-*"))</f>
        <v/>
      </c>
      <c r="D187" s="177">
        <f>IF(C187="","",(SUMPRODUCT((Торговля!$E$5:$E$300=$B187)*Торговля!$F$5:$F$300*Торговля!$G$5:$G$300)+SUMPRODUCT((Закрытые!$E$5:$E$300=$B187)*(LEFT(Закрытые!$B$5:$B$300,2)="T-")*Закрытые!$F$5:$F$300*Закрытые!$G$5:$G$300))/C187)</f>
        <v/>
      </c>
      <c r="E187" s="241">
        <f>IF(C187="","",SUMIFS(Торговля!$H$5:$H$300,Торговля!$E$5:$E$300,$B187)+SUMIFS(Закрытые!$H$5:$H$300,Закрытые!$E$5:$E$300,$B187,Закрытые!$B$5:$B$300,"T-*"))</f>
        <v/>
      </c>
      <c r="F187" s="240">
        <f>IF(SUMIFS(Торговля!$I$5:$I$300,Торговля!$E$5:$E$300,$B187)+SUMIFS(Закрытые!$I$5:$I$300,Закрытые!$E$5:$E$300,$B187,Закрытые!$B$5:$B$300,"T-*")=0,"",SUMIFS(Торговля!$I$5:$I$300,Торговля!$E$5:$E$300,$B187)+SUMIFS(Закрытые!$I$5:$I$300,Закрытые!$E$5:$E$300,$B187,Закрытые!$B$5:$B$300,"T-*"))</f>
        <v/>
      </c>
      <c r="G187" s="177">
        <f>IF(F187="","",(SUMPRODUCT((Торговля!$E$5:$E$300=$B187)*Торговля!$I$5:$I$300*Торговля!$J$5:$J$300)+SUMPRODUCT((Закрытые!$E$5:$E$300=$B187)*(LEFT(Закрытые!$B$5:$B$300,2)="T-")*Закрытые!$I$5:$I$300*Закрытые!$J$5:$J$300))/F187)</f>
        <v/>
      </c>
      <c r="H187" s="241">
        <f>IF(F187="","",SUMIFS(Торговля!$K$5:$K$300,Торговля!$E$5:$E$300,$B187)+SUMIFS(Закрытые!$K$5:$K$300,Закрытые!$E$5:$E$300,$B187,Закрытые!$B$5:$B$300,"T-*"))</f>
        <v/>
      </c>
      <c r="I187" s="240">
        <f>IF($B187="","",IF(COUNTIFS(Торговля!$E$5:$E$300,$B187)+COUNTIFS(Закрытые!$E$5:$E$300,$B187,Закрытые!$B$5:$B$300,"T-*")=0,"",ROUND(SUMIFS(Торговля!$L$5:$L$300,Торговля!$E$5:$E$300,$B187)+SUMIFS(Закрытые!$L$5:$L$300,Закрытые!$E$5:$E$300,$B187,Закрытые!$B$5:$B$300,"T-*"),8)))</f>
        <v/>
      </c>
      <c r="J187" s="241">
        <f>IF($B187="","",IF(COUNTIFS(Торговля!$E$5:$E$300,$B187)+COUNTIFS(Закрытые!$E$5:$E$300,$B187,Закрытые!$B$5:$B$300,"T-*")=0,"",ROUND(SUMIFS(Торговля!$M$5:$M$300,Торговля!$E$5:$E$300,$B187)+SUMIFS(Закрытые!$M$5:$M$300,Закрытые!$E$5:$E$300,$B187,Закрытые!$B$5:$B$300,"T-*"),8)))</f>
        <v/>
      </c>
      <c r="K187" s="240">
        <f>IF($B187="","",ROUND(SUMIFS(Закрытые!$N$5:$N$300,Закрытые!$E$5:$E$300,$B187,Закрытые!$B$5:$B$300,"T-*"),8))</f>
        <v/>
      </c>
      <c r="L187" s="177">
        <f>IF(K187="","",IF(SUMPRODUCT((Закрытые!$E$5:$E$300=$B187)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187/SUMPRODUCT((Закрытые!$E$5:$E$300=$B187)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7" s="177">
        <f>IF(OR(ROUND(N(C187)-N(F187),8)=0,1-N(Ввод!$E$17)/100&lt;=0),"",IF(N(C187)&gt;N(F187),(N(E187)-N(H187))/((N(C187)-N(F187))*(1-N(Ввод!$E$17)/100)),(N(H187)-N(E187))/((N(F187)-N(C187))*(1+N(Ввод!$E$17)/100))))</f>
        <v/>
      </c>
    </row>
    <row r="188" ht="22" customHeight="1">
      <c r="B188" s="320" t="n"/>
      <c r="C188" s="246">
        <f>IF(SUMIFS(Торговля!$F$5:$F$300,Торговля!$E$5:$E$300,$B188)+SUMIFS(Закрытые!$F$5:$F$300,Закрытые!$E$5:$E$300,$B188,Закрытые!$B$5:$B$300,"T-*")=0,"",SUMIFS(Торговля!$F$5:$F$300,Торговля!$E$5:$E$300,$B188)+SUMIFS(Закрытые!$F$5:$F$300,Закрытые!$E$5:$E$300,$B188,Закрытые!$B$5:$B$300,"T-*"))</f>
        <v/>
      </c>
      <c r="D188" s="183">
        <f>IF(C188="","",(SUMPRODUCT((Торговля!$E$5:$E$300=$B188)*Торговля!$F$5:$F$300*Торговля!$G$5:$G$300)+SUMPRODUCT((Закрытые!$E$5:$E$300=$B188)*(LEFT(Закрытые!$B$5:$B$300,2)="T-")*Закрытые!$F$5:$F$300*Закрытые!$G$5:$G$300))/C188)</f>
        <v/>
      </c>
      <c r="E188" s="247">
        <f>IF(C188="","",SUMIFS(Торговля!$H$5:$H$300,Торговля!$E$5:$E$300,$B188)+SUMIFS(Закрытые!$H$5:$H$300,Закрытые!$E$5:$E$300,$B188,Закрытые!$B$5:$B$300,"T-*"))</f>
        <v/>
      </c>
      <c r="F188" s="246">
        <f>IF(SUMIFS(Торговля!$I$5:$I$300,Торговля!$E$5:$E$300,$B188)+SUMIFS(Закрытые!$I$5:$I$300,Закрытые!$E$5:$E$300,$B188,Закрытые!$B$5:$B$300,"T-*")=0,"",SUMIFS(Торговля!$I$5:$I$300,Торговля!$E$5:$E$300,$B188)+SUMIFS(Закрытые!$I$5:$I$300,Закрытые!$E$5:$E$300,$B188,Закрытые!$B$5:$B$300,"T-*"))</f>
        <v/>
      </c>
      <c r="G188" s="183">
        <f>IF(F188="","",(SUMPRODUCT((Торговля!$E$5:$E$300=$B188)*Торговля!$I$5:$I$300*Торговля!$J$5:$J$300)+SUMPRODUCT((Закрытые!$E$5:$E$300=$B188)*(LEFT(Закрытые!$B$5:$B$300,2)="T-")*Закрытые!$I$5:$I$300*Закрытые!$J$5:$J$300))/F188)</f>
        <v/>
      </c>
      <c r="H188" s="247">
        <f>IF(F188="","",SUMIFS(Торговля!$K$5:$K$300,Торговля!$E$5:$E$300,$B188)+SUMIFS(Закрытые!$K$5:$K$300,Закрытые!$E$5:$E$300,$B188,Закрытые!$B$5:$B$300,"T-*"))</f>
        <v/>
      </c>
      <c r="I188" s="246">
        <f>IF($B188="","",IF(COUNTIFS(Торговля!$E$5:$E$300,$B188)+COUNTIFS(Закрытые!$E$5:$E$300,$B188,Закрытые!$B$5:$B$300,"T-*")=0,"",ROUND(SUMIFS(Торговля!$L$5:$L$300,Торговля!$E$5:$E$300,$B188)+SUMIFS(Закрытые!$L$5:$L$300,Закрытые!$E$5:$E$300,$B188,Закрытые!$B$5:$B$300,"T-*"),8)))</f>
        <v/>
      </c>
      <c r="J188" s="247">
        <f>IF($B188="","",IF(COUNTIFS(Торговля!$E$5:$E$300,$B188)+COUNTIFS(Закрытые!$E$5:$E$300,$B188,Закрытые!$B$5:$B$300,"T-*")=0,"",ROUND(SUMIFS(Торговля!$M$5:$M$300,Торговля!$E$5:$E$300,$B188)+SUMIFS(Закрытые!$M$5:$M$300,Закрытые!$E$5:$E$300,$B188,Закрытые!$B$5:$B$300,"T-*"),8)))</f>
        <v/>
      </c>
      <c r="K188" s="246">
        <f>IF($B188="","",ROUND(SUMIFS(Закрытые!$N$5:$N$300,Закрытые!$E$5:$E$300,$B188,Закрытые!$B$5:$B$300,"T-*"),8))</f>
        <v/>
      </c>
      <c r="L188" s="183">
        <f>IF(K188="","",IF(SUMPRODUCT((Закрытые!$E$5:$E$300=$B188)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188/SUMPRODUCT((Закрытые!$E$5:$E$300=$B188)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8" s="183">
        <f>IF(OR(ROUND(N(C188)-N(F188),8)=0,1-N(Ввод!$E$17)/100&lt;=0),"",IF(N(C188)&gt;N(F188),(N(E188)-N(H188))/((N(C188)-N(F188))*(1-N(Ввод!$E$17)/100)),(N(H188)-N(E188))/((N(F188)-N(C188))*(1+N(Ввод!$E$17)/100))))</f>
        <v/>
      </c>
    </row>
    <row r="189" ht="22" customHeight="1">
      <c r="B189" s="315" t="n"/>
      <c r="C189" s="240">
        <f>IF(SUMIFS(Торговля!$F$5:$F$300,Торговля!$E$5:$E$300,$B189)+SUMIFS(Закрытые!$F$5:$F$300,Закрытые!$E$5:$E$300,$B189,Закрытые!$B$5:$B$300,"T-*")=0,"",SUMIFS(Торговля!$F$5:$F$300,Торговля!$E$5:$E$300,$B189)+SUMIFS(Закрытые!$F$5:$F$300,Закрытые!$E$5:$E$300,$B189,Закрытые!$B$5:$B$300,"T-*"))</f>
        <v/>
      </c>
      <c r="D189" s="177">
        <f>IF(C189="","",(SUMPRODUCT((Торговля!$E$5:$E$300=$B189)*Торговля!$F$5:$F$300*Торговля!$G$5:$G$300)+SUMPRODUCT((Закрытые!$E$5:$E$300=$B189)*(LEFT(Закрытые!$B$5:$B$300,2)="T-")*Закрытые!$F$5:$F$300*Закрытые!$G$5:$G$300))/C189)</f>
        <v/>
      </c>
      <c r="E189" s="241">
        <f>IF(C189="","",SUMIFS(Торговля!$H$5:$H$300,Торговля!$E$5:$E$300,$B189)+SUMIFS(Закрытые!$H$5:$H$300,Закрытые!$E$5:$E$300,$B189,Закрытые!$B$5:$B$300,"T-*"))</f>
        <v/>
      </c>
      <c r="F189" s="240">
        <f>IF(SUMIFS(Торговля!$I$5:$I$300,Торговля!$E$5:$E$300,$B189)+SUMIFS(Закрытые!$I$5:$I$300,Закрытые!$E$5:$E$300,$B189,Закрытые!$B$5:$B$300,"T-*")=0,"",SUMIFS(Торговля!$I$5:$I$300,Торговля!$E$5:$E$300,$B189)+SUMIFS(Закрытые!$I$5:$I$300,Закрытые!$E$5:$E$300,$B189,Закрытые!$B$5:$B$300,"T-*"))</f>
        <v/>
      </c>
      <c r="G189" s="177">
        <f>IF(F189="","",(SUMPRODUCT((Торговля!$E$5:$E$300=$B189)*Торговля!$I$5:$I$300*Торговля!$J$5:$J$300)+SUMPRODUCT((Закрытые!$E$5:$E$300=$B189)*(LEFT(Закрытые!$B$5:$B$300,2)="T-")*Закрытые!$I$5:$I$300*Закрытые!$J$5:$J$300))/F189)</f>
        <v/>
      </c>
      <c r="H189" s="241">
        <f>IF(F189="","",SUMIFS(Торговля!$K$5:$K$300,Торговля!$E$5:$E$300,$B189)+SUMIFS(Закрытые!$K$5:$K$300,Закрытые!$E$5:$E$300,$B189,Закрытые!$B$5:$B$300,"T-*"))</f>
        <v/>
      </c>
      <c r="I189" s="240">
        <f>IF($B189="","",IF(COUNTIFS(Торговля!$E$5:$E$300,$B189)+COUNTIFS(Закрытые!$E$5:$E$300,$B189,Закрытые!$B$5:$B$300,"T-*")=0,"",ROUND(SUMIFS(Торговля!$L$5:$L$300,Торговля!$E$5:$E$300,$B189)+SUMIFS(Закрытые!$L$5:$L$300,Закрытые!$E$5:$E$300,$B189,Закрытые!$B$5:$B$300,"T-*"),8)))</f>
        <v/>
      </c>
      <c r="J189" s="241">
        <f>IF($B189="","",IF(COUNTIFS(Торговля!$E$5:$E$300,$B189)+COUNTIFS(Закрытые!$E$5:$E$300,$B189,Закрытые!$B$5:$B$300,"T-*")=0,"",ROUND(SUMIFS(Торговля!$M$5:$M$300,Торговля!$E$5:$E$300,$B189)+SUMIFS(Закрытые!$M$5:$M$300,Закрытые!$E$5:$E$300,$B189,Закрытые!$B$5:$B$300,"T-*"),8)))</f>
        <v/>
      </c>
      <c r="K189" s="240">
        <f>IF($B189="","",ROUND(SUMIFS(Закрытые!$N$5:$N$300,Закрытые!$E$5:$E$300,$B189,Закрытые!$B$5:$B$300,"T-*"),8))</f>
        <v/>
      </c>
      <c r="L189" s="177">
        <f>IF(K189="","",IF(SUMPRODUCT((Закрытые!$E$5:$E$300=$B189)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189/SUMPRODUCT((Закрытые!$E$5:$E$300=$B189)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9" s="177">
        <f>IF(OR(ROUND(N(C189)-N(F189),8)=0,1-N(Ввод!$E$17)/100&lt;=0),"",IF(N(C189)&gt;N(F189),(N(E189)-N(H189))/((N(C189)-N(F189))*(1-N(Ввод!$E$17)/100)),(N(H189)-N(E189))/((N(F189)-N(C189))*(1+N(Ввод!$E$17)/100))))</f>
        <v/>
      </c>
    </row>
    <row r="190" ht="22" customHeight="1">
      <c r="B190" s="320" t="n"/>
      <c r="C190" s="246">
        <f>IF(SUMIFS(Торговля!$F$5:$F$300,Торговля!$E$5:$E$300,$B190)+SUMIFS(Закрытые!$F$5:$F$300,Закрытые!$E$5:$E$300,$B190,Закрытые!$B$5:$B$300,"T-*")=0,"",SUMIFS(Торговля!$F$5:$F$300,Торговля!$E$5:$E$300,$B190)+SUMIFS(Закрытые!$F$5:$F$300,Закрытые!$E$5:$E$300,$B190,Закрытые!$B$5:$B$300,"T-*"))</f>
        <v/>
      </c>
      <c r="D190" s="183">
        <f>IF(C190="","",(SUMPRODUCT((Торговля!$E$5:$E$300=$B190)*Торговля!$F$5:$F$300*Торговля!$G$5:$G$300)+SUMPRODUCT((Закрытые!$E$5:$E$300=$B190)*(LEFT(Закрытые!$B$5:$B$300,2)="T-")*Закрытые!$F$5:$F$300*Закрытые!$G$5:$G$300))/C190)</f>
        <v/>
      </c>
      <c r="E190" s="247">
        <f>IF(C190="","",SUMIFS(Торговля!$H$5:$H$300,Торговля!$E$5:$E$300,$B190)+SUMIFS(Закрытые!$H$5:$H$300,Закрытые!$E$5:$E$300,$B190,Закрытые!$B$5:$B$300,"T-*"))</f>
        <v/>
      </c>
      <c r="F190" s="246">
        <f>IF(SUMIFS(Торговля!$I$5:$I$300,Торговля!$E$5:$E$300,$B190)+SUMIFS(Закрытые!$I$5:$I$300,Закрытые!$E$5:$E$300,$B190,Закрытые!$B$5:$B$300,"T-*")=0,"",SUMIFS(Торговля!$I$5:$I$300,Торговля!$E$5:$E$300,$B190)+SUMIFS(Закрытые!$I$5:$I$300,Закрытые!$E$5:$E$300,$B190,Закрытые!$B$5:$B$300,"T-*"))</f>
        <v/>
      </c>
      <c r="G190" s="183">
        <f>IF(F190="","",(SUMPRODUCT((Торговля!$E$5:$E$300=$B190)*Торговля!$I$5:$I$300*Торговля!$J$5:$J$300)+SUMPRODUCT((Закрытые!$E$5:$E$300=$B190)*(LEFT(Закрытые!$B$5:$B$300,2)="T-")*Закрытые!$I$5:$I$300*Закрытые!$J$5:$J$300))/F190)</f>
        <v/>
      </c>
      <c r="H190" s="247">
        <f>IF(F190="","",SUMIFS(Торговля!$K$5:$K$300,Торговля!$E$5:$E$300,$B190)+SUMIFS(Закрытые!$K$5:$K$300,Закрытые!$E$5:$E$300,$B190,Закрытые!$B$5:$B$300,"T-*"))</f>
        <v/>
      </c>
      <c r="I190" s="246">
        <f>IF($B190="","",IF(COUNTIFS(Торговля!$E$5:$E$300,$B190)+COUNTIFS(Закрытые!$E$5:$E$300,$B190,Закрытые!$B$5:$B$300,"T-*")=0,"",ROUND(SUMIFS(Торговля!$L$5:$L$300,Торговля!$E$5:$E$300,$B190)+SUMIFS(Закрытые!$L$5:$L$300,Закрытые!$E$5:$E$300,$B190,Закрытые!$B$5:$B$300,"T-*"),8)))</f>
        <v/>
      </c>
      <c r="J190" s="247">
        <f>IF($B190="","",IF(COUNTIFS(Торговля!$E$5:$E$300,$B190)+COUNTIFS(Закрытые!$E$5:$E$300,$B190,Закрытые!$B$5:$B$300,"T-*")=0,"",ROUND(SUMIFS(Торговля!$M$5:$M$300,Торговля!$E$5:$E$300,$B190)+SUMIFS(Закрытые!$M$5:$M$300,Закрытые!$E$5:$E$300,$B190,Закрытые!$B$5:$B$300,"T-*"),8)))</f>
        <v/>
      </c>
      <c r="K190" s="246">
        <f>IF($B190="","",ROUND(SUMIFS(Закрытые!$N$5:$N$300,Закрытые!$E$5:$E$300,$B190,Закрытые!$B$5:$B$300,"T-*"),8))</f>
        <v/>
      </c>
      <c r="L190" s="183">
        <f>IF(K190="","",IF(SUMPRODUCT((Закрытые!$E$5:$E$300=$B190)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190/SUMPRODUCT((Закрытые!$E$5:$E$300=$B190)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0" s="183">
        <f>IF(OR(ROUND(N(C190)-N(F190),8)=0,1-N(Ввод!$E$17)/100&lt;=0),"",IF(N(C190)&gt;N(F190),(N(E190)-N(H190))/((N(C190)-N(F190))*(1-N(Ввод!$E$17)/100)),(N(H190)-N(E190))/((N(F190)-N(C190))*(1+N(Ввод!$E$17)/100))))</f>
        <v/>
      </c>
    </row>
    <row r="191" ht="22" customHeight="1">
      <c r="B191" s="315" t="n"/>
      <c r="C191" s="240">
        <f>IF(SUMIFS(Торговля!$F$5:$F$300,Торговля!$E$5:$E$300,$B191)+SUMIFS(Закрытые!$F$5:$F$300,Закрытые!$E$5:$E$300,$B191,Закрытые!$B$5:$B$300,"T-*")=0,"",SUMIFS(Торговля!$F$5:$F$300,Торговля!$E$5:$E$300,$B191)+SUMIFS(Закрытые!$F$5:$F$300,Закрытые!$E$5:$E$300,$B191,Закрытые!$B$5:$B$300,"T-*"))</f>
        <v/>
      </c>
      <c r="D191" s="177">
        <f>IF(C191="","",(SUMPRODUCT((Торговля!$E$5:$E$300=$B191)*Торговля!$F$5:$F$300*Торговля!$G$5:$G$300)+SUMPRODUCT((Закрытые!$E$5:$E$300=$B191)*(LEFT(Закрытые!$B$5:$B$300,2)="T-")*Закрытые!$F$5:$F$300*Закрытые!$G$5:$G$300))/C191)</f>
        <v/>
      </c>
      <c r="E191" s="241">
        <f>IF(C191="","",SUMIFS(Торговля!$H$5:$H$300,Торговля!$E$5:$E$300,$B191)+SUMIFS(Закрытые!$H$5:$H$300,Закрытые!$E$5:$E$300,$B191,Закрытые!$B$5:$B$300,"T-*"))</f>
        <v/>
      </c>
      <c r="F191" s="240">
        <f>IF(SUMIFS(Торговля!$I$5:$I$300,Торговля!$E$5:$E$300,$B191)+SUMIFS(Закрытые!$I$5:$I$300,Закрытые!$E$5:$E$300,$B191,Закрытые!$B$5:$B$300,"T-*")=0,"",SUMIFS(Торговля!$I$5:$I$300,Торговля!$E$5:$E$300,$B191)+SUMIFS(Закрытые!$I$5:$I$300,Закрытые!$E$5:$E$300,$B191,Закрытые!$B$5:$B$300,"T-*"))</f>
        <v/>
      </c>
      <c r="G191" s="177">
        <f>IF(F191="","",(SUMPRODUCT((Торговля!$E$5:$E$300=$B191)*Торговля!$I$5:$I$300*Торговля!$J$5:$J$300)+SUMPRODUCT((Закрытые!$E$5:$E$300=$B191)*(LEFT(Закрытые!$B$5:$B$300,2)="T-")*Закрытые!$I$5:$I$300*Закрытые!$J$5:$J$300))/F191)</f>
        <v/>
      </c>
      <c r="H191" s="241">
        <f>IF(F191="","",SUMIFS(Торговля!$K$5:$K$300,Торговля!$E$5:$E$300,$B191)+SUMIFS(Закрытые!$K$5:$K$300,Закрытые!$E$5:$E$300,$B191,Закрытые!$B$5:$B$300,"T-*"))</f>
        <v/>
      </c>
      <c r="I191" s="240">
        <f>IF($B191="","",IF(COUNTIFS(Торговля!$E$5:$E$300,$B191)+COUNTIFS(Закрытые!$E$5:$E$300,$B191,Закрытые!$B$5:$B$300,"T-*")=0,"",ROUND(SUMIFS(Торговля!$L$5:$L$300,Торговля!$E$5:$E$300,$B191)+SUMIFS(Закрытые!$L$5:$L$300,Закрытые!$E$5:$E$300,$B191,Закрытые!$B$5:$B$300,"T-*"),8)))</f>
        <v/>
      </c>
      <c r="J191" s="241">
        <f>IF($B191="","",IF(COUNTIFS(Торговля!$E$5:$E$300,$B191)+COUNTIFS(Закрытые!$E$5:$E$300,$B191,Закрытые!$B$5:$B$300,"T-*")=0,"",ROUND(SUMIFS(Торговля!$M$5:$M$300,Торговля!$E$5:$E$300,$B191)+SUMIFS(Закрытые!$M$5:$M$300,Закрытые!$E$5:$E$300,$B191,Закрытые!$B$5:$B$300,"T-*"),8)))</f>
        <v/>
      </c>
      <c r="K191" s="240">
        <f>IF($B191="","",ROUND(SUMIFS(Закрытые!$N$5:$N$300,Закрытые!$E$5:$E$300,$B191,Закрытые!$B$5:$B$300,"T-*"),8))</f>
        <v/>
      </c>
      <c r="L191" s="177">
        <f>IF(K191="","",IF(SUMPRODUCT((Закрытые!$E$5:$E$300=$B191)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191/SUMPRODUCT((Закрытые!$E$5:$E$300=$B191)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1" s="177">
        <f>IF(OR(ROUND(N(C191)-N(F191),8)=0,1-N(Ввод!$E$17)/100&lt;=0),"",IF(N(C191)&gt;N(F191),(N(E191)-N(H191))/((N(C191)-N(F191))*(1-N(Ввод!$E$17)/100)),(N(H191)-N(E191))/((N(F191)-N(C191))*(1+N(Ввод!$E$17)/100))))</f>
        <v/>
      </c>
    </row>
    <row r="192" ht="22" customHeight="1">
      <c r="B192" s="320" t="n"/>
      <c r="C192" s="246">
        <f>IF(SUMIFS(Торговля!$F$5:$F$300,Торговля!$E$5:$E$300,$B192)+SUMIFS(Закрытые!$F$5:$F$300,Закрытые!$E$5:$E$300,$B192,Закрытые!$B$5:$B$300,"T-*")=0,"",SUMIFS(Торговля!$F$5:$F$300,Торговля!$E$5:$E$300,$B192)+SUMIFS(Закрытые!$F$5:$F$300,Закрытые!$E$5:$E$300,$B192,Закрытые!$B$5:$B$300,"T-*"))</f>
        <v/>
      </c>
      <c r="D192" s="183">
        <f>IF(C192="","",(SUMPRODUCT((Торговля!$E$5:$E$300=$B192)*Торговля!$F$5:$F$300*Торговля!$G$5:$G$300)+SUMPRODUCT((Закрытые!$E$5:$E$300=$B192)*(LEFT(Закрытые!$B$5:$B$300,2)="T-")*Закрытые!$F$5:$F$300*Закрытые!$G$5:$G$300))/C192)</f>
        <v/>
      </c>
      <c r="E192" s="247">
        <f>IF(C192="","",SUMIFS(Торговля!$H$5:$H$300,Торговля!$E$5:$E$300,$B192)+SUMIFS(Закрытые!$H$5:$H$300,Закрытые!$E$5:$E$300,$B192,Закрытые!$B$5:$B$300,"T-*"))</f>
        <v/>
      </c>
      <c r="F192" s="246">
        <f>IF(SUMIFS(Торговля!$I$5:$I$300,Торговля!$E$5:$E$300,$B192)+SUMIFS(Закрытые!$I$5:$I$300,Закрытые!$E$5:$E$300,$B192,Закрытые!$B$5:$B$300,"T-*")=0,"",SUMIFS(Торговля!$I$5:$I$300,Торговля!$E$5:$E$300,$B192)+SUMIFS(Закрытые!$I$5:$I$300,Закрытые!$E$5:$E$300,$B192,Закрытые!$B$5:$B$300,"T-*"))</f>
        <v/>
      </c>
      <c r="G192" s="183">
        <f>IF(F192="","",(SUMPRODUCT((Торговля!$E$5:$E$300=$B192)*Торговля!$I$5:$I$300*Торговля!$J$5:$J$300)+SUMPRODUCT((Закрытые!$E$5:$E$300=$B192)*(LEFT(Закрытые!$B$5:$B$300,2)="T-")*Закрытые!$I$5:$I$300*Закрытые!$J$5:$J$300))/F192)</f>
        <v/>
      </c>
      <c r="H192" s="247">
        <f>IF(F192="","",SUMIFS(Торговля!$K$5:$K$300,Торговля!$E$5:$E$300,$B192)+SUMIFS(Закрытые!$K$5:$K$300,Закрытые!$E$5:$E$300,$B192,Закрытые!$B$5:$B$300,"T-*"))</f>
        <v/>
      </c>
      <c r="I192" s="246">
        <f>IF($B192="","",IF(COUNTIFS(Торговля!$E$5:$E$300,$B192)+COUNTIFS(Закрытые!$E$5:$E$300,$B192,Закрытые!$B$5:$B$300,"T-*")=0,"",ROUND(SUMIFS(Торговля!$L$5:$L$300,Торговля!$E$5:$E$300,$B192)+SUMIFS(Закрытые!$L$5:$L$300,Закрытые!$E$5:$E$300,$B192,Закрытые!$B$5:$B$300,"T-*"),8)))</f>
        <v/>
      </c>
      <c r="J192" s="247">
        <f>IF($B192="","",IF(COUNTIFS(Торговля!$E$5:$E$300,$B192)+COUNTIFS(Закрытые!$E$5:$E$300,$B192,Закрытые!$B$5:$B$300,"T-*")=0,"",ROUND(SUMIFS(Торговля!$M$5:$M$300,Торговля!$E$5:$E$300,$B192)+SUMIFS(Закрытые!$M$5:$M$300,Закрытые!$E$5:$E$300,$B192,Закрытые!$B$5:$B$300,"T-*"),8)))</f>
        <v/>
      </c>
      <c r="K192" s="246">
        <f>IF($B192="","",ROUND(SUMIFS(Закрытые!$N$5:$N$300,Закрытые!$E$5:$E$300,$B192,Закрытые!$B$5:$B$300,"T-*"),8))</f>
        <v/>
      </c>
      <c r="L192" s="183">
        <f>IF(K192="","",IF(SUMPRODUCT((Закрытые!$E$5:$E$300=$B192)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192/SUMPRODUCT((Закрытые!$E$5:$E$300=$B192)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2" s="183">
        <f>IF(OR(ROUND(N(C192)-N(F192),8)=0,1-N(Ввод!$E$17)/100&lt;=0),"",IF(N(C192)&gt;N(F192),(N(E192)-N(H192))/((N(C192)-N(F192))*(1-N(Ввод!$E$17)/100)),(N(H192)-N(E192))/((N(F192)-N(C192))*(1+N(Ввод!$E$17)/100))))</f>
        <v/>
      </c>
    </row>
    <row r="193" ht="22" customHeight="1">
      <c r="B193" s="315" t="n"/>
      <c r="C193" s="240">
        <f>IF(SUMIFS(Торговля!$F$5:$F$300,Торговля!$E$5:$E$300,$B193)+SUMIFS(Закрытые!$F$5:$F$300,Закрытые!$E$5:$E$300,$B193,Закрытые!$B$5:$B$300,"T-*")=0,"",SUMIFS(Торговля!$F$5:$F$300,Торговля!$E$5:$E$300,$B193)+SUMIFS(Закрытые!$F$5:$F$300,Закрытые!$E$5:$E$300,$B193,Закрытые!$B$5:$B$300,"T-*"))</f>
        <v/>
      </c>
      <c r="D193" s="177">
        <f>IF(C193="","",(SUMPRODUCT((Торговля!$E$5:$E$300=$B193)*Торговля!$F$5:$F$300*Торговля!$G$5:$G$300)+SUMPRODUCT((Закрытые!$E$5:$E$300=$B193)*(LEFT(Закрытые!$B$5:$B$300,2)="T-")*Закрытые!$F$5:$F$300*Закрытые!$G$5:$G$300))/C193)</f>
        <v/>
      </c>
      <c r="E193" s="241">
        <f>IF(C193="","",SUMIFS(Торговля!$H$5:$H$300,Торговля!$E$5:$E$300,$B193)+SUMIFS(Закрытые!$H$5:$H$300,Закрытые!$E$5:$E$300,$B193,Закрытые!$B$5:$B$300,"T-*"))</f>
        <v/>
      </c>
      <c r="F193" s="240">
        <f>IF(SUMIFS(Торговля!$I$5:$I$300,Торговля!$E$5:$E$300,$B193)+SUMIFS(Закрытые!$I$5:$I$300,Закрытые!$E$5:$E$300,$B193,Закрытые!$B$5:$B$300,"T-*")=0,"",SUMIFS(Торговля!$I$5:$I$300,Торговля!$E$5:$E$300,$B193)+SUMIFS(Закрытые!$I$5:$I$300,Закрытые!$E$5:$E$300,$B193,Закрытые!$B$5:$B$300,"T-*"))</f>
        <v/>
      </c>
      <c r="G193" s="177">
        <f>IF(F193="","",(SUMPRODUCT((Торговля!$E$5:$E$300=$B193)*Торговля!$I$5:$I$300*Торговля!$J$5:$J$300)+SUMPRODUCT((Закрытые!$E$5:$E$300=$B193)*(LEFT(Закрытые!$B$5:$B$300,2)="T-")*Закрытые!$I$5:$I$300*Закрытые!$J$5:$J$300))/F193)</f>
        <v/>
      </c>
      <c r="H193" s="241">
        <f>IF(F193="","",SUMIFS(Торговля!$K$5:$K$300,Торговля!$E$5:$E$300,$B193)+SUMIFS(Закрытые!$K$5:$K$300,Закрытые!$E$5:$E$300,$B193,Закрытые!$B$5:$B$300,"T-*"))</f>
        <v/>
      </c>
      <c r="I193" s="240">
        <f>IF($B193="","",IF(COUNTIFS(Торговля!$E$5:$E$300,$B193)+COUNTIFS(Закрытые!$E$5:$E$300,$B193,Закрытые!$B$5:$B$300,"T-*")=0,"",ROUND(SUMIFS(Торговля!$L$5:$L$300,Торговля!$E$5:$E$300,$B193)+SUMIFS(Закрытые!$L$5:$L$300,Закрытые!$E$5:$E$300,$B193,Закрытые!$B$5:$B$300,"T-*"),8)))</f>
        <v/>
      </c>
      <c r="J193" s="241">
        <f>IF($B193="","",IF(COUNTIFS(Торговля!$E$5:$E$300,$B193)+COUNTIFS(Закрытые!$E$5:$E$300,$B193,Закрытые!$B$5:$B$300,"T-*")=0,"",ROUND(SUMIFS(Торговля!$M$5:$M$300,Торговля!$E$5:$E$300,$B193)+SUMIFS(Закрытые!$M$5:$M$300,Закрытые!$E$5:$E$300,$B193,Закрытые!$B$5:$B$300,"T-*"),8)))</f>
        <v/>
      </c>
      <c r="K193" s="240">
        <f>IF($B193="","",ROUND(SUMIFS(Закрытые!$N$5:$N$300,Закрытые!$E$5:$E$300,$B193,Закрытые!$B$5:$B$300,"T-*"),8))</f>
        <v/>
      </c>
      <c r="L193" s="177">
        <f>IF(K193="","",IF(SUMPRODUCT((Закрытые!$E$5:$E$300=$B193)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193/SUMPRODUCT((Закрытые!$E$5:$E$300=$B193)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3" s="177">
        <f>IF(OR(ROUND(N(C193)-N(F193),8)=0,1-N(Ввод!$E$17)/100&lt;=0),"",IF(N(C193)&gt;N(F193),(N(E193)-N(H193))/((N(C193)-N(F193))*(1-N(Ввод!$E$17)/100)),(N(H193)-N(E193))/((N(F193)-N(C193))*(1+N(Ввод!$E$17)/100))))</f>
        <v/>
      </c>
    </row>
    <row r="194" ht="22" customHeight="1">
      <c r="B194" s="320" t="n"/>
      <c r="C194" s="246">
        <f>IF(SUMIFS(Торговля!$F$5:$F$300,Торговля!$E$5:$E$300,$B194)+SUMIFS(Закрытые!$F$5:$F$300,Закрытые!$E$5:$E$300,$B194,Закрытые!$B$5:$B$300,"T-*")=0,"",SUMIFS(Торговля!$F$5:$F$300,Торговля!$E$5:$E$300,$B194)+SUMIFS(Закрытые!$F$5:$F$300,Закрытые!$E$5:$E$300,$B194,Закрытые!$B$5:$B$300,"T-*"))</f>
        <v/>
      </c>
      <c r="D194" s="183">
        <f>IF(C194="","",(SUMPRODUCT((Торговля!$E$5:$E$300=$B194)*Торговля!$F$5:$F$300*Торговля!$G$5:$G$300)+SUMPRODUCT((Закрытые!$E$5:$E$300=$B194)*(LEFT(Закрытые!$B$5:$B$300,2)="T-")*Закрытые!$F$5:$F$300*Закрытые!$G$5:$G$300))/C194)</f>
        <v/>
      </c>
      <c r="E194" s="247">
        <f>IF(C194="","",SUMIFS(Торговля!$H$5:$H$300,Торговля!$E$5:$E$300,$B194)+SUMIFS(Закрытые!$H$5:$H$300,Закрытые!$E$5:$E$300,$B194,Закрытые!$B$5:$B$300,"T-*"))</f>
        <v/>
      </c>
      <c r="F194" s="246">
        <f>IF(SUMIFS(Торговля!$I$5:$I$300,Торговля!$E$5:$E$300,$B194)+SUMIFS(Закрытые!$I$5:$I$300,Закрытые!$E$5:$E$300,$B194,Закрытые!$B$5:$B$300,"T-*")=0,"",SUMIFS(Торговля!$I$5:$I$300,Торговля!$E$5:$E$300,$B194)+SUMIFS(Закрытые!$I$5:$I$300,Закрытые!$E$5:$E$300,$B194,Закрытые!$B$5:$B$300,"T-*"))</f>
        <v/>
      </c>
      <c r="G194" s="183">
        <f>IF(F194="","",(SUMPRODUCT((Торговля!$E$5:$E$300=$B194)*Торговля!$I$5:$I$300*Торговля!$J$5:$J$300)+SUMPRODUCT((Закрытые!$E$5:$E$300=$B194)*(LEFT(Закрытые!$B$5:$B$300,2)="T-")*Закрытые!$I$5:$I$300*Закрытые!$J$5:$J$300))/F194)</f>
        <v/>
      </c>
      <c r="H194" s="247">
        <f>IF(F194="","",SUMIFS(Торговля!$K$5:$K$300,Торговля!$E$5:$E$300,$B194)+SUMIFS(Закрытые!$K$5:$K$300,Закрытые!$E$5:$E$300,$B194,Закрытые!$B$5:$B$300,"T-*"))</f>
        <v/>
      </c>
      <c r="I194" s="246">
        <f>IF($B194="","",IF(COUNTIFS(Торговля!$E$5:$E$300,$B194)+COUNTIFS(Закрытые!$E$5:$E$300,$B194,Закрытые!$B$5:$B$300,"T-*")=0,"",ROUND(SUMIFS(Торговля!$L$5:$L$300,Торговля!$E$5:$E$300,$B194)+SUMIFS(Закрытые!$L$5:$L$300,Закрытые!$E$5:$E$300,$B194,Закрытые!$B$5:$B$300,"T-*"),8)))</f>
        <v/>
      </c>
      <c r="J194" s="247">
        <f>IF($B194="","",IF(COUNTIFS(Торговля!$E$5:$E$300,$B194)+COUNTIFS(Закрытые!$E$5:$E$300,$B194,Закрытые!$B$5:$B$300,"T-*")=0,"",ROUND(SUMIFS(Торговля!$M$5:$M$300,Торговля!$E$5:$E$300,$B194)+SUMIFS(Закрытые!$M$5:$M$300,Закрытые!$E$5:$E$300,$B194,Закрытые!$B$5:$B$300,"T-*"),8)))</f>
        <v/>
      </c>
      <c r="K194" s="246">
        <f>IF($B194="","",ROUND(SUMIFS(Закрытые!$N$5:$N$300,Закрытые!$E$5:$E$300,$B194,Закрытые!$B$5:$B$300,"T-*"),8))</f>
        <v/>
      </c>
      <c r="L194" s="183">
        <f>IF(K194="","",IF(SUMPRODUCT((Закрытые!$E$5:$E$300=$B194)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194/SUMPRODUCT((Закрытые!$E$5:$E$300=$B194)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4" s="183">
        <f>IF(OR(ROUND(N(C194)-N(F194),8)=0,1-N(Ввод!$E$17)/100&lt;=0),"",IF(N(C194)&gt;N(F194),(N(E194)-N(H194))/((N(C194)-N(F194))*(1-N(Ввод!$E$17)/100)),(N(H194)-N(E194))/((N(F194)-N(C194))*(1+N(Ввод!$E$17)/100))))</f>
        <v/>
      </c>
    </row>
    <row r="195" ht="22" customHeight="1">
      <c r="B195" s="315" t="n"/>
      <c r="C195" s="240">
        <f>IF(SUMIFS(Торговля!$F$5:$F$300,Торговля!$E$5:$E$300,$B195)+SUMIFS(Закрытые!$F$5:$F$300,Закрытые!$E$5:$E$300,$B195,Закрытые!$B$5:$B$300,"T-*")=0,"",SUMIFS(Торговля!$F$5:$F$300,Торговля!$E$5:$E$300,$B195)+SUMIFS(Закрытые!$F$5:$F$300,Закрытые!$E$5:$E$300,$B195,Закрытые!$B$5:$B$300,"T-*"))</f>
        <v/>
      </c>
      <c r="D195" s="177">
        <f>IF(C195="","",(SUMPRODUCT((Торговля!$E$5:$E$300=$B195)*Торговля!$F$5:$F$300*Торговля!$G$5:$G$300)+SUMPRODUCT((Закрытые!$E$5:$E$300=$B195)*(LEFT(Закрытые!$B$5:$B$300,2)="T-")*Закрытые!$F$5:$F$300*Закрытые!$G$5:$G$300))/C195)</f>
        <v/>
      </c>
      <c r="E195" s="241">
        <f>IF(C195="","",SUMIFS(Торговля!$H$5:$H$300,Торговля!$E$5:$E$300,$B195)+SUMIFS(Закрытые!$H$5:$H$300,Закрытые!$E$5:$E$300,$B195,Закрытые!$B$5:$B$300,"T-*"))</f>
        <v/>
      </c>
      <c r="F195" s="240">
        <f>IF(SUMIFS(Торговля!$I$5:$I$300,Торговля!$E$5:$E$300,$B195)+SUMIFS(Закрытые!$I$5:$I$300,Закрытые!$E$5:$E$300,$B195,Закрытые!$B$5:$B$300,"T-*")=0,"",SUMIFS(Торговля!$I$5:$I$300,Торговля!$E$5:$E$300,$B195)+SUMIFS(Закрытые!$I$5:$I$300,Закрытые!$E$5:$E$300,$B195,Закрытые!$B$5:$B$300,"T-*"))</f>
        <v/>
      </c>
      <c r="G195" s="177">
        <f>IF(F195="","",(SUMPRODUCT((Торговля!$E$5:$E$300=$B195)*Торговля!$I$5:$I$300*Торговля!$J$5:$J$300)+SUMPRODUCT((Закрытые!$E$5:$E$300=$B195)*(LEFT(Закрытые!$B$5:$B$300,2)="T-")*Закрытые!$I$5:$I$300*Закрытые!$J$5:$J$300))/F195)</f>
        <v/>
      </c>
      <c r="H195" s="241">
        <f>IF(F195="","",SUMIFS(Торговля!$K$5:$K$300,Торговля!$E$5:$E$300,$B195)+SUMIFS(Закрытые!$K$5:$K$300,Закрытые!$E$5:$E$300,$B195,Закрытые!$B$5:$B$300,"T-*"))</f>
        <v/>
      </c>
      <c r="I195" s="240">
        <f>IF($B195="","",IF(COUNTIFS(Торговля!$E$5:$E$300,$B195)+COUNTIFS(Закрытые!$E$5:$E$300,$B195,Закрытые!$B$5:$B$300,"T-*")=0,"",ROUND(SUMIFS(Торговля!$L$5:$L$300,Торговля!$E$5:$E$300,$B195)+SUMIFS(Закрытые!$L$5:$L$300,Закрытые!$E$5:$E$300,$B195,Закрытые!$B$5:$B$300,"T-*"),8)))</f>
        <v/>
      </c>
      <c r="J195" s="241">
        <f>IF($B195="","",IF(COUNTIFS(Торговля!$E$5:$E$300,$B195)+COUNTIFS(Закрытые!$E$5:$E$300,$B195,Закрытые!$B$5:$B$300,"T-*")=0,"",ROUND(SUMIFS(Торговля!$M$5:$M$300,Торговля!$E$5:$E$300,$B195)+SUMIFS(Закрытые!$M$5:$M$300,Закрытые!$E$5:$E$300,$B195,Закрытые!$B$5:$B$300,"T-*"),8)))</f>
        <v/>
      </c>
      <c r="K195" s="240">
        <f>IF($B195="","",ROUND(SUMIFS(Закрытые!$N$5:$N$300,Закрытые!$E$5:$E$300,$B195,Закрытые!$B$5:$B$300,"T-*"),8))</f>
        <v/>
      </c>
      <c r="L195" s="177">
        <f>IF(K195="","",IF(SUMPRODUCT((Закрытые!$E$5:$E$300=$B195)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195/SUMPRODUCT((Закрытые!$E$5:$E$300=$B195)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5" s="177">
        <f>IF(OR(ROUND(N(C195)-N(F195),8)=0,1-N(Ввод!$E$17)/100&lt;=0),"",IF(N(C195)&gt;N(F195),(N(E195)-N(H195))/((N(C195)-N(F195))*(1-N(Ввод!$E$17)/100)),(N(H195)-N(E195))/((N(F195)-N(C195))*(1+N(Ввод!$E$17)/100))))</f>
        <v/>
      </c>
    </row>
    <row r="196" ht="22" customHeight="1">
      <c r="B196" s="320" t="n"/>
      <c r="C196" s="246">
        <f>IF(SUMIFS(Торговля!$F$5:$F$300,Торговля!$E$5:$E$300,$B196)+SUMIFS(Закрытые!$F$5:$F$300,Закрытые!$E$5:$E$300,$B196,Закрытые!$B$5:$B$300,"T-*")=0,"",SUMIFS(Торговля!$F$5:$F$300,Торговля!$E$5:$E$300,$B196)+SUMIFS(Закрытые!$F$5:$F$300,Закрытые!$E$5:$E$300,$B196,Закрытые!$B$5:$B$300,"T-*"))</f>
        <v/>
      </c>
      <c r="D196" s="183">
        <f>IF(C196="","",(SUMPRODUCT((Торговля!$E$5:$E$300=$B196)*Торговля!$F$5:$F$300*Торговля!$G$5:$G$300)+SUMPRODUCT((Закрытые!$E$5:$E$300=$B196)*(LEFT(Закрытые!$B$5:$B$300,2)="T-")*Закрытые!$F$5:$F$300*Закрытые!$G$5:$G$300))/C196)</f>
        <v/>
      </c>
      <c r="E196" s="247">
        <f>IF(C196="","",SUMIFS(Торговля!$H$5:$H$300,Торговля!$E$5:$E$300,$B196)+SUMIFS(Закрытые!$H$5:$H$300,Закрытые!$E$5:$E$300,$B196,Закрытые!$B$5:$B$300,"T-*"))</f>
        <v/>
      </c>
      <c r="F196" s="246">
        <f>IF(SUMIFS(Торговля!$I$5:$I$300,Торговля!$E$5:$E$300,$B196)+SUMIFS(Закрытые!$I$5:$I$300,Закрытые!$E$5:$E$300,$B196,Закрытые!$B$5:$B$300,"T-*")=0,"",SUMIFS(Торговля!$I$5:$I$300,Торговля!$E$5:$E$300,$B196)+SUMIFS(Закрытые!$I$5:$I$300,Закрытые!$E$5:$E$300,$B196,Закрытые!$B$5:$B$300,"T-*"))</f>
        <v/>
      </c>
      <c r="G196" s="183">
        <f>IF(F196="","",(SUMPRODUCT((Торговля!$E$5:$E$300=$B196)*Торговля!$I$5:$I$300*Торговля!$J$5:$J$300)+SUMPRODUCT((Закрытые!$E$5:$E$300=$B196)*(LEFT(Закрытые!$B$5:$B$300,2)="T-")*Закрытые!$I$5:$I$300*Закрытые!$J$5:$J$300))/F196)</f>
        <v/>
      </c>
      <c r="H196" s="247">
        <f>IF(F196="","",SUMIFS(Торговля!$K$5:$K$300,Торговля!$E$5:$E$300,$B196)+SUMIFS(Закрытые!$K$5:$K$300,Закрытые!$E$5:$E$300,$B196,Закрытые!$B$5:$B$300,"T-*"))</f>
        <v/>
      </c>
      <c r="I196" s="246">
        <f>IF($B196="","",IF(COUNTIFS(Торговля!$E$5:$E$300,$B196)+COUNTIFS(Закрытые!$E$5:$E$300,$B196,Закрытые!$B$5:$B$300,"T-*")=0,"",ROUND(SUMIFS(Торговля!$L$5:$L$300,Торговля!$E$5:$E$300,$B196)+SUMIFS(Закрытые!$L$5:$L$300,Закрытые!$E$5:$E$300,$B196,Закрытые!$B$5:$B$300,"T-*"),8)))</f>
        <v/>
      </c>
      <c r="J196" s="247">
        <f>IF($B196="","",IF(COUNTIFS(Торговля!$E$5:$E$300,$B196)+COUNTIFS(Закрытые!$E$5:$E$300,$B196,Закрытые!$B$5:$B$300,"T-*")=0,"",ROUND(SUMIFS(Торговля!$M$5:$M$300,Торговля!$E$5:$E$300,$B196)+SUMIFS(Закрытые!$M$5:$M$300,Закрытые!$E$5:$E$300,$B196,Закрытые!$B$5:$B$300,"T-*"),8)))</f>
        <v/>
      </c>
      <c r="K196" s="246">
        <f>IF($B196="","",ROUND(SUMIFS(Закрытые!$N$5:$N$300,Закрытые!$E$5:$E$300,$B196,Закрытые!$B$5:$B$300,"T-*"),8))</f>
        <v/>
      </c>
      <c r="L196" s="183">
        <f>IF(K196="","",IF(SUMPRODUCT((Закрытые!$E$5:$E$300=$B196)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196/SUMPRODUCT((Закрытые!$E$5:$E$300=$B196)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6" s="183">
        <f>IF(OR(ROUND(N(C196)-N(F196),8)=0,1-N(Ввод!$E$17)/100&lt;=0),"",IF(N(C196)&gt;N(F196),(N(E196)-N(H196))/((N(C196)-N(F196))*(1-N(Ввод!$E$17)/100)),(N(H196)-N(E196))/((N(F196)-N(C196))*(1+N(Ввод!$E$17)/100))))</f>
        <v/>
      </c>
    </row>
    <row r="197" ht="22" customHeight="1">
      <c r="B197" s="315" t="n"/>
      <c r="C197" s="240">
        <f>IF(SUMIFS(Торговля!$F$5:$F$300,Торговля!$E$5:$E$300,$B197)+SUMIFS(Закрытые!$F$5:$F$300,Закрытые!$E$5:$E$300,$B197,Закрытые!$B$5:$B$300,"T-*")=0,"",SUMIFS(Торговля!$F$5:$F$300,Торговля!$E$5:$E$300,$B197)+SUMIFS(Закрытые!$F$5:$F$300,Закрытые!$E$5:$E$300,$B197,Закрытые!$B$5:$B$300,"T-*"))</f>
        <v/>
      </c>
      <c r="D197" s="177">
        <f>IF(C197="","",(SUMPRODUCT((Торговля!$E$5:$E$300=$B197)*Торговля!$F$5:$F$300*Торговля!$G$5:$G$300)+SUMPRODUCT((Закрытые!$E$5:$E$300=$B197)*(LEFT(Закрытые!$B$5:$B$300,2)="T-")*Закрытые!$F$5:$F$300*Закрытые!$G$5:$G$300))/C197)</f>
        <v/>
      </c>
      <c r="E197" s="241">
        <f>IF(C197="","",SUMIFS(Торговля!$H$5:$H$300,Торговля!$E$5:$E$300,$B197)+SUMIFS(Закрытые!$H$5:$H$300,Закрытые!$E$5:$E$300,$B197,Закрытые!$B$5:$B$300,"T-*"))</f>
        <v/>
      </c>
      <c r="F197" s="240">
        <f>IF(SUMIFS(Торговля!$I$5:$I$300,Торговля!$E$5:$E$300,$B197)+SUMIFS(Закрытые!$I$5:$I$300,Закрытые!$E$5:$E$300,$B197,Закрытые!$B$5:$B$300,"T-*")=0,"",SUMIFS(Торговля!$I$5:$I$300,Торговля!$E$5:$E$300,$B197)+SUMIFS(Закрытые!$I$5:$I$300,Закрытые!$E$5:$E$300,$B197,Закрытые!$B$5:$B$300,"T-*"))</f>
        <v/>
      </c>
      <c r="G197" s="177">
        <f>IF(F197="","",(SUMPRODUCT((Торговля!$E$5:$E$300=$B197)*Торговля!$I$5:$I$300*Торговля!$J$5:$J$300)+SUMPRODUCT((Закрытые!$E$5:$E$300=$B197)*(LEFT(Закрытые!$B$5:$B$300,2)="T-")*Закрытые!$I$5:$I$300*Закрытые!$J$5:$J$300))/F197)</f>
        <v/>
      </c>
      <c r="H197" s="241">
        <f>IF(F197="","",SUMIFS(Торговля!$K$5:$K$300,Торговля!$E$5:$E$300,$B197)+SUMIFS(Закрытые!$K$5:$K$300,Закрытые!$E$5:$E$300,$B197,Закрытые!$B$5:$B$300,"T-*"))</f>
        <v/>
      </c>
      <c r="I197" s="240">
        <f>IF($B197="","",IF(COUNTIFS(Торговля!$E$5:$E$300,$B197)+COUNTIFS(Закрытые!$E$5:$E$300,$B197,Закрытые!$B$5:$B$300,"T-*")=0,"",ROUND(SUMIFS(Торговля!$L$5:$L$300,Торговля!$E$5:$E$300,$B197)+SUMIFS(Закрытые!$L$5:$L$300,Закрытые!$E$5:$E$300,$B197,Закрытые!$B$5:$B$300,"T-*"),8)))</f>
        <v/>
      </c>
      <c r="J197" s="241">
        <f>IF($B197="","",IF(COUNTIFS(Торговля!$E$5:$E$300,$B197)+COUNTIFS(Закрытые!$E$5:$E$300,$B197,Закрытые!$B$5:$B$300,"T-*")=0,"",ROUND(SUMIFS(Торговля!$M$5:$M$300,Торговля!$E$5:$E$300,$B197)+SUMIFS(Закрытые!$M$5:$M$300,Закрытые!$E$5:$E$300,$B197,Закрытые!$B$5:$B$300,"T-*"),8)))</f>
        <v/>
      </c>
      <c r="K197" s="240">
        <f>IF($B197="","",ROUND(SUMIFS(Закрытые!$N$5:$N$300,Закрытые!$E$5:$E$300,$B197,Закрытые!$B$5:$B$300,"T-*"),8))</f>
        <v/>
      </c>
      <c r="L197" s="177">
        <f>IF(K197="","",IF(SUMPRODUCT((Закрытые!$E$5:$E$300=$B197)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197/SUMPRODUCT((Закрытые!$E$5:$E$300=$B197)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7" s="177">
        <f>IF(OR(ROUND(N(C197)-N(F197),8)=0,1-N(Ввод!$E$17)/100&lt;=0),"",IF(N(C197)&gt;N(F197),(N(E197)-N(H197))/((N(C197)-N(F197))*(1-N(Ввод!$E$17)/100)),(N(H197)-N(E197))/((N(F197)-N(C197))*(1+N(Ввод!$E$17)/100))))</f>
        <v/>
      </c>
    </row>
    <row r="198" ht="22" customHeight="1">
      <c r="B198" s="320" t="n"/>
      <c r="C198" s="246">
        <f>IF(SUMIFS(Торговля!$F$5:$F$300,Торговля!$E$5:$E$300,$B198)+SUMIFS(Закрытые!$F$5:$F$300,Закрытые!$E$5:$E$300,$B198,Закрытые!$B$5:$B$300,"T-*")=0,"",SUMIFS(Торговля!$F$5:$F$300,Торговля!$E$5:$E$300,$B198)+SUMIFS(Закрытые!$F$5:$F$300,Закрытые!$E$5:$E$300,$B198,Закрытые!$B$5:$B$300,"T-*"))</f>
        <v/>
      </c>
      <c r="D198" s="183">
        <f>IF(C198="","",(SUMPRODUCT((Торговля!$E$5:$E$300=$B198)*Торговля!$F$5:$F$300*Торговля!$G$5:$G$300)+SUMPRODUCT((Закрытые!$E$5:$E$300=$B198)*(LEFT(Закрытые!$B$5:$B$300,2)="T-")*Закрытые!$F$5:$F$300*Закрытые!$G$5:$G$300))/C198)</f>
        <v/>
      </c>
      <c r="E198" s="247">
        <f>IF(C198="","",SUMIFS(Торговля!$H$5:$H$300,Торговля!$E$5:$E$300,$B198)+SUMIFS(Закрытые!$H$5:$H$300,Закрытые!$E$5:$E$300,$B198,Закрытые!$B$5:$B$300,"T-*"))</f>
        <v/>
      </c>
      <c r="F198" s="246">
        <f>IF(SUMIFS(Торговля!$I$5:$I$300,Торговля!$E$5:$E$300,$B198)+SUMIFS(Закрытые!$I$5:$I$300,Закрытые!$E$5:$E$300,$B198,Закрытые!$B$5:$B$300,"T-*")=0,"",SUMIFS(Торговля!$I$5:$I$300,Торговля!$E$5:$E$300,$B198)+SUMIFS(Закрытые!$I$5:$I$300,Закрытые!$E$5:$E$300,$B198,Закрытые!$B$5:$B$300,"T-*"))</f>
        <v/>
      </c>
      <c r="G198" s="183">
        <f>IF(F198="","",(SUMPRODUCT((Торговля!$E$5:$E$300=$B198)*Торговля!$I$5:$I$300*Торговля!$J$5:$J$300)+SUMPRODUCT((Закрытые!$E$5:$E$300=$B198)*(LEFT(Закрытые!$B$5:$B$300,2)="T-")*Закрытые!$I$5:$I$300*Закрытые!$J$5:$J$300))/F198)</f>
        <v/>
      </c>
      <c r="H198" s="247">
        <f>IF(F198="","",SUMIFS(Торговля!$K$5:$K$300,Торговля!$E$5:$E$300,$B198)+SUMIFS(Закрытые!$K$5:$K$300,Закрытые!$E$5:$E$300,$B198,Закрытые!$B$5:$B$300,"T-*"))</f>
        <v/>
      </c>
      <c r="I198" s="246">
        <f>IF($B198="","",IF(COUNTIFS(Торговля!$E$5:$E$300,$B198)+COUNTIFS(Закрытые!$E$5:$E$300,$B198,Закрытые!$B$5:$B$300,"T-*")=0,"",ROUND(SUMIFS(Торговля!$L$5:$L$300,Торговля!$E$5:$E$300,$B198)+SUMIFS(Закрытые!$L$5:$L$300,Закрытые!$E$5:$E$300,$B198,Закрытые!$B$5:$B$300,"T-*"),8)))</f>
        <v/>
      </c>
      <c r="J198" s="247">
        <f>IF($B198="","",IF(COUNTIFS(Торговля!$E$5:$E$300,$B198)+COUNTIFS(Закрытые!$E$5:$E$300,$B198,Закрытые!$B$5:$B$300,"T-*")=0,"",ROUND(SUMIFS(Торговля!$M$5:$M$300,Торговля!$E$5:$E$300,$B198)+SUMIFS(Закрытые!$M$5:$M$300,Закрытые!$E$5:$E$300,$B198,Закрытые!$B$5:$B$300,"T-*"),8)))</f>
        <v/>
      </c>
      <c r="K198" s="246">
        <f>IF($B198="","",ROUND(SUMIFS(Закрытые!$N$5:$N$300,Закрытые!$E$5:$E$300,$B198,Закрытые!$B$5:$B$300,"T-*"),8))</f>
        <v/>
      </c>
      <c r="L198" s="183">
        <f>IF(K198="","",IF(SUMPRODUCT((Закрытые!$E$5:$E$300=$B198)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198/SUMPRODUCT((Закрытые!$E$5:$E$300=$B198)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8" s="183">
        <f>IF(OR(ROUND(N(C198)-N(F198),8)=0,1-N(Ввод!$E$17)/100&lt;=0),"",IF(N(C198)&gt;N(F198),(N(E198)-N(H198))/((N(C198)-N(F198))*(1-N(Ввод!$E$17)/100)),(N(H198)-N(E198))/((N(F198)-N(C198))*(1+N(Ввод!$E$17)/100))))</f>
        <v/>
      </c>
    </row>
    <row r="199" ht="22" customHeight="1">
      <c r="B199" s="315" t="n"/>
      <c r="C199" s="240">
        <f>IF(SUMIFS(Торговля!$F$5:$F$300,Торговля!$E$5:$E$300,$B199)+SUMIFS(Закрытые!$F$5:$F$300,Закрытые!$E$5:$E$300,$B199,Закрытые!$B$5:$B$300,"T-*")=0,"",SUMIFS(Торговля!$F$5:$F$300,Торговля!$E$5:$E$300,$B199)+SUMIFS(Закрытые!$F$5:$F$300,Закрытые!$E$5:$E$300,$B199,Закрытые!$B$5:$B$300,"T-*"))</f>
        <v/>
      </c>
      <c r="D199" s="177">
        <f>IF(C199="","",(SUMPRODUCT((Торговля!$E$5:$E$300=$B199)*Торговля!$F$5:$F$300*Торговля!$G$5:$G$300)+SUMPRODUCT((Закрытые!$E$5:$E$300=$B199)*(LEFT(Закрытые!$B$5:$B$300,2)="T-")*Закрытые!$F$5:$F$300*Закрытые!$G$5:$G$300))/C199)</f>
        <v/>
      </c>
      <c r="E199" s="241">
        <f>IF(C199="","",SUMIFS(Торговля!$H$5:$H$300,Торговля!$E$5:$E$300,$B199)+SUMIFS(Закрытые!$H$5:$H$300,Закрытые!$E$5:$E$300,$B199,Закрытые!$B$5:$B$300,"T-*"))</f>
        <v/>
      </c>
      <c r="F199" s="240">
        <f>IF(SUMIFS(Торговля!$I$5:$I$300,Торговля!$E$5:$E$300,$B199)+SUMIFS(Закрытые!$I$5:$I$300,Закрытые!$E$5:$E$300,$B199,Закрытые!$B$5:$B$300,"T-*")=0,"",SUMIFS(Торговля!$I$5:$I$300,Торговля!$E$5:$E$300,$B199)+SUMIFS(Закрытые!$I$5:$I$300,Закрытые!$E$5:$E$300,$B199,Закрытые!$B$5:$B$300,"T-*"))</f>
        <v/>
      </c>
      <c r="G199" s="177">
        <f>IF(F199="","",(SUMPRODUCT((Торговля!$E$5:$E$300=$B199)*Торговля!$I$5:$I$300*Торговля!$J$5:$J$300)+SUMPRODUCT((Закрытые!$E$5:$E$300=$B199)*(LEFT(Закрытые!$B$5:$B$300,2)="T-")*Закрытые!$I$5:$I$300*Закрытые!$J$5:$J$300))/F199)</f>
        <v/>
      </c>
      <c r="H199" s="241">
        <f>IF(F199="","",SUMIFS(Торговля!$K$5:$K$300,Торговля!$E$5:$E$300,$B199)+SUMIFS(Закрытые!$K$5:$K$300,Закрытые!$E$5:$E$300,$B199,Закрытые!$B$5:$B$300,"T-*"))</f>
        <v/>
      </c>
      <c r="I199" s="240">
        <f>IF($B199="","",IF(COUNTIFS(Торговля!$E$5:$E$300,$B199)+COUNTIFS(Закрытые!$E$5:$E$300,$B199,Закрытые!$B$5:$B$300,"T-*")=0,"",ROUND(SUMIFS(Торговля!$L$5:$L$300,Торговля!$E$5:$E$300,$B199)+SUMIFS(Закрытые!$L$5:$L$300,Закрытые!$E$5:$E$300,$B199,Закрытые!$B$5:$B$300,"T-*"),8)))</f>
        <v/>
      </c>
      <c r="J199" s="241">
        <f>IF($B199="","",IF(COUNTIFS(Торговля!$E$5:$E$300,$B199)+COUNTIFS(Закрытые!$E$5:$E$300,$B199,Закрытые!$B$5:$B$300,"T-*")=0,"",ROUND(SUMIFS(Торговля!$M$5:$M$300,Торговля!$E$5:$E$300,$B199)+SUMIFS(Закрытые!$M$5:$M$300,Закрытые!$E$5:$E$300,$B199,Закрытые!$B$5:$B$300,"T-*"),8)))</f>
        <v/>
      </c>
      <c r="K199" s="240">
        <f>IF($B199="","",ROUND(SUMIFS(Закрытые!$N$5:$N$300,Закрытые!$E$5:$E$300,$B199,Закрытые!$B$5:$B$300,"T-*"),8))</f>
        <v/>
      </c>
      <c r="L199" s="177">
        <f>IF(K199="","",IF(SUMPRODUCT((Закрытые!$E$5:$E$300=$B199)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199/SUMPRODUCT((Закрытые!$E$5:$E$300=$B199)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9" s="177">
        <f>IF(OR(ROUND(N(C199)-N(F199),8)=0,1-N(Ввод!$E$17)/100&lt;=0),"",IF(N(C199)&gt;N(F199),(N(E199)-N(H199))/((N(C199)-N(F199))*(1-N(Ввод!$E$17)/100)),(N(H199)-N(E199))/((N(F199)-N(C199))*(1+N(Ввод!$E$17)/100))))</f>
        <v/>
      </c>
    </row>
    <row r="200" ht="22" customHeight="1">
      <c r="B200" s="320" t="n"/>
      <c r="C200" s="246">
        <f>IF(SUMIFS(Торговля!$F$5:$F$300,Торговля!$E$5:$E$300,$B200)+SUMIFS(Закрытые!$F$5:$F$300,Закрытые!$E$5:$E$300,$B200,Закрытые!$B$5:$B$300,"T-*")=0,"",SUMIFS(Торговля!$F$5:$F$300,Торговля!$E$5:$E$300,$B200)+SUMIFS(Закрытые!$F$5:$F$300,Закрытые!$E$5:$E$300,$B200,Закрытые!$B$5:$B$300,"T-*"))</f>
        <v/>
      </c>
      <c r="D200" s="183">
        <f>IF(C200="","",(SUMPRODUCT((Торговля!$E$5:$E$300=$B200)*Торговля!$F$5:$F$300*Торговля!$G$5:$G$300)+SUMPRODUCT((Закрытые!$E$5:$E$300=$B200)*(LEFT(Закрытые!$B$5:$B$300,2)="T-")*Закрытые!$F$5:$F$300*Закрытые!$G$5:$G$300))/C200)</f>
        <v/>
      </c>
      <c r="E200" s="247">
        <f>IF(C200="","",SUMIFS(Торговля!$H$5:$H$300,Торговля!$E$5:$E$300,$B200)+SUMIFS(Закрытые!$H$5:$H$300,Закрытые!$E$5:$E$300,$B200,Закрытые!$B$5:$B$300,"T-*"))</f>
        <v/>
      </c>
      <c r="F200" s="246">
        <f>IF(SUMIFS(Торговля!$I$5:$I$300,Торговля!$E$5:$E$300,$B200)+SUMIFS(Закрытые!$I$5:$I$300,Закрытые!$E$5:$E$300,$B200,Закрытые!$B$5:$B$300,"T-*")=0,"",SUMIFS(Торговля!$I$5:$I$300,Торговля!$E$5:$E$300,$B200)+SUMIFS(Закрытые!$I$5:$I$300,Закрытые!$E$5:$E$300,$B200,Закрытые!$B$5:$B$300,"T-*"))</f>
        <v/>
      </c>
      <c r="G200" s="183">
        <f>IF(F200="","",(SUMPRODUCT((Торговля!$E$5:$E$300=$B200)*Торговля!$I$5:$I$300*Торговля!$J$5:$J$300)+SUMPRODUCT((Закрытые!$E$5:$E$300=$B200)*(LEFT(Закрытые!$B$5:$B$300,2)="T-")*Закрытые!$I$5:$I$300*Закрытые!$J$5:$J$300))/F200)</f>
        <v/>
      </c>
      <c r="H200" s="247">
        <f>IF(F200="","",SUMIFS(Торговля!$K$5:$K$300,Торговля!$E$5:$E$300,$B200)+SUMIFS(Закрытые!$K$5:$K$300,Закрытые!$E$5:$E$300,$B200,Закрытые!$B$5:$B$300,"T-*"))</f>
        <v/>
      </c>
      <c r="I200" s="246">
        <f>IF($B200="","",IF(COUNTIFS(Торговля!$E$5:$E$300,$B200)+COUNTIFS(Закрытые!$E$5:$E$300,$B200,Закрытые!$B$5:$B$300,"T-*")=0,"",ROUND(SUMIFS(Торговля!$L$5:$L$300,Торговля!$E$5:$E$300,$B200)+SUMIFS(Закрытые!$L$5:$L$300,Закрытые!$E$5:$E$300,$B200,Закрытые!$B$5:$B$300,"T-*"),8)))</f>
        <v/>
      </c>
      <c r="J200" s="247">
        <f>IF($B200="","",IF(COUNTIFS(Торговля!$E$5:$E$300,$B200)+COUNTIFS(Закрытые!$E$5:$E$300,$B200,Закрытые!$B$5:$B$300,"T-*")=0,"",ROUND(SUMIFS(Торговля!$M$5:$M$300,Торговля!$E$5:$E$300,$B200)+SUMIFS(Закрытые!$M$5:$M$300,Закрытые!$E$5:$E$300,$B200,Закрытые!$B$5:$B$300,"T-*"),8)))</f>
        <v/>
      </c>
      <c r="K200" s="246">
        <f>IF($B200="","",ROUND(SUMIFS(Закрытые!$N$5:$N$300,Закрытые!$E$5:$E$300,$B200,Закрытые!$B$5:$B$300,"T-*"),8))</f>
        <v/>
      </c>
      <c r="L200" s="183">
        <f>IF(K200="","",IF(SUMPRODUCT((Закрытые!$E$5:$E$300=$B200)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200/SUMPRODUCT((Закрытые!$E$5:$E$300=$B200)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0" s="183">
        <f>IF(OR(ROUND(N(C200)-N(F200),8)=0,1-N(Ввод!$E$17)/100&lt;=0),"",IF(N(C200)&gt;N(F200),(N(E200)-N(H200))/((N(C200)-N(F200))*(1-N(Ввод!$E$17)/100)),(N(H200)-N(E200))/((N(F200)-N(C200))*(1+N(Ввод!$E$17)/100))))</f>
        <v/>
      </c>
    </row>
    <row r="201" ht="22" customHeight="1">
      <c r="B201" s="315" t="n"/>
      <c r="C201" s="240">
        <f>IF(SUMIFS(Торговля!$F$5:$F$300,Торговля!$E$5:$E$300,$B201)+SUMIFS(Закрытые!$F$5:$F$300,Закрытые!$E$5:$E$300,$B201,Закрытые!$B$5:$B$300,"T-*")=0,"",SUMIFS(Торговля!$F$5:$F$300,Торговля!$E$5:$E$300,$B201)+SUMIFS(Закрытые!$F$5:$F$300,Закрытые!$E$5:$E$300,$B201,Закрытые!$B$5:$B$300,"T-*"))</f>
        <v/>
      </c>
      <c r="D201" s="177">
        <f>IF(C201="","",(SUMPRODUCT((Торговля!$E$5:$E$300=$B201)*Торговля!$F$5:$F$300*Торговля!$G$5:$G$300)+SUMPRODUCT((Закрытые!$E$5:$E$300=$B201)*(LEFT(Закрытые!$B$5:$B$300,2)="T-")*Закрытые!$F$5:$F$300*Закрытые!$G$5:$G$300))/C201)</f>
        <v/>
      </c>
      <c r="E201" s="241">
        <f>IF(C201="","",SUMIFS(Торговля!$H$5:$H$300,Торговля!$E$5:$E$300,$B201)+SUMIFS(Закрытые!$H$5:$H$300,Закрытые!$E$5:$E$300,$B201,Закрытые!$B$5:$B$300,"T-*"))</f>
        <v/>
      </c>
      <c r="F201" s="240">
        <f>IF(SUMIFS(Торговля!$I$5:$I$300,Торговля!$E$5:$E$300,$B201)+SUMIFS(Закрытые!$I$5:$I$300,Закрытые!$E$5:$E$300,$B201,Закрытые!$B$5:$B$300,"T-*")=0,"",SUMIFS(Торговля!$I$5:$I$300,Торговля!$E$5:$E$300,$B201)+SUMIFS(Закрытые!$I$5:$I$300,Закрытые!$E$5:$E$300,$B201,Закрытые!$B$5:$B$300,"T-*"))</f>
        <v/>
      </c>
      <c r="G201" s="177">
        <f>IF(F201="","",(SUMPRODUCT((Торговля!$E$5:$E$300=$B201)*Торговля!$I$5:$I$300*Торговля!$J$5:$J$300)+SUMPRODUCT((Закрытые!$E$5:$E$300=$B201)*(LEFT(Закрытые!$B$5:$B$300,2)="T-")*Закрытые!$I$5:$I$300*Закрытые!$J$5:$J$300))/F201)</f>
        <v/>
      </c>
      <c r="H201" s="241">
        <f>IF(F201="","",SUMIFS(Торговля!$K$5:$K$300,Торговля!$E$5:$E$300,$B201)+SUMIFS(Закрытые!$K$5:$K$300,Закрытые!$E$5:$E$300,$B201,Закрытые!$B$5:$B$300,"T-*"))</f>
        <v/>
      </c>
      <c r="I201" s="240">
        <f>IF($B201="","",IF(COUNTIFS(Торговля!$E$5:$E$300,$B201)+COUNTIFS(Закрытые!$E$5:$E$300,$B201,Закрытые!$B$5:$B$300,"T-*")=0,"",ROUND(SUMIFS(Торговля!$L$5:$L$300,Торговля!$E$5:$E$300,$B201)+SUMIFS(Закрытые!$L$5:$L$300,Закрытые!$E$5:$E$300,$B201,Закрытые!$B$5:$B$300,"T-*"),8)))</f>
        <v/>
      </c>
      <c r="J201" s="241">
        <f>IF($B201="","",IF(COUNTIFS(Торговля!$E$5:$E$300,$B201)+COUNTIFS(Закрытые!$E$5:$E$300,$B201,Закрытые!$B$5:$B$300,"T-*")=0,"",ROUND(SUMIFS(Торговля!$M$5:$M$300,Торговля!$E$5:$E$300,$B201)+SUMIFS(Закрытые!$M$5:$M$300,Закрытые!$E$5:$E$300,$B201,Закрытые!$B$5:$B$300,"T-*"),8)))</f>
        <v/>
      </c>
      <c r="K201" s="240">
        <f>IF($B201="","",ROUND(SUMIFS(Закрытые!$N$5:$N$300,Закрытые!$E$5:$E$300,$B201,Закрытые!$B$5:$B$300,"T-*"),8))</f>
        <v/>
      </c>
      <c r="L201" s="177">
        <f>IF(K201="","",IF(SUMPRODUCT((Закрытые!$E$5:$E$300=$B201)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201/SUMPRODUCT((Закрытые!$E$5:$E$300=$B201)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1" s="177">
        <f>IF(OR(ROUND(N(C201)-N(F201),8)=0,1-N(Ввод!$E$17)/100&lt;=0),"",IF(N(C201)&gt;N(F201),(N(E201)-N(H201))/((N(C201)-N(F201))*(1-N(Ввод!$E$17)/100)),(N(H201)-N(E201))/((N(F201)-N(C201))*(1+N(Ввод!$E$17)/100))))</f>
        <v/>
      </c>
    </row>
    <row r="202" ht="22" customHeight="1">
      <c r="B202" s="320" t="n"/>
      <c r="C202" s="246">
        <f>IF(SUMIFS(Торговля!$F$5:$F$300,Торговля!$E$5:$E$300,$B202)+SUMIFS(Закрытые!$F$5:$F$300,Закрытые!$E$5:$E$300,$B202,Закрытые!$B$5:$B$300,"T-*")=0,"",SUMIFS(Торговля!$F$5:$F$300,Торговля!$E$5:$E$300,$B202)+SUMIFS(Закрытые!$F$5:$F$300,Закрытые!$E$5:$E$300,$B202,Закрытые!$B$5:$B$300,"T-*"))</f>
        <v/>
      </c>
      <c r="D202" s="183">
        <f>IF(C202="","",(SUMPRODUCT((Торговля!$E$5:$E$300=$B202)*Торговля!$F$5:$F$300*Торговля!$G$5:$G$300)+SUMPRODUCT((Закрытые!$E$5:$E$300=$B202)*(LEFT(Закрытые!$B$5:$B$300,2)="T-")*Закрытые!$F$5:$F$300*Закрытые!$G$5:$G$300))/C202)</f>
        <v/>
      </c>
      <c r="E202" s="247">
        <f>IF(C202="","",SUMIFS(Торговля!$H$5:$H$300,Торговля!$E$5:$E$300,$B202)+SUMIFS(Закрытые!$H$5:$H$300,Закрытые!$E$5:$E$300,$B202,Закрытые!$B$5:$B$300,"T-*"))</f>
        <v/>
      </c>
      <c r="F202" s="246">
        <f>IF(SUMIFS(Торговля!$I$5:$I$300,Торговля!$E$5:$E$300,$B202)+SUMIFS(Закрытые!$I$5:$I$300,Закрытые!$E$5:$E$300,$B202,Закрытые!$B$5:$B$300,"T-*")=0,"",SUMIFS(Торговля!$I$5:$I$300,Торговля!$E$5:$E$300,$B202)+SUMIFS(Закрытые!$I$5:$I$300,Закрытые!$E$5:$E$300,$B202,Закрытые!$B$5:$B$300,"T-*"))</f>
        <v/>
      </c>
      <c r="G202" s="183">
        <f>IF(F202="","",(SUMPRODUCT((Торговля!$E$5:$E$300=$B202)*Торговля!$I$5:$I$300*Торговля!$J$5:$J$300)+SUMPRODUCT((Закрытые!$E$5:$E$300=$B202)*(LEFT(Закрытые!$B$5:$B$300,2)="T-")*Закрытые!$I$5:$I$300*Закрытые!$J$5:$J$300))/F202)</f>
        <v/>
      </c>
      <c r="H202" s="247">
        <f>IF(F202="","",SUMIFS(Торговля!$K$5:$K$300,Торговля!$E$5:$E$300,$B202)+SUMIFS(Закрытые!$K$5:$K$300,Закрытые!$E$5:$E$300,$B202,Закрытые!$B$5:$B$300,"T-*"))</f>
        <v/>
      </c>
      <c r="I202" s="246">
        <f>IF($B202="","",IF(COUNTIFS(Торговля!$E$5:$E$300,$B202)+COUNTIFS(Закрытые!$E$5:$E$300,$B202,Закрытые!$B$5:$B$300,"T-*")=0,"",ROUND(SUMIFS(Торговля!$L$5:$L$300,Торговля!$E$5:$E$300,$B202)+SUMIFS(Закрытые!$L$5:$L$300,Закрытые!$E$5:$E$300,$B202,Закрытые!$B$5:$B$300,"T-*"),8)))</f>
        <v/>
      </c>
      <c r="J202" s="247">
        <f>IF($B202="","",IF(COUNTIFS(Торговля!$E$5:$E$300,$B202)+COUNTIFS(Закрытые!$E$5:$E$300,$B202,Закрытые!$B$5:$B$300,"T-*")=0,"",ROUND(SUMIFS(Торговля!$M$5:$M$300,Торговля!$E$5:$E$300,$B202)+SUMIFS(Закрытые!$M$5:$M$300,Закрытые!$E$5:$E$300,$B202,Закрытые!$B$5:$B$300,"T-*"),8)))</f>
        <v/>
      </c>
      <c r="K202" s="246">
        <f>IF($B202="","",ROUND(SUMIFS(Закрытые!$N$5:$N$300,Закрытые!$E$5:$E$300,$B202,Закрытые!$B$5:$B$300,"T-*"),8))</f>
        <v/>
      </c>
      <c r="L202" s="183">
        <f>IF(K202="","",IF(SUMPRODUCT((Закрытые!$E$5:$E$300=$B202)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202/SUMPRODUCT((Закрытые!$E$5:$E$300=$B202)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2" s="183">
        <f>IF(OR(ROUND(N(C202)-N(F202),8)=0,1-N(Ввод!$E$17)/100&lt;=0),"",IF(N(C202)&gt;N(F202),(N(E202)-N(H202))/((N(C202)-N(F202))*(1-N(Ввод!$E$17)/100)),(N(H202)-N(E202))/((N(F202)-N(C202))*(1+N(Ввод!$E$17)/100))))</f>
        <v/>
      </c>
    </row>
    <row r="203" ht="22" customHeight="1">
      <c r="B203" s="315" t="n"/>
      <c r="C203" s="240">
        <f>IF(SUMIFS(Торговля!$F$5:$F$300,Торговля!$E$5:$E$300,$B203)+SUMIFS(Закрытые!$F$5:$F$300,Закрытые!$E$5:$E$300,$B203,Закрытые!$B$5:$B$300,"T-*")=0,"",SUMIFS(Торговля!$F$5:$F$300,Торговля!$E$5:$E$300,$B203)+SUMIFS(Закрытые!$F$5:$F$300,Закрытые!$E$5:$E$300,$B203,Закрытые!$B$5:$B$300,"T-*"))</f>
        <v/>
      </c>
      <c r="D203" s="177">
        <f>IF(C203="","",(SUMPRODUCT((Торговля!$E$5:$E$300=$B203)*Торговля!$F$5:$F$300*Торговля!$G$5:$G$300)+SUMPRODUCT((Закрытые!$E$5:$E$300=$B203)*(LEFT(Закрытые!$B$5:$B$300,2)="T-")*Закрытые!$F$5:$F$300*Закрытые!$G$5:$G$300))/C203)</f>
        <v/>
      </c>
      <c r="E203" s="241">
        <f>IF(C203="","",SUMIFS(Торговля!$H$5:$H$300,Торговля!$E$5:$E$300,$B203)+SUMIFS(Закрытые!$H$5:$H$300,Закрытые!$E$5:$E$300,$B203,Закрытые!$B$5:$B$300,"T-*"))</f>
        <v/>
      </c>
      <c r="F203" s="240">
        <f>IF(SUMIFS(Торговля!$I$5:$I$300,Торговля!$E$5:$E$300,$B203)+SUMIFS(Закрытые!$I$5:$I$300,Закрытые!$E$5:$E$300,$B203,Закрытые!$B$5:$B$300,"T-*")=0,"",SUMIFS(Торговля!$I$5:$I$300,Торговля!$E$5:$E$300,$B203)+SUMIFS(Закрытые!$I$5:$I$300,Закрытые!$E$5:$E$300,$B203,Закрытые!$B$5:$B$300,"T-*"))</f>
        <v/>
      </c>
      <c r="G203" s="177">
        <f>IF(F203="","",(SUMPRODUCT((Торговля!$E$5:$E$300=$B203)*Торговля!$I$5:$I$300*Торговля!$J$5:$J$300)+SUMPRODUCT((Закрытые!$E$5:$E$300=$B203)*(LEFT(Закрытые!$B$5:$B$300,2)="T-")*Закрытые!$I$5:$I$300*Закрытые!$J$5:$J$300))/F203)</f>
        <v/>
      </c>
      <c r="H203" s="241">
        <f>IF(F203="","",SUMIFS(Торговля!$K$5:$K$300,Торговля!$E$5:$E$300,$B203)+SUMIFS(Закрытые!$K$5:$K$300,Закрытые!$E$5:$E$300,$B203,Закрытые!$B$5:$B$300,"T-*"))</f>
        <v/>
      </c>
      <c r="I203" s="240">
        <f>IF($B203="","",IF(COUNTIFS(Торговля!$E$5:$E$300,$B203)+COUNTIFS(Закрытые!$E$5:$E$300,$B203,Закрытые!$B$5:$B$300,"T-*")=0,"",ROUND(SUMIFS(Торговля!$L$5:$L$300,Торговля!$E$5:$E$300,$B203)+SUMIFS(Закрытые!$L$5:$L$300,Закрытые!$E$5:$E$300,$B203,Закрытые!$B$5:$B$300,"T-*"),8)))</f>
        <v/>
      </c>
      <c r="J203" s="241">
        <f>IF($B203="","",IF(COUNTIFS(Торговля!$E$5:$E$300,$B203)+COUNTIFS(Закрытые!$E$5:$E$300,$B203,Закрытые!$B$5:$B$300,"T-*")=0,"",ROUND(SUMIFS(Торговля!$M$5:$M$300,Торговля!$E$5:$E$300,$B203)+SUMIFS(Закрытые!$M$5:$M$300,Закрытые!$E$5:$E$300,$B203,Закрытые!$B$5:$B$300,"T-*"),8)))</f>
        <v/>
      </c>
      <c r="K203" s="240">
        <f>IF($B203="","",ROUND(SUMIFS(Закрытые!$N$5:$N$300,Закрытые!$E$5:$E$300,$B203,Закрытые!$B$5:$B$300,"T-*"),8))</f>
        <v/>
      </c>
      <c r="L203" s="177">
        <f>IF(K203="","",IF(SUMPRODUCT((Закрытые!$E$5:$E$300=$B203)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203/SUMPRODUCT((Закрытые!$E$5:$E$300=$B203)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3" s="177">
        <f>IF(OR(ROUND(N(C203)-N(F203),8)=0,1-N(Ввод!$E$17)/100&lt;=0),"",IF(N(C203)&gt;N(F203),(N(E203)-N(H203))/((N(C203)-N(F203))*(1-N(Ввод!$E$17)/100)),(N(H203)-N(E203))/((N(F203)-N(C203))*(1+N(Ввод!$E$17)/100))))</f>
        <v/>
      </c>
    </row>
    <row r="204" ht="22" customHeight="1">
      <c r="B204" s="320" t="n"/>
      <c r="C204" s="246">
        <f>IF(SUMIFS(Торговля!$F$5:$F$300,Торговля!$E$5:$E$300,$B204)+SUMIFS(Закрытые!$F$5:$F$300,Закрытые!$E$5:$E$300,$B204,Закрытые!$B$5:$B$300,"T-*")=0,"",SUMIFS(Торговля!$F$5:$F$300,Торговля!$E$5:$E$300,$B204)+SUMIFS(Закрытые!$F$5:$F$300,Закрытые!$E$5:$E$300,$B204,Закрытые!$B$5:$B$300,"T-*"))</f>
        <v/>
      </c>
      <c r="D204" s="183">
        <f>IF(C204="","",(SUMPRODUCT((Торговля!$E$5:$E$300=$B204)*Торговля!$F$5:$F$300*Торговля!$G$5:$G$300)+SUMPRODUCT((Закрытые!$E$5:$E$300=$B204)*(LEFT(Закрытые!$B$5:$B$300,2)="T-")*Закрытые!$F$5:$F$300*Закрытые!$G$5:$G$300))/C204)</f>
        <v/>
      </c>
      <c r="E204" s="247">
        <f>IF(C204="","",SUMIFS(Торговля!$H$5:$H$300,Торговля!$E$5:$E$300,$B204)+SUMIFS(Закрытые!$H$5:$H$300,Закрытые!$E$5:$E$300,$B204,Закрытые!$B$5:$B$300,"T-*"))</f>
        <v/>
      </c>
      <c r="F204" s="246">
        <f>IF(SUMIFS(Торговля!$I$5:$I$300,Торговля!$E$5:$E$300,$B204)+SUMIFS(Закрытые!$I$5:$I$300,Закрытые!$E$5:$E$300,$B204,Закрытые!$B$5:$B$300,"T-*")=0,"",SUMIFS(Торговля!$I$5:$I$300,Торговля!$E$5:$E$300,$B204)+SUMIFS(Закрытые!$I$5:$I$300,Закрытые!$E$5:$E$300,$B204,Закрытые!$B$5:$B$300,"T-*"))</f>
        <v/>
      </c>
      <c r="G204" s="183">
        <f>IF(F204="","",(SUMPRODUCT((Торговля!$E$5:$E$300=$B204)*Торговля!$I$5:$I$300*Торговля!$J$5:$J$300)+SUMPRODUCT((Закрытые!$E$5:$E$300=$B204)*(LEFT(Закрытые!$B$5:$B$300,2)="T-")*Закрытые!$I$5:$I$300*Закрытые!$J$5:$J$300))/F204)</f>
        <v/>
      </c>
      <c r="H204" s="247">
        <f>IF(F204="","",SUMIFS(Торговля!$K$5:$K$300,Торговля!$E$5:$E$300,$B204)+SUMIFS(Закрытые!$K$5:$K$300,Закрытые!$E$5:$E$300,$B204,Закрытые!$B$5:$B$300,"T-*"))</f>
        <v/>
      </c>
      <c r="I204" s="246">
        <f>IF($B204="","",IF(COUNTIFS(Торговля!$E$5:$E$300,$B204)+COUNTIFS(Закрытые!$E$5:$E$300,$B204,Закрытые!$B$5:$B$300,"T-*")=0,"",ROUND(SUMIFS(Торговля!$L$5:$L$300,Торговля!$E$5:$E$300,$B204)+SUMIFS(Закрытые!$L$5:$L$300,Закрытые!$E$5:$E$300,$B204,Закрытые!$B$5:$B$300,"T-*"),8)))</f>
        <v/>
      </c>
      <c r="J204" s="247">
        <f>IF($B204="","",IF(COUNTIFS(Торговля!$E$5:$E$300,$B204)+COUNTIFS(Закрытые!$E$5:$E$300,$B204,Закрытые!$B$5:$B$300,"T-*")=0,"",ROUND(SUMIFS(Торговля!$M$5:$M$300,Торговля!$E$5:$E$300,$B204)+SUMIFS(Закрытые!$M$5:$M$300,Закрытые!$E$5:$E$300,$B204,Закрытые!$B$5:$B$300,"T-*"),8)))</f>
        <v/>
      </c>
      <c r="K204" s="246">
        <f>IF($B204="","",ROUND(SUMIFS(Закрытые!$N$5:$N$300,Закрытые!$E$5:$E$300,$B204,Закрытые!$B$5:$B$300,"T-*"),8))</f>
        <v/>
      </c>
      <c r="L204" s="183">
        <f>IF(K204="","",IF(SUMPRODUCT((Закрытые!$E$5:$E$300=$B204)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204/SUMPRODUCT((Закрытые!$E$5:$E$300=$B204)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4" s="183">
        <f>IF(OR(ROUND(N(C204)-N(F204),8)=0,1-N(Ввод!$E$17)/100&lt;=0),"",IF(N(C204)&gt;N(F204),(N(E204)-N(H204))/((N(C204)-N(F204))*(1-N(Ввод!$E$17)/100)),(N(H204)-N(E204))/((N(F204)-N(C204))*(1+N(Ввод!$E$17)/100))))</f>
        <v/>
      </c>
    </row>
    <row r="205" ht="22" customHeight="1">
      <c r="B205" s="315" t="n"/>
      <c r="C205" s="240">
        <f>IF(SUMIFS(Торговля!$F$5:$F$300,Торговля!$E$5:$E$300,$B205)+SUMIFS(Закрытые!$F$5:$F$300,Закрытые!$E$5:$E$300,$B205,Закрытые!$B$5:$B$300,"T-*")=0,"",SUMIFS(Торговля!$F$5:$F$300,Торговля!$E$5:$E$300,$B205)+SUMIFS(Закрытые!$F$5:$F$300,Закрытые!$E$5:$E$300,$B205,Закрытые!$B$5:$B$300,"T-*"))</f>
        <v/>
      </c>
      <c r="D205" s="177">
        <f>IF(C205="","",(SUMPRODUCT((Торговля!$E$5:$E$300=$B205)*Торговля!$F$5:$F$300*Торговля!$G$5:$G$300)+SUMPRODUCT((Закрытые!$E$5:$E$300=$B205)*(LEFT(Закрытые!$B$5:$B$300,2)="T-")*Закрытые!$F$5:$F$300*Закрытые!$G$5:$G$300))/C205)</f>
        <v/>
      </c>
      <c r="E205" s="241">
        <f>IF(C205="","",SUMIFS(Торговля!$H$5:$H$300,Торговля!$E$5:$E$300,$B205)+SUMIFS(Закрытые!$H$5:$H$300,Закрытые!$E$5:$E$300,$B205,Закрытые!$B$5:$B$300,"T-*"))</f>
        <v/>
      </c>
      <c r="F205" s="240">
        <f>IF(SUMIFS(Торговля!$I$5:$I$300,Торговля!$E$5:$E$300,$B205)+SUMIFS(Закрытые!$I$5:$I$300,Закрытые!$E$5:$E$300,$B205,Закрытые!$B$5:$B$300,"T-*")=0,"",SUMIFS(Торговля!$I$5:$I$300,Торговля!$E$5:$E$300,$B205)+SUMIFS(Закрытые!$I$5:$I$300,Закрытые!$E$5:$E$300,$B205,Закрытые!$B$5:$B$300,"T-*"))</f>
        <v/>
      </c>
      <c r="G205" s="177">
        <f>IF(F205="","",(SUMPRODUCT((Торговля!$E$5:$E$300=$B205)*Торговля!$I$5:$I$300*Торговля!$J$5:$J$300)+SUMPRODUCT((Закрытые!$E$5:$E$300=$B205)*(LEFT(Закрытые!$B$5:$B$300,2)="T-")*Закрытые!$I$5:$I$300*Закрытые!$J$5:$J$300))/F205)</f>
        <v/>
      </c>
      <c r="H205" s="241">
        <f>IF(F205="","",SUMIFS(Торговля!$K$5:$K$300,Торговля!$E$5:$E$300,$B205)+SUMIFS(Закрытые!$K$5:$K$300,Закрытые!$E$5:$E$300,$B205,Закрытые!$B$5:$B$300,"T-*"))</f>
        <v/>
      </c>
      <c r="I205" s="240">
        <f>IF($B205="","",IF(COUNTIFS(Торговля!$E$5:$E$300,$B205)+COUNTIFS(Закрытые!$E$5:$E$300,$B205,Закрытые!$B$5:$B$300,"T-*")=0,"",ROUND(SUMIFS(Торговля!$L$5:$L$300,Торговля!$E$5:$E$300,$B205)+SUMIFS(Закрытые!$L$5:$L$300,Закрытые!$E$5:$E$300,$B205,Закрытые!$B$5:$B$300,"T-*"),8)))</f>
        <v/>
      </c>
      <c r="J205" s="241">
        <f>IF($B205="","",IF(COUNTIFS(Торговля!$E$5:$E$300,$B205)+COUNTIFS(Закрытые!$E$5:$E$300,$B205,Закрытые!$B$5:$B$300,"T-*")=0,"",ROUND(SUMIFS(Торговля!$M$5:$M$300,Торговля!$E$5:$E$300,$B205)+SUMIFS(Закрытые!$M$5:$M$300,Закрытые!$E$5:$E$300,$B205,Закрытые!$B$5:$B$300,"T-*"),8)))</f>
        <v/>
      </c>
      <c r="K205" s="240">
        <f>IF($B205="","",ROUND(SUMIFS(Закрытые!$N$5:$N$300,Закрытые!$E$5:$E$300,$B205,Закрытые!$B$5:$B$300,"T-*"),8))</f>
        <v/>
      </c>
      <c r="L205" s="177">
        <f>IF(K205="","",IF(SUMPRODUCT((Закрытые!$E$5:$E$300=$B205)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205/SUMPRODUCT((Закрытые!$E$5:$E$300=$B205)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5" s="177">
        <f>IF(OR(ROUND(N(C205)-N(F205),8)=0,1-N(Ввод!$E$17)/100&lt;=0),"",IF(N(C205)&gt;N(F205),(N(E205)-N(H205))/((N(C205)-N(F205))*(1-N(Ввод!$E$17)/100)),(N(H205)-N(E205))/((N(F205)-N(C205))*(1+N(Ввод!$E$17)/100))))</f>
        <v/>
      </c>
    </row>
    <row r="206" ht="22" customHeight="1">
      <c r="B206" s="320" t="n"/>
      <c r="C206" s="246">
        <f>IF(SUMIFS(Торговля!$F$5:$F$300,Торговля!$E$5:$E$300,$B206)+SUMIFS(Закрытые!$F$5:$F$300,Закрытые!$E$5:$E$300,$B206,Закрытые!$B$5:$B$300,"T-*")=0,"",SUMIFS(Торговля!$F$5:$F$300,Торговля!$E$5:$E$300,$B206)+SUMIFS(Закрытые!$F$5:$F$300,Закрытые!$E$5:$E$300,$B206,Закрытые!$B$5:$B$300,"T-*"))</f>
        <v/>
      </c>
      <c r="D206" s="183">
        <f>IF(C206="","",(SUMPRODUCT((Торговля!$E$5:$E$300=$B206)*Торговля!$F$5:$F$300*Торговля!$G$5:$G$300)+SUMPRODUCT((Закрытые!$E$5:$E$300=$B206)*(LEFT(Закрытые!$B$5:$B$300,2)="T-")*Закрытые!$F$5:$F$300*Закрытые!$G$5:$G$300))/C206)</f>
        <v/>
      </c>
      <c r="E206" s="247">
        <f>IF(C206="","",SUMIFS(Торговля!$H$5:$H$300,Торговля!$E$5:$E$300,$B206)+SUMIFS(Закрытые!$H$5:$H$300,Закрытые!$E$5:$E$300,$B206,Закрытые!$B$5:$B$300,"T-*"))</f>
        <v/>
      </c>
      <c r="F206" s="246">
        <f>IF(SUMIFS(Торговля!$I$5:$I$300,Торговля!$E$5:$E$300,$B206)+SUMIFS(Закрытые!$I$5:$I$300,Закрытые!$E$5:$E$300,$B206,Закрытые!$B$5:$B$300,"T-*")=0,"",SUMIFS(Торговля!$I$5:$I$300,Торговля!$E$5:$E$300,$B206)+SUMIFS(Закрытые!$I$5:$I$300,Закрытые!$E$5:$E$300,$B206,Закрытые!$B$5:$B$300,"T-*"))</f>
        <v/>
      </c>
      <c r="G206" s="183">
        <f>IF(F206="","",(SUMPRODUCT((Торговля!$E$5:$E$300=$B206)*Торговля!$I$5:$I$300*Торговля!$J$5:$J$300)+SUMPRODUCT((Закрытые!$E$5:$E$300=$B206)*(LEFT(Закрытые!$B$5:$B$300,2)="T-")*Закрытые!$I$5:$I$300*Закрытые!$J$5:$J$300))/F206)</f>
        <v/>
      </c>
      <c r="H206" s="247">
        <f>IF(F206="","",SUMIFS(Торговля!$K$5:$K$300,Торговля!$E$5:$E$300,$B206)+SUMIFS(Закрытые!$K$5:$K$300,Закрытые!$E$5:$E$300,$B206,Закрытые!$B$5:$B$300,"T-*"))</f>
        <v/>
      </c>
      <c r="I206" s="246">
        <f>IF($B206="","",IF(COUNTIFS(Торговля!$E$5:$E$300,$B206)+COUNTIFS(Закрытые!$E$5:$E$300,$B206,Закрытые!$B$5:$B$300,"T-*")=0,"",ROUND(SUMIFS(Торговля!$L$5:$L$300,Торговля!$E$5:$E$300,$B206)+SUMIFS(Закрытые!$L$5:$L$300,Закрытые!$E$5:$E$300,$B206,Закрытые!$B$5:$B$300,"T-*"),8)))</f>
        <v/>
      </c>
      <c r="J206" s="247">
        <f>IF($B206="","",IF(COUNTIFS(Торговля!$E$5:$E$300,$B206)+COUNTIFS(Закрытые!$E$5:$E$300,$B206,Закрытые!$B$5:$B$300,"T-*")=0,"",ROUND(SUMIFS(Торговля!$M$5:$M$300,Торговля!$E$5:$E$300,$B206)+SUMIFS(Закрытые!$M$5:$M$300,Закрытые!$E$5:$E$300,$B206,Закрытые!$B$5:$B$300,"T-*"),8)))</f>
        <v/>
      </c>
      <c r="K206" s="246">
        <f>IF($B206="","",ROUND(SUMIFS(Закрытые!$N$5:$N$300,Закрытые!$E$5:$E$300,$B206,Закрытые!$B$5:$B$300,"T-*"),8))</f>
        <v/>
      </c>
      <c r="L206" s="183">
        <f>IF(K206="","",IF(SUMPRODUCT((Закрытые!$E$5:$E$300=$B206)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206/SUMPRODUCT((Закрытые!$E$5:$E$300=$B206)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6" s="183">
        <f>IF(OR(ROUND(N(C206)-N(F206),8)=0,1-N(Ввод!$E$17)/100&lt;=0),"",IF(N(C206)&gt;N(F206),(N(E206)-N(H206))/((N(C206)-N(F206))*(1-N(Ввод!$E$17)/100)),(N(H206)-N(E206))/((N(F206)-N(C206))*(1+N(Ввод!$E$17)/100))))</f>
        <v/>
      </c>
    </row>
    <row r="207" ht="22" customHeight="1">
      <c r="B207" s="315" t="n"/>
      <c r="C207" s="240">
        <f>IF(SUMIFS(Торговля!$F$5:$F$300,Торговля!$E$5:$E$300,$B207)+SUMIFS(Закрытые!$F$5:$F$300,Закрытые!$E$5:$E$300,$B207,Закрытые!$B$5:$B$300,"T-*")=0,"",SUMIFS(Торговля!$F$5:$F$300,Торговля!$E$5:$E$300,$B207)+SUMIFS(Закрытые!$F$5:$F$300,Закрытые!$E$5:$E$300,$B207,Закрытые!$B$5:$B$300,"T-*"))</f>
        <v/>
      </c>
      <c r="D207" s="177">
        <f>IF(C207="","",(SUMPRODUCT((Торговля!$E$5:$E$300=$B207)*Торговля!$F$5:$F$300*Торговля!$G$5:$G$300)+SUMPRODUCT((Закрытые!$E$5:$E$300=$B207)*(LEFT(Закрытые!$B$5:$B$300,2)="T-")*Закрытые!$F$5:$F$300*Закрытые!$G$5:$G$300))/C207)</f>
        <v/>
      </c>
      <c r="E207" s="241">
        <f>IF(C207="","",SUMIFS(Торговля!$H$5:$H$300,Торговля!$E$5:$E$300,$B207)+SUMIFS(Закрытые!$H$5:$H$300,Закрытые!$E$5:$E$300,$B207,Закрытые!$B$5:$B$300,"T-*"))</f>
        <v/>
      </c>
      <c r="F207" s="240">
        <f>IF(SUMIFS(Торговля!$I$5:$I$300,Торговля!$E$5:$E$300,$B207)+SUMIFS(Закрытые!$I$5:$I$300,Закрытые!$E$5:$E$300,$B207,Закрытые!$B$5:$B$300,"T-*")=0,"",SUMIFS(Торговля!$I$5:$I$300,Торговля!$E$5:$E$300,$B207)+SUMIFS(Закрытые!$I$5:$I$300,Закрытые!$E$5:$E$300,$B207,Закрытые!$B$5:$B$300,"T-*"))</f>
        <v/>
      </c>
      <c r="G207" s="177">
        <f>IF(F207="","",(SUMPRODUCT((Торговля!$E$5:$E$300=$B207)*Торговля!$I$5:$I$300*Торговля!$J$5:$J$300)+SUMPRODUCT((Закрытые!$E$5:$E$300=$B207)*(LEFT(Закрытые!$B$5:$B$300,2)="T-")*Закрытые!$I$5:$I$300*Закрытые!$J$5:$J$300))/F207)</f>
        <v/>
      </c>
      <c r="H207" s="241">
        <f>IF(F207="","",SUMIFS(Торговля!$K$5:$K$300,Торговля!$E$5:$E$300,$B207)+SUMIFS(Закрытые!$K$5:$K$300,Закрытые!$E$5:$E$300,$B207,Закрытые!$B$5:$B$300,"T-*"))</f>
        <v/>
      </c>
      <c r="I207" s="240">
        <f>IF($B207="","",IF(COUNTIFS(Торговля!$E$5:$E$300,$B207)+COUNTIFS(Закрытые!$E$5:$E$300,$B207,Закрытые!$B$5:$B$300,"T-*")=0,"",ROUND(SUMIFS(Торговля!$L$5:$L$300,Торговля!$E$5:$E$300,$B207)+SUMIFS(Закрытые!$L$5:$L$300,Закрытые!$E$5:$E$300,$B207,Закрытые!$B$5:$B$300,"T-*"),8)))</f>
        <v/>
      </c>
      <c r="J207" s="241">
        <f>IF($B207="","",IF(COUNTIFS(Торговля!$E$5:$E$300,$B207)+COUNTIFS(Закрытые!$E$5:$E$300,$B207,Закрытые!$B$5:$B$300,"T-*")=0,"",ROUND(SUMIFS(Торговля!$M$5:$M$300,Торговля!$E$5:$E$300,$B207)+SUMIFS(Закрытые!$M$5:$M$300,Закрытые!$E$5:$E$300,$B207,Закрытые!$B$5:$B$300,"T-*"),8)))</f>
        <v/>
      </c>
      <c r="K207" s="240">
        <f>IF($B207="","",ROUND(SUMIFS(Закрытые!$N$5:$N$300,Закрытые!$E$5:$E$300,$B207,Закрытые!$B$5:$B$300,"T-*"),8))</f>
        <v/>
      </c>
      <c r="L207" s="177">
        <f>IF(K207="","",IF(SUMPRODUCT((Закрытые!$E$5:$E$300=$B207)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207/SUMPRODUCT((Закрытые!$E$5:$E$300=$B207)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7" s="177">
        <f>IF(OR(ROUND(N(C207)-N(F207),8)=0,1-N(Ввод!$E$17)/100&lt;=0),"",IF(N(C207)&gt;N(F207),(N(E207)-N(H207))/((N(C207)-N(F207))*(1-N(Ввод!$E$17)/100)),(N(H207)-N(E207))/((N(F207)-N(C207))*(1+N(Ввод!$E$17)/100))))</f>
        <v/>
      </c>
    </row>
    <row r="208" ht="22" customHeight="1">
      <c r="B208" s="320" t="n"/>
      <c r="C208" s="246">
        <f>IF(SUMIFS(Торговля!$F$5:$F$300,Торговля!$E$5:$E$300,$B208)+SUMIFS(Закрытые!$F$5:$F$300,Закрытые!$E$5:$E$300,$B208,Закрытые!$B$5:$B$300,"T-*")=0,"",SUMIFS(Торговля!$F$5:$F$300,Торговля!$E$5:$E$300,$B208)+SUMIFS(Закрытые!$F$5:$F$300,Закрытые!$E$5:$E$300,$B208,Закрытые!$B$5:$B$300,"T-*"))</f>
        <v/>
      </c>
      <c r="D208" s="183">
        <f>IF(C208="","",(SUMPRODUCT((Торговля!$E$5:$E$300=$B208)*Торговля!$F$5:$F$300*Торговля!$G$5:$G$300)+SUMPRODUCT((Закрытые!$E$5:$E$300=$B208)*(LEFT(Закрытые!$B$5:$B$300,2)="T-")*Закрытые!$F$5:$F$300*Закрытые!$G$5:$G$300))/C208)</f>
        <v/>
      </c>
      <c r="E208" s="247">
        <f>IF(C208="","",SUMIFS(Торговля!$H$5:$H$300,Торговля!$E$5:$E$300,$B208)+SUMIFS(Закрытые!$H$5:$H$300,Закрытые!$E$5:$E$300,$B208,Закрытые!$B$5:$B$300,"T-*"))</f>
        <v/>
      </c>
      <c r="F208" s="246">
        <f>IF(SUMIFS(Торговля!$I$5:$I$300,Торговля!$E$5:$E$300,$B208)+SUMIFS(Закрытые!$I$5:$I$300,Закрытые!$E$5:$E$300,$B208,Закрытые!$B$5:$B$300,"T-*")=0,"",SUMIFS(Торговля!$I$5:$I$300,Торговля!$E$5:$E$300,$B208)+SUMIFS(Закрытые!$I$5:$I$300,Закрытые!$E$5:$E$300,$B208,Закрытые!$B$5:$B$300,"T-*"))</f>
        <v/>
      </c>
      <c r="G208" s="183">
        <f>IF(F208="","",(SUMPRODUCT((Торговля!$E$5:$E$300=$B208)*Торговля!$I$5:$I$300*Торговля!$J$5:$J$300)+SUMPRODUCT((Закрытые!$E$5:$E$300=$B208)*(LEFT(Закрытые!$B$5:$B$300,2)="T-")*Закрытые!$I$5:$I$300*Закрытые!$J$5:$J$300))/F208)</f>
        <v/>
      </c>
      <c r="H208" s="247">
        <f>IF(F208="","",SUMIFS(Торговля!$K$5:$K$300,Торговля!$E$5:$E$300,$B208)+SUMIFS(Закрытые!$K$5:$K$300,Закрытые!$E$5:$E$300,$B208,Закрытые!$B$5:$B$300,"T-*"))</f>
        <v/>
      </c>
      <c r="I208" s="246">
        <f>IF($B208="","",IF(COUNTIFS(Торговля!$E$5:$E$300,$B208)+COUNTIFS(Закрытые!$E$5:$E$300,$B208,Закрытые!$B$5:$B$300,"T-*")=0,"",ROUND(SUMIFS(Торговля!$L$5:$L$300,Торговля!$E$5:$E$300,$B208)+SUMIFS(Закрытые!$L$5:$L$300,Закрытые!$E$5:$E$300,$B208,Закрытые!$B$5:$B$300,"T-*"),8)))</f>
        <v/>
      </c>
      <c r="J208" s="247">
        <f>IF($B208="","",IF(COUNTIFS(Торговля!$E$5:$E$300,$B208)+COUNTIFS(Закрытые!$E$5:$E$300,$B208,Закрытые!$B$5:$B$300,"T-*")=0,"",ROUND(SUMIFS(Торговля!$M$5:$M$300,Торговля!$E$5:$E$300,$B208)+SUMIFS(Закрытые!$M$5:$M$300,Закрытые!$E$5:$E$300,$B208,Закрытые!$B$5:$B$300,"T-*"),8)))</f>
        <v/>
      </c>
      <c r="K208" s="246">
        <f>IF($B208="","",ROUND(SUMIFS(Закрытые!$N$5:$N$300,Закрытые!$E$5:$E$300,$B208,Закрытые!$B$5:$B$300,"T-*"),8))</f>
        <v/>
      </c>
      <c r="L208" s="183">
        <f>IF(K208="","",IF(SUMPRODUCT((Закрытые!$E$5:$E$300=$B208)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208/SUMPRODUCT((Закрытые!$E$5:$E$300=$B208)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8" s="183">
        <f>IF(OR(ROUND(N(C208)-N(F208),8)=0,1-N(Ввод!$E$17)/100&lt;=0),"",IF(N(C208)&gt;N(F208),(N(E208)-N(H208))/((N(C208)-N(F208))*(1-N(Ввод!$E$17)/100)),(N(H208)-N(E208))/((N(F208)-N(C208))*(1+N(Ввод!$E$17)/100))))</f>
        <v/>
      </c>
    </row>
    <row r="209" ht="22" customHeight="1">
      <c r="B209" s="315" t="n"/>
      <c r="C209" s="240">
        <f>IF(SUMIFS(Торговля!$F$5:$F$300,Торговля!$E$5:$E$300,$B209)+SUMIFS(Закрытые!$F$5:$F$300,Закрытые!$E$5:$E$300,$B209,Закрытые!$B$5:$B$300,"T-*")=0,"",SUMIFS(Торговля!$F$5:$F$300,Торговля!$E$5:$E$300,$B209)+SUMIFS(Закрытые!$F$5:$F$300,Закрытые!$E$5:$E$300,$B209,Закрытые!$B$5:$B$300,"T-*"))</f>
        <v/>
      </c>
      <c r="D209" s="177">
        <f>IF(C209="","",(SUMPRODUCT((Торговля!$E$5:$E$300=$B209)*Торговля!$F$5:$F$300*Торговля!$G$5:$G$300)+SUMPRODUCT((Закрытые!$E$5:$E$300=$B209)*(LEFT(Закрытые!$B$5:$B$300,2)="T-")*Закрытые!$F$5:$F$300*Закрытые!$G$5:$G$300))/C209)</f>
        <v/>
      </c>
      <c r="E209" s="241">
        <f>IF(C209="","",SUMIFS(Торговля!$H$5:$H$300,Торговля!$E$5:$E$300,$B209)+SUMIFS(Закрытые!$H$5:$H$300,Закрытые!$E$5:$E$300,$B209,Закрытые!$B$5:$B$300,"T-*"))</f>
        <v/>
      </c>
      <c r="F209" s="240">
        <f>IF(SUMIFS(Торговля!$I$5:$I$300,Торговля!$E$5:$E$300,$B209)+SUMIFS(Закрытые!$I$5:$I$300,Закрытые!$E$5:$E$300,$B209,Закрытые!$B$5:$B$300,"T-*")=0,"",SUMIFS(Торговля!$I$5:$I$300,Торговля!$E$5:$E$300,$B209)+SUMIFS(Закрытые!$I$5:$I$300,Закрытые!$E$5:$E$300,$B209,Закрытые!$B$5:$B$300,"T-*"))</f>
        <v/>
      </c>
      <c r="G209" s="177">
        <f>IF(F209="","",(SUMPRODUCT((Торговля!$E$5:$E$300=$B209)*Торговля!$I$5:$I$300*Торговля!$J$5:$J$300)+SUMPRODUCT((Закрытые!$E$5:$E$300=$B209)*(LEFT(Закрытые!$B$5:$B$300,2)="T-")*Закрытые!$I$5:$I$300*Закрытые!$J$5:$J$300))/F209)</f>
        <v/>
      </c>
      <c r="H209" s="241">
        <f>IF(F209="","",SUMIFS(Торговля!$K$5:$K$300,Торговля!$E$5:$E$300,$B209)+SUMIFS(Закрытые!$K$5:$K$300,Закрытые!$E$5:$E$300,$B209,Закрытые!$B$5:$B$300,"T-*"))</f>
        <v/>
      </c>
      <c r="I209" s="240">
        <f>IF($B209="","",IF(COUNTIFS(Торговля!$E$5:$E$300,$B209)+COUNTIFS(Закрытые!$E$5:$E$300,$B209,Закрытые!$B$5:$B$300,"T-*")=0,"",ROUND(SUMIFS(Торговля!$L$5:$L$300,Торговля!$E$5:$E$300,$B209)+SUMIFS(Закрытые!$L$5:$L$300,Закрытые!$E$5:$E$300,$B209,Закрытые!$B$5:$B$300,"T-*"),8)))</f>
        <v/>
      </c>
      <c r="J209" s="241">
        <f>IF($B209="","",IF(COUNTIFS(Торговля!$E$5:$E$300,$B209)+COUNTIFS(Закрытые!$E$5:$E$300,$B209,Закрытые!$B$5:$B$300,"T-*")=0,"",ROUND(SUMIFS(Торговля!$M$5:$M$300,Торговля!$E$5:$E$300,$B209)+SUMIFS(Закрытые!$M$5:$M$300,Закрытые!$E$5:$E$300,$B209,Закрытые!$B$5:$B$300,"T-*"),8)))</f>
        <v/>
      </c>
      <c r="K209" s="240">
        <f>IF($B209="","",ROUND(SUMIFS(Закрытые!$N$5:$N$300,Закрытые!$E$5:$E$300,$B209,Закрытые!$B$5:$B$300,"T-*"),8))</f>
        <v/>
      </c>
      <c r="L209" s="177">
        <f>IF(K209="","",IF(SUMPRODUCT((Закрытые!$E$5:$E$300=$B209)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209/SUMPRODUCT((Закрытые!$E$5:$E$300=$B209)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9" s="177">
        <f>IF(OR(ROUND(N(C209)-N(F209),8)=0,1-N(Ввод!$E$17)/100&lt;=0),"",IF(N(C209)&gt;N(F209),(N(E209)-N(H209))/((N(C209)-N(F209))*(1-N(Ввод!$E$17)/100)),(N(H209)-N(E209))/((N(F209)-N(C209))*(1+N(Ввод!$E$17)/100))))</f>
        <v/>
      </c>
    </row>
    <row r="210" ht="22" customHeight="1">
      <c r="B210" s="320" t="n"/>
      <c r="C210" s="246">
        <f>IF(SUMIFS(Торговля!$F$5:$F$300,Торговля!$E$5:$E$300,$B210)+SUMIFS(Закрытые!$F$5:$F$300,Закрытые!$E$5:$E$300,$B210,Закрытые!$B$5:$B$300,"T-*")=0,"",SUMIFS(Торговля!$F$5:$F$300,Торговля!$E$5:$E$300,$B210)+SUMIFS(Закрытые!$F$5:$F$300,Закрытые!$E$5:$E$300,$B210,Закрытые!$B$5:$B$300,"T-*"))</f>
        <v/>
      </c>
      <c r="D210" s="183">
        <f>IF(C210="","",(SUMPRODUCT((Торговля!$E$5:$E$300=$B210)*Торговля!$F$5:$F$300*Торговля!$G$5:$G$300)+SUMPRODUCT((Закрытые!$E$5:$E$300=$B210)*(LEFT(Закрытые!$B$5:$B$300,2)="T-")*Закрытые!$F$5:$F$300*Закрытые!$G$5:$G$300))/C210)</f>
        <v/>
      </c>
      <c r="E210" s="247">
        <f>IF(C210="","",SUMIFS(Торговля!$H$5:$H$300,Торговля!$E$5:$E$300,$B210)+SUMIFS(Закрытые!$H$5:$H$300,Закрытые!$E$5:$E$300,$B210,Закрытые!$B$5:$B$300,"T-*"))</f>
        <v/>
      </c>
      <c r="F210" s="246">
        <f>IF(SUMIFS(Торговля!$I$5:$I$300,Торговля!$E$5:$E$300,$B210)+SUMIFS(Закрытые!$I$5:$I$300,Закрытые!$E$5:$E$300,$B210,Закрытые!$B$5:$B$300,"T-*")=0,"",SUMIFS(Торговля!$I$5:$I$300,Торговля!$E$5:$E$300,$B210)+SUMIFS(Закрытые!$I$5:$I$300,Закрытые!$E$5:$E$300,$B210,Закрытые!$B$5:$B$300,"T-*"))</f>
        <v/>
      </c>
      <c r="G210" s="183">
        <f>IF(F210="","",(SUMPRODUCT((Торговля!$E$5:$E$300=$B210)*Торговля!$I$5:$I$300*Торговля!$J$5:$J$300)+SUMPRODUCT((Закрытые!$E$5:$E$300=$B210)*(LEFT(Закрытые!$B$5:$B$300,2)="T-")*Закрытые!$I$5:$I$300*Закрытые!$J$5:$J$300))/F210)</f>
        <v/>
      </c>
      <c r="H210" s="247">
        <f>IF(F210="","",SUMIFS(Торговля!$K$5:$K$300,Торговля!$E$5:$E$300,$B210)+SUMIFS(Закрытые!$K$5:$K$300,Закрытые!$E$5:$E$300,$B210,Закрытые!$B$5:$B$300,"T-*"))</f>
        <v/>
      </c>
      <c r="I210" s="246">
        <f>IF($B210="","",IF(COUNTIFS(Торговля!$E$5:$E$300,$B210)+COUNTIFS(Закрытые!$E$5:$E$300,$B210,Закрытые!$B$5:$B$300,"T-*")=0,"",ROUND(SUMIFS(Торговля!$L$5:$L$300,Торговля!$E$5:$E$300,$B210)+SUMIFS(Закрытые!$L$5:$L$300,Закрытые!$E$5:$E$300,$B210,Закрытые!$B$5:$B$300,"T-*"),8)))</f>
        <v/>
      </c>
      <c r="J210" s="247">
        <f>IF($B210="","",IF(COUNTIFS(Торговля!$E$5:$E$300,$B210)+COUNTIFS(Закрытые!$E$5:$E$300,$B210,Закрытые!$B$5:$B$300,"T-*")=0,"",ROUND(SUMIFS(Торговля!$M$5:$M$300,Торговля!$E$5:$E$300,$B210)+SUMIFS(Закрытые!$M$5:$M$300,Закрытые!$E$5:$E$300,$B210,Закрытые!$B$5:$B$300,"T-*"),8)))</f>
        <v/>
      </c>
      <c r="K210" s="246">
        <f>IF($B210="","",ROUND(SUMIFS(Закрытые!$N$5:$N$300,Закрытые!$E$5:$E$300,$B210,Закрытые!$B$5:$B$300,"T-*"),8))</f>
        <v/>
      </c>
      <c r="L210" s="183">
        <f>IF(K210="","",IF(SUMPRODUCT((Закрытые!$E$5:$E$300=$B210)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210/SUMPRODUCT((Закрытые!$E$5:$E$300=$B210)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0" s="183">
        <f>IF(OR(ROUND(N(C210)-N(F210),8)=0,1-N(Ввод!$E$17)/100&lt;=0),"",IF(N(C210)&gt;N(F210),(N(E210)-N(H210))/((N(C210)-N(F210))*(1-N(Ввод!$E$17)/100)),(N(H210)-N(E210))/((N(F210)-N(C210))*(1+N(Ввод!$E$17)/100))))</f>
        <v/>
      </c>
    </row>
    <row r="211" ht="22" customHeight="1">
      <c r="B211" s="315" t="n"/>
      <c r="C211" s="240">
        <f>IF(SUMIFS(Торговля!$F$5:$F$300,Торговля!$E$5:$E$300,$B211)+SUMIFS(Закрытые!$F$5:$F$300,Закрытые!$E$5:$E$300,$B211,Закрытые!$B$5:$B$300,"T-*")=0,"",SUMIFS(Торговля!$F$5:$F$300,Торговля!$E$5:$E$300,$B211)+SUMIFS(Закрытые!$F$5:$F$300,Закрытые!$E$5:$E$300,$B211,Закрытые!$B$5:$B$300,"T-*"))</f>
        <v/>
      </c>
      <c r="D211" s="177">
        <f>IF(C211="","",(SUMPRODUCT((Торговля!$E$5:$E$300=$B211)*Торговля!$F$5:$F$300*Торговля!$G$5:$G$300)+SUMPRODUCT((Закрытые!$E$5:$E$300=$B211)*(LEFT(Закрытые!$B$5:$B$300,2)="T-")*Закрытые!$F$5:$F$300*Закрытые!$G$5:$G$300))/C211)</f>
        <v/>
      </c>
      <c r="E211" s="241">
        <f>IF(C211="","",SUMIFS(Торговля!$H$5:$H$300,Торговля!$E$5:$E$300,$B211)+SUMIFS(Закрытые!$H$5:$H$300,Закрытые!$E$5:$E$300,$B211,Закрытые!$B$5:$B$300,"T-*"))</f>
        <v/>
      </c>
      <c r="F211" s="240">
        <f>IF(SUMIFS(Торговля!$I$5:$I$300,Торговля!$E$5:$E$300,$B211)+SUMIFS(Закрытые!$I$5:$I$300,Закрытые!$E$5:$E$300,$B211,Закрытые!$B$5:$B$300,"T-*")=0,"",SUMIFS(Торговля!$I$5:$I$300,Торговля!$E$5:$E$300,$B211)+SUMIFS(Закрытые!$I$5:$I$300,Закрытые!$E$5:$E$300,$B211,Закрытые!$B$5:$B$300,"T-*"))</f>
        <v/>
      </c>
      <c r="G211" s="177">
        <f>IF(F211="","",(SUMPRODUCT((Торговля!$E$5:$E$300=$B211)*Торговля!$I$5:$I$300*Торговля!$J$5:$J$300)+SUMPRODUCT((Закрытые!$E$5:$E$300=$B211)*(LEFT(Закрытые!$B$5:$B$300,2)="T-")*Закрытые!$I$5:$I$300*Закрытые!$J$5:$J$300))/F211)</f>
        <v/>
      </c>
      <c r="H211" s="241">
        <f>IF(F211="","",SUMIFS(Торговля!$K$5:$K$300,Торговля!$E$5:$E$300,$B211)+SUMIFS(Закрытые!$K$5:$K$300,Закрытые!$E$5:$E$300,$B211,Закрытые!$B$5:$B$300,"T-*"))</f>
        <v/>
      </c>
      <c r="I211" s="240">
        <f>IF($B211="","",IF(COUNTIFS(Торговля!$E$5:$E$300,$B211)+COUNTIFS(Закрытые!$E$5:$E$300,$B211,Закрытые!$B$5:$B$300,"T-*")=0,"",ROUND(SUMIFS(Торговля!$L$5:$L$300,Торговля!$E$5:$E$300,$B211)+SUMIFS(Закрытые!$L$5:$L$300,Закрытые!$E$5:$E$300,$B211,Закрытые!$B$5:$B$300,"T-*"),8)))</f>
        <v/>
      </c>
      <c r="J211" s="241">
        <f>IF($B211="","",IF(COUNTIFS(Торговля!$E$5:$E$300,$B211)+COUNTIFS(Закрытые!$E$5:$E$300,$B211,Закрытые!$B$5:$B$300,"T-*")=0,"",ROUND(SUMIFS(Торговля!$M$5:$M$300,Торговля!$E$5:$E$300,$B211)+SUMIFS(Закрытые!$M$5:$M$300,Закрытые!$E$5:$E$300,$B211,Закрытые!$B$5:$B$300,"T-*"),8)))</f>
        <v/>
      </c>
      <c r="K211" s="240">
        <f>IF($B211="","",ROUND(SUMIFS(Закрытые!$N$5:$N$300,Закрытые!$E$5:$E$300,$B211,Закрытые!$B$5:$B$300,"T-*"),8))</f>
        <v/>
      </c>
      <c r="L211" s="177">
        <f>IF(K211="","",IF(SUMPRODUCT((Закрытые!$E$5:$E$300=$B211)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211/SUMPRODUCT((Закрытые!$E$5:$E$300=$B211)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1" s="177">
        <f>IF(OR(ROUND(N(C211)-N(F211),8)=0,1-N(Ввод!$E$17)/100&lt;=0),"",IF(N(C211)&gt;N(F211),(N(E211)-N(H211))/((N(C211)-N(F211))*(1-N(Ввод!$E$17)/100)),(N(H211)-N(E211))/((N(F211)-N(C211))*(1+N(Ввод!$E$17)/100))))</f>
        <v/>
      </c>
    </row>
    <row r="212" ht="22" customHeight="1">
      <c r="B212" s="320" t="n"/>
      <c r="C212" s="246">
        <f>IF(SUMIFS(Торговля!$F$5:$F$300,Торговля!$E$5:$E$300,$B212)+SUMIFS(Закрытые!$F$5:$F$300,Закрытые!$E$5:$E$300,$B212,Закрытые!$B$5:$B$300,"T-*")=0,"",SUMIFS(Торговля!$F$5:$F$300,Торговля!$E$5:$E$300,$B212)+SUMIFS(Закрытые!$F$5:$F$300,Закрытые!$E$5:$E$300,$B212,Закрытые!$B$5:$B$300,"T-*"))</f>
        <v/>
      </c>
      <c r="D212" s="183">
        <f>IF(C212="","",(SUMPRODUCT((Торговля!$E$5:$E$300=$B212)*Торговля!$F$5:$F$300*Торговля!$G$5:$G$300)+SUMPRODUCT((Закрытые!$E$5:$E$300=$B212)*(LEFT(Закрытые!$B$5:$B$300,2)="T-")*Закрытые!$F$5:$F$300*Закрытые!$G$5:$G$300))/C212)</f>
        <v/>
      </c>
      <c r="E212" s="247">
        <f>IF(C212="","",SUMIFS(Торговля!$H$5:$H$300,Торговля!$E$5:$E$300,$B212)+SUMIFS(Закрытые!$H$5:$H$300,Закрытые!$E$5:$E$300,$B212,Закрытые!$B$5:$B$300,"T-*"))</f>
        <v/>
      </c>
      <c r="F212" s="246">
        <f>IF(SUMIFS(Торговля!$I$5:$I$300,Торговля!$E$5:$E$300,$B212)+SUMIFS(Закрытые!$I$5:$I$300,Закрытые!$E$5:$E$300,$B212,Закрытые!$B$5:$B$300,"T-*")=0,"",SUMIFS(Торговля!$I$5:$I$300,Торговля!$E$5:$E$300,$B212)+SUMIFS(Закрытые!$I$5:$I$300,Закрытые!$E$5:$E$300,$B212,Закрытые!$B$5:$B$300,"T-*"))</f>
        <v/>
      </c>
      <c r="G212" s="183">
        <f>IF(F212="","",(SUMPRODUCT((Торговля!$E$5:$E$300=$B212)*Торговля!$I$5:$I$300*Торговля!$J$5:$J$300)+SUMPRODUCT((Закрытые!$E$5:$E$300=$B212)*(LEFT(Закрытые!$B$5:$B$300,2)="T-")*Закрытые!$I$5:$I$300*Закрытые!$J$5:$J$300))/F212)</f>
        <v/>
      </c>
      <c r="H212" s="247">
        <f>IF(F212="","",SUMIFS(Торговля!$K$5:$K$300,Торговля!$E$5:$E$300,$B212)+SUMIFS(Закрытые!$K$5:$K$300,Закрытые!$E$5:$E$300,$B212,Закрытые!$B$5:$B$300,"T-*"))</f>
        <v/>
      </c>
      <c r="I212" s="246">
        <f>IF($B212="","",IF(COUNTIFS(Торговля!$E$5:$E$300,$B212)+COUNTIFS(Закрытые!$E$5:$E$300,$B212,Закрытые!$B$5:$B$300,"T-*")=0,"",ROUND(SUMIFS(Торговля!$L$5:$L$300,Торговля!$E$5:$E$300,$B212)+SUMIFS(Закрытые!$L$5:$L$300,Закрытые!$E$5:$E$300,$B212,Закрытые!$B$5:$B$300,"T-*"),8)))</f>
        <v/>
      </c>
      <c r="J212" s="247">
        <f>IF($B212="","",IF(COUNTIFS(Торговля!$E$5:$E$300,$B212)+COUNTIFS(Закрытые!$E$5:$E$300,$B212,Закрытые!$B$5:$B$300,"T-*")=0,"",ROUND(SUMIFS(Торговля!$M$5:$M$300,Торговля!$E$5:$E$300,$B212)+SUMIFS(Закрытые!$M$5:$M$300,Закрытые!$E$5:$E$300,$B212,Закрытые!$B$5:$B$300,"T-*"),8)))</f>
        <v/>
      </c>
      <c r="K212" s="246">
        <f>IF($B212="","",ROUND(SUMIFS(Закрытые!$N$5:$N$300,Закрытые!$E$5:$E$300,$B212,Закрытые!$B$5:$B$300,"T-*"),8))</f>
        <v/>
      </c>
      <c r="L212" s="183">
        <f>IF(K212="","",IF(SUMPRODUCT((Закрытые!$E$5:$E$300=$B212)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212/SUMPRODUCT((Закрытые!$E$5:$E$300=$B212)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2" s="183">
        <f>IF(OR(ROUND(N(C212)-N(F212),8)=0,1-N(Ввод!$E$17)/100&lt;=0),"",IF(N(C212)&gt;N(F212),(N(E212)-N(H212))/((N(C212)-N(F212))*(1-N(Ввод!$E$17)/100)),(N(H212)-N(E212))/((N(F212)-N(C212))*(1+N(Ввод!$E$17)/100))))</f>
        <v/>
      </c>
    </row>
    <row r="213" ht="22" customHeight="1">
      <c r="B213" s="315" t="n"/>
      <c r="C213" s="240">
        <f>IF(SUMIFS(Торговля!$F$5:$F$300,Торговля!$E$5:$E$300,$B213)+SUMIFS(Закрытые!$F$5:$F$300,Закрытые!$E$5:$E$300,$B213,Закрытые!$B$5:$B$300,"T-*")=0,"",SUMIFS(Торговля!$F$5:$F$300,Торговля!$E$5:$E$300,$B213)+SUMIFS(Закрытые!$F$5:$F$300,Закрытые!$E$5:$E$300,$B213,Закрытые!$B$5:$B$300,"T-*"))</f>
        <v/>
      </c>
      <c r="D213" s="177">
        <f>IF(C213="","",(SUMPRODUCT((Торговля!$E$5:$E$300=$B213)*Торговля!$F$5:$F$300*Торговля!$G$5:$G$300)+SUMPRODUCT((Закрытые!$E$5:$E$300=$B213)*(LEFT(Закрытые!$B$5:$B$300,2)="T-")*Закрытые!$F$5:$F$300*Закрытые!$G$5:$G$300))/C213)</f>
        <v/>
      </c>
      <c r="E213" s="241">
        <f>IF(C213="","",SUMIFS(Торговля!$H$5:$H$300,Торговля!$E$5:$E$300,$B213)+SUMIFS(Закрытые!$H$5:$H$300,Закрытые!$E$5:$E$300,$B213,Закрытые!$B$5:$B$300,"T-*"))</f>
        <v/>
      </c>
      <c r="F213" s="240">
        <f>IF(SUMIFS(Торговля!$I$5:$I$300,Торговля!$E$5:$E$300,$B213)+SUMIFS(Закрытые!$I$5:$I$300,Закрытые!$E$5:$E$300,$B213,Закрытые!$B$5:$B$300,"T-*")=0,"",SUMIFS(Торговля!$I$5:$I$300,Торговля!$E$5:$E$300,$B213)+SUMIFS(Закрытые!$I$5:$I$300,Закрытые!$E$5:$E$300,$B213,Закрытые!$B$5:$B$300,"T-*"))</f>
        <v/>
      </c>
      <c r="G213" s="177">
        <f>IF(F213="","",(SUMPRODUCT((Торговля!$E$5:$E$300=$B213)*Торговля!$I$5:$I$300*Торговля!$J$5:$J$300)+SUMPRODUCT((Закрытые!$E$5:$E$300=$B213)*(LEFT(Закрытые!$B$5:$B$300,2)="T-")*Закрытые!$I$5:$I$300*Закрытые!$J$5:$J$300))/F213)</f>
        <v/>
      </c>
      <c r="H213" s="241">
        <f>IF(F213="","",SUMIFS(Торговля!$K$5:$K$300,Торговля!$E$5:$E$300,$B213)+SUMIFS(Закрытые!$K$5:$K$300,Закрытые!$E$5:$E$300,$B213,Закрытые!$B$5:$B$300,"T-*"))</f>
        <v/>
      </c>
      <c r="I213" s="240">
        <f>IF($B213="","",IF(COUNTIFS(Торговля!$E$5:$E$300,$B213)+COUNTIFS(Закрытые!$E$5:$E$300,$B213,Закрытые!$B$5:$B$300,"T-*")=0,"",ROUND(SUMIFS(Торговля!$L$5:$L$300,Торговля!$E$5:$E$300,$B213)+SUMIFS(Закрытые!$L$5:$L$300,Закрытые!$E$5:$E$300,$B213,Закрытые!$B$5:$B$300,"T-*"),8)))</f>
        <v/>
      </c>
      <c r="J213" s="241">
        <f>IF($B213="","",IF(COUNTIFS(Торговля!$E$5:$E$300,$B213)+COUNTIFS(Закрытые!$E$5:$E$300,$B213,Закрытые!$B$5:$B$300,"T-*")=0,"",ROUND(SUMIFS(Торговля!$M$5:$M$300,Торговля!$E$5:$E$300,$B213)+SUMIFS(Закрытые!$M$5:$M$300,Закрытые!$E$5:$E$300,$B213,Закрытые!$B$5:$B$300,"T-*"),8)))</f>
        <v/>
      </c>
      <c r="K213" s="240">
        <f>IF($B213="","",ROUND(SUMIFS(Закрытые!$N$5:$N$300,Закрытые!$E$5:$E$300,$B213,Закрытые!$B$5:$B$300,"T-*"),8))</f>
        <v/>
      </c>
      <c r="L213" s="177">
        <f>IF(K213="","",IF(SUMPRODUCT((Закрытые!$E$5:$E$300=$B213)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213/SUMPRODUCT((Закрытые!$E$5:$E$300=$B213)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3" s="177">
        <f>IF(OR(ROUND(N(C213)-N(F213),8)=0,1-N(Ввод!$E$17)/100&lt;=0),"",IF(N(C213)&gt;N(F213),(N(E213)-N(H213))/((N(C213)-N(F213))*(1-N(Ввод!$E$17)/100)),(N(H213)-N(E213))/((N(F213)-N(C213))*(1+N(Ввод!$E$17)/100))))</f>
        <v/>
      </c>
    </row>
    <row r="214" ht="22" customHeight="1">
      <c r="B214" s="320" t="n"/>
      <c r="C214" s="246">
        <f>IF(SUMIFS(Торговля!$F$5:$F$300,Торговля!$E$5:$E$300,$B214)+SUMIFS(Закрытые!$F$5:$F$300,Закрытые!$E$5:$E$300,$B214,Закрытые!$B$5:$B$300,"T-*")=0,"",SUMIFS(Торговля!$F$5:$F$300,Торговля!$E$5:$E$300,$B214)+SUMIFS(Закрытые!$F$5:$F$300,Закрытые!$E$5:$E$300,$B214,Закрытые!$B$5:$B$300,"T-*"))</f>
        <v/>
      </c>
      <c r="D214" s="183">
        <f>IF(C214="","",(SUMPRODUCT((Торговля!$E$5:$E$300=$B214)*Торговля!$F$5:$F$300*Торговля!$G$5:$G$300)+SUMPRODUCT((Закрытые!$E$5:$E$300=$B214)*(LEFT(Закрытые!$B$5:$B$300,2)="T-")*Закрытые!$F$5:$F$300*Закрытые!$G$5:$G$300))/C214)</f>
        <v/>
      </c>
      <c r="E214" s="247">
        <f>IF(C214="","",SUMIFS(Торговля!$H$5:$H$300,Торговля!$E$5:$E$300,$B214)+SUMIFS(Закрытые!$H$5:$H$300,Закрытые!$E$5:$E$300,$B214,Закрытые!$B$5:$B$300,"T-*"))</f>
        <v/>
      </c>
      <c r="F214" s="246">
        <f>IF(SUMIFS(Торговля!$I$5:$I$300,Торговля!$E$5:$E$300,$B214)+SUMIFS(Закрытые!$I$5:$I$300,Закрытые!$E$5:$E$300,$B214,Закрытые!$B$5:$B$300,"T-*")=0,"",SUMIFS(Торговля!$I$5:$I$300,Торговля!$E$5:$E$300,$B214)+SUMIFS(Закрытые!$I$5:$I$300,Закрытые!$E$5:$E$300,$B214,Закрытые!$B$5:$B$300,"T-*"))</f>
        <v/>
      </c>
      <c r="G214" s="183">
        <f>IF(F214="","",(SUMPRODUCT((Торговля!$E$5:$E$300=$B214)*Торговля!$I$5:$I$300*Торговля!$J$5:$J$300)+SUMPRODUCT((Закрытые!$E$5:$E$300=$B214)*(LEFT(Закрытые!$B$5:$B$300,2)="T-")*Закрытые!$I$5:$I$300*Закрытые!$J$5:$J$300))/F214)</f>
        <v/>
      </c>
      <c r="H214" s="247">
        <f>IF(F214="","",SUMIFS(Торговля!$K$5:$K$300,Торговля!$E$5:$E$300,$B214)+SUMIFS(Закрытые!$K$5:$K$300,Закрытые!$E$5:$E$300,$B214,Закрытые!$B$5:$B$300,"T-*"))</f>
        <v/>
      </c>
      <c r="I214" s="246">
        <f>IF($B214="","",IF(COUNTIFS(Торговля!$E$5:$E$300,$B214)+COUNTIFS(Закрытые!$E$5:$E$300,$B214,Закрытые!$B$5:$B$300,"T-*")=0,"",ROUND(SUMIFS(Торговля!$L$5:$L$300,Торговля!$E$5:$E$300,$B214)+SUMIFS(Закрытые!$L$5:$L$300,Закрытые!$E$5:$E$300,$B214,Закрытые!$B$5:$B$300,"T-*"),8)))</f>
        <v/>
      </c>
      <c r="J214" s="247">
        <f>IF($B214="","",IF(COUNTIFS(Торговля!$E$5:$E$300,$B214)+COUNTIFS(Закрытые!$E$5:$E$300,$B214,Закрытые!$B$5:$B$300,"T-*")=0,"",ROUND(SUMIFS(Торговля!$M$5:$M$300,Торговля!$E$5:$E$300,$B214)+SUMIFS(Закрытые!$M$5:$M$300,Закрытые!$E$5:$E$300,$B214,Закрытые!$B$5:$B$300,"T-*"),8)))</f>
        <v/>
      </c>
      <c r="K214" s="246">
        <f>IF($B214="","",ROUND(SUMIFS(Закрытые!$N$5:$N$300,Закрытые!$E$5:$E$300,$B214,Закрытые!$B$5:$B$300,"T-*"),8))</f>
        <v/>
      </c>
      <c r="L214" s="183">
        <f>IF(K214="","",IF(SUMPRODUCT((Закрытые!$E$5:$E$300=$B214)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214/SUMPRODUCT((Закрытые!$E$5:$E$300=$B214)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4" s="183">
        <f>IF(OR(ROUND(N(C214)-N(F214),8)=0,1-N(Ввод!$E$17)/100&lt;=0),"",IF(N(C214)&gt;N(F214),(N(E214)-N(H214))/((N(C214)-N(F214))*(1-N(Ввод!$E$17)/100)),(N(H214)-N(E214))/((N(F214)-N(C214))*(1+N(Ввод!$E$17)/100))))</f>
        <v/>
      </c>
    </row>
    <row r="215" ht="22" customHeight="1">
      <c r="B215" s="315" t="n"/>
      <c r="C215" s="240">
        <f>IF(SUMIFS(Торговля!$F$5:$F$300,Торговля!$E$5:$E$300,$B215)+SUMIFS(Закрытые!$F$5:$F$300,Закрытые!$E$5:$E$300,$B215,Закрытые!$B$5:$B$300,"T-*")=0,"",SUMIFS(Торговля!$F$5:$F$300,Торговля!$E$5:$E$300,$B215)+SUMIFS(Закрытые!$F$5:$F$300,Закрытые!$E$5:$E$300,$B215,Закрытые!$B$5:$B$300,"T-*"))</f>
        <v/>
      </c>
      <c r="D215" s="177">
        <f>IF(C215="","",(SUMPRODUCT((Торговля!$E$5:$E$300=$B215)*Торговля!$F$5:$F$300*Торговля!$G$5:$G$300)+SUMPRODUCT((Закрытые!$E$5:$E$300=$B215)*(LEFT(Закрытые!$B$5:$B$300,2)="T-")*Закрытые!$F$5:$F$300*Закрытые!$G$5:$G$300))/C215)</f>
        <v/>
      </c>
      <c r="E215" s="241">
        <f>IF(C215="","",SUMIFS(Торговля!$H$5:$H$300,Торговля!$E$5:$E$300,$B215)+SUMIFS(Закрытые!$H$5:$H$300,Закрытые!$E$5:$E$300,$B215,Закрытые!$B$5:$B$300,"T-*"))</f>
        <v/>
      </c>
      <c r="F215" s="240">
        <f>IF(SUMIFS(Торговля!$I$5:$I$300,Торговля!$E$5:$E$300,$B215)+SUMIFS(Закрытые!$I$5:$I$300,Закрытые!$E$5:$E$300,$B215,Закрытые!$B$5:$B$300,"T-*")=0,"",SUMIFS(Торговля!$I$5:$I$300,Торговля!$E$5:$E$300,$B215)+SUMIFS(Закрытые!$I$5:$I$300,Закрытые!$E$5:$E$300,$B215,Закрытые!$B$5:$B$300,"T-*"))</f>
        <v/>
      </c>
      <c r="G215" s="177">
        <f>IF(F215="","",(SUMPRODUCT((Торговля!$E$5:$E$300=$B215)*Торговля!$I$5:$I$300*Торговля!$J$5:$J$300)+SUMPRODUCT((Закрытые!$E$5:$E$300=$B215)*(LEFT(Закрытые!$B$5:$B$300,2)="T-")*Закрытые!$I$5:$I$300*Закрытые!$J$5:$J$300))/F215)</f>
        <v/>
      </c>
      <c r="H215" s="241">
        <f>IF(F215="","",SUMIFS(Торговля!$K$5:$K$300,Торговля!$E$5:$E$300,$B215)+SUMIFS(Закрытые!$K$5:$K$300,Закрытые!$E$5:$E$300,$B215,Закрытые!$B$5:$B$300,"T-*"))</f>
        <v/>
      </c>
      <c r="I215" s="240">
        <f>IF($B215="","",IF(COUNTIFS(Торговля!$E$5:$E$300,$B215)+COUNTIFS(Закрытые!$E$5:$E$300,$B215,Закрытые!$B$5:$B$300,"T-*")=0,"",ROUND(SUMIFS(Торговля!$L$5:$L$300,Торговля!$E$5:$E$300,$B215)+SUMIFS(Закрытые!$L$5:$L$300,Закрытые!$E$5:$E$300,$B215,Закрытые!$B$5:$B$300,"T-*"),8)))</f>
        <v/>
      </c>
      <c r="J215" s="241">
        <f>IF($B215="","",IF(COUNTIFS(Торговля!$E$5:$E$300,$B215)+COUNTIFS(Закрытые!$E$5:$E$300,$B215,Закрытые!$B$5:$B$300,"T-*")=0,"",ROUND(SUMIFS(Торговля!$M$5:$M$300,Торговля!$E$5:$E$300,$B215)+SUMIFS(Закрытые!$M$5:$M$300,Закрытые!$E$5:$E$300,$B215,Закрытые!$B$5:$B$300,"T-*"),8)))</f>
        <v/>
      </c>
      <c r="K215" s="240">
        <f>IF($B215="","",ROUND(SUMIFS(Закрытые!$N$5:$N$300,Закрытые!$E$5:$E$300,$B215,Закрытые!$B$5:$B$300,"T-*"),8))</f>
        <v/>
      </c>
      <c r="L215" s="177">
        <f>IF(K215="","",IF(SUMPRODUCT((Закрытые!$E$5:$E$300=$B215)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215/SUMPRODUCT((Закрытые!$E$5:$E$300=$B215)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5" s="177">
        <f>IF(OR(ROUND(N(C215)-N(F215),8)=0,1-N(Ввод!$E$17)/100&lt;=0),"",IF(N(C215)&gt;N(F215),(N(E215)-N(H215))/((N(C215)-N(F215))*(1-N(Ввод!$E$17)/100)),(N(H215)-N(E215))/((N(F215)-N(C215))*(1+N(Ввод!$E$17)/100))))</f>
        <v/>
      </c>
    </row>
    <row r="216" ht="22" customHeight="1">
      <c r="B216" s="320" t="n"/>
      <c r="C216" s="246">
        <f>IF(SUMIFS(Торговля!$F$5:$F$300,Торговля!$E$5:$E$300,$B216)+SUMIFS(Закрытые!$F$5:$F$300,Закрытые!$E$5:$E$300,$B216,Закрытые!$B$5:$B$300,"T-*")=0,"",SUMIFS(Торговля!$F$5:$F$300,Торговля!$E$5:$E$300,$B216)+SUMIFS(Закрытые!$F$5:$F$300,Закрытые!$E$5:$E$300,$B216,Закрытые!$B$5:$B$300,"T-*"))</f>
        <v/>
      </c>
      <c r="D216" s="183">
        <f>IF(C216="","",(SUMPRODUCT((Торговля!$E$5:$E$300=$B216)*Торговля!$F$5:$F$300*Торговля!$G$5:$G$300)+SUMPRODUCT((Закрытые!$E$5:$E$300=$B216)*(LEFT(Закрытые!$B$5:$B$300,2)="T-")*Закрытые!$F$5:$F$300*Закрытые!$G$5:$G$300))/C216)</f>
        <v/>
      </c>
      <c r="E216" s="247">
        <f>IF(C216="","",SUMIFS(Торговля!$H$5:$H$300,Торговля!$E$5:$E$300,$B216)+SUMIFS(Закрытые!$H$5:$H$300,Закрытые!$E$5:$E$300,$B216,Закрытые!$B$5:$B$300,"T-*"))</f>
        <v/>
      </c>
      <c r="F216" s="246">
        <f>IF(SUMIFS(Торговля!$I$5:$I$300,Торговля!$E$5:$E$300,$B216)+SUMIFS(Закрытые!$I$5:$I$300,Закрытые!$E$5:$E$300,$B216,Закрытые!$B$5:$B$300,"T-*")=0,"",SUMIFS(Торговля!$I$5:$I$300,Торговля!$E$5:$E$300,$B216)+SUMIFS(Закрытые!$I$5:$I$300,Закрытые!$E$5:$E$300,$B216,Закрытые!$B$5:$B$300,"T-*"))</f>
        <v/>
      </c>
      <c r="G216" s="183">
        <f>IF(F216="","",(SUMPRODUCT((Торговля!$E$5:$E$300=$B216)*Торговля!$I$5:$I$300*Торговля!$J$5:$J$300)+SUMPRODUCT((Закрытые!$E$5:$E$300=$B216)*(LEFT(Закрытые!$B$5:$B$300,2)="T-")*Закрытые!$I$5:$I$300*Закрытые!$J$5:$J$300))/F216)</f>
        <v/>
      </c>
      <c r="H216" s="247">
        <f>IF(F216="","",SUMIFS(Торговля!$K$5:$K$300,Торговля!$E$5:$E$300,$B216)+SUMIFS(Закрытые!$K$5:$K$300,Закрытые!$E$5:$E$300,$B216,Закрытые!$B$5:$B$300,"T-*"))</f>
        <v/>
      </c>
      <c r="I216" s="246">
        <f>IF($B216="","",IF(COUNTIFS(Торговля!$E$5:$E$300,$B216)+COUNTIFS(Закрытые!$E$5:$E$300,$B216,Закрытые!$B$5:$B$300,"T-*")=0,"",ROUND(SUMIFS(Торговля!$L$5:$L$300,Торговля!$E$5:$E$300,$B216)+SUMIFS(Закрытые!$L$5:$L$300,Закрытые!$E$5:$E$300,$B216,Закрытые!$B$5:$B$300,"T-*"),8)))</f>
        <v/>
      </c>
      <c r="J216" s="247">
        <f>IF($B216="","",IF(COUNTIFS(Торговля!$E$5:$E$300,$B216)+COUNTIFS(Закрытые!$E$5:$E$300,$B216,Закрытые!$B$5:$B$300,"T-*")=0,"",ROUND(SUMIFS(Торговля!$M$5:$M$300,Торговля!$E$5:$E$300,$B216)+SUMIFS(Закрытые!$M$5:$M$300,Закрытые!$E$5:$E$300,$B216,Закрытые!$B$5:$B$300,"T-*"),8)))</f>
        <v/>
      </c>
      <c r="K216" s="246">
        <f>IF($B216="","",ROUND(SUMIFS(Закрытые!$N$5:$N$300,Закрытые!$E$5:$E$300,$B216,Закрытые!$B$5:$B$300,"T-*"),8))</f>
        <v/>
      </c>
      <c r="L216" s="183">
        <f>IF(K216="","",IF(SUMPRODUCT((Закрытые!$E$5:$E$300=$B216)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216/SUMPRODUCT((Закрытые!$E$5:$E$300=$B216)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6" s="183">
        <f>IF(OR(ROUND(N(C216)-N(F216),8)=0,1-N(Ввод!$E$17)/100&lt;=0),"",IF(N(C216)&gt;N(F216),(N(E216)-N(H216))/((N(C216)-N(F216))*(1-N(Ввод!$E$17)/100)),(N(H216)-N(E216))/((N(F216)-N(C216))*(1+N(Ввод!$E$17)/100))))</f>
        <v/>
      </c>
    </row>
    <row r="217" ht="22" customHeight="1">
      <c r="B217" s="315" t="n"/>
      <c r="C217" s="240">
        <f>IF(SUMIFS(Торговля!$F$5:$F$300,Торговля!$E$5:$E$300,$B217)+SUMIFS(Закрытые!$F$5:$F$300,Закрытые!$E$5:$E$300,$B217,Закрытые!$B$5:$B$300,"T-*")=0,"",SUMIFS(Торговля!$F$5:$F$300,Торговля!$E$5:$E$300,$B217)+SUMIFS(Закрытые!$F$5:$F$300,Закрытые!$E$5:$E$300,$B217,Закрытые!$B$5:$B$300,"T-*"))</f>
        <v/>
      </c>
      <c r="D217" s="177">
        <f>IF(C217="","",(SUMPRODUCT((Торговля!$E$5:$E$300=$B217)*Торговля!$F$5:$F$300*Торговля!$G$5:$G$300)+SUMPRODUCT((Закрытые!$E$5:$E$300=$B217)*(LEFT(Закрытые!$B$5:$B$300,2)="T-")*Закрытые!$F$5:$F$300*Закрытые!$G$5:$G$300))/C217)</f>
        <v/>
      </c>
      <c r="E217" s="241">
        <f>IF(C217="","",SUMIFS(Торговля!$H$5:$H$300,Торговля!$E$5:$E$300,$B217)+SUMIFS(Закрытые!$H$5:$H$300,Закрытые!$E$5:$E$300,$B217,Закрытые!$B$5:$B$300,"T-*"))</f>
        <v/>
      </c>
      <c r="F217" s="240">
        <f>IF(SUMIFS(Торговля!$I$5:$I$300,Торговля!$E$5:$E$300,$B217)+SUMIFS(Закрытые!$I$5:$I$300,Закрытые!$E$5:$E$300,$B217,Закрытые!$B$5:$B$300,"T-*")=0,"",SUMIFS(Торговля!$I$5:$I$300,Торговля!$E$5:$E$300,$B217)+SUMIFS(Закрытые!$I$5:$I$300,Закрытые!$E$5:$E$300,$B217,Закрытые!$B$5:$B$300,"T-*"))</f>
        <v/>
      </c>
      <c r="G217" s="177">
        <f>IF(F217="","",(SUMPRODUCT((Торговля!$E$5:$E$300=$B217)*Торговля!$I$5:$I$300*Торговля!$J$5:$J$300)+SUMPRODUCT((Закрытые!$E$5:$E$300=$B217)*(LEFT(Закрытые!$B$5:$B$300,2)="T-")*Закрытые!$I$5:$I$300*Закрытые!$J$5:$J$300))/F217)</f>
        <v/>
      </c>
      <c r="H217" s="241">
        <f>IF(F217="","",SUMIFS(Торговля!$K$5:$K$300,Торговля!$E$5:$E$300,$B217)+SUMIFS(Закрытые!$K$5:$K$300,Закрытые!$E$5:$E$300,$B217,Закрытые!$B$5:$B$300,"T-*"))</f>
        <v/>
      </c>
      <c r="I217" s="240">
        <f>IF($B217="","",IF(COUNTIFS(Торговля!$E$5:$E$300,$B217)+COUNTIFS(Закрытые!$E$5:$E$300,$B217,Закрытые!$B$5:$B$300,"T-*")=0,"",ROUND(SUMIFS(Торговля!$L$5:$L$300,Торговля!$E$5:$E$300,$B217)+SUMIFS(Закрытые!$L$5:$L$300,Закрытые!$E$5:$E$300,$B217,Закрытые!$B$5:$B$300,"T-*"),8)))</f>
        <v/>
      </c>
      <c r="J217" s="241">
        <f>IF($B217="","",IF(COUNTIFS(Торговля!$E$5:$E$300,$B217)+COUNTIFS(Закрытые!$E$5:$E$300,$B217,Закрытые!$B$5:$B$300,"T-*")=0,"",ROUND(SUMIFS(Торговля!$M$5:$M$300,Торговля!$E$5:$E$300,$B217)+SUMIFS(Закрытые!$M$5:$M$300,Закрытые!$E$5:$E$300,$B217,Закрытые!$B$5:$B$300,"T-*"),8)))</f>
        <v/>
      </c>
      <c r="K217" s="240">
        <f>IF($B217="","",ROUND(SUMIFS(Закрытые!$N$5:$N$300,Закрытые!$E$5:$E$300,$B217,Закрытые!$B$5:$B$300,"T-*"),8))</f>
        <v/>
      </c>
      <c r="L217" s="177">
        <f>IF(K217="","",IF(SUMPRODUCT((Закрытые!$E$5:$E$300=$B217)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217/SUMPRODUCT((Закрытые!$E$5:$E$300=$B217)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7" s="177">
        <f>IF(OR(ROUND(N(C217)-N(F217),8)=0,1-N(Ввод!$E$17)/100&lt;=0),"",IF(N(C217)&gt;N(F217),(N(E217)-N(H217))/((N(C217)-N(F217))*(1-N(Ввод!$E$17)/100)),(N(H217)-N(E217))/((N(F217)-N(C217))*(1+N(Ввод!$E$17)/100))))</f>
        <v/>
      </c>
    </row>
    <row r="218" ht="22" customHeight="1">
      <c r="B218" s="320" t="n"/>
      <c r="C218" s="246">
        <f>IF(SUMIFS(Торговля!$F$5:$F$300,Торговля!$E$5:$E$300,$B218)+SUMIFS(Закрытые!$F$5:$F$300,Закрытые!$E$5:$E$300,$B218,Закрытые!$B$5:$B$300,"T-*")=0,"",SUMIFS(Торговля!$F$5:$F$300,Торговля!$E$5:$E$300,$B218)+SUMIFS(Закрытые!$F$5:$F$300,Закрытые!$E$5:$E$300,$B218,Закрытые!$B$5:$B$300,"T-*"))</f>
        <v/>
      </c>
      <c r="D218" s="183">
        <f>IF(C218="","",(SUMPRODUCT((Торговля!$E$5:$E$300=$B218)*Торговля!$F$5:$F$300*Торговля!$G$5:$G$300)+SUMPRODUCT((Закрытые!$E$5:$E$300=$B218)*(LEFT(Закрытые!$B$5:$B$300,2)="T-")*Закрытые!$F$5:$F$300*Закрытые!$G$5:$G$300))/C218)</f>
        <v/>
      </c>
      <c r="E218" s="247">
        <f>IF(C218="","",SUMIFS(Торговля!$H$5:$H$300,Торговля!$E$5:$E$300,$B218)+SUMIFS(Закрытые!$H$5:$H$300,Закрытые!$E$5:$E$300,$B218,Закрытые!$B$5:$B$300,"T-*"))</f>
        <v/>
      </c>
      <c r="F218" s="246">
        <f>IF(SUMIFS(Торговля!$I$5:$I$300,Торговля!$E$5:$E$300,$B218)+SUMIFS(Закрытые!$I$5:$I$300,Закрытые!$E$5:$E$300,$B218,Закрытые!$B$5:$B$300,"T-*")=0,"",SUMIFS(Торговля!$I$5:$I$300,Торговля!$E$5:$E$300,$B218)+SUMIFS(Закрытые!$I$5:$I$300,Закрытые!$E$5:$E$300,$B218,Закрытые!$B$5:$B$300,"T-*"))</f>
        <v/>
      </c>
      <c r="G218" s="183">
        <f>IF(F218="","",(SUMPRODUCT((Торговля!$E$5:$E$300=$B218)*Торговля!$I$5:$I$300*Торговля!$J$5:$J$300)+SUMPRODUCT((Закрытые!$E$5:$E$300=$B218)*(LEFT(Закрытые!$B$5:$B$300,2)="T-")*Закрытые!$I$5:$I$300*Закрытые!$J$5:$J$300))/F218)</f>
        <v/>
      </c>
      <c r="H218" s="247">
        <f>IF(F218="","",SUMIFS(Торговля!$K$5:$K$300,Торговля!$E$5:$E$300,$B218)+SUMIFS(Закрытые!$K$5:$K$300,Закрытые!$E$5:$E$300,$B218,Закрытые!$B$5:$B$300,"T-*"))</f>
        <v/>
      </c>
      <c r="I218" s="246">
        <f>IF($B218="","",IF(COUNTIFS(Торговля!$E$5:$E$300,$B218)+COUNTIFS(Закрытые!$E$5:$E$300,$B218,Закрытые!$B$5:$B$300,"T-*")=0,"",ROUND(SUMIFS(Торговля!$L$5:$L$300,Торговля!$E$5:$E$300,$B218)+SUMIFS(Закрытые!$L$5:$L$300,Закрытые!$E$5:$E$300,$B218,Закрытые!$B$5:$B$300,"T-*"),8)))</f>
        <v/>
      </c>
      <c r="J218" s="247">
        <f>IF($B218="","",IF(COUNTIFS(Торговля!$E$5:$E$300,$B218)+COUNTIFS(Закрытые!$E$5:$E$300,$B218,Закрытые!$B$5:$B$300,"T-*")=0,"",ROUND(SUMIFS(Торговля!$M$5:$M$300,Торговля!$E$5:$E$300,$B218)+SUMIFS(Закрытые!$M$5:$M$300,Закрытые!$E$5:$E$300,$B218,Закрытые!$B$5:$B$300,"T-*"),8)))</f>
        <v/>
      </c>
      <c r="K218" s="246">
        <f>IF($B218="","",ROUND(SUMIFS(Закрытые!$N$5:$N$300,Закрытые!$E$5:$E$300,$B218,Закрытые!$B$5:$B$300,"T-*"),8))</f>
        <v/>
      </c>
      <c r="L218" s="183">
        <f>IF(K218="","",IF(SUMPRODUCT((Закрытые!$E$5:$E$300=$B218)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218/SUMPRODUCT((Закрытые!$E$5:$E$300=$B218)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8" s="183">
        <f>IF(OR(ROUND(N(C218)-N(F218),8)=0,1-N(Ввод!$E$17)/100&lt;=0),"",IF(N(C218)&gt;N(F218),(N(E218)-N(H218))/((N(C218)-N(F218))*(1-N(Ввод!$E$17)/100)),(N(H218)-N(E218))/((N(F218)-N(C218))*(1+N(Ввод!$E$17)/100))))</f>
        <v/>
      </c>
    </row>
    <row r="219" ht="22" customHeight="1">
      <c r="B219" s="315" t="n"/>
      <c r="C219" s="240">
        <f>IF(SUMIFS(Торговля!$F$5:$F$300,Торговля!$E$5:$E$300,$B219)+SUMIFS(Закрытые!$F$5:$F$300,Закрытые!$E$5:$E$300,$B219,Закрытые!$B$5:$B$300,"T-*")=0,"",SUMIFS(Торговля!$F$5:$F$300,Торговля!$E$5:$E$300,$B219)+SUMIFS(Закрытые!$F$5:$F$300,Закрытые!$E$5:$E$300,$B219,Закрытые!$B$5:$B$300,"T-*"))</f>
        <v/>
      </c>
      <c r="D219" s="177">
        <f>IF(C219="","",(SUMPRODUCT((Торговля!$E$5:$E$300=$B219)*Торговля!$F$5:$F$300*Торговля!$G$5:$G$300)+SUMPRODUCT((Закрытые!$E$5:$E$300=$B219)*(LEFT(Закрытые!$B$5:$B$300,2)="T-")*Закрытые!$F$5:$F$300*Закрытые!$G$5:$G$300))/C219)</f>
        <v/>
      </c>
      <c r="E219" s="241">
        <f>IF(C219="","",SUMIFS(Торговля!$H$5:$H$300,Торговля!$E$5:$E$300,$B219)+SUMIFS(Закрытые!$H$5:$H$300,Закрытые!$E$5:$E$300,$B219,Закрытые!$B$5:$B$300,"T-*"))</f>
        <v/>
      </c>
      <c r="F219" s="240">
        <f>IF(SUMIFS(Торговля!$I$5:$I$300,Торговля!$E$5:$E$300,$B219)+SUMIFS(Закрытые!$I$5:$I$300,Закрытые!$E$5:$E$300,$B219,Закрытые!$B$5:$B$300,"T-*")=0,"",SUMIFS(Торговля!$I$5:$I$300,Торговля!$E$5:$E$300,$B219)+SUMIFS(Закрытые!$I$5:$I$300,Закрытые!$E$5:$E$300,$B219,Закрытые!$B$5:$B$300,"T-*"))</f>
        <v/>
      </c>
      <c r="G219" s="177">
        <f>IF(F219="","",(SUMPRODUCT((Торговля!$E$5:$E$300=$B219)*Торговля!$I$5:$I$300*Торговля!$J$5:$J$300)+SUMPRODUCT((Закрытые!$E$5:$E$300=$B219)*(LEFT(Закрытые!$B$5:$B$300,2)="T-")*Закрытые!$I$5:$I$300*Закрытые!$J$5:$J$300))/F219)</f>
        <v/>
      </c>
      <c r="H219" s="241">
        <f>IF(F219="","",SUMIFS(Торговля!$K$5:$K$300,Торговля!$E$5:$E$300,$B219)+SUMIFS(Закрытые!$K$5:$K$300,Закрытые!$E$5:$E$300,$B219,Закрытые!$B$5:$B$300,"T-*"))</f>
        <v/>
      </c>
      <c r="I219" s="240">
        <f>IF($B219="","",IF(COUNTIFS(Торговля!$E$5:$E$300,$B219)+COUNTIFS(Закрытые!$E$5:$E$300,$B219,Закрытые!$B$5:$B$300,"T-*")=0,"",ROUND(SUMIFS(Торговля!$L$5:$L$300,Торговля!$E$5:$E$300,$B219)+SUMIFS(Закрытые!$L$5:$L$300,Закрытые!$E$5:$E$300,$B219,Закрытые!$B$5:$B$300,"T-*"),8)))</f>
        <v/>
      </c>
      <c r="J219" s="241">
        <f>IF($B219="","",IF(COUNTIFS(Торговля!$E$5:$E$300,$B219)+COUNTIFS(Закрытые!$E$5:$E$300,$B219,Закрытые!$B$5:$B$300,"T-*")=0,"",ROUND(SUMIFS(Торговля!$M$5:$M$300,Торговля!$E$5:$E$300,$B219)+SUMIFS(Закрытые!$M$5:$M$300,Закрытые!$E$5:$E$300,$B219,Закрытые!$B$5:$B$300,"T-*"),8)))</f>
        <v/>
      </c>
      <c r="K219" s="240">
        <f>IF($B219="","",ROUND(SUMIFS(Закрытые!$N$5:$N$300,Закрытые!$E$5:$E$300,$B219,Закрытые!$B$5:$B$300,"T-*"),8))</f>
        <v/>
      </c>
      <c r="L219" s="177">
        <f>IF(K219="","",IF(SUMPRODUCT((Закрытые!$E$5:$E$300=$B219)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219/SUMPRODUCT((Закрытые!$E$5:$E$300=$B219)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9" s="177">
        <f>IF(OR(ROUND(N(C219)-N(F219),8)=0,1-N(Ввод!$E$17)/100&lt;=0),"",IF(N(C219)&gt;N(F219),(N(E219)-N(H219))/((N(C219)-N(F219))*(1-N(Ввод!$E$17)/100)),(N(H219)-N(E219))/((N(F219)-N(C219))*(1+N(Ввод!$E$17)/100))))</f>
        <v/>
      </c>
    </row>
    <row r="220" ht="22" customHeight="1">
      <c r="B220" s="320" t="n"/>
      <c r="C220" s="246">
        <f>IF(SUMIFS(Торговля!$F$5:$F$300,Торговля!$E$5:$E$300,$B220)+SUMIFS(Закрытые!$F$5:$F$300,Закрытые!$E$5:$E$300,$B220,Закрытые!$B$5:$B$300,"T-*")=0,"",SUMIFS(Торговля!$F$5:$F$300,Торговля!$E$5:$E$300,$B220)+SUMIFS(Закрытые!$F$5:$F$300,Закрытые!$E$5:$E$300,$B220,Закрытые!$B$5:$B$300,"T-*"))</f>
        <v/>
      </c>
      <c r="D220" s="183">
        <f>IF(C220="","",(SUMPRODUCT((Торговля!$E$5:$E$300=$B220)*Торговля!$F$5:$F$300*Торговля!$G$5:$G$300)+SUMPRODUCT((Закрытые!$E$5:$E$300=$B220)*(LEFT(Закрытые!$B$5:$B$300,2)="T-")*Закрытые!$F$5:$F$300*Закрытые!$G$5:$G$300))/C220)</f>
        <v/>
      </c>
      <c r="E220" s="247">
        <f>IF(C220="","",SUMIFS(Торговля!$H$5:$H$300,Торговля!$E$5:$E$300,$B220)+SUMIFS(Закрытые!$H$5:$H$300,Закрытые!$E$5:$E$300,$B220,Закрытые!$B$5:$B$300,"T-*"))</f>
        <v/>
      </c>
      <c r="F220" s="246">
        <f>IF(SUMIFS(Торговля!$I$5:$I$300,Торговля!$E$5:$E$300,$B220)+SUMIFS(Закрытые!$I$5:$I$300,Закрытые!$E$5:$E$300,$B220,Закрытые!$B$5:$B$300,"T-*")=0,"",SUMIFS(Торговля!$I$5:$I$300,Торговля!$E$5:$E$300,$B220)+SUMIFS(Закрытые!$I$5:$I$300,Закрытые!$E$5:$E$300,$B220,Закрытые!$B$5:$B$300,"T-*"))</f>
        <v/>
      </c>
      <c r="G220" s="183">
        <f>IF(F220="","",(SUMPRODUCT((Торговля!$E$5:$E$300=$B220)*Торговля!$I$5:$I$300*Торговля!$J$5:$J$300)+SUMPRODUCT((Закрытые!$E$5:$E$300=$B220)*(LEFT(Закрытые!$B$5:$B$300,2)="T-")*Закрытые!$I$5:$I$300*Закрытые!$J$5:$J$300))/F220)</f>
        <v/>
      </c>
      <c r="H220" s="247">
        <f>IF(F220="","",SUMIFS(Торговля!$K$5:$K$300,Торговля!$E$5:$E$300,$B220)+SUMIFS(Закрытые!$K$5:$K$300,Закрытые!$E$5:$E$300,$B220,Закрытые!$B$5:$B$300,"T-*"))</f>
        <v/>
      </c>
      <c r="I220" s="246">
        <f>IF($B220="","",IF(COUNTIFS(Торговля!$E$5:$E$300,$B220)+COUNTIFS(Закрытые!$E$5:$E$300,$B220,Закрытые!$B$5:$B$300,"T-*")=0,"",ROUND(SUMIFS(Торговля!$L$5:$L$300,Торговля!$E$5:$E$300,$B220)+SUMIFS(Закрытые!$L$5:$L$300,Закрытые!$E$5:$E$300,$B220,Закрытые!$B$5:$B$300,"T-*"),8)))</f>
        <v/>
      </c>
      <c r="J220" s="247">
        <f>IF($B220="","",IF(COUNTIFS(Торговля!$E$5:$E$300,$B220)+COUNTIFS(Закрытые!$E$5:$E$300,$B220,Закрытые!$B$5:$B$300,"T-*")=0,"",ROUND(SUMIFS(Торговля!$M$5:$M$300,Торговля!$E$5:$E$300,$B220)+SUMIFS(Закрытые!$M$5:$M$300,Закрытые!$E$5:$E$300,$B220,Закрытые!$B$5:$B$300,"T-*"),8)))</f>
        <v/>
      </c>
      <c r="K220" s="246">
        <f>IF($B220="","",ROUND(SUMIFS(Закрытые!$N$5:$N$300,Закрытые!$E$5:$E$300,$B220,Закрытые!$B$5:$B$300,"T-*"),8))</f>
        <v/>
      </c>
      <c r="L220" s="183">
        <f>IF(K220="","",IF(SUMPRODUCT((Закрытые!$E$5:$E$300=$B220)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220/SUMPRODUCT((Закрытые!$E$5:$E$300=$B220)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0" s="183">
        <f>IF(OR(ROUND(N(C220)-N(F220),8)=0,1-N(Ввод!$E$17)/100&lt;=0),"",IF(N(C220)&gt;N(F220),(N(E220)-N(H220))/((N(C220)-N(F220))*(1-N(Ввод!$E$17)/100)),(N(H220)-N(E220))/((N(F220)-N(C220))*(1+N(Ввод!$E$17)/100))))</f>
        <v/>
      </c>
    </row>
    <row r="221" ht="22" customHeight="1">
      <c r="B221" s="315" t="n"/>
      <c r="C221" s="240">
        <f>IF(SUMIFS(Торговля!$F$5:$F$300,Торговля!$E$5:$E$300,$B221)+SUMIFS(Закрытые!$F$5:$F$300,Закрытые!$E$5:$E$300,$B221,Закрытые!$B$5:$B$300,"T-*")=0,"",SUMIFS(Торговля!$F$5:$F$300,Торговля!$E$5:$E$300,$B221)+SUMIFS(Закрытые!$F$5:$F$300,Закрытые!$E$5:$E$300,$B221,Закрытые!$B$5:$B$300,"T-*"))</f>
        <v/>
      </c>
      <c r="D221" s="177">
        <f>IF(C221="","",(SUMPRODUCT((Торговля!$E$5:$E$300=$B221)*Торговля!$F$5:$F$300*Торговля!$G$5:$G$300)+SUMPRODUCT((Закрытые!$E$5:$E$300=$B221)*(LEFT(Закрытые!$B$5:$B$300,2)="T-")*Закрытые!$F$5:$F$300*Закрытые!$G$5:$G$300))/C221)</f>
        <v/>
      </c>
      <c r="E221" s="241">
        <f>IF(C221="","",SUMIFS(Торговля!$H$5:$H$300,Торговля!$E$5:$E$300,$B221)+SUMIFS(Закрытые!$H$5:$H$300,Закрытые!$E$5:$E$300,$B221,Закрытые!$B$5:$B$300,"T-*"))</f>
        <v/>
      </c>
      <c r="F221" s="240">
        <f>IF(SUMIFS(Торговля!$I$5:$I$300,Торговля!$E$5:$E$300,$B221)+SUMIFS(Закрытые!$I$5:$I$300,Закрытые!$E$5:$E$300,$B221,Закрытые!$B$5:$B$300,"T-*")=0,"",SUMIFS(Торговля!$I$5:$I$300,Торговля!$E$5:$E$300,$B221)+SUMIFS(Закрытые!$I$5:$I$300,Закрытые!$E$5:$E$300,$B221,Закрытые!$B$5:$B$300,"T-*"))</f>
        <v/>
      </c>
      <c r="G221" s="177">
        <f>IF(F221="","",(SUMPRODUCT((Торговля!$E$5:$E$300=$B221)*Торговля!$I$5:$I$300*Торговля!$J$5:$J$300)+SUMPRODUCT((Закрытые!$E$5:$E$300=$B221)*(LEFT(Закрытые!$B$5:$B$300,2)="T-")*Закрытые!$I$5:$I$300*Закрытые!$J$5:$J$300))/F221)</f>
        <v/>
      </c>
      <c r="H221" s="241">
        <f>IF(F221="","",SUMIFS(Торговля!$K$5:$K$300,Торговля!$E$5:$E$300,$B221)+SUMIFS(Закрытые!$K$5:$K$300,Закрытые!$E$5:$E$300,$B221,Закрытые!$B$5:$B$300,"T-*"))</f>
        <v/>
      </c>
      <c r="I221" s="240">
        <f>IF($B221="","",IF(COUNTIFS(Торговля!$E$5:$E$300,$B221)+COUNTIFS(Закрытые!$E$5:$E$300,$B221,Закрытые!$B$5:$B$300,"T-*")=0,"",ROUND(SUMIFS(Торговля!$L$5:$L$300,Торговля!$E$5:$E$300,$B221)+SUMIFS(Закрытые!$L$5:$L$300,Закрытые!$E$5:$E$300,$B221,Закрытые!$B$5:$B$300,"T-*"),8)))</f>
        <v/>
      </c>
      <c r="J221" s="241">
        <f>IF($B221="","",IF(COUNTIFS(Торговля!$E$5:$E$300,$B221)+COUNTIFS(Закрытые!$E$5:$E$300,$B221,Закрытые!$B$5:$B$300,"T-*")=0,"",ROUND(SUMIFS(Торговля!$M$5:$M$300,Торговля!$E$5:$E$300,$B221)+SUMIFS(Закрытые!$M$5:$M$300,Закрытые!$E$5:$E$300,$B221,Закрытые!$B$5:$B$300,"T-*"),8)))</f>
        <v/>
      </c>
      <c r="K221" s="240">
        <f>IF($B221="","",ROUND(SUMIFS(Закрытые!$N$5:$N$300,Закрытые!$E$5:$E$300,$B221,Закрытые!$B$5:$B$300,"T-*"),8))</f>
        <v/>
      </c>
      <c r="L221" s="177">
        <f>IF(K221="","",IF(SUMPRODUCT((Закрытые!$E$5:$E$300=$B221)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221/SUMPRODUCT((Закрытые!$E$5:$E$300=$B221)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1" s="177">
        <f>IF(OR(ROUND(N(C221)-N(F221),8)=0,1-N(Ввод!$E$17)/100&lt;=0),"",IF(N(C221)&gt;N(F221),(N(E221)-N(H221))/((N(C221)-N(F221))*(1-N(Ввод!$E$17)/100)),(N(H221)-N(E221))/((N(F221)-N(C221))*(1+N(Ввод!$E$17)/100))))</f>
        <v/>
      </c>
    </row>
    <row r="222" ht="22" customHeight="1">
      <c r="B222" s="320" t="n"/>
      <c r="C222" s="246">
        <f>IF(SUMIFS(Торговля!$F$5:$F$300,Торговля!$E$5:$E$300,$B222)+SUMIFS(Закрытые!$F$5:$F$300,Закрытые!$E$5:$E$300,$B222,Закрытые!$B$5:$B$300,"T-*")=0,"",SUMIFS(Торговля!$F$5:$F$300,Торговля!$E$5:$E$300,$B222)+SUMIFS(Закрытые!$F$5:$F$300,Закрытые!$E$5:$E$300,$B222,Закрытые!$B$5:$B$300,"T-*"))</f>
        <v/>
      </c>
      <c r="D222" s="183">
        <f>IF(C222="","",(SUMPRODUCT((Торговля!$E$5:$E$300=$B222)*Торговля!$F$5:$F$300*Торговля!$G$5:$G$300)+SUMPRODUCT((Закрытые!$E$5:$E$300=$B222)*(LEFT(Закрытые!$B$5:$B$300,2)="T-")*Закрытые!$F$5:$F$300*Закрытые!$G$5:$G$300))/C222)</f>
        <v/>
      </c>
      <c r="E222" s="247">
        <f>IF(C222="","",SUMIFS(Торговля!$H$5:$H$300,Торговля!$E$5:$E$300,$B222)+SUMIFS(Закрытые!$H$5:$H$300,Закрытые!$E$5:$E$300,$B222,Закрытые!$B$5:$B$300,"T-*"))</f>
        <v/>
      </c>
      <c r="F222" s="246">
        <f>IF(SUMIFS(Торговля!$I$5:$I$300,Торговля!$E$5:$E$300,$B222)+SUMIFS(Закрытые!$I$5:$I$300,Закрытые!$E$5:$E$300,$B222,Закрытые!$B$5:$B$300,"T-*")=0,"",SUMIFS(Торговля!$I$5:$I$300,Торговля!$E$5:$E$300,$B222)+SUMIFS(Закрытые!$I$5:$I$300,Закрытые!$E$5:$E$300,$B222,Закрытые!$B$5:$B$300,"T-*"))</f>
        <v/>
      </c>
      <c r="G222" s="183">
        <f>IF(F222="","",(SUMPRODUCT((Торговля!$E$5:$E$300=$B222)*Торговля!$I$5:$I$300*Торговля!$J$5:$J$300)+SUMPRODUCT((Закрытые!$E$5:$E$300=$B222)*(LEFT(Закрытые!$B$5:$B$300,2)="T-")*Закрытые!$I$5:$I$300*Закрытые!$J$5:$J$300))/F222)</f>
        <v/>
      </c>
      <c r="H222" s="247">
        <f>IF(F222="","",SUMIFS(Торговля!$K$5:$K$300,Торговля!$E$5:$E$300,$B222)+SUMIFS(Закрытые!$K$5:$K$300,Закрытые!$E$5:$E$300,$B222,Закрытые!$B$5:$B$300,"T-*"))</f>
        <v/>
      </c>
      <c r="I222" s="246">
        <f>IF($B222="","",IF(COUNTIFS(Торговля!$E$5:$E$300,$B222)+COUNTIFS(Закрытые!$E$5:$E$300,$B222,Закрытые!$B$5:$B$300,"T-*")=0,"",ROUND(SUMIFS(Торговля!$L$5:$L$300,Торговля!$E$5:$E$300,$B222)+SUMIFS(Закрытые!$L$5:$L$300,Закрытые!$E$5:$E$300,$B222,Закрытые!$B$5:$B$300,"T-*"),8)))</f>
        <v/>
      </c>
      <c r="J222" s="247">
        <f>IF($B222="","",IF(COUNTIFS(Торговля!$E$5:$E$300,$B222)+COUNTIFS(Закрытые!$E$5:$E$300,$B222,Закрытые!$B$5:$B$300,"T-*")=0,"",ROUND(SUMIFS(Торговля!$M$5:$M$300,Торговля!$E$5:$E$300,$B222)+SUMIFS(Закрытые!$M$5:$M$300,Закрытые!$E$5:$E$300,$B222,Закрытые!$B$5:$B$300,"T-*"),8)))</f>
        <v/>
      </c>
      <c r="K222" s="246">
        <f>IF($B222="","",ROUND(SUMIFS(Закрытые!$N$5:$N$300,Закрытые!$E$5:$E$300,$B222,Закрытые!$B$5:$B$300,"T-*"),8))</f>
        <v/>
      </c>
      <c r="L222" s="183">
        <f>IF(K222="","",IF(SUMPRODUCT((Закрытые!$E$5:$E$300=$B222)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222/SUMPRODUCT((Закрытые!$E$5:$E$300=$B222)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2" s="183">
        <f>IF(OR(ROUND(N(C222)-N(F222),8)=0,1-N(Ввод!$E$17)/100&lt;=0),"",IF(N(C222)&gt;N(F222),(N(E222)-N(H222))/((N(C222)-N(F222))*(1-N(Ввод!$E$17)/100)),(N(H222)-N(E222))/((N(F222)-N(C222))*(1+N(Ввод!$E$17)/100))))</f>
        <v/>
      </c>
    </row>
    <row r="223" ht="22" customHeight="1">
      <c r="B223" s="315" t="n"/>
      <c r="C223" s="240">
        <f>IF(SUMIFS(Торговля!$F$5:$F$300,Торговля!$E$5:$E$300,$B223)+SUMIFS(Закрытые!$F$5:$F$300,Закрытые!$E$5:$E$300,$B223,Закрытые!$B$5:$B$300,"T-*")=0,"",SUMIFS(Торговля!$F$5:$F$300,Торговля!$E$5:$E$300,$B223)+SUMIFS(Закрытые!$F$5:$F$300,Закрытые!$E$5:$E$300,$B223,Закрытые!$B$5:$B$300,"T-*"))</f>
        <v/>
      </c>
      <c r="D223" s="177">
        <f>IF(C223="","",(SUMPRODUCT((Торговля!$E$5:$E$300=$B223)*Торговля!$F$5:$F$300*Торговля!$G$5:$G$300)+SUMPRODUCT((Закрытые!$E$5:$E$300=$B223)*(LEFT(Закрытые!$B$5:$B$300,2)="T-")*Закрытые!$F$5:$F$300*Закрытые!$G$5:$G$300))/C223)</f>
        <v/>
      </c>
      <c r="E223" s="241">
        <f>IF(C223="","",SUMIFS(Торговля!$H$5:$H$300,Торговля!$E$5:$E$300,$B223)+SUMIFS(Закрытые!$H$5:$H$300,Закрытые!$E$5:$E$300,$B223,Закрытые!$B$5:$B$300,"T-*"))</f>
        <v/>
      </c>
      <c r="F223" s="240">
        <f>IF(SUMIFS(Торговля!$I$5:$I$300,Торговля!$E$5:$E$300,$B223)+SUMIFS(Закрытые!$I$5:$I$300,Закрытые!$E$5:$E$300,$B223,Закрытые!$B$5:$B$300,"T-*")=0,"",SUMIFS(Торговля!$I$5:$I$300,Торговля!$E$5:$E$300,$B223)+SUMIFS(Закрытые!$I$5:$I$300,Закрытые!$E$5:$E$300,$B223,Закрытые!$B$5:$B$300,"T-*"))</f>
        <v/>
      </c>
      <c r="G223" s="177">
        <f>IF(F223="","",(SUMPRODUCT((Торговля!$E$5:$E$300=$B223)*Торговля!$I$5:$I$300*Торговля!$J$5:$J$300)+SUMPRODUCT((Закрытые!$E$5:$E$300=$B223)*(LEFT(Закрытые!$B$5:$B$300,2)="T-")*Закрытые!$I$5:$I$300*Закрытые!$J$5:$J$300))/F223)</f>
        <v/>
      </c>
      <c r="H223" s="241">
        <f>IF(F223="","",SUMIFS(Торговля!$K$5:$K$300,Торговля!$E$5:$E$300,$B223)+SUMIFS(Закрытые!$K$5:$K$300,Закрытые!$E$5:$E$300,$B223,Закрытые!$B$5:$B$300,"T-*"))</f>
        <v/>
      </c>
      <c r="I223" s="240">
        <f>IF($B223="","",IF(COUNTIFS(Торговля!$E$5:$E$300,$B223)+COUNTIFS(Закрытые!$E$5:$E$300,$B223,Закрытые!$B$5:$B$300,"T-*")=0,"",ROUND(SUMIFS(Торговля!$L$5:$L$300,Торговля!$E$5:$E$300,$B223)+SUMIFS(Закрытые!$L$5:$L$300,Закрытые!$E$5:$E$300,$B223,Закрытые!$B$5:$B$300,"T-*"),8)))</f>
        <v/>
      </c>
      <c r="J223" s="241">
        <f>IF($B223="","",IF(COUNTIFS(Торговля!$E$5:$E$300,$B223)+COUNTIFS(Закрытые!$E$5:$E$300,$B223,Закрытые!$B$5:$B$300,"T-*")=0,"",ROUND(SUMIFS(Торговля!$M$5:$M$300,Торговля!$E$5:$E$300,$B223)+SUMIFS(Закрытые!$M$5:$M$300,Закрытые!$E$5:$E$300,$B223,Закрытые!$B$5:$B$300,"T-*"),8)))</f>
        <v/>
      </c>
      <c r="K223" s="240">
        <f>IF($B223="","",ROUND(SUMIFS(Закрытые!$N$5:$N$300,Закрытые!$E$5:$E$300,$B223,Закрытые!$B$5:$B$300,"T-*"),8))</f>
        <v/>
      </c>
      <c r="L223" s="177">
        <f>IF(K223="","",IF(SUMPRODUCT((Закрытые!$E$5:$E$300=$B223)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223/SUMPRODUCT((Закрытые!$E$5:$E$300=$B223)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3" s="177">
        <f>IF(OR(ROUND(N(C223)-N(F223),8)=0,1-N(Ввод!$E$17)/100&lt;=0),"",IF(N(C223)&gt;N(F223),(N(E223)-N(H223))/((N(C223)-N(F223))*(1-N(Ввод!$E$17)/100)),(N(H223)-N(E223))/((N(F223)-N(C223))*(1+N(Ввод!$E$17)/100))))</f>
        <v/>
      </c>
    </row>
    <row r="224" ht="22" customHeight="1">
      <c r="B224" s="320" t="n"/>
      <c r="C224" s="246">
        <f>IF(SUMIFS(Торговля!$F$5:$F$300,Торговля!$E$5:$E$300,$B224)+SUMIFS(Закрытые!$F$5:$F$300,Закрытые!$E$5:$E$300,$B224,Закрытые!$B$5:$B$300,"T-*")=0,"",SUMIFS(Торговля!$F$5:$F$300,Торговля!$E$5:$E$300,$B224)+SUMIFS(Закрытые!$F$5:$F$300,Закрытые!$E$5:$E$300,$B224,Закрытые!$B$5:$B$300,"T-*"))</f>
        <v/>
      </c>
      <c r="D224" s="183">
        <f>IF(C224="","",(SUMPRODUCT((Торговля!$E$5:$E$300=$B224)*Торговля!$F$5:$F$300*Торговля!$G$5:$G$300)+SUMPRODUCT((Закрытые!$E$5:$E$300=$B224)*(LEFT(Закрытые!$B$5:$B$300,2)="T-")*Закрытые!$F$5:$F$300*Закрытые!$G$5:$G$300))/C224)</f>
        <v/>
      </c>
      <c r="E224" s="247">
        <f>IF(C224="","",SUMIFS(Торговля!$H$5:$H$300,Торговля!$E$5:$E$300,$B224)+SUMIFS(Закрытые!$H$5:$H$300,Закрытые!$E$5:$E$300,$B224,Закрытые!$B$5:$B$300,"T-*"))</f>
        <v/>
      </c>
      <c r="F224" s="246">
        <f>IF(SUMIFS(Торговля!$I$5:$I$300,Торговля!$E$5:$E$300,$B224)+SUMIFS(Закрытые!$I$5:$I$300,Закрытые!$E$5:$E$300,$B224,Закрытые!$B$5:$B$300,"T-*")=0,"",SUMIFS(Торговля!$I$5:$I$300,Торговля!$E$5:$E$300,$B224)+SUMIFS(Закрытые!$I$5:$I$300,Закрытые!$E$5:$E$300,$B224,Закрытые!$B$5:$B$300,"T-*"))</f>
        <v/>
      </c>
      <c r="G224" s="183">
        <f>IF(F224="","",(SUMPRODUCT((Торговля!$E$5:$E$300=$B224)*Торговля!$I$5:$I$300*Торговля!$J$5:$J$300)+SUMPRODUCT((Закрытые!$E$5:$E$300=$B224)*(LEFT(Закрытые!$B$5:$B$300,2)="T-")*Закрытые!$I$5:$I$300*Закрытые!$J$5:$J$300))/F224)</f>
        <v/>
      </c>
      <c r="H224" s="247">
        <f>IF(F224="","",SUMIFS(Торговля!$K$5:$K$300,Торговля!$E$5:$E$300,$B224)+SUMIFS(Закрытые!$K$5:$K$300,Закрытые!$E$5:$E$300,$B224,Закрытые!$B$5:$B$300,"T-*"))</f>
        <v/>
      </c>
      <c r="I224" s="246">
        <f>IF($B224="","",IF(COUNTIFS(Торговля!$E$5:$E$300,$B224)+COUNTIFS(Закрытые!$E$5:$E$300,$B224,Закрытые!$B$5:$B$300,"T-*")=0,"",ROUND(SUMIFS(Торговля!$L$5:$L$300,Торговля!$E$5:$E$300,$B224)+SUMIFS(Закрытые!$L$5:$L$300,Закрытые!$E$5:$E$300,$B224,Закрытые!$B$5:$B$300,"T-*"),8)))</f>
        <v/>
      </c>
      <c r="J224" s="247">
        <f>IF($B224="","",IF(COUNTIFS(Торговля!$E$5:$E$300,$B224)+COUNTIFS(Закрытые!$E$5:$E$300,$B224,Закрытые!$B$5:$B$300,"T-*")=0,"",ROUND(SUMIFS(Торговля!$M$5:$M$300,Торговля!$E$5:$E$300,$B224)+SUMIFS(Закрытые!$M$5:$M$300,Закрытые!$E$5:$E$300,$B224,Закрытые!$B$5:$B$300,"T-*"),8)))</f>
        <v/>
      </c>
      <c r="K224" s="246">
        <f>IF($B224="","",ROUND(SUMIFS(Закрытые!$N$5:$N$300,Закрытые!$E$5:$E$300,$B224,Закрытые!$B$5:$B$300,"T-*"),8))</f>
        <v/>
      </c>
      <c r="L224" s="183">
        <f>IF(K224="","",IF(SUMPRODUCT((Закрытые!$E$5:$E$300=$B224)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224/SUMPRODUCT((Закрытые!$E$5:$E$300=$B224)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4" s="183">
        <f>IF(OR(ROUND(N(C224)-N(F224),8)=0,1-N(Ввод!$E$17)/100&lt;=0),"",IF(N(C224)&gt;N(F224),(N(E224)-N(H224))/((N(C224)-N(F224))*(1-N(Ввод!$E$17)/100)),(N(H224)-N(E224))/((N(F224)-N(C224))*(1+N(Ввод!$E$17)/100))))</f>
        <v/>
      </c>
    </row>
    <row r="225" ht="22" customHeight="1">
      <c r="B225" s="315" t="n"/>
      <c r="C225" s="240">
        <f>IF(SUMIFS(Торговля!$F$5:$F$300,Торговля!$E$5:$E$300,$B225)+SUMIFS(Закрытые!$F$5:$F$300,Закрытые!$E$5:$E$300,$B225,Закрытые!$B$5:$B$300,"T-*")=0,"",SUMIFS(Торговля!$F$5:$F$300,Торговля!$E$5:$E$300,$B225)+SUMIFS(Закрытые!$F$5:$F$300,Закрытые!$E$5:$E$300,$B225,Закрытые!$B$5:$B$300,"T-*"))</f>
        <v/>
      </c>
      <c r="D225" s="177">
        <f>IF(C225="","",(SUMPRODUCT((Торговля!$E$5:$E$300=$B225)*Торговля!$F$5:$F$300*Торговля!$G$5:$G$300)+SUMPRODUCT((Закрытые!$E$5:$E$300=$B225)*(LEFT(Закрытые!$B$5:$B$300,2)="T-")*Закрытые!$F$5:$F$300*Закрытые!$G$5:$G$300))/C225)</f>
        <v/>
      </c>
      <c r="E225" s="241">
        <f>IF(C225="","",SUMIFS(Торговля!$H$5:$H$300,Торговля!$E$5:$E$300,$B225)+SUMIFS(Закрытые!$H$5:$H$300,Закрытые!$E$5:$E$300,$B225,Закрытые!$B$5:$B$300,"T-*"))</f>
        <v/>
      </c>
      <c r="F225" s="240">
        <f>IF(SUMIFS(Торговля!$I$5:$I$300,Торговля!$E$5:$E$300,$B225)+SUMIFS(Закрытые!$I$5:$I$300,Закрытые!$E$5:$E$300,$B225,Закрытые!$B$5:$B$300,"T-*")=0,"",SUMIFS(Торговля!$I$5:$I$300,Торговля!$E$5:$E$300,$B225)+SUMIFS(Закрытые!$I$5:$I$300,Закрытые!$E$5:$E$300,$B225,Закрытые!$B$5:$B$300,"T-*"))</f>
        <v/>
      </c>
      <c r="G225" s="177">
        <f>IF(F225="","",(SUMPRODUCT((Торговля!$E$5:$E$300=$B225)*Торговля!$I$5:$I$300*Торговля!$J$5:$J$300)+SUMPRODUCT((Закрытые!$E$5:$E$300=$B225)*(LEFT(Закрытые!$B$5:$B$300,2)="T-")*Закрытые!$I$5:$I$300*Закрытые!$J$5:$J$300))/F225)</f>
        <v/>
      </c>
      <c r="H225" s="241">
        <f>IF(F225="","",SUMIFS(Торговля!$K$5:$K$300,Торговля!$E$5:$E$300,$B225)+SUMIFS(Закрытые!$K$5:$K$300,Закрытые!$E$5:$E$300,$B225,Закрытые!$B$5:$B$300,"T-*"))</f>
        <v/>
      </c>
      <c r="I225" s="240">
        <f>IF($B225="","",IF(COUNTIFS(Торговля!$E$5:$E$300,$B225)+COUNTIFS(Закрытые!$E$5:$E$300,$B225,Закрытые!$B$5:$B$300,"T-*")=0,"",ROUND(SUMIFS(Торговля!$L$5:$L$300,Торговля!$E$5:$E$300,$B225)+SUMIFS(Закрытые!$L$5:$L$300,Закрытые!$E$5:$E$300,$B225,Закрытые!$B$5:$B$300,"T-*"),8)))</f>
        <v/>
      </c>
      <c r="J225" s="241">
        <f>IF($B225="","",IF(COUNTIFS(Торговля!$E$5:$E$300,$B225)+COUNTIFS(Закрытые!$E$5:$E$300,$B225,Закрытые!$B$5:$B$300,"T-*")=0,"",ROUND(SUMIFS(Торговля!$M$5:$M$300,Торговля!$E$5:$E$300,$B225)+SUMIFS(Закрытые!$M$5:$M$300,Закрытые!$E$5:$E$300,$B225,Закрытые!$B$5:$B$300,"T-*"),8)))</f>
        <v/>
      </c>
      <c r="K225" s="240">
        <f>IF($B225="","",ROUND(SUMIFS(Закрытые!$N$5:$N$300,Закрытые!$E$5:$E$300,$B225,Закрытые!$B$5:$B$300,"T-*"),8))</f>
        <v/>
      </c>
      <c r="L225" s="177">
        <f>IF(K225="","",IF(SUMPRODUCT((Закрытые!$E$5:$E$300=$B225)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225/SUMPRODUCT((Закрытые!$E$5:$E$300=$B225)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5" s="177">
        <f>IF(OR(ROUND(N(C225)-N(F225),8)=0,1-N(Ввод!$E$17)/100&lt;=0),"",IF(N(C225)&gt;N(F225),(N(E225)-N(H225))/((N(C225)-N(F225))*(1-N(Ввод!$E$17)/100)),(N(H225)-N(E225))/((N(F225)-N(C225))*(1+N(Ввод!$E$17)/100))))</f>
        <v/>
      </c>
    </row>
    <row r="226" ht="22" customHeight="1">
      <c r="B226" s="320" t="n"/>
      <c r="C226" s="246">
        <f>IF(SUMIFS(Торговля!$F$5:$F$300,Торговля!$E$5:$E$300,$B226)+SUMIFS(Закрытые!$F$5:$F$300,Закрытые!$E$5:$E$300,$B226,Закрытые!$B$5:$B$300,"T-*")=0,"",SUMIFS(Торговля!$F$5:$F$300,Торговля!$E$5:$E$300,$B226)+SUMIFS(Закрытые!$F$5:$F$300,Закрытые!$E$5:$E$300,$B226,Закрытые!$B$5:$B$300,"T-*"))</f>
        <v/>
      </c>
      <c r="D226" s="183">
        <f>IF(C226="","",(SUMPRODUCT((Торговля!$E$5:$E$300=$B226)*Торговля!$F$5:$F$300*Торговля!$G$5:$G$300)+SUMPRODUCT((Закрытые!$E$5:$E$300=$B226)*(LEFT(Закрытые!$B$5:$B$300,2)="T-")*Закрытые!$F$5:$F$300*Закрытые!$G$5:$G$300))/C226)</f>
        <v/>
      </c>
      <c r="E226" s="247">
        <f>IF(C226="","",SUMIFS(Торговля!$H$5:$H$300,Торговля!$E$5:$E$300,$B226)+SUMIFS(Закрытые!$H$5:$H$300,Закрытые!$E$5:$E$300,$B226,Закрытые!$B$5:$B$300,"T-*"))</f>
        <v/>
      </c>
      <c r="F226" s="246">
        <f>IF(SUMIFS(Торговля!$I$5:$I$300,Торговля!$E$5:$E$300,$B226)+SUMIFS(Закрытые!$I$5:$I$300,Закрытые!$E$5:$E$300,$B226,Закрытые!$B$5:$B$300,"T-*")=0,"",SUMIFS(Торговля!$I$5:$I$300,Торговля!$E$5:$E$300,$B226)+SUMIFS(Закрытые!$I$5:$I$300,Закрытые!$E$5:$E$300,$B226,Закрытые!$B$5:$B$300,"T-*"))</f>
        <v/>
      </c>
      <c r="G226" s="183">
        <f>IF(F226="","",(SUMPRODUCT((Торговля!$E$5:$E$300=$B226)*Торговля!$I$5:$I$300*Торговля!$J$5:$J$300)+SUMPRODUCT((Закрытые!$E$5:$E$300=$B226)*(LEFT(Закрытые!$B$5:$B$300,2)="T-")*Закрытые!$I$5:$I$300*Закрытые!$J$5:$J$300))/F226)</f>
        <v/>
      </c>
      <c r="H226" s="247">
        <f>IF(F226="","",SUMIFS(Торговля!$K$5:$K$300,Торговля!$E$5:$E$300,$B226)+SUMIFS(Закрытые!$K$5:$K$300,Закрытые!$E$5:$E$300,$B226,Закрытые!$B$5:$B$300,"T-*"))</f>
        <v/>
      </c>
      <c r="I226" s="246">
        <f>IF($B226="","",IF(COUNTIFS(Торговля!$E$5:$E$300,$B226)+COUNTIFS(Закрытые!$E$5:$E$300,$B226,Закрытые!$B$5:$B$300,"T-*")=0,"",ROUND(SUMIFS(Торговля!$L$5:$L$300,Торговля!$E$5:$E$300,$B226)+SUMIFS(Закрытые!$L$5:$L$300,Закрытые!$E$5:$E$300,$B226,Закрытые!$B$5:$B$300,"T-*"),8)))</f>
        <v/>
      </c>
      <c r="J226" s="247">
        <f>IF($B226="","",IF(COUNTIFS(Торговля!$E$5:$E$300,$B226)+COUNTIFS(Закрытые!$E$5:$E$300,$B226,Закрытые!$B$5:$B$300,"T-*")=0,"",ROUND(SUMIFS(Торговля!$M$5:$M$300,Торговля!$E$5:$E$300,$B226)+SUMIFS(Закрытые!$M$5:$M$300,Закрытые!$E$5:$E$300,$B226,Закрытые!$B$5:$B$300,"T-*"),8)))</f>
        <v/>
      </c>
      <c r="K226" s="246">
        <f>IF($B226="","",ROUND(SUMIFS(Закрытые!$N$5:$N$300,Закрытые!$E$5:$E$300,$B226,Закрытые!$B$5:$B$300,"T-*"),8))</f>
        <v/>
      </c>
      <c r="L226" s="183">
        <f>IF(K226="","",IF(SUMPRODUCT((Закрытые!$E$5:$E$300=$B226)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226/SUMPRODUCT((Закрытые!$E$5:$E$300=$B226)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6" s="183">
        <f>IF(OR(ROUND(N(C226)-N(F226),8)=0,1-N(Ввод!$E$17)/100&lt;=0),"",IF(N(C226)&gt;N(F226),(N(E226)-N(H226))/((N(C226)-N(F226))*(1-N(Ввод!$E$17)/100)),(N(H226)-N(E226))/((N(F226)-N(C226))*(1+N(Ввод!$E$17)/100))))</f>
        <v/>
      </c>
    </row>
    <row r="227" ht="22" customHeight="1">
      <c r="B227" s="315" t="n"/>
      <c r="C227" s="240">
        <f>IF(SUMIFS(Торговля!$F$5:$F$300,Торговля!$E$5:$E$300,$B227)+SUMIFS(Закрытые!$F$5:$F$300,Закрытые!$E$5:$E$300,$B227,Закрытые!$B$5:$B$300,"T-*")=0,"",SUMIFS(Торговля!$F$5:$F$300,Торговля!$E$5:$E$300,$B227)+SUMIFS(Закрытые!$F$5:$F$300,Закрытые!$E$5:$E$300,$B227,Закрытые!$B$5:$B$300,"T-*"))</f>
        <v/>
      </c>
      <c r="D227" s="177">
        <f>IF(C227="","",(SUMPRODUCT((Торговля!$E$5:$E$300=$B227)*Торговля!$F$5:$F$300*Торговля!$G$5:$G$300)+SUMPRODUCT((Закрытые!$E$5:$E$300=$B227)*(LEFT(Закрытые!$B$5:$B$300,2)="T-")*Закрытые!$F$5:$F$300*Закрытые!$G$5:$G$300))/C227)</f>
        <v/>
      </c>
      <c r="E227" s="241">
        <f>IF(C227="","",SUMIFS(Торговля!$H$5:$H$300,Торговля!$E$5:$E$300,$B227)+SUMIFS(Закрытые!$H$5:$H$300,Закрытые!$E$5:$E$300,$B227,Закрытые!$B$5:$B$300,"T-*"))</f>
        <v/>
      </c>
      <c r="F227" s="240">
        <f>IF(SUMIFS(Торговля!$I$5:$I$300,Торговля!$E$5:$E$300,$B227)+SUMIFS(Закрытые!$I$5:$I$300,Закрытые!$E$5:$E$300,$B227,Закрытые!$B$5:$B$300,"T-*")=0,"",SUMIFS(Торговля!$I$5:$I$300,Торговля!$E$5:$E$300,$B227)+SUMIFS(Закрытые!$I$5:$I$300,Закрытые!$E$5:$E$300,$B227,Закрытые!$B$5:$B$300,"T-*"))</f>
        <v/>
      </c>
      <c r="G227" s="177">
        <f>IF(F227="","",(SUMPRODUCT((Торговля!$E$5:$E$300=$B227)*Торговля!$I$5:$I$300*Торговля!$J$5:$J$300)+SUMPRODUCT((Закрытые!$E$5:$E$300=$B227)*(LEFT(Закрытые!$B$5:$B$300,2)="T-")*Закрытые!$I$5:$I$300*Закрытые!$J$5:$J$300))/F227)</f>
        <v/>
      </c>
      <c r="H227" s="241">
        <f>IF(F227="","",SUMIFS(Торговля!$K$5:$K$300,Торговля!$E$5:$E$300,$B227)+SUMIFS(Закрытые!$K$5:$K$300,Закрытые!$E$5:$E$300,$B227,Закрытые!$B$5:$B$300,"T-*"))</f>
        <v/>
      </c>
      <c r="I227" s="240">
        <f>IF($B227="","",IF(COUNTIFS(Торговля!$E$5:$E$300,$B227)+COUNTIFS(Закрытые!$E$5:$E$300,$B227,Закрытые!$B$5:$B$300,"T-*")=0,"",ROUND(SUMIFS(Торговля!$L$5:$L$300,Торговля!$E$5:$E$300,$B227)+SUMIFS(Закрытые!$L$5:$L$300,Закрытые!$E$5:$E$300,$B227,Закрытые!$B$5:$B$300,"T-*"),8)))</f>
        <v/>
      </c>
      <c r="J227" s="241">
        <f>IF($B227="","",IF(COUNTIFS(Торговля!$E$5:$E$300,$B227)+COUNTIFS(Закрытые!$E$5:$E$300,$B227,Закрытые!$B$5:$B$300,"T-*")=0,"",ROUND(SUMIFS(Торговля!$M$5:$M$300,Торговля!$E$5:$E$300,$B227)+SUMIFS(Закрытые!$M$5:$M$300,Закрытые!$E$5:$E$300,$B227,Закрытые!$B$5:$B$300,"T-*"),8)))</f>
        <v/>
      </c>
      <c r="K227" s="240">
        <f>IF($B227="","",ROUND(SUMIFS(Закрытые!$N$5:$N$300,Закрытые!$E$5:$E$300,$B227,Закрытые!$B$5:$B$300,"T-*"),8))</f>
        <v/>
      </c>
      <c r="L227" s="177">
        <f>IF(K227="","",IF(SUMPRODUCT((Закрытые!$E$5:$E$300=$B227)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227/SUMPRODUCT((Закрытые!$E$5:$E$300=$B227)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7" s="177">
        <f>IF(OR(ROUND(N(C227)-N(F227),8)=0,1-N(Ввод!$E$17)/100&lt;=0),"",IF(N(C227)&gt;N(F227),(N(E227)-N(H227))/((N(C227)-N(F227))*(1-N(Ввод!$E$17)/100)),(N(H227)-N(E227))/((N(F227)-N(C227))*(1+N(Ввод!$E$17)/100))))</f>
        <v/>
      </c>
    </row>
    <row r="228" ht="22" customHeight="1">
      <c r="B228" s="320" t="n"/>
      <c r="C228" s="246">
        <f>IF(SUMIFS(Торговля!$F$5:$F$300,Торговля!$E$5:$E$300,$B228)+SUMIFS(Закрытые!$F$5:$F$300,Закрытые!$E$5:$E$300,$B228,Закрытые!$B$5:$B$300,"T-*")=0,"",SUMIFS(Торговля!$F$5:$F$300,Торговля!$E$5:$E$300,$B228)+SUMIFS(Закрытые!$F$5:$F$300,Закрытые!$E$5:$E$300,$B228,Закрытые!$B$5:$B$300,"T-*"))</f>
        <v/>
      </c>
      <c r="D228" s="183">
        <f>IF(C228="","",(SUMPRODUCT((Торговля!$E$5:$E$300=$B228)*Торговля!$F$5:$F$300*Торговля!$G$5:$G$300)+SUMPRODUCT((Закрытые!$E$5:$E$300=$B228)*(LEFT(Закрытые!$B$5:$B$300,2)="T-")*Закрытые!$F$5:$F$300*Закрытые!$G$5:$G$300))/C228)</f>
        <v/>
      </c>
      <c r="E228" s="247">
        <f>IF(C228="","",SUMIFS(Торговля!$H$5:$H$300,Торговля!$E$5:$E$300,$B228)+SUMIFS(Закрытые!$H$5:$H$300,Закрытые!$E$5:$E$300,$B228,Закрытые!$B$5:$B$300,"T-*"))</f>
        <v/>
      </c>
      <c r="F228" s="246">
        <f>IF(SUMIFS(Торговля!$I$5:$I$300,Торговля!$E$5:$E$300,$B228)+SUMIFS(Закрытые!$I$5:$I$300,Закрытые!$E$5:$E$300,$B228,Закрытые!$B$5:$B$300,"T-*")=0,"",SUMIFS(Торговля!$I$5:$I$300,Торговля!$E$5:$E$300,$B228)+SUMIFS(Закрытые!$I$5:$I$300,Закрытые!$E$5:$E$300,$B228,Закрытые!$B$5:$B$300,"T-*"))</f>
        <v/>
      </c>
      <c r="G228" s="183">
        <f>IF(F228="","",(SUMPRODUCT((Торговля!$E$5:$E$300=$B228)*Торговля!$I$5:$I$300*Торговля!$J$5:$J$300)+SUMPRODUCT((Закрытые!$E$5:$E$300=$B228)*(LEFT(Закрытые!$B$5:$B$300,2)="T-")*Закрытые!$I$5:$I$300*Закрытые!$J$5:$J$300))/F228)</f>
        <v/>
      </c>
      <c r="H228" s="247">
        <f>IF(F228="","",SUMIFS(Торговля!$K$5:$K$300,Торговля!$E$5:$E$300,$B228)+SUMIFS(Закрытые!$K$5:$K$300,Закрытые!$E$5:$E$300,$B228,Закрытые!$B$5:$B$300,"T-*"))</f>
        <v/>
      </c>
      <c r="I228" s="246">
        <f>IF($B228="","",IF(COUNTIFS(Торговля!$E$5:$E$300,$B228)+COUNTIFS(Закрытые!$E$5:$E$300,$B228,Закрытые!$B$5:$B$300,"T-*")=0,"",ROUND(SUMIFS(Торговля!$L$5:$L$300,Торговля!$E$5:$E$300,$B228)+SUMIFS(Закрытые!$L$5:$L$300,Закрытые!$E$5:$E$300,$B228,Закрытые!$B$5:$B$300,"T-*"),8)))</f>
        <v/>
      </c>
      <c r="J228" s="247">
        <f>IF($B228="","",IF(COUNTIFS(Торговля!$E$5:$E$300,$B228)+COUNTIFS(Закрытые!$E$5:$E$300,$B228,Закрытые!$B$5:$B$300,"T-*")=0,"",ROUND(SUMIFS(Торговля!$M$5:$M$300,Торговля!$E$5:$E$300,$B228)+SUMIFS(Закрытые!$M$5:$M$300,Закрытые!$E$5:$E$300,$B228,Закрытые!$B$5:$B$300,"T-*"),8)))</f>
        <v/>
      </c>
      <c r="K228" s="246">
        <f>IF($B228="","",ROUND(SUMIFS(Закрытые!$N$5:$N$300,Закрытые!$E$5:$E$300,$B228,Закрытые!$B$5:$B$300,"T-*"),8))</f>
        <v/>
      </c>
      <c r="L228" s="183">
        <f>IF(K228="","",IF(SUMPRODUCT((Закрытые!$E$5:$E$300=$B228)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228/SUMPRODUCT((Закрытые!$E$5:$E$300=$B228)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8" s="183">
        <f>IF(OR(ROUND(N(C228)-N(F228),8)=0,1-N(Ввод!$E$17)/100&lt;=0),"",IF(N(C228)&gt;N(F228),(N(E228)-N(H228))/((N(C228)-N(F228))*(1-N(Ввод!$E$17)/100)),(N(H228)-N(E228))/((N(F228)-N(C228))*(1+N(Ввод!$E$17)/100))))</f>
        <v/>
      </c>
    </row>
    <row r="229" ht="22" customHeight="1">
      <c r="B229" s="315" t="n"/>
      <c r="C229" s="240">
        <f>IF(SUMIFS(Торговля!$F$5:$F$300,Торговля!$E$5:$E$300,$B229)+SUMIFS(Закрытые!$F$5:$F$300,Закрытые!$E$5:$E$300,$B229,Закрытые!$B$5:$B$300,"T-*")=0,"",SUMIFS(Торговля!$F$5:$F$300,Торговля!$E$5:$E$300,$B229)+SUMIFS(Закрытые!$F$5:$F$300,Закрытые!$E$5:$E$300,$B229,Закрытые!$B$5:$B$300,"T-*"))</f>
        <v/>
      </c>
      <c r="D229" s="177">
        <f>IF(C229="","",(SUMPRODUCT((Торговля!$E$5:$E$300=$B229)*Торговля!$F$5:$F$300*Торговля!$G$5:$G$300)+SUMPRODUCT((Закрытые!$E$5:$E$300=$B229)*(LEFT(Закрытые!$B$5:$B$300,2)="T-")*Закрытые!$F$5:$F$300*Закрытые!$G$5:$G$300))/C229)</f>
        <v/>
      </c>
      <c r="E229" s="241">
        <f>IF(C229="","",SUMIFS(Торговля!$H$5:$H$300,Торговля!$E$5:$E$300,$B229)+SUMIFS(Закрытые!$H$5:$H$300,Закрытые!$E$5:$E$300,$B229,Закрытые!$B$5:$B$300,"T-*"))</f>
        <v/>
      </c>
      <c r="F229" s="240">
        <f>IF(SUMIFS(Торговля!$I$5:$I$300,Торговля!$E$5:$E$300,$B229)+SUMIFS(Закрытые!$I$5:$I$300,Закрытые!$E$5:$E$300,$B229,Закрытые!$B$5:$B$300,"T-*")=0,"",SUMIFS(Торговля!$I$5:$I$300,Торговля!$E$5:$E$300,$B229)+SUMIFS(Закрытые!$I$5:$I$300,Закрытые!$E$5:$E$300,$B229,Закрытые!$B$5:$B$300,"T-*"))</f>
        <v/>
      </c>
      <c r="G229" s="177">
        <f>IF(F229="","",(SUMPRODUCT((Торговля!$E$5:$E$300=$B229)*Торговля!$I$5:$I$300*Торговля!$J$5:$J$300)+SUMPRODUCT((Закрытые!$E$5:$E$300=$B229)*(LEFT(Закрытые!$B$5:$B$300,2)="T-")*Закрытые!$I$5:$I$300*Закрытые!$J$5:$J$300))/F229)</f>
        <v/>
      </c>
      <c r="H229" s="241">
        <f>IF(F229="","",SUMIFS(Торговля!$K$5:$K$300,Торговля!$E$5:$E$300,$B229)+SUMIFS(Закрытые!$K$5:$K$300,Закрытые!$E$5:$E$300,$B229,Закрытые!$B$5:$B$300,"T-*"))</f>
        <v/>
      </c>
      <c r="I229" s="240">
        <f>IF($B229="","",IF(COUNTIFS(Торговля!$E$5:$E$300,$B229)+COUNTIFS(Закрытые!$E$5:$E$300,$B229,Закрытые!$B$5:$B$300,"T-*")=0,"",ROUND(SUMIFS(Торговля!$L$5:$L$300,Торговля!$E$5:$E$300,$B229)+SUMIFS(Закрытые!$L$5:$L$300,Закрытые!$E$5:$E$300,$B229,Закрытые!$B$5:$B$300,"T-*"),8)))</f>
        <v/>
      </c>
      <c r="J229" s="241">
        <f>IF($B229="","",IF(COUNTIFS(Торговля!$E$5:$E$300,$B229)+COUNTIFS(Закрытые!$E$5:$E$300,$B229,Закрытые!$B$5:$B$300,"T-*")=0,"",ROUND(SUMIFS(Торговля!$M$5:$M$300,Торговля!$E$5:$E$300,$B229)+SUMIFS(Закрытые!$M$5:$M$300,Закрытые!$E$5:$E$300,$B229,Закрытые!$B$5:$B$300,"T-*"),8)))</f>
        <v/>
      </c>
      <c r="K229" s="240">
        <f>IF($B229="","",ROUND(SUMIFS(Закрытые!$N$5:$N$300,Закрытые!$E$5:$E$300,$B229,Закрытые!$B$5:$B$300,"T-*"),8))</f>
        <v/>
      </c>
      <c r="L229" s="177">
        <f>IF(K229="","",IF(SUMPRODUCT((Закрытые!$E$5:$E$300=$B229)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229/SUMPRODUCT((Закрытые!$E$5:$E$300=$B229)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9" s="177">
        <f>IF(OR(ROUND(N(C229)-N(F229),8)=0,1-N(Ввод!$E$17)/100&lt;=0),"",IF(N(C229)&gt;N(F229),(N(E229)-N(H229))/((N(C229)-N(F229))*(1-N(Ввод!$E$17)/100)),(N(H229)-N(E229))/((N(F229)-N(C229))*(1+N(Ввод!$E$17)/100))))</f>
        <v/>
      </c>
    </row>
    <row r="230" ht="22" customHeight="1">
      <c r="B230" s="320" t="n"/>
      <c r="C230" s="246">
        <f>IF(SUMIFS(Торговля!$F$5:$F$300,Торговля!$E$5:$E$300,$B230)+SUMIFS(Закрытые!$F$5:$F$300,Закрытые!$E$5:$E$300,$B230,Закрытые!$B$5:$B$300,"T-*")=0,"",SUMIFS(Торговля!$F$5:$F$300,Торговля!$E$5:$E$300,$B230)+SUMIFS(Закрытые!$F$5:$F$300,Закрытые!$E$5:$E$300,$B230,Закрытые!$B$5:$B$300,"T-*"))</f>
        <v/>
      </c>
      <c r="D230" s="183">
        <f>IF(C230="","",(SUMPRODUCT((Торговля!$E$5:$E$300=$B230)*Торговля!$F$5:$F$300*Торговля!$G$5:$G$300)+SUMPRODUCT((Закрытые!$E$5:$E$300=$B230)*(LEFT(Закрытые!$B$5:$B$300,2)="T-")*Закрытые!$F$5:$F$300*Закрытые!$G$5:$G$300))/C230)</f>
        <v/>
      </c>
      <c r="E230" s="247">
        <f>IF(C230="","",SUMIFS(Торговля!$H$5:$H$300,Торговля!$E$5:$E$300,$B230)+SUMIFS(Закрытые!$H$5:$H$300,Закрытые!$E$5:$E$300,$B230,Закрытые!$B$5:$B$300,"T-*"))</f>
        <v/>
      </c>
      <c r="F230" s="246">
        <f>IF(SUMIFS(Торговля!$I$5:$I$300,Торговля!$E$5:$E$300,$B230)+SUMIFS(Закрытые!$I$5:$I$300,Закрытые!$E$5:$E$300,$B230,Закрытые!$B$5:$B$300,"T-*")=0,"",SUMIFS(Торговля!$I$5:$I$300,Торговля!$E$5:$E$300,$B230)+SUMIFS(Закрытые!$I$5:$I$300,Закрытые!$E$5:$E$300,$B230,Закрытые!$B$5:$B$300,"T-*"))</f>
        <v/>
      </c>
      <c r="G230" s="183">
        <f>IF(F230="","",(SUMPRODUCT((Торговля!$E$5:$E$300=$B230)*Торговля!$I$5:$I$300*Торговля!$J$5:$J$300)+SUMPRODUCT((Закрытые!$E$5:$E$300=$B230)*(LEFT(Закрытые!$B$5:$B$300,2)="T-")*Закрытые!$I$5:$I$300*Закрытые!$J$5:$J$300))/F230)</f>
        <v/>
      </c>
      <c r="H230" s="247">
        <f>IF(F230="","",SUMIFS(Торговля!$K$5:$K$300,Торговля!$E$5:$E$300,$B230)+SUMIFS(Закрытые!$K$5:$K$300,Закрытые!$E$5:$E$300,$B230,Закрытые!$B$5:$B$300,"T-*"))</f>
        <v/>
      </c>
      <c r="I230" s="246">
        <f>IF($B230="","",IF(COUNTIFS(Торговля!$E$5:$E$300,$B230)+COUNTIFS(Закрытые!$E$5:$E$300,$B230,Закрытые!$B$5:$B$300,"T-*")=0,"",ROUND(SUMIFS(Торговля!$L$5:$L$300,Торговля!$E$5:$E$300,$B230)+SUMIFS(Закрытые!$L$5:$L$300,Закрытые!$E$5:$E$300,$B230,Закрытые!$B$5:$B$300,"T-*"),8)))</f>
        <v/>
      </c>
      <c r="J230" s="247">
        <f>IF($B230="","",IF(COUNTIFS(Торговля!$E$5:$E$300,$B230)+COUNTIFS(Закрытые!$E$5:$E$300,$B230,Закрытые!$B$5:$B$300,"T-*")=0,"",ROUND(SUMIFS(Торговля!$M$5:$M$300,Торговля!$E$5:$E$300,$B230)+SUMIFS(Закрытые!$M$5:$M$300,Закрытые!$E$5:$E$300,$B230,Закрытые!$B$5:$B$300,"T-*"),8)))</f>
        <v/>
      </c>
      <c r="K230" s="246">
        <f>IF($B230="","",ROUND(SUMIFS(Закрытые!$N$5:$N$300,Закрытые!$E$5:$E$300,$B230,Закрытые!$B$5:$B$300,"T-*"),8))</f>
        <v/>
      </c>
      <c r="L230" s="183">
        <f>IF(K230="","",IF(SUMPRODUCT((Закрытые!$E$5:$E$300=$B230)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230/SUMPRODUCT((Закрытые!$E$5:$E$300=$B230)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0" s="183">
        <f>IF(OR(ROUND(N(C230)-N(F230),8)=0,1-N(Ввод!$E$17)/100&lt;=0),"",IF(N(C230)&gt;N(F230),(N(E230)-N(H230))/((N(C230)-N(F230))*(1-N(Ввод!$E$17)/100)),(N(H230)-N(E230))/((N(F230)-N(C230))*(1+N(Ввод!$E$17)/100))))</f>
        <v/>
      </c>
    </row>
    <row r="231" ht="22" customHeight="1">
      <c r="B231" s="315" t="n"/>
      <c r="C231" s="240">
        <f>IF(SUMIFS(Торговля!$F$5:$F$300,Торговля!$E$5:$E$300,$B231)+SUMIFS(Закрытые!$F$5:$F$300,Закрытые!$E$5:$E$300,$B231,Закрытые!$B$5:$B$300,"T-*")=0,"",SUMIFS(Торговля!$F$5:$F$300,Торговля!$E$5:$E$300,$B231)+SUMIFS(Закрытые!$F$5:$F$300,Закрытые!$E$5:$E$300,$B231,Закрытые!$B$5:$B$300,"T-*"))</f>
        <v/>
      </c>
      <c r="D231" s="177">
        <f>IF(C231="","",(SUMPRODUCT((Торговля!$E$5:$E$300=$B231)*Торговля!$F$5:$F$300*Торговля!$G$5:$G$300)+SUMPRODUCT((Закрытые!$E$5:$E$300=$B231)*(LEFT(Закрытые!$B$5:$B$300,2)="T-")*Закрытые!$F$5:$F$300*Закрытые!$G$5:$G$300))/C231)</f>
        <v/>
      </c>
      <c r="E231" s="241">
        <f>IF(C231="","",SUMIFS(Торговля!$H$5:$H$300,Торговля!$E$5:$E$300,$B231)+SUMIFS(Закрытые!$H$5:$H$300,Закрытые!$E$5:$E$300,$B231,Закрытые!$B$5:$B$300,"T-*"))</f>
        <v/>
      </c>
      <c r="F231" s="240">
        <f>IF(SUMIFS(Торговля!$I$5:$I$300,Торговля!$E$5:$E$300,$B231)+SUMIFS(Закрытые!$I$5:$I$300,Закрытые!$E$5:$E$300,$B231,Закрытые!$B$5:$B$300,"T-*")=0,"",SUMIFS(Торговля!$I$5:$I$300,Торговля!$E$5:$E$300,$B231)+SUMIFS(Закрытые!$I$5:$I$300,Закрытые!$E$5:$E$300,$B231,Закрытые!$B$5:$B$300,"T-*"))</f>
        <v/>
      </c>
      <c r="G231" s="177">
        <f>IF(F231="","",(SUMPRODUCT((Торговля!$E$5:$E$300=$B231)*Торговля!$I$5:$I$300*Торговля!$J$5:$J$300)+SUMPRODUCT((Закрытые!$E$5:$E$300=$B231)*(LEFT(Закрытые!$B$5:$B$300,2)="T-")*Закрытые!$I$5:$I$300*Закрытые!$J$5:$J$300))/F231)</f>
        <v/>
      </c>
      <c r="H231" s="241">
        <f>IF(F231="","",SUMIFS(Торговля!$K$5:$K$300,Торговля!$E$5:$E$300,$B231)+SUMIFS(Закрытые!$K$5:$K$300,Закрытые!$E$5:$E$300,$B231,Закрытые!$B$5:$B$300,"T-*"))</f>
        <v/>
      </c>
      <c r="I231" s="240">
        <f>IF($B231="","",IF(COUNTIFS(Торговля!$E$5:$E$300,$B231)+COUNTIFS(Закрытые!$E$5:$E$300,$B231,Закрытые!$B$5:$B$300,"T-*")=0,"",ROUND(SUMIFS(Торговля!$L$5:$L$300,Торговля!$E$5:$E$300,$B231)+SUMIFS(Закрытые!$L$5:$L$300,Закрытые!$E$5:$E$300,$B231,Закрытые!$B$5:$B$300,"T-*"),8)))</f>
        <v/>
      </c>
      <c r="J231" s="241">
        <f>IF($B231="","",IF(COUNTIFS(Торговля!$E$5:$E$300,$B231)+COUNTIFS(Закрытые!$E$5:$E$300,$B231,Закрытые!$B$5:$B$300,"T-*")=0,"",ROUND(SUMIFS(Торговля!$M$5:$M$300,Торговля!$E$5:$E$300,$B231)+SUMIFS(Закрытые!$M$5:$M$300,Закрытые!$E$5:$E$300,$B231,Закрытые!$B$5:$B$300,"T-*"),8)))</f>
        <v/>
      </c>
      <c r="K231" s="240">
        <f>IF($B231="","",ROUND(SUMIFS(Закрытые!$N$5:$N$300,Закрытые!$E$5:$E$300,$B231,Закрытые!$B$5:$B$300,"T-*"),8))</f>
        <v/>
      </c>
      <c r="L231" s="177">
        <f>IF(K231="","",IF(SUMPRODUCT((Закрытые!$E$5:$E$300=$B231)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231/SUMPRODUCT((Закрытые!$E$5:$E$300=$B231)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1" s="177">
        <f>IF(OR(ROUND(N(C231)-N(F231),8)=0,1-N(Ввод!$E$17)/100&lt;=0),"",IF(N(C231)&gt;N(F231),(N(E231)-N(H231))/((N(C231)-N(F231))*(1-N(Ввод!$E$17)/100)),(N(H231)-N(E231))/((N(F231)-N(C231))*(1+N(Ввод!$E$17)/100))))</f>
        <v/>
      </c>
    </row>
    <row r="232" ht="22" customHeight="1">
      <c r="B232" s="320" t="n"/>
      <c r="C232" s="246">
        <f>IF(SUMIFS(Торговля!$F$5:$F$300,Торговля!$E$5:$E$300,$B232)+SUMIFS(Закрытые!$F$5:$F$300,Закрытые!$E$5:$E$300,$B232,Закрытые!$B$5:$B$300,"T-*")=0,"",SUMIFS(Торговля!$F$5:$F$300,Торговля!$E$5:$E$300,$B232)+SUMIFS(Закрытые!$F$5:$F$300,Закрытые!$E$5:$E$300,$B232,Закрытые!$B$5:$B$300,"T-*"))</f>
        <v/>
      </c>
      <c r="D232" s="183">
        <f>IF(C232="","",(SUMPRODUCT((Торговля!$E$5:$E$300=$B232)*Торговля!$F$5:$F$300*Торговля!$G$5:$G$300)+SUMPRODUCT((Закрытые!$E$5:$E$300=$B232)*(LEFT(Закрытые!$B$5:$B$300,2)="T-")*Закрытые!$F$5:$F$300*Закрытые!$G$5:$G$300))/C232)</f>
        <v/>
      </c>
      <c r="E232" s="247">
        <f>IF(C232="","",SUMIFS(Торговля!$H$5:$H$300,Торговля!$E$5:$E$300,$B232)+SUMIFS(Закрытые!$H$5:$H$300,Закрытые!$E$5:$E$300,$B232,Закрытые!$B$5:$B$300,"T-*"))</f>
        <v/>
      </c>
      <c r="F232" s="246">
        <f>IF(SUMIFS(Торговля!$I$5:$I$300,Торговля!$E$5:$E$300,$B232)+SUMIFS(Закрытые!$I$5:$I$300,Закрытые!$E$5:$E$300,$B232,Закрытые!$B$5:$B$300,"T-*")=0,"",SUMIFS(Торговля!$I$5:$I$300,Торговля!$E$5:$E$300,$B232)+SUMIFS(Закрытые!$I$5:$I$300,Закрытые!$E$5:$E$300,$B232,Закрытые!$B$5:$B$300,"T-*"))</f>
        <v/>
      </c>
      <c r="G232" s="183">
        <f>IF(F232="","",(SUMPRODUCT((Торговля!$E$5:$E$300=$B232)*Торговля!$I$5:$I$300*Торговля!$J$5:$J$300)+SUMPRODUCT((Закрытые!$E$5:$E$300=$B232)*(LEFT(Закрытые!$B$5:$B$300,2)="T-")*Закрытые!$I$5:$I$300*Закрытые!$J$5:$J$300))/F232)</f>
        <v/>
      </c>
      <c r="H232" s="247">
        <f>IF(F232="","",SUMIFS(Торговля!$K$5:$K$300,Торговля!$E$5:$E$300,$B232)+SUMIFS(Закрытые!$K$5:$K$300,Закрытые!$E$5:$E$300,$B232,Закрытые!$B$5:$B$300,"T-*"))</f>
        <v/>
      </c>
      <c r="I232" s="246">
        <f>IF($B232="","",IF(COUNTIFS(Торговля!$E$5:$E$300,$B232)+COUNTIFS(Закрытые!$E$5:$E$300,$B232,Закрытые!$B$5:$B$300,"T-*")=0,"",ROUND(SUMIFS(Торговля!$L$5:$L$300,Торговля!$E$5:$E$300,$B232)+SUMIFS(Закрытые!$L$5:$L$300,Закрытые!$E$5:$E$300,$B232,Закрытые!$B$5:$B$300,"T-*"),8)))</f>
        <v/>
      </c>
      <c r="J232" s="247">
        <f>IF($B232="","",IF(COUNTIFS(Торговля!$E$5:$E$300,$B232)+COUNTIFS(Закрытые!$E$5:$E$300,$B232,Закрытые!$B$5:$B$300,"T-*")=0,"",ROUND(SUMIFS(Торговля!$M$5:$M$300,Торговля!$E$5:$E$300,$B232)+SUMIFS(Закрытые!$M$5:$M$300,Закрытые!$E$5:$E$300,$B232,Закрытые!$B$5:$B$300,"T-*"),8)))</f>
        <v/>
      </c>
      <c r="K232" s="246">
        <f>IF($B232="","",ROUND(SUMIFS(Закрытые!$N$5:$N$300,Закрытые!$E$5:$E$300,$B232,Закрытые!$B$5:$B$300,"T-*"),8))</f>
        <v/>
      </c>
      <c r="L232" s="183">
        <f>IF(K232="","",IF(SUMPRODUCT((Закрытые!$E$5:$E$300=$B232)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232/SUMPRODUCT((Закрытые!$E$5:$E$300=$B232)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2" s="183">
        <f>IF(OR(ROUND(N(C232)-N(F232),8)=0,1-N(Ввод!$E$17)/100&lt;=0),"",IF(N(C232)&gt;N(F232),(N(E232)-N(H232))/((N(C232)-N(F232))*(1-N(Ввод!$E$17)/100)),(N(H232)-N(E232))/((N(F232)-N(C232))*(1+N(Ввод!$E$17)/100))))</f>
        <v/>
      </c>
    </row>
    <row r="233" ht="22" customHeight="1">
      <c r="B233" s="315" t="n"/>
      <c r="C233" s="240">
        <f>IF(SUMIFS(Торговля!$F$5:$F$300,Торговля!$E$5:$E$300,$B233)+SUMIFS(Закрытые!$F$5:$F$300,Закрытые!$E$5:$E$300,$B233,Закрытые!$B$5:$B$300,"T-*")=0,"",SUMIFS(Торговля!$F$5:$F$300,Торговля!$E$5:$E$300,$B233)+SUMIFS(Закрытые!$F$5:$F$300,Закрытые!$E$5:$E$300,$B233,Закрытые!$B$5:$B$300,"T-*"))</f>
        <v/>
      </c>
      <c r="D233" s="177">
        <f>IF(C233="","",(SUMPRODUCT((Торговля!$E$5:$E$300=$B233)*Торговля!$F$5:$F$300*Торговля!$G$5:$G$300)+SUMPRODUCT((Закрытые!$E$5:$E$300=$B233)*(LEFT(Закрытые!$B$5:$B$300,2)="T-")*Закрытые!$F$5:$F$300*Закрытые!$G$5:$G$300))/C233)</f>
        <v/>
      </c>
      <c r="E233" s="241">
        <f>IF(C233="","",SUMIFS(Торговля!$H$5:$H$300,Торговля!$E$5:$E$300,$B233)+SUMIFS(Закрытые!$H$5:$H$300,Закрытые!$E$5:$E$300,$B233,Закрытые!$B$5:$B$300,"T-*"))</f>
        <v/>
      </c>
      <c r="F233" s="240">
        <f>IF(SUMIFS(Торговля!$I$5:$I$300,Торговля!$E$5:$E$300,$B233)+SUMIFS(Закрытые!$I$5:$I$300,Закрытые!$E$5:$E$300,$B233,Закрытые!$B$5:$B$300,"T-*")=0,"",SUMIFS(Торговля!$I$5:$I$300,Торговля!$E$5:$E$300,$B233)+SUMIFS(Закрытые!$I$5:$I$300,Закрытые!$E$5:$E$300,$B233,Закрытые!$B$5:$B$300,"T-*"))</f>
        <v/>
      </c>
      <c r="G233" s="177">
        <f>IF(F233="","",(SUMPRODUCT((Торговля!$E$5:$E$300=$B233)*Торговля!$I$5:$I$300*Торговля!$J$5:$J$300)+SUMPRODUCT((Закрытые!$E$5:$E$300=$B233)*(LEFT(Закрытые!$B$5:$B$300,2)="T-")*Закрытые!$I$5:$I$300*Закрытые!$J$5:$J$300))/F233)</f>
        <v/>
      </c>
      <c r="H233" s="241">
        <f>IF(F233="","",SUMIFS(Торговля!$K$5:$K$300,Торговля!$E$5:$E$300,$B233)+SUMIFS(Закрытые!$K$5:$K$300,Закрытые!$E$5:$E$300,$B233,Закрытые!$B$5:$B$300,"T-*"))</f>
        <v/>
      </c>
      <c r="I233" s="240">
        <f>IF($B233="","",IF(COUNTIFS(Торговля!$E$5:$E$300,$B233)+COUNTIFS(Закрытые!$E$5:$E$300,$B233,Закрытые!$B$5:$B$300,"T-*")=0,"",ROUND(SUMIFS(Торговля!$L$5:$L$300,Торговля!$E$5:$E$300,$B233)+SUMIFS(Закрытые!$L$5:$L$300,Закрытые!$E$5:$E$300,$B233,Закрытые!$B$5:$B$300,"T-*"),8)))</f>
        <v/>
      </c>
      <c r="J233" s="241">
        <f>IF($B233="","",IF(COUNTIFS(Торговля!$E$5:$E$300,$B233)+COUNTIFS(Закрытые!$E$5:$E$300,$B233,Закрытые!$B$5:$B$300,"T-*")=0,"",ROUND(SUMIFS(Торговля!$M$5:$M$300,Торговля!$E$5:$E$300,$B233)+SUMIFS(Закрытые!$M$5:$M$300,Закрытые!$E$5:$E$300,$B233,Закрытые!$B$5:$B$300,"T-*"),8)))</f>
        <v/>
      </c>
      <c r="K233" s="240">
        <f>IF($B233="","",ROUND(SUMIFS(Закрытые!$N$5:$N$300,Закрытые!$E$5:$E$300,$B233,Закрытые!$B$5:$B$300,"T-*"),8))</f>
        <v/>
      </c>
      <c r="L233" s="177">
        <f>IF(K233="","",IF(SUMPRODUCT((Закрытые!$E$5:$E$300=$B233)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233/SUMPRODUCT((Закрытые!$E$5:$E$300=$B233)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3" s="177">
        <f>IF(OR(ROUND(N(C233)-N(F233),8)=0,1-N(Ввод!$E$17)/100&lt;=0),"",IF(N(C233)&gt;N(F233),(N(E233)-N(H233))/((N(C233)-N(F233))*(1-N(Ввод!$E$17)/100)),(N(H233)-N(E233))/((N(F233)-N(C233))*(1+N(Ввод!$E$17)/100))))</f>
        <v/>
      </c>
    </row>
    <row r="234" ht="22" customHeight="1">
      <c r="B234" s="320" t="n"/>
      <c r="C234" s="246">
        <f>IF(SUMIFS(Торговля!$F$5:$F$300,Торговля!$E$5:$E$300,$B234)+SUMIFS(Закрытые!$F$5:$F$300,Закрытые!$E$5:$E$300,$B234,Закрытые!$B$5:$B$300,"T-*")=0,"",SUMIFS(Торговля!$F$5:$F$300,Торговля!$E$5:$E$300,$B234)+SUMIFS(Закрытые!$F$5:$F$300,Закрытые!$E$5:$E$300,$B234,Закрытые!$B$5:$B$300,"T-*"))</f>
        <v/>
      </c>
      <c r="D234" s="183">
        <f>IF(C234="","",(SUMPRODUCT((Торговля!$E$5:$E$300=$B234)*Торговля!$F$5:$F$300*Торговля!$G$5:$G$300)+SUMPRODUCT((Закрытые!$E$5:$E$300=$B234)*(LEFT(Закрытые!$B$5:$B$300,2)="T-")*Закрытые!$F$5:$F$300*Закрытые!$G$5:$G$300))/C234)</f>
        <v/>
      </c>
      <c r="E234" s="247">
        <f>IF(C234="","",SUMIFS(Торговля!$H$5:$H$300,Торговля!$E$5:$E$300,$B234)+SUMIFS(Закрытые!$H$5:$H$300,Закрытые!$E$5:$E$300,$B234,Закрытые!$B$5:$B$300,"T-*"))</f>
        <v/>
      </c>
      <c r="F234" s="246">
        <f>IF(SUMIFS(Торговля!$I$5:$I$300,Торговля!$E$5:$E$300,$B234)+SUMIFS(Закрытые!$I$5:$I$300,Закрытые!$E$5:$E$300,$B234,Закрытые!$B$5:$B$300,"T-*")=0,"",SUMIFS(Торговля!$I$5:$I$300,Торговля!$E$5:$E$300,$B234)+SUMIFS(Закрытые!$I$5:$I$300,Закрытые!$E$5:$E$300,$B234,Закрытые!$B$5:$B$300,"T-*"))</f>
        <v/>
      </c>
      <c r="G234" s="183">
        <f>IF(F234="","",(SUMPRODUCT((Торговля!$E$5:$E$300=$B234)*Торговля!$I$5:$I$300*Торговля!$J$5:$J$300)+SUMPRODUCT((Закрытые!$E$5:$E$300=$B234)*(LEFT(Закрытые!$B$5:$B$300,2)="T-")*Закрытые!$I$5:$I$300*Закрытые!$J$5:$J$300))/F234)</f>
        <v/>
      </c>
      <c r="H234" s="247">
        <f>IF(F234="","",SUMIFS(Торговля!$K$5:$K$300,Торговля!$E$5:$E$300,$B234)+SUMIFS(Закрытые!$K$5:$K$300,Закрытые!$E$5:$E$300,$B234,Закрытые!$B$5:$B$300,"T-*"))</f>
        <v/>
      </c>
      <c r="I234" s="246">
        <f>IF($B234="","",IF(COUNTIFS(Торговля!$E$5:$E$300,$B234)+COUNTIFS(Закрытые!$E$5:$E$300,$B234,Закрытые!$B$5:$B$300,"T-*")=0,"",ROUND(SUMIFS(Торговля!$L$5:$L$300,Торговля!$E$5:$E$300,$B234)+SUMIFS(Закрытые!$L$5:$L$300,Закрытые!$E$5:$E$300,$B234,Закрытые!$B$5:$B$300,"T-*"),8)))</f>
        <v/>
      </c>
      <c r="J234" s="247">
        <f>IF($B234="","",IF(COUNTIFS(Торговля!$E$5:$E$300,$B234)+COUNTIFS(Закрытые!$E$5:$E$300,$B234,Закрытые!$B$5:$B$300,"T-*")=0,"",ROUND(SUMIFS(Торговля!$M$5:$M$300,Торговля!$E$5:$E$300,$B234)+SUMIFS(Закрытые!$M$5:$M$300,Закрытые!$E$5:$E$300,$B234,Закрытые!$B$5:$B$300,"T-*"),8)))</f>
        <v/>
      </c>
      <c r="K234" s="246">
        <f>IF($B234="","",ROUND(SUMIFS(Закрытые!$N$5:$N$300,Закрытые!$E$5:$E$300,$B234,Закрытые!$B$5:$B$300,"T-*"),8))</f>
        <v/>
      </c>
      <c r="L234" s="183">
        <f>IF(K234="","",IF(SUMPRODUCT((Закрытые!$E$5:$E$300=$B234)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234/SUMPRODUCT((Закрытые!$E$5:$E$300=$B234)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4" s="183">
        <f>IF(OR(ROUND(N(C234)-N(F234),8)=0,1-N(Ввод!$E$17)/100&lt;=0),"",IF(N(C234)&gt;N(F234),(N(E234)-N(H234))/((N(C234)-N(F234))*(1-N(Ввод!$E$17)/100)),(N(H234)-N(E234))/((N(F234)-N(C234))*(1+N(Ввод!$E$17)/100))))</f>
        <v/>
      </c>
    </row>
    <row r="235" ht="22" customHeight="1">
      <c r="B235" s="315" t="n"/>
      <c r="C235" s="240">
        <f>IF(SUMIFS(Торговля!$F$5:$F$300,Торговля!$E$5:$E$300,$B235)+SUMIFS(Закрытые!$F$5:$F$300,Закрытые!$E$5:$E$300,$B235,Закрытые!$B$5:$B$300,"T-*")=0,"",SUMIFS(Торговля!$F$5:$F$300,Торговля!$E$5:$E$300,$B235)+SUMIFS(Закрытые!$F$5:$F$300,Закрытые!$E$5:$E$300,$B235,Закрытые!$B$5:$B$300,"T-*"))</f>
        <v/>
      </c>
      <c r="D235" s="177">
        <f>IF(C235="","",(SUMPRODUCT((Торговля!$E$5:$E$300=$B235)*Торговля!$F$5:$F$300*Торговля!$G$5:$G$300)+SUMPRODUCT((Закрытые!$E$5:$E$300=$B235)*(LEFT(Закрытые!$B$5:$B$300,2)="T-")*Закрытые!$F$5:$F$300*Закрытые!$G$5:$G$300))/C235)</f>
        <v/>
      </c>
      <c r="E235" s="241">
        <f>IF(C235="","",SUMIFS(Торговля!$H$5:$H$300,Торговля!$E$5:$E$300,$B235)+SUMIFS(Закрытые!$H$5:$H$300,Закрытые!$E$5:$E$300,$B235,Закрытые!$B$5:$B$300,"T-*"))</f>
        <v/>
      </c>
      <c r="F235" s="240">
        <f>IF(SUMIFS(Торговля!$I$5:$I$300,Торговля!$E$5:$E$300,$B235)+SUMIFS(Закрытые!$I$5:$I$300,Закрытые!$E$5:$E$300,$B235,Закрытые!$B$5:$B$300,"T-*")=0,"",SUMIFS(Торговля!$I$5:$I$300,Торговля!$E$5:$E$300,$B235)+SUMIFS(Закрытые!$I$5:$I$300,Закрытые!$E$5:$E$300,$B235,Закрытые!$B$5:$B$300,"T-*"))</f>
        <v/>
      </c>
      <c r="G235" s="177">
        <f>IF(F235="","",(SUMPRODUCT((Торговля!$E$5:$E$300=$B235)*Торговля!$I$5:$I$300*Торговля!$J$5:$J$300)+SUMPRODUCT((Закрытые!$E$5:$E$300=$B235)*(LEFT(Закрытые!$B$5:$B$300,2)="T-")*Закрытые!$I$5:$I$300*Закрытые!$J$5:$J$300))/F235)</f>
        <v/>
      </c>
      <c r="H235" s="241">
        <f>IF(F235="","",SUMIFS(Торговля!$K$5:$K$300,Торговля!$E$5:$E$300,$B235)+SUMIFS(Закрытые!$K$5:$K$300,Закрытые!$E$5:$E$300,$B235,Закрытые!$B$5:$B$300,"T-*"))</f>
        <v/>
      </c>
      <c r="I235" s="240">
        <f>IF($B235="","",IF(COUNTIFS(Торговля!$E$5:$E$300,$B235)+COUNTIFS(Закрытые!$E$5:$E$300,$B235,Закрытые!$B$5:$B$300,"T-*")=0,"",ROUND(SUMIFS(Торговля!$L$5:$L$300,Торговля!$E$5:$E$300,$B235)+SUMIFS(Закрытые!$L$5:$L$300,Закрытые!$E$5:$E$300,$B235,Закрытые!$B$5:$B$300,"T-*"),8)))</f>
        <v/>
      </c>
      <c r="J235" s="241">
        <f>IF($B235="","",IF(COUNTIFS(Торговля!$E$5:$E$300,$B235)+COUNTIFS(Закрытые!$E$5:$E$300,$B235,Закрытые!$B$5:$B$300,"T-*")=0,"",ROUND(SUMIFS(Торговля!$M$5:$M$300,Торговля!$E$5:$E$300,$B235)+SUMIFS(Закрытые!$M$5:$M$300,Закрытые!$E$5:$E$300,$B235,Закрытые!$B$5:$B$300,"T-*"),8)))</f>
        <v/>
      </c>
      <c r="K235" s="240">
        <f>IF($B235="","",ROUND(SUMIFS(Закрытые!$N$5:$N$300,Закрытые!$E$5:$E$300,$B235,Закрытые!$B$5:$B$300,"T-*"),8))</f>
        <v/>
      </c>
      <c r="L235" s="177">
        <f>IF(K235="","",IF(SUMPRODUCT((Закрытые!$E$5:$E$300=$B235)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235/SUMPRODUCT((Закрытые!$E$5:$E$300=$B235)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5" s="177">
        <f>IF(OR(ROUND(N(C235)-N(F235),8)=0,1-N(Ввод!$E$17)/100&lt;=0),"",IF(N(C235)&gt;N(F235),(N(E235)-N(H235))/((N(C235)-N(F235))*(1-N(Ввод!$E$17)/100)),(N(H235)-N(E235))/((N(F235)-N(C235))*(1+N(Ввод!$E$17)/100))))</f>
        <v/>
      </c>
    </row>
    <row r="236" ht="22" customHeight="1">
      <c r="B236" s="320" t="n"/>
      <c r="C236" s="246">
        <f>IF(SUMIFS(Торговля!$F$5:$F$300,Торговля!$E$5:$E$300,$B236)+SUMIFS(Закрытые!$F$5:$F$300,Закрытые!$E$5:$E$300,$B236,Закрытые!$B$5:$B$300,"T-*")=0,"",SUMIFS(Торговля!$F$5:$F$300,Торговля!$E$5:$E$300,$B236)+SUMIFS(Закрытые!$F$5:$F$300,Закрытые!$E$5:$E$300,$B236,Закрытые!$B$5:$B$300,"T-*"))</f>
        <v/>
      </c>
      <c r="D236" s="183">
        <f>IF(C236="","",(SUMPRODUCT((Торговля!$E$5:$E$300=$B236)*Торговля!$F$5:$F$300*Торговля!$G$5:$G$300)+SUMPRODUCT((Закрытые!$E$5:$E$300=$B236)*(LEFT(Закрытые!$B$5:$B$300,2)="T-")*Закрытые!$F$5:$F$300*Закрытые!$G$5:$G$300))/C236)</f>
        <v/>
      </c>
      <c r="E236" s="247">
        <f>IF(C236="","",SUMIFS(Торговля!$H$5:$H$300,Торговля!$E$5:$E$300,$B236)+SUMIFS(Закрытые!$H$5:$H$300,Закрытые!$E$5:$E$300,$B236,Закрытые!$B$5:$B$300,"T-*"))</f>
        <v/>
      </c>
      <c r="F236" s="246">
        <f>IF(SUMIFS(Торговля!$I$5:$I$300,Торговля!$E$5:$E$300,$B236)+SUMIFS(Закрытые!$I$5:$I$300,Закрытые!$E$5:$E$300,$B236,Закрытые!$B$5:$B$300,"T-*")=0,"",SUMIFS(Торговля!$I$5:$I$300,Торговля!$E$5:$E$300,$B236)+SUMIFS(Закрытые!$I$5:$I$300,Закрытые!$E$5:$E$300,$B236,Закрытые!$B$5:$B$300,"T-*"))</f>
        <v/>
      </c>
      <c r="G236" s="183">
        <f>IF(F236="","",(SUMPRODUCT((Торговля!$E$5:$E$300=$B236)*Торговля!$I$5:$I$300*Торговля!$J$5:$J$300)+SUMPRODUCT((Закрытые!$E$5:$E$300=$B236)*(LEFT(Закрытые!$B$5:$B$300,2)="T-")*Закрытые!$I$5:$I$300*Закрытые!$J$5:$J$300))/F236)</f>
        <v/>
      </c>
      <c r="H236" s="247">
        <f>IF(F236="","",SUMIFS(Торговля!$K$5:$K$300,Торговля!$E$5:$E$300,$B236)+SUMIFS(Закрытые!$K$5:$K$300,Закрытые!$E$5:$E$300,$B236,Закрытые!$B$5:$B$300,"T-*"))</f>
        <v/>
      </c>
      <c r="I236" s="246">
        <f>IF($B236="","",IF(COUNTIFS(Торговля!$E$5:$E$300,$B236)+COUNTIFS(Закрытые!$E$5:$E$300,$B236,Закрытые!$B$5:$B$300,"T-*")=0,"",ROUND(SUMIFS(Торговля!$L$5:$L$300,Торговля!$E$5:$E$300,$B236)+SUMIFS(Закрытые!$L$5:$L$300,Закрытые!$E$5:$E$300,$B236,Закрытые!$B$5:$B$300,"T-*"),8)))</f>
        <v/>
      </c>
      <c r="J236" s="247">
        <f>IF($B236="","",IF(COUNTIFS(Торговля!$E$5:$E$300,$B236)+COUNTIFS(Закрытые!$E$5:$E$300,$B236,Закрытые!$B$5:$B$300,"T-*")=0,"",ROUND(SUMIFS(Торговля!$M$5:$M$300,Торговля!$E$5:$E$300,$B236)+SUMIFS(Закрытые!$M$5:$M$300,Закрытые!$E$5:$E$300,$B236,Закрытые!$B$5:$B$300,"T-*"),8)))</f>
        <v/>
      </c>
      <c r="K236" s="246">
        <f>IF($B236="","",ROUND(SUMIFS(Закрытые!$N$5:$N$300,Закрытые!$E$5:$E$300,$B236,Закрытые!$B$5:$B$300,"T-*"),8))</f>
        <v/>
      </c>
      <c r="L236" s="183">
        <f>IF(K236="","",IF(SUMPRODUCT((Закрытые!$E$5:$E$300=$B236)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236/SUMPRODUCT((Закрытые!$E$5:$E$300=$B236)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6" s="183">
        <f>IF(OR(ROUND(N(C236)-N(F236),8)=0,1-N(Ввод!$E$17)/100&lt;=0),"",IF(N(C236)&gt;N(F236),(N(E236)-N(H236))/((N(C236)-N(F236))*(1-N(Ввод!$E$17)/100)),(N(H236)-N(E236))/((N(F236)-N(C236))*(1+N(Ввод!$E$17)/100))))</f>
        <v/>
      </c>
    </row>
    <row r="237" ht="22" customHeight="1">
      <c r="B237" s="315" t="n"/>
      <c r="C237" s="240">
        <f>IF(SUMIFS(Торговля!$F$5:$F$300,Торговля!$E$5:$E$300,$B237)+SUMIFS(Закрытые!$F$5:$F$300,Закрытые!$E$5:$E$300,$B237,Закрытые!$B$5:$B$300,"T-*")=0,"",SUMIFS(Торговля!$F$5:$F$300,Торговля!$E$5:$E$300,$B237)+SUMIFS(Закрытые!$F$5:$F$300,Закрытые!$E$5:$E$300,$B237,Закрытые!$B$5:$B$300,"T-*"))</f>
        <v/>
      </c>
      <c r="D237" s="177">
        <f>IF(C237="","",(SUMPRODUCT((Торговля!$E$5:$E$300=$B237)*Торговля!$F$5:$F$300*Торговля!$G$5:$G$300)+SUMPRODUCT((Закрытые!$E$5:$E$300=$B237)*(LEFT(Закрытые!$B$5:$B$300,2)="T-")*Закрытые!$F$5:$F$300*Закрытые!$G$5:$G$300))/C237)</f>
        <v/>
      </c>
      <c r="E237" s="241">
        <f>IF(C237="","",SUMIFS(Торговля!$H$5:$H$300,Торговля!$E$5:$E$300,$B237)+SUMIFS(Закрытые!$H$5:$H$300,Закрытые!$E$5:$E$300,$B237,Закрытые!$B$5:$B$300,"T-*"))</f>
        <v/>
      </c>
      <c r="F237" s="240">
        <f>IF(SUMIFS(Торговля!$I$5:$I$300,Торговля!$E$5:$E$300,$B237)+SUMIFS(Закрытые!$I$5:$I$300,Закрытые!$E$5:$E$300,$B237,Закрытые!$B$5:$B$300,"T-*")=0,"",SUMIFS(Торговля!$I$5:$I$300,Торговля!$E$5:$E$300,$B237)+SUMIFS(Закрытые!$I$5:$I$300,Закрытые!$E$5:$E$300,$B237,Закрытые!$B$5:$B$300,"T-*"))</f>
        <v/>
      </c>
      <c r="G237" s="177">
        <f>IF(F237="","",(SUMPRODUCT((Торговля!$E$5:$E$300=$B237)*Торговля!$I$5:$I$300*Торговля!$J$5:$J$300)+SUMPRODUCT((Закрытые!$E$5:$E$300=$B237)*(LEFT(Закрытые!$B$5:$B$300,2)="T-")*Закрытые!$I$5:$I$300*Закрытые!$J$5:$J$300))/F237)</f>
        <v/>
      </c>
      <c r="H237" s="241">
        <f>IF(F237="","",SUMIFS(Торговля!$K$5:$K$300,Торговля!$E$5:$E$300,$B237)+SUMIFS(Закрытые!$K$5:$K$300,Закрытые!$E$5:$E$300,$B237,Закрытые!$B$5:$B$300,"T-*"))</f>
        <v/>
      </c>
      <c r="I237" s="240">
        <f>IF($B237="","",IF(COUNTIFS(Торговля!$E$5:$E$300,$B237)+COUNTIFS(Закрытые!$E$5:$E$300,$B237,Закрытые!$B$5:$B$300,"T-*")=0,"",ROUND(SUMIFS(Торговля!$L$5:$L$300,Торговля!$E$5:$E$300,$B237)+SUMIFS(Закрытые!$L$5:$L$300,Закрытые!$E$5:$E$300,$B237,Закрытые!$B$5:$B$300,"T-*"),8)))</f>
        <v/>
      </c>
      <c r="J237" s="241">
        <f>IF($B237="","",IF(COUNTIFS(Торговля!$E$5:$E$300,$B237)+COUNTIFS(Закрытые!$E$5:$E$300,$B237,Закрытые!$B$5:$B$300,"T-*")=0,"",ROUND(SUMIFS(Торговля!$M$5:$M$300,Торговля!$E$5:$E$300,$B237)+SUMIFS(Закрытые!$M$5:$M$300,Закрытые!$E$5:$E$300,$B237,Закрытые!$B$5:$B$300,"T-*"),8)))</f>
        <v/>
      </c>
      <c r="K237" s="240">
        <f>IF($B237="","",ROUND(SUMIFS(Закрытые!$N$5:$N$300,Закрытые!$E$5:$E$300,$B237,Закрытые!$B$5:$B$300,"T-*"),8))</f>
        <v/>
      </c>
      <c r="L237" s="177">
        <f>IF(K237="","",IF(SUMPRODUCT((Закрытые!$E$5:$E$300=$B237)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237/SUMPRODUCT((Закрытые!$E$5:$E$300=$B237)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7" s="177">
        <f>IF(OR(ROUND(N(C237)-N(F237),8)=0,1-N(Ввод!$E$17)/100&lt;=0),"",IF(N(C237)&gt;N(F237),(N(E237)-N(H237))/((N(C237)-N(F237))*(1-N(Ввод!$E$17)/100)),(N(H237)-N(E237))/((N(F237)-N(C237))*(1+N(Ввод!$E$17)/100))))</f>
        <v/>
      </c>
    </row>
    <row r="238" ht="22" customHeight="1">
      <c r="B238" s="320" t="n"/>
      <c r="C238" s="246">
        <f>IF(SUMIFS(Торговля!$F$5:$F$300,Торговля!$E$5:$E$300,$B238)+SUMIFS(Закрытые!$F$5:$F$300,Закрытые!$E$5:$E$300,$B238,Закрытые!$B$5:$B$300,"T-*")=0,"",SUMIFS(Торговля!$F$5:$F$300,Торговля!$E$5:$E$300,$B238)+SUMIFS(Закрытые!$F$5:$F$300,Закрытые!$E$5:$E$300,$B238,Закрытые!$B$5:$B$300,"T-*"))</f>
        <v/>
      </c>
      <c r="D238" s="183">
        <f>IF(C238="","",(SUMPRODUCT((Торговля!$E$5:$E$300=$B238)*Торговля!$F$5:$F$300*Торговля!$G$5:$G$300)+SUMPRODUCT((Закрытые!$E$5:$E$300=$B238)*(LEFT(Закрытые!$B$5:$B$300,2)="T-")*Закрытые!$F$5:$F$300*Закрытые!$G$5:$G$300))/C238)</f>
        <v/>
      </c>
      <c r="E238" s="247">
        <f>IF(C238="","",SUMIFS(Торговля!$H$5:$H$300,Торговля!$E$5:$E$300,$B238)+SUMIFS(Закрытые!$H$5:$H$300,Закрытые!$E$5:$E$300,$B238,Закрытые!$B$5:$B$300,"T-*"))</f>
        <v/>
      </c>
      <c r="F238" s="246">
        <f>IF(SUMIFS(Торговля!$I$5:$I$300,Торговля!$E$5:$E$300,$B238)+SUMIFS(Закрытые!$I$5:$I$300,Закрытые!$E$5:$E$300,$B238,Закрытые!$B$5:$B$300,"T-*")=0,"",SUMIFS(Торговля!$I$5:$I$300,Торговля!$E$5:$E$300,$B238)+SUMIFS(Закрытые!$I$5:$I$300,Закрытые!$E$5:$E$300,$B238,Закрытые!$B$5:$B$300,"T-*"))</f>
        <v/>
      </c>
      <c r="G238" s="183">
        <f>IF(F238="","",(SUMPRODUCT((Торговля!$E$5:$E$300=$B238)*Торговля!$I$5:$I$300*Торговля!$J$5:$J$300)+SUMPRODUCT((Закрытые!$E$5:$E$300=$B238)*(LEFT(Закрытые!$B$5:$B$300,2)="T-")*Закрытые!$I$5:$I$300*Закрытые!$J$5:$J$300))/F238)</f>
        <v/>
      </c>
      <c r="H238" s="247">
        <f>IF(F238="","",SUMIFS(Торговля!$K$5:$K$300,Торговля!$E$5:$E$300,$B238)+SUMIFS(Закрытые!$K$5:$K$300,Закрытые!$E$5:$E$300,$B238,Закрытые!$B$5:$B$300,"T-*"))</f>
        <v/>
      </c>
      <c r="I238" s="246">
        <f>IF($B238="","",IF(COUNTIFS(Торговля!$E$5:$E$300,$B238)+COUNTIFS(Закрытые!$E$5:$E$300,$B238,Закрытые!$B$5:$B$300,"T-*")=0,"",ROUND(SUMIFS(Торговля!$L$5:$L$300,Торговля!$E$5:$E$300,$B238)+SUMIFS(Закрытые!$L$5:$L$300,Закрытые!$E$5:$E$300,$B238,Закрытые!$B$5:$B$300,"T-*"),8)))</f>
        <v/>
      </c>
      <c r="J238" s="247">
        <f>IF($B238="","",IF(COUNTIFS(Торговля!$E$5:$E$300,$B238)+COUNTIFS(Закрытые!$E$5:$E$300,$B238,Закрытые!$B$5:$B$300,"T-*")=0,"",ROUND(SUMIFS(Торговля!$M$5:$M$300,Торговля!$E$5:$E$300,$B238)+SUMIFS(Закрытые!$M$5:$M$300,Закрытые!$E$5:$E$300,$B238,Закрытые!$B$5:$B$300,"T-*"),8)))</f>
        <v/>
      </c>
      <c r="K238" s="246">
        <f>IF($B238="","",ROUND(SUMIFS(Закрытые!$N$5:$N$300,Закрытые!$E$5:$E$300,$B238,Закрытые!$B$5:$B$300,"T-*"),8))</f>
        <v/>
      </c>
      <c r="L238" s="183">
        <f>IF(K238="","",IF(SUMPRODUCT((Закрытые!$E$5:$E$300=$B238)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238/SUMPRODUCT((Закрытые!$E$5:$E$300=$B238)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8" s="183">
        <f>IF(OR(ROUND(N(C238)-N(F238),8)=0,1-N(Ввод!$E$17)/100&lt;=0),"",IF(N(C238)&gt;N(F238),(N(E238)-N(H238))/((N(C238)-N(F238))*(1-N(Ввод!$E$17)/100)),(N(H238)-N(E238))/((N(F238)-N(C238))*(1+N(Ввод!$E$17)/100))))</f>
        <v/>
      </c>
    </row>
    <row r="239" ht="22" customHeight="1">
      <c r="B239" s="315" t="n"/>
      <c r="C239" s="240">
        <f>IF(SUMIFS(Торговля!$F$5:$F$300,Торговля!$E$5:$E$300,$B239)+SUMIFS(Закрытые!$F$5:$F$300,Закрытые!$E$5:$E$300,$B239,Закрытые!$B$5:$B$300,"T-*")=0,"",SUMIFS(Торговля!$F$5:$F$300,Торговля!$E$5:$E$300,$B239)+SUMIFS(Закрытые!$F$5:$F$300,Закрытые!$E$5:$E$300,$B239,Закрытые!$B$5:$B$300,"T-*"))</f>
        <v/>
      </c>
      <c r="D239" s="177">
        <f>IF(C239="","",(SUMPRODUCT((Торговля!$E$5:$E$300=$B239)*Торговля!$F$5:$F$300*Торговля!$G$5:$G$300)+SUMPRODUCT((Закрытые!$E$5:$E$300=$B239)*(LEFT(Закрытые!$B$5:$B$300,2)="T-")*Закрытые!$F$5:$F$300*Закрытые!$G$5:$G$300))/C239)</f>
        <v/>
      </c>
      <c r="E239" s="241">
        <f>IF(C239="","",SUMIFS(Торговля!$H$5:$H$300,Торговля!$E$5:$E$300,$B239)+SUMIFS(Закрытые!$H$5:$H$300,Закрытые!$E$5:$E$300,$B239,Закрытые!$B$5:$B$300,"T-*"))</f>
        <v/>
      </c>
      <c r="F239" s="240">
        <f>IF(SUMIFS(Торговля!$I$5:$I$300,Торговля!$E$5:$E$300,$B239)+SUMIFS(Закрытые!$I$5:$I$300,Закрытые!$E$5:$E$300,$B239,Закрытые!$B$5:$B$300,"T-*")=0,"",SUMIFS(Торговля!$I$5:$I$300,Торговля!$E$5:$E$300,$B239)+SUMIFS(Закрытые!$I$5:$I$300,Закрытые!$E$5:$E$300,$B239,Закрытые!$B$5:$B$300,"T-*"))</f>
        <v/>
      </c>
      <c r="G239" s="177">
        <f>IF(F239="","",(SUMPRODUCT((Торговля!$E$5:$E$300=$B239)*Торговля!$I$5:$I$300*Торговля!$J$5:$J$300)+SUMPRODUCT((Закрытые!$E$5:$E$300=$B239)*(LEFT(Закрытые!$B$5:$B$300,2)="T-")*Закрытые!$I$5:$I$300*Закрытые!$J$5:$J$300))/F239)</f>
        <v/>
      </c>
      <c r="H239" s="241">
        <f>IF(F239="","",SUMIFS(Торговля!$K$5:$K$300,Торговля!$E$5:$E$300,$B239)+SUMIFS(Закрытые!$K$5:$K$300,Закрытые!$E$5:$E$300,$B239,Закрытые!$B$5:$B$300,"T-*"))</f>
        <v/>
      </c>
      <c r="I239" s="240">
        <f>IF($B239="","",IF(COUNTIFS(Торговля!$E$5:$E$300,$B239)+COUNTIFS(Закрытые!$E$5:$E$300,$B239,Закрытые!$B$5:$B$300,"T-*")=0,"",ROUND(SUMIFS(Торговля!$L$5:$L$300,Торговля!$E$5:$E$300,$B239)+SUMIFS(Закрытые!$L$5:$L$300,Закрытые!$E$5:$E$300,$B239,Закрытые!$B$5:$B$300,"T-*"),8)))</f>
        <v/>
      </c>
      <c r="J239" s="241">
        <f>IF($B239="","",IF(COUNTIFS(Торговля!$E$5:$E$300,$B239)+COUNTIFS(Закрытые!$E$5:$E$300,$B239,Закрытые!$B$5:$B$300,"T-*")=0,"",ROUND(SUMIFS(Торговля!$M$5:$M$300,Торговля!$E$5:$E$300,$B239)+SUMIFS(Закрытые!$M$5:$M$300,Закрытые!$E$5:$E$300,$B239,Закрытые!$B$5:$B$300,"T-*"),8)))</f>
        <v/>
      </c>
      <c r="K239" s="240">
        <f>IF($B239="","",ROUND(SUMIFS(Закрытые!$N$5:$N$300,Закрытые!$E$5:$E$300,$B239,Закрытые!$B$5:$B$300,"T-*"),8))</f>
        <v/>
      </c>
      <c r="L239" s="177">
        <f>IF(K239="","",IF(SUMPRODUCT((Закрытые!$E$5:$E$300=$B239)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239/SUMPRODUCT((Закрытые!$E$5:$E$300=$B239)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9" s="177">
        <f>IF(OR(ROUND(N(C239)-N(F239),8)=0,1-N(Ввод!$E$17)/100&lt;=0),"",IF(N(C239)&gt;N(F239),(N(E239)-N(H239))/((N(C239)-N(F239))*(1-N(Ввод!$E$17)/100)),(N(H239)-N(E239))/((N(F239)-N(C239))*(1+N(Ввод!$E$17)/100))))</f>
        <v/>
      </c>
    </row>
    <row r="240" ht="22" customHeight="1">
      <c r="B240" s="320" t="n"/>
      <c r="C240" s="246">
        <f>IF(SUMIFS(Торговля!$F$5:$F$300,Торговля!$E$5:$E$300,$B240)+SUMIFS(Закрытые!$F$5:$F$300,Закрытые!$E$5:$E$300,$B240,Закрытые!$B$5:$B$300,"T-*")=0,"",SUMIFS(Торговля!$F$5:$F$300,Торговля!$E$5:$E$300,$B240)+SUMIFS(Закрытые!$F$5:$F$300,Закрытые!$E$5:$E$300,$B240,Закрытые!$B$5:$B$300,"T-*"))</f>
        <v/>
      </c>
      <c r="D240" s="183">
        <f>IF(C240="","",(SUMPRODUCT((Торговля!$E$5:$E$300=$B240)*Торговля!$F$5:$F$300*Торговля!$G$5:$G$300)+SUMPRODUCT((Закрытые!$E$5:$E$300=$B240)*(LEFT(Закрытые!$B$5:$B$300,2)="T-")*Закрытые!$F$5:$F$300*Закрытые!$G$5:$G$300))/C240)</f>
        <v/>
      </c>
      <c r="E240" s="247">
        <f>IF(C240="","",SUMIFS(Торговля!$H$5:$H$300,Торговля!$E$5:$E$300,$B240)+SUMIFS(Закрытые!$H$5:$H$300,Закрытые!$E$5:$E$300,$B240,Закрытые!$B$5:$B$300,"T-*"))</f>
        <v/>
      </c>
      <c r="F240" s="246">
        <f>IF(SUMIFS(Торговля!$I$5:$I$300,Торговля!$E$5:$E$300,$B240)+SUMIFS(Закрытые!$I$5:$I$300,Закрытые!$E$5:$E$300,$B240,Закрытые!$B$5:$B$300,"T-*")=0,"",SUMIFS(Торговля!$I$5:$I$300,Торговля!$E$5:$E$300,$B240)+SUMIFS(Закрытые!$I$5:$I$300,Закрытые!$E$5:$E$300,$B240,Закрытые!$B$5:$B$300,"T-*"))</f>
        <v/>
      </c>
      <c r="G240" s="183">
        <f>IF(F240="","",(SUMPRODUCT((Торговля!$E$5:$E$300=$B240)*Торговля!$I$5:$I$300*Торговля!$J$5:$J$300)+SUMPRODUCT((Закрытые!$E$5:$E$300=$B240)*(LEFT(Закрытые!$B$5:$B$300,2)="T-")*Закрытые!$I$5:$I$300*Закрытые!$J$5:$J$300))/F240)</f>
        <v/>
      </c>
      <c r="H240" s="247">
        <f>IF(F240="","",SUMIFS(Торговля!$K$5:$K$300,Торговля!$E$5:$E$300,$B240)+SUMIFS(Закрытые!$K$5:$K$300,Закрытые!$E$5:$E$300,$B240,Закрытые!$B$5:$B$300,"T-*"))</f>
        <v/>
      </c>
      <c r="I240" s="246">
        <f>IF($B240="","",IF(COUNTIFS(Торговля!$E$5:$E$300,$B240)+COUNTIFS(Закрытые!$E$5:$E$300,$B240,Закрытые!$B$5:$B$300,"T-*")=0,"",ROUND(SUMIFS(Торговля!$L$5:$L$300,Торговля!$E$5:$E$300,$B240)+SUMIFS(Закрытые!$L$5:$L$300,Закрытые!$E$5:$E$300,$B240,Закрытые!$B$5:$B$300,"T-*"),8)))</f>
        <v/>
      </c>
      <c r="J240" s="247">
        <f>IF($B240="","",IF(COUNTIFS(Торговля!$E$5:$E$300,$B240)+COUNTIFS(Закрытые!$E$5:$E$300,$B240,Закрытые!$B$5:$B$300,"T-*")=0,"",ROUND(SUMIFS(Торговля!$M$5:$M$300,Торговля!$E$5:$E$300,$B240)+SUMIFS(Закрытые!$M$5:$M$300,Закрытые!$E$5:$E$300,$B240,Закрытые!$B$5:$B$300,"T-*"),8)))</f>
        <v/>
      </c>
      <c r="K240" s="246">
        <f>IF($B240="","",ROUND(SUMIFS(Закрытые!$N$5:$N$300,Закрытые!$E$5:$E$300,$B240,Закрытые!$B$5:$B$300,"T-*"),8))</f>
        <v/>
      </c>
      <c r="L240" s="183">
        <f>IF(K240="","",IF(SUMPRODUCT((Закрытые!$E$5:$E$300=$B240)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240/SUMPRODUCT((Закрытые!$E$5:$E$300=$B240)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0" s="183">
        <f>IF(OR(ROUND(N(C240)-N(F240),8)=0,1-N(Ввод!$E$17)/100&lt;=0),"",IF(N(C240)&gt;N(F240),(N(E240)-N(H240))/((N(C240)-N(F240))*(1-N(Ввод!$E$17)/100)),(N(H240)-N(E240))/((N(F240)-N(C240))*(1+N(Ввод!$E$17)/100))))</f>
        <v/>
      </c>
    </row>
    <row r="241" ht="22" customHeight="1">
      <c r="B241" s="315" t="n"/>
      <c r="C241" s="240">
        <f>IF(SUMIFS(Торговля!$F$5:$F$300,Торговля!$E$5:$E$300,$B241)+SUMIFS(Закрытые!$F$5:$F$300,Закрытые!$E$5:$E$300,$B241,Закрытые!$B$5:$B$300,"T-*")=0,"",SUMIFS(Торговля!$F$5:$F$300,Торговля!$E$5:$E$300,$B241)+SUMIFS(Закрытые!$F$5:$F$300,Закрытые!$E$5:$E$300,$B241,Закрытые!$B$5:$B$300,"T-*"))</f>
        <v/>
      </c>
      <c r="D241" s="177">
        <f>IF(C241="","",(SUMPRODUCT((Торговля!$E$5:$E$300=$B241)*Торговля!$F$5:$F$300*Торговля!$G$5:$G$300)+SUMPRODUCT((Закрытые!$E$5:$E$300=$B241)*(LEFT(Закрытые!$B$5:$B$300,2)="T-")*Закрытые!$F$5:$F$300*Закрытые!$G$5:$G$300))/C241)</f>
        <v/>
      </c>
      <c r="E241" s="241">
        <f>IF(C241="","",SUMIFS(Торговля!$H$5:$H$300,Торговля!$E$5:$E$300,$B241)+SUMIFS(Закрытые!$H$5:$H$300,Закрытые!$E$5:$E$300,$B241,Закрытые!$B$5:$B$300,"T-*"))</f>
        <v/>
      </c>
      <c r="F241" s="240">
        <f>IF(SUMIFS(Торговля!$I$5:$I$300,Торговля!$E$5:$E$300,$B241)+SUMIFS(Закрытые!$I$5:$I$300,Закрытые!$E$5:$E$300,$B241,Закрытые!$B$5:$B$300,"T-*")=0,"",SUMIFS(Торговля!$I$5:$I$300,Торговля!$E$5:$E$300,$B241)+SUMIFS(Закрытые!$I$5:$I$300,Закрытые!$E$5:$E$300,$B241,Закрытые!$B$5:$B$300,"T-*"))</f>
        <v/>
      </c>
      <c r="G241" s="177">
        <f>IF(F241="","",(SUMPRODUCT((Торговля!$E$5:$E$300=$B241)*Торговля!$I$5:$I$300*Торговля!$J$5:$J$300)+SUMPRODUCT((Закрытые!$E$5:$E$300=$B241)*(LEFT(Закрытые!$B$5:$B$300,2)="T-")*Закрытые!$I$5:$I$300*Закрытые!$J$5:$J$300))/F241)</f>
        <v/>
      </c>
      <c r="H241" s="241">
        <f>IF(F241="","",SUMIFS(Торговля!$K$5:$K$300,Торговля!$E$5:$E$300,$B241)+SUMIFS(Закрытые!$K$5:$K$300,Закрытые!$E$5:$E$300,$B241,Закрытые!$B$5:$B$300,"T-*"))</f>
        <v/>
      </c>
      <c r="I241" s="240">
        <f>IF($B241="","",IF(COUNTIFS(Торговля!$E$5:$E$300,$B241)+COUNTIFS(Закрытые!$E$5:$E$300,$B241,Закрытые!$B$5:$B$300,"T-*")=0,"",ROUND(SUMIFS(Торговля!$L$5:$L$300,Торговля!$E$5:$E$300,$B241)+SUMIFS(Закрытые!$L$5:$L$300,Закрытые!$E$5:$E$300,$B241,Закрытые!$B$5:$B$300,"T-*"),8)))</f>
        <v/>
      </c>
      <c r="J241" s="241">
        <f>IF($B241="","",IF(COUNTIFS(Торговля!$E$5:$E$300,$B241)+COUNTIFS(Закрытые!$E$5:$E$300,$B241,Закрытые!$B$5:$B$300,"T-*")=0,"",ROUND(SUMIFS(Торговля!$M$5:$M$300,Торговля!$E$5:$E$300,$B241)+SUMIFS(Закрытые!$M$5:$M$300,Закрытые!$E$5:$E$300,$B241,Закрытые!$B$5:$B$300,"T-*"),8)))</f>
        <v/>
      </c>
      <c r="K241" s="240">
        <f>IF($B241="","",ROUND(SUMIFS(Закрытые!$N$5:$N$300,Закрытые!$E$5:$E$300,$B241,Закрытые!$B$5:$B$300,"T-*"),8))</f>
        <v/>
      </c>
      <c r="L241" s="177">
        <f>IF(K241="","",IF(SUMPRODUCT((Закрытые!$E$5:$E$300=$B241)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241/SUMPRODUCT((Закрытые!$E$5:$E$300=$B241)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1" s="177">
        <f>IF(OR(ROUND(N(C241)-N(F241),8)=0,1-N(Ввод!$E$17)/100&lt;=0),"",IF(N(C241)&gt;N(F241),(N(E241)-N(H241))/((N(C241)-N(F241))*(1-N(Ввод!$E$17)/100)),(N(H241)-N(E241))/((N(F241)-N(C241))*(1+N(Ввод!$E$17)/100))))</f>
        <v/>
      </c>
    </row>
    <row r="242" ht="22" customHeight="1">
      <c r="B242" s="320" t="n"/>
      <c r="C242" s="246">
        <f>IF(SUMIFS(Торговля!$F$5:$F$300,Торговля!$E$5:$E$300,$B242)+SUMIFS(Закрытые!$F$5:$F$300,Закрытые!$E$5:$E$300,$B242,Закрытые!$B$5:$B$300,"T-*")=0,"",SUMIFS(Торговля!$F$5:$F$300,Торговля!$E$5:$E$300,$B242)+SUMIFS(Закрытые!$F$5:$F$300,Закрытые!$E$5:$E$300,$B242,Закрытые!$B$5:$B$300,"T-*"))</f>
        <v/>
      </c>
      <c r="D242" s="183">
        <f>IF(C242="","",(SUMPRODUCT((Торговля!$E$5:$E$300=$B242)*Торговля!$F$5:$F$300*Торговля!$G$5:$G$300)+SUMPRODUCT((Закрытые!$E$5:$E$300=$B242)*(LEFT(Закрытые!$B$5:$B$300,2)="T-")*Закрытые!$F$5:$F$300*Закрытые!$G$5:$G$300))/C242)</f>
        <v/>
      </c>
      <c r="E242" s="247">
        <f>IF(C242="","",SUMIFS(Торговля!$H$5:$H$300,Торговля!$E$5:$E$300,$B242)+SUMIFS(Закрытые!$H$5:$H$300,Закрытые!$E$5:$E$300,$B242,Закрытые!$B$5:$B$300,"T-*"))</f>
        <v/>
      </c>
      <c r="F242" s="246">
        <f>IF(SUMIFS(Торговля!$I$5:$I$300,Торговля!$E$5:$E$300,$B242)+SUMIFS(Закрытые!$I$5:$I$300,Закрытые!$E$5:$E$300,$B242,Закрытые!$B$5:$B$300,"T-*")=0,"",SUMIFS(Торговля!$I$5:$I$300,Торговля!$E$5:$E$300,$B242)+SUMIFS(Закрытые!$I$5:$I$300,Закрытые!$E$5:$E$300,$B242,Закрытые!$B$5:$B$300,"T-*"))</f>
        <v/>
      </c>
      <c r="G242" s="183">
        <f>IF(F242="","",(SUMPRODUCT((Торговля!$E$5:$E$300=$B242)*Торговля!$I$5:$I$300*Торговля!$J$5:$J$300)+SUMPRODUCT((Закрытые!$E$5:$E$300=$B242)*(LEFT(Закрытые!$B$5:$B$300,2)="T-")*Закрытые!$I$5:$I$300*Закрытые!$J$5:$J$300))/F242)</f>
        <v/>
      </c>
      <c r="H242" s="247">
        <f>IF(F242="","",SUMIFS(Торговля!$K$5:$K$300,Торговля!$E$5:$E$300,$B242)+SUMIFS(Закрытые!$K$5:$K$300,Закрытые!$E$5:$E$300,$B242,Закрытые!$B$5:$B$300,"T-*"))</f>
        <v/>
      </c>
      <c r="I242" s="246">
        <f>IF($B242="","",IF(COUNTIFS(Торговля!$E$5:$E$300,$B242)+COUNTIFS(Закрытые!$E$5:$E$300,$B242,Закрытые!$B$5:$B$300,"T-*")=0,"",ROUND(SUMIFS(Торговля!$L$5:$L$300,Торговля!$E$5:$E$300,$B242)+SUMIFS(Закрытые!$L$5:$L$300,Закрытые!$E$5:$E$300,$B242,Закрытые!$B$5:$B$300,"T-*"),8)))</f>
        <v/>
      </c>
      <c r="J242" s="247">
        <f>IF($B242="","",IF(COUNTIFS(Торговля!$E$5:$E$300,$B242)+COUNTIFS(Закрытые!$E$5:$E$300,$B242,Закрытые!$B$5:$B$300,"T-*")=0,"",ROUND(SUMIFS(Торговля!$M$5:$M$300,Торговля!$E$5:$E$300,$B242)+SUMIFS(Закрытые!$M$5:$M$300,Закрытые!$E$5:$E$300,$B242,Закрытые!$B$5:$B$300,"T-*"),8)))</f>
        <v/>
      </c>
      <c r="K242" s="246">
        <f>IF($B242="","",ROUND(SUMIFS(Закрытые!$N$5:$N$300,Закрытые!$E$5:$E$300,$B242,Закрытые!$B$5:$B$300,"T-*"),8))</f>
        <v/>
      </c>
      <c r="L242" s="183">
        <f>IF(K242="","",IF(SUMPRODUCT((Закрытые!$E$5:$E$300=$B242)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242/SUMPRODUCT((Закрытые!$E$5:$E$300=$B242)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2" s="183">
        <f>IF(OR(ROUND(N(C242)-N(F242),8)=0,1-N(Ввод!$E$17)/100&lt;=0),"",IF(N(C242)&gt;N(F242),(N(E242)-N(H242))/((N(C242)-N(F242))*(1-N(Ввод!$E$17)/100)),(N(H242)-N(E242))/((N(F242)-N(C242))*(1+N(Ввод!$E$17)/100))))</f>
        <v/>
      </c>
    </row>
    <row r="243" ht="22" customHeight="1">
      <c r="B243" s="315" t="n"/>
      <c r="C243" s="240">
        <f>IF(SUMIFS(Торговля!$F$5:$F$300,Торговля!$E$5:$E$300,$B243)+SUMIFS(Закрытые!$F$5:$F$300,Закрытые!$E$5:$E$300,$B243,Закрытые!$B$5:$B$300,"T-*")=0,"",SUMIFS(Торговля!$F$5:$F$300,Торговля!$E$5:$E$300,$B243)+SUMIFS(Закрытые!$F$5:$F$300,Закрытые!$E$5:$E$300,$B243,Закрытые!$B$5:$B$300,"T-*"))</f>
        <v/>
      </c>
      <c r="D243" s="177">
        <f>IF(C243="","",(SUMPRODUCT((Торговля!$E$5:$E$300=$B243)*Торговля!$F$5:$F$300*Торговля!$G$5:$G$300)+SUMPRODUCT((Закрытые!$E$5:$E$300=$B243)*(LEFT(Закрытые!$B$5:$B$300,2)="T-")*Закрытые!$F$5:$F$300*Закрытые!$G$5:$G$300))/C243)</f>
        <v/>
      </c>
      <c r="E243" s="241">
        <f>IF(C243="","",SUMIFS(Торговля!$H$5:$H$300,Торговля!$E$5:$E$300,$B243)+SUMIFS(Закрытые!$H$5:$H$300,Закрытые!$E$5:$E$300,$B243,Закрытые!$B$5:$B$300,"T-*"))</f>
        <v/>
      </c>
      <c r="F243" s="240">
        <f>IF(SUMIFS(Торговля!$I$5:$I$300,Торговля!$E$5:$E$300,$B243)+SUMIFS(Закрытые!$I$5:$I$300,Закрытые!$E$5:$E$300,$B243,Закрытые!$B$5:$B$300,"T-*")=0,"",SUMIFS(Торговля!$I$5:$I$300,Торговля!$E$5:$E$300,$B243)+SUMIFS(Закрытые!$I$5:$I$300,Закрытые!$E$5:$E$300,$B243,Закрытые!$B$5:$B$300,"T-*"))</f>
        <v/>
      </c>
      <c r="G243" s="177">
        <f>IF(F243="","",(SUMPRODUCT((Торговля!$E$5:$E$300=$B243)*Торговля!$I$5:$I$300*Торговля!$J$5:$J$300)+SUMPRODUCT((Закрытые!$E$5:$E$300=$B243)*(LEFT(Закрытые!$B$5:$B$300,2)="T-")*Закрытые!$I$5:$I$300*Закрытые!$J$5:$J$300))/F243)</f>
        <v/>
      </c>
      <c r="H243" s="241">
        <f>IF(F243="","",SUMIFS(Торговля!$K$5:$K$300,Торговля!$E$5:$E$300,$B243)+SUMIFS(Закрытые!$K$5:$K$300,Закрытые!$E$5:$E$300,$B243,Закрытые!$B$5:$B$300,"T-*"))</f>
        <v/>
      </c>
      <c r="I243" s="240">
        <f>IF($B243="","",IF(COUNTIFS(Торговля!$E$5:$E$300,$B243)+COUNTIFS(Закрытые!$E$5:$E$300,$B243,Закрытые!$B$5:$B$300,"T-*")=0,"",ROUND(SUMIFS(Торговля!$L$5:$L$300,Торговля!$E$5:$E$300,$B243)+SUMIFS(Закрытые!$L$5:$L$300,Закрытые!$E$5:$E$300,$B243,Закрытые!$B$5:$B$300,"T-*"),8)))</f>
        <v/>
      </c>
      <c r="J243" s="241">
        <f>IF($B243="","",IF(COUNTIFS(Торговля!$E$5:$E$300,$B243)+COUNTIFS(Закрытые!$E$5:$E$300,$B243,Закрытые!$B$5:$B$300,"T-*")=0,"",ROUND(SUMIFS(Торговля!$M$5:$M$300,Торговля!$E$5:$E$300,$B243)+SUMIFS(Закрытые!$M$5:$M$300,Закрытые!$E$5:$E$300,$B243,Закрытые!$B$5:$B$300,"T-*"),8)))</f>
        <v/>
      </c>
      <c r="K243" s="240">
        <f>IF($B243="","",ROUND(SUMIFS(Закрытые!$N$5:$N$300,Закрытые!$E$5:$E$300,$B243,Закрытые!$B$5:$B$300,"T-*"),8))</f>
        <v/>
      </c>
      <c r="L243" s="177">
        <f>IF(K243="","",IF(SUMPRODUCT((Закрытые!$E$5:$E$300=$B243)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243/SUMPRODUCT((Закрытые!$E$5:$E$300=$B243)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3" s="177">
        <f>IF(OR(ROUND(N(C243)-N(F243),8)=0,1-N(Ввод!$E$17)/100&lt;=0),"",IF(N(C243)&gt;N(F243),(N(E243)-N(H243))/((N(C243)-N(F243))*(1-N(Ввод!$E$17)/100)),(N(H243)-N(E243))/((N(F243)-N(C243))*(1+N(Ввод!$E$17)/100))))</f>
        <v/>
      </c>
    </row>
    <row r="244" ht="22" customHeight="1">
      <c r="B244" s="320" t="n"/>
      <c r="C244" s="246">
        <f>IF(SUMIFS(Торговля!$F$5:$F$300,Торговля!$E$5:$E$300,$B244)+SUMIFS(Закрытые!$F$5:$F$300,Закрытые!$E$5:$E$300,$B244,Закрытые!$B$5:$B$300,"T-*")=0,"",SUMIFS(Торговля!$F$5:$F$300,Торговля!$E$5:$E$300,$B244)+SUMIFS(Закрытые!$F$5:$F$300,Закрытые!$E$5:$E$300,$B244,Закрытые!$B$5:$B$300,"T-*"))</f>
        <v/>
      </c>
      <c r="D244" s="183">
        <f>IF(C244="","",(SUMPRODUCT((Торговля!$E$5:$E$300=$B244)*Торговля!$F$5:$F$300*Торговля!$G$5:$G$300)+SUMPRODUCT((Закрытые!$E$5:$E$300=$B244)*(LEFT(Закрытые!$B$5:$B$300,2)="T-")*Закрытые!$F$5:$F$300*Закрытые!$G$5:$G$300))/C244)</f>
        <v/>
      </c>
      <c r="E244" s="247">
        <f>IF(C244="","",SUMIFS(Торговля!$H$5:$H$300,Торговля!$E$5:$E$300,$B244)+SUMIFS(Закрытые!$H$5:$H$300,Закрытые!$E$5:$E$300,$B244,Закрытые!$B$5:$B$300,"T-*"))</f>
        <v/>
      </c>
      <c r="F244" s="246">
        <f>IF(SUMIFS(Торговля!$I$5:$I$300,Торговля!$E$5:$E$300,$B244)+SUMIFS(Закрытые!$I$5:$I$300,Закрытые!$E$5:$E$300,$B244,Закрытые!$B$5:$B$300,"T-*")=0,"",SUMIFS(Торговля!$I$5:$I$300,Торговля!$E$5:$E$300,$B244)+SUMIFS(Закрытые!$I$5:$I$300,Закрытые!$E$5:$E$300,$B244,Закрытые!$B$5:$B$300,"T-*"))</f>
        <v/>
      </c>
      <c r="G244" s="183">
        <f>IF(F244="","",(SUMPRODUCT((Торговля!$E$5:$E$300=$B244)*Торговля!$I$5:$I$300*Торговля!$J$5:$J$300)+SUMPRODUCT((Закрытые!$E$5:$E$300=$B244)*(LEFT(Закрытые!$B$5:$B$300,2)="T-")*Закрытые!$I$5:$I$300*Закрытые!$J$5:$J$300))/F244)</f>
        <v/>
      </c>
      <c r="H244" s="247">
        <f>IF(F244="","",SUMIFS(Торговля!$K$5:$K$300,Торговля!$E$5:$E$300,$B244)+SUMIFS(Закрытые!$K$5:$K$300,Закрытые!$E$5:$E$300,$B244,Закрытые!$B$5:$B$300,"T-*"))</f>
        <v/>
      </c>
      <c r="I244" s="246">
        <f>IF($B244="","",IF(COUNTIFS(Торговля!$E$5:$E$300,$B244)+COUNTIFS(Закрытые!$E$5:$E$300,$B244,Закрытые!$B$5:$B$300,"T-*")=0,"",ROUND(SUMIFS(Торговля!$L$5:$L$300,Торговля!$E$5:$E$300,$B244)+SUMIFS(Закрытые!$L$5:$L$300,Закрытые!$E$5:$E$300,$B244,Закрытые!$B$5:$B$300,"T-*"),8)))</f>
        <v/>
      </c>
      <c r="J244" s="247">
        <f>IF($B244="","",IF(COUNTIFS(Торговля!$E$5:$E$300,$B244)+COUNTIFS(Закрытые!$E$5:$E$300,$B244,Закрытые!$B$5:$B$300,"T-*")=0,"",ROUND(SUMIFS(Торговля!$M$5:$M$300,Торговля!$E$5:$E$300,$B244)+SUMIFS(Закрытые!$M$5:$M$300,Закрытые!$E$5:$E$300,$B244,Закрытые!$B$5:$B$300,"T-*"),8)))</f>
        <v/>
      </c>
      <c r="K244" s="246">
        <f>IF($B244="","",ROUND(SUMIFS(Закрытые!$N$5:$N$300,Закрытые!$E$5:$E$300,$B244,Закрытые!$B$5:$B$300,"T-*"),8))</f>
        <v/>
      </c>
      <c r="L244" s="183">
        <f>IF(K244="","",IF(SUMPRODUCT((Закрытые!$E$5:$E$300=$B244)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244/SUMPRODUCT((Закрытые!$E$5:$E$300=$B244)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4" s="183">
        <f>IF(OR(ROUND(N(C244)-N(F244),8)=0,1-N(Ввод!$E$17)/100&lt;=0),"",IF(N(C244)&gt;N(F244),(N(E244)-N(H244))/((N(C244)-N(F244))*(1-N(Ввод!$E$17)/100)),(N(H244)-N(E244))/((N(F244)-N(C244))*(1+N(Ввод!$E$17)/100))))</f>
        <v/>
      </c>
    </row>
    <row r="245" ht="22" customHeight="1">
      <c r="B245" s="315" t="n"/>
      <c r="C245" s="240">
        <f>IF(SUMIFS(Торговля!$F$5:$F$300,Торговля!$E$5:$E$300,$B245)+SUMIFS(Закрытые!$F$5:$F$300,Закрытые!$E$5:$E$300,$B245,Закрытые!$B$5:$B$300,"T-*")=0,"",SUMIFS(Торговля!$F$5:$F$300,Торговля!$E$5:$E$300,$B245)+SUMIFS(Закрытые!$F$5:$F$300,Закрытые!$E$5:$E$300,$B245,Закрытые!$B$5:$B$300,"T-*"))</f>
        <v/>
      </c>
      <c r="D245" s="177">
        <f>IF(C245="","",(SUMPRODUCT((Торговля!$E$5:$E$300=$B245)*Торговля!$F$5:$F$300*Торговля!$G$5:$G$300)+SUMPRODUCT((Закрытые!$E$5:$E$300=$B245)*(LEFT(Закрытые!$B$5:$B$300,2)="T-")*Закрытые!$F$5:$F$300*Закрытые!$G$5:$G$300))/C245)</f>
        <v/>
      </c>
      <c r="E245" s="241">
        <f>IF(C245="","",SUMIFS(Торговля!$H$5:$H$300,Торговля!$E$5:$E$300,$B245)+SUMIFS(Закрытые!$H$5:$H$300,Закрытые!$E$5:$E$300,$B245,Закрытые!$B$5:$B$300,"T-*"))</f>
        <v/>
      </c>
      <c r="F245" s="240">
        <f>IF(SUMIFS(Торговля!$I$5:$I$300,Торговля!$E$5:$E$300,$B245)+SUMIFS(Закрытые!$I$5:$I$300,Закрытые!$E$5:$E$300,$B245,Закрытые!$B$5:$B$300,"T-*")=0,"",SUMIFS(Торговля!$I$5:$I$300,Торговля!$E$5:$E$300,$B245)+SUMIFS(Закрытые!$I$5:$I$300,Закрытые!$E$5:$E$300,$B245,Закрытые!$B$5:$B$300,"T-*"))</f>
        <v/>
      </c>
      <c r="G245" s="177">
        <f>IF(F245="","",(SUMPRODUCT((Торговля!$E$5:$E$300=$B245)*Торговля!$I$5:$I$300*Торговля!$J$5:$J$300)+SUMPRODUCT((Закрытые!$E$5:$E$300=$B245)*(LEFT(Закрытые!$B$5:$B$300,2)="T-")*Закрытые!$I$5:$I$300*Закрытые!$J$5:$J$300))/F245)</f>
        <v/>
      </c>
      <c r="H245" s="241">
        <f>IF(F245="","",SUMIFS(Торговля!$K$5:$K$300,Торговля!$E$5:$E$300,$B245)+SUMIFS(Закрытые!$K$5:$K$300,Закрытые!$E$5:$E$300,$B245,Закрытые!$B$5:$B$300,"T-*"))</f>
        <v/>
      </c>
      <c r="I245" s="240">
        <f>IF($B245="","",IF(COUNTIFS(Торговля!$E$5:$E$300,$B245)+COUNTIFS(Закрытые!$E$5:$E$300,$B245,Закрытые!$B$5:$B$300,"T-*")=0,"",ROUND(SUMIFS(Торговля!$L$5:$L$300,Торговля!$E$5:$E$300,$B245)+SUMIFS(Закрытые!$L$5:$L$300,Закрытые!$E$5:$E$300,$B245,Закрытые!$B$5:$B$300,"T-*"),8)))</f>
        <v/>
      </c>
      <c r="J245" s="241">
        <f>IF($B245="","",IF(COUNTIFS(Торговля!$E$5:$E$300,$B245)+COUNTIFS(Закрытые!$E$5:$E$300,$B245,Закрытые!$B$5:$B$300,"T-*")=0,"",ROUND(SUMIFS(Торговля!$M$5:$M$300,Торговля!$E$5:$E$300,$B245)+SUMIFS(Закрытые!$M$5:$M$300,Закрытые!$E$5:$E$300,$B245,Закрытые!$B$5:$B$300,"T-*"),8)))</f>
        <v/>
      </c>
      <c r="K245" s="240">
        <f>IF($B245="","",ROUND(SUMIFS(Закрытые!$N$5:$N$300,Закрытые!$E$5:$E$300,$B245,Закрытые!$B$5:$B$300,"T-*"),8))</f>
        <v/>
      </c>
      <c r="L245" s="177">
        <f>IF(K245="","",IF(SUMPRODUCT((Закрытые!$E$5:$E$300=$B245)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245/SUMPRODUCT((Закрытые!$E$5:$E$300=$B245)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5" s="177">
        <f>IF(OR(ROUND(N(C245)-N(F245),8)=0,1-N(Ввод!$E$17)/100&lt;=0),"",IF(N(C245)&gt;N(F245),(N(E245)-N(H245))/((N(C245)-N(F245))*(1-N(Ввод!$E$17)/100)),(N(H245)-N(E245))/((N(F245)-N(C245))*(1+N(Ввод!$E$17)/100))))</f>
        <v/>
      </c>
    </row>
    <row r="246" ht="22" customHeight="1">
      <c r="B246" s="320" t="n"/>
      <c r="C246" s="246">
        <f>IF(SUMIFS(Торговля!$F$5:$F$300,Торговля!$E$5:$E$300,$B246)+SUMIFS(Закрытые!$F$5:$F$300,Закрытые!$E$5:$E$300,$B246,Закрытые!$B$5:$B$300,"T-*")=0,"",SUMIFS(Торговля!$F$5:$F$300,Торговля!$E$5:$E$300,$B246)+SUMIFS(Закрытые!$F$5:$F$300,Закрытые!$E$5:$E$300,$B246,Закрытые!$B$5:$B$300,"T-*"))</f>
        <v/>
      </c>
      <c r="D246" s="183">
        <f>IF(C246="","",(SUMPRODUCT((Торговля!$E$5:$E$300=$B246)*Торговля!$F$5:$F$300*Торговля!$G$5:$G$300)+SUMPRODUCT((Закрытые!$E$5:$E$300=$B246)*(LEFT(Закрытые!$B$5:$B$300,2)="T-")*Закрытые!$F$5:$F$300*Закрытые!$G$5:$G$300))/C246)</f>
        <v/>
      </c>
      <c r="E246" s="247">
        <f>IF(C246="","",SUMIFS(Торговля!$H$5:$H$300,Торговля!$E$5:$E$300,$B246)+SUMIFS(Закрытые!$H$5:$H$300,Закрытые!$E$5:$E$300,$B246,Закрытые!$B$5:$B$300,"T-*"))</f>
        <v/>
      </c>
      <c r="F246" s="246">
        <f>IF(SUMIFS(Торговля!$I$5:$I$300,Торговля!$E$5:$E$300,$B246)+SUMIFS(Закрытые!$I$5:$I$300,Закрытые!$E$5:$E$300,$B246,Закрытые!$B$5:$B$300,"T-*")=0,"",SUMIFS(Торговля!$I$5:$I$300,Торговля!$E$5:$E$300,$B246)+SUMIFS(Закрытые!$I$5:$I$300,Закрытые!$E$5:$E$300,$B246,Закрытые!$B$5:$B$300,"T-*"))</f>
        <v/>
      </c>
      <c r="G246" s="183">
        <f>IF(F246="","",(SUMPRODUCT((Торговля!$E$5:$E$300=$B246)*Торговля!$I$5:$I$300*Торговля!$J$5:$J$300)+SUMPRODUCT((Закрытые!$E$5:$E$300=$B246)*(LEFT(Закрытые!$B$5:$B$300,2)="T-")*Закрытые!$I$5:$I$300*Закрытые!$J$5:$J$300))/F246)</f>
        <v/>
      </c>
      <c r="H246" s="247">
        <f>IF(F246="","",SUMIFS(Торговля!$K$5:$K$300,Торговля!$E$5:$E$300,$B246)+SUMIFS(Закрытые!$K$5:$K$300,Закрытые!$E$5:$E$300,$B246,Закрытые!$B$5:$B$300,"T-*"))</f>
        <v/>
      </c>
      <c r="I246" s="246">
        <f>IF($B246="","",IF(COUNTIFS(Торговля!$E$5:$E$300,$B246)+COUNTIFS(Закрытые!$E$5:$E$300,$B246,Закрытые!$B$5:$B$300,"T-*")=0,"",ROUND(SUMIFS(Торговля!$L$5:$L$300,Торговля!$E$5:$E$300,$B246)+SUMIFS(Закрытые!$L$5:$L$300,Закрытые!$E$5:$E$300,$B246,Закрытые!$B$5:$B$300,"T-*"),8)))</f>
        <v/>
      </c>
      <c r="J246" s="247">
        <f>IF($B246="","",IF(COUNTIFS(Торговля!$E$5:$E$300,$B246)+COUNTIFS(Закрытые!$E$5:$E$300,$B246,Закрытые!$B$5:$B$300,"T-*")=0,"",ROUND(SUMIFS(Торговля!$M$5:$M$300,Торговля!$E$5:$E$300,$B246)+SUMIFS(Закрытые!$M$5:$M$300,Закрытые!$E$5:$E$300,$B246,Закрытые!$B$5:$B$300,"T-*"),8)))</f>
        <v/>
      </c>
      <c r="K246" s="246">
        <f>IF($B246="","",ROUND(SUMIFS(Закрытые!$N$5:$N$300,Закрытые!$E$5:$E$300,$B246,Закрытые!$B$5:$B$300,"T-*"),8))</f>
        <v/>
      </c>
      <c r="L246" s="183">
        <f>IF(K246="","",IF(SUMPRODUCT((Закрытые!$E$5:$E$300=$B246)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246/SUMPRODUCT((Закрытые!$E$5:$E$300=$B246)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6" s="183">
        <f>IF(OR(ROUND(N(C246)-N(F246),8)=0,1-N(Ввод!$E$17)/100&lt;=0),"",IF(N(C246)&gt;N(F246),(N(E246)-N(H246))/((N(C246)-N(F246))*(1-N(Ввод!$E$17)/100)),(N(H246)-N(E246))/((N(F246)-N(C246))*(1+N(Ввод!$E$17)/100))))</f>
        <v/>
      </c>
    </row>
    <row r="247" ht="22" customHeight="1">
      <c r="B247" s="315" t="n"/>
      <c r="C247" s="240">
        <f>IF(SUMIFS(Торговля!$F$5:$F$300,Торговля!$E$5:$E$300,$B247)+SUMIFS(Закрытые!$F$5:$F$300,Закрытые!$E$5:$E$300,$B247,Закрытые!$B$5:$B$300,"T-*")=0,"",SUMIFS(Торговля!$F$5:$F$300,Торговля!$E$5:$E$300,$B247)+SUMIFS(Закрытые!$F$5:$F$300,Закрытые!$E$5:$E$300,$B247,Закрытые!$B$5:$B$300,"T-*"))</f>
        <v/>
      </c>
      <c r="D247" s="177">
        <f>IF(C247="","",(SUMPRODUCT((Торговля!$E$5:$E$300=$B247)*Торговля!$F$5:$F$300*Торговля!$G$5:$G$300)+SUMPRODUCT((Закрытые!$E$5:$E$300=$B247)*(LEFT(Закрытые!$B$5:$B$300,2)="T-")*Закрытые!$F$5:$F$300*Закрытые!$G$5:$G$300))/C247)</f>
        <v/>
      </c>
      <c r="E247" s="241">
        <f>IF(C247="","",SUMIFS(Торговля!$H$5:$H$300,Торговля!$E$5:$E$300,$B247)+SUMIFS(Закрытые!$H$5:$H$300,Закрытые!$E$5:$E$300,$B247,Закрытые!$B$5:$B$300,"T-*"))</f>
        <v/>
      </c>
      <c r="F247" s="240">
        <f>IF(SUMIFS(Торговля!$I$5:$I$300,Торговля!$E$5:$E$300,$B247)+SUMIFS(Закрытые!$I$5:$I$300,Закрытые!$E$5:$E$300,$B247,Закрытые!$B$5:$B$300,"T-*")=0,"",SUMIFS(Торговля!$I$5:$I$300,Торговля!$E$5:$E$300,$B247)+SUMIFS(Закрытые!$I$5:$I$300,Закрытые!$E$5:$E$300,$B247,Закрытые!$B$5:$B$300,"T-*"))</f>
        <v/>
      </c>
      <c r="G247" s="177">
        <f>IF(F247="","",(SUMPRODUCT((Торговля!$E$5:$E$300=$B247)*Торговля!$I$5:$I$300*Торговля!$J$5:$J$300)+SUMPRODUCT((Закрытые!$E$5:$E$300=$B247)*(LEFT(Закрытые!$B$5:$B$300,2)="T-")*Закрытые!$I$5:$I$300*Закрытые!$J$5:$J$300))/F247)</f>
        <v/>
      </c>
      <c r="H247" s="241">
        <f>IF(F247="","",SUMIFS(Торговля!$K$5:$K$300,Торговля!$E$5:$E$300,$B247)+SUMIFS(Закрытые!$K$5:$K$300,Закрытые!$E$5:$E$300,$B247,Закрытые!$B$5:$B$300,"T-*"))</f>
        <v/>
      </c>
      <c r="I247" s="240">
        <f>IF($B247="","",IF(COUNTIFS(Торговля!$E$5:$E$300,$B247)+COUNTIFS(Закрытые!$E$5:$E$300,$B247,Закрытые!$B$5:$B$300,"T-*")=0,"",ROUND(SUMIFS(Торговля!$L$5:$L$300,Торговля!$E$5:$E$300,$B247)+SUMIFS(Закрытые!$L$5:$L$300,Закрытые!$E$5:$E$300,$B247,Закрытые!$B$5:$B$300,"T-*"),8)))</f>
        <v/>
      </c>
      <c r="J247" s="241">
        <f>IF($B247="","",IF(COUNTIFS(Торговля!$E$5:$E$300,$B247)+COUNTIFS(Закрытые!$E$5:$E$300,$B247,Закрытые!$B$5:$B$300,"T-*")=0,"",ROUND(SUMIFS(Торговля!$M$5:$M$300,Торговля!$E$5:$E$300,$B247)+SUMIFS(Закрытые!$M$5:$M$300,Закрытые!$E$5:$E$300,$B247,Закрытые!$B$5:$B$300,"T-*"),8)))</f>
        <v/>
      </c>
      <c r="K247" s="240">
        <f>IF($B247="","",ROUND(SUMIFS(Закрытые!$N$5:$N$300,Закрытые!$E$5:$E$300,$B247,Закрытые!$B$5:$B$300,"T-*"),8))</f>
        <v/>
      </c>
      <c r="L247" s="177">
        <f>IF(K247="","",IF(SUMPRODUCT((Закрытые!$E$5:$E$300=$B247)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247/SUMPRODUCT((Закрытые!$E$5:$E$300=$B247)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7" s="177">
        <f>IF(OR(ROUND(N(C247)-N(F247),8)=0,1-N(Ввод!$E$17)/100&lt;=0),"",IF(N(C247)&gt;N(F247),(N(E247)-N(H247))/((N(C247)-N(F247))*(1-N(Ввод!$E$17)/100)),(N(H247)-N(E247))/((N(F247)-N(C247))*(1+N(Ввод!$E$17)/100))))</f>
        <v/>
      </c>
    </row>
    <row r="248" ht="22" customHeight="1">
      <c r="B248" s="320" t="n"/>
      <c r="C248" s="246">
        <f>IF(SUMIFS(Торговля!$F$5:$F$300,Торговля!$E$5:$E$300,$B248)+SUMIFS(Закрытые!$F$5:$F$300,Закрытые!$E$5:$E$300,$B248,Закрытые!$B$5:$B$300,"T-*")=0,"",SUMIFS(Торговля!$F$5:$F$300,Торговля!$E$5:$E$300,$B248)+SUMIFS(Закрытые!$F$5:$F$300,Закрытые!$E$5:$E$300,$B248,Закрытые!$B$5:$B$300,"T-*"))</f>
        <v/>
      </c>
      <c r="D248" s="183">
        <f>IF(C248="","",(SUMPRODUCT((Торговля!$E$5:$E$300=$B248)*Торговля!$F$5:$F$300*Торговля!$G$5:$G$300)+SUMPRODUCT((Закрытые!$E$5:$E$300=$B248)*(LEFT(Закрытые!$B$5:$B$300,2)="T-")*Закрытые!$F$5:$F$300*Закрытые!$G$5:$G$300))/C248)</f>
        <v/>
      </c>
      <c r="E248" s="247">
        <f>IF(C248="","",SUMIFS(Торговля!$H$5:$H$300,Торговля!$E$5:$E$300,$B248)+SUMIFS(Закрытые!$H$5:$H$300,Закрытые!$E$5:$E$300,$B248,Закрытые!$B$5:$B$300,"T-*"))</f>
        <v/>
      </c>
      <c r="F248" s="246">
        <f>IF(SUMIFS(Торговля!$I$5:$I$300,Торговля!$E$5:$E$300,$B248)+SUMIFS(Закрытые!$I$5:$I$300,Закрытые!$E$5:$E$300,$B248,Закрытые!$B$5:$B$300,"T-*")=0,"",SUMIFS(Торговля!$I$5:$I$300,Торговля!$E$5:$E$300,$B248)+SUMIFS(Закрытые!$I$5:$I$300,Закрытые!$E$5:$E$300,$B248,Закрытые!$B$5:$B$300,"T-*"))</f>
        <v/>
      </c>
      <c r="G248" s="183">
        <f>IF(F248="","",(SUMPRODUCT((Торговля!$E$5:$E$300=$B248)*Торговля!$I$5:$I$300*Торговля!$J$5:$J$300)+SUMPRODUCT((Закрытые!$E$5:$E$300=$B248)*(LEFT(Закрытые!$B$5:$B$300,2)="T-")*Закрытые!$I$5:$I$300*Закрытые!$J$5:$J$300))/F248)</f>
        <v/>
      </c>
      <c r="H248" s="247">
        <f>IF(F248="","",SUMIFS(Торговля!$K$5:$K$300,Торговля!$E$5:$E$300,$B248)+SUMIFS(Закрытые!$K$5:$K$300,Закрытые!$E$5:$E$300,$B248,Закрытые!$B$5:$B$300,"T-*"))</f>
        <v/>
      </c>
      <c r="I248" s="246">
        <f>IF($B248="","",IF(COUNTIFS(Торговля!$E$5:$E$300,$B248)+COUNTIFS(Закрытые!$E$5:$E$300,$B248,Закрытые!$B$5:$B$300,"T-*")=0,"",ROUND(SUMIFS(Торговля!$L$5:$L$300,Торговля!$E$5:$E$300,$B248)+SUMIFS(Закрытые!$L$5:$L$300,Закрытые!$E$5:$E$300,$B248,Закрытые!$B$5:$B$300,"T-*"),8)))</f>
        <v/>
      </c>
      <c r="J248" s="247">
        <f>IF($B248="","",IF(COUNTIFS(Торговля!$E$5:$E$300,$B248)+COUNTIFS(Закрытые!$E$5:$E$300,$B248,Закрытые!$B$5:$B$300,"T-*")=0,"",ROUND(SUMIFS(Торговля!$M$5:$M$300,Торговля!$E$5:$E$300,$B248)+SUMIFS(Закрытые!$M$5:$M$300,Закрытые!$E$5:$E$300,$B248,Закрытые!$B$5:$B$300,"T-*"),8)))</f>
        <v/>
      </c>
      <c r="K248" s="246">
        <f>IF($B248="","",ROUND(SUMIFS(Закрытые!$N$5:$N$300,Закрытые!$E$5:$E$300,$B248,Закрытые!$B$5:$B$300,"T-*"),8))</f>
        <v/>
      </c>
      <c r="L248" s="183">
        <f>IF(K248="","",IF(SUMPRODUCT((Закрытые!$E$5:$E$300=$B248)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248/SUMPRODUCT((Закрытые!$E$5:$E$300=$B248)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8" s="183">
        <f>IF(OR(ROUND(N(C248)-N(F248),8)=0,1-N(Ввод!$E$17)/100&lt;=0),"",IF(N(C248)&gt;N(F248),(N(E248)-N(H248))/((N(C248)-N(F248))*(1-N(Ввод!$E$17)/100)),(N(H248)-N(E248))/((N(F248)-N(C248))*(1+N(Ввод!$E$17)/100))))</f>
        <v/>
      </c>
    </row>
    <row r="249" ht="22" customHeight="1">
      <c r="B249" s="315" t="n"/>
      <c r="C249" s="240">
        <f>IF(SUMIFS(Торговля!$F$5:$F$300,Торговля!$E$5:$E$300,$B249)+SUMIFS(Закрытые!$F$5:$F$300,Закрытые!$E$5:$E$300,$B249,Закрытые!$B$5:$B$300,"T-*")=0,"",SUMIFS(Торговля!$F$5:$F$300,Торговля!$E$5:$E$300,$B249)+SUMIFS(Закрытые!$F$5:$F$300,Закрытые!$E$5:$E$300,$B249,Закрытые!$B$5:$B$300,"T-*"))</f>
        <v/>
      </c>
      <c r="D249" s="177">
        <f>IF(C249="","",(SUMPRODUCT((Торговля!$E$5:$E$300=$B249)*Торговля!$F$5:$F$300*Торговля!$G$5:$G$300)+SUMPRODUCT((Закрытые!$E$5:$E$300=$B249)*(LEFT(Закрытые!$B$5:$B$300,2)="T-")*Закрытые!$F$5:$F$300*Закрытые!$G$5:$G$300))/C249)</f>
        <v/>
      </c>
      <c r="E249" s="241">
        <f>IF(C249="","",SUMIFS(Торговля!$H$5:$H$300,Торговля!$E$5:$E$300,$B249)+SUMIFS(Закрытые!$H$5:$H$300,Закрытые!$E$5:$E$300,$B249,Закрытые!$B$5:$B$300,"T-*"))</f>
        <v/>
      </c>
      <c r="F249" s="240">
        <f>IF(SUMIFS(Торговля!$I$5:$I$300,Торговля!$E$5:$E$300,$B249)+SUMIFS(Закрытые!$I$5:$I$300,Закрытые!$E$5:$E$300,$B249,Закрытые!$B$5:$B$300,"T-*")=0,"",SUMIFS(Торговля!$I$5:$I$300,Торговля!$E$5:$E$300,$B249)+SUMIFS(Закрытые!$I$5:$I$300,Закрытые!$E$5:$E$300,$B249,Закрытые!$B$5:$B$300,"T-*"))</f>
        <v/>
      </c>
      <c r="G249" s="177">
        <f>IF(F249="","",(SUMPRODUCT((Торговля!$E$5:$E$300=$B249)*Торговля!$I$5:$I$300*Торговля!$J$5:$J$300)+SUMPRODUCT((Закрытые!$E$5:$E$300=$B249)*(LEFT(Закрытые!$B$5:$B$300,2)="T-")*Закрытые!$I$5:$I$300*Закрытые!$J$5:$J$300))/F249)</f>
        <v/>
      </c>
      <c r="H249" s="241">
        <f>IF(F249="","",SUMIFS(Торговля!$K$5:$K$300,Торговля!$E$5:$E$300,$B249)+SUMIFS(Закрытые!$K$5:$K$300,Закрытые!$E$5:$E$300,$B249,Закрытые!$B$5:$B$300,"T-*"))</f>
        <v/>
      </c>
      <c r="I249" s="240">
        <f>IF($B249="","",IF(COUNTIFS(Торговля!$E$5:$E$300,$B249)+COUNTIFS(Закрытые!$E$5:$E$300,$B249,Закрытые!$B$5:$B$300,"T-*")=0,"",ROUND(SUMIFS(Торговля!$L$5:$L$300,Торговля!$E$5:$E$300,$B249)+SUMIFS(Закрытые!$L$5:$L$300,Закрытые!$E$5:$E$300,$B249,Закрытые!$B$5:$B$300,"T-*"),8)))</f>
        <v/>
      </c>
      <c r="J249" s="241">
        <f>IF($B249="","",IF(COUNTIFS(Торговля!$E$5:$E$300,$B249)+COUNTIFS(Закрытые!$E$5:$E$300,$B249,Закрытые!$B$5:$B$300,"T-*")=0,"",ROUND(SUMIFS(Торговля!$M$5:$M$300,Торговля!$E$5:$E$300,$B249)+SUMIFS(Закрытые!$M$5:$M$300,Закрытые!$E$5:$E$300,$B249,Закрытые!$B$5:$B$300,"T-*"),8)))</f>
        <v/>
      </c>
      <c r="K249" s="240">
        <f>IF($B249="","",ROUND(SUMIFS(Закрытые!$N$5:$N$300,Закрытые!$E$5:$E$300,$B249,Закрытые!$B$5:$B$300,"T-*"),8))</f>
        <v/>
      </c>
      <c r="L249" s="177">
        <f>IF(K249="","",IF(SUMPRODUCT((Закрытые!$E$5:$E$300=$B249)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249/SUMPRODUCT((Закрытые!$E$5:$E$300=$B249)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9" s="177">
        <f>IF(OR(ROUND(N(C249)-N(F249),8)=0,1-N(Ввод!$E$17)/100&lt;=0),"",IF(N(C249)&gt;N(F249),(N(E249)-N(H249))/((N(C249)-N(F249))*(1-N(Ввод!$E$17)/100)),(N(H249)-N(E249))/((N(F249)-N(C249))*(1+N(Ввод!$E$17)/100))))</f>
        <v/>
      </c>
    </row>
    <row r="250" ht="22" customHeight="1">
      <c r="B250" s="320" t="n"/>
      <c r="C250" s="246">
        <f>IF(SUMIFS(Торговля!$F$5:$F$300,Торговля!$E$5:$E$300,$B250)+SUMIFS(Закрытые!$F$5:$F$300,Закрытые!$E$5:$E$300,$B250,Закрытые!$B$5:$B$300,"T-*")=0,"",SUMIFS(Торговля!$F$5:$F$300,Торговля!$E$5:$E$300,$B250)+SUMIFS(Закрытые!$F$5:$F$300,Закрытые!$E$5:$E$300,$B250,Закрытые!$B$5:$B$300,"T-*"))</f>
        <v/>
      </c>
      <c r="D250" s="183">
        <f>IF(C250="","",(SUMPRODUCT((Торговля!$E$5:$E$300=$B250)*Торговля!$F$5:$F$300*Торговля!$G$5:$G$300)+SUMPRODUCT((Закрытые!$E$5:$E$300=$B250)*(LEFT(Закрытые!$B$5:$B$300,2)="T-")*Закрытые!$F$5:$F$300*Закрытые!$G$5:$G$300))/C250)</f>
        <v/>
      </c>
      <c r="E250" s="247">
        <f>IF(C250="","",SUMIFS(Торговля!$H$5:$H$300,Торговля!$E$5:$E$300,$B250)+SUMIFS(Закрытые!$H$5:$H$300,Закрытые!$E$5:$E$300,$B250,Закрытые!$B$5:$B$300,"T-*"))</f>
        <v/>
      </c>
      <c r="F250" s="246">
        <f>IF(SUMIFS(Торговля!$I$5:$I$300,Торговля!$E$5:$E$300,$B250)+SUMIFS(Закрытые!$I$5:$I$300,Закрытые!$E$5:$E$300,$B250,Закрытые!$B$5:$B$300,"T-*")=0,"",SUMIFS(Торговля!$I$5:$I$300,Торговля!$E$5:$E$300,$B250)+SUMIFS(Закрытые!$I$5:$I$300,Закрытые!$E$5:$E$300,$B250,Закрытые!$B$5:$B$300,"T-*"))</f>
        <v/>
      </c>
      <c r="G250" s="183">
        <f>IF(F250="","",(SUMPRODUCT((Торговля!$E$5:$E$300=$B250)*Торговля!$I$5:$I$300*Торговля!$J$5:$J$300)+SUMPRODUCT((Закрытые!$E$5:$E$300=$B250)*(LEFT(Закрытые!$B$5:$B$300,2)="T-")*Закрытые!$I$5:$I$300*Закрытые!$J$5:$J$300))/F250)</f>
        <v/>
      </c>
      <c r="H250" s="247">
        <f>IF(F250="","",SUMIFS(Торговля!$K$5:$K$300,Торговля!$E$5:$E$300,$B250)+SUMIFS(Закрытые!$K$5:$K$300,Закрытые!$E$5:$E$300,$B250,Закрытые!$B$5:$B$300,"T-*"))</f>
        <v/>
      </c>
      <c r="I250" s="246">
        <f>IF($B250="","",IF(COUNTIFS(Торговля!$E$5:$E$300,$B250)+COUNTIFS(Закрытые!$E$5:$E$300,$B250,Закрытые!$B$5:$B$300,"T-*")=0,"",ROUND(SUMIFS(Торговля!$L$5:$L$300,Торговля!$E$5:$E$300,$B250)+SUMIFS(Закрытые!$L$5:$L$300,Закрытые!$E$5:$E$300,$B250,Закрытые!$B$5:$B$300,"T-*"),8)))</f>
        <v/>
      </c>
      <c r="J250" s="247">
        <f>IF($B250="","",IF(COUNTIFS(Торговля!$E$5:$E$300,$B250)+COUNTIFS(Закрытые!$E$5:$E$300,$B250,Закрытые!$B$5:$B$300,"T-*")=0,"",ROUND(SUMIFS(Торговля!$M$5:$M$300,Торговля!$E$5:$E$300,$B250)+SUMIFS(Закрытые!$M$5:$M$300,Закрытые!$E$5:$E$300,$B250,Закрытые!$B$5:$B$300,"T-*"),8)))</f>
        <v/>
      </c>
      <c r="K250" s="246">
        <f>IF($B250="","",ROUND(SUMIFS(Закрытые!$N$5:$N$300,Закрытые!$E$5:$E$300,$B250,Закрытые!$B$5:$B$300,"T-*"),8))</f>
        <v/>
      </c>
      <c r="L250" s="183">
        <f>IF(K250="","",IF(SUMPRODUCT((Закрытые!$E$5:$E$300=$B250)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250/SUMPRODUCT((Закрытые!$E$5:$E$300=$B250)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0" s="183">
        <f>IF(OR(ROUND(N(C250)-N(F250),8)=0,1-N(Ввод!$E$17)/100&lt;=0),"",IF(N(C250)&gt;N(F250),(N(E250)-N(H250))/((N(C250)-N(F250))*(1-N(Ввод!$E$17)/100)),(N(H250)-N(E250))/((N(F250)-N(C250))*(1+N(Ввод!$E$17)/100))))</f>
        <v/>
      </c>
    </row>
    <row r="251" ht="22" customHeight="1">
      <c r="B251" s="315" t="n"/>
      <c r="C251" s="240">
        <f>IF(SUMIFS(Торговля!$F$5:$F$300,Торговля!$E$5:$E$300,$B251)+SUMIFS(Закрытые!$F$5:$F$300,Закрытые!$E$5:$E$300,$B251,Закрытые!$B$5:$B$300,"T-*")=0,"",SUMIFS(Торговля!$F$5:$F$300,Торговля!$E$5:$E$300,$B251)+SUMIFS(Закрытые!$F$5:$F$300,Закрытые!$E$5:$E$300,$B251,Закрытые!$B$5:$B$300,"T-*"))</f>
        <v/>
      </c>
      <c r="D251" s="177">
        <f>IF(C251="","",(SUMPRODUCT((Торговля!$E$5:$E$300=$B251)*Торговля!$F$5:$F$300*Торговля!$G$5:$G$300)+SUMPRODUCT((Закрытые!$E$5:$E$300=$B251)*(LEFT(Закрытые!$B$5:$B$300,2)="T-")*Закрытые!$F$5:$F$300*Закрытые!$G$5:$G$300))/C251)</f>
        <v/>
      </c>
      <c r="E251" s="241">
        <f>IF(C251="","",SUMIFS(Торговля!$H$5:$H$300,Торговля!$E$5:$E$300,$B251)+SUMIFS(Закрытые!$H$5:$H$300,Закрытые!$E$5:$E$300,$B251,Закрытые!$B$5:$B$300,"T-*"))</f>
        <v/>
      </c>
      <c r="F251" s="240">
        <f>IF(SUMIFS(Торговля!$I$5:$I$300,Торговля!$E$5:$E$300,$B251)+SUMIFS(Закрытые!$I$5:$I$300,Закрытые!$E$5:$E$300,$B251,Закрытые!$B$5:$B$300,"T-*")=0,"",SUMIFS(Торговля!$I$5:$I$300,Торговля!$E$5:$E$300,$B251)+SUMIFS(Закрытые!$I$5:$I$300,Закрытые!$E$5:$E$300,$B251,Закрытые!$B$5:$B$300,"T-*"))</f>
        <v/>
      </c>
      <c r="G251" s="177">
        <f>IF(F251="","",(SUMPRODUCT((Торговля!$E$5:$E$300=$B251)*Торговля!$I$5:$I$300*Торговля!$J$5:$J$300)+SUMPRODUCT((Закрытые!$E$5:$E$300=$B251)*(LEFT(Закрытые!$B$5:$B$300,2)="T-")*Закрытые!$I$5:$I$300*Закрытые!$J$5:$J$300))/F251)</f>
        <v/>
      </c>
      <c r="H251" s="241">
        <f>IF(F251="","",SUMIFS(Торговля!$K$5:$K$300,Торговля!$E$5:$E$300,$B251)+SUMIFS(Закрытые!$K$5:$K$300,Закрытые!$E$5:$E$300,$B251,Закрытые!$B$5:$B$300,"T-*"))</f>
        <v/>
      </c>
      <c r="I251" s="240">
        <f>IF($B251="","",IF(COUNTIFS(Торговля!$E$5:$E$300,$B251)+COUNTIFS(Закрытые!$E$5:$E$300,$B251,Закрытые!$B$5:$B$300,"T-*")=0,"",ROUND(SUMIFS(Торговля!$L$5:$L$300,Торговля!$E$5:$E$300,$B251)+SUMIFS(Закрытые!$L$5:$L$300,Закрытые!$E$5:$E$300,$B251,Закрытые!$B$5:$B$300,"T-*"),8)))</f>
        <v/>
      </c>
      <c r="J251" s="241">
        <f>IF($B251="","",IF(COUNTIFS(Торговля!$E$5:$E$300,$B251)+COUNTIFS(Закрытые!$E$5:$E$300,$B251,Закрытые!$B$5:$B$300,"T-*")=0,"",ROUND(SUMIFS(Торговля!$M$5:$M$300,Торговля!$E$5:$E$300,$B251)+SUMIFS(Закрытые!$M$5:$M$300,Закрытые!$E$5:$E$300,$B251,Закрытые!$B$5:$B$300,"T-*"),8)))</f>
        <v/>
      </c>
      <c r="K251" s="240">
        <f>IF($B251="","",ROUND(SUMIFS(Закрытые!$N$5:$N$300,Закрытые!$E$5:$E$300,$B251,Закрытые!$B$5:$B$300,"T-*"),8))</f>
        <v/>
      </c>
      <c r="L251" s="177">
        <f>IF(K251="","",IF(SUMPRODUCT((Закрытые!$E$5:$E$300=$B251)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251/SUMPRODUCT((Закрытые!$E$5:$E$300=$B251)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1" s="177">
        <f>IF(OR(ROUND(N(C251)-N(F251),8)=0,1-N(Ввод!$E$17)/100&lt;=0),"",IF(N(C251)&gt;N(F251),(N(E251)-N(H251))/((N(C251)-N(F251))*(1-N(Ввод!$E$17)/100)),(N(H251)-N(E251))/((N(F251)-N(C251))*(1+N(Ввод!$E$17)/100))))</f>
        <v/>
      </c>
    </row>
    <row r="252" ht="22" customHeight="1">
      <c r="B252" s="320" t="n"/>
      <c r="C252" s="246">
        <f>IF(SUMIFS(Торговля!$F$5:$F$300,Торговля!$E$5:$E$300,$B252)+SUMIFS(Закрытые!$F$5:$F$300,Закрытые!$E$5:$E$300,$B252,Закрытые!$B$5:$B$300,"T-*")=0,"",SUMIFS(Торговля!$F$5:$F$300,Торговля!$E$5:$E$300,$B252)+SUMIFS(Закрытые!$F$5:$F$300,Закрытые!$E$5:$E$300,$B252,Закрытые!$B$5:$B$300,"T-*"))</f>
        <v/>
      </c>
      <c r="D252" s="183">
        <f>IF(C252="","",(SUMPRODUCT((Торговля!$E$5:$E$300=$B252)*Торговля!$F$5:$F$300*Торговля!$G$5:$G$300)+SUMPRODUCT((Закрытые!$E$5:$E$300=$B252)*(LEFT(Закрытые!$B$5:$B$300,2)="T-")*Закрытые!$F$5:$F$300*Закрытые!$G$5:$G$300))/C252)</f>
        <v/>
      </c>
      <c r="E252" s="247">
        <f>IF(C252="","",SUMIFS(Торговля!$H$5:$H$300,Торговля!$E$5:$E$300,$B252)+SUMIFS(Закрытые!$H$5:$H$300,Закрытые!$E$5:$E$300,$B252,Закрытые!$B$5:$B$300,"T-*"))</f>
        <v/>
      </c>
      <c r="F252" s="246">
        <f>IF(SUMIFS(Торговля!$I$5:$I$300,Торговля!$E$5:$E$300,$B252)+SUMIFS(Закрытые!$I$5:$I$300,Закрытые!$E$5:$E$300,$B252,Закрытые!$B$5:$B$300,"T-*")=0,"",SUMIFS(Торговля!$I$5:$I$300,Торговля!$E$5:$E$300,$B252)+SUMIFS(Закрытые!$I$5:$I$300,Закрытые!$E$5:$E$300,$B252,Закрытые!$B$5:$B$300,"T-*"))</f>
        <v/>
      </c>
      <c r="G252" s="183">
        <f>IF(F252="","",(SUMPRODUCT((Торговля!$E$5:$E$300=$B252)*Торговля!$I$5:$I$300*Торговля!$J$5:$J$300)+SUMPRODUCT((Закрытые!$E$5:$E$300=$B252)*(LEFT(Закрытые!$B$5:$B$300,2)="T-")*Закрытые!$I$5:$I$300*Закрытые!$J$5:$J$300))/F252)</f>
        <v/>
      </c>
      <c r="H252" s="247">
        <f>IF(F252="","",SUMIFS(Торговля!$K$5:$K$300,Торговля!$E$5:$E$300,$B252)+SUMIFS(Закрытые!$K$5:$K$300,Закрытые!$E$5:$E$300,$B252,Закрытые!$B$5:$B$300,"T-*"))</f>
        <v/>
      </c>
      <c r="I252" s="246">
        <f>IF($B252="","",IF(COUNTIFS(Торговля!$E$5:$E$300,$B252)+COUNTIFS(Закрытые!$E$5:$E$300,$B252,Закрытые!$B$5:$B$300,"T-*")=0,"",ROUND(SUMIFS(Торговля!$L$5:$L$300,Торговля!$E$5:$E$300,$B252)+SUMIFS(Закрытые!$L$5:$L$300,Закрытые!$E$5:$E$300,$B252,Закрытые!$B$5:$B$300,"T-*"),8)))</f>
        <v/>
      </c>
      <c r="J252" s="247">
        <f>IF($B252="","",IF(COUNTIFS(Торговля!$E$5:$E$300,$B252)+COUNTIFS(Закрытые!$E$5:$E$300,$B252,Закрытые!$B$5:$B$300,"T-*")=0,"",ROUND(SUMIFS(Торговля!$M$5:$M$300,Торговля!$E$5:$E$300,$B252)+SUMIFS(Закрытые!$M$5:$M$300,Закрытые!$E$5:$E$300,$B252,Закрытые!$B$5:$B$300,"T-*"),8)))</f>
        <v/>
      </c>
      <c r="K252" s="246">
        <f>IF($B252="","",ROUND(SUMIFS(Закрытые!$N$5:$N$300,Закрытые!$E$5:$E$300,$B252,Закрытые!$B$5:$B$300,"T-*"),8))</f>
        <v/>
      </c>
      <c r="L252" s="183">
        <f>IF(K252="","",IF(SUMPRODUCT((Закрытые!$E$5:$E$300=$B252)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252/SUMPRODUCT((Закрытые!$E$5:$E$300=$B252)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2" s="183">
        <f>IF(OR(ROUND(N(C252)-N(F252),8)=0,1-N(Ввод!$E$17)/100&lt;=0),"",IF(N(C252)&gt;N(F252),(N(E252)-N(H252))/((N(C252)-N(F252))*(1-N(Ввод!$E$17)/100)),(N(H252)-N(E252))/((N(F252)-N(C252))*(1+N(Ввод!$E$17)/100))))</f>
        <v/>
      </c>
    </row>
    <row r="253" ht="22" customHeight="1">
      <c r="B253" s="315" t="n"/>
      <c r="C253" s="240">
        <f>IF(SUMIFS(Торговля!$F$5:$F$300,Торговля!$E$5:$E$300,$B253)+SUMIFS(Закрытые!$F$5:$F$300,Закрытые!$E$5:$E$300,$B253,Закрытые!$B$5:$B$300,"T-*")=0,"",SUMIFS(Торговля!$F$5:$F$300,Торговля!$E$5:$E$300,$B253)+SUMIFS(Закрытые!$F$5:$F$300,Закрытые!$E$5:$E$300,$B253,Закрытые!$B$5:$B$300,"T-*"))</f>
        <v/>
      </c>
      <c r="D253" s="177">
        <f>IF(C253="","",(SUMPRODUCT((Торговля!$E$5:$E$300=$B253)*Торговля!$F$5:$F$300*Торговля!$G$5:$G$300)+SUMPRODUCT((Закрытые!$E$5:$E$300=$B253)*(LEFT(Закрытые!$B$5:$B$300,2)="T-")*Закрытые!$F$5:$F$300*Закрытые!$G$5:$G$300))/C253)</f>
        <v/>
      </c>
      <c r="E253" s="241">
        <f>IF(C253="","",SUMIFS(Торговля!$H$5:$H$300,Торговля!$E$5:$E$300,$B253)+SUMIFS(Закрытые!$H$5:$H$300,Закрытые!$E$5:$E$300,$B253,Закрытые!$B$5:$B$300,"T-*"))</f>
        <v/>
      </c>
      <c r="F253" s="240">
        <f>IF(SUMIFS(Торговля!$I$5:$I$300,Торговля!$E$5:$E$300,$B253)+SUMIFS(Закрытые!$I$5:$I$300,Закрытые!$E$5:$E$300,$B253,Закрытые!$B$5:$B$300,"T-*")=0,"",SUMIFS(Торговля!$I$5:$I$300,Торговля!$E$5:$E$300,$B253)+SUMIFS(Закрытые!$I$5:$I$300,Закрытые!$E$5:$E$300,$B253,Закрытые!$B$5:$B$300,"T-*"))</f>
        <v/>
      </c>
      <c r="G253" s="177">
        <f>IF(F253="","",(SUMPRODUCT((Торговля!$E$5:$E$300=$B253)*Торговля!$I$5:$I$300*Торговля!$J$5:$J$300)+SUMPRODUCT((Закрытые!$E$5:$E$300=$B253)*(LEFT(Закрытые!$B$5:$B$300,2)="T-")*Закрытые!$I$5:$I$300*Закрытые!$J$5:$J$300))/F253)</f>
        <v/>
      </c>
      <c r="H253" s="241">
        <f>IF(F253="","",SUMIFS(Торговля!$K$5:$K$300,Торговля!$E$5:$E$300,$B253)+SUMIFS(Закрытые!$K$5:$K$300,Закрытые!$E$5:$E$300,$B253,Закрытые!$B$5:$B$300,"T-*"))</f>
        <v/>
      </c>
      <c r="I253" s="240">
        <f>IF($B253="","",IF(COUNTIFS(Торговля!$E$5:$E$300,$B253)+COUNTIFS(Закрытые!$E$5:$E$300,$B253,Закрытые!$B$5:$B$300,"T-*")=0,"",ROUND(SUMIFS(Торговля!$L$5:$L$300,Торговля!$E$5:$E$300,$B253)+SUMIFS(Закрытые!$L$5:$L$300,Закрытые!$E$5:$E$300,$B253,Закрытые!$B$5:$B$300,"T-*"),8)))</f>
        <v/>
      </c>
      <c r="J253" s="241">
        <f>IF($B253="","",IF(COUNTIFS(Торговля!$E$5:$E$300,$B253)+COUNTIFS(Закрытые!$E$5:$E$300,$B253,Закрытые!$B$5:$B$300,"T-*")=0,"",ROUND(SUMIFS(Торговля!$M$5:$M$300,Торговля!$E$5:$E$300,$B253)+SUMIFS(Закрытые!$M$5:$M$300,Закрытые!$E$5:$E$300,$B253,Закрытые!$B$5:$B$300,"T-*"),8)))</f>
        <v/>
      </c>
      <c r="K253" s="240">
        <f>IF($B253="","",ROUND(SUMIFS(Закрытые!$N$5:$N$300,Закрытые!$E$5:$E$300,$B253,Закрытые!$B$5:$B$300,"T-*"),8))</f>
        <v/>
      </c>
      <c r="L253" s="177">
        <f>IF(K253="","",IF(SUMPRODUCT((Закрытые!$E$5:$E$300=$B253)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253/SUMPRODUCT((Закрытые!$E$5:$E$300=$B253)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3" s="177">
        <f>IF(OR(ROUND(N(C253)-N(F253),8)=0,1-N(Ввод!$E$17)/100&lt;=0),"",IF(N(C253)&gt;N(F253),(N(E253)-N(H253))/((N(C253)-N(F253))*(1-N(Ввод!$E$17)/100)),(N(H253)-N(E253))/((N(F253)-N(C253))*(1+N(Ввод!$E$17)/100))))</f>
        <v/>
      </c>
    </row>
    <row r="254" ht="22" customHeight="1">
      <c r="B254" s="320" t="n"/>
      <c r="C254" s="246">
        <f>IF(SUMIFS(Торговля!$F$5:$F$300,Торговля!$E$5:$E$300,$B254)+SUMIFS(Закрытые!$F$5:$F$300,Закрытые!$E$5:$E$300,$B254,Закрытые!$B$5:$B$300,"T-*")=0,"",SUMIFS(Торговля!$F$5:$F$300,Торговля!$E$5:$E$300,$B254)+SUMIFS(Закрытые!$F$5:$F$300,Закрытые!$E$5:$E$300,$B254,Закрытые!$B$5:$B$300,"T-*"))</f>
        <v/>
      </c>
      <c r="D254" s="183">
        <f>IF(C254="","",(SUMPRODUCT((Торговля!$E$5:$E$300=$B254)*Торговля!$F$5:$F$300*Торговля!$G$5:$G$300)+SUMPRODUCT((Закрытые!$E$5:$E$300=$B254)*(LEFT(Закрытые!$B$5:$B$300,2)="T-")*Закрытые!$F$5:$F$300*Закрытые!$G$5:$G$300))/C254)</f>
        <v/>
      </c>
      <c r="E254" s="247">
        <f>IF(C254="","",SUMIFS(Торговля!$H$5:$H$300,Торговля!$E$5:$E$300,$B254)+SUMIFS(Закрытые!$H$5:$H$300,Закрытые!$E$5:$E$300,$B254,Закрытые!$B$5:$B$300,"T-*"))</f>
        <v/>
      </c>
      <c r="F254" s="246">
        <f>IF(SUMIFS(Торговля!$I$5:$I$300,Торговля!$E$5:$E$300,$B254)+SUMIFS(Закрытые!$I$5:$I$300,Закрытые!$E$5:$E$300,$B254,Закрытые!$B$5:$B$300,"T-*")=0,"",SUMIFS(Торговля!$I$5:$I$300,Торговля!$E$5:$E$300,$B254)+SUMIFS(Закрытые!$I$5:$I$300,Закрытые!$E$5:$E$300,$B254,Закрытые!$B$5:$B$300,"T-*"))</f>
        <v/>
      </c>
      <c r="G254" s="183">
        <f>IF(F254="","",(SUMPRODUCT((Торговля!$E$5:$E$300=$B254)*Торговля!$I$5:$I$300*Торговля!$J$5:$J$300)+SUMPRODUCT((Закрытые!$E$5:$E$300=$B254)*(LEFT(Закрытые!$B$5:$B$300,2)="T-")*Закрытые!$I$5:$I$300*Закрытые!$J$5:$J$300))/F254)</f>
        <v/>
      </c>
      <c r="H254" s="247">
        <f>IF(F254="","",SUMIFS(Торговля!$K$5:$K$300,Торговля!$E$5:$E$300,$B254)+SUMIFS(Закрытые!$K$5:$K$300,Закрытые!$E$5:$E$300,$B254,Закрытые!$B$5:$B$300,"T-*"))</f>
        <v/>
      </c>
      <c r="I254" s="246">
        <f>IF($B254="","",IF(COUNTIFS(Торговля!$E$5:$E$300,$B254)+COUNTIFS(Закрытые!$E$5:$E$300,$B254,Закрытые!$B$5:$B$300,"T-*")=0,"",ROUND(SUMIFS(Торговля!$L$5:$L$300,Торговля!$E$5:$E$300,$B254)+SUMIFS(Закрытые!$L$5:$L$300,Закрытые!$E$5:$E$300,$B254,Закрытые!$B$5:$B$300,"T-*"),8)))</f>
        <v/>
      </c>
      <c r="J254" s="247">
        <f>IF($B254="","",IF(COUNTIFS(Торговля!$E$5:$E$300,$B254)+COUNTIFS(Закрытые!$E$5:$E$300,$B254,Закрытые!$B$5:$B$300,"T-*")=0,"",ROUND(SUMIFS(Торговля!$M$5:$M$300,Торговля!$E$5:$E$300,$B254)+SUMIFS(Закрытые!$M$5:$M$300,Закрытые!$E$5:$E$300,$B254,Закрытые!$B$5:$B$300,"T-*"),8)))</f>
        <v/>
      </c>
      <c r="K254" s="246">
        <f>IF($B254="","",ROUND(SUMIFS(Закрытые!$N$5:$N$300,Закрытые!$E$5:$E$300,$B254,Закрытые!$B$5:$B$300,"T-*"),8))</f>
        <v/>
      </c>
      <c r="L254" s="183">
        <f>IF(K254="","",IF(SUMPRODUCT((Закрытые!$E$5:$E$300=$B254)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254/SUMPRODUCT((Закрытые!$E$5:$E$300=$B254)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4" s="183">
        <f>IF(OR(ROUND(N(C254)-N(F254),8)=0,1-N(Ввод!$E$17)/100&lt;=0),"",IF(N(C254)&gt;N(F254),(N(E254)-N(H254))/((N(C254)-N(F254))*(1-N(Ввод!$E$17)/100)),(N(H254)-N(E254))/((N(F254)-N(C254))*(1+N(Ввод!$E$17)/100))))</f>
        <v/>
      </c>
    </row>
    <row r="255" ht="22" customHeight="1">
      <c r="B255" s="315" t="n"/>
      <c r="C255" s="240">
        <f>IF(SUMIFS(Торговля!$F$5:$F$300,Торговля!$E$5:$E$300,$B255)+SUMIFS(Закрытые!$F$5:$F$300,Закрытые!$E$5:$E$300,$B255,Закрытые!$B$5:$B$300,"T-*")=0,"",SUMIFS(Торговля!$F$5:$F$300,Торговля!$E$5:$E$300,$B255)+SUMIFS(Закрытые!$F$5:$F$300,Закрытые!$E$5:$E$300,$B255,Закрытые!$B$5:$B$300,"T-*"))</f>
        <v/>
      </c>
      <c r="D255" s="177">
        <f>IF(C255="","",(SUMPRODUCT((Торговля!$E$5:$E$300=$B255)*Торговля!$F$5:$F$300*Торговля!$G$5:$G$300)+SUMPRODUCT((Закрытые!$E$5:$E$300=$B255)*(LEFT(Закрытые!$B$5:$B$300,2)="T-")*Закрытые!$F$5:$F$300*Закрытые!$G$5:$G$300))/C255)</f>
        <v/>
      </c>
      <c r="E255" s="241">
        <f>IF(C255="","",SUMIFS(Торговля!$H$5:$H$300,Торговля!$E$5:$E$300,$B255)+SUMIFS(Закрытые!$H$5:$H$300,Закрытые!$E$5:$E$300,$B255,Закрытые!$B$5:$B$300,"T-*"))</f>
        <v/>
      </c>
      <c r="F255" s="240">
        <f>IF(SUMIFS(Торговля!$I$5:$I$300,Торговля!$E$5:$E$300,$B255)+SUMIFS(Закрытые!$I$5:$I$300,Закрытые!$E$5:$E$300,$B255,Закрытые!$B$5:$B$300,"T-*")=0,"",SUMIFS(Торговля!$I$5:$I$300,Торговля!$E$5:$E$300,$B255)+SUMIFS(Закрытые!$I$5:$I$300,Закрытые!$E$5:$E$300,$B255,Закрытые!$B$5:$B$300,"T-*"))</f>
        <v/>
      </c>
      <c r="G255" s="177">
        <f>IF(F255="","",(SUMPRODUCT((Торговля!$E$5:$E$300=$B255)*Торговля!$I$5:$I$300*Торговля!$J$5:$J$300)+SUMPRODUCT((Закрытые!$E$5:$E$300=$B255)*(LEFT(Закрытые!$B$5:$B$300,2)="T-")*Закрытые!$I$5:$I$300*Закрытые!$J$5:$J$300))/F255)</f>
        <v/>
      </c>
      <c r="H255" s="241">
        <f>IF(F255="","",SUMIFS(Торговля!$K$5:$K$300,Торговля!$E$5:$E$300,$B255)+SUMIFS(Закрытые!$K$5:$K$300,Закрытые!$E$5:$E$300,$B255,Закрытые!$B$5:$B$300,"T-*"))</f>
        <v/>
      </c>
      <c r="I255" s="240">
        <f>IF($B255="","",IF(COUNTIFS(Торговля!$E$5:$E$300,$B255)+COUNTIFS(Закрытые!$E$5:$E$300,$B255,Закрытые!$B$5:$B$300,"T-*")=0,"",ROUND(SUMIFS(Торговля!$L$5:$L$300,Торговля!$E$5:$E$300,$B255)+SUMIFS(Закрытые!$L$5:$L$300,Закрытые!$E$5:$E$300,$B255,Закрытые!$B$5:$B$300,"T-*"),8)))</f>
        <v/>
      </c>
      <c r="J255" s="241">
        <f>IF($B255="","",IF(COUNTIFS(Торговля!$E$5:$E$300,$B255)+COUNTIFS(Закрытые!$E$5:$E$300,$B255,Закрытые!$B$5:$B$300,"T-*")=0,"",ROUND(SUMIFS(Торговля!$M$5:$M$300,Торговля!$E$5:$E$300,$B255)+SUMIFS(Закрытые!$M$5:$M$300,Закрытые!$E$5:$E$300,$B255,Закрытые!$B$5:$B$300,"T-*"),8)))</f>
        <v/>
      </c>
      <c r="K255" s="240">
        <f>IF($B255="","",ROUND(SUMIFS(Закрытые!$N$5:$N$300,Закрытые!$E$5:$E$300,$B255,Закрытые!$B$5:$B$300,"T-*"),8))</f>
        <v/>
      </c>
      <c r="L255" s="177">
        <f>IF(K255="","",IF(SUMPRODUCT((Закрытые!$E$5:$E$300=$B255)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255/SUMPRODUCT((Закрытые!$E$5:$E$300=$B255)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5" s="177">
        <f>IF(OR(ROUND(N(C255)-N(F255),8)=0,1-N(Ввод!$E$17)/100&lt;=0),"",IF(N(C255)&gt;N(F255),(N(E255)-N(H255))/((N(C255)-N(F255))*(1-N(Ввод!$E$17)/100)),(N(H255)-N(E255))/((N(F255)-N(C255))*(1+N(Ввод!$E$17)/100))))</f>
        <v/>
      </c>
    </row>
    <row r="256" ht="22" customHeight="1">
      <c r="B256" s="320" t="n"/>
      <c r="C256" s="246">
        <f>IF(SUMIFS(Торговля!$F$5:$F$300,Торговля!$E$5:$E$300,$B256)+SUMIFS(Закрытые!$F$5:$F$300,Закрытые!$E$5:$E$300,$B256,Закрытые!$B$5:$B$300,"T-*")=0,"",SUMIFS(Торговля!$F$5:$F$300,Торговля!$E$5:$E$300,$B256)+SUMIFS(Закрытые!$F$5:$F$300,Закрытые!$E$5:$E$300,$B256,Закрытые!$B$5:$B$300,"T-*"))</f>
        <v/>
      </c>
      <c r="D256" s="183">
        <f>IF(C256="","",(SUMPRODUCT((Торговля!$E$5:$E$300=$B256)*Торговля!$F$5:$F$300*Торговля!$G$5:$G$300)+SUMPRODUCT((Закрытые!$E$5:$E$300=$B256)*(LEFT(Закрытые!$B$5:$B$300,2)="T-")*Закрытые!$F$5:$F$300*Закрытые!$G$5:$G$300))/C256)</f>
        <v/>
      </c>
      <c r="E256" s="247">
        <f>IF(C256="","",SUMIFS(Торговля!$H$5:$H$300,Торговля!$E$5:$E$300,$B256)+SUMIFS(Закрытые!$H$5:$H$300,Закрытые!$E$5:$E$300,$B256,Закрытые!$B$5:$B$300,"T-*"))</f>
        <v/>
      </c>
      <c r="F256" s="246">
        <f>IF(SUMIFS(Торговля!$I$5:$I$300,Торговля!$E$5:$E$300,$B256)+SUMIFS(Закрытые!$I$5:$I$300,Закрытые!$E$5:$E$300,$B256,Закрытые!$B$5:$B$300,"T-*")=0,"",SUMIFS(Торговля!$I$5:$I$300,Торговля!$E$5:$E$300,$B256)+SUMIFS(Закрытые!$I$5:$I$300,Закрытые!$E$5:$E$300,$B256,Закрытые!$B$5:$B$300,"T-*"))</f>
        <v/>
      </c>
      <c r="G256" s="183">
        <f>IF(F256="","",(SUMPRODUCT((Торговля!$E$5:$E$300=$B256)*Торговля!$I$5:$I$300*Торговля!$J$5:$J$300)+SUMPRODUCT((Закрытые!$E$5:$E$300=$B256)*(LEFT(Закрытые!$B$5:$B$300,2)="T-")*Закрытые!$I$5:$I$300*Закрытые!$J$5:$J$300))/F256)</f>
        <v/>
      </c>
      <c r="H256" s="247">
        <f>IF(F256="","",SUMIFS(Торговля!$K$5:$K$300,Торговля!$E$5:$E$300,$B256)+SUMIFS(Закрытые!$K$5:$K$300,Закрытые!$E$5:$E$300,$B256,Закрытые!$B$5:$B$300,"T-*"))</f>
        <v/>
      </c>
      <c r="I256" s="246">
        <f>IF($B256="","",IF(COUNTIFS(Торговля!$E$5:$E$300,$B256)+COUNTIFS(Закрытые!$E$5:$E$300,$B256,Закрытые!$B$5:$B$300,"T-*")=0,"",ROUND(SUMIFS(Торговля!$L$5:$L$300,Торговля!$E$5:$E$300,$B256)+SUMIFS(Закрытые!$L$5:$L$300,Закрытые!$E$5:$E$300,$B256,Закрытые!$B$5:$B$300,"T-*"),8)))</f>
        <v/>
      </c>
      <c r="J256" s="247">
        <f>IF($B256="","",IF(COUNTIFS(Торговля!$E$5:$E$300,$B256)+COUNTIFS(Закрытые!$E$5:$E$300,$B256,Закрытые!$B$5:$B$300,"T-*")=0,"",ROUND(SUMIFS(Торговля!$M$5:$M$300,Торговля!$E$5:$E$300,$B256)+SUMIFS(Закрытые!$M$5:$M$300,Закрытые!$E$5:$E$300,$B256,Закрытые!$B$5:$B$300,"T-*"),8)))</f>
        <v/>
      </c>
      <c r="K256" s="246">
        <f>IF($B256="","",ROUND(SUMIFS(Закрытые!$N$5:$N$300,Закрытые!$E$5:$E$300,$B256,Закрытые!$B$5:$B$300,"T-*"),8))</f>
        <v/>
      </c>
      <c r="L256" s="183">
        <f>IF(K256="","",IF(SUMPRODUCT((Закрытые!$E$5:$E$300=$B256)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256/SUMPRODUCT((Закрытые!$E$5:$E$300=$B256)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6" s="183">
        <f>IF(OR(ROUND(N(C256)-N(F256),8)=0,1-N(Ввод!$E$17)/100&lt;=0),"",IF(N(C256)&gt;N(F256),(N(E256)-N(H256))/((N(C256)-N(F256))*(1-N(Ввод!$E$17)/100)),(N(H256)-N(E256))/((N(F256)-N(C256))*(1+N(Ввод!$E$17)/100))))</f>
        <v/>
      </c>
    </row>
    <row r="257" ht="22" customHeight="1">
      <c r="B257" s="315" t="n"/>
      <c r="C257" s="240">
        <f>IF(SUMIFS(Торговля!$F$5:$F$300,Торговля!$E$5:$E$300,$B257)+SUMIFS(Закрытые!$F$5:$F$300,Закрытые!$E$5:$E$300,$B257,Закрытые!$B$5:$B$300,"T-*")=0,"",SUMIFS(Торговля!$F$5:$F$300,Торговля!$E$5:$E$300,$B257)+SUMIFS(Закрытые!$F$5:$F$300,Закрытые!$E$5:$E$300,$B257,Закрытые!$B$5:$B$300,"T-*"))</f>
        <v/>
      </c>
      <c r="D257" s="177">
        <f>IF(C257="","",(SUMPRODUCT((Торговля!$E$5:$E$300=$B257)*Торговля!$F$5:$F$300*Торговля!$G$5:$G$300)+SUMPRODUCT((Закрытые!$E$5:$E$300=$B257)*(LEFT(Закрытые!$B$5:$B$300,2)="T-")*Закрытые!$F$5:$F$300*Закрытые!$G$5:$G$300))/C257)</f>
        <v/>
      </c>
      <c r="E257" s="241">
        <f>IF(C257="","",SUMIFS(Торговля!$H$5:$H$300,Торговля!$E$5:$E$300,$B257)+SUMIFS(Закрытые!$H$5:$H$300,Закрытые!$E$5:$E$300,$B257,Закрытые!$B$5:$B$300,"T-*"))</f>
        <v/>
      </c>
      <c r="F257" s="240">
        <f>IF(SUMIFS(Торговля!$I$5:$I$300,Торговля!$E$5:$E$300,$B257)+SUMIFS(Закрытые!$I$5:$I$300,Закрытые!$E$5:$E$300,$B257,Закрытые!$B$5:$B$300,"T-*")=0,"",SUMIFS(Торговля!$I$5:$I$300,Торговля!$E$5:$E$300,$B257)+SUMIFS(Закрытые!$I$5:$I$300,Закрытые!$E$5:$E$300,$B257,Закрытые!$B$5:$B$300,"T-*"))</f>
        <v/>
      </c>
      <c r="G257" s="177">
        <f>IF(F257="","",(SUMPRODUCT((Торговля!$E$5:$E$300=$B257)*Торговля!$I$5:$I$300*Торговля!$J$5:$J$300)+SUMPRODUCT((Закрытые!$E$5:$E$300=$B257)*(LEFT(Закрытые!$B$5:$B$300,2)="T-")*Закрытые!$I$5:$I$300*Закрытые!$J$5:$J$300))/F257)</f>
        <v/>
      </c>
      <c r="H257" s="241">
        <f>IF(F257="","",SUMIFS(Торговля!$K$5:$K$300,Торговля!$E$5:$E$300,$B257)+SUMIFS(Закрытые!$K$5:$K$300,Закрытые!$E$5:$E$300,$B257,Закрытые!$B$5:$B$300,"T-*"))</f>
        <v/>
      </c>
      <c r="I257" s="240">
        <f>IF($B257="","",IF(COUNTIFS(Торговля!$E$5:$E$300,$B257)+COUNTIFS(Закрытые!$E$5:$E$300,$B257,Закрытые!$B$5:$B$300,"T-*")=0,"",ROUND(SUMIFS(Торговля!$L$5:$L$300,Торговля!$E$5:$E$300,$B257)+SUMIFS(Закрытые!$L$5:$L$300,Закрытые!$E$5:$E$300,$B257,Закрытые!$B$5:$B$300,"T-*"),8)))</f>
        <v/>
      </c>
      <c r="J257" s="241">
        <f>IF($B257="","",IF(COUNTIFS(Торговля!$E$5:$E$300,$B257)+COUNTIFS(Закрытые!$E$5:$E$300,$B257,Закрытые!$B$5:$B$300,"T-*")=0,"",ROUND(SUMIFS(Торговля!$M$5:$M$300,Торговля!$E$5:$E$300,$B257)+SUMIFS(Закрытые!$M$5:$M$300,Закрытые!$E$5:$E$300,$B257,Закрытые!$B$5:$B$300,"T-*"),8)))</f>
        <v/>
      </c>
      <c r="K257" s="240">
        <f>IF($B257="","",ROUND(SUMIFS(Закрытые!$N$5:$N$300,Закрытые!$E$5:$E$300,$B257,Закрытые!$B$5:$B$300,"T-*"),8))</f>
        <v/>
      </c>
      <c r="L257" s="177">
        <f>IF(K257="","",IF(SUMPRODUCT((Закрытые!$E$5:$E$300=$B257)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257/SUMPRODUCT((Закрытые!$E$5:$E$300=$B257)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7" s="177">
        <f>IF(OR(ROUND(N(C257)-N(F257),8)=0,1-N(Ввод!$E$17)/100&lt;=0),"",IF(N(C257)&gt;N(F257),(N(E257)-N(H257))/((N(C257)-N(F257))*(1-N(Ввод!$E$17)/100)),(N(H257)-N(E257))/((N(F257)-N(C257))*(1+N(Ввод!$E$17)/100))))</f>
        <v/>
      </c>
    </row>
    <row r="258" ht="22" customHeight="1">
      <c r="B258" s="320" t="n"/>
      <c r="C258" s="246">
        <f>IF(SUMIFS(Торговля!$F$5:$F$300,Торговля!$E$5:$E$300,$B258)+SUMIFS(Закрытые!$F$5:$F$300,Закрытые!$E$5:$E$300,$B258,Закрытые!$B$5:$B$300,"T-*")=0,"",SUMIFS(Торговля!$F$5:$F$300,Торговля!$E$5:$E$300,$B258)+SUMIFS(Закрытые!$F$5:$F$300,Закрытые!$E$5:$E$300,$B258,Закрытые!$B$5:$B$300,"T-*"))</f>
        <v/>
      </c>
      <c r="D258" s="183">
        <f>IF(C258="","",(SUMPRODUCT((Торговля!$E$5:$E$300=$B258)*Торговля!$F$5:$F$300*Торговля!$G$5:$G$300)+SUMPRODUCT((Закрытые!$E$5:$E$300=$B258)*(LEFT(Закрытые!$B$5:$B$300,2)="T-")*Закрытые!$F$5:$F$300*Закрытые!$G$5:$G$300))/C258)</f>
        <v/>
      </c>
      <c r="E258" s="247">
        <f>IF(C258="","",SUMIFS(Торговля!$H$5:$H$300,Торговля!$E$5:$E$300,$B258)+SUMIFS(Закрытые!$H$5:$H$300,Закрытые!$E$5:$E$300,$B258,Закрытые!$B$5:$B$300,"T-*"))</f>
        <v/>
      </c>
      <c r="F258" s="246">
        <f>IF(SUMIFS(Торговля!$I$5:$I$300,Торговля!$E$5:$E$300,$B258)+SUMIFS(Закрытые!$I$5:$I$300,Закрытые!$E$5:$E$300,$B258,Закрытые!$B$5:$B$300,"T-*")=0,"",SUMIFS(Торговля!$I$5:$I$300,Торговля!$E$5:$E$300,$B258)+SUMIFS(Закрытые!$I$5:$I$300,Закрытые!$E$5:$E$300,$B258,Закрытые!$B$5:$B$300,"T-*"))</f>
        <v/>
      </c>
      <c r="G258" s="183">
        <f>IF(F258="","",(SUMPRODUCT((Торговля!$E$5:$E$300=$B258)*Торговля!$I$5:$I$300*Торговля!$J$5:$J$300)+SUMPRODUCT((Закрытые!$E$5:$E$300=$B258)*(LEFT(Закрытые!$B$5:$B$300,2)="T-")*Закрытые!$I$5:$I$300*Закрытые!$J$5:$J$300))/F258)</f>
        <v/>
      </c>
      <c r="H258" s="247">
        <f>IF(F258="","",SUMIFS(Торговля!$K$5:$K$300,Торговля!$E$5:$E$300,$B258)+SUMIFS(Закрытые!$K$5:$K$300,Закрытые!$E$5:$E$300,$B258,Закрытые!$B$5:$B$300,"T-*"))</f>
        <v/>
      </c>
      <c r="I258" s="246">
        <f>IF($B258="","",IF(COUNTIFS(Торговля!$E$5:$E$300,$B258)+COUNTIFS(Закрытые!$E$5:$E$300,$B258,Закрытые!$B$5:$B$300,"T-*")=0,"",ROUND(SUMIFS(Торговля!$L$5:$L$300,Торговля!$E$5:$E$300,$B258)+SUMIFS(Закрытые!$L$5:$L$300,Закрытые!$E$5:$E$300,$B258,Закрытые!$B$5:$B$300,"T-*"),8)))</f>
        <v/>
      </c>
      <c r="J258" s="247">
        <f>IF($B258="","",IF(COUNTIFS(Торговля!$E$5:$E$300,$B258)+COUNTIFS(Закрытые!$E$5:$E$300,$B258,Закрытые!$B$5:$B$300,"T-*")=0,"",ROUND(SUMIFS(Торговля!$M$5:$M$300,Торговля!$E$5:$E$300,$B258)+SUMIFS(Закрытые!$M$5:$M$300,Закрытые!$E$5:$E$300,$B258,Закрытые!$B$5:$B$300,"T-*"),8)))</f>
        <v/>
      </c>
      <c r="K258" s="246">
        <f>IF($B258="","",ROUND(SUMIFS(Закрытые!$N$5:$N$300,Закрытые!$E$5:$E$300,$B258,Закрытые!$B$5:$B$300,"T-*"),8))</f>
        <v/>
      </c>
      <c r="L258" s="183">
        <f>IF(K258="","",IF(SUMPRODUCT((Закрытые!$E$5:$E$300=$B258)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258/SUMPRODUCT((Закрытые!$E$5:$E$300=$B258)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8" s="183">
        <f>IF(OR(ROUND(N(C258)-N(F258),8)=0,1-N(Ввод!$E$17)/100&lt;=0),"",IF(N(C258)&gt;N(F258),(N(E258)-N(H258))/((N(C258)-N(F258))*(1-N(Ввод!$E$17)/100)),(N(H258)-N(E258))/((N(F258)-N(C258))*(1+N(Ввод!$E$17)/100))))</f>
        <v/>
      </c>
    </row>
    <row r="259" ht="22" customHeight="1">
      <c r="B259" s="315" t="n"/>
      <c r="C259" s="240">
        <f>IF(SUMIFS(Торговля!$F$5:$F$300,Торговля!$E$5:$E$300,$B259)+SUMIFS(Закрытые!$F$5:$F$300,Закрытые!$E$5:$E$300,$B259,Закрытые!$B$5:$B$300,"T-*")=0,"",SUMIFS(Торговля!$F$5:$F$300,Торговля!$E$5:$E$300,$B259)+SUMIFS(Закрытые!$F$5:$F$300,Закрытые!$E$5:$E$300,$B259,Закрытые!$B$5:$B$300,"T-*"))</f>
        <v/>
      </c>
      <c r="D259" s="177">
        <f>IF(C259="","",(SUMPRODUCT((Торговля!$E$5:$E$300=$B259)*Торговля!$F$5:$F$300*Торговля!$G$5:$G$300)+SUMPRODUCT((Закрытые!$E$5:$E$300=$B259)*(LEFT(Закрытые!$B$5:$B$300,2)="T-")*Закрытые!$F$5:$F$300*Закрытые!$G$5:$G$300))/C259)</f>
        <v/>
      </c>
      <c r="E259" s="241">
        <f>IF(C259="","",SUMIFS(Торговля!$H$5:$H$300,Торговля!$E$5:$E$300,$B259)+SUMIFS(Закрытые!$H$5:$H$300,Закрытые!$E$5:$E$300,$B259,Закрытые!$B$5:$B$300,"T-*"))</f>
        <v/>
      </c>
      <c r="F259" s="240">
        <f>IF(SUMIFS(Торговля!$I$5:$I$300,Торговля!$E$5:$E$300,$B259)+SUMIFS(Закрытые!$I$5:$I$300,Закрытые!$E$5:$E$300,$B259,Закрытые!$B$5:$B$300,"T-*")=0,"",SUMIFS(Торговля!$I$5:$I$300,Торговля!$E$5:$E$300,$B259)+SUMIFS(Закрытые!$I$5:$I$300,Закрытые!$E$5:$E$300,$B259,Закрытые!$B$5:$B$300,"T-*"))</f>
        <v/>
      </c>
      <c r="G259" s="177">
        <f>IF(F259="","",(SUMPRODUCT((Торговля!$E$5:$E$300=$B259)*Торговля!$I$5:$I$300*Торговля!$J$5:$J$300)+SUMPRODUCT((Закрытые!$E$5:$E$300=$B259)*(LEFT(Закрытые!$B$5:$B$300,2)="T-")*Закрытые!$I$5:$I$300*Закрытые!$J$5:$J$300))/F259)</f>
        <v/>
      </c>
      <c r="H259" s="241">
        <f>IF(F259="","",SUMIFS(Торговля!$K$5:$K$300,Торговля!$E$5:$E$300,$B259)+SUMIFS(Закрытые!$K$5:$K$300,Закрытые!$E$5:$E$300,$B259,Закрытые!$B$5:$B$300,"T-*"))</f>
        <v/>
      </c>
      <c r="I259" s="240">
        <f>IF($B259="","",IF(COUNTIFS(Торговля!$E$5:$E$300,$B259)+COUNTIFS(Закрытые!$E$5:$E$300,$B259,Закрытые!$B$5:$B$300,"T-*")=0,"",ROUND(SUMIFS(Торговля!$L$5:$L$300,Торговля!$E$5:$E$300,$B259)+SUMIFS(Закрытые!$L$5:$L$300,Закрытые!$E$5:$E$300,$B259,Закрытые!$B$5:$B$300,"T-*"),8)))</f>
        <v/>
      </c>
      <c r="J259" s="241">
        <f>IF($B259="","",IF(COUNTIFS(Торговля!$E$5:$E$300,$B259)+COUNTIFS(Закрытые!$E$5:$E$300,$B259,Закрытые!$B$5:$B$300,"T-*")=0,"",ROUND(SUMIFS(Торговля!$M$5:$M$300,Торговля!$E$5:$E$300,$B259)+SUMIFS(Закрытые!$M$5:$M$300,Закрытые!$E$5:$E$300,$B259,Закрытые!$B$5:$B$300,"T-*"),8)))</f>
        <v/>
      </c>
      <c r="K259" s="240">
        <f>IF($B259="","",ROUND(SUMIFS(Закрытые!$N$5:$N$300,Закрытые!$E$5:$E$300,$B259,Закрытые!$B$5:$B$300,"T-*"),8))</f>
        <v/>
      </c>
      <c r="L259" s="177">
        <f>IF(K259="","",IF(SUMPRODUCT((Закрытые!$E$5:$E$300=$B259)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259/SUMPRODUCT((Закрытые!$E$5:$E$300=$B259)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9" s="177">
        <f>IF(OR(ROUND(N(C259)-N(F259),8)=0,1-N(Ввод!$E$17)/100&lt;=0),"",IF(N(C259)&gt;N(F259),(N(E259)-N(H259))/((N(C259)-N(F259))*(1-N(Ввод!$E$17)/100)),(N(H259)-N(E259))/((N(F259)-N(C259))*(1+N(Ввод!$E$17)/100))))</f>
        <v/>
      </c>
    </row>
    <row r="260" ht="22" customHeight="1">
      <c r="B260" s="320" t="n"/>
      <c r="C260" s="246">
        <f>IF(SUMIFS(Торговля!$F$5:$F$300,Торговля!$E$5:$E$300,$B260)+SUMIFS(Закрытые!$F$5:$F$300,Закрытые!$E$5:$E$300,$B260,Закрытые!$B$5:$B$300,"T-*")=0,"",SUMIFS(Торговля!$F$5:$F$300,Торговля!$E$5:$E$300,$B260)+SUMIFS(Закрытые!$F$5:$F$300,Закрытые!$E$5:$E$300,$B260,Закрытые!$B$5:$B$300,"T-*"))</f>
        <v/>
      </c>
      <c r="D260" s="183">
        <f>IF(C260="","",(SUMPRODUCT((Торговля!$E$5:$E$300=$B260)*Торговля!$F$5:$F$300*Торговля!$G$5:$G$300)+SUMPRODUCT((Закрытые!$E$5:$E$300=$B260)*(LEFT(Закрытые!$B$5:$B$300,2)="T-")*Закрытые!$F$5:$F$300*Закрытые!$G$5:$G$300))/C260)</f>
        <v/>
      </c>
      <c r="E260" s="247">
        <f>IF(C260="","",SUMIFS(Торговля!$H$5:$H$300,Торговля!$E$5:$E$300,$B260)+SUMIFS(Закрытые!$H$5:$H$300,Закрытые!$E$5:$E$300,$B260,Закрытые!$B$5:$B$300,"T-*"))</f>
        <v/>
      </c>
      <c r="F260" s="246">
        <f>IF(SUMIFS(Торговля!$I$5:$I$300,Торговля!$E$5:$E$300,$B260)+SUMIFS(Закрытые!$I$5:$I$300,Закрытые!$E$5:$E$300,$B260,Закрытые!$B$5:$B$300,"T-*")=0,"",SUMIFS(Торговля!$I$5:$I$300,Торговля!$E$5:$E$300,$B260)+SUMIFS(Закрытые!$I$5:$I$300,Закрытые!$E$5:$E$300,$B260,Закрытые!$B$5:$B$300,"T-*"))</f>
        <v/>
      </c>
      <c r="G260" s="183">
        <f>IF(F260="","",(SUMPRODUCT((Торговля!$E$5:$E$300=$B260)*Торговля!$I$5:$I$300*Торговля!$J$5:$J$300)+SUMPRODUCT((Закрытые!$E$5:$E$300=$B260)*(LEFT(Закрытые!$B$5:$B$300,2)="T-")*Закрытые!$I$5:$I$300*Закрытые!$J$5:$J$300))/F260)</f>
        <v/>
      </c>
      <c r="H260" s="247">
        <f>IF(F260="","",SUMIFS(Торговля!$K$5:$K$300,Торговля!$E$5:$E$300,$B260)+SUMIFS(Закрытые!$K$5:$K$300,Закрытые!$E$5:$E$300,$B260,Закрытые!$B$5:$B$300,"T-*"))</f>
        <v/>
      </c>
      <c r="I260" s="246">
        <f>IF($B260="","",IF(COUNTIFS(Торговля!$E$5:$E$300,$B260)+COUNTIFS(Закрытые!$E$5:$E$300,$B260,Закрытые!$B$5:$B$300,"T-*")=0,"",ROUND(SUMIFS(Торговля!$L$5:$L$300,Торговля!$E$5:$E$300,$B260)+SUMIFS(Закрытые!$L$5:$L$300,Закрытые!$E$5:$E$300,$B260,Закрытые!$B$5:$B$300,"T-*"),8)))</f>
        <v/>
      </c>
      <c r="J260" s="247">
        <f>IF($B260="","",IF(COUNTIFS(Торговля!$E$5:$E$300,$B260)+COUNTIFS(Закрытые!$E$5:$E$300,$B260,Закрытые!$B$5:$B$300,"T-*")=0,"",ROUND(SUMIFS(Торговля!$M$5:$M$300,Торговля!$E$5:$E$300,$B260)+SUMIFS(Закрытые!$M$5:$M$300,Закрытые!$E$5:$E$300,$B260,Закрытые!$B$5:$B$300,"T-*"),8)))</f>
        <v/>
      </c>
      <c r="K260" s="246">
        <f>IF($B260="","",ROUND(SUMIFS(Закрытые!$N$5:$N$300,Закрытые!$E$5:$E$300,$B260,Закрытые!$B$5:$B$300,"T-*"),8))</f>
        <v/>
      </c>
      <c r="L260" s="183">
        <f>IF(K260="","",IF(SUMPRODUCT((Закрытые!$E$5:$E$300=$B260)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260/SUMPRODUCT((Закрытые!$E$5:$E$300=$B260)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0" s="183">
        <f>IF(OR(ROUND(N(C260)-N(F260),8)=0,1-N(Ввод!$E$17)/100&lt;=0),"",IF(N(C260)&gt;N(F260),(N(E260)-N(H260))/((N(C260)-N(F260))*(1-N(Ввод!$E$17)/100)),(N(H260)-N(E260))/((N(F260)-N(C260))*(1+N(Ввод!$E$17)/100))))</f>
        <v/>
      </c>
    </row>
    <row r="261" ht="22" customHeight="1">
      <c r="B261" s="315" t="n"/>
      <c r="C261" s="240">
        <f>IF(SUMIFS(Торговля!$F$5:$F$300,Торговля!$E$5:$E$300,$B261)+SUMIFS(Закрытые!$F$5:$F$300,Закрытые!$E$5:$E$300,$B261,Закрытые!$B$5:$B$300,"T-*")=0,"",SUMIFS(Торговля!$F$5:$F$300,Торговля!$E$5:$E$300,$B261)+SUMIFS(Закрытые!$F$5:$F$300,Закрытые!$E$5:$E$300,$B261,Закрытые!$B$5:$B$300,"T-*"))</f>
        <v/>
      </c>
      <c r="D261" s="177">
        <f>IF(C261="","",(SUMPRODUCT((Торговля!$E$5:$E$300=$B261)*Торговля!$F$5:$F$300*Торговля!$G$5:$G$300)+SUMPRODUCT((Закрытые!$E$5:$E$300=$B261)*(LEFT(Закрытые!$B$5:$B$300,2)="T-")*Закрытые!$F$5:$F$300*Закрытые!$G$5:$G$300))/C261)</f>
        <v/>
      </c>
      <c r="E261" s="241">
        <f>IF(C261="","",SUMIFS(Торговля!$H$5:$H$300,Торговля!$E$5:$E$300,$B261)+SUMIFS(Закрытые!$H$5:$H$300,Закрытые!$E$5:$E$300,$B261,Закрытые!$B$5:$B$300,"T-*"))</f>
        <v/>
      </c>
      <c r="F261" s="240">
        <f>IF(SUMIFS(Торговля!$I$5:$I$300,Торговля!$E$5:$E$300,$B261)+SUMIFS(Закрытые!$I$5:$I$300,Закрытые!$E$5:$E$300,$B261,Закрытые!$B$5:$B$300,"T-*")=0,"",SUMIFS(Торговля!$I$5:$I$300,Торговля!$E$5:$E$300,$B261)+SUMIFS(Закрытые!$I$5:$I$300,Закрытые!$E$5:$E$300,$B261,Закрытые!$B$5:$B$300,"T-*"))</f>
        <v/>
      </c>
      <c r="G261" s="177">
        <f>IF(F261="","",(SUMPRODUCT((Торговля!$E$5:$E$300=$B261)*Торговля!$I$5:$I$300*Торговля!$J$5:$J$300)+SUMPRODUCT((Закрытые!$E$5:$E$300=$B261)*(LEFT(Закрытые!$B$5:$B$300,2)="T-")*Закрытые!$I$5:$I$300*Закрытые!$J$5:$J$300))/F261)</f>
        <v/>
      </c>
      <c r="H261" s="241">
        <f>IF(F261="","",SUMIFS(Торговля!$K$5:$K$300,Торговля!$E$5:$E$300,$B261)+SUMIFS(Закрытые!$K$5:$K$300,Закрытые!$E$5:$E$300,$B261,Закрытые!$B$5:$B$300,"T-*"))</f>
        <v/>
      </c>
      <c r="I261" s="240">
        <f>IF($B261="","",IF(COUNTIFS(Торговля!$E$5:$E$300,$B261)+COUNTIFS(Закрытые!$E$5:$E$300,$B261,Закрытые!$B$5:$B$300,"T-*")=0,"",ROUND(SUMIFS(Торговля!$L$5:$L$300,Торговля!$E$5:$E$300,$B261)+SUMIFS(Закрытые!$L$5:$L$300,Закрытые!$E$5:$E$300,$B261,Закрытые!$B$5:$B$300,"T-*"),8)))</f>
        <v/>
      </c>
      <c r="J261" s="241">
        <f>IF($B261="","",IF(COUNTIFS(Торговля!$E$5:$E$300,$B261)+COUNTIFS(Закрытые!$E$5:$E$300,$B261,Закрытые!$B$5:$B$300,"T-*")=0,"",ROUND(SUMIFS(Торговля!$M$5:$M$300,Торговля!$E$5:$E$300,$B261)+SUMIFS(Закрытые!$M$5:$M$300,Закрытые!$E$5:$E$300,$B261,Закрытые!$B$5:$B$300,"T-*"),8)))</f>
        <v/>
      </c>
      <c r="K261" s="240">
        <f>IF($B261="","",ROUND(SUMIFS(Закрытые!$N$5:$N$300,Закрытые!$E$5:$E$300,$B261,Закрытые!$B$5:$B$300,"T-*"),8))</f>
        <v/>
      </c>
      <c r="L261" s="177">
        <f>IF(K261="","",IF(SUMPRODUCT((Закрытые!$E$5:$E$300=$B261)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261/SUMPRODUCT((Закрытые!$E$5:$E$300=$B261)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1" s="177">
        <f>IF(OR(ROUND(N(C261)-N(F261),8)=0,1-N(Ввод!$E$17)/100&lt;=0),"",IF(N(C261)&gt;N(F261),(N(E261)-N(H261))/((N(C261)-N(F261))*(1-N(Ввод!$E$17)/100)),(N(H261)-N(E261))/((N(F261)-N(C261))*(1+N(Ввод!$E$17)/100))))</f>
        <v/>
      </c>
    </row>
    <row r="262" ht="22" customHeight="1">
      <c r="B262" s="320" t="n"/>
      <c r="C262" s="246">
        <f>IF(SUMIFS(Торговля!$F$5:$F$300,Торговля!$E$5:$E$300,$B262)+SUMIFS(Закрытые!$F$5:$F$300,Закрытые!$E$5:$E$300,$B262,Закрытые!$B$5:$B$300,"T-*")=0,"",SUMIFS(Торговля!$F$5:$F$300,Торговля!$E$5:$E$300,$B262)+SUMIFS(Закрытые!$F$5:$F$300,Закрытые!$E$5:$E$300,$B262,Закрытые!$B$5:$B$300,"T-*"))</f>
        <v/>
      </c>
      <c r="D262" s="183">
        <f>IF(C262="","",(SUMPRODUCT((Торговля!$E$5:$E$300=$B262)*Торговля!$F$5:$F$300*Торговля!$G$5:$G$300)+SUMPRODUCT((Закрытые!$E$5:$E$300=$B262)*(LEFT(Закрытые!$B$5:$B$300,2)="T-")*Закрытые!$F$5:$F$300*Закрытые!$G$5:$G$300))/C262)</f>
        <v/>
      </c>
      <c r="E262" s="247">
        <f>IF(C262="","",SUMIFS(Торговля!$H$5:$H$300,Торговля!$E$5:$E$300,$B262)+SUMIFS(Закрытые!$H$5:$H$300,Закрытые!$E$5:$E$300,$B262,Закрытые!$B$5:$B$300,"T-*"))</f>
        <v/>
      </c>
      <c r="F262" s="246">
        <f>IF(SUMIFS(Торговля!$I$5:$I$300,Торговля!$E$5:$E$300,$B262)+SUMIFS(Закрытые!$I$5:$I$300,Закрытые!$E$5:$E$300,$B262,Закрытые!$B$5:$B$300,"T-*")=0,"",SUMIFS(Торговля!$I$5:$I$300,Торговля!$E$5:$E$300,$B262)+SUMIFS(Закрытые!$I$5:$I$300,Закрытые!$E$5:$E$300,$B262,Закрытые!$B$5:$B$300,"T-*"))</f>
        <v/>
      </c>
      <c r="G262" s="183">
        <f>IF(F262="","",(SUMPRODUCT((Торговля!$E$5:$E$300=$B262)*Торговля!$I$5:$I$300*Торговля!$J$5:$J$300)+SUMPRODUCT((Закрытые!$E$5:$E$300=$B262)*(LEFT(Закрытые!$B$5:$B$300,2)="T-")*Закрытые!$I$5:$I$300*Закрытые!$J$5:$J$300))/F262)</f>
        <v/>
      </c>
      <c r="H262" s="247">
        <f>IF(F262="","",SUMIFS(Торговля!$K$5:$K$300,Торговля!$E$5:$E$300,$B262)+SUMIFS(Закрытые!$K$5:$K$300,Закрытые!$E$5:$E$300,$B262,Закрытые!$B$5:$B$300,"T-*"))</f>
        <v/>
      </c>
      <c r="I262" s="246">
        <f>IF($B262="","",IF(COUNTIFS(Торговля!$E$5:$E$300,$B262)+COUNTIFS(Закрытые!$E$5:$E$300,$B262,Закрытые!$B$5:$B$300,"T-*")=0,"",ROUND(SUMIFS(Торговля!$L$5:$L$300,Торговля!$E$5:$E$300,$B262)+SUMIFS(Закрытые!$L$5:$L$300,Закрытые!$E$5:$E$300,$B262,Закрытые!$B$5:$B$300,"T-*"),8)))</f>
        <v/>
      </c>
      <c r="J262" s="247">
        <f>IF($B262="","",IF(COUNTIFS(Торговля!$E$5:$E$300,$B262)+COUNTIFS(Закрытые!$E$5:$E$300,$B262,Закрытые!$B$5:$B$300,"T-*")=0,"",ROUND(SUMIFS(Торговля!$M$5:$M$300,Торговля!$E$5:$E$300,$B262)+SUMIFS(Закрытые!$M$5:$M$300,Закрытые!$E$5:$E$300,$B262,Закрытые!$B$5:$B$300,"T-*"),8)))</f>
        <v/>
      </c>
      <c r="K262" s="246">
        <f>IF($B262="","",ROUND(SUMIFS(Закрытые!$N$5:$N$300,Закрытые!$E$5:$E$300,$B262,Закрытые!$B$5:$B$300,"T-*"),8))</f>
        <v/>
      </c>
      <c r="L262" s="183">
        <f>IF(K262="","",IF(SUMPRODUCT((Закрытые!$E$5:$E$300=$B262)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262/SUMPRODUCT((Закрытые!$E$5:$E$300=$B262)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2" s="183">
        <f>IF(OR(ROUND(N(C262)-N(F262),8)=0,1-N(Ввод!$E$17)/100&lt;=0),"",IF(N(C262)&gt;N(F262),(N(E262)-N(H262))/((N(C262)-N(F262))*(1-N(Ввод!$E$17)/100)),(N(H262)-N(E262))/((N(F262)-N(C262))*(1+N(Ввод!$E$17)/100))))</f>
        <v/>
      </c>
    </row>
    <row r="263" ht="22" customHeight="1">
      <c r="B263" s="315" t="n"/>
      <c r="C263" s="240">
        <f>IF(SUMIFS(Торговля!$F$5:$F$300,Торговля!$E$5:$E$300,$B263)+SUMIFS(Закрытые!$F$5:$F$300,Закрытые!$E$5:$E$300,$B263,Закрытые!$B$5:$B$300,"T-*")=0,"",SUMIFS(Торговля!$F$5:$F$300,Торговля!$E$5:$E$300,$B263)+SUMIFS(Закрытые!$F$5:$F$300,Закрытые!$E$5:$E$300,$B263,Закрытые!$B$5:$B$300,"T-*"))</f>
        <v/>
      </c>
      <c r="D263" s="177">
        <f>IF(C263="","",(SUMPRODUCT((Торговля!$E$5:$E$300=$B263)*Торговля!$F$5:$F$300*Торговля!$G$5:$G$300)+SUMPRODUCT((Закрытые!$E$5:$E$300=$B263)*(LEFT(Закрытые!$B$5:$B$300,2)="T-")*Закрытые!$F$5:$F$300*Закрытые!$G$5:$G$300))/C263)</f>
        <v/>
      </c>
      <c r="E263" s="241">
        <f>IF(C263="","",SUMIFS(Торговля!$H$5:$H$300,Торговля!$E$5:$E$300,$B263)+SUMIFS(Закрытые!$H$5:$H$300,Закрытые!$E$5:$E$300,$B263,Закрытые!$B$5:$B$300,"T-*"))</f>
        <v/>
      </c>
      <c r="F263" s="240">
        <f>IF(SUMIFS(Торговля!$I$5:$I$300,Торговля!$E$5:$E$300,$B263)+SUMIFS(Закрытые!$I$5:$I$300,Закрытые!$E$5:$E$300,$B263,Закрытые!$B$5:$B$300,"T-*")=0,"",SUMIFS(Торговля!$I$5:$I$300,Торговля!$E$5:$E$300,$B263)+SUMIFS(Закрытые!$I$5:$I$300,Закрытые!$E$5:$E$300,$B263,Закрытые!$B$5:$B$300,"T-*"))</f>
        <v/>
      </c>
      <c r="G263" s="177">
        <f>IF(F263="","",(SUMPRODUCT((Торговля!$E$5:$E$300=$B263)*Торговля!$I$5:$I$300*Торговля!$J$5:$J$300)+SUMPRODUCT((Закрытые!$E$5:$E$300=$B263)*(LEFT(Закрытые!$B$5:$B$300,2)="T-")*Закрытые!$I$5:$I$300*Закрытые!$J$5:$J$300))/F263)</f>
        <v/>
      </c>
      <c r="H263" s="241">
        <f>IF(F263="","",SUMIFS(Торговля!$K$5:$K$300,Торговля!$E$5:$E$300,$B263)+SUMIFS(Закрытые!$K$5:$K$300,Закрытые!$E$5:$E$300,$B263,Закрытые!$B$5:$B$300,"T-*"))</f>
        <v/>
      </c>
      <c r="I263" s="240">
        <f>IF($B263="","",IF(COUNTIFS(Торговля!$E$5:$E$300,$B263)+COUNTIFS(Закрытые!$E$5:$E$300,$B263,Закрытые!$B$5:$B$300,"T-*")=0,"",ROUND(SUMIFS(Торговля!$L$5:$L$300,Торговля!$E$5:$E$300,$B263)+SUMIFS(Закрытые!$L$5:$L$300,Закрытые!$E$5:$E$300,$B263,Закрытые!$B$5:$B$300,"T-*"),8)))</f>
        <v/>
      </c>
      <c r="J263" s="241">
        <f>IF($B263="","",IF(COUNTIFS(Торговля!$E$5:$E$300,$B263)+COUNTIFS(Закрытые!$E$5:$E$300,$B263,Закрытые!$B$5:$B$300,"T-*")=0,"",ROUND(SUMIFS(Торговля!$M$5:$M$300,Торговля!$E$5:$E$300,$B263)+SUMIFS(Закрытые!$M$5:$M$300,Закрытые!$E$5:$E$300,$B263,Закрытые!$B$5:$B$300,"T-*"),8)))</f>
        <v/>
      </c>
      <c r="K263" s="240">
        <f>IF($B263="","",ROUND(SUMIFS(Закрытые!$N$5:$N$300,Закрытые!$E$5:$E$300,$B263,Закрытые!$B$5:$B$300,"T-*"),8))</f>
        <v/>
      </c>
      <c r="L263" s="177">
        <f>IF(K263="","",IF(SUMPRODUCT((Закрытые!$E$5:$E$300=$B263)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263/SUMPRODUCT((Закрытые!$E$5:$E$300=$B263)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3" s="177">
        <f>IF(OR(ROUND(N(C263)-N(F263),8)=0,1-N(Ввод!$E$17)/100&lt;=0),"",IF(N(C263)&gt;N(F263),(N(E263)-N(H263))/((N(C263)-N(F263))*(1-N(Ввод!$E$17)/100)),(N(H263)-N(E263))/((N(F263)-N(C263))*(1+N(Ввод!$E$17)/100))))</f>
        <v/>
      </c>
    </row>
    <row r="264" ht="22" customHeight="1">
      <c r="B264" s="320" t="n"/>
      <c r="C264" s="246">
        <f>IF(SUMIFS(Торговля!$F$5:$F$300,Торговля!$E$5:$E$300,$B264)+SUMIFS(Закрытые!$F$5:$F$300,Закрытые!$E$5:$E$300,$B264,Закрытые!$B$5:$B$300,"T-*")=0,"",SUMIFS(Торговля!$F$5:$F$300,Торговля!$E$5:$E$300,$B264)+SUMIFS(Закрытые!$F$5:$F$300,Закрытые!$E$5:$E$300,$B264,Закрытые!$B$5:$B$300,"T-*"))</f>
        <v/>
      </c>
      <c r="D264" s="183">
        <f>IF(C264="","",(SUMPRODUCT((Торговля!$E$5:$E$300=$B264)*Торговля!$F$5:$F$300*Торговля!$G$5:$G$300)+SUMPRODUCT((Закрытые!$E$5:$E$300=$B264)*(LEFT(Закрытые!$B$5:$B$300,2)="T-")*Закрытые!$F$5:$F$300*Закрытые!$G$5:$G$300))/C264)</f>
        <v/>
      </c>
      <c r="E264" s="247">
        <f>IF(C264="","",SUMIFS(Торговля!$H$5:$H$300,Торговля!$E$5:$E$300,$B264)+SUMIFS(Закрытые!$H$5:$H$300,Закрытые!$E$5:$E$300,$B264,Закрытые!$B$5:$B$300,"T-*"))</f>
        <v/>
      </c>
      <c r="F264" s="246">
        <f>IF(SUMIFS(Торговля!$I$5:$I$300,Торговля!$E$5:$E$300,$B264)+SUMIFS(Закрытые!$I$5:$I$300,Закрытые!$E$5:$E$300,$B264,Закрытые!$B$5:$B$300,"T-*")=0,"",SUMIFS(Торговля!$I$5:$I$300,Торговля!$E$5:$E$300,$B264)+SUMIFS(Закрытые!$I$5:$I$300,Закрытые!$E$5:$E$300,$B264,Закрытые!$B$5:$B$300,"T-*"))</f>
        <v/>
      </c>
      <c r="G264" s="183">
        <f>IF(F264="","",(SUMPRODUCT((Торговля!$E$5:$E$300=$B264)*Торговля!$I$5:$I$300*Торговля!$J$5:$J$300)+SUMPRODUCT((Закрытые!$E$5:$E$300=$B264)*(LEFT(Закрытые!$B$5:$B$300,2)="T-")*Закрытые!$I$5:$I$300*Закрытые!$J$5:$J$300))/F264)</f>
        <v/>
      </c>
      <c r="H264" s="247">
        <f>IF(F264="","",SUMIFS(Торговля!$K$5:$K$300,Торговля!$E$5:$E$300,$B264)+SUMIFS(Закрытые!$K$5:$K$300,Закрытые!$E$5:$E$300,$B264,Закрытые!$B$5:$B$300,"T-*"))</f>
        <v/>
      </c>
      <c r="I264" s="246">
        <f>IF($B264="","",IF(COUNTIFS(Торговля!$E$5:$E$300,$B264)+COUNTIFS(Закрытые!$E$5:$E$300,$B264,Закрытые!$B$5:$B$300,"T-*")=0,"",ROUND(SUMIFS(Торговля!$L$5:$L$300,Торговля!$E$5:$E$300,$B264)+SUMIFS(Закрытые!$L$5:$L$300,Закрытые!$E$5:$E$300,$B264,Закрытые!$B$5:$B$300,"T-*"),8)))</f>
        <v/>
      </c>
      <c r="J264" s="247">
        <f>IF($B264="","",IF(COUNTIFS(Торговля!$E$5:$E$300,$B264)+COUNTIFS(Закрытые!$E$5:$E$300,$B264,Закрытые!$B$5:$B$300,"T-*")=0,"",ROUND(SUMIFS(Торговля!$M$5:$M$300,Торговля!$E$5:$E$300,$B264)+SUMIFS(Закрытые!$M$5:$M$300,Закрытые!$E$5:$E$300,$B264,Закрытые!$B$5:$B$300,"T-*"),8)))</f>
        <v/>
      </c>
      <c r="K264" s="246">
        <f>IF($B264="","",ROUND(SUMIFS(Закрытые!$N$5:$N$300,Закрытые!$E$5:$E$300,$B264,Закрытые!$B$5:$B$300,"T-*"),8))</f>
        <v/>
      </c>
      <c r="L264" s="183">
        <f>IF(K264="","",IF(SUMPRODUCT((Закрытые!$E$5:$E$300=$B264)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264/SUMPRODUCT((Закрытые!$E$5:$E$300=$B264)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4" s="183">
        <f>IF(OR(ROUND(N(C264)-N(F264),8)=0,1-N(Ввод!$E$17)/100&lt;=0),"",IF(N(C264)&gt;N(F264),(N(E264)-N(H264))/((N(C264)-N(F264))*(1-N(Ввод!$E$17)/100)),(N(H264)-N(E264))/((N(F264)-N(C264))*(1+N(Ввод!$E$17)/100))))</f>
        <v/>
      </c>
    </row>
    <row r="265" ht="22" customHeight="1">
      <c r="B265" s="315" t="n"/>
      <c r="C265" s="240">
        <f>IF(SUMIFS(Торговля!$F$5:$F$300,Торговля!$E$5:$E$300,$B265)+SUMIFS(Закрытые!$F$5:$F$300,Закрытые!$E$5:$E$300,$B265,Закрытые!$B$5:$B$300,"T-*")=0,"",SUMIFS(Торговля!$F$5:$F$300,Торговля!$E$5:$E$300,$B265)+SUMIFS(Закрытые!$F$5:$F$300,Закрытые!$E$5:$E$300,$B265,Закрытые!$B$5:$B$300,"T-*"))</f>
        <v/>
      </c>
      <c r="D265" s="177">
        <f>IF(C265="","",(SUMPRODUCT((Торговля!$E$5:$E$300=$B265)*Торговля!$F$5:$F$300*Торговля!$G$5:$G$300)+SUMPRODUCT((Закрытые!$E$5:$E$300=$B265)*(LEFT(Закрытые!$B$5:$B$300,2)="T-")*Закрытые!$F$5:$F$300*Закрытые!$G$5:$G$300))/C265)</f>
        <v/>
      </c>
      <c r="E265" s="241">
        <f>IF(C265="","",SUMIFS(Торговля!$H$5:$H$300,Торговля!$E$5:$E$300,$B265)+SUMIFS(Закрытые!$H$5:$H$300,Закрытые!$E$5:$E$300,$B265,Закрытые!$B$5:$B$300,"T-*"))</f>
        <v/>
      </c>
      <c r="F265" s="240">
        <f>IF(SUMIFS(Торговля!$I$5:$I$300,Торговля!$E$5:$E$300,$B265)+SUMIFS(Закрытые!$I$5:$I$300,Закрытые!$E$5:$E$300,$B265,Закрытые!$B$5:$B$300,"T-*")=0,"",SUMIFS(Торговля!$I$5:$I$300,Торговля!$E$5:$E$300,$B265)+SUMIFS(Закрытые!$I$5:$I$300,Закрытые!$E$5:$E$300,$B265,Закрытые!$B$5:$B$300,"T-*"))</f>
        <v/>
      </c>
      <c r="G265" s="177">
        <f>IF(F265="","",(SUMPRODUCT((Торговля!$E$5:$E$300=$B265)*Торговля!$I$5:$I$300*Торговля!$J$5:$J$300)+SUMPRODUCT((Закрытые!$E$5:$E$300=$B265)*(LEFT(Закрытые!$B$5:$B$300,2)="T-")*Закрытые!$I$5:$I$300*Закрытые!$J$5:$J$300))/F265)</f>
        <v/>
      </c>
      <c r="H265" s="241">
        <f>IF(F265="","",SUMIFS(Торговля!$K$5:$K$300,Торговля!$E$5:$E$300,$B265)+SUMIFS(Закрытые!$K$5:$K$300,Закрытые!$E$5:$E$300,$B265,Закрытые!$B$5:$B$300,"T-*"))</f>
        <v/>
      </c>
      <c r="I265" s="240">
        <f>IF($B265="","",IF(COUNTIFS(Торговля!$E$5:$E$300,$B265)+COUNTIFS(Закрытые!$E$5:$E$300,$B265,Закрытые!$B$5:$B$300,"T-*")=0,"",ROUND(SUMIFS(Торговля!$L$5:$L$300,Торговля!$E$5:$E$300,$B265)+SUMIFS(Закрытые!$L$5:$L$300,Закрытые!$E$5:$E$300,$B265,Закрытые!$B$5:$B$300,"T-*"),8)))</f>
        <v/>
      </c>
      <c r="J265" s="241">
        <f>IF($B265="","",IF(COUNTIFS(Торговля!$E$5:$E$300,$B265)+COUNTIFS(Закрытые!$E$5:$E$300,$B265,Закрытые!$B$5:$B$300,"T-*")=0,"",ROUND(SUMIFS(Торговля!$M$5:$M$300,Торговля!$E$5:$E$300,$B265)+SUMIFS(Закрытые!$M$5:$M$300,Закрытые!$E$5:$E$300,$B265,Закрытые!$B$5:$B$300,"T-*"),8)))</f>
        <v/>
      </c>
      <c r="K265" s="240">
        <f>IF($B265="","",ROUND(SUMIFS(Закрытые!$N$5:$N$300,Закрытые!$E$5:$E$300,$B265,Закрытые!$B$5:$B$300,"T-*"),8))</f>
        <v/>
      </c>
      <c r="L265" s="177">
        <f>IF(K265="","",IF(SUMPRODUCT((Закрытые!$E$5:$E$300=$B265)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265/SUMPRODUCT((Закрытые!$E$5:$E$300=$B265)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5" s="177">
        <f>IF(OR(ROUND(N(C265)-N(F265),8)=0,1-N(Ввод!$E$17)/100&lt;=0),"",IF(N(C265)&gt;N(F265),(N(E265)-N(H265))/((N(C265)-N(F265))*(1-N(Ввод!$E$17)/100)),(N(H265)-N(E265))/((N(F265)-N(C265))*(1+N(Ввод!$E$17)/100))))</f>
        <v/>
      </c>
    </row>
    <row r="266" ht="22" customHeight="1">
      <c r="B266" s="320" t="n"/>
      <c r="C266" s="246">
        <f>IF(SUMIFS(Торговля!$F$5:$F$300,Торговля!$E$5:$E$300,$B266)+SUMIFS(Закрытые!$F$5:$F$300,Закрытые!$E$5:$E$300,$B266,Закрытые!$B$5:$B$300,"T-*")=0,"",SUMIFS(Торговля!$F$5:$F$300,Торговля!$E$5:$E$300,$B266)+SUMIFS(Закрытые!$F$5:$F$300,Закрытые!$E$5:$E$300,$B266,Закрытые!$B$5:$B$300,"T-*"))</f>
        <v/>
      </c>
      <c r="D266" s="183">
        <f>IF(C266="","",(SUMPRODUCT((Торговля!$E$5:$E$300=$B266)*Торговля!$F$5:$F$300*Торговля!$G$5:$G$300)+SUMPRODUCT((Закрытые!$E$5:$E$300=$B266)*(LEFT(Закрытые!$B$5:$B$300,2)="T-")*Закрытые!$F$5:$F$300*Закрытые!$G$5:$G$300))/C266)</f>
        <v/>
      </c>
      <c r="E266" s="247">
        <f>IF(C266="","",SUMIFS(Торговля!$H$5:$H$300,Торговля!$E$5:$E$300,$B266)+SUMIFS(Закрытые!$H$5:$H$300,Закрытые!$E$5:$E$300,$B266,Закрытые!$B$5:$B$300,"T-*"))</f>
        <v/>
      </c>
      <c r="F266" s="246">
        <f>IF(SUMIFS(Торговля!$I$5:$I$300,Торговля!$E$5:$E$300,$B266)+SUMIFS(Закрытые!$I$5:$I$300,Закрытые!$E$5:$E$300,$B266,Закрытые!$B$5:$B$300,"T-*")=0,"",SUMIFS(Торговля!$I$5:$I$300,Торговля!$E$5:$E$300,$B266)+SUMIFS(Закрытые!$I$5:$I$300,Закрытые!$E$5:$E$300,$B266,Закрытые!$B$5:$B$300,"T-*"))</f>
        <v/>
      </c>
      <c r="G266" s="183">
        <f>IF(F266="","",(SUMPRODUCT((Торговля!$E$5:$E$300=$B266)*Торговля!$I$5:$I$300*Торговля!$J$5:$J$300)+SUMPRODUCT((Закрытые!$E$5:$E$300=$B266)*(LEFT(Закрытые!$B$5:$B$300,2)="T-")*Закрытые!$I$5:$I$300*Закрытые!$J$5:$J$300))/F266)</f>
        <v/>
      </c>
      <c r="H266" s="247">
        <f>IF(F266="","",SUMIFS(Торговля!$K$5:$K$300,Торговля!$E$5:$E$300,$B266)+SUMIFS(Закрытые!$K$5:$K$300,Закрытые!$E$5:$E$300,$B266,Закрытые!$B$5:$B$300,"T-*"))</f>
        <v/>
      </c>
      <c r="I266" s="246">
        <f>IF($B266="","",IF(COUNTIFS(Торговля!$E$5:$E$300,$B266)+COUNTIFS(Закрытые!$E$5:$E$300,$B266,Закрытые!$B$5:$B$300,"T-*")=0,"",ROUND(SUMIFS(Торговля!$L$5:$L$300,Торговля!$E$5:$E$300,$B266)+SUMIFS(Закрытые!$L$5:$L$300,Закрытые!$E$5:$E$300,$B266,Закрытые!$B$5:$B$300,"T-*"),8)))</f>
        <v/>
      </c>
      <c r="J266" s="247">
        <f>IF($B266="","",IF(COUNTIFS(Торговля!$E$5:$E$300,$B266)+COUNTIFS(Закрытые!$E$5:$E$300,$B266,Закрытые!$B$5:$B$300,"T-*")=0,"",ROUND(SUMIFS(Торговля!$M$5:$M$300,Торговля!$E$5:$E$300,$B266)+SUMIFS(Закрытые!$M$5:$M$300,Закрытые!$E$5:$E$300,$B266,Закрытые!$B$5:$B$300,"T-*"),8)))</f>
        <v/>
      </c>
      <c r="K266" s="246">
        <f>IF($B266="","",ROUND(SUMIFS(Закрытые!$N$5:$N$300,Закрытые!$E$5:$E$300,$B266,Закрытые!$B$5:$B$300,"T-*"),8))</f>
        <v/>
      </c>
      <c r="L266" s="183">
        <f>IF(K266="","",IF(SUMPRODUCT((Закрытые!$E$5:$E$300=$B266)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266/SUMPRODUCT((Закрытые!$E$5:$E$300=$B266)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6" s="183">
        <f>IF(OR(ROUND(N(C266)-N(F266),8)=0,1-N(Ввод!$E$17)/100&lt;=0),"",IF(N(C266)&gt;N(F266),(N(E266)-N(H266))/((N(C266)-N(F266))*(1-N(Ввод!$E$17)/100)),(N(H266)-N(E266))/((N(F266)-N(C266))*(1+N(Ввод!$E$17)/100))))</f>
        <v/>
      </c>
    </row>
    <row r="267" ht="22" customHeight="1">
      <c r="B267" s="315" t="n"/>
      <c r="C267" s="240">
        <f>IF(SUMIFS(Торговля!$F$5:$F$300,Торговля!$E$5:$E$300,$B267)+SUMIFS(Закрытые!$F$5:$F$300,Закрытые!$E$5:$E$300,$B267,Закрытые!$B$5:$B$300,"T-*")=0,"",SUMIFS(Торговля!$F$5:$F$300,Торговля!$E$5:$E$300,$B267)+SUMIFS(Закрытые!$F$5:$F$300,Закрытые!$E$5:$E$300,$B267,Закрытые!$B$5:$B$300,"T-*"))</f>
        <v/>
      </c>
      <c r="D267" s="177">
        <f>IF(C267="","",(SUMPRODUCT((Торговля!$E$5:$E$300=$B267)*Торговля!$F$5:$F$300*Торговля!$G$5:$G$300)+SUMPRODUCT((Закрытые!$E$5:$E$300=$B267)*(LEFT(Закрытые!$B$5:$B$300,2)="T-")*Закрытые!$F$5:$F$300*Закрытые!$G$5:$G$300))/C267)</f>
        <v/>
      </c>
      <c r="E267" s="241">
        <f>IF(C267="","",SUMIFS(Торговля!$H$5:$H$300,Торговля!$E$5:$E$300,$B267)+SUMIFS(Закрытые!$H$5:$H$300,Закрытые!$E$5:$E$300,$B267,Закрытые!$B$5:$B$300,"T-*"))</f>
        <v/>
      </c>
      <c r="F267" s="240">
        <f>IF(SUMIFS(Торговля!$I$5:$I$300,Торговля!$E$5:$E$300,$B267)+SUMIFS(Закрытые!$I$5:$I$300,Закрытые!$E$5:$E$300,$B267,Закрытые!$B$5:$B$300,"T-*")=0,"",SUMIFS(Торговля!$I$5:$I$300,Торговля!$E$5:$E$300,$B267)+SUMIFS(Закрытые!$I$5:$I$300,Закрытые!$E$5:$E$300,$B267,Закрытые!$B$5:$B$300,"T-*"))</f>
        <v/>
      </c>
      <c r="G267" s="177">
        <f>IF(F267="","",(SUMPRODUCT((Торговля!$E$5:$E$300=$B267)*Торговля!$I$5:$I$300*Торговля!$J$5:$J$300)+SUMPRODUCT((Закрытые!$E$5:$E$300=$B267)*(LEFT(Закрытые!$B$5:$B$300,2)="T-")*Закрытые!$I$5:$I$300*Закрытые!$J$5:$J$300))/F267)</f>
        <v/>
      </c>
      <c r="H267" s="241">
        <f>IF(F267="","",SUMIFS(Торговля!$K$5:$K$300,Торговля!$E$5:$E$300,$B267)+SUMIFS(Закрытые!$K$5:$K$300,Закрытые!$E$5:$E$300,$B267,Закрытые!$B$5:$B$300,"T-*"))</f>
        <v/>
      </c>
      <c r="I267" s="240">
        <f>IF($B267="","",IF(COUNTIFS(Торговля!$E$5:$E$300,$B267)+COUNTIFS(Закрытые!$E$5:$E$300,$B267,Закрытые!$B$5:$B$300,"T-*")=0,"",ROUND(SUMIFS(Торговля!$L$5:$L$300,Торговля!$E$5:$E$300,$B267)+SUMIFS(Закрытые!$L$5:$L$300,Закрытые!$E$5:$E$300,$B267,Закрытые!$B$5:$B$300,"T-*"),8)))</f>
        <v/>
      </c>
      <c r="J267" s="241">
        <f>IF($B267="","",IF(COUNTIFS(Торговля!$E$5:$E$300,$B267)+COUNTIFS(Закрытые!$E$5:$E$300,$B267,Закрытые!$B$5:$B$300,"T-*")=0,"",ROUND(SUMIFS(Торговля!$M$5:$M$300,Торговля!$E$5:$E$300,$B267)+SUMIFS(Закрытые!$M$5:$M$300,Закрытые!$E$5:$E$300,$B267,Закрытые!$B$5:$B$300,"T-*"),8)))</f>
        <v/>
      </c>
      <c r="K267" s="240">
        <f>IF($B267="","",ROUND(SUMIFS(Закрытые!$N$5:$N$300,Закрытые!$E$5:$E$300,$B267,Закрытые!$B$5:$B$300,"T-*"),8))</f>
        <v/>
      </c>
      <c r="L267" s="177">
        <f>IF(K267="","",IF(SUMPRODUCT((Закрытые!$E$5:$E$300=$B267)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267/SUMPRODUCT((Закрытые!$E$5:$E$300=$B267)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7" s="177">
        <f>IF(OR(ROUND(N(C267)-N(F267),8)=0,1-N(Ввод!$E$17)/100&lt;=0),"",IF(N(C267)&gt;N(F267),(N(E267)-N(H267))/((N(C267)-N(F267))*(1-N(Ввод!$E$17)/100)),(N(H267)-N(E267))/((N(F267)-N(C267))*(1+N(Ввод!$E$17)/100))))</f>
        <v/>
      </c>
    </row>
    <row r="268" ht="22" customHeight="1">
      <c r="B268" s="320" t="n"/>
      <c r="C268" s="246">
        <f>IF(SUMIFS(Торговля!$F$5:$F$300,Торговля!$E$5:$E$300,$B268)+SUMIFS(Закрытые!$F$5:$F$300,Закрытые!$E$5:$E$300,$B268,Закрытые!$B$5:$B$300,"T-*")=0,"",SUMIFS(Торговля!$F$5:$F$300,Торговля!$E$5:$E$300,$B268)+SUMIFS(Закрытые!$F$5:$F$300,Закрытые!$E$5:$E$300,$B268,Закрытые!$B$5:$B$300,"T-*"))</f>
        <v/>
      </c>
      <c r="D268" s="183">
        <f>IF(C268="","",(SUMPRODUCT((Торговля!$E$5:$E$300=$B268)*Торговля!$F$5:$F$300*Торговля!$G$5:$G$300)+SUMPRODUCT((Закрытые!$E$5:$E$300=$B268)*(LEFT(Закрытые!$B$5:$B$300,2)="T-")*Закрытые!$F$5:$F$300*Закрытые!$G$5:$G$300))/C268)</f>
        <v/>
      </c>
      <c r="E268" s="247">
        <f>IF(C268="","",SUMIFS(Торговля!$H$5:$H$300,Торговля!$E$5:$E$300,$B268)+SUMIFS(Закрытые!$H$5:$H$300,Закрытые!$E$5:$E$300,$B268,Закрытые!$B$5:$B$300,"T-*"))</f>
        <v/>
      </c>
      <c r="F268" s="246">
        <f>IF(SUMIFS(Торговля!$I$5:$I$300,Торговля!$E$5:$E$300,$B268)+SUMIFS(Закрытые!$I$5:$I$300,Закрытые!$E$5:$E$300,$B268,Закрытые!$B$5:$B$300,"T-*")=0,"",SUMIFS(Торговля!$I$5:$I$300,Торговля!$E$5:$E$300,$B268)+SUMIFS(Закрытые!$I$5:$I$300,Закрытые!$E$5:$E$300,$B268,Закрытые!$B$5:$B$300,"T-*"))</f>
        <v/>
      </c>
      <c r="G268" s="183">
        <f>IF(F268="","",(SUMPRODUCT((Торговля!$E$5:$E$300=$B268)*Торговля!$I$5:$I$300*Торговля!$J$5:$J$300)+SUMPRODUCT((Закрытые!$E$5:$E$300=$B268)*(LEFT(Закрытые!$B$5:$B$300,2)="T-")*Закрытые!$I$5:$I$300*Закрытые!$J$5:$J$300))/F268)</f>
        <v/>
      </c>
      <c r="H268" s="247">
        <f>IF(F268="","",SUMIFS(Торговля!$K$5:$K$300,Торговля!$E$5:$E$300,$B268)+SUMIFS(Закрытые!$K$5:$K$300,Закрытые!$E$5:$E$300,$B268,Закрытые!$B$5:$B$300,"T-*"))</f>
        <v/>
      </c>
      <c r="I268" s="246">
        <f>IF($B268="","",IF(COUNTIFS(Торговля!$E$5:$E$300,$B268)+COUNTIFS(Закрытые!$E$5:$E$300,$B268,Закрытые!$B$5:$B$300,"T-*")=0,"",ROUND(SUMIFS(Торговля!$L$5:$L$300,Торговля!$E$5:$E$300,$B268)+SUMIFS(Закрытые!$L$5:$L$300,Закрытые!$E$5:$E$300,$B268,Закрытые!$B$5:$B$300,"T-*"),8)))</f>
        <v/>
      </c>
      <c r="J268" s="247">
        <f>IF($B268="","",IF(COUNTIFS(Торговля!$E$5:$E$300,$B268)+COUNTIFS(Закрытые!$E$5:$E$300,$B268,Закрытые!$B$5:$B$300,"T-*")=0,"",ROUND(SUMIFS(Торговля!$M$5:$M$300,Торговля!$E$5:$E$300,$B268)+SUMIFS(Закрытые!$M$5:$M$300,Закрытые!$E$5:$E$300,$B268,Закрытые!$B$5:$B$300,"T-*"),8)))</f>
        <v/>
      </c>
      <c r="K268" s="246">
        <f>IF($B268="","",ROUND(SUMIFS(Закрытые!$N$5:$N$300,Закрытые!$E$5:$E$300,$B268,Закрытые!$B$5:$B$300,"T-*"),8))</f>
        <v/>
      </c>
      <c r="L268" s="183">
        <f>IF(K268="","",IF(SUMPRODUCT((Закрытые!$E$5:$E$300=$B268)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268/SUMPRODUCT((Закрытые!$E$5:$E$300=$B268)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8" s="183">
        <f>IF(OR(ROUND(N(C268)-N(F268),8)=0,1-N(Ввод!$E$17)/100&lt;=0),"",IF(N(C268)&gt;N(F268),(N(E268)-N(H268))/((N(C268)-N(F268))*(1-N(Ввод!$E$17)/100)),(N(H268)-N(E268))/((N(F268)-N(C268))*(1+N(Ввод!$E$17)/100))))</f>
        <v/>
      </c>
    </row>
    <row r="269" ht="22" customHeight="1">
      <c r="B269" s="315" t="n"/>
      <c r="C269" s="240">
        <f>IF(SUMIFS(Торговля!$F$5:$F$300,Торговля!$E$5:$E$300,$B269)+SUMIFS(Закрытые!$F$5:$F$300,Закрытые!$E$5:$E$300,$B269,Закрытые!$B$5:$B$300,"T-*")=0,"",SUMIFS(Торговля!$F$5:$F$300,Торговля!$E$5:$E$300,$B269)+SUMIFS(Закрытые!$F$5:$F$300,Закрытые!$E$5:$E$300,$B269,Закрытые!$B$5:$B$300,"T-*"))</f>
        <v/>
      </c>
      <c r="D269" s="177">
        <f>IF(C269="","",(SUMPRODUCT((Торговля!$E$5:$E$300=$B269)*Торговля!$F$5:$F$300*Торговля!$G$5:$G$300)+SUMPRODUCT((Закрытые!$E$5:$E$300=$B269)*(LEFT(Закрытые!$B$5:$B$300,2)="T-")*Закрытые!$F$5:$F$300*Закрытые!$G$5:$G$300))/C269)</f>
        <v/>
      </c>
      <c r="E269" s="241">
        <f>IF(C269="","",SUMIFS(Торговля!$H$5:$H$300,Торговля!$E$5:$E$300,$B269)+SUMIFS(Закрытые!$H$5:$H$300,Закрытые!$E$5:$E$300,$B269,Закрытые!$B$5:$B$300,"T-*"))</f>
        <v/>
      </c>
      <c r="F269" s="240">
        <f>IF(SUMIFS(Торговля!$I$5:$I$300,Торговля!$E$5:$E$300,$B269)+SUMIFS(Закрытые!$I$5:$I$300,Закрытые!$E$5:$E$300,$B269,Закрытые!$B$5:$B$300,"T-*")=0,"",SUMIFS(Торговля!$I$5:$I$300,Торговля!$E$5:$E$300,$B269)+SUMIFS(Закрытые!$I$5:$I$300,Закрытые!$E$5:$E$300,$B269,Закрытые!$B$5:$B$300,"T-*"))</f>
        <v/>
      </c>
      <c r="G269" s="177">
        <f>IF(F269="","",(SUMPRODUCT((Торговля!$E$5:$E$300=$B269)*Торговля!$I$5:$I$300*Торговля!$J$5:$J$300)+SUMPRODUCT((Закрытые!$E$5:$E$300=$B269)*(LEFT(Закрытые!$B$5:$B$300,2)="T-")*Закрытые!$I$5:$I$300*Закрытые!$J$5:$J$300))/F269)</f>
        <v/>
      </c>
      <c r="H269" s="241">
        <f>IF(F269="","",SUMIFS(Торговля!$K$5:$K$300,Торговля!$E$5:$E$300,$B269)+SUMIFS(Закрытые!$K$5:$K$300,Закрытые!$E$5:$E$300,$B269,Закрытые!$B$5:$B$300,"T-*"))</f>
        <v/>
      </c>
      <c r="I269" s="240">
        <f>IF($B269="","",IF(COUNTIFS(Торговля!$E$5:$E$300,$B269)+COUNTIFS(Закрытые!$E$5:$E$300,$B269,Закрытые!$B$5:$B$300,"T-*")=0,"",ROUND(SUMIFS(Торговля!$L$5:$L$300,Торговля!$E$5:$E$300,$B269)+SUMIFS(Закрытые!$L$5:$L$300,Закрытые!$E$5:$E$300,$B269,Закрытые!$B$5:$B$300,"T-*"),8)))</f>
        <v/>
      </c>
      <c r="J269" s="241">
        <f>IF($B269="","",IF(COUNTIFS(Торговля!$E$5:$E$300,$B269)+COUNTIFS(Закрытые!$E$5:$E$300,$B269,Закрытые!$B$5:$B$300,"T-*")=0,"",ROUND(SUMIFS(Торговля!$M$5:$M$300,Торговля!$E$5:$E$300,$B269)+SUMIFS(Закрытые!$M$5:$M$300,Закрытые!$E$5:$E$300,$B269,Закрытые!$B$5:$B$300,"T-*"),8)))</f>
        <v/>
      </c>
      <c r="K269" s="240">
        <f>IF($B269="","",ROUND(SUMIFS(Закрытые!$N$5:$N$300,Закрытые!$E$5:$E$300,$B269,Закрытые!$B$5:$B$300,"T-*"),8))</f>
        <v/>
      </c>
      <c r="L269" s="177">
        <f>IF(K269="","",IF(SUMPRODUCT((Закрытые!$E$5:$E$300=$B269)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269/SUMPRODUCT((Закрытые!$E$5:$E$300=$B269)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9" s="177">
        <f>IF(OR(ROUND(N(C269)-N(F269),8)=0,1-N(Ввод!$E$17)/100&lt;=0),"",IF(N(C269)&gt;N(F269),(N(E269)-N(H269))/((N(C269)-N(F269))*(1-N(Ввод!$E$17)/100)),(N(H269)-N(E269))/((N(F269)-N(C269))*(1+N(Ввод!$E$17)/100))))</f>
        <v/>
      </c>
    </row>
    <row r="270" ht="22" customHeight="1">
      <c r="B270" s="320" t="n"/>
      <c r="C270" s="246">
        <f>IF(SUMIFS(Торговля!$F$5:$F$300,Торговля!$E$5:$E$300,$B270)+SUMIFS(Закрытые!$F$5:$F$300,Закрытые!$E$5:$E$300,$B270,Закрытые!$B$5:$B$300,"T-*")=0,"",SUMIFS(Торговля!$F$5:$F$300,Торговля!$E$5:$E$300,$B270)+SUMIFS(Закрытые!$F$5:$F$300,Закрытые!$E$5:$E$300,$B270,Закрытые!$B$5:$B$300,"T-*"))</f>
        <v/>
      </c>
      <c r="D270" s="183">
        <f>IF(C270="","",(SUMPRODUCT((Торговля!$E$5:$E$300=$B270)*Торговля!$F$5:$F$300*Торговля!$G$5:$G$300)+SUMPRODUCT((Закрытые!$E$5:$E$300=$B270)*(LEFT(Закрытые!$B$5:$B$300,2)="T-")*Закрытые!$F$5:$F$300*Закрытые!$G$5:$G$300))/C270)</f>
        <v/>
      </c>
      <c r="E270" s="247">
        <f>IF(C270="","",SUMIFS(Торговля!$H$5:$H$300,Торговля!$E$5:$E$300,$B270)+SUMIFS(Закрытые!$H$5:$H$300,Закрытые!$E$5:$E$300,$B270,Закрытые!$B$5:$B$300,"T-*"))</f>
        <v/>
      </c>
      <c r="F270" s="246">
        <f>IF(SUMIFS(Торговля!$I$5:$I$300,Торговля!$E$5:$E$300,$B270)+SUMIFS(Закрытые!$I$5:$I$300,Закрытые!$E$5:$E$300,$B270,Закрытые!$B$5:$B$300,"T-*")=0,"",SUMIFS(Торговля!$I$5:$I$300,Торговля!$E$5:$E$300,$B270)+SUMIFS(Закрытые!$I$5:$I$300,Закрытые!$E$5:$E$300,$B270,Закрытые!$B$5:$B$300,"T-*"))</f>
        <v/>
      </c>
      <c r="G270" s="183">
        <f>IF(F270="","",(SUMPRODUCT((Торговля!$E$5:$E$300=$B270)*Торговля!$I$5:$I$300*Торговля!$J$5:$J$300)+SUMPRODUCT((Закрытые!$E$5:$E$300=$B270)*(LEFT(Закрытые!$B$5:$B$300,2)="T-")*Закрытые!$I$5:$I$300*Закрытые!$J$5:$J$300))/F270)</f>
        <v/>
      </c>
      <c r="H270" s="247">
        <f>IF(F270="","",SUMIFS(Торговля!$K$5:$K$300,Торговля!$E$5:$E$300,$B270)+SUMIFS(Закрытые!$K$5:$K$300,Закрытые!$E$5:$E$300,$B270,Закрытые!$B$5:$B$300,"T-*"))</f>
        <v/>
      </c>
      <c r="I270" s="246">
        <f>IF($B270="","",IF(COUNTIFS(Торговля!$E$5:$E$300,$B270)+COUNTIFS(Закрытые!$E$5:$E$300,$B270,Закрытые!$B$5:$B$300,"T-*")=0,"",ROUND(SUMIFS(Торговля!$L$5:$L$300,Торговля!$E$5:$E$300,$B270)+SUMIFS(Закрытые!$L$5:$L$300,Закрытые!$E$5:$E$300,$B270,Закрытые!$B$5:$B$300,"T-*"),8)))</f>
        <v/>
      </c>
      <c r="J270" s="247">
        <f>IF($B270="","",IF(COUNTIFS(Торговля!$E$5:$E$300,$B270)+COUNTIFS(Закрытые!$E$5:$E$300,$B270,Закрытые!$B$5:$B$300,"T-*")=0,"",ROUND(SUMIFS(Торговля!$M$5:$M$300,Торговля!$E$5:$E$300,$B270)+SUMIFS(Закрытые!$M$5:$M$300,Закрытые!$E$5:$E$300,$B270,Закрытые!$B$5:$B$300,"T-*"),8)))</f>
        <v/>
      </c>
      <c r="K270" s="246">
        <f>IF($B270="","",ROUND(SUMIFS(Закрытые!$N$5:$N$300,Закрытые!$E$5:$E$300,$B270,Закрытые!$B$5:$B$300,"T-*"),8))</f>
        <v/>
      </c>
      <c r="L270" s="183">
        <f>IF(K270="","",IF(SUMPRODUCT((Закрытые!$E$5:$E$300=$B270)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270/SUMPRODUCT((Закрытые!$E$5:$E$300=$B270)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0" s="183">
        <f>IF(OR(ROUND(N(C270)-N(F270),8)=0,1-N(Ввод!$E$17)/100&lt;=0),"",IF(N(C270)&gt;N(F270),(N(E270)-N(H270))/((N(C270)-N(F270))*(1-N(Ввод!$E$17)/100)),(N(H270)-N(E270))/((N(F270)-N(C270))*(1+N(Ввод!$E$17)/100))))</f>
        <v/>
      </c>
    </row>
    <row r="271" ht="22" customHeight="1">
      <c r="B271" s="315" t="n"/>
      <c r="C271" s="240">
        <f>IF(SUMIFS(Торговля!$F$5:$F$300,Торговля!$E$5:$E$300,$B271)+SUMIFS(Закрытые!$F$5:$F$300,Закрытые!$E$5:$E$300,$B271,Закрытые!$B$5:$B$300,"T-*")=0,"",SUMIFS(Торговля!$F$5:$F$300,Торговля!$E$5:$E$300,$B271)+SUMIFS(Закрытые!$F$5:$F$300,Закрытые!$E$5:$E$300,$B271,Закрытые!$B$5:$B$300,"T-*"))</f>
        <v/>
      </c>
      <c r="D271" s="177">
        <f>IF(C271="","",(SUMPRODUCT((Торговля!$E$5:$E$300=$B271)*Торговля!$F$5:$F$300*Торговля!$G$5:$G$300)+SUMPRODUCT((Закрытые!$E$5:$E$300=$B271)*(LEFT(Закрытые!$B$5:$B$300,2)="T-")*Закрытые!$F$5:$F$300*Закрытые!$G$5:$G$300))/C271)</f>
        <v/>
      </c>
      <c r="E271" s="241">
        <f>IF(C271="","",SUMIFS(Торговля!$H$5:$H$300,Торговля!$E$5:$E$300,$B271)+SUMIFS(Закрытые!$H$5:$H$300,Закрытые!$E$5:$E$300,$B271,Закрытые!$B$5:$B$300,"T-*"))</f>
        <v/>
      </c>
      <c r="F271" s="240">
        <f>IF(SUMIFS(Торговля!$I$5:$I$300,Торговля!$E$5:$E$300,$B271)+SUMIFS(Закрытые!$I$5:$I$300,Закрытые!$E$5:$E$300,$B271,Закрытые!$B$5:$B$300,"T-*")=0,"",SUMIFS(Торговля!$I$5:$I$300,Торговля!$E$5:$E$300,$B271)+SUMIFS(Закрытые!$I$5:$I$300,Закрытые!$E$5:$E$300,$B271,Закрытые!$B$5:$B$300,"T-*"))</f>
        <v/>
      </c>
      <c r="G271" s="177">
        <f>IF(F271="","",(SUMPRODUCT((Торговля!$E$5:$E$300=$B271)*Торговля!$I$5:$I$300*Торговля!$J$5:$J$300)+SUMPRODUCT((Закрытые!$E$5:$E$300=$B271)*(LEFT(Закрытые!$B$5:$B$300,2)="T-")*Закрытые!$I$5:$I$300*Закрытые!$J$5:$J$300))/F271)</f>
        <v/>
      </c>
      <c r="H271" s="241">
        <f>IF(F271="","",SUMIFS(Торговля!$K$5:$K$300,Торговля!$E$5:$E$300,$B271)+SUMIFS(Закрытые!$K$5:$K$300,Закрытые!$E$5:$E$300,$B271,Закрытые!$B$5:$B$300,"T-*"))</f>
        <v/>
      </c>
      <c r="I271" s="240">
        <f>IF($B271="","",IF(COUNTIFS(Торговля!$E$5:$E$300,$B271)+COUNTIFS(Закрытые!$E$5:$E$300,$B271,Закрытые!$B$5:$B$300,"T-*")=0,"",ROUND(SUMIFS(Торговля!$L$5:$L$300,Торговля!$E$5:$E$300,$B271)+SUMIFS(Закрытые!$L$5:$L$300,Закрытые!$E$5:$E$300,$B271,Закрытые!$B$5:$B$300,"T-*"),8)))</f>
        <v/>
      </c>
      <c r="J271" s="241">
        <f>IF($B271="","",IF(COUNTIFS(Торговля!$E$5:$E$300,$B271)+COUNTIFS(Закрытые!$E$5:$E$300,$B271,Закрытые!$B$5:$B$300,"T-*")=0,"",ROUND(SUMIFS(Торговля!$M$5:$M$300,Торговля!$E$5:$E$300,$B271)+SUMIFS(Закрытые!$M$5:$M$300,Закрытые!$E$5:$E$300,$B271,Закрытые!$B$5:$B$300,"T-*"),8)))</f>
        <v/>
      </c>
      <c r="K271" s="240">
        <f>IF($B271="","",ROUND(SUMIFS(Закрытые!$N$5:$N$300,Закрытые!$E$5:$E$300,$B271,Закрытые!$B$5:$B$300,"T-*"),8))</f>
        <v/>
      </c>
      <c r="L271" s="177">
        <f>IF(K271="","",IF(SUMPRODUCT((Закрытые!$E$5:$E$300=$B271)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271/SUMPRODUCT((Закрытые!$E$5:$E$300=$B271)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1" s="177">
        <f>IF(OR(ROUND(N(C271)-N(F271),8)=0,1-N(Ввод!$E$17)/100&lt;=0),"",IF(N(C271)&gt;N(F271),(N(E271)-N(H271))/((N(C271)-N(F271))*(1-N(Ввод!$E$17)/100)),(N(H271)-N(E271))/((N(F271)-N(C271))*(1+N(Ввод!$E$17)/100))))</f>
        <v/>
      </c>
    </row>
    <row r="272" ht="22" customHeight="1">
      <c r="B272" s="320" t="n"/>
      <c r="C272" s="246">
        <f>IF(SUMIFS(Торговля!$F$5:$F$300,Торговля!$E$5:$E$300,$B272)+SUMIFS(Закрытые!$F$5:$F$300,Закрытые!$E$5:$E$300,$B272,Закрытые!$B$5:$B$300,"T-*")=0,"",SUMIFS(Торговля!$F$5:$F$300,Торговля!$E$5:$E$300,$B272)+SUMIFS(Закрытые!$F$5:$F$300,Закрытые!$E$5:$E$300,$B272,Закрытые!$B$5:$B$300,"T-*"))</f>
        <v/>
      </c>
      <c r="D272" s="183">
        <f>IF(C272="","",(SUMPRODUCT((Торговля!$E$5:$E$300=$B272)*Торговля!$F$5:$F$300*Торговля!$G$5:$G$300)+SUMPRODUCT((Закрытые!$E$5:$E$300=$B272)*(LEFT(Закрытые!$B$5:$B$300,2)="T-")*Закрытые!$F$5:$F$300*Закрытые!$G$5:$G$300))/C272)</f>
        <v/>
      </c>
      <c r="E272" s="247">
        <f>IF(C272="","",SUMIFS(Торговля!$H$5:$H$300,Торговля!$E$5:$E$300,$B272)+SUMIFS(Закрытые!$H$5:$H$300,Закрытые!$E$5:$E$300,$B272,Закрытые!$B$5:$B$300,"T-*"))</f>
        <v/>
      </c>
      <c r="F272" s="246">
        <f>IF(SUMIFS(Торговля!$I$5:$I$300,Торговля!$E$5:$E$300,$B272)+SUMIFS(Закрытые!$I$5:$I$300,Закрытые!$E$5:$E$300,$B272,Закрытые!$B$5:$B$300,"T-*")=0,"",SUMIFS(Торговля!$I$5:$I$300,Торговля!$E$5:$E$300,$B272)+SUMIFS(Закрытые!$I$5:$I$300,Закрытые!$E$5:$E$300,$B272,Закрытые!$B$5:$B$300,"T-*"))</f>
        <v/>
      </c>
      <c r="G272" s="183">
        <f>IF(F272="","",(SUMPRODUCT((Торговля!$E$5:$E$300=$B272)*Торговля!$I$5:$I$300*Торговля!$J$5:$J$300)+SUMPRODUCT((Закрытые!$E$5:$E$300=$B272)*(LEFT(Закрытые!$B$5:$B$300,2)="T-")*Закрытые!$I$5:$I$300*Закрытые!$J$5:$J$300))/F272)</f>
        <v/>
      </c>
      <c r="H272" s="247">
        <f>IF(F272="","",SUMIFS(Торговля!$K$5:$K$300,Торговля!$E$5:$E$300,$B272)+SUMIFS(Закрытые!$K$5:$K$300,Закрытые!$E$5:$E$300,$B272,Закрытые!$B$5:$B$300,"T-*"))</f>
        <v/>
      </c>
      <c r="I272" s="246">
        <f>IF($B272="","",IF(COUNTIFS(Торговля!$E$5:$E$300,$B272)+COUNTIFS(Закрытые!$E$5:$E$300,$B272,Закрытые!$B$5:$B$300,"T-*")=0,"",ROUND(SUMIFS(Торговля!$L$5:$L$300,Торговля!$E$5:$E$300,$B272)+SUMIFS(Закрытые!$L$5:$L$300,Закрытые!$E$5:$E$300,$B272,Закрытые!$B$5:$B$300,"T-*"),8)))</f>
        <v/>
      </c>
      <c r="J272" s="247">
        <f>IF($B272="","",IF(COUNTIFS(Торговля!$E$5:$E$300,$B272)+COUNTIFS(Закрытые!$E$5:$E$300,$B272,Закрытые!$B$5:$B$300,"T-*")=0,"",ROUND(SUMIFS(Торговля!$M$5:$M$300,Торговля!$E$5:$E$300,$B272)+SUMIFS(Закрытые!$M$5:$M$300,Закрытые!$E$5:$E$300,$B272,Закрытые!$B$5:$B$300,"T-*"),8)))</f>
        <v/>
      </c>
      <c r="K272" s="246">
        <f>IF($B272="","",ROUND(SUMIFS(Закрытые!$N$5:$N$300,Закрытые!$E$5:$E$300,$B272,Закрытые!$B$5:$B$300,"T-*"),8))</f>
        <v/>
      </c>
      <c r="L272" s="183">
        <f>IF(K272="","",IF(SUMPRODUCT((Закрытые!$E$5:$E$300=$B272)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272/SUMPRODUCT((Закрытые!$E$5:$E$300=$B272)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2" s="183">
        <f>IF(OR(ROUND(N(C272)-N(F272),8)=0,1-N(Ввод!$E$17)/100&lt;=0),"",IF(N(C272)&gt;N(F272),(N(E272)-N(H272))/((N(C272)-N(F272))*(1-N(Ввод!$E$17)/100)),(N(H272)-N(E272))/((N(F272)-N(C272))*(1+N(Ввод!$E$17)/100))))</f>
        <v/>
      </c>
    </row>
    <row r="273" ht="22" customHeight="1">
      <c r="B273" s="315" t="n"/>
      <c r="C273" s="240">
        <f>IF(SUMIFS(Торговля!$F$5:$F$300,Торговля!$E$5:$E$300,$B273)+SUMIFS(Закрытые!$F$5:$F$300,Закрытые!$E$5:$E$300,$B273,Закрытые!$B$5:$B$300,"T-*")=0,"",SUMIFS(Торговля!$F$5:$F$300,Торговля!$E$5:$E$300,$B273)+SUMIFS(Закрытые!$F$5:$F$300,Закрытые!$E$5:$E$300,$B273,Закрытые!$B$5:$B$300,"T-*"))</f>
        <v/>
      </c>
      <c r="D273" s="177">
        <f>IF(C273="","",(SUMPRODUCT((Торговля!$E$5:$E$300=$B273)*Торговля!$F$5:$F$300*Торговля!$G$5:$G$300)+SUMPRODUCT((Закрытые!$E$5:$E$300=$B273)*(LEFT(Закрытые!$B$5:$B$300,2)="T-")*Закрытые!$F$5:$F$300*Закрытые!$G$5:$G$300))/C273)</f>
        <v/>
      </c>
      <c r="E273" s="241">
        <f>IF(C273="","",SUMIFS(Торговля!$H$5:$H$300,Торговля!$E$5:$E$300,$B273)+SUMIFS(Закрытые!$H$5:$H$300,Закрытые!$E$5:$E$300,$B273,Закрытые!$B$5:$B$300,"T-*"))</f>
        <v/>
      </c>
      <c r="F273" s="240">
        <f>IF(SUMIFS(Торговля!$I$5:$I$300,Торговля!$E$5:$E$300,$B273)+SUMIFS(Закрытые!$I$5:$I$300,Закрытые!$E$5:$E$300,$B273,Закрытые!$B$5:$B$300,"T-*")=0,"",SUMIFS(Торговля!$I$5:$I$300,Торговля!$E$5:$E$300,$B273)+SUMIFS(Закрытые!$I$5:$I$300,Закрытые!$E$5:$E$300,$B273,Закрытые!$B$5:$B$300,"T-*"))</f>
        <v/>
      </c>
      <c r="G273" s="177">
        <f>IF(F273="","",(SUMPRODUCT((Торговля!$E$5:$E$300=$B273)*Торговля!$I$5:$I$300*Торговля!$J$5:$J$300)+SUMPRODUCT((Закрытые!$E$5:$E$300=$B273)*(LEFT(Закрытые!$B$5:$B$300,2)="T-")*Закрытые!$I$5:$I$300*Закрытые!$J$5:$J$300))/F273)</f>
        <v/>
      </c>
      <c r="H273" s="241">
        <f>IF(F273="","",SUMIFS(Торговля!$K$5:$K$300,Торговля!$E$5:$E$300,$B273)+SUMIFS(Закрытые!$K$5:$K$300,Закрытые!$E$5:$E$300,$B273,Закрытые!$B$5:$B$300,"T-*"))</f>
        <v/>
      </c>
      <c r="I273" s="240">
        <f>IF($B273="","",IF(COUNTIFS(Торговля!$E$5:$E$300,$B273)+COUNTIFS(Закрытые!$E$5:$E$300,$B273,Закрытые!$B$5:$B$300,"T-*")=0,"",ROUND(SUMIFS(Торговля!$L$5:$L$300,Торговля!$E$5:$E$300,$B273)+SUMIFS(Закрытые!$L$5:$L$300,Закрытые!$E$5:$E$300,$B273,Закрытые!$B$5:$B$300,"T-*"),8)))</f>
        <v/>
      </c>
      <c r="J273" s="241">
        <f>IF($B273="","",IF(COUNTIFS(Торговля!$E$5:$E$300,$B273)+COUNTIFS(Закрытые!$E$5:$E$300,$B273,Закрытые!$B$5:$B$300,"T-*")=0,"",ROUND(SUMIFS(Торговля!$M$5:$M$300,Торговля!$E$5:$E$300,$B273)+SUMIFS(Закрытые!$M$5:$M$300,Закрытые!$E$5:$E$300,$B273,Закрытые!$B$5:$B$300,"T-*"),8)))</f>
        <v/>
      </c>
      <c r="K273" s="240">
        <f>IF($B273="","",ROUND(SUMIFS(Закрытые!$N$5:$N$300,Закрытые!$E$5:$E$300,$B273,Закрытые!$B$5:$B$300,"T-*"),8))</f>
        <v/>
      </c>
      <c r="L273" s="177">
        <f>IF(K273="","",IF(SUMPRODUCT((Закрытые!$E$5:$E$300=$B273)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273/SUMPRODUCT((Закрытые!$E$5:$E$300=$B273)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3" s="177">
        <f>IF(OR(ROUND(N(C273)-N(F273),8)=0,1-N(Ввод!$E$17)/100&lt;=0),"",IF(N(C273)&gt;N(F273),(N(E273)-N(H273))/((N(C273)-N(F273))*(1-N(Ввод!$E$17)/100)),(N(H273)-N(E273))/((N(F273)-N(C273))*(1+N(Ввод!$E$17)/100))))</f>
        <v/>
      </c>
    </row>
    <row r="274" ht="22" customHeight="1">
      <c r="B274" s="320" t="n"/>
      <c r="C274" s="246">
        <f>IF(SUMIFS(Торговля!$F$5:$F$300,Торговля!$E$5:$E$300,$B274)+SUMIFS(Закрытые!$F$5:$F$300,Закрытые!$E$5:$E$300,$B274,Закрытые!$B$5:$B$300,"T-*")=0,"",SUMIFS(Торговля!$F$5:$F$300,Торговля!$E$5:$E$300,$B274)+SUMIFS(Закрытые!$F$5:$F$300,Закрытые!$E$5:$E$300,$B274,Закрытые!$B$5:$B$300,"T-*"))</f>
        <v/>
      </c>
      <c r="D274" s="183">
        <f>IF(C274="","",(SUMPRODUCT((Торговля!$E$5:$E$300=$B274)*Торговля!$F$5:$F$300*Торговля!$G$5:$G$300)+SUMPRODUCT((Закрытые!$E$5:$E$300=$B274)*(LEFT(Закрытые!$B$5:$B$300,2)="T-")*Закрытые!$F$5:$F$300*Закрытые!$G$5:$G$300))/C274)</f>
        <v/>
      </c>
      <c r="E274" s="247">
        <f>IF(C274="","",SUMIFS(Торговля!$H$5:$H$300,Торговля!$E$5:$E$300,$B274)+SUMIFS(Закрытые!$H$5:$H$300,Закрытые!$E$5:$E$300,$B274,Закрытые!$B$5:$B$300,"T-*"))</f>
        <v/>
      </c>
      <c r="F274" s="246">
        <f>IF(SUMIFS(Торговля!$I$5:$I$300,Торговля!$E$5:$E$300,$B274)+SUMIFS(Закрытые!$I$5:$I$300,Закрытые!$E$5:$E$300,$B274,Закрытые!$B$5:$B$300,"T-*")=0,"",SUMIFS(Торговля!$I$5:$I$300,Торговля!$E$5:$E$300,$B274)+SUMIFS(Закрытые!$I$5:$I$300,Закрытые!$E$5:$E$300,$B274,Закрытые!$B$5:$B$300,"T-*"))</f>
        <v/>
      </c>
      <c r="G274" s="183">
        <f>IF(F274="","",(SUMPRODUCT((Торговля!$E$5:$E$300=$B274)*Торговля!$I$5:$I$300*Торговля!$J$5:$J$300)+SUMPRODUCT((Закрытые!$E$5:$E$300=$B274)*(LEFT(Закрытые!$B$5:$B$300,2)="T-")*Закрытые!$I$5:$I$300*Закрытые!$J$5:$J$300))/F274)</f>
        <v/>
      </c>
      <c r="H274" s="247">
        <f>IF(F274="","",SUMIFS(Торговля!$K$5:$K$300,Торговля!$E$5:$E$300,$B274)+SUMIFS(Закрытые!$K$5:$K$300,Закрытые!$E$5:$E$300,$B274,Закрытые!$B$5:$B$300,"T-*"))</f>
        <v/>
      </c>
      <c r="I274" s="246">
        <f>IF($B274="","",IF(COUNTIFS(Торговля!$E$5:$E$300,$B274)+COUNTIFS(Закрытые!$E$5:$E$300,$B274,Закрытые!$B$5:$B$300,"T-*")=0,"",ROUND(SUMIFS(Торговля!$L$5:$L$300,Торговля!$E$5:$E$300,$B274)+SUMIFS(Закрытые!$L$5:$L$300,Закрытые!$E$5:$E$300,$B274,Закрытые!$B$5:$B$300,"T-*"),8)))</f>
        <v/>
      </c>
      <c r="J274" s="247">
        <f>IF($B274="","",IF(COUNTIFS(Торговля!$E$5:$E$300,$B274)+COUNTIFS(Закрытые!$E$5:$E$300,$B274,Закрытые!$B$5:$B$300,"T-*")=0,"",ROUND(SUMIFS(Торговля!$M$5:$M$300,Торговля!$E$5:$E$300,$B274)+SUMIFS(Закрытые!$M$5:$M$300,Закрытые!$E$5:$E$300,$B274,Закрытые!$B$5:$B$300,"T-*"),8)))</f>
        <v/>
      </c>
      <c r="K274" s="246">
        <f>IF($B274="","",ROUND(SUMIFS(Закрытые!$N$5:$N$300,Закрытые!$E$5:$E$300,$B274,Закрытые!$B$5:$B$300,"T-*"),8))</f>
        <v/>
      </c>
      <c r="L274" s="183">
        <f>IF(K274="","",IF(SUMPRODUCT((Закрытые!$E$5:$E$300=$B274)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274/SUMPRODUCT((Закрытые!$E$5:$E$300=$B274)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4" s="183">
        <f>IF(OR(ROUND(N(C274)-N(F274),8)=0,1-N(Ввод!$E$17)/100&lt;=0),"",IF(N(C274)&gt;N(F274),(N(E274)-N(H274))/((N(C274)-N(F274))*(1-N(Ввод!$E$17)/100)),(N(H274)-N(E274))/((N(F274)-N(C274))*(1+N(Ввод!$E$17)/100))))</f>
        <v/>
      </c>
    </row>
    <row r="275" ht="22" customHeight="1">
      <c r="B275" s="315" t="n"/>
      <c r="C275" s="240">
        <f>IF(SUMIFS(Торговля!$F$5:$F$300,Торговля!$E$5:$E$300,$B275)+SUMIFS(Закрытые!$F$5:$F$300,Закрытые!$E$5:$E$300,$B275,Закрытые!$B$5:$B$300,"T-*")=0,"",SUMIFS(Торговля!$F$5:$F$300,Торговля!$E$5:$E$300,$B275)+SUMIFS(Закрытые!$F$5:$F$300,Закрытые!$E$5:$E$300,$B275,Закрытые!$B$5:$B$300,"T-*"))</f>
        <v/>
      </c>
      <c r="D275" s="177">
        <f>IF(C275="","",(SUMPRODUCT((Торговля!$E$5:$E$300=$B275)*Торговля!$F$5:$F$300*Торговля!$G$5:$G$300)+SUMPRODUCT((Закрытые!$E$5:$E$300=$B275)*(LEFT(Закрытые!$B$5:$B$300,2)="T-")*Закрытые!$F$5:$F$300*Закрытые!$G$5:$G$300))/C275)</f>
        <v/>
      </c>
      <c r="E275" s="241">
        <f>IF(C275="","",SUMIFS(Торговля!$H$5:$H$300,Торговля!$E$5:$E$300,$B275)+SUMIFS(Закрытые!$H$5:$H$300,Закрытые!$E$5:$E$300,$B275,Закрытые!$B$5:$B$300,"T-*"))</f>
        <v/>
      </c>
      <c r="F275" s="240">
        <f>IF(SUMIFS(Торговля!$I$5:$I$300,Торговля!$E$5:$E$300,$B275)+SUMIFS(Закрытые!$I$5:$I$300,Закрытые!$E$5:$E$300,$B275,Закрытые!$B$5:$B$300,"T-*")=0,"",SUMIFS(Торговля!$I$5:$I$300,Торговля!$E$5:$E$300,$B275)+SUMIFS(Закрытые!$I$5:$I$300,Закрытые!$E$5:$E$300,$B275,Закрытые!$B$5:$B$300,"T-*"))</f>
        <v/>
      </c>
      <c r="G275" s="177">
        <f>IF(F275="","",(SUMPRODUCT((Торговля!$E$5:$E$300=$B275)*Торговля!$I$5:$I$300*Торговля!$J$5:$J$300)+SUMPRODUCT((Закрытые!$E$5:$E$300=$B275)*(LEFT(Закрытые!$B$5:$B$300,2)="T-")*Закрытые!$I$5:$I$300*Закрытые!$J$5:$J$300))/F275)</f>
        <v/>
      </c>
      <c r="H275" s="241">
        <f>IF(F275="","",SUMIFS(Торговля!$K$5:$K$300,Торговля!$E$5:$E$300,$B275)+SUMIFS(Закрытые!$K$5:$K$300,Закрытые!$E$5:$E$300,$B275,Закрытые!$B$5:$B$300,"T-*"))</f>
        <v/>
      </c>
      <c r="I275" s="240">
        <f>IF($B275="","",IF(COUNTIFS(Торговля!$E$5:$E$300,$B275)+COUNTIFS(Закрытые!$E$5:$E$300,$B275,Закрытые!$B$5:$B$300,"T-*")=0,"",ROUND(SUMIFS(Торговля!$L$5:$L$300,Торговля!$E$5:$E$300,$B275)+SUMIFS(Закрытые!$L$5:$L$300,Закрытые!$E$5:$E$300,$B275,Закрытые!$B$5:$B$300,"T-*"),8)))</f>
        <v/>
      </c>
      <c r="J275" s="241">
        <f>IF($B275="","",IF(COUNTIFS(Торговля!$E$5:$E$300,$B275)+COUNTIFS(Закрытые!$E$5:$E$300,$B275,Закрытые!$B$5:$B$300,"T-*")=0,"",ROUND(SUMIFS(Торговля!$M$5:$M$300,Торговля!$E$5:$E$300,$B275)+SUMIFS(Закрытые!$M$5:$M$300,Закрытые!$E$5:$E$300,$B275,Закрытые!$B$5:$B$300,"T-*"),8)))</f>
        <v/>
      </c>
      <c r="K275" s="240">
        <f>IF($B275="","",ROUND(SUMIFS(Закрытые!$N$5:$N$300,Закрытые!$E$5:$E$300,$B275,Закрытые!$B$5:$B$300,"T-*"),8))</f>
        <v/>
      </c>
      <c r="L275" s="177">
        <f>IF(K275="","",IF(SUMPRODUCT((Закрытые!$E$5:$E$300=$B275)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275/SUMPRODUCT((Закрытые!$E$5:$E$300=$B275)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5" s="177">
        <f>IF(OR(ROUND(N(C275)-N(F275),8)=0,1-N(Ввод!$E$17)/100&lt;=0),"",IF(N(C275)&gt;N(F275),(N(E275)-N(H275))/((N(C275)-N(F275))*(1-N(Ввод!$E$17)/100)),(N(H275)-N(E275))/((N(F275)-N(C275))*(1+N(Ввод!$E$17)/100))))</f>
        <v/>
      </c>
    </row>
    <row r="276" ht="22" customHeight="1">
      <c r="B276" s="320" t="n"/>
      <c r="C276" s="246">
        <f>IF(SUMIFS(Торговля!$F$5:$F$300,Торговля!$E$5:$E$300,$B276)+SUMIFS(Закрытые!$F$5:$F$300,Закрытые!$E$5:$E$300,$B276,Закрытые!$B$5:$B$300,"T-*")=0,"",SUMIFS(Торговля!$F$5:$F$300,Торговля!$E$5:$E$300,$B276)+SUMIFS(Закрытые!$F$5:$F$300,Закрытые!$E$5:$E$300,$B276,Закрытые!$B$5:$B$300,"T-*"))</f>
        <v/>
      </c>
      <c r="D276" s="183">
        <f>IF(C276="","",(SUMPRODUCT((Торговля!$E$5:$E$300=$B276)*Торговля!$F$5:$F$300*Торговля!$G$5:$G$300)+SUMPRODUCT((Закрытые!$E$5:$E$300=$B276)*(LEFT(Закрытые!$B$5:$B$300,2)="T-")*Закрытые!$F$5:$F$300*Закрытые!$G$5:$G$300))/C276)</f>
        <v/>
      </c>
      <c r="E276" s="247">
        <f>IF(C276="","",SUMIFS(Торговля!$H$5:$H$300,Торговля!$E$5:$E$300,$B276)+SUMIFS(Закрытые!$H$5:$H$300,Закрытые!$E$5:$E$300,$B276,Закрытые!$B$5:$B$300,"T-*"))</f>
        <v/>
      </c>
      <c r="F276" s="246">
        <f>IF(SUMIFS(Торговля!$I$5:$I$300,Торговля!$E$5:$E$300,$B276)+SUMIFS(Закрытые!$I$5:$I$300,Закрытые!$E$5:$E$300,$B276,Закрытые!$B$5:$B$300,"T-*")=0,"",SUMIFS(Торговля!$I$5:$I$300,Торговля!$E$5:$E$300,$B276)+SUMIFS(Закрытые!$I$5:$I$300,Закрытые!$E$5:$E$300,$B276,Закрытые!$B$5:$B$300,"T-*"))</f>
        <v/>
      </c>
      <c r="G276" s="183">
        <f>IF(F276="","",(SUMPRODUCT((Торговля!$E$5:$E$300=$B276)*Торговля!$I$5:$I$300*Торговля!$J$5:$J$300)+SUMPRODUCT((Закрытые!$E$5:$E$300=$B276)*(LEFT(Закрытые!$B$5:$B$300,2)="T-")*Закрытые!$I$5:$I$300*Закрытые!$J$5:$J$300))/F276)</f>
        <v/>
      </c>
      <c r="H276" s="247">
        <f>IF(F276="","",SUMIFS(Торговля!$K$5:$K$300,Торговля!$E$5:$E$300,$B276)+SUMIFS(Закрытые!$K$5:$K$300,Закрытые!$E$5:$E$300,$B276,Закрытые!$B$5:$B$300,"T-*"))</f>
        <v/>
      </c>
      <c r="I276" s="246">
        <f>IF($B276="","",IF(COUNTIFS(Торговля!$E$5:$E$300,$B276)+COUNTIFS(Закрытые!$E$5:$E$300,$B276,Закрытые!$B$5:$B$300,"T-*")=0,"",ROUND(SUMIFS(Торговля!$L$5:$L$300,Торговля!$E$5:$E$300,$B276)+SUMIFS(Закрытые!$L$5:$L$300,Закрытые!$E$5:$E$300,$B276,Закрытые!$B$5:$B$300,"T-*"),8)))</f>
        <v/>
      </c>
      <c r="J276" s="247">
        <f>IF($B276="","",IF(COUNTIFS(Торговля!$E$5:$E$300,$B276)+COUNTIFS(Закрытые!$E$5:$E$300,$B276,Закрытые!$B$5:$B$300,"T-*")=0,"",ROUND(SUMIFS(Торговля!$M$5:$M$300,Торговля!$E$5:$E$300,$B276)+SUMIFS(Закрытые!$M$5:$M$300,Закрытые!$E$5:$E$300,$B276,Закрытые!$B$5:$B$300,"T-*"),8)))</f>
        <v/>
      </c>
      <c r="K276" s="246">
        <f>IF($B276="","",ROUND(SUMIFS(Закрытые!$N$5:$N$300,Закрытые!$E$5:$E$300,$B276,Закрытые!$B$5:$B$300,"T-*"),8))</f>
        <v/>
      </c>
      <c r="L276" s="183">
        <f>IF(K276="","",IF(SUMPRODUCT((Закрытые!$E$5:$E$300=$B276)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276/SUMPRODUCT((Закрытые!$E$5:$E$300=$B276)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6" s="183">
        <f>IF(OR(ROUND(N(C276)-N(F276),8)=0,1-N(Ввод!$E$17)/100&lt;=0),"",IF(N(C276)&gt;N(F276),(N(E276)-N(H276))/((N(C276)-N(F276))*(1-N(Ввод!$E$17)/100)),(N(H276)-N(E276))/((N(F276)-N(C276))*(1+N(Ввод!$E$17)/100))))</f>
        <v/>
      </c>
    </row>
    <row r="277" ht="22" customHeight="1">
      <c r="B277" s="315" t="n"/>
      <c r="C277" s="240">
        <f>IF(SUMIFS(Торговля!$F$5:$F$300,Торговля!$E$5:$E$300,$B277)+SUMIFS(Закрытые!$F$5:$F$300,Закрытые!$E$5:$E$300,$B277,Закрытые!$B$5:$B$300,"T-*")=0,"",SUMIFS(Торговля!$F$5:$F$300,Торговля!$E$5:$E$300,$B277)+SUMIFS(Закрытые!$F$5:$F$300,Закрытые!$E$5:$E$300,$B277,Закрытые!$B$5:$B$300,"T-*"))</f>
        <v/>
      </c>
      <c r="D277" s="177">
        <f>IF(C277="","",(SUMPRODUCT((Торговля!$E$5:$E$300=$B277)*Торговля!$F$5:$F$300*Торговля!$G$5:$G$300)+SUMPRODUCT((Закрытые!$E$5:$E$300=$B277)*(LEFT(Закрытые!$B$5:$B$300,2)="T-")*Закрытые!$F$5:$F$300*Закрытые!$G$5:$G$300))/C277)</f>
        <v/>
      </c>
      <c r="E277" s="241">
        <f>IF(C277="","",SUMIFS(Торговля!$H$5:$H$300,Торговля!$E$5:$E$300,$B277)+SUMIFS(Закрытые!$H$5:$H$300,Закрытые!$E$5:$E$300,$B277,Закрытые!$B$5:$B$300,"T-*"))</f>
        <v/>
      </c>
      <c r="F277" s="240">
        <f>IF(SUMIFS(Торговля!$I$5:$I$300,Торговля!$E$5:$E$300,$B277)+SUMIFS(Закрытые!$I$5:$I$300,Закрытые!$E$5:$E$300,$B277,Закрытые!$B$5:$B$300,"T-*")=0,"",SUMIFS(Торговля!$I$5:$I$300,Торговля!$E$5:$E$300,$B277)+SUMIFS(Закрытые!$I$5:$I$300,Закрытые!$E$5:$E$300,$B277,Закрытые!$B$5:$B$300,"T-*"))</f>
        <v/>
      </c>
      <c r="G277" s="177">
        <f>IF(F277="","",(SUMPRODUCT((Торговля!$E$5:$E$300=$B277)*Торговля!$I$5:$I$300*Торговля!$J$5:$J$300)+SUMPRODUCT((Закрытые!$E$5:$E$300=$B277)*(LEFT(Закрытые!$B$5:$B$300,2)="T-")*Закрытые!$I$5:$I$300*Закрытые!$J$5:$J$300))/F277)</f>
        <v/>
      </c>
      <c r="H277" s="241">
        <f>IF(F277="","",SUMIFS(Торговля!$K$5:$K$300,Торговля!$E$5:$E$300,$B277)+SUMIFS(Закрытые!$K$5:$K$300,Закрытые!$E$5:$E$300,$B277,Закрытые!$B$5:$B$300,"T-*"))</f>
        <v/>
      </c>
      <c r="I277" s="240">
        <f>IF($B277="","",IF(COUNTIFS(Торговля!$E$5:$E$300,$B277)+COUNTIFS(Закрытые!$E$5:$E$300,$B277,Закрытые!$B$5:$B$300,"T-*")=0,"",ROUND(SUMIFS(Торговля!$L$5:$L$300,Торговля!$E$5:$E$300,$B277)+SUMIFS(Закрытые!$L$5:$L$300,Закрытые!$E$5:$E$300,$B277,Закрытые!$B$5:$B$300,"T-*"),8)))</f>
        <v/>
      </c>
      <c r="J277" s="241">
        <f>IF($B277="","",IF(COUNTIFS(Торговля!$E$5:$E$300,$B277)+COUNTIFS(Закрытые!$E$5:$E$300,$B277,Закрытые!$B$5:$B$300,"T-*")=0,"",ROUND(SUMIFS(Торговля!$M$5:$M$300,Торговля!$E$5:$E$300,$B277)+SUMIFS(Закрытые!$M$5:$M$300,Закрытые!$E$5:$E$300,$B277,Закрытые!$B$5:$B$300,"T-*"),8)))</f>
        <v/>
      </c>
      <c r="K277" s="240">
        <f>IF($B277="","",ROUND(SUMIFS(Закрытые!$N$5:$N$300,Закрытые!$E$5:$E$300,$B277,Закрытые!$B$5:$B$300,"T-*"),8))</f>
        <v/>
      </c>
      <c r="L277" s="177">
        <f>IF(K277="","",IF(SUMPRODUCT((Закрытые!$E$5:$E$300=$B277)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277/SUMPRODUCT((Закрытые!$E$5:$E$300=$B277)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7" s="177">
        <f>IF(OR(ROUND(N(C277)-N(F277),8)=0,1-N(Ввод!$E$17)/100&lt;=0),"",IF(N(C277)&gt;N(F277),(N(E277)-N(H277))/((N(C277)-N(F277))*(1-N(Ввод!$E$17)/100)),(N(H277)-N(E277))/((N(F277)-N(C277))*(1+N(Ввод!$E$17)/100))))</f>
        <v/>
      </c>
    </row>
    <row r="278" ht="22" customHeight="1">
      <c r="B278" s="320" t="n"/>
      <c r="C278" s="246">
        <f>IF(SUMIFS(Торговля!$F$5:$F$300,Торговля!$E$5:$E$300,$B278)+SUMIFS(Закрытые!$F$5:$F$300,Закрытые!$E$5:$E$300,$B278,Закрытые!$B$5:$B$300,"T-*")=0,"",SUMIFS(Торговля!$F$5:$F$300,Торговля!$E$5:$E$300,$B278)+SUMIFS(Закрытые!$F$5:$F$300,Закрытые!$E$5:$E$300,$B278,Закрытые!$B$5:$B$300,"T-*"))</f>
        <v/>
      </c>
      <c r="D278" s="183">
        <f>IF(C278="","",(SUMPRODUCT((Торговля!$E$5:$E$300=$B278)*Торговля!$F$5:$F$300*Торговля!$G$5:$G$300)+SUMPRODUCT((Закрытые!$E$5:$E$300=$B278)*(LEFT(Закрытые!$B$5:$B$300,2)="T-")*Закрытые!$F$5:$F$300*Закрытые!$G$5:$G$300))/C278)</f>
        <v/>
      </c>
      <c r="E278" s="247">
        <f>IF(C278="","",SUMIFS(Торговля!$H$5:$H$300,Торговля!$E$5:$E$300,$B278)+SUMIFS(Закрытые!$H$5:$H$300,Закрытые!$E$5:$E$300,$B278,Закрытые!$B$5:$B$300,"T-*"))</f>
        <v/>
      </c>
      <c r="F278" s="246">
        <f>IF(SUMIFS(Торговля!$I$5:$I$300,Торговля!$E$5:$E$300,$B278)+SUMIFS(Закрытые!$I$5:$I$300,Закрытые!$E$5:$E$300,$B278,Закрытые!$B$5:$B$300,"T-*")=0,"",SUMIFS(Торговля!$I$5:$I$300,Торговля!$E$5:$E$300,$B278)+SUMIFS(Закрытые!$I$5:$I$300,Закрытые!$E$5:$E$300,$B278,Закрытые!$B$5:$B$300,"T-*"))</f>
        <v/>
      </c>
      <c r="G278" s="183">
        <f>IF(F278="","",(SUMPRODUCT((Торговля!$E$5:$E$300=$B278)*Торговля!$I$5:$I$300*Торговля!$J$5:$J$300)+SUMPRODUCT((Закрытые!$E$5:$E$300=$B278)*(LEFT(Закрытые!$B$5:$B$300,2)="T-")*Закрытые!$I$5:$I$300*Закрытые!$J$5:$J$300))/F278)</f>
        <v/>
      </c>
      <c r="H278" s="247">
        <f>IF(F278="","",SUMIFS(Торговля!$K$5:$K$300,Торговля!$E$5:$E$300,$B278)+SUMIFS(Закрытые!$K$5:$K$300,Закрытые!$E$5:$E$300,$B278,Закрытые!$B$5:$B$300,"T-*"))</f>
        <v/>
      </c>
      <c r="I278" s="246">
        <f>IF($B278="","",IF(COUNTIFS(Торговля!$E$5:$E$300,$B278)+COUNTIFS(Закрытые!$E$5:$E$300,$B278,Закрытые!$B$5:$B$300,"T-*")=0,"",ROUND(SUMIFS(Торговля!$L$5:$L$300,Торговля!$E$5:$E$300,$B278)+SUMIFS(Закрытые!$L$5:$L$300,Закрытые!$E$5:$E$300,$B278,Закрытые!$B$5:$B$300,"T-*"),8)))</f>
        <v/>
      </c>
      <c r="J278" s="247">
        <f>IF($B278="","",IF(COUNTIFS(Торговля!$E$5:$E$300,$B278)+COUNTIFS(Закрытые!$E$5:$E$300,$B278,Закрытые!$B$5:$B$300,"T-*")=0,"",ROUND(SUMIFS(Торговля!$M$5:$M$300,Торговля!$E$5:$E$300,$B278)+SUMIFS(Закрытые!$M$5:$M$300,Закрытые!$E$5:$E$300,$B278,Закрытые!$B$5:$B$300,"T-*"),8)))</f>
        <v/>
      </c>
      <c r="K278" s="246">
        <f>IF($B278="","",ROUND(SUMIFS(Закрытые!$N$5:$N$300,Закрытые!$E$5:$E$300,$B278,Закрытые!$B$5:$B$300,"T-*"),8))</f>
        <v/>
      </c>
      <c r="L278" s="183">
        <f>IF(K278="","",IF(SUMPRODUCT((Закрытые!$E$5:$E$300=$B278)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278/SUMPRODUCT((Закрытые!$E$5:$E$300=$B278)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8" s="183">
        <f>IF(OR(ROUND(N(C278)-N(F278),8)=0,1-N(Ввод!$E$17)/100&lt;=0),"",IF(N(C278)&gt;N(F278),(N(E278)-N(H278))/((N(C278)-N(F278))*(1-N(Ввод!$E$17)/100)),(N(H278)-N(E278))/((N(F278)-N(C278))*(1+N(Ввод!$E$17)/100))))</f>
        <v/>
      </c>
    </row>
    <row r="279" ht="22" customHeight="1">
      <c r="B279" s="315" t="n"/>
      <c r="C279" s="240">
        <f>IF(SUMIFS(Торговля!$F$5:$F$300,Торговля!$E$5:$E$300,$B279)+SUMIFS(Закрытые!$F$5:$F$300,Закрытые!$E$5:$E$300,$B279,Закрытые!$B$5:$B$300,"T-*")=0,"",SUMIFS(Торговля!$F$5:$F$300,Торговля!$E$5:$E$300,$B279)+SUMIFS(Закрытые!$F$5:$F$300,Закрытые!$E$5:$E$300,$B279,Закрытые!$B$5:$B$300,"T-*"))</f>
        <v/>
      </c>
      <c r="D279" s="177">
        <f>IF(C279="","",(SUMPRODUCT((Торговля!$E$5:$E$300=$B279)*Торговля!$F$5:$F$300*Торговля!$G$5:$G$300)+SUMPRODUCT((Закрытые!$E$5:$E$300=$B279)*(LEFT(Закрытые!$B$5:$B$300,2)="T-")*Закрытые!$F$5:$F$300*Закрытые!$G$5:$G$300))/C279)</f>
        <v/>
      </c>
      <c r="E279" s="241">
        <f>IF(C279="","",SUMIFS(Торговля!$H$5:$H$300,Торговля!$E$5:$E$300,$B279)+SUMIFS(Закрытые!$H$5:$H$300,Закрытые!$E$5:$E$300,$B279,Закрытые!$B$5:$B$300,"T-*"))</f>
        <v/>
      </c>
      <c r="F279" s="240">
        <f>IF(SUMIFS(Торговля!$I$5:$I$300,Торговля!$E$5:$E$300,$B279)+SUMIFS(Закрытые!$I$5:$I$300,Закрытые!$E$5:$E$300,$B279,Закрытые!$B$5:$B$300,"T-*")=0,"",SUMIFS(Торговля!$I$5:$I$300,Торговля!$E$5:$E$300,$B279)+SUMIFS(Закрытые!$I$5:$I$300,Закрытые!$E$5:$E$300,$B279,Закрытые!$B$5:$B$300,"T-*"))</f>
        <v/>
      </c>
      <c r="G279" s="177">
        <f>IF(F279="","",(SUMPRODUCT((Торговля!$E$5:$E$300=$B279)*Торговля!$I$5:$I$300*Торговля!$J$5:$J$300)+SUMPRODUCT((Закрытые!$E$5:$E$300=$B279)*(LEFT(Закрытые!$B$5:$B$300,2)="T-")*Закрытые!$I$5:$I$300*Закрытые!$J$5:$J$300))/F279)</f>
        <v/>
      </c>
      <c r="H279" s="241">
        <f>IF(F279="","",SUMIFS(Торговля!$K$5:$K$300,Торговля!$E$5:$E$300,$B279)+SUMIFS(Закрытые!$K$5:$K$300,Закрытые!$E$5:$E$300,$B279,Закрытые!$B$5:$B$300,"T-*"))</f>
        <v/>
      </c>
      <c r="I279" s="240">
        <f>IF($B279="","",IF(COUNTIFS(Торговля!$E$5:$E$300,$B279)+COUNTIFS(Закрытые!$E$5:$E$300,$B279,Закрытые!$B$5:$B$300,"T-*")=0,"",ROUND(SUMIFS(Торговля!$L$5:$L$300,Торговля!$E$5:$E$300,$B279)+SUMIFS(Закрытые!$L$5:$L$300,Закрытые!$E$5:$E$300,$B279,Закрытые!$B$5:$B$300,"T-*"),8)))</f>
        <v/>
      </c>
      <c r="J279" s="241">
        <f>IF($B279="","",IF(COUNTIFS(Торговля!$E$5:$E$300,$B279)+COUNTIFS(Закрытые!$E$5:$E$300,$B279,Закрытые!$B$5:$B$300,"T-*")=0,"",ROUND(SUMIFS(Торговля!$M$5:$M$300,Торговля!$E$5:$E$300,$B279)+SUMIFS(Закрытые!$M$5:$M$300,Закрытые!$E$5:$E$300,$B279,Закрытые!$B$5:$B$300,"T-*"),8)))</f>
        <v/>
      </c>
      <c r="K279" s="240">
        <f>IF($B279="","",ROUND(SUMIFS(Закрытые!$N$5:$N$300,Закрытые!$E$5:$E$300,$B279,Закрытые!$B$5:$B$300,"T-*"),8))</f>
        <v/>
      </c>
      <c r="L279" s="177">
        <f>IF(K279="","",IF(SUMPRODUCT((Закрытые!$E$5:$E$300=$B279)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279/SUMPRODUCT((Закрытые!$E$5:$E$300=$B279)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9" s="177">
        <f>IF(OR(ROUND(N(C279)-N(F279),8)=0,1-N(Ввод!$E$17)/100&lt;=0),"",IF(N(C279)&gt;N(F279),(N(E279)-N(H279))/((N(C279)-N(F279))*(1-N(Ввод!$E$17)/100)),(N(H279)-N(E279))/((N(F279)-N(C279))*(1+N(Ввод!$E$17)/100))))</f>
        <v/>
      </c>
    </row>
    <row r="280" ht="22" customHeight="1">
      <c r="B280" s="320" t="n"/>
      <c r="C280" s="246">
        <f>IF(SUMIFS(Торговля!$F$5:$F$300,Торговля!$E$5:$E$300,$B280)+SUMIFS(Закрытые!$F$5:$F$300,Закрытые!$E$5:$E$300,$B280,Закрытые!$B$5:$B$300,"T-*")=0,"",SUMIFS(Торговля!$F$5:$F$300,Торговля!$E$5:$E$300,$B280)+SUMIFS(Закрытые!$F$5:$F$300,Закрытые!$E$5:$E$300,$B280,Закрытые!$B$5:$B$300,"T-*"))</f>
        <v/>
      </c>
      <c r="D280" s="183">
        <f>IF(C280="","",(SUMPRODUCT((Торговля!$E$5:$E$300=$B280)*Торговля!$F$5:$F$300*Торговля!$G$5:$G$300)+SUMPRODUCT((Закрытые!$E$5:$E$300=$B280)*(LEFT(Закрытые!$B$5:$B$300,2)="T-")*Закрытые!$F$5:$F$300*Закрытые!$G$5:$G$300))/C280)</f>
        <v/>
      </c>
      <c r="E280" s="247">
        <f>IF(C280="","",SUMIFS(Торговля!$H$5:$H$300,Торговля!$E$5:$E$300,$B280)+SUMIFS(Закрытые!$H$5:$H$300,Закрытые!$E$5:$E$300,$B280,Закрытые!$B$5:$B$300,"T-*"))</f>
        <v/>
      </c>
      <c r="F280" s="246">
        <f>IF(SUMIFS(Торговля!$I$5:$I$300,Торговля!$E$5:$E$300,$B280)+SUMIFS(Закрытые!$I$5:$I$300,Закрытые!$E$5:$E$300,$B280,Закрытые!$B$5:$B$300,"T-*")=0,"",SUMIFS(Торговля!$I$5:$I$300,Торговля!$E$5:$E$300,$B280)+SUMIFS(Закрытые!$I$5:$I$300,Закрытые!$E$5:$E$300,$B280,Закрытые!$B$5:$B$300,"T-*"))</f>
        <v/>
      </c>
      <c r="G280" s="183">
        <f>IF(F280="","",(SUMPRODUCT((Торговля!$E$5:$E$300=$B280)*Торговля!$I$5:$I$300*Торговля!$J$5:$J$300)+SUMPRODUCT((Закрытые!$E$5:$E$300=$B280)*(LEFT(Закрытые!$B$5:$B$300,2)="T-")*Закрытые!$I$5:$I$300*Закрытые!$J$5:$J$300))/F280)</f>
        <v/>
      </c>
      <c r="H280" s="247">
        <f>IF(F280="","",SUMIFS(Торговля!$K$5:$K$300,Торговля!$E$5:$E$300,$B280)+SUMIFS(Закрытые!$K$5:$K$300,Закрытые!$E$5:$E$300,$B280,Закрытые!$B$5:$B$300,"T-*"))</f>
        <v/>
      </c>
      <c r="I280" s="246">
        <f>IF($B280="","",IF(COUNTIFS(Торговля!$E$5:$E$300,$B280)+COUNTIFS(Закрытые!$E$5:$E$300,$B280,Закрытые!$B$5:$B$300,"T-*")=0,"",ROUND(SUMIFS(Торговля!$L$5:$L$300,Торговля!$E$5:$E$300,$B280)+SUMIFS(Закрытые!$L$5:$L$300,Закрытые!$E$5:$E$300,$B280,Закрытые!$B$5:$B$300,"T-*"),8)))</f>
        <v/>
      </c>
      <c r="J280" s="247">
        <f>IF($B280="","",IF(COUNTIFS(Торговля!$E$5:$E$300,$B280)+COUNTIFS(Закрытые!$E$5:$E$300,$B280,Закрытые!$B$5:$B$300,"T-*")=0,"",ROUND(SUMIFS(Торговля!$M$5:$M$300,Торговля!$E$5:$E$300,$B280)+SUMIFS(Закрытые!$M$5:$M$300,Закрытые!$E$5:$E$300,$B280,Закрытые!$B$5:$B$300,"T-*"),8)))</f>
        <v/>
      </c>
      <c r="K280" s="246">
        <f>IF($B280="","",ROUND(SUMIFS(Закрытые!$N$5:$N$300,Закрытые!$E$5:$E$300,$B280,Закрытые!$B$5:$B$300,"T-*"),8))</f>
        <v/>
      </c>
      <c r="L280" s="183">
        <f>IF(K280="","",IF(SUMPRODUCT((Закрытые!$E$5:$E$300=$B280)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280/SUMPRODUCT((Закрытые!$E$5:$E$300=$B280)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0" s="183">
        <f>IF(OR(ROUND(N(C280)-N(F280),8)=0,1-N(Ввод!$E$17)/100&lt;=0),"",IF(N(C280)&gt;N(F280),(N(E280)-N(H280))/((N(C280)-N(F280))*(1-N(Ввод!$E$17)/100)),(N(H280)-N(E280))/((N(F280)-N(C280))*(1+N(Ввод!$E$17)/100))))</f>
        <v/>
      </c>
    </row>
    <row r="281" ht="22" customHeight="1">
      <c r="B281" s="315" t="n"/>
      <c r="C281" s="240">
        <f>IF(SUMIFS(Торговля!$F$5:$F$300,Торговля!$E$5:$E$300,$B281)+SUMIFS(Закрытые!$F$5:$F$300,Закрытые!$E$5:$E$300,$B281,Закрытые!$B$5:$B$300,"T-*")=0,"",SUMIFS(Торговля!$F$5:$F$300,Торговля!$E$5:$E$300,$B281)+SUMIFS(Закрытые!$F$5:$F$300,Закрытые!$E$5:$E$300,$B281,Закрытые!$B$5:$B$300,"T-*"))</f>
        <v/>
      </c>
      <c r="D281" s="177">
        <f>IF(C281="","",(SUMPRODUCT((Торговля!$E$5:$E$300=$B281)*Торговля!$F$5:$F$300*Торговля!$G$5:$G$300)+SUMPRODUCT((Закрытые!$E$5:$E$300=$B281)*(LEFT(Закрытые!$B$5:$B$300,2)="T-")*Закрытые!$F$5:$F$300*Закрытые!$G$5:$G$300))/C281)</f>
        <v/>
      </c>
      <c r="E281" s="241">
        <f>IF(C281="","",SUMIFS(Торговля!$H$5:$H$300,Торговля!$E$5:$E$300,$B281)+SUMIFS(Закрытые!$H$5:$H$300,Закрытые!$E$5:$E$300,$B281,Закрытые!$B$5:$B$300,"T-*"))</f>
        <v/>
      </c>
      <c r="F281" s="240">
        <f>IF(SUMIFS(Торговля!$I$5:$I$300,Торговля!$E$5:$E$300,$B281)+SUMIFS(Закрытые!$I$5:$I$300,Закрытые!$E$5:$E$300,$B281,Закрытые!$B$5:$B$300,"T-*")=0,"",SUMIFS(Торговля!$I$5:$I$300,Торговля!$E$5:$E$300,$B281)+SUMIFS(Закрытые!$I$5:$I$300,Закрытые!$E$5:$E$300,$B281,Закрытые!$B$5:$B$300,"T-*"))</f>
        <v/>
      </c>
      <c r="G281" s="177">
        <f>IF(F281="","",(SUMPRODUCT((Торговля!$E$5:$E$300=$B281)*Торговля!$I$5:$I$300*Торговля!$J$5:$J$300)+SUMPRODUCT((Закрытые!$E$5:$E$300=$B281)*(LEFT(Закрытые!$B$5:$B$300,2)="T-")*Закрытые!$I$5:$I$300*Закрытые!$J$5:$J$300))/F281)</f>
        <v/>
      </c>
      <c r="H281" s="241">
        <f>IF(F281="","",SUMIFS(Торговля!$K$5:$K$300,Торговля!$E$5:$E$300,$B281)+SUMIFS(Закрытые!$K$5:$K$300,Закрытые!$E$5:$E$300,$B281,Закрытые!$B$5:$B$300,"T-*"))</f>
        <v/>
      </c>
      <c r="I281" s="240">
        <f>IF($B281="","",IF(COUNTIFS(Торговля!$E$5:$E$300,$B281)+COUNTIFS(Закрытые!$E$5:$E$300,$B281,Закрытые!$B$5:$B$300,"T-*")=0,"",ROUND(SUMIFS(Торговля!$L$5:$L$300,Торговля!$E$5:$E$300,$B281)+SUMIFS(Закрытые!$L$5:$L$300,Закрытые!$E$5:$E$300,$B281,Закрытые!$B$5:$B$300,"T-*"),8)))</f>
        <v/>
      </c>
      <c r="J281" s="241">
        <f>IF($B281="","",IF(COUNTIFS(Торговля!$E$5:$E$300,$B281)+COUNTIFS(Закрытые!$E$5:$E$300,$B281,Закрытые!$B$5:$B$300,"T-*")=0,"",ROUND(SUMIFS(Торговля!$M$5:$M$300,Торговля!$E$5:$E$300,$B281)+SUMIFS(Закрытые!$M$5:$M$300,Закрытые!$E$5:$E$300,$B281,Закрытые!$B$5:$B$300,"T-*"),8)))</f>
        <v/>
      </c>
      <c r="K281" s="240">
        <f>IF($B281="","",ROUND(SUMIFS(Закрытые!$N$5:$N$300,Закрытые!$E$5:$E$300,$B281,Закрытые!$B$5:$B$300,"T-*"),8))</f>
        <v/>
      </c>
      <c r="L281" s="177">
        <f>IF(K281="","",IF(SUMPRODUCT((Закрытые!$E$5:$E$300=$B281)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281/SUMPRODUCT((Закрытые!$E$5:$E$300=$B281)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1" s="177">
        <f>IF(OR(ROUND(N(C281)-N(F281),8)=0,1-N(Ввод!$E$17)/100&lt;=0),"",IF(N(C281)&gt;N(F281),(N(E281)-N(H281))/((N(C281)-N(F281))*(1-N(Ввод!$E$17)/100)),(N(H281)-N(E281))/((N(F281)-N(C281))*(1+N(Ввод!$E$17)/100))))</f>
        <v/>
      </c>
    </row>
    <row r="282" ht="22" customHeight="1">
      <c r="B282" s="320" t="n"/>
      <c r="C282" s="246">
        <f>IF(SUMIFS(Торговля!$F$5:$F$300,Торговля!$E$5:$E$300,$B282)+SUMIFS(Закрытые!$F$5:$F$300,Закрытые!$E$5:$E$300,$B282,Закрытые!$B$5:$B$300,"T-*")=0,"",SUMIFS(Торговля!$F$5:$F$300,Торговля!$E$5:$E$300,$B282)+SUMIFS(Закрытые!$F$5:$F$300,Закрытые!$E$5:$E$300,$B282,Закрытые!$B$5:$B$300,"T-*"))</f>
        <v/>
      </c>
      <c r="D282" s="183">
        <f>IF(C282="","",(SUMPRODUCT((Торговля!$E$5:$E$300=$B282)*Торговля!$F$5:$F$300*Торговля!$G$5:$G$300)+SUMPRODUCT((Закрытые!$E$5:$E$300=$B282)*(LEFT(Закрытые!$B$5:$B$300,2)="T-")*Закрытые!$F$5:$F$300*Закрытые!$G$5:$G$300))/C282)</f>
        <v/>
      </c>
      <c r="E282" s="247">
        <f>IF(C282="","",SUMIFS(Торговля!$H$5:$H$300,Торговля!$E$5:$E$300,$B282)+SUMIFS(Закрытые!$H$5:$H$300,Закрытые!$E$5:$E$300,$B282,Закрытые!$B$5:$B$300,"T-*"))</f>
        <v/>
      </c>
      <c r="F282" s="246">
        <f>IF(SUMIFS(Торговля!$I$5:$I$300,Торговля!$E$5:$E$300,$B282)+SUMIFS(Закрытые!$I$5:$I$300,Закрытые!$E$5:$E$300,$B282,Закрытые!$B$5:$B$300,"T-*")=0,"",SUMIFS(Торговля!$I$5:$I$300,Торговля!$E$5:$E$300,$B282)+SUMIFS(Закрытые!$I$5:$I$300,Закрытые!$E$5:$E$300,$B282,Закрытые!$B$5:$B$300,"T-*"))</f>
        <v/>
      </c>
      <c r="G282" s="183">
        <f>IF(F282="","",(SUMPRODUCT((Торговля!$E$5:$E$300=$B282)*Торговля!$I$5:$I$300*Торговля!$J$5:$J$300)+SUMPRODUCT((Закрытые!$E$5:$E$300=$B282)*(LEFT(Закрытые!$B$5:$B$300,2)="T-")*Закрытые!$I$5:$I$300*Закрытые!$J$5:$J$300))/F282)</f>
        <v/>
      </c>
      <c r="H282" s="247">
        <f>IF(F282="","",SUMIFS(Торговля!$K$5:$K$300,Торговля!$E$5:$E$300,$B282)+SUMIFS(Закрытые!$K$5:$K$300,Закрытые!$E$5:$E$300,$B282,Закрытые!$B$5:$B$300,"T-*"))</f>
        <v/>
      </c>
      <c r="I282" s="246">
        <f>IF($B282="","",IF(COUNTIFS(Торговля!$E$5:$E$300,$B282)+COUNTIFS(Закрытые!$E$5:$E$300,$B282,Закрытые!$B$5:$B$300,"T-*")=0,"",ROUND(SUMIFS(Торговля!$L$5:$L$300,Торговля!$E$5:$E$300,$B282)+SUMIFS(Закрытые!$L$5:$L$300,Закрытые!$E$5:$E$300,$B282,Закрытые!$B$5:$B$300,"T-*"),8)))</f>
        <v/>
      </c>
      <c r="J282" s="247">
        <f>IF($B282="","",IF(COUNTIFS(Торговля!$E$5:$E$300,$B282)+COUNTIFS(Закрытые!$E$5:$E$300,$B282,Закрытые!$B$5:$B$300,"T-*")=0,"",ROUND(SUMIFS(Торговля!$M$5:$M$300,Торговля!$E$5:$E$300,$B282)+SUMIFS(Закрытые!$M$5:$M$300,Закрытые!$E$5:$E$300,$B282,Закрытые!$B$5:$B$300,"T-*"),8)))</f>
        <v/>
      </c>
      <c r="K282" s="246">
        <f>IF($B282="","",ROUND(SUMIFS(Закрытые!$N$5:$N$300,Закрытые!$E$5:$E$300,$B282,Закрытые!$B$5:$B$300,"T-*"),8))</f>
        <v/>
      </c>
      <c r="L282" s="183">
        <f>IF(K282="","",IF(SUMPRODUCT((Закрытые!$E$5:$E$300=$B282)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282/SUMPRODUCT((Закрытые!$E$5:$E$300=$B282)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2" s="183">
        <f>IF(OR(ROUND(N(C282)-N(F282),8)=0,1-N(Ввод!$E$17)/100&lt;=0),"",IF(N(C282)&gt;N(F282),(N(E282)-N(H282))/((N(C282)-N(F282))*(1-N(Ввод!$E$17)/100)),(N(H282)-N(E282))/((N(F282)-N(C282))*(1+N(Ввод!$E$17)/100))))</f>
        <v/>
      </c>
    </row>
    <row r="283" ht="22" customHeight="1">
      <c r="B283" s="315" t="n"/>
      <c r="C283" s="240">
        <f>IF(SUMIFS(Торговля!$F$5:$F$300,Торговля!$E$5:$E$300,$B283)+SUMIFS(Закрытые!$F$5:$F$300,Закрытые!$E$5:$E$300,$B283,Закрытые!$B$5:$B$300,"T-*")=0,"",SUMIFS(Торговля!$F$5:$F$300,Торговля!$E$5:$E$300,$B283)+SUMIFS(Закрытые!$F$5:$F$300,Закрытые!$E$5:$E$300,$B283,Закрытые!$B$5:$B$300,"T-*"))</f>
        <v/>
      </c>
      <c r="D283" s="177">
        <f>IF(C283="","",(SUMPRODUCT((Торговля!$E$5:$E$300=$B283)*Торговля!$F$5:$F$300*Торговля!$G$5:$G$300)+SUMPRODUCT((Закрытые!$E$5:$E$300=$B283)*(LEFT(Закрытые!$B$5:$B$300,2)="T-")*Закрытые!$F$5:$F$300*Закрытые!$G$5:$G$300))/C283)</f>
        <v/>
      </c>
      <c r="E283" s="241">
        <f>IF(C283="","",SUMIFS(Торговля!$H$5:$H$300,Торговля!$E$5:$E$300,$B283)+SUMIFS(Закрытые!$H$5:$H$300,Закрытые!$E$5:$E$300,$B283,Закрытые!$B$5:$B$300,"T-*"))</f>
        <v/>
      </c>
      <c r="F283" s="240">
        <f>IF(SUMIFS(Торговля!$I$5:$I$300,Торговля!$E$5:$E$300,$B283)+SUMIFS(Закрытые!$I$5:$I$300,Закрытые!$E$5:$E$300,$B283,Закрытые!$B$5:$B$300,"T-*")=0,"",SUMIFS(Торговля!$I$5:$I$300,Торговля!$E$5:$E$300,$B283)+SUMIFS(Закрытые!$I$5:$I$300,Закрытые!$E$5:$E$300,$B283,Закрытые!$B$5:$B$300,"T-*"))</f>
        <v/>
      </c>
      <c r="G283" s="177">
        <f>IF(F283="","",(SUMPRODUCT((Торговля!$E$5:$E$300=$B283)*Торговля!$I$5:$I$300*Торговля!$J$5:$J$300)+SUMPRODUCT((Закрытые!$E$5:$E$300=$B283)*(LEFT(Закрытые!$B$5:$B$300,2)="T-")*Закрытые!$I$5:$I$300*Закрытые!$J$5:$J$300))/F283)</f>
        <v/>
      </c>
      <c r="H283" s="241">
        <f>IF(F283="","",SUMIFS(Торговля!$K$5:$K$300,Торговля!$E$5:$E$300,$B283)+SUMIFS(Закрытые!$K$5:$K$300,Закрытые!$E$5:$E$300,$B283,Закрытые!$B$5:$B$300,"T-*"))</f>
        <v/>
      </c>
      <c r="I283" s="240">
        <f>IF($B283="","",IF(COUNTIFS(Торговля!$E$5:$E$300,$B283)+COUNTIFS(Закрытые!$E$5:$E$300,$B283,Закрытые!$B$5:$B$300,"T-*")=0,"",ROUND(SUMIFS(Торговля!$L$5:$L$300,Торговля!$E$5:$E$300,$B283)+SUMIFS(Закрытые!$L$5:$L$300,Закрытые!$E$5:$E$300,$B283,Закрытые!$B$5:$B$300,"T-*"),8)))</f>
        <v/>
      </c>
      <c r="J283" s="241">
        <f>IF($B283="","",IF(COUNTIFS(Торговля!$E$5:$E$300,$B283)+COUNTIFS(Закрытые!$E$5:$E$300,$B283,Закрытые!$B$5:$B$300,"T-*")=0,"",ROUND(SUMIFS(Торговля!$M$5:$M$300,Торговля!$E$5:$E$300,$B283)+SUMIFS(Закрытые!$M$5:$M$300,Закрытые!$E$5:$E$300,$B283,Закрытые!$B$5:$B$300,"T-*"),8)))</f>
        <v/>
      </c>
      <c r="K283" s="240">
        <f>IF($B283="","",ROUND(SUMIFS(Закрытые!$N$5:$N$300,Закрытые!$E$5:$E$300,$B283,Закрытые!$B$5:$B$300,"T-*"),8))</f>
        <v/>
      </c>
      <c r="L283" s="177">
        <f>IF(K283="","",IF(SUMPRODUCT((Закрытые!$E$5:$E$300=$B283)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283/SUMPRODUCT((Закрытые!$E$5:$E$300=$B283)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3" s="177">
        <f>IF(OR(ROUND(N(C283)-N(F283),8)=0,1-N(Ввод!$E$17)/100&lt;=0),"",IF(N(C283)&gt;N(F283),(N(E283)-N(H283))/((N(C283)-N(F283))*(1-N(Ввод!$E$17)/100)),(N(H283)-N(E283))/((N(F283)-N(C283))*(1+N(Ввод!$E$17)/100))))</f>
        <v/>
      </c>
    </row>
    <row r="284" ht="22" customHeight="1">
      <c r="B284" s="320" t="n"/>
      <c r="C284" s="246">
        <f>IF(SUMIFS(Торговля!$F$5:$F$300,Торговля!$E$5:$E$300,$B284)+SUMIFS(Закрытые!$F$5:$F$300,Закрытые!$E$5:$E$300,$B284,Закрытые!$B$5:$B$300,"T-*")=0,"",SUMIFS(Торговля!$F$5:$F$300,Торговля!$E$5:$E$300,$B284)+SUMIFS(Закрытые!$F$5:$F$300,Закрытые!$E$5:$E$300,$B284,Закрытые!$B$5:$B$300,"T-*"))</f>
        <v/>
      </c>
      <c r="D284" s="183">
        <f>IF(C284="","",(SUMPRODUCT((Торговля!$E$5:$E$300=$B284)*Торговля!$F$5:$F$300*Торговля!$G$5:$G$300)+SUMPRODUCT((Закрытые!$E$5:$E$300=$B284)*(LEFT(Закрытые!$B$5:$B$300,2)="T-")*Закрытые!$F$5:$F$300*Закрытые!$G$5:$G$300))/C284)</f>
        <v/>
      </c>
      <c r="E284" s="247">
        <f>IF(C284="","",SUMIFS(Торговля!$H$5:$H$300,Торговля!$E$5:$E$300,$B284)+SUMIFS(Закрытые!$H$5:$H$300,Закрытые!$E$5:$E$300,$B284,Закрытые!$B$5:$B$300,"T-*"))</f>
        <v/>
      </c>
      <c r="F284" s="246">
        <f>IF(SUMIFS(Торговля!$I$5:$I$300,Торговля!$E$5:$E$300,$B284)+SUMIFS(Закрытые!$I$5:$I$300,Закрытые!$E$5:$E$300,$B284,Закрытые!$B$5:$B$300,"T-*")=0,"",SUMIFS(Торговля!$I$5:$I$300,Торговля!$E$5:$E$300,$B284)+SUMIFS(Закрытые!$I$5:$I$300,Закрытые!$E$5:$E$300,$B284,Закрытые!$B$5:$B$300,"T-*"))</f>
        <v/>
      </c>
      <c r="G284" s="183">
        <f>IF(F284="","",(SUMPRODUCT((Торговля!$E$5:$E$300=$B284)*Торговля!$I$5:$I$300*Торговля!$J$5:$J$300)+SUMPRODUCT((Закрытые!$E$5:$E$300=$B284)*(LEFT(Закрытые!$B$5:$B$300,2)="T-")*Закрытые!$I$5:$I$300*Закрытые!$J$5:$J$300))/F284)</f>
        <v/>
      </c>
      <c r="H284" s="247">
        <f>IF(F284="","",SUMIFS(Торговля!$K$5:$K$300,Торговля!$E$5:$E$300,$B284)+SUMIFS(Закрытые!$K$5:$K$300,Закрытые!$E$5:$E$300,$B284,Закрытые!$B$5:$B$300,"T-*"))</f>
        <v/>
      </c>
      <c r="I284" s="246">
        <f>IF($B284="","",IF(COUNTIFS(Торговля!$E$5:$E$300,$B284)+COUNTIFS(Закрытые!$E$5:$E$300,$B284,Закрытые!$B$5:$B$300,"T-*")=0,"",ROUND(SUMIFS(Торговля!$L$5:$L$300,Торговля!$E$5:$E$300,$B284)+SUMIFS(Закрытые!$L$5:$L$300,Закрытые!$E$5:$E$300,$B284,Закрытые!$B$5:$B$300,"T-*"),8)))</f>
        <v/>
      </c>
      <c r="J284" s="247">
        <f>IF($B284="","",IF(COUNTIFS(Торговля!$E$5:$E$300,$B284)+COUNTIFS(Закрытые!$E$5:$E$300,$B284,Закрытые!$B$5:$B$300,"T-*")=0,"",ROUND(SUMIFS(Торговля!$M$5:$M$300,Торговля!$E$5:$E$300,$B284)+SUMIFS(Закрытые!$M$5:$M$300,Закрытые!$E$5:$E$300,$B284,Закрытые!$B$5:$B$300,"T-*"),8)))</f>
        <v/>
      </c>
      <c r="K284" s="246">
        <f>IF($B284="","",ROUND(SUMIFS(Закрытые!$N$5:$N$300,Закрытые!$E$5:$E$300,$B284,Закрытые!$B$5:$B$300,"T-*"),8))</f>
        <v/>
      </c>
      <c r="L284" s="183">
        <f>IF(K284="","",IF(SUMPRODUCT((Закрытые!$E$5:$E$300=$B284)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284/SUMPRODUCT((Закрытые!$E$5:$E$300=$B284)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4" s="183">
        <f>IF(OR(ROUND(N(C284)-N(F284),8)=0,1-N(Ввод!$E$17)/100&lt;=0),"",IF(N(C284)&gt;N(F284),(N(E284)-N(H284))/((N(C284)-N(F284))*(1-N(Ввод!$E$17)/100)),(N(H284)-N(E284))/((N(F284)-N(C284))*(1+N(Ввод!$E$17)/100))))</f>
        <v/>
      </c>
    </row>
    <row r="285" ht="22" customHeight="1">
      <c r="B285" s="315" t="n"/>
      <c r="C285" s="240">
        <f>IF(SUMIFS(Торговля!$F$5:$F$300,Торговля!$E$5:$E$300,$B285)+SUMIFS(Закрытые!$F$5:$F$300,Закрытые!$E$5:$E$300,$B285,Закрытые!$B$5:$B$300,"T-*")=0,"",SUMIFS(Торговля!$F$5:$F$300,Торговля!$E$5:$E$300,$B285)+SUMIFS(Закрытые!$F$5:$F$300,Закрытые!$E$5:$E$300,$B285,Закрытые!$B$5:$B$300,"T-*"))</f>
        <v/>
      </c>
      <c r="D285" s="177">
        <f>IF(C285="","",(SUMPRODUCT((Торговля!$E$5:$E$300=$B285)*Торговля!$F$5:$F$300*Торговля!$G$5:$G$300)+SUMPRODUCT((Закрытые!$E$5:$E$300=$B285)*(LEFT(Закрытые!$B$5:$B$300,2)="T-")*Закрытые!$F$5:$F$300*Закрытые!$G$5:$G$300))/C285)</f>
        <v/>
      </c>
      <c r="E285" s="241">
        <f>IF(C285="","",SUMIFS(Торговля!$H$5:$H$300,Торговля!$E$5:$E$300,$B285)+SUMIFS(Закрытые!$H$5:$H$300,Закрытые!$E$5:$E$300,$B285,Закрытые!$B$5:$B$300,"T-*"))</f>
        <v/>
      </c>
      <c r="F285" s="240">
        <f>IF(SUMIFS(Торговля!$I$5:$I$300,Торговля!$E$5:$E$300,$B285)+SUMIFS(Закрытые!$I$5:$I$300,Закрытые!$E$5:$E$300,$B285,Закрытые!$B$5:$B$300,"T-*")=0,"",SUMIFS(Торговля!$I$5:$I$300,Торговля!$E$5:$E$300,$B285)+SUMIFS(Закрытые!$I$5:$I$300,Закрытые!$E$5:$E$300,$B285,Закрытые!$B$5:$B$300,"T-*"))</f>
        <v/>
      </c>
      <c r="G285" s="177">
        <f>IF(F285="","",(SUMPRODUCT((Торговля!$E$5:$E$300=$B285)*Торговля!$I$5:$I$300*Торговля!$J$5:$J$300)+SUMPRODUCT((Закрытые!$E$5:$E$300=$B285)*(LEFT(Закрытые!$B$5:$B$300,2)="T-")*Закрытые!$I$5:$I$300*Закрытые!$J$5:$J$300))/F285)</f>
        <v/>
      </c>
      <c r="H285" s="241">
        <f>IF(F285="","",SUMIFS(Торговля!$K$5:$K$300,Торговля!$E$5:$E$300,$B285)+SUMIFS(Закрытые!$K$5:$K$300,Закрытые!$E$5:$E$300,$B285,Закрытые!$B$5:$B$300,"T-*"))</f>
        <v/>
      </c>
      <c r="I285" s="240">
        <f>IF($B285="","",IF(COUNTIFS(Торговля!$E$5:$E$300,$B285)+COUNTIFS(Закрытые!$E$5:$E$300,$B285,Закрытые!$B$5:$B$300,"T-*")=0,"",ROUND(SUMIFS(Торговля!$L$5:$L$300,Торговля!$E$5:$E$300,$B285)+SUMIFS(Закрытые!$L$5:$L$300,Закрытые!$E$5:$E$300,$B285,Закрытые!$B$5:$B$300,"T-*"),8)))</f>
        <v/>
      </c>
      <c r="J285" s="241">
        <f>IF($B285="","",IF(COUNTIFS(Торговля!$E$5:$E$300,$B285)+COUNTIFS(Закрытые!$E$5:$E$300,$B285,Закрытые!$B$5:$B$300,"T-*")=0,"",ROUND(SUMIFS(Торговля!$M$5:$M$300,Торговля!$E$5:$E$300,$B285)+SUMIFS(Закрытые!$M$5:$M$300,Закрытые!$E$5:$E$300,$B285,Закрытые!$B$5:$B$300,"T-*"),8)))</f>
        <v/>
      </c>
      <c r="K285" s="240">
        <f>IF($B285="","",ROUND(SUMIFS(Закрытые!$N$5:$N$300,Закрытые!$E$5:$E$300,$B285,Закрытые!$B$5:$B$300,"T-*"),8))</f>
        <v/>
      </c>
      <c r="L285" s="177">
        <f>IF(K285="","",IF(SUMPRODUCT((Закрытые!$E$5:$E$300=$B285)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285/SUMPRODUCT((Закрытые!$E$5:$E$300=$B285)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5" s="177">
        <f>IF(OR(ROUND(N(C285)-N(F285),8)=0,1-N(Ввод!$E$17)/100&lt;=0),"",IF(N(C285)&gt;N(F285),(N(E285)-N(H285))/((N(C285)-N(F285))*(1-N(Ввод!$E$17)/100)),(N(H285)-N(E285))/((N(F285)-N(C285))*(1+N(Ввод!$E$17)/100))))</f>
        <v/>
      </c>
    </row>
    <row r="286" ht="22" customHeight="1">
      <c r="B286" s="320" t="n"/>
      <c r="C286" s="246">
        <f>IF(SUMIFS(Торговля!$F$5:$F$300,Торговля!$E$5:$E$300,$B286)+SUMIFS(Закрытые!$F$5:$F$300,Закрытые!$E$5:$E$300,$B286,Закрытые!$B$5:$B$300,"T-*")=0,"",SUMIFS(Торговля!$F$5:$F$300,Торговля!$E$5:$E$300,$B286)+SUMIFS(Закрытые!$F$5:$F$300,Закрытые!$E$5:$E$300,$B286,Закрытые!$B$5:$B$300,"T-*"))</f>
        <v/>
      </c>
      <c r="D286" s="183">
        <f>IF(C286="","",(SUMPRODUCT((Торговля!$E$5:$E$300=$B286)*Торговля!$F$5:$F$300*Торговля!$G$5:$G$300)+SUMPRODUCT((Закрытые!$E$5:$E$300=$B286)*(LEFT(Закрытые!$B$5:$B$300,2)="T-")*Закрытые!$F$5:$F$300*Закрытые!$G$5:$G$300))/C286)</f>
        <v/>
      </c>
      <c r="E286" s="247">
        <f>IF(C286="","",SUMIFS(Торговля!$H$5:$H$300,Торговля!$E$5:$E$300,$B286)+SUMIFS(Закрытые!$H$5:$H$300,Закрытые!$E$5:$E$300,$B286,Закрытые!$B$5:$B$300,"T-*"))</f>
        <v/>
      </c>
      <c r="F286" s="246">
        <f>IF(SUMIFS(Торговля!$I$5:$I$300,Торговля!$E$5:$E$300,$B286)+SUMIFS(Закрытые!$I$5:$I$300,Закрытые!$E$5:$E$300,$B286,Закрытые!$B$5:$B$300,"T-*")=0,"",SUMIFS(Торговля!$I$5:$I$300,Торговля!$E$5:$E$300,$B286)+SUMIFS(Закрытые!$I$5:$I$300,Закрытые!$E$5:$E$300,$B286,Закрытые!$B$5:$B$300,"T-*"))</f>
        <v/>
      </c>
      <c r="G286" s="183">
        <f>IF(F286="","",(SUMPRODUCT((Торговля!$E$5:$E$300=$B286)*Торговля!$I$5:$I$300*Торговля!$J$5:$J$300)+SUMPRODUCT((Закрытые!$E$5:$E$300=$B286)*(LEFT(Закрытые!$B$5:$B$300,2)="T-")*Закрытые!$I$5:$I$300*Закрытые!$J$5:$J$300))/F286)</f>
        <v/>
      </c>
      <c r="H286" s="247">
        <f>IF(F286="","",SUMIFS(Торговля!$K$5:$K$300,Торговля!$E$5:$E$300,$B286)+SUMIFS(Закрытые!$K$5:$K$300,Закрытые!$E$5:$E$300,$B286,Закрытые!$B$5:$B$300,"T-*"))</f>
        <v/>
      </c>
      <c r="I286" s="246">
        <f>IF($B286="","",IF(COUNTIFS(Торговля!$E$5:$E$300,$B286)+COUNTIFS(Закрытые!$E$5:$E$300,$B286,Закрытые!$B$5:$B$300,"T-*")=0,"",ROUND(SUMIFS(Торговля!$L$5:$L$300,Торговля!$E$5:$E$300,$B286)+SUMIFS(Закрытые!$L$5:$L$300,Закрытые!$E$5:$E$300,$B286,Закрытые!$B$5:$B$300,"T-*"),8)))</f>
        <v/>
      </c>
      <c r="J286" s="247">
        <f>IF($B286="","",IF(COUNTIFS(Торговля!$E$5:$E$300,$B286)+COUNTIFS(Закрытые!$E$5:$E$300,$B286,Закрытые!$B$5:$B$300,"T-*")=0,"",ROUND(SUMIFS(Торговля!$M$5:$M$300,Торговля!$E$5:$E$300,$B286)+SUMIFS(Закрытые!$M$5:$M$300,Закрытые!$E$5:$E$300,$B286,Закрытые!$B$5:$B$300,"T-*"),8)))</f>
        <v/>
      </c>
      <c r="K286" s="246">
        <f>IF($B286="","",ROUND(SUMIFS(Закрытые!$N$5:$N$300,Закрытые!$E$5:$E$300,$B286,Закрытые!$B$5:$B$300,"T-*"),8))</f>
        <v/>
      </c>
      <c r="L286" s="183">
        <f>IF(K286="","",IF(SUMPRODUCT((Закрытые!$E$5:$E$300=$B286)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286/SUMPRODUCT((Закрытые!$E$5:$E$300=$B286)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6" s="183">
        <f>IF(OR(ROUND(N(C286)-N(F286),8)=0,1-N(Ввод!$E$17)/100&lt;=0),"",IF(N(C286)&gt;N(F286),(N(E286)-N(H286))/((N(C286)-N(F286))*(1-N(Ввод!$E$17)/100)),(N(H286)-N(E286))/((N(F286)-N(C286))*(1+N(Ввод!$E$17)/100))))</f>
        <v/>
      </c>
    </row>
    <row r="287" ht="22" customHeight="1">
      <c r="B287" s="315" t="n"/>
      <c r="C287" s="240">
        <f>IF(SUMIFS(Торговля!$F$5:$F$300,Торговля!$E$5:$E$300,$B287)+SUMIFS(Закрытые!$F$5:$F$300,Закрытые!$E$5:$E$300,$B287,Закрытые!$B$5:$B$300,"T-*")=0,"",SUMIFS(Торговля!$F$5:$F$300,Торговля!$E$5:$E$300,$B287)+SUMIFS(Закрытые!$F$5:$F$300,Закрытые!$E$5:$E$300,$B287,Закрытые!$B$5:$B$300,"T-*"))</f>
        <v/>
      </c>
      <c r="D287" s="177">
        <f>IF(C287="","",(SUMPRODUCT((Торговля!$E$5:$E$300=$B287)*Торговля!$F$5:$F$300*Торговля!$G$5:$G$300)+SUMPRODUCT((Закрытые!$E$5:$E$300=$B287)*(LEFT(Закрытые!$B$5:$B$300,2)="T-")*Закрытые!$F$5:$F$300*Закрытые!$G$5:$G$300))/C287)</f>
        <v/>
      </c>
      <c r="E287" s="241">
        <f>IF(C287="","",SUMIFS(Торговля!$H$5:$H$300,Торговля!$E$5:$E$300,$B287)+SUMIFS(Закрытые!$H$5:$H$300,Закрытые!$E$5:$E$300,$B287,Закрытые!$B$5:$B$300,"T-*"))</f>
        <v/>
      </c>
      <c r="F287" s="240">
        <f>IF(SUMIFS(Торговля!$I$5:$I$300,Торговля!$E$5:$E$300,$B287)+SUMIFS(Закрытые!$I$5:$I$300,Закрытые!$E$5:$E$300,$B287,Закрытые!$B$5:$B$300,"T-*")=0,"",SUMIFS(Торговля!$I$5:$I$300,Торговля!$E$5:$E$300,$B287)+SUMIFS(Закрытые!$I$5:$I$300,Закрытые!$E$5:$E$300,$B287,Закрытые!$B$5:$B$300,"T-*"))</f>
        <v/>
      </c>
      <c r="G287" s="177">
        <f>IF(F287="","",(SUMPRODUCT((Торговля!$E$5:$E$300=$B287)*Торговля!$I$5:$I$300*Торговля!$J$5:$J$300)+SUMPRODUCT((Закрытые!$E$5:$E$300=$B287)*(LEFT(Закрытые!$B$5:$B$300,2)="T-")*Закрытые!$I$5:$I$300*Закрытые!$J$5:$J$300))/F287)</f>
        <v/>
      </c>
      <c r="H287" s="241">
        <f>IF(F287="","",SUMIFS(Торговля!$K$5:$K$300,Торговля!$E$5:$E$300,$B287)+SUMIFS(Закрытые!$K$5:$K$300,Закрытые!$E$5:$E$300,$B287,Закрытые!$B$5:$B$300,"T-*"))</f>
        <v/>
      </c>
      <c r="I287" s="240">
        <f>IF($B287="","",IF(COUNTIFS(Торговля!$E$5:$E$300,$B287)+COUNTIFS(Закрытые!$E$5:$E$300,$B287,Закрытые!$B$5:$B$300,"T-*")=0,"",ROUND(SUMIFS(Торговля!$L$5:$L$300,Торговля!$E$5:$E$300,$B287)+SUMIFS(Закрытые!$L$5:$L$300,Закрытые!$E$5:$E$300,$B287,Закрытые!$B$5:$B$300,"T-*"),8)))</f>
        <v/>
      </c>
      <c r="J287" s="241">
        <f>IF($B287="","",IF(COUNTIFS(Торговля!$E$5:$E$300,$B287)+COUNTIFS(Закрытые!$E$5:$E$300,$B287,Закрытые!$B$5:$B$300,"T-*")=0,"",ROUND(SUMIFS(Торговля!$M$5:$M$300,Торговля!$E$5:$E$300,$B287)+SUMIFS(Закрытые!$M$5:$M$300,Закрытые!$E$5:$E$300,$B287,Закрытые!$B$5:$B$300,"T-*"),8)))</f>
        <v/>
      </c>
      <c r="K287" s="240">
        <f>IF($B287="","",ROUND(SUMIFS(Закрытые!$N$5:$N$300,Закрытые!$E$5:$E$300,$B287,Закрытые!$B$5:$B$300,"T-*"),8))</f>
        <v/>
      </c>
      <c r="L287" s="177">
        <f>IF(K287="","",IF(SUMPRODUCT((Закрытые!$E$5:$E$300=$B287)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287/SUMPRODUCT((Закрытые!$E$5:$E$300=$B287)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7" s="177">
        <f>IF(OR(ROUND(N(C287)-N(F287),8)=0,1-N(Ввод!$E$17)/100&lt;=0),"",IF(N(C287)&gt;N(F287),(N(E287)-N(H287))/((N(C287)-N(F287))*(1-N(Ввод!$E$17)/100)),(N(H287)-N(E287))/((N(F287)-N(C287))*(1+N(Ввод!$E$17)/100))))</f>
        <v/>
      </c>
    </row>
    <row r="288" ht="22" customHeight="1">
      <c r="B288" s="320" t="n"/>
      <c r="C288" s="246">
        <f>IF(SUMIFS(Торговля!$F$5:$F$300,Торговля!$E$5:$E$300,$B288)+SUMIFS(Закрытые!$F$5:$F$300,Закрытые!$E$5:$E$300,$B288,Закрытые!$B$5:$B$300,"T-*")=0,"",SUMIFS(Торговля!$F$5:$F$300,Торговля!$E$5:$E$300,$B288)+SUMIFS(Закрытые!$F$5:$F$300,Закрытые!$E$5:$E$300,$B288,Закрытые!$B$5:$B$300,"T-*"))</f>
        <v/>
      </c>
      <c r="D288" s="183">
        <f>IF(C288="","",(SUMPRODUCT((Торговля!$E$5:$E$300=$B288)*Торговля!$F$5:$F$300*Торговля!$G$5:$G$300)+SUMPRODUCT((Закрытые!$E$5:$E$300=$B288)*(LEFT(Закрытые!$B$5:$B$300,2)="T-")*Закрытые!$F$5:$F$300*Закрытые!$G$5:$G$300))/C288)</f>
        <v/>
      </c>
      <c r="E288" s="247">
        <f>IF(C288="","",SUMIFS(Торговля!$H$5:$H$300,Торговля!$E$5:$E$300,$B288)+SUMIFS(Закрытые!$H$5:$H$300,Закрытые!$E$5:$E$300,$B288,Закрытые!$B$5:$B$300,"T-*"))</f>
        <v/>
      </c>
      <c r="F288" s="246">
        <f>IF(SUMIFS(Торговля!$I$5:$I$300,Торговля!$E$5:$E$300,$B288)+SUMIFS(Закрытые!$I$5:$I$300,Закрытые!$E$5:$E$300,$B288,Закрытые!$B$5:$B$300,"T-*")=0,"",SUMIFS(Торговля!$I$5:$I$300,Торговля!$E$5:$E$300,$B288)+SUMIFS(Закрытые!$I$5:$I$300,Закрытые!$E$5:$E$300,$B288,Закрытые!$B$5:$B$300,"T-*"))</f>
        <v/>
      </c>
      <c r="G288" s="183">
        <f>IF(F288="","",(SUMPRODUCT((Торговля!$E$5:$E$300=$B288)*Торговля!$I$5:$I$300*Торговля!$J$5:$J$300)+SUMPRODUCT((Закрытые!$E$5:$E$300=$B288)*(LEFT(Закрытые!$B$5:$B$300,2)="T-")*Закрытые!$I$5:$I$300*Закрытые!$J$5:$J$300))/F288)</f>
        <v/>
      </c>
      <c r="H288" s="247">
        <f>IF(F288="","",SUMIFS(Торговля!$K$5:$K$300,Торговля!$E$5:$E$300,$B288)+SUMIFS(Закрытые!$K$5:$K$300,Закрытые!$E$5:$E$300,$B288,Закрытые!$B$5:$B$300,"T-*"))</f>
        <v/>
      </c>
      <c r="I288" s="246">
        <f>IF($B288="","",IF(COUNTIFS(Торговля!$E$5:$E$300,$B288)+COUNTIFS(Закрытые!$E$5:$E$300,$B288,Закрытые!$B$5:$B$300,"T-*")=0,"",ROUND(SUMIFS(Торговля!$L$5:$L$300,Торговля!$E$5:$E$300,$B288)+SUMIFS(Закрытые!$L$5:$L$300,Закрытые!$E$5:$E$300,$B288,Закрытые!$B$5:$B$300,"T-*"),8)))</f>
        <v/>
      </c>
      <c r="J288" s="247">
        <f>IF($B288="","",IF(COUNTIFS(Торговля!$E$5:$E$300,$B288)+COUNTIFS(Закрытые!$E$5:$E$300,$B288,Закрытые!$B$5:$B$300,"T-*")=0,"",ROUND(SUMIFS(Торговля!$M$5:$M$300,Торговля!$E$5:$E$300,$B288)+SUMIFS(Закрытые!$M$5:$M$300,Закрытые!$E$5:$E$300,$B288,Закрытые!$B$5:$B$300,"T-*"),8)))</f>
        <v/>
      </c>
      <c r="K288" s="246">
        <f>IF($B288="","",ROUND(SUMIFS(Закрытые!$N$5:$N$300,Закрытые!$E$5:$E$300,$B288,Закрытые!$B$5:$B$300,"T-*"),8))</f>
        <v/>
      </c>
      <c r="L288" s="183">
        <f>IF(K288="","",IF(SUMPRODUCT((Закрытые!$E$5:$E$300=$B288)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288/SUMPRODUCT((Закрытые!$E$5:$E$300=$B288)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8" s="183">
        <f>IF(OR(ROUND(N(C288)-N(F288),8)=0,1-N(Ввод!$E$17)/100&lt;=0),"",IF(N(C288)&gt;N(F288),(N(E288)-N(H288))/((N(C288)-N(F288))*(1-N(Ввод!$E$17)/100)),(N(H288)-N(E288))/((N(F288)-N(C288))*(1+N(Ввод!$E$17)/100))))</f>
        <v/>
      </c>
    </row>
    <row r="289" ht="22" customHeight="1">
      <c r="B289" s="315" t="n"/>
      <c r="C289" s="240">
        <f>IF(SUMIFS(Торговля!$F$5:$F$300,Торговля!$E$5:$E$300,$B289)+SUMIFS(Закрытые!$F$5:$F$300,Закрытые!$E$5:$E$300,$B289,Закрытые!$B$5:$B$300,"T-*")=0,"",SUMIFS(Торговля!$F$5:$F$300,Торговля!$E$5:$E$300,$B289)+SUMIFS(Закрытые!$F$5:$F$300,Закрытые!$E$5:$E$300,$B289,Закрытые!$B$5:$B$300,"T-*"))</f>
        <v/>
      </c>
      <c r="D289" s="177">
        <f>IF(C289="","",(SUMPRODUCT((Торговля!$E$5:$E$300=$B289)*Торговля!$F$5:$F$300*Торговля!$G$5:$G$300)+SUMPRODUCT((Закрытые!$E$5:$E$300=$B289)*(LEFT(Закрытые!$B$5:$B$300,2)="T-")*Закрытые!$F$5:$F$300*Закрытые!$G$5:$G$300))/C289)</f>
        <v/>
      </c>
      <c r="E289" s="241">
        <f>IF(C289="","",SUMIFS(Торговля!$H$5:$H$300,Торговля!$E$5:$E$300,$B289)+SUMIFS(Закрытые!$H$5:$H$300,Закрытые!$E$5:$E$300,$B289,Закрытые!$B$5:$B$300,"T-*"))</f>
        <v/>
      </c>
      <c r="F289" s="240">
        <f>IF(SUMIFS(Торговля!$I$5:$I$300,Торговля!$E$5:$E$300,$B289)+SUMIFS(Закрытые!$I$5:$I$300,Закрытые!$E$5:$E$300,$B289,Закрытые!$B$5:$B$300,"T-*")=0,"",SUMIFS(Торговля!$I$5:$I$300,Торговля!$E$5:$E$300,$B289)+SUMIFS(Закрытые!$I$5:$I$300,Закрытые!$E$5:$E$300,$B289,Закрытые!$B$5:$B$300,"T-*"))</f>
        <v/>
      </c>
      <c r="G289" s="177">
        <f>IF(F289="","",(SUMPRODUCT((Торговля!$E$5:$E$300=$B289)*Торговля!$I$5:$I$300*Торговля!$J$5:$J$300)+SUMPRODUCT((Закрытые!$E$5:$E$300=$B289)*(LEFT(Закрытые!$B$5:$B$300,2)="T-")*Закрытые!$I$5:$I$300*Закрытые!$J$5:$J$300))/F289)</f>
        <v/>
      </c>
      <c r="H289" s="241">
        <f>IF(F289="","",SUMIFS(Торговля!$K$5:$K$300,Торговля!$E$5:$E$300,$B289)+SUMIFS(Закрытые!$K$5:$K$300,Закрытые!$E$5:$E$300,$B289,Закрытые!$B$5:$B$300,"T-*"))</f>
        <v/>
      </c>
      <c r="I289" s="240">
        <f>IF($B289="","",IF(COUNTIFS(Торговля!$E$5:$E$300,$B289)+COUNTIFS(Закрытые!$E$5:$E$300,$B289,Закрытые!$B$5:$B$300,"T-*")=0,"",ROUND(SUMIFS(Торговля!$L$5:$L$300,Торговля!$E$5:$E$300,$B289)+SUMIFS(Закрытые!$L$5:$L$300,Закрытые!$E$5:$E$300,$B289,Закрытые!$B$5:$B$300,"T-*"),8)))</f>
        <v/>
      </c>
      <c r="J289" s="241">
        <f>IF($B289="","",IF(COUNTIFS(Торговля!$E$5:$E$300,$B289)+COUNTIFS(Закрытые!$E$5:$E$300,$B289,Закрытые!$B$5:$B$300,"T-*")=0,"",ROUND(SUMIFS(Торговля!$M$5:$M$300,Торговля!$E$5:$E$300,$B289)+SUMIFS(Закрытые!$M$5:$M$300,Закрытые!$E$5:$E$300,$B289,Закрытые!$B$5:$B$300,"T-*"),8)))</f>
        <v/>
      </c>
      <c r="K289" s="240">
        <f>IF($B289="","",ROUND(SUMIFS(Закрытые!$N$5:$N$300,Закрытые!$E$5:$E$300,$B289,Закрытые!$B$5:$B$300,"T-*"),8))</f>
        <v/>
      </c>
      <c r="L289" s="177">
        <f>IF(K289="","",IF(SUMPRODUCT((Закрытые!$E$5:$E$300=$B289)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289/SUMPRODUCT((Закрытые!$E$5:$E$300=$B289)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9" s="177">
        <f>IF(OR(ROUND(N(C289)-N(F289),8)=0,1-N(Ввод!$E$17)/100&lt;=0),"",IF(N(C289)&gt;N(F289),(N(E289)-N(H289))/((N(C289)-N(F289))*(1-N(Ввод!$E$17)/100)),(N(H289)-N(E289))/((N(F289)-N(C289))*(1+N(Ввод!$E$17)/100))))</f>
        <v/>
      </c>
    </row>
    <row r="290" ht="22" customHeight="1">
      <c r="B290" s="320" t="n"/>
      <c r="C290" s="246">
        <f>IF(SUMIFS(Торговля!$F$5:$F$300,Торговля!$E$5:$E$300,$B290)+SUMIFS(Закрытые!$F$5:$F$300,Закрытые!$E$5:$E$300,$B290,Закрытые!$B$5:$B$300,"T-*")=0,"",SUMIFS(Торговля!$F$5:$F$300,Торговля!$E$5:$E$300,$B290)+SUMIFS(Закрытые!$F$5:$F$300,Закрытые!$E$5:$E$300,$B290,Закрытые!$B$5:$B$300,"T-*"))</f>
        <v/>
      </c>
      <c r="D290" s="183">
        <f>IF(C290="","",(SUMPRODUCT((Торговля!$E$5:$E$300=$B290)*Торговля!$F$5:$F$300*Торговля!$G$5:$G$300)+SUMPRODUCT((Закрытые!$E$5:$E$300=$B290)*(LEFT(Закрытые!$B$5:$B$300,2)="T-")*Закрытые!$F$5:$F$300*Закрытые!$G$5:$G$300))/C290)</f>
        <v/>
      </c>
      <c r="E290" s="247">
        <f>IF(C290="","",SUMIFS(Торговля!$H$5:$H$300,Торговля!$E$5:$E$300,$B290)+SUMIFS(Закрытые!$H$5:$H$300,Закрытые!$E$5:$E$300,$B290,Закрытые!$B$5:$B$300,"T-*"))</f>
        <v/>
      </c>
      <c r="F290" s="246">
        <f>IF(SUMIFS(Торговля!$I$5:$I$300,Торговля!$E$5:$E$300,$B290)+SUMIFS(Закрытые!$I$5:$I$300,Закрытые!$E$5:$E$300,$B290,Закрытые!$B$5:$B$300,"T-*")=0,"",SUMIFS(Торговля!$I$5:$I$300,Торговля!$E$5:$E$300,$B290)+SUMIFS(Закрытые!$I$5:$I$300,Закрытые!$E$5:$E$300,$B290,Закрытые!$B$5:$B$300,"T-*"))</f>
        <v/>
      </c>
      <c r="G290" s="183">
        <f>IF(F290="","",(SUMPRODUCT((Торговля!$E$5:$E$300=$B290)*Торговля!$I$5:$I$300*Торговля!$J$5:$J$300)+SUMPRODUCT((Закрытые!$E$5:$E$300=$B290)*(LEFT(Закрытые!$B$5:$B$300,2)="T-")*Закрытые!$I$5:$I$300*Закрытые!$J$5:$J$300))/F290)</f>
        <v/>
      </c>
      <c r="H290" s="247">
        <f>IF(F290="","",SUMIFS(Торговля!$K$5:$K$300,Торговля!$E$5:$E$300,$B290)+SUMIFS(Закрытые!$K$5:$K$300,Закрытые!$E$5:$E$300,$B290,Закрытые!$B$5:$B$300,"T-*"))</f>
        <v/>
      </c>
      <c r="I290" s="246">
        <f>IF($B290="","",IF(COUNTIFS(Торговля!$E$5:$E$300,$B290)+COUNTIFS(Закрытые!$E$5:$E$300,$B290,Закрытые!$B$5:$B$300,"T-*")=0,"",ROUND(SUMIFS(Торговля!$L$5:$L$300,Торговля!$E$5:$E$300,$B290)+SUMIFS(Закрытые!$L$5:$L$300,Закрытые!$E$5:$E$300,$B290,Закрытые!$B$5:$B$300,"T-*"),8)))</f>
        <v/>
      </c>
      <c r="J290" s="247">
        <f>IF($B290="","",IF(COUNTIFS(Торговля!$E$5:$E$300,$B290)+COUNTIFS(Закрытые!$E$5:$E$300,$B290,Закрытые!$B$5:$B$300,"T-*")=0,"",ROUND(SUMIFS(Торговля!$M$5:$M$300,Торговля!$E$5:$E$300,$B290)+SUMIFS(Закрытые!$M$5:$M$300,Закрытые!$E$5:$E$300,$B290,Закрытые!$B$5:$B$300,"T-*"),8)))</f>
        <v/>
      </c>
      <c r="K290" s="246">
        <f>IF($B290="","",ROUND(SUMIFS(Закрытые!$N$5:$N$300,Закрытые!$E$5:$E$300,$B290,Закрытые!$B$5:$B$300,"T-*"),8))</f>
        <v/>
      </c>
      <c r="L290" s="183">
        <f>IF(K290="","",IF(SUMPRODUCT((Закрытые!$E$5:$E$300=$B290)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290/SUMPRODUCT((Закрытые!$E$5:$E$300=$B290)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0" s="183">
        <f>IF(OR(ROUND(N(C290)-N(F290),8)=0,1-N(Ввод!$E$17)/100&lt;=0),"",IF(N(C290)&gt;N(F290),(N(E290)-N(H290))/((N(C290)-N(F290))*(1-N(Ввод!$E$17)/100)),(N(H290)-N(E290))/((N(F290)-N(C290))*(1+N(Ввод!$E$17)/100))))</f>
        <v/>
      </c>
    </row>
    <row r="291" ht="22" customHeight="1">
      <c r="B291" s="315" t="n"/>
      <c r="C291" s="240">
        <f>IF(SUMIFS(Торговля!$F$5:$F$300,Торговля!$E$5:$E$300,$B291)+SUMIFS(Закрытые!$F$5:$F$300,Закрытые!$E$5:$E$300,$B291,Закрытые!$B$5:$B$300,"T-*")=0,"",SUMIFS(Торговля!$F$5:$F$300,Торговля!$E$5:$E$300,$B291)+SUMIFS(Закрытые!$F$5:$F$300,Закрытые!$E$5:$E$300,$B291,Закрытые!$B$5:$B$300,"T-*"))</f>
        <v/>
      </c>
      <c r="D291" s="177">
        <f>IF(C291="","",(SUMPRODUCT((Торговля!$E$5:$E$300=$B291)*Торговля!$F$5:$F$300*Торговля!$G$5:$G$300)+SUMPRODUCT((Закрытые!$E$5:$E$300=$B291)*(LEFT(Закрытые!$B$5:$B$300,2)="T-")*Закрытые!$F$5:$F$300*Закрытые!$G$5:$G$300))/C291)</f>
        <v/>
      </c>
      <c r="E291" s="241">
        <f>IF(C291="","",SUMIFS(Торговля!$H$5:$H$300,Торговля!$E$5:$E$300,$B291)+SUMIFS(Закрытые!$H$5:$H$300,Закрытые!$E$5:$E$300,$B291,Закрытые!$B$5:$B$300,"T-*"))</f>
        <v/>
      </c>
      <c r="F291" s="240">
        <f>IF(SUMIFS(Торговля!$I$5:$I$300,Торговля!$E$5:$E$300,$B291)+SUMIFS(Закрытые!$I$5:$I$300,Закрытые!$E$5:$E$300,$B291,Закрытые!$B$5:$B$300,"T-*")=0,"",SUMIFS(Торговля!$I$5:$I$300,Торговля!$E$5:$E$300,$B291)+SUMIFS(Закрытые!$I$5:$I$300,Закрытые!$E$5:$E$300,$B291,Закрытые!$B$5:$B$300,"T-*"))</f>
        <v/>
      </c>
      <c r="G291" s="177">
        <f>IF(F291="","",(SUMPRODUCT((Торговля!$E$5:$E$300=$B291)*Торговля!$I$5:$I$300*Торговля!$J$5:$J$300)+SUMPRODUCT((Закрытые!$E$5:$E$300=$B291)*(LEFT(Закрытые!$B$5:$B$300,2)="T-")*Закрытые!$I$5:$I$300*Закрытые!$J$5:$J$300))/F291)</f>
        <v/>
      </c>
      <c r="H291" s="241">
        <f>IF(F291="","",SUMIFS(Торговля!$K$5:$K$300,Торговля!$E$5:$E$300,$B291)+SUMIFS(Закрытые!$K$5:$K$300,Закрытые!$E$5:$E$300,$B291,Закрытые!$B$5:$B$300,"T-*"))</f>
        <v/>
      </c>
      <c r="I291" s="240">
        <f>IF($B291="","",IF(COUNTIFS(Торговля!$E$5:$E$300,$B291)+COUNTIFS(Закрытые!$E$5:$E$300,$B291,Закрытые!$B$5:$B$300,"T-*")=0,"",ROUND(SUMIFS(Торговля!$L$5:$L$300,Торговля!$E$5:$E$300,$B291)+SUMIFS(Закрытые!$L$5:$L$300,Закрытые!$E$5:$E$300,$B291,Закрытые!$B$5:$B$300,"T-*"),8)))</f>
        <v/>
      </c>
      <c r="J291" s="241">
        <f>IF($B291="","",IF(COUNTIFS(Торговля!$E$5:$E$300,$B291)+COUNTIFS(Закрытые!$E$5:$E$300,$B291,Закрытые!$B$5:$B$300,"T-*")=0,"",ROUND(SUMIFS(Торговля!$M$5:$M$300,Торговля!$E$5:$E$300,$B291)+SUMIFS(Закрытые!$M$5:$M$300,Закрытые!$E$5:$E$300,$B291,Закрытые!$B$5:$B$300,"T-*"),8)))</f>
        <v/>
      </c>
      <c r="K291" s="240">
        <f>IF($B291="","",ROUND(SUMIFS(Закрытые!$N$5:$N$300,Закрытые!$E$5:$E$300,$B291,Закрытые!$B$5:$B$300,"T-*"),8))</f>
        <v/>
      </c>
      <c r="L291" s="177">
        <f>IF(K291="","",IF(SUMPRODUCT((Закрытые!$E$5:$E$300=$B291)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291/SUMPRODUCT((Закрытые!$E$5:$E$300=$B291)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1" s="177">
        <f>IF(OR(ROUND(N(C291)-N(F291),8)=0,1-N(Ввод!$E$17)/100&lt;=0),"",IF(N(C291)&gt;N(F291),(N(E291)-N(H291))/((N(C291)-N(F291))*(1-N(Ввод!$E$17)/100)),(N(H291)-N(E291))/((N(F291)-N(C291))*(1+N(Ввод!$E$17)/100))))</f>
        <v/>
      </c>
    </row>
    <row r="292" ht="22" customHeight="1">
      <c r="B292" s="320" t="n"/>
      <c r="C292" s="246">
        <f>IF(SUMIFS(Торговля!$F$5:$F$300,Торговля!$E$5:$E$300,$B292)+SUMIFS(Закрытые!$F$5:$F$300,Закрытые!$E$5:$E$300,$B292,Закрытые!$B$5:$B$300,"T-*")=0,"",SUMIFS(Торговля!$F$5:$F$300,Торговля!$E$5:$E$300,$B292)+SUMIFS(Закрытые!$F$5:$F$300,Закрытые!$E$5:$E$300,$B292,Закрытые!$B$5:$B$300,"T-*"))</f>
        <v/>
      </c>
      <c r="D292" s="183">
        <f>IF(C292="","",(SUMPRODUCT((Торговля!$E$5:$E$300=$B292)*Торговля!$F$5:$F$300*Торговля!$G$5:$G$300)+SUMPRODUCT((Закрытые!$E$5:$E$300=$B292)*(LEFT(Закрытые!$B$5:$B$300,2)="T-")*Закрытые!$F$5:$F$300*Закрытые!$G$5:$G$300))/C292)</f>
        <v/>
      </c>
      <c r="E292" s="247">
        <f>IF(C292="","",SUMIFS(Торговля!$H$5:$H$300,Торговля!$E$5:$E$300,$B292)+SUMIFS(Закрытые!$H$5:$H$300,Закрытые!$E$5:$E$300,$B292,Закрытые!$B$5:$B$300,"T-*"))</f>
        <v/>
      </c>
      <c r="F292" s="246">
        <f>IF(SUMIFS(Торговля!$I$5:$I$300,Торговля!$E$5:$E$300,$B292)+SUMIFS(Закрытые!$I$5:$I$300,Закрытые!$E$5:$E$300,$B292,Закрытые!$B$5:$B$300,"T-*")=0,"",SUMIFS(Торговля!$I$5:$I$300,Торговля!$E$5:$E$300,$B292)+SUMIFS(Закрытые!$I$5:$I$300,Закрытые!$E$5:$E$300,$B292,Закрытые!$B$5:$B$300,"T-*"))</f>
        <v/>
      </c>
      <c r="G292" s="183">
        <f>IF(F292="","",(SUMPRODUCT((Торговля!$E$5:$E$300=$B292)*Торговля!$I$5:$I$300*Торговля!$J$5:$J$300)+SUMPRODUCT((Закрытые!$E$5:$E$300=$B292)*(LEFT(Закрытые!$B$5:$B$300,2)="T-")*Закрытые!$I$5:$I$300*Закрытые!$J$5:$J$300))/F292)</f>
        <v/>
      </c>
      <c r="H292" s="247">
        <f>IF(F292="","",SUMIFS(Торговля!$K$5:$K$300,Торговля!$E$5:$E$300,$B292)+SUMIFS(Закрытые!$K$5:$K$300,Закрытые!$E$5:$E$300,$B292,Закрытые!$B$5:$B$300,"T-*"))</f>
        <v/>
      </c>
      <c r="I292" s="246">
        <f>IF($B292="","",IF(COUNTIFS(Торговля!$E$5:$E$300,$B292)+COUNTIFS(Закрытые!$E$5:$E$300,$B292,Закрытые!$B$5:$B$300,"T-*")=0,"",ROUND(SUMIFS(Торговля!$L$5:$L$300,Торговля!$E$5:$E$300,$B292)+SUMIFS(Закрытые!$L$5:$L$300,Закрытые!$E$5:$E$300,$B292,Закрытые!$B$5:$B$300,"T-*"),8)))</f>
        <v/>
      </c>
      <c r="J292" s="247">
        <f>IF($B292="","",IF(COUNTIFS(Торговля!$E$5:$E$300,$B292)+COUNTIFS(Закрытые!$E$5:$E$300,$B292,Закрытые!$B$5:$B$300,"T-*")=0,"",ROUND(SUMIFS(Торговля!$M$5:$M$300,Торговля!$E$5:$E$300,$B292)+SUMIFS(Закрытые!$M$5:$M$300,Закрытые!$E$5:$E$300,$B292,Закрытые!$B$5:$B$300,"T-*"),8)))</f>
        <v/>
      </c>
      <c r="K292" s="246">
        <f>IF($B292="","",ROUND(SUMIFS(Закрытые!$N$5:$N$300,Закрытые!$E$5:$E$300,$B292,Закрытые!$B$5:$B$300,"T-*"),8))</f>
        <v/>
      </c>
      <c r="L292" s="183">
        <f>IF(K292="","",IF(SUMPRODUCT((Закрытые!$E$5:$E$300=$B292)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292/SUMPRODUCT((Закрытые!$E$5:$E$300=$B292)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2" s="183">
        <f>IF(OR(ROUND(N(C292)-N(F292),8)=0,1-N(Ввод!$E$17)/100&lt;=0),"",IF(N(C292)&gt;N(F292),(N(E292)-N(H292))/((N(C292)-N(F292))*(1-N(Ввод!$E$17)/100)),(N(H292)-N(E292))/((N(F292)-N(C292))*(1+N(Ввод!$E$17)/100))))</f>
        <v/>
      </c>
    </row>
    <row r="293" ht="22" customHeight="1">
      <c r="B293" s="315" t="n"/>
      <c r="C293" s="240">
        <f>IF(SUMIFS(Торговля!$F$5:$F$300,Торговля!$E$5:$E$300,$B293)+SUMIFS(Закрытые!$F$5:$F$300,Закрытые!$E$5:$E$300,$B293,Закрытые!$B$5:$B$300,"T-*")=0,"",SUMIFS(Торговля!$F$5:$F$300,Торговля!$E$5:$E$300,$B293)+SUMIFS(Закрытые!$F$5:$F$300,Закрытые!$E$5:$E$300,$B293,Закрытые!$B$5:$B$300,"T-*"))</f>
        <v/>
      </c>
      <c r="D293" s="177">
        <f>IF(C293="","",(SUMPRODUCT((Торговля!$E$5:$E$300=$B293)*Торговля!$F$5:$F$300*Торговля!$G$5:$G$300)+SUMPRODUCT((Закрытые!$E$5:$E$300=$B293)*(LEFT(Закрытые!$B$5:$B$300,2)="T-")*Закрытые!$F$5:$F$300*Закрытые!$G$5:$G$300))/C293)</f>
        <v/>
      </c>
      <c r="E293" s="241">
        <f>IF(C293="","",SUMIFS(Торговля!$H$5:$H$300,Торговля!$E$5:$E$300,$B293)+SUMIFS(Закрытые!$H$5:$H$300,Закрытые!$E$5:$E$300,$B293,Закрытые!$B$5:$B$300,"T-*"))</f>
        <v/>
      </c>
      <c r="F293" s="240">
        <f>IF(SUMIFS(Торговля!$I$5:$I$300,Торговля!$E$5:$E$300,$B293)+SUMIFS(Закрытые!$I$5:$I$300,Закрытые!$E$5:$E$300,$B293,Закрытые!$B$5:$B$300,"T-*")=0,"",SUMIFS(Торговля!$I$5:$I$300,Торговля!$E$5:$E$300,$B293)+SUMIFS(Закрытые!$I$5:$I$300,Закрытые!$E$5:$E$300,$B293,Закрытые!$B$5:$B$300,"T-*"))</f>
        <v/>
      </c>
      <c r="G293" s="177">
        <f>IF(F293="","",(SUMPRODUCT((Торговля!$E$5:$E$300=$B293)*Торговля!$I$5:$I$300*Торговля!$J$5:$J$300)+SUMPRODUCT((Закрытые!$E$5:$E$300=$B293)*(LEFT(Закрытые!$B$5:$B$300,2)="T-")*Закрытые!$I$5:$I$300*Закрытые!$J$5:$J$300))/F293)</f>
        <v/>
      </c>
      <c r="H293" s="241">
        <f>IF(F293="","",SUMIFS(Торговля!$K$5:$K$300,Торговля!$E$5:$E$300,$B293)+SUMIFS(Закрытые!$K$5:$K$300,Закрытые!$E$5:$E$300,$B293,Закрытые!$B$5:$B$300,"T-*"))</f>
        <v/>
      </c>
      <c r="I293" s="240">
        <f>IF($B293="","",IF(COUNTIFS(Торговля!$E$5:$E$300,$B293)+COUNTIFS(Закрытые!$E$5:$E$300,$B293,Закрытые!$B$5:$B$300,"T-*")=0,"",ROUND(SUMIFS(Торговля!$L$5:$L$300,Торговля!$E$5:$E$300,$B293)+SUMIFS(Закрытые!$L$5:$L$300,Закрытые!$E$5:$E$300,$B293,Закрытые!$B$5:$B$300,"T-*"),8)))</f>
        <v/>
      </c>
      <c r="J293" s="241">
        <f>IF($B293="","",IF(COUNTIFS(Торговля!$E$5:$E$300,$B293)+COUNTIFS(Закрытые!$E$5:$E$300,$B293,Закрытые!$B$5:$B$300,"T-*")=0,"",ROUND(SUMIFS(Торговля!$M$5:$M$300,Торговля!$E$5:$E$300,$B293)+SUMIFS(Закрытые!$M$5:$M$300,Закрытые!$E$5:$E$300,$B293,Закрытые!$B$5:$B$300,"T-*"),8)))</f>
        <v/>
      </c>
      <c r="K293" s="240">
        <f>IF($B293="","",ROUND(SUMIFS(Закрытые!$N$5:$N$300,Закрытые!$E$5:$E$300,$B293,Закрытые!$B$5:$B$300,"T-*"),8))</f>
        <v/>
      </c>
      <c r="L293" s="177">
        <f>IF(K293="","",IF(SUMPRODUCT((Закрытые!$E$5:$E$300=$B293)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293/SUMPRODUCT((Закрытые!$E$5:$E$300=$B293)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3" s="177">
        <f>IF(OR(ROUND(N(C293)-N(F293),8)=0,1-N(Ввод!$E$17)/100&lt;=0),"",IF(N(C293)&gt;N(F293),(N(E293)-N(H293))/((N(C293)-N(F293))*(1-N(Ввод!$E$17)/100)),(N(H293)-N(E293))/((N(F293)-N(C293))*(1+N(Ввод!$E$17)/100))))</f>
        <v/>
      </c>
    </row>
    <row r="294" ht="22" customHeight="1">
      <c r="B294" s="320" t="n"/>
      <c r="C294" s="246">
        <f>IF(SUMIFS(Торговля!$F$5:$F$300,Торговля!$E$5:$E$300,$B294)+SUMIFS(Закрытые!$F$5:$F$300,Закрытые!$E$5:$E$300,$B294,Закрытые!$B$5:$B$300,"T-*")=0,"",SUMIFS(Торговля!$F$5:$F$300,Торговля!$E$5:$E$300,$B294)+SUMIFS(Закрытые!$F$5:$F$300,Закрытые!$E$5:$E$300,$B294,Закрытые!$B$5:$B$300,"T-*"))</f>
        <v/>
      </c>
      <c r="D294" s="183">
        <f>IF(C294="","",(SUMPRODUCT((Торговля!$E$5:$E$300=$B294)*Торговля!$F$5:$F$300*Торговля!$G$5:$G$300)+SUMPRODUCT((Закрытые!$E$5:$E$300=$B294)*(LEFT(Закрытые!$B$5:$B$300,2)="T-")*Закрытые!$F$5:$F$300*Закрытые!$G$5:$G$300))/C294)</f>
        <v/>
      </c>
      <c r="E294" s="247">
        <f>IF(C294="","",SUMIFS(Торговля!$H$5:$H$300,Торговля!$E$5:$E$300,$B294)+SUMIFS(Закрытые!$H$5:$H$300,Закрытые!$E$5:$E$300,$B294,Закрытые!$B$5:$B$300,"T-*"))</f>
        <v/>
      </c>
      <c r="F294" s="246">
        <f>IF(SUMIFS(Торговля!$I$5:$I$300,Торговля!$E$5:$E$300,$B294)+SUMIFS(Закрытые!$I$5:$I$300,Закрытые!$E$5:$E$300,$B294,Закрытые!$B$5:$B$300,"T-*")=0,"",SUMIFS(Торговля!$I$5:$I$300,Торговля!$E$5:$E$300,$B294)+SUMIFS(Закрытые!$I$5:$I$300,Закрытые!$E$5:$E$300,$B294,Закрытые!$B$5:$B$300,"T-*"))</f>
        <v/>
      </c>
      <c r="G294" s="183">
        <f>IF(F294="","",(SUMPRODUCT((Торговля!$E$5:$E$300=$B294)*Торговля!$I$5:$I$300*Торговля!$J$5:$J$300)+SUMPRODUCT((Закрытые!$E$5:$E$300=$B294)*(LEFT(Закрытые!$B$5:$B$300,2)="T-")*Закрытые!$I$5:$I$300*Закрытые!$J$5:$J$300))/F294)</f>
        <v/>
      </c>
      <c r="H294" s="247">
        <f>IF(F294="","",SUMIFS(Торговля!$K$5:$K$300,Торговля!$E$5:$E$300,$B294)+SUMIFS(Закрытые!$K$5:$K$300,Закрытые!$E$5:$E$300,$B294,Закрытые!$B$5:$B$300,"T-*"))</f>
        <v/>
      </c>
      <c r="I294" s="246">
        <f>IF($B294="","",IF(COUNTIFS(Торговля!$E$5:$E$300,$B294)+COUNTIFS(Закрытые!$E$5:$E$300,$B294,Закрытые!$B$5:$B$300,"T-*")=0,"",ROUND(SUMIFS(Торговля!$L$5:$L$300,Торговля!$E$5:$E$300,$B294)+SUMIFS(Закрытые!$L$5:$L$300,Закрытые!$E$5:$E$300,$B294,Закрытые!$B$5:$B$300,"T-*"),8)))</f>
        <v/>
      </c>
      <c r="J294" s="247">
        <f>IF($B294="","",IF(COUNTIFS(Торговля!$E$5:$E$300,$B294)+COUNTIFS(Закрытые!$E$5:$E$300,$B294,Закрытые!$B$5:$B$300,"T-*")=0,"",ROUND(SUMIFS(Торговля!$M$5:$M$300,Торговля!$E$5:$E$300,$B294)+SUMIFS(Закрытые!$M$5:$M$300,Закрытые!$E$5:$E$300,$B294,Закрытые!$B$5:$B$300,"T-*"),8)))</f>
        <v/>
      </c>
      <c r="K294" s="246">
        <f>IF($B294="","",ROUND(SUMIFS(Закрытые!$N$5:$N$300,Закрытые!$E$5:$E$300,$B294,Закрытые!$B$5:$B$300,"T-*"),8))</f>
        <v/>
      </c>
      <c r="L294" s="183">
        <f>IF(K294="","",IF(SUMPRODUCT((Закрытые!$E$5:$E$300=$B294)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294/SUMPRODUCT((Закрытые!$E$5:$E$300=$B294)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4" s="183">
        <f>IF(OR(ROUND(N(C294)-N(F294),8)=0,1-N(Ввод!$E$17)/100&lt;=0),"",IF(N(C294)&gt;N(F294),(N(E294)-N(H294))/((N(C294)-N(F294))*(1-N(Ввод!$E$17)/100)),(N(H294)-N(E294))/((N(F294)-N(C294))*(1+N(Ввод!$E$17)/100))))</f>
        <v/>
      </c>
    </row>
    <row r="295" ht="22" customHeight="1">
      <c r="B295" s="315" t="n"/>
      <c r="C295" s="240">
        <f>IF(SUMIFS(Торговля!$F$5:$F$300,Торговля!$E$5:$E$300,$B295)+SUMIFS(Закрытые!$F$5:$F$300,Закрытые!$E$5:$E$300,$B295,Закрытые!$B$5:$B$300,"T-*")=0,"",SUMIFS(Торговля!$F$5:$F$300,Торговля!$E$5:$E$300,$B295)+SUMIFS(Закрытые!$F$5:$F$300,Закрытые!$E$5:$E$300,$B295,Закрытые!$B$5:$B$300,"T-*"))</f>
        <v/>
      </c>
      <c r="D295" s="177">
        <f>IF(C295="","",(SUMPRODUCT((Торговля!$E$5:$E$300=$B295)*Торговля!$F$5:$F$300*Торговля!$G$5:$G$300)+SUMPRODUCT((Закрытые!$E$5:$E$300=$B295)*(LEFT(Закрытые!$B$5:$B$300,2)="T-")*Закрытые!$F$5:$F$300*Закрытые!$G$5:$G$300))/C295)</f>
        <v/>
      </c>
      <c r="E295" s="241">
        <f>IF(C295="","",SUMIFS(Торговля!$H$5:$H$300,Торговля!$E$5:$E$300,$B295)+SUMIFS(Закрытые!$H$5:$H$300,Закрытые!$E$5:$E$300,$B295,Закрытые!$B$5:$B$300,"T-*"))</f>
        <v/>
      </c>
      <c r="F295" s="240">
        <f>IF(SUMIFS(Торговля!$I$5:$I$300,Торговля!$E$5:$E$300,$B295)+SUMIFS(Закрытые!$I$5:$I$300,Закрытые!$E$5:$E$300,$B295,Закрытые!$B$5:$B$300,"T-*")=0,"",SUMIFS(Торговля!$I$5:$I$300,Торговля!$E$5:$E$300,$B295)+SUMIFS(Закрытые!$I$5:$I$300,Закрытые!$E$5:$E$300,$B295,Закрытые!$B$5:$B$300,"T-*"))</f>
        <v/>
      </c>
      <c r="G295" s="177">
        <f>IF(F295="","",(SUMPRODUCT((Торговля!$E$5:$E$300=$B295)*Торговля!$I$5:$I$300*Торговля!$J$5:$J$300)+SUMPRODUCT((Закрытые!$E$5:$E$300=$B295)*(LEFT(Закрытые!$B$5:$B$300,2)="T-")*Закрытые!$I$5:$I$300*Закрытые!$J$5:$J$300))/F295)</f>
        <v/>
      </c>
      <c r="H295" s="241">
        <f>IF(F295="","",SUMIFS(Торговля!$K$5:$K$300,Торговля!$E$5:$E$300,$B295)+SUMIFS(Закрытые!$K$5:$K$300,Закрытые!$E$5:$E$300,$B295,Закрытые!$B$5:$B$300,"T-*"))</f>
        <v/>
      </c>
      <c r="I295" s="240">
        <f>IF($B295="","",IF(COUNTIFS(Торговля!$E$5:$E$300,$B295)+COUNTIFS(Закрытые!$E$5:$E$300,$B295,Закрытые!$B$5:$B$300,"T-*")=0,"",ROUND(SUMIFS(Торговля!$L$5:$L$300,Торговля!$E$5:$E$300,$B295)+SUMIFS(Закрытые!$L$5:$L$300,Закрытые!$E$5:$E$300,$B295,Закрытые!$B$5:$B$300,"T-*"),8)))</f>
        <v/>
      </c>
      <c r="J295" s="241">
        <f>IF($B295="","",IF(COUNTIFS(Торговля!$E$5:$E$300,$B295)+COUNTIFS(Закрытые!$E$5:$E$300,$B295,Закрытые!$B$5:$B$300,"T-*")=0,"",ROUND(SUMIFS(Торговля!$M$5:$M$300,Торговля!$E$5:$E$300,$B295)+SUMIFS(Закрытые!$M$5:$M$300,Закрытые!$E$5:$E$300,$B295,Закрытые!$B$5:$B$300,"T-*"),8)))</f>
        <v/>
      </c>
      <c r="K295" s="240">
        <f>IF($B295="","",ROUND(SUMIFS(Закрытые!$N$5:$N$300,Закрытые!$E$5:$E$300,$B295,Закрытые!$B$5:$B$300,"T-*"),8))</f>
        <v/>
      </c>
      <c r="L295" s="177">
        <f>IF(K295="","",IF(SUMPRODUCT((Закрытые!$E$5:$E$300=$B295)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295/SUMPRODUCT((Закрытые!$E$5:$E$300=$B295)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5" s="177">
        <f>IF(OR(ROUND(N(C295)-N(F295),8)=0,1-N(Ввод!$E$17)/100&lt;=0),"",IF(N(C295)&gt;N(F295),(N(E295)-N(H295))/((N(C295)-N(F295))*(1-N(Ввод!$E$17)/100)),(N(H295)-N(E295))/((N(F295)-N(C295))*(1+N(Ввод!$E$17)/100))))</f>
        <v/>
      </c>
    </row>
    <row r="296" ht="22" customHeight="1">
      <c r="B296" s="320" t="n"/>
      <c r="C296" s="246">
        <f>IF(SUMIFS(Торговля!$F$5:$F$300,Торговля!$E$5:$E$300,$B296)+SUMIFS(Закрытые!$F$5:$F$300,Закрытые!$E$5:$E$300,$B296,Закрытые!$B$5:$B$300,"T-*")=0,"",SUMIFS(Торговля!$F$5:$F$300,Торговля!$E$5:$E$300,$B296)+SUMIFS(Закрытые!$F$5:$F$300,Закрытые!$E$5:$E$300,$B296,Закрытые!$B$5:$B$300,"T-*"))</f>
        <v/>
      </c>
      <c r="D296" s="183">
        <f>IF(C296="","",(SUMPRODUCT((Торговля!$E$5:$E$300=$B296)*Торговля!$F$5:$F$300*Торговля!$G$5:$G$300)+SUMPRODUCT((Закрытые!$E$5:$E$300=$B296)*(LEFT(Закрытые!$B$5:$B$300,2)="T-")*Закрытые!$F$5:$F$300*Закрытые!$G$5:$G$300))/C296)</f>
        <v/>
      </c>
      <c r="E296" s="247">
        <f>IF(C296="","",SUMIFS(Торговля!$H$5:$H$300,Торговля!$E$5:$E$300,$B296)+SUMIFS(Закрытые!$H$5:$H$300,Закрытые!$E$5:$E$300,$B296,Закрытые!$B$5:$B$300,"T-*"))</f>
        <v/>
      </c>
      <c r="F296" s="246">
        <f>IF(SUMIFS(Торговля!$I$5:$I$300,Торговля!$E$5:$E$300,$B296)+SUMIFS(Закрытые!$I$5:$I$300,Закрытые!$E$5:$E$300,$B296,Закрытые!$B$5:$B$300,"T-*")=0,"",SUMIFS(Торговля!$I$5:$I$300,Торговля!$E$5:$E$300,$B296)+SUMIFS(Закрытые!$I$5:$I$300,Закрытые!$E$5:$E$300,$B296,Закрытые!$B$5:$B$300,"T-*"))</f>
        <v/>
      </c>
      <c r="G296" s="183">
        <f>IF(F296="","",(SUMPRODUCT((Торговля!$E$5:$E$300=$B296)*Торговля!$I$5:$I$300*Торговля!$J$5:$J$300)+SUMPRODUCT((Закрытые!$E$5:$E$300=$B296)*(LEFT(Закрытые!$B$5:$B$300,2)="T-")*Закрытые!$I$5:$I$300*Закрытые!$J$5:$J$300))/F296)</f>
        <v/>
      </c>
      <c r="H296" s="247">
        <f>IF(F296="","",SUMIFS(Торговля!$K$5:$K$300,Торговля!$E$5:$E$300,$B296)+SUMIFS(Закрытые!$K$5:$K$300,Закрытые!$E$5:$E$300,$B296,Закрытые!$B$5:$B$300,"T-*"))</f>
        <v/>
      </c>
      <c r="I296" s="246">
        <f>IF($B296="","",IF(COUNTIFS(Торговля!$E$5:$E$300,$B296)+COUNTIFS(Закрытые!$E$5:$E$300,$B296,Закрытые!$B$5:$B$300,"T-*")=0,"",ROUND(SUMIFS(Торговля!$L$5:$L$300,Торговля!$E$5:$E$300,$B296)+SUMIFS(Закрытые!$L$5:$L$300,Закрытые!$E$5:$E$300,$B296,Закрытые!$B$5:$B$300,"T-*"),8)))</f>
        <v/>
      </c>
      <c r="J296" s="247">
        <f>IF($B296="","",IF(COUNTIFS(Торговля!$E$5:$E$300,$B296)+COUNTIFS(Закрытые!$E$5:$E$300,$B296,Закрытые!$B$5:$B$300,"T-*")=0,"",ROUND(SUMIFS(Торговля!$M$5:$M$300,Торговля!$E$5:$E$300,$B296)+SUMIFS(Закрытые!$M$5:$M$300,Закрытые!$E$5:$E$300,$B296,Закрытые!$B$5:$B$300,"T-*"),8)))</f>
        <v/>
      </c>
      <c r="K296" s="246">
        <f>IF($B296="","",ROUND(SUMIFS(Закрытые!$N$5:$N$300,Закрытые!$E$5:$E$300,$B296,Закрытые!$B$5:$B$300,"T-*"),8))</f>
        <v/>
      </c>
      <c r="L296" s="183">
        <f>IF(K296="","",IF(SUMPRODUCT((Закрытые!$E$5:$E$300=$B296)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296/SUMPRODUCT((Закрытые!$E$5:$E$300=$B296)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6" s="183">
        <f>IF(OR(ROUND(N(C296)-N(F296),8)=0,1-N(Ввод!$E$17)/100&lt;=0),"",IF(N(C296)&gt;N(F296),(N(E296)-N(H296))/((N(C296)-N(F296))*(1-N(Ввод!$E$17)/100)),(N(H296)-N(E296))/((N(F296)-N(C296))*(1+N(Ввод!$E$17)/100))))</f>
        <v/>
      </c>
    </row>
    <row r="297" ht="22" customHeight="1">
      <c r="B297" s="315" t="n"/>
      <c r="C297" s="240">
        <f>IF(SUMIFS(Торговля!$F$5:$F$300,Торговля!$E$5:$E$300,$B297)+SUMIFS(Закрытые!$F$5:$F$300,Закрытые!$E$5:$E$300,$B297,Закрытые!$B$5:$B$300,"T-*")=0,"",SUMIFS(Торговля!$F$5:$F$300,Торговля!$E$5:$E$300,$B297)+SUMIFS(Закрытые!$F$5:$F$300,Закрытые!$E$5:$E$300,$B297,Закрытые!$B$5:$B$300,"T-*"))</f>
        <v/>
      </c>
      <c r="D297" s="177">
        <f>IF(C297="","",(SUMPRODUCT((Торговля!$E$5:$E$300=$B297)*Торговля!$F$5:$F$300*Торговля!$G$5:$G$300)+SUMPRODUCT((Закрытые!$E$5:$E$300=$B297)*(LEFT(Закрытые!$B$5:$B$300,2)="T-")*Закрытые!$F$5:$F$300*Закрытые!$G$5:$G$300))/C297)</f>
        <v/>
      </c>
      <c r="E297" s="241">
        <f>IF(C297="","",SUMIFS(Торговля!$H$5:$H$300,Торговля!$E$5:$E$300,$B297)+SUMIFS(Закрытые!$H$5:$H$300,Закрытые!$E$5:$E$300,$B297,Закрытые!$B$5:$B$300,"T-*"))</f>
        <v/>
      </c>
      <c r="F297" s="240">
        <f>IF(SUMIFS(Торговля!$I$5:$I$300,Торговля!$E$5:$E$300,$B297)+SUMIFS(Закрытые!$I$5:$I$300,Закрытые!$E$5:$E$300,$B297,Закрытые!$B$5:$B$300,"T-*")=0,"",SUMIFS(Торговля!$I$5:$I$300,Торговля!$E$5:$E$300,$B297)+SUMIFS(Закрытые!$I$5:$I$300,Закрытые!$E$5:$E$300,$B297,Закрытые!$B$5:$B$300,"T-*"))</f>
        <v/>
      </c>
      <c r="G297" s="177">
        <f>IF(F297="","",(SUMPRODUCT((Торговля!$E$5:$E$300=$B297)*Торговля!$I$5:$I$300*Торговля!$J$5:$J$300)+SUMPRODUCT((Закрытые!$E$5:$E$300=$B297)*(LEFT(Закрытые!$B$5:$B$300,2)="T-")*Закрытые!$I$5:$I$300*Закрытые!$J$5:$J$300))/F297)</f>
        <v/>
      </c>
      <c r="H297" s="241">
        <f>IF(F297="","",SUMIFS(Торговля!$K$5:$K$300,Торговля!$E$5:$E$300,$B297)+SUMIFS(Закрытые!$K$5:$K$300,Закрытые!$E$5:$E$300,$B297,Закрытые!$B$5:$B$300,"T-*"))</f>
        <v/>
      </c>
      <c r="I297" s="240">
        <f>IF($B297="","",IF(COUNTIFS(Торговля!$E$5:$E$300,$B297)+COUNTIFS(Закрытые!$E$5:$E$300,$B297,Закрытые!$B$5:$B$300,"T-*")=0,"",ROUND(SUMIFS(Торговля!$L$5:$L$300,Торговля!$E$5:$E$300,$B297)+SUMIFS(Закрытые!$L$5:$L$300,Закрытые!$E$5:$E$300,$B297,Закрытые!$B$5:$B$300,"T-*"),8)))</f>
        <v/>
      </c>
      <c r="J297" s="241">
        <f>IF($B297="","",IF(COUNTIFS(Торговля!$E$5:$E$300,$B297)+COUNTIFS(Закрытые!$E$5:$E$300,$B297,Закрытые!$B$5:$B$300,"T-*")=0,"",ROUND(SUMIFS(Торговля!$M$5:$M$300,Торговля!$E$5:$E$300,$B297)+SUMIFS(Закрытые!$M$5:$M$300,Закрытые!$E$5:$E$300,$B297,Закрытые!$B$5:$B$300,"T-*"),8)))</f>
        <v/>
      </c>
      <c r="K297" s="240">
        <f>IF($B297="","",ROUND(SUMIFS(Закрытые!$N$5:$N$300,Закрытые!$E$5:$E$300,$B297,Закрытые!$B$5:$B$300,"T-*"),8))</f>
        <v/>
      </c>
      <c r="L297" s="177">
        <f>IF(K297="","",IF(SUMPRODUCT((Закрытые!$E$5:$E$300=$B297)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297/SUMPRODUCT((Закрытые!$E$5:$E$300=$B297)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7" s="177">
        <f>IF(OR(ROUND(N(C297)-N(F297),8)=0,1-N(Ввод!$E$17)/100&lt;=0),"",IF(N(C297)&gt;N(F297),(N(E297)-N(H297))/((N(C297)-N(F297))*(1-N(Ввод!$E$17)/100)),(N(H297)-N(E297))/((N(F297)-N(C297))*(1+N(Ввод!$E$17)/100))))</f>
        <v/>
      </c>
    </row>
    <row r="298" ht="22" customHeight="1">
      <c r="B298" s="320" t="n"/>
      <c r="C298" s="246">
        <f>IF(SUMIFS(Торговля!$F$5:$F$300,Торговля!$E$5:$E$300,$B298)+SUMIFS(Закрытые!$F$5:$F$300,Закрытые!$E$5:$E$300,$B298,Закрытые!$B$5:$B$300,"T-*")=0,"",SUMIFS(Торговля!$F$5:$F$300,Торговля!$E$5:$E$300,$B298)+SUMIFS(Закрытые!$F$5:$F$300,Закрытые!$E$5:$E$300,$B298,Закрытые!$B$5:$B$300,"T-*"))</f>
        <v/>
      </c>
      <c r="D298" s="183">
        <f>IF(C298="","",(SUMPRODUCT((Торговля!$E$5:$E$300=$B298)*Торговля!$F$5:$F$300*Торговля!$G$5:$G$300)+SUMPRODUCT((Закрытые!$E$5:$E$300=$B298)*(LEFT(Закрытые!$B$5:$B$300,2)="T-")*Закрытые!$F$5:$F$300*Закрытые!$G$5:$G$300))/C298)</f>
        <v/>
      </c>
      <c r="E298" s="247">
        <f>IF(C298="","",SUMIFS(Торговля!$H$5:$H$300,Торговля!$E$5:$E$300,$B298)+SUMIFS(Закрытые!$H$5:$H$300,Закрытые!$E$5:$E$300,$B298,Закрытые!$B$5:$B$300,"T-*"))</f>
        <v/>
      </c>
      <c r="F298" s="246">
        <f>IF(SUMIFS(Торговля!$I$5:$I$300,Торговля!$E$5:$E$300,$B298)+SUMIFS(Закрытые!$I$5:$I$300,Закрытые!$E$5:$E$300,$B298,Закрытые!$B$5:$B$300,"T-*")=0,"",SUMIFS(Торговля!$I$5:$I$300,Торговля!$E$5:$E$300,$B298)+SUMIFS(Закрытые!$I$5:$I$300,Закрытые!$E$5:$E$300,$B298,Закрытые!$B$5:$B$300,"T-*"))</f>
        <v/>
      </c>
      <c r="G298" s="183">
        <f>IF(F298="","",(SUMPRODUCT((Торговля!$E$5:$E$300=$B298)*Торговля!$I$5:$I$300*Торговля!$J$5:$J$300)+SUMPRODUCT((Закрытые!$E$5:$E$300=$B298)*(LEFT(Закрытые!$B$5:$B$300,2)="T-")*Закрытые!$I$5:$I$300*Закрытые!$J$5:$J$300))/F298)</f>
        <v/>
      </c>
      <c r="H298" s="247">
        <f>IF(F298="","",SUMIFS(Торговля!$K$5:$K$300,Торговля!$E$5:$E$300,$B298)+SUMIFS(Закрытые!$K$5:$K$300,Закрытые!$E$5:$E$300,$B298,Закрытые!$B$5:$B$300,"T-*"))</f>
        <v/>
      </c>
      <c r="I298" s="246">
        <f>IF($B298="","",IF(COUNTIFS(Торговля!$E$5:$E$300,$B298)+COUNTIFS(Закрытые!$E$5:$E$300,$B298,Закрытые!$B$5:$B$300,"T-*")=0,"",ROUND(SUMIFS(Торговля!$L$5:$L$300,Торговля!$E$5:$E$300,$B298)+SUMIFS(Закрытые!$L$5:$L$300,Закрытые!$E$5:$E$300,$B298,Закрытые!$B$5:$B$300,"T-*"),8)))</f>
        <v/>
      </c>
      <c r="J298" s="247">
        <f>IF($B298="","",IF(COUNTIFS(Торговля!$E$5:$E$300,$B298)+COUNTIFS(Закрытые!$E$5:$E$300,$B298,Закрытые!$B$5:$B$300,"T-*")=0,"",ROUND(SUMIFS(Торговля!$M$5:$M$300,Торговля!$E$5:$E$300,$B298)+SUMIFS(Закрытые!$M$5:$M$300,Закрытые!$E$5:$E$300,$B298,Закрытые!$B$5:$B$300,"T-*"),8)))</f>
        <v/>
      </c>
      <c r="K298" s="246">
        <f>IF($B298="","",ROUND(SUMIFS(Закрытые!$N$5:$N$300,Закрытые!$E$5:$E$300,$B298,Закрытые!$B$5:$B$300,"T-*"),8))</f>
        <v/>
      </c>
      <c r="L298" s="183">
        <f>IF(K298="","",IF(SUMPRODUCT((Закрытые!$E$5:$E$300=$B298)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298/SUMPRODUCT((Закрытые!$E$5:$E$300=$B298)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8" s="183">
        <f>IF(OR(ROUND(N(C298)-N(F298),8)=0,1-N(Ввод!$E$17)/100&lt;=0),"",IF(N(C298)&gt;N(F298),(N(E298)-N(H298))/((N(C298)-N(F298))*(1-N(Ввод!$E$17)/100)),(N(H298)-N(E298))/((N(F298)-N(C298))*(1+N(Ввод!$E$17)/100))))</f>
        <v/>
      </c>
    </row>
    <row r="299" ht="22" customHeight="1">
      <c r="B299" s="315" t="n"/>
      <c r="C299" s="240">
        <f>IF(SUMIFS(Торговля!$F$5:$F$300,Торговля!$E$5:$E$300,$B299)+SUMIFS(Закрытые!$F$5:$F$300,Закрытые!$E$5:$E$300,$B299,Закрытые!$B$5:$B$300,"T-*")=0,"",SUMIFS(Торговля!$F$5:$F$300,Торговля!$E$5:$E$300,$B299)+SUMIFS(Закрытые!$F$5:$F$300,Закрытые!$E$5:$E$300,$B299,Закрытые!$B$5:$B$300,"T-*"))</f>
        <v/>
      </c>
      <c r="D299" s="177">
        <f>IF(C299="","",(SUMPRODUCT((Торговля!$E$5:$E$300=$B299)*Торговля!$F$5:$F$300*Торговля!$G$5:$G$300)+SUMPRODUCT((Закрытые!$E$5:$E$300=$B299)*(LEFT(Закрытые!$B$5:$B$300,2)="T-")*Закрытые!$F$5:$F$300*Закрытые!$G$5:$G$300))/C299)</f>
        <v/>
      </c>
      <c r="E299" s="241">
        <f>IF(C299="","",SUMIFS(Торговля!$H$5:$H$300,Торговля!$E$5:$E$300,$B299)+SUMIFS(Закрытые!$H$5:$H$300,Закрытые!$E$5:$E$300,$B299,Закрытые!$B$5:$B$300,"T-*"))</f>
        <v/>
      </c>
      <c r="F299" s="240">
        <f>IF(SUMIFS(Торговля!$I$5:$I$300,Торговля!$E$5:$E$300,$B299)+SUMIFS(Закрытые!$I$5:$I$300,Закрытые!$E$5:$E$300,$B299,Закрытые!$B$5:$B$300,"T-*")=0,"",SUMIFS(Торговля!$I$5:$I$300,Торговля!$E$5:$E$300,$B299)+SUMIFS(Закрытые!$I$5:$I$300,Закрытые!$E$5:$E$300,$B299,Закрытые!$B$5:$B$300,"T-*"))</f>
        <v/>
      </c>
      <c r="G299" s="177">
        <f>IF(F299="","",(SUMPRODUCT((Торговля!$E$5:$E$300=$B299)*Торговля!$I$5:$I$300*Торговля!$J$5:$J$300)+SUMPRODUCT((Закрытые!$E$5:$E$300=$B299)*(LEFT(Закрытые!$B$5:$B$300,2)="T-")*Закрытые!$I$5:$I$300*Закрытые!$J$5:$J$300))/F299)</f>
        <v/>
      </c>
      <c r="H299" s="241">
        <f>IF(F299="","",SUMIFS(Торговля!$K$5:$K$300,Торговля!$E$5:$E$300,$B299)+SUMIFS(Закрытые!$K$5:$K$300,Закрытые!$E$5:$E$300,$B299,Закрытые!$B$5:$B$300,"T-*"))</f>
        <v/>
      </c>
      <c r="I299" s="240">
        <f>IF($B299="","",IF(COUNTIFS(Торговля!$E$5:$E$300,$B299)+COUNTIFS(Закрытые!$E$5:$E$300,$B299,Закрытые!$B$5:$B$300,"T-*")=0,"",ROUND(SUMIFS(Торговля!$L$5:$L$300,Торговля!$E$5:$E$300,$B299)+SUMIFS(Закрытые!$L$5:$L$300,Закрытые!$E$5:$E$300,$B299,Закрытые!$B$5:$B$300,"T-*"),8)))</f>
        <v/>
      </c>
      <c r="J299" s="241">
        <f>IF($B299="","",IF(COUNTIFS(Торговля!$E$5:$E$300,$B299)+COUNTIFS(Закрытые!$E$5:$E$300,$B299,Закрытые!$B$5:$B$300,"T-*")=0,"",ROUND(SUMIFS(Торговля!$M$5:$M$300,Торговля!$E$5:$E$300,$B299)+SUMIFS(Закрытые!$M$5:$M$300,Закрытые!$E$5:$E$300,$B299,Закрытые!$B$5:$B$300,"T-*"),8)))</f>
        <v/>
      </c>
      <c r="K299" s="240">
        <f>IF($B299="","",ROUND(SUMIFS(Закрытые!$N$5:$N$300,Закрытые!$E$5:$E$300,$B299,Закрытые!$B$5:$B$300,"T-*"),8))</f>
        <v/>
      </c>
      <c r="L299" s="177">
        <f>IF(K299="","",IF(SUMPRODUCT((Закрытые!$E$5:$E$300=$B299)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299/SUMPRODUCT((Закрытые!$E$5:$E$300=$B299)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9" s="177">
        <f>IF(OR(ROUND(N(C299)-N(F299),8)=0,1-N(Ввод!$E$17)/100&lt;=0),"",IF(N(C299)&gt;N(F299),(N(E299)-N(H299))/((N(C299)-N(F299))*(1-N(Ввод!$E$17)/100)),(N(H299)-N(E299))/((N(F299)-N(C299))*(1+N(Ввод!$E$17)/100))))</f>
        <v/>
      </c>
    </row>
    <row r="300" ht="22" customHeight="1">
      <c r="B300" s="320" t="n"/>
      <c r="C300" s="246">
        <f>IF(SUMIFS(Торговля!$F$5:$F$300,Торговля!$E$5:$E$300,$B300)+SUMIFS(Закрытые!$F$5:$F$300,Закрытые!$E$5:$E$300,$B300,Закрытые!$B$5:$B$300,"T-*")=0,"",SUMIFS(Торговля!$F$5:$F$300,Торговля!$E$5:$E$300,$B300)+SUMIFS(Закрытые!$F$5:$F$300,Закрытые!$E$5:$E$300,$B300,Закрытые!$B$5:$B$300,"T-*"))</f>
        <v/>
      </c>
      <c r="D300" s="183">
        <f>IF(C300="","",(SUMPRODUCT((Торговля!$E$5:$E$300=$B300)*Торговля!$F$5:$F$300*Торговля!$G$5:$G$300)+SUMPRODUCT((Закрытые!$E$5:$E$300=$B300)*(LEFT(Закрытые!$B$5:$B$300,2)="T-")*Закрытые!$F$5:$F$300*Закрытые!$G$5:$G$300))/C300)</f>
        <v/>
      </c>
      <c r="E300" s="247">
        <f>IF(C300="","",SUMIFS(Торговля!$H$5:$H$300,Торговля!$E$5:$E$300,$B300)+SUMIFS(Закрытые!$H$5:$H$300,Закрытые!$E$5:$E$300,$B300,Закрытые!$B$5:$B$300,"T-*"))</f>
        <v/>
      </c>
      <c r="F300" s="246">
        <f>IF(SUMIFS(Торговля!$I$5:$I$300,Торговля!$E$5:$E$300,$B300)+SUMIFS(Закрытые!$I$5:$I$300,Закрытые!$E$5:$E$300,$B300,Закрытые!$B$5:$B$300,"T-*")=0,"",SUMIFS(Торговля!$I$5:$I$300,Торговля!$E$5:$E$300,$B300)+SUMIFS(Закрытые!$I$5:$I$300,Закрытые!$E$5:$E$300,$B300,Закрытые!$B$5:$B$300,"T-*"))</f>
        <v/>
      </c>
      <c r="G300" s="183">
        <f>IF(F300="","",(SUMPRODUCT((Торговля!$E$5:$E$300=$B300)*Торговля!$I$5:$I$300*Торговля!$J$5:$J$300)+SUMPRODUCT((Закрытые!$E$5:$E$300=$B300)*(LEFT(Закрытые!$B$5:$B$300,2)="T-")*Закрытые!$I$5:$I$300*Закрытые!$J$5:$J$300))/F300)</f>
        <v/>
      </c>
      <c r="H300" s="247">
        <f>IF(F300="","",SUMIFS(Торговля!$K$5:$K$300,Торговля!$E$5:$E$300,$B300)+SUMIFS(Закрытые!$K$5:$K$300,Закрытые!$E$5:$E$300,$B300,Закрытые!$B$5:$B$300,"T-*"))</f>
        <v/>
      </c>
      <c r="I300" s="246">
        <f>IF($B300="","",IF(COUNTIFS(Торговля!$E$5:$E$300,$B300)+COUNTIFS(Закрытые!$E$5:$E$300,$B300,Закрытые!$B$5:$B$300,"T-*")=0,"",ROUND(SUMIFS(Торговля!$L$5:$L$300,Торговля!$E$5:$E$300,$B300)+SUMIFS(Закрытые!$L$5:$L$300,Закрытые!$E$5:$E$300,$B300,Закрытые!$B$5:$B$300,"T-*"),8)))</f>
        <v/>
      </c>
      <c r="J300" s="247">
        <f>IF($B300="","",IF(COUNTIFS(Торговля!$E$5:$E$300,$B300)+COUNTIFS(Закрытые!$E$5:$E$300,$B300,Закрытые!$B$5:$B$300,"T-*")=0,"",ROUND(SUMIFS(Торговля!$M$5:$M$300,Торговля!$E$5:$E$300,$B300)+SUMIFS(Закрытые!$M$5:$M$300,Закрытые!$E$5:$E$300,$B300,Закрытые!$B$5:$B$300,"T-*"),8)))</f>
        <v/>
      </c>
      <c r="K300" s="246">
        <f>IF($B300="","",ROUND(SUMIFS(Закрытые!$N$5:$N$300,Закрытые!$E$5:$E$300,$B300,Закрытые!$B$5:$B$300,"T-*"),8))</f>
        <v/>
      </c>
      <c r="L300" s="183">
        <f>IF(K300="","",IF(SUMPRODUCT((Закрытые!$E$5:$E$300=$B300)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300/SUMPRODUCT((Закрытые!$E$5:$E$300=$B300)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00" s="183">
        <f>IF(OR(ROUND(N(C300)-N(F300),8)=0,1-N(Ввод!$E$17)/100&lt;=0),"",IF(N(C300)&gt;N(F300),(N(E300)-N(H300))/((N(C300)-N(F300))*(1-N(Ввод!$E$17)/100)),(N(H300)-N(E300))/((N(F300)-N(C300))*(1+N(Ввод!$E$17)/100))))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M300"/>
  <mergeCells count="1">
    <mergeCell ref="B1:M2"/>
  </mergeCells>
  <conditionalFormatting sqref="B5:M300">
    <cfRule type="expression" priority="1" dxfId="2">
      <formula>MOD(ROW(),2)=1</formula>
    </cfRule>
    <cfRule type="expression" priority="2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 codeName="Sheet4">
    <tabColor rgb="005E9E72"/>
    <outlinePr summaryBelow="1" summaryRight="1"/>
    <pageSetUpPr fitToPage="1"/>
  </sheetPr>
  <dimension ref="B1:N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7" customWidth="1" min="14" max="14"/>
  </cols>
  <sheetData>
    <row r="1" ht="21" customHeight="1">
      <c r="B1" s="1" t="inlineStr">
        <is>
          <t>CRYPTO JOURNAL • ЛЭНДИНГ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3" t="inlineStr">
        <is>
          <t>Покупка</t>
        </is>
      </c>
      <c r="G4" s="185" t="inlineStr">
        <is>
          <t>Курс</t>
        </is>
      </c>
      <c r="H4" s="165" t="inlineStr">
        <is>
          <t>Сумма</t>
        </is>
      </c>
      <c r="I4" s="166" t="inlineStr">
        <is>
          <t>Продажа</t>
        </is>
      </c>
      <c r="J4" s="167" t="inlineStr">
        <is>
          <t>Курс</t>
        </is>
      </c>
      <c r="K4" s="168" t="inlineStr">
        <is>
          <t>Сумма</t>
        </is>
      </c>
      <c r="L4" s="169" t="inlineStr">
        <is>
          <t>Дельта 1</t>
        </is>
      </c>
      <c r="M4" s="272" t="inlineStr">
        <is>
          <t>Дельта 2</t>
        </is>
      </c>
      <c r="N4" s="273" t="inlineStr">
        <is>
          <t>Break even</t>
        </is>
      </c>
    </row>
    <row r="5" ht="22" customHeight="1">
      <c r="B5" s="313" t="inlineStr">
        <is>
          <t>L-0005</t>
        </is>
      </c>
      <c r="C5" s="314" t="n">
        <v>46299</v>
      </c>
      <c r="D5" s="313" t="inlineStr">
        <is>
          <t>Bybit</t>
        </is>
      </c>
      <c r="E5" s="315" t="inlineStr">
        <is>
          <t>BNB/USDT</t>
        </is>
      </c>
      <c r="F5" s="316" t="n"/>
      <c r="G5" s="317" t="n"/>
      <c r="H5" s="271">
        <f>IF(AND(ISNUMBER(F5),ISNUMBER(G5)),F5*G5,"")</f>
        <v/>
      </c>
      <c r="I5" s="316" t="n">
        <v>3</v>
      </c>
      <c r="J5" s="317" t="n">
        <v>598.8</v>
      </c>
      <c r="K5" s="271">
        <f>IF(AND(ISNUMBER(I5),ISNUMBER(J5)),I5*J5,"")</f>
        <v/>
      </c>
      <c r="L5" s="240">
        <f>IF(COUNT(F5,I5)=0,"",N(F5)-N(I5))</f>
        <v/>
      </c>
      <c r="M5" s="241">
        <f>IF(COUNT(H5,K5)=0,"",N(K5)-N(H5))</f>
        <v/>
      </c>
      <c r="N5" s="240">
        <f>IF(AND(ISNUMBER(F5),ISNUMBER(G5),F5&gt;0,1-N(Ввод!$E$17)/100&gt;0),MAX(0,(F5*G5-SUMPRODUCT((Закрытые!$B$5:$B$300=$B5)*((Закрытые!$F$5:$F$300+Закрытые!$I$5:$I$300-ABS(Закрытые!$F$5:$F$300-Закрытые!$I$5:$I$300))/2)*(Закрытые!$J$5:$J$300-Закрытые!$G$5:$G$300)))/F5)/(1-N(Ввод!$E$17)/100),IF(AND(ISNUMBER(I5),ISNUMBER(J5),I5&gt;0),MAX(0,(I5*J5+SUMPRODUCT((Закрытые!$B$5:$B$300=$B5)*((Закрытые!$F$5:$F$300+Закрытые!$I$5:$I$300-ABS(Закрытые!$F$5:$F$300-Закрытые!$I$5:$I$300))/2)*(Закрытые!$J$5:$J$300-Закрытые!$G$5:$G$300)))/I5)/(1+N(Ввод!$E$17)/100),""))</f>
        <v/>
      </c>
    </row>
    <row r="6" ht="22" customHeight="1">
      <c r="B6" s="318" t="inlineStr">
        <is>
          <t>L-0001</t>
        </is>
      </c>
      <c r="C6" s="319" t="n">
        <v>46296</v>
      </c>
      <c r="D6" s="318" t="inlineStr">
        <is>
          <t>Binance</t>
        </is>
      </c>
      <c r="E6" s="320" t="inlineStr">
        <is>
          <t>BTC/USDT</t>
        </is>
      </c>
      <c r="F6" s="321" t="n">
        <v>0.1</v>
      </c>
      <c r="G6" s="322" t="n">
        <v>62124</v>
      </c>
      <c r="H6" s="271">
        <f>IF(AND(ISNUMBER(F6),ISNUMBER(G6)),F6*G6,"")</f>
        <v/>
      </c>
      <c r="I6" s="321" t="n"/>
      <c r="J6" s="322" t="n"/>
      <c r="K6" s="271">
        <f>IF(AND(ISNUMBER(I6),ISNUMBER(J6)),I6*J6,"")</f>
        <v/>
      </c>
      <c r="L6" s="246">
        <f>IF(COUNT(F6,I6)=0,"",N(F6)-N(I6))</f>
        <v/>
      </c>
      <c r="M6" s="247">
        <f>IF(COUNT(H6,K6)=0,"",N(K6)-N(H6))</f>
        <v/>
      </c>
      <c r="N6" s="246">
        <f>IF(AND(ISNUMBER(F6),ISNUMBER(G6),F6&gt;0,1-N(Ввод!$E$17)/100&gt;0),MAX(0,(F6*G6-SUMPRODUCT((Закрытые!$B$5:$B$300=$B6)*((Закрытые!$F$5:$F$300+Закрытые!$I$5:$I$300-ABS(Закрытые!$F$5:$F$300-Закрытые!$I$5:$I$300))/2)*(Закрытые!$J$5:$J$300-Закрытые!$G$5:$G$300)))/F6)/(1-N(Ввод!$E$17)/100),IF(AND(ISNUMBER(I6),ISNUMBER(J6),I6&gt;0),MAX(0,(I6*J6+SUMPRODUCT((Закрытые!$B$5:$B$300=$B6)*((Закрытые!$F$5:$F$300+Закрытые!$I$5:$I$300-ABS(Закрытые!$F$5:$F$300-Закрытые!$I$5:$I$300))/2)*(Закрытые!$J$5:$J$300-Закрытые!$G$5:$G$300)))/I6)/(1+N(Ввод!$E$17)/100),""))</f>
        <v/>
      </c>
    </row>
    <row r="7" ht="22" customHeight="1">
      <c r="B7" s="313" t="inlineStr">
        <is>
          <t>L-0004</t>
        </is>
      </c>
      <c r="C7" s="314" t="n">
        <v>46298</v>
      </c>
      <c r="D7" s="313" t="inlineStr">
        <is>
          <t>Binance</t>
        </is>
      </c>
      <c r="E7" s="315" t="inlineStr">
        <is>
          <t>ETH/BTC</t>
        </is>
      </c>
      <c r="F7" s="316" t="n"/>
      <c r="G7" s="317" t="n"/>
      <c r="H7" s="271">
        <f>IF(AND(ISNUMBER(F7),ISNUMBER(G7)),F7*G7,"")</f>
        <v/>
      </c>
      <c r="I7" s="316" t="n">
        <v>1.5</v>
      </c>
      <c r="J7" s="317" t="n">
        <v>0.052395</v>
      </c>
      <c r="K7" s="271">
        <f>IF(AND(ISNUMBER(I7),ISNUMBER(J7)),I7*J7,"")</f>
        <v/>
      </c>
      <c r="L7" s="240">
        <f>IF(COUNT(F7,I7)=0,"",N(F7)-N(I7))</f>
        <v/>
      </c>
      <c r="M7" s="241">
        <f>IF(COUNT(H7,K7)=0,"",N(K7)-N(H7))</f>
        <v/>
      </c>
      <c r="N7" s="240">
        <f>IF(AND(ISNUMBER(F7),ISNUMBER(G7),F7&gt;0,1-N(Ввод!$E$17)/100&gt;0),MAX(0,(F7*G7-SUMPRODUCT((Закрытые!$B$5:$B$300=$B7)*((Закрытые!$F$5:$F$300+Закрытые!$I$5:$I$300-ABS(Закрытые!$F$5:$F$300-Закрытые!$I$5:$I$300))/2)*(Закрытые!$J$5:$J$300-Закрытые!$G$5:$G$300)))/F7)/(1-N(Ввод!$E$17)/100),IF(AND(ISNUMBER(I7),ISNUMBER(J7),I7&gt;0),MAX(0,(I7*J7+SUMPRODUCT((Закрытые!$B$5:$B$300=$B7)*((Закрытые!$F$5:$F$300+Закрытые!$I$5:$I$300-ABS(Закрытые!$F$5:$F$300-Закрытые!$I$5:$I$300))/2)*(Закрытые!$J$5:$J$300-Закрытые!$G$5:$G$300)))/I7)/(1+N(Ввод!$E$17)/100),""))</f>
        <v/>
      </c>
    </row>
    <row r="8" ht="22" customHeight="1">
      <c r="B8" s="318" t="inlineStr">
        <is>
          <t>L-0002</t>
        </is>
      </c>
      <c r="C8" s="319" t="n">
        <v>46297</v>
      </c>
      <c r="D8" s="318" t="inlineStr">
        <is>
          <t>Bybit</t>
        </is>
      </c>
      <c r="E8" s="320" t="inlineStr">
        <is>
          <t>ETH/USDT</t>
        </is>
      </c>
      <c r="F8" s="321" t="n">
        <v>1</v>
      </c>
      <c r="G8" s="322" t="n">
        <v>3206.4</v>
      </c>
      <c r="H8" s="271">
        <f>IF(AND(ISNUMBER(F8),ISNUMBER(G8)),F8*G8,"")</f>
        <v/>
      </c>
      <c r="I8" s="321" t="n"/>
      <c r="J8" s="322" t="n"/>
      <c r="K8" s="271">
        <f>IF(AND(ISNUMBER(I8),ISNUMBER(J8)),I8*J8,"")</f>
        <v/>
      </c>
      <c r="L8" s="246">
        <f>IF(COUNT(F8,I8)=0,"",N(F8)-N(I8))</f>
        <v/>
      </c>
      <c r="M8" s="247">
        <f>IF(COUNT(H8,K8)=0,"",N(K8)-N(H8))</f>
        <v/>
      </c>
      <c r="N8" s="246">
        <f>IF(AND(ISNUMBER(F8),ISNUMBER(G8),F8&gt;0,1-N(Ввод!$E$17)/100&gt;0),MAX(0,(F8*G8-SUMPRODUCT((Закрытые!$B$5:$B$300=$B8)*((Закрытые!$F$5:$F$300+Закрытые!$I$5:$I$300-ABS(Закрытые!$F$5:$F$300-Закрытые!$I$5:$I$300))/2)*(Закрытые!$J$5:$J$300-Закрытые!$G$5:$G$300)))/F8)/(1-N(Ввод!$E$17)/100),IF(AND(ISNUMBER(I8),ISNUMBER(J8),I8&gt;0),MAX(0,(I8*J8+SUMPRODUCT((Закрытые!$B$5:$B$300=$B8)*((Закрытые!$F$5:$F$300+Закрытые!$I$5:$I$300-ABS(Закрытые!$F$5:$F$300-Закрытые!$I$5:$I$300))/2)*(Закрытые!$J$5:$J$300-Закрытые!$G$5:$G$300)))/I8)/(1+N(Ввод!$E$17)/100),""))</f>
        <v/>
      </c>
    </row>
    <row r="9" ht="22" customHeight="1">
      <c r="B9" s="313" t="inlineStr">
        <is>
          <t>L-0007</t>
        </is>
      </c>
      <c r="C9" s="314" t="n">
        <v>46300</v>
      </c>
      <c r="D9" s="313" t="inlineStr">
        <is>
          <t>Binance</t>
        </is>
      </c>
      <c r="E9" s="315" t="inlineStr">
        <is>
          <t>ETH/USDT</t>
        </is>
      </c>
      <c r="F9" s="316" t="n">
        <v>1.2</v>
      </c>
      <c r="G9" s="317" t="n">
        <v>3186.36</v>
      </c>
      <c r="H9" s="271">
        <f>IF(AND(ISNUMBER(F9),ISNUMBER(G9)),F9*G9,"")</f>
        <v/>
      </c>
      <c r="I9" s="316" t="n"/>
      <c r="J9" s="317" t="n"/>
      <c r="K9" s="271">
        <f>IF(AND(ISNUMBER(I9),ISNUMBER(J9)),I9*J9,"")</f>
        <v/>
      </c>
      <c r="L9" s="240">
        <f>IF(COUNT(F9,I9)=0,"",N(F9)-N(I9))</f>
        <v/>
      </c>
      <c r="M9" s="241">
        <f>IF(COUNT(H9,K9)=0,"",N(K9)-N(H9))</f>
        <v/>
      </c>
      <c r="N9" s="240">
        <f>IF(AND(ISNUMBER(F9),ISNUMBER(G9),F9&gt;0,1-N(Ввод!$E$17)/100&gt;0),MAX(0,(F9*G9-SUMPRODUCT((Закрытые!$B$5:$B$300=$B9)*((Закрытые!$F$5:$F$300+Закрытые!$I$5:$I$300-ABS(Закрытые!$F$5:$F$300-Закрытые!$I$5:$I$300))/2)*(Закрытые!$J$5:$J$300-Закрытые!$G$5:$G$300)))/F9)/(1-N(Ввод!$E$17)/100),IF(AND(ISNUMBER(I9),ISNUMBER(J9),I9&gt;0),MAX(0,(I9*J9+SUMPRODUCT((Закрытые!$B$5:$B$300=$B9)*((Закрытые!$F$5:$F$300+Закрытые!$I$5:$I$300-ABS(Закрытые!$F$5:$F$300-Закрытые!$I$5:$I$300))/2)*(Закрытые!$J$5:$J$300-Закрытые!$G$5:$G$300)))/I9)/(1+N(Ввод!$E$17)/100),""))</f>
        <v/>
      </c>
    </row>
    <row r="10" ht="22" customHeight="1">
      <c r="B10" s="318" t="inlineStr">
        <is>
          <t>L-0008</t>
        </is>
      </c>
      <c r="C10" s="319" t="n">
        <v>46300</v>
      </c>
      <c r="D10" s="318" t="inlineStr">
        <is>
          <t>Bybit</t>
        </is>
      </c>
      <c r="E10" s="320" t="inlineStr">
        <is>
          <t>ETH/USDT</t>
        </is>
      </c>
      <c r="F10" s="321" t="n">
        <v>0.8</v>
      </c>
      <c r="G10" s="322" t="n">
        <v>3256.5</v>
      </c>
      <c r="H10" s="271">
        <f>IF(AND(ISNUMBER(F10),ISNUMBER(G10)),F10*G10,"")</f>
        <v/>
      </c>
      <c r="I10" s="321" t="n"/>
      <c r="J10" s="322" t="n"/>
      <c r="K10" s="271">
        <f>IF(AND(ISNUMBER(I10),ISNUMBER(J10)),I10*J10,"")</f>
        <v/>
      </c>
      <c r="L10" s="246">
        <f>IF(COUNT(F10,I10)=0,"",N(F10)-N(I10))</f>
        <v/>
      </c>
      <c r="M10" s="247">
        <f>IF(COUNT(H10,K10)=0,"",N(K10)-N(H10))</f>
        <v/>
      </c>
      <c r="N10" s="246">
        <f>IF(AND(ISNUMBER(F10),ISNUMBER(G10),F10&gt;0,1-N(Ввод!$E$17)/100&gt;0),MAX(0,(F10*G10-SUMPRODUCT((Закрытые!$B$5:$B$300=$B10)*((Закрытые!$F$5:$F$300+Закрытые!$I$5:$I$300-ABS(Закрытые!$F$5:$F$300-Закрытые!$I$5:$I$300))/2)*(Закрытые!$J$5:$J$300-Закрытые!$G$5:$G$300)))/F10)/(1-N(Ввод!$E$17)/100),IF(AND(ISNUMBER(I10),ISNUMBER(J10),I10&gt;0),MAX(0,(I10*J10+SUMPRODUCT((Закрытые!$B$5:$B$300=$B10)*((Закрытые!$F$5:$F$300+Закрытые!$I$5:$I$300-ABS(Закрытые!$F$5:$F$300-Закрытые!$I$5:$I$300))/2)*(Закрытые!$J$5:$J$300-Закрытые!$G$5:$G$300)))/I10)/(1+N(Ввод!$E$17)/100),""))</f>
        <v/>
      </c>
    </row>
    <row r="11" ht="22" customHeight="1">
      <c r="B11" s="313" t="inlineStr">
        <is>
          <t>L-0009</t>
        </is>
      </c>
      <c r="C11" s="314" t="n">
        <v>46301</v>
      </c>
      <c r="D11" s="313" t="inlineStr">
        <is>
          <t>OKX</t>
        </is>
      </c>
      <c r="E11" s="315" t="inlineStr">
        <is>
          <t>ETH/USDT</t>
        </is>
      </c>
      <c r="F11" s="316" t="n"/>
      <c r="G11" s="317" t="n"/>
      <c r="H11" s="271">
        <f>IF(AND(ISNUMBER(F11),ISNUMBER(G11)),F11*G11,"")</f>
        <v/>
      </c>
      <c r="I11" s="316" t="n">
        <v>1.5</v>
      </c>
      <c r="J11" s="317" t="n">
        <v>3393.2</v>
      </c>
      <c r="K11" s="271">
        <f>IF(AND(ISNUMBER(I11),ISNUMBER(J11)),I11*J11,"")</f>
        <v/>
      </c>
      <c r="L11" s="240">
        <f>IF(COUNT(F11,I11)=0,"",N(F11)-N(I11))</f>
        <v/>
      </c>
      <c r="M11" s="241">
        <f>IF(COUNT(H11,K11)=0,"",N(K11)-N(H11))</f>
        <v/>
      </c>
      <c r="N11" s="240">
        <f>IF(AND(ISNUMBER(F11),ISNUMBER(G11),F11&gt;0,1-N(Ввод!$E$17)/100&gt;0),MAX(0,(F11*G11-SUMPRODUCT((Закрытые!$B$5:$B$300=$B11)*((Закрытые!$F$5:$F$300+Закрытые!$I$5:$I$300-ABS(Закрытые!$F$5:$F$300-Закрытые!$I$5:$I$300))/2)*(Закрытые!$J$5:$J$300-Закрытые!$G$5:$G$300)))/F11)/(1-N(Ввод!$E$17)/100),IF(AND(ISNUMBER(I11),ISNUMBER(J11),I11&gt;0),MAX(0,(I11*J11+SUMPRODUCT((Закрытые!$B$5:$B$300=$B11)*((Закрытые!$F$5:$F$300+Закрытые!$I$5:$I$300-ABS(Закрытые!$F$5:$F$300-Закрытые!$I$5:$I$300))/2)*(Закрытые!$J$5:$J$300-Закрытые!$G$5:$G$300)))/I11)/(1+N(Ввод!$E$17)/100),""))</f>
        <v/>
      </c>
    </row>
    <row r="12" ht="22" customHeight="1">
      <c r="B12" s="318" t="inlineStr">
        <is>
          <t>L-0010</t>
        </is>
      </c>
      <c r="C12" s="319" t="n">
        <v>46300</v>
      </c>
      <c r="D12" s="318" t="inlineStr">
        <is>
          <t>Binance</t>
        </is>
      </c>
      <c r="E12" s="320" t="inlineStr">
        <is>
          <t>SOL/USDT</t>
        </is>
      </c>
      <c r="F12" s="321" t="n"/>
      <c r="G12" s="322" t="n"/>
      <c r="H12" s="271">
        <f>IF(AND(ISNUMBER(F12),ISNUMBER(G12)),F12*G12,"")</f>
        <v/>
      </c>
      <c r="I12" s="321" t="n">
        <v>30</v>
      </c>
      <c r="J12" s="322" t="n">
        <v>149.7</v>
      </c>
      <c r="K12" s="271">
        <f>IF(AND(ISNUMBER(I12),ISNUMBER(J12)),I12*J12,"")</f>
        <v/>
      </c>
      <c r="L12" s="246">
        <f>IF(COUNT(F12,I12)=0,"",N(F12)-N(I12))</f>
        <v/>
      </c>
      <c r="M12" s="247">
        <f>IF(COUNT(H12,K12)=0,"",N(K12)-N(H12))</f>
        <v/>
      </c>
      <c r="N12" s="246">
        <f>IF(AND(ISNUMBER(F12),ISNUMBER(G12),F12&gt;0,1-N(Ввод!$E$17)/100&gt;0),MAX(0,(F12*G12-SUMPRODUCT((Закрытые!$B$5:$B$300=$B12)*((Закрытые!$F$5:$F$300+Закрытые!$I$5:$I$300-ABS(Закрытые!$F$5:$F$300-Закрытые!$I$5:$I$300))/2)*(Закрытые!$J$5:$J$300-Закрытые!$G$5:$G$300)))/F12)/(1-N(Ввод!$E$17)/100),IF(AND(ISNUMBER(I12),ISNUMBER(J12),I12&gt;0),MAX(0,(I12*J12+SUMPRODUCT((Закрытые!$B$5:$B$300=$B12)*((Закрытые!$F$5:$F$300+Закрытые!$I$5:$I$300-ABS(Закрытые!$F$5:$F$300-Закрытые!$I$5:$I$300))/2)*(Закрытые!$J$5:$J$300-Закрытые!$G$5:$G$300)))/I12)/(1+N(Ввод!$E$17)/100),""))</f>
        <v/>
      </c>
    </row>
    <row r="13" ht="22" customHeight="1">
      <c r="B13" s="313" t="inlineStr">
        <is>
          <t>L-0011</t>
        </is>
      </c>
      <c r="C13" s="314" t="n">
        <v>46301</v>
      </c>
      <c r="D13" s="313" t="inlineStr">
        <is>
          <t>Bybit</t>
        </is>
      </c>
      <c r="E13" s="315" t="inlineStr">
        <is>
          <t>SOL/USDT</t>
        </is>
      </c>
      <c r="F13" s="316" t="n"/>
      <c r="G13" s="317" t="n"/>
      <c r="H13" s="271">
        <f>IF(AND(ISNUMBER(F13),ISNUMBER(G13)),F13*G13,"")</f>
        <v/>
      </c>
      <c r="I13" s="316" t="n">
        <v>10</v>
      </c>
      <c r="J13" s="317" t="n">
        <v>151.696</v>
      </c>
      <c r="K13" s="271">
        <f>IF(AND(ISNUMBER(I13),ISNUMBER(J13)),I13*J13,"")</f>
        <v/>
      </c>
      <c r="L13" s="240">
        <f>IF(COUNT(F13,I13)=0,"",N(F13)-N(I13))</f>
        <v/>
      </c>
      <c r="M13" s="241">
        <f>IF(COUNT(H13,K13)=0,"",N(K13)-N(H13))</f>
        <v/>
      </c>
      <c r="N13" s="240">
        <f>IF(AND(ISNUMBER(F13),ISNUMBER(G13),F13&gt;0,1-N(Ввод!$E$17)/100&gt;0),MAX(0,(F13*G13-SUMPRODUCT((Закрытые!$B$5:$B$300=$B13)*((Закрытые!$F$5:$F$300+Закрытые!$I$5:$I$300-ABS(Закрытые!$F$5:$F$300-Закрытые!$I$5:$I$300))/2)*(Закрытые!$J$5:$J$300-Закрытые!$G$5:$G$300)))/F13)/(1-N(Ввод!$E$17)/100),IF(AND(ISNUMBER(I13),ISNUMBER(J13),I13&gt;0),MAX(0,(I13*J13+SUMPRODUCT((Закрытые!$B$5:$B$300=$B13)*((Закрытые!$F$5:$F$300+Закрытые!$I$5:$I$300-ABS(Закрытые!$F$5:$F$300-Закрытые!$I$5:$I$300))/2)*(Закрытые!$J$5:$J$300-Закрытые!$G$5:$G$300)))/I13)/(1+N(Ввод!$E$17)/100),""))</f>
        <v/>
      </c>
    </row>
    <row r="14" ht="22" customHeight="1">
      <c r="B14" s="318" t="inlineStr">
        <is>
          <t>L-0012</t>
        </is>
      </c>
      <c r="C14" s="319" t="n">
        <v>46301</v>
      </c>
      <c r="D14" s="318" t="inlineStr">
        <is>
          <t>OKX</t>
        </is>
      </c>
      <c r="E14" s="320" t="inlineStr">
        <is>
          <t>SOL/USDT</t>
        </is>
      </c>
      <c r="F14" s="321" t="n">
        <v>25</v>
      </c>
      <c r="G14" s="322" t="n">
        <v>146.292</v>
      </c>
      <c r="H14" s="271">
        <f>IF(AND(ISNUMBER(F14),ISNUMBER(G14)),F14*G14,"")</f>
        <v/>
      </c>
      <c r="I14" s="321" t="n"/>
      <c r="J14" s="322" t="n"/>
      <c r="K14" s="271">
        <f>IF(AND(ISNUMBER(I14),ISNUMBER(J14)),I14*J14,"")</f>
        <v/>
      </c>
      <c r="L14" s="246">
        <f>IF(COUNT(F14,I14)=0,"",N(F14)-N(I14))</f>
        <v/>
      </c>
      <c r="M14" s="247">
        <f>IF(COUNT(H14,K14)=0,"",N(K14)-N(H14))</f>
        <v/>
      </c>
      <c r="N14" s="246">
        <f>IF(AND(ISNUMBER(F14),ISNUMBER(G14),F14&gt;0,1-N(Ввод!$E$17)/100&gt;0),MAX(0,(F14*G14-SUMPRODUCT((Закрытые!$B$5:$B$300=$B14)*((Закрытые!$F$5:$F$300+Закрытые!$I$5:$I$300-ABS(Закрытые!$F$5:$F$300-Закрытые!$I$5:$I$300))/2)*(Закрытые!$J$5:$J$300-Закрытые!$G$5:$G$300)))/F14)/(1-N(Ввод!$E$17)/100),IF(AND(ISNUMBER(I14),ISNUMBER(J14),I14&gt;0),MAX(0,(I14*J14+SUMPRODUCT((Закрытые!$B$5:$B$300=$B14)*((Закрытые!$F$5:$F$300+Закрытые!$I$5:$I$300-ABS(Закрытые!$F$5:$F$300-Закрытые!$I$5:$I$300))/2)*(Закрытые!$J$5:$J$300-Закрытые!$G$5:$G$300)))/I14)/(1+N(Ввод!$E$17)/100),""))</f>
        <v/>
      </c>
    </row>
    <row r="15" ht="22" customHeight="1">
      <c r="B15" s="313" t="inlineStr">
        <is>
          <t>L-0016</t>
        </is>
      </c>
      <c r="C15" s="314" t="n">
        <v>46302</v>
      </c>
      <c r="D15" s="313" t="inlineStr">
        <is>
          <t>Binance</t>
        </is>
      </c>
      <c r="E15" s="315" t="inlineStr">
        <is>
          <t>BNB/ETH</t>
        </is>
      </c>
      <c r="F15" s="316" t="n">
        <v>15</v>
      </c>
      <c r="G15" s="317" t="n">
        <v>0.188376</v>
      </c>
      <c r="H15" s="271">
        <f>IF(AND(ISNUMBER(F15),ISNUMBER(G15)),F15*G15,"")</f>
        <v/>
      </c>
      <c r="I15" s="316" t="n"/>
      <c r="J15" s="317" t="n"/>
      <c r="K15" s="271">
        <f>IF(AND(ISNUMBER(I15),ISNUMBER(J15)),I15*J15,"")</f>
        <v/>
      </c>
      <c r="L15" s="240">
        <f>IF(COUNT(F15,I15)=0,"",N(F15)-N(I15))</f>
        <v/>
      </c>
      <c r="M15" s="241">
        <f>IF(COUNT(H15,K15)=0,"",N(K15)-N(H15))</f>
        <v/>
      </c>
      <c r="N15" s="240">
        <f>IF(AND(ISNUMBER(F15),ISNUMBER(G15),F15&gt;0,1-N(Ввод!$E$17)/100&gt;0),MAX(0,(F15*G15-SUMPRODUCT((Закрытые!$B$5:$B$300=$B15)*((Закрытые!$F$5:$F$300+Закрытые!$I$5:$I$300-ABS(Закрытые!$F$5:$F$300-Закрытые!$I$5:$I$300))/2)*(Закрытые!$J$5:$J$300-Закрытые!$G$5:$G$300)))/F15)/(1-N(Ввод!$E$17)/100),IF(AND(ISNUMBER(I15),ISNUMBER(J15),I15&gt;0),MAX(0,(I15*J15+SUMPRODUCT((Закрытые!$B$5:$B$300=$B15)*((Закрытые!$F$5:$F$300+Закрытые!$I$5:$I$300-ABS(Закрытые!$F$5:$F$300-Закрытые!$I$5:$I$300))/2)*(Закрытые!$J$5:$J$300-Закрытые!$G$5:$G$300)))/I15)/(1+N(Ввод!$E$17)/100),""))</f>
        <v/>
      </c>
    </row>
    <row r="16" ht="22" customHeight="1">
      <c r="B16" s="318" t="inlineStr">
        <is>
          <t>L-0017</t>
        </is>
      </c>
      <c r="C16" s="319" t="n">
        <v>46302</v>
      </c>
      <c r="D16" s="318" t="inlineStr">
        <is>
          <t>Bybit</t>
        </is>
      </c>
      <c r="E16" s="320" t="inlineStr">
        <is>
          <t>BNB/BTC</t>
        </is>
      </c>
      <c r="F16" s="321" t="n"/>
      <c r="G16" s="322" t="n"/>
      <c r="H16" s="271">
        <f>IF(AND(ISNUMBER(F16),ISNUMBER(G16)),F16*G16,"")</f>
        <v/>
      </c>
      <c r="I16" s="321" t="n">
        <v>10</v>
      </c>
      <c r="J16" s="322" t="n">
        <v>0.00965066</v>
      </c>
      <c r="K16" s="271">
        <f>IF(AND(ISNUMBER(I16),ISNUMBER(J16)),I16*J16,"")</f>
        <v/>
      </c>
      <c r="L16" s="246">
        <f>IF(COUNT(F16,I16)=0,"",N(F16)-N(I16))</f>
        <v/>
      </c>
      <c r="M16" s="247">
        <f>IF(COUNT(H16,K16)=0,"",N(K16)-N(H16))</f>
        <v/>
      </c>
      <c r="N16" s="246">
        <f>IF(AND(ISNUMBER(F16),ISNUMBER(G16),F16&gt;0,1-N(Ввод!$E$17)/100&gt;0),MAX(0,(F16*G16-SUMPRODUCT((Закрытые!$B$5:$B$300=$B16)*((Закрытые!$F$5:$F$300+Закрытые!$I$5:$I$300-ABS(Закрытые!$F$5:$F$300-Закрытые!$I$5:$I$300))/2)*(Закрытые!$J$5:$J$300-Закрытые!$G$5:$G$300)))/F16)/(1-N(Ввод!$E$17)/100),IF(AND(ISNUMBER(I16),ISNUMBER(J16),I16&gt;0),MAX(0,(I16*J16+SUMPRODUCT((Закрытые!$B$5:$B$300=$B16)*((Закрытые!$F$5:$F$300+Закрытые!$I$5:$I$300-ABS(Закрытые!$F$5:$F$300-Закрытые!$I$5:$I$300))/2)*(Закрытые!$J$5:$J$300-Закрытые!$G$5:$G$300)))/I16)/(1+N(Ввод!$E$17)/100),""))</f>
        <v/>
      </c>
    </row>
    <row r="17" ht="22" customHeight="1">
      <c r="B17" s="313" t="inlineStr">
        <is>
          <t>L-0018</t>
        </is>
      </c>
      <c r="C17" s="314" t="n">
        <v>46302</v>
      </c>
      <c r="D17" s="313" t="inlineStr">
        <is>
          <t>OKX</t>
        </is>
      </c>
      <c r="E17" s="315" t="inlineStr">
        <is>
          <t>CAKE/ETH</t>
        </is>
      </c>
      <c r="F17" s="316" t="n">
        <v>800</v>
      </c>
      <c r="G17" s="317" t="n">
        <v>0.0007515</v>
      </c>
      <c r="H17" s="271">
        <f>IF(AND(ISNUMBER(F17),ISNUMBER(G17)),F17*G17,"")</f>
        <v/>
      </c>
      <c r="I17" s="316" t="n"/>
      <c r="J17" s="317" t="n"/>
      <c r="K17" s="271">
        <f>IF(AND(ISNUMBER(I17),ISNUMBER(J17)),I17*J17,"")</f>
        <v/>
      </c>
      <c r="L17" s="240">
        <f>IF(COUNT(F17,I17)=0,"",N(F17)-N(I17))</f>
        <v/>
      </c>
      <c r="M17" s="241">
        <f>IF(COUNT(H17,K17)=0,"",N(K17)-N(H17))</f>
        <v/>
      </c>
      <c r="N17" s="240">
        <f>IF(AND(ISNUMBER(F17),ISNUMBER(G17),F17&gt;0,1-N(Ввод!$E$17)/100&gt;0),MAX(0,(F17*G17-SUMPRODUCT((Закрытые!$B$5:$B$300=$B17)*((Закрытые!$F$5:$F$300+Закрытые!$I$5:$I$300-ABS(Закрытые!$F$5:$F$300-Закрытые!$I$5:$I$300))/2)*(Закрытые!$J$5:$J$300-Закрытые!$G$5:$G$300)))/F17)/(1-N(Ввод!$E$17)/100),IF(AND(ISNUMBER(I17),ISNUMBER(J17),I17&gt;0),MAX(0,(I17*J17+SUMPRODUCT((Закрытые!$B$5:$B$300=$B17)*((Закрытые!$F$5:$F$300+Закрытые!$I$5:$I$300-ABS(Закрытые!$F$5:$F$300-Закрытые!$I$5:$I$300))/2)*(Закрытые!$J$5:$J$300-Закрытые!$G$5:$G$300)))/I17)/(1+N(Ввод!$E$17)/100),""))</f>
        <v/>
      </c>
    </row>
    <row r="18" ht="22" customHeight="1">
      <c r="B18" s="318" t="inlineStr">
        <is>
          <t>L-0019</t>
        </is>
      </c>
      <c r="C18" s="319" t="n">
        <v>46303</v>
      </c>
      <c r="D18" s="318" t="inlineStr">
        <is>
          <t>AAVE</t>
        </is>
      </c>
      <c r="E18" s="320" t="inlineStr">
        <is>
          <t>ETH/BTC</t>
        </is>
      </c>
      <c r="F18" s="321" t="n">
        <v>3</v>
      </c>
      <c r="G18" s="322" t="n">
        <v>0.0517032</v>
      </c>
      <c r="H18" s="271">
        <f>IF(AND(ISNUMBER(F18),ISNUMBER(G18)),F18*G18,"")</f>
        <v/>
      </c>
      <c r="I18" s="321" t="n"/>
      <c r="J18" s="322" t="n"/>
      <c r="K18" s="271">
        <f>IF(AND(ISNUMBER(I18),ISNUMBER(J18)),I18*J18,"")</f>
        <v/>
      </c>
      <c r="L18" s="246">
        <f>IF(COUNT(F18,I18)=0,"",N(F18)-N(I18))</f>
        <v/>
      </c>
      <c r="M18" s="247">
        <f>IF(COUNT(H18,K18)=0,"",N(K18)-N(H18))</f>
        <v/>
      </c>
      <c r="N18" s="246">
        <f>IF(AND(ISNUMBER(F18),ISNUMBER(G18),F18&gt;0,1-N(Ввод!$E$17)/100&gt;0),MAX(0,(F18*G18-SUMPRODUCT((Закрытые!$B$5:$B$300=$B18)*((Закрытые!$F$5:$F$300+Закрытые!$I$5:$I$300-ABS(Закрытые!$F$5:$F$300-Закрытые!$I$5:$I$300))/2)*(Закрытые!$J$5:$J$300-Закрытые!$G$5:$G$300)))/F18)/(1-N(Ввод!$E$17)/100),IF(AND(ISNUMBER(I18),ISNUMBER(J18),I18&gt;0),MAX(0,(I18*J18+SUMPRODUCT((Закрытые!$B$5:$B$300=$B18)*((Закрытые!$F$5:$F$300+Закрытые!$I$5:$I$300-ABS(Закрытые!$F$5:$F$300-Закрытые!$I$5:$I$300))/2)*(Закрытые!$J$5:$J$300-Закрытые!$G$5:$G$300)))/I18)/(1+N(Ввод!$E$17)/100),""))</f>
        <v/>
      </c>
    </row>
    <row r="19" ht="22" customHeight="1">
      <c r="B19" s="313" t="inlineStr">
        <is>
          <t>L-0020</t>
        </is>
      </c>
      <c r="C19" s="314" t="n">
        <v>46303</v>
      </c>
      <c r="D19" s="313" t="inlineStr">
        <is>
          <t>Binance</t>
        </is>
      </c>
      <c r="E19" s="315" t="inlineStr">
        <is>
          <t>ETH/USDT</t>
        </is>
      </c>
      <c r="F19" s="316" t="n"/>
      <c r="G19" s="317" t="n"/>
      <c r="H19" s="271">
        <f>IF(AND(ISNUMBER(F19),ISNUMBER(G19)),F19*G19,"")</f>
        <v/>
      </c>
      <c r="I19" s="316" t="n">
        <v>2</v>
      </c>
      <c r="J19" s="317" t="n">
        <v>3203.58</v>
      </c>
      <c r="K19" s="271">
        <f>IF(AND(ISNUMBER(I19),ISNUMBER(J19)),I19*J19,"")</f>
        <v/>
      </c>
      <c r="L19" s="240">
        <f>IF(COUNT(F19,I19)=0,"",N(F19)-N(I19))</f>
        <v/>
      </c>
      <c r="M19" s="241">
        <f>IF(COUNT(H19,K19)=0,"",N(K19)-N(H19))</f>
        <v/>
      </c>
      <c r="N19" s="240">
        <f>IF(AND(ISNUMBER(F19),ISNUMBER(G19),F19&gt;0,1-N(Ввод!$E$17)/100&gt;0),MAX(0,(F19*G19-SUMPRODUCT((Закрытые!$B$5:$B$300=$B19)*((Закрытые!$F$5:$F$300+Закрытые!$I$5:$I$300-ABS(Закрытые!$F$5:$F$300-Закрытые!$I$5:$I$300))/2)*(Закрытые!$J$5:$J$300-Закрытые!$G$5:$G$300)))/F19)/(1-N(Ввод!$E$17)/100),IF(AND(ISNUMBER(I19),ISNUMBER(J19),I19&gt;0),MAX(0,(I19*J19+SUMPRODUCT((Закрытые!$B$5:$B$300=$B19)*((Закрытые!$F$5:$F$300+Закрытые!$I$5:$I$300-ABS(Закрытые!$F$5:$F$300-Закрытые!$I$5:$I$300))/2)*(Закрытые!$J$5:$J$300-Закрытые!$G$5:$G$300)))/I19)/(1+N(Ввод!$E$17)/100),""))</f>
        <v/>
      </c>
    </row>
    <row r="20" ht="22" customHeight="1">
      <c r="B20" s="318" t="inlineStr">
        <is>
          <t>L-0026</t>
        </is>
      </c>
      <c r="C20" s="319" t="n">
        <v>46303</v>
      </c>
      <c r="D20" s="318" t="inlineStr">
        <is>
          <t>Binance</t>
        </is>
      </c>
      <c r="E20" s="320" t="inlineStr">
        <is>
          <t>BNB/ETH</t>
        </is>
      </c>
      <c r="F20" s="321" t="n"/>
      <c r="G20" s="322" t="n"/>
      <c r="H20" s="271">
        <f>IF(AND(ISNUMBER(F20),ISNUMBER(G20)),F20*G20,"")</f>
        <v/>
      </c>
      <c r="I20" s="321" t="n">
        <v>7</v>
      </c>
      <c r="J20" s="322" t="n">
        <v>0.188622</v>
      </c>
      <c r="K20" s="271">
        <f>IF(AND(ISNUMBER(I20),ISNUMBER(J20)),I20*J20,"")</f>
        <v/>
      </c>
      <c r="L20" s="246">
        <f>IF(COUNT(F20,I20)=0,"",N(F20)-N(I20))</f>
        <v/>
      </c>
      <c r="M20" s="247">
        <f>IF(COUNT(H20,K20)=0,"",N(K20)-N(H20))</f>
        <v/>
      </c>
      <c r="N20" s="246">
        <f>IF(AND(ISNUMBER(F20),ISNUMBER(G20),F20&gt;0,1-N(Ввод!$E$17)/100&gt;0),MAX(0,(F20*G20-SUMPRODUCT((Закрытые!$B$5:$B$300=$B20)*((Закрытые!$F$5:$F$300+Закрытые!$I$5:$I$300-ABS(Закрытые!$F$5:$F$300-Закрытые!$I$5:$I$300))/2)*(Закрытые!$J$5:$J$300-Закрытые!$G$5:$G$300)))/F20)/(1-N(Ввод!$E$17)/100),IF(AND(ISNUMBER(I20),ISNUMBER(J20),I20&gt;0),MAX(0,(I20*J20+SUMPRODUCT((Закрытые!$B$5:$B$300=$B20)*((Закрытые!$F$5:$F$300+Закрытые!$I$5:$I$300-ABS(Закрытые!$F$5:$F$300-Закрытые!$I$5:$I$300))/2)*(Закрытые!$J$5:$J$300-Закрытые!$G$5:$G$300)))/I20)/(1+N(Ввод!$E$17)/100),""))</f>
        <v/>
      </c>
    </row>
    <row r="21" ht="22" customHeight="1">
      <c r="B21" s="313" t="inlineStr">
        <is>
          <t>L-0027</t>
        </is>
      </c>
      <c r="C21" s="314" t="n">
        <v>46303</v>
      </c>
      <c r="D21" s="313" t="inlineStr">
        <is>
          <t>Bybit</t>
        </is>
      </c>
      <c r="E21" s="315" t="inlineStr">
        <is>
          <t>CAKE/BTC</t>
        </is>
      </c>
      <c r="F21" s="316" t="n">
        <v>400</v>
      </c>
      <c r="G21" s="317" t="n">
        <v>3.858e-05</v>
      </c>
      <c r="H21" s="271">
        <f>IF(AND(ISNUMBER(F21),ISNUMBER(G21)),F21*G21,"")</f>
        <v/>
      </c>
      <c r="I21" s="316" t="n"/>
      <c r="J21" s="317" t="n"/>
      <c r="K21" s="271">
        <f>IF(AND(ISNUMBER(I21),ISNUMBER(J21)),I21*J21,"")</f>
        <v/>
      </c>
      <c r="L21" s="240">
        <f>IF(COUNT(F21,I21)=0,"",N(F21)-N(I21))</f>
        <v/>
      </c>
      <c r="M21" s="241">
        <f>IF(COUNT(H21,K21)=0,"",N(K21)-N(H21))</f>
        <v/>
      </c>
      <c r="N21" s="240">
        <f>IF(AND(ISNUMBER(F21),ISNUMBER(G21),F21&gt;0,1-N(Ввод!$E$17)/100&gt;0),MAX(0,(F21*G21-SUMPRODUCT((Закрытые!$B$5:$B$300=$B21)*((Закрытые!$F$5:$F$300+Закрытые!$I$5:$I$300-ABS(Закрытые!$F$5:$F$300-Закрытые!$I$5:$I$300))/2)*(Закрытые!$J$5:$J$300-Закрытые!$G$5:$G$300)))/F21)/(1-N(Ввод!$E$17)/100),IF(AND(ISNUMBER(I21),ISNUMBER(J21),I21&gt;0),MAX(0,(I21*J21+SUMPRODUCT((Закрытые!$B$5:$B$300=$B21)*((Закрытые!$F$5:$F$300+Закрытые!$I$5:$I$300-ABS(Закрытые!$F$5:$F$300-Закрытые!$I$5:$I$300))/2)*(Закрытые!$J$5:$J$300-Закрытые!$G$5:$G$300)))/I21)/(1+N(Ввод!$E$17)/100),""))</f>
        <v/>
      </c>
    </row>
    <row r="22" ht="22" customHeight="1">
      <c r="B22" s="318" t="inlineStr">
        <is>
          <t>L-0028</t>
        </is>
      </c>
      <c r="C22" s="319" t="n">
        <v>46303</v>
      </c>
      <c r="D22" s="318" t="inlineStr">
        <is>
          <t>AAVE</t>
        </is>
      </c>
      <c r="E22" s="320" t="inlineStr">
        <is>
          <t>ETH/BTC</t>
        </is>
      </c>
      <c r="F22" s="321" t="n"/>
      <c r="G22" s="322" t="n"/>
      <c r="H22" s="271">
        <f>IF(AND(ISNUMBER(F22),ISNUMBER(G22)),F22*G22,"")</f>
        <v/>
      </c>
      <c r="I22" s="321" t="n">
        <v>2.5</v>
      </c>
      <c r="J22" s="322" t="n">
        <v>0.0516964</v>
      </c>
      <c r="K22" s="271">
        <f>IF(AND(ISNUMBER(I22),ISNUMBER(J22)),I22*J22,"")</f>
        <v/>
      </c>
      <c r="L22" s="246">
        <f>IF(COUNT(F22,I22)=0,"",N(F22)-N(I22))</f>
        <v/>
      </c>
      <c r="M22" s="247">
        <f>IF(COUNT(H22,K22)=0,"",N(K22)-N(H22))</f>
        <v/>
      </c>
      <c r="N22" s="246">
        <f>IF(AND(ISNUMBER(F22),ISNUMBER(G22),F22&gt;0,1-N(Ввод!$E$17)/100&gt;0),MAX(0,(F22*G22-SUMPRODUCT((Закрытые!$B$5:$B$300=$B22)*((Закрытые!$F$5:$F$300+Закрытые!$I$5:$I$300-ABS(Закрытые!$F$5:$F$300-Закрытые!$I$5:$I$300))/2)*(Закрытые!$J$5:$J$300-Закрытые!$G$5:$G$300)))/F22)/(1-N(Ввод!$E$17)/100),IF(AND(ISNUMBER(I22),ISNUMBER(J22),I22&gt;0),MAX(0,(I22*J22+SUMPRODUCT((Закрытые!$B$5:$B$300=$B22)*((Закрытые!$F$5:$F$300+Закрытые!$I$5:$I$300-ABS(Закрытые!$F$5:$F$300-Закрытые!$I$5:$I$300))/2)*(Закрытые!$J$5:$J$300-Закрытые!$G$5:$G$300)))/I22)/(1+N(Ввод!$E$17)/100),""))</f>
        <v/>
      </c>
    </row>
    <row r="23" ht="22" customHeight="1">
      <c r="B23" s="313" t="inlineStr">
        <is>
          <t>L-0029</t>
        </is>
      </c>
      <c r="C23" s="314" t="n">
        <v>46304</v>
      </c>
      <c r="D23" s="313" t="inlineStr">
        <is>
          <t>OKX</t>
        </is>
      </c>
      <c r="E23" s="315" t="inlineStr">
        <is>
          <t>BNB/ETH</t>
        </is>
      </c>
      <c r="F23" s="316" t="n">
        <v>5</v>
      </c>
      <c r="G23" s="317" t="n">
        <v>0.187374</v>
      </c>
      <c r="H23" s="271">
        <f>IF(AND(ISNUMBER(F23),ISNUMBER(G23)),F23*G23,"")</f>
        <v/>
      </c>
      <c r="I23" s="316" t="n"/>
      <c r="J23" s="317" t="n"/>
      <c r="K23" s="271">
        <f>IF(AND(ISNUMBER(I23),ISNUMBER(J23)),I23*J23,"")</f>
        <v/>
      </c>
      <c r="L23" s="240">
        <f>IF(COUNT(F23,I23)=0,"",N(F23)-N(I23))</f>
        <v/>
      </c>
      <c r="M23" s="241">
        <f>IF(COUNT(H23,K23)=0,"",N(K23)-N(H23))</f>
        <v/>
      </c>
      <c r="N23" s="240">
        <f>IF(AND(ISNUMBER(F23),ISNUMBER(G23),F23&gt;0,1-N(Ввод!$E$17)/100&gt;0),MAX(0,(F23*G23-SUMPRODUCT((Закрытые!$B$5:$B$300=$B23)*((Закрытые!$F$5:$F$300+Закрытые!$I$5:$I$300-ABS(Закрытые!$F$5:$F$300-Закрытые!$I$5:$I$300))/2)*(Закрытые!$J$5:$J$300-Закрытые!$G$5:$G$300)))/F23)/(1-N(Ввод!$E$17)/100),IF(AND(ISNUMBER(I23),ISNUMBER(J23),I23&gt;0),MAX(0,(I23*J23+SUMPRODUCT((Закрытые!$B$5:$B$300=$B23)*((Закрытые!$F$5:$F$300+Закрытые!$I$5:$I$300-ABS(Закрытые!$F$5:$F$300-Закрытые!$I$5:$I$300))/2)*(Закрытые!$J$5:$J$300-Закрытые!$G$5:$G$300)))/I23)/(1+N(Ввод!$E$17)/100),""))</f>
        <v/>
      </c>
    </row>
    <row r="24" ht="22" customHeight="1">
      <c r="B24" s="318" t="inlineStr">
        <is>
          <t>L-0030</t>
        </is>
      </c>
      <c r="C24" s="319" t="n">
        <v>46304</v>
      </c>
      <c r="D24" s="318" t="inlineStr">
        <is>
          <t>Binance</t>
        </is>
      </c>
      <c r="E24" s="320" t="inlineStr">
        <is>
          <t>BTC/USDT</t>
        </is>
      </c>
      <c r="F24" s="321" t="n">
        <v>0.09</v>
      </c>
      <c r="G24" s="322" t="n">
        <v>62023.8</v>
      </c>
      <c r="H24" s="271">
        <f>IF(AND(ISNUMBER(F24),ISNUMBER(G24)),F24*G24,"")</f>
        <v/>
      </c>
      <c r="I24" s="321" t="n"/>
      <c r="J24" s="322" t="n"/>
      <c r="K24" s="271">
        <f>IF(AND(ISNUMBER(I24),ISNUMBER(J24)),I24*J24,"")</f>
        <v/>
      </c>
      <c r="L24" s="246">
        <f>IF(COUNT(F24,I24)=0,"",N(F24)-N(I24))</f>
        <v/>
      </c>
      <c r="M24" s="247">
        <f>IF(COUNT(H24,K24)=0,"",N(K24)-N(H24))</f>
        <v/>
      </c>
      <c r="N24" s="246">
        <f>IF(AND(ISNUMBER(F24),ISNUMBER(G24),F24&gt;0,1-N(Ввод!$E$17)/100&gt;0),MAX(0,(F24*G24-SUMPRODUCT((Закрытые!$B$5:$B$300=$B24)*((Закрытые!$F$5:$F$300+Закрытые!$I$5:$I$300-ABS(Закрытые!$F$5:$F$300-Закрытые!$I$5:$I$300))/2)*(Закрытые!$J$5:$J$300-Закрытые!$G$5:$G$300)))/F24)/(1-N(Ввод!$E$17)/100),IF(AND(ISNUMBER(I24),ISNUMBER(J24),I24&gt;0),MAX(0,(I24*J24+SUMPRODUCT((Закрытые!$B$5:$B$300=$B24)*((Закрытые!$F$5:$F$300+Закрытые!$I$5:$I$300-ABS(Закрытые!$F$5:$F$300-Закрытые!$I$5:$I$300))/2)*(Закрытые!$J$5:$J$300-Закрытые!$G$5:$G$300)))/I24)/(1+N(Ввод!$E$17)/100),""))</f>
        <v/>
      </c>
    </row>
    <row r="25" ht="22" customHeight="1">
      <c r="B25" s="313" t="n"/>
      <c r="C25" s="314" t="n"/>
      <c r="D25" s="313" t="n"/>
      <c r="E25" s="315" t="n"/>
      <c r="F25" s="316" t="n"/>
      <c r="G25" s="317" t="n"/>
      <c r="H25" s="271">
        <f>IF(AND(ISNUMBER(F25),ISNUMBER(G25)),F25*G25,"")</f>
        <v/>
      </c>
      <c r="I25" s="316" t="n"/>
      <c r="J25" s="317" t="n"/>
      <c r="K25" s="271">
        <f>IF(AND(ISNUMBER(I25),ISNUMBER(J25)),I25*J25,"")</f>
        <v/>
      </c>
      <c r="L25" s="240">
        <f>IF(COUNT(F25,I25)=0,"",N(F25)-N(I25))</f>
        <v/>
      </c>
      <c r="M25" s="241">
        <f>IF(COUNT(H25,K25)=0,"",N(K25)-N(H25))</f>
        <v/>
      </c>
      <c r="N25" s="240">
        <f>IF(AND(ISNUMBER(F25),ISNUMBER(G25),F25&gt;0,1-N(Ввод!$E$17)/100&gt;0),MAX(0,(F25*G25-SUMPRODUCT((Закрытые!$B$5:$B$300=$B25)*((Закрытые!$F$5:$F$300+Закрытые!$I$5:$I$300-ABS(Закрытые!$F$5:$F$300-Закрытые!$I$5:$I$300))/2)*(Закрытые!$J$5:$J$300-Закрытые!$G$5:$G$300)))/F25)/(1-N(Ввод!$E$17)/100),IF(AND(ISNUMBER(I25),ISNUMBER(J25),I25&gt;0),MAX(0,(I25*J25+SUMPRODUCT((Закрытые!$B$5:$B$300=$B25)*((Закрытые!$F$5:$F$300+Закрытые!$I$5:$I$300-ABS(Закрытые!$F$5:$F$300-Закрытые!$I$5:$I$300))/2)*(Закрытые!$J$5:$J$300-Закрытые!$G$5:$G$300)))/I25)/(1+N(Ввод!$E$17)/100),""))</f>
        <v/>
      </c>
    </row>
    <row r="26" ht="22" customHeight="1">
      <c r="B26" s="318" t="n"/>
      <c r="C26" s="319" t="n"/>
      <c r="D26" s="318" t="n"/>
      <c r="E26" s="320" t="n"/>
      <c r="F26" s="321" t="n"/>
      <c r="G26" s="322" t="n"/>
      <c r="H26" s="271">
        <f>IF(AND(ISNUMBER(F26),ISNUMBER(G26)),F26*G26,"")</f>
        <v/>
      </c>
      <c r="I26" s="321" t="n"/>
      <c r="J26" s="322" t="n"/>
      <c r="K26" s="271">
        <f>IF(AND(ISNUMBER(I26),ISNUMBER(J26)),I26*J26,"")</f>
        <v/>
      </c>
      <c r="L26" s="246">
        <f>IF(COUNT(F26,I26)=0,"",N(F26)-N(I26))</f>
        <v/>
      </c>
      <c r="M26" s="247">
        <f>IF(COUNT(H26,K26)=0,"",N(K26)-N(H26))</f>
        <v/>
      </c>
      <c r="N26" s="246">
        <f>IF(AND(ISNUMBER(F26),ISNUMBER(G26),F26&gt;0,1-N(Ввод!$E$17)/100&gt;0),MAX(0,(F26*G26-SUMPRODUCT((Закрытые!$B$5:$B$300=$B26)*((Закрытые!$F$5:$F$300+Закрытые!$I$5:$I$300-ABS(Закрытые!$F$5:$F$300-Закрытые!$I$5:$I$300))/2)*(Закрытые!$J$5:$J$300-Закрытые!$G$5:$G$300)))/F26)/(1-N(Ввод!$E$17)/100),IF(AND(ISNUMBER(I26),ISNUMBER(J26),I26&gt;0),MAX(0,(I26*J26+SUMPRODUCT((Закрытые!$B$5:$B$300=$B26)*((Закрытые!$F$5:$F$300+Закрытые!$I$5:$I$300-ABS(Закрытые!$F$5:$F$300-Закрытые!$I$5:$I$300))/2)*(Закрытые!$J$5:$J$300-Закрытые!$G$5:$G$300)))/I26)/(1+N(Ввод!$E$17)/100),""))</f>
        <v/>
      </c>
    </row>
    <row r="27" ht="22" customHeight="1">
      <c r="B27" s="313" t="n"/>
      <c r="C27" s="314" t="n"/>
      <c r="D27" s="313" t="n"/>
      <c r="E27" s="315" t="n"/>
      <c r="F27" s="316" t="n"/>
      <c r="G27" s="317" t="n"/>
      <c r="H27" s="271">
        <f>IF(AND(ISNUMBER(F27),ISNUMBER(G27)),F27*G27,"")</f>
        <v/>
      </c>
      <c r="I27" s="316" t="n"/>
      <c r="J27" s="317" t="n"/>
      <c r="K27" s="271">
        <f>IF(AND(ISNUMBER(I27),ISNUMBER(J27)),I27*J27,"")</f>
        <v/>
      </c>
      <c r="L27" s="240">
        <f>IF(COUNT(F27,I27)=0,"",N(F27)-N(I27))</f>
        <v/>
      </c>
      <c r="M27" s="241">
        <f>IF(COUNT(H27,K27)=0,"",N(K27)-N(H27))</f>
        <v/>
      </c>
      <c r="N27" s="240">
        <f>IF(AND(ISNUMBER(F27),ISNUMBER(G27),F27&gt;0,1-N(Ввод!$E$17)/100&gt;0),MAX(0,(F27*G27-SUMPRODUCT((Закрытые!$B$5:$B$300=$B27)*((Закрытые!$F$5:$F$300+Закрытые!$I$5:$I$300-ABS(Закрытые!$F$5:$F$300-Закрытые!$I$5:$I$300))/2)*(Закрытые!$J$5:$J$300-Закрытые!$G$5:$G$300)))/F27)/(1-N(Ввод!$E$17)/100),IF(AND(ISNUMBER(I27),ISNUMBER(J27),I27&gt;0),MAX(0,(I27*J27+SUMPRODUCT((Закрытые!$B$5:$B$300=$B27)*((Закрытые!$F$5:$F$300+Закрытые!$I$5:$I$300-ABS(Закрытые!$F$5:$F$300-Закрытые!$I$5:$I$300))/2)*(Закрытые!$J$5:$J$300-Закрытые!$G$5:$G$300)))/I27)/(1+N(Ввод!$E$17)/100),""))</f>
        <v/>
      </c>
    </row>
    <row r="28" ht="22" customHeight="1">
      <c r="B28" s="318" t="n"/>
      <c r="C28" s="319" t="n"/>
      <c r="D28" s="318" t="n"/>
      <c r="E28" s="320" t="n"/>
      <c r="F28" s="321" t="n"/>
      <c r="G28" s="322" t="n"/>
      <c r="H28" s="271">
        <f>IF(AND(ISNUMBER(F28),ISNUMBER(G28)),F28*G28,"")</f>
        <v/>
      </c>
      <c r="I28" s="321" t="n"/>
      <c r="J28" s="322" t="n"/>
      <c r="K28" s="271">
        <f>IF(AND(ISNUMBER(I28),ISNUMBER(J28)),I28*J28,"")</f>
        <v/>
      </c>
      <c r="L28" s="246">
        <f>IF(COUNT(F28,I28)=0,"",N(F28)-N(I28))</f>
        <v/>
      </c>
      <c r="M28" s="247">
        <f>IF(COUNT(H28,K28)=0,"",N(K28)-N(H28))</f>
        <v/>
      </c>
      <c r="N28" s="246">
        <f>IF(AND(ISNUMBER(F28),ISNUMBER(G28),F28&gt;0,1-N(Ввод!$E$17)/100&gt;0),MAX(0,(F28*G28-SUMPRODUCT((Закрытые!$B$5:$B$300=$B28)*((Закрытые!$F$5:$F$300+Закрытые!$I$5:$I$300-ABS(Закрытые!$F$5:$F$300-Закрытые!$I$5:$I$300))/2)*(Закрытые!$J$5:$J$300-Закрытые!$G$5:$G$300)))/F28)/(1-N(Ввод!$E$17)/100),IF(AND(ISNUMBER(I28),ISNUMBER(J28),I28&gt;0),MAX(0,(I28*J28+SUMPRODUCT((Закрытые!$B$5:$B$300=$B28)*((Закрытые!$F$5:$F$300+Закрытые!$I$5:$I$300-ABS(Закрытые!$F$5:$F$300-Закрытые!$I$5:$I$300))/2)*(Закрытые!$J$5:$J$300-Закрытые!$G$5:$G$300)))/I28)/(1+N(Ввод!$E$17)/100),""))</f>
        <v/>
      </c>
    </row>
    <row r="29" ht="22" customHeight="1">
      <c r="B29" s="313" t="n"/>
      <c r="C29" s="314" t="n"/>
      <c r="D29" s="313" t="n"/>
      <c r="E29" s="315" t="n"/>
      <c r="F29" s="316" t="n"/>
      <c r="G29" s="317" t="n"/>
      <c r="H29" s="271">
        <f>IF(AND(ISNUMBER(F29),ISNUMBER(G29)),F29*G29,"")</f>
        <v/>
      </c>
      <c r="I29" s="316" t="n"/>
      <c r="J29" s="317" t="n"/>
      <c r="K29" s="271">
        <f>IF(AND(ISNUMBER(I29),ISNUMBER(J29)),I29*J29,"")</f>
        <v/>
      </c>
      <c r="L29" s="240">
        <f>IF(COUNT(F29,I29)=0,"",N(F29)-N(I29))</f>
        <v/>
      </c>
      <c r="M29" s="241">
        <f>IF(COUNT(H29,K29)=0,"",N(K29)-N(H29))</f>
        <v/>
      </c>
      <c r="N29" s="240">
        <f>IF(AND(ISNUMBER(F29),ISNUMBER(G29),F29&gt;0,1-N(Ввод!$E$17)/100&gt;0),MAX(0,(F29*G29-SUMPRODUCT((Закрытые!$B$5:$B$300=$B29)*((Закрытые!$F$5:$F$300+Закрытые!$I$5:$I$300-ABS(Закрытые!$F$5:$F$300-Закрытые!$I$5:$I$300))/2)*(Закрытые!$J$5:$J$300-Закрытые!$G$5:$G$300)))/F29)/(1-N(Ввод!$E$17)/100),IF(AND(ISNUMBER(I29),ISNUMBER(J29),I29&gt;0),MAX(0,(I29*J29+SUMPRODUCT((Закрытые!$B$5:$B$300=$B29)*((Закрытые!$F$5:$F$300+Закрытые!$I$5:$I$300-ABS(Закрытые!$F$5:$F$300-Закрытые!$I$5:$I$300))/2)*(Закрытые!$J$5:$J$300-Закрытые!$G$5:$G$300)))/I29)/(1+N(Ввод!$E$17)/100),""))</f>
        <v/>
      </c>
    </row>
    <row r="30" ht="22" customHeight="1">
      <c r="B30" s="318" t="n"/>
      <c r="C30" s="319" t="n"/>
      <c r="D30" s="318" t="n"/>
      <c r="E30" s="320" t="n"/>
      <c r="F30" s="321" t="n"/>
      <c r="G30" s="322" t="n"/>
      <c r="H30" s="271">
        <f>IF(AND(ISNUMBER(F30),ISNUMBER(G30)),F30*G30,"")</f>
        <v/>
      </c>
      <c r="I30" s="321" t="n"/>
      <c r="J30" s="322" t="n"/>
      <c r="K30" s="271">
        <f>IF(AND(ISNUMBER(I30),ISNUMBER(J30)),I30*J30,"")</f>
        <v/>
      </c>
      <c r="L30" s="246">
        <f>IF(COUNT(F30,I30)=0,"",N(F30)-N(I30))</f>
        <v/>
      </c>
      <c r="M30" s="247">
        <f>IF(COUNT(H30,K30)=0,"",N(K30)-N(H30))</f>
        <v/>
      </c>
      <c r="N30" s="246">
        <f>IF(AND(ISNUMBER(F30),ISNUMBER(G30),F30&gt;0,1-N(Ввод!$E$17)/100&gt;0),MAX(0,(F30*G30-SUMPRODUCT((Закрытые!$B$5:$B$300=$B30)*((Закрытые!$F$5:$F$300+Закрытые!$I$5:$I$300-ABS(Закрытые!$F$5:$F$300-Закрытые!$I$5:$I$300))/2)*(Закрытые!$J$5:$J$300-Закрытые!$G$5:$G$300)))/F30)/(1-N(Ввод!$E$17)/100),IF(AND(ISNUMBER(I30),ISNUMBER(J30),I30&gt;0),MAX(0,(I30*J30+SUMPRODUCT((Закрытые!$B$5:$B$300=$B30)*((Закрытые!$F$5:$F$300+Закрытые!$I$5:$I$300-ABS(Закрытые!$F$5:$F$300-Закрытые!$I$5:$I$300))/2)*(Закрытые!$J$5:$J$300-Закрытые!$G$5:$G$300)))/I30)/(1+N(Ввод!$E$17)/100),""))</f>
        <v/>
      </c>
    </row>
    <row r="31" ht="22" customHeight="1">
      <c r="B31" s="313" t="n"/>
      <c r="C31" s="314" t="n"/>
      <c r="D31" s="313" t="n"/>
      <c r="E31" s="315" t="n"/>
      <c r="F31" s="316" t="n"/>
      <c r="G31" s="317" t="n"/>
      <c r="H31" s="271">
        <f>IF(AND(ISNUMBER(F31),ISNUMBER(G31)),F31*G31,"")</f>
        <v/>
      </c>
      <c r="I31" s="316" t="n"/>
      <c r="J31" s="317" t="n"/>
      <c r="K31" s="271">
        <f>IF(AND(ISNUMBER(I31),ISNUMBER(J31)),I31*J31,"")</f>
        <v/>
      </c>
      <c r="L31" s="240">
        <f>IF(COUNT(F31,I31)=0,"",N(F31)-N(I31))</f>
        <v/>
      </c>
      <c r="M31" s="241">
        <f>IF(COUNT(H31,K31)=0,"",N(K31)-N(H31))</f>
        <v/>
      </c>
      <c r="N31" s="240">
        <f>IF(AND(ISNUMBER(F31),ISNUMBER(G31),F31&gt;0,1-N(Ввод!$E$17)/100&gt;0),MAX(0,(F31*G31-SUMPRODUCT((Закрытые!$B$5:$B$300=$B31)*((Закрытые!$F$5:$F$300+Закрытые!$I$5:$I$300-ABS(Закрытые!$F$5:$F$300-Закрытые!$I$5:$I$300))/2)*(Закрытые!$J$5:$J$300-Закрытые!$G$5:$G$300)))/F31)/(1-N(Ввод!$E$17)/100),IF(AND(ISNUMBER(I31),ISNUMBER(J31),I31&gt;0),MAX(0,(I31*J31+SUMPRODUCT((Закрытые!$B$5:$B$300=$B31)*((Закрытые!$F$5:$F$300+Закрытые!$I$5:$I$300-ABS(Закрытые!$F$5:$F$300-Закрытые!$I$5:$I$300))/2)*(Закрытые!$J$5:$J$300-Закрытые!$G$5:$G$300)))/I31)/(1+N(Ввод!$E$17)/100),""))</f>
        <v/>
      </c>
    </row>
    <row r="32" ht="22" customHeight="1">
      <c r="B32" s="318" t="n"/>
      <c r="C32" s="319" t="n"/>
      <c r="D32" s="318" t="n"/>
      <c r="E32" s="320" t="n"/>
      <c r="F32" s="321" t="n"/>
      <c r="G32" s="322" t="n"/>
      <c r="H32" s="271">
        <f>IF(AND(ISNUMBER(F32),ISNUMBER(G32)),F32*G32,"")</f>
        <v/>
      </c>
      <c r="I32" s="321" t="n"/>
      <c r="J32" s="322" t="n"/>
      <c r="K32" s="271">
        <f>IF(AND(ISNUMBER(I32),ISNUMBER(J32)),I32*J32,"")</f>
        <v/>
      </c>
      <c r="L32" s="246">
        <f>IF(COUNT(F32,I32)=0,"",N(F32)-N(I32))</f>
        <v/>
      </c>
      <c r="M32" s="247">
        <f>IF(COUNT(H32,K32)=0,"",N(K32)-N(H32))</f>
        <v/>
      </c>
      <c r="N32" s="246">
        <f>IF(AND(ISNUMBER(F32),ISNUMBER(G32),F32&gt;0,1-N(Ввод!$E$17)/100&gt;0),MAX(0,(F32*G32-SUMPRODUCT((Закрытые!$B$5:$B$300=$B32)*((Закрытые!$F$5:$F$300+Закрытые!$I$5:$I$300-ABS(Закрытые!$F$5:$F$300-Закрытые!$I$5:$I$300))/2)*(Закрытые!$J$5:$J$300-Закрытые!$G$5:$G$300)))/F32)/(1-N(Ввод!$E$17)/100),IF(AND(ISNUMBER(I32),ISNUMBER(J32),I32&gt;0),MAX(0,(I32*J32+SUMPRODUCT((Закрытые!$B$5:$B$300=$B32)*((Закрытые!$F$5:$F$300+Закрытые!$I$5:$I$300-ABS(Закрытые!$F$5:$F$300-Закрытые!$I$5:$I$300))/2)*(Закрытые!$J$5:$J$300-Закрытые!$G$5:$G$300)))/I32)/(1+N(Ввод!$E$17)/100),""))</f>
        <v/>
      </c>
    </row>
    <row r="33" ht="22" customHeight="1">
      <c r="B33" s="313" t="n"/>
      <c r="C33" s="314" t="n"/>
      <c r="D33" s="313" t="n"/>
      <c r="E33" s="315" t="n"/>
      <c r="F33" s="316" t="n"/>
      <c r="G33" s="317" t="n"/>
      <c r="H33" s="271">
        <f>IF(AND(ISNUMBER(F33),ISNUMBER(G33)),F33*G33,"")</f>
        <v/>
      </c>
      <c r="I33" s="316" t="n"/>
      <c r="J33" s="317" t="n"/>
      <c r="K33" s="271">
        <f>IF(AND(ISNUMBER(I33),ISNUMBER(J33)),I33*J33,"")</f>
        <v/>
      </c>
      <c r="L33" s="240">
        <f>IF(COUNT(F33,I33)=0,"",N(F33)-N(I33))</f>
        <v/>
      </c>
      <c r="M33" s="241">
        <f>IF(COUNT(H33,K33)=0,"",N(K33)-N(H33))</f>
        <v/>
      </c>
      <c r="N33" s="240">
        <f>IF(AND(ISNUMBER(F33),ISNUMBER(G33),F33&gt;0,1-N(Ввод!$E$17)/100&gt;0),MAX(0,(F33*G33-SUMPRODUCT((Закрытые!$B$5:$B$300=$B33)*((Закрытые!$F$5:$F$300+Закрытые!$I$5:$I$300-ABS(Закрытые!$F$5:$F$300-Закрытые!$I$5:$I$300))/2)*(Закрытые!$J$5:$J$300-Закрытые!$G$5:$G$300)))/F33)/(1-N(Ввод!$E$17)/100),IF(AND(ISNUMBER(I33),ISNUMBER(J33),I33&gt;0),MAX(0,(I33*J33+SUMPRODUCT((Закрытые!$B$5:$B$300=$B33)*((Закрытые!$F$5:$F$300+Закрытые!$I$5:$I$300-ABS(Закрытые!$F$5:$F$300-Закрытые!$I$5:$I$300))/2)*(Закрытые!$J$5:$J$300-Закрытые!$G$5:$G$300)))/I33)/(1+N(Ввод!$E$17)/100),""))</f>
        <v/>
      </c>
    </row>
    <row r="34" ht="22" customHeight="1">
      <c r="B34" s="318" t="n"/>
      <c r="C34" s="319" t="n"/>
      <c r="D34" s="318" t="n"/>
      <c r="E34" s="320" t="n"/>
      <c r="F34" s="321" t="n"/>
      <c r="G34" s="322" t="n"/>
      <c r="H34" s="271">
        <f>IF(AND(ISNUMBER(F34),ISNUMBER(G34)),F34*G34,"")</f>
        <v/>
      </c>
      <c r="I34" s="321" t="n"/>
      <c r="J34" s="322" t="n"/>
      <c r="K34" s="271">
        <f>IF(AND(ISNUMBER(I34),ISNUMBER(J34)),I34*J34,"")</f>
        <v/>
      </c>
      <c r="L34" s="246">
        <f>IF(COUNT(F34,I34)=0,"",N(F34)-N(I34))</f>
        <v/>
      </c>
      <c r="M34" s="247">
        <f>IF(COUNT(H34,K34)=0,"",N(K34)-N(H34))</f>
        <v/>
      </c>
      <c r="N34" s="246">
        <f>IF(AND(ISNUMBER(F34),ISNUMBER(G34),F34&gt;0,1-N(Ввод!$E$17)/100&gt;0),MAX(0,(F34*G34-SUMPRODUCT((Закрытые!$B$5:$B$300=$B34)*((Закрытые!$F$5:$F$300+Закрытые!$I$5:$I$300-ABS(Закрытые!$F$5:$F$300-Закрытые!$I$5:$I$300))/2)*(Закрытые!$J$5:$J$300-Закрытые!$G$5:$G$300)))/F34)/(1-N(Ввод!$E$17)/100),IF(AND(ISNUMBER(I34),ISNUMBER(J34),I34&gt;0),MAX(0,(I34*J34+SUMPRODUCT((Закрытые!$B$5:$B$300=$B34)*((Закрытые!$F$5:$F$300+Закрытые!$I$5:$I$300-ABS(Закрытые!$F$5:$F$300-Закрытые!$I$5:$I$300))/2)*(Закрытые!$J$5:$J$300-Закрытые!$G$5:$G$300)))/I34)/(1+N(Ввод!$E$17)/100),""))</f>
        <v/>
      </c>
    </row>
    <row r="35" ht="22" customHeight="1">
      <c r="B35" s="313" t="n"/>
      <c r="C35" s="314" t="n"/>
      <c r="D35" s="313" t="n"/>
      <c r="E35" s="315" t="n"/>
      <c r="F35" s="316" t="n"/>
      <c r="G35" s="317" t="n"/>
      <c r="H35" s="271">
        <f>IF(AND(ISNUMBER(F35),ISNUMBER(G35)),F35*G35,"")</f>
        <v/>
      </c>
      <c r="I35" s="316" t="n"/>
      <c r="J35" s="317" t="n"/>
      <c r="K35" s="271">
        <f>IF(AND(ISNUMBER(I35),ISNUMBER(J35)),I35*J35,"")</f>
        <v/>
      </c>
      <c r="L35" s="240">
        <f>IF(COUNT(F35,I35)=0,"",N(F35)-N(I35))</f>
        <v/>
      </c>
      <c r="M35" s="241">
        <f>IF(COUNT(H35,K35)=0,"",N(K35)-N(H35))</f>
        <v/>
      </c>
      <c r="N35" s="240">
        <f>IF(AND(ISNUMBER(F35),ISNUMBER(G35),F35&gt;0,1-N(Ввод!$E$17)/100&gt;0),MAX(0,(F35*G35-SUMPRODUCT((Закрытые!$B$5:$B$300=$B35)*((Закрытые!$F$5:$F$300+Закрытые!$I$5:$I$300-ABS(Закрытые!$F$5:$F$300-Закрытые!$I$5:$I$300))/2)*(Закрытые!$J$5:$J$300-Закрытые!$G$5:$G$300)))/F35)/(1-N(Ввод!$E$17)/100),IF(AND(ISNUMBER(I35),ISNUMBER(J35),I35&gt;0),MAX(0,(I35*J35+SUMPRODUCT((Закрытые!$B$5:$B$300=$B35)*((Закрытые!$F$5:$F$300+Закрытые!$I$5:$I$300-ABS(Закрытые!$F$5:$F$300-Закрытые!$I$5:$I$300))/2)*(Закрытые!$J$5:$J$300-Закрытые!$G$5:$G$300)))/I35)/(1+N(Ввод!$E$17)/100),""))</f>
        <v/>
      </c>
    </row>
    <row r="36" ht="22" customHeight="1">
      <c r="B36" s="318" t="n"/>
      <c r="C36" s="319" t="n"/>
      <c r="D36" s="318" t="n"/>
      <c r="E36" s="320" t="n"/>
      <c r="F36" s="321" t="n"/>
      <c r="G36" s="322" t="n"/>
      <c r="H36" s="271">
        <f>IF(AND(ISNUMBER(F36),ISNUMBER(G36)),F36*G36,"")</f>
        <v/>
      </c>
      <c r="I36" s="321" t="n"/>
      <c r="J36" s="322" t="n"/>
      <c r="K36" s="271">
        <f>IF(AND(ISNUMBER(I36),ISNUMBER(J36)),I36*J36,"")</f>
        <v/>
      </c>
      <c r="L36" s="246">
        <f>IF(COUNT(F36,I36)=0,"",N(F36)-N(I36))</f>
        <v/>
      </c>
      <c r="M36" s="247">
        <f>IF(COUNT(H36,K36)=0,"",N(K36)-N(H36))</f>
        <v/>
      </c>
      <c r="N36" s="246">
        <f>IF(AND(ISNUMBER(F36),ISNUMBER(G36),F36&gt;0,1-N(Ввод!$E$17)/100&gt;0),MAX(0,(F36*G36-SUMPRODUCT((Закрытые!$B$5:$B$300=$B36)*((Закрытые!$F$5:$F$300+Закрытые!$I$5:$I$300-ABS(Закрытые!$F$5:$F$300-Закрытые!$I$5:$I$300))/2)*(Закрытые!$J$5:$J$300-Закрытые!$G$5:$G$300)))/F36)/(1-N(Ввод!$E$17)/100),IF(AND(ISNUMBER(I36),ISNUMBER(J36),I36&gt;0),MAX(0,(I36*J36+SUMPRODUCT((Закрытые!$B$5:$B$300=$B36)*((Закрытые!$F$5:$F$300+Закрытые!$I$5:$I$300-ABS(Закрытые!$F$5:$F$300-Закрытые!$I$5:$I$300))/2)*(Закрытые!$J$5:$J$300-Закрытые!$G$5:$G$300)))/I36)/(1+N(Ввод!$E$17)/100),""))</f>
        <v/>
      </c>
    </row>
    <row r="37" ht="22" customHeight="1">
      <c r="B37" s="313" t="n"/>
      <c r="C37" s="314" t="n"/>
      <c r="D37" s="313" t="n"/>
      <c r="E37" s="315" t="n"/>
      <c r="F37" s="316" t="n"/>
      <c r="G37" s="317" t="n"/>
      <c r="H37" s="271">
        <f>IF(AND(ISNUMBER(F37),ISNUMBER(G37)),F37*G37,"")</f>
        <v/>
      </c>
      <c r="I37" s="316" t="n"/>
      <c r="J37" s="317" t="n"/>
      <c r="K37" s="271">
        <f>IF(AND(ISNUMBER(I37),ISNUMBER(J37)),I37*J37,"")</f>
        <v/>
      </c>
      <c r="L37" s="240">
        <f>IF(COUNT(F37,I37)=0,"",N(F37)-N(I37))</f>
        <v/>
      </c>
      <c r="M37" s="241">
        <f>IF(COUNT(H37,K37)=0,"",N(K37)-N(H37))</f>
        <v/>
      </c>
      <c r="N37" s="240">
        <f>IF(AND(ISNUMBER(F37),ISNUMBER(G37),F37&gt;0,1-N(Ввод!$E$17)/100&gt;0),MAX(0,(F37*G37-SUMPRODUCT((Закрытые!$B$5:$B$300=$B37)*((Закрытые!$F$5:$F$300+Закрытые!$I$5:$I$300-ABS(Закрытые!$F$5:$F$300-Закрытые!$I$5:$I$300))/2)*(Закрытые!$J$5:$J$300-Закрытые!$G$5:$G$300)))/F37)/(1-N(Ввод!$E$17)/100),IF(AND(ISNUMBER(I37),ISNUMBER(J37),I37&gt;0),MAX(0,(I37*J37+SUMPRODUCT((Закрытые!$B$5:$B$300=$B37)*((Закрытые!$F$5:$F$300+Закрытые!$I$5:$I$300-ABS(Закрытые!$F$5:$F$300-Закрытые!$I$5:$I$300))/2)*(Закрытые!$J$5:$J$300-Закрытые!$G$5:$G$300)))/I37)/(1+N(Ввод!$E$17)/100),""))</f>
        <v/>
      </c>
    </row>
    <row r="38" ht="22" customHeight="1">
      <c r="B38" s="318" t="n"/>
      <c r="C38" s="319" t="n"/>
      <c r="D38" s="318" t="n"/>
      <c r="E38" s="320" t="n"/>
      <c r="F38" s="321" t="n"/>
      <c r="G38" s="322" t="n"/>
      <c r="H38" s="271">
        <f>IF(AND(ISNUMBER(F38),ISNUMBER(G38)),F38*G38,"")</f>
        <v/>
      </c>
      <c r="I38" s="321" t="n"/>
      <c r="J38" s="322" t="n"/>
      <c r="K38" s="271">
        <f>IF(AND(ISNUMBER(I38),ISNUMBER(J38)),I38*J38,"")</f>
        <v/>
      </c>
      <c r="L38" s="246">
        <f>IF(COUNT(F38,I38)=0,"",N(F38)-N(I38))</f>
        <v/>
      </c>
      <c r="M38" s="247">
        <f>IF(COUNT(H38,K38)=0,"",N(K38)-N(H38))</f>
        <v/>
      </c>
      <c r="N38" s="246">
        <f>IF(AND(ISNUMBER(F38),ISNUMBER(G38),F38&gt;0,1-N(Ввод!$E$17)/100&gt;0),MAX(0,(F38*G38-SUMPRODUCT((Закрытые!$B$5:$B$300=$B38)*((Закрытые!$F$5:$F$300+Закрытые!$I$5:$I$300-ABS(Закрытые!$F$5:$F$300-Закрытые!$I$5:$I$300))/2)*(Закрытые!$J$5:$J$300-Закрытые!$G$5:$G$300)))/F38)/(1-N(Ввод!$E$17)/100),IF(AND(ISNUMBER(I38),ISNUMBER(J38),I38&gt;0),MAX(0,(I38*J38+SUMPRODUCT((Закрытые!$B$5:$B$300=$B38)*((Закрытые!$F$5:$F$300+Закрытые!$I$5:$I$300-ABS(Закрытые!$F$5:$F$300-Закрытые!$I$5:$I$300))/2)*(Закрытые!$J$5:$J$300-Закрытые!$G$5:$G$300)))/I38)/(1+N(Ввод!$E$17)/100),""))</f>
        <v/>
      </c>
    </row>
    <row r="39" ht="22" customHeight="1">
      <c r="B39" s="313" t="n"/>
      <c r="C39" s="314" t="n"/>
      <c r="D39" s="313" t="n"/>
      <c r="E39" s="315" t="n"/>
      <c r="F39" s="316" t="n"/>
      <c r="G39" s="317" t="n"/>
      <c r="H39" s="271">
        <f>IF(AND(ISNUMBER(F39),ISNUMBER(G39)),F39*G39,"")</f>
        <v/>
      </c>
      <c r="I39" s="316" t="n"/>
      <c r="J39" s="317" t="n"/>
      <c r="K39" s="271">
        <f>IF(AND(ISNUMBER(I39),ISNUMBER(J39)),I39*J39,"")</f>
        <v/>
      </c>
      <c r="L39" s="240">
        <f>IF(COUNT(F39,I39)=0,"",N(F39)-N(I39))</f>
        <v/>
      </c>
      <c r="M39" s="241">
        <f>IF(COUNT(H39,K39)=0,"",N(K39)-N(H39))</f>
        <v/>
      </c>
      <c r="N39" s="240">
        <f>IF(AND(ISNUMBER(F39),ISNUMBER(G39),F39&gt;0,1-N(Ввод!$E$17)/100&gt;0),MAX(0,(F39*G39-SUMPRODUCT((Закрытые!$B$5:$B$300=$B39)*((Закрытые!$F$5:$F$300+Закрытые!$I$5:$I$300-ABS(Закрытые!$F$5:$F$300-Закрытые!$I$5:$I$300))/2)*(Закрытые!$J$5:$J$300-Закрытые!$G$5:$G$300)))/F39)/(1-N(Ввод!$E$17)/100),IF(AND(ISNUMBER(I39),ISNUMBER(J39),I39&gt;0),MAX(0,(I39*J39+SUMPRODUCT((Закрытые!$B$5:$B$300=$B39)*((Закрытые!$F$5:$F$300+Закрытые!$I$5:$I$300-ABS(Закрытые!$F$5:$F$300-Закрытые!$I$5:$I$300))/2)*(Закрытые!$J$5:$J$300-Закрытые!$G$5:$G$300)))/I39)/(1+N(Ввод!$E$17)/100),""))</f>
        <v/>
      </c>
    </row>
    <row r="40" ht="22" customHeight="1">
      <c r="B40" s="318" t="n"/>
      <c r="C40" s="319" t="n"/>
      <c r="D40" s="318" t="n"/>
      <c r="E40" s="320" t="n"/>
      <c r="F40" s="321" t="n"/>
      <c r="G40" s="322" t="n"/>
      <c r="H40" s="271">
        <f>IF(AND(ISNUMBER(F40),ISNUMBER(G40)),F40*G40,"")</f>
        <v/>
      </c>
      <c r="I40" s="321" t="n"/>
      <c r="J40" s="322" t="n"/>
      <c r="K40" s="271">
        <f>IF(AND(ISNUMBER(I40),ISNUMBER(J40)),I40*J40,"")</f>
        <v/>
      </c>
      <c r="L40" s="246">
        <f>IF(COUNT(F40,I40)=0,"",N(F40)-N(I40))</f>
        <v/>
      </c>
      <c r="M40" s="247">
        <f>IF(COUNT(H40,K40)=0,"",N(K40)-N(H40))</f>
        <v/>
      </c>
      <c r="N40" s="246">
        <f>IF(AND(ISNUMBER(F40),ISNUMBER(G40),F40&gt;0,1-N(Ввод!$E$17)/100&gt;0),MAX(0,(F40*G40-SUMPRODUCT((Закрытые!$B$5:$B$300=$B40)*((Закрытые!$F$5:$F$300+Закрытые!$I$5:$I$300-ABS(Закрытые!$F$5:$F$300-Закрытые!$I$5:$I$300))/2)*(Закрытые!$J$5:$J$300-Закрытые!$G$5:$G$300)))/F40)/(1-N(Ввод!$E$17)/100),IF(AND(ISNUMBER(I40),ISNUMBER(J40),I40&gt;0),MAX(0,(I40*J40+SUMPRODUCT((Закрытые!$B$5:$B$300=$B40)*((Закрытые!$F$5:$F$300+Закрытые!$I$5:$I$300-ABS(Закрытые!$F$5:$F$300-Закрытые!$I$5:$I$300))/2)*(Закрытые!$J$5:$J$300-Закрытые!$G$5:$G$300)))/I40)/(1+N(Ввод!$E$17)/100),""))</f>
        <v/>
      </c>
    </row>
    <row r="41" ht="22" customHeight="1">
      <c r="B41" s="313" t="n"/>
      <c r="C41" s="314" t="n"/>
      <c r="D41" s="313" t="n"/>
      <c r="E41" s="315" t="n"/>
      <c r="F41" s="316" t="n"/>
      <c r="G41" s="317" t="n"/>
      <c r="H41" s="271">
        <f>IF(AND(ISNUMBER(F41),ISNUMBER(G41)),F41*G41,"")</f>
        <v/>
      </c>
      <c r="I41" s="316" t="n"/>
      <c r="J41" s="317" t="n"/>
      <c r="K41" s="271">
        <f>IF(AND(ISNUMBER(I41),ISNUMBER(J41)),I41*J41,"")</f>
        <v/>
      </c>
      <c r="L41" s="240">
        <f>IF(COUNT(F41,I41)=0,"",N(F41)-N(I41))</f>
        <v/>
      </c>
      <c r="M41" s="241">
        <f>IF(COUNT(H41,K41)=0,"",N(K41)-N(H41))</f>
        <v/>
      </c>
      <c r="N41" s="240">
        <f>IF(AND(ISNUMBER(F41),ISNUMBER(G41),F41&gt;0,1-N(Ввод!$E$17)/100&gt;0),MAX(0,(F41*G41-SUMPRODUCT((Закрытые!$B$5:$B$300=$B41)*((Закрытые!$F$5:$F$300+Закрытые!$I$5:$I$300-ABS(Закрытые!$F$5:$F$300-Закрытые!$I$5:$I$300))/2)*(Закрытые!$J$5:$J$300-Закрытые!$G$5:$G$300)))/F41)/(1-N(Ввод!$E$17)/100),IF(AND(ISNUMBER(I41),ISNUMBER(J41),I41&gt;0),MAX(0,(I41*J41+SUMPRODUCT((Закрытые!$B$5:$B$300=$B41)*((Закрытые!$F$5:$F$300+Закрытые!$I$5:$I$300-ABS(Закрытые!$F$5:$F$300-Закрытые!$I$5:$I$300))/2)*(Закрытые!$J$5:$J$300-Закрытые!$G$5:$G$300)))/I41)/(1+N(Ввод!$E$17)/100),""))</f>
        <v/>
      </c>
    </row>
    <row r="42" ht="22" customHeight="1">
      <c r="B42" s="318" t="n"/>
      <c r="C42" s="319" t="n"/>
      <c r="D42" s="318" t="n"/>
      <c r="E42" s="320" t="n"/>
      <c r="F42" s="321" t="n"/>
      <c r="G42" s="322" t="n"/>
      <c r="H42" s="271">
        <f>IF(AND(ISNUMBER(F42),ISNUMBER(G42)),F42*G42,"")</f>
        <v/>
      </c>
      <c r="I42" s="321" t="n"/>
      <c r="J42" s="322" t="n"/>
      <c r="K42" s="271">
        <f>IF(AND(ISNUMBER(I42),ISNUMBER(J42)),I42*J42,"")</f>
        <v/>
      </c>
      <c r="L42" s="246">
        <f>IF(COUNT(F42,I42)=0,"",N(F42)-N(I42))</f>
        <v/>
      </c>
      <c r="M42" s="247">
        <f>IF(COUNT(H42,K42)=0,"",N(K42)-N(H42))</f>
        <v/>
      </c>
      <c r="N42" s="246">
        <f>IF(AND(ISNUMBER(F42),ISNUMBER(G42),F42&gt;0,1-N(Ввод!$E$17)/100&gt;0),MAX(0,(F42*G42-SUMPRODUCT((Закрытые!$B$5:$B$300=$B42)*((Закрытые!$F$5:$F$300+Закрытые!$I$5:$I$300-ABS(Закрытые!$F$5:$F$300-Закрытые!$I$5:$I$300))/2)*(Закрытые!$J$5:$J$300-Закрытые!$G$5:$G$300)))/F42)/(1-N(Ввод!$E$17)/100),IF(AND(ISNUMBER(I42),ISNUMBER(J42),I42&gt;0),MAX(0,(I42*J42+SUMPRODUCT((Закрытые!$B$5:$B$300=$B42)*((Закрытые!$F$5:$F$300+Закрытые!$I$5:$I$300-ABS(Закрытые!$F$5:$F$300-Закрытые!$I$5:$I$300))/2)*(Закрытые!$J$5:$J$300-Закрытые!$G$5:$G$300)))/I42)/(1+N(Ввод!$E$17)/100),""))</f>
        <v/>
      </c>
    </row>
    <row r="43" ht="22" customHeight="1">
      <c r="B43" s="313" t="n"/>
      <c r="C43" s="314" t="n"/>
      <c r="D43" s="313" t="n"/>
      <c r="E43" s="315" t="n"/>
      <c r="F43" s="316" t="n"/>
      <c r="G43" s="317" t="n"/>
      <c r="H43" s="271">
        <f>IF(AND(ISNUMBER(F43),ISNUMBER(G43)),F43*G43,"")</f>
        <v/>
      </c>
      <c r="I43" s="316" t="n"/>
      <c r="J43" s="317" t="n"/>
      <c r="K43" s="271">
        <f>IF(AND(ISNUMBER(I43),ISNUMBER(J43)),I43*J43,"")</f>
        <v/>
      </c>
      <c r="L43" s="240">
        <f>IF(COUNT(F43,I43)=0,"",N(F43)-N(I43))</f>
        <v/>
      </c>
      <c r="M43" s="241">
        <f>IF(COUNT(H43,K43)=0,"",N(K43)-N(H43))</f>
        <v/>
      </c>
      <c r="N43" s="240">
        <f>IF(AND(ISNUMBER(F43),ISNUMBER(G43),F43&gt;0,1-N(Ввод!$E$17)/100&gt;0),MAX(0,(F43*G43-SUMPRODUCT((Закрытые!$B$5:$B$300=$B43)*((Закрытые!$F$5:$F$300+Закрытые!$I$5:$I$300-ABS(Закрытые!$F$5:$F$300-Закрытые!$I$5:$I$300))/2)*(Закрытые!$J$5:$J$300-Закрытые!$G$5:$G$300)))/F43)/(1-N(Ввод!$E$17)/100),IF(AND(ISNUMBER(I43),ISNUMBER(J43),I43&gt;0),MAX(0,(I43*J43+SUMPRODUCT((Закрытые!$B$5:$B$300=$B43)*((Закрытые!$F$5:$F$300+Закрытые!$I$5:$I$300-ABS(Закрытые!$F$5:$F$300-Закрытые!$I$5:$I$300))/2)*(Закрытые!$J$5:$J$300-Закрытые!$G$5:$G$300)))/I43)/(1+N(Ввод!$E$17)/100),""))</f>
        <v/>
      </c>
    </row>
    <row r="44" ht="22" customHeight="1">
      <c r="B44" s="318" t="n"/>
      <c r="C44" s="319" t="n"/>
      <c r="D44" s="318" t="n"/>
      <c r="E44" s="320" t="n"/>
      <c r="F44" s="321" t="n"/>
      <c r="G44" s="322" t="n"/>
      <c r="H44" s="271">
        <f>IF(AND(ISNUMBER(F44),ISNUMBER(G44)),F44*G44,"")</f>
        <v/>
      </c>
      <c r="I44" s="321" t="n"/>
      <c r="J44" s="322" t="n"/>
      <c r="K44" s="271">
        <f>IF(AND(ISNUMBER(I44),ISNUMBER(J44)),I44*J44,"")</f>
        <v/>
      </c>
      <c r="L44" s="246">
        <f>IF(COUNT(F44,I44)=0,"",N(F44)-N(I44))</f>
        <v/>
      </c>
      <c r="M44" s="247">
        <f>IF(COUNT(H44,K44)=0,"",N(K44)-N(H44))</f>
        <v/>
      </c>
      <c r="N44" s="246">
        <f>IF(AND(ISNUMBER(F44),ISNUMBER(G44),F44&gt;0,1-N(Ввод!$E$17)/100&gt;0),MAX(0,(F44*G44-SUMPRODUCT((Закрытые!$B$5:$B$300=$B44)*((Закрытые!$F$5:$F$300+Закрытые!$I$5:$I$300-ABS(Закрытые!$F$5:$F$300-Закрытые!$I$5:$I$300))/2)*(Закрытые!$J$5:$J$300-Закрытые!$G$5:$G$300)))/F44)/(1-N(Ввод!$E$17)/100),IF(AND(ISNUMBER(I44),ISNUMBER(J44),I44&gt;0),MAX(0,(I44*J44+SUMPRODUCT((Закрытые!$B$5:$B$300=$B44)*((Закрытые!$F$5:$F$300+Закрытые!$I$5:$I$300-ABS(Закрытые!$F$5:$F$300-Закрытые!$I$5:$I$300))/2)*(Закрытые!$J$5:$J$300-Закрытые!$G$5:$G$300)))/I44)/(1+N(Ввод!$E$17)/100),""))</f>
        <v/>
      </c>
    </row>
    <row r="45" ht="22" customHeight="1">
      <c r="B45" s="313" t="n"/>
      <c r="C45" s="314" t="n"/>
      <c r="D45" s="313" t="n"/>
      <c r="E45" s="315" t="n"/>
      <c r="F45" s="316" t="n"/>
      <c r="G45" s="317" t="n"/>
      <c r="H45" s="271">
        <f>IF(AND(ISNUMBER(F45),ISNUMBER(G45)),F45*G45,"")</f>
        <v/>
      </c>
      <c r="I45" s="316" t="n"/>
      <c r="J45" s="317" t="n"/>
      <c r="K45" s="271">
        <f>IF(AND(ISNUMBER(I45),ISNUMBER(J45)),I45*J45,"")</f>
        <v/>
      </c>
      <c r="L45" s="240">
        <f>IF(COUNT(F45,I45)=0,"",N(F45)-N(I45))</f>
        <v/>
      </c>
      <c r="M45" s="241">
        <f>IF(COUNT(H45,K45)=0,"",N(K45)-N(H45))</f>
        <v/>
      </c>
      <c r="N45" s="240">
        <f>IF(AND(ISNUMBER(F45),ISNUMBER(G45),F45&gt;0,1-N(Ввод!$E$17)/100&gt;0),MAX(0,(F45*G45-SUMPRODUCT((Закрытые!$B$5:$B$300=$B45)*((Закрытые!$F$5:$F$300+Закрытые!$I$5:$I$300-ABS(Закрытые!$F$5:$F$300-Закрытые!$I$5:$I$300))/2)*(Закрытые!$J$5:$J$300-Закрытые!$G$5:$G$300)))/F45)/(1-N(Ввод!$E$17)/100),IF(AND(ISNUMBER(I45),ISNUMBER(J45),I45&gt;0),MAX(0,(I45*J45+SUMPRODUCT((Закрытые!$B$5:$B$300=$B45)*((Закрытые!$F$5:$F$300+Закрытые!$I$5:$I$300-ABS(Закрытые!$F$5:$F$300-Закрытые!$I$5:$I$300))/2)*(Закрытые!$J$5:$J$300-Закрытые!$G$5:$G$300)))/I45)/(1+N(Ввод!$E$17)/100),""))</f>
        <v/>
      </c>
    </row>
    <row r="46" ht="22" customHeight="1">
      <c r="B46" s="318" t="n"/>
      <c r="C46" s="319" t="n"/>
      <c r="D46" s="318" t="n"/>
      <c r="E46" s="320" t="n"/>
      <c r="F46" s="321" t="n"/>
      <c r="G46" s="322" t="n"/>
      <c r="H46" s="271">
        <f>IF(AND(ISNUMBER(F46),ISNUMBER(G46)),F46*G46,"")</f>
        <v/>
      </c>
      <c r="I46" s="321" t="n"/>
      <c r="J46" s="322" t="n"/>
      <c r="K46" s="271">
        <f>IF(AND(ISNUMBER(I46),ISNUMBER(J46)),I46*J46,"")</f>
        <v/>
      </c>
      <c r="L46" s="246">
        <f>IF(COUNT(F46,I46)=0,"",N(F46)-N(I46))</f>
        <v/>
      </c>
      <c r="M46" s="247">
        <f>IF(COUNT(H46,K46)=0,"",N(K46)-N(H46))</f>
        <v/>
      </c>
      <c r="N46" s="246">
        <f>IF(AND(ISNUMBER(F46),ISNUMBER(G46),F46&gt;0,1-N(Ввод!$E$17)/100&gt;0),MAX(0,(F46*G46-SUMPRODUCT((Закрытые!$B$5:$B$300=$B46)*((Закрытые!$F$5:$F$300+Закрытые!$I$5:$I$300-ABS(Закрытые!$F$5:$F$300-Закрытые!$I$5:$I$300))/2)*(Закрытые!$J$5:$J$300-Закрытые!$G$5:$G$300)))/F46)/(1-N(Ввод!$E$17)/100),IF(AND(ISNUMBER(I46),ISNUMBER(J46),I46&gt;0),MAX(0,(I46*J46+SUMPRODUCT((Закрытые!$B$5:$B$300=$B46)*((Закрытые!$F$5:$F$300+Закрытые!$I$5:$I$300-ABS(Закрытые!$F$5:$F$300-Закрытые!$I$5:$I$300))/2)*(Закрытые!$J$5:$J$300-Закрытые!$G$5:$G$300)))/I46)/(1+N(Ввод!$E$17)/100),""))</f>
        <v/>
      </c>
    </row>
    <row r="47" ht="22" customHeight="1">
      <c r="B47" s="313" t="n"/>
      <c r="C47" s="314" t="n"/>
      <c r="D47" s="313" t="n"/>
      <c r="E47" s="315" t="n"/>
      <c r="F47" s="316" t="n"/>
      <c r="G47" s="317" t="n"/>
      <c r="H47" s="271">
        <f>IF(AND(ISNUMBER(F47),ISNUMBER(G47)),F47*G47,"")</f>
        <v/>
      </c>
      <c r="I47" s="316" t="n"/>
      <c r="J47" s="317" t="n"/>
      <c r="K47" s="271">
        <f>IF(AND(ISNUMBER(I47),ISNUMBER(J47)),I47*J47,"")</f>
        <v/>
      </c>
      <c r="L47" s="240">
        <f>IF(COUNT(F47,I47)=0,"",N(F47)-N(I47))</f>
        <v/>
      </c>
      <c r="M47" s="241">
        <f>IF(COUNT(H47,K47)=0,"",N(K47)-N(H47))</f>
        <v/>
      </c>
      <c r="N47" s="240">
        <f>IF(AND(ISNUMBER(F47),ISNUMBER(G47),F47&gt;0,1-N(Ввод!$E$17)/100&gt;0),MAX(0,(F47*G47-SUMPRODUCT((Закрытые!$B$5:$B$300=$B47)*((Закрытые!$F$5:$F$300+Закрытые!$I$5:$I$300-ABS(Закрытые!$F$5:$F$300-Закрытые!$I$5:$I$300))/2)*(Закрытые!$J$5:$J$300-Закрытые!$G$5:$G$300)))/F47)/(1-N(Ввод!$E$17)/100),IF(AND(ISNUMBER(I47),ISNUMBER(J47),I47&gt;0),MAX(0,(I47*J47+SUMPRODUCT((Закрытые!$B$5:$B$300=$B47)*((Закрытые!$F$5:$F$300+Закрытые!$I$5:$I$300-ABS(Закрытые!$F$5:$F$300-Закрытые!$I$5:$I$300))/2)*(Закрытые!$J$5:$J$300-Закрытые!$G$5:$G$300)))/I47)/(1+N(Ввод!$E$17)/100),""))</f>
        <v/>
      </c>
    </row>
    <row r="48" ht="22" customHeight="1">
      <c r="B48" s="318" t="n"/>
      <c r="C48" s="319" t="n"/>
      <c r="D48" s="318" t="n"/>
      <c r="E48" s="320" t="n"/>
      <c r="F48" s="321" t="n"/>
      <c r="G48" s="322" t="n"/>
      <c r="H48" s="271">
        <f>IF(AND(ISNUMBER(F48),ISNUMBER(G48)),F48*G48,"")</f>
        <v/>
      </c>
      <c r="I48" s="321" t="n"/>
      <c r="J48" s="322" t="n"/>
      <c r="K48" s="271">
        <f>IF(AND(ISNUMBER(I48),ISNUMBER(J48)),I48*J48,"")</f>
        <v/>
      </c>
      <c r="L48" s="246">
        <f>IF(COUNT(F48,I48)=0,"",N(F48)-N(I48))</f>
        <v/>
      </c>
      <c r="M48" s="247">
        <f>IF(COUNT(H48,K48)=0,"",N(K48)-N(H48))</f>
        <v/>
      </c>
      <c r="N48" s="246">
        <f>IF(AND(ISNUMBER(F48),ISNUMBER(G48),F48&gt;0,1-N(Ввод!$E$17)/100&gt;0),MAX(0,(F48*G48-SUMPRODUCT((Закрытые!$B$5:$B$300=$B48)*((Закрытые!$F$5:$F$300+Закрытые!$I$5:$I$300-ABS(Закрытые!$F$5:$F$300-Закрытые!$I$5:$I$300))/2)*(Закрытые!$J$5:$J$300-Закрытые!$G$5:$G$300)))/F48)/(1-N(Ввод!$E$17)/100),IF(AND(ISNUMBER(I48),ISNUMBER(J48),I48&gt;0),MAX(0,(I48*J48+SUMPRODUCT((Закрытые!$B$5:$B$300=$B48)*((Закрытые!$F$5:$F$300+Закрытые!$I$5:$I$300-ABS(Закрытые!$F$5:$F$300-Закрытые!$I$5:$I$300))/2)*(Закрытые!$J$5:$J$300-Закрытые!$G$5:$G$300)))/I48)/(1+N(Ввод!$E$17)/100),""))</f>
        <v/>
      </c>
    </row>
    <row r="49" ht="22" customHeight="1">
      <c r="B49" s="313" t="n"/>
      <c r="C49" s="314" t="n"/>
      <c r="D49" s="313" t="n"/>
      <c r="E49" s="315" t="n"/>
      <c r="F49" s="316" t="n"/>
      <c r="G49" s="317" t="n"/>
      <c r="H49" s="271">
        <f>IF(AND(ISNUMBER(F49),ISNUMBER(G49)),F49*G49,"")</f>
        <v/>
      </c>
      <c r="I49" s="316" t="n"/>
      <c r="J49" s="317" t="n"/>
      <c r="K49" s="271">
        <f>IF(AND(ISNUMBER(I49),ISNUMBER(J49)),I49*J49,"")</f>
        <v/>
      </c>
      <c r="L49" s="240">
        <f>IF(COUNT(F49,I49)=0,"",N(F49)-N(I49))</f>
        <v/>
      </c>
      <c r="M49" s="241">
        <f>IF(COUNT(H49,K49)=0,"",N(K49)-N(H49))</f>
        <v/>
      </c>
      <c r="N49" s="240">
        <f>IF(AND(ISNUMBER(F49),ISNUMBER(G49),F49&gt;0,1-N(Ввод!$E$17)/100&gt;0),MAX(0,(F49*G49-SUMPRODUCT((Закрытые!$B$5:$B$300=$B49)*((Закрытые!$F$5:$F$300+Закрытые!$I$5:$I$300-ABS(Закрытые!$F$5:$F$300-Закрытые!$I$5:$I$300))/2)*(Закрытые!$J$5:$J$300-Закрытые!$G$5:$G$300)))/F49)/(1-N(Ввод!$E$17)/100),IF(AND(ISNUMBER(I49),ISNUMBER(J49),I49&gt;0),MAX(0,(I49*J49+SUMPRODUCT((Закрытые!$B$5:$B$300=$B49)*((Закрытые!$F$5:$F$300+Закрытые!$I$5:$I$300-ABS(Закрытые!$F$5:$F$300-Закрытые!$I$5:$I$300))/2)*(Закрытые!$J$5:$J$300-Закрытые!$G$5:$G$300)))/I49)/(1+N(Ввод!$E$17)/100),""))</f>
        <v/>
      </c>
    </row>
    <row r="50" ht="22" customHeight="1">
      <c r="B50" s="318" t="n"/>
      <c r="C50" s="319" t="n"/>
      <c r="D50" s="318" t="n"/>
      <c r="E50" s="320" t="n"/>
      <c r="F50" s="321" t="n"/>
      <c r="G50" s="322" t="n"/>
      <c r="H50" s="271">
        <f>IF(AND(ISNUMBER(F50),ISNUMBER(G50)),F50*G50,"")</f>
        <v/>
      </c>
      <c r="I50" s="321" t="n"/>
      <c r="J50" s="322" t="n"/>
      <c r="K50" s="271">
        <f>IF(AND(ISNUMBER(I50),ISNUMBER(J50)),I50*J50,"")</f>
        <v/>
      </c>
      <c r="L50" s="246">
        <f>IF(COUNT(F50,I50)=0,"",N(F50)-N(I50))</f>
        <v/>
      </c>
      <c r="M50" s="247">
        <f>IF(COUNT(H50,K50)=0,"",N(K50)-N(H50))</f>
        <v/>
      </c>
      <c r="N50" s="246">
        <f>IF(AND(ISNUMBER(F50),ISNUMBER(G50),F50&gt;0,1-N(Ввод!$E$17)/100&gt;0),MAX(0,(F50*G50-SUMPRODUCT((Закрытые!$B$5:$B$300=$B50)*((Закрытые!$F$5:$F$300+Закрытые!$I$5:$I$300-ABS(Закрытые!$F$5:$F$300-Закрытые!$I$5:$I$300))/2)*(Закрытые!$J$5:$J$300-Закрытые!$G$5:$G$300)))/F50)/(1-N(Ввод!$E$17)/100),IF(AND(ISNUMBER(I50),ISNUMBER(J50),I50&gt;0),MAX(0,(I50*J50+SUMPRODUCT((Закрытые!$B$5:$B$300=$B50)*((Закрытые!$F$5:$F$300+Закрытые!$I$5:$I$300-ABS(Закрытые!$F$5:$F$300-Закрытые!$I$5:$I$300))/2)*(Закрытые!$J$5:$J$300-Закрытые!$G$5:$G$300)))/I50)/(1+N(Ввод!$E$17)/100),""))</f>
        <v/>
      </c>
    </row>
    <row r="51" ht="22" customHeight="1">
      <c r="B51" s="313" t="n"/>
      <c r="C51" s="314" t="n"/>
      <c r="D51" s="313" t="n"/>
      <c r="E51" s="315" t="n"/>
      <c r="F51" s="316" t="n"/>
      <c r="G51" s="317" t="n"/>
      <c r="H51" s="271">
        <f>IF(AND(ISNUMBER(F51),ISNUMBER(G51)),F51*G51,"")</f>
        <v/>
      </c>
      <c r="I51" s="316" t="n"/>
      <c r="J51" s="317" t="n"/>
      <c r="K51" s="271">
        <f>IF(AND(ISNUMBER(I51),ISNUMBER(J51)),I51*J51,"")</f>
        <v/>
      </c>
      <c r="L51" s="240">
        <f>IF(COUNT(F51,I51)=0,"",N(F51)-N(I51))</f>
        <v/>
      </c>
      <c r="M51" s="241">
        <f>IF(COUNT(H51,K51)=0,"",N(K51)-N(H51))</f>
        <v/>
      </c>
      <c r="N51" s="240">
        <f>IF(AND(ISNUMBER(F51),ISNUMBER(G51),F51&gt;0,1-N(Ввод!$E$17)/100&gt;0),MAX(0,(F51*G51-SUMPRODUCT((Закрытые!$B$5:$B$300=$B51)*((Закрытые!$F$5:$F$300+Закрытые!$I$5:$I$300-ABS(Закрытые!$F$5:$F$300-Закрытые!$I$5:$I$300))/2)*(Закрытые!$J$5:$J$300-Закрытые!$G$5:$G$300)))/F51)/(1-N(Ввод!$E$17)/100),IF(AND(ISNUMBER(I51),ISNUMBER(J51),I51&gt;0),MAX(0,(I51*J51+SUMPRODUCT((Закрытые!$B$5:$B$300=$B51)*((Закрытые!$F$5:$F$300+Закрытые!$I$5:$I$300-ABS(Закрытые!$F$5:$F$300-Закрытые!$I$5:$I$300))/2)*(Закрытые!$J$5:$J$300-Закрытые!$G$5:$G$300)))/I51)/(1+N(Ввод!$E$17)/100),""))</f>
        <v/>
      </c>
    </row>
    <row r="52" ht="22" customHeight="1">
      <c r="B52" s="318" t="n"/>
      <c r="C52" s="319" t="n"/>
      <c r="D52" s="318" t="n"/>
      <c r="E52" s="320" t="n"/>
      <c r="F52" s="321" t="n"/>
      <c r="G52" s="322" t="n"/>
      <c r="H52" s="271">
        <f>IF(AND(ISNUMBER(F52),ISNUMBER(G52)),F52*G52,"")</f>
        <v/>
      </c>
      <c r="I52" s="321" t="n"/>
      <c r="J52" s="322" t="n"/>
      <c r="K52" s="271">
        <f>IF(AND(ISNUMBER(I52),ISNUMBER(J52)),I52*J52,"")</f>
        <v/>
      </c>
      <c r="L52" s="246">
        <f>IF(COUNT(F52,I52)=0,"",N(F52)-N(I52))</f>
        <v/>
      </c>
      <c r="M52" s="247">
        <f>IF(COUNT(H52,K52)=0,"",N(K52)-N(H52))</f>
        <v/>
      </c>
      <c r="N52" s="246">
        <f>IF(AND(ISNUMBER(F52),ISNUMBER(G52),F52&gt;0,1-N(Ввод!$E$17)/100&gt;0),MAX(0,(F52*G52-SUMPRODUCT((Закрытые!$B$5:$B$300=$B52)*((Закрытые!$F$5:$F$300+Закрытые!$I$5:$I$300-ABS(Закрытые!$F$5:$F$300-Закрытые!$I$5:$I$300))/2)*(Закрытые!$J$5:$J$300-Закрытые!$G$5:$G$300)))/F52)/(1-N(Ввод!$E$17)/100),IF(AND(ISNUMBER(I52),ISNUMBER(J52),I52&gt;0),MAX(0,(I52*J52+SUMPRODUCT((Закрытые!$B$5:$B$300=$B52)*((Закрытые!$F$5:$F$300+Закрытые!$I$5:$I$300-ABS(Закрытые!$F$5:$F$300-Закрытые!$I$5:$I$300))/2)*(Закрытые!$J$5:$J$300-Закрытые!$G$5:$G$300)))/I52)/(1+N(Ввод!$E$17)/100),""))</f>
        <v/>
      </c>
    </row>
    <row r="53" ht="22" customHeight="1">
      <c r="B53" s="313" t="n"/>
      <c r="C53" s="314" t="n"/>
      <c r="D53" s="313" t="n"/>
      <c r="E53" s="315" t="n"/>
      <c r="F53" s="316" t="n"/>
      <c r="G53" s="317" t="n"/>
      <c r="H53" s="271">
        <f>IF(AND(ISNUMBER(F53),ISNUMBER(G53)),F53*G53,"")</f>
        <v/>
      </c>
      <c r="I53" s="316" t="n"/>
      <c r="J53" s="317" t="n"/>
      <c r="K53" s="271">
        <f>IF(AND(ISNUMBER(I53),ISNUMBER(J53)),I53*J53,"")</f>
        <v/>
      </c>
      <c r="L53" s="240">
        <f>IF(COUNT(F53,I53)=0,"",N(F53)-N(I53))</f>
        <v/>
      </c>
      <c r="M53" s="241">
        <f>IF(COUNT(H53,K53)=0,"",N(K53)-N(H53))</f>
        <v/>
      </c>
      <c r="N53" s="240">
        <f>IF(AND(ISNUMBER(F53),ISNUMBER(G53),F53&gt;0,1-N(Ввод!$E$17)/100&gt;0),MAX(0,(F53*G53-SUMPRODUCT((Закрытые!$B$5:$B$300=$B53)*((Закрытые!$F$5:$F$300+Закрытые!$I$5:$I$300-ABS(Закрытые!$F$5:$F$300-Закрытые!$I$5:$I$300))/2)*(Закрытые!$J$5:$J$300-Закрытые!$G$5:$G$300)))/F53)/(1-N(Ввод!$E$17)/100),IF(AND(ISNUMBER(I53),ISNUMBER(J53),I53&gt;0),MAX(0,(I53*J53+SUMPRODUCT((Закрытые!$B$5:$B$300=$B53)*((Закрытые!$F$5:$F$300+Закрытые!$I$5:$I$300-ABS(Закрытые!$F$5:$F$300-Закрытые!$I$5:$I$300))/2)*(Закрытые!$J$5:$J$300-Закрытые!$G$5:$G$300)))/I53)/(1+N(Ввод!$E$17)/100),""))</f>
        <v/>
      </c>
    </row>
    <row r="54" ht="22" customHeight="1">
      <c r="B54" s="318" t="n"/>
      <c r="C54" s="319" t="n"/>
      <c r="D54" s="318" t="n"/>
      <c r="E54" s="320" t="n"/>
      <c r="F54" s="321" t="n"/>
      <c r="G54" s="322" t="n"/>
      <c r="H54" s="271">
        <f>IF(AND(ISNUMBER(F54),ISNUMBER(G54)),F54*G54,"")</f>
        <v/>
      </c>
      <c r="I54" s="321" t="n"/>
      <c r="J54" s="322" t="n"/>
      <c r="K54" s="271">
        <f>IF(AND(ISNUMBER(I54),ISNUMBER(J54)),I54*J54,"")</f>
        <v/>
      </c>
      <c r="L54" s="246">
        <f>IF(COUNT(F54,I54)=0,"",N(F54)-N(I54))</f>
        <v/>
      </c>
      <c r="M54" s="247">
        <f>IF(COUNT(H54,K54)=0,"",N(K54)-N(H54))</f>
        <v/>
      </c>
      <c r="N54" s="246">
        <f>IF(AND(ISNUMBER(F54),ISNUMBER(G54),F54&gt;0,1-N(Ввод!$E$17)/100&gt;0),MAX(0,(F54*G54-SUMPRODUCT((Закрытые!$B$5:$B$300=$B54)*((Закрытые!$F$5:$F$300+Закрытые!$I$5:$I$300-ABS(Закрытые!$F$5:$F$300-Закрытые!$I$5:$I$300))/2)*(Закрытые!$J$5:$J$300-Закрытые!$G$5:$G$300)))/F54)/(1-N(Ввод!$E$17)/100),IF(AND(ISNUMBER(I54),ISNUMBER(J54),I54&gt;0),MAX(0,(I54*J54+SUMPRODUCT((Закрытые!$B$5:$B$300=$B54)*((Закрытые!$F$5:$F$300+Закрытые!$I$5:$I$300-ABS(Закрытые!$F$5:$F$300-Закрытые!$I$5:$I$300))/2)*(Закрытые!$J$5:$J$300-Закрытые!$G$5:$G$300)))/I54)/(1+N(Ввод!$E$17)/100),""))</f>
        <v/>
      </c>
    </row>
    <row r="55" ht="22" customHeight="1">
      <c r="B55" s="313" t="n"/>
      <c r="C55" s="314" t="n"/>
      <c r="D55" s="313" t="n"/>
      <c r="E55" s="315" t="n"/>
      <c r="F55" s="316" t="n"/>
      <c r="G55" s="317" t="n"/>
      <c r="H55" s="271">
        <f>IF(AND(ISNUMBER(F55),ISNUMBER(G55)),F55*G55,"")</f>
        <v/>
      </c>
      <c r="I55" s="316" t="n"/>
      <c r="J55" s="317" t="n"/>
      <c r="K55" s="271">
        <f>IF(AND(ISNUMBER(I55),ISNUMBER(J55)),I55*J55,"")</f>
        <v/>
      </c>
      <c r="L55" s="240">
        <f>IF(COUNT(F55,I55)=0,"",N(F55)-N(I55))</f>
        <v/>
      </c>
      <c r="M55" s="241">
        <f>IF(COUNT(H55,K55)=0,"",N(K55)-N(H55))</f>
        <v/>
      </c>
      <c r="N55" s="240">
        <f>IF(AND(ISNUMBER(F55),ISNUMBER(G55),F55&gt;0,1-N(Ввод!$E$17)/100&gt;0),MAX(0,(F55*G55-SUMPRODUCT((Закрытые!$B$5:$B$300=$B55)*((Закрытые!$F$5:$F$300+Закрытые!$I$5:$I$300-ABS(Закрытые!$F$5:$F$300-Закрытые!$I$5:$I$300))/2)*(Закрытые!$J$5:$J$300-Закрытые!$G$5:$G$300)))/F55)/(1-N(Ввод!$E$17)/100),IF(AND(ISNUMBER(I55),ISNUMBER(J55),I55&gt;0),MAX(0,(I55*J55+SUMPRODUCT((Закрытые!$B$5:$B$300=$B55)*((Закрытые!$F$5:$F$300+Закрытые!$I$5:$I$300-ABS(Закрытые!$F$5:$F$300-Закрытые!$I$5:$I$300))/2)*(Закрытые!$J$5:$J$300-Закрытые!$G$5:$G$300)))/I55)/(1+N(Ввод!$E$17)/100),""))</f>
        <v/>
      </c>
    </row>
    <row r="56" ht="22" customHeight="1">
      <c r="B56" s="318" t="n"/>
      <c r="C56" s="319" t="n"/>
      <c r="D56" s="318" t="n"/>
      <c r="E56" s="320" t="n"/>
      <c r="F56" s="321" t="n"/>
      <c r="G56" s="322" t="n"/>
      <c r="H56" s="271">
        <f>IF(AND(ISNUMBER(F56),ISNUMBER(G56)),F56*G56,"")</f>
        <v/>
      </c>
      <c r="I56" s="321" t="n"/>
      <c r="J56" s="322" t="n"/>
      <c r="K56" s="271">
        <f>IF(AND(ISNUMBER(I56),ISNUMBER(J56)),I56*J56,"")</f>
        <v/>
      </c>
      <c r="L56" s="246">
        <f>IF(COUNT(F56,I56)=0,"",N(F56)-N(I56))</f>
        <v/>
      </c>
      <c r="M56" s="247">
        <f>IF(COUNT(H56,K56)=0,"",N(K56)-N(H56))</f>
        <v/>
      </c>
      <c r="N56" s="246">
        <f>IF(AND(ISNUMBER(F56),ISNUMBER(G56),F56&gt;0,1-N(Ввод!$E$17)/100&gt;0),MAX(0,(F56*G56-SUMPRODUCT((Закрытые!$B$5:$B$300=$B56)*((Закрытые!$F$5:$F$300+Закрытые!$I$5:$I$300-ABS(Закрытые!$F$5:$F$300-Закрытые!$I$5:$I$300))/2)*(Закрытые!$J$5:$J$300-Закрытые!$G$5:$G$300)))/F56)/(1-N(Ввод!$E$17)/100),IF(AND(ISNUMBER(I56),ISNUMBER(J56),I56&gt;0),MAX(0,(I56*J56+SUMPRODUCT((Закрытые!$B$5:$B$300=$B56)*((Закрытые!$F$5:$F$300+Закрытые!$I$5:$I$300-ABS(Закрытые!$F$5:$F$300-Закрытые!$I$5:$I$300))/2)*(Закрытые!$J$5:$J$300-Закрытые!$G$5:$G$300)))/I56)/(1+N(Ввод!$E$17)/100),""))</f>
        <v/>
      </c>
    </row>
    <row r="57" ht="22" customHeight="1">
      <c r="B57" s="313" t="n"/>
      <c r="C57" s="314" t="n"/>
      <c r="D57" s="313" t="n"/>
      <c r="E57" s="315" t="n"/>
      <c r="F57" s="316" t="n"/>
      <c r="G57" s="317" t="n"/>
      <c r="H57" s="271">
        <f>IF(AND(ISNUMBER(F57),ISNUMBER(G57)),F57*G57,"")</f>
        <v/>
      </c>
      <c r="I57" s="316" t="n"/>
      <c r="J57" s="317" t="n"/>
      <c r="K57" s="271">
        <f>IF(AND(ISNUMBER(I57),ISNUMBER(J57)),I57*J57,"")</f>
        <v/>
      </c>
      <c r="L57" s="240">
        <f>IF(COUNT(F57,I57)=0,"",N(F57)-N(I57))</f>
        <v/>
      </c>
      <c r="M57" s="241">
        <f>IF(COUNT(H57,K57)=0,"",N(K57)-N(H57))</f>
        <v/>
      </c>
      <c r="N57" s="240">
        <f>IF(AND(ISNUMBER(F57),ISNUMBER(G57),F57&gt;0,1-N(Ввод!$E$17)/100&gt;0),MAX(0,(F57*G57-SUMPRODUCT((Закрытые!$B$5:$B$300=$B57)*((Закрытые!$F$5:$F$300+Закрытые!$I$5:$I$300-ABS(Закрытые!$F$5:$F$300-Закрытые!$I$5:$I$300))/2)*(Закрытые!$J$5:$J$300-Закрытые!$G$5:$G$300)))/F57)/(1-N(Ввод!$E$17)/100),IF(AND(ISNUMBER(I57),ISNUMBER(J57),I57&gt;0),MAX(0,(I57*J57+SUMPRODUCT((Закрытые!$B$5:$B$300=$B57)*((Закрытые!$F$5:$F$300+Закрытые!$I$5:$I$300-ABS(Закрытые!$F$5:$F$300-Закрытые!$I$5:$I$300))/2)*(Закрытые!$J$5:$J$300-Закрытые!$G$5:$G$300)))/I57)/(1+N(Ввод!$E$17)/100),""))</f>
        <v/>
      </c>
    </row>
    <row r="58" ht="22" customHeight="1">
      <c r="B58" s="318" t="n"/>
      <c r="C58" s="319" t="n"/>
      <c r="D58" s="318" t="n"/>
      <c r="E58" s="320" t="n"/>
      <c r="F58" s="321" t="n"/>
      <c r="G58" s="322" t="n"/>
      <c r="H58" s="271">
        <f>IF(AND(ISNUMBER(F58),ISNUMBER(G58)),F58*G58,"")</f>
        <v/>
      </c>
      <c r="I58" s="321" t="n"/>
      <c r="J58" s="322" t="n"/>
      <c r="K58" s="271">
        <f>IF(AND(ISNUMBER(I58),ISNUMBER(J58)),I58*J58,"")</f>
        <v/>
      </c>
      <c r="L58" s="246">
        <f>IF(COUNT(F58,I58)=0,"",N(F58)-N(I58))</f>
        <v/>
      </c>
      <c r="M58" s="247">
        <f>IF(COUNT(H58,K58)=0,"",N(K58)-N(H58))</f>
        <v/>
      </c>
      <c r="N58" s="246">
        <f>IF(AND(ISNUMBER(F58),ISNUMBER(G58),F58&gt;0,1-N(Ввод!$E$17)/100&gt;0),MAX(0,(F58*G58-SUMPRODUCT((Закрытые!$B$5:$B$300=$B58)*((Закрытые!$F$5:$F$300+Закрытые!$I$5:$I$300-ABS(Закрытые!$F$5:$F$300-Закрытые!$I$5:$I$300))/2)*(Закрытые!$J$5:$J$300-Закрытые!$G$5:$G$300)))/F58)/(1-N(Ввод!$E$17)/100),IF(AND(ISNUMBER(I58),ISNUMBER(J58),I58&gt;0),MAX(0,(I58*J58+SUMPRODUCT((Закрытые!$B$5:$B$300=$B58)*((Закрытые!$F$5:$F$300+Закрытые!$I$5:$I$300-ABS(Закрытые!$F$5:$F$300-Закрытые!$I$5:$I$300))/2)*(Закрытые!$J$5:$J$300-Закрытые!$G$5:$G$300)))/I58)/(1+N(Ввод!$E$17)/100),""))</f>
        <v/>
      </c>
    </row>
    <row r="59" ht="22" customHeight="1">
      <c r="B59" s="313" t="n"/>
      <c r="C59" s="314" t="n"/>
      <c r="D59" s="313" t="n"/>
      <c r="E59" s="315" t="n"/>
      <c r="F59" s="316" t="n"/>
      <c r="G59" s="317" t="n"/>
      <c r="H59" s="271">
        <f>IF(AND(ISNUMBER(F59),ISNUMBER(G59)),F59*G59,"")</f>
        <v/>
      </c>
      <c r="I59" s="316" t="n"/>
      <c r="J59" s="317" t="n"/>
      <c r="K59" s="271">
        <f>IF(AND(ISNUMBER(I59),ISNUMBER(J59)),I59*J59,"")</f>
        <v/>
      </c>
      <c r="L59" s="240">
        <f>IF(COUNT(F59,I59)=0,"",N(F59)-N(I59))</f>
        <v/>
      </c>
      <c r="M59" s="241">
        <f>IF(COUNT(H59,K59)=0,"",N(K59)-N(H59))</f>
        <v/>
      </c>
      <c r="N59" s="240">
        <f>IF(AND(ISNUMBER(F59),ISNUMBER(G59),F59&gt;0,1-N(Ввод!$E$17)/100&gt;0),MAX(0,(F59*G59-SUMPRODUCT((Закрытые!$B$5:$B$300=$B59)*((Закрытые!$F$5:$F$300+Закрытые!$I$5:$I$300-ABS(Закрытые!$F$5:$F$300-Закрытые!$I$5:$I$300))/2)*(Закрытые!$J$5:$J$300-Закрытые!$G$5:$G$300)))/F59)/(1-N(Ввод!$E$17)/100),IF(AND(ISNUMBER(I59),ISNUMBER(J59),I59&gt;0),MAX(0,(I59*J59+SUMPRODUCT((Закрытые!$B$5:$B$300=$B59)*((Закрытые!$F$5:$F$300+Закрытые!$I$5:$I$300-ABS(Закрытые!$F$5:$F$300-Закрытые!$I$5:$I$300))/2)*(Закрытые!$J$5:$J$300-Закрытые!$G$5:$G$300)))/I59)/(1+N(Ввод!$E$17)/100),""))</f>
        <v/>
      </c>
    </row>
    <row r="60" ht="22" customHeight="1">
      <c r="B60" s="318" t="n"/>
      <c r="C60" s="319" t="n"/>
      <c r="D60" s="318" t="n"/>
      <c r="E60" s="320" t="n"/>
      <c r="F60" s="321" t="n"/>
      <c r="G60" s="322" t="n"/>
      <c r="H60" s="271">
        <f>IF(AND(ISNUMBER(F60),ISNUMBER(G60)),F60*G60,"")</f>
        <v/>
      </c>
      <c r="I60" s="321" t="n"/>
      <c r="J60" s="322" t="n"/>
      <c r="K60" s="271">
        <f>IF(AND(ISNUMBER(I60),ISNUMBER(J60)),I60*J60,"")</f>
        <v/>
      </c>
      <c r="L60" s="246">
        <f>IF(COUNT(F60,I60)=0,"",N(F60)-N(I60))</f>
        <v/>
      </c>
      <c r="M60" s="247">
        <f>IF(COUNT(H60,K60)=0,"",N(K60)-N(H60))</f>
        <v/>
      </c>
      <c r="N60" s="246">
        <f>IF(AND(ISNUMBER(F60),ISNUMBER(G60),F60&gt;0,1-N(Ввод!$E$17)/100&gt;0),MAX(0,(F60*G60-SUMPRODUCT((Закрытые!$B$5:$B$300=$B60)*((Закрытые!$F$5:$F$300+Закрытые!$I$5:$I$300-ABS(Закрытые!$F$5:$F$300-Закрытые!$I$5:$I$300))/2)*(Закрытые!$J$5:$J$300-Закрытые!$G$5:$G$300)))/F60)/(1-N(Ввод!$E$17)/100),IF(AND(ISNUMBER(I60),ISNUMBER(J60),I60&gt;0),MAX(0,(I60*J60+SUMPRODUCT((Закрытые!$B$5:$B$300=$B60)*((Закрытые!$F$5:$F$300+Закрытые!$I$5:$I$300-ABS(Закрытые!$F$5:$F$300-Закрытые!$I$5:$I$300))/2)*(Закрытые!$J$5:$J$300-Закрытые!$G$5:$G$300)))/I60)/(1+N(Ввод!$E$17)/100),""))</f>
        <v/>
      </c>
    </row>
    <row r="61" ht="22" customHeight="1">
      <c r="B61" s="313" t="n"/>
      <c r="C61" s="314" t="n"/>
      <c r="D61" s="313" t="n"/>
      <c r="E61" s="315" t="n"/>
      <c r="F61" s="316" t="n"/>
      <c r="G61" s="317" t="n"/>
      <c r="H61" s="271">
        <f>IF(AND(ISNUMBER(F61),ISNUMBER(G61)),F61*G61,"")</f>
        <v/>
      </c>
      <c r="I61" s="316" t="n"/>
      <c r="J61" s="317" t="n"/>
      <c r="K61" s="271">
        <f>IF(AND(ISNUMBER(I61),ISNUMBER(J61)),I61*J61,"")</f>
        <v/>
      </c>
      <c r="L61" s="240">
        <f>IF(COUNT(F61,I61)=0,"",N(F61)-N(I61))</f>
        <v/>
      </c>
      <c r="M61" s="241">
        <f>IF(COUNT(H61,K61)=0,"",N(K61)-N(H61))</f>
        <v/>
      </c>
      <c r="N61" s="240">
        <f>IF(AND(ISNUMBER(F61),ISNUMBER(G61),F61&gt;0,1-N(Ввод!$E$17)/100&gt;0),MAX(0,(F61*G61-SUMPRODUCT((Закрытые!$B$5:$B$300=$B61)*((Закрытые!$F$5:$F$300+Закрытые!$I$5:$I$300-ABS(Закрытые!$F$5:$F$300-Закрытые!$I$5:$I$300))/2)*(Закрытые!$J$5:$J$300-Закрытые!$G$5:$G$300)))/F61)/(1-N(Ввод!$E$17)/100),IF(AND(ISNUMBER(I61),ISNUMBER(J61),I61&gt;0),MAX(0,(I61*J61+SUMPRODUCT((Закрытые!$B$5:$B$300=$B61)*((Закрытые!$F$5:$F$300+Закрытые!$I$5:$I$300-ABS(Закрытые!$F$5:$F$300-Закрытые!$I$5:$I$300))/2)*(Закрытые!$J$5:$J$300-Закрытые!$G$5:$G$300)))/I61)/(1+N(Ввод!$E$17)/100),""))</f>
        <v/>
      </c>
    </row>
    <row r="62" ht="22" customHeight="1">
      <c r="B62" s="318" t="n"/>
      <c r="C62" s="319" t="n"/>
      <c r="D62" s="318" t="n"/>
      <c r="E62" s="320" t="n"/>
      <c r="F62" s="321" t="n"/>
      <c r="G62" s="322" t="n"/>
      <c r="H62" s="271">
        <f>IF(AND(ISNUMBER(F62),ISNUMBER(G62)),F62*G62,"")</f>
        <v/>
      </c>
      <c r="I62" s="321" t="n"/>
      <c r="J62" s="322" t="n"/>
      <c r="K62" s="271">
        <f>IF(AND(ISNUMBER(I62),ISNUMBER(J62)),I62*J62,"")</f>
        <v/>
      </c>
      <c r="L62" s="246">
        <f>IF(COUNT(F62,I62)=0,"",N(F62)-N(I62))</f>
        <v/>
      </c>
      <c r="M62" s="247">
        <f>IF(COUNT(H62,K62)=0,"",N(K62)-N(H62))</f>
        <v/>
      </c>
      <c r="N62" s="246">
        <f>IF(AND(ISNUMBER(F62),ISNUMBER(G62),F62&gt;0,1-N(Ввод!$E$17)/100&gt;0),MAX(0,(F62*G62-SUMPRODUCT((Закрытые!$B$5:$B$300=$B62)*((Закрытые!$F$5:$F$300+Закрытые!$I$5:$I$300-ABS(Закрытые!$F$5:$F$300-Закрытые!$I$5:$I$300))/2)*(Закрытые!$J$5:$J$300-Закрытые!$G$5:$G$300)))/F62)/(1-N(Ввод!$E$17)/100),IF(AND(ISNUMBER(I62),ISNUMBER(J62),I62&gt;0),MAX(0,(I62*J62+SUMPRODUCT((Закрытые!$B$5:$B$300=$B62)*((Закрытые!$F$5:$F$300+Закрытые!$I$5:$I$300-ABS(Закрытые!$F$5:$F$300-Закрытые!$I$5:$I$300))/2)*(Закрытые!$J$5:$J$300-Закрытые!$G$5:$G$300)))/I62)/(1+N(Ввод!$E$17)/100),""))</f>
        <v/>
      </c>
    </row>
    <row r="63" ht="22" customHeight="1">
      <c r="B63" s="313" t="n"/>
      <c r="C63" s="314" t="n"/>
      <c r="D63" s="313" t="n"/>
      <c r="E63" s="315" t="n"/>
      <c r="F63" s="316" t="n"/>
      <c r="G63" s="317" t="n"/>
      <c r="H63" s="271">
        <f>IF(AND(ISNUMBER(F63),ISNUMBER(G63)),F63*G63,"")</f>
        <v/>
      </c>
      <c r="I63" s="316" t="n"/>
      <c r="J63" s="317" t="n"/>
      <c r="K63" s="271">
        <f>IF(AND(ISNUMBER(I63),ISNUMBER(J63)),I63*J63,"")</f>
        <v/>
      </c>
      <c r="L63" s="240">
        <f>IF(COUNT(F63,I63)=0,"",N(F63)-N(I63))</f>
        <v/>
      </c>
      <c r="M63" s="241">
        <f>IF(COUNT(H63,K63)=0,"",N(K63)-N(H63))</f>
        <v/>
      </c>
      <c r="N63" s="240">
        <f>IF(AND(ISNUMBER(F63),ISNUMBER(G63),F63&gt;0,1-N(Ввод!$E$17)/100&gt;0),MAX(0,(F63*G63-SUMPRODUCT((Закрытые!$B$5:$B$300=$B63)*((Закрытые!$F$5:$F$300+Закрытые!$I$5:$I$300-ABS(Закрытые!$F$5:$F$300-Закрытые!$I$5:$I$300))/2)*(Закрытые!$J$5:$J$300-Закрытые!$G$5:$G$300)))/F63)/(1-N(Ввод!$E$17)/100),IF(AND(ISNUMBER(I63),ISNUMBER(J63),I63&gt;0),MAX(0,(I63*J63+SUMPRODUCT((Закрытые!$B$5:$B$300=$B63)*((Закрытые!$F$5:$F$300+Закрытые!$I$5:$I$300-ABS(Закрытые!$F$5:$F$300-Закрытые!$I$5:$I$300))/2)*(Закрытые!$J$5:$J$300-Закрытые!$G$5:$G$300)))/I63)/(1+N(Ввод!$E$17)/100),""))</f>
        <v/>
      </c>
    </row>
    <row r="64" ht="22" customHeight="1">
      <c r="B64" s="318" t="n"/>
      <c r="C64" s="319" t="n"/>
      <c r="D64" s="318" t="n"/>
      <c r="E64" s="320" t="n"/>
      <c r="F64" s="321" t="n"/>
      <c r="G64" s="322" t="n"/>
      <c r="H64" s="271">
        <f>IF(AND(ISNUMBER(F64),ISNUMBER(G64)),F64*G64,"")</f>
        <v/>
      </c>
      <c r="I64" s="321" t="n"/>
      <c r="J64" s="322" t="n"/>
      <c r="K64" s="271">
        <f>IF(AND(ISNUMBER(I64),ISNUMBER(J64)),I64*J64,"")</f>
        <v/>
      </c>
      <c r="L64" s="246">
        <f>IF(COUNT(F64,I64)=0,"",N(F64)-N(I64))</f>
        <v/>
      </c>
      <c r="M64" s="247">
        <f>IF(COUNT(H64,K64)=0,"",N(K64)-N(H64))</f>
        <v/>
      </c>
      <c r="N64" s="246">
        <f>IF(AND(ISNUMBER(F64),ISNUMBER(G64),F64&gt;0,1-N(Ввод!$E$17)/100&gt;0),MAX(0,(F64*G64-SUMPRODUCT((Закрытые!$B$5:$B$300=$B64)*((Закрытые!$F$5:$F$300+Закрытые!$I$5:$I$300-ABS(Закрытые!$F$5:$F$300-Закрытые!$I$5:$I$300))/2)*(Закрытые!$J$5:$J$300-Закрытые!$G$5:$G$300)))/F64)/(1-N(Ввод!$E$17)/100),IF(AND(ISNUMBER(I64),ISNUMBER(J64),I64&gt;0),MAX(0,(I64*J64+SUMPRODUCT((Закрытые!$B$5:$B$300=$B64)*((Закрытые!$F$5:$F$300+Закрытые!$I$5:$I$300-ABS(Закрытые!$F$5:$F$300-Закрытые!$I$5:$I$300))/2)*(Закрытые!$J$5:$J$300-Закрытые!$G$5:$G$300)))/I64)/(1+N(Ввод!$E$17)/100),""))</f>
        <v/>
      </c>
    </row>
    <row r="65" ht="22" customHeight="1">
      <c r="B65" s="313" t="n"/>
      <c r="C65" s="314" t="n"/>
      <c r="D65" s="313" t="n"/>
      <c r="E65" s="315" t="n"/>
      <c r="F65" s="316" t="n"/>
      <c r="G65" s="317" t="n"/>
      <c r="H65" s="271">
        <f>IF(AND(ISNUMBER(F65),ISNUMBER(G65)),F65*G65,"")</f>
        <v/>
      </c>
      <c r="I65" s="316" t="n"/>
      <c r="J65" s="317" t="n"/>
      <c r="K65" s="271">
        <f>IF(AND(ISNUMBER(I65),ISNUMBER(J65)),I65*J65,"")</f>
        <v/>
      </c>
      <c r="L65" s="240">
        <f>IF(COUNT(F65,I65)=0,"",N(F65)-N(I65))</f>
        <v/>
      </c>
      <c r="M65" s="241">
        <f>IF(COUNT(H65,K65)=0,"",N(K65)-N(H65))</f>
        <v/>
      </c>
      <c r="N65" s="240">
        <f>IF(AND(ISNUMBER(F65),ISNUMBER(G65),F65&gt;0,1-N(Ввод!$E$17)/100&gt;0),MAX(0,(F65*G65-SUMPRODUCT((Закрытые!$B$5:$B$300=$B65)*((Закрытые!$F$5:$F$300+Закрытые!$I$5:$I$300-ABS(Закрытые!$F$5:$F$300-Закрытые!$I$5:$I$300))/2)*(Закрытые!$J$5:$J$300-Закрытые!$G$5:$G$300)))/F65)/(1-N(Ввод!$E$17)/100),IF(AND(ISNUMBER(I65),ISNUMBER(J65),I65&gt;0),MAX(0,(I65*J65+SUMPRODUCT((Закрытые!$B$5:$B$300=$B65)*((Закрытые!$F$5:$F$300+Закрытые!$I$5:$I$300-ABS(Закрытые!$F$5:$F$300-Закрытые!$I$5:$I$300))/2)*(Закрытые!$J$5:$J$300-Закрытые!$G$5:$G$300)))/I65)/(1+N(Ввод!$E$17)/100),""))</f>
        <v/>
      </c>
    </row>
    <row r="66" ht="22" customHeight="1">
      <c r="B66" s="318" t="n"/>
      <c r="C66" s="319" t="n"/>
      <c r="D66" s="318" t="n"/>
      <c r="E66" s="320" t="n"/>
      <c r="F66" s="321" t="n"/>
      <c r="G66" s="322" t="n"/>
      <c r="H66" s="271">
        <f>IF(AND(ISNUMBER(F66),ISNUMBER(G66)),F66*G66,"")</f>
        <v/>
      </c>
      <c r="I66" s="321" t="n"/>
      <c r="J66" s="322" t="n"/>
      <c r="K66" s="271">
        <f>IF(AND(ISNUMBER(I66),ISNUMBER(J66)),I66*J66,"")</f>
        <v/>
      </c>
      <c r="L66" s="246">
        <f>IF(COUNT(F66,I66)=0,"",N(F66)-N(I66))</f>
        <v/>
      </c>
      <c r="M66" s="247">
        <f>IF(COUNT(H66,K66)=0,"",N(K66)-N(H66))</f>
        <v/>
      </c>
      <c r="N66" s="246">
        <f>IF(AND(ISNUMBER(F66),ISNUMBER(G66),F66&gt;0,1-N(Ввод!$E$17)/100&gt;0),MAX(0,(F66*G66-SUMPRODUCT((Закрытые!$B$5:$B$300=$B66)*((Закрытые!$F$5:$F$300+Закрытые!$I$5:$I$300-ABS(Закрытые!$F$5:$F$300-Закрытые!$I$5:$I$300))/2)*(Закрытые!$J$5:$J$300-Закрытые!$G$5:$G$300)))/F66)/(1-N(Ввод!$E$17)/100),IF(AND(ISNUMBER(I66),ISNUMBER(J66),I66&gt;0),MAX(0,(I66*J66+SUMPRODUCT((Закрытые!$B$5:$B$300=$B66)*((Закрытые!$F$5:$F$300+Закрытые!$I$5:$I$300-ABS(Закрытые!$F$5:$F$300-Закрытые!$I$5:$I$300))/2)*(Закрытые!$J$5:$J$300-Закрытые!$G$5:$G$300)))/I66)/(1+N(Ввод!$E$17)/100),""))</f>
        <v/>
      </c>
    </row>
    <row r="67" ht="22" customHeight="1">
      <c r="B67" s="313" t="n"/>
      <c r="C67" s="314" t="n"/>
      <c r="D67" s="313" t="n"/>
      <c r="E67" s="315" t="n"/>
      <c r="F67" s="316" t="n"/>
      <c r="G67" s="317" t="n"/>
      <c r="H67" s="271">
        <f>IF(AND(ISNUMBER(F67),ISNUMBER(G67)),F67*G67,"")</f>
        <v/>
      </c>
      <c r="I67" s="316" t="n"/>
      <c r="J67" s="317" t="n"/>
      <c r="K67" s="271">
        <f>IF(AND(ISNUMBER(I67),ISNUMBER(J67)),I67*J67,"")</f>
        <v/>
      </c>
      <c r="L67" s="240">
        <f>IF(COUNT(F67,I67)=0,"",N(F67)-N(I67))</f>
        <v/>
      </c>
      <c r="M67" s="241">
        <f>IF(COUNT(H67,K67)=0,"",N(K67)-N(H67))</f>
        <v/>
      </c>
      <c r="N67" s="240">
        <f>IF(AND(ISNUMBER(F67),ISNUMBER(G67),F67&gt;0,1-N(Ввод!$E$17)/100&gt;0),MAX(0,(F67*G67-SUMPRODUCT((Закрытые!$B$5:$B$300=$B67)*((Закрытые!$F$5:$F$300+Закрытые!$I$5:$I$300-ABS(Закрытые!$F$5:$F$300-Закрытые!$I$5:$I$300))/2)*(Закрытые!$J$5:$J$300-Закрытые!$G$5:$G$300)))/F67)/(1-N(Ввод!$E$17)/100),IF(AND(ISNUMBER(I67),ISNUMBER(J67),I67&gt;0),MAX(0,(I67*J67+SUMPRODUCT((Закрытые!$B$5:$B$300=$B67)*((Закрытые!$F$5:$F$300+Закрытые!$I$5:$I$300-ABS(Закрытые!$F$5:$F$300-Закрытые!$I$5:$I$300))/2)*(Закрытые!$J$5:$J$300-Закрытые!$G$5:$G$300)))/I67)/(1+N(Ввод!$E$17)/100),""))</f>
        <v/>
      </c>
    </row>
    <row r="68" ht="22" customHeight="1">
      <c r="B68" s="318" t="n"/>
      <c r="C68" s="319" t="n"/>
      <c r="D68" s="318" t="n"/>
      <c r="E68" s="320" t="n"/>
      <c r="F68" s="321" t="n"/>
      <c r="G68" s="322" t="n"/>
      <c r="H68" s="271">
        <f>IF(AND(ISNUMBER(F68),ISNUMBER(G68)),F68*G68,"")</f>
        <v/>
      </c>
      <c r="I68" s="321" t="n"/>
      <c r="J68" s="322" t="n"/>
      <c r="K68" s="271">
        <f>IF(AND(ISNUMBER(I68),ISNUMBER(J68)),I68*J68,"")</f>
        <v/>
      </c>
      <c r="L68" s="246">
        <f>IF(COUNT(F68,I68)=0,"",N(F68)-N(I68))</f>
        <v/>
      </c>
      <c r="M68" s="247">
        <f>IF(COUNT(H68,K68)=0,"",N(K68)-N(H68))</f>
        <v/>
      </c>
      <c r="N68" s="246">
        <f>IF(AND(ISNUMBER(F68),ISNUMBER(G68),F68&gt;0,1-N(Ввод!$E$17)/100&gt;0),MAX(0,(F68*G68-SUMPRODUCT((Закрытые!$B$5:$B$300=$B68)*((Закрытые!$F$5:$F$300+Закрытые!$I$5:$I$300-ABS(Закрытые!$F$5:$F$300-Закрытые!$I$5:$I$300))/2)*(Закрытые!$J$5:$J$300-Закрытые!$G$5:$G$300)))/F68)/(1-N(Ввод!$E$17)/100),IF(AND(ISNUMBER(I68),ISNUMBER(J68),I68&gt;0),MAX(0,(I68*J68+SUMPRODUCT((Закрытые!$B$5:$B$300=$B68)*((Закрытые!$F$5:$F$300+Закрытые!$I$5:$I$300-ABS(Закрытые!$F$5:$F$300-Закрытые!$I$5:$I$300))/2)*(Закрытые!$J$5:$J$300-Закрытые!$G$5:$G$300)))/I68)/(1+N(Ввод!$E$17)/100),""))</f>
        <v/>
      </c>
    </row>
    <row r="69" ht="22" customHeight="1">
      <c r="B69" s="313" t="n"/>
      <c r="C69" s="314" t="n"/>
      <c r="D69" s="313" t="n"/>
      <c r="E69" s="315" t="n"/>
      <c r="F69" s="316" t="n"/>
      <c r="G69" s="317" t="n"/>
      <c r="H69" s="271">
        <f>IF(AND(ISNUMBER(F69),ISNUMBER(G69)),F69*G69,"")</f>
        <v/>
      </c>
      <c r="I69" s="316" t="n"/>
      <c r="J69" s="317" t="n"/>
      <c r="K69" s="271">
        <f>IF(AND(ISNUMBER(I69),ISNUMBER(J69)),I69*J69,"")</f>
        <v/>
      </c>
      <c r="L69" s="240">
        <f>IF(COUNT(F69,I69)=0,"",N(F69)-N(I69))</f>
        <v/>
      </c>
      <c r="M69" s="241">
        <f>IF(COUNT(H69,K69)=0,"",N(K69)-N(H69))</f>
        <v/>
      </c>
      <c r="N69" s="240">
        <f>IF(AND(ISNUMBER(F69),ISNUMBER(G69),F69&gt;0,1-N(Ввод!$E$17)/100&gt;0),MAX(0,(F69*G69-SUMPRODUCT((Закрытые!$B$5:$B$300=$B69)*((Закрытые!$F$5:$F$300+Закрытые!$I$5:$I$300-ABS(Закрытые!$F$5:$F$300-Закрытые!$I$5:$I$300))/2)*(Закрытые!$J$5:$J$300-Закрытые!$G$5:$G$300)))/F69)/(1-N(Ввод!$E$17)/100),IF(AND(ISNUMBER(I69),ISNUMBER(J69),I69&gt;0),MAX(0,(I69*J69+SUMPRODUCT((Закрытые!$B$5:$B$300=$B69)*((Закрытые!$F$5:$F$300+Закрытые!$I$5:$I$300-ABS(Закрытые!$F$5:$F$300-Закрытые!$I$5:$I$300))/2)*(Закрытые!$J$5:$J$300-Закрытые!$G$5:$G$300)))/I69)/(1+N(Ввод!$E$17)/100),""))</f>
        <v/>
      </c>
    </row>
    <row r="70" ht="22" customHeight="1">
      <c r="B70" s="318" t="n"/>
      <c r="C70" s="319" t="n"/>
      <c r="D70" s="318" t="n"/>
      <c r="E70" s="320" t="n"/>
      <c r="F70" s="321" t="n"/>
      <c r="G70" s="322" t="n"/>
      <c r="H70" s="271">
        <f>IF(AND(ISNUMBER(F70),ISNUMBER(G70)),F70*G70,"")</f>
        <v/>
      </c>
      <c r="I70" s="321" t="n"/>
      <c r="J70" s="322" t="n"/>
      <c r="K70" s="271">
        <f>IF(AND(ISNUMBER(I70),ISNUMBER(J70)),I70*J70,"")</f>
        <v/>
      </c>
      <c r="L70" s="246">
        <f>IF(COUNT(F70,I70)=0,"",N(F70)-N(I70))</f>
        <v/>
      </c>
      <c r="M70" s="247">
        <f>IF(COUNT(H70,K70)=0,"",N(K70)-N(H70))</f>
        <v/>
      </c>
      <c r="N70" s="246">
        <f>IF(AND(ISNUMBER(F70),ISNUMBER(G70),F70&gt;0,1-N(Ввод!$E$17)/100&gt;0),MAX(0,(F70*G70-SUMPRODUCT((Закрытые!$B$5:$B$300=$B70)*((Закрытые!$F$5:$F$300+Закрытые!$I$5:$I$300-ABS(Закрытые!$F$5:$F$300-Закрытые!$I$5:$I$300))/2)*(Закрытые!$J$5:$J$300-Закрытые!$G$5:$G$300)))/F70)/(1-N(Ввод!$E$17)/100),IF(AND(ISNUMBER(I70),ISNUMBER(J70),I70&gt;0),MAX(0,(I70*J70+SUMPRODUCT((Закрытые!$B$5:$B$300=$B70)*((Закрытые!$F$5:$F$300+Закрытые!$I$5:$I$300-ABS(Закрытые!$F$5:$F$300-Закрытые!$I$5:$I$300))/2)*(Закрытые!$J$5:$J$300-Закрытые!$G$5:$G$300)))/I70)/(1+N(Ввод!$E$17)/100),""))</f>
        <v/>
      </c>
    </row>
    <row r="71" ht="22" customHeight="1">
      <c r="B71" s="313" t="n"/>
      <c r="C71" s="314" t="n"/>
      <c r="D71" s="313" t="n"/>
      <c r="E71" s="315" t="n"/>
      <c r="F71" s="316" t="n"/>
      <c r="G71" s="317" t="n"/>
      <c r="H71" s="271">
        <f>IF(AND(ISNUMBER(F71),ISNUMBER(G71)),F71*G71,"")</f>
        <v/>
      </c>
      <c r="I71" s="316" t="n"/>
      <c r="J71" s="317" t="n"/>
      <c r="K71" s="271">
        <f>IF(AND(ISNUMBER(I71),ISNUMBER(J71)),I71*J71,"")</f>
        <v/>
      </c>
      <c r="L71" s="240">
        <f>IF(COUNT(F71,I71)=0,"",N(F71)-N(I71))</f>
        <v/>
      </c>
      <c r="M71" s="241">
        <f>IF(COUNT(H71,K71)=0,"",N(K71)-N(H71))</f>
        <v/>
      </c>
      <c r="N71" s="240">
        <f>IF(AND(ISNUMBER(F71),ISNUMBER(G71),F71&gt;0,1-N(Ввод!$E$17)/100&gt;0),MAX(0,(F71*G71-SUMPRODUCT((Закрытые!$B$5:$B$300=$B71)*((Закрытые!$F$5:$F$300+Закрытые!$I$5:$I$300-ABS(Закрытые!$F$5:$F$300-Закрытые!$I$5:$I$300))/2)*(Закрытые!$J$5:$J$300-Закрытые!$G$5:$G$300)))/F71)/(1-N(Ввод!$E$17)/100),IF(AND(ISNUMBER(I71),ISNUMBER(J71),I71&gt;0),MAX(0,(I71*J71+SUMPRODUCT((Закрытые!$B$5:$B$300=$B71)*((Закрытые!$F$5:$F$300+Закрытые!$I$5:$I$300-ABS(Закрытые!$F$5:$F$300-Закрытые!$I$5:$I$300))/2)*(Закрытые!$J$5:$J$300-Закрытые!$G$5:$G$300)))/I71)/(1+N(Ввод!$E$17)/100),""))</f>
        <v/>
      </c>
    </row>
    <row r="72" ht="22" customHeight="1">
      <c r="B72" s="318" t="n"/>
      <c r="C72" s="319" t="n"/>
      <c r="D72" s="318" t="n"/>
      <c r="E72" s="320" t="n"/>
      <c r="F72" s="321" t="n"/>
      <c r="G72" s="322" t="n"/>
      <c r="H72" s="271">
        <f>IF(AND(ISNUMBER(F72),ISNUMBER(G72)),F72*G72,"")</f>
        <v/>
      </c>
      <c r="I72" s="321" t="n"/>
      <c r="J72" s="322" t="n"/>
      <c r="K72" s="271">
        <f>IF(AND(ISNUMBER(I72),ISNUMBER(J72)),I72*J72,"")</f>
        <v/>
      </c>
      <c r="L72" s="246">
        <f>IF(COUNT(F72,I72)=0,"",N(F72)-N(I72))</f>
        <v/>
      </c>
      <c r="M72" s="247">
        <f>IF(COUNT(H72,K72)=0,"",N(K72)-N(H72))</f>
        <v/>
      </c>
      <c r="N72" s="246">
        <f>IF(AND(ISNUMBER(F72),ISNUMBER(G72),F72&gt;0,1-N(Ввод!$E$17)/100&gt;0),MAX(0,(F72*G72-SUMPRODUCT((Закрытые!$B$5:$B$300=$B72)*((Закрытые!$F$5:$F$300+Закрытые!$I$5:$I$300-ABS(Закрытые!$F$5:$F$300-Закрытые!$I$5:$I$300))/2)*(Закрытые!$J$5:$J$300-Закрытые!$G$5:$G$300)))/F72)/(1-N(Ввод!$E$17)/100),IF(AND(ISNUMBER(I72),ISNUMBER(J72),I72&gt;0),MAX(0,(I72*J72+SUMPRODUCT((Закрытые!$B$5:$B$300=$B72)*((Закрытые!$F$5:$F$300+Закрытые!$I$5:$I$300-ABS(Закрытые!$F$5:$F$300-Закрытые!$I$5:$I$300))/2)*(Закрытые!$J$5:$J$300-Закрытые!$G$5:$G$300)))/I72)/(1+N(Ввод!$E$17)/100),""))</f>
        <v/>
      </c>
    </row>
    <row r="73" ht="22" customHeight="1">
      <c r="B73" s="313" t="n"/>
      <c r="C73" s="314" t="n"/>
      <c r="D73" s="313" t="n"/>
      <c r="E73" s="315" t="n"/>
      <c r="F73" s="316" t="n"/>
      <c r="G73" s="317" t="n"/>
      <c r="H73" s="271">
        <f>IF(AND(ISNUMBER(F73),ISNUMBER(G73)),F73*G73,"")</f>
        <v/>
      </c>
      <c r="I73" s="316" t="n"/>
      <c r="J73" s="317" t="n"/>
      <c r="K73" s="271">
        <f>IF(AND(ISNUMBER(I73),ISNUMBER(J73)),I73*J73,"")</f>
        <v/>
      </c>
      <c r="L73" s="240">
        <f>IF(COUNT(F73,I73)=0,"",N(F73)-N(I73))</f>
        <v/>
      </c>
      <c r="M73" s="241">
        <f>IF(COUNT(H73,K73)=0,"",N(K73)-N(H73))</f>
        <v/>
      </c>
      <c r="N73" s="240">
        <f>IF(AND(ISNUMBER(F73),ISNUMBER(G73),F73&gt;0,1-N(Ввод!$E$17)/100&gt;0),MAX(0,(F73*G73-SUMPRODUCT((Закрытые!$B$5:$B$300=$B73)*((Закрытые!$F$5:$F$300+Закрытые!$I$5:$I$300-ABS(Закрытые!$F$5:$F$300-Закрытые!$I$5:$I$300))/2)*(Закрытые!$J$5:$J$300-Закрытые!$G$5:$G$300)))/F73)/(1-N(Ввод!$E$17)/100),IF(AND(ISNUMBER(I73),ISNUMBER(J73),I73&gt;0),MAX(0,(I73*J73+SUMPRODUCT((Закрытые!$B$5:$B$300=$B73)*((Закрытые!$F$5:$F$300+Закрытые!$I$5:$I$300-ABS(Закрытые!$F$5:$F$300-Закрытые!$I$5:$I$300))/2)*(Закрытые!$J$5:$J$300-Закрытые!$G$5:$G$300)))/I73)/(1+N(Ввод!$E$17)/100),""))</f>
        <v/>
      </c>
    </row>
    <row r="74" ht="22" customHeight="1">
      <c r="B74" s="318" t="n"/>
      <c r="C74" s="319" t="n"/>
      <c r="D74" s="318" t="n"/>
      <c r="E74" s="320" t="n"/>
      <c r="F74" s="321" t="n"/>
      <c r="G74" s="322" t="n"/>
      <c r="H74" s="271">
        <f>IF(AND(ISNUMBER(F74),ISNUMBER(G74)),F74*G74,"")</f>
        <v/>
      </c>
      <c r="I74" s="321" t="n"/>
      <c r="J74" s="322" t="n"/>
      <c r="K74" s="271">
        <f>IF(AND(ISNUMBER(I74),ISNUMBER(J74)),I74*J74,"")</f>
        <v/>
      </c>
      <c r="L74" s="246">
        <f>IF(COUNT(F74,I74)=0,"",N(F74)-N(I74))</f>
        <v/>
      </c>
      <c r="M74" s="247">
        <f>IF(COUNT(H74,K74)=0,"",N(K74)-N(H74))</f>
        <v/>
      </c>
      <c r="N74" s="246">
        <f>IF(AND(ISNUMBER(F74),ISNUMBER(G74),F74&gt;0,1-N(Ввод!$E$17)/100&gt;0),MAX(0,(F74*G74-SUMPRODUCT((Закрытые!$B$5:$B$300=$B74)*((Закрытые!$F$5:$F$300+Закрытые!$I$5:$I$300-ABS(Закрытые!$F$5:$F$300-Закрытые!$I$5:$I$300))/2)*(Закрытые!$J$5:$J$300-Закрытые!$G$5:$G$300)))/F74)/(1-N(Ввод!$E$17)/100),IF(AND(ISNUMBER(I74),ISNUMBER(J74),I74&gt;0),MAX(0,(I74*J74+SUMPRODUCT((Закрытые!$B$5:$B$300=$B74)*((Закрытые!$F$5:$F$300+Закрытые!$I$5:$I$300-ABS(Закрытые!$F$5:$F$300-Закрытые!$I$5:$I$300))/2)*(Закрытые!$J$5:$J$300-Закрытые!$G$5:$G$300)))/I74)/(1+N(Ввод!$E$17)/100),""))</f>
        <v/>
      </c>
    </row>
    <row r="75" ht="22" customHeight="1">
      <c r="B75" s="313" t="n"/>
      <c r="C75" s="314" t="n"/>
      <c r="D75" s="313" t="n"/>
      <c r="E75" s="315" t="n"/>
      <c r="F75" s="316" t="n"/>
      <c r="G75" s="317" t="n"/>
      <c r="H75" s="271">
        <f>IF(AND(ISNUMBER(F75),ISNUMBER(G75)),F75*G75,"")</f>
        <v/>
      </c>
      <c r="I75" s="316" t="n"/>
      <c r="J75" s="317" t="n"/>
      <c r="K75" s="271">
        <f>IF(AND(ISNUMBER(I75),ISNUMBER(J75)),I75*J75,"")</f>
        <v/>
      </c>
      <c r="L75" s="240">
        <f>IF(COUNT(F75,I75)=0,"",N(F75)-N(I75))</f>
        <v/>
      </c>
      <c r="M75" s="241">
        <f>IF(COUNT(H75,K75)=0,"",N(K75)-N(H75))</f>
        <v/>
      </c>
      <c r="N75" s="240">
        <f>IF(AND(ISNUMBER(F75),ISNUMBER(G75),F75&gt;0,1-N(Ввод!$E$17)/100&gt;0),MAX(0,(F75*G75-SUMPRODUCT((Закрытые!$B$5:$B$300=$B75)*((Закрытые!$F$5:$F$300+Закрытые!$I$5:$I$300-ABS(Закрытые!$F$5:$F$300-Закрытые!$I$5:$I$300))/2)*(Закрытые!$J$5:$J$300-Закрытые!$G$5:$G$300)))/F75)/(1-N(Ввод!$E$17)/100),IF(AND(ISNUMBER(I75),ISNUMBER(J75),I75&gt;0),MAX(0,(I75*J75+SUMPRODUCT((Закрытые!$B$5:$B$300=$B75)*((Закрытые!$F$5:$F$300+Закрытые!$I$5:$I$300-ABS(Закрытые!$F$5:$F$300-Закрытые!$I$5:$I$300))/2)*(Закрытые!$J$5:$J$300-Закрытые!$G$5:$G$300)))/I75)/(1+N(Ввод!$E$17)/100),""))</f>
        <v/>
      </c>
    </row>
    <row r="76" ht="22" customHeight="1">
      <c r="B76" s="318" t="n"/>
      <c r="C76" s="319" t="n"/>
      <c r="D76" s="318" t="n"/>
      <c r="E76" s="320" t="n"/>
      <c r="F76" s="321" t="n"/>
      <c r="G76" s="322" t="n"/>
      <c r="H76" s="271">
        <f>IF(AND(ISNUMBER(F76),ISNUMBER(G76)),F76*G76,"")</f>
        <v/>
      </c>
      <c r="I76" s="321" t="n"/>
      <c r="J76" s="322" t="n"/>
      <c r="K76" s="271">
        <f>IF(AND(ISNUMBER(I76),ISNUMBER(J76)),I76*J76,"")</f>
        <v/>
      </c>
      <c r="L76" s="246">
        <f>IF(COUNT(F76,I76)=0,"",N(F76)-N(I76))</f>
        <v/>
      </c>
      <c r="M76" s="247">
        <f>IF(COUNT(H76,K76)=0,"",N(K76)-N(H76))</f>
        <v/>
      </c>
      <c r="N76" s="246">
        <f>IF(AND(ISNUMBER(F76),ISNUMBER(G76),F76&gt;0,1-N(Ввод!$E$17)/100&gt;0),MAX(0,(F76*G76-SUMPRODUCT((Закрытые!$B$5:$B$300=$B76)*((Закрытые!$F$5:$F$300+Закрытые!$I$5:$I$300-ABS(Закрытые!$F$5:$F$300-Закрытые!$I$5:$I$300))/2)*(Закрытые!$J$5:$J$300-Закрытые!$G$5:$G$300)))/F76)/(1-N(Ввод!$E$17)/100),IF(AND(ISNUMBER(I76),ISNUMBER(J76),I76&gt;0),MAX(0,(I76*J76+SUMPRODUCT((Закрытые!$B$5:$B$300=$B76)*((Закрытые!$F$5:$F$300+Закрытые!$I$5:$I$300-ABS(Закрытые!$F$5:$F$300-Закрытые!$I$5:$I$300))/2)*(Закрытые!$J$5:$J$300-Закрытые!$G$5:$G$300)))/I76)/(1+N(Ввод!$E$17)/100),""))</f>
        <v/>
      </c>
    </row>
    <row r="77" ht="22" customHeight="1">
      <c r="B77" s="313" t="n"/>
      <c r="C77" s="314" t="n"/>
      <c r="D77" s="313" t="n"/>
      <c r="E77" s="315" t="n"/>
      <c r="F77" s="316" t="n"/>
      <c r="G77" s="317" t="n"/>
      <c r="H77" s="271">
        <f>IF(AND(ISNUMBER(F77),ISNUMBER(G77)),F77*G77,"")</f>
        <v/>
      </c>
      <c r="I77" s="316" t="n"/>
      <c r="J77" s="317" t="n"/>
      <c r="K77" s="271">
        <f>IF(AND(ISNUMBER(I77),ISNUMBER(J77)),I77*J77,"")</f>
        <v/>
      </c>
      <c r="L77" s="240">
        <f>IF(COUNT(F77,I77)=0,"",N(F77)-N(I77))</f>
        <v/>
      </c>
      <c r="M77" s="241">
        <f>IF(COUNT(H77,K77)=0,"",N(K77)-N(H77))</f>
        <v/>
      </c>
      <c r="N77" s="240">
        <f>IF(AND(ISNUMBER(F77),ISNUMBER(G77),F77&gt;0,1-N(Ввод!$E$17)/100&gt;0),MAX(0,(F77*G77-SUMPRODUCT((Закрытые!$B$5:$B$300=$B77)*((Закрытые!$F$5:$F$300+Закрытые!$I$5:$I$300-ABS(Закрытые!$F$5:$F$300-Закрытые!$I$5:$I$300))/2)*(Закрытые!$J$5:$J$300-Закрытые!$G$5:$G$300)))/F77)/(1-N(Ввод!$E$17)/100),IF(AND(ISNUMBER(I77),ISNUMBER(J77),I77&gt;0),MAX(0,(I77*J77+SUMPRODUCT((Закрытые!$B$5:$B$300=$B77)*((Закрытые!$F$5:$F$300+Закрытые!$I$5:$I$300-ABS(Закрытые!$F$5:$F$300-Закрытые!$I$5:$I$300))/2)*(Закрытые!$J$5:$J$300-Закрытые!$G$5:$G$300)))/I77)/(1+N(Ввод!$E$17)/100),""))</f>
        <v/>
      </c>
    </row>
    <row r="78" ht="22" customHeight="1">
      <c r="B78" s="318" t="n"/>
      <c r="C78" s="319" t="n"/>
      <c r="D78" s="318" t="n"/>
      <c r="E78" s="320" t="n"/>
      <c r="F78" s="321" t="n"/>
      <c r="G78" s="322" t="n"/>
      <c r="H78" s="271">
        <f>IF(AND(ISNUMBER(F78),ISNUMBER(G78)),F78*G78,"")</f>
        <v/>
      </c>
      <c r="I78" s="321" t="n"/>
      <c r="J78" s="322" t="n"/>
      <c r="K78" s="271">
        <f>IF(AND(ISNUMBER(I78),ISNUMBER(J78)),I78*J78,"")</f>
        <v/>
      </c>
      <c r="L78" s="246">
        <f>IF(COUNT(F78,I78)=0,"",N(F78)-N(I78))</f>
        <v/>
      </c>
      <c r="M78" s="247">
        <f>IF(COUNT(H78,K78)=0,"",N(K78)-N(H78))</f>
        <v/>
      </c>
      <c r="N78" s="246">
        <f>IF(AND(ISNUMBER(F78),ISNUMBER(G78),F78&gt;0,1-N(Ввод!$E$17)/100&gt;0),MAX(0,(F78*G78-SUMPRODUCT((Закрытые!$B$5:$B$300=$B78)*((Закрытые!$F$5:$F$300+Закрытые!$I$5:$I$300-ABS(Закрытые!$F$5:$F$300-Закрытые!$I$5:$I$300))/2)*(Закрытые!$J$5:$J$300-Закрытые!$G$5:$G$300)))/F78)/(1-N(Ввод!$E$17)/100),IF(AND(ISNUMBER(I78),ISNUMBER(J78),I78&gt;0),MAX(0,(I78*J78+SUMPRODUCT((Закрытые!$B$5:$B$300=$B78)*((Закрытые!$F$5:$F$300+Закрытые!$I$5:$I$300-ABS(Закрытые!$F$5:$F$300-Закрытые!$I$5:$I$300))/2)*(Закрытые!$J$5:$J$300-Закрытые!$G$5:$G$300)))/I78)/(1+N(Ввод!$E$17)/100),""))</f>
        <v/>
      </c>
    </row>
    <row r="79" ht="22" customHeight="1">
      <c r="B79" s="313" t="n"/>
      <c r="C79" s="314" t="n"/>
      <c r="D79" s="313" t="n"/>
      <c r="E79" s="315" t="n"/>
      <c r="F79" s="316" t="n"/>
      <c r="G79" s="317" t="n"/>
      <c r="H79" s="271">
        <f>IF(AND(ISNUMBER(F79),ISNUMBER(G79)),F79*G79,"")</f>
        <v/>
      </c>
      <c r="I79" s="316" t="n"/>
      <c r="J79" s="317" t="n"/>
      <c r="K79" s="271">
        <f>IF(AND(ISNUMBER(I79),ISNUMBER(J79)),I79*J79,"")</f>
        <v/>
      </c>
      <c r="L79" s="240">
        <f>IF(COUNT(F79,I79)=0,"",N(F79)-N(I79))</f>
        <v/>
      </c>
      <c r="M79" s="241">
        <f>IF(COUNT(H79,K79)=0,"",N(K79)-N(H79))</f>
        <v/>
      </c>
      <c r="N79" s="240">
        <f>IF(AND(ISNUMBER(F79),ISNUMBER(G79),F79&gt;0,1-N(Ввод!$E$17)/100&gt;0),MAX(0,(F79*G79-SUMPRODUCT((Закрытые!$B$5:$B$300=$B79)*((Закрытые!$F$5:$F$300+Закрытые!$I$5:$I$300-ABS(Закрытые!$F$5:$F$300-Закрытые!$I$5:$I$300))/2)*(Закрытые!$J$5:$J$300-Закрытые!$G$5:$G$300)))/F79)/(1-N(Ввод!$E$17)/100),IF(AND(ISNUMBER(I79),ISNUMBER(J79),I79&gt;0),MAX(0,(I79*J79+SUMPRODUCT((Закрытые!$B$5:$B$300=$B79)*((Закрытые!$F$5:$F$300+Закрытые!$I$5:$I$300-ABS(Закрытые!$F$5:$F$300-Закрытые!$I$5:$I$300))/2)*(Закрытые!$J$5:$J$300-Закрытые!$G$5:$G$300)))/I79)/(1+N(Ввод!$E$17)/100),""))</f>
        <v/>
      </c>
    </row>
    <row r="80" ht="22" customHeight="1">
      <c r="B80" s="318" t="n"/>
      <c r="C80" s="319" t="n"/>
      <c r="D80" s="318" t="n"/>
      <c r="E80" s="320" t="n"/>
      <c r="F80" s="321" t="n"/>
      <c r="G80" s="322" t="n"/>
      <c r="H80" s="271">
        <f>IF(AND(ISNUMBER(F80),ISNUMBER(G80)),F80*G80,"")</f>
        <v/>
      </c>
      <c r="I80" s="321" t="n"/>
      <c r="J80" s="322" t="n"/>
      <c r="K80" s="271">
        <f>IF(AND(ISNUMBER(I80),ISNUMBER(J80)),I80*J80,"")</f>
        <v/>
      </c>
      <c r="L80" s="246">
        <f>IF(COUNT(F80,I80)=0,"",N(F80)-N(I80))</f>
        <v/>
      </c>
      <c r="M80" s="247">
        <f>IF(COUNT(H80,K80)=0,"",N(K80)-N(H80))</f>
        <v/>
      </c>
      <c r="N80" s="246">
        <f>IF(AND(ISNUMBER(F80),ISNUMBER(G80),F80&gt;0,1-N(Ввод!$E$17)/100&gt;0),MAX(0,(F80*G80-SUMPRODUCT((Закрытые!$B$5:$B$300=$B80)*((Закрытые!$F$5:$F$300+Закрытые!$I$5:$I$300-ABS(Закрытые!$F$5:$F$300-Закрытые!$I$5:$I$300))/2)*(Закрытые!$J$5:$J$300-Закрытые!$G$5:$G$300)))/F80)/(1-N(Ввод!$E$17)/100),IF(AND(ISNUMBER(I80),ISNUMBER(J80),I80&gt;0),MAX(0,(I80*J80+SUMPRODUCT((Закрытые!$B$5:$B$300=$B80)*((Закрытые!$F$5:$F$300+Закрытые!$I$5:$I$300-ABS(Закрытые!$F$5:$F$300-Закрытые!$I$5:$I$300))/2)*(Закрытые!$J$5:$J$300-Закрытые!$G$5:$G$300)))/I80)/(1+N(Ввод!$E$17)/100),""))</f>
        <v/>
      </c>
    </row>
    <row r="81" ht="22" customHeight="1">
      <c r="B81" s="313" t="n"/>
      <c r="C81" s="314" t="n"/>
      <c r="D81" s="313" t="n"/>
      <c r="E81" s="315" t="n"/>
      <c r="F81" s="316" t="n"/>
      <c r="G81" s="317" t="n"/>
      <c r="H81" s="271">
        <f>IF(AND(ISNUMBER(F81),ISNUMBER(G81)),F81*G81,"")</f>
        <v/>
      </c>
      <c r="I81" s="316" t="n"/>
      <c r="J81" s="317" t="n"/>
      <c r="K81" s="271">
        <f>IF(AND(ISNUMBER(I81),ISNUMBER(J81)),I81*J81,"")</f>
        <v/>
      </c>
      <c r="L81" s="240">
        <f>IF(COUNT(F81,I81)=0,"",N(F81)-N(I81))</f>
        <v/>
      </c>
      <c r="M81" s="241">
        <f>IF(COUNT(H81,K81)=0,"",N(K81)-N(H81))</f>
        <v/>
      </c>
      <c r="N81" s="240">
        <f>IF(AND(ISNUMBER(F81),ISNUMBER(G81),F81&gt;0,1-N(Ввод!$E$17)/100&gt;0),MAX(0,(F81*G81-SUMPRODUCT((Закрытые!$B$5:$B$300=$B81)*((Закрытые!$F$5:$F$300+Закрытые!$I$5:$I$300-ABS(Закрытые!$F$5:$F$300-Закрытые!$I$5:$I$300))/2)*(Закрытые!$J$5:$J$300-Закрытые!$G$5:$G$300)))/F81)/(1-N(Ввод!$E$17)/100),IF(AND(ISNUMBER(I81),ISNUMBER(J81),I81&gt;0),MAX(0,(I81*J81+SUMPRODUCT((Закрытые!$B$5:$B$300=$B81)*((Закрытые!$F$5:$F$300+Закрытые!$I$5:$I$300-ABS(Закрытые!$F$5:$F$300-Закрытые!$I$5:$I$300))/2)*(Закрытые!$J$5:$J$300-Закрытые!$G$5:$G$300)))/I81)/(1+N(Ввод!$E$17)/100),""))</f>
        <v/>
      </c>
    </row>
    <row r="82" ht="22" customHeight="1">
      <c r="B82" s="318" t="n"/>
      <c r="C82" s="319" t="n"/>
      <c r="D82" s="318" t="n"/>
      <c r="E82" s="320" t="n"/>
      <c r="F82" s="321" t="n"/>
      <c r="G82" s="322" t="n"/>
      <c r="H82" s="271">
        <f>IF(AND(ISNUMBER(F82),ISNUMBER(G82)),F82*G82,"")</f>
        <v/>
      </c>
      <c r="I82" s="321" t="n"/>
      <c r="J82" s="322" t="n"/>
      <c r="K82" s="271">
        <f>IF(AND(ISNUMBER(I82),ISNUMBER(J82)),I82*J82,"")</f>
        <v/>
      </c>
      <c r="L82" s="246">
        <f>IF(COUNT(F82,I82)=0,"",N(F82)-N(I82))</f>
        <v/>
      </c>
      <c r="M82" s="247">
        <f>IF(COUNT(H82,K82)=0,"",N(K82)-N(H82))</f>
        <v/>
      </c>
      <c r="N82" s="246">
        <f>IF(AND(ISNUMBER(F82),ISNUMBER(G82),F82&gt;0,1-N(Ввод!$E$17)/100&gt;0),MAX(0,(F82*G82-SUMPRODUCT((Закрытые!$B$5:$B$300=$B82)*((Закрытые!$F$5:$F$300+Закрытые!$I$5:$I$300-ABS(Закрытые!$F$5:$F$300-Закрытые!$I$5:$I$300))/2)*(Закрытые!$J$5:$J$300-Закрытые!$G$5:$G$300)))/F82)/(1-N(Ввод!$E$17)/100),IF(AND(ISNUMBER(I82),ISNUMBER(J82),I82&gt;0),MAX(0,(I82*J82+SUMPRODUCT((Закрытые!$B$5:$B$300=$B82)*((Закрытые!$F$5:$F$300+Закрытые!$I$5:$I$300-ABS(Закрытые!$F$5:$F$300-Закрытые!$I$5:$I$300))/2)*(Закрытые!$J$5:$J$300-Закрытые!$G$5:$G$300)))/I82)/(1+N(Ввод!$E$17)/100),""))</f>
        <v/>
      </c>
    </row>
    <row r="83" ht="22" customHeight="1">
      <c r="B83" s="313" t="n"/>
      <c r="C83" s="314" t="n"/>
      <c r="D83" s="313" t="n"/>
      <c r="E83" s="315" t="n"/>
      <c r="F83" s="316" t="n"/>
      <c r="G83" s="317" t="n"/>
      <c r="H83" s="271">
        <f>IF(AND(ISNUMBER(F83),ISNUMBER(G83)),F83*G83,"")</f>
        <v/>
      </c>
      <c r="I83" s="316" t="n"/>
      <c r="J83" s="317" t="n"/>
      <c r="K83" s="271">
        <f>IF(AND(ISNUMBER(I83),ISNUMBER(J83)),I83*J83,"")</f>
        <v/>
      </c>
      <c r="L83" s="240">
        <f>IF(COUNT(F83,I83)=0,"",N(F83)-N(I83))</f>
        <v/>
      </c>
      <c r="M83" s="241">
        <f>IF(COUNT(H83,K83)=0,"",N(K83)-N(H83))</f>
        <v/>
      </c>
      <c r="N83" s="240">
        <f>IF(AND(ISNUMBER(F83),ISNUMBER(G83),F83&gt;0,1-N(Ввод!$E$17)/100&gt;0),MAX(0,(F83*G83-SUMPRODUCT((Закрытые!$B$5:$B$300=$B83)*((Закрытые!$F$5:$F$300+Закрытые!$I$5:$I$300-ABS(Закрытые!$F$5:$F$300-Закрытые!$I$5:$I$300))/2)*(Закрытые!$J$5:$J$300-Закрытые!$G$5:$G$300)))/F83)/(1-N(Ввод!$E$17)/100),IF(AND(ISNUMBER(I83),ISNUMBER(J83),I83&gt;0),MAX(0,(I83*J83+SUMPRODUCT((Закрытые!$B$5:$B$300=$B83)*((Закрытые!$F$5:$F$300+Закрытые!$I$5:$I$300-ABS(Закрытые!$F$5:$F$300-Закрытые!$I$5:$I$300))/2)*(Закрытые!$J$5:$J$300-Закрытые!$G$5:$G$300)))/I83)/(1+N(Ввод!$E$17)/100),""))</f>
        <v/>
      </c>
    </row>
    <row r="84" ht="22" customHeight="1">
      <c r="B84" s="318" t="n"/>
      <c r="C84" s="319" t="n"/>
      <c r="D84" s="318" t="n"/>
      <c r="E84" s="320" t="n"/>
      <c r="F84" s="321" t="n"/>
      <c r="G84" s="322" t="n"/>
      <c r="H84" s="271">
        <f>IF(AND(ISNUMBER(F84),ISNUMBER(G84)),F84*G84,"")</f>
        <v/>
      </c>
      <c r="I84" s="321" t="n"/>
      <c r="J84" s="322" t="n"/>
      <c r="K84" s="271">
        <f>IF(AND(ISNUMBER(I84),ISNUMBER(J84)),I84*J84,"")</f>
        <v/>
      </c>
      <c r="L84" s="246">
        <f>IF(COUNT(F84,I84)=0,"",N(F84)-N(I84))</f>
        <v/>
      </c>
      <c r="M84" s="247">
        <f>IF(COUNT(H84,K84)=0,"",N(K84)-N(H84))</f>
        <v/>
      </c>
      <c r="N84" s="246">
        <f>IF(AND(ISNUMBER(F84),ISNUMBER(G84),F84&gt;0,1-N(Ввод!$E$17)/100&gt;0),MAX(0,(F84*G84-SUMPRODUCT((Закрытые!$B$5:$B$300=$B84)*((Закрытые!$F$5:$F$300+Закрытые!$I$5:$I$300-ABS(Закрытые!$F$5:$F$300-Закрытые!$I$5:$I$300))/2)*(Закрытые!$J$5:$J$300-Закрытые!$G$5:$G$300)))/F84)/(1-N(Ввод!$E$17)/100),IF(AND(ISNUMBER(I84),ISNUMBER(J84),I84&gt;0),MAX(0,(I84*J84+SUMPRODUCT((Закрытые!$B$5:$B$300=$B84)*((Закрытые!$F$5:$F$300+Закрытые!$I$5:$I$300-ABS(Закрытые!$F$5:$F$300-Закрытые!$I$5:$I$300))/2)*(Закрытые!$J$5:$J$300-Закрытые!$G$5:$G$300)))/I84)/(1+N(Ввод!$E$17)/100),""))</f>
        <v/>
      </c>
    </row>
    <row r="85" ht="22" customHeight="1">
      <c r="B85" s="313" t="n"/>
      <c r="C85" s="314" t="n"/>
      <c r="D85" s="313" t="n"/>
      <c r="E85" s="315" t="n"/>
      <c r="F85" s="316" t="n"/>
      <c r="G85" s="317" t="n"/>
      <c r="H85" s="271">
        <f>IF(AND(ISNUMBER(F85),ISNUMBER(G85)),F85*G85,"")</f>
        <v/>
      </c>
      <c r="I85" s="316" t="n"/>
      <c r="J85" s="317" t="n"/>
      <c r="K85" s="271">
        <f>IF(AND(ISNUMBER(I85),ISNUMBER(J85)),I85*J85,"")</f>
        <v/>
      </c>
      <c r="L85" s="240">
        <f>IF(COUNT(F85,I85)=0,"",N(F85)-N(I85))</f>
        <v/>
      </c>
      <c r="M85" s="241">
        <f>IF(COUNT(H85,K85)=0,"",N(K85)-N(H85))</f>
        <v/>
      </c>
      <c r="N85" s="240">
        <f>IF(AND(ISNUMBER(F85),ISNUMBER(G85),F85&gt;0,1-N(Ввод!$E$17)/100&gt;0),MAX(0,(F85*G85-SUMPRODUCT((Закрытые!$B$5:$B$300=$B85)*((Закрытые!$F$5:$F$300+Закрытые!$I$5:$I$300-ABS(Закрытые!$F$5:$F$300-Закрытые!$I$5:$I$300))/2)*(Закрытые!$J$5:$J$300-Закрытые!$G$5:$G$300)))/F85)/(1-N(Ввод!$E$17)/100),IF(AND(ISNUMBER(I85),ISNUMBER(J85),I85&gt;0),MAX(0,(I85*J85+SUMPRODUCT((Закрытые!$B$5:$B$300=$B85)*((Закрытые!$F$5:$F$300+Закрытые!$I$5:$I$300-ABS(Закрытые!$F$5:$F$300-Закрытые!$I$5:$I$300))/2)*(Закрытые!$J$5:$J$300-Закрытые!$G$5:$G$300)))/I85)/(1+N(Ввод!$E$17)/100),""))</f>
        <v/>
      </c>
    </row>
    <row r="86" ht="22" customHeight="1">
      <c r="B86" s="318" t="n"/>
      <c r="C86" s="319" t="n"/>
      <c r="D86" s="318" t="n"/>
      <c r="E86" s="320" t="n"/>
      <c r="F86" s="321" t="n"/>
      <c r="G86" s="322" t="n"/>
      <c r="H86" s="271">
        <f>IF(AND(ISNUMBER(F86),ISNUMBER(G86)),F86*G86,"")</f>
        <v/>
      </c>
      <c r="I86" s="321" t="n"/>
      <c r="J86" s="322" t="n"/>
      <c r="K86" s="271">
        <f>IF(AND(ISNUMBER(I86),ISNUMBER(J86)),I86*J86,"")</f>
        <v/>
      </c>
      <c r="L86" s="246">
        <f>IF(COUNT(F86,I86)=0,"",N(F86)-N(I86))</f>
        <v/>
      </c>
      <c r="M86" s="247">
        <f>IF(COUNT(H86,K86)=0,"",N(K86)-N(H86))</f>
        <v/>
      </c>
      <c r="N86" s="246">
        <f>IF(AND(ISNUMBER(F86),ISNUMBER(G86),F86&gt;0,1-N(Ввод!$E$17)/100&gt;0),MAX(0,(F86*G86-SUMPRODUCT((Закрытые!$B$5:$B$300=$B86)*((Закрытые!$F$5:$F$300+Закрытые!$I$5:$I$300-ABS(Закрытые!$F$5:$F$300-Закрытые!$I$5:$I$300))/2)*(Закрытые!$J$5:$J$300-Закрытые!$G$5:$G$300)))/F86)/(1-N(Ввод!$E$17)/100),IF(AND(ISNUMBER(I86),ISNUMBER(J86),I86&gt;0),MAX(0,(I86*J86+SUMPRODUCT((Закрытые!$B$5:$B$300=$B86)*((Закрытые!$F$5:$F$300+Закрытые!$I$5:$I$300-ABS(Закрытые!$F$5:$F$300-Закрытые!$I$5:$I$300))/2)*(Закрытые!$J$5:$J$300-Закрытые!$G$5:$G$300)))/I86)/(1+N(Ввод!$E$17)/100),""))</f>
        <v/>
      </c>
    </row>
    <row r="87" ht="22" customHeight="1">
      <c r="B87" s="313" t="n"/>
      <c r="C87" s="314" t="n"/>
      <c r="D87" s="313" t="n"/>
      <c r="E87" s="315" t="n"/>
      <c r="F87" s="316" t="n"/>
      <c r="G87" s="317" t="n"/>
      <c r="H87" s="271">
        <f>IF(AND(ISNUMBER(F87),ISNUMBER(G87)),F87*G87,"")</f>
        <v/>
      </c>
      <c r="I87" s="316" t="n"/>
      <c r="J87" s="317" t="n"/>
      <c r="K87" s="271">
        <f>IF(AND(ISNUMBER(I87),ISNUMBER(J87)),I87*J87,"")</f>
        <v/>
      </c>
      <c r="L87" s="240">
        <f>IF(COUNT(F87,I87)=0,"",N(F87)-N(I87))</f>
        <v/>
      </c>
      <c r="M87" s="241">
        <f>IF(COUNT(H87,K87)=0,"",N(K87)-N(H87))</f>
        <v/>
      </c>
      <c r="N87" s="240">
        <f>IF(AND(ISNUMBER(F87),ISNUMBER(G87),F87&gt;0,1-N(Ввод!$E$17)/100&gt;0),MAX(0,(F87*G87-SUMPRODUCT((Закрытые!$B$5:$B$300=$B87)*((Закрытые!$F$5:$F$300+Закрытые!$I$5:$I$300-ABS(Закрытые!$F$5:$F$300-Закрытые!$I$5:$I$300))/2)*(Закрытые!$J$5:$J$300-Закрытые!$G$5:$G$300)))/F87)/(1-N(Ввод!$E$17)/100),IF(AND(ISNUMBER(I87),ISNUMBER(J87),I87&gt;0),MAX(0,(I87*J87+SUMPRODUCT((Закрытые!$B$5:$B$300=$B87)*((Закрытые!$F$5:$F$300+Закрытые!$I$5:$I$300-ABS(Закрытые!$F$5:$F$300-Закрытые!$I$5:$I$300))/2)*(Закрытые!$J$5:$J$300-Закрытые!$G$5:$G$300)))/I87)/(1+N(Ввод!$E$17)/100),""))</f>
        <v/>
      </c>
    </row>
    <row r="88" ht="22" customHeight="1">
      <c r="B88" s="318" t="n"/>
      <c r="C88" s="319" t="n"/>
      <c r="D88" s="318" t="n"/>
      <c r="E88" s="320" t="n"/>
      <c r="F88" s="321" t="n"/>
      <c r="G88" s="322" t="n"/>
      <c r="H88" s="271">
        <f>IF(AND(ISNUMBER(F88),ISNUMBER(G88)),F88*G88,"")</f>
        <v/>
      </c>
      <c r="I88" s="321" t="n"/>
      <c r="J88" s="322" t="n"/>
      <c r="K88" s="271">
        <f>IF(AND(ISNUMBER(I88),ISNUMBER(J88)),I88*J88,"")</f>
        <v/>
      </c>
      <c r="L88" s="246">
        <f>IF(COUNT(F88,I88)=0,"",N(F88)-N(I88))</f>
        <v/>
      </c>
      <c r="M88" s="247">
        <f>IF(COUNT(H88,K88)=0,"",N(K88)-N(H88))</f>
        <v/>
      </c>
      <c r="N88" s="246">
        <f>IF(AND(ISNUMBER(F88),ISNUMBER(G88),F88&gt;0,1-N(Ввод!$E$17)/100&gt;0),MAX(0,(F88*G88-SUMPRODUCT((Закрытые!$B$5:$B$300=$B88)*((Закрытые!$F$5:$F$300+Закрытые!$I$5:$I$300-ABS(Закрытые!$F$5:$F$300-Закрытые!$I$5:$I$300))/2)*(Закрытые!$J$5:$J$300-Закрытые!$G$5:$G$300)))/F88)/(1-N(Ввод!$E$17)/100),IF(AND(ISNUMBER(I88),ISNUMBER(J88),I88&gt;0),MAX(0,(I88*J88+SUMPRODUCT((Закрытые!$B$5:$B$300=$B88)*((Закрытые!$F$5:$F$300+Закрытые!$I$5:$I$300-ABS(Закрытые!$F$5:$F$300-Закрытые!$I$5:$I$300))/2)*(Закрытые!$J$5:$J$300-Закрытые!$G$5:$G$300)))/I88)/(1+N(Ввод!$E$17)/100),""))</f>
        <v/>
      </c>
    </row>
    <row r="89" ht="22" customHeight="1">
      <c r="B89" s="313" t="n"/>
      <c r="C89" s="314" t="n"/>
      <c r="D89" s="313" t="n"/>
      <c r="E89" s="315" t="n"/>
      <c r="F89" s="316" t="n"/>
      <c r="G89" s="317" t="n"/>
      <c r="H89" s="271">
        <f>IF(AND(ISNUMBER(F89),ISNUMBER(G89)),F89*G89,"")</f>
        <v/>
      </c>
      <c r="I89" s="316" t="n"/>
      <c r="J89" s="317" t="n"/>
      <c r="K89" s="271">
        <f>IF(AND(ISNUMBER(I89),ISNUMBER(J89)),I89*J89,"")</f>
        <v/>
      </c>
      <c r="L89" s="240">
        <f>IF(COUNT(F89,I89)=0,"",N(F89)-N(I89))</f>
        <v/>
      </c>
      <c r="M89" s="241">
        <f>IF(COUNT(H89,K89)=0,"",N(K89)-N(H89))</f>
        <v/>
      </c>
      <c r="N89" s="240">
        <f>IF(AND(ISNUMBER(F89),ISNUMBER(G89),F89&gt;0,1-N(Ввод!$E$17)/100&gt;0),MAX(0,(F89*G89-SUMPRODUCT((Закрытые!$B$5:$B$300=$B89)*((Закрытые!$F$5:$F$300+Закрытые!$I$5:$I$300-ABS(Закрытые!$F$5:$F$300-Закрытые!$I$5:$I$300))/2)*(Закрытые!$J$5:$J$300-Закрытые!$G$5:$G$300)))/F89)/(1-N(Ввод!$E$17)/100),IF(AND(ISNUMBER(I89),ISNUMBER(J89),I89&gt;0),MAX(0,(I89*J89+SUMPRODUCT((Закрытые!$B$5:$B$300=$B89)*((Закрытые!$F$5:$F$300+Закрытые!$I$5:$I$300-ABS(Закрытые!$F$5:$F$300-Закрытые!$I$5:$I$300))/2)*(Закрытые!$J$5:$J$300-Закрытые!$G$5:$G$300)))/I89)/(1+N(Ввод!$E$17)/100),""))</f>
        <v/>
      </c>
    </row>
    <row r="90" ht="22" customHeight="1">
      <c r="B90" s="318" t="n"/>
      <c r="C90" s="319" t="n"/>
      <c r="D90" s="318" t="n"/>
      <c r="E90" s="320" t="n"/>
      <c r="F90" s="321" t="n"/>
      <c r="G90" s="322" t="n"/>
      <c r="H90" s="271">
        <f>IF(AND(ISNUMBER(F90),ISNUMBER(G90)),F90*G90,"")</f>
        <v/>
      </c>
      <c r="I90" s="321" t="n"/>
      <c r="J90" s="322" t="n"/>
      <c r="K90" s="271">
        <f>IF(AND(ISNUMBER(I90),ISNUMBER(J90)),I90*J90,"")</f>
        <v/>
      </c>
      <c r="L90" s="246">
        <f>IF(COUNT(F90,I90)=0,"",N(F90)-N(I90))</f>
        <v/>
      </c>
      <c r="M90" s="247">
        <f>IF(COUNT(H90,K90)=0,"",N(K90)-N(H90))</f>
        <v/>
      </c>
      <c r="N90" s="246">
        <f>IF(AND(ISNUMBER(F90),ISNUMBER(G90),F90&gt;0,1-N(Ввод!$E$17)/100&gt;0),MAX(0,(F90*G90-SUMPRODUCT((Закрытые!$B$5:$B$300=$B90)*((Закрытые!$F$5:$F$300+Закрытые!$I$5:$I$300-ABS(Закрытые!$F$5:$F$300-Закрытые!$I$5:$I$300))/2)*(Закрытые!$J$5:$J$300-Закрытые!$G$5:$G$300)))/F90)/(1-N(Ввод!$E$17)/100),IF(AND(ISNUMBER(I90),ISNUMBER(J90),I90&gt;0),MAX(0,(I90*J90+SUMPRODUCT((Закрытые!$B$5:$B$300=$B90)*((Закрытые!$F$5:$F$300+Закрытые!$I$5:$I$300-ABS(Закрытые!$F$5:$F$300-Закрытые!$I$5:$I$300))/2)*(Закрытые!$J$5:$J$300-Закрытые!$G$5:$G$300)))/I90)/(1+N(Ввод!$E$17)/100),""))</f>
        <v/>
      </c>
    </row>
    <row r="91" ht="22" customHeight="1">
      <c r="B91" s="313" t="n"/>
      <c r="C91" s="314" t="n"/>
      <c r="D91" s="313" t="n"/>
      <c r="E91" s="315" t="n"/>
      <c r="F91" s="316" t="n"/>
      <c r="G91" s="317" t="n"/>
      <c r="H91" s="271">
        <f>IF(AND(ISNUMBER(F91),ISNUMBER(G91)),F91*G91,"")</f>
        <v/>
      </c>
      <c r="I91" s="316" t="n"/>
      <c r="J91" s="317" t="n"/>
      <c r="K91" s="271">
        <f>IF(AND(ISNUMBER(I91),ISNUMBER(J91)),I91*J91,"")</f>
        <v/>
      </c>
      <c r="L91" s="240">
        <f>IF(COUNT(F91,I91)=0,"",N(F91)-N(I91))</f>
        <v/>
      </c>
      <c r="M91" s="241">
        <f>IF(COUNT(H91,K91)=0,"",N(K91)-N(H91))</f>
        <v/>
      </c>
      <c r="N91" s="240">
        <f>IF(AND(ISNUMBER(F91),ISNUMBER(G91),F91&gt;0,1-N(Ввод!$E$17)/100&gt;0),MAX(0,(F91*G91-SUMPRODUCT((Закрытые!$B$5:$B$300=$B91)*((Закрытые!$F$5:$F$300+Закрытые!$I$5:$I$300-ABS(Закрытые!$F$5:$F$300-Закрытые!$I$5:$I$300))/2)*(Закрытые!$J$5:$J$300-Закрытые!$G$5:$G$300)))/F91)/(1-N(Ввод!$E$17)/100),IF(AND(ISNUMBER(I91),ISNUMBER(J91),I91&gt;0),MAX(0,(I91*J91+SUMPRODUCT((Закрытые!$B$5:$B$300=$B91)*((Закрытые!$F$5:$F$300+Закрытые!$I$5:$I$300-ABS(Закрытые!$F$5:$F$300-Закрытые!$I$5:$I$300))/2)*(Закрытые!$J$5:$J$300-Закрытые!$G$5:$G$300)))/I91)/(1+N(Ввод!$E$17)/100),""))</f>
        <v/>
      </c>
    </row>
    <row r="92" ht="22" customHeight="1">
      <c r="B92" s="318" t="n"/>
      <c r="C92" s="319" t="n"/>
      <c r="D92" s="318" t="n"/>
      <c r="E92" s="320" t="n"/>
      <c r="F92" s="321" t="n"/>
      <c r="G92" s="322" t="n"/>
      <c r="H92" s="271">
        <f>IF(AND(ISNUMBER(F92),ISNUMBER(G92)),F92*G92,"")</f>
        <v/>
      </c>
      <c r="I92" s="321" t="n"/>
      <c r="J92" s="322" t="n"/>
      <c r="K92" s="271">
        <f>IF(AND(ISNUMBER(I92),ISNUMBER(J92)),I92*J92,"")</f>
        <v/>
      </c>
      <c r="L92" s="246">
        <f>IF(COUNT(F92,I92)=0,"",N(F92)-N(I92))</f>
        <v/>
      </c>
      <c r="M92" s="247">
        <f>IF(COUNT(H92,K92)=0,"",N(K92)-N(H92))</f>
        <v/>
      </c>
      <c r="N92" s="246">
        <f>IF(AND(ISNUMBER(F92),ISNUMBER(G92),F92&gt;0,1-N(Ввод!$E$17)/100&gt;0),MAX(0,(F92*G92-SUMPRODUCT((Закрытые!$B$5:$B$300=$B92)*((Закрытые!$F$5:$F$300+Закрытые!$I$5:$I$300-ABS(Закрытые!$F$5:$F$300-Закрытые!$I$5:$I$300))/2)*(Закрытые!$J$5:$J$300-Закрытые!$G$5:$G$300)))/F92)/(1-N(Ввод!$E$17)/100),IF(AND(ISNUMBER(I92),ISNUMBER(J92),I92&gt;0),MAX(0,(I92*J92+SUMPRODUCT((Закрытые!$B$5:$B$300=$B92)*((Закрытые!$F$5:$F$300+Закрытые!$I$5:$I$300-ABS(Закрытые!$F$5:$F$300-Закрытые!$I$5:$I$300))/2)*(Закрытые!$J$5:$J$300-Закрытые!$G$5:$G$300)))/I92)/(1+N(Ввод!$E$17)/100),""))</f>
        <v/>
      </c>
    </row>
    <row r="93" ht="22" customHeight="1">
      <c r="B93" s="313" t="n"/>
      <c r="C93" s="314" t="n"/>
      <c r="D93" s="313" t="n"/>
      <c r="E93" s="315" t="n"/>
      <c r="F93" s="316" t="n"/>
      <c r="G93" s="317" t="n"/>
      <c r="H93" s="271">
        <f>IF(AND(ISNUMBER(F93),ISNUMBER(G93)),F93*G93,"")</f>
        <v/>
      </c>
      <c r="I93" s="316" t="n"/>
      <c r="J93" s="317" t="n"/>
      <c r="K93" s="271">
        <f>IF(AND(ISNUMBER(I93),ISNUMBER(J93)),I93*J93,"")</f>
        <v/>
      </c>
      <c r="L93" s="240">
        <f>IF(COUNT(F93,I93)=0,"",N(F93)-N(I93))</f>
        <v/>
      </c>
      <c r="M93" s="241">
        <f>IF(COUNT(H93,K93)=0,"",N(K93)-N(H93))</f>
        <v/>
      </c>
      <c r="N93" s="240">
        <f>IF(AND(ISNUMBER(F93),ISNUMBER(G93),F93&gt;0,1-N(Ввод!$E$17)/100&gt;0),MAX(0,(F93*G93-SUMPRODUCT((Закрытые!$B$5:$B$300=$B93)*((Закрытые!$F$5:$F$300+Закрытые!$I$5:$I$300-ABS(Закрытые!$F$5:$F$300-Закрытые!$I$5:$I$300))/2)*(Закрытые!$J$5:$J$300-Закрытые!$G$5:$G$300)))/F93)/(1-N(Ввод!$E$17)/100),IF(AND(ISNUMBER(I93),ISNUMBER(J93),I93&gt;0),MAX(0,(I93*J93+SUMPRODUCT((Закрытые!$B$5:$B$300=$B93)*((Закрытые!$F$5:$F$300+Закрытые!$I$5:$I$300-ABS(Закрытые!$F$5:$F$300-Закрытые!$I$5:$I$300))/2)*(Закрытые!$J$5:$J$300-Закрытые!$G$5:$G$300)))/I93)/(1+N(Ввод!$E$17)/100),""))</f>
        <v/>
      </c>
    </row>
    <row r="94" ht="22" customHeight="1">
      <c r="B94" s="318" t="n"/>
      <c r="C94" s="319" t="n"/>
      <c r="D94" s="318" t="n"/>
      <c r="E94" s="320" t="n"/>
      <c r="F94" s="321" t="n"/>
      <c r="G94" s="322" t="n"/>
      <c r="H94" s="271">
        <f>IF(AND(ISNUMBER(F94),ISNUMBER(G94)),F94*G94,"")</f>
        <v/>
      </c>
      <c r="I94" s="321" t="n"/>
      <c r="J94" s="322" t="n"/>
      <c r="K94" s="271">
        <f>IF(AND(ISNUMBER(I94),ISNUMBER(J94)),I94*J94,"")</f>
        <v/>
      </c>
      <c r="L94" s="246">
        <f>IF(COUNT(F94,I94)=0,"",N(F94)-N(I94))</f>
        <v/>
      </c>
      <c r="M94" s="247">
        <f>IF(COUNT(H94,K94)=0,"",N(K94)-N(H94))</f>
        <v/>
      </c>
      <c r="N94" s="246">
        <f>IF(AND(ISNUMBER(F94),ISNUMBER(G94),F94&gt;0,1-N(Ввод!$E$17)/100&gt;0),MAX(0,(F94*G94-SUMPRODUCT((Закрытые!$B$5:$B$300=$B94)*((Закрытые!$F$5:$F$300+Закрытые!$I$5:$I$300-ABS(Закрытые!$F$5:$F$300-Закрытые!$I$5:$I$300))/2)*(Закрытые!$J$5:$J$300-Закрытые!$G$5:$G$300)))/F94)/(1-N(Ввод!$E$17)/100),IF(AND(ISNUMBER(I94),ISNUMBER(J94),I94&gt;0),MAX(0,(I94*J94+SUMPRODUCT((Закрытые!$B$5:$B$300=$B94)*((Закрытые!$F$5:$F$300+Закрытые!$I$5:$I$300-ABS(Закрытые!$F$5:$F$300-Закрытые!$I$5:$I$300))/2)*(Закрытые!$J$5:$J$300-Закрытые!$G$5:$G$300)))/I94)/(1+N(Ввод!$E$17)/100),""))</f>
        <v/>
      </c>
    </row>
    <row r="95" ht="22" customHeight="1">
      <c r="B95" s="313" t="n"/>
      <c r="C95" s="314" t="n"/>
      <c r="D95" s="313" t="n"/>
      <c r="E95" s="315" t="n"/>
      <c r="F95" s="316" t="n"/>
      <c r="G95" s="317" t="n"/>
      <c r="H95" s="271">
        <f>IF(AND(ISNUMBER(F95),ISNUMBER(G95)),F95*G95,"")</f>
        <v/>
      </c>
      <c r="I95" s="316" t="n"/>
      <c r="J95" s="317" t="n"/>
      <c r="K95" s="271">
        <f>IF(AND(ISNUMBER(I95),ISNUMBER(J95)),I95*J95,"")</f>
        <v/>
      </c>
      <c r="L95" s="240">
        <f>IF(COUNT(F95,I95)=0,"",N(F95)-N(I95))</f>
        <v/>
      </c>
      <c r="M95" s="241">
        <f>IF(COUNT(H95,K95)=0,"",N(K95)-N(H95))</f>
        <v/>
      </c>
      <c r="N95" s="240">
        <f>IF(AND(ISNUMBER(F95),ISNUMBER(G95),F95&gt;0,1-N(Ввод!$E$17)/100&gt;0),MAX(0,(F95*G95-SUMPRODUCT((Закрытые!$B$5:$B$300=$B95)*((Закрытые!$F$5:$F$300+Закрытые!$I$5:$I$300-ABS(Закрытые!$F$5:$F$300-Закрытые!$I$5:$I$300))/2)*(Закрытые!$J$5:$J$300-Закрытые!$G$5:$G$300)))/F95)/(1-N(Ввод!$E$17)/100),IF(AND(ISNUMBER(I95),ISNUMBER(J95),I95&gt;0),MAX(0,(I95*J95+SUMPRODUCT((Закрытые!$B$5:$B$300=$B95)*((Закрытые!$F$5:$F$300+Закрытые!$I$5:$I$300-ABS(Закрытые!$F$5:$F$300-Закрытые!$I$5:$I$300))/2)*(Закрытые!$J$5:$J$300-Закрытые!$G$5:$G$300)))/I95)/(1+N(Ввод!$E$17)/100),""))</f>
        <v/>
      </c>
    </row>
    <row r="96" ht="22" customHeight="1">
      <c r="B96" s="318" t="n"/>
      <c r="C96" s="319" t="n"/>
      <c r="D96" s="318" t="n"/>
      <c r="E96" s="320" t="n"/>
      <c r="F96" s="321" t="n"/>
      <c r="G96" s="322" t="n"/>
      <c r="H96" s="271">
        <f>IF(AND(ISNUMBER(F96),ISNUMBER(G96)),F96*G96,"")</f>
        <v/>
      </c>
      <c r="I96" s="321" t="n"/>
      <c r="J96" s="322" t="n"/>
      <c r="K96" s="271">
        <f>IF(AND(ISNUMBER(I96),ISNUMBER(J96)),I96*J96,"")</f>
        <v/>
      </c>
      <c r="L96" s="246">
        <f>IF(COUNT(F96,I96)=0,"",N(F96)-N(I96))</f>
        <v/>
      </c>
      <c r="M96" s="247">
        <f>IF(COUNT(H96,K96)=0,"",N(K96)-N(H96))</f>
        <v/>
      </c>
      <c r="N96" s="246">
        <f>IF(AND(ISNUMBER(F96),ISNUMBER(G96),F96&gt;0,1-N(Ввод!$E$17)/100&gt;0),MAX(0,(F96*G96-SUMPRODUCT((Закрытые!$B$5:$B$300=$B96)*((Закрытые!$F$5:$F$300+Закрытые!$I$5:$I$300-ABS(Закрытые!$F$5:$F$300-Закрытые!$I$5:$I$300))/2)*(Закрытые!$J$5:$J$300-Закрытые!$G$5:$G$300)))/F96)/(1-N(Ввод!$E$17)/100),IF(AND(ISNUMBER(I96),ISNUMBER(J96),I96&gt;0),MAX(0,(I96*J96+SUMPRODUCT((Закрытые!$B$5:$B$300=$B96)*((Закрытые!$F$5:$F$300+Закрытые!$I$5:$I$300-ABS(Закрытые!$F$5:$F$300-Закрытые!$I$5:$I$300))/2)*(Закрытые!$J$5:$J$300-Закрытые!$G$5:$G$300)))/I96)/(1+N(Ввод!$E$17)/100),""))</f>
        <v/>
      </c>
    </row>
    <row r="97" ht="22" customHeight="1">
      <c r="B97" s="313" t="n"/>
      <c r="C97" s="314" t="n"/>
      <c r="D97" s="313" t="n"/>
      <c r="E97" s="315" t="n"/>
      <c r="F97" s="316" t="n"/>
      <c r="G97" s="317" t="n"/>
      <c r="H97" s="271">
        <f>IF(AND(ISNUMBER(F97),ISNUMBER(G97)),F97*G97,"")</f>
        <v/>
      </c>
      <c r="I97" s="316" t="n"/>
      <c r="J97" s="317" t="n"/>
      <c r="K97" s="271">
        <f>IF(AND(ISNUMBER(I97),ISNUMBER(J97)),I97*J97,"")</f>
        <v/>
      </c>
      <c r="L97" s="240">
        <f>IF(COUNT(F97,I97)=0,"",N(F97)-N(I97))</f>
        <v/>
      </c>
      <c r="M97" s="241">
        <f>IF(COUNT(H97,K97)=0,"",N(K97)-N(H97))</f>
        <v/>
      </c>
      <c r="N97" s="240">
        <f>IF(AND(ISNUMBER(F97),ISNUMBER(G97),F97&gt;0,1-N(Ввод!$E$17)/100&gt;0),MAX(0,(F97*G97-SUMPRODUCT((Закрытые!$B$5:$B$300=$B97)*((Закрытые!$F$5:$F$300+Закрытые!$I$5:$I$300-ABS(Закрытые!$F$5:$F$300-Закрытые!$I$5:$I$300))/2)*(Закрытые!$J$5:$J$300-Закрытые!$G$5:$G$300)))/F97)/(1-N(Ввод!$E$17)/100),IF(AND(ISNUMBER(I97),ISNUMBER(J97),I97&gt;0),MAX(0,(I97*J97+SUMPRODUCT((Закрытые!$B$5:$B$300=$B97)*((Закрытые!$F$5:$F$300+Закрытые!$I$5:$I$300-ABS(Закрытые!$F$5:$F$300-Закрытые!$I$5:$I$300))/2)*(Закрытые!$J$5:$J$300-Закрытые!$G$5:$G$300)))/I97)/(1+N(Ввод!$E$17)/100),""))</f>
        <v/>
      </c>
    </row>
    <row r="98" ht="22" customHeight="1">
      <c r="B98" s="318" t="n"/>
      <c r="C98" s="319" t="n"/>
      <c r="D98" s="318" t="n"/>
      <c r="E98" s="320" t="n"/>
      <c r="F98" s="321" t="n"/>
      <c r="G98" s="322" t="n"/>
      <c r="H98" s="271">
        <f>IF(AND(ISNUMBER(F98),ISNUMBER(G98)),F98*G98,"")</f>
        <v/>
      </c>
      <c r="I98" s="321" t="n"/>
      <c r="J98" s="322" t="n"/>
      <c r="K98" s="271">
        <f>IF(AND(ISNUMBER(I98),ISNUMBER(J98)),I98*J98,"")</f>
        <v/>
      </c>
      <c r="L98" s="246">
        <f>IF(COUNT(F98,I98)=0,"",N(F98)-N(I98))</f>
        <v/>
      </c>
      <c r="M98" s="247">
        <f>IF(COUNT(H98,K98)=0,"",N(K98)-N(H98))</f>
        <v/>
      </c>
      <c r="N98" s="246">
        <f>IF(AND(ISNUMBER(F98),ISNUMBER(G98),F98&gt;0,1-N(Ввод!$E$17)/100&gt;0),MAX(0,(F98*G98-SUMPRODUCT((Закрытые!$B$5:$B$300=$B98)*((Закрытые!$F$5:$F$300+Закрытые!$I$5:$I$300-ABS(Закрытые!$F$5:$F$300-Закрытые!$I$5:$I$300))/2)*(Закрытые!$J$5:$J$300-Закрытые!$G$5:$G$300)))/F98)/(1-N(Ввод!$E$17)/100),IF(AND(ISNUMBER(I98),ISNUMBER(J98),I98&gt;0),MAX(0,(I98*J98+SUMPRODUCT((Закрытые!$B$5:$B$300=$B98)*((Закрытые!$F$5:$F$300+Закрытые!$I$5:$I$300-ABS(Закрытые!$F$5:$F$300-Закрытые!$I$5:$I$300))/2)*(Закрытые!$J$5:$J$300-Закрытые!$G$5:$G$300)))/I98)/(1+N(Ввод!$E$17)/100),""))</f>
        <v/>
      </c>
    </row>
    <row r="99" ht="22" customHeight="1">
      <c r="B99" s="313" t="n"/>
      <c r="C99" s="314" t="n"/>
      <c r="D99" s="313" t="n"/>
      <c r="E99" s="315" t="n"/>
      <c r="F99" s="316" t="n"/>
      <c r="G99" s="317" t="n"/>
      <c r="H99" s="271">
        <f>IF(AND(ISNUMBER(F99),ISNUMBER(G99)),F99*G99,"")</f>
        <v/>
      </c>
      <c r="I99" s="316" t="n"/>
      <c r="J99" s="317" t="n"/>
      <c r="K99" s="271">
        <f>IF(AND(ISNUMBER(I99),ISNUMBER(J99)),I99*J99,"")</f>
        <v/>
      </c>
      <c r="L99" s="240">
        <f>IF(COUNT(F99,I99)=0,"",N(F99)-N(I99))</f>
        <v/>
      </c>
      <c r="M99" s="241">
        <f>IF(COUNT(H99,K99)=0,"",N(K99)-N(H99))</f>
        <v/>
      </c>
      <c r="N99" s="240">
        <f>IF(AND(ISNUMBER(F99),ISNUMBER(G99),F99&gt;0,1-N(Ввод!$E$17)/100&gt;0),MAX(0,(F99*G99-SUMPRODUCT((Закрытые!$B$5:$B$300=$B99)*((Закрытые!$F$5:$F$300+Закрытые!$I$5:$I$300-ABS(Закрытые!$F$5:$F$300-Закрытые!$I$5:$I$300))/2)*(Закрытые!$J$5:$J$300-Закрытые!$G$5:$G$300)))/F99)/(1-N(Ввод!$E$17)/100),IF(AND(ISNUMBER(I99),ISNUMBER(J99),I99&gt;0),MAX(0,(I99*J99+SUMPRODUCT((Закрытые!$B$5:$B$300=$B99)*((Закрытые!$F$5:$F$300+Закрытые!$I$5:$I$300-ABS(Закрытые!$F$5:$F$300-Закрытые!$I$5:$I$300))/2)*(Закрытые!$J$5:$J$300-Закрытые!$G$5:$G$300)))/I99)/(1+N(Ввод!$E$17)/100),""))</f>
        <v/>
      </c>
    </row>
    <row r="100" ht="22" customHeight="1">
      <c r="B100" s="318" t="n"/>
      <c r="C100" s="319" t="n"/>
      <c r="D100" s="318" t="n"/>
      <c r="E100" s="320" t="n"/>
      <c r="F100" s="321" t="n"/>
      <c r="G100" s="322" t="n"/>
      <c r="H100" s="271">
        <f>IF(AND(ISNUMBER(F100),ISNUMBER(G100)),F100*G100,"")</f>
        <v/>
      </c>
      <c r="I100" s="321" t="n"/>
      <c r="J100" s="322" t="n"/>
      <c r="K100" s="271">
        <f>IF(AND(ISNUMBER(I100),ISNUMBER(J100)),I100*J100,"")</f>
        <v/>
      </c>
      <c r="L100" s="246">
        <f>IF(COUNT(F100,I100)=0,"",N(F100)-N(I100))</f>
        <v/>
      </c>
      <c r="M100" s="247">
        <f>IF(COUNT(H100,K100)=0,"",N(K100)-N(H100))</f>
        <v/>
      </c>
      <c r="N100" s="246">
        <f>IF(AND(ISNUMBER(F100),ISNUMBER(G100),F100&gt;0,1-N(Ввод!$E$17)/100&gt;0),MAX(0,(F100*G100-SUMPRODUCT((Закрытые!$B$5:$B$300=$B100)*((Закрытые!$F$5:$F$300+Закрытые!$I$5:$I$300-ABS(Закрытые!$F$5:$F$300-Закрытые!$I$5:$I$300))/2)*(Закрытые!$J$5:$J$300-Закрытые!$G$5:$G$300)))/F100)/(1-N(Ввод!$E$17)/100),IF(AND(ISNUMBER(I100),ISNUMBER(J100),I100&gt;0),MAX(0,(I100*J100+SUMPRODUCT((Закрытые!$B$5:$B$300=$B100)*((Закрытые!$F$5:$F$300+Закрытые!$I$5:$I$300-ABS(Закрытые!$F$5:$F$300-Закрытые!$I$5:$I$300))/2)*(Закрытые!$J$5:$J$300-Закрытые!$G$5:$G$300)))/I100)/(1+N(Ввод!$E$17)/100),""))</f>
        <v/>
      </c>
    </row>
    <row r="101" ht="22" customHeight="1">
      <c r="B101" s="313" t="n"/>
      <c r="C101" s="314" t="n"/>
      <c r="D101" s="313" t="n"/>
      <c r="E101" s="315" t="n"/>
      <c r="F101" s="316" t="n"/>
      <c r="G101" s="317" t="n"/>
      <c r="H101" s="271">
        <f>IF(AND(ISNUMBER(F101),ISNUMBER(G101)),F101*G101,"")</f>
        <v/>
      </c>
      <c r="I101" s="316" t="n"/>
      <c r="J101" s="317" t="n"/>
      <c r="K101" s="271">
        <f>IF(AND(ISNUMBER(I101),ISNUMBER(J101)),I101*J101,"")</f>
        <v/>
      </c>
      <c r="L101" s="240">
        <f>IF(COUNT(F101,I101)=0,"",N(F101)-N(I101))</f>
        <v/>
      </c>
      <c r="M101" s="241">
        <f>IF(COUNT(H101,K101)=0,"",N(K101)-N(H101))</f>
        <v/>
      </c>
      <c r="N101" s="240">
        <f>IF(AND(ISNUMBER(F101),ISNUMBER(G101),F101&gt;0,1-N(Ввод!$E$17)/100&gt;0),MAX(0,(F101*G101-SUMPRODUCT((Закрытые!$B$5:$B$300=$B101)*((Закрытые!$F$5:$F$300+Закрытые!$I$5:$I$300-ABS(Закрытые!$F$5:$F$300-Закрытые!$I$5:$I$300))/2)*(Закрытые!$J$5:$J$300-Закрытые!$G$5:$G$300)))/F101)/(1-N(Ввод!$E$17)/100),IF(AND(ISNUMBER(I101),ISNUMBER(J101),I101&gt;0),MAX(0,(I101*J101+SUMPRODUCT((Закрытые!$B$5:$B$300=$B101)*((Закрытые!$F$5:$F$300+Закрытые!$I$5:$I$300-ABS(Закрытые!$F$5:$F$300-Закрытые!$I$5:$I$300))/2)*(Закрытые!$J$5:$J$300-Закрытые!$G$5:$G$300)))/I101)/(1+N(Ввод!$E$17)/100),""))</f>
        <v/>
      </c>
    </row>
    <row r="102" ht="22" customHeight="1">
      <c r="B102" s="318" t="n"/>
      <c r="C102" s="319" t="n"/>
      <c r="D102" s="318" t="n"/>
      <c r="E102" s="320" t="n"/>
      <c r="F102" s="321" t="n"/>
      <c r="G102" s="322" t="n"/>
      <c r="H102" s="271">
        <f>IF(AND(ISNUMBER(F102),ISNUMBER(G102)),F102*G102,"")</f>
        <v/>
      </c>
      <c r="I102" s="321" t="n"/>
      <c r="J102" s="322" t="n"/>
      <c r="K102" s="271">
        <f>IF(AND(ISNUMBER(I102),ISNUMBER(J102)),I102*J102,"")</f>
        <v/>
      </c>
      <c r="L102" s="246">
        <f>IF(COUNT(F102,I102)=0,"",N(F102)-N(I102))</f>
        <v/>
      </c>
      <c r="M102" s="247">
        <f>IF(COUNT(H102,K102)=0,"",N(K102)-N(H102))</f>
        <v/>
      </c>
      <c r="N102" s="246">
        <f>IF(AND(ISNUMBER(F102),ISNUMBER(G102),F102&gt;0,1-N(Ввод!$E$17)/100&gt;0),MAX(0,(F102*G102-SUMPRODUCT((Закрытые!$B$5:$B$300=$B102)*((Закрытые!$F$5:$F$300+Закрытые!$I$5:$I$300-ABS(Закрытые!$F$5:$F$300-Закрытые!$I$5:$I$300))/2)*(Закрытые!$J$5:$J$300-Закрытые!$G$5:$G$300)))/F102)/(1-N(Ввод!$E$17)/100),IF(AND(ISNUMBER(I102),ISNUMBER(J102),I102&gt;0),MAX(0,(I102*J102+SUMPRODUCT((Закрытые!$B$5:$B$300=$B102)*((Закрытые!$F$5:$F$300+Закрытые!$I$5:$I$300-ABS(Закрытые!$F$5:$F$300-Закрытые!$I$5:$I$300))/2)*(Закрытые!$J$5:$J$300-Закрытые!$G$5:$G$300)))/I102)/(1+N(Ввод!$E$17)/100),""))</f>
        <v/>
      </c>
    </row>
    <row r="103" ht="22" customHeight="1">
      <c r="B103" s="313" t="n"/>
      <c r="C103" s="314" t="n"/>
      <c r="D103" s="313" t="n"/>
      <c r="E103" s="315" t="n"/>
      <c r="F103" s="316" t="n"/>
      <c r="G103" s="317" t="n"/>
      <c r="H103" s="271">
        <f>IF(AND(ISNUMBER(F103),ISNUMBER(G103)),F103*G103,"")</f>
        <v/>
      </c>
      <c r="I103" s="316" t="n"/>
      <c r="J103" s="317" t="n"/>
      <c r="K103" s="271">
        <f>IF(AND(ISNUMBER(I103),ISNUMBER(J103)),I103*J103,"")</f>
        <v/>
      </c>
      <c r="L103" s="240">
        <f>IF(COUNT(F103,I103)=0,"",N(F103)-N(I103))</f>
        <v/>
      </c>
      <c r="M103" s="241">
        <f>IF(COUNT(H103,K103)=0,"",N(K103)-N(H103))</f>
        <v/>
      </c>
      <c r="N103" s="240">
        <f>IF(AND(ISNUMBER(F103),ISNUMBER(G103),F103&gt;0,1-N(Ввод!$E$17)/100&gt;0),MAX(0,(F103*G103-SUMPRODUCT((Закрытые!$B$5:$B$300=$B103)*((Закрытые!$F$5:$F$300+Закрытые!$I$5:$I$300-ABS(Закрытые!$F$5:$F$300-Закрытые!$I$5:$I$300))/2)*(Закрытые!$J$5:$J$300-Закрытые!$G$5:$G$300)))/F103)/(1-N(Ввод!$E$17)/100),IF(AND(ISNUMBER(I103),ISNUMBER(J103),I103&gt;0),MAX(0,(I103*J103+SUMPRODUCT((Закрытые!$B$5:$B$300=$B103)*((Закрытые!$F$5:$F$300+Закрытые!$I$5:$I$300-ABS(Закрытые!$F$5:$F$300-Закрытые!$I$5:$I$300))/2)*(Закрытые!$J$5:$J$300-Закрытые!$G$5:$G$300)))/I103)/(1+N(Ввод!$E$17)/100),""))</f>
        <v/>
      </c>
    </row>
    <row r="104" ht="22" customHeight="1">
      <c r="B104" s="318" t="n"/>
      <c r="C104" s="319" t="n"/>
      <c r="D104" s="318" t="n"/>
      <c r="E104" s="320" t="n"/>
      <c r="F104" s="321" t="n"/>
      <c r="G104" s="322" t="n"/>
      <c r="H104" s="271">
        <f>IF(AND(ISNUMBER(F104),ISNUMBER(G104)),F104*G104,"")</f>
        <v/>
      </c>
      <c r="I104" s="321" t="n"/>
      <c r="J104" s="322" t="n"/>
      <c r="K104" s="271">
        <f>IF(AND(ISNUMBER(I104),ISNUMBER(J104)),I104*J104,"")</f>
        <v/>
      </c>
      <c r="L104" s="246">
        <f>IF(COUNT(F104,I104)=0,"",N(F104)-N(I104))</f>
        <v/>
      </c>
      <c r="M104" s="247">
        <f>IF(COUNT(H104,K104)=0,"",N(K104)-N(H104))</f>
        <v/>
      </c>
      <c r="N104" s="246">
        <f>IF(AND(ISNUMBER(F104),ISNUMBER(G104),F104&gt;0,1-N(Ввод!$E$17)/100&gt;0),MAX(0,(F104*G104-SUMPRODUCT((Закрытые!$B$5:$B$300=$B104)*((Закрытые!$F$5:$F$300+Закрытые!$I$5:$I$300-ABS(Закрытые!$F$5:$F$300-Закрытые!$I$5:$I$300))/2)*(Закрытые!$J$5:$J$300-Закрытые!$G$5:$G$300)))/F104)/(1-N(Ввод!$E$17)/100),IF(AND(ISNUMBER(I104),ISNUMBER(J104),I104&gt;0),MAX(0,(I104*J104+SUMPRODUCT((Закрытые!$B$5:$B$300=$B104)*((Закрытые!$F$5:$F$300+Закрытые!$I$5:$I$300-ABS(Закрытые!$F$5:$F$300-Закрытые!$I$5:$I$300))/2)*(Закрытые!$J$5:$J$300-Закрытые!$G$5:$G$300)))/I104)/(1+N(Ввод!$E$17)/100),""))</f>
        <v/>
      </c>
    </row>
    <row r="105" ht="22" customHeight="1">
      <c r="B105" s="313" t="n"/>
      <c r="C105" s="314" t="n"/>
      <c r="D105" s="313" t="n"/>
      <c r="E105" s="315" t="n"/>
      <c r="F105" s="316" t="n"/>
      <c r="G105" s="317" t="n"/>
      <c r="H105" s="271">
        <f>IF(AND(ISNUMBER(F105),ISNUMBER(G105)),F105*G105,"")</f>
        <v/>
      </c>
      <c r="I105" s="316" t="n"/>
      <c r="J105" s="317" t="n"/>
      <c r="K105" s="271">
        <f>IF(AND(ISNUMBER(I105),ISNUMBER(J105)),I105*J105,"")</f>
        <v/>
      </c>
      <c r="L105" s="240">
        <f>IF(COUNT(F105,I105)=0,"",N(F105)-N(I105))</f>
        <v/>
      </c>
      <c r="M105" s="241">
        <f>IF(COUNT(H105,K105)=0,"",N(K105)-N(H105))</f>
        <v/>
      </c>
      <c r="N105" s="240">
        <f>IF(AND(ISNUMBER(F105),ISNUMBER(G105),F105&gt;0,1-N(Ввод!$E$17)/100&gt;0),MAX(0,(F105*G105-SUMPRODUCT((Закрытые!$B$5:$B$300=$B105)*((Закрытые!$F$5:$F$300+Закрытые!$I$5:$I$300-ABS(Закрытые!$F$5:$F$300-Закрытые!$I$5:$I$300))/2)*(Закрытые!$J$5:$J$300-Закрытые!$G$5:$G$300)))/F105)/(1-N(Ввод!$E$17)/100),IF(AND(ISNUMBER(I105),ISNUMBER(J105),I105&gt;0),MAX(0,(I105*J105+SUMPRODUCT((Закрытые!$B$5:$B$300=$B105)*((Закрытые!$F$5:$F$300+Закрытые!$I$5:$I$300-ABS(Закрытые!$F$5:$F$300-Закрытые!$I$5:$I$300))/2)*(Закрытые!$J$5:$J$300-Закрытые!$G$5:$G$300)))/I105)/(1+N(Ввод!$E$17)/100),""))</f>
        <v/>
      </c>
    </row>
    <row r="106" ht="22" customHeight="1">
      <c r="B106" s="318" t="n"/>
      <c r="C106" s="319" t="n"/>
      <c r="D106" s="318" t="n"/>
      <c r="E106" s="320" t="n"/>
      <c r="F106" s="321" t="n"/>
      <c r="G106" s="322" t="n"/>
      <c r="H106" s="271">
        <f>IF(AND(ISNUMBER(F106),ISNUMBER(G106)),F106*G106,"")</f>
        <v/>
      </c>
      <c r="I106" s="321" t="n"/>
      <c r="J106" s="322" t="n"/>
      <c r="K106" s="271">
        <f>IF(AND(ISNUMBER(I106),ISNUMBER(J106)),I106*J106,"")</f>
        <v/>
      </c>
      <c r="L106" s="246">
        <f>IF(COUNT(F106,I106)=0,"",N(F106)-N(I106))</f>
        <v/>
      </c>
      <c r="M106" s="247">
        <f>IF(COUNT(H106,K106)=0,"",N(K106)-N(H106))</f>
        <v/>
      </c>
      <c r="N106" s="246">
        <f>IF(AND(ISNUMBER(F106),ISNUMBER(G106),F106&gt;0,1-N(Ввод!$E$17)/100&gt;0),MAX(0,(F106*G106-SUMPRODUCT((Закрытые!$B$5:$B$300=$B106)*((Закрытые!$F$5:$F$300+Закрытые!$I$5:$I$300-ABS(Закрытые!$F$5:$F$300-Закрытые!$I$5:$I$300))/2)*(Закрытые!$J$5:$J$300-Закрытые!$G$5:$G$300)))/F106)/(1-N(Ввод!$E$17)/100),IF(AND(ISNUMBER(I106),ISNUMBER(J106),I106&gt;0),MAX(0,(I106*J106+SUMPRODUCT((Закрытые!$B$5:$B$300=$B106)*((Закрытые!$F$5:$F$300+Закрытые!$I$5:$I$300-ABS(Закрытые!$F$5:$F$300-Закрытые!$I$5:$I$300))/2)*(Закрытые!$J$5:$J$300-Закрытые!$G$5:$G$300)))/I106)/(1+N(Ввод!$E$17)/100),""))</f>
        <v/>
      </c>
    </row>
    <row r="107" ht="22" customHeight="1">
      <c r="B107" s="313" t="n"/>
      <c r="C107" s="314" t="n"/>
      <c r="D107" s="313" t="n"/>
      <c r="E107" s="315" t="n"/>
      <c r="F107" s="316" t="n"/>
      <c r="G107" s="317" t="n"/>
      <c r="H107" s="271">
        <f>IF(AND(ISNUMBER(F107),ISNUMBER(G107)),F107*G107,"")</f>
        <v/>
      </c>
      <c r="I107" s="316" t="n"/>
      <c r="J107" s="317" t="n"/>
      <c r="K107" s="271">
        <f>IF(AND(ISNUMBER(I107),ISNUMBER(J107)),I107*J107,"")</f>
        <v/>
      </c>
      <c r="L107" s="240">
        <f>IF(COUNT(F107,I107)=0,"",N(F107)-N(I107))</f>
        <v/>
      </c>
      <c r="M107" s="241">
        <f>IF(COUNT(H107,K107)=0,"",N(K107)-N(H107))</f>
        <v/>
      </c>
      <c r="N107" s="240">
        <f>IF(AND(ISNUMBER(F107),ISNUMBER(G107),F107&gt;0,1-N(Ввод!$E$17)/100&gt;0),MAX(0,(F107*G107-SUMPRODUCT((Закрытые!$B$5:$B$300=$B107)*((Закрытые!$F$5:$F$300+Закрытые!$I$5:$I$300-ABS(Закрытые!$F$5:$F$300-Закрытые!$I$5:$I$300))/2)*(Закрытые!$J$5:$J$300-Закрытые!$G$5:$G$300)))/F107)/(1-N(Ввод!$E$17)/100),IF(AND(ISNUMBER(I107),ISNUMBER(J107),I107&gt;0),MAX(0,(I107*J107+SUMPRODUCT((Закрытые!$B$5:$B$300=$B107)*((Закрытые!$F$5:$F$300+Закрытые!$I$5:$I$300-ABS(Закрытые!$F$5:$F$300-Закрытые!$I$5:$I$300))/2)*(Закрытые!$J$5:$J$300-Закрытые!$G$5:$G$300)))/I107)/(1+N(Ввод!$E$17)/100),""))</f>
        <v/>
      </c>
    </row>
    <row r="108" ht="22" customHeight="1">
      <c r="B108" s="318" t="n"/>
      <c r="C108" s="319" t="n"/>
      <c r="D108" s="318" t="n"/>
      <c r="E108" s="320" t="n"/>
      <c r="F108" s="321" t="n"/>
      <c r="G108" s="322" t="n"/>
      <c r="H108" s="271">
        <f>IF(AND(ISNUMBER(F108),ISNUMBER(G108)),F108*G108,"")</f>
        <v/>
      </c>
      <c r="I108" s="321" t="n"/>
      <c r="J108" s="322" t="n"/>
      <c r="K108" s="271">
        <f>IF(AND(ISNUMBER(I108),ISNUMBER(J108)),I108*J108,"")</f>
        <v/>
      </c>
      <c r="L108" s="246">
        <f>IF(COUNT(F108,I108)=0,"",N(F108)-N(I108))</f>
        <v/>
      </c>
      <c r="M108" s="247">
        <f>IF(COUNT(H108,K108)=0,"",N(K108)-N(H108))</f>
        <v/>
      </c>
      <c r="N108" s="246">
        <f>IF(AND(ISNUMBER(F108),ISNUMBER(G108),F108&gt;0,1-N(Ввод!$E$17)/100&gt;0),MAX(0,(F108*G108-SUMPRODUCT((Закрытые!$B$5:$B$300=$B108)*((Закрытые!$F$5:$F$300+Закрытые!$I$5:$I$300-ABS(Закрытые!$F$5:$F$300-Закрытые!$I$5:$I$300))/2)*(Закрытые!$J$5:$J$300-Закрытые!$G$5:$G$300)))/F108)/(1-N(Ввод!$E$17)/100),IF(AND(ISNUMBER(I108),ISNUMBER(J108),I108&gt;0),MAX(0,(I108*J108+SUMPRODUCT((Закрытые!$B$5:$B$300=$B108)*((Закрытые!$F$5:$F$300+Закрытые!$I$5:$I$300-ABS(Закрытые!$F$5:$F$300-Закрытые!$I$5:$I$300))/2)*(Закрытые!$J$5:$J$300-Закрытые!$G$5:$G$300)))/I108)/(1+N(Ввод!$E$17)/100),""))</f>
        <v/>
      </c>
    </row>
    <row r="109" ht="22" customHeight="1">
      <c r="B109" s="313" t="n"/>
      <c r="C109" s="314" t="n"/>
      <c r="D109" s="313" t="n"/>
      <c r="E109" s="315" t="n"/>
      <c r="F109" s="316" t="n"/>
      <c r="G109" s="317" t="n"/>
      <c r="H109" s="271">
        <f>IF(AND(ISNUMBER(F109),ISNUMBER(G109)),F109*G109,"")</f>
        <v/>
      </c>
      <c r="I109" s="316" t="n"/>
      <c r="J109" s="317" t="n"/>
      <c r="K109" s="271">
        <f>IF(AND(ISNUMBER(I109),ISNUMBER(J109)),I109*J109,"")</f>
        <v/>
      </c>
      <c r="L109" s="240">
        <f>IF(COUNT(F109,I109)=0,"",N(F109)-N(I109))</f>
        <v/>
      </c>
      <c r="M109" s="241">
        <f>IF(COUNT(H109,K109)=0,"",N(K109)-N(H109))</f>
        <v/>
      </c>
      <c r="N109" s="240">
        <f>IF(AND(ISNUMBER(F109),ISNUMBER(G109),F109&gt;0,1-N(Ввод!$E$17)/100&gt;0),MAX(0,(F109*G109-SUMPRODUCT((Закрытые!$B$5:$B$300=$B109)*((Закрытые!$F$5:$F$300+Закрытые!$I$5:$I$300-ABS(Закрытые!$F$5:$F$300-Закрытые!$I$5:$I$300))/2)*(Закрытые!$J$5:$J$300-Закрытые!$G$5:$G$300)))/F109)/(1-N(Ввод!$E$17)/100),IF(AND(ISNUMBER(I109),ISNUMBER(J109),I109&gt;0),MAX(0,(I109*J109+SUMPRODUCT((Закрытые!$B$5:$B$300=$B109)*((Закрытые!$F$5:$F$300+Закрытые!$I$5:$I$300-ABS(Закрытые!$F$5:$F$300-Закрытые!$I$5:$I$300))/2)*(Закрытые!$J$5:$J$300-Закрытые!$G$5:$G$300)))/I109)/(1+N(Ввод!$E$17)/100),""))</f>
        <v/>
      </c>
    </row>
    <row r="110" ht="22" customHeight="1">
      <c r="B110" s="318" t="n"/>
      <c r="C110" s="319" t="n"/>
      <c r="D110" s="318" t="n"/>
      <c r="E110" s="320" t="n"/>
      <c r="F110" s="321" t="n"/>
      <c r="G110" s="322" t="n"/>
      <c r="H110" s="271">
        <f>IF(AND(ISNUMBER(F110),ISNUMBER(G110)),F110*G110,"")</f>
        <v/>
      </c>
      <c r="I110" s="321" t="n"/>
      <c r="J110" s="322" t="n"/>
      <c r="K110" s="271">
        <f>IF(AND(ISNUMBER(I110),ISNUMBER(J110)),I110*J110,"")</f>
        <v/>
      </c>
      <c r="L110" s="246">
        <f>IF(COUNT(F110,I110)=0,"",N(F110)-N(I110))</f>
        <v/>
      </c>
      <c r="M110" s="247">
        <f>IF(COUNT(H110,K110)=0,"",N(K110)-N(H110))</f>
        <v/>
      </c>
      <c r="N110" s="246">
        <f>IF(AND(ISNUMBER(F110),ISNUMBER(G110),F110&gt;0,1-N(Ввод!$E$17)/100&gt;0),MAX(0,(F110*G110-SUMPRODUCT((Закрытые!$B$5:$B$300=$B110)*((Закрытые!$F$5:$F$300+Закрытые!$I$5:$I$300-ABS(Закрытые!$F$5:$F$300-Закрытые!$I$5:$I$300))/2)*(Закрытые!$J$5:$J$300-Закрытые!$G$5:$G$300)))/F110)/(1-N(Ввод!$E$17)/100),IF(AND(ISNUMBER(I110),ISNUMBER(J110),I110&gt;0),MAX(0,(I110*J110+SUMPRODUCT((Закрытые!$B$5:$B$300=$B110)*((Закрытые!$F$5:$F$300+Закрытые!$I$5:$I$300-ABS(Закрытые!$F$5:$F$300-Закрытые!$I$5:$I$300))/2)*(Закрытые!$J$5:$J$300-Закрытые!$G$5:$G$300)))/I110)/(1+N(Ввод!$E$17)/100),""))</f>
        <v/>
      </c>
    </row>
    <row r="111" ht="22" customHeight="1">
      <c r="B111" s="313" t="n"/>
      <c r="C111" s="314" t="n"/>
      <c r="D111" s="313" t="n"/>
      <c r="E111" s="315" t="n"/>
      <c r="F111" s="316" t="n"/>
      <c r="G111" s="317" t="n"/>
      <c r="H111" s="271">
        <f>IF(AND(ISNUMBER(F111),ISNUMBER(G111)),F111*G111,"")</f>
        <v/>
      </c>
      <c r="I111" s="316" t="n"/>
      <c r="J111" s="317" t="n"/>
      <c r="K111" s="271">
        <f>IF(AND(ISNUMBER(I111),ISNUMBER(J111)),I111*J111,"")</f>
        <v/>
      </c>
      <c r="L111" s="240">
        <f>IF(COUNT(F111,I111)=0,"",N(F111)-N(I111))</f>
        <v/>
      </c>
      <c r="M111" s="241">
        <f>IF(COUNT(H111,K111)=0,"",N(K111)-N(H111))</f>
        <v/>
      </c>
      <c r="N111" s="240">
        <f>IF(AND(ISNUMBER(F111),ISNUMBER(G111),F111&gt;0,1-N(Ввод!$E$17)/100&gt;0),MAX(0,(F111*G111-SUMPRODUCT((Закрытые!$B$5:$B$300=$B111)*((Закрытые!$F$5:$F$300+Закрытые!$I$5:$I$300-ABS(Закрытые!$F$5:$F$300-Закрытые!$I$5:$I$300))/2)*(Закрытые!$J$5:$J$300-Закрытые!$G$5:$G$300)))/F111)/(1-N(Ввод!$E$17)/100),IF(AND(ISNUMBER(I111),ISNUMBER(J111),I111&gt;0),MAX(0,(I111*J111+SUMPRODUCT((Закрытые!$B$5:$B$300=$B111)*((Закрытые!$F$5:$F$300+Закрытые!$I$5:$I$300-ABS(Закрытые!$F$5:$F$300-Закрытые!$I$5:$I$300))/2)*(Закрытые!$J$5:$J$300-Закрытые!$G$5:$G$300)))/I111)/(1+N(Ввод!$E$17)/100),""))</f>
        <v/>
      </c>
    </row>
    <row r="112" ht="22" customHeight="1">
      <c r="B112" s="318" t="n"/>
      <c r="C112" s="319" t="n"/>
      <c r="D112" s="318" t="n"/>
      <c r="E112" s="320" t="n"/>
      <c r="F112" s="321" t="n"/>
      <c r="G112" s="322" t="n"/>
      <c r="H112" s="271">
        <f>IF(AND(ISNUMBER(F112),ISNUMBER(G112)),F112*G112,"")</f>
        <v/>
      </c>
      <c r="I112" s="321" t="n"/>
      <c r="J112" s="322" t="n"/>
      <c r="K112" s="271">
        <f>IF(AND(ISNUMBER(I112),ISNUMBER(J112)),I112*J112,"")</f>
        <v/>
      </c>
      <c r="L112" s="246">
        <f>IF(COUNT(F112,I112)=0,"",N(F112)-N(I112))</f>
        <v/>
      </c>
      <c r="M112" s="247">
        <f>IF(COUNT(H112,K112)=0,"",N(K112)-N(H112))</f>
        <v/>
      </c>
      <c r="N112" s="246">
        <f>IF(AND(ISNUMBER(F112),ISNUMBER(G112),F112&gt;0,1-N(Ввод!$E$17)/100&gt;0),MAX(0,(F112*G112-SUMPRODUCT((Закрытые!$B$5:$B$300=$B112)*((Закрытые!$F$5:$F$300+Закрытые!$I$5:$I$300-ABS(Закрытые!$F$5:$F$300-Закрытые!$I$5:$I$300))/2)*(Закрытые!$J$5:$J$300-Закрытые!$G$5:$G$300)))/F112)/(1-N(Ввод!$E$17)/100),IF(AND(ISNUMBER(I112),ISNUMBER(J112),I112&gt;0),MAX(0,(I112*J112+SUMPRODUCT((Закрытые!$B$5:$B$300=$B112)*((Закрытые!$F$5:$F$300+Закрытые!$I$5:$I$300-ABS(Закрытые!$F$5:$F$300-Закрытые!$I$5:$I$300))/2)*(Закрытые!$J$5:$J$300-Закрытые!$G$5:$G$300)))/I112)/(1+N(Ввод!$E$17)/100),""))</f>
        <v/>
      </c>
    </row>
    <row r="113" ht="22" customHeight="1">
      <c r="B113" s="313" t="n"/>
      <c r="C113" s="314" t="n"/>
      <c r="D113" s="313" t="n"/>
      <c r="E113" s="315" t="n"/>
      <c r="F113" s="316" t="n"/>
      <c r="G113" s="317" t="n"/>
      <c r="H113" s="271">
        <f>IF(AND(ISNUMBER(F113),ISNUMBER(G113)),F113*G113,"")</f>
        <v/>
      </c>
      <c r="I113" s="316" t="n"/>
      <c r="J113" s="317" t="n"/>
      <c r="K113" s="271">
        <f>IF(AND(ISNUMBER(I113),ISNUMBER(J113)),I113*J113,"")</f>
        <v/>
      </c>
      <c r="L113" s="240">
        <f>IF(COUNT(F113,I113)=0,"",N(F113)-N(I113))</f>
        <v/>
      </c>
      <c r="M113" s="241">
        <f>IF(COUNT(H113,K113)=0,"",N(K113)-N(H113))</f>
        <v/>
      </c>
      <c r="N113" s="240">
        <f>IF(AND(ISNUMBER(F113),ISNUMBER(G113),F113&gt;0,1-N(Ввод!$E$17)/100&gt;0),MAX(0,(F113*G113-SUMPRODUCT((Закрытые!$B$5:$B$300=$B113)*((Закрытые!$F$5:$F$300+Закрытые!$I$5:$I$300-ABS(Закрытые!$F$5:$F$300-Закрытые!$I$5:$I$300))/2)*(Закрытые!$J$5:$J$300-Закрытые!$G$5:$G$300)))/F113)/(1-N(Ввод!$E$17)/100),IF(AND(ISNUMBER(I113),ISNUMBER(J113),I113&gt;0),MAX(0,(I113*J113+SUMPRODUCT((Закрытые!$B$5:$B$300=$B113)*((Закрытые!$F$5:$F$300+Закрытые!$I$5:$I$300-ABS(Закрытые!$F$5:$F$300-Закрытые!$I$5:$I$300))/2)*(Закрытые!$J$5:$J$300-Закрытые!$G$5:$G$300)))/I113)/(1+N(Ввод!$E$17)/100),""))</f>
        <v/>
      </c>
    </row>
    <row r="114" ht="22" customHeight="1">
      <c r="B114" s="318" t="n"/>
      <c r="C114" s="319" t="n"/>
      <c r="D114" s="318" t="n"/>
      <c r="E114" s="320" t="n"/>
      <c r="F114" s="321" t="n"/>
      <c r="G114" s="322" t="n"/>
      <c r="H114" s="271">
        <f>IF(AND(ISNUMBER(F114),ISNUMBER(G114)),F114*G114,"")</f>
        <v/>
      </c>
      <c r="I114" s="321" t="n"/>
      <c r="J114" s="322" t="n"/>
      <c r="K114" s="271">
        <f>IF(AND(ISNUMBER(I114),ISNUMBER(J114)),I114*J114,"")</f>
        <v/>
      </c>
      <c r="L114" s="246">
        <f>IF(COUNT(F114,I114)=0,"",N(F114)-N(I114))</f>
        <v/>
      </c>
      <c r="M114" s="247">
        <f>IF(COUNT(H114,K114)=0,"",N(K114)-N(H114))</f>
        <v/>
      </c>
      <c r="N114" s="246">
        <f>IF(AND(ISNUMBER(F114),ISNUMBER(G114),F114&gt;0,1-N(Ввод!$E$17)/100&gt;0),MAX(0,(F114*G114-SUMPRODUCT((Закрытые!$B$5:$B$300=$B114)*((Закрытые!$F$5:$F$300+Закрытые!$I$5:$I$300-ABS(Закрытые!$F$5:$F$300-Закрытые!$I$5:$I$300))/2)*(Закрытые!$J$5:$J$300-Закрытые!$G$5:$G$300)))/F114)/(1-N(Ввод!$E$17)/100),IF(AND(ISNUMBER(I114),ISNUMBER(J114),I114&gt;0),MAX(0,(I114*J114+SUMPRODUCT((Закрытые!$B$5:$B$300=$B114)*((Закрытые!$F$5:$F$300+Закрытые!$I$5:$I$300-ABS(Закрытые!$F$5:$F$300-Закрытые!$I$5:$I$300))/2)*(Закрытые!$J$5:$J$300-Закрытые!$G$5:$G$300)))/I114)/(1+N(Ввод!$E$17)/100),""))</f>
        <v/>
      </c>
    </row>
    <row r="115" ht="22" customHeight="1">
      <c r="B115" s="313" t="n"/>
      <c r="C115" s="314" t="n"/>
      <c r="D115" s="313" t="n"/>
      <c r="E115" s="315" t="n"/>
      <c r="F115" s="316" t="n"/>
      <c r="G115" s="317" t="n"/>
      <c r="H115" s="271">
        <f>IF(AND(ISNUMBER(F115),ISNUMBER(G115)),F115*G115,"")</f>
        <v/>
      </c>
      <c r="I115" s="316" t="n"/>
      <c r="J115" s="317" t="n"/>
      <c r="K115" s="271">
        <f>IF(AND(ISNUMBER(I115),ISNUMBER(J115)),I115*J115,"")</f>
        <v/>
      </c>
      <c r="L115" s="240">
        <f>IF(COUNT(F115,I115)=0,"",N(F115)-N(I115))</f>
        <v/>
      </c>
      <c r="M115" s="241">
        <f>IF(COUNT(H115,K115)=0,"",N(K115)-N(H115))</f>
        <v/>
      </c>
      <c r="N115" s="240">
        <f>IF(AND(ISNUMBER(F115),ISNUMBER(G115),F115&gt;0,1-N(Ввод!$E$17)/100&gt;0),MAX(0,(F115*G115-SUMPRODUCT((Закрытые!$B$5:$B$300=$B115)*((Закрытые!$F$5:$F$300+Закрытые!$I$5:$I$300-ABS(Закрытые!$F$5:$F$300-Закрытые!$I$5:$I$300))/2)*(Закрытые!$J$5:$J$300-Закрытые!$G$5:$G$300)))/F115)/(1-N(Ввод!$E$17)/100),IF(AND(ISNUMBER(I115),ISNUMBER(J115),I115&gt;0),MAX(0,(I115*J115+SUMPRODUCT((Закрытые!$B$5:$B$300=$B115)*((Закрытые!$F$5:$F$300+Закрытые!$I$5:$I$300-ABS(Закрытые!$F$5:$F$300-Закрытые!$I$5:$I$300))/2)*(Закрытые!$J$5:$J$300-Закрытые!$G$5:$G$300)))/I115)/(1+N(Ввод!$E$17)/100),""))</f>
        <v/>
      </c>
    </row>
    <row r="116" ht="22" customHeight="1">
      <c r="B116" s="318" t="n"/>
      <c r="C116" s="319" t="n"/>
      <c r="D116" s="318" t="n"/>
      <c r="E116" s="320" t="n"/>
      <c r="F116" s="321" t="n"/>
      <c r="G116" s="322" t="n"/>
      <c r="H116" s="271">
        <f>IF(AND(ISNUMBER(F116),ISNUMBER(G116)),F116*G116,"")</f>
        <v/>
      </c>
      <c r="I116" s="321" t="n"/>
      <c r="J116" s="322" t="n"/>
      <c r="K116" s="271">
        <f>IF(AND(ISNUMBER(I116),ISNUMBER(J116)),I116*J116,"")</f>
        <v/>
      </c>
      <c r="L116" s="246">
        <f>IF(COUNT(F116,I116)=0,"",N(F116)-N(I116))</f>
        <v/>
      </c>
      <c r="M116" s="247">
        <f>IF(COUNT(H116,K116)=0,"",N(K116)-N(H116))</f>
        <v/>
      </c>
      <c r="N116" s="246">
        <f>IF(AND(ISNUMBER(F116),ISNUMBER(G116),F116&gt;0,1-N(Ввод!$E$17)/100&gt;0),MAX(0,(F116*G116-SUMPRODUCT((Закрытые!$B$5:$B$300=$B116)*((Закрытые!$F$5:$F$300+Закрытые!$I$5:$I$300-ABS(Закрытые!$F$5:$F$300-Закрытые!$I$5:$I$300))/2)*(Закрытые!$J$5:$J$300-Закрытые!$G$5:$G$300)))/F116)/(1-N(Ввод!$E$17)/100),IF(AND(ISNUMBER(I116),ISNUMBER(J116),I116&gt;0),MAX(0,(I116*J116+SUMPRODUCT((Закрытые!$B$5:$B$300=$B116)*((Закрытые!$F$5:$F$300+Закрытые!$I$5:$I$300-ABS(Закрытые!$F$5:$F$300-Закрытые!$I$5:$I$300))/2)*(Закрытые!$J$5:$J$300-Закрытые!$G$5:$G$300)))/I116)/(1+N(Ввод!$E$17)/100),""))</f>
        <v/>
      </c>
    </row>
    <row r="117" ht="22" customHeight="1">
      <c r="B117" s="313" t="n"/>
      <c r="C117" s="314" t="n"/>
      <c r="D117" s="313" t="n"/>
      <c r="E117" s="315" t="n"/>
      <c r="F117" s="316" t="n"/>
      <c r="G117" s="317" t="n"/>
      <c r="H117" s="271">
        <f>IF(AND(ISNUMBER(F117),ISNUMBER(G117)),F117*G117,"")</f>
        <v/>
      </c>
      <c r="I117" s="316" t="n"/>
      <c r="J117" s="317" t="n"/>
      <c r="K117" s="271">
        <f>IF(AND(ISNUMBER(I117),ISNUMBER(J117)),I117*J117,"")</f>
        <v/>
      </c>
      <c r="L117" s="240">
        <f>IF(COUNT(F117,I117)=0,"",N(F117)-N(I117))</f>
        <v/>
      </c>
      <c r="M117" s="241">
        <f>IF(COUNT(H117,K117)=0,"",N(K117)-N(H117))</f>
        <v/>
      </c>
      <c r="N117" s="240">
        <f>IF(AND(ISNUMBER(F117),ISNUMBER(G117),F117&gt;0,1-N(Ввод!$E$17)/100&gt;0),MAX(0,(F117*G117-SUMPRODUCT((Закрытые!$B$5:$B$300=$B117)*((Закрытые!$F$5:$F$300+Закрытые!$I$5:$I$300-ABS(Закрытые!$F$5:$F$300-Закрытые!$I$5:$I$300))/2)*(Закрытые!$J$5:$J$300-Закрытые!$G$5:$G$300)))/F117)/(1-N(Ввод!$E$17)/100),IF(AND(ISNUMBER(I117),ISNUMBER(J117),I117&gt;0),MAX(0,(I117*J117+SUMPRODUCT((Закрытые!$B$5:$B$300=$B117)*((Закрытые!$F$5:$F$300+Закрытые!$I$5:$I$300-ABS(Закрытые!$F$5:$F$300-Закрытые!$I$5:$I$300))/2)*(Закрытые!$J$5:$J$300-Закрытые!$G$5:$G$300)))/I117)/(1+N(Ввод!$E$17)/100),""))</f>
        <v/>
      </c>
    </row>
    <row r="118" ht="22" customHeight="1">
      <c r="B118" s="318" t="n"/>
      <c r="C118" s="319" t="n"/>
      <c r="D118" s="318" t="n"/>
      <c r="E118" s="320" t="n"/>
      <c r="F118" s="321" t="n"/>
      <c r="G118" s="322" t="n"/>
      <c r="H118" s="271">
        <f>IF(AND(ISNUMBER(F118),ISNUMBER(G118)),F118*G118,"")</f>
        <v/>
      </c>
      <c r="I118" s="321" t="n"/>
      <c r="J118" s="322" t="n"/>
      <c r="K118" s="271">
        <f>IF(AND(ISNUMBER(I118),ISNUMBER(J118)),I118*J118,"")</f>
        <v/>
      </c>
      <c r="L118" s="246">
        <f>IF(COUNT(F118,I118)=0,"",N(F118)-N(I118))</f>
        <v/>
      </c>
      <c r="M118" s="247">
        <f>IF(COUNT(H118,K118)=0,"",N(K118)-N(H118))</f>
        <v/>
      </c>
      <c r="N118" s="246">
        <f>IF(AND(ISNUMBER(F118),ISNUMBER(G118),F118&gt;0,1-N(Ввод!$E$17)/100&gt;0),MAX(0,(F118*G118-SUMPRODUCT((Закрытые!$B$5:$B$300=$B118)*((Закрытые!$F$5:$F$300+Закрытые!$I$5:$I$300-ABS(Закрытые!$F$5:$F$300-Закрытые!$I$5:$I$300))/2)*(Закрытые!$J$5:$J$300-Закрытые!$G$5:$G$300)))/F118)/(1-N(Ввод!$E$17)/100),IF(AND(ISNUMBER(I118),ISNUMBER(J118),I118&gt;0),MAX(0,(I118*J118+SUMPRODUCT((Закрытые!$B$5:$B$300=$B118)*((Закрытые!$F$5:$F$300+Закрытые!$I$5:$I$300-ABS(Закрытые!$F$5:$F$300-Закрытые!$I$5:$I$300))/2)*(Закрытые!$J$5:$J$300-Закрытые!$G$5:$G$300)))/I118)/(1+N(Ввод!$E$17)/100),""))</f>
        <v/>
      </c>
    </row>
    <row r="119" ht="22" customHeight="1">
      <c r="B119" s="313" t="n"/>
      <c r="C119" s="314" t="n"/>
      <c r="D119" s="313" t="n"/>
      <c r="E119" s="315" t="n"/>
      <c r="F119" s="316" t="n"/>
      <c r="G119" s="317" t="n"/>
      <c r="H119" s="271">
        <f>IF(AND(ISNUMBER(F119),ISNUMBER(G119)),F119*G119,"")</f>
        <v/>
      </c>
      <c r="I119" s="316" t="n"/>
      <c r="J119" s="317" t="n"/>
      <c r="K119" s="271">
        <f>IF(AND(ISNUMBER(I119),ISNUMBER(J119)),I119*J119,"")</f>
        <v/>
      </c>
      <c r="L119" s="240">
        <f>IF(COUNT(F119,I119)=0,"",N(F119)-N(I119))</f>
        <v/>
      </c>
      <c r="M119" s="241">
        <f>IF(COUNT(H119,K119)=0,"",N(K119)-N(H119))</f>
        <v/>
      </c>
      <c r="N119" s="240">
        <f>IF(AND(ISNUMBER(F119),ISNUMBER(G119),F119&gt;0,1-N(Ввод!$E$17)/100&gt;0),MAX(0,(F119*G119-SUMPRODUCT((Закрытые!$B$5:$B$300=$B119)*((Закрытые!$F$5:$F$300+Закрытые!$I$5:$I$300-ABS(Закрытые!$F$5:$F$300-Закрытые!$I$5:$I$300))/2)*(Закрытые!$J$5:$J$300-Закрытые!$G$5:$G$300)))/F119)/(1-N(Ввод!$E$17)/100),IF(AND(ISNUMBER(I119),ISNUMBER(J119),I119&gt;0),MAX(0,(I119*J119+SUMPRODUCT((Закрытые!$B$5:$B$300=$B119)*((Закрытые!$F$5:$F$300+Закрытые!$I$5:$I$300-ABS(Закрытые!$F$5:$F$300-Закрытые!$I$5:$I$300))/2)*(Закрытые!$J$5:$J$300-Закрытые!$G$5:$G$300)))/I119)/(1+N(Ввод!$E$17)/100),""))</f>
        <v/>
      </c>
    </row>
    <row r="120" ht="22" customHeight="1">
      <c r="B120" s="318" t="n"/>
      <c r="C120" s="319" t="n"/>
      <c r="D120" s="318" t="n"/>
      <c r="E120" s="320" t="n"/>
      <c r="F120" s="321" t="n"/>
      <c r="G120" s="322" t="n"/>
      <c r="H120" s="271">
        <f>IF(AND(ISNUMBER(F120),ISNUMBER(G120)),F120*G120,"")</f>
        <v/>
      </c>
      <c r="I120" s="321" t="n"/>
      <c r="J120" s="322" t="n"/>
      <c r="K120" s="271">
        <f>IF(AND(ISNUMBER(I120),ISNUMBER(J120)),I120*J120,"")</f>
        <v/>
      </c>
      <c r="L120" s="246">
        <f>IF(COUNT(F120,I120)=0,"",N(F120)-N(I120))</f>
        <v/>
      </c>
      <c r="M120" s="247">
        <f>IF(COUNT(H120,K120)=0,"",N(K120)-N(H120))</f>
        <v/>
      </c>
      <c r="N120" s="246">
        <f>IF(AND(ISNUMBER(F120),ISNUMBER(G120),F120&gt;0,1-N(Ввод!$E$17)/100&gt;0),MAX(0,(F120*G120-SUMPRODUCT((Закрытые!$B$5:$B$300=$B120)*((Закрытые!$F$5:$F$300+Закрытые!$I$5:$I$300-ABS(Закрытые!$F$5:$F$300-Закрытые!$I$5:$I$300))/2)*(Закрытые!$J$5:$J$300-Закрытые!$G$5:$G$300)))/F120)/(1-N(Ввод!$E$17)/100),IF(AND(ISNUMBER(I120),ISNUMBER(J120),I120&gt;0),MAX(0,(I120*J120+SUMPRODUCT((Закрытые!$B$5:$B$300=$B120)*((Закрытые!$F$5:$F$300+Закрытые!$I$5:$I$300-ABS(Закрытые!$F$5:$F$300-Закрытые!$I$5:$I$300))/2)*(Закрытые!$J$5:$J$300-Закрытые!$G$5:$G$300)))/I120)/(1+N(Ввод!$E$17)/100),""))</f>
        <v/>
      </c>
    </row>
    <row r="121" ht="22" customHeight="1">
      <c r="B121" s="313" t="n"/>
      <c r="C121" s="314" t="n"/>
      <c r="D121" s="313" t="n"/>
      <c r="E121" s="315" t="n"/>
      <c r="F121" s="316" t="n"/>
      <c r="G121" s="317" t="n"/>
      <c r="H121" s="271">
        <f>IF(AND(ISNUMBER(F121),ISNUMBER(G121)),F121*G121,"")</f>
        <v/>
      </c>
      <c r="I121" s="316" t="n"/>
      <c r="J121" s="317" t="n"/>
      <c r="K121" s="271">
        <f>IF(AND(ISNUMBER(I121),ISNUMBER(J121)),I121*J121,"")</f>
        <v/>
      </c>
      <c r="L121" s="240">
        <f>IF(COUNT(F121,I121)=0,"",N(F121)-N(I121))</f>
        <v/>
      </c>
      <c r="M121" s="241">
        <f>IF(COUNT(H121,K121)=0,"",N(K121)-N(H121))</f>
        <v/>
      </c>
      <c r="N121" s="240">
        <f>IF(AND(ISNUMBER(F121),ISNUMBER(G121),F121&gt;0,1-N(Ввод!$E$17)/100&gt;0),MAX(0,(F121*G121-SUMPRODUCT((Закрытые!$B$5:$B$300=$B121)*((Закрытые!$F$5:$F$300+Закрытые!$I$5:$I$300-ABS(Закрытые!$F$5:$F$300-Закрытые!$I$5:$I$300))/2)*(Закрытые!$J$5:$J$300-Закрытые!$G$5:$G$300)))/F121)/(1-N(Ввод!$E$17)/100),IF(AND(ISNUMBER(I121),ISNUMBER(J121),I121&gt;0),MAX(0,(I121*J121+SUMPRODUCT((Закрытые!$B$5:$B$300=$B121)*((Закрытые!$F$5:$F$300+Закрытые!$I$5:$I$300-ABS(Закрытые!$F$5:$F$300-Закрытые!$I$5:$I$300))/2)*(Закрытые!$J$5:$J$300-Закрытые!$G$5:$G$300)))/I121)/(1+N(Ввод!$E$17)/100),""))</f>
        <v/>
      </c>
    </row>
    <row r="122" ht="22" customHeight="1">
      <c r="B122" s="318" t="n"/>
      <c r="C122" s="319" t="n"/>
      <c r="D122" s="318" t="n"/>
      <c r="E122" s="320" t="n"/>
      <c r="F122" s="321" t="n"/>
      <c r="G122" s="322" t="n"/>
      <c r="H122" s="271">
        <f>IF(AND(ISNUMBER(F122),ISNUMBER(G122)),F122*G122,"")</f>
        <v/>
      </c>
      <c r="I122" s="321" t="n"/>
      <c r="J122" s="322" t="n"/>
      <c r="K122" s="271">
        <f>IF(AND(ISNUMBER(I122),ISNUMBER(J122)),I122*J122,"")</f>
        <v/>
      </c>
      <c r="L122" s="246">
        <f>IF(COUNT(F122,I122)=0,"",N(F122)-N(I122))</f>
        <v/>
      </c>
      <c r="M122" s="247">
        <f>IF(COUNT(H122,K122)=0,"",N(K122)-N(H122))</f>
        <v/>
      </c>
      <c r="N122" s="246">
        <f>IF(AND(ISNUMBER(F122),ISNUMBER(G122),F122&gt;0,1-N(Ввод!$E$17)/100&gt;0),MAX(0,(F122*G122-SUMPRODUCT((Закрытые!$B$5:$B$300=$B122)*((Закрытые!$F$5:$F$300+Закрытые!$I$5:$I$300-ABS(Закрытые!$F$5:$F$300-Закрытые!$I$5:$I$300))/2)*(Закрытые!$J$5:$J$300-Закрытые!$G$5:$G$300)))/F122)/(1-N(Ввод!$E$17)/100),IF(AND(ISNUMBER(I122),ISNUMBER(J122),I122&gt;0),MAX(0,(I122*J122+SUMPRODUCT((Закрытые!$B$5:$B$300=$B122)*((Закрытые!$F$5:$F$300+Закрытые!$I$5:$I$300-ABS(Закрытые!$F$5:$F$300-Закрытые!$I$5:$I$300))/2)*(Закрытые!$J$5:$J$300-Закрытые!$G$5:$G$300)))/I122)/(1+N(Ввод!$E$17)/100),""))</f>
        <v/>
      </c>
    </row>
    <row r="123" ht="22" customHeight="1">
      <c r="B123" s="313" t="n"/>
      <c r="C123" s="314" t="n"/>
      <c r="D123" s="313" t="n"/>
      <c r="E123" s="315" t="n"/>
      <c r="F123" s="316" t="n"/>
      <c r="G123" s="317" t="n"/>
      <c r="H123" s="271">
        <f>IF(AND(ISNUMBER(F123),ISNUMBER(G123)),F123*G123,"")</f>
        <v/>
      </c>
      <c r="I123" s="316" t="n"/>
      <c r="J123" s="317" t="n"/>
      <c r="K123" s="271">
        <f>IF(AND(ISNUMBER(I123),ISNUMBER(J123)),I123*J123,"")</f>
        <v/>
      </c>
      <c r="L123" s="240">
        <f>IF(COUNT(F123,I123)=0,"",N(F123)-N(I123))</f>
        <v/>
      </c>
      <c r="M123" s="241">
        <f>IF(COUNT(H123,K123)=0,"",N(K123)-N(H123))</f>
        <v/>
      </c>
      <c r="N123" s="240">
        <f>IF(AND(ISNUMBER(F123),ISNUMBER(G123),F123&gt;0,1-N(Ввод!$E$17)/100&gt;0),MAX(0,(F123*G123-SUMPRODUCT((Закрытые!$B$5:$B$300=$B123)*((Закрытые!$F$5:$F$300+Закрытые!$I$5:$I$300-ABS(Закрытые!$F$5:$F$300-Закрытые!$I$5:$I$300))/2)*(Закрытые!$J$5:$J$300-Закрытые!$G$5:$G$300)))/F123)/(1-N(Ввод!$E$17)/100),IF(AND(ISNUMBER(I123),ISNUMBER(J123),I123&gt;0),MAX(0,(I123*J123+SUMPRODUCT((Закрытые!$B$5:$B$300=$B123)*((Закрытые!$F$5:$F$300+Закрытые!$I$5:$I$300-ABS(Закрытые!$F$5:$F$300-Закрытые!$I$5:$I$300))/2)*(Закрытые!$J$5:$J$300-Закрытые!$G$5:$G$300)))/I123)/(1+N(Ввод!$E$17)/100),""))</f>
        <v/>
      </c>
    </row>
    <row r="124" ht="22" customHeight="1">
      <c r="B124" s="318" t="n"/>
      <c r="C124" s="319" t="n"/>
      <c r="D124" s="318" t="n"/>
      <c r="E124" s="320" t="n"/>
      <c r="F124" s="321" t="n"/>
      <c r="G124" s="322" t="n"/>
      <c r="H124" s="271">
        <f>IF(AND(ISNUMBER(F124),ISNUMBER(G124)),F124*G124,"")</f>
        <v/>
      </c>
      <c r="I124" s="321" t="n"/>
      <c r="J124" s="322" t="n"/>
      <c r="K124" s="271">
        <f>IF(AND(ISNUMBER(I124),ISNUMBER(J124)),I124*J124,"")</f>
        <v/>
      </c>
      <c r="L124" s="246">
        <f>IF(COUNT(F124,I124)=0,"",N(F124)-N(I124))</f>
        <v/>
      </c>
      <c r="M124" s="247">
        <f>IF(COUNT(H124,K124)=0,"",N(K124)-N(H124))</f>
        <v/>
      </c>
      <c r="N124" s="246">
        <f>IF(AND(ISNUMBER(F124),ISNUMBER(G124),F124&gt;0,1-N(Ввод!$E$17)/100&gt;0),MAX(0,(F124*G124-SUMPRODUCT((Закрытые!$B$5:$B$300=$B124)*((Закрытые!$F$5:$F$300+Закрытые!$I$5:$I$300-ABS(Закрытые!$F$5:$F$300-Закрытые!$I$5:$I$300))/2)*(Закрытые!$J$5:$J$300-Закрытые!$G$5:$G$300)))/F124)/(1-N(Ввод!$E$17)/100),IF(AND(ISNUMBER(I124),ISNUMBER(J124),I124&gt;0),MAX(0,(I124*J124+SUMPRODUCT((Закрытые!$B$5:$B$300=$B124)*((Закрытые!$F$5:$F$300+Закрытые!$I$5:$I$300-ABS(Закрытые!$F$5:$F$300-Закрытые!$I$5:$I$300))/2)*(Закрытые!$J$5:$J$300-Закрытые!$G$5:$G$300)))/I124)/(1+N(Ввод!$E$17)/100),""))</f>
        <v/>
      </c>
    </row>
    <row r="125" ht="22" customHeight="1">
      <c r="B125" s="313" t="n"/>
      <c r="C125" s="314" t="n"/>
      <c r="D125" s="313" t="n"/>
      <c r="E125" s="315" t="n"/>
      <c r="F125" s="316" t="n"/>
      <c r="G125" s="317" t="n"/>
      <c r="H125" s="271">
        <f>IF(AND(ISNUMBER(F125),ISNUMBER(G125)),F125*G125,"")</f>
        <v/>
      </c>
      <c r="I125" s="316" t="n"/>
      <c r="J125" s="317" t="n"/>
      <c r="K125" s="271">
        <f>IF(AND(ISNUMBER(I125),ISNUMBER(J125)),I125*J125,"")</f>
        <v/>
      </c>
      <c r="L125" s="240">
        <f>IF(COUNT(F125,I125)=0,"",N(F125)-N(I125))</f>
        <v/>
      </c>
      <c r="M125" s="241">
        <f>IF(COUNT(H125,K125)=0,"",N(K125)-N(H125))</f>
        <v/>
      </c>
      <c r="N125" s="240">
        <f>IF(AND(ISNUMBER(F125),ISNUMBER(G125),F125&gt;0,1-N(Ввод!$E$17)/100&gt;0),MAX(0,(F125*G125-SUMPRODUCT((Закрытые!$B$5:$B$300=$B125)*((Закрытые!$F$5:$F$300+Закрытые!$I$5:$I$300-ABS(Закрытые!$F$5:$F$300-Закрытые!$I$5:$I$300))/2)*(Закрытые!$J$5:$J$300-Закрытые!$G$5:$G$300)))/F125)/(1-N(Ввод!$E$17)/100),IF(AND(ISNUMBER(I125),ISNUMBER(J125),I125&gt;0),MAX(0,(I125*J125+SUMPRODUCT((Закрытые!$B$5:$B$300=$B125)*((Закрытые!$F$5:$F$300+Закрытые!$I$5:$I$300-ABS(Закрытые!$F$5:$F$300-Закрытые!$I$5:$I$300))/2)*(Закрытые!$J$5:$J$300-Закрытые!$G$5:$G$300)))/I125)/(1+N(Ввод!$E$17)/100),""))</f>
        <v/>
      </c>
    </row>
    <row r="126" ht="22" customHeight="1">
      <c r="B126" s="318" t="n"/>
      <c r="C126" s="319" t="n"/>
      <c r="D126" s="318" t="n"/>
      <c r="E126" s="320" t="n"/>
      <c r="F126" s="321" t="n"/>
      <c r="G126" s="322" t="n"/>
      <c r="H126" s="271">
        <f>IF(AND(ISNUMBER(F126),ISNUMBER(G126)),F126*G126,"")</f>
        <v/>
      </c>
      <c r="I126" s="321" t="n"/>
      <c r="J126" s="322" t="n"/>
      <c r="K126" s="271">
        <f>IF(AND(ISNUMBER(I126),ISNUMBER(J126)),I126*J126,"")</f>
        <v/>
      </c>
      <c r="L126" s="246">
        <f>IF(COUNT(F126,I126)=0,"",N(F126)-N(I126))</f>
        <v/>
      </c>
      <c r="M126" s="247">
        <f>IF(COUNT(H126,K126)=0,"",N(K126)-N(H126))</f>
        <v/>
      </c>
      <c r="N126" s="246">
        <f>IF(AND(ISNUMBER(F126),ISNUMBER(G126),F126&gt;0,1-N(Ввод!$E$17)/100&gt;0),MAX(0,(F126*G126-SUMPRODUCT((Закрытые!$B$5:$B$300=$B126)*((Закрытые!$F$5:$F$300+Закрытые!$I$5:$I$300-ABS(Закрытые!$F$5:$F$300-Закрытые!$I$5:$I$300))/2)*(Закрытые!$J$5:$J$300-Закрытые!$G$5:$G$300)))/F126)/(1-N(Ввод!$E$17)/100),IF(AND(ISNUMBER(I126),ISNUMBER(J126),I126&gt;0),MAX(0,(I126*J126+SUMPRODUCT((Закрытые!$B$5:$B$300=$B126)*((Закрытые!$F$5:$F$300+Закрытые!$I$5:$I$300-ABS(Закрытые!$F$5:$F$300-Закрытые!$I$5:$I$300))/2)*(Закрытые!$J$5:$J$300-Закрытые!$G$5:$G$300)))/I126)/(1+N(Ввод!$E$17)/100),""))</f>
        <v/>
      </c>
    </row>
    <row r="127" ht="22" customHeight="1">
      <c r="B127" s="313" t="n"/>
      <c r="C127" s="314" t="n"/>
      <c r="D127" s="313" t="n"/>
      <c r="E127" s="315" t="n"/>
      <c r="F127" s="316" t="n"/>
      <c r="G127" s="317" t="n"/>
      <c r="H127" s="271">
        <f>IF(AND(ISNUMBER(F127),ISNUMBER(G127)),F127*G127,"")</f>
        <v/>
      </c>
      <c r="I127" s="316" t="n"/>
      <c r="J127" s="317" t="n"/>
      <c r="K127" s="271">
        <f>IF(AND(ISNUMBER(I127),ISNUMBER(J127)),I127*J127,"")</f>
        <v/>
      </c>
      <c r="L127" s="240">
        <f>IF(COUNT(F127,I127)=0,"",N(F127)-N(I127))</f>
        <v/>
      </c>
      <c r="M127" s="241">
        <f>IF(COUNT(H127,K127)=0,"",N(K127)-N(H127))</f>
        <v/>
      </c>
      <c r="N127" s="240">
        <f>IF(AND(ISNUMBER(F127),ISNUMBER(G127),F127&gt;0,1-N(Ввод!$E$17)/100&gt;0),MAX(0,(F127*G127-SUMPRODUCT((Закрытые!$B$5:$B$300=$B127)*((Закрытые!$F$5:$F$300+Закрытые!$I$5:$I$300-ABS(Закрытые!$F$5:$F$300-Закрытые!$I$5:$I$300))/2)*(Закрытые!$J$5:$J$300-Закрытые!$G$5:$G$300)))/F127)/(1-N(Ввод!$E$17)/100),IF(AND(ISNUMBER(I127),ISNUMBER(J127),I127&gt;0),MAX(0,(I127*J127+SUMPRODUCT((Закрытые!$B$5:$B$300=$B127)*((Закрытые!$F$5:$F$300+Закрытые!$I$5:$I$300-ABS(Закрытые!$F$5:$F$300-Закрытые!$I$5:$I$300))/2)*(Закрытые!$J$5:$J$300-Закрытые!$G$5:$G$300)))/I127)/(1+N(Ввод!$E$17)/100),""))</f>
        <v/>
      </c>
    </row>
    <row r="128" ht="22" customHeight="1">
      <c r="B128" s="318" t="n"/>
      <c r="C128" s="319" t="n"/>
      <c r="D128" s="318" t="n"/>
      <c r="E128" s="320" t="n"/>
      <c r="F128" s="321" t="n"/>
      <c r="G128" s="322" t="n"/>
      <c r="H128" s="271">
        <f>IF(AND(ISNUMBER(F128),ISNUMBER(G128)),F128*G128,"")</f>
        <v/>
      </c>
      <c r="I128" s="321" t="n"/>
      <c r="J128" s="322" t="n"/>
      <c r="K128" s="271">
        <f>IF(AND(ISNUMBER(I128),ISNUMBER(J128)),I128*J128,"")</f>
        <v/>
      </c>
      <c r="L128" s="246">
        <f>IF(COUNT(F128,I128)=0,"",N(F128)-N(I128))</f>
        <v/>
      </c>
      <c r="M128" s="247">
        <f>IF(COUNT(H128,K128)=0,"",N(K128)-N(H128))</f>
        <v/>
      </c>
      <c r="N128" s="246">
        <f>IF(AND(ISNUMBER(F128),ISNUMBER(G128),F128&gt;0,1-N(Ввод!$E$17)/100&gt;0),MAX(0,(F128*G128-SUMPRODUCT((Закрытые!$B$5:$B$300=$B128)*((Закрытые!$F$5:$F$300+Закрытые!$I$5:$I$300-ABS(Закрытые!$F$5:$F$300-Закрытые!$I$5:$I$300))/2)*(Закрытые!$J$5:$J$300-Закрытые!$G$5:$G$300)))/F128)/(1-N(Ввод!$E$17)/100),IF(AND(ISNUMBER(I128),ISNUMBER(J128),I128&gt;0),MAX(0,(I128*J128+SUMPRODUCT((Закрытые!$B$5:$B$300=$B128)*((Закрытые!$F$5:$F$300+Закрытые!$I$5:$I$300-ABS(Закрытые!$F$5:$F$300-Закрытые!$I$5:$I$300))/2)*(Закрытые!$J$5:$J$300-Закрытые!$G$5:$G$300)))/I128)/(1+N(Ввод!$E$17)/100),""))</f>
        <v/>
      </c>
    </row>
    <row r="129" ht="22" customHeight="1">
      <c r="B129" s="313" t="n"/>
      <c r="C129" s="314" t="n"/>
      <c r="D129" s="313" t="n"/>
      <c r="E129" s="315" t="n"/>
      <c r="F129" s="316" t="n"/>
      <c r="G129" s="317" t="n"/>
      <c r="H129" s="271">
        <f>IF(AND(ISNUMBER(F129),ISNUMBER(G129)),F129*G129,"")</f>
        <v/>
      </c>
      <c r="I129" s="316" t="n"/>
      <c r="J129" s="317" t="n"/>
      <c r="K129" s="271">
        <f>IF(AND(ISNUMBER(I129),ISNUMBER(J129)),I129*J129,"")</f>
        <v/>
      </c>
      <c r="L129" s="240">
        <f>IF(COUNT(F129,I129)=0,"",N(F129)-N(I129))</f>
        <v/>
      </c>
      <c r="M129" s="241">
        <f>IF(COUNT(H129,K129)=0,"",N(K129)-N(H129))</f>
        <v/>
      </c>
      <c r="N129" s="240">
        <f>IF(AND(ISNUMBER(F129),ISNUMBER(G129),F129&gt;0,1-N(Ввод!$E$17)/100&gt;0),MAX(0,(F129*G129-SUMPRODUCT((Закрытые!$B$5:$B$300=$B129)*((Закрытые!$F$5:$F$300+Закрытые!$I$5:$I$300-ABS(Закрытые!$F$5:$F$300-Закрытые!$I$5:$I$300))/2)*(Закрытые!$J$5:$J$300-Закрытые!$G$5:$G$300)))/F129)/(1-N(Ввод!$E$17)/100),IF(AND(ISNUMBER(I129),ISNUMBER(J129),I129&gt;0),MAX(0,(I129*J129+SUMPRODUCT((Закрытые!$B$5:$B$300=$B129)*((Закрытые!$F$5:$F$300+Закрытые!$I$5:$I$300-ABS(Закрытые!$F$5:$F$300-Закрытые!$I$5:$I$300))/2)*(Закрытые!$J$5:$J$300-Закрытые!$G$5:$G$300)))/I129)/(1+N(Ввод!$E$17)/100),""))</f>
        <v/>
      </c>
    </row>
    <row r="130" ht="22" customHeight="1">
      <c r="B130" s="318" t="n"/>
      <c r="C130" s="319" t="n"/>
      <c r="D130" s="318" t="n"/>
      <c r="E130" s="320" t="n"/>
      <c r="F130" s="321" t="n"/>
      <c r="G130" s="322" t="n"/>
      <c r="H130" s="271">
        <f>IF(AND(ISNUMBER(F130),ISNUMBER(G130)),F130*G130,"")</f>
        <v/>
      </c>
      <c r="I130" s="321" t="n"/>
      <c r="J130" s="322" t="n"/>
      <c r="K130" s="271">
        <f>IF(AND(ISNUMBER(I130),ISNUMBER(J130)),I130*J130,"")</f>
        <v/>
      </c>
      <c r="L130" s="246">
        <f>IF(COUNT(F130,I130)=0,"",N(F130)-N(I130))</f>
        <v/>
      </c>
      <c r="M130" s="247">
        <f>IF(COUNT(H130,K130)=0,"",N(K130)-N(H130))</f>
        <v/>
      </c>
      <c r="N130" s="246">
        <f>IF(AND(ISNUMBER(F130),ISNUMBER(G130),F130&gt;0,1-N(Ввод!$E$17)/100&gt;0),MAX(0,(F130*G130-SUMPRODUCT((Закрытые!$B$5:$B$300=$B130)*((Закрытые!$F$5:$F$300+Закрытые!$I$5:$I$300-ABS(Закрытые!$F$5:$F$300-Закрытые!$I$5:$I$300))/2)*(Закрытые!$J$5:$J$300-Закрытые!$G$5:$G$300)))/F130)/(1-N(Ввод!$E$17)/100),IF(AND(ISNUMBER(I130),ISNUMBER(J130),I130&gt;0),MAX(0,(I130*J130+SUMPRODUCT((Закрытые!$B$5:$B$300=$B130)*((Закрытые!$F$5:$F$300+Закрытые!$I$5:$I$300-ABS(Закрытые!$F$5:$F$300-Закрытые!$I$5:$I$300))/2)*(Закрытые!$J$5:$J$300-Закрытые!$G$5:$G$300)))/I130)/(1+N(Ввод!$E$17)/100),""))</f>
        <v/>
      </c>
    </row>
    <row r="131" ht="22" customHeight="1">
      <c r="B131" s="313" t="n"/>
      <c r="C131" s="314" t="n"/>
      <c r="D131" s="313" t="n"/>
      <c r="E131" s="315" t="n"/>
      <c r="F131" s="316" t="n"/>
      <c r="G131" s="317" t="n"/>
      <c r="H131" s="271">
        <f>IF(AND(ISNUMBER(F131),ISNUMBER(G131)),F131*G131,"")</f>
        <v/>
      </c>
      <c r="I131" s="316" t="n"/>
      <c r="J131" s="317" t="n"/>
      <c r="K131" s="271">
        <f>IF(AND(ISNUMBER(I131),ISNUMBER(J131)),I131*J131,"")</f>
        <v/>
      </c>
      <c r="L131" s="240">
        <f>IF(COUNT(F131,I131)=0,"",N(F131)-N(I131))</f>
        <v/>
      </c>
      <c r="M131" s="241">
        <f>IF(COUNT(H131,K131)=0,"",N(K131)-N(H131))</f>
        <v/>
      </c>
      <c r="N131" s="240">
        <f>IF(AND(ISNUMBER(F131),ISNUMBER(G131),F131&gt;0,1-N(Ввод!$E$17)/100&gt;0),MAX(0,(F131*G131-SUMPRODUCT((Закрытые!$B$5:$B$300=$B131)*((Закрытые!$F$5:$F$300+Закрытые!$I$5:$I$300-ABS(Закрытые!$F$5:$F$300-Закрытые!$I$5:$I$300))/2)*(Закрытые!$J$5:$J$300-Закрытые!$G$5:$G$300)))/F131)/(1-N(Ввод!$E$17)/100),IF(AND(ISNUMBER(I131),ISNUMBER(J131),I131&gt;0),MAX(0,(I131*J131+SUMPRODUCT((Закрытые!$B$5:$B$300=$B131)*((Закрытые!$F$5:$F$300+Закрытые!$I$5:$I$300-ABS(Закрытые!$F$5:$F$300-Закрытые!$I$5:$I$300))/2)*(Закрытые!$J$5:$J$300-Закрытые!$G$5:$G$300)))/I131)/(1+N(Ввод!$E$17)/100),""))</f>
        <v/>
      </c>
    </row>
    <row r="132" ht="22" customHeight="1">
      <c r="B132" s="318" t="n"/>
      <c r="C132" s="319" t="n"/>
      <c r="D132" s="318" t="n"/>
      <c r="E132" s="320" t="n"/>
      <c r="F132" s="321" t="n"/>
      <c r="G132" s="322" t="n"/>
      <c r="H132" s="271">
        <f>IF(AND(ISNUMBER(F132),ISNUMBER(G132)),F132*G132,"")</f>
        <v/>
      </c>
      <c r="I132" s="321" t="n"/>
      <c r="J132" s="322" t="n"/>
      <c r="K132" s="271">
        <f>IF(AND(ISNUMBER(I132),ISNUMBER(J132)),I132*J132,"")</f>
        <v/>
      </c>
      <c r="L132" s="246">
        <f>IF(COUNT(F132,I132)=0,"",N(F132)-N(I132))</f>
        <v/>
      </c>
      <c r="M132" s="247">
        <f>IF(COUNT(H132,K132)=0,"",N(K132)-N(H132))</f>
        <v/>
      </c>
      <c r="N132" s="246">
        <f>IF(AND(ISNUMBER(F132),ISNUMBER(G132),F132&gt;0,1-N(Ввод!$E$17)/100&gt;0),MAX(0,(F132*G132-SUMPRODUCT((Закрытые!$B$5:$B$300=$B132)*((Закрытые!$F$5:$F$300+Закрытые!$I$5:$I$300-ABS(Закрытые!$F$5:$F$300-Закрытые!$I$5:$I$300))/2)*(Закрытые!$J$5:$J$300-Закрытые!$G$5:$G$300)))/F132)/(1-N(Ввод!$E$17)/100),IF(AND(ISNUMBER(I132),ISNUMBER(J132),I132&gt;0),MAX(0,(I132*J132+SUMPRODUCT((Закрытые!$B$5:$B$300=$B132)*((Закрытые!$F$5:$F$300+Закрытые!$I$5:$I$300-ABS(Закрытые!$F$5:$F$300-Закрытые!$I$5:$I$300))/2)*(Закрытые!$J$5:$J$300-Закрытые!$G$5:$G$300)))/I132)/(1+N(Ввод!$E$17)/100),""))</f>
        <v/>
      </c>
    </row>
    <row r="133" ht="22" customHeight="1">
      <c r="B133" s="313" t="n"/>
      <c r="C133" s="314" t="n"/>
      <c r="D133" s="313" t="n"/>
      <c r="E133" s="315" t="n"/>
      <c r="F133" s="316" t="n"/>
      <c r="G133" s="317" t="n"/>
      <c r="H133" s="271">
        <f>IF(AND(ISNUMBER(F133),ISNUMBER(G133)),F133*G133,"")</f>
        <v/>
      </c>
      <c r="I133" s="316" t="n"/>
      <c r="J133" s="317" t="n"/>
      <c r="K133" s="271">
        <f>IF(AND(ISNUMBER(I133),ISNUMBER(J133)),I133*J133,"")</f>
        <v/>
      </c>
      <c r="L133" s="240">
        <f>IF(COUNT(F133,I133)=0,"",N(F133)-N(I133))</f>
        <v/>
      </c>
      <c r="M133" s="241">
        <f>IF(COUNT(H133,K133)=0,"",N(K133)-N(H133))</f>
        <v/>
      </c>
      <c r="N133" s="240">
        <f>IF(AND(ISNUMBER(F133),ISNUMBER(G133),F133&gt;0,1-N(Ввод!$E$17)/100&gt;0),MAX(0,(F133*G133-SUMPRODUCT((Закрытые!$B$5:$B$300=$B133)*((Закрытые!$F$5:$F$300+Закрытые!$I$5:$I$300-ABS(Закрытые!$F$5:$F$300-Закрытые!$I$5:$I$300))/2)*(Закрытые!$J$5:$J$300-Закрытые!$G$5:$G$300)))/F133)/(1-N(Ввод!$E$17)/100),IF(AND(ISNUMBER(I133),ISNUMBER(J133),I133&gt;0),MAX(0,(I133*J133+SUMPRODUCT((Закрытые!$B$5:$B$300=$B133)*((Закрытые!$F$5:$F$300+Закрытые!$I$5:$I$300-ABS(Закрытые!$F$5:$F$300-Закрытые!$I$5:$I$300))/2)*(Закрытые!$J$5:$J$300-Закрытые!$G$5:$G$300)))/I133)/(1+N(Ввод!$E$17)/100),""))</f>
        <v/>
      </c>
    </row>
    <row r="134" ht="22" customHeight="1">
      <c r="B134" s="318" t="n"/>
      <c r="C134" s="319" t="n"/>
      <c r="D134" s="318" t="n"/>
      <c r="E134" s="320" t="n"/>
      <c r="F134" s="321" t="n"/>
      <c r="G134" s="322" t="n"/>
      <c r="H134" s="271">
        <f>IF(AND(ISNUMBER(F134),ISNUMBER(G134)),F134*G134,"")</f>
        <v/>
      </c>
      <c r="I134" s="321" t="n"/>
      <c r="J134" s="322" t="n"/>
      <c r="K134" s="271">
        <f>IF(AND(ISNUMBER(I134),ISNUMBER(J134)),I134*J134,"")</f>
        <v/>
      </c>
      <c r="L134" s="246">
        <f>IF(COUNT(F134,I134)=0,"",N(F134)-N(I134))</f>
        <v/>
      </c>
      <c r="M134" s="247">
        <f>IF(COUNT(H134,K134)=0,"",N(K134)-N(H134))</f>
        <v/>
      </c>
      <c r="N134" s="246">
        <f>IF(AND(ISNUMBER(F134),ISNUMBER(G134),F134&gt;0,1-N(Ввод!$E$17)/100&gt;0),MAX(0,(F134*G134-SUMPRODUCT((Закрытые!$B$5:$B$300=$B134)*((Закрытые!$F$5:$F$300+Закрытые!$I$5:$I$300-ABS(Закрытые!$F$5:$F$300-Закрытые!$I$5:$I$300))/2)*(Закрытые!$J$5:$J$300-Закрытые!$G$5:$G$300)))/F134)/(1-N(Ввод!$E$17)/100),IF(AND(ISNUMBER(I134),ISNUMBER(J134),I134&gt;0),MAX(0,(I134*J134+SUMPRODUCT((Закрытые!$B$5:$B$300=$B134)*((Закрытые!$F$5:$F$300+Закрытые!$I$5:$I$300-ABS(Закрытые!$F$5:$F$300-Закрытые!$I$5:$I$300))/2)*(Закрытые!$J$5:$J$300-Закрытые!$G$5:$G$300)))/I134)/(1+N(Ввод!$E$17)/100),""))</f>
        <v/>
      </c>
    </row>
    <row r="135" ht="22" customHeight="1">
      <c r="B135" s="313" t="n"/>
      <c r="C135" s="314" t="n"/>
      <c r="D135" s="313" t="n"/>
      <c r="E135" s="315" t="n"/>
      <c r="F135" s="316" t="n"/>
      <c r="G135" s="317" t="n"/>
      <c r="H135" s="271">
        <f>IF(AND(ISNUMBER(F135),ISNUMBER(G135)),F135*G135,"")</f>
        <v/>
      </c>
      <c r="I135" s="316" t="n"/>
      <c r="J135" s="317" t="n"/>
      <c r="K135" s="271">
        <f>IF(AND(ISNUMBER(I135),ISNUMBER(J135)),I135*J135,"")</f>
        <v/>
      </c>
      <c r="L135" s="240">
        <f>IF(COUNT(F135,I135)=0,"",N(F135)-N(I135))</f>
        <v/>
      </c>
      <c r="M135" s="241">
        <f>IF(COUNT(H135,K135)=0,"",N(K135)-N(H135))</f>
        <v/>
      </c>
      <c r="N135" s="240">
        <f>IF(AND(ISNUMBER(F135),ISNUMBER(G135),F135&gt;0,1-N(Ввод!$E$17)/100&gt;0),MAX(0,(F135*G135-SUMPRODUCT((Закрытые!$B$5:$B$300=$B135)*((Закрытые!$F$5:$F$300+Закрытые!$I$5:$I$300-ABS(Закрытые!$F$5:$F$300-Закрытые!$I$5:$I$300))/2)*(Закрытые!$J$5:$J$300-Закрытые!$G$5:$G$300)))/F135)/(1-N(Ввод!$E$17)/100),IF(AND(ISNUMBER(I135),ISNUMBER(J135),I135&gt;0),MAX(0,(I135*J135+SUMPRODUCT((Закрытые!$B$5:$B$300=$B135)*((Закрытые!$F$5:$F$300+Закрытые!$I$5:$I$300-ABS(Закрытые!$F$5:$F$300-Закрытые!$I$5:$I$300))/2)*(Закрытые!$J$5:$J$300-Закрытые!$G$5:$G$300)))/I135)/(1+N(Ввод!$E$17)/100),""))</f>
        <v/>
      </c>
    </row>
    <row r="136" ht="22" customHeight="1">
      <c r="B136" s="318" t="n"/>
      <c r="C136" s="319" t="n"/>
      <c r="D136" s="318" t="n"/>
      <c r="E136" s="320" t="n"/>
      <c r="F136" s="321" t="n"/>
      <c r="G136" s="322" t="n"/>
      <c r="H136" s="271">
        <f>IF(AND(ISNUMBER(F136),ISNUMBER(G136)),F136*G136,"")</f>
        <v/>
      </c>
      <c r="I136" s="321" t="n"/>
      <c r="J136" s="322" t="n"/>
      <c r="K136" s="271">
        <f>IF(AND(ISNUMBER(I136),ISNUMBER(J136)),I136*J136,"")</f>
        <v/>
      </c>
      <c r="L136" s="246">
        <f>IF(COUNT(F136,I136)=0,"",N(F136)-N(I136))</f>
        <v/>
      </c>
      <c r="M136" s="247">
        <f>IF(COUNT(H136,K136)=0,"",N(K136)-N(H136))</f>
        <v/>
      </c>
      <c r="N136" s="246">
        <f>IF(AND(ISNUMBER(F136),ISNUMBER(G136),F136&gt;0,1-N(Ввод!$E$17)/100&gt;0),MAX(0,(F136*G136-SUMPRODUCT((Закрытые!$B$5:$B$300=$B136)*((Закрытые!$F$5:$F$300+Закрытые!$I$5:$I$300-ABS(Закрытые!$F$5:$F$300-Закрытые!$I$5:$I$300))/2)*(Закрытые!$J$5:$J$300-Закрытые!$G$5:$G$300)))/F136)/(1-N(Ввод!$E$17)/100),IF(AND(ISNUMBER(I136),ISNUMBER(J136),I136&gt;0),MAX(0,(I136*J136+SUMPRODUCT((Закрытые!$B$5:$B$300=$B136)*((Закрытые!$F$5:$F$300+Закрытые!$I$5:$I$300-ABS(Закрытые!$F$5:$F$300-Закрытые!$I$5:$I$300))/2)*(Закрытые!$J$5:$J$300-Закрытые!$G$5:$G$300)))/I136)/(1+N(Ввод!$E$17)/100),""))</f>
        <v/>
      </c>
    </row>
    <row r="137" ht="22" customHeight="1">
      <c r="B137" s="313" t="n"/>
      <c r="C137" s="314" t="n"/>
      <c r="D137" s="313" t="n"/>
      <c r="E137" s="315" t="n"/>
      <c r="F137" s="316" t="n"/>
      <c r="G137" s="317" t="n"/>
      <c r="H137" s="271">
        <f>IF(AND(ISNUMBER(F137),ISNUMBER(G137)),F137*G137,"")</f>
        <v/>
      </c>
      <c r="I137" s="316" t="n"/>
      <c r="J137" s="317" t="n"/>
      <c r="K137" s="271">
        <f>IF(AND(ISNUMBER(I137),ISNUMBER(J137)),I137*J137,"")</f>
        <v/>
      </c>
      <c r="L137" s="240">
        <f>IF(COUNT(F137,I137)=0,"",N(F137)-N(I137))</f>
        <v/>
      </c>
      <c r="M137" s="241">
        <f>IF(COUNT(H137,K137)=0,"",N(K137)-N(H137))</f>
        <v/>
      </c>
      <c r="N137" s="240">
        <f>IF(AND(ISNUMBER(F137),ISNUMBER(G137),F137&gt;0,1-N(Ввод!$E$17)/100&gt;0),MAX(0,(F137*G137-SUMPRODUCT((Закрытые!$B$5:$B$300=$B137)*((Закрытые!$F$5:$F$300+Закрытые!$I$5:$I$300-ABS(Закрытые!$F$5:$F$300-Закрытые!$I$5:$I$300))/2)*(Закрытые!$J$5:$J$300-Закрытые!$G$5:$G$300)))/F137)/(1-N(Ввод!$E$17)/100),IF(AND(ISNUMBER(I137),ISNUMBER(J137),I137&gt;0),MAX(0,(I137*J137+SUMPRODUCT((Закрытые!$B$5:$B$300=$B137)*((Закрытые!$F$5:$F$300+Закрытые!$I$5:$I$300-ABS(Закрытые!$F$5:$F$300-Закрытые!$I$5:$I$300))/2)*(Закрытые!$J$5:$J$300-Закрытые!$G$5:$G$300)))/I137)/(1+N(Ввод!$E$17)/100),""))</f>
        <v/>
      </c>
    </row>
    <row r="138" ht="22" customHeight="1">
      <c r="B138" s="318" t="n"/>
      <c r="C138" s="319" t="n"/>
      <c r="D138" s="318" t="n"/>
      <c r="E138" s="320" t="n"/>
      <c r="F138" s="321" t="n"/>
      <c r="G138" s="322" t="n"/>
      <c r="H138" s="271">
        <f>IF(AND(ISNUMBER(F138),ISNUMBER(G138)),F138*G138,"")</f>
        <v/>
      </c>
      <c r="I138" s="321" t="n"/>
      <c r="J138" s="322" t="n"/>
      <c r="K138" s="271">
        <f>IF(AND(ISNUMBER(I138),ISNUMBER(J138)),I138*J138,"")</f>
        <v/>
      </c>
      <c r="L138" s="246">
        <f>IF(COUNT(F138,I138)=0,"",N(F138)-N(I138))</f>
        <v/>
      </c>
      <c r="M138" s="247">
        <f>IF(COUNT(H138,K138)=0,"",N(K138)-N(H138))</f>
        <v/>
      </c>
      <c r="N138" s="246">
        <f>IF(AND(ISNUMBER(F138),ISNUMBER(G138),F138&gt;0,1-N(Ввод!$E$17)/100&gt;0),MAX(0,(F138*G138-SUMPRODUCT((Закрытые!$B$5:$B$300=$B138)*((Закрытые!$F$5:$F$300+Закрытые!$I$5:$I$300-ABS(Закрытые!$F$5:$F$300-Закрытые!$I$5:$I$300))/2)*(Закрытые!$J$5:$J$300-Закрытые!$G$5:$G$300)))/F138)/(1-N(Ввод!$E$17)/100),IF(AND(ISNUMBER(I138),ISNUMBER(J138),I138&gt;0),MAX(0,(I138*J138+SUMPRODUCT((Закрытые!$B$5:$B$300=$B138)*((Закрытые!$F$5:$F$300+Закрытые!$I$5:$I$300-ABS(Закрытые!$F$5:$F$300-Закрытые!$I$5:$I$300))/2)*(Закрытые!$J$5:$J$300-Закрытые!$G$5:$G$300)))/I138)/(1+N(Ввод!$E$17)/100),""))</f>
        <v/>
      </c>
    </row>
    <row r="139" ht="22" customHeight="1">
      <c r="B139" s="313" t="n"/>
      <c r="C139" s="314" t="n"/>
      <c r="D139" s="313" t="n"/>
      <c r="E139" s="315" t="n"/>
      <c r="F139" s="316" t="n"/>
      <c r="G139" s="317" t="n"/>
      <c r="H139" s="271">
        <f>IF(AND(ISNUMBER(F139),ISNUMBER(G139)),F139*G139,"")</f>
        <v/>
      </c>
      <c r="I139" s="316" t="n"/>
      <c r="J139" s="317" t="n"/>
      <c r="K139" s="271">
        <f>IF(AND(ISNUMBER(I139),ISNUMBER(J139)),I139*J139,"")</f>
        <v/>
      </c>
      <c r="L139" s="240">
        <f>IF(COUNT(F139,I139)=0,"",N(F139)-N(I139))</f>
        <v/>
      </c>
      <c r="M139" s="241">
        <f>IF(COUNT(H139,K139)=0,"",N(K139)-N(H139))</f>
        <v/>
      </c>
      <c r="N139" s="240">
        <f>IF(AND(ISNUMBER(F139),ISNUMBER(G139),F139&gt;0,1-N(Ввод!$E$17)/100&gt;0),MAX(0,(F139*G139-SUMPRODUCT((Закрытые!$B$5:$B$300=$B139)*((Закрытые!$F$5:$F$300+Закрытые!$I$5:$I$300-ABS(Закрытые!$F$5:$F$300-Закрытые!$I$5:$I$300))/2)*(Закрытые!$J$5:$J$300-Закрытые!$G$5:$G$300)))/F139)/(1-N(Ввод!$E$17)/100),IF(AND(ISNUMBER(I139),ISNUMBER(J139),I139&gt;0),MAX(0,(I139*J139+SUMPRODUCT((Закрытые!$B$5:$B$300=$B139)*((Закрытые!$F$5:$F$300+Закрытые!$I$5:$I$300-ABS(Закрытые!$F$5:$F$300-Закрытые!$I$5:$I$300))/2)*(Закрытые!$J$5:$J$300-Закрытые!$G$5:$G$300)))/I139)/(1+N(Ввод!$E$17)/100),""))</f>
        <v/>
      </c>
    </row>
    <row r="140" ht="22" customHeight="1">
      <c r="B140" s="318" t="n"/>
      <c r="C140" s="319" t="n"/>
      <c r="D140" s="318" t="n"/>
      <c r="E140" s="320" t="n"/>
      <c r="F140" s="321" t="n"/>
      <c r="G140" s="322" t="n"/>
      <c r="H140" s="271">
        <f>IF(AND(ISNUMBER(F140),ISNUMBER(G140)),F140*G140,"")</f>
        <v/>
      </c>
      <c r="I140" s="321" t="n"/>
      <c r="J140" s="322" t="n"/>
      <c r="K140" s="271">
        <f>IF(AND(ISNUMBER(I140),ISNUMBER(J140)),I140*J140,"")</f>
        <v/>
      </c>
      <c r="L140" s="246">
        <f>IF(COUNT(F140,I140)=0,"",N(F140)-N(I140))</f>
        <v/>
      </c>
      <c r="M140" s="247">
        <f>IF(COUNT(H140,K140)=0,"",N(K140)-N(H140))</f>
        <v/>
      </c>
      <c r="N140" s="246">
        <f>IF(AND(ISNUMBER(F140),ISNUMBER(G140),F140&gt;0,1-N(Ввод!$E$17)/100&gt;0),MAX(0,(F140*G140-SUMPRODUCT((Закрытые!$B$5:$B$300=$B140)*((Закрытые!$F$5:$F$300+Закрытые!$I$5:$I$300-ABS(Закрытые!$F$5:$F$300-Закрытые!$I$5:$I$300))/2)*(Закрытые!$J$5:$J$300-Закрытые!$G$5:$G$300)))/F140)/(1-N(Ввод!$E$17)/100),IF(AND(ISNUMBER(I140),ISNUMBER(J140),I140&gt;0),MAX(0,(I140*J140+SUMPRODUCT((Закрытые!$B$5:$B$300=$B140)*((Закрытые!$F$5:$F$300+Закрытые!$I$5:$I$300-ABS(Закрытые!$F$5:$F$300-Закрытые!$I$5:$I$300))/2)*(Закрытые!$J$5:$J$300-Закрытые!$G$5:$G$300)))/I140)/(1+N(Ввод!$E$17)/100),""))</f>
        <v/>
      </c>
    </row>
    <row r="141" ht="22" customHeight="1">
      <c r="B141" s="313" t="n"/>
      <c r="C141" s="314" t="n"/>
      <c r="D141" s="313" t="n"/>
      <c r="E141" s="315" t="n"/>
      <c r="F141" s="316" t="n"/>
      <c r="G141" s="317" t="n"/>
      <c r="H141" s="271">
        <f>IF(AND(ISNUMBER(F141),ISNUMBER(G141)),F141*G141,"")</f>
        <v/>
      </c>
      <c r="I141" s="316" t="n"/>
      <c r="J141" s="317" t="n"/>
      <c r="K141" s="271">
        <f>IF(AND(ISNUMBER(I141),ISNUMBER(J141)),I141*J141,"")</f>
        <v/>
      </c>
      <c r="L141" s="240">
        <f>IF(COUNT(F141,I141)=0,"",N(F141)-N(I141))</f>
        <v/>
      </c>
      <c r="M141" s="241">
        <f>IF(COUNT(H141,K141)=0,"",N(K141)-N(H141))</f>
        <v/>
      </c>
      <c r="N141" s="240">
        <f>IF(AND(ISNUMBER(F141),ISNUMBER(G141),F141&gt;0,1-N(Ввод!$E$17)/100&gt;0),MAX(0,(F141*G141-SUMPRODUCT((Закрытые!$B$5:$B$300=$B141)*((Закрытые!$F$5:$F$300+Закрытые!$I$5:$I$300-ABS(Закрытые!$F$5:$F$300-Закрытые!$I$5:$I$300))/2)*(Закрытые!$J$5:$J$300-Закрытые!$G$5:$G$300)))/F141)/(1-N(Ввод!$E$17)/100),IF(AND(ISNUMBER(I141),ISNUMBER(J141),I141&gt;0),MAX(0,(I141*J141+SUMPRODUCT((Закрытые!$B$5:$B$300=$B141)*((Закрытые!$F$5:$F$300+Закрытые!$I$5:$I$300-ABS(Закрытые!$F$5:$F$300-Закрытые!$I$5:$I$300))/2)*(Закрытые!$J$5:$J$300-Закрытые!$G$5:$G$300)))/I141)/(1+N(Ввод!$E$17)/100),""))</f>
        <v/>
      </c>
    </row>
    <row r="142" ht="22" customHeight="1">
      <c r="B142" s="318" t="n"/>
      <c r="C142" s="319" t="n"/>
      <c r="D142" s="318" t="n"/>
      <c r="E142" s="320" t="n"/>
      <c r="F142" s="321" t="n"/>
      <c r="G142" s="322" t="n"/>
      <c r="H142" s="271">
        <f>IF(AND(ISNUMBER(F142),ISNUMBER(G142)),F142*G142,"")</f>
        <v/>
      </c>
      <c r="I142" s="321" t="n"/>
      <c r="J142" s="322" t="n"/>
      <c r="K142" s="271">
        <f>IF(AND(ISNUMBER(I142),ISNUMBER(J142)),I142*J142,"")</f>
        <v/>
      </c>
      <c r="L142" s="246">
        <f>IF(COUNT(F142,I142)=0,"",N(F142)-N(I142))</f>
        <v/>
      </c>
      <c r="M142" s="247">
        <f>IF(COUNT(H142,K142)=0,"",N(K142)-N(H142))</f>
        <v/>
      </c>
      <c r="N142" s="246">
        <f>IF(AND(ISNUMBER(F142),ISNUMBER(G142),F142&gt;0,1-N(Ввод!$E$17)/100&gt;0),MAX(0,(F142*G142-SUMPRODUCT((Закрытые!$B$5:$B$300=$B142)*((Закрытые!$F$5:$F$300+Закрытые!$I$5:$I$300-ABS(Закрытые!$F$5:$F$300-Закрытые!$I$5:$I$300))/2)*(Закрытые!$J$5:$J$300-Закрытые!$G$5:$G$300)))/F142)/(1-N(Ввод!$E$17)/100),IF(AND(ISNUMBER(I142),ISNUMBER(J142),I142&gt;0),MAX(0,(I142*J142+SUMPRODUCT((Закрытые!$B$5:$B$300=$B142)*((Закрытые!$F$5:$F$300+Закрытые!$I$5:$I$300-ABS(Закрытые!$F$5:$F$300-Закрытые!$I$5:$I$300))/2)*(Закрытые!$J$5:$J$300-Закрытые!$G$5:$G$300)))/I142)/(1+N(Ввод!$E$17)/100),""))</f>
        <v/>
      </c>
    </row>
    <row r="143" ht="22" customHeight="1">
      <c r="B143" s="313" t="n"/>
      <c r="C143" s="314" t="n"/>
      <c r="D143" s="313" t="n"/>
      <c r="E143" s="315" t="n"/>
      <c r="F143" s="316" t="n"/>
      <c r="G143" s="317" t="n"/>
      <c r="H143" s="271">
        <f>IF(AND(ISNUMBER(F143),ISNUMBER(G143)),F143*G143,"")</f>
        <v/>
      </c>
      <c r="I143" s="316" t="n"/>
      <c r="J143" s="317" t="n"/>
      <c r="K143" s="271">
        <f>IF(AND(ISNUMBER(I143),ISNUMBER(J143)),I143*J143,"")</f>
        <v/>
      </c>
      <c r="L143" s="240">
        <f>IF(COUNT(F143,I143)=0,"",N(F143)-N(I143))</f>
        <v/>
      </c>
      <c r="M143" s="241">
        <f>IF(COUNT(H143,K143)=0,"",N(K143)-N(H143))</f>
        <v/>
      </c>
      <c r="N143" s="240">
        <f>IF(AND(ISNUMBER(F143),ISNUMBER(G143),F143&gt;0,1-N(Ввод!$E$17)/100&gt;0),MAX(0,(F143*G143-SUMPRODUCT((Закрытые!$B$5:$B$300=$B143)*((Закрытые!$F$5:$F$300+Закрытые!$I$5:$I$300-ABS(Закрытые!$F$5:$F$300-Закрытые!$I$5:$I$300))/2)*(Закрытые!$J$5:$J$300-Закрытые!$G$5:$G$300)))/F143)/(1-N(Ввод!$E$17)/100),IF(AND(ISNUMBER(I143),ISNUMBER(J143),I143&gt;0),MAX(0,(I143*J143+SUMPRODUCT((Закрытые!$B$5:$B$300=$B143)*((Закрытые!$F$5:$F$300+Закрытые!$I$5:$I$300-ABS(Закрытые!$F$5:$F$300-Закрытые!$I$5:$I$300))/2)*(Закрытые!$J$5:$J$300-Закрытые!$G$5:$G$300)))/I143)/(1+N(Ввод!$E$17)/100),""))</f>
        <v/>
      </c>
    </row>
    <row r="144" ht="22" customHeight="1">
      <c r="B144" s="318" t="n"/>
      <c r="C144" s="319" t="n"/>
      <c r="D144" s="318" t="n"/>
      <c r="E144" s="320" t="n"/>
      <c r="F144" s="321" t="n"/>
      <c r="G144" s="322" t="n"/>
      <c r="H144" s="271">
        <f>IF(AND(ISNUMBER(F144),ISNUMBER(G144)),F144*G144,"")</f>
        <v/>
      </c>
      <c r="I144" s="321" t="n"/>
      <c r="J144" s="322" t="n"/>
      <c r="K144" s="271">
        <f>IF(AND(ISNUMBER(I144),ISNUMBER(J144)),I144*J144,"")</f>
        <v/>
      </c>
      <c r="L144" s="246">
        <f>IF(COUNT(F144,I144)=0,"",N(F144)-N(I144))</f>
        <v/>
      </c>
      <c r="M144" s="247">
        <f>IF(COUNT(H144,K144)=0,"",N(K144)-N(H144))</f>
        <v/>
      </c>
      <c r="N144" s="246">
        <f>IF(AND(ISNUMBER(F144),ISNUMBER(G144),F144&gt;0,1-N(Ввод!$E$17)/100&gt;0),MAX(0,(F144*G144-SUMPRODUCT((Закрытые!$B$5:$B$300=$B144)*((Закрытые!$F$5:$F$300+Закрытые!$I$5:$I$300-ABS(Закрытые!$F$5:$F$300-Закрытые!$I$5:$I$300))/2)*(Закрытые!$J$5:$J$300-Закрытые!$G$5:$G$300)))/F144)/(1-N(Ввод!$E$17)/100),IF(AND(ISNUMBER(I144),ISNUMBER(J144),I144&gt;0),MAX(0,(I144*J144+SUMPRODUCT((Закрытые!$B$5:$B$300=$B144)*((Закрытые!$F$5:$F$300+Закрытые!$I$5:$I$300-ABS(Закрытые!$F$5:$F$300-Закрытые!$I$5:$I$300))/2)*(Закрытые!$J$5:$J$300-Закрытые!$G$5:$G$300)))/I144)/(1+N(Ввод!$E$17)/100),""))</f>
        <v/>
      </c>
    </row>
    <row r="145" ht="22" customHeight="1">
      <c r="B145" s="313" t="n"/>
      <c r="C145" s="314" t="n"/>
      <c r="D145" s="313" t="n"/>
      <c r="E145" s="315" t="n"/>
      <c r="F145" s="316" t="n"/>
      <c r="G145" s="317" t="n"/>
      <c r="H145" s="271">
        <f>IF(AND(ISNUMBER(F145),ISNUMBER(G145)),F145*G145,"")</f>
        <v/>
      </c>
      <c r="I145" s="316" t="n"/>
      <c r="J145" s="317" t="n"/>
      <c r="K145" s="271">
        <f>IF(AND(ISNUMBER(I145),ISNUMBER(J145)),I145*J145,"")</f>
        <v/>
      </c>
      <c r="L145" s="240">
        <f>IF(COUNT(F145,I145)=0,"",N(F145)-N(I145))</f>
        <v/>
      </c>
      <c r="M145" s="241">
        <f>IF(COUNT(H145,K145)=0,"",N(K145)-N(H145))</f>
        <v/>
      </c>
      <c r="N145" s="240">
        <f>IF(AND(ISNUMBER(F145),ISNUMBER(G145),F145&gt;0,1-N(Ввод!$E$17)/100&gt;0),MAX(0,(F145*G145-SUMPRODUCT((Закрытые!$B$5:$B$300=$B145)*((Закрытые!$F$5:$F$300+Закрытые!$I$5:$I$300-ABS(Закрытые!$F$5:$F$300-Закрытые!$I$5:$I$300))/2)*(Закрытые!$J$5:$J$300-Закрытые!$G$5:$G$300)))/F145)/(1-N(Ввод!$E$17)/100),IF(AND(ISNUMBER(I145),ISNUMBER(J145),I145&gt;0),MAX(0,(I145*J145+SUMPRODUCT((Закрытые!$B$5:$B$300=$B145)*((Закрытые!$F$5:$F$300+Закрытые!$I$5:$I$300-ABS(Закрытые!$F$5:$F$300-Закрытые!$I$5:$I$300))/2)*(Закрытые!$J$5:$J$300-Закрытые!$G$5:$G$300)))/I145)/(1+N(Ввод!$E$17)/100),""))</f>
        <v/>
      </c>
    </row>
    <row r="146" ht="22" customHeight="1">
      <c r="B146" s="318" t="n"/>
      <c r="C146" s="319" t="n"/>
      <c r="D146" s="318" t="n"/>
      <c r="E146" s="320" t="n"/>
      <c r="F146" s="321" t="n"/>
      <c r="G146" s="322" t="n"/>
      <c r="H146" s="271">
        <f>IF(AND(ISNUMBER(F146),ISNUMBER(G146)),F146*G146,"")</f>
        <v/>
      </c>
      <c r="I146" s="321" t="n"/>
      <c r="J146" s="322" t="n"/>
      <c r="K146" s="271">
        <f>IF(AND(ISNUMBER(I146),ISNUMBER(J146)),I146*J146,"")</f>
        <v/>
      </c>
      <c r="L146" s="246">
        <f>IF(COUNT(F146,I146)=0,"",N(F146)-N(I146))</f>
        <v/>
      </c>
      <c r="M146" s="247">
        <f>IF(COUNT(H146,K146)=0,"",N(K146)-N(H146))</f>
        <v/>
      </c>
      <c r="N146" s="246">
        <f>IF(AND(ISNUMBER(F146),ISNUMBER(G146),F146&gt;0,1-N(Ввод!$E$17)/100&gt;0),MAX(0,(F146*G146-SUMPRODUCT((Закрытые!$B$5:$B$300=$B146)*((Закрытые!$F$5:$F$300+Закрытые!$I$5:$I$300-ABS(Закрытые!$F$5:$F$300-Закрытые!$I$5:$I$300))/2)*(Закрытые!$J$5:$J$300-Закрытые!$G$5:$G$300)))/F146)/(1-N(Ввод!$E$17)/100),IF(AND(ISNUMBER(I146),ISNUMBER(J146),I146&gt;0),MAX(0,(I146*J146+SUMPRODUCT((Закрытые!$B$5:$B$300=$B146)*((Закрытые!$F$5:$F$300+Закрытые!$I$5:$I$300-ABS(Закрытые!$F$5:$F$300-Закрытые!$I$5:$I$300))/2)*(Закрытые!$J$5:$J$300-Закрытые!$G$5:$G$300)))/I146)/(1+N(Ввод!$E$17)/100),""))</f>
        <v/>
      </c>
    </row>
    <row r="147" ht="22" customHeight="1">
      <c r="B147" s="313" t="n"/>
      <c r="C147" s="314" t="n"/>
      <c r="D147" s="313" t="n"/>
      <c r="E147" s="315" t="n"/>
      <c r="F147" s="316" t="n"/>
      <c r="G147" s="317" t="n"/>
      <c r="H147" s="271">
        <f>IF(AND(ISNUMBER(F147),ISNUMBER(G147)),F147*G147,"")</f>
        <v/>
      </c>
      <c r="I147" s="316" t="n"/>
      <c r="J147" s="317" t="n"/>
      <c r="K147" s="271">
        <f>IF(AND(ISNUMBER(I147),ISNUMBER(J147)),I147*J147,"")</f>
        <v/>
      </c>
      <c r="L147" s="240">
        <f>IF(COUNT(F147,I147)=0,"",N(F147)-N(I147))</f>
        <v/>
      </c>
      <c r="M147" s="241">
        <f>IF(COUNT(H147,K147)=0,"",N(K147)-N(H147))</f>
        <v/>
      </c>
      <c r="N147" s="240">
        <f>IF(AND(ISNUMBER(F147),ISNUMBER(G147),F147&gt;0,1-N(Ввод!$E$17)/100&gt;0),MAX(0,(F147*G147-SUMPRODUCT((Закрытые!$B$5:$B$300=$B147)*((Закрытые!$F$5:$F$300+Закрытые!$I$5:$I$300-ABS(Закрытые!$F$5:$F$300-Закрытые!$I$5:$I$300))/2)*(Закрытые!$J$5:$J$300-Закрытые!$G$5:$G$300)))/F147)/(1-N(Ввод!$E$17)/100),IF(AND(ISNUMBER(I147),ISNUMBER(J147),I147&gt;0),MAX(0,(I147*J147+SUMPRODUCT((Закрытые!$B$5:$B$300=$B147)*((Закрытые!$F$5:$F$300+Закрытые!$I$5:$I$300-ABS(Закрытые!$F$5:$F$300-Закрытые!$I$5:$I$300))/2)*(Закрытые!$J$5:$J$300-Закрытые!$G$5:$G$300)))/I147)/(1+N(Ввод!$E$17)/100),""))</f>
        <v/>
      </c>
    </row>
    <row r="148" ht="22" customHeight="1">
      <c r="B148" s="318" t="n"/>
      <c r="C148" s="319" t="n"/>
      <c r="D148" s="318" t="n"/>
      <c r="E148" s="320" t="n"/>
      <c r="F148" s="321" t="n"/>
      <c r="G148" s="322" t="n"/>
      <c r="H148" s="271">
        <f>IF(AND(ISNUMBER(F148),ISNUMBER(G148)),F148*G148,"")</f>
        <v/>
      </c>
      <c r="I148" s="321" t="n"/>
      <c r="J148" s="322" t="n"/>
      <c r="K148" s="271">
        <f>IF(AND(ISNUMBER(I148),ISNUMBER(J148)),I148*J148,"")</f>
        <v/>
      </c>
      <c r="L148" s="246">
        <f>IF(COUNT(F148,I148)=0,"",N(F148)-N(I148))</f>
        <v/>
      </c>
      <c r="M148" s="247">
        <f>IF(COUNT(H148,K148)=0,"",N(K148)-N(H148))</f>
        <v/>
      </c>
      <c r="N148" s="246">
        <f>IF(AND(ISNUMBER(F148),ISNUMBER(G148),F148&gt;0,1-N(Ввод!$E$17)/100&gt;0),MAX(0,(F148*G148-SUMPRODUCT((Закрытые!$B$5:$B$300=$B148)*((Закрытые!$F$5:$F$300+Закрытые!$I$5:$I$300-ABS(Закрытые!$F$5:$F$300-Закрытые!$I$5:$I$300))/2)*(Закрытые!$J$5:$J$300-Закрытые!$G$5:$G$300)))/F148)/(1-N(Ввод!$E$17)/100),IF(AND(ISNUMBER(I148),ISNUMBER(J148),I148&gt;0),MAX(0,(I148*J148+SUMPRODUCT((Закрытые!$B$5:$B$300=$B148)*((Закрытые!$F$5:$F$300+Закрытые!$I$5:$I$300-ABS(Закрытые!$F$5:$F$300-Закрытые!$I$5:$I$300))/2)*(Закрытые!$J$5:$J$300-Закрытые!$G$5:$G$300)))/I148)/(1+N(Ввод!$E$17)/100),""))</f>
        <v/>
      </c>
    </row>
    <row r="149" ht="22" customHeight="1">
      <c r="B149" s="313" t="n"/>
      <c r="C149" s="314" t="n"/>
      <c r="D149" s="313" t="n"/>
      <c r="E149" s="315" t="n"/>
      <c r="F149" s="316" t="n"/>
      <c r="G149" s="317" t="n"/>
      <c r="H149" s="271">
        <f>IF(AND(ISNUMBER(F149),ISNUMBER(G149)),F149*G149,"")</f>
        <v/>
      </c>
      <c r="I149" s="316" t="n"/>
      <c r="J149" s="317" t="n"/>
      <c r="K149" s="271">
        <f>IF(AND(ISNUMBER(I149),ISNUMBER(J149)),I149*J149,"")</f>
        <v/>
      </c>
      <c r="L149" s="240">
        <f>IF(COUNT(F149,I149)=0,"",N(F149)-N(I149))</f>
        <v/>
      </c>
      <c r="M149" s="241">
        <f>IF(COUNT(H149,K149)=0,"",N(K149)-N(H149))</f>
        <v/>
      </c>
      <c r="N149" s="240">
        <f>IF(AND(ISNUMBER(F149),ISNUMBER(G149),F149&gt;0,1-N(Ввод!$E$17)/100&gt;0),MAX(0,(F149*G149-SUMPRODUCT((Закрытые!$B$5:$B$300=$B149)*((Закрытые!$F$5:$F$300+Закрытые!$I$5:$I$300-ABS(Закрытые!$F$5:$F$300-Закрытые!$I$5:$I$300))/2)*(Закрытые!$J$5:$J$300-Закрытые!$G$5:$G$300)))/F149)/(1-N(Ввод!$E$17)/100),IF(AND(ISNUMBER(I149),ISNUMBER(J149),I149&gt;0),MAX(0,(I149*J149+SUMPRODUCT((Закрытые!$B$5:$B$300=$B149)*((Закрытые!$F$5:$F$300+Закрытые!$I$5:$I$300-ABS(Закрытые!$F$5:$F$300-Закрытые!$I$5:$I$300))/2)*(Закрытые!$J$5:$J$300-Закрытые!$G$5:$G$300)))/I149)/(1+N(Ввод!$E$17)/100),""))</f>
        <v/>
      </c>
    </row>
    <row r="150" ht="22" customHeight="1">
      <c r="B150" s="318" t="n"/>
      <c r="C150" s="319" t="n"/>
      <c r="D150" s="318" t="n"/>
      <c r="E150" s="320" t="n"/>
      <c r="F150" s="321" t="n"/>
      <c r="G150" s="322" t="n"/>
      <c r="H150" s="271">
        <f>IF(AND(ISNUMBER(F150),ISNUMBER(G150)),F150*G150,"")</f>
        <v/>
      </c>
      <c r="I150" s="321" t="n"/>
      <c r="J150" s="322" t="n"/>
      <c r="K150" s="271">
        <f>IF(AND(ISNUMBER(I150),ISNUMBER(J150)),I150*J150,"")</f>
        <v/>
      </c>
      <c r="L150" s="246">
        <f>IF(COUNT(F150,I150)=0,"",N(F150)-N(I150))</f>
        <v/>
      </c>
      <c r="M150" s="247">
        <f>IF(COUNT(H150,K150)=0,"",N(K150)-N(H150))</f>
        <v/>
      </c>
      <c r="N150" s="246">
        <f>IF(AND(ISNUMBER(F150),ISNUMBER(G150),F150&gt;0,1-N(Ввод!$E$17)/100&gt;0),MAX(0,(F150*G150-SUMPRODUCT((Закрытые!$B$5:$B$300=$B150)*((Закрытые!$F$5:$F$300+Закрытые!$I$5:$I$300-ABS(Закрытые!$F$5:$F$300-Закрытые!$I$5:$I$300))/2)*(Закрытые!$J$5:$J$300-Закрытые!$G$5:$G$300)))/F150)/(1-N(Ввод!$E$17)/100),IF(AND(ISNUMBER(I150),ISNUMBER(J150),I150&gt;0),MAX(0,(I150*J150+SUMPRODUCT((Закрытые!$B$5:$B$300=$B150)*((Закрытые!$F$5:$F$300+Закрытые!$I$5:$I$300-ABS(Закрытые!$F$5:$F$300-Закрытые!$I$5:$I$300))/2)*(Закрытые!$J$5:$J$300-Закрытые!$G$5:$G$300)))/I150)/(1+N(Ввод!$E$17)/100),""))</f>
        <v/>
      </c>
    </row>
    <row r="151" ht="22" customHeight="1">
      <c r="B151" s="313" t="n"/>
      <c r="C151" s="314" t="n"/>
      <c r="D151" s="313" t="n"/>
      <c r="E151" s="315" t="n"/>
      <c r="F151" s="316" t="n"/>
      <c r="G151" s="317" t="n"/>
      <c r="H151" s="271">
        <f>IF(AND(ISNUMBER(F151),ISNUMBER(G151)),F151*G151,"")</f>
        <v/>
      </c>
      <c r="I151" s="316" t="n"/>
      <c r="J151" s="317" t="n"/>
      <c r="K151" s="271">
        <f>IF(AND(ISNUMBER(I151),ISNUMBER(J151)),I151*J151,"")</f>
        <v/>
      </c>
      <c r="L151" s="240">
        <f>IF(COUNT(F151,I151)=0,"",N(F151)-N(I151))</f>
        <v/>
      </c>
      <c r="M151" s="241">
        <f>IF(COUNT(H151,K151)=0,"",N(K151)-N(H151))</f>
        <v/>
      </c>
      <c r="N151" s="240">
        <f>IF(AND(ISNUMBER(F151),ISNUMBER(G151),F151&gt;0,1-N(Ввод!$E$17)/100&gt;0),MAX(0,(F151*G151-SUMPRODUCT((Закрытые!$B$5:$B$300=$B151)*((Закрытые!$F$5:$F$300+Закрытые!$I$5:$I$300-ABS(Закрытые!$F$5:$F$300-Закрытые!$I$5:$I$300))/2)*(Закрытые!$J$5:$J$300-Закрытые!$G$5:$G$300)))/F151)/(1-N(Ввод!$E$17)/100),IF(AND(ISNUMBER(I151),ISNUMBER(J151),I151&gt;0),MAX(0,(I151*J151+SUMPRODUCT((Закрытые!$B$5:$B$300=$B151)*((Закрытые!$F$5:$F$300+Закрытые!$I$5:$I$300-ABS(Закрытые!$F$5:$F$300-Закрытые!$I$5:$I$300))/2)*(Закрытые!$J$5:$J$300-Закрытые!$G$5:$G$300)))/I151)/(1+N(Ввод!$E$17)/100),""))</f>
        <v/>
      </c>
    </row>
    <row r="152" ht="22" customHeight="1">
      <c r="B152" s="318" t="n"/>
      <c r="C152" s="319" t="n"/>
      <c r="D152" s="318" t="n"/>
      <c r="E152" s="320" t="n"/>
      <c r="F152" s="321" t="n"/>
      <c r="G152" s="322" t="n"/>
      <c r="H152" s="271">
        <f>IF(AND(ISNUMBER(F152),ISNUMBER(G152)),F152*G152,"")</f>
        <v/>
      </c>
      <c r="I152" s="321" t="n"/>
      <c r="J152" s="322" t="n"/>
      <c r="K152" s="271">
        <f>IF(AND(ISNUMBER(I152),ISNUMBER(J152)),I152*J152,"")</f>
        <v/>
      </c>
      <c r="L152" s="246">
        <f>IF(COUNT(F152,I152)=0,"",N(F152)-N(I152))</f>
        <v/>
      </c>
      <c r="M152" s="247">
        <f>IF(COUNT(H152,K152)=0,"",N(K152)-N(H152))</f>
        <v/>
      </c>
      <c r="N152" s="246">
        <f>IF(AND(ISNUMBER(F152),ISNUMBER(G152),F152&gt;0,1-N(Ввод!$E$17)/100&gt;0),MAX(0,(F152*G152-SUMPRODUCT((Закрытые!$B$5:$B$300=$B152)*((Закрытые!$F$5:$F$300+Закрытые!$I$5:$I$300-ABS(Закрытые!$F$5:$F$300-Закрытые!$I$5:$I$300))/2)*(Закрытые!$J$5:$J$300-Закрытые!$G$5:$G$300)))/F152)/(1-N(Ввод!$E$17)/100),IF(AND(ISNUMBER(I152),ISNUMBER(J152),I152&gt;0),MAX(0,(I152*J152+SUMPRODUCT((Закрытые!$B$5:$B$300=$B152)*((Закрытые!$F$5:$F$300+Закрытые!$I$5:$I$300-ABS(Закрытые!$F$5:$F$300-Закрытые!$I$5:$I$300))/2)*(Закрытые!$J$5:$J$300-Закрытые!$G$5:$G$300)))/I152)/(1+N(Ввод!$E$17)/100),""))</f>
        <v/>
      </c>
    </row>
    <row r="153" ht="22" customHeight="1">
      <c r="B153" s="313" t="n"/>
      <c r="C153" s="314" t="n"/>
      <c r="D153" s="313" t="n"/>
      <c r="E153" s="315" t="n"/>
      <c r="F153" s="316" t="n"/>
      <c r="G153" s="317" t="n"/>
      <c r="H153" s="271">
        <f>IF(AND(ISNUMBER(F153),ISNUMBER(G153)),F153*G153,"")</f>
        <v/>
      </c>
      <c r="I153" s="316" t="n"/>
      <c r="J153" s="317" t="n"/>
      <c r="K153" s="271">
        <f>IF(AND(ISNUMBER(I153),ISNUMBER(J153)),I153*J153,"")</f>
        <v/>
      </c>
      <c r="L153" s="240">
        <f>IF(COUNT(F153,I153)=0,"",N(F153)-N(I153))</f>
        <v/>
      </c>
      <c r="M153" s="241">
        <f>IF(COUNT(H153,K153)=0,"",N(K153)-N(H153))</f>
        <v/>
      </c>
      <c r="N153" s="240">
        <f>IF(AND(ISNUMBER(F153),ISNUMBER(G153),F153&gt;0,1-N(Ввод!$E$17)/100&gt;0),MAX(0,(F153*G153-SUMPRODUCT((Закрытые!$B$5:$B$300=$B153)*((Закрытые!$F$5:$F$300+Закрытые!$I$5:$I$300-ABS(Закрытые!$F$5:$F$300-Закрытые!$I$5:$I$300))/2)*(Закрытые!$J$5:$J$300-Закрытые!$G$5:$G$300)))/F153)/(1-N(Ввод!$E$17)/100),IF(AND(ISNUMBER(I153),ISNUMBER(J153),I153&gt;0),MAX(0,(I153*J153+SUMPRODUCT((Закрытые!$B$5:$B$300=$B153)*((Закрытые!$F$5:$F$300+Закрытые!$I$5:$I$300-ABS(Закрытые!$F$5:$F$300-Закрытые!$I$5:$I$300))/2)*(Закрытые!$J$5:$J$300-Закрытые!$G$5:$G$300)))/I153)/(1+N(Ввод!$E$17)/100),""))</f>
        <v/>
      </c>
    </row>
    <row r="154" ht="22" customHeight="1">
      <c r="B154" s="318" t="n"/>
      <c r="C154" s="319" t="n"/>
      <c r="D154" s="318" t="n"/>
      <c r="E154" s="320" t="n"/>
      <c r="F154" s="321" t="n"/>
      <c r="G154" s="322" t="n"/>
      <c r="H154" s="271">
        <f>IF(AND(ISNUMBER(F154),ISNUMBER(G154)),F154*G154,"")</f>
        <v/>
      </c>
      <c r="I154" s="321" t="n"/>
      <c r="J154" s="322" t="n"/>
      <c r="K154" s="271">
        <f>IF(AND(ISNUMBER(I154),ISNUMBER(J154)),I154*J154,"")</f>
        <v/>
      </c>
      <c r="L154" s="246">
        <f>IF(COUNT(F154,I154)=0,"",N(F154)-N(I154))</f>
        <v/>
      </c>
      <c r="M154" s="247">
        <f>IF(COUNT(H154,K154)=0,"",N(K154)-N(H154))</f>
        <v/>
      </c>
      <c r="N154" s="246">
        <f>IF(AND(ISNUMBER(F154),ISNUMBER(G154),F154&gt;0,1-N(Ввод!$E$17)/100&gt;0),MAX(0,(F154*G154-SUMPRODUCT((Закрытые!$B$5:$B$300=$B154)*((Закрытые!$F$5:$F$300+Закрытые!$I$5:$I$300-ABS(Закрытые!$F$5:$F$300-Закрытые!$I$5:$I$300))/2)*(Закрытые!$J$5:$J$300-Закрытые!$G$5:$G$300)))/F154)/(1-N(Ввод!$E$17)/100),IF(AND(ISNUMBER(I154),ISNUMBER(J154),I154&gt;0),MAX(0,(I154*J154+SUMPRODUCT((Закрытые!$B$5:$B$300=$B154)*((Закрытые!$F$5:$F$300+Закрытые!$I$5:$I$300-ABS(Закрытые!$F$5:$F$300-Закрытые!$I$5:$I$300))/2)*(Закрытые!$J$5:$J$300-Закрытые!$G$5:$G$300)))/I154)/(1+N(Ввод!$E$17)/100),""))</f>
        <v/>
      </c>
    </row>
    <row r="155" ht="22" customHeight="1">
      <c r="B155" s="313" t="n"/>
      <c r="C155" s="314" t="n"/>
      <c r="D155" s="313" t="n"/>
      <c r="E155" s="315" t="n"/>
      <c r="F155" s="316" t="n"/>
      <c r="G155" s="317" t="n"/>
      <c r="H155" s="271">
        <f>IF(AND(ISNUMBER(F155),ISNUMBER(G155)),F155*G155,"")</f>
        <v/>
      </c>
      <c r="I155" s="316" t="n"/>
      <c r="J155" s="317" t="n"/>
      <c r="K155" s="271">
        <f>IF(AND(ISNUMBER(I155),ISNUMBER(J155)),I155*J155,"")</f>
        <v/>
      </c>
      <c r="L155" s="240">
        <f>IF(COUNT(F155,I155)=0,"",N(F155)-N(I155))</f>
        <v/>
      </c>
      <c r="M155" s="241">
        <f>IF(COUNT(H155,K155)=0,"",N(K155)-N(H155))</f>
        <v/>
      </c>
      <c r="N155" s="240">
        <f>IF(AND(ISNUMBER(F155),ISNUMBER(G155),F155&gt;0,1-N(Ввод!$E$17)/100&gt;0),MAX(0,(F155*G155-SUMPRODUCT((Закрытые!$B$5:$B$300=$B155)*((Закрытые!$F$5:$F$300+Закрытые!$I$5:$I$300-ABS(Закрытые!$F$5:$F$300-Закрытые!$I$5:$I$300))/2)*(Закрытые!$J$5:$J$300-Закрытые!$G$5:$G$300)))/F155)/(1-N(Ввод!$E$17)/100),IF(AND(ISNUMBER(I155),ISNUMBER(J155),I155&gt;0),MAX(0,(I155*J155+SUMPRODUCT((Закрытые!$B$5:$B$300=$B155)*((Закрытые!$F$5:$F$300+Закрытые!$I$5:$I$300-ABS(Закрытые!$F$5:$F$300-Закрытые!$I$5:$I$300))/2)*(Закрытые!$J$5:$J$300-Закрытые!$G$5:$G$300)))/I155)/(1+N(Ввод!$E$17)/100),""))</f>
        <v/>
      </c>
    </row>
    <row r="156" ht="22" customHeight="1">
      <c r="B156" s="318" t="n"/>
      <c r="C156" s="319" t="n"/>
      <c r="D156" s="318" t="n"/>
      <c r="E156" s="320" t="n"/>
      <c r="F156" s="321" t="n"/>
      <c r="G156" s="322" t="n"/>
      <c r="H156" s="271">
        <f>IF(AND(ISNUMBER(F156),ISNUMBER(G156)),F156*G156,"")</f>
        <v/>
      </c>
      <c r="I156" s="321" t="n"/>
      <c r="J156" s="322" t="n"/>
      <c r="K156" s="271">
        <f>IF(AND(ISNUMBER(I156),ISNUMBER(J156)),I156*J156,"")</f>
        <v/>
      </c>
      <c r="L156" s="246">
        <f>IF(COUNT(F156,I156)=0,"",N(F156)-N(I156))</f>
        <v/>
      </c>
      <c r="M156" s="247">
        <f>IF(COUNT(H156,K156)=0,"",N(K156)-N(H156))</f>
        <v/>
      </c>
      <c r="N156" s="246">
        <f>IF(AND(ISNUMBER(F156),ISNUMBER(G156),F156&gt;0,1-N(Ввод!$E$17)/100&gt;0),MAX(0,(F156*G156-SUMPRODUCT((Закрытые!$B$5:$B$300=$B156)*((Закрытые!$F$5:$F$300+Закрытые!$I$5:$I$300-ABS(Закрытые!$F$5:$F$300-Закрытые!$I$5:$I$300))/2)*(Закрытые!$J$5:$J$300-Закрытые!$G$5:$G$300)))/F156)/(1-N(Ввод!$E$17)/100),IF(AND(ISNUMBER(I156),ISNUMBER(J156),I156&gt;0),MAX(0,(I156*J156+SUMPRODUCT((Закрытые!$B$5:$B$300=$B156)*((Закрытые!$F$5:$F$300+Закрытые!$I$5:$I$300-ABS(Закрытые!$F$5:$F$300-Закрытые!$I$5:$I$300))/2)*(Закрытые!$J$5:$J$300-Закрытые!$G$5:$G$300)))/I156)/(1+N(Ввод!$E$17)/100),""))</f>
        <v/>
      </c>
    </row>
    <row r="157" ht="22" customHeight="1">
      <c r="B157" s="313" t="n"/>
      <c r="C157" s="314" t="n"/>
      <c r="D157" s="313" t="n"/>
      <c r="E157" s="315" t="n"/>
      <c r="F157" s="316" t="n"/>
      <c r="G157" s="317" t="n"/>
      <c r="H157" s="271">
        <f>IF(AND(ISNUMBER(F157),ISNUMBER(G157)),F157*G157,"")</f>
        <v/>
      </c>
      <c r="I157" s="316" t="n"/>
      <c r="J157" s="317" t="n"/>
      <c r="K157" s="271">
        <f>IF(AND(ISNUMBER(I157),ISNUMBER(J157)),I157*J157,"")</f>
        <v/>
      </c>
      <c r="L157" s="240">
        <f>IF(COUNT(F157,I157)=0,"",N(F157)-N(I157))</f>
        <v/>
      </c>
      <c r="M157" s="241">
        <f>IF(COUNT(H157,K157)=0,"",N(K157)-N(H157))</f>
        <v/>
      </c>
      <c r="N157" s="240">
        <f>IF(AND(ISNUMBER(F157),ISNUMBER(G157),F157&gt;0,1-N(Ввод!$E$17)/100&gt;0),MAX(0,(F157*G157-SUMPRODUCT((Закрытые!$B$5:$B$300=$B157)*((Закрытые!$F$5:$F$300+Закрытые!$I$5:$I$300-ABS(Закрытые!$F$5:$F$300-Закрытые!$I$5:$I$300))/2)*(Закрытые!$J$5:$J$300-Закрытые!$G$5:$G$300)))/F157)/(1-N(Ввод!$E$17)/100),IF(AND(ISNUMBER(I157),ISNUMBER(J157),I157&gt;0),MAX(0,(I157*J157+SUMPRODUCT((Закрытые!$B$5:$B$300=$B157)*((Закрытые!$F$5:$F$300+Закрытые!$I$5:$I$300-ABS(Закрытые!$F$5:$F$300-Закрытые!$I$5:$I$300))/2)*(Закрытые!$J$5:$J$300-Закрытые!$G$5:$G$300)))/I157)/(1+N(Ввод!$E$17)/100),""))</f>
        <v/>
      </c>
    </row>
    <row r="158" ht="22" customHeight="1">
      <c r="B158" s="318" t="n"/>
      <c r="C158" s="319" t="n"/>
      <c r="D158" s="318" t="n"/>
      <c r="E158" s="320" t="n"/>
      <c r="F158" s="321" t="n"/>
      <c r="G158" s="322" t="n"/>
      <c r="H158" s="271">
        <f>IF(AND(ISNUMBER(F158),ISNUMBER(G158)),F158*G158,"")</f>
        <v/>
      </c>
      <c r="I158" s="321" t="n"/>
      <c r="J158" s="322" t="n"/>
      <c r="K158" s="271">
        <f>IF(AND(ISNUMBER(I158),ISNUMBER(J158)),I158*J158,"")</f>
        <v/>
      </c>
      <c r="L158" s="246">
        <f>IF(COUNT(F158,I158)=0,"",N(F158)-N(I158))</f>
        <v/>
      </c>
      <c r="M158" s="247">
        <f>IF(COUNT(H158,K158)=0,"",N(K158)-N(H158))</f>
        <v/>
      </c>
      <c r="N158" s="246">
        <f>IF(AND(ISNUMBER(F158),ISNUMBER(G158),F158&gt;0,1-N(Ввод!$E$17)/100&gt;0),MAX(0,(F158*G158-SUMPRODUCT((Закрытые!$B$5:$B$300=$B158)*((Закрытые!$F$5:$F$300+Закрытые!$I$5:$I$300-ABS(Закрытые!$F$5:$F$300-Закрытые!$I$5:$I$300))/2)*(Закрытые!$J$5:$J$300-Закрытые!$G$5:$G$300)))/F158)/(1-N(Ввод!$E$17)/100),IF(AND(ISNUMBER(I158),ISNUMBER(J158),I158&gt;0),MAX(0,(I158*J158+SUMPRODUCT((Закрытые!$B$5:$B$300=$B158)*((Закрытые!$F$5:$F$300+Закрытые!$I$5:$I$300-ABS(Закрытые!$F$5:$F$300-Закрытые!$I$5:$I$300))/2)*(Закрытые!$J$5:$J$300-Закрытые!$G$5:$G$300)))/I158)/(1+N(Ввод!$E$17)/100),""))</f>
        <v/>
      </c>
    </row>
    <row r="159" ht="22" customHeight="1">
      <c r="B159" s="313" t="n"/>
      <c r="C159" s="314" t="n"/>
      <c r="D159" s="313" t="n"/>
      <c r="E159" s="315" t="n"/>
      <c r="F159" s="316" t="n"/>
      <c r="G159" s="317" t="n"/>
      <c r="H159" s="271">
        <f>IF(AND(ISNUMBER(F159),ISNUMBER(G159)),F159*G159,"")</f>
        <v/>
      </c>
      <c r="I159" s="316" t="n"/>
      <c r="J159" s="317" t="n"/>
      <c r="K159" s="271">
        <f>IF(AND(ISNUMBER(I159),ISNUMBER(J159)),I159*J159,"")</f>
        <v/>
      </c>
      <c r="L159" s="240">
        <f>IF(COUNT(F159,I159)=0,"",N(F159)-N(I159))</f>
        <v/>
      </c>
      <c r="M159" s="241">
        <f>IF(COUNT(H159,K159)=0,"",N(K159)-N(H159))</f>
        <v/>
      </c>
      <c r="N159" s="240">
        <f>IF(AND(ISNUMBER(F159),ISNUMBER(G159),F159&gt;0,1-N(Ввод!$E$17)/100&gt;0),MAX(0,(F159*G159-SUMPRODUCT((Закрытые!$B$5:$B$300=$B159)*((Закрытые!$F$5:$F$300+Закрытые!$I$5:$I$300-ABS(Закрытые!$F$5:$F$300-Закрытые!$I$5:$I$300))/2)*(Закрытые!$J$5:$J$300-Закрытые!$G$5:$G$300)))/F159)/(1-N(Ввод!$E$17)/100),IF(AND(ISNUMBER(I159),ISNUMBER(J159),I159&gt;0),MAX(0,(I159*J159+SUMPRODUCT((Закрытые!$B$5:$B$300=$B159)*((Закрытые!$F$5:$F$300+Закрытые!$I$5:$I$300-ABS(Закрытые!$F$5:$F$300-Закрытые!$I$5:$I$300))/2)*(Закрытые!$J$5:$J$300-Закрытые!$G$5:$G$300)))/I159)/(1+N(Ввод!$E$17)/100),""))</f>
        <v/>
      </c>
    </row>
    <row r="160" ht="22" customHeight="1">
      <c r="B160" s="318" t="n"/>
      <c r="C160" s="319" t="n"/>
      <c r="D160" s="318" t="n"/>
      <c r="E160" s="320" t="n"/>
      <c r="F160" s="321" t="n"/>
      <c r="G160" s="322" t="n"/>
      <c r="H160" s="271">
        <f>IF(AND(ISNUMBER(F160),ISNUMBER(G160)),F160*G160,"")</f>
        <v/>
      </c>
      <c r="I160" s="321" t="n"/>
      <c r="J160" s="322" t="n"/>
      <c r="K160" s="271">
        <f>IF(AND(ISNUMBER(I160),ISNUMBER(J160)),I160*J160,"")</f>
        <v/>
      </c>
      <c r="L160" s="246">
        <f>IF(COUNT(F160,I160)=0,"",N(F160)-N(I160))</f>
        <v/>
      </c>
      <c r="M160" s="247">
        <f>IF(COUNT(H160,K160)=0,"",N(K160)-N(H160))</f>
        <v/>
      </c>
      <c r="N160" s="246">
        <f>IF(AND(ISNUMBER(F160),ISNUMBER(G160),F160&gt;0,1-N(Ввод!$E$17)/100&gt;0),MAX(0,(F160*G160-SUMPRODUCT((Закрытые!$B$5:$B$300=$B160)*((Закрытые!$F$5:$F$300+Закрытые!$I$5:$I$300-ABS(Закрытые!$F$5:$F$300-Закрытые!$I$5:$I$300))/2)*(Закрытые!$J$5:$J$300-Закрытые!$G$5:$G$300)))/F160)/(1-N(Ввод!$E$17)/100),IF(AND(ISNUMBER(I160),ISNUMBER(J160),I160&gt;0),MAX(0,(I160*J160+SUMPRODUCT((Закрытые!$B$5:$B$300=$B160)*((Закрытые!$F$5:$F$300+Закрытые!$I$5:$I$300-ABS(Закрытые!$F$5:$F$300-Закрытые!$I$5:$I$300))/2)*(Закрытые!$J$5:$J$300-Закрытые!$G$5:$G$300)))/I160)/(1+N(Ввод!$E$17)/100),""))</f>
        <v/>
      </c>
    </row>
    <row r="161" ht="22" customHeight="1">
      <c r="B161" s="313" t="n"/>
      <c r="C161" s="314" t="n"/>
      <c r="D161" s="313" t="n"/>
      <c r="E161" s="315" t="n"/>
      <c r="F161" s="316" t="n"/>
      <c r="G161" s="317" t="n"/>
      <c r="H161" s="271">
        <f>IF(AND(ISNUMBER(F161),ISNUMBER(G161)),F161*G161,"")</f>
        <v/>
      </c>
      <c r="I161" s="316" t="n"/>
      <c r="J161" s="317" t="n"/>
      <c r="K161" s="271">
        <f>IF(AND(ISNUMBER(I161),ISNUMBER(J161)),I161*J161,"")</f>
        <v/>
      </c>
      <c r="L161" s="240">
        <f>IF(COUNT(F161,I161)=0,"",N(F161)-N(I161))</f>
        <v/>
      </c>
      <c r="M161" s="241">
        <f>IF(COUNT(H161,K161)=0,"",N(K161)-N(H161))</f>
        <v/>
      </c>
      <c r="N161" s="240">
        <f>IF(AND(ISNUMBER(F161),ISNUMBER(G161),F161&gt;0,1-N(Ввод!$E$17)/100&gt;0),MAX(0,(F161*G161-SUMPRODUCT((Закрытые!$B$5:$B$300=$B161)*((Закрытые!$F$5:$F$300+Закрытые!$I$5:$I$300-ABS(Закрытые!$F$5:$F$300-Закрытые!$I$5:$I$300))/2)*(Закрытые!$J$5:$J$300-Закрытые!$G$5:$G$300)))/F161)/(1-N(Ввод!$E$17)/100),IF(AND(ISNUMBER(I161),ISNUMBER(J161),I161&gt;0),MAX(0,(I161*J161+SUMPRODUCT((Закрытые!$B$5:$B$300=$B161)*((Закрытые!$F$5:$F$300+Закрытые!$I$5:$I$300-ABS(Закрытые!$F$5:$F$300-Закрытые!$I$5:$I$300))/2)*(Закрытые!$J$5:$J$300-Закрытые!$G$5:$G$300)))/I161)/(1+N(Ввод!$E$17)/100),""))</f>
        <v/>
      </c>
    </row>
    <row r="162" ht="22" customHeight="1">
      <c r="B162" s="318" t="n"/>
      <c r="C162" s="319" t="n"/>
      <c r="D162" s="318" t="n"/>
      <c r="E162" s="320" t="n"/>
      <c r="F162" s="321" t="n"/>
      <c r="G162" s="322" t="n"/>
      <c r="H162" s="271">
        <f>IF(AND(ISNUMBER(F162),ISNUMBER(G162)),F162*G162,"")</f>
        <v/>
      </c>
      <c r="I162" s="321" t="n"/>
      <c r="J162" s="322" t="n"/>
      <c r="K162" s="271">
        <f>IF(AND(ISNUMBER(I162),ISNUMBER(J162)),I162*J162,"")</f>
        <v/>
      </c>
      <c r="L162" s="246">
        <f>IF(COUNT(F162,I162)=0,"",N(F162)-N(I162))</f>
        <v/>
      </c>
      <c r="M162" s="247">
        <f>IF(COUNT(H162,K162)=0,"",N(K162)-N(H162))</f>
        <v/>
      </c>
      <c r="N162" s="246">
        <f>IF(AND(ISNUMBER(F162),ISNUMBER(G162),F162&gt;0,1-N(Ввод!$E$17)/100&gt;0),MAX(0,(F162*G162-SUMPRODUCT((Закрытые!$B$5:$B$300=$B162)*((Закрытые!$F$5:$F$300+Закрытые!$I$5:$I$300-ABS(Закрытые!$F$5:$F$300-Закрытые!$I$5:$I$300))/2)*(Закрытые!$J$5:$J$300-Закрытые!$G$5:$G$300)))/F162)/(1-N(Ввод!$E$17)/100),IF(AND(ISNUMBER(I162),ISNUMBER(J162),I162&gt;0),MAX(0,(I162*J162+SUMPRODUCT((Закрытые!$B$5:$B$300=$B162)*((Закрытые!$F$5:$F$300+Закрытые!$I$5:$I$300-ABS(Закрытые!$F$5:$F$300-Закрытые!$I$5:$I$300))/2)*(Закрытые!$J$5:$J$300-Закрытые!$G$5:$G$300)))/I162)/(1+N(Ввод!$E$17)/100),""))</f>
        <v/>
      </c>
    </row>
    <row r="163" ht="22" customHeight="1">
      <c r="B163" s="313" t="n"/>
      <c r="C163" s="314" t="n"/>
      <c r="D163" s="313" t="n"/>
      <c r="E163" s="315" t="n"/>
      <c r="F163" s="316" t="n"/>
      <c r="G163" s="317" t="n"/>
      <c r="H163" s="271">
        <f>IF(AND(ISNUMBER(F163),ISNUMBER(G163)),F163*G163,"")</f>
        <v/>
      </c>
      <c r="I163" s="316" t="n"/>
      <c r="J163" s="317" t="n"/>
      <c r="K163" s="271">
        <f>IF(AND(ISNUMBER(I163),ISNUMBER(J163)),I163*J163,"")</f>
        <v/>
      </c>
      <c r="L163" s="240">
        <f>IF(COUNT(F163,I163)=0,"",N(F163)-N(I163))</f>
        <v/>
      </c>
      <c r="M163" s="241">
        <f>IF(COUNT(H163,K163)=0,"",N(K163)-N(H163))</f>
        <v/>
      </c>
      <c r="N163" s="240">
        <f>IF(AND(ISNUMBER(F163),ISNUMBER(G163),F163&gt;0,1-N(Ввод!$E$17)/100&gt;0),MAX(0,(F163*G163-SUMPRODUCT((Закрытые!$B$5:$B$300=$B163)*((Закрытые!$F$5:$F$300+Закрытые!$I$5:$I$300-ABS(Закрытые!$F$5:$F$300-Закрытые!$I$5:$I$300))/2)*(Закрытые!$J$5:$J$300-Закрытые!$G$5:$G$300)))/F163)/(1-N(Ввод!$E$17)/100),IF(AND(ISNUMBER(I163),ISNUMBER(J163),I163&gt;0),MAX(0,(I163*J163+SUMPRODUCT((Закрытые!$B$5:$B$300=$B163)*((Закрытые!$F$5:$F$300+Закрытые!$I$5:$I$300-ABS(Закрытые!$F$5:$F$300-Закрытые!$I$5:$I$300))/2)*(Закрытые!$J$5:$J$300-Закрытые!$G$5:$G$300)))/I163)/(1+N(Ввод!$E$17)/100),""))</f>
        <v/>
      </c>
    </row>
    <row r="164" ht="22" customHeight="1">
      <c r="B164" s="318" t="n"/>
      <c r="C164" s="319" t="n"/>
      <c r="D164" s="318" t="n"/>
      <c r="E164" s="320" t="n"/>
      <c r="F164" s="321" t="n"/>
      <c r="G164" s="322" t="n"/>
      <c r="H164" s="271">
        <f>IF(AND(ISNUMBER(F164),ISNUMBER(G164)),F164*G164,"")</f>
        <v/>
      </c>
      <c r="I164" s="321" t="n"/>
      <c r="J164" s="322" t="n"/>
      <c r="K164" s="271">
        <f>IF(AND(ISNUMBER(I164),ISNUMBER(J164)),I164*J164,"")</f>
        <v/>
      </c>
      <c r="L164" s="246">
        <f>IF(COUNT(F164,I164)=0,"",N(F164)-N(I164))</f>
        <v/>
      </c>
      <c r="M164" s="247">
        <f>IF(COUNT(H164,K164)=0,"",N(K164)-N(H164))</f>
        <v/>
      </c>
      <c r="N164" s="246">
        <f>IF(AND(ISNUMBER(F164),ISNUMBER(G164),F164&gt;0,1-N(Ввод!$E$17)/100&gt;0),MAX(0,(F164*G164-SUMPRODUCT((Закрытые!$B$5:$B$300=$B164)*((Закрытые!$F$5:$F$300+Закрытые!$I$5:$I$300-ABS(Закрытые!$F$5:$F$300-Закрытые!$I$5:$I$300))/2)*(Закрытые!$J$5:$J$300-Закрытые!$G$5:$G$300)))/F164)/(1-N(Ввод!$E$17)/100),IF(AND(ISNUMBER(I164),ISNUMBER(J164),I164&gt;0),MAX(0,(I164*J164+SUMPRODUCT((Закрытые!$B$5:$B$300=$B164)*((Закрытые!$F$5:$F$300+Закрытые!$I$5:$I$300-ABS(Закрытые!$F$5:$F$300-Закрытые!$I$5:$I$300))/2)*(Закрытые!$J$5:$J$300-Закрытые!$G$5:$G$300)))/I164)/(1+N(Ввод!$E$17)/100),""))</f>
        <v/>
      </c>
    </row>
    <row r="165" ht="22" customHeight="1">
      <c r="B165" s="313" t="n"/>
      <c r="C165" s="314" t="n"/>
      <c r="D165" s="313" t="n"/>
      <c r="E165" s="315" t="n"/>
      <c r="F165" s="316" t="n"/>
      <c r="G165" s="317" t="n"/>
      <c r="H165" s="271">
        <f>IF(AND(ISNUMBER(F165),ISNUMBER(G165)),F165*G165,"")</f>
        <v/>
      </c>
      <c r="I165" s="316" t="n"/>
      <c r="J165" s="317" t="n"/>
      <c r="K165" s="271">
        <f>IF(AND(ISNUMBER(I165),ISNUMBER(J165)),I165*J165,"")</f>
        <v/>
      </c>
      <c r="L165" s="240">
        <f>IF(COUNT(F165,I165)=0,"",N(F165)-N(I165))</f>
        <v/>
      </c>
      <c r="M165" s="241">
        <f>IF(COUNT(H165,K165)=0,"",N(K165)-N(H165))</f>
        <v/>
      </c>
      <c r="N165" s="240">
        <f>IF(AND(ISNUMBER(F165),ISNUMBER(G165),F165&gt;0,1-N(Ввод!$E$17)/100&gt;0),MAX(0,(F165*G165-SUMPRODUCT((Закрытые!$B$5:$B$300=$B165)*((Закрытые!$F$5:$F$300+Закрытые!$I$5:$I$300-ABS(Закрытые!$F$5:$F$300-Закрытые!$I$5:$I$300))/2)*(Закрытые!$J$5:$J$300-Закрытые!$G$5:$G$300)))/F165)/(1-N(Ввод!$E$17)/100),IF(AND(ISNUMBER(I165),ISNUMBER(J165),I165&gt;0),MAX(0,(I165*J165+SUMPRODUCT((Закрытые!$B$5:$B$300=$B165)*((Закрытые!$F$5:$F$300+Закрытые!$I$5:$I$300-ABS(Закрытые!$F$5:$F$300-Закрытые!$I$5:$I$300))/2)*(Закрытые!$J$5:$J$300-Закрытые!$G$5:$G$300)))/I165)/(1+N(Ввод!$E$17)/100),""))</f>
        <v/>
      </c>
    </row>
    <row r="166" ht="22" customHeight="1">
      <c r="B166" s="318" t="n"/>
      <c r="C166" s="319" t="n"/>
      <c r="D166" s="318" t="n"/>
      <c r="E166" s="320" t="n"/>
      <c r="F166" s="321" t="n"/>
      <c r="G166" s="322" t="n"/>
      <c r="H166" s="271">
        <f>IF(AND(ISNUMBER(F166),ISNUMBER(G166)),F166*G166,"")</f>
        <v/>
      </c>
      <c r="I166" s="321" t="n"/>
      <c r="J166" s="322" t="n"/>
      <c r="K166" s="271">
        <f>IF(AND(ISNUMBER(I166),ISNUMBER(J166)),I166*J166,"")</f>
        <v/>
      </c>
      <c r="L166" s="246">
        <f>IF(COUNT(F166,I166)=0,"",N(F166)-N(I166))</f>
        <v/>
      </c>
      <c r="M166" s="247">
        <f>IF(COUNT(H166,K166)=0,"",N(K166)-N(H166))</f>
        <v/>
      </c>
      <c r="N166" s="246">
        <f>IF(AND(ISNUMBER(F166),ISNUMBER(G166),F166&gt;0,1-N(Ввод!$E$17)/100&gt;0),MAX(0,(F166*G166-SUMPRODUCT((Закрытые!$B$5:$B$300=$B166)*((Закрытые!$F$5:$F$300+Закрытые!$I$5:$I$300-ABS(Закрытые!$F$5:$F$300-Закрытые!$I$5:$I$300))/2)*(Закрытые!$J$5:$J$300-Закрытые!$G$5:$G$300)))/F166)/(1-N(Ввод!$E$17)/100),IF(AND(ISNUMBER(I166),ISNUMBER(J166),I166&gt;0),MAX(0,(I166*J166+SUMPRODUCT((Закрытые!$B$5:$B$300=$B166)*((Закрытые!$F$5:$F$300+Закрытые!$I$5:$I$300-ABS(Закрытые!$F$5:$F$300-Закрытые!$I$5:$I$300))/2)*(Закрытые!$J$5:$J$300-Закрытые!$G$5:$G$300)))/I166)/(1+N(Ввод!$E$17)/100),""))</f>
        <v/>
      </c>
    </row>
    <row r="167" ht="22" customHeight="1">
      <c r="B167" s="313" t="n"/>
      <c r="C167" s="314" t="n"/>
      <c r="D167" s="313" t="n"/>
      <c r="E167" s="315" t="n"/>
      <c r="F167" s="316" t="n"/>
      <c r="G167" s="317" t="n"/>
      <c r="H167" s="271">
        <f>IF(AND(ISNUMBER(F167),ISNUMBER(G167)),F167*G167,"")</f>
        <v/>
      </c>
      <c r="I167" s="316" t="n"/>
      <c r="J167" s="317" t="n"/>
      <c r="K167" s="271">
        <f>IF(AND(ISNUMBER(I167),ISNUMBER(J167)),I167*J167,"")</f>
        <v/>
      </c>
      <c r="L167" s="240">
        <f>IF(COUNT(F167,I167)=0,"",N(F167)-N(I167))</f>
        <v/>
      </c>
      <c r="M167" s="241">
        <f>IF(COUNT(H167,K167)=0,"",N(K167)-N(H167))</f>
        <v/>
      </c>
      <c r="N167" s="240">
        <f>IF(AND(ISNUMBER(F167),ISNUMBER(G167),F167&gt;0,1-N(Ввод!$E$17)/100&gt;0),MAX(0,(F167*G167-SUMPRODUCT((Закрытые!$B$5:$B$300=$B167)*((Закрытые!$F$5:$F$300+Закрытые!$I$5:$I$300-ABS(Закрытые!$F$5:$F$300-Закрытые!$I$5:$I$300))/2)*(Закрытые!$J$5:$J$300-Закрытые!$G$5:$G$300)))/F167)/(1-N(Ввод!$E$17)/100),IF(AND(ISNUMBER(I167),ISNUMBER(J167),I167&gt;0),MAX(0,(I167*J167+SUMPRODUCT((Закрытые!$B$5:$B$300=$B167)*((Закрытые!$F$5:$F$300+Закрытые!$I$5:$I$300-ABS(Закрытые!$F$5:$F$300-Закрытые!$I$5:$I$300))/2)*(Закрытые!$J$5:$J$300-Закрытые!$G$5:$G$300)))/I167)/(1+N(Ввод!$E$17)/100),""))</f>
        <v/>
      </c>
    </row>
    <row r="168" ht="22" customHeight="1">
      <c r="B168" s="318" t="n"/>
      <c r="C168" s="319" t="n"/>
      <c r="D168" s="318" t="n"/>
      <c r="E168" s="320" t="n"/>
      <c r="F168" s="321" t="n"/>
      <c r="G168" s="322" t="n"/>
      <c r="H168" s="271">
        <f>IF(AND(ISNUMBER(F168),ISNUMBER(G168)),F168*G168,"")</f>
        <v/>
      </c>
      <c r="I168" s="321" t="n"/>
      <c r="J168" s="322" t="n"/>
      <c r="K168" s="271">
        <f>IF(AND(ISNUMBER(I168),ISNUMBER(J168)),I168*J168,"")</f>
        <v/>
      </c>
      <c r="L168" s="246">
        <f>IF(COUNT(F168,I168)=0,"",N(F168)-N(I168))</f>
        <v/>
      </c>
      <c r="M168" s="247">
        <f>IF(COUNT(H168,K168)=0,"",N(K168)-N(H168))</f>
        <v/>
      </c>
      <c r="N168" s="246">
        <f>IF(AND(ISNUMBER(F168),ISNUMBER(G168),F168&gt;0,1-N(Ввод!$E$17)/100&gt;0),MAX(0,(F168*G168-SUMPRODUCT((Закрытые!$B$5:$B$300=$B168)*((Закрытые!$F$5:$F$300+Закрытые!$I$5:$I$300-ABS(Закрытые!$F$5:$F$300-Закрытые!$I$5:$I$300))/2)*(Закрытые!$J$5:$J$300-Закрытые!$G$5:$G$300)))/F168)/(1-N(Ввод!$E$17)/100),IF(AND(ISNUMBER(I168),ISNUMBER(J168),I168&gt;0),MAX(0,(I168*J168+SUMPRODUCT((Закрытые!$B$5:$B$300=$B168)*((Закрытые!$F$5:$F$300+Закрытые!$I$5:$I$300-ABS(Закрытые!$F$5:$F$300-Закрытые!$I$5:$I$300))/2)*(Закрытые!$J$5:$J$300-Закрытые!$G$5:$G$300)))/I168)/(1+N(Ввод!$E$17)/100),""))</f>
        <v/>
      </c>
    </row>
    <row r="169" ht="22" customHeight="1">
      <c r="B169" s="313" t="n"/>
      <c r="C169" s="314" t="n"/>
      <c r="D169" s="313" t="n"/>
      <c r="E169" s="315" t="n"/>
      <c r="F169" s="316" t="n"/>
      <c r="G169" s="317" t="n"/>
      <c r="H169" s="271">
        <f>IF(AND(ISNUMBER(F169),ISNUMBER(G169)),F169*G169,"")</f>
        <v/>
      </c>
      <c r="I169" s="316" t="n"/>
      <c r="J169" s="317" t="n"/>
      <c r="K169" s="271">
        <f>IF(AND(ISNUMBER(I169),ISNUMBER(J169)),I169*J169,"")</f>
        <v/>
      </c>
      <c r="L169" s="240">
        <f>IF(COUNT(F169,I169)=0,"",N(F169)-N(I169))</f>
        <v/>
      </c>
      <c r="M169" s="241">
        <f>IF(COUNT(H169,K169)=0,"",N(K169)-N(H169))</f>
        <v/>
      </c>
      <c r="N169" s="240">
        <f>IF(AND(ISNUMBER(F169),ISNUMBER(G169),F169&gt;0,1-N(Ввод!$E$17)/100&gt;0),MAX(0,(F169*G169-SUMPRODUCT((Закрытые!$B$5:$B$300=$B169)*((Закрытые!$F$5:$F$300+Закрытые!$I$5:$I$300-ABS(Закрытые!$F$5:$F$300-Закрытые!$I$5:$I$300))/2)*(Закрытые!$J$5:$J$300-Закрытые!$G$5:$G$300)))/F169)/(1-N(Ввод!$E$17)/100),IF(AND(ISNUMBER(I169),ISNUMBER(J169),I169&gt;0),MAX(0,(I169*J169+SUMPRODUCT((Закрытые!$B$5:$B$300=$B169)*((Закрытые!$F$5:$F$300+Закрытые!$I$5:$I$300-ABS(Закрытые!$F$5:$F$300-Закрытые!$I$5:$I$300))/2)*(Закрытые!$J$5:$J$300-Закрытые!$G$5:$G$300)))/I169)/(1+N(Ввод!$E$17)/100),""))</f>
        <v/>
      </c>
    </row>
    <row r="170" ht="22" customHeight="1">
      <c r="B170" s="318" t="n"/>
      <c r="C170" s="319" t="n"/>
      <c r="D170" s="318" t="n"/>
      <c r="E170" s="320" t="n"/>
      <c r="F170" s="321" t="n"/>
      <c r="G170" s="322" t="n"/>
      <c r="H170" s="271">
        <f>IF(AND(ISNUMBER(F170),ISNUMBER(G170)),F170*G170,"")</f>
        <v/>
      </c>
      <c r="I170" s="321" t="n"/>
      <c r="J170" s="322" t="n"/>
      <c r="K170" s="271">
        <f>IF(AND(ISNUMBER(I170),ISNUMBER(J170)),I170*J170,"")</f>
        <v/>
      </c>
      <c r="L170" s="246">
        <f>IF(COUNT(F170,I170)=0,"",N(F170)-N(I170))</f>
        <v/>
      </c>
      <c r="M170" s="247">
        <f>IF(COUNT(H170,K170)=0,"",N(K170)-N(H170))</f>
        <v/>
      </c>
      <c r="N170" s="246">
        <f>IF(AND(ISNUMBER(F170),ISNUMBER(G170),F170&gt;0,1-N(Ввод!$E$17)/100&gt;0),MAX(0,(F170*G170-SUMPRODUCT((Закрытые!$B$5:$B$300=$B170)*((Закрытые!$F$5:$F$300+Закрытые!$I$5:$I$300-ABS(Закрытые!$F$5:$F$300-Закрытые!$I$5:$I$300))/2)*(Закрытые!$J$5:$J$300-Закрытые!$G$5:$G$300)))/F170)/(1-N(Ввод!$E$17)/100),IF(AND(ISNUMBER(I170),ISNUMBER(J170),I170&gt;0),MAX(0,(I170*J170+SUMPRODUCT((Закрытые!$B$5:$B$300=$B170)*((Закрытые!$F$5:$F$300+Закрытые!$I$5:$I$300-ABS(Закрытые!$F$5:$F$300-Закрытые!$I$5:$I$300))/2)*(Закрытые!$J$5:$J$300-Закрытые!$G$5:$G$300)))/I170)/(1+N(Ввод!$E$17)/100),""))</f>
        <v/>
      </c>
    </row>
    <row r="171" ht="22" customHeight="1">
      <c r="B171" s="313" t="n"/>
      <c r="C171" s="314" t="n"/>
      <c r="D171" s="313" t="n"/>
      <c r="E171" s="315" t="n"/>
      <c r="F171" s="316" t="n"/>
      <c r="G171" s="317" t="n"/>
      <c r="H171" s="271">
        <f>IF(AND(ISNUMBER(F171),ISNUMBER(G171)),F171*G171,"")</f>
        <v/>
      </c>
      <c r="I171" s="316" t="n"/>
      <c r="J171" s="317" t="n"/>
      <c r="K171" s="271">
        <f>IF(AND(ISNUMBER(I171),ISNUMBER(J171)),I171*J171,"")</f>
        <v/>
      </c>
      <c r="L171" s="240">
        <f>IF(COUNT(F171,I171)=0,"",N(F171)-N(I171))</f>
        <v/>
      </c>
      <c r="M171" s="241">
        <f>IF(COUNT(H171,K171)=0,"",N(K171)-N(H171))</f>
        <v/>
      </c>
      <c r="N171" s="240">
        <f>IF(AND(ISNUMBER(F171),ISNUMBER(G171),F171&gt;0,1-N(Ввод!$E$17)/100&gt;0),MAX(0,(F171*G171-SUMPRODUCT((Закрытые!$B$5:$B$300=$B171)*((Закрытые!$F$5:$F$300+Закрытые!$I$5:$I$300-ABS(Закрытые!$F$5:$F$300-Закрытые!$I$5:$I$300))/2)*(Закрытые!$J$5:$J$300-Закрытые!$G$5:$G$300)))/F171)/(1-N(Ввод!$E$17)/100),IF(AND(ISNUMBER(I171),ISNUMBER(J171),I171&gt;0),MAX(0,(I171*J171+SUMPRODUCT((Закрытые!$B$5:$B$300=$B171)*((Закрытые!$F$5:$F$300+Закрытые!$I$5:$I$300-ABS(Закрытые!$F$5:$F$300-Закрытые!$I$5:$I$300))/2)*(Закрытые!$J$5:$J$300-Закрытые!$G$5:$G$300)))/I171)/(1+N(Ввод!$E$17)/100),""))</f>
        <v/>
      </c>
    </row>
    <row r="172" ht="22" customHeight="1">
      <c r="B172" s="318" t="n"/>
      <c r="C172" s="319" t="n"/>
      <c r="D172" s="318" t="n"/>
      <c r="E172" s="320" t="n"/>
      <c r="F172" s="321" t="n"/>
      <c r="G172" s="322" t="n"/>
      <c r="H172" s="271">
        <f>IF(AND(ISNUMBER(F172),ISNUMBER(G172)),F172*G172,"")</f>
        <v/>
      </c>
      <c r="I172" s="321" t="n"/>
      <c r="J172" s="322" t="n"/>
      <c r="K172" s="271">
        <f>IF(AND(ISNUMBER(I172),ISNUMBER(J172)),I172*J172,"")</f>
        <v/>
      </c>
      <c r="L172" s="246">
        <f>IF(COUNT(F172,I172)=0,"",N(F172)-N(I172))</f>
        <v/>
      </c>
      <c r="M172" s="247">
        <f>IF(COUNT(H172,K172)=0,"",N(K172)-N(H172))</f>
        <v/>
      </c>
      <c r="N172" s="246">
        <f>IF(AND(ISNUMBER(F172),ISNUMBER(G172),F172&gt;0,1-N(Ввод!$E$17)/100&gt;0),MAX(0,(F172*G172-SUMPRODUCT((Закрытые!$B$5:$B$300=$B172)*((Закрытые!$F$5:$F$300+Закрытые!$I$5:$I$300-ABS(Закрытые!$F$5:$F$300-Закрытые!$I$5:$I$300))/2)*(Закрытые!$J$5:$J$300-Закрытые!$G$5:$G$300)))/F172)/(1-N(Ввод!$E$17)/100),IF(AND(ISNUMBER(I172),ISNUMBER(J172),I172&gt;0),MAX(0,(I172*J172+SUMPRODUCT((Закрытые!$B$5:$B$300=$B172)*((Закрытые!$F$5:$F$300+Закрытые!$I$5:$I$300-ABS(Закрытые!$F$5:$F$300-Закрытые!$I$5:$I$300))/2)*(Закрытые!$J$5:$J$300-Закрытые!$G$5:$G$300)))/I172)/(1+N(Ввод!$E$17)/100),""))</f>
        <v/>
      </c>
    </row>
    <row r="173" ht="22" customHeight="1">
      <c r="B173" s="313" t="n"/>
      <c r="C173" s="314" t="n"/>
      <c r="D173" s="313" t="n"/>
      <c r="E173" s="315" t="n"/>
      <c r="F173" s="316" t="n"/>
      <c r="G173" s="317" t="n"/>
      <c r="H173" s="271">
        <f>IF(AND(ISNUMBER(F173),ISNUMBER(G173)),F173*G173,"")</f>
        <v/>
      </c>
      <c r="I173" s="316" t="n"/>
      <c r="J173" s="317" t="n"/>
      <c r="K173" s="271">
        <f>IF(AND(ISNUMBER(I173),ISNUMBER(J173)),I173*J173,"")</f>
        <v/>
      </c>
      <c r="L173" s="240">
        <f>IF(COUNT(F173,I173)=0,"",N(F173)-N(I173))</f>
        <v/>
      </c>
      <c r="M173" s="241">
        <f>IF(COUNT(H173,K173)=0,"",N(K173)-N(H173))</f>
        <v/>
      </c>
      <c r="N173" s="240">
        <f>IF(AND(ISNUMBER(F173),ISNUMBER(G173),F173&gt;0,1-N(Ввод!$E$17)/100&gt;0),MAX(0,(F173*G173-SUMPRODUCT((Закрытые!$B$5:$B$300=$B173)*((Закрытые!$F$5:$F$300+Закрытые!$I$5:$I$300-ABS(Закрытые!$F$5:$F$300-Закрытые!$I$5:$I$300))/2)*(Закрытые!$J$5:$J$300-Закрытые!$G$5:$G$300)))/F173)/(1-N(Ввод!$E$17)/100),IF(AND(ISNUMBER(I173),ISNUMBER(J173),I173&gt;0),MAX(0,(I173*J173+SUMPRODUCT((Закрытые!$B$5:$B$300=$B173)*((Закрытые!$F$5:$F$300+Закрытые!$I$5:$I$300-ABS(Закрытые!$F$5:$F$300-Закрытые!$I$5:$I$300))/2)*(Закрытые!$J$5:$J$300-Закрытые!$G$5:$G$300)))/I173)/(1+N(Ввод!$E$17)/100),""))</f>
        <v/>
      </c>
    </row>
    <row r="174" ht="22" customHeight="1">
      <c r="B174" s="318" t="n"/>
      <c r="C174" s="319" t="n"/>
      <c r="D174" s="318" t="n"/>
      <c r="E174" s="320" t="n"/>
      <c r="F174" s="321" t="n"/>
      <c r="G174" s="322" t="n"/>
      <c r="H174" s="271">
        <f>IF(AND(ISNUMBER(F174),ISNUMBER(G174)),F174*G174,"")</f>
        <v/>
      </c>
      <c r="I174" s="321" t="n"/>
      <c r="J174" s="322" t="n"/>
      <c r="K174" s="271">
        <f>IF(AND(ISNUMBER(I174),ISNUMBER(J174)),I174*J174,"")</f>
        <v/>
      </c>
      <c r="L174" s="246">
        <f>IF(COUNT(F174,I174)=0,"",N(F174)-N(I174))</f>
        <v/>
      </c>
      <c r="M174" s="247">
        <f>IF(COUNT(H174,K174)=0,"",N(K174)-N(H174))</f>
        <v/>
      </c>
      <c r="N174" s="246">
        <f>IF(AND(ISNUMBER(F174),ISNUMBER(G174),F174&gt;0,1-N(Ввод!$E$17)/100&gt;0),MAX(0,(F174*G174-SUMPRODUCT((Закрытые!$B$5:$B$300=$B174)*((Закрытые!$F$5:$F$300+Закрытые!$I$5:$I$300-ABS(Закрытые!$F$5:$F$300-Закрытые!$I$5:$I$300))/2)*(Закрытые!$J$5:$J$300-Закрытые!$G$5:$G$300)))/F174)/(1-N(Ввод!$E$17)/100),IF(AND(ISNUMBER(I174),ISNUMBER(J174),I174&gt;0),MAX(0,(I174*J174+SUMPRODUCT((Закрытые!$B$5:$B$300=$B174)*((Закрытые!$F$5:$F$300+Закрытые!$I$5:$I$300-ABS(Закрытые!$F$5:$F$300-Закрытые!$I$5:$I$300))/2)*(Закрытые!$J$5:$J$300-Закрытые!$G$5:$G$300)))/I174)/(1+N(Ввод!$E$17)/100),""))</f>
        <v/>
      </c>
    </row>
    <row r="175" ht="22" customHeight="1">
      <c r="B175" s="313" t="n"/>
      <c r="C175" s="314" t="n"/>
      <c r="D175" s="313" t="n"/>
      <c r="E175" s="315" t="n"/>
      <c r="F175" s="316" t="n"/>
      <c r="G175" s="317" t="n"/>
      <c r="H175" s="271">
        <f>IF(AND(ISNUMBER(F175),ISNUMBER(G175)),F175*G175,"")</f>
        <v/>
      </c>
      <c r="I175" s="316" t="n"/>
      <c r="J175" s="317" t="n"/>
      <c r="K175" s="271">
        <f>IF(AND(ISNUMBER(I175),ISNUMBER(J175)),I175*J175,"")</f>
        <v/>
      </c>
      <c r="L175" s="240">
        <f>IF(COUNT(F175,I175)=0,"",N(F175)-N(I175))</f>
        <v/>
      </c>
      <c r="M175" s="241">
        <f>IF(COUNT(H175,K175)=0,"",N(K175)-N(H175))</f>
        <v/>
      </c>
      <c r="N175" s="240">
        <f>IF(AND(ISNUMBER(F175),ISNUMBER(G175),F175&gt;0,1-N(Ввод!$E$17)/100&gt;0),MAX(0,(F175*G175-SUMPRODUCT((Закрытые!$B$5:$B$300=$B175)*((Закрытые!$F$5:$F$300+Закрытые!$I$5:$I$300-ABS(Закрытые!$F$5:$F$300-Закрытые!$I$5:$I$300))/2)*(Закрытые!$J$5:$J$300-Закрытые!$G$5:$G$300)))/F175)/(1-N(Ввод!$E$17)/100),IF(AND(ISNUMBER(I175),ISNUMBER(J175),I175&gt;0),MAX(0,(I175*J175+SUMPRODUCT((Закрытые!$B$5:$B$300=$B175)*((Закрытые!$F$5:$F$300+Закрытые!$I$5:$I$300-ABS(Закрытые!$F$5:$F$300-Закрытые!$I$5:$I$300))/2)*(Закрытые!$J$5:$J$300-Закрытые!$G$5:$G$300)))/I175)/(1+N(Ввод!$E$17)/100),""))</f>
        <v/>
      </c>
    </row>
    <row r="176" ht="22" customHeight="1">
      <c r="B176" s="318" t="n"/>
      <c r="C176" s="319" t="n"/>
      <c r="D176" s="318" t="n"/>
      <c r="E176" s="320" t="n"/>
      <c r="F176" s="321" t="n"/>
      <c r="G176" s="322" t="n"/>
      <c r="H176" s="271">
        <f>IF(AND(ISNUMBER(F176),ISNUMBER(G176)),F176*G176,"")</f>
        <v/>
      </c>
      <c r="I176" s="321" t="n"/>
      <c r="J176" s="322" t="n"/>
      <c r="K176" s="271">
        <f>IF(AND(ISNUMBER(I176),ISNUMBER(J176)),I176*J176,"")</f>
        <v/>
      </c>
      <c r="L176" s="246">
        <f>IF(COUNT(F176,I176)=0,"",N(F176)-N(I176))</f>
        <v/>
      </c>
      <c r="M176" s="247">
        <f>IF(COUNT(H176,K176)=0,"",N(K176)-N(H176))</f>
        <v/>
      </c>
      <c r="N176" s="246">
        <f>IF(AND(ISNUMBER(F176),ISNUMBER(G176),F176&gt;0,1-N(Ввод!$E$17)/100&gt;0),MAX(0,(F176*G176-SUMPRODUCT((Закрытые!$B$5:$B$300=$B176)*((Закрытые!$F$5:$F$300+Закрытые!$I$5:$I$300-ABS(Закрытые!$F$5:$F$300-Закрытые!$I$5:$I$300))/2)*(Закрытые!$J$5:$J$300-Закрытые!$G$5:$G$300)))/F176)/(1-N(Ввод!$E$17)/100),IF(AND(ISNUMBER(I176),ISNUMBER(J176),I176&gt;0),MAX(0,(I176*J176+SUMPRODUCT((Закрытые!$B$5:$B$300=$B176)*((Закрытые!$F$5:$F$300+Закрытые!$I$5:$I$300-ABS(Закрытые!$F$5:$F$300-Закрытые!$I$5:$I$300))/2)*(Закрытые!$J$5:$J$300-Закрытые!$G$5:$G$300)))/I176)/(1+N(Ввод!$E$17)/100),""))</f>
        <v/>
      </c>
    </row>
    <row r="177" ht="22" customHeight="1">
      <c r="B177" s="313" t="n"/>
      <c r="C177" s="314" t="n"/>
      <c r="D177" s="313" t="n"/>
      <c r="E177" s="315" t="n"/>
      <c r="F177" s="316" t="n"/>
      <c r="G177" s="317" t="n"/>
      <c r="H177" s="271">
        <f>IF(AND(ISNUMBER(F177),ISNUMBER(G177)),F177*G177,"")</f>
        <v/>
      </c>
      <c r="I177" s="316" t="n"/>
      <c r="J177" s="317" t="n"/>
      <c r="K177" s="271">
        <f>IF(AND(ISNUMBER(I177),ISNUMBER(J177)),I177*J177,"")</f>
        <v/>
      </c>
      <c r="L177" s="240">
        <f>IF(COUNT(F177,I177)=0,"",N(F177)-N(I177))</f>
        <v/>
      </c>
      <c r="M177" s="241">
        <f>IF(COUNT(H177,K177)=0,"",N(K177)-N(H177))</f>
        <v/>
      </c>
      <c r="N177" s="240">
        <f>IF(AND(ISNUMBER(F177),ISNUMBER(G177),F177&gt;0,1-N(Ввод!$E$17)/100&gt;0),MAX(0,(F177*G177-SUMPRODUCT((Закрытые!$B$5:$B$300=$B177)*((Закрытые!$F$5:$F$300+Закрытые!$I$5:$I$300-ABS(Закрытые!$F$5:$F$300-Закрытые!$I$5:$I$300))/2)*(Закрытые!$J$5:$J$300-Закрытые!$G$5:$G$300)))/F177)/(1-N(Ввод!$E$17)/100),IF(AND(ISNUMBER(I177),ISNUMBER(J177),I177&gt;0),MAX(0,(I177*J177+SUMPRODUCT((Закрытые!$B$5:$B$300=$B177)*((Закрытые!$F$5:$F$300+Закрытые!$I$5:$I$300-ABS(Закрытые!$F$5:$F$300-Закрытые!$I$5:$I$300))/2)*(Закрытые!$J$5:$J$300-Закрытые!$G$5:$G$300)))/I177)/(1+N(Ввод!$E$17)/100),""))</f>
        <v/>
      </c>
    </row>
    <row r="178" ht="22" customHeight="1">
      <c r="B178" s="318" t="n"/>
      <c r="C178" s="319" t="n"/>
      <c r="D178" s="318" t="n"/>
      <c r="E178" s="320" t="n"/>
      <c r="F178" s="321" t="n"/>
      <c r="G178" s="322" t="n"/>
      <c r="H178" s="271">
        <f>IF(AND(ISNUMBER(F178),ISNUMBER(G178)),F178*G178,"")</f>
        <v/>
      </c>
      <c r="I178" s="321" t="n"/>
      <c r="J178" s="322" t="n"/>
      <c r="K178" s="271">
        <f>IF(AND(ISNUMBER(I178),ISNUMBER(J178)),I178*J178,"")</f>
        <v/>
      </c>
      <c r="L178" s="246">
        <f>IF(COUNT(F178,I178)=0,"",N(F178)-N(I178))</f>
        <v/>
      </c>
      <c r="M178" s="247">
        <f>IF(COUNT(H178,K178)=0,"",N(K178)-N(H178))</f>
        <v/>
      </c>
      <c r="N178" s="246">
        <f>IF(AND(ISNUMBER(F178),ISNUMBER(G178),F178&gt;0,1-N(Ввод!$E$17)/100&gt;0),MAX(0,(F178*G178-SUMPRODUCT((Закрытые!$B$5:$B$300=$B178)*((Закрытые!$F$5:$F$300+Закрытые!$I$5:$I$300-ABS(Закрытые!$F$5:$F$300-Закрытые!$I$5:$I$300))/2)*(Закрытые!$J$5:$J$300-Закрытые!$G$5:$G$300)))/F178)/(1-N(Ввод!$E$17)/100),IF(AND(ISNUMBER(I178),ISNUMBER(J178),I178&gt;0),MAX(0,(I178*J178+SUMPRODUCT((Закрытые!$B$5:$B$300=$B178)*((Закрытые!$F$5:$F$300+Закрытые!$I$5:$I$300-ABS(Закрытые!$F$5:$F$300-Закрытые!$I$5:$I$300))/2)*(Закрытые!$J$5:$J$300-Закрытые!$G$5:$G$300)))/I178)/(1+N(Ввод!$E$17)/100),""))</f>
        <v/>
      </c>
    </row>
    <row r="179" ht="22" customHeight="1">
      <c r="B179" s="313" t="n"/>
      <c r="C179" s="314" t="n"/>
      <c r="D179" s="313" t="n"/>
      <c r="E179" s="315" t="n"/>
      <c r="F179" s="316" t="n"/>
      <c r="G179" s="317" t="n"/>
      <c r="H179" s="271">
        <f>IF(AND(ISNUMBER(F179),ISNUMBER(G179)),F179*G179,"")</f>
        <v/>
      </c>
      <c r="I179" s="316" t="n"/>
      <c r="J179" s="317" t="n"/>
      <c r="K179" s="271">
        <f>IF(AND(ISNUMBER(I179),ISNUMBER(J179)),I179*J179,"")</f>
        <v/>
      </c>
      <c r="L179" s="240">
        <f>IF(COUNT(F179,I179)=0,"",N(F179)-N(I179))</f>
        <v/>
      </c>
      <c r="M179" s="241">
        <f>IF(COUNT(H179,K179)=0,"",N(K179)-N(H179))</f>
        <v/>
      </c>
      <c r="N179" s="240">
        <f>IF(AND(ISNUMBER(F179),ISNUMBER(G179),F179&gt;0,1-N(Ввод!$E$17)/100&gt;0),MAX(0,(F179*G179-SUMPRODUCT((Закрытые!$B$5:$B$300=$B179)*((Закрытые!$F$5:$F$300+Закрытые!$I$5:$I$300-ABS(Закрытые!$F$5:$F$300-Закрытые!$I$5:$I$300))/2)*(Закрытые!$J$5:$J$300-Закрытые!$G$5:$G$300)))/F179)/(1-N(Ввод!$E$17)/100),IF(AND(ISNUMBER(I179),ISNUMBER(J179),I179&gt;0),MAX(0,(I179*J179+SUMPRODUCT((Закрытые!$B$5:$B$300=$B179)*((Закрытые!$F$5:$F$300+Закрытые!$I$5:$I$300-ABS(Закрытые!$F$5:$F$300-Закрытые!$I$5:$I$300))/2)*(Закрытые!$J$5:$J$300-Закрытые!$G$5:$G$300)))/I179)/(1+N(Ввод!$E$17)/100),""))</f>
        <v/>
      </c>
    </row>
    <row r="180" ht="22" customHeight="1">
      <c r="B180" s="318" t="n"/>
      <c r="C180" s="319" t="n"/>
      <c r="D180" s="318" t="n"/>
      <c r="E180" s="320" t="n"/>
      <c r="F180" s="321" t="n"/>
      <c r="G180" s="322" t="n"/>
      <c r="H180" s="271">
        <f>IF(AND(ISNUMBER(F180),ISNUMBER(G180)),F180*G180,"")</f>
        <v/>
      </c>
      <c r="I180" s="321" t="n"/>
      <c r="J180" s="322" t="n"/>
      <c r="K180" s="271">
        <f>IF(AND(ISNUMBER(I180),ISNUMBER(J180)),I180*J180,"")</f>
        <v/>
      </c>
      <c r="L180" s="246">
        <f>IF(COUNT(F180,I180)=0,"",N(F180)-N(I180))</f>
        <v/>
      </c>
      <c r="M180" s="247">
        <f>IF(COUNT(H180,K180)=0,"",N(K180)-N(H180))</f>
        <v/>
      </c>
      <c r="N180" s="246">
        <f>IF(AND(ISNUMBER(F180),ISNUMBER(G180),F180&gt;0,1-N(Ввод!$E$17)/100&gt;0),MAX(0,(F180*G180-SUMPRODUCT((Закрытые!$B$5:$B$300=$B180)*((Закрытые!$F$5:$F$300+Закрытые!$I$5:$I$300-ABS(Закрытые!$F$5:$F$300-Закрытые!$I$5:$I$300))/2)*(Закрытые!$J$5:$J$300-Закрытые!$G$5:$G$300)))/F180)/(1-N(Ввод!$E$17)/100),IF(AND(ISNUMBER(I180),ISNUMBER(J180),I180&gt;0),MAX(0,(I180*J180+SUMPRODUCT((Закрытые!$B$5:$B$300=$B180)*((Закрытые!$F$5:$F$300+Закрытые!$I$5:$I$300-ABS(Закрытые!$F$5:$F$300-Закрытые!$I$5:$I$300))/2)*(Закрытые!$J$5:$J$300-Закрытые!$G$5:$G$300)))/I180)/(1+N(Ввод!$E$17)/100),""))</f>
        <v/>
      </c>
    </row>
    <row r="181" ht="22" customHeight="1">
      <c r="B181" s="313" t="n"/>
      <c r="C181" s="314" t="n"/>
      <c r="D181" s="313" t="n"/>
      <c r="E181" s="315" t="n"/>
      <c r="F181" s="316" t="n"/>
      <c r="G181" s="317" t="n"/>
      <c r="H181" s="271">
        <f>IF(AND(ISNUMBER(F181),ISNUMBER(G181)),F181*G181,"")</f>
        <v/>
      </c>
      <c r="I181" s="316" t="n"/>
      <c r="J181" s="317" t="n"/>
      <c r="K181" s="271">
        <f>IF(AND(ISNUMBER(I181),ISNUMBER(J181)),I181*J181,"")</f>
        <v/>
      </c>
      <c r="L181" s="240">
        <f>IF(COUNT(F181,I181)=0,"",N(F181)-N(I181))</f>
        <v/>
      </c>
      <c r="M181" s="241">
        <f>IF(COUNT(H181,K181)=0,"",N(K181)-N(H181))</f>
        <v/>
      </c>
      <c r="N181" s="240">
        <f>IF(AND(ISNUMBER(F181),ISNUMBER(G181),F181&gt;0,1-N(Ввод!$E$17)/100&gt;0),MAX(0,(F181*G181-SUMPRODUCT((Закрытые!$B$5:$B$300=$B181)*((Закрытые!$F$5:$F$300+Закрытые!$I$5:$I$300-ABS(Закрытые!$F$5:$F$300-Закрытые!$I$5:$I$300))/2)*(Закрытые!$J$5:$J$300-Закрытые!$G$5:$G$300)))/F181)/(1-N(Ввод!$E$17)/100),IF(AND(ISNUMBER(I181),ISNUMBER(J181),I181&gt;0),MAX(0,(I181*J181+SUMPRODUCT((Закрытые!$B$5:$B$300=$B181)*((Закрытые!$F$5:$F$300+Закрытые!$I$5:$I$300-ABS(Закрытые!$F$5:$F$300-Закрытые!$I$5:$I$300))/2)*(Закрытые!$J$5:$J$300-Закрытые!$G$5:$G$300)))/I181)/(1+N(Ввод!$E$17)/100),""))</f>
        <v/>
      </c>
    </row>
    <row r="182" ht="22" customHeight="1">
      <c r="B182" s="318" t="n"/>
      <c r="C182" s="319" t="n"/>
      <c r="D182" s="318" t="n"/>
      <c r="E182" s="320" t="n"/>
      <c r="F182" s="321" t="n"/>
      <c r="G182" s="322" t="n"/>
      <c r="H182" s="271">
        <f>IF(AND(ISNUMBER(F182),ISNUMBER(G182)),F182*G182,"")</f>
        <v/>
      </c>
      <c r="I182" s="321" t="n"/>
      <c r="J182" s="322" t="n"/>
      <c r="K182" s="271">
        <f>IF(AND(ISNUMBER(I182),ISNUMBER(J182)),I182*J182,"")</f>
        <v/>
      </c>
      <c r="L182" s="246">
        <f>IF(COUNT(F182,I182)=0,"",N(F182)-N(I182))</f>
        <v/>
      </c>
      <c r="M182" s="247">
        <f>IF(COUNT(H182,K182)=0,"",N(K182)-N(H182))</f>
        <v/>
      </c>
      <c r="N182" s="246">
        <f>IF(AND(ISNUMBER(F182),ISNUMBER(G182),F182&gt;0,1-N(Ввод!$E$17)/100&gt;0),MAX(0,(F182*G182-SUMPRODUCT((Закрытые!$B$5:$B$300=$B182)*((Закрытые!$F$5:$F$300+Закрытые!$I$5:$I$300-ABS(Закрытые!$F$5:$F$300-Закрытые!$I$5:$I$300))/2)*(Закрытые!$J$5:$J$300-Закрытые!$G$5:$G$300)))/F182)/(1-N(Ввод!$E$17)/100),IF(AND(ISNUMBER(I182),ISNUMBER(J182),I182&gt;0),MAX(0,(I182*J182+SUMPRODUCT((Закрытые!$B$5:$B$300=$B182)*((Закрытые!$F$5:$F$300+Закрытые!$I$5:$I$300-ABS(Закрытые!$F$5:$F$300-Закрытые!$I$5:$I$300))/2)*(Закрытые!$J$5:$J$300-Закрытые!$G$5:$G$300)))/I182)/(1+N(Ввод!$E$17)/100),""))</f>
        <v/>
      </c>
    </row>
    <row r="183" ht="22" customHeight="1">
      <c r="B183" s="313" t="n"/>
      <c r="C183" s="314" t="n"/>
      <c r="D183" s="313" t="n"/>
      <c r="E183" s="315" t="n"/>
      <c r="F183" s="316" t="n"/>
      <c r="G183" s="317" t="n"/>
      <c r="H183" s="271">
        <f>IF(AND(ISNUMBER(F183),ISNUMBER(G183)),F183*G183,"")</f>
        <v/>
      </c>
      <c r="I183" s="316" t="n"/>
      <c r="J183" s="317" t="n"/>
      <c r="K183" s="271">
        <f>IF(AND(ISNUMBER(I183),ISNUMBER(J183)),I183*J183,"")</f>
        <v/>
      </c>
      <c r="L183" s="240">
        <f>IF(COUNT(F183,I183)=0,"",N(F183)-N(I183))</f>
        <v/>
      </c>
      <c r="M183" s="241">
        <f>IF(COUNT(H183,K183)=0,"",N(K183)-N(H183))</f>
        <v/>
      </c>
      <c r="N183" s="240">
        <f>IF(AND(ISNUMBER(F183),ISNUMBER(G183),F183&gt;0,1-N(Ввод!$E$17)/100&gt;0),MAX(0,(F183*G183-SUMPRODUCT((Закрытые!$B$5:$B$300=$B183)*((Закрытые!$F$5:$F$300+Закрытые!$I$5:$I$300-ABS(Закрытые!$F$5:$F$300-Закрытые!$I$5:$I$300))/2)*(Закрытые!$J$5:$J$300-Закрытые!$G$5:$G$300)))/F183)/(1-N(Ввод!$E$17)/100),IF(AND(ISNUMBER(I183),ISNUMBER(J183),I183&gt;0),MAX(0,(I183*J183+SUMPRODUCT((Закрытые!$B$5:$B$300=$B183)*((Закрытые!$F$5:$F$300+Закрытые!$I$5:$I$300-ABS(Закрытые!$F$5:$F$300-Закрытые!$I$5:$I$300))/2)*(Закрытые!$J$5:$J$300-Закрытые!$G$5:$G$300)))/I183)/(1+N(Ввод!$E$17)/100),""))</f>
        <v/>
      </c>
    </row>
    <row r="184" ht="22" customHeight="1">
      <c r="B184" s="318" t="n"/>
      <c r="C184" s="319" t="n"/>
      <c r="D184" s="318" t="n"/>
      <c r="E184" s="320" t="n"/>
      <c r="F184" s="321" t="n"/>
      <c r="G184" s="322" t="n"/>
      <c r="H184" s="271">
        <f>IF(AND(ISNUMBER(F184),ISNUMBER(G184)),F184*G184,"")</f>
        <v/>
      </c>
      <c r="I184" s="321" t="n"/>
      <c r="J184" s="322" t="n"/>
      <c r="K184" s="271">
        <f>IF(AND(ISNUMBER(I184),ISNUMBER(J184)),I184*J184,"")</f>
        <v/>
      </c>
      <c r="L184" s="246">
        <f>IF(COUNT(F184,I184)=0,"",N(F184)-N(I184))</f>
        <v/>
      </c>
      <c r="M184" s="247">
        <f>IF(COUNT(H184,K184)=0,"",N(K184)-N(H184))</f>
        <v/>
      </c>
      <c r="N184" s="246">
        <f>IF(AND(ISNUMBER(F184),ISNUMBER(G184),F184&gt;0,1-N(Ввод!$E$17)/100&gt;0),MAX(0,(F184*G184-SUMPRODUCT((Закрытые!$B$5:$B$300=$B184)*((Закрытые!$F$5:$F$300+Закрытые!$I$5:$I$300-ABS(Закрытые!$F$5:$F$300-Закрытые!$I$5:$I$300))/2)*(Закрытые!$J$5:$J$300-Закрытые!$G$5:$G$300)))/F184)/(1-N(Ввод!$E$17)/100),IF(AND(ISNUMBER(I184),ISNUMBER(J184),I184&gt;0),MAX(0,(I184*J184+SUMPRODUCT((Закрытые!$B$5:$B$300=$B184)*((Закрытые!$F$5:$F$300+Закрытые!$I$5:$I$300-ABS(Закрытые!$F$5:$F$300-Закрытые!$I$5:$I$300))/2)*(Закрытые!$J$5:$J$300-Закрытые!$G$5:$G$300)))/I184)/(1+N(Ввод!$E$17)/100),""))</f>
        <v/>
      </c>
    </row>
    <row r="185" ht="22" customHeight="1">
      <c r="B185" s="313" t="n"/>
      <c r="C185" s="314" t="n"/>
      <c r="D185" s="313" t="n"/>
      <c r="E185" s="315" t="n"/>
      <c r="F185" s="316" t="n"/>
      <c r="G185" s="317" t="n"/>
      <c r="H185" s="271">
        <f>IF(AND(ISNUMBER(F185),ISNUMBER(G185)),F185*G185,"")</f>
        <v/>
      </c>
      <c r="I185" s="316" t="n"/>
      <c r="J185" s="317" t="n"/>
      <c r="K185" s="271">
        <f>IF(AND(ISNUMBER(I185),ISNUMBER(J185)),I185*J185,"")</f>
        <v/>
      </c>
      <c r="L185" s="240">
        <f>IF(COUNT(F185,I185)=0,"",N(F185)-N(I185))</f>
        <v/>
      </c>
      <c r="M185" s="241">
        <f>IF(COUNT(H185,K185)=0,"",N(K185)-N(H185))</f>
        <v/>
      </c>
      <c r="N185" s="240">
        <f>IF(AND(ISNUMBER(F185),ISNUMBER(G185),F185&gt;0,1-N(Ввод!$E$17)/100&gt;0),MAX(0,(F185*G185-SUMPRODUCT((Закрытые!$B$5:$B$300=$B185)*((Закрытые!$F$5:$F$300+Закрытые!$I$5:$I$300-ABS(Закрытые!$F$5:$F$300-Закрытые!$I$5:$I$300))/2)*(Закрытые!$J$5:$J$300-Закрытые!$G$5:$G$300)))/F185)/(1-N(Ввод!$E$17)/100),IF(AND(ISNUMBER(I185),ISNUMBER(J185),I185&gt;0),MAX(0,(I185*J185+SUMPRODUCT((Закрытые!$B$5:$B$300=$B185)*((Закрытые!$F$5:$F$300+Закрытые!$I$5:$I$300-ABS(Закрытые!$F$5:$F$300-Закрытые!$I$5:$I$300))/2)*(Закрытые!$J$5:$J$300-Закрытые!$G$5:$G$300)))/I185)/(1+N(Ввод!$E$17)/100),""))</f>
        <v/>
      </c>
    </row>
    <row r="186" ht="22" customHeight="1">
      <c r="B186" s="318" t="n"/>
      <c r="C186" s="319" t="n"/>
      <c r="D186" s="318" t="n"/>
      <c r="E186" s="320" t="n"/>
      <c r="F186" s="321" t="n"/>
      <c r="G186" s="322" t="n"/>
      <c r="H186" s="271">
        <f>IF(AND(ISNUMBER(F186),ISNUMBER(G186)),F186*G186,"")</f>
        <v/>
      </c>
      <c r="I186" s="321" t="n"/>
      <c r="J186" s="322" t="n"/>
      <c r="K186" s="271">
        <f>IF(AND(ISNUMBER(I186),ISNUMBER(J186)),I186*J186,"")</f>
        <v/>
      </c>
      <c r="L186" s="246">
        <f>IF(COUNT(F186,I186)=0,"",N(F186)-N(I186))</f>
        <v/>
      </c>
      <c r="M186" s="247">
        <f>IF(COUNT(H186,K186)=0,"",N(K186)-N(H186))</f>
        <v/>
      </c>
      <c r="N186" s="246">
        <f>IF(AND(ISNUMBER(F186),ISNUMBER(G186),F186&gt;0,1-N(Ввод!$E$17)/100&gt;0),MAX(0,(F186*G186-SUMPRODUCT((Закрытые!$B$5:$B$300=$B186)*((Закрытые!$F$5:$F$300+Закрытые!$I$5:$I$300-ABS(Закрытые!$F$5:$F$300-Закрытые!$I$5:$I$300))/2)*(Закрытые!$J$5:$J$300-Закрытые!$G$5:$G$300)))/F186)/(1-N(Ввод!$E$17)/100),IF(AND(ISNUMBER(I186),ISNUMBER(J186),I186&gt;0),MAX(0,(I186*J186+SUMPRODUCT((Закрытые!$B$5:$B$300=$B186)*((Закрытые!$F$5:$F$300+Закрытые!$I$5:$I$300-ABS(Закрытые!$F$5:$F$300-Закрытые!$I$5:$I$300))/2)*(Закрытые!$J$5:$J$300-Закрытые!$G$5:$G$300)))/I186)/(1+N(Ввод!$E$17)/100),""))</f>
        <v/>
      </c>
    </row>
    <row r="187" ht="22" customHeight="1">
      <c r="B187" s="313" t="n"/>
      <c r="C187" s="314" t="n"/>
      <c r="D187" s="313" t="n"/>
      <c r="E187" s="315" t="n"/>
      <c r="F187" s="316" t="n"/>
      <c r="G187" s="317" t="n"/>
      <c r="H187" s="271">
        <f>IF(AND(ISNUMBER(F187),ISNUMBER(G187)),F187*G187,"")</f>
        <v/>
      </c>
      <c r="I187" s="316" t="n"/>
      <c r="J187" s="317" t="n"/>
      <c r="K187" s="271">
        <f>IF(AND(ISNUMBER(I187),ISNUMBER(J187)),I187*J187,"")</f>
        <v/>
      </c>
      <c r="L187" s="240">
        <f>IF(COUNT(F187,I187)=0,"",N(F187)-N(I187))</f>
        <v/>
      </c>
      <c r="M187" s="241">
        <f>IF(COUNT(H187,K187)=0,"",N(K187)-N(H187))</f>
        <v/>
      </c>
      <c r="N187" s="240">
        <f>IF(AND(ISNUMBER(F187),ISNUMBER(G187),F187&gt;0,1-N(Ввод!$E$17)/100&gt;0),MAX(0,(F187*G187-SUMPRODUCT((Закрытые!$B$5:$B$300=$B187)*((Закрытые!$F$5:$F$300+Закрытые!$I$5:$I$300-ABS(Закрытые!$F$5:$F$300-Закрытые!$I$5:$I$300))/2)*(Закрытые!$J$5:$J$300-Закрытые!$G$5:$G$300)))/F187)/(1-N(Ввод!$E$17)/100),IF(AND(ISNUMBER(I187),ISNUMBER(J187),I187&gt;0),MAX(0,(I187*J187+SUMPRODUCT((Закрытые!$B$5:$B$300=$B187)*((Закрытые!$F$5:$F$300+Закрытые!$I$5:$I$300-ABS(Закрытые!$F$5:$F$300-Закрытые!$I$5:$I$300))/2)*(Закрытые!$J$5:$J$300-Закрытые!$G$5:$G$300)))/I187)/(1+N(Ввод!$E$17)/100),""))</f>
        <v/>
      </c>
    </row>
    <row r="188" ht="22" customHeight="1">
      <c r="B188" s="318" t="n"/>
      <c r="C188" s="319" t="n"/>
      <c r="D188" s="318" t="n"/>
      <c r="E188" s="320" t="n"/>
      <c r="F188" s="321" t="n"/>
      <c r="G188" s="322" t="n"/>
      <c r="H188" s="271">
        <f>IF(AND(ISNUMBER(F188),ISNUMBER(G188)),F188*G188,"")</f>
        <v/>
      </c>
      <c r="I188" s="321" t="n"/>
      <c r="J188" s="322" t="n"/>
      <c r="K188" s="271">
        <f>IF(AND(ISNUMBER(I188),ISNUMBER(J188)),I188*J188,"")</f>
        <v/>
      </c>
      <c r="L188" s="246">
        <f>IF(COUNT(F188,I188)=0,"",N(F188)-N(I188))</f>
        <v/>
      </c>
      <c r="M188" s="247">
        <f>IF(COUNT(H188,K188)=0,"",N(K188)-N(H188))</f>
        <v/>
      </c>
      <c r="N188" s="246">
        <f>IF(AND(ISNUMBER(F188),ISNUMBER(G188),F188&gt;0,1-N(Ввод!$E$17)/100&gt;0),MAX(0,(F188*G188-SUMPRODUCT((Закрытые!$B$5:$B$300=$B188)*((Закрытые!$F$5:$F$300+Закрытые!$I$5:$I$300-ABS(Закрытые!$F$5:$F$300-Закрытые!$I$5:$I$300))/2)*(Закрытые!$J$5:$J$300-Закрытые!$G$5:$G$300)))/F188)/(1-N(Ввод!$E$17)/100),IF(AND(ISNUMBER(I188),ISNUMBER(J188),I188&gt;0),MAX(0,(I188*J188+SUMPRODUCT((Закрытые!$B$5:$B$300=$B188)*((Закрытые!$F$5:$F$300+Закрытые!$I$5:$I$300-ABS(Закрытые!$F$5:$F$300-Закрытые!$I$5:$I$300))/2)*(Закрытые!$J$5:$J$300-Закрытые!$G$5:$G$300)))/I188)/(1+N(Ввод!$E$17)/100),""))</f>
        <v/>
      </c>
    </row>
    <row r="189" ht="22" customHeight="1">
      <c r="B189" s="313" t="n"/>
      <c r="C189" s="314" t="n"/>
      <c r="D189" s="313" t="n"/>
      <c r="E189" s="315" t="n"/>
      <c r="F189" s="316" t="n"/>
      <c r="G189" s="317" t="n"/>
      <c r="H189" s="271">
        <f>IF(AND(ISNUMBER(F189),ISNUMBER(G189)),F189*G189,"")</f>
        <v/>
      </c>
      <c r="I189" s="316" t="n"/>
      <c r="J189" s="317" t="n"/>
      <c r="K189" s="271">
        <f>IF(AND(ISNUMBER(I189),ISNUMBER(J189)),I189*J189,"")</f>
        <v/>
      </c>
      <c r="L189" s="240">
        <f>IF(COUNT(F189,I189)=0,"",N(F189)-N(I189))</f>
        <v/>
      </c>
      <c r="M189" s="241">
        <f>IF(COUNT(H189,K189)=0,"",N(K189)-N(H189))</f>
        <v/>
      </c>
      <c r="N189" s="240">
        <f>IF(AND(ISNUMBER(F189),ISNUMBER(G189),F189&gt;0,1-N(Ввод!$E$17)/100&gt;0),MAX(0,(F189*G189-SUMPRODUCT((Закрытые!$B$5:$B$300=$B189)*((Закрытые!$F$5:$F$300+Закрытые!$I$5:$I$300-ABS(Закрытые!$F$5:$F$300-Закрытые!$I$5:$I$300))/2)*(Закрытые!$J$5:$J$300-Закрытые!$G$5:$G$300)))/F189)/(1-N(Ввод!$E$17)/100),IF(AND(ISNUMBER(I189),ISNUMBER(J189),I189&gt;0),MAX(0,(I189*J189+SUMPRODUCT((Закрытые!$B$5:$B$300=$B189)*((Закрытые!$F$5:$F$300+Закрытые!$I$5:$I$300-ABS(Закрытые!$F$5:$F$300-Закрытые!$I$5:$I$300))/2)*(Закрытые!$J$5:$J$300-Закрытые!$G$5:$G$300)))/I189)/(1+N(Ввод!$E$17)/100),""))</f>
        <v/>
      </c>
    </row>
    <row r="190" ht="22" customHeight="1">
      <c r="B190" s="318" t="n"/>
      <c r="C190" s="319" t="n"/>
      <c r="D190" s="318" t="n"/>
      <c r="E190" s="320" t="n"/>
      <c r="F190" s="321" t="n"/>
      <c r="G190" s="322" t="n"/>
      <c r="H190" s="271">
        <f>IF(AND(ISNUMBER(F190),ISNUMBER(G190)),F190*G190,"")</f>
        <v/>
      </c>
      <c r="I190" s="321" t="n"/>
      <c r="J190" s="322" t="n"/>
      <c r="K190" s="271">
        <f>IF(AND(ISNUMBER(I190),ISNUMBER(J190)),I190*J190,"")</f>
        <v/>
      </c>
      <c r="L190" s="246">
        <f>IF(COUNT(F190,I190)=0,"",N(F190)-N(I190))</f>
        <v/>
      </c>
      <c r="M190" s="247">
        <f>IF(COUNT(H190,K190)=0,"",N(K190)-N(H190))</f>
        <v/>
      </c>
      <c r="N190" s="246">
        <f>IF(AND(ISNUMBER(F190),ISNUMBER(G190),F190&gt;0,1-N(Ввод!$E$17)/100&gt;0),MAX(0,(F190*G190-SUMPRODUCT((Закрытые!$B$5:$B$300=$B190)*((Закрытые!$F$5:$F$300+Закрытые!$I$5:$I$300-ABS(Закрытые!$F$5:$F$300-Закрытые!$I$5:$I$300))/2)*(Закрытые!$J$5:$J$300-Закрытые!$G$5:$G$300)))/F190)/(1-N(Ввод!$E$17)/100),IF(AND(ISNUMBER(I190),ISNUMBER(J190),I190&gt;0),MAX(0,(I190*J190+SUMPRODUCT((Закрытые!$B$5:$B$300=$B190)*((Закрытые!$F$5:$F$300+Закрытые!$I$5:$I$300-ABS(Закрытые!$F$5:$F$300-Закрытые!$I$5:$I$300))/2)*(Закрытые!$J$5:$J$300-Закрытые!$G$5:$G$300)))/I190)/(1+N(Ввод!$E$17)/100),""))</f>
        <v/>
      </c>
    </row>
    <row r="191" ht="22" customHeight="1">
      <c r="B191" s="313" t="n"/>
      <c r="C191" s="314" t="n"/>
      <c r="D191" s="313" t="n"/>
      <c r="E191" s="315" t="n"/>
      <c r="F191" s="316" t="n"/>
      <c r="G191" s="317" t="n"/>
      <c r="H191" s="271">
        <f>IF(AND(ISNUMBER(F191),ISNUMBER(G191)),F191*G191,"")</f>
        <v/>
      </c>
      <c r="I191" s="316" t="n"/>
      <c r="J191" s="317" t="n"/>
      <c r="K191" s="271">
        <f>IF(AND(ISNUMBER(I191),ISNUMBER(J191)),I191*J191,"")</f>
        <v/>
      </c>
      <c r="L191" s="240">
        <f>IF(COUNT(F191,I191)=0,"",N(F191)-N(I191))</f>
        <v/>
      </c>
      <c r="M191" s="241">
        <f>IF(COUNT(H191,K191)=0,"",N(K191)-N(H191))</f>
        <v/>
      </c>
      <c r="N191" s="240">
        <f>IF(AND(ISNUMBER(F191),ISNUMBER(G191),F191&gt;0,1-N(Ввод!$E$17)/100&gt;0),MAX(0,(F191*G191-SUMPRODUCT((Закрытые!$B$5:$B$300=$B191)*((Закрытые!$F$5:$F$300+Закрытые!$I$5:$I$300-ABS(Закрытые!$F$5:$F$300-Закрытые!$I$5:$I$300))/2)*(Закрытые!$J$5:$J$300-Закрытые!$G$5:$G$300)))/F191)/(1-N(Ввод!$E$17)/100),IF(AND(ISNUMBER(I191),ISNUMBER(J191),I191&gt;0),MAX(0,(I191*J191+SUMPRODUCT((Закрытые!$B$5:$B$300=$B191)*((Закрытые!$F$5:$F$300+Закрытые!$I$5:$I$300-ABS(Закрытые!$F$5:$F$300-Закрытые!$I$5:$I$300))/2)*(Закрытые!$J$5:$J$300-Закрытые!$G$5:$G$300)))/I191)/(1+N(Ввод!$E$17)/100),""))</f>
        <v/>
      </c>
    </row>
    <row r="192" ht="22" customHeight="1">
      <c r="B192" s="318" t="n"/>
      <c r="C192" s="319" t="n"/>
      <c r="D192" s="318" t="n"/>
      <c r="E192" s="320" t="n"/>
      <c r="F192" s="321" t="n"/>
      <c r="G192" s="322" t="n"/>
      <c r="H192" s="271">
        <f>IF(AND(ISNUMBER(F192),ISNUMBER(G192)),F192*G192,"")</f>
        <v/>
      </c>
      <c r="I192" s="321" t="n"/>
      <c r="J192" s="322" t="n"/>
      <c r="K192" s="271">
        <f>IF(AND(ISNUMBER(I192),ISNUMBER(J192)),I192*J192,"")</f>
        <v/>
      </c>
      <c r="L192" s="246">
        <f>IF(COUNT(F192,I192)=0,"",N(F192)-N(I192))</f>
        <v/>
      </c>
      <c r="M192" s="247">
        <f>IF(COUNT(H192,K192)=0,"",N(K192)-N(H192))</f>
        <v/>
      </c>
      <c r="N192" s="246">
        <f>IF(AND(ISNUMBER(F192),ISNUMBER(G192),F192&gt;0,1-N(Ввод!$E$17)/100&gt;0),MAX(0,(F192*G192-SUMPRODUCT((Закрытые!$B$5:$B$300=$B192)*((Закрытые!$F$5:$F$300+Закрытые!$I$5:$I$300-ABS(Закрытые!$F$5:$F$300-Закрытые!$I$5:$I$300))/2)*(Закрытые!$J$5:$J$300-Закрытые!$G$5:$G$300)))/F192)/(1-N(Ввод!$E$17)/100),IF(AND(ISNUMBER(I192),ISNUMBER(J192),I192&gt;0),MAX(0,(I192*J192+SUMPRODUCT((Закрытые!$B$5:$B$300=$B192)*((Закрытые!$F$5:$F$300+Закрытые!$I$5:$I$300-ABS(Закрытые!$F$5:$F$300-Закрытые!$I$5:$I$300))/2)*(Закрытые!$J$5:$J$300-Закрытые!$G$5:$G$300)))/I192)/(1+N(Ввод!$E$17)/100),""))</f>
        <v/>
      </c>
    </row>
    <row r="193" ht="22" customHeight="1">
      <c r="B193" s="313" t="n"/>
      <c r="C193" s="314" t="n"/>
      <c r="D193" s="313" t="n"/>
      <c r="E193" s="315" t="n"/>
      <c r="F193" s="316" t="n"/>
      <c r="G193" s="317" t="n"/>
      <c r="H193" s="271">
        <f>IF(AND(ISNUMBER(F193),ISNUMBER(G193)),F193*G193,"")</f>
        <v/>
      </c>
      <c r="I193" s="316" t="n"/>
      <c r="J193" s="317" t="n"/>
      <c r="K193" s="271">
        <f>IF(AND(ISNUMBER(I193),ISNUMBER(J193)),I193*J193,"")</f>
        <v/>
      </c>
      <c r="L193" s="240">
        <f>IF(COUNT(F193,I193)=0,"",N(F193)-N(I193))</f>
        <v/>
      </c>
      <c r="M193" s="241">
        <f>IF(COUNT(H193,K193)=0,"",N(K193)-N(H193))</f>
        <v/>
      </c>
      <c r="N193" s="240">
        <f>IF(AND(ISNUMBER(F193),ISNUMBER(G193),F193&gt;0,1-N(Ввод!$E$17)/100&gt;0),MAX(0,(F193*G193-SUMPRODUCT((Закрытые!$B$5:$B$300=$B193)*((Закрытые!$F$5:$F$300+Закрытые!$I$5:$I$300-ABS(Закрытые!$F$5:$F$300-Закрытые!$I$5:$I$300))/2)*(Закрытые!$J$5:$J$300-Закрытые!$G$5:$G$300)))/F193)/(1-N(Ввод!$E$17)/100),IF(AND(ISNUMBER(I193),ISNUMBER(J193),I193&gt;0),MAX(0,(I193*J193+SUMPRODUCT((Закрытые!$B$5:$B$300=$B193)*((Закрытые!$F$5:$F$300+Закрытые!$I$5:$I$300-ABS(Закрытые!$F$5:$F$300-Закрытые!$I$5:$I$300))/2)*(Закрытые!$J$5:$J$300-Закрытые!$G$5:$G$300)))/I193)/(1+N(Ввод!$E$17)/100),""))</f>
        <v/>
      </c>
    </row>
    <row r="194" ht="22" customHeight="1">
      <c r="B194" s="318" t="n"/>
      <c r="C194" s="319" t="n"/>
      <c r="D194" s="318" t="n"/>
      <c r="E194" s="320" t="n"/>
      <c r="F194" s="321" t="n"/>
      <c r="G194" s="322" t="n"/>
      <c r="H194" s="271">
        <f>IF(AND(ISNUMBER(F194),ISNUMBER(G194)),F194*G194,"")</f>
        <v/>
      </c>
      <c r="I194" s="321" t="n"/>
      <c r="J194" s="322" t="n"/>
      <c r="K194" s="271">
        <f>IF(AND(ISNUMBER(I194),ISNUMBER(J194)),I194*J194,"")</f>
        <v/>
      </c>
      <c r="L194" s="246">
        <f>IF(COUNT(F194,I194)=0,"",N(F194)-N(I194))</f>
        <v/>
      </c>
      <c r="M194" s="247">
        <f>IF(COUNT(H194,K194)=0,"",N(K194)-N(H194))</f>
        <v/>
      </c>
      <c r="N194" s="246">
        <f>IF(AND(ISNUMBER(F194),ISNUMBER(G194),F194&gt;0,1-N(Ввод!$E$17)/100&gt;0),MAX(0,(F194*G194-SUMPRODUCT((Закрытые!$B$5:$B$300=$B194)*((Закрытые!$F$5:$F$300+Закрытые!$I$5:$I$300-ABS(Закрытые!$F$5:$F$300-Закрытые!$I$5:$I$300))/2)*(Закрытые!$J$5:$J$300-Закрытые!$G$5:$G$300)))/F194)/(1-N(Ввод!$E$17)/100),IF(AND(ISNUMBER(I194),ISNUMBER(J194),I194&gt;0),MAX(0,(I194*J194+SUMPRODUCT((Закрытые!$B$5:$B$300=$B194)*((Закрытые!$F$5:$F$300+Закрытые!$I$5:$I$300-ABS(Закрытые!$F$5:$F$300-Закрытые!$I$5:$I$300))/2)*(Закрытые!$J$5:$J$300-Закрытые!$G$5:$G$300)))/I194)/(1+N(Ввод!$E$17)/100),""))</f>
        <v/>
      </c>
    </row>
    <row r="195" ht="22" customHeight="1">
      <c r="B195" s="313" t="n"/>
      <c r="C195" s="314" t="n"/>
      <c r="D195" s="313" t="n"/>
      <c r="E195" s="315" t="n"/>
      <c r="F195" s="316" t="n"/>
      <c r="G195" s="317" t="n"/>
      <c r="H195" s="271">
        <f>IF(AND(ISNUMBER(F195),ISNUMBER(G195)),F195*G195,"")</f>
        <v/>
      </c>
      <c r="I195" s="316" t="n"/>
      <c r="J195" s="317" t="n"/>
      <c r="K195" s="271">
        <f>IF(AND(ISNUMBER(I195),ISNUMBER(J195)),I195*J195,"")</f>
        <v/>
      </c>
      <c r="L195" s="240">
        <f>IF(COUNT(F195,I195)=0,"",N(F195)-N(I195))</f>
        <v/>
      </c>
      <c r="M195" s="241">
        <f>IF(COUNT(H195,K195)=0,"",N(K195)-N(H195))</f>
        <v/>
      </c>
      <c r="N195" s="240">
        <f>IF(AND(ISNUMBER(F195),ISNUMBER(G195),F195&gt;0,1-N(Ввод!$E$17)/100&gt;0),MAX(0,(F195*G195-SUMPRODUCT((Закрытые!$B$5:$B$300=$B195)*((Закрытые!$F$5:$F$300+Закрытые!$I$5:$I$300-ABS(Закрытые!$F$5:$F$300-Закрытые!$I$5:$I$300))/2)*(Закрытые!$J$5:$J$300-Закрытые!$G$5:$G$300)))/F195)/(1-N(Ввод!$E$17)/100),IF(AND(ISNUMBER(I195),ISNUMBER(J195),I195&gt;0),MAX(0,(I195*J195+SUMPRODUCT((Закрытые!$B$5:$B$300=$B195)*((Закрытые!$F$5:$F$300+Закрытые!$I$5:$I$300-ABS(Закрытые!$F$5:$F$300-Закрытые!$I$5:$I$300))/2)*(Закрытые!$J$5:$J$300-Закрытые!$G$5:$G$300)))/I195)/(1+N(Ввод!$E$17)/100),""))</f>
        <v/>
      </c>
    </row>
    <row r="196" ht="22" customHeight="1">
      <c r="B196" s="318" t="n"/>
      <c r="C196" s="319" t="n"/>
      <c r="D196" s="318" t="n"/>
      <c r="E196" s="320" t="n"/>
      <c r="F196" s="321" t="n"/>
      <c r="G196" s="322" t="n"/>
      <c r="H196" s="271">
        <f>IF(AND(ISNUMBER(F196),ISNUMBER(G196)),F196*G196,"")</f>
        <v/>
      </c>
      <c r="I196" s="321" t="n"/>
      <c r="J196" s="322" t="n"/>
      <c r="K196" s="271">
        <f>IF(AND(ISNUMBER(I196),ISNUMBER(J196)),I196*J196,"")</f>
        <v/>
      </c>
      <c r="L196" s="246">
        <f>IF(COUNT(F196,I196)=0,"",N(F196)-N(I196))</f>
        <v/>
      </c>
      <c r="M196" s="247">
        <f>IF(COUNT(H196,K196)=0,"",N(K196)-N(H196))</f>
        <v/>
      </c>
      <c r="N196" s="246">
        <f>IF(AND(ISNUMBER(F196),ISNUMBER(G196),F196&gt;0,1-N(Ввод!$E$17)/100&gt;0),MAX(0,(F196*G196-SUMPRODUCT((Закрытые!$B$5:$B$300=$B196)*((Закрытые!$F$5:$F$300+Закрытые!$I$5:$I$300-ABS(Закрытые!$F$5:$F$300-Закрытые!$I$5:$I$300))/2)*(Закрытые!$J$5:$J$300-Закрытые!$G$5:$G$300)))/F196)/(1-N(Ввод!$E$17)/100),IF(AND(ISNUMBER(I196),ISNUMBER(J196),I196&gt;0),MAX(0,(I196*J196+SUMPRODUCT((Закрытые!$B$5:$B$300=$B196)*((Закрытые!$F$5:$F$300+Закрытые!$I$5:$I$300-ABS(Закрытые!$F$5:$F$300-Закрытые!$I$5:$I$300))/2)*(Закрытые!$J$5:$J$300-Закрытые!$G$5:$G$300)))/I196)/(1+N(Ввод!$E$17)/100),""))</f>
        <v/>
      </c>
    </row>
    <row r="197" ht="22" customHeight="1">
      <c r="B197" s="313" t="n"/>
      <c r="C197" s="314" t="n"/>
      <c r="D197" s="313" t="n"/>
      <c r="E197" s="315" t="n"/>
      <c r="F197" s="316" t="n"/>
      <c r="G197" s="317" t="n"/>
      <c r="H197" s="271">
        <f>IF(AND(ISNUMBER(F197),ISNUMBER(G197)),F197*G197,"")</f>
        <v/>
      </c>
      <c r="I197" s="316" t="n"/>
      <c r="J197" s="317" t="n"/>
      <c r="K197" s="271">
        <f>IF(AND(ISNUMBER(I197),ISNUMBER(J197)),I197*J197,"")</f>
        <v/>
      </c>
      <c r="L197" s="240">
        <f>IF(COUNT(F197,I197)=0,"",N(F197)-N(I197))</f>
        <v/>
      </c>
      <c r="M197" s="241">
        <f>IF(COUNT(H197,K197)=0,"",N(K197)-N(H197))</f>
        <v/>
      </c>
      <c r="N197" s="240">
        <f>IF(AND(ISNUMBER(F197),ISNUMBER(G197),F197&gt;0,1-N(Ввод!$E$17)/100&gt;0),MAX(0,(F197*G197-SUMPRODUCT((Закрытые!$B$5:$B$300=$B197)*((Закрытые!$F$5:$F$300+Закрытые!$I$5:$I$300-ABS(Закрытые!$F$5:$F$300-Закрытые!$I$5:$I$300))/2)*(Закрытые!$J$5:$J$300-Закрытые!$G$5:$G$300)))/F197)/(1-N(Ввод!$E$17)/100),IF(AND(ISNUMBER(I197),ISNUMBER(J197),I197&gt;0),MAX(0,(I197*J197+SUMPRODUCT((Закрытые!$B$5:$B$300=$B197)*((Закрытые!$F$5:$F$300+Закрытые!$I$5:$I$300-ABS(Закрытые!$F$5:$F$300-Закрытые!$I$5:$I$300))/2)*(Закрытые!$J$5:$J$300-Закрытые!$G$5:$G$300)))/I197)/(1+N(Ввод!$E$17)/100),""))</f>
        <v/>
      </c>
    </row>
    <row r="198" ht="22" customHeight="1">
      <c r="B198" s="318" t="n"/>
      <c r="C198" s="319" t="n"/>
      <c r="D198" s="318" t="n"/>
      <c r="E198" s="320" t="n"/>
      <c r="F198" s="321" t="n"/>
      <c r="G198" s="322" t="n"/>
      <c r="H198" s="271">
        <f>IF(AND(ISNUMBER(F198),ISNUMBER(G198)),F198*G198,"")</f>
        <v/>
      </c>
      <c r="I198" s="321" t="n"/>
      <c r="J198" s="322" t="n"/>
      <c r="K198" s="271">
        <f>IF(AND(ISNUMBER(I198),ISNUMBER(J198)),I198*J198,"")</f>
        <v/>
      </c>
      <c r="L198" s="246">
        <f>IF(COUNT(F198,I198)=0,"",N(F198)-N(I198))</f>
        <v/>
      </c>
      <c r="M198" s="247">
        <f>IF(COUNT(H198,K198)=0,"",N(K198)-N(H198))</f>
        <v/>
      </c>
      <c r="N198" s="246">
        <f>IF(AND(ISNUMBER(F198),ISNUMBER(G198),F198&gt;0,1-N(Ввод!$E$17)/100&gt;0),MAX(0,(F198*G198-SUMPRODUCT((Закрытые!$B$5:$B$300=$B198)*((Закрытые!$F$5:$F$300+Закрытые!$I$5:$I$300-ABS(Закрытые!$F$5:$F$300-Закрытые!$I$5:$I$300))/2)*(Закрытые!$J$5:$J$300-Закрытые!$G$5:$G$300)))/F198)/(1-N(Ввод!$E$17)/100),IF(AND(ISNUMBER(I198),ISNUMBER(J198),I198&gt;0),MAX(0,(I198*J198+SUMPRODUCT((Закрытые!$B$5:$B$300=$B198)*((Закрытые!$F$5:$F$300+Закрытые!$I$5:$I$300-ABS(Закрытые!$F$5:$F$300-Закрытые!$I$5:$I$300))/2)*(Закрытые!$J$5:$J$300-Закрытые!$G$5:$G$300)))/I198)/(1+N(Ввод!$E$17)/100),""))</f>
        <v/>
      </c>
    </row>
    <row r="199" ht="22" customHeight="1">
      <c r="B199" s="313" t="n"/>
      <c r="C199" s="314" t="n"/>
      <c r="D199" s="313" t="n"/>
      <c r="E199" s="315" t="n"/>
      <c r="F199" s="316" t="n"/>
      <c r="G199" s="317" t="n"/>
      <c r="H199" s="271">
        <f>IF(AND(ISNUMBER(F199),ISNUMBER(G199)),F199*G199,"")</f>
        <v/>
      </c>
      <c r="I199" s="316" t="n"/>
      <c r="J199" s="317" t="n"/>
      <c r="K199" s="271">
        <f>IF(AND(ISNUMBER(I199),ISNUMBER(J199)),I199*J199,"")</f>
        <v/>
      </c>
      <c r="L199" s="240">
        <f>IF(COUNT(F199,I199)=0,"",N(F199)-N(I199))</f>
        <v/>
      </c>
      <c r="M199" s="241">
        <f>IF(COUNT(H199,K199)=0,"",N(K199)-N(H199))</f>
        <v/>
      </c>
      <c r="N199" s="240">
        <f>IF(AND(ISNUMBER(F199),ISNUMBER(G199),F199&gt;0,1-N(Ввод!$E$17)/100&gt;0),MAX(0,(F199*G199-SUMPRODUCT((Закрытые!$B$5:$B$300=$B199)*((Закрытые!$F$5:$F$300+Закрытые!$I$5:$I$300-ABS(Закрытые!$F$5:$F$300-Закрытые!$I$5:$I$300))/2)*(Закрытые!$J$5:$J$300-Закрытые!$G$5:$G$300)))/F199)/(1-N(Ввод!$E$17)/100),IF(AND(ISNUMBER(I199),ISNUMBER(J199),I199&gt;0),MAX(0,(I199*J199+SUMPRODUCT((Закрытые!$B$5:$B$300=$B199)*((Закрытые!$F$5:$F$300+Закрытые!$I$5:$I$300-ABS(Закрытые!$F$5:$F$300-Закрытые!$I$5:$I$300))/2)*(Закрытые!$J$5:$J$300-Закрытые!$G$5:$G$300)))/I199)/(1+N(Ввод!$E$17)/100),""))</f>
        <v/>
      </c>
    </row>
    <row r="200" ht="22" customHeight="1">
      <c r="B200" s="318" t="n"/>
      <c r="C200" s="319" t="n"/>
      <c r="D200" s="318" t="n"/>
      <c r="E200" s="320" t="n"/>
      <c r="F200" s="321" t="n"/>
      <c r="G200" s="322" t="n"/>
      <c r="H200" s="271">
        <f>IF(AND(ISNUMBER(F200),ISNUMBER(G200)),F200*G200,"")</f>
        <v/>
      </c>
      <c r="I200" s="321" t="n"/>
      <c r="J200" s="322" t="n"/>
      <c r="K200" s="271">
        <f>IF(AND(ISNUMBER(I200),ISNUMBER(J200)),I200*J200,"")</f>
        <v/>
      </c>
      <c r="L200" s="246">
        <f>IF(COUNT(F200,I200)=0,"",N(F200)-N(I200))</f>
        <v/>
      </c>
      <c r="M200" s="247">
        <f>IF(COUNT(H200,K200)=0,"",N(K200)-N(H200))</f>
        <v/>
      </c>
      <c r="N200" s="246">
        <f>IF(AND(ISNUMBER(F200),ISNUMBER(G200),F200&gt;0,1-N(Ввод!$E$17)/100&gt;0),MAX(0,(F200*G200-SUMPRODUCT((Закрытые!$B$5:$B$300=$B200)*((Закрытые!$F$5:$F$300+Закрытые!$I$5:$I$300-ABS(Закрытые!$F$5:$F$300-Закрытые!$I$5:$I$300))/2)*(Закрытые!$J$5:$J$300-Закрытые!$G$5:$G$300)))/F200)/(1-N(Ввод!$E$17)/100),IF(AND(ISNUMBER(I200),ISNUMBER(J200),I200&gt;0),MAX(0,(I200*J200+SUMPRODUCT((Закрытые!$B$5:$B$300=$B200)*((Закрытые!$F$5:$F$300+Закрытые!$I$5:$I$300-ABS(Закрытые!$F$5:$F$300-Закрытые!$I$5:$I$300))/2)*(Закрытые!$J$5:$J$300-Закрытые!$G$5:$G$300)))/I200)/(1+N(Ввод!$E$17)/100),""))</f>
        <v/>
      </c>
    </row>
    <row r="201" ht="22" customHeight="1">
      <c r="B201" s="313" t="n"/>
      <c r="C201" s="314" t="n"/>
      <c r="D201" s="313" t="n"/>
      <c r="E201" s="315" t="n"/>
      <c r="F201" s="316" t="n"/>
      <c r="G201" s="317" t="n"/>
      <c r="H201" s="271">
        <f>IF(AND(ISNUMBER(F201),ISNUMBER(G201)),F201*G201,"")</f>
        <v/>
      </c>
      <c r="I201" s="316" t="n"/>
      <c r="J201" s="317" t="n"/>
      <c r="K201" s="271">
        <f>IF(AND(ISNUMBER(I201),ISNUMBER(J201)),I201*J201,"")</f>
        <v/>
      </c>
      <c r="L201" s="240">
        <f>IF(COUNT(F201,I201)=0,"",N(F201)-N(I201))</f>
        <v/>
      </c>
      <c r="M201" s="241">
        <f>IF(COUNT(H201,K201)=0,"",N(K201)-N(H201))</f>
        <v/>
      </c>
      <c r="N201" s="240">
        <f>IF(AND(ISNUMBER(F201),ISNUMBER(G201),F201&gt;0,1-N(Ввод!$E$17)/100&gt;0),MAX(0,(F201*G201-SUMPRODUCT((Закрытые!$B$5:$B$300=$B201)*((Закрытые!$F$5:$F$300+Закрытые!$I$5:$I$300-ABS(Закрытые!$F$5:$F$300-Закрытые!$I$5:$I$300))/2)*(Закрытые!$J$5:$J$300-Закрытые!$G$5:$G$300)))/F201)/(1-N(Ввод!$E$17)/100),IF(AND(ISNUMBER(I201),ISNUMBER(J201),I201&gt;0),MAX(0,(I201*J201+SUMPRODUCT((Закрытые!$B$5:$B$300=$B201)*((Закрытые!$F$5:$F$300+Закрытые!$I$5:$I$300-ABS(Закрытые!$F$5:$F$300-Закрытые!$I$5:$I$300))/2)*(Закрытые!$J$5:$J$300-Закрытые!$G$5:$G$300)))/I201)/(1+N(Ввод!$E$17)/100),""))</f>
        <v/>
      </c>
    </row>
    <row r="202" ht="22" customHeight="1">
      <c r="B202" s="318" t="n"/>
      <c r="C202" s="319" t="n"/>
      <c r="D202" s="318" t="n"/>
      <c r="E202" s="320" t="n"/>
      <c r="F202" s="321" t="n"/>
      <c r="G202" s="322" t="n"/>
      <c r="H202" s="271">
        <f>IF(AND(ISNUMBER(F202),ISNUMBER(G202)),F202*G202,"")</f>
        <v/>
      </c>
      <c r="I202" s="321" t="n"/>
      <c r="J202" s="322" t="n"/>
      <c r="K202" s="271">
        <f>IF(AND(ISNUMBER(I202),ISNUMBER(J202)),I202*J202,"")</f>
        <v/>
      </c>
      <c r="L202" s="246">
        <f>IF(COUNT(F202,I202)=0,"",N(F202)-N(I202))</f>
        <v/>
      </c>
      <c r="M202" s="247">
        <f>IF(COUNT(H202,K202)=0,"",N(K202)-N(H202))</f>
        <v/>
      </c>
      <c r="N202" s="246">
        <f>IF(AND(ISNUMBER(F202),ISNUMBER(G202),F202&gt;0,1-N(Ввод!$E$17)/100&gt;0),MAX(0,(F202*G202-SUMPRODUCT((Закрытые!$B$5:$B$300=$B202)*((Закрытые!$F$5:$F$300+Закрытые!$I$5:$I$300-ABS(Закрытые!$F$5:$F$300-Закрытые!$I$5:$I$300))/2)*(Закрытые!$J$5:$J$300-Закрытые!$G$5:$G$300)))/F202)/(1-N(Ввод!$E$17)/100),IF(AND(ISNUMBER(I202),ISNUMBER(J202),I202&gt;0),MAX(0,(I202*J202+SUMPRODUCT((Закрытые!$B$5:$B$300=$B202)*((Закрытые!$F$5:$F$300+Закрытые!$I$5:$I$300-ABS(Закрытые!$F$5:$F$300-Закрытые!$I$5:$I$300))/2)*(Закрытые!$J$5:$J$300-Закрытые!$G$5:$G$300)))/I202)/(1+N(Ввод!$E$17)/100),""))</f>
        <v/>
      </c>
    </row>
    <row r="203" ht="22" customHeight="1">
      <c r="B203" s="313" t="n"/>
      <c r="C203" s="314" t="n"/>
      <c r="D203" s="313" t="n"/>
      <c r="E203" s="315" t="n"/>
      <c r="F203" s="316" t="n"/>
      <c r="G203" s="317" t="n"/>
      <c r="H203" s="271">
        <f>IF(AND(ISNUMBER(F203),ISNUMBER(G203)),F203*G203,"")</f>
        <v/>
      </c>
      <c r="I203" s="316" t="n"/>
      <c r="J203" s="317" t="n"/>
      <c r="K203" s="271">
        <f>IF(AND(ISNUMBER(I203),ISNUMBER(J203)),I203*J203,"")</f>
        <v/>
      </c>
      <c r="L203" s="240">
        <f>IF(COUNT(F203,I203)=0,"",N(F203)-N(I203))</f>
        <v/>
      </c>
      <c r="M203" s="241">
        <f>IF(COUNT(H203,K203)=0,"",N(K203)-N(H203))</f>
        <v/>
      </c>
      <c r="N203" s="240">
        <f>IF(AND(ISNUMBER(F203),ISNUMBER(G203),F203&gt;0,1-N(Ввод!$E$17)/100&gt;0),MAX(0,(F203*G203-SUMPRODUCT((Закрытые!$B$5:$B$300=$B203)*((Закрытые!$F$5:$F$300+Закрытые!$I$5:$I$300-ABS(Закрытые!$F$5:$F$300-Закрытые!$I$5:$I$300))/2)*(Закрытые!$J$5:$J$300-Закрытые!$G$5:$G$300)))/F203)/(1-N(Ввод!$E$17)/100),IF(AND(ISNUMBER(I203),ISNUMBER(J203),I203&gt;0),MAX(0,(I203*J203+SUMPRODUCT((Закрытые!$B$5:$B$300=$B203)*((Закрытые!$F$5:$F$300+Закрытые!$I$5:$I$300-ABS(Закрытые!$F$5:$F$300-Закрытые!$I$5:$I$300))/2)*(Закрытые!$J$5:$J$300-Закрытые!$G$5:$G$300)))/I203)/(1+N(Ввод!$E$17)/100),""))</f>
        <v/>
      </c>
    </row>
    <row r="204" ht="22" customHeight="1">
      <c r="B204" s="318" t="n"/>
      <c r="C204" s="319" t="n"/>
      <c r="D204" s="318" t="n"/>
      <c r="E204" s="320" t="n"/>
      <c r="F204" s="321" t="n"/>
      <c r="G204" s="322" t="n"/>
      <c r="H204" s="271">
        <f>IF(AND(ISNUMBER(F204),ISNUMBER(G204)),F204*G204,"")</f>
        <v/>
      </c>
      <c r="I204" s="321" t="n"/>
      <c r="J204" s="322" t="n"/>
      <c r="K204" s="271">
        <f>IF(AND(ISNUMBER(I204),ISNUMBER(J204)),I204*J204,"")</f>
        <v/>
      </c>
      <c r="L204" s="246">
        <f>IF(COUNT(F204,I204)=0,"",N(F204)-N(I204))</f>
        <v/>
      </c>
      <c r="M204" s="247">
        <f>IF(COUNT(H204,K204)=0,"",N(K204)-N(H204))</f>
        <v/>
      </c>
      <c r="N204" s="246">
        <f>IF(AND(ISNUMBER(F204),ISNUMBER(G204),F204&gt;0,1-N(Ввод!$E$17)/100&gt;0),MAX(0,(F204*G204-SUMPRODUCT((Закрытые!$B$5:$B$300=$B204)*((Закрытые!$F$5:$F$300+Закрытые!$I$5:$I$300-ABS(Закрытые!$F$5:$F$300-Закрытые!$I$5:$I$300))/2)*(Закрытые!$J$5:$J$300-Закрытые!$G$5:$G$300)))/F204)/(1-N(Ввод!$E$17)/100),IF(AND(ISNUMBER(I204),ISNUMBER(J204),I204&gt;0),MAX(0,(I204*J204+SUMPRODUCT((Закрытые!$B$5:$B$300=$B204)*((Закрытые!$F$5:$F$300+Закрытые!$I$5:$I$300-ABS(Закрытые!$F$5:$F$300-Закрытые!$I$5:$I$300))/2)*(Закрытые!$J$5:$J$300-Закрытые!$G$5:$G$300)))/I204)/(1+N(Ввод!$E$17)/100),""))</f>
        <v/>
      </c>
    </row>
    <row r="205" ht="22" customHeight="1">
      <c r="B205" s="313" t="n"/>
      <c r="C205" s="314" t="n"/>
      <c r="D205" s="313" t="n"/>
      <c r="E205" s="315" t="n"/>
      <c r="F205" s="316" t="n"/>
      <c r="G205" s="317" t="n"/>
      <c r="H205" s="271">
        <f>IF(AND(ISNUMBER(F205),ISNUMBER(G205)),F205*G205,"")</f>
        <v/>
      </c>
      <c r="I205" s="316" t="n"/>
      <c r="J205" s="317" t="n"/>
      <c r="K205" s="271">
        <f>IF(AND(ISNUMBER(I205),ISNUMBER(J205)),I205*J205,"")</f>
        <v/>
      </c>
      <c r="L205" s="240">
        <f>IF(COUNT(F205,I205)=0,"",N(F205)-N(I205))</f>
        <v/>
      </c>
      <c r="M205" s="241">
        <f>IF(COUNT(H205,K205)=0,"",N(K205)-N(H205))</f>
        <v/>
      </c>
      <c r="N205" s="240">
        <f>IF(AND(ISNUMBER(F205),ISNUMBER(G205),F205&gt;0,1-N(Ввод!$E$17)/100&gt;0),MAX(0,(F205*G205-SUMPRODUCT((Закрытые!$B$5:$B$300=$B205)*((Закрытые!$F$5:$F$300+Закрытые!$I$5:$I$300-ABS(Закрытые!$F$5:$F$300-Закрытые!$I$5:$I$300))/2)*(Закрытые!$J$5:$J$300-Закрытые!$G$5:$G$300)))/F205)/(1-N(Ввод!$E$17)/100),IF(AND(ISNUMBER(I205),ISNUMBER(J205),I205&gt;0),MAX(0,(I205*J205+SUMPRODUCT((Закрытые!$B$5:$B$300=$B205)*((Закрытые!$F$5:$F$300+Закрытые!$I$5:$I$300-ABS(Закрытые!$F$5:$F$300-Закрытые!$I$5:$I$300))/2)*(Закрытые!$J$5:$J$300-Закрытые!$G$5:$G$300)))/I205)/(1+N(Ввод!$E$17)/100),""))</f>
        <v/>
      </c>
    </row>
    <row r="206" ht="22" customHeight="1">
      <c r="B206" s="318" t="n"/>
      <c r="C206" s="319" t="n"/>
      <c r="D206" s="318" t="n"/>
      <c r="E206" s="320" t="n"/>
      <c r="F206" s="321" t="n"/>
      <c r="G206" s="322" t="n"/>
      <c r="H206" s="271">
        <f>IF(AND(ISNUMBER(F206),ISNUMBER(G206)),F206*G206,"")</f>
        <v/>
      </c>
      <c r="I206" s="321" t="n"/>
      <c r="J206" s="322" t="n"/>
      <c r="K206" s="271">
        <f>IF(AND(ISNUMBER(I206),ISNUMBER(J206)),I206*J206,"")</f>
        <v/>
      </c>
      <c r="L206" s="246">
        <f>IF(COUNT(F206,I206)=0,"",N(F206)-N(I206))</f>
        <v/>
      </c>
      <c r="M206" s="247">
        <f>IF(COUNT(H206,K206)=0,"",N(K206)-N(H206))</f>
        <v/>
      </c>
      <c r="N206" s="246">
        <f>IF(AND(ISNUMBER(F206),ISNUMBER(G206),F206&gt;0,1-N(Ввод!$E$17)/100&gt;0),MAX(0,(F206*G206-SUMPRODUCT((Закрытые!$B$5:$B$300=$B206)*((Закрытые!$F$5:$F$300+Закрытые!$I$5:$I$300-ABS(Закрытые!$F$5:$F$300-Закрытые!$I$5:$I$300))/2)*(Закрытые!$J$5:$J$300-Закрытые!$G$5:$G$300)))/F206)/(1-N(Ввод!$E$17)/100),IF(AND(ISNUMBER(I206),ISNUMBER(J206),I206&gt;0),MAX(0,(I206*J206+SUMPRODUCT((Закрытые!$B$5:$B$300=$B206)*((Закрытые!$F$5:$F$300+Закрытые!$I$5:$I$300-ABS(Закрытые!$F$5:$F$300-Закрытые!$I$5:$I$300))/2)*(Закрытые!$J$5:$J$300-Закрытые!$G$5:$G$300)))/I206)/(1+N(Ввод!$E$17)/100),""))</f>
        <v/>
      </c>
    </row>
    <row r="207" ht="22" customHeight="1">
      <c r="B207" s="313" t="n"/>
      <c r="C207" s="314" t="n"/>
      <c r="D207" s="313" t="n"/>
      <c r="E207" s="315" t="n"/>
      <c r="F207" s="316" t="n"/>
      <c r="G207" s="317" t="n"/>
      <c r="H207" s="271">
        <f>IF(AND(ISNUMBER(F207),ISNUMBER(G207)),F207*G207,"")</f>
        <v/>
      </c>
      <c r="I207" s="316" t="n"/>
      <c r="J207" s="317" t="n"/>
      <c r="K207" s="271">
        <f>IF(AND(ISNUMBER(I207),ISNUMBER(J207)),I207*J207,"")</f>
        <v/>
      </c>
      <c r="L207" s="240">
        <f>IF(COUNT(F207,I207)=0,"",N(F207)-N(I207))</f>
        <v/>
      </c>
      <c r="M207" s="241">
        <f>IF(COUNT(H207,K207)=0,"",N(K207)-N(H207))</f>
        <v/>
      </c>
      <c r="N207" s="240">
        <f>IF(AND(ISNUMBER(F207),ISNUMBER(G207),F207&gt;0,1-N(Ввод!$E$17)/100&gt;0),MAX(0,(F207*G207-SUMPRODUCT((Закрытые!$B$5:$B$300=$B207)*((Закрытые!$F$5:$F$300+Закрытые!$I$5:$I$300-ABS(Закрытые!$F$5:$F$300-Закрытые!$I$5:$I$300))/2)*(Закрытые!$J$5:$J$300-Закрытые!$G$5:$G$300)))/F207)/(1-N(Ввод!$E$17)/100),IF(AND(ISNUMBER(I207),ISNUMBER(J207),I207&gt;0),MAX(0,(I207*J207+SUMPRODUCT((Закрытые!$B$5:$B$300=$B207)*((Закрытые!$F$5:$F$300+Закрытые!$I$5:$I$300-ABS(Закрытые!$F$5:$F$300-Закрытые!$I$5:$I$300))/2)*(Закрытые!$J$5:$J$300-Закрытые!$G$5:$G$300)))/I207)/(1+N(Ввод!$E$17)/100),""))</f>
        <v/>
      </c>
    </row>
    <row r="208" ht="22" customHeight="1">
      <c r="B208" s="318" t="n"/>
      <c r="C208" s="319" t="n"/>
      <c r="D208" s="318" t="n"/>
      <c r="E208" s="320" t="n"/>
      <c r="F208" s="321" t="n"/>
      <c r="G208" s="322" t="n"/>
      <c r="H208" s="271">
        <f>IF(AND(ISNUMBER(F208),ISNUMBER(G208)),F208*G208,"")</f>
        <v/>
      </c>
      <c r="I208" s="321" t="n"/>
      <c r="J208" s="322" t="n"/>
      <c r="K208" s="271">
        <f>IF(AND(ISNUMBER(I208),ISNUMBER(J208)),I208*J208,"")</f>
        <v/>
      </c>
      <c r="L208" s="246">
        <f>IF(COUNT(F208,I208)=0,"",N(F208)-N(I208))</f>
        <v/>
      </c>
      <c r="M208" s="247">
        <f>IF(COUNT(H208,K208)=0,"",N(K208)-N(H208))</f>
        <v/>
      </c>
      <c r="N208" s="246">
        <f>IF(AND(ISNUMBER(F208),ISNUMBER(G208),F208&gt;0,1-N(Ввод!$E$17)/100&gt;0),MAX(0,(F208*G208-SUMPRODUCT((Закрытые!$B$5:$B$300=$B208)*((Закрытые!$F$5:$F$300+Закрытые!$I$5:$I$300-ABS(Закрытые!$F$5:$F$300-Закрытые!$I$5:$I$300))/2)*(Закрытые!$J$5:$J$300-Закрытые!$G$5:$G$300)))/F208)/(1-N(Ввод!$E$17)/100),IF(AND(ISNUMBER(I208),ISNUMBER(J208),I208&gt;0),MAX(0,(I208*J208+SUMPRODUCT((Закрытые!$B$5:$B$300=$B208)*((Закрытые!$F$5:$F$300+Закрытые!$I$5:$I$300-ABS(Закрытые!$F$5:$F$300-Закрытые!$I$5:$I$300))/2)*(Закрытые!$J$5:$J$300-Закрытые!$G$5:$G$300)))/I208)/(1+N(Ввод!$E$17)/100),""))</f>
        <v/>
      </c>
    </row>
    <row r="209" ht="22" customHeight="1">
      <c r="B209" s="313" t="n"/>
      <c r="C209" s="314" t="n"/>
      <c r="D209" s="313" t="n"/>
      <c r="E209" s="315" t="n"/>
      <c r="F209" s="316" t="n"/>
      <c r="G209" s="317" t="n"/>
      <c r="H209" s="271">
        <f>IF(AND(ISNUMBER(F209),ISNUMBER(G209)),F209*G209,"")</f>
        <v/>
      </c>
      <c r="I209" s="316" t="n"/>
      <c r="J209" s="317" t="n"/>
      <c r="K209" s="271">
        <f>IF(AND(ISNUMBER(I209),ISNUMBER(J209)),I209*J209,"")</f>
        <v/>
      </c>
      <c r="L209" s="240">
        <f>IF(COUNT(F209,I209)=0,"",N(F209)-N(I209))</f>
        <v/>
      </c>
      <c r="M209" s="241">
        <f>IF(COUNT(H209,K209)=0,"",N(K209)-N(H209))</f>
        <v/>
      </c>
      <c r="N209" s="240">
        <f>IF(AND(ISNUMBER(F209),ISNUMBER(G209),F209&gt;0,1-N(Ввод!$E$17)/100&gt;0),MAX(0,(F209*G209-SUMPRODUCT((Закрытые!$B$5:$B$300=$B209)*((Закрытые!$F$5:$F$300+Закрытые!$I$5:$I$300-ABS(Закрытые!$F$5:$F$300-Закрытые!$I$5:$I$300))/2)*(Закрытые!$J$5:$J$300-Закрытые!$G$5:$G$300)))/F209)/(1-N(Ввод!$E$17)/100),IF(AND(ISNUMBER(I209),ISNUMBER(J209),I209&gt;0),MAX(0,(I209*J209+SUMPRODUCT((Закрытые!$B$5:$B$300=$B209)*((Закрытые!$F$5:$F$300+Закрытые!$I$5:$I$300-ABS(Закрытые!$F$5:$F$300-Закрытые!$I$5:$I$300))/2)*(Закрытые!$J$5:$J$300-Закрытые!$G$5:$G$300)))/I209)/(1+N(Ввод!$E$17)/100),""))</f>
        <v/>
      </c>
    </row>
    <row r="210" ht="22" customHeight="1">
      <c r="B210" s="318" t="n"/>
      <c r="C210" s="319" t="n"/>
      <c r="D210" s="318" t="n"/>
      <c r="E210" s="320" t="n"/>
      <c r="F210" s="321" t="n"/>
      <c r="G210" s="322" t="n"/>
      <c r="H210" s="271">
        <f>IF(AND(ISNUMBER(F210),ISNUMBER(G210)),F210*G210,"")</f>
        <v/>
      </c>
      <c r="I210" s="321" t="n"/>
      <c r="J210" s="322" t="n"/>
      <c r="K210" s="271">
        <f>IF(AND(ISNUMBER(I210),ISNUMBER(J210)),I210*J210,"")</f>
        <v/>
      </c>
      <c r="L210" s="246">
        <f>IF(COUNT(F210,I210)=0,"",N(F210)-N(I210))</f>
        <v/>
      </c>
      <c r="M210" s="247">
        <f>IF(COUNT(H210,K210)=0,"",N(K210)-N(H210))</f>
        <v/>
      </c>
      <c r="N210" s="246">
        <f>IF(AND(ISNUMBER(F210),ISNUMBER(G210),F210&gt;0,1-N(Ввод!$E$17)/100&gt;0),MAX(0,(F210*G210-SUMPRODUCT((Закрытые!$B$5:$B$300=$B210)*((Закрытые!$F$5:$F$300+Закрытые!$I$5:$I$300-ABS(Закрытые!$F$5:$F$300-Закрытые!$I$5:$I$300))/2)*(Закрытые!$J$5:$J$300-Закрытые!$G$5:$G$300)))/F210)/(1-N(Ввод!$E$17)/100),IF(AND(ISNUMBER(I210),ISNUMBER(J210),I210&gt;0),MAX(0,(I210*J210+SUMPRODUCT((Закрытые!$B$5:$B$300=$B210)*((Закрытые!$F$5:$F$300+Закрытые!$I$5:$I$300-ABS(Закрытые!$F$5:$F$300-Закрытые!$I$5:$I$300))/2)*(Закрытые!$J$5:$J$300-Закрытые!$G$5:$G$300)))/I210)/(1+N(Ввод!$E$17)/100),""))</f>
        <v/>
      </c>
    </row>
    <row r="211" ht="22" customHeight="1">
      <c r="B211" s="313" t="n"/>
      <c r="C211" s="314" t="n"/>
      <c r="D211" s="313" t="n"/>
      <c r="E211" s="315" t="n"/>
      <c r="F211" s="316" t="n"/>
      <c r="G211" s="317" t="n"/>
      <c r="H211" s="271">
        <f>IF(AND(ISNUMBER(F211),ISNUMBER(G211)),F211*G211,"")</f>
        <v/>
      </c>
      <c r="I211" s="316" t="n"/>
      <c r="J211" s="317" t="n"/>
      <c r="K211" s="271">
        <f>IF(AND(ISNUMBER(I211),ISNUMBER(J211)),I211*J211,"")</f>
        <v/>
      </c>
      <c r="L211" s="240">
        <f>IF(COUNT(F211,I211)=0,"",N(F211)-N(I211))</f>
        <v/>
      </c>
      <c r="M211" s="241">
        <f>IF(COUNT(H211,K211)=0,"",N(K211)-N(H211))</f>
        <v/>
      </c>
      <c r="N211" s="240">
        <f>IF(AND(ISNUMBER(F211),ISNUMBER(G211),F211&gt;0,1-N(Ввод!$E$17)/100&gt;0),MAX(0,(F211*G211-SUMPRODUCT((Закрытые!$B$5:$B$300=$B211)*((Закрытые!$F$5:$F$300+Закрытые!$I$5:$I$300-ABS(Закрытые!$F$5:$F$300-Закрытые!$I$5:$I$300))/2)*(Закрытые!$J$5:$J$300-Закрытые!$G$5:$G$300)))/F211)/(1-N(Ввод!$E$17)/100),IF(AND(ISNUMBER(I211),ISNUMBER(J211),I211&gt;0),MAX(0,(I211*J211+SUMPRODUCT((Закрытые!$B$5:$B$300=$B211)*((Закрытые!$F$5:$F$300+Закрытые!$I$5:$I$300-ABS(Закрытые!$F$5:$F$300-Закрытые!$I$5:$I$300))/2)*(Закрытые!$J$5:$J$300-Закрытые!$G$5:$G$300)))/I211)/(1+N(Ввод!$E$17)/100),""))</f>
        <v/>
      </c>
    </row>
    <row r="212" ht="22" customHeight="1">
      <c r="B212" s="318" t="n"/>
      <c r="C212" s="319" t="n"/>
      <c r="D212" s="318" t="n"/>
      <c r="E212" s="320" t="n"/>
      <c r="F212" s="321" t="n"/>
      <c r="G212" s="322" t="n"/>
      <c r="H212" s="271">
        <f>IF(AND(ISNUMBER(F212),ISNUMBER(G212)),F212*G212,"")</f>
        <v/>
      </c>
      <c r="I212" s="321" t="n"/>
      <c r="J212" s="322" t="n"/>
      <c r="K212" s="271">
        <f>IF(AND(ISNUMBER(I212),ISNUMBER(J212)),I212*J212,"")</f>
        <v/>
      </c>
      <c r="L212" s="246">
        <f>IF(COUNT(F212,I212)=0,"",N(F212)-N(I212))</f>
        <v/>
      </c>
      <c r="M212" s="247">
        <f>IF(COUNT(H212,K212)=0,"",N(K212)-N(H212))</f>
        <v/>
      </c>
      <c r="N212" s="246">
        <f>IF(AND(ISNUMBER(F212),ISNUMBER(G212),F212&gt;0,1-N(Ввод!$E$17)/100&gt;0),MAX(0,(F212*G212-SUMPRODUCT((Закрытые!$B$5:$B$300=$B212)*((Закрытые!$F$5:$F$300+Закрытые!$I$5:$I$300-ABS(Закрытые!$F$5:$F$300-Закрытые!$I$5:$I$300))/2)*(Закрытые!$J$5:$J$300-Закрытые!$G$5:$G$300)))/F212)/(1-N(Ввод!$E$17)/100),IF(AND(ISNUMBER(I212),ISNUMBER(J212),I212&gt;0),MAX(0,(I212*J212+SUMPRODUCT((Закрытые!$B$5:$B$300=$B212)*((Закрытые!$F$5:$F$300+Закрытые!$I$5:$I$300-ABS(Закрытые!$F$5:$F$300-Закрытые!$I$5:$I$300))/2)*(Закрытые!$J$5:$J$300-Закрытые!$G$5:$G$300)))/I212)/(1+N(Ввод!$E$17)/100),""))</f>
        <v/>
      </c>
    </row>
    <row r="213" ht="22" customHeight="1">
      <c r="B213" s="313" t="n"/>
      <c r="C213" s="314" t="n"/>
      <c r="D213" s="313" t="n"/>
      <c r="E213" s="315" t="n"/>
      <c r="F213" s="316" t="n"/>
      <c r="G213" s="317" t="n"/>
      <c r="H213" s="271">
        <f>IF(AND(ISNUMBER(F213),ISNUMBER(G213)),F213*G213,"")</f>
        <v/>
      </c>
      <c r="I213" s="316" t="n"/>
      <c r="J213" s="317" t="n"/>
      <c r="K213" s="271">
        <f>IF(AND(ISNUMBER(I213),ISNUMBER(J213)),I213*J213,"")</f>
        <v/>
      </c>
      <c r="L213" s="240">
        <f>IF(COUNT(F213,I213)=0,"",N(F213)-N(I213))</f>
        <v/>
      </c>
      <c r="M213" s="241">
        <f>IF(COUNT(H213,K213)=0,"",N(K213)-N(H213))</f>
        <v/>
      </c>
      <c r="N213" s="240">
        <f>IF(AND(ISNUMBER(F213),ISNUMBER(G213),F213&gt;0,1-N(Ввод!$E$17)/100&gt;0),MAX(0,(F213*G213-SUMPRODUCT((Закрытые!$B$5:$B$300=$B213)*((Закрытые!$F$5:$F$300+Закрытые!$I$5:$I$300-ABS(Закрытые!$F$5:$F$300-Закрытые!$I$5:$I$300))/2)*(Закрытые!$J$5:$J$300-Закрытые!$G$5:$G$300)))/F213)/(1-N(Ввод!$E$17)/100),IF(AND(ISNUMBER(I213),ISNUMBER(J213),I213&gt;0),MAX(0,(I213*J213+SUMPRODUCT((Закрытые!$B$5:$B$300=$B213)*((Закрытые!$F$5:$F$300+Закрытые!$I$5:$I$300-ABS(Закрытые!$F$5:$F$300-Закрытые!$I$5:$I$300))/2)*(Закрытые!$J$5:$J$300-Закрытые!$G$5:$G$300)))/I213)/(1+N(Ввод!$E$17)/100),""))</f>
        <v/>
      </c>
    </row>
    <row r="214" ht="22" customHeight="1">
      <c r="B214" s="318" t="n"/>
      <c r="C214" s="319" t="n"/>
      <c r="D214" s="318" t="n"/>
      <c r="E214" s="320" t="n"/>
      <c r="F214" s="321" t="n"/>
      <c r="G214" s="322" t="n"/>
      <c r="H214" s="271">
        <f>IF(AND(ISNUMBER(F214),ISNUMBER(G214)),F214*G214,"")</f>
        <v/>
      </c>
      <c r="I214" s="321" t="n"/>
      <c r="J214" s="322" t="n"/>
      <c r="K214" s="271">
        <f>IF(AND(ISNUMBER(I214),ISNUMBER(J214)),I214*J214,"")</f>
        <v/>
      </c>
      <c r="L214" s="246">
        <f>IF(COUNT(F214,I214)=0,"",N(F214)-N(I214))</f>
        <v/>
      </c>
      <c r="M214" s="247">
        <f>IF(COUNT(H214,K214)=0,"",N(K214)-N(H214))</f>
        <v/>
      </c>
      <c r="N214" s="246">
        <f>IF(AND(ISNUMBER(F214),ISNUMBER(G214),F214&gt;0,1-N(Ввод!$E$17)/100&gt;0),MAX(0,(F214*G214-SUMPRODUCT((Закрытые!$B$5:$B$300=$B214)*((Закрытые!$F$5:$F$300+Закрытые!$I$5:$I$300-ABS(Закрытые!$F$5:$F$300-Закрытые!$I$5:$I$300))/2)*(Закрытые!$J$5:$J$300-Закрытые!$G$5:$G$300)))/F214)/(1-N(Ввод!$E$17)/100),IF(AND(ISNUMBER(I214),ISNUMBER(J214),I214&gt;0),MAX(0,(I214*J214+SUMPRODUCT((Закрытые!$B$5:$B$300=$B214)*((Закрытые!$F$5:$F$300+Закрытые!$I$5:$I$300-ABS(Закрытые!$F$5:$F$300-Закрытые!$I$5:$I$300))/2)*(Закрытые!$J$5:$J$300-Закрытые!$G$5:$G$300)))/I214)/(1+N(Ввод!$E$17)/100),""))</f>
        <v/>
      </c>
    </row>
    <row r="215" ht="22" customHeight="1">
      <c r="B215" s="313" t="n"/>
      <c r="C215" s="314" t="n"/>
      <c r="D215" s="313" t="n"/>
      <c r="E215" s="315" t="n"/>
      <c r="F215" s="316" t="n"/>
      <c r="G215" s="317" t="n"/>
      <c r="H215" s="271">
        <f>IF(AND(ISNUMBER(F215),ISNUMBER(G215)),F215*G215,"")</f>
        <v/>
      </c>
      <c r="I215" s="316" t="n"/>
      <c r="J215" s="317" t="n"/>
      <c r="K215" s="271">
        <f>IF(AND(ISNUMBER(I215),ISNUMBER(J215)),I215*J215,"")</f>
        <v/>
      </c>
      <c r="L215" s="240">
        <f>IF(COUNT(F215,I215)=0,"",N(F215)-N(I215))</f>
        <v/>
      </c>
      <c r="M215" s="241">
        <f>IF(COUNT(H215,K215)=0,"",N(K215)-N(H215))</f>
        <v/>
      </c>
      <c r="N215" s="240">
        <f>IF(AND(ISNUMBER(F215),ISNUMBER(G215),F215&gt;0,1-N(Ввод!$E$17)/100&gt;0),MAX(0,(F215*G215-SUMPRODUCT((Закрытые!$B$5:$B$300=$B215)*((Закрытые!$F$5:$F$300+Закрытые!$I$5:$I$300-ABS(Закрытые!$F$5:$F$300-Закрытые!$I$5:$I$300))/2)*(Закрытые!$J$5:$J$300-Закрытые!$G$5:$G$300)))/F215)/(1-N(Ввод!$E$17)/100),IF(AND(ISNUMBER(I215),ISNUMBER(J215),I215&gt;0),MAX(0,(I215*J215+SUMPRODUCT((Закрытые!$B$5:$B$300=$B215)*((Закрытые!$F$5:$F$300+Закрытые!$I$5:$I$300-ABS(Закрытые!$F$5:$F$300-Закрытые!$I$5:$I$300))/2)*(Закрытые!$J$5:$J$300-Закрытые!$G$5:$G$300)))/I215)/(1+N(Ввод!$E$17)/100),""))</f>
        <v/>
      </c>
    </row>
    <row r="216" ht="22" customHeight="1">
      <c r="B216" s="318" t="n"/>
      <c r="C216" s="319" t="n"/>
      <c r="D216" s="318" t="n"/>
      <c r="E216" s="320" t="n"/>
      <c r="F216" s="321" t="n"/>
      <c r="G216" s="322" t="n"/>
      <c r="H216" s="271">
        <f>IF(AND(ISNUMBER(F216),ISNUMBER(G216)),F216*G216,"")</f>
        <v/>
      </c>
      <c r="I216" s="321" t="n"/>
      <c r="J216" s="322" t="n"/>
      <c r="K216" s="271">
        <f>IF(AND(ISNUMBER(I216),ISNUMBER(J216)),I216*J216,"")</f>
        <v/>
      </c>
      <c r="L216" s="246">
        <f>IF(COUNT(F216,I216)=0,"",N(F216)-N(I216))</f>
        <v/>
      </c>
      <c r="M216" s="247">
        <f>IF(COUNT(H216,K216)=0,"",N(K216)-N(H216))</f>
        <v/>
      </c>
      <c r="N216" s="246">
        <f>IF(AND(ISNUMBER(F216),ISNUMBER(G216),F216&gt;0,1-N(Ввод!$E$17)/100&gt;0),MAX(0,(F216*G216-SUMPRODUCT((Закрытые!$B$5:$B$300=$B216)*((Закрытые!$F$5:$F$300+Закрытые!$I$5:$I$300-ABS(Закрытые!$F$5:$F$300-Закрытые!$I$5:$I$300))/2)*(Закрытые!$J$5:$J$300-Закрытые!$G$5:$G$300)))/F216)/(1-N(Ввод!$E$17)/100),IF(AND(ISNUMBER(I216),ISNUMBER(J216),I216&gt;0),MAX(0,(I216*J216+SUMPRODUCT((Закрытые!$B$5:$B$300=$B216)*((Закрытые!$F$5:$F$300+Закрытые!$I$5:$I$300-ABS(Закрытые!$F$5:$F$300-Закрытые!$I$5:$I$300))/2)*(Закрытые!$J$5:$J$300-Закрытые!$G$5:$G$300)))/I216)/(1+N(Ввод!$E$17)/100),""))</f>
        <v/>
      </c>
    </row>
    <row r="217" ht="22" customHeight="1">
      <c r="B217" s="313" t="n"/>
      <c r="C217" s="314" t="n"/>
      <c r="D217" s="313" t="n"/>
      <c r="E217" s="315" t="n"/>
      <c r="F217" s="316" t="n"/>
      <c r="G217" s="317" t="n"/>
      <c r="H217" s="271">
        <f>IF(AND(ISNUMBER(F217),ISNUMBER(G217)),F217*G217,"")</f>
        <v/>
      </c>
      <c r="I217" s="316" t="n"/>
      <c r="J217" s="317" t="n"/>
      <c r="K217" s="271">
        <f>IF(AND(ISNUMBER(I217),ISNUMBER(J217)),I217*J217,"")</f>
        <v/>
      </c>
      <c r="L217" s="240">
        <f>IF(COUNT(F217,I217)=0,"",N(F217)-N(I217))</f>
        <v/>
      </c>
      <c r="M217" s="241">
        <f>IF(COUNT(H217,K217)=0,"",N(K217)-N(H217))</f>
        <v/>
      </c>
      <c r="N217" s="240">
        <f>IF(AND(ISNUMBER(F217),ISNUMBER(G217),F217&gt;0,1-N(Ввод!$E$17)/100&gt;0),MAX(0,(F217*G217-SUMPRODUCT((Закрытые!$B$5:$B$300=$B217)*((Закрытые!$F$5:$F$300+Закрытые!$I$5:$I$300-ABS(Закрытые!$F$5:$F$300-Закрытые!$I$5:$I$300))/2)*(Закрытые!$J$5:$J$300-Закрытые!$G$5:$G$300)))/F217)/(1-N(Ввод!$E$17)/100),IF(AND(ISNUMBER(I217),ISNUMBER(J217),I217&gt;0),MAX(0,(I217*J217+SUMPRODUCT((Закрытые!$B$5:$B$300=$B217)*((Закрытые!$F$5:$F$300+Закрытые!$I$5:$I$300-ABS(Закрытые!$F$5:$F$300-Закрытые!$I$5:$I$300))/2)*(Закрытые!$J$5:$J$300-Закрытые!$G$5:$G$300)))/I217)/(1+N(Ввод!$E$17)/100),""))</f>
        <v/>
      </c>
    </row>
    <row r="218" ht="22" customHeight="1">
      <c r="B218" s="318" t="n"/>
      <c r="C218" s="319" t="n"/>
      <c r="D218" s="318" t="n"/>
      <c r="E218" s="320" t="n"/>
      <c r="F218" s="321" t="n"/>
      <c r="G218" s="322" t="n"/>
      <c r="H218" s="271">
        <f>IF(AND(ISNUMBER(F218),ISNUMBER(G218)),F218*G218,"")</f>
        <v/>
      </c>
      <c r="I218" s="321" t="n"/>
      <c r="J218" s="322" t="n"/>
      <c r="K218" s="271">
        <f>IF(AND(ISNUMBER(I218),ISNUMBER(J218)),I218*J218,"")</f>
        <v/>
      </c>
      <c r="L218" s="246">
        <f>IF(COUNT(F218,I218)=0,"",N(F218)-N(I218))</f>
        <v/>
      </c>
      <c r="M218" s="247">
        <f>IF(COUNT(H218,K218)=0,"",N(K218)-N(H218))</f>
        <v/>
      </c>
      <c r="N218" s="246">
        <f>IF(AND(ISNUMBER(F218),ISNUMBER(G218),F218&gt;0,1-N(Ввод!$E$17)/100&gt;0),MAX(0,(F218*G218-SUMPRODUCT((Закрытые!$B$5:$B$300=$B218)*((Закрытые!$F$5:$F$300+Закрытые!$I$5:$I$300-ABS(Закрытые!$F$5:$F$300-Закрытые!$I$5:$I$300))/2)*(Закрытые!$J$5:$J$300-Закрытые!$G$5:$G$300)))/F218)/(1-N(Ввод!$E$17)/100),IF(AND(ISNUMBER(I218),ISNUMBER(J218),I218&gt;0),MAX(0,(I218*J218+SUMPRODUCT((Закрытые!$B$5:$B$300=$B218)*((Закрытые!$F$5:$F$300+Закрытые!$I$5:$I$300-ABS(Закрытые!$F$5:$F$300-Закрытые!$I$5:$I$300))/2)*(Закрытые!$J$5:$J$300-Закрытые!$G$5:$G$300)))/I218)/(1+N(Ввод!$E$17)/100),""))</f>
        <v/>
      </c>
    </row>
    <row r="219" ht="22" customHeight="1">
      <c r="B219" s="313" t="n"/>
      <c r="C219" s="314" t="n"/>
      <c r="D219" s="313" t="n"/>
      <c r="E219" s="315" t="n"/>
      <c r="F219" s="316" t="n"/>
      <c r="G219" s="317" t="n"/>
      <c r="H219" s="271">
        <f>IF(AND(ISNUMBER(F219),ISNUMBER(G219)),F219*G219,"")</f>
        <v/>
      </c>
      <c r="I219" s="316" t="n"/>
      <c r="J219" s="317" t="n"/>
      <c r="K219" s="271">
        <f>IF(AND(ISNUMBER(I219),ISNUMBER(J219)),I219*J219,"")</f>
        <v/>
      </c>
      <c r="L219" s="240">
        <f>IF(COUNT(F219,I219)=0,"",N(F219)-N(I219))</f>
        <v/>
      </c>
      <c r="M219" s="241">
        <f>IF(COUNT(H219,K219)=0,"",N(K219)-N(H219))</f>
        <v/>
      </c>
      <c r="N219" s="240">
        <f>IF(AND(ISNUMBER(F219),ISNUMBER(G219),F219&gt;0,1-N(Ввод!$E$17)/100&gt;0),MAX(0,(F219*G219-SUMPRODUCT((Закрытые!$B$5:$B$300=$B219)*((Закрытые!$F$5:$F$300+Закрытые!$I$5:$I$300-ABS(Закрытые!$F$5:$F$300-Закрытые!$I$5:$I$300))/2)*(Закрытые!$J$5:$J$300-Закрытые!$G$5:$G$300)))/F219)/(1-N(Ввод!$E$17)/100),IF(AND(ISNUMBER(I219),ISNUMBER(J219),I219&gt;0),MAX(0,(I219*J219+SUMPRODUCT((Закрытые!$B$5:$B$300=$B219)*((Закрытые!$F$5:$F$300+Закрытые!$I$5:$I$300-ABS(Закрытые!$F$5:$F$300-Закрытые!$I$5:$I$300))/2)*(Закрытые!$J$5:$J$300-Закрытые!$G$5:$G$300)))/I219)/(1+N(Ввод!$E$17)/100),""))</f>
        <v/>
      </c>
    </row>
    <row r="220" ht="22" customHeight="1">
      <c r="B220" s="318" t="n"/>
      <c r="C220" s="319" t="n"/>
      <c r="D220" s="318" t="n"/>
      <c r="E220" s="320" t="n"/>
      <c r="F220" s="321" t="n"/>
      <c r="G220" s="322" t="n"/>
      <c r="H220" s="271">
        <f>IF(AND(ISNUMBER(F220),ISNUMBER(G220)),F220*G220,"")</f>
        <v/>
      </c>
      <c r="I220" s="321" t="n"/>
      <c r="J220" s="322" t="n"/>
      <c r="K220" s="271">
        <f>IF(AND(ISNUMBER(I220),ISNUMBER(J220)),I220*J220,"")</f>
        <v/>
      </c>
      <c r="L220" s="246">
        <f>IF(COUNT(F220,I220)=0,"",N(F220)-N(I220))</f>
        <v/>
      </c>
      <c r="M220" s="247">
        <f>IF(COUNT(H220,K220)=0,"",N(K220)-N(H220))</f>
        <v/>
      </c>
      <c r="N220" s="246">
        <f>IF(AND(ISNUMBER(F220),ISNUMBER(G220),F220&gt;0,1-N(Ввод!$E$17)/100&gt;0),MAX(0,(F220*G220-SUMPRODUCT((Закрытые!$B$5:$B$300=$B220)*((Закрытые!$F$5:$F$300+Закрытые!$I$5:$I$300-ABS(Закрытые!$F$5:$F$300-Закрытые!$I$5:$I$300))/2)*(Закрытые!$J$5:$J$300-Закрытые!$G$5:$G$300)))/F220)/(1-N(Ввод!$E$17)/100),IF(AND(ISNUMBER(I220),ISNUMBER(J220),I220&gt;0),MAX(0,(I220*J220+SUMPRODUCT((Закрытые!$B$5:$B$300=$B220)*((Закрытые!$F$5:$F$300+Закрытые!$I$5:$I$300-ABS(Закрытые!$F$5:$F$300-Закрытые!$I$5:$I$300))/2)*(Закрытые!$J$5:$J$300-Закрытые!$G$5:$G$300)))/I220)/(1+N(Ввод!$E$17)/100),""))</f>
        <v/>
      </c>
    </row>
    <row r="221" ht="22" customHeight="1">
      <c r="B221" s="313" t="n"/>
      <c r="C221" s="314" t="n"/>
      <c r="D221" s="313" t="n"/>
      <c r="E221" s="315" t="n"/>
      <c r="F221" s="316" t="n"/>
      <c r="G221" s="317" t="n"/>
      <c r="H221" s="271">
        <f>IF(AND(ISNUMBER(F221),ISNUMBER(G221)),F221*G221,"")</f>
        <v/>
      </c>
      <c r="I221" s="316" t="n"/>
      <c r="J221" s="317" t="n"/>
      <c r="K221" s="271">
        <f>IF(AND(ISNUMBER(I221),ISNUMBER(J221)),I221*J221,"")</f>
        <v/>
      </c>
      <c r="L221" s="240">
        <f>IF(COUNT(F221,I221)=0,"",N(F221)-N(I221))</f>
        <v/>
      </c>
      <c r="M221" s="241">
        <f>IF(COUNT(H221,K221)=0,"",N(K221)-N(H221))</f>
        <v/>
      </c>
      <c r="N221" s="240">
        <f>IF(AND(ISNUMBER(F221),ISNUMBER(G221),F221&gt;0,1-N(Ввод!$E$17)/100&gt;0),MAX(0,(F221*G221-SUMPRODUCT((Закрытые!$B$5:$B$300=$B221)*((Закрытые!$F$5:$F$300+Закрытые!$I$5:$I$300-ABS(Закрытые!$F$5:$F$300-Закрытые!$I$5:$I$300))/2)*(Закрытые!$J$5:$J$300-Закрытые!$G$5:$G$300)))/F221)/(1-N(Ввод!$E$17)/100),IF(AND(ISNUMBER(I221),ISNUMBER(J221),I221&gt;0),MAX(0,(I221*J221+SUMPRODUCT((Закрытые!$B$5:$B$300=$B221)*((Закрытые!$F$5:$F$300+Закрытые!$I$5:$I$300-ABS(Закрытые!$F$5:$F$300-Закрытые!$I$5:$I$300))/2)*(Закрытые!$J$5:$J$300-Закрытые!$G$5:$G$300)))/I221)/(1+N(Ввод!$E$17)/100),""))</f>
        <v/>
      </c>
    </row>
    <row r="222" ht="22" customHeight="1">
      <c r="B222" s="318" t="n"/>
      <c r="C222" s="319" t="n"/>
      <c r="D222" s="318" t="n"/>
      <c r="E222" s="320" t="n"/>
      <c r="F222" s="321" t="n"/>
      <c r="G222" s="322" t="n"/>
      <c r="H222" s="271">
        <f>IF(AND(ISNUMBER(F222),ISNUMBER(G222)),F222*G222,"")</f>
        <v/>
      </c>
      <c r="I222" s="321" t="n"/>
      <c r="J222" s="322" t="n"/>
      <c r="K222" s="271">
        <f>IF(AND(ISNUMBER(I222),ISNUMBER(J222)),I222*J222,"")</f>
        <v/>
      </c>
      <c r="L222" s="246">
        <f>IF(COUNT(F222,I222)=0,"",N(F222)-N(I222))</f>
        <v/>
      </c>
      <c r="M222" s="247">
        <f>IF(COUNT(H222,K222)=0,"",N(K222)-N(H222))</f>
        <v/>
      </c>
      <c r="N222" s="246">
        <f>IF(AND(ISNUMBER(F222),ISNUMBER(G222),F222&gt;0,1-N(Ввод!$E$17)/100&gt;0),MAX(0,(F222*G222-SUMPRODUCT((Закрытые!$B$5:$B$300=$B222)*((Закрытые!$F$5:$F$300+Закрытые!$I$5:$I$300-ABS(Закрытые!$F$5:$F$300-Закрытые!$I$5:$I$300))/2)*(Закрытые!$J$5:$J$300-Закрытые!$G$5:$G$300)))/F222)/(1-N(Ввод!$E$17)/100),IF(AND(ISNUMBER(I222),ISNUMBER(J222),I222&gt;0),MAX(0,(I222*J222+SUMPRODUCT((Закрытые!$B$5:$B$300=$B222)*((Закрытые!$F$5:$F$300+Закрытые!$I$5:$I$300-ABS(Закрытые!$F$5:$F$300-Закрытые!$I$5:$I$300))/2)*(Закрытые!$J$5:$J$300-Закрытые!$G$5:$G$300)))/I222)/(1+N(Ввод!$E$17)/100),""))</f>
        <v/>
      </c>
    </row>
    <row r="223" ht="22" customHeight="1">
      <c r="B223" s="313" t="n"/>
      <c r="C223" s="314" t="n"/>
      <c r="D223" s="313" t="n"/>
      <c r="E223" s="315" t="n"/>
      <c r="F223" s="316" t="n"/>
      <c r="G223" s="317" t="n"/>
      <c r="H223" s="271">
        <f>IF(AND(ISNUMBER(F223),ISNUMBER(G223)),F223*G223,"")</f>
        <v/>
      </c>
      <c r="I223" s="316" t="n"/>
      <c r="J223" s="317" t="n"/>
      <c r="K223" s="271">
        <f>IF(AND(ISNUMBER(I223),ISNUMBER(J223)),I223*J223,"")</f>
        <v/>
      </c>
      <c r="L223" s="240">
        <f>IF(COUNT(F223,I223)=0,"",N(F223)-N(I223))</f>
        <v/>
      </c>
      <c r="M223" s="241">
        <f>IF(COUNT(H223,K223)=0,"",N(K223)-N(H223))</f>
        <v/>
      </c>
      <c r="N223" s="240">
        <f>IF(AND(ISNUMBER(F223),ISNUMBER(G223),F223&gt;0,1-N(Ввод!$E$17)/100&gt;0),MAX(0,(F223*G223-SUMPRODUCT((Закрытые!$B$5:$B$300=$B223)*((Закрытые!$F$5:$F$300+Закрытые!$I$5:$I$300-ABS(Закрытые!$F$5:$F$300-Закрытые!$I$5:$I$300))/2)*(Закрытые!$J$5:$J$300-Закрытые!$G$5:$G$300)))/F223)/(1-N(Ввод!$E$17)/100),IF(AND(ISNUMBER(I223),ISNUMBER(J223),I223&gt;0),MAX(0,(I223*J223+SUMPRODUCT((Закрытые!$B$5:$B$300=$B223)*((Закрытые!$F$5:$F$300+Закрытые!$I$5:$I$300-ABS(Закрытые!$F$5:$F$300-Закрытые!$I$5:$I$300))/2)*(Закрытые!$J$5:$J$300-Закрытые!$G$5:$G$300)))/I223)/(1+N(Ввод!$E$17)/100),""))</f>
        <v/>
      </c>
    </row>
    <row r="224" ht="22" customHeight="1">
      <c r="B224" s="318" t="n"/>
      <c r="C224" s="319" t="n"/>
      <c r="D224" s="318" t="n"/>
      <c r="E224" s="320" t="n"/>
      <c r="F224" s="321" t="n"/>
      <c r="G224" s="322" t="n"/>
      <c r="H224" s="271">
        <f>IF(AND(ISNUMBER(F224),ISNUMBER(G224)),F224*G224,"")</f>
        <v/>
      </c>
      <c r="I224" s="321" t="n"/>
      <c r="J224" s="322" t="n"/>
      <c r="K224" s="271">
        <f>IF(AND(ISNUMBER(I224),ISNUMBER(J224)),I224*J224,"")</f>
        <v/>
      </c>
      <c r="L224" s="246">
        <f>IF(COUNT(F224,I224)=0,"",N(F224)-N(I224))</f>
        <v/>
      </c>
      <c r="M224" s="247">
        <f>IF(COUNT(H224,K224)=0,"",N(K224)-N(H224))</f>
        <v/>
      </c>
      <c r="N224" s="246">
        <f>IF(AND(ISNUMBER(F224),ISNUMBER(G224),F224&gt;0,1-N(Ввод!$E$17)/100&gt;0),MAX(0,(F224*G224-SUMPRODUCT((Закрытые!$B$5:$B$300=$B224)*((Закрытые!$F$5:$F$300+Закрытые!$I$5:$I$300-ABS(Закрытые!$F$5:$F$300-Закрытые!$I$5:$I$300))/2)*(Закрытые!$J$5:$J$300-Закрытые!$G$5:$G$300)))/F224)/(1-N(Ввод!$E$17)/100),IF(AND(ISNUMBER(I224),ISNUMBER(J224),I224&gt;0),MAX(0,(I224*J224+SUMPRODUCT((Закрытые!$B$5:$B$300=$B224)*((Закрытые!$F$5:$F$300+Закрытые!$I$5:$I$300-ABS(Закрытые!$F$5:$F$300-Закрытые!$I$5:$I$300))/2)*(Закрытые!$J$5:$J$300-Закрытые!$G$5:$G$300)))/I224)/(1+N(Ввод!$E$17)/100),""))</f>
        <v/>
      </c>
    </row>
    <row r="225" ht="22" customHeight="1">
      <c r="B225" s="313" t="n"/>
      <c r="C225" s="314" t="n"/>
      <c r="D225" s="313" t="n"/>
      <c r="E225" s="315" t="n"/>
      <c r="F225" s="316" t="n"/>
      <c r="G225" s="317" t="n"/>
      <c r="H225" s="271">
        <f>IF(AND(ISNUMBER(F225),ISNUMBER(G225)),F225*G225,"")</f>
        <v/>
      </c>
      <c r="I225" s="316" t="n"/>
      <c r="J225" s="317" t="n"/>
      <c r="K225" s="271">
        <f>IF(AND(ISNUMBER(I225),ISNUMBER(J225)),I225*J225,"")</f>
        <v/>
      </c>
      <c r="L225" s="240">
        <f>IF(COUNT(F225,I225)=0,"",N(F225)-N(I225))</f>
        <v/>
      </c>
      <c r="M225" s="241">
        <f>IF(COUNT(H225,K225)=0,"",N(K225)-N(H225))</f>
        <v/>
      </c>
      <c r="N225" s="240">
        <f>IF(AND(ISNUMBER(F225),ISNUMBER(G225),F225&gt;0,1-N(Ввод!$E$17)/100&gt;0),MAX(0,(F225*G225-SUMPRODUCT((Закрытые!$B$5:$B$300=$B225)*((Закрытые!$F$5:$F$300+Закрытые!$I$5:$I$300-ABS(Закрытые!$F$5:$F$300-Закрытые!$I$5:$I$300))/2)*(Закрытые!$J$5:$J$300-Закрытые!$G$5:$G$300)))/F225)/(1-N(Ввод!$E$17)/100),IF(AND(ISNUMBER(I225),ISNUMBER(J225),I225&gt;0),MAX(0,(I225*J225+SUMPRODUCT((Закрытые!$B$5:$B$300=$B225)*((Закрытые!$F$5:$F$300+Закрытые!$I$5:$I$300-ABS(Закрытые!$F$5:$F$300-Закрытые!$I$5:$I$300))/2)*(Закрытые!$J$5:$J$300-Закрытые!$G$5:$G$300)))/I225)/(1+N(Ввод!$E$17)/100),""))</f>
        <v/>
      </c>
    </row>
    <row r="226" ht="22" customHeight="1">
      <c r="B226" s="318" t="n"/>
      <c r="C226" s="319" t="n"/>
      <c r="D226" s="318" t="n"/>
      <c r="E226" s="320" t="n"/>
      <c r="F226" s="321" t="n"/>
      <c r="G226" s="322" t="n"/>
      <c r="H226" s="271">
        <f>IF(AND(ISNUMBER(F226),ISNUMBER(G226)),F226*G226,"")</f>
        <v/>
      </c>
      <c r="I226" s="321" t="n"/>
      <c r="J226" s="322" t="n"/>
      <c r="K226" s="271">
        <f>IF(AND(ISNUMBER(I226),ISNUMBER(J226)),I226*J226,"")</f>
        <v/>
      </c>
      <c r="L226" s="246">
        <f>IF(COUNT(F226,I226)=0,"",N(F226)-N(I226))</f>
        <v/>
      </c>
      <c r="M226" s="247">
        <f>IF(COUNT(H226,K226)=0,"",N(K226)-N(H226))</f>
        <v/>
      </c>
      <c r="N226" s="246">
        <f>IF(AND(ISNUMBER(F226),ISNUMBER(G226),F226&gt;0,1-N(Ввод!$E$17)/100&gt;0),MAX(0,(F226*G226-SUMPRODUCT((Закрытые!$B$5:$B$300=$B226)*((Закрытые!$F$5:$F$300+Закрытые!$I$5:$I$300-ABS(Закрытые!$F$5:$F$300-Закрытые!$I$5:$I$300))/2)*(Закрытые!$J$5:$J$300-Закрытые!$G$5:$G$300)))/F226)/(1-N(Ввод!$E$17)/100),IF(AND(ISNUMBER(I226),ISNUMBER(J226),I226&gt;0),MAX(0,(I226*J226+SUMPRODUCT((Закрытые!$B$5:$B$300=$B226)*((Закрытые!$F$5:$F$300+Закрытые!$I$5:$I$300-ABS(Закрытые!$F$5:$F$300-Закрытые!$I$5:$I$300))/2)*(Закрытые!$J$5:$J$300-Закрытые!$G$5:$G$300)))/I226)/(1+N(Ввод!$E$17)/100),""))</f>
        <v/>
      </c>
    </row>
    <row r="227" ht="22" customHeight="1">
      <c r="B227" s="313" t="n"/>
      <c r="C227" s="314" t="n"/>
      <c r="D227" s="313" t="n"/>
      <c r="E227" s="315" t="n"/>
      <c r="F227" s="316" t="n"/>
      <c r="G227" s="317" t="n"/>
      <c r="H227" s="271">
        <f>IF(AND(ISNUMBER(F227),ISNUMBER(G227)),F227*G227,"")</f>
        <v/>
      </c>
      <c r="I227" s="316" t="n"/>
      <c r="J227" s="317" t="n"/>
      <c r="K227" s="271">
        <f>IF(AND(ISNUMBER(I227),ISNUMBER(J227)),I227*J227,"")</f>
        <v/>
      </c>
      <c r="L227" s="240">
        <f>IF(COUNT(F227,I227)=0,"",N(F227)-N(I227))</f>
        <v/>
      </c>
      <c r="M227" s="241">
        <f>IF(COUNT(H227,K227)=0,"",N(K227)-N(H227))</f>
        <v/>
      </c>
      <c r="N227" s="240">
        <f>IF(AND(ISNUMBER(F227),ISNUMBER(G227),F227&gt;0,1-N(Ввод!$E$17)/100&gt;0),MAX(0,(F227*G227-SUMPRODUCT((Закрытые!$B$5:$B$300=$B227)*((Закрытые!$F$5:$F$300+Закрытые!$I$5:$I$300-ABS(Закрытые!$F$5:$F$300-Закрытые!$I$5:$I$300))/2)*(Закрытые!$J$5:$J$300-Закрытые!$G$5:$G$300)))/F227)/(1-N(Ввод!$E$17)/100),IF(AND(ISNUMBER(I227),ISNUMBER(J227),I227&gt;0),MAX(0,(I227*J227+SUMPRODUCT((Закрытые!$B$5:$B$300=$B227)*((Закрытые!$F$5:$F$300+Закрытые!$I$5:$I$300-ABS(Закрытые!$F$5:$F$300-Закрытые!$I$5:$I$300))/2)*(Закрытые!$J$5:$J$300-Закрытые!$G$5:$G$300)))/I227)/(1+N(Ввод!$E$17)/100),""))</f>
        <v/>
      </c>
    </row>
    <row r="228" ht="22" customHeight="1">
      <c r="B228" s="318" t="n"/>
      <c r="C228" s="319" t="n"/>
      <c r="D228" s="318" t="n"/>
      <c r="E228" s="320" t="n"/>
      <c r="F228" s="321" t="n"/>
      <c r="G228" s="322" t="n"/>
      <c r="H228" s="271">
        <f>IF(AND(ISNUMBER(F228),ISNUMBER(G228)),F228*G228,"")</f>
        <v/>
      </c>
      <c r="I228" s="321" t="n"/>
      <c r="J228" s="322" t="n"/>
      <c r="K228" s="271">
        <f>IF(AND(ISNUMBER(I228),ISNUMBER(J228)),I228*J228,"")</f>
        <v/>
      </c>
      <c r="L228" s="246">
        <f>IF(COUNT(F228,I228)=0,"",N(F228)-N(I228))</f>
        <v/>
      </c>
      <c r="M228" s="247">
        <f>IF(COUNT(H228,K228)=0,"",N(K228)-N(H228))</f>
        <v/>
      </c>
      <c r="N228" s="246">
        <f>IF(AND(ISNUMBER(F228),ISNUMBER(G228),F228&gt;0,1-N(Ввод!$E$17)/100&gt;0),MAX(0,(F228*G228-SUMPRODUCT((Закрытые!$B$5:$B$300=$B228)*((Закрытые!$F$5:$F$300+Закрытые!$I$5:$I$300-ABS(Закрытые!$F$5:$F$300-Закрытые!$I$5:$I$300))/2)*(Закрытые!$J$5:$J$300-Закрытые!$G$5:$G$300)))/F228)/(1-N(Ввод!$E$17)/100),IF(AND(ISNUMBER(I228),ISNUMBER(J228),I228&gt;0),MAX(0,(I228*J228+SUMPRODUCT((Закрытые!$B$5:$B$300=$B228)*((Закрытые!$F$5:$F$300+Закрытые!$I$5:$I$300-ABS(Закрытые!$F$5:$F$300-Закрытые!$I$5:$I$300))/2)*(Закрытые!$J$5:$J$300-Закрытые!$G$5:$G$300)))/I228)/(1+N(Ввод!$E$17)/100),""))</f>
        <v/>
      </c>
    </row>
    <row r="229" ht="22" customHeight="1">
      <c r="B229" s="313" t="n"/>
      <c r="C229" s="314" t="n"/>
      <c r="D229" s="313" t="n"/>
      <c r="E229" s="315" t="n"/>
      <c r="F229" s="316" t="n"/>
      <c r="G229" s="317" t="n"/>
      <c r="H229" s="271">
        <f>IF(AND(ISNUMBER(F229),ISNUMBER(G229)),F229*G229,"")</f>
        <v/>
      </c>
      <c r="I229" s="316" t="n"/>
      <c r="J229" s="317" t="n"/>
      <c r="K229" s="271">
        <f>IF(AND(ISNUMBER(I229),ISNUMBER(J229)),I229*J229,"")</f>
        <v/>
      </c>
      <c r="L229" s="240">
        <f>IF(COUNT(F229,I229)=0,"",N(F229)-N(I229))</f>
        <v/>
      </c>
      <c r="M229" s="241">
        <f>IF(COUNT(H229,K229)=0,"",N(K229)-N(H229))</f>
        <v/>
      </c>
      <c r="N229" s="240">
        <f>IF(AND(ISNUMBER(F229),ISNUMBER(G229),F229&gt;0,1-N(Ввод!$E$17)/100&gt;0),MAX(0,(F229*G229-SUMPRODUCT((Закрытые!$B$5:$B$300=$B229)*((Закрытые!$F$5:$F$300+Закрытые!$I$5:$I$300-ABS(Закрытые!$F$5:$F$300-Закрытые!$I$5:$I$300))/2)*(Закрытые!$J$5:$J$300-Закрытые!$G$5:$G$300)))/F229)/(1-N(Ввод!$E$17)/100),IF(AND(ISNUMBER(I229),ISNUMBER(J229),I229&gt;0),MAX(0,(I229*J229+SUMPRODUCT((Закрытые!$B$5:$B$300=$B229)*((Закрытые!$F$5:$F$300+Закрытые!$I$5:$I$300-ABS(Закрытые!$F$5:$F$300-Закрытые!$I$5:$I$300))/2)*(Закрытые!$J$5:$J$300-Закрытые!$G$5:$G$300)))/I229)/(1+N(Ввод!$E$17)/100),""))</f>
        <v/>
      </c>
    </row>
    <row r="230" ht="22" customHeight="1">
      <c r="B230" s="318" t="n"/>
      <c r="C230" s="319" t="n"/>
      <c r="D230" s="318" t="n"/>
      <c r="E230" s="320" t="n"/>
      <c r="F230" s="321" t="n"/>
      <c r="G230" s="322" t="n"/>
      <c r="H230" s="271">
        <f>IF(AND(ISNUMBER(F230),ISNUMBER(G230)),F230*G230,"")</f>
        <v/>
      </c>
      <c r="I230" s="321" t="n"/>
      <c r="J230" s="322" t="n"/>
      <c r="K230" s="271">
        <f>IF(AND(ISNUMBER(I230),ISNUMBER(J230)),I230*J230,"")</f>
        <v/>
      </c>
      <c r="L230" s="246">
        <f>IF(COUNT(F230,I230)=0,"",N(F230)-N(I230))</f>
        <v/>
      </c>
      <c r="M230" s="247">
        <f>IF(COUNT(H230,K230)=0,"",N(K230)-N(H230))</f>
        <v/>
      </c>
      <c r="N230" s="246">
        <f>IF(AND(ISNUMBER(F230),ISNUMBER(G230),F230&gt;0,1-N(Ввод!$E$17)/100&gt;0),MAX(0,(F230*G230-SUMPRODUCT((Закрытые!$B$5:$B$300=$B230)*((Закрытые!$F$5:$F$300+Закрытые!$I$5:$I$300-ABS(Закрытые!$F$5:$F$300-Закрытые!$I$5:$I$300))/2)*(Закрытые!$J$5:$J$300-Закрытые!$G$5:$G$300)))/F230)/(1-N(Ввод!$E$17)/100),IF(AND(ISNUMBER(I230),ISNUMBER(J230),I230&gt;0),MAX(0,(I230*J230+SUMPRODUCT((Закрытые!$B$5:$B$300=$B230)*((Закрытые!$F$5:$F$300+Закрытые!$I$5:$I$300-ABS(Закрытые!$F$5:$F$300-Закрытые!$I$5:$I$300))/2)*(Закрытые!$J$5:$J$300-Закрытые!$G$5:$G$300)))/I230)/(1+N(Ввод!$E$17)/100),""))</f>
        <v/>
      </c>
    </row>
    <row r="231" ht="22" customHeight="1">
      <c r="B231" s="313" t="n"/>
      <c r="C231" s="314" t="n"/>
      <c r="D231" s="313" t="n"/>
      <c r="E231" s="315" t="n"/>
      <c r="F231" s="316" t="n"/>
      <c r="G231" s="317" t="n"/>
      <c r="H231" s="271">
        <f>IF(AND(ISNUMBER(F231),ISNUMBER(G231)),F231*G231,"")</f>
        <v/>
      </c>
      <c r="I231" s="316" t="n"/>
      <c r="J231" s="317" t="n"/>
      <c r="K231" s="271">
        <f>IF(AND(ISNUMBER(I231),ISNUMBER(J231)),I231*J231,"")</f>
        <v/>
      </c>
      <c r="L231" s="240">
        <f>IF(COUNT(F231,I231)=0,"",N(F231)-N(I231))</f>
        <v/>
      </c>
      <c r="M231" s="241">
        <f>IF(COUNT(H231,K231)=0,"",N(K231)-N(H231))</f>
        <v/>
      </c>
      <c r="N231" s="240">
        <f>IF(AND(ISNUMBER(F231),ISNUMBER(G231),F231&gt;0,1-N(Ввод!$E$17)/100&gt;0),MAX(0,(F231*G231-SUMPRODUCT((Закрытые!$B$5:$B$300=$B231)*((Закрытые!$F$5:$F$300+Закрытые!$I$5:$I$300-ABS(Закрытые!$F$5:$F$300-Закрытые!$I$5:$I$300))/2)*(Закрытые!$J$5:$J$300-Закрытые!$G$5:$G$300)))/F231)/(1-N(Ввод!$E$17)/100),IF(AND(ISNUMBER(I231),ISNUMBER(J231),I231&gt;0),MAX(0,(I231*J231+SUMPRODUCT((Закрытые!$B$5:$B$300=$B231)*((Закрытые!$F$5:$F$300+Закрытые!$I$5:$I$300-ABS(Закрытые!$F$5:$F$300-Закрытые!$I$5:$I$300))/2)*(Закрытые!$J$5:$J$300-Закрытые!$G$5:$G$300)))/I231)/(1+N(Ввод!$E$17)/100),""))</f>
        <v/>
      </c>
    </row>
    <row r="232" ht="22" customHeight="1">
      <c r="B232" s="318" t="n"/>
      <c r="C232" s="319" t="n"/>
      <c r="D232" s="318" t="n"/>
      <c r="E232" s="320" t="n"/>
      <c r="F232" s="321" t="n"/>
      <c r="G232" s="322" t="n"/>
      <c r="H232" s="271">
        <f>IF(AND(ISNUMBER(F232),ISNUMBER(G232)),F232*G232,"")</f>
        <v/>
      </c>
      <c r="I232" s="321" t="n"/>
      <c r="J232" s="322" t="n"/>
      <c r="K232" s="271">
        <f>IF(AND(ISNUMBER(I232),ISNUMBER(J232)),I232*J232,"")</f>
        <v/>
      </c>
      <c r="L232" s="246">
        <f>IF(COUNT(F232,I232)=0,"",N(F232)-N(I232))</f>
        <v/>
      </c>
      <c r="M232" s="247">
        <f>IF(COUNT(H232,K232)=0,"",N(K232)-N(H232))</f>
        <v/>
      </c>
      <c r="N232" s="246">
        <f>IF(AND(ISNUMBER(F232),ISNUMBER(G232),F232&gt;0,1-N(Ввод!$E$17)/100&gt;0),MAX(0,(F232*G232-SUMPRODUCT((Закрытые!$B$5:$B$300=$B232)*((Закрытые!$F$5:$F$300+Закрытые!$I$5:$I$300-ABS(Закрытые!$F$5:$F$300-Закрытые!$I$5:$I$300))/2)*(Закрытые!$J$5:$J$300-Закрытые!$G$5:$G$300)))/F232)/(1-N(Ввод!$E$17)/100),IF(AND(ISNUMBER(I232),ISNUMBER(J232),I232&gt;0),MAX(0,(I232*J232+SUMPRODUCT((Закрытые!$B$5:$B$300=$B232)*((Закрытые!$F$5:$F$300+Закрытые!$I$5:$I$300-ABS(Закрытые!$F$5:$F$300-Закрытые!$I$5:$I$300))/2)*(Закрытые!$J$5:$J$300-Закрытые!$G$5:$G$300)))/I232)/(1+N(Ввод!$E$17)/100),""))</f>
        <v/>
      </c>
    </row>
    <row r="233" ht="22" customHeight="1">
      <c r="B233" s="313" t="n"/>
      <c r="C233" s="314" t="n"/>
      <c r="D233" s="313" t="n"/>
      <c r="E233" s="315" t="n"/>
      <c r="F233" s="316" t="n"/>
      <c r="G233" s="317" t="n"/>
      <c r="H233" s="271">
        <f>IF(AND(ISNUMBER(F233),ISNUMBER(G233)),F233*G233,"")</f>
        <v/>
      </c>
      <c r="I233" s="316" t="n"/>
      <c r="J233" s="317" t="n"/>
      <c r="K233" s="271">
        <f>IF(AND(ISNUMBER(I233),ISNUMBER(J233)),I233*J233,"")</f>
        <v/>
      </c>
      <c r="L233" s="240">
        <f>IF(COUNT(F233,I233)=0,"",N(F233)-N(I233))</f>
        <v/>
      </c>
      <c r="M233" s="241">
        <f>IF(COUNT(H233,K233)=0,"",N(K233)-N(H233))</f>
        <v/>
      </c>
      <c r="N233" s="240">
        <f>IF(AND(ISNUMBER(F233),ISNUMBER(G233),F233&gt;0,1-N(Ввод!$E$17)/100&gt;0),MAX(0,(F233*G233-SUMPRODUCT((Закрытые!$B$5:$B$300=$B233)*((Закрытые!$F$5:$F$300+Закрытые!$I$5:$I$300-ABS(Закрытые!$F$5:$F$300-Закрытые!$I$5:$I$300))/2)*(Закрытые!$J$5:$J$300-Закрытые!$G$5:$G$300)))/F233)/(1-N(Ввод!$E$17)/100),IF(AND(ISNUMBER(I233),ISNUMBER(J233),I233&gt;0),MAX(0,(I233*J233+SUMPRODUCT((Закрытые!$B$5:$B$300=$B233)*((Закрытые!$F$5:$F$300+Закрытые!$I$5:$I$300-ABS(Закрытые!$F$5:$F$300-Закрытые!$I$5:$I$300))/2)*(Закрытые!$J$5:$J$300-Закрытые!$G$5:$G$300)))/I233)/(1+N(Ввод!$E$17)/100),""))</f>
        <v/>
      </c>
    </row>
    <row r="234" ht="22" customHeight="1">
      <c r="B234" s="318" t="n"/>
      <c r="C234" s="319" t="n"/>
      <c r="D234" s="318" t="n"/>
      <c r="E234" s="320" t="n"/>
      <c r="F234" s="321" t="n"/>
      <c r="G234" s="322" t="n"/>
      <c r="H234" s="271">
        <f>IF(AND(ISNUMBER(F234),ISNUMBER(G234)),F234*G234,"")</f>
        <v/>
      </c>
      <c r="I234" s="321" t="n"/>
      <c r="J234" s="322" t="n"/>
      <c r="K234" s="271">
        <f>IF(AND(ISNUMBER(I234),ISNUMBER(J234)),I234*J234,"")</f>
        <v/>
      </c>
      <c r="L234" s="246">
        <f>IF(COUNT(F234,I234)=0,"",N(F234)-N(I234))</f>
        <v/>
      </c>
      <c r="M234" s="247">
        <f>IF(COUNT(H234,K234)=0,"",N(K234)-N(H234))</f>
        <v/>
      </c>
      <c r="N234" s="246">
        <f>IF(AND(ISNUMBER(F234),ISNUMBER(G234),F234&gt;0,1-N(Ввод!$E$17)/100&gt;0),MAX(0,(F234*G234-SUMPRODUCT((Закрытые!$B$5:$B$300=$B234)*((Закрытые!$F$5:$F$300+Закрытые!$I$5:$I$300-ABS(Закрытые!$F$5:$F$300-Закрытые!$I$5:$I$300))/2)*(Закрытые!$J$5:$J$300-Закрытые!$G$5:$G$300)))/F234)/(1-N(Ввод!$E$17)/100),IF(AND(ISNUMBER(I234),ISNUMBER(J234),I234&gt;0),MAX(0,(I234*J234+SUMPRODUCT((Закрытые!$B$5:$B$300=$B234)*((Закрытые!$F$5:$F$300+Закрытые!$I$5:$I$300-ABS(Закрытые!$F$5:$F$300-Закрытые!$I$5:$I$300))/2)*(Закрытые!$J$5:$J$300-Закрытые!$G$5:$G$300)))/I234)/(1+N(Ввод!$E$17)/100),""))</f>
        <v/>
      </c>
    </row>
    <row r="235" ht="22" customHeight="1">
      <c r="B235" s="313" t="n"/>
      <c r="C235" s="314" t="n"/>
      <c r="D235" s="313" t="n"/>
      <c r="E235" s="315" t="n"/>
      <c r="F235" s="316" t="n"/>
      <c r="G235" s="317" t="n"/>
      <c r="H235" s="271">
        <f>IF(AND(ISNUMBER(F235),ISNUMBER(G235)),F235*G235,"")</f>
        <v/>
      </c>
      <c r="I235" s="316" t="n"/>
      <c r="J235" s="317" t="n"/>
      <c r="K235" s="271">
        <f>IF(AND(ISNUMBER(I235),ISNUMBER(J235)),I235*J235,"")</f>
        <v/>
      </c>
      <c r="L235" s="240">
        <f>IF(COUNT(F235,I235)=0,"",N(F235)-N(I235))</f>
        <v/>
      </c>
      <c r="M235" s="241">
        <f>IF(COUNT(H235,K235)=0,"",N(K235)-N(H235))</f>
        <v/>
      </c>
      <c r="N235" s="240">
        <f>IF(AND(ISNUMBER(F235),ISNUMBER(G235),F235&gt;0,1-N(Ввод!$E$17)/100&gt;0),MAX(0,(F235*G235-SUMPRODUCT((Закрытые!$B$5:$B$300=$B235)*((Закрытые!$F$5:$F$300+Закрытые!$I$5:$I$300-ABS(Закрытые!$F$5:$F$300-Закрытые!$I$5:$I$300))/2)*(Закрытые!$J$5:$J$300-Закрытые!$G$5:$G$300)))/F235)/(1-N(Ввод!$E$17)/100),IF(AND(ISNUMBER(I235),ISNUMBER(J235),I235&gt;0),MAX(0,(I235*J235+SUMPRODUCT((Закрытые!$B$5:$B$300=$B235)*((Закрытые!$F$5:$F$300+Закрытые!$I$5:$I$300-ABS(Закрытые!$F$5:$F$300-Закрытые!$I$5:$I$300))/2)*(Закрытые!$J$5:$J$300-Закрытые!$G$5:$G$300)))/I235)/(1+N(Ввод!$E$17)/100),""))</f>
        <v/>
      </c>
    </row>
    <row r="236" ht="22" customHeight="1">
      <c r="B236" s="318" t="n"/>
      <c r="C236" s="319" t="n"/>
      <c r="D236" s="318" t="n"/>
      <c r="E236" s="320" t="n"/>
      <c r="F236" s="321" t="n"/>
      <c r="G236" s="322" t="n"/>
      <c r="H236" s="271">
        <f>IF(AND(ISNUMBER(F236),ISNUMBER(G236)),F236*G236,"")</f>
        <v/>
      </c>
      <c r="I236" s="321" t="n"/>
      <c r="J236" s="322" t="n"/>
      <c r="K236" s="271">
        <f>IF(AND(ISNUMBER(I236),ISNUMBER(J236)),I236*J236,"")</f>
        <v/>
      </c>
      <c r="L236" s="246">
        <f>IF(COUNT(F236,I236)=0,"",N(F236)-N(I236))</f>
        <v/>
      </c>
      <c r="M236" s="247">
        <f>IF(COUNT(H236,K236)=0,"",N(K236)-N(H236))</f>
        <v/>
      </c>
      <c r="N236" s="246">
        <f>IF(AND(ISNUMBER(F236),ISNUMBER(G236),F236&gt;0,1-N(Ввод!$E$17)/100&gt;0),MAX(0,(F236*G236-SUMPRODUCT((Закрытые!$B$5:$B$300=$B236)*((Закрытые!$F$5:$F$300+Закрытые!$I$5:$I$300-ABS(Закрытые!$F$5:$F$300-Закрытые!$I$5:$I$300))/2)*(Закрытые!$J$5:$J$300-Закрытые!$G$5:$G$300)))/F236)/(1-N(Ввод!$E$17)/100),IF(AND(ISNUMBER(I236),ISNUMBER(J236),I236&gt;0),MAX(0,(I236*J236+SUMPRODUCT((Закрытые!$B$5:$B$300=$B236)*((Закрытые!$F$5:$F$300+Закрытые!$I$5:$I$300-ABS(Закрытые!$F$5:$F$300-Закрытые!$I$5:$I$300))/2)*(Закрытые!$J$5:$J$300-Закрытые!$G$5:$G$300)))/I236)/(1+N(Ввод!$E$17)/100),""))</f>
        <v/>
      </c>
    </row>
    <row r="237" ht="22" customHeight="1">
      <c r="B237" s="313" t="n"/>
      <c r="C237" s="314" t="n"/>
      <c r="D237" s="313" t="n"/>
      <c r="E237" s="315" t="n"/>
      <c r="F237" s="316" t="n"/>
      <c r="G237" s="317" t="n"/>
      <c r="H237" s="271">
        <f>IF(AND(ISNUMBER(F237),ISNUMBER(G237)),F237*G237,"")</f>
        <v/>
      </c>
      <c r="I237" s="316" t="n"/>
      <c r="J237" s="317" t="n"/>
      <c r="K237" s="271">
        <f>IF(AND(ISNUMBER(I237),ISNUMBER(J237)),I237*J237,"")</f>
        <v/>
      </c>
      <c r="L237" s="240">
        <f>IF(COUNT(F237,I237)=0,"",N(F237)-N(I237))</f>
        <v/>
      </c>
      <c r="M237" s="241">
        <f>IF(COUNT(H237,K237)=0,"",N(K237)-N(H237))</f>
        <v/>
      </c>
      <c r="N237" s="240">
        <f>IF(AND(ISNUMBER(F237),ISNUMBER(G237),F237&gt;0,1-N(Ввод!$E$17)/100&gt;0),MAX(0,(F237*G237-SUMPRODUCT((Закрытые!$B$5:$B$300=$B237)*((Закрытые!$F$5:$F$300+Закрытые!$I$5:$I$300-ABS(Закрытые!$F$5:$F$300-Закрытые!$I$5:$I$300))/2)*(Закрытые!$J$5:$J$300-Закрытые!$G$5:$G$300)))/F237)/(1-N(Ввод!$E$17)/100),IF(AND(ISNUMBER(I237),ISNUMBER(J237),I237&gt;0),MAX(0,(I237*J237+SUMPRODUCT((Закрытые!$B$5:$B$300=$B237)*((Закрытые!$F$5:$F$300+Закрытые!$I$5:$I$300-ABS(Закрытые!$F$5:$F$300-Закрытые!$I$5:$I$300))/2)*(Закрытые!$J$5:$J$300-Закрытые!$G$5:$G$300)))/I237)/(1+N(Ввод!$E$17)/100),""))</f>
        <v/>
      </c>
    </row>
    <row r="238" ht="22" customHeight="1">
      <c r="B238" s="318" t="n"/>
      <c r="C238" s="319" t="n"/>
      <c r="D238" s="318" t="n"/>
      <c r="E238" s="320" t="n"/>
      <c r="F238" s="321" t="n"/>
      <c r="G238" s="322" t="n"/>
      <c r="H238" s="271">
        <f>IF(AND(ISNUMBER(F238),ISNUMBER(G238)),F238*G238,"")</f>
        <v/>
      </c>
      <c r="I238" s="321" t="n"/>
      <c r="J238" s="322" t="n"/>
      <c r="K238" s="271">
        <f>IF(AND(ISNUMBER(I238),ISNUMBER(J238)),I238*J238,"")</f>
        <v/>
      </c>
      <c r="L238" s="246">
        <f>IF(COUNT(F238,I238)=0,"",N(F238)-N(I238))</f>
        <v/>
      </c>
      <c r="M238" s="247">
        <f>IF(COUNT(H238,K238)=0,"",N(K238)-N(H238))</f>
        <v/>
      </c>
      <c r="N238" s="246">
        <f>IF(AND(ISNUMBER(F238),ISNUMBER(G238),F238&gt;0,1-N(Ввод!$E$17)/100&gt;0),MAX(0,(F238*G238-SUMPRODUCT((Закрытые!$B$5:$B$300=$B238)*((Закрытые!$F$5:$F$300+Закрытые!$I$5:$I$300-ABS(Закрытые!$F$5:$F$300-Закрытые!$I$5:$I$300))/2)*(Закрытые!$J$5:$J$300-Закрытые!$G$5:$G$300)))/F238)/(1-N(Ввод!$E$17)/100),IF(AND(ISNUMBER(I238),ISNUMBER(J238),I238&gt;0),MAX(0,(I238*J238+SUMPRODUCT((Закрытые!$B$5:$B$300=$B238)*((Закрытые!$F$5:$F$300+Закрытые!$I$5:$I$300-ABS(Закрытые!$F$5:$F$300-Закрытые!$I$5:$I$300))/2)*(Закрытые!$J$5:$J$300-Закрытые!$G$5:$G$300)))/I238)/(1+N(Ввод!$E$17)/100),""))</f>
        <v/>
      </c>
    </row>
    <row r="239" ht="22" customHeight="1">
      <c r="B239" s="313" t="n"/>
      <c r="C239" s="314" t="n"/>
      <c r="D239" s="313" t="n"/>
      <c r="E239" s="315" t="n"/>
      <c r="F239" s="316" t="n"/>
      <c r="G239" s="317" t="n"/>
      <c r="H239" s="271">
        <f>IF(AND(ISNUMBER(F239),ISNUMBER(G239)),F239*G239,"")</f>
        <v/>
      </c>
      <c r="I239" s="316" t="n"/>
      <c r="J239" s="317" t="n"/>
      <c r="K239" s="271">
        <f>IF(AND(ISNUMBER(I239),ISNUMBER(J239)),I239*J239,"")</f>
        <v/>
      </c>
      <c r="L239" s="240">
        <f>IF(COUNT(F239,I239)=0,"",N(F239)-N(I239))</f>
        <v/>
      </c>
      <c r="M239" s="241">
        <f>IF(COUNT(H239,K239)=0,"",N(K239)-N(H239))</f>
        <v/>
      </c>
      <c r="N239" s="240">
        <f>IF(AND(ISNUMBER(F239),ISNUMBER(G239),F239&gt;0,1-N(Ввод!$E$17)/100&gt;0),MAX(0,(F239*G239-SUMPRODUCT((Закрытые!$B$5:$B$300=$B239)*((Закрытые!$F$5:$F$300+Закрытые!$I$5:$I$300-ABS(Закрытые!$F$5:$F$300-Закрытые!$I$5:$I$300))/2)*(Закрытые!$J$5:$J$300-Закрытые!$G$5:$G$300)))/F239)/(1-N(Ввод!$E$17)/100),IF(AND(ISNUMBER(I239),ISNUMBER(J239),I239&gt;0),MAX(0,(I239*J239+SUMPRODUCT((Закрытые!$B$5:$B$300=$B239)*((Закрытые!$F$5:$F$300+Закрытые!$I$5:$I$300-ABS(Закрытые!$F$5:$F$300-Закрытые!$I$5:$I$300))/2)*(Закрытые!$J$5:$J$300-Закрытые!$G$5:$G$300)))/I239)/(1+N(Ввод!$E$17)/100),""))</f>
        <v/>
      </c>
    </row>
    <row r="240" ht="22" customHeight="1">
      <c r="B240" s="318" t="n"/>
      <c r="C240" s="319" t="n"/>
      <c r="D240" s="318" t="n"/>
      <c r="E240" s="320" t="n"/>
      <c r="F240" s="321" t="n"/>
      <c r="G240" s="322" t="n"/>
      <c r="H240" s="271">
        <f>IF(AND(ISNUMBER(F240),ISNUMBER(G240)),F240*G240,"")</f>
        <v/>
      </c>
      <c r="I240" s="321" t="n"/>
      <c r="J240" s="322" t="n"/>
      <c r="K240" s="271">
        <f>IF(AND(ISNUMBER(I240),ISNUMBER(J240)),I240*J240,"")</f>
        <v/>
      </c>
      <c r="L240" s="246">
        <f>IF(COUNT(F240,I240)=0,"",N(F240)-N(I240))</f>
        <v/>
      </c>
      <c r="M240" s="247">
        <f>IF(COUNT(H240,K240)=0,"",N(K240)-N(H240))</f>
        <v/>
      </c>
      <c r="N240" s="246">
        <f>IF(AND(ISNUMBER(F240),ISNUMBER(G240),F240&gt;0,1-N(Ввод!$E$17)/100&gt;0),MAX(0,(F240*G240-SUMPRODUCT((Закрытые!$B$5:$B$300=$B240)*((Закрытые!$F$5:$F$300+Закрытые!$I$5:$I$300-ABS(Закрытые!$F$5:$F$300-Закрытые!$I$5:$I$300))/2)*(Закрытые!$J$5:$J$300-Закрытые!$G$5:$G$300)))/F240)/(1-N(Ввод!$E$17)/100),IF(AND(ISNUMBER(I240),ISNUMBER(J240),I240&gt;0),MAX(0,(I240*J240+SUMPRODUCT((Закрытые!$B$5:$B$300=$B240)*((Закрытые!$F$5:$F$300+Закрытые!$I$5:$I$300-ABS(Закрытые!$F$5:$F$300-Закрытые!$I$5:$I$300))/2)*(Закрытые!$J$5:$J$300-Закрытые!$G$5:$G$300)))/I240)/(1+N(Ввод!$E$17)/100),""))</f>
        <v/>
      </c>
    </row>
    <row r="241" ht="22" customHeight="1">
      <c r="B241" s="313" t="n"/>
      <c r="C241" s="314" t="n"/>
      <c r="D241" s="313" t="n"/>
      <c r="E241" s="315" t="n"/>
      <c r="F241" s="316" t="n"/>
      <c r="G241" s="317" t="n"/>
      <c r="H241" s="271">
        <f>IF(AND(ISNUMBER(F241),ISNUMBER(G241)),F241*G241,"")</f>
        <v/>
      </c>
      <c r="I241" s="316" t="n"/>
      <c r="J241" s="317" t="n"/>
      <c r="K241" s="271">
        <f>IF(AND(ISNUMBER(I241),ISNUMBER(J241)),I241*J241,"")</f>
        <v/>
      </c>
      <c r="L241" s="240">
        <f>IF(COUNT(F241,I241)=0,"",N(F241)-N(I241))</f>
        <v/>
      </c>
      <c r="M241" s="241">
        <f>IF(COUNT(H241,K241)=0,"",N(K241)-N(H241))</f>
        <v/>
      </c>
      <c r="N241" s="240">
        <f>IF(AND(ISNUMBER(F241),ISNUMBER(G241),F241&gt;0,1-N(Ввод!$E$17)/100&gt;0),MAX(0,(F241*G241-SUMPRODUCT((Закрытые!$B$5:$B$300=$B241)*((Закрытые!$F$5:$F$300+Закрытые!$I$5:$I$300-ABS(Закрытые!$F$5:$F$300-Закрытые!$I$5:$I$300))/2)*(Закрытые!$J$5:$J$300-Закрытые!$G$5:$G$300)))/F241)/(1-N(Ввод!$E$17)/100),IF(AND(ISNUMBER(I241),ISNUMBER(J241),I241&gt;0),MAX(0,(I241*J241+SUMPRODUCT((Закрытые!$B$5:$B$300=$B241)*((Закрытые!$F$5:$F$300+Закрытые!$I$5:$I$300-ABS(Закрытые!$F$5:$F$300-Закрытые!$I$5:$I$300))/2)*(Закрытые!$J$5:$J$300-Закрытые!$G$5:$G$300)))/I241)/(1+N(Ввод!$E$17)/100),""))</f>
        <v/>
      </c>
    </row>
    <row r="242" ht="22" customHeight="1">
      <c r="B242" s="318" t="n"/>
      <c r="C242" s="319" t="n"/>
      <c r="D242" s="318" t="n"/>
      <c r="E242" s="320" t="n"/>
      <c r="F242" s="321" t="n"/>
      <c r="G242" s="322" t="n"/>
      <c r="H242" s="271">
        <f>IF(AND(ISNUMBER(F242),ISNUMBER(G242)),F242*G242,"")</f>
        <v/>
      </c>
      <c r="I242" s="321" t="n"/>
      <c r="J242" s="322" t="n"/>
      <c r="K242" s="271">
        <f>IF(AND(ISNUMBER(I242),ISNUMBER(J242)),I242*J242,"")</f>
        <v/>
      </c>
      <c r="L242" s="246">
        <f>IF(COUNT(F242,I242)=0,"",N(F242)-N(I242))</f>
        <v/>
      </c>
      <c r="M242" s="247">
        <f>IF(COUNT(H242,K242)=0,"",N(K242)-N(H242))</f>
        <v/>
      </c>
      <c r="N242" s="246">
        <f>IF(AND(ISNUMBER(F242),ISNUMBER(G242),F242&gt;0,1-N(Ввод!$E$17)/100&gt;0),MAX(0,(F242*G242-SUMPRODUCT((Закрытые!$B$5:$B$300=$B242)*((Закрытые!$F$5:$F$300+Закрытые!$I$5:$I$300-ABS(Закрытые!$F$5:$F$300-Закрытые!$I$5:$I$300))/2)*(Закрытые!$J$5:$J$300-Закрытые!$G$5:$G$300)))/F242)/(1-N(Ввод!$E$17)/100),IF(AND(ISNUMBER(I242),ISNUMBER(J242),I242&gt;0),MAX(0,(I242*J242+SUMPRODUCT((Закрытые!$B$5:$B$300=$B242)*((Закрытые!$F$5:$F$300+Закрытые!$I$5:$I$300-ABS(Закрытые!$F$5:$F$300-Закрытые!$I$5:$I$300))/2)*(Закрытые!$J$5:$J$300-Закрытые!$G$5:$G$300)))/I242)/(1+N(Ввод!$E$17)/100),""))</f>
        <v/>
      </c>
    </row>
    <row r="243" ht="22" customHeight="1">
      <c r="B243" s="313" t="n"/>
      <c r="C243" s="314" t="n"/>
      <c r="D243" s="313" t="n"/>
      <c r="E243" s="315" t="n"/>
      <c r="F243" s="316" t="n"/>
      <c r="G243" s="317" t="n"/>
      <c r="H243" s="271">
        <f>IF(AND(ISNUMBER(F243),ISNUMBER(G243)),F243*G243,"")</f>
        <v/>
      </c>
      <c r="I243" s="316" t="n"/>
      <c r="J243" s="317" t="n"/>
      <c r="K243" s="271">
        <f>IF(AND(ISNUMBER(I243),ISNUMBER(J243)),I243*J243,"")</f>
        <v/>
      </c>
      <c r="L243" s="240">
        <f>IF(COUNT(F243,I243)=0,"",N(F243)-N(I243))</f>
        <v/>
      </c>
      <c r="M243" s="241">
        <f>IF(COUNT(H243,K243)=0,"",N(K243)-N(H243))</f>
        <v/>
      </c>
      <c r="N243" s="240">
        <f>IF(AND(ISNUMBER(F243),ISNUMBER(G243),F243&gt;0,1-N(Ввод!$E$17)/100&gt;0),MAX(0,(F243*G243-SUMPRODUCT((Закрытые!$B$5:$B$300=$B243)*((Закрытые!$F$5:$F$300+Закрытые!$I$5:$I$300-ABS(Закрытые!$F$5:$F$300-Закрытые!$I$5:$I$300))/2)*(Закрытые!$J$5:$J$300-Закрытые!$G$5:$G$300)))/F243)/(1-N(Ввод!$E$17)/100),IF(AND(ISNUMBER(I243),ISNUMBER(J243),I243&gt;0),MAX(0,(I243*J243+SUMPRODUCT((Закрытые!$B$5:$B$300=$B243)*((Закрытые!$F$5:$F$300+Закрытые!$I$5:$I$300-ABS(Закрытые!$F$5:$F$300-Закрытые!$I$5:$I$300))/2)*(Закрытые!$J$5:$J$300-Закрытые!$G$5:$G$300)))/I243)/(1+N(Ввод!$E$17)/100),""))</f>
        <v/>
      </c>
    </row>
    <row r="244" ht="22" customHeight="1">
      <c r="B244" s="318" t="n"/>
      <c r="C244" s="319" t="n"/>
      <c r="D244" s="318" t="n"/>
      <c r="E244" s="320" t="n"/>
      <c r="F244" s="321" t="n"/>
      <c r="G244" s="322" t="n"/>
      <c r="H244" s="271">
        <f>IF(AND(ISNUMBER(F244),ISNUMBER(G244)),F244*G244,"")</f>
        <v/>
      </c>
      <c r="I244" s="321" t="n"/>
      <c r="J244" s="322" t="n"/>
      <c r="K244" s="271">
        <f>IF(AND(ISNUMBER(I244),ISNUMBER(J244)),I244*J244,"")</f>
        <v/>
      </c>
      <c r="L244" s="246">
        <f>IF(COUNT(F244,I244)=0,"",N(F244)-N(I244))</f>
        <v/>
      </c>
      <c r="M244" s="247">
        <f>IF(COUNT(H244,K244)=0,"",N(K244)-N(H244))</f>
        <v/>
      </c>
      <c r="N244" s="246">
        <f>IF(AND(ISNUMBER(F244),ISNUMBER(G244),F244&gt;0,1-N(Ввод!$E$17)/100&gt;0),MAX(0,(F244*G244-SUMPRODUCT((Закрытые!$B$5:$B$300=$B244)*((Закрытые!$F$5:$F$300+Закрытые!$I$5:$I$300-ABS(Закрытые!$F$5:$F$300-Закрытые!$I$5:$I$300))/2)*(Закрытые!$J$5:$J$300-Закрытые!$G$5:$G$300)))/F244)/(1-N(Ввод!$E$17)/100),IF(AND(ISNUMBER(I244),ISNUMBER(J244),I244&gt;0),MAX(0,(I244*J244+SUMPRODUCT((Закрытые!$B$5:$B$300=$B244)*((Закрытые!$F$5:$F$300+Закрытые!$I$5:$I$300-ABS(Закрытые!$F$5:$F$300-Закрытые!$I$5:$I$300))/2)*(Закрытые!$J$5:$J$300-Закрытые!$G$5:$G$300)))/I244)/(1+N(Ввод!$E$17)/100),""))</f>
        <v/>
      </c>
    </row>
    <row r="245" ht="22" customHeight="1">
      <c r="B245" s="313" t="n"/>
      <c r="C245" s="314" t="n"/>
      <c r="D245" s="313" t="n"/>
      <c r="E245" s="315" t="n"/>
      <c r="F245" s="316" t="n"/>
      <c r="G245" s="317" t="n"/>
      <c r="H245" s="271">
        <f>IF(AND(ISNUMBER(F245),ISNUMBER(G245)),F245*G245,"")</f>
        <v/>
      </c>
      <c r="I245" s="316" t="n"/>
      <c r="J245" s="317" t="n"/>
      <c r="K245" s="271">
        <f>IF(AND(ISNUMBER(I245),ISNUMBER(J245)),I245*J245,"")</f>
        <v/>
      </c>
      <c r="L245" s="240">
        <f>IF(COUNT(F245,I245)=0,"",N(F245)-N(I245))</f>
        <v/>
      </c>
      <c r="M245" s="241">
        <f>IF(COUNT(H245,K245)=0,"",N(K245)-N(H245))</f>
        <v/>
      </c>
      <c r="N245" s="240">
        <f>IF(AND(ISNUMBER(F245),ISNUMBER(G245),F245&gt;0,1-N(Ввод!$E$17)/100&gt;0),MAX(0,(F245*G245-SUMPRODUCT((Закрытые!$B$5:$B$300=$B245)*((Закрытые!$F$5:$F$300+Закрытые!$I$5:$I$300-ABS(Закрытые!$F$5:$F$300-Закрытые!$I$5:$I$300))/2)*(Закрытые!$J$5:$J$300-Закрытые!$G$5:$G$300)))/F245)/(1-N(Ввод!$E$17)/100),IF(AND(ISNUMBER(I245),ISNUMBER(J245),I245&gt;0),MAX(0,(I245*J245+SUMPRODUCT((Закрытые!$B$5:$B$300=$B245)*((Закрытые!$F$5:$F$300+Закрытые!$I$5:$I$300-ABS(Закрытые!$F$5:$F$300-Закрытые!$I$5:$I$300))/2)*(Закрытые!$J$5:$J$300-Закрытые!$G$5:$G$300)))/I245)/(1+N(Ввод!$E$17)/100),""))</f>
        <v/>
      </c>
    </row>
    <row r="246" ht="22" customHeight="1">
      <c r="B246" s="318" t="n"/>
      <c r="C246" s="319" t="n"/>
      <c r="D246" s="318" t="n"/>
      <c r="E246" s="320" t="n"/>
      <c r="F246" s="321" t="n"/>
      <c r="G246" s="322" t="n"/>
      <c r="H246" s="271">
        <f>IF(AND(ISNUMBER(F246),ISNUMBER(G246)),F246*G246,"")</f>
        <v/>
      </c>
      <c r="I246" s="321" t="n"/>
      <c r="J246" s="322" t="n"/>
      <c r="K246" s="271">
        <f>IF(AND(ISNUMBER(I246),ISNUMBER(J246)),I246*J246,"")</f>
        <v/>
      </c>
      <c r="L246" s="246">
        <f>IF(COUNT(F246,I246)=0,"",N(F246)-N(I246))</f>
        <v/>
      </c>
      <c r="M246" s="247">
        <f>IF(COUNT(H246,K246)=0,"",N(K246)-N(H246))</f>
        <v/>
      </c>
      <c r="N246" s="246">
        <f>IF(AND(ISNUMBER(F246),ISNUMBER(G246),F246&gt;0,1-N(Ввод!$E$17)/100&gt;0),MAX(0,(F246*G246-SUMPRODUCT((Закрытые!$B$5:$B$300=$B246)*((Закрытые!$F$5:$F$300+Закрытые!$I$5:$I$300-ABS(Закрытые!$F$5:$F$300-Закрытые!$I$5:$I$300))/2)*(Закрытые!$J$5:$J$300-Закрытые!$G$5:$G$300)))/F246)/(1-N(Ввод!$E$17)/100),IF(AND(ISNUMBER(I246),ISNUMBER(J246),I246&gt;0),MAX(0,(I246*J246+SUMPRODUCT((Закрытые!$B$5:$B$300=$B246)*((Закрытые!$F$5:$F$300+Закрытые!$I$5:$I$300-ABS(Закрытые!$F$5:$F$300-Закрытые!$I$5:$I$300))/2)*(Закрытые!$J$5:$J$300-Закрытые!$G$5:$G$300)))/I246)/(1+N(Ввод!$E$17)/100),""))</f>
        <v/>
      </c>
    </row>
    <row r="247" ht="22" customHeight="1">
      <c r="B247" s="313" t="n"/>
      <c r="C247" s="314" t="n"/>
      <c r="D247" s="313" t="n"/>
      <c r="E247" s="315" t="n"/>
      <c r="F247" s="316" t="n"/>
      <c r="G247" s="317" t="n"/>
      <c r="H247" s="271">
        <f>IF(AND(ISNUMBER(F247),ISNUMBER(G247)),F247*G247,"")</f>
        <v/>
      </c>
      <c r="I247" s="316" t="n"/>
      <c r="J247" s="317" t="n"/>
      <c r="K247" s="271">
        <f>IF(AND(ISNUMBER(I247),ISNUMBER(J247)),I247*J247,"")</f>
        <v/>
      </c>
      <c r="L247" s="240">
        <f>IF(COUNT(F247,I247)=0,"",N(F247)-N(I247))</f>
        <v/>
      </c>
      <c r="M247" s="241">
        <f>IF(COUNT(H247,K247)=0,"",N(K247)-N(H247))</f>
        <v/>
      </c>
      <c r="N247" s="240">
        <f>IF(AND(ISNUMBER(F247),ISNUMBER(G247),F247&gt;0,1-N(Ввод!$E$17)/100&gt;0),MAX(0,(F247*G247-SUMPRODUCT((Закрытые!$B$5:$B$300=$B247)*((Закрытые!$F$5:$F$300+Закрытые!$I$5:$I$300-ABS(Закрытые!$F$5:$F$300-Закрытые!$I$5:$I$300))/2)*(Закрытые!$J$5:$J$300-Закрытые!$G$5:$G$300)))/F247)/(1-N(Ввод!$E$17)/100),IF(AND(ISNUMBER(I247),ISNUMBER(J247),I247&gt;0),MAX(0,(I247*J247+SUMPRODUCT((Закрытые!$B$5:$B$300=$B247)*((Закрытые!$F$5:$F$300+Закрытые!$I$5:$I$300-ABS(Закрытые!$F$5:$F$300-Закрытые!$I$5:$I$300))/2)*(Закрытые!$J$5:$J$300-Закрытые!$G$5:$G$300)))/I247)/(1+N(Ввод!$E$17)/100),""))</f>
        <v/>
      </c>
    </row>
    <row r="248" ht="22" customHeight="1">
      <c r="B248" s="318" t="n"/>
      <c r="C248" s="319" t="n"/>
      <c r="D248" s="318" t="n"/>
      <c r="E248" s="320" t="n"/>
      <c r="F248" s="321" t="n"/>
      <c r="G248" s="322" t="n"/>
      <c r="H248" s="271">
        <f>IF(AND(ISNUMBER(F248),ISNUMBER(G248)),F248*G248,"")</f>
        <v/>
      </c>
      <c r="I248" s="321" t="n"/>
      <c r="J248" s="322" t="n"/>
      <c r="K248" s="271">
        <f>IF(AND(ISNUMBER(I248),ISNUMBER(J248)),I248*J248,"")</f>
        <v/>
      </c>
      <c r="L248" s="246">
        <f>IF(COUNT(F248,I248)=0,"",N(F248)-N(I248))</f>
        <v/>
      </c>
      <c r="M248" s="247">
        <f>IF(COUNT(H248,K248)=0,"",N(K248)-N(H248))</f>
        <v/>
      </c>
      <c r="N248" s="246">
        <f>IF(AND(ISNUMBER(F248),ISNUMBER(G248),F248&gt;0,1-N(Ввод!$E$17)/100&gt;0),MAX(0,(F248*G248-SUMPRODUCT((Закрытые!$B$5:$B$300=$B248)*((Закрытые!$F$5:$F$300+Закрытые!$I$5:$I$300-ABS(Закрытые!$F$5:$F$300-Закрытые!$I$5:$I$300))/2)*(Закрытые!$J$5:$J$300-Закрытые!$G$5:$G$300)))/F248)/(1-N(Ввод!$E$17)/100),IF(AND(ISNUMBER(I248),ISNUMBER(J248),I248&gt;0),MAX(0,(I248*J248+SUMPRODUCT((Закрытые!$B$5:$B$300=$B248)*((Закрытые!$F$5:$F$300+Закрытые!$I$5:$I$300-ABS(Закрытые!$F$5:$F$300-Закрытые!$I$5:$I$300))/2)*(Закрытые!$J$5:$J$300-Закрытые!$G$5:$G$300)))/I248)/(1+N(Ввод!$E$17)/100),""))</f>
        <v/>
      </c>
    </row>
    <row r="249" ht="22" customHeight="1">
      <c r="B249" s="313" t="n"/>
      <c r="C249" s="314" t="n"/>
      <c r="D249" s="313" t="n"/>
      <c r="E249" s="315" t="n"/>
      <c r="F249" s="316" t="n"/>
      <c r="G249" s="317" t="n"/>
      <c r="H249" s="271">
        <f>IF(AND(ISNUMBER(F249),ISNUMBER(G249)),F249*G249,"")</f>
        <v/>
      </c>
      <c r="I249" s="316" t="n"/>
      <c r="J249" s="317" t="n"/>
      <c r="K249" s="271">
        <f>IF(AND(ISNUMBER(I249),ISNUMBER(J249)),I249*J249,"")</f>
        <v/>
      </c>
      <c r="L249" s="240">
        <f>IF(COUNT(F249,I249)=0,"",N(F249)-N(I249))</f>
        <v/>
      </c>
      <c r="M249" s="241">
        <f>IF(COUNT(H249,K249)=0,"",N(K249)-N(H249))</f>
        <v/>
      </c>
      <c r="N249" s="240">
        <f>IF(AND(ISNUMBER(F249),ISNUMBER(G249),F249&gt;0,1-N(Ввод!$E$17)/100&gt;0),MAX(0,(F249*G249-SUMPRODUCT((Закрытые!$B$5:$B$300=$B249)*((Закрытые!$F$5:$F$300+Закрытые!$I$5:$I$300-ABS(Закрытые!$F$5:$F$300-Закрытые!$I$5:$I$300))/2)*(Закрытые!$J$5:$J$300-Закрытые!$G$5:$G$300)))/F249)/(1-N(Ввод!$E$17)/100),IF(AND(ISNUMBER(I249),ISNUMBER(J249),I249&gt;0),MAX(0,(I249*J249+SUMPRODUCT((Закрытые!$B$5:$B$300=$B249)*((Закрытые!$F$5:$F$300+Закрытые!$I$5:$I$300-ABS(Закрытые!$F$5:$F$300-Закрытые!$I$5:$I$300))/2)*(Закрытые!$J$5:$J$300-Закрытые!$G$5:$G$300)))/I249)/(1+N(Ввод!$E$17)/100),""))</f>
        <v/>
      </c>
    </row>
    <row r="250" ht="22" customHeight="1">
      <c r="B250" s="318" t="n"/>
      <c r="C250" s="319" t="n"/>
      <c r="D250" s="318" t="n"/>
      <c r="E250" s="320" t="n"/>
      <c r="F250" s="321" t="n"/>
      <c r="G250" s="322" t="n"/>
      <c r="H250" s="271">
        <f>IF(AND(ISNUMBER(F250),ISNUMBER(G250)),F250*G250,"")</f>
        <v/>
      </c>
      <c r="I250" s="321" t="n"/>
      <c r="J250" s="322" t="n"/>
      <c r="K250" s="271">
        <f>IF(AND(ISNUMBER(I250),ISNUMBER(J250)),I250*J250,"")</f>
        <v/>
      </c>
      <c r="L250" s="246">
        <f>IF(COUNT(F250,I250)=0,"",N(F250)-N(I250))</f>
        <v/>
      </c>
      <c r="M250" s="247">
        <f>IF(COUNT(H250,K250)=0,"",N(K250)-N(H250))</f>
        <v/>
      </c>
      <c r="N250" s="246">
        <f>IF(AND(ISNUMBER(F250),ISNUMBER(G250),F250&gt;0,1-N(Ввод!$E$17)/100&gt;0),MAX(0,(F250*G250-SUMPRODUCT((Закрытые!$B$5:$B$300=$B250)*((Закрытые!$F$5:$F$300+Закрытые!$I$5:$I$300-ABS(Закрытые!$F$5:$F$300-Закрытые!$I$5:$I$300))/2)*(Закрытые!$J$5:$J$300-Закрытые!$G$5:$G$300)))/F250)/(1-N(Ввод!$E$17)/100),IF(AND(ISNUMBER(I250),ISNUMBER(J250),I250&gt;0),MAX(0,(I250*J250+SUMPRODUCT((Закрытые!$B$5:$B$300=$B250)*((Закрытые!$F$5:$F$300+Закрытые!$I$5:$I$300-ABS(Закрытые!$F$5:$F$300-Закрытые!$I$5:$I$300))/2)*(Закрытые!$J$5:$J$300-Закрытые!$G$5:$G$300)))/I250)/(1+N(Ввод!$E$17)/100),""))</f>
        <v/>
      </c>
    </row>
    <row r="251" ht="22" customHeight="1">
      <c r="B251" s="313" t="n"/>
      <c r="C251" s="314" t="n"/>
      <c r="D251" s="313" t="n"/>
      <c r="E251" s="315" t="n"/>
      <c r="F251" s="316" t="n"/>
      <c r="G251" s="317" t="n"/>
      <c r="H251" s="271">
        <f>IF(AND(ISNUMBER(F251),ISNUMBER(G251)),F251*G251,"")</f>
        <v/>
      </c>
      <c r="I251" s="316" t="n"/>
      <c r="J251" s="317" t="n"/>
      <c r="K251" s="271">
        <f>IF(AND(ISNUMBER(I251),ISNUMBER(J251)),I251*J251,"")</f>
        <v/>
      </c>
      <c r="L251" s="240">
        <f>IF(COUNT(F251,I251)=0,"",N(F251)-N(I251))</f>
        <v/>
      </c>
      <c r="M251" s="241">
        <f>IF(COUNT(H251,K251)=0,"",N(K251)-N(H251))</f>
        <v/>
      </c>
      <c r="N251" s="240">
        <f>IF(AND(ISNUMBER(F251),ISNUMBER(G251),F251&gt;0,1-N(Ввод!$E$17)/100&gt;0),MAX(0,(F251*G251-SUMPRODUCT((Закрытые!$B$5:$B$300=$B251)*((Закрытые!$F$5:$F$300+Закрытые!$I$5:$I$300-ABS(Закрытые!$F$5:$F$300-Закрытые!$I$5:$I$300))/2)*(Закрытые!$J$5:$J$300-Закрытые!$G$5:$G$300)))/F251)/(1-N(Ввод!$E$17)/100),IF(AND(ISNUMBER(I251),ISNUMBER(J251),I251&gt;0),MAX(0,(I251*J251+SUMPRODUCT((Закрытые!$B$5:$B$300=$B251)*((Закрытые!$F$5:$F$300+Закрытые!$I$5:$I$300-ABS(Закрытые!$F$5:$F$300-Закрытые!$I$5:$I$300))/2)*(Закрытые!$J$5:$J$300-Закрытые!$G$5:$G$300)))/I251)/(1+N(Ввод!$E$17)/100),""))</f>
        <v/>
      </c>
    </row>
    <row r="252" ht="22" customHeight="1">
      <c r="B252" s="318" t="n"/>
      <c r="C252" s="319" t="n"/>
      <c r="D252" s="318" t="n"/>
      <c r="E252" s="320" t="n"/>
      <c r="F252" s="321" t="n"/>
      <c r="G252" s="322" t="n"/>
      <c r="H252" s="271">
        <f>IF(AND(ISNUMBER(F252),ISNUMBER(G252)),F252*G252,"")</f>
        <v/>
      </c>
      <c r="I252" s="321" t="n"/>
      <c r="J252" s="322" t="n"/>
      <c r="K252" s="271">
        <f>IF(AND(ISNUMBER(I252),ISNUMBER(J252)),I252*J252,"")</f>
        <v/>
      </c>
      <c r="L252" s="246">
        <f>IF(COUNT(F252,I252)=0,"",N(F252)-N(I252))</f>
        <v/>
      </c>
      <c r="M252" s="247">
        <f>IF(COUNT(H252,K252)=0,"",N(K252)-N(H252))</f>
        <v/>
      </c>
      <c r="N252" s="246">
        <f>IF(AND(ISNUMBER(F252),ISNUMBER(G252),F252&gt;0,1-N(Ввод!$E$17)/100&gt;0),MAX(0,(F252*G252-SUMPRODUCT((Закрытые!$B$5:$B$300=$B252)*((Закрытые!$F$5:$F$300+Закрытые!$I$5:$I$300-ABS(Закрытые!$F$5:$F$300-Закрытые!$I$5:$I$300))/2)*(Закрытые!$J$5:$J$300-Закрытые!$G$5:$G$300)))/F252)/(1-N(Ввод!$E$17)/100),IF(AND(ISNUMBER(I252),ISNUMBER(J252),I252&gt;0),MAX(0,(I252*J252+SUMPRODUCT((Закрытые!$B$5:$B$300=$B252)*((Закрытые!$F$5:$F$300+Закрытые!$I$5:$I$300-ABS(Закрытые!$F$5:$F$300-Закрытые!$I$5:$I$300))/2)*(Закрытые!$J$5:$J$300-Закрытые!$G$5:$G$300)))/I252)/(1+N(Ввод!$E$17)/100),""))</f>
        <v/>
      </c>
    </row>
    <row r="253" ht="22" customHeight="1">
      <c r="B253" s="313" t="n"/>
      <c r="C253" s="314" t="n"/>
      <c r="D253" s="313" t="n"/>
      <c r="E253" s="315" t="n"/>
      <c r="F253" s="316" t="n"/>
      <c r="G253" s="317" t="n"/>
      <c r="H253" s="271">
        <f>IF(AND(ISNUMBER(F253),ISNUMBER(G253)),F253*G253,"")</f>
        <v/>
      </c>
      <c r="I253" s="316" t="n"/>
      <c r="J253" s="317" t="n"/>
      <c r="K253" s="271">
        <f>IF(AND(ISNUMBER(I253),ISNUMBER(J253)),I253*J253,"")</f>
        <v/>
      </c>
      <c r="L253" s="240">
        <f>IF(COUNT(F253,I253)=0,"",N(F253)-N(I253))</f>
        <v/>
      </c>
      <c r="M253" s="241">
        <f>IF(COUNT(H253,K253)=0,"",N(K253)-N(H253))</f>
        <v/>
      </c>
      <c r="N253" s="240">
        <f>IF(AND(ISNUMBER(F253),ISNUMBER(G253),F253&gt;0,1-N(Ввод!$E$17)/100&gt;0),MAX(0,(F253*G253-SUMPRODUCT((Закрытые!$B$5:$B$300=$B253)*((Закрытые!$F$5:$F$300+Закрытые!$I$5:$I$300-ABS(Закрытые!$F$5:$F$300-Закрытые!$I$5:$I$300))/2)*(Закрытые!$J$5:$J$300-Закрытые!$G$5:$G$300)))/F253)/(1-N(Ввод!$E$17)/100),IF(AND(ISNUMBER(I253),ISNUMBER(J253),I253&gt;0),MAX(0,(I253*J253+SUMPRODUCT((Закрытые!$B$5:$B$300=$B253)*((Закрытые!$F$5:$F$300+Закрытые!$I$5:$I$300-ABS(Закрытые!$F$5:$F$300-Закрытые!$I$5:$I$300))/2)*(Закрытые!$J$5:$J$300-Закрытые!$G$5:$G$300)))/I253)/(1+N(Ввод!$E$17)/100),""))</f>
        <v/>
      </c>
    </row>
    <row r="254" ht="22" customHeight="1">
      <c r="B254" s="318" t="n"/>
      <c r="C254" s="319" t="n"/>
      <c r="D254" s="318" t="n"/>
      <c r="E254" s="320" t="n"/>
      <c r="F254" s="321" t="n"/>
      <c r="G254" s="322" t="n"/>
      <c r="H254" s="271">
        <f>IF(AND(ISNUMBER(F254),ISNUMBER(G254)),F254*G254,"")</f>
        <v/>
      </c>
      <c r="I254" s="321" t="n"/>
      <c r="J254" s="322" t="n"/>
      <c r="K254" s="271">
        <f>IF(AND(ISNUMBER(I254),ISNUMBER(J254)),I254*J254,"")</f>
        <v/>
      </c>
      <c r="L254" s="246">
        <f>IF(COUNT(F254,I254)=0,"",N(F254)-N(I254))</f>
        <v/>
      </c>
      <c r="M254" s="247">
        <f>IF(COUNT(H254,K254)=0,"",N(K254)-N(H254))</f>
        <v/>
      </c>
      <c r="N254" s="246">
        <f>IF(AND(ISNUMBER(F254),ISNUMBER(G254),F254&gt;0,1-N(Ввод!$E$17)/100&gt;0),MAX(0,(F254*G254-SUMPRODUCT((Закрытые!$B$5:$B$300=$B254)*((Закрытые!$F$5:$F$300+Закрытые!$I$5:$I$300-ABS(Закрытые!$F$5:$F$300-Закрытые!$I$5:$I$300))/2)*(Закрытые!$J$5:$J$300-Закрытые!$G$5:$G$300)))/F254)/(1-N(Ввод!$E$17)/100),IF(AND(ISNUMBER(I254),ISNUMBER(J254),I254&gt;0),MAX(0,(I254*J254+SUMPRODUCT((Закрытые!$B$5:$B$300=$B254)*((Закрытые!$F$5:$F$300+Закрытые!$I$5:$I$300-ABS(Закрытые!$F$5:$F$300-Закрытые!$I$5:$I$300))/2)*(Закрытые!$J$5:$J$300-Закрытые!$G$5:$G$300)))/I254)/(1+N(Ввод!$E$17)/100),""))</f>
        <v/>
      </c>
    </row>
    <row r="255" ht="22" customHeight="1">
      <c r="B255" s="313" t="n"/>
      <c r="C255" s="314" t="n"/>
      <c r="D255" s="313" t="n"/>
      <c r="E255" s="315" t="n"/>
      <c r="F255" s="316" t="n"/>
      <c r="G255" s="317" t="n"/>
      <c r="H255" s="271">
        <f>IF(AND(ISNUMBER(F255),ISNUMBER(G255)),F255*G255,"")</f>
        <v/>
      </c>
      <c r="I255" s="316" t="n"/>
      <c r="J255" s="317" t="n"/>
      <c r="K255" s="271">
        <f>IF(AND(ISNUMBER(I255),ISNUMBER(J255)),I255*J255,"")</f>
        <v/>
      </c>
      <c r="L255" s="240">
        <f>IF(COUNT(F255,I255)=0,"",N(F255)-N(I255))</f>
        <v/>
      </c>
      <c r="M255" s="241">
        <f>IF(COUNT(H255,K255)=0,"",N(K255)-N(H255))</f>
        <v/>
      </c>
      <c r="N255" s="240">
        <f>IF(AND(ISNUMBER(F255),ISNUMBER(G255),F255&gt;0,1-N(Ввод!$E$17)/100&gt;0),MAX(0,(F255*G255-SUMPRODUCT((Закрытые!$B$5:$B$300=$B255)*((Закрытые!$F$5:$F$300+Закрытые!$I$5:$I$300-ABS(Закрытые!$F$5:$F$300-Закрытые!$I$5:$I$300))/2)*(Закрытые!$J$5:$J$300-Закрытые!$G$5:$G$300)))/F255)/(1-N(Ввод!$E$17)/100),IF(AND(ISNUMBER(I255),ISNUMBER(J255),I255&gt;0),MAX(0,(I255*J255+SUMPRODUCT((Закрытые!$B$5:$B$300=$B255)*((Закрытые!$F$5:$F$300+Закрытые!$I$5:$I$300-ABS(Закрытые!$F$5:$F$300-Закрытые!$I$5:$I$300))/2)*(Закрытые!$J$5:$J$300-Закрытые!$G$5:$G$300)))/I255)/(1+N(Ввод!$E$17)/100),""))</f>
        <v/>
      </c>
    </row>
    <row r="256" ht="22" customHeight="1">
      <c r="B256" s="318" t="n"/>
      <c r="C256" s="319" t="n"/>
      <c r="D256" s="318" t="n"/>
      <c r="E256" s="320" t="n"/>
      <c r="F256" s="321" t="n"/>
      <c r="G256" s="322" t="n"/>
      <c r="H256" s="271">
        <f>IF(AND(ISNUMBER(F256),ISNUMBER(G256)),F256*G256,"")</f>
        <v/>
      </c>
      <c r="I256" s="321" t="n"/>
      <c r="J256" s="322" t="n"/>
      <c r="K256" s="271">
        <f>IF(AND(ISNUMBER(I256),ISNUMBER(J256)),I256*J256,"")</f>
        <v/>
      </c>
      <c r="L256" s="246">
        <f>IF(COUNT(F256,I256)=0,"",N(F256)-N(I256))</f>
        <v/>
      </c>
      <c r="M256" s="247">
        <f>IF(COUNT(H256,K256)=0,"",N(K256)-N(H256))</f>
        <v/>
      </c>
      <c r="N256" s="246">
        <f>IF(AND(ISNUMBER(F256),ISNUMBER(G256),F256&gt;0,1-N(Ввод!$E$17)/100&gt;0),MAX(0,(F256*G256-SUMPRODUCT((Закрытые!$B$5:$B$300=$B256)*((Закрытые!$F$5:$F$300+Закрытые!$I$5:$I$300-ABS(Закрытые!$F$5:$F$300-Закрытые!$I$5:$I$300))/2)*(Закрытые!$J$5:$J$300-Закрытые!$G$5:$G$300)))/F256)/(1-N(Ввод!$E$17)/100),IF(AND(ISNUMBER(I256),ISNUMBER(J256),I256&gt;0),MAX(0,(I256*J256+SUMPRODUCT((Закрытые!$B$5:$B$300=$B256)*((Закрытые!$F$5:$F$300+Закрытые!$I$5:$I$300-ABS(Закрытые!$F$5:$F$300-Закрытые!$I$5:$I$300))/2)*(Закрытые!$J$5:$J$300-Закрытые!$G$5:$G$300)))/I256)/(1+N(Ввод!$E$17)/100),""))</f>
        <v/>
      </c>
    </row>
    <row r="257" ht="22" customHeight="1">
      <c r="B257" s="313" t="n"/>
      <c r="C257" s="314" t="n"/>
      <c r="D257" s="313" t="n"/>
      <c r="E257" s="315" t="n"/>
      <c r="F257" s="316" t="n"/>
      <c r="G257" s="317" t="n"/>
      <c r="H257" s="271">
        <f>IF(AND(ISNUMBER(F257),ISNUMBER(G257)),F257*G257,"")</f>
        <v/>
      </c>
      <c r="I257" s="316" t="n"/>
      <c r="J257" s="317" t="n"/>
      <c r="K257" s="271">
        <f>IF(AND(ISNUMBER(I257),ISNUMBER(J257)),I257*J257,"")</f>
        <v/>
      </c>
      <c r="L257" s="240">
        <f>IF(COUNT(F257,I257)=0,"",N(F257)-N(I257))</f>
        <v/>
      </c>
      <c r="M257" s="241">
        <f>IF(COUNT(H257,K257)=0,"",N(K257)-N(H257))</f>
        <v/>
      </c>
      <c r="N257" s="240">
        <f>IF(AND(ISNUMBER(F257),ISNUMBER(G257),F257&gt;0,1-N(Ввод!$E$17)/100&gt;0),MAX(0,(F257*G257-SUMPRODUCT((Закрытые!$B$5:$B$300=$B257)*((Закрытые!$F$5:$F$300+Закрытые!$I$5:$I$300-ABS(Закрытые!$F$5:$F$300-Закрытые!$I$5:$I$300))/2)*(Закрытые!$J$5:$J$300-Закрытые!$G$5:$G$300)))/F257)/(1-N(Ввод!$E$17)/100),IF(AND(ISNUMBER(I257),ISNUMBER(J257),I257&gt;0),MAX(0,(I257*J257+SUMPRODUCT((Закрытые!$B$5:$B$300=$B257)*((Закрытые!$F$5:$F$300+Закрытые!$I$5:$I$300-ABS(Закрытые!$F$5:$F$300-Закрытые!$I$5:$I$300))/2)*(Закрытые!$J$5:$J$300-Закрытые!$G$5:$G$300)))/I257)/(1+N(Ввод!$E$17)/100),""))</f>
        <v/>
      </c>
    </row>
    <row r="258" ht="22" customHeight="1">
      <c r="B258" s="318" t="n"/>
      <c r="C258" s="319" t="n"/>
      <c r="D258" s="318" t="n"/>
      <c r="E258" s="320" t="n"/>
      <c r="F258" s="321" t="n"/>
      <c r="G258" s="322" t="n"/>
      <c r="H258" s="271">
        <f>IF(AND(ISNUMBER(F258),ISNUMBER(G258)),F258*G258,"")</f>
        <v/>
      </c>
      <c r="I258" s="321" t="n"/>
      <c r="J258" s="322" t="n"/>
      <c r="K258" s="271">
        <f>IF(AND(ISNUMBER(I258),ISNUMBER(J258)),I258*J258,"")</f>
        <v/>
      </c>
      <c r="L258" s="246">
        <f>IF(COUNT(F258,I258)=0,"",N(F258)-N(I258))</f>
        <v/>
      </c>
      <c r="M258" s="247">
        <f>IF(COUNT(H258,K258)=0,"",N(K258)-N(H258))</f>
        <v/>
      </c>
      <c r="N258" s="246">
        <f>IF(AND(ISNUMBER(F258),ISNUMBER(G258),F258&gt;0,1-N(Ввод!$E$17)/100&gt;0),MAX(0,(F258*G258-SUMPRODUCT((Закрытые!$B$5:$B$300=$B258)*((Закрытые!$F$5:$F$300+Закрытые!$I$5:$I$300-ABS(Закрытые!$F$5:$F$300-Закрытые!$I$5:$I$300))/2)*(Закрытые!$J$5:$J$300-Закрытые!$G$5:$G$300)))/F258)/(1-N(Ввод!$E$17)/100),IF(AND(ISNUMBER(I258),ISNUMBER(J258),I258&gt;0),MAX(0,(I258*J258+SUMPRODUCT((Закрытые!$B$5:$B$300=$B258)*((Закрытые!$F$5:$F$300+Закрытые!$I$5:$I$300-ABS(Закрытые!$F$5:$F$300-Закрытые!$I$5:$I$300))/2)*(Закрытые!$J$5:$J$300-Закрытые!$G$5:$G$300)))/I258)/(1+N(Ввод!$E$17)/100),""))</f>
        <v/>
      </c>
    </row>
    <row r="259" ht="22" customHeight="1">
      <c r="B259" s="313" t="n"/>
      <c r="C259" s="314" t="n"/>
      <c r="D259" s="313" t="n"/>
      <c r="E259" s="315" t="n"/>
      <c r="F259" s="316" t="n"/>
      <c r="G259" s="317" t="n"/>
      <c r="H259" s="271">
        <f>IF(AND(ISNUMBER(F259),ISNUMBER(G259)),F259*G259,"")</f>
        <v/>
      </c>
      <c r="I259" s="316" t="n"/>
      <c r="J259" s="317" t="n"/>
      <c r="K259" s="271">
        <f>IF(AND(ISNUMBER(I259),ISNUMBER(J259)),I259*J259,"")</f>
        <v/>
      </c>
      <c r="L259" s="240">
        <f>IF(COUNT(F259,I259)=0,"",N(F259)-N(I259))</f>
        <v/>
      </c>
      <c r="M259" s="241">
        <f>IF(COUNT(H259,K259)=0,"",N(K259)-N(H259))</f>
        <v/>
      </c>
      <c r="N259" s="240">
        <f>IF(AND(ISNUMBER(F259),ISNUMBER(G259),F259&gt;0,1-N(Ввод!$E$17)/100&gt;0),MAX(0,(F259*G259-SUMPRODUCT((Закрытые!$B$5:$B$300=$B259)*((Закрытые!$F$5:$F$300+Закрытые!$I$5:$I$300-ABS(Закрытые!$F$5:$F$300-Закрытые!$I$5:$I$300))/2)*(Закрытые!$J$5:$J$300-Закрытые!$G$5:$G$300)))/F259)/(1-N(Ввод!$E$17)/100),IF(AND(ISNUMBER(I259),ISNUMBER(J259),I259&gt;0),MAX(0,(I259*J259+SUMPRODUCT((Закрытые!$B$5:$B$300=$B259)*((Закрытые!$F$5:$F$300+Закрытые!$I$5:$I$300-ABS(Закрытые!$F$5:$F$300-Закрытые!$I$5:$I$300))/2)*(Закрытые!$J$5:$J$300-Закрытые!$G$5:$G$300)))/I259)/(1+N(Ввод!$E$17)/100),""))</f>
        <v/>
      </c>
    </row>
    <row r="260" ht="22" customHeight="1">
      <c r="B260" s="318" t="n"/>
      <c r="C260" s="319" t="n"/>
      <c r="D260" s="318" t="n"/>
      <c r="E260" s="320" t="n"/>
      <c r="F260" s="321" t="n"/>
      <c r="G260" s="322" t="n"/>
      <c r="H260" s="271">
        <f>IF(AND(ISNUMBER(F260),ISNUMBER(G260)),F260*G260,"")</f>
        <v/>
      </c>
      <c r="I260" s="321" t="n"/>
      <c r="J260" s="322" t="n"/>
      <c r="K260" s="271">
        <f>IF(AND(ISNUMBER(I260),ISNUMBER(J260)),I260*J260,"")</f>
        <v/>
      </c>
      <c r="L260" s="246">
        <f>IF(COUNT(F260,I260)=0,"",N(F260)-N(I260))</f>
        <v/>
      </c>
      <c r="M260" s="247">
        <f>IF(COUNT(H260,K260)=0,"",N(K260)-N(H260))</f>
        <v/>
      </c>
      <c r="N260" s="246">
        <f>IF(AND(ISNUMBER(F260),ISNUMBER(G260),F260&gt;0,1-N(Ввод!$E$17)/100&gt;0),MAX(0,(F260*G260-SUMPRODUCT((Закрытые!$B$5:$B$300=$B260)*((Закрытые!$F$5:$F$300+Закрытые!$I$5:$I$300-ABS(Закрытые!$F$5:$F$300-Закрытые!$I$5:$I$300))/2)*(Закрытые!$J$5:$J$300-Закрытые!$G$5:$G$300)))/F260)/(1-N(Ввод!$E$17)/100),IF(AND(ISNUMBER(I260),ISNUMBER(J260),I260&gt;0),MAX(0,(I260*J260+SUMPRODUCT((Закрытые!$B$5:$B$300=$B260)*((Закрытые!$F$5:$F$300+Закрытые!$I$5:$I$300-ABS(Закрытые!$F$5:$F$300-Закрытые!$I$5:$I$300))/2)*(Закрытые!$J$5:$J$300-Закрытые!$G$5:$G$300)))/I260)/(1+N(Ввод!$E$17)/100),""))</f>
        <v/>
      </c>
    </row>
    <row r="261" ht="22" customHeight="1">
      <c r="B261" s="313" t="n"/>
      <c r="C261" s="314" t="n"/>
      <c r="D261" s="313" t="n"/>
      <c r="E261" s="315" t="n"/>
      <c r="F261" s="316" t="n"/>
      <c r="G261" s="317" t="n"/>
      <c r="H261" s="271">
        <f>IF(AND(ISNUMBER(F261),ISNUMBER(G261)),F261*G261,"")</f>
        <v/>
      </c>
      <c r="I261" s="316" t="n"/>
      <c r="J261" s="317" t="n"/>
      <c r="K261" s="271">
        <f>IF(AND(ISNUMBER(I261),ISNUMBER(J261)),I261*J261,"")</f>
        <v/>
      </c>
      <c r="L261" s="240">
        <f>IF(COUNT(F261,I261)=0,"",N(F261)-N(I261))</f>
        <v/>
      </c>
      <c r="M261" s="241">
        <f>IF(COUNT(H261,K261)=0,"",N(K261)-N(H261))</f>
        <v/>
      </c>
      <c r="N261" s="240">
        <f>IF(AND(ISNUMBER(F261),ISNUMBER(G261),F261&gt;0,1-N(Ввод!$E$17)/100&gt;0),MAX(0,(F261*G261-SUMPRODUCT((Закрытые!$B$5:$B$300=$B261)*((Закрытые!$F$5:$F$300+Закрытые!$I$5:$I$300-ABS(Закрытые!$F$5:$F$300-Закрытые!$I$5:$I$300))/2)*(Закрытые!$J$5:$J$300-Закрытые!$G$5:$G$300)))/F261)/(1-N(Ввод!$E$17)/100),IF(AND(ISNUMBER(I261),ISNUMBER(J261),I261&gt;0),MAX(0,(I261*J261+SUMPRODUCT((Закрытые!$B$5:$B$300=$B261)*((Закрытые!$F$5:$F$300+Закрытые!$I$5:$I$300-ABS(Закрытые!$F$5:$F$300-Закрытые!$I$5:$I$300))/2)*(Закрытые!$J$5:$J$300-Закрытые!$G$5:$G$300)))/I261)/(1+N(Ввод!$E$17)/100),""))</f>
        <v/>
      </c>
    </row>
    <row r="262" ht="22" customHeight="1">
      <c r="B262" s="318" t="n"/>
      <c r="C262" s="319" t="n"/>
      <c r="D262" s="318" t="n"/>
      <c r="E262" s="320" t="n"/>
      <c r="F262" s="321" t="n"/>
      <c r="G262" s="322" t="n"/>
      <c r="H262" s="271">
        <f>IF(AND(ISNUMBER(F262),ISNUMBER(G262)),F262*G262,"")</f>
        <v/>
      </c>
      <c r="I262" s="321" t="n"/>
      <c r="J262" s="322" t="n"/>
      <c r="K262" s="271">
        <f>IF(AND(ISNUMBER(I262),ISNUMBER(J262)),I262*J262,"")</f>
        <v/>
      </c>
      <c r="L262" s="246">
        <f>IF(COUNT(F262,I262)=0,"",N(F262)-N(I262))</f>
        <v/>
      </c>
      <c r="M262" s="247">
        <f>IF(COUNT(H262,K262)=0,"",N(K262)-N(H262))</f>
        <v/>
      </c>
      <c r="N262" s="246">
        <f>IF(AND(ISNUMBER(F262),ISNUMBER(G262),F262&gt;0,1-N(Ввод!$E$17)/100&gt;0),MAX(0,(F262*G262-SUMPRODUCT((Закрытые!$B$5:$B$300=$B262)*((Закрытые!$F$5:$F$300+Закрытые!$I$5:$I$300-ABS(Закрытые!$F$5:$F$300-Закрытые!$I$5:$I$300))/2)*(Закрытые!$J$5:$J$300-Закрытые!$G$5:$G$300)))/F262)/(1-N(Ввод!$E$17)/100),IF(AND(ISNUMBER(I262),ISNUMBER(J262),I262&gt;0),MAX(0,(I262*J262+SUMPRODUCT((Закрытые!$B$5:$B$300=$B262)*((Закрытые!$F$5:$F$300+Закрытые!$I$5:$I$300-ABS(Закрытые!$F$5:$F$300-Закрытые!$I$5:$I$300))/2)*(Закрытые!$J$5:$J$300-Закрытые!$G$5:$G$300)))/I262)/(1+N(Ввод!$E$17)/100),""))</f>
        <v/>
      </c>
    </row>
    <row r="263" ht="22" customHeight="1">
      <c r="B263" s="313" t="n"/>
      <c r="C263" s="314" t="n"/>
      <c r="D263" s="313" t="n"/>
      <c r="E263" s="315" t="n"/>
      <c r="F263" s="316" t="n"/>
      <c r="G263" s="317" t="n"/>
      <c r="H263" s="271">
        <f>IF(AND(ISNUMBER(F263),ISNUMBER(G263)),F263*G263,"")</f>
        <v/>
      </c>
      <c r="I263" s="316" t="n"/>
      <c r="J263" s="317" t="n"/>
      <c r="K263" s="271">
        <f>IF(AND(ISNUMBER(I263),ISNUMBER(J263)),I263*J263,"")</f>
        <v/>
      </c>
      <c r="L263" s="240">
        <f>IF(COUNT(F263,I263)=0,"",N(F263)-N(I263))</f>
        <v/>
      </c>
      <c r="M263" s="241">
        <f>IF(COUNT(H263,K263)=0,"",N(K263)-N(H263))</f>
        <v/>
      </c>
      <c r="N263" s="240">
        <f>IF(AND(ISNUMBER(F263),ISNUMBER(G263),F263&gt;0,1-N(Ввод!$E$17)/100&gt;0),MAX(0,(F263*G263-SUMPRODUCT((Закрытые!$B$5:$B$300=$B263)*((Закрытые!$F$5:$F$300+Закрытые!$I$5:$I$300-ABS(Закрытые!$F$5:$F$300-Закрытые!$I$5:$I$300))/2)*(Закрытые!$J$5:$J$300-Закрытые!$G$5:$G$300)))/F263)/(1-N(Ввод!$E$17)/100),IF(AND(ISNUMBER(I263),ISNUMBER(J263),I263&gt;0),MAX(0,(I263*J263+SUMPRODUCT((Закрытые!$B$5:$B$300=$B263)*((Закрытые!$F$5:$F$300+Закрытые!$I$5:$I$300-ABS(Закрытые!$F$5:$F$300-Закрытые!$I$5:$I$300))/2)*(Закрытые!$J$5:$J$300-Закрытые!$G$5:$G$300)))/I263)/(1+N(Ввод!$E$17)/100),""))</f>
        <v/>
      </c>
    </row>
    <row r="264" ht="22" customHeight="1">
      <c r="B264" s="318" t="n"/>
      <c r="C264" s="319" t="n"/>
      <c r="D264" s="318" t="n"/>
      <c r="E264" s="320" t="n"/>
      <c r="F264" s="321" t="n"/>
      <c r="G264" s="322" t="n"/>
      <c r="H264" s="271">
        <f>IF(AND(ISNUMBER(F264),ISNUMBER(G264)),F264*G264,"")</f>
        <v/>
      </c>
      <c r="I264" s="321" t="n"/>
      <c r="J264" s="322" t="n"/>
      <c r="K264" s="271">
        <f>IF(AND(ISNUMBER(I264),ISNUMBER(J264)),I264*J264,"")</f>
        <v/>
      </c>
      <c r="L264" s="246">
        <f>IF(COUNT(F264,I264)=0,"",N(F264)-N(I264))</f>
        <v/>
      </c>
      <c r="M264" s="247">
        <f>IF(COUNT(H264,K264)=0,"",N(K264)-N(H264))</f>
        <v/>
      </c>
      <c r="N264" s="246">
        <f>IF(AND(ISNUMBER(F264),ISNUMBER(G264),F264&gt;0,1-N(Ввод!$E$17)/100&gt;0),MAX(0,(F264*G264-SUMPRODUCT((Закрытые!$B$5:$B$300=$B264)*((Закрытые!$F$5:$F$300+Закрытые!$I$5:$I$300-ABS(Закрытые!$F$5:$F$300-Закрытые!$I$5:$I$300))/2)*(Закрытые!$J$5:$J$300-Закрытые!$G$5:$G$300)))/F264)/(1-N(Ввод!$E$17)/100),IF(AND(ISNUMBER(I264),ISNUMBER(J264),I264&gt;0),MAX(0,(I264*J264+SUMPRODUCT((Закрытые!$B$5:$B$300=$B264)*((Закрытые!$F$5:$F$300+Закрытые!$I$5:$I$300-ABS(Закрытые!$F$5:$F$300-Закрытые!$I$5:$I$300))/2)*(Закрытые!$J$5:$J$300-Закрытые!$G$5:$G$300)))/I264)/(1+N(Ввод!$E$17)/100),""))</f>
        <v/>
      </c>
    </row>
    <row r="265" ht="22" customHeight="1">
      <c r="B265" s="313" t="n"/>
      <c r="C265" s="314" t="n"/>
      <c r="D265" s="313" t="n"/>
      <c r="E265" s="315" t="n"/>
      <c r="F265" s="316" t="n"/>
      <c r="G265" s="317" t="n"/>
      <c r="H265" s="271">
        <f>IF(AND(ISNUMBER(F265),ISNUMBER(G265)),F265*G265,"")</f>
        <v/>
      </c>
      <c r="I265" s="316" t="n"/>
      <c r="J265" s="317" t="n"/>
      <c r="K265" s="271">
        <f>IF(AND(ISNUMBER(I265),ISNUMBER(J265)),I265*J265,"")</f>
        <v/>
      </c>
      <c r="L265" s="240">
        <f>IF(COUNT(F265,I265)=0,"",N(F265)-N(I265))</f>
        <v/>
      </c>
      <c r="M265" s="241">
        <f>IF(COUNT(H265,K265)=0,"",N(K265)-N(H265))</f>
        <v/>
      </c>
      <c r="N265" s="240">
        <f>IF(AND(ISNUMBER(F265),ISNUMBER(G265),F265&gt;0,1-N(Ввод!$E$17)/100&gt;0),MAX(0,(F265*G265-SUMPRODUCT((Закрытые!$B$5:$B$300=$B265)*((Закрытые!$F$5:$F$300+Закрытые!$I$5:$I$300-ABS(Закрытые!$F$5:$F$300-Закрытые!$I$5:$I$300))/2)*(Закрытые!$J$5:$J$300-Закрытые!$G$5:$G$300)))/F265)/(1-N(Ввод!$E$17)/100),IF(AND(ISNUMBER(I265),ISNUMBER(J265),I265&gt;0),MAX(0,(I265*J265+SUMPRODUCT((Закрытые!$B$5:$B$300=$B265)*((Закрытые!$F$5:$F$300+Закрытые!$I$5:$I$300-ABS(Закрытые!$F$5:$F$300-Закрытые!$I$5:$I$300))/2)*(Закрытые!$J$5:$J$300-Закрытые!$G$5:$G$300)))/I265)/(1+N(Ввод!$E$17)/100),""))</f>
        <v/>
      </c>
    </row>
    <row r="266" ht="22" customHeight="1">
      <c r="B266" s="318" t="n"/>
      <c r="C266" s="319" t="n"/>
      <c r="D266" s="318" t="n"/>
      <c r="E266" s="320" t="n"/>
      <c r="F266" s="321" t="n"/>
      <c r="G266" s="322" t="n"/>
      <c r="H266" s="271">
        <f>IF(AND(ISNUMBER(F266),ISNUMBER(G266)),F266*G266,"")</f>
        <v/>
      </c>
      <c r="I266" s="321" t="n"/>
      <c r="J266" s="322" t="n"/>
      <c r="K266" s="271">
        <f>IF(AND(ISNUMBER(I266),ISNUMBER(J266)),I266*J266,"")</f>
        <v/>
      </c>
      <c r="L266" s="246">
        <f>IF(COUNT(F266,I266)=0,"",N(F266)-N(I266))</f>
        <v/>
      </c>
      <c r="M266" s="247">
        <f>IF(COUNT(H266,K266)=0,"",N(K266)-N(H266))</f>
        <v/>
      </c>
      <c r="N266" s="246">
        <f>IF(AND(ISNUMBER(F266),ISNUMBER(G266),F266&gt;0,1-N(Ввод!$E$17)/100&gt;0),MAX(0,(F266*G266-SUMPRODUCT((Закрытые!$B$5:$B$300=$B266)*((Закрытые!$F$5:$F$300+Закрытые!$I$5:$I$300-ABS(Закрытые!$F$5:$F$300-Закрытые!$I$5:$I$300))/2)*(Закрытые!$J$5:$J$300-Закрытые!$G$5:$G$300)))/F266)/(1-N(Ввод!$E$17)/100),IF(AND(ISNUMBER(I266),ISNUMBER(J266),I266&gt;0),MAX(0,(I266*J266+SUMPRODUCT((Закрытые!$B$5:$B$300=$B266)*((Закрытые!$F$5:$F$300+Закрытые!$I$5:$I$300-ABS(Закрытые!$F$5:$F$300-Закрытые!$I$5:$I$300))/2)*(Закрытые!$J$5:$J$300-Закрытые!$G$5:$G$300)))/I266)/(1+N(Ввод!$E$17)/100),""))</f>
        <v/>
      </c>
    </row>
    <row r="267" ht="22" customHeight="1">
      <c r="B267" s="313" t="n"/>
      <c r="C267" s="314" t="n"/>
      <c r="D267" s="313" t="n"/>
      <c r="E267" s="315" t="n"/>
      <c r="F267" s="316" t="n"/>
      <c r="G267" s="317" t="n"/>
      <c r="H267" s="271">
        <f>IF(AND(ISNUMBER(F267),ISNUMBER(G267)),F267*G267,"")</f>
        <v/>
      </c>
      <c r="I267" s="316" t="n"/>
      <c r="J267" s="317" t="n"/>
      <c r="K267" s="271">
        <f>IF(AND(ISNUMBER(I267),ISNUMBER(J267)),I267*J267,"")</f>
        <v/>
      </c>
      <c r="L267" s="240">
        <f>IF(COUNT(F267,I267)=0,"",N(F267)-N(I267))</f>
        <v/>
      </c>
      <c r="M267" s="241">
        <f>IF(COUNT(H267,K267)=0,"",N(K267)-N(H267))</f>
        <v/>
      </c>
      <c r="N267" s="240">
        <f>IF(AND(ISNUMBER(F267),ISNUMBER(G267),F267&gt;0,1-N(Ввод!$E$17)/100&gt;0),MAX(0,(F267*G267-SUMPRODUCT((Закрытые!$B$5:$B$300=$B267)*((Закрытые!$F$5:$F$300+Закрытые!$I$5:$I$300-ABS(Закрытые!$F$5:$F$300-Закрытые!$I$5:$I$300))/2)*(Закрытые!$J$5:$J$300-Закрытые!$G$5:$G$300)))/F267)/(1-N(Ввод!$E$17)/100),IF(AND(ISNUMBER(I267),ISNUMBER(J267),I267&gt;0),MAX(0,(I267*J267+SUMPRODUCT((Закрытые!$B$5:$B$300=$B267)*((Закрытые!$F$5:$F$300+Закрытые!$I$5:$I$300-ABS(Закрытые!$F$5:$F$300-Закрытые!$I$5:$I$300))/2)*(Закрытые!$J$5:$J$300-Закрытые!$G$5:$G$300)))/I267)/(1+N(Ввод!$E$17)/100),""))</f>
        <v/>
      </c>
    </row>
    <row r="268" ht="22" customHeight="1">
      <c r="B268" s="318" t="n"/>
      <c r="C268" s="319" t="n"/>
      <c r="D268" s="318" t="n"/>
      <c r="E268" s="320" t="n"/>
      <c r="F268" s="321" t="n"/>
      <c r="G268" s="322" t="n"/>
      <c r="H268" s="271">
        <f>IF(AND(ISNUMBER(F268),ISNUMBER(G268)),F268*G268,"")</f>
        <v/>
      </c>
      <c r="I268" s="321" t="n"/>
      <c r="J268" s="322" t="n"/>
      <c r="K268" s="271">
        <f>IF(AND(ISNUMBER(I268),ISNUMBER(J268)),I268*J268,"")</f>
        <v/>
      </c>
      <c r="L268" s="246">
        <f>IF(COUNT(F268,I268)=0,"",N(F268)-N(I268))</f>
        <v/>
      </c>
      <c r="M268" s="247">
        <f>IF(COUNT(H268,K268)=0,"",N(K268)-N(H268))</f>
        <v/>
      </c>
      <c r="N268" s="246">
        <f>IF(AND(ISNUMBER(F268),ISNUMBER(G268),F268&gt;0,1-N(Ввод!$E$17)/100&gt;0),MAX(0,(F268*G268-SUMPRODUCT((Закрытые!$B$5:$B$300=$B268)*((Закрытые!$F$5:$F$300+Закрытые!$I$5:$I$300-ABS(Закрытые!$F$5:$F$300-Закрытые!$I$5:$I$300))/2)*(Закрытые!$J$5:$J$300-Закрытые!$G$5:$G$300)))/F268)/(1-N(Ввод!$E$17)/100),IF(AND(ISNUMBER(I268),ISNUMBER(J268),I268&gt;0),MAX(0,(I268*J268+SUMPRODUCT((Закрытые!$B$5:$B$300=$B268)*((Закрытые!$F$5:$F$300+Закрытые!$I$5:$I$300-ABS(Закрытые!$F$5:$F$300-Закрытые!$I$5:$I$300))/2)*(Закрытые!$J$5:$J$300-Закрытые!$G$5:$G$300)))/I268)/(1+N(Ввод!$E$17)/100),""))</f>
        <v/>
      </c>
    </row>
    <row r="269" ht="22" customHeight="1">
      <c r="B269" s="313" t="n"/>
      <c r="C269" s="314" t="n"/>
      <c r="D269" s="313" t="n"/>
      <c r="E269" s="315" t="n"/>
      <c r="F269" s="316" t="n"/>
      <c r="G269" s="317" t="n"/>
      <c r="H269" s="271">
        <f>IF(AND(ISNUMBER(F269),ISNUMBER(G269)),F269*G269,"")</f>
        <v/>
      </c>
      <c r="I269" s="316" t="n"/>
      <c r="J269" s="317" t="n"/>
      <c r="K269" s="271">
        <f>IF(AND(ISNUMBER(I269),ISNUMBER(J269)),I269*J269,"")</f>
        <v/>
      </c>
      <c r="L269" s="240">
        <f>IF(COUNT(F269,I269)=0,"",N(F269)-N(I269))</f>
        <v/>
      </c>
      <c r="M269" s="241">
        <f>IF(COUNT(H269,K269)=0,"",N(K269)-N(H269))</f>
        <v/>
      </c>
      <c r="N269" s="240">
        <f>IF(AND(ISNUMBER(F269),ISNUMBER(G269),F269&gt;0,1-N(Ввод!$E$17)/100&gt;0),MAX(0,(F269*G269-SUMPRODUCT((Закрытые!$B$5:$B$300=$B269)*((Закрытые!$F$5:$F$300+Закрытые!$I$5:$I$300-ABS(Закрытые!$F$5:$F$300-Закрытые!$I$5:$I$300))/2)*(Закрытые!$J$5:$J$300-Закрытые!$G$5:$G$300)))/F269)/(1-N(Ввод!$E$17)/100),IF(AND(ISNUMBER(I269),ISNUMBER(J269),I269&gt;0),MAX(0,(I269*J269+SUMPRODUCT((Закрытые!$B$5:$B$300=$B269)*((Закрытые!$F$5:$F$300+Закрытые!$I$5:$I$300-ABS(Закрытые!$F$5:$F$300-Закрытые!$I$5:$I$300))/2)*(Закрытые!$J$5:$J$300-Закрытые!$G$5:$G$300)))/I269)/(1+N(Ввод!$E$17)/100),""))</f>
        <v/>
      </c>
    </row>
    <row r="270" ht="22" customHeight="1">
      <c r="B270" s="318" t="n"/>
      <c r="C270" s="319" t="n"/>
      <c r="D270" s="318" t="n"/>
      <c r="E270" s="320" t="n"/>
      <c r="F270" s="321" t="n"/>
      <c r="G270" s="322" t="n"/>
      <c r="H270" s="271">
        <f>IF(AND(ISNUMBER(F270),ISNUMBER(G270)),F270*G270,"")</f>
        <v/>
      </c>
      <c r="I270" s="321" t="n"/>
      <c r="J270" s="322" t="n"/>
      <c r="K270" s="271">
        <f>IF(AND(ISNUMBER(I270),ISNUMBER(J270)),I270*J270,"")</f>
        <v/>
      </c>
      <c r="L270" s="246">
        <f>IF(COUNT(F270,I270)=0,"",N(F270)-N(I270))</f>
        <v/>
      </c>
      <c r="M270" s="247">
        <f>IF(COUNT(H270,K270)=0,"",N(K270)-N(H270))</f>
        <v/>
      </c>
      <c r="N270" s="246">
        <f>IF(AND(ISNUMBER(F270),ISNUMBER(G270),F270&gt;0,1-N(Ввод!$E$17)/100&gt;0),MAX(0,(F270*G270-SUMPRODUCT((Закрытые!$B$5:$B$300=$B270)*((Закрытые!$F$5:$F$300+Закрытые!$I$5:$I$300-ABS(Закрытые!$F$5:$F$300-Закрытые!$I$5:$I$300))/2)*(Закрытые!$J$5:$J$300-Закрытые!$G$5:$G$300)))/F270)/(1-N(Ввод!$E$17)/100),IF(AND(ISNUMBER(I270),ISNUMBER(J270),I270&gt;0),MAX(0,(I270*J270+SUMPRODUCT((Закрытые!$B$5:$B$300=$B270)*((Закрытые!$F$5:$F$300+Закрытые!$I$5:$I$300-ABS(Закрытые!$F$5:$F$300-Закрытые!$I$5:$I$300))/2)*(Закрытые!$J$5:$J$300-Закрытые!$G$5:$G$300)))/I270)/(1+N(Ввод!$E$17)/100),""))</f>
        <v/>
      </c>
    </row>
    <row r="271" ht="22" customHeight="1">
      <c r="B271" s="313" t="n"/>
      <c r="C271" s="314" t="n"/>
      <c r="D271" s="313" t="n"/>
      <c r="E271" s="315" t="n"/>
      <c r="F271" s="316" t="n"/>
      <c r="G271" s="317" t="n"/>
      <c r="H271" s="271">
        <f>IF(AND(ISNUMBER(F271),ISNUMBER(G271)),F271*G271,"")</f>
        <v/>
      </c>
      <c r="I271" s="316" t="n"/>
      <c r="J271" s="317" t="n"/>
      <c r="K271" s="271">
        <f>IF(AND(ISNUMBER(I271),ISNUMBER(J271)),I271*J271,"")</f>
        <v/>
      </c>
      <c r="L271" s="240">
        <f>IF(COUNT(F271,I271)=0,"",N(F271)-N(I271))</f>
        <v/>
      </c>
      <c r="M271" s="241">
        <f>IF(COUNT(H271,K271)=0,"",N(K271)-N(H271))</f>
        <v/>
      </c>
      <c r="N271" s="240">
        <f>IF(AND(ISNUMBER(F271),ISNUMBER(G271),F271&gt;0,1-N(Ввод!$E$17)/100&gt;0),MAX(0,(F271*G271-SUMPRODUCT((Закрытые!$B$5:$B$300=$B271)*((Закрытые!$F$5:$F$300+Закрытые!$I$5:$I$300-ABS(Закрытые!$F$5:$F$300-Закрытые!$I$5:$I$300))/2)*(Закрытые!$J$5:$J$300-Закрытые!$G$5:$G$300)))/F271)/(1-N(Ввод!$E$17)/100),IF(AND(ISNUMBER(I271),ISNUMBER(J271),I271&gt;0),MAX(0,(I271*J271+SUMPRODUCT((Закрытые!$B$5:$B$300=$B271)*((Закрытые!$F$5:$F$300+Закрытые!$I$5:$I$300-ABS(Закрытые!$F$5:$F$300-Закрытые!$I$5:$I$300))/2)*(Закрытые!$J$5:$J$300-Закрытые!$G$5:$G$300)))/I271)/(1+N(Ввод!$E$17)/100),""))</f>
        <v/>
      </c>
    </row>
    <row r="272" ht="22" customHeight="1">
      <c r="B272" s="318" t="n"/>
      <c r="C272" s="319" t="n"/>
      <c r="D272" s="318" t="n"/>
      <c r="E272" s="320" t="n"/>
      <c r="F272" s="321" t="n"/>
      <c r="G272" s="322" t="n"/>
      <c r="H272" s="271">
        <f>IF(AND(ISNUMBER(F272),ISNUMBER(G272)),F272*G272,"")</f>
        <v/>
      </c>
      <c r="I272" s="321" t="n"/>
      <c r="J272" s="322" t="n"/>
      <c r="K272" s="271">
        <f>IF(AND(ISNUMBER(I272),ISNUMBER(J272)),I272*J272,"")</f>
        <v/>
      </c>
      <c r="L272" s="246">
        <f>IF(COUNT(F272,I272)=0,"",N(F272)-N(I272))</f>
        <v/>
      </c>
      <c r="M272" s="247">
        <f>IF(COUNT(H272,K272)=0,"",N(K272)-N(H272))</f>
        <v/>
      </c>
      <c r="N272" s="246">
        <f>IF(AND(ISNUMBER(F272),ISNUMBER(G272),F272&gt;0,1-N(Ввод!$E$17)/100&gt;0),MAX(0,(F272*G272-SUMPRODUCT((Закрытые!$B$5:$B$300=$B272)*((Закрытые!$F$5:$F$300+Закрытые!$I$5:$I$300-ABS(Закрытые!$F$5:$F$300-Закрытые!$I$5:$I$300))/2)*(Закрытые!$J$5:$J$300-Закрытые!$G$5:$G$300)))/F272)/(1-N(Ввод!$E$17)/100),IF(AND(ISNUMBER(I272),ISNUMBER(J272),I272&gt;0),MAX(0,(I272*J272+SUMPRODUCT((Закрытые!$B$5:$B$300=$B272)*((Закрытые!$F$5:$F$300+Закрытые!$I$5:$I$300-ABS(Закрытые!$F$5:$F$300-Закрытые!$I$5:$I$300))/2)*(Закрытые!$J$5:$J$300-Закрытые!$G$5:$G$300)))/I272)/(1+N(Ввод!$E$17)/100),""))</f>
        <v/>
      </c>
    </row>
    <row r="273" ht="22" customHeight="1">
      <c r="B273" s="313" t="n"/>
      <c r="C273" s="314" t="n"/>
      <c r="D273" s="313" t="n"/>
      <c r="E273" s="315" t="n"/>
      <c r="F273" s="316" t="n"/>
      <c r="G273" s="317" t="n"/>
      <c r="H273" s="271">
        <f>IF(AND(ISNUMBER(F273),ISNUMBER(G273)),F273*G273,"")</f>
        <v/>
      </c>
      <c r="I273" s="316" t="n"/>
      <c r="J273" s="317" t="n"/>
      <c r="K273" s="271">
        <f>IF(AND(ISNUMBER(I273),ISNUMBER(J273)),I273*J273,"")</f>
        <v/>
      </c>
      <c r="L273" s="240">
        <f>IF(COUNT(F273,I273)=0,"",N(F273)-N(I273))</f>
        <v/>
      </c>
      <c r="M273" s="241">
        <f>IF(COUNT(H273,K273)=0,"",N(K273)-N(H273))</f>
        <v/>
      </c>
      <c r="N273" s="240">
        <f>IF(AND(ISNUMBER(F273),ISNUMBER(G273),F273&gt;0,1-N(Ввод!$E$17)/100&gt;0),MAX(0,(F273*G273-SUMPRODUCT((Закрытые!$B$5:$B$300=$B273)*((Закрытые!$F$5:$F$300+Закрытые!$I$5:$I$300-ABS(Закрытые!$F$5:$F$300-Закрытые!$I$5:$I$300))/2)*(Закрытые!$J$5:$J$300-Закрытые!$G$5:$G$300)))/F273)/(1-N(Ввод!$E$17)/100),IF(AND(ISNUMBER(I273),ISNUMBER(J273),I273&gt;0),MAX(0,(I273*J273+SUMPRODUCT((Закрытые!$B$5:$B$300=$B273)*((Закрытые!$F$5:$F$300+Закрытые!$I$5:$I$300-ABS(Закрытые!$F$5:$F$300-Закрытые!$I$5:$I$300))/2)*(Закрытые!$J$5:$J$300-Закрытые!$G$5:$G$300)))/I273)/(1+N(Ввод!$E$17)/100),""))</f>
        <v/>
      </c>
    </row>
    <row r="274" ht="22" customHeight="1">
      <c r="B274" s="318" t="n"/>
      <c r="C274" s="319" t="n"/>
      <c r="D274" s="318" t="n"/>
      <c r="E274" s="320" t="n"/>
      <c r="F274" s="321" t="n"/>
      <c r="G274" s="322" t="n"/>
      <c r="H274" s="271">
        <f>IF(AND(ISNUMBER(F274),ISNUMBER(G274)),F274*G274,"")</f>
        <v/>
      </c>
      <c r="I274" s="321" t="n"/>
      <c r="J274" s="322" t="n"/>
      <c r="K274" s="271">
        <f>IF(AND(ISNUMBER(I274),ISNUMBER(J274)),I274*J274,"")</f>
        <v/>
      </c>
      <c r="L274" s="246">
        <f>IF(COUNT(F274,I274)=0,"",N(F274)-N(I274))</f>
        <v/>
      </c>
      <c r="M274" s="247">
        <f>IF(COUNT(H274,K274)=0,"",N(K274)-N(H274))</f>
        <v/>
      </c>
      <c r="N274" s="246">
        <f>IF(AND(ISNUMBER(F274),ISNUMBER(G274),F274&gt;0,1-N(Ввод!$E$17)/100&gt;0),MAX(0,(F274*G274-SUMPRODUCT((Закрытые!$B$5:$B$300=$B274)*((Закрытые!$F$5:$F$300+Закрытые!$I$5:$I$300-ABS(Закрытые!$F$5:$F$300-Закрытые!$I$5:$I$300))/2)*(Закрытые!$J$5:$J$300-Закрытые!$G$5:$G$300)))/F274)/(1-N(Ввод!$E$17)/100),IF(AND(ISNUMBER(I274),ISNUMBER(J274),I274&gt;0),MAX(0,(I274*J274+SUMPRODUCT((Закрытые!$B$5:$B$300=$B274)*((Закрытые!$F$5:$F$300+Закрытые!$I$5:$I$300-ABS(Закрытые!$F$5:$F$300-Закрытые!$I$5:$I$300))/2)*(Закрытые!$J$5:$J$300-Закрытые!$G$5:$G$300)))/I274)/(1+N(Ввод!$E$17)/100),""))</f>
        <v/>
      </c>
    </row>
    <row r="275" ht="22" customHeight="1">
      <c r="B275" s="313" t="n"/>
      <c r="C275" s="314" t="n"/>
      <c r="D275" s="313" t="n"/>
      <c r="E275" s="315" t="n"/>
      <c r="F275" s="316" t="n"/>
      <c r="G275" s="317" t="n"/>
      <c r="H275" s="271">
        <f>IF(AND(ISNUMBER(F275),ISNUMBER(G275)),F275*G275,"")</f>
        <v/>
      </c>
      <c r="I275" s="316" t="n"/>
      <c r="J275" s="317" t="n"/>
      <c r="K275" s="271">
        <f>IF(AND(ISNUMBER(I275),ISNUMBER(J275)),I275*J275,"")</f>
        <v/>
      </c>
      <c r="L275" s="240">
        <f>IF(COUNT(F275,I275)=0,"",N(F275)-N(I275))</f>
        <v/>
      </c>
      <c r="M275" s="241">
        <f>IF(COUNT(H275,K275)=0,"",N(K275)-N(H275))</f>
        <v/>
      </c>
      <c r="N275" s="240">
        <f>IF(AND(ISNUMBER(F275),ISNUMBER(G275),F275&gt;0,1-N(Ввод!$E$17)/100&gt;0),MAX(0,(F275*G275-SUMPRODUCT((Закрытые!$B$5:$B$300=$B275)*((Закрытые!$F$5:$F$300+Закрытые!$I$5:$I$300-ABS(Закрытые!$F$5:$F$300-Закрытые!$I$5:$I$300))/2)*(Закрытые!$J$5:$J$300-Закрытые!$G$5:$G$300)))/F275)/(1-N(Ввод!$E$17)/100),IF(AND(ISNUMBER(I275),ISNUMBER(J275),I275&gt;0),MAX(0,(I275*J275+SUMPRODUCT((Закрытые!$B$5:$B$300=$B275)*((Закрытые!$F$5:$F$300+Закрытые!$I$5:$I$300-ABS(Закрытые!$F$5:$F$300-Закрытые!$I$5:$I$300))/2)*(Закрытые!$J$5:$J$300-Закрытые!$G$5:$G$300)))/I275)/(1+N(Ввод!$E$17)/100),""))</f>
        <v/>
      </c>
    </row>
    <row r="276" ht="22" customHeight="1">
      <c r="B276" s="318" t="n"/>
      <c r="C276" s="319" t="n"/>
      <c r="D276" s="318" t="n"/>
      <c r="E276" s="320" t="n"/>
      <c r="F276" s="321" t="n"/>
      <c r="G276" s="322" t="n"/>
      <c r="H276" s="271">
        <f>IF(AND(ISNUMBER(F276),ISNUMBER(G276)),F276*G276,"")</f>
        <v/>
      </c>
      <c r="I276" s="321" t="n"/>
      <c r="J276" s="322" t="n"/>
      <c r="K276" s="271">
        <f>IF(AND(ISNUMBER(I276),ISNUMBER(J276)),I276*J276,"")</f>
        <v/>
      </c>
      <c r="L276" s="246">
        <f>IF(COUNT(F276,I276)=0,"",N(F276)-N(I276))</f>
        <v/>
      </c>
      <c r="M276" s="247">
        <f>IF(COUNT(H276,K276)=0,"",N(K276)-N(H276))</f>
        <v/>
      </c>
      <c r="N276" s="246">
        <f>IF(AND(ISNUMBER(F276),ISNUMBER(G276),F276&gt;0,1-N(Ввод!$E$17)/100&gt;0),MAX(0,(F276*G276-SUMPRODUCT((Закрытые!$B$5:$B$300=$B276)*((Закрытые!$F$5:$F$300+Закрытые!$I$5:$I$300-ABS(Закрытые!$F$5:$F$300-Закрытые!$I$5:$I$300))/2)*(Закрытые!$J$5:$J$300-Закрытые!$G$5:$G$300)))/F276)/(1-N(Ввод!$E$17)/100),IF(AND(ISNUMBER(I276),ISNUMBER(J276),I276&gt;0),MAX(0,(I276*J276+SUMPRODUCT((Закрытые!$B$5:$B$300=$B276)*((Закрытые!$F$5:$F$300+Закрытые!$I$5:$I$300-ABS(Закрытые!$F$5:$F$300-Закрытые!$I$5:$I$300))/2)*(Закрытые!$J$5:$J$300-Закрытые!$G$5:$G$300)))/I276)/(1+N(Ввод!$E$17)/100),""))</f>
        <v/>
      </c>
    </row>
    <row r="277" ht="22" customHeight="1">
      <c r="B277" s="313" t="n"/>
      <c r="C277" s="314" t="n"/>
      <c r="D277" s="313" t="n"/>
      <c r="E277" s="315" t="n"/>
      <c r="F277" s="316" t="n"/>
      <c r="G277" s="317" t="n"/>
      <c r="H277" s="271">
        <f>IF(AND(ISNUMBER(F277),ISNUMBER(G277)),F277*G277,"")</f>
        <v/>
      </c>
      <c r="I277" s="316" t="n"/>
      <c r="J277" s="317" t="n"/>
      <c r="K277" s="271">
        <f>IF(AND(ISNUMBER(I277),ISNUMBER(J277)),I277*J277,"")</f>
        <v/>
      </c>
      <c r="L277" s="240">
        <f>IF(COUNT(F277,I277)=0,"",N(F277)-N(I277))</f>
        <v/>
      </c>
      <c r="M277" s="241">
        <f>IF(COUNT(H277,K277)=0,"",N(K277)-N(H277))</f>
        <v/>
      </c>
      <c r="N277" s="240">
        <f>IF(AND(ISNUMBER(F277),ISNUMBER(G277),F277&gt;0,1-N(Ввод!$E$17)/100&gt;0),MAX(0,(F277*G277-SUMPRODUCT((Закрытые!$B$5:$B$300=$B277)*((Закрытые!$F$5:$F$300+Закрытые!$I$5:$I$300-ABS(Закрытые!$F$5:$F$300-Закрытые!$I$5:$I$300))/2)*(Закрытые!$J$5:$J$300-Закрытые!$G$5:$G$300)))/F277)/(1-N(Ввод!$E$17)/100),IF(AND(ISNUMBER(I277),ISNUMBER(J277),I277&gt;0),MAX(0,(I277*J277+SUMPRODUCT((Закрытые!$B$5:$B$300=$B277)*((Закрытые!$F$5:$F$300+Закрытые!$I$5:$I$300-ABS(Закрытые!$F$5:$F$300-Закрытые!$I$5:$I$300))/2)*(Закрытые!$J$5:$J$300-Закрытые!$G$5:$G$300)))/I277)/(1+N(Ввод!$E$17)/100),""))</f>
        <v/>
      </c>
    </row>
    <row r="278" ht="22" customHeight="1">
      <c r="B278" s="318" t="n"/>
      <c r="C278" s="319" t="n"/>
      <c r="D278" s="318" t="n"/>
      <c r="E278" s="320" t="n"/>
      <c r="F278" s="321" t="n"/>
      <c r="G278" s="322" t="n"/>
      <c r="H278" s="271">
        <f>IF(AND(ISNUMBER(F278),ISNUMBER(G278)),F278*G278,"")</f>
        <v/>
      </c>
      <c r="I278" s="321" t="n"/>
      <c r="J278" s="322" t="n"/>
      <c r="K278" s="271">
        <f>IF(AND(ISNUMBER(I278),ISNUMBER(J278)),I278*J278,"")</f>
        <v/>
      </c>
      <c r="L278" s="246">
        <f>IF(COUNT(F278,I278)=0,"",N(F278)-N(I278))</f>
        <v/>
      </c>
      <c r="M278" s="247">
        <f>IF(COUNT(H278,K278)=0,"",N(K278)-N(H278))</f>
        <v/>
      </c>
      <c r="N278" s="246">
        <f>IF(AND(ISNUMBER(F278),ISNUMBER(G278),F278&gt;0,1-N(Ввод!$E$17)/100&gt;0),MAX(0,(F278*G278-SUMPRODUCT((Закрытые!$B$5:$B$300=$B278)*((Закрытые!$F$5:$F$300+Закрытые!$I$5:$I$300-ABS(Закрытые!$F$5:$F$300-Закрытые!$I$5:$I$300))/2)*(Закрытые!$J$5:$J$300-Закрытые!$G$5:$G$300)))/F278)/(1-N(Ввод!$E$17)/100),IF(AND(ISNUMBER(I278),ISNUMBER(J278),I278&gt;0),MAX(0,(I278*J278+SUMPRODUCT((Закрытые!$B$5:$B$300=$B278)*((Закрытые!$F$5:$F$300+Закрытые!$I$5:$I$300-ABS(Закрытые!$F$5:$F$300-Закрытые!$I$5:$I$300))/2)*(Закрытые!$J$5:$J$300-Закрытые!$G$5:$G$300)))/I278)/(1+N(Ввод!$E$17)/100),""))</f>
        <v/>
      </c>
    </row>
    <row r="279" ht="22" customHeight="1">
      <c r="B279" s="313" t="n"/>
      <c r="C279" s="314" t="n"/>
      <c r="D279" s="313" t="n"/>
      <c r="E279" s="315" t="n"/>
      <c r="F279" s="316" t="n"/>
      <c r="G279" s="317" t="n"/>
      <c r="H279" s="271">
        <f>IF(AND(ISNUMBER(F279),ISNUMBER(G279)),F279*G279,"")</f>
        <v/>
      </c>
      <c r="I279" s="316" t="n"/>
      <c r="J279" s="317" t="n"/>
      <c r="K279" s="271">
        <f>IF(AND(ISNUMBER(I279),ISNUMBER(J279)),I279*J279,"")</f>
        <v/>
      </c>
      <c r="L279" s="240">
        <f>IF(COUNT(F279,I279)=0,"",N(F279)-N(I279))</f>
        <v/>
      </c>
      <c r="M279" s="241">
        <f>IF(COUNT(H279,K279)=0,"",N(K279)-N(H279))</f>
        <v/>
      </c>
      <c r="N279" s="240">
        <f>IF(AND(ISNUMBER(F279),ISNUMBER(G279),F279&gt;0,1-N(Ввод!$E$17)/100&gt;0),MAX(0,(F279*G279-SUMPRODUCT((Закрытые!$B$5:$B$300=$B279)*((Закрытые!$F$5:$F$300+Закрытые!$I$5:$I$300-ABS(Закрытые!$F$5:$F$300-Закрытые!$I$5:$I$300))/2)*(Закрытые!$J$5:$J$300-Закрытые!$G$5:$G$300)))/F279)/(1-N(Ввод!$E$17)/100),IF(AND(ISNUMBER(I279),ISNUMBER(J279),I279&gt;0),MAX(0,(I279*J279+SUMPRODUCT((Закрытые!$B$5:$B$300=$B279)*((Закрытые!$F$5:$F$300+Закрытые!$I$5:$I$300-ABS(Закрытые!$F$5:$F$300-Закрытые!$I$5:$I$300))/2)*(Закрытые!$J$5:$J$300-Закрытые!$G$5:$G$300)))/I279)/(1+N(Ввод!$E$17)/100),""))</f>
        <v/>
      </c>
    </row>
    <row r="280" ht="22" customHeight="1">
      <c r="B280" s="318" t="n"/>
      <c r="C280" s="319" t="n"/>
      <c r="D280" s="318" t="n"/>
      <c r="E280" s="320" t="n"/>
      <c r="F280" s="321" t="n"/>
      <c r="G280" s="322" t="n"/>
      <c r="H280" s="271">
        <f>IF(AND(ISNUMBER(F280),ISNUMBER(G280)),F280*G280,"")</f>
        <v/>
      </c>
      <c r="I280" s="321" t="n"/>
      <c r="J280" s="322" t="n"/>
      <c r="K280" s="271">
        <f>IF(AND(ISNUMBER(I280),ISNUMBER(J280)),I280*J280,"")</f>
        <v/>
      </c>
      <c r="L280" s="246">
        <f>IF(COUNT(F280,I280)=0,"",N(F280)-N(I280))</f>
        <v/>
      </c>
      <c r="M280" s="247">
        <f>IF(COUNT(H280,K280)=0,"",N(K280)-N(H280))</f>
        <v/>
      </c>
      <c r="N280" s="246">
        <f>IF(AND(ISNUMBER(F280),ISNUMBER(G280),F280&gt;0,1-N(Ввод!$E$17)/100&gt;0),MAX(0,(F280*G280-SUMPRODUCT((Закрытые!$B$5:$B$300=$B280)*((Закрытые!$F$5:$F$300+Закрытые!$I$5:$I$300-ABS(Закрытые!$F$5:$F$300-Закрытые!$I$5:$I$300))/2)*(Закрытые!$J$5:$J$300-Закрытые!$G$5:$G$300)))/F280)/(1-N(Ввод!$E$17)/100),IF(AND(ISNUMBER(I280),ISNUMBER(J280),I280&gt;0),MAX(0,(I280*J280+SUMPRODUCT((Закрытые!$B$5:$B$300=$B280)*((Закрытые!$F$5:$F$300+Закрытые!$I$5:$I$300-ABS(Закрытые!$F$5:$F$300-Закрытые!$I$5:$I$300))/2)*(Закрытые!$J$5:$J$300-Закрытые!$G$5:$G$300)))/I280)/(1+N(Ввод!$E$17)/100),""))</f>
        <v/>
      </c>
    </row>
    <row r="281" ht="22" customHeight="1">
      <c r="B281" s="313" t="n"/>
      <c r="C281" s="314" t="n"/>
      <c r="D281" s="313" t="n"/>
      <c r="E281" s="315" t="n"/>
      <c r="F281" s="316" t="n"/>
      <c r="G281" s="317" t="n"/>
      <c r="H281" s="271">
        <f>IF(AND(ISNUMBER(F281),ISNUMBER(G281)),F281*G281,"")</f>
        <v/>
      </c>
      <c r="I281" s="316" t="n"/>
      <c r="J281" s="317" t="n"/>
      <c r="K281" s="271">
        <f>IF(AND(ISNUMBER(I281),ISNUMBER(J281)),I281*J281,"")</f>
        <v/>
      </c>
      <c r="L281" s="240">
        <f>IF(COUNT(F281,I281)=0,"",N(F281)-N(I281))</f>
        <v/>
      </c>
      <c r="M281" s="241">
        <f>IF(COUNT(H281,K281)=0,"",N(K281)-N(H281))</f>
        <v/>
      </c>
      <c r="N281" s="240">
        <f>IF(AND(ISNUMBER(F281),ISNUMBER(G281),F281&gt;0,1-N(Ввод!$E$17)/100&gt;0),MAX(0,(F281*G281-SUMPRODUCT((Закрытые!$B$5:$B$300=$B281)*((Закрытые!$F$5:$F$300+Закрытые!$I$5:$I$300-ABS(Закрытые!$F$5:$F$300-Закрытые!$I$5:$I$300))/2)*(Закрытые!$J$5:$J$300-Закрытые!$G$5:$G$300)))/F281)/(1-N(Ввод!$E$17)/100),IF(AND(ISNUMBER(I281),ISNUMBER(J281),I281&gt;0),MAX(0,(I281*J281+SUMPRODUCT((Закрытые!$B$5:$B$300=$B281)*((Закрытые!$F$5:$F$300+Закрытые!$I$5:$I$300-ABS(Закрытые!$F$5:$F$300-Закрытые!$I$5:$I$300))/2)*(Закрытые!$J$5:$J$300-Закрытые!$G$5:$G$300)))/I281)/(1+N(Ввод!$E$17)/100),""))</f>
        <v/>
      </c>
    </row>
    <row r="282" ht="22" customHeight="1">
      <c r="B282" s="318" t="n"/>
      <c r="C282" s="319" t="n"/>
      <c r="D282" s="318" t="n"/>
      <c r="E282" s="320" t="n"/>
      <c r="F282" s="321" t="n"/>
      <c r="G282" s="322" t="n"/>
      <c r="H282" s="271">
        <f>IF(AND(ISNUMBER(F282),ISNUMBER(G282)),F282*G282,"")</f>
        <v/>
      </c>
      <c r="I282" s="321" t="n"/>
      <c r="J282" s="322" t="n"/>
      <c r="K282" s="271">
        <f>IF(AND(ISNUMBER(I282),ISNUMBER(J282)),I282*J282,"")</f>
        <v/>
      </c>
      <c r="L282" s="246">
        <f>IF(COUNT(F282,I282)=0,"",N(F282)-N(I282))</f>
        <v/>
      </c>
      <c r="M282" s="247">
        <f>IF(COUNT(H282,K282)=0,"",N(K282)-N(H282))</f>
        <v/>
      </c>
      <c r="N282" s="246">
        <f>IF(AND(ISNUMBER(F282),ISNUMBER(G282),F282&gt;0,1-N(Ввод!$E$17)/100&gt;0),MAX(0,(F282*G282-SUMPRODUCT((Закрытые!$B$5:$B$300=$B282)*((Закрытые!$F$5:$F$300+Закрытые!$I$5:$I$300-ABS(Закрытые!$F$5:$F$300-Закрытые!$I$5:$I$300))/2)*(Закрытые!$J$5:$J$300-Закрытые!$G$5:$G$300)))/F282)/(1-N(Ввод!$E$17)/100),IF(AND(ISNUMBER(I282),ISNUMBER(J282),I282&gt;0),MAX(0,(I282*J282+SUMPRODUCT((Закрытые!$B$5:$B$300=$B282)*((Закрытые!$F$5:$F$300+Закрытые!$I$5:$I$300-ABS(Закрытые!$F$5:$F$300-Закрытые!$I$5:$I$300))/2)*(Закрытые!$J$5:$J$300-Закрытые!$G$5:$G$300)))/I282)/(1+N(Ввод!$E$17)/100),""))</f>
        <v/>
      </c>
    </row>
    <row r="283" ht="22" customHeight="1">
      <c r="B283" s="313" t="n"/>
      <c r="C283" s="314" t="n"/>
      <c r="D283" s="313" t="n"/>
      <c r="E283" s="315" t="n"/>
      <c r="F283" s="316" t="n"/>
      <c r="G283" s="317" t="n"/>
      <c r="H283" s="271">
        <f>IF(AND(ISNUMBER(F283),ISNUMBER(G283)),F283*G283,"")</f>
        <v/>
      </c>
      <c r="I283" s="316" t="n"/>
      <c r="J283" s="317" t="n"/>
      <c r="K283" s="271">
        <f>IF(AND(ISNUMBER(I283),ISNUMBER(J283)),I283*J283,"")</f>
        <v/>
      </c>
      <c r="L283" s="240">
        <f>IF(COUNT(F283,I283)=0,"",N(F283)-N(I283))</f>
        <v/>
      </c>
      <c r="M283" s="241">
        <f>IF(COUNT(H283,K283)=0,"",N(K283)-N(H283))</f>
        <v/>
      </c>
      <c r="N283" s="240">
        <f>IF(AND(ISNUMBER(F283),ISNUMBER(G283),F283&gt;0,1-N(Ввод!$E$17)/100&gt;0),MAX(0,(F283*G283-SUMPRODUCT((Закрытые!$B$5:$B$300=$B283)*((Закрытые!$F$5:$F$300+Закрытые!$I$5:$I$300-ABS(Закрытые!$F$5:$F$300-Закрытые!$I$5:$I$300))/2)*(Закрытые!$J$5:$J$300-Закрытые!$G$5:$G$300)))/F283)/(1-N(Ввод!$E$17)/100),IF(AND(ISNUMBER(I283),ISNUMBER(J283),I283&gt;0),MAX(0,(I283*J283+SUMPRODUCT((Закрытые!$B$5:$B$300=$B283)*((Закрытые!$F$5:$F$300+Закрытые!$I$5:$I$300-ABS(Закрытые!$F$5:$F$300-Закрытые!$I$5:$I$300))/2)*(Закрытые!$J$5:$J$300-Закрытые!$G$5:$G$300)))/I283)/(1+N(Ввод!$E$17)/100),""))</f>
        <v/>
      </c>
    </row>
    <row r="284" ht="22" customHeight="1">
      <c r="B284" s="318" t="n"/>
      <c r="C284" s="319" t="n"/>
      <c r="D284" s="318" t="n"/>
      <c r="E284" s="320" t="n"/>
      <c r="F284" s="321" t="n"/>
      <c r="G284" s="322" t="n"/>
      <c r="H284" s="271">
        <f>IF(AND(ISNUMBER(F284),ISNUMBER(G284)),F284*G284,"")</f>
        <v/>
      </c>
      <c r="I284" s="321" t="n"/>
      <c r="J284" s="322" t="n"/>
      <c r="K284" s="271">
        <f>IF(AND(ISNUMBER(I284),ISNUMBER(J284)),I284*J284,"")</f>
        <v/>
      </c>
      <c r="L284" s="246">
        <f>IF(COUNT(F284,I284)=0,"",N(F284)-N(I284))</f>
        <v/>
      </c>
      <c r="M284" s="247">
        <f>IF(COUNT(H284,K284)=0,"",N(K284)-N(H284))</f>
        <v/>
      </c>
      <c r="N284" s="246">
        <f>IF(AND(ISNUMBER(F284),ISNUMBER(G284),F284&gt;0,1-N(Ввод!$E$17)/100&gt;0),MAX(0,(F284*G284-SUMPRODUCT((Закрытые!$B$5:$B$300=$B284)*((Закрытые!$F$5:$F$300+Закрытые!$I$5:$I$300-ABS(Закрытые!$F$5:$F$300-Закрытые!$I$5:$I$300))/2)*(Закрытые!$J$5:$J$300-Закрытые!$G$5:$G$300)))/F284)/(1-N(Ввод!$E$17)/100),IF(AND(ISNUMBER(I284),ISNUMBER(J284),I284&gt;0),MAX(0,(I284*J284+SUMPRODUCT((Закрытые!$B$5:$B$300=$B284)*((Закрытые!$F$5:$F$300+Закрытые!$I$5:$I$300-ABS(Закрытые!$F$5:$F$300-Закрытые!$I$5:$I$300))/2)*(Закрытые!$J$5:$J$300-Закрытые!$G$5:$G$300)))/I284)/(1+N(Ввод!$E$17)/100),""))</f>
        <v/>
      </c>
    </row>
    <row r="285" ht="22" customHeight="1">
      <c r="B285" s="313" t="n"/>
      <c r="C285" s="314" t="n"/>
      <c r="D285" s="313" t="n"/>
      <c r="E285" s="315" t="n"/>
      <c r="F285" s="316" t="n"/>
      <c r="G285" s="317" t="n"/>
      <c r="H285" s="271">
        <f>IF(AND(ISNUMBER(F285),ISNUMBER(G285)),F285*G285,"")</f>
        <v/>
      </c>
      <c r="I285" s="316" t="n"/>
      <c r="J285" s="317" t="n"/>
      <c r="K285" s="271">
        <f>IF(AND(ISNUMBER(I285),ISNUMBER(J285)),I285*J285,"")</f>
        <v/>
      </c>
      <c r="L285" s="240">
        <f>IF(COUNT(F285,I285)=0,"",N(F285)-N(I285))</f>
        <v/>
      </c>
      <c r="M285" s="241">
        <f>IF(COUNT(H285,K285)=0,"",N(K285)-N(H285))</f>
        <v/>
      </c>
      <c r="N285" s="240">
        <f>IF(AND(ISNUMBER(F285),ISNUMBER(G285),F285&gt;0,1-N(Ввод!$E$17)/100&gt;0),MAX(0,(F285*G285-SUMPRODUCT((Закрытые!$B$5:$B$300=$B285)*((Закрытые!$F$5:$F$300+Закрытые!$I$5:$I$300-ABS(Закрытые!$F$5:$F$300-Закрытые!$I$5:$I$300))/2)*(Закрытые!$J$5:$J$300-Закрытые!$G$5:$G$300)))/F285)/(1-N(Ввод!$E$17)/100),IF(AND(ISNUMBER(I285),ISNUMBER(J285),I285&gt;0),MAX(0,(I285*J285+SUMPRODUCT((Закрытые!$B$5:$B$300=$B285)*((Закрытые!$F$5:$F$300+Закрытые!$I$5:$I$300-ABS(Закрытые!$F$5:$F$300-Закрытые!$I$5:$I$300))/2)*(Закрытые!$J$5:$J$300-Закрытые!$G$5:$G$300)))/I285)/(1+N(Ввод!$E$17)/100),""))</f>
        <v/>
      </c>
    </row>
    <row r="286" ht="22" customHeight="1">
      <c r="B286" s="318" t="n"/>
      <c r="C286" s="319" t="n"/>
      <c r="D286" s="318" t="n"/>
      <c r="E286" s="320" t="n"/>
      <c r="F286" s="321" t="n"/>
      <c r="G286" s="322" t="n"/>
      <c r="H286" s="271">
        <f>IF(AND(ISNUMBER(F286),ISNUMBER(G286)),F286*G286,"")</f>
        <v/>
      </c>
      <c r="I286" s="321" t="n"/>
      <c r="J286" s="322" t="n"/>
      <c r="K286" s="271">
        <f>IF(AND(ISNUMBER(I286),ISNUMBER(J286)),I286*J286,"")</f>
        <v/>
      </c>
      <c r="L286" s="246">
        <f>IF(COUNT(F286,I286)=0,"",N(F286)-N(I286))</f>
        <v/>
      </c>
      <c r="M286" s="247">
        <f>IF(COUNT(H286,K286)=0,"",N(K286)-N(H286))</f>
        <v/>
      </c>
      <c r="N286" s="246">
        <f>IF(AND(ISNUMBER(F286),ISNUMBER(G286),F286&gt;0,1-N(Ввод!$E$17)/100&gt;0),MAX(0,(F286*G286-SUMPRODUCT((Закрытые!$B$5:$B$300=$B286)*((Закрытые!$F$5:$F$300+Закрытые!$I$5:$I$300-ABS(Закрытые!$F$5:$F$300-Закрытые!$I$5:$I$300))/2)*(Закрытые!$J$5:$J$300-Закрытые!$G$5:$G$300)))/F286)/(1-N(Ввод!$E$17)/100),IF(AND(ISNUMBER(I286),ISNUMBER(J286),I286&gt;0),MAX(0,(I286*J286+SUMPRODUCT((Закрытые!$B$5:$B$300=$B286)*((Закрытые!$F$5:$F$300+Закрытые!$I$5:$I$300-ABS(Закрытые!$F$5:$F$300-Закрытые!$I$5:$I$300))/2)*(Закрытые!$J$5:$J$300-Закрытые!$G$5:$G$300)))/I286)/(1+N(Ввод!$E$17)/100),""))</f>
        <v/>
      </c>
    </row>
    <row r="287" ht="22" customHeight="1">
      <c r="B287" s="313" t="n"/>
      <c r="C287" s="314" t="n"/>
      <c r="D287" s="313" t="n"/>
      <c r="E287" s="315" t="n"/>
      <c r="F287" s="316" t="n"/>
      <c r="G287" s="317" t="n"/>
      <c r="H287" s="271">
        <f>IF(AND(ISNUMBER(F287),ISNUMBER(G287)),F287*G287,"")</f>
        <v/>
      </c>
      <c r="I287" s="316" t="n"/>
      <c r="J287" s="317" t="n"/>
      <c r="K287" s="271">
        <f>IF(AND(ISNUMBER(I287),ISNUMBER(J287)),I287*J287,"")</f>
        <v/>
      </c>
      <c r="L287" s="240">
        <f>IF(COUNT(F287,I287)=0,"",N(F287)-N(I287))</f>
        <v/>
      </c>
      <c r="M287" s="241">
        <f>IF(COUNT(H287,K287)=0,"",N(K287)-N(H287))</f>
        <v/>
      </c>
      <c r="N287" s="240">
        <f>IF(AND(ISNUMBER(F287),ISNUMBER(G287),F287&gt;0,1-N(Ввод!$E$17)/100&gt;0),MAX(0,(F287*G287-SUMPRODUCT((Закрытые!$B$5:$B$300=$B287)*((Закрытые!$F$5:$F$300+Закрытые!$I$5:$I$300-ABS(Закрытые!$F$5:$F$300-Закрытые!$I$5:$I$300))/2)*(Закрытые!$J$5:$J$300-Закрытые!$G$5:$G$300)))/F287)/(1-N(Ввод!$E$17)/100),IF(AND(ISNUMBER(I287),ISNUMBER(J287),I287&gt;0),MAX(0,(I287*J287+SUMPRODUCT((Закрытые!$B$5:$B$300=$B287)*((Закрытые!$F$5:$F$300+Закрытые!$I$5:$I$300-ABS(Закрытые!$F$5:$F$300-Закрытые!$I$5:$I$300))/2)*(Закрытые!$J$5:$J$300-Закрытые!$G$5:$G$300)))/I287)/(1+N(Ввод!$E$17)/100),""))</f>
        <v/>
      </c>
    </row>
    <row r="288" ht="22" customHeight="1">
      <c r="B288" s="318" t="n"/>
      <c r="C288" s="319" t="n"/>
      <c r="D288" s="318" t="n"/>
      <c r="E288" s="320" t="n"/>
      <c r="F288" s="321" t="n"/>
      <c r="G288" s="322" t="n"/>
      <c r="H288" s="271">
        <f>IF(AND(ISNUMBER(F288),ISNUMBER(G288)),F288*G288,"")</f>
        <v/>
      </c>
      <c r="I288" s="321" t="n"/>
      <c r="J288" s="322" t="n"/>
      <c r="K288" s="271">
        <f>IF(AND(ISNUMBER(I288),ISNUMBER(J288)),I288*J288,"")</f>
        <v/>
      </c>
      <c r="L288" s="246">
        <f>IF(COUNT(F288,I288)=0,"",N(F288)-N(I288))</f>
        <v/>
      </c>
      <c r="M288" s="247">
        <f>IF(COUNT(H288,K288)=0,"",N(K288)-N(H288))</f>
        <v/>
      </c>
      <c r="N288" s="246">
        <f>IF(AND(ISNUMBER(F288),ISNUMBER(G288),F288&gt;0,1-N(Ввод!$E$17)/100&gt;0),MAX(0,(F288*G288-SUMPRODUCT((Закрытые!$B$5:$B$300=$B288)*((Закрытые!$F$5:$F$300+Закрытые!$I$5:$I$300-ABS(Закрытые!$F$5:$F$300-Закрытые!$I$5:$I$300))/2)*(Закрытые!$J$5:$J$300-Закрытые!$G$5:$G$300)))/F288)/(1-N(Ввод!$E$17)/100),IF(AND(ISNUMBER(I288),ISNUMBER(J288),I288&gt;0),MAX(0,(I288*J288+SUMPRODUCT((Закрытые!$B$5:$B$300=$B288)*((Закрытые!$F$5:$F$300+Закрытые!$I$5:$I$300-ABS(Закрытые!$F$5:$F$300-Закрытые!$I$5:$I$300))/2)*(Закрытые!$J$5:$J$300-Закрытые!$G$5:$G$300)))/I288)/(1+N(Ввод!$E$17)/100),""))</f>
        <v/>
      </c>
    </row>
    <row r="289" ht="22" customHeight="1">
      <c r="B289" s="313" t="n"/>
      <c r="C289" s="314" t="n"/>
      <c r="D289" s="313" t="n"/>
      <c r="E289" s="315" t="n"/>
      <c r="F289" s="316" t="n"/>
      <c r="G289" s="317" t="n"/>
      <c r="H289" s="271">
        <f>IF(AND(ISNUMBER(F289),ISNUMBER(G289)),F289*G289,"")</f>
        <v/>
      </c>
      <c r="I289" s="316" t="n"/>
      <c r="J289" s="317" t="n"/>
      <c r="K289" s="271">
        <f>IF(AND(ISNUMBER(I289),ISNUMBER(J289)),I289*J289,"")</f>
        <v/>
      </c>
      <c r="L289" s="240">
        <f>IF(COUNT(F289,I289)=0,"",N(F289)-N(I289))</f>
        <v/>
      </c>
      <c r="M289" s="241">
        <f>IF(COUNT(H289,K289)=0,"",N(K289)-N(H289))</f>
        <v/>
      </c>
      <c r="N289" s="240">
        <f>IF(AND(ISNUMBER(F289),ISNUMBER(G289),F289&gt;0,1-N(Ввод!$E$17)/100&gt;0),MAX(0,(F289*G289-SUMPRODUCT((Закрытые!$B$5:$B$300=$B289)*((Закрытые!$F$5:$F$300+Закрытые!$I$5:$I$300-ABS(Закрытые!$F$5:$F$300-Закрытые!$I$5:$I$300))/2)*(Закрытые!$J$5:$J$300-Закрытые!$G$5:$G$300)))/F289)/(1-N(Ввод!$E$17)/100),IF(AND(ISNUMBER(I289),ISNUMBER(J289),I289&gt;0),MAX(0,(I289*J289+SUMPRODUCT((Закрытые!$B$5:$B$300=$B289)*((Закрытые!$F$5:$F$300+Закрытые!$I$5:$I$300-ABS(Закрытые!$F$5:$F$300-Закрытые!$I$5:$I$300))/2)*(Закрытые!$J$5:$J$300-Закрытые!$G$5:$G$300)))/I289)/(1+N(Ввод!$E$17)/100),""))</f>
        <v/>
      </c>
    </row>
    <row r="290" ht="22" customHeight="1">
      <c r="B290" s="318" t="n"/>
      <c r="C290" s="319" t="n"/>
      <c r="D290" s="318" t="n"/>
      <c r="E290" s="320" t="n"/>
      <c r="F290" s="321" t="n"/>
      <c r="G290" s="322" t="n"/>
      <c r="H290" s="271">
        <f>IF(AND(ISNUMBER(F290),ISNUMBER(G290)),F290*G290,"")</f>
        <v/>
      </c>
      <c r="I290" s="321" t="n"/>
      <c r="J290" s="322" t="n"/>
      <c r="K290" s="271">
        <f>IF(AND(ISNUMBER(I290),ISNUMBER(J290)),I290*J290,"")</f>
        <v/>
      </c>
      <c r="L290" s="246">
        <f>IF(COUNT(F290,I290)=0,"",N(F290)-N(I290))</f>
        <v/>
      </c>
      <c r="M290" s="247">
        <f>IF(COUNT(H290,K290)=0,"",N(K290)-N(H290))</f>
        <v/>
      </c>
      <c r="N290" s="246">
        <f>IF(AND(ISNUMBER(F290),ISNUMBER(G290),F290&gt;0,1-N(Ввод!$E$17)/100&gt;0),MAX(0,(F290*G290-SUMPRODUCT((Закрытые!$B$5:$B$300=$B290)*((Закрытые!$F$5:$F$300+Закрытые!$I$5:$I$300-ABS(Закрытые!$F$5:$F$300-Закрытые!$I$5:$I$300))/2)*(Закрытые!$J$5:$J$300-Закрытые!$G$5:$G$300)))/F290)/(1-N(Ввод!$E$17)/100),IF(AND(ISNUMBER(I290),ISNUMBER(J290),I290&gt;0),MAX(0,(I290*J290+SUMPRODUCT((Закрытые!$B$5:$B$300=$B290)*((Закрытые!$F$5:$F$300+Закрытые!$I$5:$I$300-ABS(Закрытые!$F$5:$F$300-Закрытые!$I$5:$I$300))/2)*(Закрытые!$J$5:$J$300-Закрытые!$G$5:$G$300)))/I290)/(1+N(Ввод!$E$17)/100),""))</f>
        <v/>
      </c>
    </row>
    <row r="291" ht="22" customHeight="1">
      <c r="B291" s="313" t="n"/>
      <c r="C291" s="314" t="n"/>
      <c r="D291" s="313" t="n"/>
      <c r="E291" s="315" t="n"/>
      <c r="F291" s="316" t="n"/>
      <c r="G291" s="317" t="n"/>
      <c r="H291" s="271">
        <f>IF(AND(ISNUMBER(F291),ISNUMBER(G291)),F291*G291,"")</f>
        <v/>
      </c>
      <c r="I291" s="316" t="n"/>
      <c r="J291" s="317" t="n"/>
      <c r="K291" s="271">
        <f>IF(AND(ISNUMBER(I291),ISNUMBER(J291)),I291*J291,"")</f>
        <v/>
      </c>
      <c r="L291" s="240">
        <f>IF(COUNT(F291,I291)=0,"",N(F291)-N(I291))</f>
        <v/>
      </c>
      <c r="M291" s="241">
        <f>IF(COUNT(H291,K291)=0,"",N(K291)-N(H291))</f>
        <v/>
      </c>
      <c r="N291" s="240">
        <f>IF(AND(ISNUMBER(F291),ISNUMBER(G291),F291&gt;0,1-N(Ввод!$E$17)/100&gt;0),MAX(0,(F291*G291-SUMPRODUCT((Закрытые!$B$5:$B$300=$B291)*((Закрытые!$F$5:$F$300+Закрытые!$I$5:$I$300-ABS(Закрытые!$F$5:$F$300-Закрытые!$I$5:$I$300))/2)*(Закрытые!$J$5:$J$300-Закрытые!$G$5:$G$300)))/F291)/(1-N(Ввод!$E$17)/100),IF(AND(ISNUMBER(I291),ISNUMBER(J291),I291&gt;0),MAX(0,(I291*J291+SUMPRODUCT((Закрытые!$B$5:$B$300=$B291)*((Закрытые!$F$5:$F$300+Закрытые!$I$5:$I$300-ABS(Закрытые!$F$5:$F$300-Закрытые!$I$5:$I$300))/2)*(Закрытые!$J$5:$J$300-Закрытые!$G$5:$G$300)))/I291)/(1+N(Ввод!$E$17)/100),""))</f>
        <v/>
      </c>
    </row>
    <row r="292" ht="22" customHeight="1">
      <c r="B292" s="318" t="n"/>
      <c r="C292" s="319" t="n"/>
      <c r="D292" s="318" t="n"/>
      <c r="E292" s="320" t="n"/>
      <c r="F292" s="321" t="n"/>
      <c r="G292" s="322" t="n"/>
      <c r="H292" s="271">
        <f>IF(AND(ISNUMBER(F292),ISNUMBER(G292)),F292*G292,"")</f>
        <v/>
      </c>
      <c r="I292" s="321" t="n"/>
      <c r="J292" s="322" t="n"/>
      <c r="K292" s="271">
        <f>IF(AND(ISNUMBER(I292),ISNUMBER(J292)),I292*J292,"")</f>
        <v/>
      </c>
      <c r="L292" s="246">
        <f>IF(COUNT(F292,I292)=0,"",N(F292)-N(I292))</f>
        <v/>
      </c>
      <c r="M292" s="247">
        <f>IF(COUNT(H292,K292)=0,"",N(K292)-N(H292))</f>
        <v/>
      </c>
      <c r="N292" s="246">
        <f>IF(AND(ISNUMBER(F292),ISNUMBER(G292),F292&gt;0,1-N(Ввод!$E$17)/100&gt;0),MAX(0,(F292*G292-SUMPRODUCT((Закрытые!$B$5:$B$300=$B292)*((Закрытые!$F$5:$F$300+Закрытые!$I$5:$I$300-ABS(Закрытые!$F$5:$F$300-Закрытые!$I$5:$I$300))/2)*(Закрытые!$J$5:$J$300-Закрытые!$G$5:$G$300)))/F292)/(1-N(Ввод!$E$17)/100),IF(AND(ISNUMBER(I292),ISNUMBER(J292),I292&gt;0),MAX(0,(I292*J292+SUMPRODUCT((Закрытые!$B$5:$B$300=$B292)*((Закрытые!$F$5:$F$300+Закрытые!$I$5:$I$300-ABS(Закрытые!$F$5:$F$300-Закрытые!$I$5:$I$300))/2)*(Закрытые!$J$5:$J$300-Закрытые!$G$5:$G$300)))/I292)/(1+N(Ввод!$E$17)/100),""))</f>
        <v/>
      </c>
    </row>
    <row r="293" ht="22" customHeight="1">
      <c r="B293" s="313" t="n"/>
      <c r="C293" s="314" t="n"/>
      <c r="D293" s="313" t="n"/>
      <c r="E293" s="315" t="n"/>
      <c r="F293" s="316" t="n"/>
      <c r="G293" s="317" t="n"/>
      <c r="H293" s="271">
        <f>IF(AND(ISNUMBER(F293),ISNUMBER(G293)),F293*G293,"")</f>
        <v/>
      </c>
      <c r="I293" s="316" t="n"/>
      <c r="J293" s="317" t="n"/>
      <c r="K293" s="271">
        <f>IF(AND(ISNUMBER(I293),ISNUMBER(J293)),I293*J293,"")</f>
        <v/>
      </c>
      <c r="L293" s="240">
        <f>IF(COUNT(F293,I293)=0,"",N(F293)-N(I293))</f>
        <v/>
      </c>
      <c r="M293" s="241">
        <f>IF(COUNT(H293,K293)=0,"",N(K293)-N(H293))</f>
        <v/>
      </c>
      <c r="N293" s="240">
        <f>IF(AND(ISNUMBER(F293),ISNUMBER(G293),F293&gt;0,1-N(Ввод!$E$17)/100&gt;0),MAX(0,(F293*G293-SUMPRODUCT((Закрытые!$B$5:$B$300=$B293)*((Закрытые!$F$5:$F$300+Закрытые!$I$5:$I$300-ABS(Закрытые!$F$5:$F$300-Закрытые!$I$5:$I$300))/2)*(Закрытые!$J$5:$J$300-Закрытые!$G$5:$G$300)))/F293)/(1-N(Ввод!$E$17)/100),IF(AND(ISNUMBER(I293),ISNUMBER(J293),I293&gt;0),MAX(0,(I293*J293+SUMPRODUCT((Закрытые!$B$5:$B$300=$B293)*((Закрытые!$F$5:$F$300+Закрытые!$I$5:$I$300-ABS(Закрытые!$F$5:$F$300-Закрытые!$I$5:$I$300))/2)*(Закрытые!$J$5:$J$300-Закрытые!$G$5:$G$300)))/I293)/(1+N(Ввод!$E$17)/100),""))</f>
        <v/>
      </c>
    </row>
    <row r="294" ht="22" customHeight="1">
      <c r="B294" s="318" t="n"/>
      <c r="C294" s="319" t="n"/>
      <c r="D294" s="318" t="n"/>
      <c r="E294" s="320" t="n"/>
      <c r="F294" s="321" t="n"/>
      <c r="G294" s="322" t="n"/>
      <c r="H294" s="271">
        <f>IF(AND(ISNUMBER(F294),ISNUMBER(G294)),F294*G294,"")</f>
        <v/>
      </c>
      <c r="I294" s="321" t="n"/>
      <c r="J294" s="322" t="n"/>
      <c r="K294" s="271">
        <f>IF(AND(ISNUMBER(I294),ISNUMBER(J294)),I294*J294,"")</f>
        <v/>
      </c>
      <c r="L294" s="246">
        <f>IF(COUNT(F294,I294)=0,"",N(F294)-N(I294))</f>
        <v/>
      </c>
      <c r="M294" s="247">
        <f>IF(COUNT(H294,K294)=0,"",N(K294)-N(H294))</f>
        <v/>
      </c>
      <c r="N294" s="246">
        <f>IF(AND(ISNUMBER(F294),ISNUMBER(G294),F294&gt;0,1-N(Ввод!$E$17)/100&gt;0),MAX(0,(F294*G294-SUMPRODUCT((Закрытые!$B$5:$B$300=$B294)*((Закрытые!$F$5:$F$300+Закрытые!$I$5:$I$300-ABS(Закрытые!$F$5:$F$300-Закрытые!$I$5:$I$300))/2)*(Закрытые!$J$5:$J$300-Закрытые!$G$5:$G$300)))/F294)/(1-N(Ввод!$E$17)/100),IF(AND(ISNUMBER(I294),ISNUMBER(J294),I294&gt;0),MAX(0,(I294*J294+SUMPRODUCT((Закрытые!$B$5:$B$300=$B294)*((Закрытые!$F$5:$F$300+Закрытые!$I$5:$I$300-ABS(Закрытые!$F$5:$F$300-Закрытые!$I$5:$I$300))/2)*(Закрытые!$J$5:$J$300-Закрытые!$G$5:$G$300)))/I294)/(1+N(Ввод!$E$17)/100),""))</f>
        <v/>
      </c>
    </row>
    <row r="295" ht="22" customHeight="1">
      <c r="B295" s="313" t="n"/>
      <c r="C295" s="314" t="n"/>
      <c r="D295" s="313" t="n"/>
      <c r="E295" s="315" t="n"/>
      <c r="F295" s="316" t="n"/>
      <c r="G295" s="317" t="n"/>
      <c r="H295" s="271">
        <f>IF(AND(ISNUMBER(F295),ISNUMBER(G295)),F295*G295,"")</f>
        <v/>
      </c>
      <c r="I295" s="316" t="n"/>
      <c r="J295" s="317" t="n"/>
      <c r="K295" s="271">
        <f>IF(AND(ISNUMBER(I295),ISNUMBER(J295)),I295*J295,"")</f>
        <v/>
      </c>
      <c r="L295" s="240">
        <f>IF(COUNT(F295,I295)=0,"",N(F295)-N(I295))</f>
        <v/>
      </c>
      <c r="M295" s="241">
        <f>IF(COUNT(H295,K295)=0,"",N(K295)-N(H295))</f>
        <v/>
      </c>
      <c r="N295" s="240">
        <f>IF(AND(ISNUMBER(F295),ISNUMBER(G295),F295&gt;0,1-N(Ввод!$E$17)/100&gt;0),MAX(0,(F295*G295-SUMPRODUCT((Закрытые!$B$5:$B$300=$B295)*((Закрытые!$F$5:$F$300+Закрытые!$I$5:$I$300-ABS(Закрытые!$F$5:$F$300-Закрытые!$I$5:$I$300))/2)*(Закрытые!$J$5:$J$300-Закрытые!$G$5:$G$300)))/F295)/(1-N(Ввод!$E$17)/100),IF(AND(ISNUMBER(I295),ISNUMBER(J295),I295&gt;0),MAX(0,(I295*J295+SUMPRODUCT((Закрытые!$B$5:$B$300=$B295)*((Закрытые!$F$5:$F$300+Закрытые!$I$5:$I$300-ABS(Закрытые!$F$5:$F$300-Закрытые!$I$5:$I$300))/2)*(Закрытые!$J$5:$J$300-Закрытые!$G$5:$G$300)))/I295)/(1+N(Ввод!$E$17)/100),""))</f>
        <v/>
      </c>
    </row>
    <row r="296" ht="22" customHeight="1">
      <c r="B296" s="318" t="n"/>
      <c r="C296" s="319" t="n"/>
      <c r="D296" s="318" t="n"/>
      <c r="E296" s="320" t="n"/>
      <c r="F296" s="321" t="n"/>
      <c r="G296" s="322" t="n"/>
      <c r="H296" s="271">
        <f>IF(AND(ISNUMBER(F296),ISNUMBER(G296)),F296*G296,"")</f>
        <v/>
      </c>
      <c r="I296" s="321" t="n"/>
      <c r="J296" s="322" t="n"/>
      <c r="K296" s="271">
        <f>IF(AND(ISNUMBER(I296),ISNUMBER(J296)),I296*J296,"")</f>
        <v/>
      </c>
      <c r="L296" s="246">
        <f>IF(COUNT(F296,I296)=0,"",N(F296)-N(I296))</f>
        <v/>
      </c>
      <c r="M296" s="247">
        <f>IF(COUNT(H296,K296)=0,"",N(K296)-N(H296))</f>
        <v/>
      </c>
      <c r="N296" s="246">
        <f>IF(AND(ISNUMBER(F296),ISNUMBER(G296),F296&gt;0,1-N(Ввод!$E$17)/100&gt;0),MAX(0,(F296*G296-SUMPRODUCT((Закрытые!$B$5:$B$300=$B296)*((Закрытые!$F$5:$F$300+Закрытые!$I$5:$I$300-ABS(Закрытые!$F$5:$F$300-Закрытые!$I$5:$I$300))/2)*(Закрытые!$J$5:$J$300-Закрытые!$G$5:$G$300)))/F296)/(1-N(Ввод!$E$17)/100),IF(AND(ISNUMBER(I296),ISNUMBER(J296),I296&gt;0),MAX(0,(I296*J296+SUMPRODUCT((Закрытые!$B$5:$B$300=$B296)*((Закрытые!$F$5:$F$300+Закрытые!$I$5:$I$300-ABS(Закрытые!$F$5:$F$300-Закрытые!$I$5:$I$300))/2)*(Закрытые!$J$5:$J$300-Закрытые!$G$5:$G$300)))/I296)/(1+N(Ввод!$E$17)/100),""))</f>
        <v/>
      </c>
    </row>
    <row r="297" ht="22" customHeight="1">
      <c r="B297" s="313" t="n"/>
      <c r="C297" s="314" t="n"/>
      <c r="D297" s="313" t="n"/>
      <c r="E297" s="315" t="n"/>
      <c r="F297" s="316" t="n"/>
      <c r="G297" s="317" t="n"/>
      <c r="H297" s="271">
        <f>IF(AND(ISNUMBER(F297),ISNUMBER(G297)),F297*G297,"")</f>
        <v/>
      </c>
      <c r="I297" s="316" t="n"/>
      <c r="J297" s="317" t="n"/>
      <c r="K297" s="271">
        <f>IF(AND(ISNUMBER(I297),ISNUMBER(J297)),I297*J297,"")</f>
        <v/>
      </c>
      <c r="L297" s="240">
        <f>IF(COUNT(F297,I297)=0,"",N(F297)-N(I297))</f>
        <v/>
      </c>
      <c r="M297" s="241">
        <f>IF(COUNT(H297,K297)=0,"",N(K297)-N(H297))</f>
        <v/>
      </c>
      <c r="N297" s="240">
        <f>IF(AND(ISNUMBER(F297),ISNUMBER(G297),F297&gt;0,1-N(Ввод!$E$17)/100&gt;0),MAX(0,(F297*G297-SUMPRODUCT((Закрытые!$B$5:$B$300=$B297)*((Закрытые!$F$5:$F$300+Закрытые!$I$5:$I$300-ABS(Закрытые!$F$5:$F$300-Закрытые!$I$5:$I$300))/2)*(Закрытые!$J$5:$J$300-Закрытые!$G$5:$G$300)))/F297)/(1-N(Ввод!$E$17)/100),IF(AND(ISNUMBER(I297),ISNUMBER(J297),I297&gt;0),MAX(0,(I297*J297+SUMPRODUCT((Закрытые!$B$5:$B$300=$B297)*((Закрытые!$F$5:$F$300+Закрытые!$I$5:$I$300-ABS(Закрытые!$F$5:$F$300-Закрытые!$I$5:$I$300))/2)*(Закрытые!$J$5:$J$300-Закрытые!$G$5:$G$300)))/I297)/(1+N(Ввод!$E$17)/100),""))</f>
        <v/>
      </c>
    </row>
    <row r="298" ht="22" customHeight="1">
      <c r="B298" s="318" t="n"/>
      <c r="C298" s="319" t="n"/>
      <c r="D298" s="318" t="n"/>
      <c r="E298" s="320" t="n"/>
      <c r="F298" s="321" t="n"/>
      <c r="G298" s="322" t="n"/>
      <c r="H298" s="271">
        <f>IF(AND(ISNUMBER(F298),ISNUMBER(G298)),F298*G298,"")</f>
        <v/>
      </c>
      <c r="I298" s="321" t="n"/>
      <c r="J298" s="322" t="n"/>
      <c r="K298" s="271">
        <f>IF(AND(ISNUMBER(I298),ISNUMBER(J298)),I298*J298,"")</f>
        <v/>
      </c>
      <c r="L298" s="246">
        <f>IF(COUNT(F298,I298)=0,"",N(F298)-N(I298))</f>
        <v/>
      </c>
      <c r="M298" s="247">
        <f>IF(COUNT(H298,K298)=0,"",N(K298)-N(H298))</f>
        <v/>
      </c>
      <c r="N298" s="246">
        <f>IF(AND(ISNUMBER(F298),ISNUMBER(G298),F298&gt;0,1-N(Ввод!$E$17)/100&gt;0),MAX(0,(F298*G298-SUMPRODUCT((Закрытые!$B$5:$B$300=$B298)*((Закрытые!$F$5:$F$300+Закрытые!$I$5:$I$300-ABS(Закрытые!$F$5:$F$300-Закрытые!$I$5:$I$300))/2)*(Закрытые!$J$5:$J$300-Закрытые!$G$5:$G$300)))/F298)/(1-N(Ввод!$E$17)/100),IF(AND(ISNUMBER(I298),ISNUMBER(J298),I298&gt;0),MAX(0,(I298*J298+SUMPRODUCT((Закрытые!$B$5:$B$300=$B298)*((Закрытые!$F$5:$F$300+Закрытые!$I$5:$I$300-ABS(Закрытые!$F$5:$F$300-Закрытые!$I$5:$I$300))/2)*(Закрытые!$J$5:$J$300-Закрытые!$G$5:$G$300)))/I298)/(1+N(Ввод!$E$17)/100),""))</f>
        <v/>
      </c>
    </row>
    <row r="299" ht="22" customHeight="1">
      <c r="B299" s="313" t="n"/>
      <c r="C299" s="314" t="n"/>
      <c r="D299" s="313" t="n"/>
      <c r="E299" s="315" t="n"/>
      <c r="F299" s="316" t="n"/>
      <c r="G299" s="317" t="n"/>
      <c r="H299" s="271">
        <f>IF(AND(ISNUMBER(F299),ISNUMBER(G299)),F299*G299,"")</f>
        <v/>
      </c>
      <c r="I299" s="316" t="n"/>
      <c r="J299" s="317" t="n"/>
      <c r="K299" s="271">
        <f>IF(AND(ISNUMBER(I299),ISNUMBER(J299)),I299*J299,"")</f>
        <v/>
      </c>
      <c r="L299" s="240">
        <f>IF(COUNT(F299,I299)=0,"",N(F299)-N(I299))</f>
        <v/>
      </c>
      <c r="M299" s="241">
        <f>IF(COUNT(H299,K299)=0,"",N(K299)-N(H299))</f>
        <v/>
      </c>
      <c r="N299" s="240">
        <f>IF(AND(ISNUMBER(F299),ISNUMBER(G299),F299&gt;0,1-N(Ввод!$E$17)/100&gt;0),MAX(0,(F299*G299-SUMPRODUCT((Закрытые!$B$5:$B$300=$B299)*((Закрытые!$F$5:$F$300+Закрытые!$I$5:$I$300-ABS(Закрытые!$F$5:$F$300-Закрытые!$I$5:$I$300))/2)*(Закрытые!$J$5:$J$300-Закрытые!$G$5:$G$300)))/F299)/(1-N(Ввод!$E$17)/100),IF(AND(ISNUMBER(I299),ISNUMBER(J299),I299&gt;0),MAX(0,(I299*J299+SUMPRODUCT((Закрытые!$B$5:$B$300=$B299)*((Закрытые!$F$5:$F$300+Закрытые!$I$5:$I$300-ABS(Закрытые!$F$5:$F$300-Закрытые!$I$5:$I$300))/2)*(Закрытые!$J$5:$J$300-Закрытые!$G$5:$G$300)))/I299)/(1+N(Ввод!$E$17)/100),""))</f>
        <v/>
      </c>
    </row>
    <row r="300" ht="22" customHeight="1">
      <c r="B300" s="318" t="n"/>
      <c r="C300" s="319" t="n"/>
      <c r="D300" s="318" t="n"/>
      <c r="E300" s="320" t="n"/>
      <c r="F300" s="321" t="n"/>
      <c r="G300" s="322" t="n"/>
      <c r="H300" s="271">
        <f>IF(AND(ISNUMBER(F300),ISNUMBER(G300)),F300*G300,"")</f>
        <v/>
      </c>
      <c r="I300" s="321" t="n"/>
      <c r="J300" s="322" t="n"/>
      <c r="K300" s="271">
        <f>IF(AND(ISNUMBER(I300),ISNUMBER(J300)),I300*J300,"")</f>
        <v/>
      </c>
      <c r="L300" s="246">
        <f>IF(COUNT(F300,I300)=0,"",N(F300)-N(I300))</f>
        <v/>
      </c>
      <c r="M300" s="247">
        <f>IF(COUNT(H300,K300)=0,"",N(K300)-N(H300))</f>
        <v/>
      </c>
      <c r="N300" s="246">
        <f>IF(AND(ISNUMBER(F300),ISNUMBER(G300),F300&gt;0,1-N(Ввод!$E$17)/100&gt;0),MAX(0,(F300*G300-SUMPRODUCT((Закрытые!$B$5:$B$300=$B300)*((Закрытые!$F$5:$F$300+Закрытые!$I$5:$I$300-ABS(Закрытые!$F$5:$F$300-Закрытые!$I$5:$I$300))/2)*(Закрытые!$J$5:$J$300-Закрытые!$G$5:$G$300)))/F300)/(1-N(Ввод!$E$17)/100),IF(AND(ISNUMBER(I300),ISNUMBER(J300),I300&gt;0),MAX(0,(I300*J300+SUMPRODUCT((Закрытые!$B$5:$B$300=$B300)*((Закрытые!$F$5:$F$300+Закрытые!$I$5:$I$300-ABS(Закрытые!$F$5:$F$300-Закрытые!$I$5:$I$300))/2)*(Закрытые!$J$5:$J$300-Закрытые!$G$5:$G$300)))/I300)/(1+N(Ввод!$E$17)/100),""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N300"/>
  <mergeCells count="1">
    <mergeCell ref="B1:N2"/>
  </mergeCells>
  <conditionalFormatting sqref="B5:N300">
    <cfRule type="expression" priority="1" dxfId="0">
      <formula>AND($B5&lt;&gt;"",COUNTIF(Закрытые!$B$5:$B$300,$B5)&gt;0)</formula>
    </cfRule>
  </conditionalFormatting>
  <conditionalFormatting sqref="B5:G300 I5:J300 L5:N300">
    <cfRule type="expression" priority="2" dxfId="2">
      <formula>MOD(ROW(),2)=1</formula>
    </cfRule>
    <cfRule type="expression" priority="3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 codeName="Sheet5">
    <tabColor rgb="00722F37"/>
    <outlinePr summaryBelow="1" summaryRight="1"/>
    <pageSetUpPr fitToPage="1"/>
  </sheetPr>
  <dimension ref="B1:M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5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7" customWidth="1" min="13" max="13"/>
  </cols>
  <sheetData>
    <row r="1" ht="21" customHeight="1">
      <c r="B1" s="1" t="inlineStr">
        <is>
          <t>CRYPTO JOURNAL • ИТОГО ЛЭНДИНГ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Покупка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Продажа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315" t="inlineStr">
        <is>
          <t>AAVE/USDT</t>
        </is>
      </c>
      <c r="C5" s="240">
        <f>IF(SUMIFS(Лэндинг!$F$5:$F$300,Лэндинг!$E$5:$E$300,$B5)+SUMIFS(Закрытые!$F$5:$F$300,Закрытые!$E$5:$E$300,$B5,Закрытые!$B$5:$B$300,"L-*")=0,"",SUMIFS(Лэндинг!$F$5:$F$300,Лэндинг!$E$5:$E$300,$B5)+SUMIFS(Закрытые!$F$5:$F$300,Закрытые!$E$5:$E$300,$B5,Закрытые!$B$5:$B$300,"L-*"))</f>
        <v/>
      </c>
      <c r="D5" s="177">
        <f>IF(C5="","",(SUMPRODUCT((Лэндинг!$E$5:$E$300=$B5)*Лэндинг!$F$5:$F$300*Лэндинг!$G$5:$G$300)+SUMPRODUCT((Закрытые!$E$5:$E$300=$B5)*(LEFT(Закрытые!$B$5:$B$300,2)="L-")*Закрытые!$F$5:$F$300*Закрытые!$G$5:$G$300))/C5)</f>
        <v/>
      </c>
      <c r="E5" s="241">
        <f>IF(C5="","",SUMIFS(Лэндинг!$H$5:$H$300,Лэндинг!$E$5:$E$300,$B5)+SUMIFS(Закрытые!$H$5:$H$300,Закрытые!$E$5:$E$300,$B5,Закрытые!$B$5:$B$300,"L-*"))</f>
        <v/>
      </c>
      <c r="F5" s="240">
        <f>IF(SUMIFS(Лэндинг!$I$5:$I$300,Лэндинг!$E$5:$E$300,$B5)+SUMIFS(Закрытые!$I$5:$I$300,Закрытые!$E$5:$E$300,$B5,Закрытые!$B$5:$B$300,"L-*")=0,"",SUMIFS(Лэндинг!$I$5:$I$300,Лэндинг!$E$5:$E$300,$B5)+SUMIFS(Закрытые!$I$5:$I$300,Закрытые!$E$5:$E$300,$B5,Закрытые!$B$5:$B$300,"L-*"))</f>
        <v/>
      </c>
      <c r="G5" s="177">
        <f>IF(F5="","",(SUMPRODUCT((Лэндинг!$E$5:$E$300=$B5)*Лэндинг!$I$5:$I$300*Лэндинг!$J$5:$J$300)+SUMPRODUCT((Закрытые!$E$5:$E$300=$B5)*(LEFT(Закрытые!$B$5:$B$300,2)="L-")*Закрытые!$I$5:$I$300*Закрытые!$J$5:$J$300))/F5)</f>
        <v/>
      </c>
      <c r="H5" s="241">
        <f>IF(F5="","",SUMIFS(Лэндинг!$K$5:$K$300,Лэндинг!$E$5:$E$300,$B5)+SUMIFS(Закрытые!$K$5:$K$300,Закрытые!$E$5:$E$300,$B5,Закрытые!$B$5:$B$300,"L-*"))</f>
        <v/>
      </c>
      <c r="I5" s="240">
        <f>IF($B5="","",IF(COUNTIFS(Лэндинг!$E$5:$E$300,$B5)+COUNTIFS(Закрытые!$E$5:$E$300,$B5,Закрытые!$B$5:$B$300,"L-*")=0,"",ROUND(SUMIFS(Лэндинг!$L$5:$L$300,Лэндинг!$E$5:$E$300,$B5)+SUMIFS(Закрытые!$L$5:$L$300,Закрытые!$E$5:$E$300,$B5,Закрытые!$B$5:$B$300,"L-*"),8)))</f>
        <v/>
      </c>
      <c r="J5" s="241">
        <f>IF($B5="","",IF(COUNTIFS(Лэндинг!$E$5:$E$300,$B5)+COUNTIFS(Закрытые!$E$5:$E$300,$B5,Закрытые!$B$5:$B$300,"L-*")=0,"",ROUND(SUMIFS(Лэндинг!$M$5:$M$300,Лэндинг!$E$5:$E$300,$B5)+SUMIFS(Закрытые!$M$5:$M$300,Закрытые!$E$5:$E$300,$B5,Закрытые!$B$5:$B$300,"L-*"),8)))</f>
        <v/>
      </c>
      <c r="K5" s="240">
        <f>IF($B5="","",ROUND(SUMIFS(Закрытые!$N$5:$N$300,Закрытые!$E$5:$E$300,$B5,Закрытые!$B$5:$B$300,"L-*"),8))</f>
        <v/>
      </c>
      <c r="L5" s="177">
        <f>IF(K5="","",IF(SUMPRODUCT((Закрытые!$E$5:$E$300=$B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/SUMPRODUCT((Закрытые!$E$5:$E$300=$B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" s="177">
        <f>IF(OR(ROUND(N(C5)-N(F5),8)=0,1-N(Ввод!$E$17)/100&lt;=0),"",IF(N(C5)&gt;N(F5),(N(E5)-N(H5))/((N(C5)-N(F5))*(1-N(Ввод!$E$17)/100)),(N(H5)-N(E5))/((N(F5)-N(C5))*(1+N(Ввод!$E$17)/100))))</f>
        <v/>
      </c>
    </row>
    <row r="6" ht="22" customHeight="1">
      <c r="B6" s="320" t="inlineStr">
        <is>
          <t>BNB/BTC</t>
        </is>
      </c>
      <c r="C6" s="246">
        <f>IF(SUMIFS(Лэндинг!$F$5:$F$300,Лэндинг!$E$5:$E$300,$B6)+SUMIFS(Закрытые!$F$5:$F$300,Закрытые!$E$5:$E$300,$B6,Закрытые!$B$5:$B$300,"L-*")=0,"",SUMIFS(Лэндинг!$F$5:$F$300,Лэндинг!$E$5:$E$300,$B6)+SUMIFS(Закрытые!$F$5:$F$300,Закрытые!$E$5:$E$300,$B6,Закрытые!$B$5:$B$300,"L-*"))</f>
        <v/>
      </c>
      <c r="D6" s="183">
        <f>IF(C6="","",(SUMPRODUCT((Лэндинг!$E$5:$E$300=$B6)*Лэндинг!$F$5:$F$300*Лэндинг!$G$5:$G$300)+SUMPRODUCT((Закрытые!$E$5:$E$300=$B6)*(LEFT(Закрытые!$B$5:$B$300,2)="L-")*Закрытые!$F$5:$F$300*Закрытые!$G$5:$G$300))/C6)</f>
        <v/>
      </c>
      <c r="E6" s="247">
        <f>IF(C6="","",SUMIFS(Лэндинг!$H$5:$H$300,Лэндинг!$E$5:$E$300,$B6)+SUMIFS(Закрытые!$H$5:$H$300,Закрытые!$E$5:$E$300,$B6,Закрытые!$B$5:$B$300,"L-*"))</f>
        <v/>
      </c>
      <c r="F6" s="246">
        <f>IF(SUMIFS(Лэндинг!$I$5:$I$300,Лэндинг!$E$5:$E$300,$B6)+SUMIFS(Закрытые!$I$5:$I$300,Закрытые!$E$5:$E$300,$B6,Закрытые!$B$5:$B$300,"L-*")=0,"",SUMIFS(Лэндинг!$I$5:$I$300,Лэндинг!$E$5:$E$300,$B6)+SUMIFS(Закрытые!$I$5:$I$300,Закрытые!$E$5:$E$300,$B6,Закрытые!$B$5:$B$300,"L-*"))</f>
        <v/>
      </c>
      <c r="G6" s="183">
        <f>IF(F6="","",(SUMPRODUCT((Лэндинг!$E$5:$E$300=$B6)*Лэндинг!$I$5:$I$300*Лэндинг!$J$5:$J$300)+SUMPRODUCT((Закрытые!$E$5:$E$300=$B6)*(LEFT(Закрытые!$B$5:$B$300,2)="L-")*Закрытые!$I$5:$I$300*Закрытые!$J$5:$J$300))/F6)</f>
        <v/>
      </c>
      <c r="H6" s="247">
        <f>IF(F6="","",SUMIFS(Лэндинг!$K$5:$K$300,Лэндинг!$E$5:$E$300,$B6)+SUMIFS(Закрытые!$K$5:$K$300,Закрытые!$E$5:$E$300,$B6,Закрытые!$B$5:$B$300,"L-*"))</f>
        <v/>
      </c>
      <c r="I6" s="246">
        <f>IF($B6="","",IF(COUNTIFS(Лэндинг!$E$5:$E$300,$B6)+COUNTIFS(Закрытые!$E$5:$E$300,$B6,Закрытые!$B$5:$B$300,"L-*")=0,"",ROUND(SUMIFS(Лэндинг!$L$5:$L$300,Лэндинг!$E$5:$E$300,$B6)+SUMIFS(Закрытые!$L$5:$L$300,Закрытые!$E$5:$E$300,$B6,Закрытые!$B$5:$B$300,"L-*"),8)))</f>
        <v/>
      </c>
      <c r="J6" s="247">
        <f>IF($B6="","",IF(COUNTIFS(Лэндинг!$E$5:$E$300,$B6)+COUNTIFS(Закрытые!$E$5:$E$300,$B6,Закрытые!$B$5:$B$300,"L-*")=0,"",ROUND(SUMIFS(Лэндинг!$M$5:$M$300,Лэндинг!$E$5:$E$300,$B6)+SUMIFS(Закрытые!$M$5:$M$300,Закрытые!$E$5:$E$300,$B6,Закрытые!$B$5:$B$300,"L-*"),8)))</f>
        <v/>
      </c>
      <c r="K6" s="246">
        <f>IF($B6="","",ROUND(SUMIFS(Закрытые!$N$5:$N$300,Закрытые!$E$5:$E$300,$B6,Закрытые!$B$5:$B$300,"L-*"),8))</f>
        <v/>
      </c>
      <c r="L6" s="183">
        <f>IF(K6="","",IF(SUMPRODUCT((Закрытые!$E$5:$E$300=$B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/SUMPRODUCT((Закрытые!$E$5:$E$300=$B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" s="183">
        <f>IF(OR(ROUND(N(C6)-N(F6),8)=0,1-N(Ввод!$E$17)/100&lt;=0),"",IF(N(C6)&gt;N(F6),(N(E6)-N(H6))/((N(C6)-N(F6))*(1-N(Ввод!$E$17)/100)),(N(H6)-N(E6))/((N(F6)-N(C6))*(1+N(Ввод!$E$17)/100))))</f>
        <v/>
      </c>
    </row>
    <row r="7" ht="22" customHeight="1">
      <c r="B7" s="315" t="inlineStr">
        <is>
          <t>BNB/ETH</t>
        </is>
      </c>
      <c r="C7" s="240">
        <f>IF(SUMIFS(Лэндинг!$F$5:$F$300,Лэндинг!$E$5:$E$300,$B7)+SUMIFS(Закрытые!$F$5:$F$300,Закрытые!$E$5:$E$300,$B7,Закрытые!$B$5:$B$300,"L-*")=0,"",SUMIFS(Лэндинг!$F$5:$F$300,Лэндинг!$E$5:$E$300,$B7)+SUMIFS(Закрытые!$F$5:$F$300,Закрытые!$E$5:$E$300,$B7,Закрытые!$B$5:$B$300,"L-*"))</f>
        <v/>
      </c>
      <c r="D7" s="177">
        <f>IF(C7="","",(SUMPRODUCT((Лэндинг!$E$5:$E$300=$B7)*Лэндинг!$F$5:$F$300*Лэндинг!$G$5:$G$300)+SUMPRODUCT((Закрытые!$E$5:$E$300=$B7)*(LEFT(Закрытые!$B$5:$B$300,2)="L-")*Закрытые!$F$5:$F$300*Закрытые!$G$5:$G$300))/C7)</f>
        <v/>
      </c>
      <c r="E7" s="241">
        <f>IF(C7="","",SUMIFS(Лэндинг!$H$5:$H$300,Лэндинг!$E$5:$E$300,$B7)+SUMIFS(Закрытые!$H$5:$H$300,Закрытые!$E$5:$E$300,$B7,Закрытые!$B$5:$B$300,"L-*"))</f>
        <v/>
      </c>
      <c r="F7" s="240">
        <f>IF(SUMIFS(Лэндинг!$I$5:$I$300,Лэндинг!$E$5:$E$300,$B7)+SUMIFS(Закрытые!$I$5:$I$300,Закрытые!$E$5:$E$300,$B7,Закрытые!$B$5:$B$300,"L-*")=0,"",SUMIFS(Лэндинг!$I$5:$I$300,Лэндинг!$E$5:$E$300,$B7)+SUMIFS(Закрытые!$I$5:$I$300,Закрытые!$E$5:$E$300,$B7,Закрытые!$B$5:$B$300,"L-*"))</f>
        <v/>
      </c>
      <c r="G7" s="177">
        <f>IF(F7="","",(SUMPRODUCT((Лэндинг!$E$5:$E$300=$B7)*Лэндинг!$I$5:$I$300*Лэндинг!$J$5:$J$300)+SUMPRODUCT((Закрытые!$E$5:$E$300=$B7)*(LEFT(Закрытые!$B$5:$B$300,2)="L-")*Закрытые!$I$5:$I$300*Закрытые!$J$5:$J$300))/F7)</f>
        <v/>
      </c>
      <c r="H7" s="241">
        <f>IF(F7="","",SUMIFS(Лэндинг!$K$5:$K$300,Лэндинг!$E$5:$E$300,$B7)+SUMIFS(Закрытые!$K$5:$K$300,Закрытые!$E$5:$E$300,$B7,Закрытые!$B$5:$B$300,"L-*"))</f>
        <v/>
      </c>
      <c r="I7" s="240">
        <f>IF($B7="","",IF(COUNTIFS(Лэндинг!$E$5:$E$300,$B7)+COUNTIFS(Закрытые!$E$5:$E$300,$B7,Закрытые!$B$5:$B$300,"L-*")=0,"",ROUND(SUMIFS(Лэндинг!$L$5:$L$300,Лэндинг!$E$5:$E$300,$B7)+SUMIFS(Закрытые!$L$5:$L$300,Закрытые!$E$5:$E$300,$B7,Закрытые!$B$5:$B$300,"L-*"),8)))</f>
        <v/>
      </c>
      <c r="J7" s="241">
        <f>IF($B7="","",IF(COUNTIFS(Лэндинг!$E$5:$E$300,$B7)+COUNTIFS(Закрытые!$E$5:$E$300,$B7,Закрытые!$B$5:$B$300,"L-*")=0,"",ROUND(SUMIFS(Лэндинг!$M$5:$M$300,Лэндинг!$E$5:$E$300,$B7)+SUMIFS(Закрытые!$M$5:$M$300,Закрытые!$E$5:$E$300,$B7,Закрытые!$B$5:$B$300,"L-*"),8)))</f>
        <v/>
      </c>
      <c r="K7" s="240">
        <f>IF($B7="","",ROUND(SUMIFS(Закрытые!$N$5:$N$300,Закрытые!$E$5:$E$300,$B7,Закрытые!$B$5:$B$300,"L-*"),8))</f>
        <v/>
      </c>
      <c r="L7" s="177">
        <f>IF(K7="","",IF(SUMPRODUCT((Закрытые!$E$5:$E$300=$B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/SUMPRODUCT((Закрытые!$E$5:$E$300=$B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" s="177">
        <f>IF(OR(ROUND(N(C7)-N(F7),8)=0,1-N(Ввод!$E$17)/100&lt;=0),"",IF(N(C7)&gt;N(F7),(N(E7)-N(H7))/((N(C7)-N(F7))*(1-N(Ввод!$E$17)/100)),(N(H7)-N(E7))/((N(F7)-N(C7))*(1+N(Ввод!$E$17)/100))))</f>
        <v/>
      </c>
    </row>
    <row r="8" ht="22" customHeight="1">
      <c r="B8" s="320" t="inlineStr">
        <is>
          <t>BNB/USDT</t>
        </is>
      </c>
      <c r="C8" s="246">
        <f>IF(SUMIFS(Лэндинг!$F$5:$F$300,Лэндинг!$E$5:$E$300,$B8)+SUMIFS(Закрытые!$F$5:$F$300,Закрытые!$E$5:$E$300,$B8,Закрытые!$B$5:$B$300,"L-*")=0,"",SUMIFS(Лэндинг!$F$5:$F$300,Лэндинг!$E$5:$E$300,$B8)+SUMIFS(Закрытые!$F$5:$F$300,Закрытые!$E$5:$E$300,$B8,Закрытые!$B$5:$B$300,"L-*"))</f>
        <v/>
      </c>
      <c r="D8" s="183">
        <f>IF(C8="","",(SUMPRODUCT((Лэндинг!$E$5:$E$300=$B8)*Лэндинг!$F$5:$F$300*Лэндинг!$G$5:$G$300)+SUMPRODUCT((Закрытые!$E$5:$E$300=$B8)*(LEFT(Закрытые!$B$5:$B$300,2)="L-")*Закрытые!$F$5:$F$300*Закрытые!$G$5:$G$300))/C8)</f>
        <v/>
      </c>
      <c r="E8" s="247">
        <f>IF(C8="","",SUMIFS(Лэндинг!$H$5:$H$300,Лэндинг!$E$5:$E$300,$B8)+SUMIFS(Закрытые!$H$5:$H$300,Закрытые!$E$5:$E$300,$B8,Закрытые!$B$5:$B$300,"L-*"))</f>
        <v/>
      </c>
      <c r="F8" s="246">
        <f>IF(SUMIFS(Лэндинг!$I$5:$I$300,Лэндинг!$E$5:$E$300,$B8)+SUMIFS(Закрытые!$I$5:$I$300,Закрытые!$E$5:$E$300,$B8,Закрытые!$B$5:$B$300,"L-*")=0,"",SUMIFS(Лэндинг!$I$5:$I$300,Лэндинг!$E$5:$E$300,$B8)+SUMIFS(Закрытые!$I$5:$I$300,Закрытые!$E$5:$E$300,$B8,Закрытые!$B$5:$B$300,"L-*"))</f>
        <v/>
      </c>
      <c r="G8" s="183">
        <f>IF(F8="","",(SUMPRODUCT((Лэндинг!$E$5:$E$300=$B8)*Лэндинг!$I$5:$I$300*Лэндинг!$J$5:$J$300)+SUMPRODUCT((Закрытые!$E$5:$E$300=$B8)*(LEFT(Закрытые!$B$5:$B$300,2)="L-")*Закрытые!$I$5:$I$300*Закрытые!$J$5:$J$300))/F8)</f>
        <v/>
      </c>
      <c r="H8" s="247">
        <f>IF(F8="","",SUMIFS(Лэндинг!$K$5:$K$300,Лэндинг!$E$5:$E$300,$B8)+SUMIFS(Закрытые!$K$5:$K$300,Закрытые!$E$5:$E$300,$B8,Закрытые!$B$5:$B$300,"L-*"))</f>
        <v/>
      </c>
      <c r="I8" s="246">
        <f>IF($B8="","",IF(COUNTIFS(Лэндинг!$E$5:$E$300,$B8)+COUNTIFS(Закрытые!$E$5:$E$300,$B8,Закрытые!$B$5:$B$300,"L-*")=0,"",ROUND(SUMIFS(Лэндинг!$L$5:$L$300,Лэндинг!$E$5:$E$300,$B8)+SUMIFS(Закрытые!$L$5:$L$300,Закрытые!$E$5:$E$300,$B8,Закрытые!$B$5:$B$300,"L-*"),8)))</f>
        <v/>
      </c>
      <c r="J8" s="247">
        <f>IF($B8="","",IF(COUNTIFS(Лэндинг!$E$5:$E$300,$B8)+COUNTIFS(Закрытые!$E$5:$E$300,$B8,Закрытые!$B$5:$B$300,"L-*")=0,"",ROUND(SUMIFS(Лэндинг!$M$5:$M$300,Лэндинг!$E$5:$E$300,$B8)+SUMIFS(Закрытые!$M$5:$M$300,Закрытые!$E$5:$E$300,$B8,Закрытые!$B$5:$B$300,"L-*"),8)))</f>
        <v/>
      </c>
      <c r="K8" s="246">
        <f>IF($B8="","",ROUND(SUMIFS(Закрытые!$N$5:$N$300,Закрытые!$E$5:$E$300,$B8,Закрытые!$B$5:$B$300,"L-*"),8))</f>
        <v/>
      </c>
      <c r="L8" s="183">
        <f>IF(K8="","",IF(SUMPRODUCT((Закрытые!$E$5:$E$300=$B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/SUMPRODUCT((Закрытые!$E$5:$E$300=$B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" s="183">
        <f>IF(OR(ROUND(N(C8)-N(F8),8)=0,1-N(Ввод!$E$17)/100&lt;=0),"",IF(N(C8)&gt;N(F8),(N(E8)-N(H8))/((N(C8)-N(F8))*(1-N(Ввод!$E$17)/100)),(N(H8)-N(E8))/((N(F8)-N(C8))*(1+N(Ввод!$E$17)/100))))</f>
        <v/>
      </c>
    </row>
    <row r="9" ht="22" customHeight="1">
      <c r="B9" s="315" t="inlineStr">
        <is>
          <t>BTC/USDT</t>
        </is>
      </c>
      <c r="C9" s="240">
        <f>IF(SUMIFS(Лэндинг!$F$5:$F$300,Лэндинг!$E$5:$E$300,$B9)+SUMIFS(Закрытые!$F$5:$F$300,Закрытые!$E$5:$E$300,$B9,Закрытые!$B$5:$B$300,"L-*")=0,"",SUMIFS(Лэндинг!$F$5:$F$300,Лэндинг!$E$5:$E$300,$B9)+SUMIFS(Закрытые!$F$5:$F$300,Закрытые!$E$5:$E$300,$B9,Закрытые!$B$5:$B$300,"L-*"))</f>
        <v/>
      </c>
      <c r="D9" s="177">
        <f>IF(C9="","",(SUMPRODUCT((Лэндинг!$E$5:$E$300=$B9)*Лэндинг!$F$5:$F$300*Лэндинг!$G$5:$G$300)+SUMPRODUCT((Закрытые!$E$5:$E$300=$B9)*(LEFT(Закрытые!$B$5:$B$300,2)="L-")*Закрытые!$F$5:$F$300*Закрытые!$G$5:$G$300))/C9)</f>
        <v/>
      </c>
      <c r="E9" s="241">
        <f>IF(C9="","",SUMIFS(Лэндинг!$H$5:$H$300,Лэндинг!$E$5:$E$300,$B9)+SUMIFS(Закрытые!$H$5:$H$300,Закрытые!$E$5:$E$300,$B9,Закрытые!$B$5:$B$300,"L-*"))</f>
        <v/>
      </c>
      <c r="F9" s="240">
        <f>IF(SUMIFS(Лэндинг!$I$5:$I$300,Лэндинг!$E$5:$E$300,$B9)+SUMIFS(Закрытые!$I$5:$I$300,Закрытые!$E$5:$E$300,$B9,Закрытые!$B$5:$B$300,"L-*")=0,"",SUMIFS(Лэндинг!$I$5:$I$300,Лэндинг!$E$5:$E$300,$B9)+SUMIFS(Закрытые!$I$5:$I$300,Закрытые!$E$5:$E$300,$B9,Закрытые!$B$5:$B$300,"L-*"))</f>
        <v/>
      </c>
      <c r="G9" s="177">
        <f>IF(F9="","",(SUMPRODUCT((Лэндинг!$E$5:$E$300=$B9)*Лэндинг!$I$5:$I$300*Лэндинг!$J$5:$J$300)+SUMPRODUCT((Закрытые!$E$5:$E$300=$B9)*(LEFT(Закрытые!$B$5:$B$300,2)="L-")*Закрытые!$I$5:$I$300*Закрытые!$J$5:$J$300))/F9)</f>
        <v/>
      </c>
      <c r="H9" s="241">
        <f>IF(F9="","",SUMIFS(Лэндинг!$K$5:$K$300,Лэндинг!$E$5:$E$300,$B9)+SUMIFS(Закрытые!$K$5:$K$300,Закрытые!$E$5:$E$300,$B9,Закрытые!$B$5:$B$300,"L-*"))</f>
        <v/>
      </c>
      <c r="I9" s="240">
        <f>IF($B9="","",IF(COUNTIFS(Лэндинг!$E$5:$E$300,$B9)+COUNTIFS(Закрытые!$E$5:$E$300,$B9,Закрытые!$B$5:$B$300,"L-*")=0,"",ROUND(SUMIFS(Лэндинг!$L$5:$L$300,Лэндинг!$E$5:$E$300,$B9)+SUMIFS(Закрытые!$L$5:$L$300,Закрытые!$E$5:$E$300,$B9,Закрытые!$B$5:$B$300,"L-*"),8)))</f>
        <v/>
      </c>
      <c r="J9" s="241">
        <f>IF($B9="","",IF(COUNTIFS(Лэндинг!$E$5:$E$300,$B9)+COUNTIFS(Закрытые!$E$5:$E$300,$B9,Закрытые!$B$5:$B$300,"L-*")=0,"",ROUND(SUMIFS(Лэндинг!$M$5:$M$300,Лэндинг!$E$5:$E$300,$B9)+SUMIFS(Закрытые!$M$5:$M$300,Закрытые!$E$5:$E$300,$B9,Закрытые!$B$5:$B$300,"L-*"),8)))</f>
        <v/>
      </c>
      <c r="K9" s="240">
        <f>IF($B9="","",ROUND(SUMIFS(Закрытые!$N$5:$N$300,Закрытые!$E$5:$E$300,$B9,Закрытые!$B$5:$B$300,"L-*"),8))</f>
        <v/>
      </c>
      <c r="L9" s="177">
        <f>IF(K9="","",IF(SUMPRODUCT((Закрытые!$E$5:$E$300=$B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/SUMPRODUCT((Закрытые!$E$5:$E$300=$B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" s="177">
        <f>IF(OR(ROUND(N(C9)-N(F9),8)=0,1-N(Ввод!$E$17)/100&lt;=0),"",IF(N(C9)&gt;N(F9),(N(E9)-N(H9))/((N(C9)-N(F9))*(1-N(Ввод!$E$17)/100)),(N(H9)-N(E9))/((N(F9)-N(C9))*(1+N(Ввод!$E$17)/100))))</f>
        <v/>
      </c>
    </row>
    <row r="10" ht="22" customHeight="1">
      <c r="B10" s="320" t="inlineStr">
        <is>
          <t>CAKE/BTC</t>
        </is>
      </c>
      <c r="C10" s="246">
        <f>IF(SUMIFS(Лэндинг!$F$5:$F$300,Лэндинг!$E$5:$E$300,$B10)+SUMIFS(Закрытые!$F$5:$F$300,Закрытые!$E$5:$E$300,$B10,Закрытые!$B$5:$B$300,"L-*")=0,"",SUMIFS(Лэндинг!$F$5:$F$300,Лэндинг!$E$5:$E$300,$B10)+SUMIFS(Закрытые!$F$5:$F$300,Закрытые!$E$5:$E$300,$B10,Закрытые!$B$5:$B$300,"L-*"))</f>
        <v/>
      </c>
      <c r="D10" s="183">
        <f>IF(C10="","",(SUMPRODUCT((Лэндинг!$E$5:$E$300=$B10)*Лэндинг!$F$5:$F$300*Лэндинг!$G$5:$G$300)+SUMPRODUCT((Закрытые!$E$5:$E$300=$B10)*(LEFT(Закрытые!$B$5:$B$300,2)="L-")*Закрытые!$F$5:$F$300*Закрытые!$G$5:$G$300))/C10)</f>
        <v/>
      </c>
      <c r="E10" s="247">
        <f>IF(C10="","",SUMIFS(Лэндинг!$H$5:$H$300,Лэндинг!$E$5:$E$300,$B10)+SUMIFS(Закрытые!$H$5:$H$300,Закрытые!$E$5:$E$300,$B10,Закрытые!$B$5:$B$300,"L-*"))</f>
        <v/>
      </c>
      <c r="F10" s="246">
        <f>IF(SUMIFS(Лэндинг!$I$5:$I$300,Лэндинг!$E$5:$E$300,$B10)+SUMIFS(Закрытые!$I$5:$I$300,Закрытые!$E$5:$E$300,$B10,Закрытые!$B$5:$B$300,"L-*")=0,"",SUMIFS(Лэндинг!$I$5:$I$300,Лэндинг!$E$5:$E$300,$B10)+SUMIFS(Закрытые!$I$5:$I$300,Закрытые!$E$5:$E$300,$B10,Закрытые!$B$5:$B$300,"L-*"))</f>
        <v/>
      </c>
      <c r="G10" s="183">
        <f>IF(F10="","",(SUMPRODUCT((Лэндинг!$E$5:$E$300=$B10)*Лэндинг!$I$5:$I$300*Лэндинг!$J$5:$J$300)+SUMPRODUCT((Закрытые!$E$5:$E$300=$B10)*(LEFT(Закрытые!$B$5:$B$300,2)="L-")*Закрытые!$I$5:$I$300*Закрытые!$J$5:$J$300))/F10)</f>
        <v/>
      </c>
      <c r="H10" s="247">
        <f>IF(F10="","",SUMIFS(Лэндинг!$K$5:$K$300,Лэндинг!$E$5:$E$300,$B10)+SUMIFS(Закрытые!$K$5:$K$300,Закрытые!$E$5:$E$300,$B10,Закрытые!$B$5:$B$300,"L-*"))</f>
        <v/>
      </c>
      <c r="I10" s="246">
        <f>IF($B10="","",IF(COUNTIFS(Лэндинг!$E$5:$E$300,$B10)+COUNTIFS(Закрытые!$E$5:$E$300,$B10,Закрытые!$B$5:$B$300,"L-*")=0,"",ROUND(SUMIFS(Лэндинг!$L$5:$L$300,Лэндинг!$E$5:$E$300,$B10)+SUMIFS(Закрытые!$L$5:$L$300,Закрытые!$E$5:$E$300,$B10,Закрытые!$B$5:$B$300,"L-*"),8)))</f>
        <v/>
      </c>
      <c r="J10" s="247">
        <f>IF($B10="","",IF(COUNTIFS(Лэндинг!$E$5:$E$300,$B10)+COUNTIFS(Закрытые!$E$5:$E$300,$B10,Закрытые!$B$5:$B$300,"L-*")=0,"",ROUND(SUMIFS(Лэндинг!$M$5:$M$300,Лэндинг!$E$5:$E$300,$B10)+SUMIFS(Закрытые!$M$5:$M$300,Закрытые!$E$5:$E$300,$B10,Закрытые!$B$5:$B$300,"L-*"),8)))</f>
        <v/>
      </c>
      <c r="K10" s="246">
        <f>IF($B10="","",ROUND(SUMIFS(Закрытые!$N$5:$N$300,Закрытые!$E$5:$E$300,$B10,Закрытые!$B$5:$B$300,"L-*"),8))</f>
        <v/>
      </c>
      <c r="L10" s="183">
        <f>IF(K10="","",IF(SUMPRODUCT((Закрытые!$E$5:$E$300=$B10)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/SUMPRODUCT((Закрытые!$E$5:$E$300=$B10)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" s="183">
        <f>IF(OR(ROUND(N(C10)-N(F10),8)=0,1-N(Ввод!$E$17)/100&lt;=0),"",IF(N(C10)&gt;N(F10),(N(E10)-N(H10))/((N(C10)-N(F10))*(1-N(Ввод!$E$17)/100)),(N(H10)-N(E10))/((N(F10)-N(C10))*(1+N(Ввод!$E$17)/100))))</f>
        <v/>
      </c>
    </row>
    <row r="11" ht="22" customHeight="1">
      <c r="B11" s="315" t="inlineStr">
        <is>
          <t>CAKE/ETH</t>
        </is>
      </c>
      <c r="C11" s="240">
        <f>IF(SUMIFS(Лэндинг!$F$5:$F$300,Лэндинг!$E$5:$E$300,$B11)+SUMIFS(Закрытые!$F$5:$F$300,Закрытые!$E$5:$E$300,$B11,Закрытые!$B$5:$B$300,"L-*")=0,"",SUMIFS(Лэндинг!$F$5:$F$300,Лэндинг!$E$5:$E$300,$B11)+SUMIFS(Закрытые!$F$5:$F$300,Закрытые!$E$5:$E$300,$B11,Закрытые!$B$5:$B$300,"L-*"))</f>
        <v/>
      </c>
      <c r="D11" s="177">
        <f>IF(C11="","",(SUMPRODUCT((Лэндинг!$E$5:$E$300=$B11)*Лэндинг!$F$5:$F$300*Лэндинг!$G$5:$G$300)+SUMPRODUCT((Закрытые!$E$5:$E$300=$B11)*(LEFT(Закрытые!$B$5:$B$300,2)="L-")*Закрытые!$F$5:$F$300*Закрытые!$G$5:$G$300))/C11)</f>
        <v/>
      </c>
      <c r="E11" s="241">
        <f>IF(C11="","",SUMIFS(Лэндинг!$H$5:$H$300,Лэндинг!$E$5:$E$300,$B11)+SUMIFS(Закрытые!$H$5:$H$300,Закрытые!$E$5:$E$300,$B11,Закрытые!$B$5:$B$300,"L-*"))</f>
        <v/>
      </c>
      <c r="F11" s="240">
        <f>IF(SUMIFS(Лэндинг!$I$5:$I$300,Лэндинг!$E$5:$E$300,$B11)+SUMIFS(Закрытые!$I$5:$I$300,Закрытые!$E$5:$E$300,$B11,Закрытые!$B$5:$B$300,"L-*")=0,"",SUMIFS(Лэндинг!$I$5:$I$300,Лэндинг!$E$5:$E$300,$B11)+SUMIFS(Закрытые!$I$5:$I$300,Закрытые!$E$5:$E$300,$B11,Закрытые!$B$5:$B$300,"L-*"))</f>
        <v/>
      </c>
      <c r="G11" s="177">
        <f>IF(F11="","",(SUMPRODUCT((Лэндинг!$E$5:$E$300=$B11)*Лэндинг!$I$5:$I$300*Лэндинг!$J$5:$J$300)+SUMPRODUCT((Закрытые!$E$5:$E$300=$B11)*(LEFT(Закрытые!$B$5:$B$300,2)="L-")*Закрытые!$I$5:$I$300*Закрытые!$J$5:$J$300))/F11)</f>
        <v/>
      </c>
      <c r="H11" s="241">
        <f>IF(F11="","",SUMIFS(Лэндинг!$K$5:$K$300,Лэндинг!$E$5:$E$300,$B11)+SUMIFS(Закрытые!$K$5:$K$300,Закрытые!$E$5:$E$300,$B11,Закрытые!$B$5:$B$300,"L-*"))</f>
        <v/>
      </c>
      <c r="I11" s="240">
        <f>IF($B11="","",IF(COUNTIFS(Лэндинг!$E$5:$E$300,$B11)+COUNTIFS(Закрытые!$E$5:$E$300,$B11,Закрытые!$B$5:$B$300,"L-*")=0,"",ROUND(SUMIFS(Лэндинг!$L$5:$L$300,Лэндинг!$E$5:$E$300,$B11)+SUMIFS(Закрытые!$L$5:$L$300,Закрытые!$E$5:$E$300,$B11,Закрытые!$B$5:$B$300,"L-*"),8)))</f>
        <v/>
      </c>
      <c r="J11" s="241">
        <f>IF($B11="","",IF(COUNTIFS(Лэндинг!$E$5:$E$300,$B11)+COUNTIFS(Закрытые!$E$5:$E$300,$B11,Закрытые!$B$5:$B$300,"L-*")=0,"",ROUND(SUMIFS(Лэндинг!$M$5:$M$300,Лэндинг!$E$5:$E$300,$B11)+SUMIFS(Закрытые!$M$5:$M$300,Закрытые!$E$5:$E$300,$B11,Закрытые!$B$5:$B$300,"L-*"),8)))</f>
        <v/>
      </c>
      <c r="K11" s="240">
        <f>IF($B11="","",ROUND(SUMIFS(Закрытые!$N$5:$N$300,Закрытые!$E$5:$E$300,$B11,Закрытые!$B$5:$B$300,"L-*"),8))</f>
        <v/>
      </c>
      <c r="L11" s="177">
        <f>IF(K11="","",IF(SUMPRODUCT((Закрытые!$E$5:$E$300=$B11)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/SUMPRODUCT((Закрытые!$E$5:$E$300=$B11)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" s="177">
        <f>IF(OR(ROUND(N(C11)-N(F11),8)=0,1-N(Ввод!$E$17)/100&lt;=0),"",IF(N(C11)&gt;N(F11),(N(E11)-N(H11))/((N(C11)-N(F11))*(1-N(Ввод!$E$17)/100)),(N(H11)-N(E11))/((N(F11)-N(C11))*(1+N(Ввод!$E$17)/100))))</f>
        <v/>
      </c>
    </row>
    <row r="12" ht="22" customHeight="1">
      <c r="B12" s="320" t="inlineStr">
        <is>
          <t>ETH/BTC</t>
        </is>
      </c>
      <c r="C12" s="246">
        <f>IF(SUMIFS(Лэндинг!$F$5:$F$300,Лэндинг!$E$5:$E$300,$B12)+SUMIFS(Закрытые!$F$5:$F$300,Закрытые!$E$5:$E$300,$B12,Закрытые!$B$5:$B$300,"L-*")=0,"",SUMIFS(Лэндинг!$F$5:$F$300,Лэндинг!$E$5:$E$300,$B12)+SUMIFS(Закрытые!$F$5:$F$300,Закрытые!$E$5:$E$300,$B12,Закрытые!$B$5:$B$300,"L-*"))</f>
        <v/>
      </c>
      <c r="D12" s="183">
        <f>IF(C12="","",(SUMPRODUCT((Лэндинг!$E$5:$E$300=$B12)*Лэндинг!$F$5:$F$300*Лэндинг!$G$5:$G$300)+SUMPRODUCT((Закрытые!$E$5:$E$300=$B12)*(LEFT(Закрытые!$B$5:$B$300,2)="L-")*Закрытые!$F$5:$F$300*Закрытые!$G$5:$G$300))/C12)</f>
        <v/>
      </c>
      <c r="E12" s="247">
        <f>IF(C12="","",SUMIFS(Лэндинг!$H$5:$H$300,Лэндинг!$E$5:$E$300,$B12)+SUMIFS(Закрытые!$H$5:$H$300,Закрытые!$E$5:$E$300,$B12,Закрытые!$B$5:$B$300,"L-*"))</f>
        <v/>
      </c>
      <c r="F12" s="246">
        <f>IF(SUMIFS(Лэндинг!$I$5:$I$300,Лэндинг!$E$5:$E$300,$B12)+SUMIFS(Закрытые!$I$5:$I$300,Закрытые!$E$5:$E$300,$B12,Закрытые!$B$5:$B$300,"L-*")=0,"",SUMIFS(Лэндинг!$I$5:$I$300,Лэндинг!$E$5:$E$300,$B12)+SUMIFS(Закрытые!$I$5:$I$300,Закрытые!$E$5:$E$300,$B12,Закрытые!$B$5:$B$300,"L-*"))</f>
        <v/>
      </c>
      <c r="G12" s="183">
        <f>IF(F12="","",(SUMPRODUCT((Лэндинг!$E$5:$E$300=$B12)*Лэндинг!$I$5:$I$300*Лэндинг!$J$5:$J$300)+SUMPRODUCT((Закрытые!$E$5:$E$300=$B12)*(LEFT(Закрытые!$B$5:$B$300,2)="L-")*Закрытые!$I$5:$I$300*Закрытые!$J$5:$J$300))/F12)</f>
        <v/>
      </c>
      <c r="H12" s="247">
        <f>IF(F12="","",SUMIFS(Лэндинг!$K$5:$K$300,Лэндинг!$E$5:$E$300,$B12)+SUMIFS(Закрытые!$K$5:$K$300,Закрытые!$E$5:$E$300,$B12,Закрытые!$B$5:$B$300,"L-*"))</f>
        <v/>
      </c>
      <c r="I12" s="246">
        <f>IF($B12="","",IF(COUNTIFS(Лэндинг!$E$5:$E$300,$B12)+COUNTIFS(Закрытые!$E$5:$E$300,$B12,Закрытые!$B$5:$B$300,"L-*")=0,"",ROUND(SUMIFS(Лэндинг!$L$5:$L$300,Лэндинг!$E$5:$E$300,$B12)+SUMIFS(Закрытые!$L$5:$L$300,Закрытые!$E$5:$E$300,$B12,Закрытые!$B$5:$B$300,"L-*"),8)))</f>
        <v/>
      </c>
      <c r="J12" s="247">
        <f>IF($B12="","",IF(COUNTIFS(Лэндинг!$E$5:$E$300,$B12)+COUNTIFS(Закрытые!$E$5:$E$300,$B12,Закрытые!$B$5:$B$300,"L-*")=0,"",ROUND(SUMIFS(Лэндинг!$M$5:$M$300,Лэндинг!$E$5:$E$300,$B12)+SUMIFS(Закрытые!$M$5:$M$300,Закрытые!$E$5:$E$300,$B12,Закрытые!$B$5:$B$300,"L-*"),8)))</f>
        <v/>
      </c>
      <c r="K12" s="246">
        <f>IF($B12="","",ROUND(SUMIFS(Закрытые!$N$5:$N$300,Закрытые!$E$5:$E$300,$B12,Закрытые!$B$5:$B$300,"L-*"),8))</f>
        <v/>
      </c>
      <c r="L12" s="183">
        <f>IF(K12="","",IF(SUMPRODUCT((Закрытые!$E$5:$E$300=$B12)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/SUMPRODUCT((Закрытые!$E$5:$E$300=$B12)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" s="183">
        <f>IF(OR(ROUND(N(C12)-N(F12),8)=0,1-N(Ввод!$E$17)/100&lt;=0),"",IF(N(C12)&gt;N(F12),(N(E12)-N(H12))/((N(C12)-N(F12))*(1-N(Ввод!$E$17)/100)),(N(H12)-N(E12))/((N(F12)-N(C12))*(1+N(Ввод!$E$17)/100))))</f>
        <v/>
      </c>
    </row>
    <row r="13" ht="22" customHeight="1">
      <c r="B13" s="315" t="inlineStr">
        <is>
          <t>ETH/USDT</t>
        </is>
      </c>
      <c r="C13" s="240">
        <f>IF(SUMIFS(Лэндинг!$F$5:$F$300,Лэндинг!$E$5:$E$300,$B13)+SUMIFS(Закрытые!$F$5:$F$300,Закрытые!$E$5:$E$300,$B13,Закрытые!$B$5:$B$300,"L-*")=0,"",SUMIFS(Лэндинг!$F$5:$F$300,Лэндинг!$E$5:$E$300,$B13)+SUMIFS(Закрытые!$F$5:$F$300,Закрытые!$E$5:$E$300,$B13,Закрытые!$B$5:$B$300,"L-*"))</f>
        <v/>
      </c>
      <c r="D13" s="177">
        <f>IF(C13="","",(SUMPRODUCT((Лэндинг!$E$5:$E$300=$B13)*Лэндинг!$F$5:$F$300*Лэндинг!$G$5:$G$300)+SUMPRODUCT((Закрытые!$E$5:$E$300=$B13)*(LEFT(Закрытые!$B$5:$B$300,2)="L-")*Закрытые!$F$5:$F$300*Закрытые!$G$5:$G$300))/C13)</f>
        <v/>
      </c>
      <c r="E13" s="241">
        <f>IF(C13="","",SUMIFS(Лэндинг!$H$5:$H$300,Лэндинг!$E$5:$E$300,$B13)+SUMIFS(Закрытые!$H$5:$H$300,Закрытые!$E$5:$E$300,$B13,Закрытые!$B$5:$B$300,"L-*"))</f>
        <v/>
      </c>
      <c r="F13" s="240">
        <f>IF(SUMIFS(Лэндинг!$I$5:$I$300,Лэндинг!$E$5:$E$300,$B13)+SUMIFS(Закрытые!$I$5:$I$300,Закрытые!$E$5:$E$300,$B13,Закрытые!$B$5:$B$300,"L-*")=0,"",SUMIFS(Лэндинг!$I$5:$I$300,Лэндинг!$E$5:$E$300,$B13)+SUMIFS(Закрытые!$I$5:$I$300,Закрытые!$E$5:$E$300,$B13,Закрытые!$B$5:$B$300,"L-*"))</f>
        <v/>
      </c>
      <c r="G13" s="177">
        <f>IF(F13="","",(SUMPRODUCT((Лэндинг!$E$5:$E$300=$B13)*Лэндинг!$I$5:$I$300*Лэндинг!$J$5:$J$300)+SUMPRODUCT((Закрытые!$E$5:$E$300=$B13)*(LEFT(Закрытые!$B$5:$B$300,2)="L-")*Закрытые!$I$5:$I$300*Закрытые!$J$5:$J$300))/F13)</f>
        <v/>
      </c>
      <c r="H13" s="241">
        <f>IF(F13="","",SUMIFS(Лэндинг!$K$5:$K$300,Лэндинг!$E$5:$E$300,$B13)+SUMIFS(Закрытые!$K$5:$K$300,Закрытые!$E$5:$E$300,$B13,Закрытые!$B$5:$B$300,"L-*"))</f>
        <v/>
      </c>
      <c r="I13" s="240">
        <f>IF($B13="","",IF(COUNTIFS(Лэндинг!$E$5:$E$300,$B13)+COUNTIFS(Закрытые!$E$5:$E$300,$B13,Закрытые!$B$5:$B$300,"L-*")=0,"",ROUND(SUMIFS(Лэндинг!$L$5:$L$300,Лэндинг!$E$5:$E$300,$B13)+SUMIFS(Закрытые!$L$5:$L$300,Закрытые!$E$5:$E$300,$B13,Закрытые!$B$5:$B$300,"L-*"),8)))</f>
        <v/>
      </c>
      <c r="J13" s="241">
        <f>IF($B13="","",IF(COUNTIFS(Лэндинг!$E$5:$E$300,$B13)+COUNTIFS(Закрытые!$E$5:$E$300,$B13,Закрытые!$B$5:$B$300,"L-*")=0,"",ROUND(SUMIFS(Лэндинг!$M$5:$M$300,Лэндинг!$E$5:$E$300,$B13)+SUMIFS(Закрытые!$M$5:$M$300,Закрытые!$E$5:$E$300,$B13,Закрытые!$B$5:$B$300,"L-*"),8)))</f>
        <v/>
      </c>
      <c r="K13" s="240">
        <f>IF($B13="","",ROUND(SUMIFS(Закрытые!$N$5:$N$300,Закрытые!$E$5:$E$300,$B13,Закрытые!$B$5:$B$300,"L-*"),8))</f>
        <v/>
      </c>
      <c r="L13" s="177">
        <f>IF(K13="","",IF(SUMPRODUCT((Закрытые!$E$5:$E$300=$B13)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/SUMPRODUCT((Закрытые!$E$5:$E$300=$B13)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" s="177">
        <f>IF(OR(ROUND(N(C13)-N(F13),8)=0,1-N(Ввод!$E$17)/100&lt;=0),"",IF(N(C13)&gt;N(F13),(N(E13)-N(H13))/((N(C13)-N(F13))*(1-N(Ввод!$E$17)/100)),(N(H13)-N(E13))/((N(F13)-N(C13))*(1+N(Ввод!$E$17)/100))))</f>
        <v/>
      </c>
    </row>
    <row r="14" ht="22" customHeight="1">
      <c r="B14" s="320" t="inlineStr">
        <is>
          <t>LTC/USDT</t>
        </is>
      </c>
      <c r="C14" s="246">
        <f>IF(SUMIFS(Лэндинг!$F$5:$F$300,Лэндинг!$E$5:$E$300,$B14)+SUMIFS(Закрытые!$F$5:$F$300,Закрытые!$E$5:$E$300,$B14,Закрытые!$B$5:$B$300,"L-*")=0,"",SUMIFS(Лэндинг!$F$5:$F$300,Лэндинг!$E$5:$E$300,$B14)+SUMIFS(Закрытые!$F$5:$F$300,Закрытые!$E$5:$E$300,$B14,Закрытые!$B$5:$B$300,"L-*"))</f>
        <v/>
      </c>
      <c r="D14" s="183">
        <f>IF(C14="","",(SUMPRODUCT((Лэндинг!$E$5:$E$300=$B14)*Лэндинг!$F$5:$F$300*Лэндинг!$G$5:$G$300)+SUMPRODUCT((Закрытые!$E$5:$E$300=$B14)*(LEFT(Закрытые!$B$5:$B$300,2)="L-")*Закрытые!$F$5:$F$300*Закрытые!$G$5:$G$300))/C14)</f>
        <v/>
      </c>
      <c r="E14" s="247">
        <f>IF(C14="","",SUMIFS(Лэндинг!$H$5:$H$300,Лэндинг!$E$5:$E$300,$B14)+SUMIFS(Закрытые!$H$5:$H$300,Закрытые!$E$5:$E$300,$B14,Закрытые!$B$5:$B$300,"L-*"))</f>
        <v/>
      </c>
      <c r="F14" s="246">
        <f>IF(SUMIFS(Лэндинг!$I$5:$I$300,Лэндинг!$E$5:$E$300,$B14)+SUMIFS(Закрытые!$I$5:$I$300,Закрытые!$E$5:$E$300,$B14,Закрытые!$B$5:$B$300,"L-*")=0,"",SUMIFS(Лэндинг!$I$5:$I$300,Лэндинг!$E$5:$E$300,$B14)+SUMIFS(Закрытые!$I$5:$I$300,Закрытые!$E$5:$E$300,$B14,Закрытые!$B$5:$B$300,"L-*"))</f>
        <v/>
      </c>
      <c r="G14" s="183">
        <f>IF(F14="","",(SUMPRODUCT((Лэндинг!$E$5:$E$300=$B14)*Лэндинг!$I$5:$I$300*Лэндинг!$J$5:$J$300)+SUMPRODUCT((Закрытые!$E$5:$E$300=$B14)*(LEFT(Закрытые!$B$5:$B$300,2)="L-")*Закрытые!$I$5:$I$300*Закрытые!$J$5:$J$300))/F14)</f>
        <v/>
      </c>
      <c r="H14" s="247">
        <f>IF(F14="","",SUMIFS(Лэндинг!$K$5:$K$300,Лэндинг!$E$5:$E$300,$B14)+SUMIFS(Закрытые!$K$5:$K$300,Закрытые!$E$5:$E$300,$B14,Закрытые!$B$5:$B$300,"L-*"))</f>
        <v/>
      </c>
      <c r="I14" s="246">
        <f>IF($B14="","",IF(COUNTIFS(Лэндинг!$E$5:$E$300,$B14)+COUNTIFS(Закрытые!$E$5:$E$300,$B14,Закрытые!$B$5:$B$300,"L-*")=0,"",ROUND(SUMIFS(Лэндинг!$L$5:$L$300,Лэндинг!$E$5:$E$300,$B14)+SUMIFS(Закрытые!$L$5:$L$300,Закрытые!$E$5:$E$300,$B14,Закрытые!$B$5:$B$300,"L-*"),8)))</f>
        <v/>
      </c>
      <c r="J14" s="247">
        <f>IF($B14="","",IF(COUNTIFS(Лэндинг!$E$5:$E$300,$B14)+COUNTIFS(Закрытые!$E$5:$E$300,$B14,Закрытые!$B$5:$B$300,"L-*")=0,"",ROUND(SUMIFS(Лэндинг!$M$5:$M$300,Лэндинг!$E$5:$E$300,$B14)+SUMIFS(Закрытые!$M$5:$M$300,Закрытые!$E$5:$E$300,$B14,Закрытые!$B$5:$B$300,"L-*"),8)))</f>
        <v/>
      </c>
      <c r="K14" s="246">
        <f>IF($B14="","",ROUND(SUMIFS(Закрытые!$N$5:$N$300,Закрытые!$E$5:$E$300,$B14,Закрытые!$B$5:$B$300,"L-*"),8))</f>
        <v/>
      </c>
      <c r="L14" s="183">
        <f>IF(K14="","",IF(SUMPRODUCT((Закрытые!$E$5:$E$300=$B14)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/SUMPRODUCT((Закрытые!$E$5:$E$300=$B14)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" s="183">
        <f>IF(OR(ROUND(N(C14)-N(F14),8)=0,1-N(Ввод!$E$17)/100&lt;=0),"",IF(N(C14)&gt;N(F14),(N(E14)-N(H14))/((N(C14)-N(F14))*(1-N(Ввод!$E$17)/100)),(N(H14)-N(E14))/((N(F14)-N(C14))*(1+N(Ввод!$E$17)/100))))</f>
        <v/>
      </c>
    </row>
    <row r="15" ht="22" customHeight="1">
      <c r="B15" s="315" t="inlineStr">
        <is>
          <t>SOL/USDT</t>
        </is>
      </c>
      <c r="C15" s="240">
        <f>IF(SUMIFS(Лэндинг!$F$5:$F$300,Лэндинг!$E$5:$E$300,$B15)+SUMIFS(Закрытые!$F$5:$F$300,Закрытые!$E$5:$E$300,$B15,Закрытые!$B$5:$B$300,"L-*")=0,"",SUMIFS(Лэндинг!$F$5:$F$300,Лэндинг!$E$5:$E$300,$B15)+SUMIFS(Закрытые!$F$5:$F$300,Закрытые!$E$5:$E$300,$B15,Закрытые!$B$5:$B$300,"L-*"))</f>
        <v/>
      </c>
      <c r="D15" s="177">
        <f>IF(C15="","",(SUMPRODUCT((Лэндинг!$E$5:$E$300=$B15)*Лэндинг!$F$5:$F$300*Лэндинг!$G$5:$G$300)+SUMPRODUCT((Закрытые!$E$5:$E$300=$B15)*(LEFT(Закрытые!$B$5:$B$300,2)="L-")*Закрытые!$F$5:$F$300*Закрытые!$G$5:$G$300))/C15)</f>
        <v/>
      </c>
      <c r="E15" s="241">
        <f>IF(C15="","",SUMIFS(Лэндинг!$H$5:$H$300,Лэндинг!$E$5:$E$300,$B15)+SUMIFS(Закрытые!$H$5:$H$300,Закрытые!$E$5:$E$300,$B15,Закрытые!$B$5:$B$300,"L-*"))</f>
        <v/>
      </c>
      <c r="F15" s="240">
        <f>IF(SUMIFS(Лэндинг!$I$5:$I$300,Лэндинг!$E$5:$E$300,$B15)+SUMIFS(Закрытые!$I$5:$I$300,Закрытые!$E$5:$E$300,$B15,Закрытые!$B$5:$B$300,"L-*")=0,"",SUMIFS(Лэндинг!$I$5:$I$300,Лэндинг!$E$5:$E$300,$B15)+SUMIFS(Закрытые!$I$5:$I$300,Закрытые!$E$5:$E$300,$B15,Закрытые!$B$5:$B$300,"L-*"))</f>
        <v/>
      </c>
      <c r="G15" s="177">
        <f>IF(F15="","",(SUMPRODUCT((Лэндинг!$E$5:$E$300=$B15)*Лэндинг!$I$5:$I$300*Лэндинг!$J$5:$J$300)+SUMPRODUCT((Закрытые!$E$5:$E$300=$B15)*(LEFT(Закрытые!$B$5:$B$300,2)="L-")*Закрытые!$I$5:$I$300*Закрытые!$J$5:$J$300))/F15)</f>
        <v/>
      </c>
      <c r="H15" s="241">
        <f>IF(F15="","",SUMIFS(Лэндинг!$K$5:$K$300,Лэндинг!$E$5:$E$300,$B15)+SUMIFS(Закрытые!$K$5:$K$300,Закрытые!$E$5:$E$300,$B15,Закрытые!$B$5:$B$300,"L-*"))</f>
        <v/>
      </c>
      <c r="I15" s="240">
        <f>IF($B15="","",IF(COUNTIFS(Лэндинг!$E$5:$E$300,$B15)+COUNTIFS(Закрытые!$E$5:$E$300,$B15,Закрытые!$B$5:$B$300,"L-*")=0,"",ROUND(SUMIFS(Лэндинг!$L$5:$L$300,Лэндинг!$E$5:$E$300,$B15)+SUMIFS(Закрытые!$L$5:$L$300,Закрытые!$E$5:$E$300,$B15,Закрытые!$B$5:$B$300,"L-*"),8)))</f>
        <v/>
      </c>
      <c r="J15" s="241">
        <f>IF($B15="","",IF(COUNTIFS(Лэндинг!$E$5:$E$300,$B15)+COUNTIFS(Закрытые!$E$5:$E$300,$B15,Закрытые!$B$5:$B$300,"L-*")=0,"",ROUND(SUMIFS(Лэндинг!$M$5:$M$300,Лэндинг!$E$5:$E$300,$B15)+SUMIFS(Закрытые!$M$5:$M$300,Закрытые!$E$5:$E$300,$B15,Закрытые!$B$5:$B$300,"L-*"),8)))</f>
        <v/>
      </c>
      <c r="K15" s="240">
        <f>IF($B15="","",ROUND(SUMIFS(Закрытые!$N$5:$N$300,Закрытые!$E$5:$E$300,$B15,Закрытые!$B$5:$B$300,"L-*"),8))</f>
        <v/>
      </c>
      <c r="L15" s="177">
        <f>IF(K15="","",IF(SUMPRODUCT((Закрытые!$E$5:$E$300=$B15)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/SUMPRODUCT((Закрытые!$E$5:$E$300=$B15)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" s="177">
        <f>IF(OR(ROUND(N(C15)-N(F15),8)=0,1-N(Ввод!$E$17)/100&lt;=0),"",IF(N(C15)&gt;N(F15),(N(E15)-N(H15))/((N(C15)-N(F15))*(1-N(Ввод!$E$17)/100)),(N(H15)-N(E15))/((N(F15)-N(C15))*(1+N(Ввод!$E$17)/100))))</f>
        <v/>
      </c>
    </row>
    <row r="16" ht="22" customHeight="1">
      <c r="B16" s="320" t="n"/>
      <c r="C16" s="246">
        <f>IF(SUMIFS(Лэндинг!$F$5:$F$300,Лэндинг!$E$5:$E$300,$B16)+SUMIFS(Закрытые!$F$5:$F$300,Закрытые!$E$5:$E$300,$B16,Закрытые!$B$5:$B$300,"L-*")=0,"",SUMIFS(Лэндинг!$F$5:$F$300,Лэндинг!$E$5:$E$300,$B16)+SUMIFS(Закрытые!$F$5:$F$300,Закрытые!$E$5:$E$300,$B16,Закрытые!$B$5:$B$300,"L-*"))</f>
        <v/>
      </c>
      <c r="D16" s="183">
        <f>IF(C16="","",(SUMPRODUCT((Лэндинг!$E$5:$E$300=$B16)*Лэндинг!$F$5:$F$300*Лэндинг!$G$5:$G$300)+SUMPRODUCT((Закрытые!$E$5:$E$300=$B16)*(LEFT(Закрытые!$B$5:$B$300,2)="L-")*Закрытые!$F$5:$F$300*Закрытые!$G$5:$G$300))/C16)</f>
        <v/>
      </c>
      <c r="E16" s="247">
        <f>IF(C16="","",SUMIFS(Лэндинг!$H$5:$H$300,Лэндинг!$E$5:$E$300,$B16)+SUMIFS(Закрытые!$H$5:$H$300,Закрытые!$E$5:$E$300,$B16,Закрытые!$B$5:$B$300,"L-*"))</f>
        <v/>
      </c>
      <c r="F16" s="246">
        <f>IF(SUMIFS(Лэндинг!$I$5:$I$300,Лэндинг!$E$5:$E$300,$B16)+SUMIFS(Закрытые!$I$5:$I$300,Закрытые!$E$5:$E$300,$B16,Закрытые!$B$5:$B$300,"L-*")=0,"",SUMIFS(Лэндинг!$I$5:$I$300,Лэндинг!$E$5:$E$300,$B16)+SUMIFS(Закрытые!$I$5:$I$300,Закрытые!$E$5:$E$300,$B16,Закрытые!$B$5:$B$300,"L-*"))</f>
        <v/>
      </c>
      <c r="G16" s="183">
        <f>IF(F16="","",(SUMPRODUCT((Лэндинг!$E$5:$E$300=$B16)*Лэндинг!$I$5:$I$300*Лэндинг!$J$5:$J$300)+SUMPRODUCT((Закрытые!$E$5:$E$300=$B16)*(LEFT(Закрытые!$B$5:$B$300,2)="L-")*Закрытые!$I$5:$I$300*Закрытые!$J$5:$J$300))/F16)</f>
        <v/>
      </c>
      <c r="H16" s="247">
        <f>IF(F16="","",SUMIFS(Лэндинг!$K$5:$K$300,Лэндинг!$E$5:$E$300,$B16)+SUMIFS(Закрытые!$K$5:$K$300,Закрытые!$E$5:$E$300,$B16,Закрытые!$B$5:$B$300,"L-*"))</f>
        <v/>
      </c>
      <c r="I16" s="246">
        <f>IF($B16="","",IF(COUNTIFS(Лэндинг!$E$5:$E$300,$B16)+COUNTIFS(Закрытые!$E$5:$E$300,$B16,Закрытые!$B$5:$B$300,"L-*")=0,"",ROUND(SUMIFS(Лэндинг!$L$5:$L$300,Лэндинг!$E$5:$E$300,$B16)+SUMIFS(Закрытые!$L$5:$L$300,Закрытые!$E$5:$E$300,$B16,Закрытые!$B$5:$B$300,"L-*"),8)))</f>
        <v/>
      </c>
      <c r="J16" s="247">
        <f>IF($B16="","",IF(COUNTIFS(Лэндинг!$E$5:$E$300,$B16)+COUNTIFS(Закрытые!$E$5:$E$300,$B16,Закрытые!$B$5:$B$300,"L-*")=0,"",ROUND(SUMIFS(Лэндинг!$M$5:$M$300,Лэндинг!$E$5:$E$300,$B16)+SUMIFS(Закрытые!$M$5:$M$300,Закрытые!$E$5:$E$300,$B16,Закрытые!$B$5:$B$300,"L-*"),8)))</f>
        <v/>
      </c>
      <c r="K16" s="246">
        <f>IF($B16="","",ROUND(SUMIFS(Закрытые!$N$5:$N$300,Закрытые!$E$5:$E$300,$B16,Закрытые!$B$5:$B$300,"L-*"),8))</f>
        <v/>
      </c>
      <c r="L16" s="183">
        <f>IF(K16="","",IF(SUMPRODUCT((Закрытые!$E$5:$E$300=$B16)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/SUMPRODUCT((Закрытые!$E$5:$E$300=$B16)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" s="183">
        <f>IF(OR(ROUND(N(C16)-N(F16),8)=0,1-N(Ввод!$E$17)/100&lt;=0),"",IF(N(C16)&gt;N(F16),(N(E16)-N(H16))/((N(C16)-N(F16))*(1-N(Ввод!$E$17)/100)),(N(H16)-N(E16))/((N(F16)-N(C16))*(1+N(Ввод!$E$17)/100))))</f>
        <v/>
      </c>
    </row>
    <row r="17" ht="22" customHeight="1">
      <c r="B17" s="315" t="n"/>
      <c r="C17" s="240">
        <f>IF(SUMIFS(Лэндинг!$F$5:$F$300,Лэндинг!$E$5:$E$300,$B17)+SUMIFS(Закрытые!$F$5:$F$300,Закрытые!$E$5:$E$300,$B17,Закрытые!$B$5:$B$300,"L-*")=0,"",SUMIFS(Лэндинг!$F$5:$F$300,Лэндинг!$E$5:$E$300,$B17)+SUMIFS(Закрытые!$F$5:$F$300,Закрытые!$E$5:$E$300,$B17,Закрытые!$B$5:$B$300,"L-*"))</f>
        <v/>
      </c>
      <c r="D17" s="177">
        <f>IF(C17="","",(SUMPRODUCT((Лэндинг!$E$5:$E$300=$B17)*Лэндинг!$F$5:$F$300*Лэндинг!$G$5:$G$300)+SUMPRODUCT((Закрытые!$E$5:$E$300=$B17)*(LEFT(Закрытые!$B$5:$B$300,2)="L-")*Закрытые!$F$5:$F$300*Закрытые!$G$5:$G$300))/C17)</f>
        <v/>
      </c>
      <c r="E17" s="241">
        <f>IF(C17="","",SUMIFS(Лэндинг!$H$5:$H$300,Лэндинг!$E$5:$E$300,$B17)+SUMIFS(Закрытые!$H$5:$H$300,Закрытые!$E$5:$E$300,$B17,Закрытые!$B$5:$B$300,"L-*"))</f>
        <v/>
      </c>
      <c r="F17" s="240">
        <f>IF(SUMIFS(Лэндинг!$I$5:$I$300,Лэндинг!$E$5:$E$300,$B17)+SUMIFS(Закрытые!$I$5:$I$300,Закрытые!$E$5:$E$300,$B17,Закрытые!$B$5:$B$300,"L-*")=0,"",SUMIFS(Лэндинг!$I$5:$I$300,Лэндинг!$E$5:$E$300,$B17)+SUMIFS(Закрытые!$I$5:$I$300,Закрытые!$E$5:$E$300,$B17,Закрытые!$B$5:$B$300,"L-*"))</f>
        <v/>
      </c>
      <c r="G17" s="177">
        <f>IF(F17="","",(SUMPRODUCT((Лэндинг!$E$5:$E$300=$B17)*Лэндинг!$I$5:$I$300*Лэндинг!$J$5:$J$300)+SUMPRODUCT((Закрытые!$E$5:$E$300=$B17)*(LEFT(Закрытые!$B$5:$B$300,2)="L-")*Закрытые!$I$5:$I$300*Закрытые!$J$5:$J$300))/F17)</f>
        <v/>
      </c>
      <c r="H17" s="241">
        <f>IF(F17="","",SUMIFS(Лэндинг!$K$5:$K$300,Лэндинг!$E$5:$E$300,$B17)+SUMIFS(Закрытые!$K$5:$K$300,Закрытые!$E$5:$E$300,$B17,Закрытые!$B$5:$B$300,"L-*"))</f>
        <v/>
      </c>
      <c r="I17" s="240">
        <f>IF($B17="","",IF(COUNTIFS(Лэндинг!$E$5:$E$300,$B17)+COUNTIFS(Закрытые!$E$5:$E$300,$B17,Закрытые!$B$5:$B$300,"L-*")=0,"",ROUND(SUMIFS(Лэндинг!$L$5:$L$300,Лэндинг!$E$5:$E$300,$B17)+SUMIFS(Закрытые!$L$5:$L$300,Закрытые!$E$5:$E$300,$B17,Закрытые!$B$5:$B$300,"L-*"),8)))</f>
        <v/>
      </c>
      <c r="J17" s="241">
        <f>IF($B17="","",IF(COUNTIFS(Лэндинг!$E$5:$E$300,$B17)+COUNTIFS(Закрытые!$E$5:$E$300,$B17,Закрытые!$B$5:$B$300,"L-*")=0,"",ROUND(SUMIFS(Лэндинг!$M$5:$M$300,Лэндинг!$E$5:$E$300,$B17)+SUMIFS(Закрытые!$M$5:$M$300,Закрытые!$E$5:$E$300,$B17,Закрытые!$B$5:$B$300,"L-*"),8)))</f>
        <v/>
      </c>
      <c r="K17" s="240">
        <f>IF($B17="","",ROUND(SUMIFS(Закрытые!$N$5:$N$300,Закрытые!$E$5:$E$300,$B17,Закрытые!$B$5:$B$300,"L-*"),8))</f>
        <v/>
      </c>
      <c r="L17" s="177">
        <f>IF(K17="","",IF(SUMPRODUCT((Закрытые!$E$5:$E$300=$B17)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/SUMPRODUCT((Закрытые!$E$5:$E$300=$B17)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" s="177">
        <f>IF(OR(ROUND(N(C17)-N(F17),8)=0,1-N(Ввод!$E$17)/100&lt;=0),"",IF(N(C17)&gt;N(F17),(N(E17)-N(H17))/((N(C17)-N(F17))*(1-N(Ввод!$E$17)/100)),(N(H17)-N(E17))/((N(F17)-N(C17))*(1+N(Ввод!$E$17)/100))))</f>
        <v/>
      </c>
    </row>
    <row r="18" ht="22" customHeight="1">
      <c r="B18" s="320" t="n"/>
      <c r="C18" s="246">
        <f>IF(SUMIFS(Лэндинг!$F$5:$F$300,Лэндинг!$E$5:$E$300,$B18)+SUMIFS(Закрытые!$F$5:$F$300,Закрытые!$E$5:$E$300,$B18,Закрытые!$B$5:$B$300,"L-*")=0,"",SUMIFS(Лэндинг!$F$5:$F$300,Лэндинг!$E$5:$E$300,$B18)+SUMIFS(Закрытые!$F$5:$F$300,Закрытые!$E$5:$E$300,$B18,Закрытые!$B$5:$B$300,"L-*"))</f>
        <v/>
      </c>
      <c r="D18" s="183">
        <f>IF(C18="","",(SUMPRODUCT((Лэндинг!$E$5:$E$300=$B18)*Лэндинг!$F$5:$F$300*Лэндинг!$G$5:$G$300)+SUMPRODUCT((Закрытые!$E$5:$E$300=$B18)*(LEFT(Закрытые!$B$5:$B$300,2)="L-")*Закрытые!$F$5:$F$300*Закрытые!$G$5:$G$300))/C18)</f>
        <v/>
      </c>
      <c r="E18" s="247">
        <f>IF(C18="","",SUMIFS(Лэндинг!$H$5:$H$300,Лэндинг!$E$5:$E$300,$B18)+SUMIFS(Закрытые!$H$5:$H$300,Закрытые!$E$5:$E$300,$B18,Закрытые!$B$5:$B$300,"L-*"))</f>
        <v/>
      </c>
      <c r="F18" s="246">
        <f>IF(SUMIFS(Лэндинг!$I$5:$I$300,Лэндинг!$E$5:$E$300,$B18)+SUMIFS(Закрытые!$I$5:$I$300,Закрытые!$E$5:$E$300,$B18,Закрытые!$B$5:$B$300,"L-*")=0,"",SUMIFS(Лэндинг!$I$5:$I$300,Лэндинг!$E$5:$E$300,$B18)+SUMIFS(Закрытые!$I$5:$I$300,Закрытые!$E$5:$E$300,$B18,Закрытые!$B$5:$B$300,"L-*"))</f>
        <v/>
      </c>
      <c r="G18" s="183">
        <f>IF(F18="","",(SUMPRODUCT((Лэндинг!$E$5:$E$300=$B18)*Лэндинг!$I$5:$I$300*Лэндинг!$J$5:$J$300)+SUMPRODUCT((Закрытые!$E$5:$E$300=$B18)*(LEFT(Закрытые!$B$5:$B$300,2)="L-")*Закрытые!$I$5:$I$300*Закрытые!$J$5:$J$300))/F18)</f>
        <v/>
      </c>
      <c r="H18" s="247">
        <f>IF(F18="","",SUMIFS(Лэндинг!$K$5:$K$300,Лэндинг!$E$5:$E$300,$B18)+SUMIFS(Закрытые!$K$5:$K$300,Закрытые!$E$5:$E$300,$B18,Закрытые!$B$5:$B$300,"L-*"))</f>
        <v/>
      </c>
      <c r="I18" s="246">
        <f>IF($B18="","",IF(COUNTIFS(Лэндинг!$E$5:$E$300,$B18)+COUNTIFS(Закрытые!$E$5:$E$300,$B18,Закрытые!$B$5:$B$300,"L-*")=0,"",ROUND(SUMIFS(Лэндинг!$L$5:$L$300,Лэндинг!$E$5:$E$300,$B18)+SUMIFS(Закрытые!$L$5:$L$300,Закрытые!$E$5:$E$300,$B18,Закрытые!$B$5:$B$300,"L-*"),8)))</f>
        <v/>
      </c>
      <c r="J18" s="247">
        <f>IF($B18="","",IF(COUNTIFS(Лэндинг!$E$5:$E$300,$B18)+COUNTIFS(Закрытые!$E$5:$E$300,$B18,Закрытые!$B$5:$B$300,"L-*")=0,"",ROUND(SUMIFS(Лэндинг!$M$5:$M$300,Лэндинг!$E$5:$E$300,$B18)+SUMIFS(Закрытые!$M$5:$M$300,Закрытые!$E$5:$E$300,$B18,Закрытые!$B$5:$B$300,"L-*"),8)))</f>
        <v/>
      </c>
      <c r="K18" s="246">
        <f>IF($B18="","",ROUND(SUMIFS(Закрытые!$N$5:$N$300,Закрытые!$E$5:$E$300,$B18,Закрытые!$B$5:$B$300,"L-*"),8))</f>
        <v/>
      </c>
      <c r="L18" s="183">
        <f>IF(K18="","",IF(SUMPRODUCT((Закрытые!$E$5:$E$300=$B18)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/SUMPRODUCT((Закрытые!$E$5:$E$300=$B18)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" s="183">
        <f>IF(OR(ROUND(N(C18)-N(F18),8)=0,1-N(Ввод!$E$17)/100&lt;=0),"",IF(N(C18)&gt;N(F18),(N(E18)-N(H18))/((N(C18)-N(F18))*(1-N(Ввод!$E$17)/100)),(N(H18)-N(E18))/((N(F18)-N(C18))*(1+N(Ввод!$E$17)/100))))</f>
        <v/>
      </c>
    </row>
    <row r="19" ht="22" customHeight="1">
      <c r="B19" s="315" t="n"/>
      <c r="C19" s="240">
        <f>IF(SUMIFS(Лэндинг!$F$5:$F$300,Лэндинг!$E$5:$E$300,$B19)+SUMIFS(Закрытые!$F$5:$F$300,Закрытые!$E$5:$E$300,$B19,Закрытые!$B$5:$B$300,"L-*")=0,"",SUMIFS(Лэндинг!$F$5:$F$300,Лэндинг!$E$5:$E$300,$B19)+SUMIFS(Закрытые!$F$5:$F$300,Закрытые!$E$5:$E$300,$B19,Закрытые!$B$5:$B$300,"L-*"))</f>
        <v/>
      </c>
      <c r="D19" s="177">
        <f>IF(C19="","",(SUMPRODUCT((Лэндинг!$E$5:$E$300=$B19)*Лэндинг!$F$5:$F$300*Лэндинг!$G$5:$G$300)+SUMPRODUCT((Закрытые!$E$5:$E$300=$B19)*(LEFT(Закрытые!$B$5:$B$300,2)="L-")*Закрытые!$F$5:$F$300*Закрытые!$G$5:$G$300))/C19)</f>
        <v/>
      </c>
      <c r="E19" s="241">
        <f>IF(C19="","",SUMIFS(Лэндинг!$H$5:$H$300,Лэндинг!$E$5:$E$300,$B19)+SUMIFS(Закрытые!$H$5:$H$300,Закрытые!$E$5:$E$300,$B19,Закрытые!$B$5:$B$300,"L-*"))</f>
        <v/>
      </c>
      <c r="F19" s="240">
        <f>IF(SUMIFS(Лэндинг!$I$5:$I$300,Лэндинг!$E$5:$E$300,$B19)+SUMIFS(Закрытые!$I$5:$I$300,Закрытые!$E$5:$E$300,$B19,Закрытые!$B$5:$B$300,"L-*")=0,"",SUMIFS(Лэндинг!$I$5:$I$300,Лэндинг!$E$5:$E$300,$B19)+SUMIFS(Закрытые!$I$5:$I$300,Закрытые!$E$5:$E$300,$B19,Закрытые!$B$5:$B$300,"L-*"))</f>
        <v/>
      </c>
      <c r="G19" s="177">
        <f>IF(F19="","",(SUMPRODUCT((Лэндинг!$E$5:$E$300=$B19)*Лэндинг!$I$5:$I$300*Лэндинг!$J$5:$J$300)+SUMPRODUCT((Закрытые!$E$5:$E$300=$B19)*(LEFT(Закрытые!$B$5:$B$300,2)="L-")*Закрытые!$I$5:$I$300*Закрытые!$J$5:$J$300))/F19)</f>
        <v/>
      </c>
      <c r="H19" s="241">
        <f>IF(F19="","",SUMIFS(Лэндинг!$K$5:$K$300,Лэндинг!$E$5:$E$300,$B19)+SUMIFS(Закрытые!$K$5:$K$300,Закрытые!$E$5:$E$300,$B19,Закрытые!$B$5:$B$300,"L-*"))</f>
        <v/>
      </c>
      <c r="I19" s="240">
        <f>IF($B19="","",IF(COUNTIFS(Лэндинг!$E$5:$E$300,$B19)+COUNTIFS(Закрытые!$E$5:$E$300,$B19,Закрытые!$B$5:$B$300,"L-*")=0,"",ROUND(SUMIFS(Лэндинг!$L$5:$L$300,Лэндинг!$E$5:$E$300,$B19)+SUMIFS(Закрытые!$L$5:$L$300,Закрытые!$E$5:$E$300,$B19,Закрытые!$B$5:$B$300,"L-*"),8)))</f>
        <v/>
      </c>
      <c r="J19" s="241">
        <f>IF($B19="","",IF(COUNTIFS(Лэндинг!$E$5:$E$300,$B19)+COUNTIFS(Закрытые!$E$5:$E$300,$B19,Закрытые!$B$5:$B$300,"L-*")=0,"",ROUND(SUMIFS(Лэндинг!$M$5:$M$300,Лэндинг!$E$5:$E$300,$B19)+SUMIFS(Закрытые!$M$5:$M$300,Закрытые!$E$5:$E$300,$B19,Закрытые!$B$5:$B$300,"L-*"),8)))</f>
        <v/>
      </c>
      <c r="K19" s="240">
        <f>IF($B19="","",ROUND(SUMIFS(Закрытые!$N$5:$N$300,Закрытые!$E$5:$E$300,$B19,Закрытые!$B$5:$B$300,"L-*"),8))</f>
        <v/>
      </c>
      <c r="L19" s="177">
        <f>IF(K19="","",IF(SUMPRODUCT((Закрытые!$E$5:$E$300=$B19)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/SUMPRODUCT((Закрытые!$E$5:$E$300=$B19)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" s="177">
        <f>IF(OR(ROUND(N(C19)-N(F19),8)=0,1-N(Ввод!$E$17)/100&lt;=0),"",IF(N(C19)&gt;N(F19),(N(E19)-N(H19))/((N(C19)-N(F19))*(1-N(Ввод!$E$17)/100)),(N(H19)-N(E19))/((N(F19)-N(C19))*(1+N(Ввод!$E$17)/100))))</f>
        <v/>
      </c>
    </row>
    <row r="20" ht="22" customHeight="1">
      <c r="B20" s="320" t="n"/>
      <c r="C20" s="246">
        <f>IF(SUMIFS(Лэндинг!$F$5:$F$300,Лэндинг!$E$5:$E$300,$B20)+SUMIFS(Закрытые!$F$5:$F$300,Закрытые!$E$5:$E$300,$B20,Закрытые!$B$5:$B$300,"L-*")=0,"",SUMIFS(Лэндинг!$F$5:$F$300,Лэндинг!$E$5:$E$300,$B20)+SUMIFS(Закрытые!$F$5:$F$300,Закрытые!$E$5:$E$300,$B20,Закрытые!$B$5:$B$300,"L-*"))</f>
        <v/>
      </c>
      <c r="D20" s="183">
        <f>IF(C20="","",(SUMPRODUCT((Лэндинг!$E$5:$E$300=$B20)*Лэндинг!$F$5:$F$300*Лэндинг!$G$5:$G$300)+SUMPRODUCT((Закрытые!$E$5:$E$300=$B20)*(LEFT(Закрытые!$B$5:$B$300,2)="L-")*Закрытые!$F$5:$F$300*Закрытые!$G$5:$G$300))/C20)</f>
        <v/>
      </c>
      <c r="E20" s="247">
        <f>IF(C20="","",SUMIFS(Лэндинг!$H$5:$H$300,Лэндинг!$E$5:$E$300,$B20)+SUMIFS(Закрытые!$H$5:$H$300,Закрытые!$E$5:$E$300,$B20,Закрытые!$B$5:$B$300,"L-*"))</f>
        <v/>
      </c>
      <c r="F20" s="246">
        <f>IF(SUMIFS(Лэндинг!$I$5:$I$300,Лэндинг!$E$5:$E$300,$B20)+SUMIFS(Закрытые!$I$5:$I$300,Закрытые!$E$5:$E$300,$B20,Закрытые!$B$5:$B$300,"L-*")=0,"",SUMIFS(Лэндинг!$I$5:$I$300,Лэндинг!$E$5:$E$300,$B20)+SUMIFS(Закрытые!$I$5:$I$300,Закрытые!$E$5:$E$300,$B20,Закрытые!$B$5:$B$300,"L-*"))</f>
        <v/>
      </c>
      <c r="G20" s="183">
        <f>IF(F20="","",(SUMPRODUCT((Лэндинг!$E$5:$E$300=$B20)*Лэндинг!$I$5:$I$300*Лэндинг!$J$5:$J$300)+SUMPRODUCT((Закрытые!$E$5:$E$300=$B20)*(LEFT(Закрытые!$B$5:$B$300,2)="L-")*Закрытые!$I$5:$I$300*Закрытые!$J$5:$J$300))/F20)</f>
        <v/>
      </c>
      <c r="H20" s="247">
        <f>IF(F20="","",SUMIFS(Лэндинг!$K$5:$K$300,Лэндинг!$E$5:$E$300,$B20)+SUMIFS(Закрытые!$K$5:$K$300,Закрытые!$E$5:$E$300,$B20,Закрытые!$B$5:$B$300,"L-*"))</f>
        <v/>
      </c>
      <c r="I20" s="246">
        <f>IF($B20="","",IF(COUNTIFS(Лэндинг!$E$5:$E$300,$B20)+COUNTIFS(Закрытые!$E$5:$E$300,$B20,Закрытые!$B$5:$B$300,"L-*")=0,"",ROUND(SUMIFS(Лэндинг!$L$5:$L$300,Лэндинг!$E$5:$E$300,$B20)+SUMIFS(Закрытые!$L$5:$L$300,Закрытые!$E$5:$E$300,$B20,Закрытые!$B$5:$B$300,"L-*"),8)))</f>
        <v/>
      </c>
      <c r="J20" s="247">
        <f>IF($B20="","",IF(COUNTIFS(Лэндинг!$E$5:$E$300,$B20)+COUNTIFS(Закрытые!$E$5:$E$300,$B20,Закрытые!$B$5:$B$300,"L-*")=0,"",ROUND(SUMIFS(Лэндинг!$M$5:$M$300,Лэндинг!$E$5:$E$300,$B20)+SUMIFS(Закрытые!$M$5:$M$300,Закрытые!$E$5:$E$300,$B20,Закрытые!$B$5:$B$300,"L-*"),8)))</f>
        <v/>
      </c>
      <c r="K20" s="246">
        <f>IF($B20="","",ROUND(SUMIFS(Закрытые!$N$5:$N$300,Закрытые!$E$5:$E$300,$B20,Закрытые!$B$5:$B$300,"L-*"),8))</f>
        <v/>
      </c>
      <c r="L20" s="183">
        <f>IF(K20="","",IF(SUMPRODUCT((Закрытые!$E$5:$E$300=$B20)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/SUMPRODUCT((Закрытые!$E$5:$E$300=$B20)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" s="183">
        <f>IF(OR(ROUND(N(C20)-N(F20),8)=0,1-N(Ввод!$E$17)/100&lt;=0),"",IF(N(C20)&gt;N(F20),(N(E20)-N(H20))/((N(C20)-N(F20))*(1-N(Ввод!$E$17)/100)),(N(H20)-N(E20))/((N(F20)-N(C20))*(1+N(Ввод!$E$17)/100))))</f>
        <v/>
      </c>
    </row>
    <row r="21" ht="22" customHeight="1">
      <c r="B21" s="315" t="n"/>
      <c r="C21" s="240">
        <f>IF(SUMIFS(Лэндинг!$F$5:$F$300,Лэндинг!$E$5:$E$300,$B21)+SUMIFS(Закрытые!$F$5:$F$300,Закрытые!$E$5:$E$300,$B21,Закрытые!$B$5:$B$300,"L-*")=0,"",SUMIFS(Лэндинг!$F$5:$F$300,Лэндинг!$E$5:$E$300,$B21)+SUMIFS(Закрытые!$F$5:$F$300,Закрытые!$E$5:$E$300,$B21,Закрытые!$B$5:$B$300,"L-*"))</f>
        <v/>
      </c>
      <c r="D21" s="177">
        <f>IF(C21="","",(SUMPRODUCT((Лэндинг!$E$5:$E$300=$B21)*Лэндинг!$F$5:$F$300*Лэндинг!$G$5:$G$300)+SUMPRODUCT((Закрытые!$E$5:$E$300=$B21)*(LEFT(Закрытые!$B$5:$B$300,2)="L-")*Закрытые!$F$5:$F$300*Закрытые!$G$5:$G$300))/C21)</f>
        <v/>
      </c>
      <c r="E21" s="241">
        <f>IF(C21="","",SUMIFS(Лэндинг!$H$5:$H$300,Лэндинг!$E$5:$E$300,$B21)+SUMIFS(Закрытые!$H$5:$H$300,Закрытые!$E$5:$E$300,$B21,Закрытые!$B$5:$B$300,"L-*"))</f>
        <v/>
      </c>
      <c r="F21" s="240">
        <f>IF(SUMIFS(Лэндинг!$I$5:$I$300,Лэндинг!$E$5:$E$300,$B21)+SUMIFS(Закрытые!$I$5:$I$300,Закрытые!$E$5:$E$300,$B21,Закрытые!$B$5:$B$300,"L-*")=0,"",SUMIFS(Лэндинг!$I$5:$I$300,Лэндинг!$E$5:$E$300,$B21)+SUMIFS(Закрытые!$I$5:$I$300,Закрытые!$E$5:$E$300,$B21,Закрытые!$B$5:$B$300,"L-*"))</f>
        <v/>
      </c>
      <c r="G21" s="177">
        <f>IF(F21="","",(SUMPRODUCT((Лэндинг!$E$5:$E$300=$B21)*Лэндинг!$I$5:$I$300*Лэндинг!$J$5:$J$300)+SUMPRODUCT((Закрытые!$E$5:$E$300=$B21)*(LEFT(Закрытые!$B$5:$B$300,2)="L-")*Закрытые!$I$5:$I$300*Закрытые!$J$5:$J$300))/F21)</f>
        <v/>
      </c>
      <c r="H21" s="241">
        <f>IF(F21="","",SUMIFS(Лэндинг!$K$5:$K$300,Лэндинг!$E$5:$E$300,$B21)+SUMIFS(Закрытые!$K$5:$K$300,Закрытые!$E$5:$E$300,$B21,Закрытые!$B$5:$B$300,"L-*"))</f>
        <v/>
      </c>
      <c r="I21" s="240">
        <f>IF($B21="","",IF(COUNTIFS(Лэндинг!$E$5:$E$300,$B21)+COUNTIFS(Закрытые!$E$5:$E$300,$B21,Закрытые!$B$5:$B$300,"L-*")=0,"",ROUND(SUMIFS(Лэндинг!$L$5:$L$300,Лэндинг!$E$5:$E$300,$B21)+SUMIFS(Закрытые!$L$5:$L$300,Закрытые!$E$5:$E$300,$B21,Закрытые!$B$5:$B$300,"L-*"),8)))</f>
        <v/>
      </c>
      <c r="J21" s="241">
        <f>IF($B21="","",IF(COUNTIFS(Лэндинг!$E$5:$E$300,$B21)+COUNTIFS(Закрытые!$E$5:$E$300,$B21,Закрытые!$B$5:$B$300,"L-*")=0,"",ROUND(SUMIFS(Лэндинг!$M$5:$M$300,Лэндинг!$E$5:$E$300,$B21)+SUMIFS(Закрытые!$M$5:$M$300,Закрытые!$E$5:$E$300,$B21,Закрытые!$B$5:$B$300,"L-*"),8)))</f>
        <v/>
      </c>
      <c r="K21" s="240">
        <f>IF($B21="","",ROUND(SUMIFS(Закрытые!$N$5:$N$300,Закрытые!$E$5:$E$300,$B21,Закрытые!$B$5:$B$300,"L-*"),8))</f>
        <v/>
      </c>
      <c r="L21" s="177">
        <f>IF(K21="","",IF(SUMPRODUCT((Закрытые!$E$5:$E$300=$B21)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/SUMPRODUCT((Закрытые!$E$5:$E$300=$B21)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" s="177">
        <f>IF(OR(ROUND(N(C21)-N(F21),8)=0,1-N(Ввод!$E$17)/100&lt;=0),"",IF(N(C21)&gt;N(F21),(N(E21)-N(H21))/((N(C21)-N(F21))*(1-N(Ввод!$E$17)/100)),(N(H21)-N(E21))/((N(F21)-N(C21))*(1+N(Ввод!$E$17)/100))))</f>
        <v/>
      </c>
    </row>
    <row r="22" ht="22" customHeight="1">
      <c r="B22" s="320" t="n"/>
      <c r="C22" s="246">
        <f>IF(SUMIFS(Лэндинг!$F$5:$F$300,Лэндинг!$E$5:$E$300,$B22)+SUMIFS(Закрытые!$F$5:$F$300,Закрытые!$E$5:$E$300,$B22,Закрытые!$B$5:$B$300,"L-*")=0,"",SUMIFS(Лэндинг!$F$5:$F$300,Лэндинг!$E$5:$E$300,$B22)+SUMIFS(Закрытые!$F$5:$F$300,Закрытые!$E$5:$E$300,$B22,Закрытые!$B$5:$B$300,"L-*"))</f>
        <v/>
      </c>
      <c r="D22" s="183">
        <f>IF(C22="","",(SUMPRODUCT((Лэндинг!$E$5:$E$300=$B22)*Лэндинг!$F$5:$F$300*Лэндинг!$G$5:$G$300)+SUMPRODUCT((Закрытые!$E$5:$E$300=$B22)*(LEFT(Закрытые!$B$5:$B$300,2)="L-")*Закрытые!$F$5:$F$300*Закрытые!$G$5:$G$300))/C22)</f>
        <v/>
      </c>
      <c r="E22" s="247">
        <f>IF(C22="","",SUMIFS(Лэндинг!$H$5:$H$300,Лэндинг!$E$5:$E$300,$B22)+SUMIFS(Закрытые!$H$5:$H$300,Закрытые!$E$5:$E$300,$B22,Закрытые!$B$5:$B$300,"L-*"))</f>
        <v/>
      </c>
      <c r="F22" s="246">
        <f>IF(SUMIFS(Лэндинг!$I$5:$I$300,Лэндинг!$E$5:$E$300,$B22)+SUMIFS(Закрытые!$I$5:$I$300,Закрытые!$E$5:$E$300,$B22,Закрытые!$B$5:$B$300,"L-*")=0,"",SUMIFS(Лэндинг!$I$5:$I$300,Лэндинг!$E$5:$E$300,$B22)+SUMIFS(Закрытые!$I$5:$I$300,Закрытые!$E$5:$E$300,$B22,Закрытые!$B$5:$B$300,"L-*"))</f>
        <v/>
      </c>
      <c r="G22" s="183">
        <f>IF(F22="","",(SUMPRODUCT((Лэндинг!$E$5:$E$300=$B22)*Лэндинг!$I$5:$I$300*Лэндинг!$J$5:$J$300)+SUMPRODUCT((Закрытые!$E$5:$E$300=$B22)*(LEFT(Закрытые!$B$5:$B$300,2)="L-")*Закрытые!$I$5:$I$300*Закрытые!$J$5:$J$300))/F22)</f>
        <v/>
      </c>
      <c r="H22" s="247">
        <f>IF(F22="","",SUMIFS(Лэндинг!$K$5:$K$300,Лэндинг!$E$5:$E$300,$B22)+SUMIFS(Закрытые!$K$5:$K$300,Закрытые!$E$5:$E$300,$B22,Закрытые!$B$5:$B$300,"L-*"))</f>
        <v/>
      </c>
      <c r="I22" s="246">
        <f>IF($B22="","",IF(COUNTIFS(Лэндинг!$E$5:$E$300,$B22)+COUNTIFS(Закрытые!$E$5:$E$300,$B22,Закрытые!$B$5:$B$300,"L-*")=0,"",ROUND(SUMIFS(Лэндинг!$L$5:$L$300,Лэндинг!$E$5:$E$300,$B22)+SUMIFS(Закрытые!$L$5:$L$300,Закрытые!$E$5:$E$300,$B22,Закрытые!$B$5:$B$300,"L-*"),8)))</f>
        <v/>
      </c>
      <c r="J22" s="247">
        <f>IF($B22="","",IF(COUNTIFS(Лэндинг!$E$5:$E$300,$B22)+COUNTIFS(Закрытые!$E$5:$E$300,$B22,Закрытые!$B$5:$B$300,"L-*")=0,"",ROUND(SUMIFS(Лэндинг!$M$5:$M$300,Лэндинг!$E$5:$E$300,$B22)+SUMIFS(Закрытые!$M$5:$M$300,Закрытые!$E$5:$E$300,$B22,Закрытые!$B$5:$B$300,"L-*"),8)))</f>
        <v/>
      </c>
      <c r="K22" s="246">
        <f>IF($B22="","",ROUND(SUMIFS(Закрытые!$N$5:$N$300,Закрытые!$E$5:$E$300,$B22,Закрытые!$B$5:$B$300,"L-*"),8))</f>
        <v/>
      </c>
      <c r="L22" s="183">
        <f>IF(K22="","",IF(SUMPRODUCT((Закрытые!$E$5:$E$300=$B22)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/SUMPRODUCT((Закрытые!$E$5:$E$300=$B22)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" s="183">
        <f>IF(OR(ROUND(N(C22)-N(F22),8)=0,1-N(Ввод!$E$17)/100&lt;=0),"",IF(N(C22)&gt;N(F22),(N(E22)-N(H22))/((N(C22)-N(F22))*(1-N(Ввод!$E$17)/100)),(N(H22)-N(E22))/((N(F22)-N(C22))*(1+N(Ввод!$E$17)/100))))</f>
        <v/>
      </c>
    </row>
    <row r="23" ht="22" customHeight="1">
      <c r="B23" s="315" t="n"/>
      <c r="C23" s="240">
        <f>IF(SUMIFS(Лэндинг!$F$5:$F$300,Лэндинг!$E$5:$E$300,$B23)+SUMIFS(Закрытые!$F$5:$F$300,Закрытые!$E$5:$E$300,$B23,Закрытые!$B$5:$B$300,"L-*")=0,"",SUMIFS(Лэндинг!$F$5:$F$300,Лэндинг!$E$5:$E$300,$B23)+SUMIFS(Закрытые!$F$5:$F$300,Закрытые!$E$5:$E$300,$B23,Закрытые!$B$5:$B$300,"L-*"))</f>
        <v/>
      </c>
      <c r="D23" s="177">
        <f>IF(C23="","",(SUMPRODUCT((Лэндинг!$E$5:$E$300=$B23)*Лэндинг!$F$5:$F$300*Лэндинг!$G$5:$G$300)+SUMPRODUCT((Закрытые!$E$5:$E$300=$B23)*(LEFT(Закрытые!$B$5:$B$300,2)="L-")*Закрытые!$F$5:$F$300*Закрытые!$G$5:$G$300))/C23)</f>
        <v/>
      </c>
      <c r="E23" s="241">
        <f>IF(C23="","",SUMIFS(Лэндинг!$H$5:$H$300,Лэндинг!$E$5:$E$300,$B23)+SUMIFS(Закрытые!$H$5:$H$300,Закрытые!$E$5:$E$300,$B23,Закрытые!$B$5:$B$300,"L-*"))</f>
        <v/>
      </c>
      <c r="F23" s="240">
        <f>IF(SUMIFS(Лэндинг!$I$5:$I$300,Лэндинг!$E$5:$E$300,$B23)+SUMIFS(Закрытые!$I$5:$I$300,Закрытые!$E$5:$E$300,$B23,Закрытые!$B$5:$B$300,"L-*")=0,"",SUMIFS(Лэндинг!$I$5:$I$300,Лэндинг!$E$5:$E$300,$B23)+SUMIFS(Закрытые!$I$5:$I$300,Закрытые!$E$5:$E$300,$B23,Закрытые!$B$5:$B$300,"L-*"))</f>
        <v/>
      </c>
      <c r="G23" s="177">
        <f>IF(F23="","",(SUMPRODUCT((Лэндинг!$E$5:$E$300=$B23)*Лэндинг!$I$5:$I$300*Лэндинг!$J$5:$J$300)+SUMPRODUCT((Закрытые!$E$5:$E$300=$B23)*(LEFT(Закрытые!$B$5:$B$300,2)="L-")*Закрытые!$I$5:$I$300*Закрытые!$J$5:$J$300))/F23)</f>
        <v/>
      </c>
      <c r="H23" s="241">
        <f>IF(F23="","",SUMIFS(Лэндинг!$K$5:$K$300,Лэндинг!$E$5:$E$300,$B23)+SUMIFS(Закрытые!$K$5:$K$300,Закрытые!$E$5:$E$300,$B23,Закрытые!$B$5:$B$300,"L-*"))</f>
        <v/>
      </c>
      <c r="I23" s="240">
        <f>IF($B23="","",IF(COUNTIFS(Лэндинг!$E$5:$E$300,$B23)+COUNTIFS(Закрытые!$E$5:$E$300,$B23,Закрытые!$B$5:$B$300,"L-*")=0,"",ROUND(SUMIFS(Лэндинг!$L$5:$L$300,Лэндинг!$E$5:$E$300,$B23)+SUMIFS(Закрытые!$L$5:$L$300,Закрытые!$E$5:$E$300,$B23,Закрытые!$B$5:$B$300,"L-*"),8)))</f>
        <v/>
      </c>
      <c r="J23" s="241">
        <f>IF($B23="","",IF(COUNTIFS(Лэндинг!$E$5:$E$300,$B23)+COUNTIFS(Закрытые!$E$5:$E$300,$B23,Закрытые!$B$5:$B$300,"L-*")=0,"",ROUND(SUMIFS(Лэндинг!$M$5:$M$300,Лэндинг!$E$5:$E$300,$B23)+SUMIFS(Закрытые!$M$5:$M$300,Закрытые!$E$5:$E$300,$B23,Закрытые!$B$5:$B$300,"L-*"),8)))</f>
        <v/>
      </c>
      <c r="K23" s="240">
        <f>IF($B23="","",ROUND(SUMIFS(Закрытые!$N$5:$N$300,Закрытые!$E$5:$E$300,$B23,Закрытые!$B$5:$B$300,"L-*"),8))</f>
        <v/>
      </c>
      <c r="L23" s="177">
        <f>IF(K23="","",IF(SUMPRODUCT((Закрытые!$E$5:$E$300=$B23)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/SUMPRODUCT((Закрытые!$E$5:$E$300=$B23)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" s="177">
        <f>IF(OR(ROUND(N(C23)-N(F23),8)=0,1-N(Ввод!$E$17)/100&lt;=0),"",IF(N(C23)&gt;N(F23),(N(E23)-N(H23))/((N(C23)-N(F23))*(1-N(Ввод!$E$17)/100)),(N(H23)-N(E23))/((N(F23)-N(C23))*(1+N(Ввод!$E$17)/100))))</f>
        <v/>
      </c>
    </row>
    <row r="24" ht="22" customHeight="1">
      <c r="B24" s="320" t="n"/>
      <c r="C24" s="246">
        <f>IF(SUMIFS(Лэндинг!$F$5:$F$300,Лэндинг!$E$5:$E$300,$B24)+SUMIFS(Закрытые!$F$5:$F$300,Закрытые!$E$5:$E$300,$B24,Закрытые!$B$5:$B$300,"L-*")=0,"",SUMIFS(Лэндинг!$F$5:$F$300,Лэндинг!$E$5:$E$300,$B24)+SUMIFS(Закрытые!$F$5:$F$300,Закрытые!$E$5:$E$300,$B24,Закрытые!$B$5:$B$300,"L-*"))</f>
        <v/>
      </c>
      <c r="D24" s="183">
        <f>IF(C24="","",(SUMPRODUCT((Лэндинг!$E$5:$E$300=$B24)*Лэндинг!$F$5:$F$300*Лэндинг!$G$5:$G$300)+SUMPRODUCT((Закрытые!$E$5:$E$300=$B24)*(LEFT(Закрытые!$B$5:$B$300,2)="L-")*Закрытые!$F$5:$F$300*Закрытые!$G$5:$G$300))/C24)</f>
        <v/>
      </c>
      <c r="E24" s="247">
        <f>IF(C24="","",SUMIFS(Лэндинг!$H$5:$H$300,Лэндинг!$E$5:$E$300,$B24)+SUMIFS(Закрытые!$H$5:$H$300,Закрытые!$E$5:$E$300,$B24,Закрытые!$B$5:$B$300,"L-*"))</f>
        <v/>
      </c>
      <c r="F24" s="246">
        <f>IF(SUMIFS(Лэндинг!$I$5:$I$300,Лэндинг!$E$5:$E$300,$B24)+SUMIFS(Закрытые!$I$5:$I$300,Закрытые!$E$5:$E$300,$B24,Закрытые!$B$5:$B$300,"L-*")=0,"",SUMIFS(Лэндинг!$I$5:$I$300,Лэндинг!$E$5:$E$300,$B24)+SUMIFS(Закрытые!$I$5:$I$300,Закрытые!$E$5:$E$300,$B24,Закрытые!$B$5:$B$300,"L-*"))</f>
        <v/>
      </c>
      <c r="G24" s="183">
        <f>IF(F24="","",(SUMPRODUCT((Лэндинг!$E$5:$E$300=$B24)*Лэндинг!$I$5:$I$300*Лэндинг!$J$5:$J$300)+SUMPRODUCT((Закрытые!$E$5:$E$300=$B24)*(LEFT(Закрытые!$B$5:$B$300,2)="L-")*Закрытые!$I$5:$I$300*Закрытые!$J$5:$J$300))/F24)</f>
        <v/>
      </c>
      <c r="H24" s="247">
        <f>IF(F24="","",SUMIFS(Лэндинг!$K$5:$K$300,Лэндинг!$E$5:$E$300,$B24)+SUMIFS(Закрытые!$K$5:$K$300,Закрытые!$E$5:$E$300,$B24,Закрытые!$B$5:$B$300,"L-*"))</f>
        <v/>
      </c>
      <c r="I24" s="246">
        <f>IF($B24="","",IF(COUNTIFS(Лэндинг!$E$5:$E$300,$B24)+COUNTIFS(Закрытые!$E$5:$E$300,$B24,Закрытые!$B$5:$B$300,"L-*")=0,"",ROUND(SUMIFS(Лэндинг!$L$5:$L$300,Лэндинг!$E$5:$E$300,$B24)+SUMIFS(Закрытые!$L$5:$L$300,Закрытые!$E$5:$E$300,$B24,Закрытые!$B$5:$B$300,"L-*"),8)))</f>
        <v/>
      </c>
      <c r="J24" s="247">
        <f>IF($B24="","",IF(COUNTIFS(Лэндинг!$E$5:$E$300,$B24)+COUNTIFS(Закрытые!$E$5:$E$300,$B24,Закрытые!$B$5:$B$300,"L-*")=0,"",ROUND(SUMIFS(Лэндинг!$M$5:$M$300,Лэндинг!$E$5:$E$300,$B24)+SUMIFS(Закрытые!$M$5:$M$300,Закрытые!$E$5:$E$300,$B24,Закрытые!$B$5:$B$300,"L-*"),8)))</f>
        <v/>
      </c>
      <c r="K24" s="246">
        <f>IF($B24="","",ROUND(SUMIFS(Закрытые!$N$5:$N$300,Закрытые!$E$5:$E$300,$B24,Закрытые!$B$5:$B$300,"L-*"),8))</f>
        <v/>
      </c>
      <c r="L24" s="183">
        <f>IF(K24="","",IF(SUMPRODUCT((Закрытые!$E$5:$E$300=$B24)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/SUMPRODUCT((Закрытые!$E$5:$E$300=$B24)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" s="183">
        <f>IF(OR(ROUND(N(C24)-N(F24),8)=0,1-N(Ввод!$E$17)/100&lt;=0),"",IF(N(C24)&gt;N(F24),(N(E24)-N(H24))/((N(C24)-N(F24))*(1-N(Ввод!$E$17)/100)),(N(H24)-N(E24))/((N(F24)-N(C24))*(1+N(Ввод!$E$17)/100))))</f>
        <v/>
      </c>
    </row>
    <row r="25" ht="22" customHeight="1">
      <c r="B25" s="315" t="n"/>
      <c r="C25" s="240">
        <f>IF(SUMIFS(Лэндинг!$F$5:$F$300,Лэндинг!$E$5:$E$300,$B25)+SUMIFS(Закрытые!$F$5:$F$300,Закрытые!$E$5:$E$300,$B25,Закрытые!$B$5:$B$300,"L-*")=0,"",SUMIFS(Лэндинг!$F$5:$F$300,Лэндинг!$E$5:$E$300,$B25)+SUMIFS(Закрытые!$F$5:$F$300,Закрытые!$E$5:$E$300,$B25,Закрытые!$B$5:$B$300,"L-*"))</f>
        <v/>
      </c>
      <c r="D25" s="177">
        <f>IF(C25="","",(SUMPRODUCT((Лэндинг!$E$5:$E$300=$B25)*Лэндинг!$F$5:$F$300*Лэндинг!$G$5:$G$300)+SUMPRODUCT((Закрытые!$E$5:$E$300=$B25)*(LEFT(Закрытые!$B$5:$B$300,2)="L-")*Закрытые!$F$5:$F$300*Закрытые!$G$5:$G$300))/C25)</f>
        <v/>
      </c>
      <c r="E25" s="241">
        <f>IF(C25="","",SUMIFS(Лэндинг!$H$5:$H$300,Лэндинг!$E$5:$E$300,$B25)+SUMIFS(Закрытые!$H$5:$H$300,Закрытые!$E$5:$E$300,$B25,Закрытые!$B$5:$B$300,"L-*"))</f>
        <v/>
      </c>
      <c r="F25" s="240">
        <f>IF(SUMIFS(Лэндинг!$I$5:$I$300,Лэндинг!$E$5:$E$300,$B25)+SUMIFS(Закрытые!$I$5:$I$300,Закрытые!$E$5:$E$300,$B25,Закрытые!$B$5:$B$300,"L-*")=0,"",SUMIFS(Лэндинг!$I$5:$I$300,Лэндинг!$E$5:$E$300,$B25)+SUMIFS(Закрытые!$I$5:$I$300,Закрытые!$E$5:$E$300,$B25,Закрытые!$B$5:$B$300,"L-*"))</f>
        <v/>
      </c>
      <c r="G25" s="177">
        <f>IF(F25="","",(SUMPRODUCT((Лэндинг!$E$5:$E$300=$B25)*Лэндинг!$I$5:$I$300*Лэндинг!$J$5:$J$300)+SUMPRODUCT((Закрытые!$E$5:$E$300=$B25)*(LEFT(Закрытые!$B$5:$B$300,2)="L-")*Закрытые!$I$5:$I$300*Закрытые!$J$5:$J$300))/F25)</f>
        <v/>
      </c>
      <c r="H25" s="241">
        <f>IF(F25="","",SUMIFS(Лэндинг!$K$5:$K$300,Лэндинг!$E$5:$E$300,$B25)+SUMIFS(Закрытые!$K$5:$K$300,Закрытые!$E$5:$E$300,$B25,Закрытые!$B$5:$B$300,"L-*"))</f>
        <v/>
      </c>
      <c r="I25" s="240">
        <f>IF($B25="","",IF(COUNTIFS(Лэндинг!$E$5:$E$300,$B25)+COUNTIFS(Закрытые!$E$5:$E$300,$B25,Закрытые!$B$5:$B$300,"L-*")=0,"",ROUND(SUMIFS(Лэндинг!$L$5:$L$300,Лэндинг!$E$5:$E$300,$B25)+SUMIFS(Закрытые!$L$5:$L$300,Закрытые!$E$5:$E$300,$B25,Закрытые!$B$5:$B$300,"L-*"),8)))</f>
        <v/>
      </c>
      <c r="J25" s="241">
        <f>IF($B25="","",IF(COUNTIFS(Лэндинг!$E$5:$E$300,$B25)+COUNTIFS(Закрытые!$E$5:$E$300,$B25,Закрытые!$B$5:$B$300,"L-*")=0,"",ROUND(SUMIFS(Лэндинг!$M$5:$M$300,Лэндинг!$E$5:$E$300,$B25)+SUMIFS(Закрытые!$M$5:$M$300,Закрытые!$E$5:$E$300,$B25,Закрытые!$B$5:$B$300,"L-*"),8)))</f>
        <v/>
      </c>
      <c r="K25" s="240">
        <f>IF($B25="","",ROUND(SUMIFS(Закрытые!$N$5:$N$300,Закрытые!$E$5:$E$300,$B25,Закрытые!$B$5:$B$300,"L-*"),8))</f>
        <v/>
      </c>
      <c r="L25" s="177">
        <f>IF(K25="","",IF(SUMPRODUCT((Закрытые!$E$5:$E$300=$B25)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/SUMPRODUCT((Закрытые!$E$5:$E$300=$B25)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" s="177">
        <f>IF(OR(ROUND(N(C25)-N(F25),8)=0,1-N(Ввод!$E$17)/100&lt;=0),"",IF(N(C25)&gt;N(F25),(N(E25)-N(H25))/((N(C25)-N(F25))*(1-N(Ввод!$E$17)/100)),(N(H25)-N(E25))/((N(F25)-N(C25))*(1+N(Ввод!$E$17)/100))))</f>
        <v/>
      </c>
    </row>
    <row r="26" ht="22" customHeight="1">
      <c r="B26" s="320" t="n"/>
      <c r="C26" s="246">
        <f>IF(SUMIFS(Лэндинг!$F$5:$F$300,Лэндинг!$E$5:$E$300,$B26)+SUMIFS(Закрытые!$F$5:$F$300,Закрытые!$E$5:$E$300,$B26,Закрытые!$B$5:$B$300,"L-*")=0,"",SUMIFS(Лэндинг!$F$5:$F$300,Лэндинг!$E$5:$E$300,$B26)+SUMIFS(Закрытые!$F$5:$F$300,Закрытые!$E$5:$E$300,$B26,Закрытые!$B$5:$B$300,"L-*"))</f>
        <v/>
      </c>
      <c r="D26" s="183">
        <f>IF(C26="","",(SUMPRODUCT((Лэндинг!$E$5:$E$300=$B26)*Лэндинг!$F$5:$F$300*Лэндинг!$G$5:$G$300)+SUMPRODUCT((Закрытые!$E$5:$E$300=$B26)*(LEFT(Закрытые!$B$5:$B$300,2)="L-")*Закрытые!$F$5:$F$300*Закрытые!$G$5:$G$300))/C26)</f>
        <v/>
      </c>
      <c r="E26" s="247">
        <f>IF(C26="","",SUMIFS(Лэндинг!$H$5:$H$300,Лэндинг!$E$5:$E$300,$B26)+SUMIFS(Закрытые!$H$5:$H$300,Закрытые!$E$5:$E$300,$B26,Закрытые!$B$5:$B$300,"L-*"))</f>
        <v/>
      </c>
      <c r="F26" s="246">
        <f>IF(SUMIFS(Лэндинг!$I$5:$I$300,Лэндинг!$E$5:$E$300,$B26)+SUMIFS(Закрытые!$I$5:$I$300,Закрытые!$E$5:$E$300,$B26,Закрытые!$B$5:$B$300,"L-*")=0,"",SUMIFS(Лэндинг!$I$5:$I$300,Лэндинг!$E$5:$E$300,$B26)+SUMIFS(Закрытые!$I$5:$I$300,Закрытые!$E$5:$E$300,$B26,Закрытые!$B$5:$B$300,"L-*"))</f>
        <v/>
      </c>
      <c r="G26" s="183">
        <f>IF(F26="","",(SUMPRODUCT((Лэндинг!$E$5:$E$300=$B26)*Лэндинг!$I$5:$I$300*Лэндинг!$J$5:$J$300)+SUMPRODUCT((Закрытые!$E$5:$E$300=$B26)*(LEFT(Закрытые!$B$5:$B$300,2)="L-")*Закрытые!$I$5:$I$300*Закрытые!$J$5:$J$300))/F26)</f>
        <v/>
      </c>
      <c r="H26" s="247">
        <f>IF(F26="","",SUMIFS(Лэндинг!$K$5:$K$300,Лэндинг!$E$5:$E$300,$B26)+SUMIFS(Закрытые!$K$5:$K$300,Закрытые!$E$5:$E$300,$B26,Закрытые!$B$5:$B$300,"L-*"))</f>
        <v/>
      </c>
      <c r="I26" s="246">
        <f>IF($B26="","",IF(COUNTIFS(Лэндинг!$E$5:$E$300,$B26)+COUNTIFS(Закрытые!$E$5:$E$300,$B26,Закрытые!$B$5:$B$300,"L-*")=0,"",ROUND(SUMIFS(Лэндинг!$L$5:$L$300,Лэндинг!$E$5:$E$300,$B26)+SUMIFS(Закрытые!$L$5:$L$300,Закрытые!$E$5:$E$300,$B26,Закрытые!$B$5:$B$300,"L-*"),8)))</f>
        <v/>
      </c>
      <c r="J26" s="247">
        <f>IF($B26="","",IF(COUNTIFS(Лэндинг!$E$5:$E$300,$B26)+COUNTIFS(Закрытые!$E$5:$E$300,$B26,Закрытые!$B$5:$B$300,"L-*")=0,"",ROUND(SUMIFS(Лэндинг!$M$5:$M$300,Лэндинг!$E$5:$E$300,$B26)+SUMIFS(Закрытые!$M$5:$M$300,Закрытые!$E$5:$E$300,$B26,Закрытые!$B$5:$B$300,"L-*"),8)))</f>
        <v/>
      </c>
      <c r="K26" s="246">
        <f>IF($B26="","",ROUND(SUMIFS(Закрытые!$N$5:$N$300,Закрытые!$E$5:$E$300,$B26,Закрытые!$B$5:$B$300,"L-*"),8))</f>
        <v/>
      </c>
      <c r="L26" s="183">
        <f>IF(K26="","",IF(SUMPRODUCT((Закрытые!$E$5:$E$300=$B26)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/SUMPRODUCT((Закрытые!$E$5:$E$300=$B26)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" s="183">
        <f>IF(OR(ROUND(N(C26)-N(F26),8)=0,1-N(Ввод!$E$17)/100&lt;=0),"",IF(N(C26)&gt;N(F26),(N(E26)-N(H26))/((N(C26)-N(F26))*(1-N(Ввод!$E$17)/100)),(N(H26)-N(E26))/((N(F26)-N(C26))*(1+N(Ввод!$E$17)/100))))</f>
        <v/>
      </c>
    </row>
    <row r="27" ht="22" customHeight="1">
      <c r="B27" s="315" t="n"/>
      <c r="C27" s="240">
        <f>IF(SUMIFS(Лэндинг!$F$5:$F$300,Лэндинг!$E$5:$E$300,$B27)+SUMIFS(Закрытые!$F$5:$F$300,Закрытые!$E$5:$E$300,$B27,Закрытые!$B$5:$B$300,"L-*")=0,"",SUMIFS(Лэндинг!$F$5:$F$300,Лэндинг!$E$5:$E$300,$B27)+SUMIFS(Закрытые!$F$5:$F$300,Закрытые!$E$5:$E$300,$B27,Закрытые!$B$5:$B$300,"L-*"))</f>
        <v/>
      </c>
      <c r="D27" s="177">
        <f>IF(C27="","",(SUMPRODUCT((Лэндинг!$E$5:$E$300=$B27)*Лэндинг!$F$5:$F$300*Лэндинг!$G$5:$G$300)+SUMPRODUCT((Закрытые!$E$5:$E$300=$B27)*(LEFT(Закрытые!$B$5:$B$300,2)="L-")*Закрытые!$F$5:$F$300*Закрытые!$G$5:$G$300))/C27)</f>
        <v/>
      </c>
      <c r="E27" s="241">
        <f>IF(C27="","",SUMIFS(Лэндинг!$H$5:$H$300,Лэндинг!$E$5:$E$300,$B27)+SUMIFS(Закрытые!$H$5:$H$300,Закрытые!$E$5:$E$300,$B27,Закрытые!$B$5:$B$300,"L-*"))</f>
        <v/>
      </c>
      <c r="F27" s="240">
        <f>IF(SUMIFS(Лэндинг!$I$5:$I$300,Лэндинг!$E$5:$E$300,$B27)+SUMIFS(Закрытые!$I$5:$I$300,Закрытые!$E$5:$E$300,$B27,Закрытые!$B$5:$B$300,"L-*")=0,"",SUMIFS(Лэндинг!$I$5:$I$300,Лэндинг!$E$5:$E$300,$B27)+SUMIFS(Закрытые!$I$5:$I$300,Закрытые!$E$5:$E$300,$B27,Закрытые!$B$5:$B$300,"L-*"))</f>
        <v/>
      </c>
      <c r="G27" s="177">
        <f>IF(F27="","",(SUMPRODUCT((Лэндинг!$E$5:$E$300=$B27)*Лэндинг!$I$5:$I$300*Лэндинг!$J$5:$J$300)+SUMPRODUCT((Закрытые!$E$5:$E$300=$B27)*(LEFT(Закрытые!$B$5:$B$300,2)="L-")*Закрытые!$I$5:$I$300*Закрытые!$J$5:$J$300))/F27)</f>
        <v/>
      </c>
      <c r="H27" s="241">
        <f>IF(F27="","",SUMIFS(Лэндинг!$K$5:$K$300,Лэндинг!$E$5:$E$300,$B27)+SUMIFS(Закрытые!$K$5:$K$300,Закрытые!$E$5:$E$300,$B27,Закрытые!$B$5:$B$300,"L-*"))</f>
        <v/>
      </c>
      <c r="I27" s="240">
        <f>IF($B27="","",IF(COUNTIFS(Лэндинг!$E$5:$E$300,$B27)+COUNTIFS(Закрытые!$E$5:$E$300,$B27,Закрытые!$B$5:$B$300,"L-*")=0,"",ROUND(SUMIFS(Лэндинг!$L$5:$L$300,Лэндинг!$E$5:$E$300,$B27)+SUMIFS(Закрытые!$L$5:$L$300,Закрытые!$E$5:$E$300,$B27,Закрытые!$B$5:$B$300,"L-*"),8)))</f>
        <v/>
      </c>
      <c r="J27" s="241">
        <f>IF($B27="","",IF(COUNTIFS(Лэндинг!$E$5:$E$300,$B27)+COUNTIFS(Закрытые!$E$5:$E$300,$B27,Закрытые!$B$5:$B$300,"L-*")=0,"",ROUND(SUMIFS(Лэндинг!$M$5:$M$300,Лэндинг!$E$5:$E$300,$B27)+SUMIFS(Закрытые!$M$5:$M$300,Закрытые!$E$5:$E$300,$B27,Закрытые!$B$5:$B$300,"L-*"),8)))</f>
        <v/>
      </c>
      <c r="K27" s="240">
        <f>IF($B27="","",ROUND(SUMIFS(Закрытые!$N$5:$N$300,Закрытые!$E$5:$E$300,$B27,Закрытые!$B$5:$B$300,"L-*"),8))</f>
        <v/>
      </c>
      <c r="L27" s="177">
        <f>IF(K27="","",IF(SUMPRODUCT((Закрытые!$E$5:$E$300=$B27)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/SUMPRODUCT((Закрытые!$E$5:$E$300=$B27)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" s="177">
        <f>IF(OR(ROUND(N(C27)-N(F27),8)=0,1-N(Ввод!$E$17)/100&lt;=0),"",IF(N(C27)&gt;N(F27),(N(E27)-N(H27))/((N(C27)-N(F27))*(1-N(Ввод!$E$17)/100)),(N(H27)-N(E27))/((N(F27)-N(C27))*(1+N(Ввод!$E$17)/100))))</f>
        <v/>
      </c>
    </row>
    <row r="28" ht="22" customHeight="1">
      <c r="B28" s="320" t="n"/>
      <c r="C28" s="246">
        <f>IF(SUMIFS(Лэндинг!$F$5:$F$300,Лэндинг!$E$5:$E$300,$B28)+SUMIFS(Закрытые!$F$5:$F$300,Закрытые!$E$5:$E$300,$B28,Закрытые!$B$5:$B$300,"L-*")=0,"",SUMIFS(Лэндинг!$F$5:$F$300,Лэндинг!$E$5:$E$300,$B28)+SUMIFS(Закрытые!$F$5:$F$300,Закрытые!$E$5:$E$300,$B28,Закрытые!$B$5:$B$300,"L-*"))</f>
        <v/>
      </c>
      <c r="D28" s="183">
        <f>IF(C28="","",(SUMPRODUCT((Лэндинг!$E$5:$E$300=$B28)*Лэндинг!$F$5:$F$300*Лэндинг!$G$5:$G$300)+SUMPRODUCT((Закрытые!$E$5:$E$300=$B28)*(LEFT(Закрытые!$B$5:$B$300,2)="L-")*Закрытые!$F$5:$F$300*Закрытые!$G$5:$G$300))/C28)</f>
        <v/>
      </c>
      <c r="E28" s="247">
        <f>IF(C28="","",SUMIFS(Лэндинг!$H$5:$H$300,Лэндинг!$E$5:$E$300,$B28)+SUMIFS(Закрытые!$H$5:$H$300,Закрытые!$E$5:$E$300,$B28,Закрытые!$B$5:$B$300,"L-*"))</f>
        <v/>
      </c>
      <c r="F28" s="246">
        <f>IF(SUMIFS(Лэндинг!$I$5:$I$300,Лэндинг!$E$5:$E$300,$B28)+SUMIFS(Закрытые!$I$5:$I$300,Закрытые!$E$5:$E$300,$B28,Закрытые!$B$5:$B$300,"L-*")=0,"",SUMIFS(Лэндинг!$I$5:$I$300,Лэндинг!$E$5:$E$300,$B28)+SUMIFS(Закрытые!$I$5:$I$300,Закрытые!$E$5:$E$300,$B28,Закрытые!$B$5:$B$300,"L-*"))</f>
        <v/>
      </c>
      <c r="G28" s="183">
        <f>IF(F28="","",(SUMPRODUCT((Лэндинг!$E$5:$E$300=$B28)*Лэндинг!$I$5:$I$300*Лэндинг!$J$5:$J$300)+SUMPRODUCT((Закрытые!$E$5:$E$300=$B28)*(LEFT(Закрытые!$B$5:$B$300,2)="L-")*Закрытые!$I$5:$I$300*Закрытые!$J$5:$J$300))/F28)</f>
        <v/>
      </c>
      <c r="H28" s="247">
        <f>IF(F28="","",SUMIFS(Лэндинг!$K$5:$K$300,Лэндинг!$E$5:$E$300,$B28)+SUMIFS(Закрытые!$K$5:$K$300,Закрытые!$E$5:$E$300,$B28,Закрытые!$B$5:$B$300,"L-*"))</f>
        <v/>
      </c>
      <c r="I28" s="246">
        <f>IF($B28="","",IF(COUNTIFS(Лэндинг!$E$5:$E$300,$B28)+COUNTIFS(Закрытые!$E$5:$E$300,$B28,Закрытые!$B$5:$B$300,"L-*")=0,"",ROUND(SUMIFS(Лэндинг!$L$5:$L$300,Лэндинг!$E$5:$E$300,$B28)+SUMIFS(Закрытые!$L$5:$L$300,Закрытые!$E$5:$E$300,$B28,Закрытые!$B$5:$B$300,"L-*"),8)))</f>
        <v/>
      </c>
      <c r="J28" s="247">
        <f>IF($B28="","",IF(COUNTIFS(Лэндинг!$E$5:$E$300,$B28)+COUNTIFS(Закрытые!$E$5:$E$300,$B28,Закрытые!$B$5:$B$300,"L-*")=0,"",ROUND(SUMIFS(Лэндинг!$M$5:$M$300,Лэндинг!$E$5:$E$300,$B28)+SUMIFS(Закрытые!$M$5:$M$300,Закрытые!$E$5:$E$300,$B28,Закрытые!$B$5:$B$300,"L-*"),8)))</f>
        <v/>
      </c>
      <c r="K28" s="246">
        <f>IF($B28="","",ROUND(SUMIFS(Закрытые!$N$5:$N$300,Закрытые!$E$5:$E$300,$B28,Закрытые!$B$5:$B$300,"L-*"),8))</f>
        <v/>
      </c>
      <c r="L28" s="183">
        <f>IF(K28="","",IF(SUMPRODUCT((Закрытые!$E$5:$E$300=$B28)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/SUMPRODUCT((Закрытые!$E$5:$E$300=$B28)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" s="183">
        <f>IF(OR(ROUND(N(C28)-N(F28),8)=0,1-N(Ввод!$E$17)/100&lt;=0),"",IF(N(C28)&gt;N(F28),(N(E28)-N(H28))/((N(C28)-N(F28))*(1-N(Ввод!$E$17)/100)),(N(H28)-N(E28))/((N(F28)-N(C28))*(1+N(Ввод!$E$17)/100))))</f>
        <v/>
      </c>
    </row>
    <row r="29" ht="22" customHeight="1">
      <c r="B29" s="315" t="n"/>
      <c r="C29" s="240">
        <f>IF(SUMIFS(Лэндинг!$F$5:$F$300,Лэндинг!$E$5:$E$300,$B29)+SUMIFS(Закрытые!$F$5:$F$300,Закрытые!$E$5:$E$300,$B29,Закрытые!$B$5:$B$300,"L-*")=0,"",SUMIFS(Лэндинг!$F$5:$F$300,Лэндинг!$E$5:$E$300,$B29)+SUMIFS(Закрытые!$F$5:$F$300,Закрытые!$E$5:$E$300,$B29,Закрытые!$B$5:$B$300,"L-*"))</f>
        <v/>
      </c>
      <c r="D29" s="177">
        <f>IF(C29="","",(SUMPRODUCT((Лэндинг!$E$5:$E$300=$B29)*Лэндинг!$F$5:$F$300*Лэндинг!$G$5:$G$300)+SUMPRODUCT((Закрытые!$E$5:$E$300=$B29)*(LEFT(Закрытые!$B$5:$B$300,2)="L-")*Закрытые!$F$5:$F$300*Закрытые!$G$5:$G$300))/C29)</f>
        <v/>
      </c>
      <c r="E29" s="241">
        <f>IF(C29="","",SUMIFS(Лэндинг!$H$5:$H$300,Лэндинг!$E$5:$E$300,$B29)+SUMIFS(Закрытые!$H$5:$H$300,Закрытые!$E$5:$E$300,$B29,Закрытые!$B$5:$B$300,"L-*"))</f>
        <v/>
      </c>
      <c r="F29" s="240">
        <f>IF(SUMIFS(Лэндинг!$I$5:$I$300,Лэндинг!$E$5:$E$300,$B29)+SUMIFS(Закрытые!$I$5:$I$300,Закрытые!$E$5:$E$300,$B29,Закрытые!$B$5:$B$300,"L-*")=0,"",SUMIFS(Лэндинг!$I$5:$I$300,Лэндинг!$E$5:$E$300,$B29)+SUMIFS(Закрытые!$I$5:$I$300,Закрытые!$E$5:$E$300,$B29,Закрытые!$B$5:$B$300,"L-*"))</f>
        <v/>
      </c>
      <c r="G29" s="177">
        <f>IF(F29="","",(SUMPRODUCT((Лэндинг!$E$5:$E$300=$B29)*Лэндинг!$I$5:$I$300*Лэндинг!$J$5:$J$300)+SUMPRODUCT((Закрытые!$E$5:$E$300=$B29)*(LEFT(Закрытые!$B$5:$B$300,2)="L-")*Закрытые!$I$5:$I$300*Закрытые!$J$5:$J$300))/F29)</f>
        <v/>
      </c>
      <c r="H29" s="241">
        <f>IF(F29="","",SUMIFS(Лэндинг!$K$5:$K$300,Лэндинг!$E$5:$E$300,$B29)+SUMIFS(Закрытые!$K$5:$K$300,Закрытые!$E$5:$E$300,$B29,Закрытые!$B$5:$B$300,"L-*"))</f>
        <v/>
      </c>
      <c r="I29" s="240">
        <f>IF($B29="","",IF(COUNTIFS(Лэндинг!$E$5:$E$300,$B29)+COUNTIFS(Закрытые!$E$5:$E$300,$B29,Закрытые!$B$5:$B$300,"L-*")=0,"",ROUND(SUMIFS(Лэндинг!$L$5:$L$300,Лэндинг!$E$5:$E$300,$B29)+SUMIFS(Закрытые!$L$5:$L$300,Закрытые!$E$5:$E$300,$B29,Закрытые!$B$5:$B$300,"L-*"),8)))</f>
        <v/>
      </c>
      <c r="J29" s="241">
        <f>IF($B29="","",IF(COUNTIFS(Лэндинг!$E$5:$E$300,$B29)+COUNTIFS(Закрытые!$E$5:$E$300,$B29,Закрытые!$B$5:$B$300,"L-*")=0,"",ROUND(SUMIFS(Лэндинг!$M$5:$M$300,Лэндинг!$E$5:$E$300,$B29)+SUMIFS(Закрытые!$M$5:$M$300,Закрытые!$E$5:$E$300,$B29,Закрытые!$B$5:$B$300,"L-*"),8)))</f>
        <v/>
      </c>
      <c r="K29" s="240">
        <f>IF($B29="","",ROUND(SUMIFS(Закрытые!$N$5:$N$300,Закрытые!$E$5:$E$300,$B29,Закрытые!$B$5:$B$300,"L-*"),8))</f>
        <v/>
      </c>
      <c r="L29" s="177">
        <f>IF(K29="","",IF(SUMPRODUCT((Закрытые!$E$5:$E$300=$B29)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/SUMPRODUCT((Закрытые!$E$5:$E$300=$B29)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" s="177">
        <f>IF(OR(ROUND(N(C29)-N(F29),8)=0,1-N(Ввод!$E$17)/100&lt;=0),"",IF(N(C29)&gt;N(F29),(N(E29)-N(H29))/((N(C29)-N(F29))*(1-N(Ввод!$E$17)/100)),(N(H29)-N(E29))/((N(F29)-N(C29))*(1+N(Ввод!$E$17)/100))))</f>
        <v/>
      </c>
    </row>
    <row r="30" ht="22" customHeight="1">
      <c r="B30" s="320" t="n"/>
      <c r="C30" s="246">
        <f>IF(SUMIFS(Лэндинг!$F$5:$F$300,Лэндинг!$E$5:$E$300,$B30)+SUMIFS(Закрытые!$F$5:$F$300,Закрытые!$E$5:$E$300,$B30,Закрытые!$B$5:$B$300,"L-*")=0,"",SUMIFS(Лэндинг!$F$5:$F$300,Лэндинг!$E$5:$E$300,$B30)+SUMIFS(Закрытые!$F$5:$F$300,Закрытые!$E$5:$E$300,$B30,Закрытые!$B$5:$B$300,"L-*"))</f>
        <v/>
      </c>
      <c r="D30" s="183">
        <f>IF(C30="","",(SUMPRODUCT((Лэндинг!$E$5:$E$300=$B30)*Лэндинг!$F$5:$F$300*Лэндинг!$G$5:$G$300)+SUMPRODUCT((Закрытые!$E$5:$E$300=$B30)*(LEFT(Закрытые!$B$5:$B$300,2)="L-")*Закрытые!$F$5:$F$300*Закрытые!$G$5:$G$300))/C30)</f>
        <v/>
      </c>
      <c r="E30" s="247">
        <f>IF(C30="","",SUMIFS(Лэндинг!$H$5:$H$300,Лэндинг!$E$5:$E$300,$B30)+SUMIFS(Закрытые!$H$5:$H$300,Закрытые!$E$5:$E$300,$B30,Закрытые!$B$5:$B$300,"L-*"))</f>
        <v/>
      </c>
      <c r="F30" s="246">
        <f>IF(SUMIFS(Лэндинг!$I$5:$I$300,Лэндинг!$E$5:$E$300,$B30)+SUMIFS(Закрытые!$I$5:$I$300,Закрытые!$E$5:$E$300,$B30,Закрытые!$B$5:$B$300,"L-*")=0,"",SUMIFS(Лэндинг!$I$5:$I$300,Лэндинг!$E$5:$E$300,$B30)+SUMIFS(Закрытые!$I$5:$I$300,Закрытые!$E$5:$E$300,$B30,Закрытые!$B$5:$B$300,"L-*"))</f>
        <v/>
      </c>
      <c r="G30" s="183">
        <f>IF(F30="","",(SUMPRODUCT((Лэндинг!$E$5:$E$300=$B30)*Лэндинг!$I$5:$I$300*Лэндинг!$J$5:$J$300)+SUMPRODUCT((Закрытые!$E$5:$E$300=$B30)*(LEFT(Закрытые!$B$5:$B$300,2)="L-")*Закрытые!$I$5:$I$300*Закрытые!$J$5:$J$300))/F30)</f>
        <v/>
      </c>
      <c r="H30" s="247">
        <f>IF(F30="","",SUMIFS(Лэндинг!$K$5:$K$300,Лэндинг!$E$5:$E$300,$B30)+SUMIFS(Закрытые!$K$5:$K$300,Закрытые!$E$5:$E$300,$B30,Закрытые!$B$5:$B$300,"L-*"))</f>
        <v/>
      </c>
      <c r="I30" s="246">
        <f>IF($B30="","",IF(COUNTIFS(Лэндинг!$E$5:$E$300,$B30)+COUNTIFS(Закрытые!$E$5:$E$300,$B30,Закрытые!$B$5:$B$300,"L-*")=0,"",ROUND(SUMIFS(Лэндинг!$L$5:$L$300,Лэндинг!$E$5:$E$300,$B30)+SUMIFS(Закрытые!$L$5:$L$300,Закрытые!$E$5:$E$300,$B30,Закрытые!$B$5:$B$300,"L-*"),8)))</f>
        <v/>
      </c>
      <c r="J30" s="247">
        <f>IF($B30="","",IF(COUNTIFS(Лэндинг!$E$5:$E$300,$B30)+COUNTIFS(Закрытые!$E$5:$E$300,$B30,Закрытые!$B$5:$B$300,"L-*")=0,"",ROUND(SUMIFS(Лэндинг!$M$5:$M$300,Лэндинг!$E$5:$E$300,$B30)+SUMIFS(Закрытые!$M$5:$M$300,Закрытые!$E$5:$E$300,$B30,Закрытые!$B$5:$B$300,"L-*"),8)))</f>
        <v/>
      </c>
      <c r="K30" s="246">
        <f>IF($B30="","",ROUND(SUMIFS(Закрытые!$N$5:$N$300,Закрытые!$E$5:$E$300,$B30,Закрытые!$B$5:$B$300,"L-*"),8))</f>
        <v/>
      </c>
      <c r="L30" s="183">
        <f>IF(K30="","",IF(SUMPRODUCT((Закрытые!$E$5:$E$300=$B30)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30/SUMPRODUCT((Закрытые!$E$5:$E$300=$B30)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0" s="183">
        <f>IF(OR(ROUND(N(C30)-N(F30),8)=0,1-N(Ввод!$E$17)/100&lt;=0),"",IF(N(C30)&gt;N(F30),(N(E30)-N(H30))/((N(C30)-N(F30))*(1-N(Ввод!$E$17)/100)),(N(H30)-N(E30))/((N(F30)-N(C30))*(1+N(Ввод!$E$17)/100))))</f>
        <v/>
      </c>
    </row>
    <row r="31" ht="22" customHeight="1">
      <c r="B31" s="315" t="n"/>
      <c r="C31" s="240">
        <f>IF(SUMIFS(Лэндинг!$F$5:$F$300,Лэндинг!$E$5:$E$300,$B31)+SUMIFS(Закрытые!$F$5:$F$300,Закрытые!$E$5:$E$300,$B31,Закрытые!$B$5:$B$300,"L-*")=0,"",SUMIFS(Лэндинг!$F$5:$F$300,Лэндинг!$E$5:$E$300,$B31)+SUMIFS(Закрытые!$F$5:$F$300,Закрытые!$E$5:$E$300,$B31,Закрытые!$B$5:$B$300,"L-*"))</f>
        <v/>
      </c>
      <c r="D31" s="177">
        <f>IF(C31="","",(SUMPRODUCT((Лэндинг!$E$5:$E$300=$B31)*Лэндинг!$F$5:$F$300*Лэндинг!$G$5:$G$300)+SUMPRODUCT((Закрытые!$E$5:$E$300=$B31)*(LEFT(Закрытые!$B$5:$B$300,2)="L-")*Закрытые!$F$5:$F$300*Закрытые!$G$5:$G$300))/C31)</f>
        <v/>
      </c>
      <c r="E31" s="241">
        <f>IF(C31="","",SUMIFS(Лэндинг!$H$5:$H$300,Лэндинг!$E$5:$E$300,$B31)+SUMIFS(Закрытые!$H$5:$H$300,Закрытые!$E$5:$E$300,$B31,Закрытые!$B$5:$B$300,"L-*"))</f>
        <v/>
      </c>
      <c r="F31" s="240">
        <f>IF(SUMIFS(Лэндинг!$I$5:$I$300,Лэндинг!$E$5:$E$300,$B31)+SUMIFS(Закрытые!$I$5:$I$300,Закрытые!$E$5:$E$300,$B31,Закрытые!$B$5:$B$300,"L-*")=0,"",SUMIFS(Лэндинг!$I$5:$I$300,Лэндинг!$E$5:$E$300,$B31)+SUMIFS(Закрытые!$I$5:$I$300,Закрытые!$E$5:$E$300,$B31,Закрытые!$B$5:$B$300,"L-*"))</f>
        <v/>
      </c>
      <c r="G31" s="177">
        <f>IF(F31="","",(SUMPRODUCT((Лэндинг!$E$5:$E$300=$B31)*Лэндинг!$I$5:$I$300*Лэндинг!$J$5:$J$300)+SUMPRODUCT((Закрытые!$E$5:$E$300=$B31)*(LEFT(Закрытые!$B$5:$B$300,2)="L-")*Закрытые!$I$5:$I$300*Закрытые!$J$5:$J$300))/F31)</f>
        <v/>
      </c>
      <c r="H31" s="241">
        <f>IF(F31="","",SUMIFS(Лэндинг!$K$5:$K$300,Лэндинг!$E$5:$E$300,$B31)+SUMIFS(Закрытые!$K$5:$K$300,Закрытые!$E$5:$E$300,$B31,Закрытые!$B$5:$B$300,"L-*"))</f>
        <v/>
      </c>
      <c r="I31" s="240">
        <f>IF($B31="","",IF(COUNTIFS(Лэндинг!$E$5:$E$300,$B31)+COUNTIFS(Закрытые!$E$5:$E$300,$B31,Закрытые!$B$5:$B$300,"L-*")=0,"",ROUND(SUMIFS(Лэндинг!$L$5:$L$300,Лэндинг!$E$5:$E$300,$B31)+SUMIFS(Закрытые!$L$5:$L$300,Закрытые!$E$5:$E$300,$B31,Закрытые!$B$5:$B$300,"L-*"),8)))</f>
        <v/>
      </c>
      <c r="J31" s="241">
        <f>IF($B31="","",IF(COUNTIFS(Лэндинг!$E$5:$E$300,$B31)+COUNTIFS(Закрытые!$E$5:$E$300,$B31,Закрытые!$B$5:$B$300,"L-*")=0,"",ROUND(SUMIFS(Лэндинг!$M$5:$M$300,Лэндинг!$E$5:$E$300,$B31)+SUMIFS(Закрытые!$M$5:$M$300,Закрытые!$E$5:$E$300,$B31,Закрытые!$B$5:$B$300,"L-*"),8)))</f>
        <v/>
      </c>
      <c r="K31" s="240">
        <f>IF($B31="","",ROUND(SUMIFS(Закрытые!$N$5:$N$300,Закрытые!$E$5:$E$300,$B31,Закрытые!$B$5:$B$300,"L-*"),8))</f>
        <v/>
      </c>
      <c r="L31" s="177">
        <f>IF(K31="","",IF(SUMPRODUCT((Закрытые!$E$5:$E$300=$B31)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31/SUMPRODUCT((Закрытые!$E$5:$E$300=$B31)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1" s="177">
        <f>IF(OR(ROUND(N(C31)-N(F31),8)=0,1-N(Ввод!$E$17)/100&lt;=0),"",IF(N(C31)&gt;N(F31),(N(E31)-N(H31))/((N(C31)-N(F31))*(1-N(Ввод!$E$17)/100)),(N(H31)-N(E31))/((N(F31)-N(C31))*(1+N(Ввод!$E$17)/100))))</f>
        <v/>
      </c>
    </row>
    <row r="32" ht="22" customHeight="1">
      <c r="B32" s="320" t="n"/>
      <c r="C32" s="246">
        <f>IF(SUMIFS(Лэндинг!$F$5:$F$300,Лэндинг!$E$5:$E$300,$B32)+SUMIFS(Закрытые!$F$5:$F$300,Закрытые!$E$5:$E$300,$B32,Закрытые!$B$5:$B$300,"L-*")=0,"",SUMIFS(Лэндинг!$F$5:$F$300,Лэндинг!$E$5:$E$300,$B32)+SUMIFS(Закрытые!$F$5:$F$300,Закрытые!$E$5:$E$300,$B32,Закрытые!$B$5:$B$300,"L-*"))</f>
        <v/>
      </c>
      <c r="D32" s="183">
        <f>IF(C32="","",(SUMPRODUCT((Лэндинг!$E$5:$E$300=$B32)*Лэндинг!$F$5:$F$300*Лэндинг!$G$5:$G$300)+SUMPRODUCT((Закрытые!$E$5:$E$300=$B32)*(LEFT(Закрытые!$B$5:$B$300,2)="L-")*Закрытые!$F$5:$F$300*Закрытые!$G$5:$G$300))/C32)</f>
        <v/>
      </c>
      <c r="E32" s="247">
        <f>IF(C32="","",SUMIFS(Лэндинг!$H$5:$H$300,Лэндинг!$E$5:$E$300,$B32)+SUMIFS(Закрытые!$H$5:$H$300,Закрытые!$E$5:$E$300,$B32,Закрытые!$B$5:$B$300,"L-*"))</f>
        <v/>
      </c>
      <c r="F32" s="246">
        <f>IF(SUMIFS(Лэндинг!$I$5:$I$300,Лэндинг!$E$5:$E$300,$B32)+SUMIFS(Закрытые!$I$5:$I$300,Закрытые!$E$5:$E$300,$B32,Закрытые!$B$5:$B$300,"L-*")=0,"",SUMIFS(Лэндинг!$I$5:$I$300,Лэндинг!$E$5:$E$300,$B32)+SUMIFS(Закрытые!$I$5:$I$300,Закрытые!$E$5:$E$300,$B32,Закрытые!$B$5:$B$300,"L-*"))</f>
        <v/>
      </c>
      <c r="G32" s="183">
        <f>IF(F32="","",(SUMPRODUCT((Лэндинг!$E$5:$E$300=$B32)*Лэндинг!$I$5:$I$300*Лэндинг!$J$5:$J$300)+SUMPRODUCT((Закрытые!$E$5:$E$300=$B32)*(LEFT(Закрытые!$B$5:$B$300,2)="L-")*Закрытые!$I$5:$I$300*Закрытые!$J$5:$J$300))/F32)</f>
        <v/>
      </c>
      <c r="H32" s="247">
        <f>IF(F32="","",SUMIFS(Лэндинг!$K$5:$K$300,Лэндинг!$E$5:$E$300,$B32)+SUMIFS(Закрытые!$K$5:$K$300,Закрытые!$E$5:$E$300,$B32,Закрытые!$B$5:$B$300,"L-*"))</f>
        <v/>
      </c>
      <c r="I32" s="246">
        <f>IF($B32="","",IF(COUNTIFS(Лэндинг!$E$5:$E$300,$B32)+COUNTIFS(Закрытые!$E$5:$E$300,$B32,Закрытые!$B$5:$B$300,"L-*")=0,"",ROUND(SUMIFS(Лэндинг!$L$5:$L$300,Лэндинг!$E$5:$E$300,$B32)+SUMIFS(Закрытые!$L$5:$L$300,Закрытые!$E$5:$E$300,$B32,Закрытые!$B$5:$B$300,"L-*"),8)))</f>
        <v/>
      </c>
      <c r="J32" s="247">
        <f>IF($B32="","",IF(COUNTIFS(Лэндинг!$E$5:$E$300,$B32)+COUNTIFS(Закрытые!$E$5:$E$300,$B32,Закрытые!$B$5:$B$300,"L-*")=0,"",ROUND(SUMIFS(Лэндинг!$M$5:$M$300,Лэндинг!$E$5:$E$300,$B32)+SUMIFS(Закрытые!$M$5:$M$300,Закрытые!$E$5:$E$300,$B32,Закрытые!$B$5:$B$300,"L-*"),8)))</f>
        <v/>
      </c>
      <c r="K32" s="246">
        <f>IF($B32="","",ROUND(SUMIFS(Закрытые!$N$5:$N$300,Закрытые!$E$5:$E$300,$B32,Закрытые!$B$5:$B$300,"L-*"),8))</f>
        <v/>
      </c>
      <c r="L32" s="183">
        <f>IF(K32="","",IF(SUMPRODUCT((Закрытые!$E$5:$E$300=$B32)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32/SUMPRODUCT((Закрытые!$E$5:$E$300=$B32)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2" s="183">
        <f>IF(OR(ROUND(N(C32)-N(F32),8)=0,1-N(Ввод!$E$17)/100&lt;=0),"",IF(N(C32)&gt;N(F32),(N(E32)-N(H32))/((N(C32)-N(F32))*(1-N(Ввод!$E$17)/100)),(N(H32)-N(E32))/((N(F32)-N(C32))*(1+N(Ввод!$E$17)/100))))</f>
        <v/>
      </c>
    </row>
    <row r="33" ht="22" customHeight="1">
      <c r="B33" s="315" t="n"/>
      <c r="C33" s="240">
        <f>IF(SUMIFS(Лэндинг!$F$5:$F$300,Лэндинг!$E$5:$E$300,$B33)+SUMIFS(Закрытые!$F$5:$F$300,Закрытые!$E$5:$E$300,$B33,Закрытые!$B$5:$B$300,"L-*")=0,"",SUMIFS(Лэндинг!$F$5:$F$300,Лэндинг!$E$5:$E$300,$B33)+SUMIFS(Закрытые!$F$5:$F$300,Закрытые!$E$5:$E$300,$B33,Закрытые!$B$5:$B$300,"L-*"))</f>
        <v/>
      </c>
      <c r="D33" s="177">
        <f>IF(C33="","",(SUMPRODUCT((Лэндинг!$E$5:$E$300=$B33)*Лэндинг!$F$5:$F$300*Лэндинг!$G$5:$G$300)+SUMPRODUCT((Закрытые!$E$5:$E$300=$B33)*(LEFT(Закрытые!$B$5:$B$300,2)="L-")*Закрытые!$F$5:$F$300*Закрытые!$G$5:$G$300))/C33)</f>
        <v/>
      </c>
      <c r="E33" s="241">
        <f>IF(C33="","",SUMIFS(Лэндинг!$H$5:$H$300,Лэндинг!$E$5:$E$300,$B33)+SUMIFS(Закрытые!$H$5:$H$300,Закрытые!$E$5:$E$300,$B33,Закрытые!$B$5:$B$300,"L-*"))</f>
        <v/>
      </c>
      <c r="F33" s="240">
        <f>IF(SUMIFS(Лэндинг!$I$5:$I$300,Лэндинг!$E$5:$E$300,$B33)+SUMIFS(Закрытые!$I$5:$I$300,Закрытые!$E$5:$E$300,$B33,Закрытые!$B$5:$B$300,"L-*")=0,"",SUMIFS(Лэндинг!$I$5:$I$300,Лэндинг!$E$5:$E$300,$B33)+SUMIFS(Закрытые!$I$5:$I$300,Закрытые!$E$5:$E$300,$B33,Закрытые!$B$5:$B$300,"L-*"))</f>
        <v/>
      </c>
      <c r="G33" s="177">
        <f>IF(F33="","",(SUMPRODUCT((Лэндинг!$E$5:$E$300=$B33)*Лэндинг!$I$5:$I$300*Лэндинг!$J$5:$J$300)+SUMPRODUCT((Закрытые!$E$5:$E$300=$B33)*(LEFT(Закрытые!$B$5:$B$300,2)="L-")*Закрытые!$I$5:$I$300*Закрытые!$J$5:$J$300))/F33)</f>
        <v/>
      </c>
      <c r="H33" s="241">
        <f>IF(F33="","",SUMIFS(Лэндинг!$K$5:$K$300,Лэндинг!$E$5:$E$300,$B33)+SUMIFS(Закрытые!$K$5:$K$300,Закрытые!$E$5:$E$300,$B33,Закрытые!$B$5:$B$300,"L-*"))</f>
        <v/>
      </c>
      <c r="I33" s="240">
        <f>IF($B33="","",IF(COUNTIFS(Лэндинг!$E$5:$E$300,$B33)+COUNTIFS(Закрытые!$E$5:$E$300,$B33,Закрытые!$B$5:$B$300,"L-*")=0,"",ROUND(SUMIFS(Лэндинг!$L$5:$L$300,Лэндинг!$E$5:$E$300,$B33)+SUMIFS(Закрытые!$L$5:$L$300,Закрытые!$E$5:$E$300,$B33,Закрытые!$B$5:$B$300,"L-*"),8)))</f>
        <v/>
      </c>
      <c r="J33" s="241">
        <f>IF($B33="","",IF(COUNTIFS(Лэндинг!$E$5:$E$300,$B33)+COUNTIFS(Закрытые!$E$5:$E$300,$B33,Закрытые!$B$5:$B$300,"L-*")=0,"",ROUND(SUMIFS(Лэндинг!$M$5:$M$300,Лэндинг!$E$5:$E$300,$B33)+SUMIFS(Закрытые!$M$5:$M$300,Закрытые!$E$5:$E$300,$B33,Закрытые!$B$5:$B$300,"L-*"),8)))</f>
        <v/>
      </c>
      <c r="K33" s="240">
        <f>IF($B33="","",ROUND(SUMIFS(Закрытые!$N$5:$N$300,Закрытые!$E$5:$E$300,$B33,Закрытые!$B$5:$B$300,"L-*"),8))</f>
        <v/>
      </c>
      <c r="L33" s="177">
        <f>IF(K33="","",IF(SUMPRODUCT((Закрытые!$E$5:$E$300=$B33)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33/SUMPRODUCT((Закрытые!$E$5:$E$300=$B33)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3" s="177">
        <f>IF(OR(ROUND(N(C33)-N(F33),8)=0,1-N(Ввод!$E$17)/100&lt;=0),"",IF(N(C33)&gt;N(F33),(N(E33)-N(H33))/((N(C33)-N(F33))*(1-N(Ввод!$E$17)/100)),(N(H33)-N(E33))/((N(F33)-N(C33))*(1+N(Ввод!$E$17)/100))))</f>
        <v/>
      </c>
    </row>
    <row r="34" ht="22" customHeight="1">
      <c r="B34" s="320" t="n"/>
      <c r="C34" s="246">
        <f>IF(SUMIFS(Лэндинг!$F$5:$F$300,Лэндинг!$E$5:$E$300,$B34)+SUMIFS(Закрытые!$F$5:$F$300,Закрытые!$E$5:$E$300,$B34,Закрытые!$B$5:$B$300,"L-*")=0,"",SUMIFS(Лэндинг!$F$5:$F$300,Лэндинг!$E$5:$E$300,$B34)+SUMIFS(Закрытые!$F$5:$F$300,Закрытые!$E$5:$E$300,$B34,Закрытые!$B$5:$B$300,"L-*"))</f>
        <v/>
      </c>
      <c r="D34" s="183">
        <f>IF(C34="","",(SUMPRODUCT((Лэндинг!$E$5:$E$300=$B34)*Лэндинг!$F$5:$F$300*Лэндинг!$G$5:$G$300)+SUMPRODUCT((Закрытые!$E$5:$E$300=$B34)*(LEFT(Закрытые!$B$5:$B$300,2)="L-")*Закрытые!$F$5:$F$300*Закрытые!$G$5:$G$300))/C34)</f>
        <v/>
      </c>
      <c r="E34" s="247">
        <f>IF(C34="","",SUMIFS(Лэндинг!$H$5:$H$300,Лэндинг!$E$5:$E$300,$B34)+SUMIFS(Закрытые!$H$5:$H$300,Закрытые!$E$5:$E$300,$B34,Закрытые!$B$5:$B$300,"L-*"))</f>
        <v/>
      </c>
      <c r="F34" s="246">
        <f>IF(SUMIFS(Лэндинг!$I$5:$I$300,Лэндинг!$E$5:$E$300,$B34)+SUMIFS(Закрытые!$I$5:$I$300,Закрытые!$E$5:$E$300,$B34,Закрытые!$B$5:$B$300,"L-*")=0,"",SUMIFS(Лэндинг!$I$5:$I$300,Лэндинг!$E$5:$E$300,$B34)+SUMIFS(Закрытые!$I$5:$I$300,Закрытые!$E$5:$E$300,$B34,Закрытые!$B$5:$B$300,"L-*"))</f>
        <v/>
      </c>
      <c r="G34" s="183">
        <f>IF(F34="","",(SUMPRODUCT((Лэндинг!$E$5:$E$300=$B34)*Лэндинг!$I$5:$I$300*Лэндинг!$J$5:$J$300)+SUMPRODUCT((Закрытые!$E$5:$E$300=$B34)*(LEFT(Закрытые!$B$5:$B$300,2)="L-")*Закрытые!$I$5:$I$300*Закрытые!$J$5:$J$300))/F34)</f>
        <v/>
      </c>
      <c r="H34" s="247">
        <f>IF(F34="","",SUMIFS(Лэндинг!$K$5:$K$300,Лэндинг!$E$5:$E$300,$B34)+SUMIFS(Закрытые!$K$5:$K$300,Закрытые!$E$5:$E$300,$B34,Закрытые!$B$5:$B$300,"L-*"))</f>
        <v/>
      </c>
      <c r="I34" s="246">
        <f>IF($B34="","",IF(COUNTIFS(Лэндинг!$E$5:$E$300,$B34)+COUNTIFS(Закрытые!$E$5:$E$300,$B34,Закрытые!$B$5:$B$300,"L-*")=0,"",ROUND(SUMIFS(Лэндинг!$L$5:$L$300,Лэндинг!$E$5:$E$300,$B34)+SUMIFS(Закрытые!$L$5:$L$300,Закрытые!$E$5:$E$300,$B34,Закрытые!$B$5:$B$300,"L-*"),8)))</f>
        <v/>
      </c>
      <c r="J34" s="247">
        <f>IF($B34="","",IF(COUNTIFS(Лэндинг!$E$5:$E$300,$B34)+COUNTIFS(Закрытые!$E$5:$E$300,$B34,Закрытые!$B$5:$B$300,"L-*")=0,"",ROUND(SUMIFS(Лэндинг!$M$5:$M$300,Лэндинг!$E$5:$E$300,$B34)+SUMIFS(Закрытые!$M$5:$M$300,Закрытые!$E$5:$E$300,$B34,Закрытые!$B$5:$B$300,"L-*"),8)))</f>
        <v/>
      </c>
      <c r="K34" s="246">
        <f>IF($B34="","",ROUND(SUMIFS(Закрытые!$N$5:$N$300,Закрытые!$E$5:$E$300,$B34,Закрытые!$B$5:$B$300,"L-*"),8))</f>
        <v/>
      </c>
      <c r="L34" s="183">
        <f>IF(K34="","",IF(SUMPRODUCT((Закрытые!$E$5:$E$300=$B34)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34/SUMPRODUCT((Закрытые!$E$5:$E$300=$B34)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4" s="183">
        <f>IF(OR(ROUND(N(C34)-N(F34),8)=0,1-N(Ввод!$E$17)/100&lt;=0),"",IF(N(C34)&gt;N(F34),(N(E34)-N(H34))/((N(C34)-N(F34))*(1-N(Ввод!$E$17)/100)),(N(H34)-N(E34))/((N(F34)-N(C34))*(1+N(Ввод!$E$17)/100))))</f>
        <v/>
      </c>
    </row>
    <row r="35" ht="22" customHeight="1">
      <c r="B35" s="315" t="n"/>
      <c r="C35" s="240">
        <f>IF(SUMIFS(Лэндинг!$F$5:$F$300,Лэндинг!$E$5:$E$300,$B35)+SUMIFS(Закрытые!$F$5:$F$300,Закрытые!$E$5:$E$300,$B35,Закрытые!$B$5:$B$300,"L-*")=0,"",SUMIFS(Лэндинг!$F$5:$F$300,Лэндинг!$E$5:$E$300,$B35)+SUMIFS(Закрытые!$F$5:$F$300,Закрытые!$E$5:$E$300,$B35,Закрытые!$B$5:$B$300,"L-*"))</f>
        <v/>
      </c>
      <c r="D35" s="177">
        <f>IF(C35="","",(SUMPRODUCT((Лэндинг!$E$5:$E$300=$B35)*Лэндинг!$F$5:$F$300*Лэндинг!$G$5:$G$300)+SUMPRODUCT((Закрытые!$E$5:$E$300=$B35)*(LEFT(Закрытые!$B$5:$B$300,2)="L-")*Закрытые!$F$5:$F$300*Закрытые!$G$5:$G$300))/C35)</f>
        <v/>
      </c>
      <c r="E35" s="241">
        <f>IF(C35="","",SUMIFS(Лэндинг!$H$5:$H$300,Лэндинг!$E$5:$E$300,$B35)+SUMIFS(Закрытые!$H$5:$H$300,Закрытые!$E$5:$E$300,$B35,Закрытые!$B$5:$B$300,"L-*"))</f>
        <v/>
      </c>
      <c r="F35" s="240">
        <f>IF(SUMIFS(Лэндинг!$I$5:$I$300,Лэндинг!$E$5:$E$300,$B35)+SUMIFS(Закрытые!$I$5:$I$300,Закрытые!$E$5:$E$300,$B35,Закрытые!$B$5:$B$300,"L-*")=0,"",SUMIFS(Лэндинг!$I$5:$I$300,Лэндинг!$E$5:$E$300,$B35)+SUMIFS(Закрытые!$I$5:$I$300,Закрытые!$E$5:$E$300,$B35,Закрытые!$B$5:$B$300,"L-*"))</f>
        <v/>
      </c>
      <c r="G35" s="177">
        <f>IF(F35="","",(SUMPRODUCT((Лэндинг!$E$5:$E$300=$B35)*Лэндинг!$I$5:$I$300*Лэндинг!$J$5:$J$300)+SUMPRODUCT((Закрытые!$E$5:$E$300=$B35)*(LEFT(Закрытые!$B$5:$B$300,2)="L-")*Закрытые!$I$5:$I$300*Закрытые!$J$5:$J$300))/F35)</f>
        <v/>
      </c>
      <c r="H35" s="241">
        <f>IF(F35="","",SUMIFS(Лэндинг!$K$5:$K$300,Лэндинг!$E$5:$E$300,$B35)+SUMIFS(Закрытые!$K$5:$K$300,Закрытые!$E$5:$E$300,$B35,Закрытые!$B$5:$B$300,"L-*"))</f>
        <v/>
      </c>
      <c r="I35" s="240">
        <f>IF($B35="","",IF(COUNTIFS(Лэндинг!$E$5:$E$300,$B35)+COUNTIFS(Закрытые!$E$5:$E$300,$B35,Закрытые!$B$5:$B$300,"L-*")=0,"",ROUND(SUMIFS(Лэндинг!$L$5:$L$300,Лэндинг!$E$5:$E$300,$B35)+SUMIFS(Закрытые!$L$5:$L$300,Закрытые!$E$5:$E$300,$B35,Закрытые!$B$5:$B$300,"L-*"),8)))</f>
        <v/>
      </c>
      <c r="J35" s="241">
        <f>IF($B35="","",IF(COUNTIFS(Лэндинг!$E$5:$E$300,$B35)+COUNTIFS(Закрытые!$E$5:$E$300,$B35,Закрытые!$B$5:$B$300,"L-*")=0,"",ROUND(SUMIFS(Лэндинг!$M$5:$M$300,Лэндинг!$E$5:$E$300,$B35)+SUMIFS(Закрытые!$M$5:$M$300,Закрытые!$E$5:$E$300,$B35,Закрытые!$B$5:$B$300,"L-*"),8)))</f>
        <v/>
      </c>
      <c r="K35" s="240">
        <f>IF($B35="","",ROUND(SUMIFS(Закрытые!$N$5:$N$300,Закрытые!$E$5:$E$300,$B35,Закрытые!$B$5:$B$300,"L-*"),8))</f>
        <v/>
      </c>
      <c r="L35" s="177">
        <f>IF(K35="","",IF(SUMPRODUCT((Закрытые!$E$5:$E$300=$B35)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35/SUMPRODUCT((Закрытые!$E$5:$E$300=$B35)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5" s="177">
        <f>IF(OR(ROUND(N(C35)-N(F35),8)=0,1-N(Ввод!$E$17)/100&lt;=0),"",IF(N(C35)&gt;N(F35),(N(E35)-N(H35))/((N(C35)-N(F35))*(1-N(Ввод!$E$17)/100)),(N(H35)-N(E35))/((N(F35)-N(C35))*(1+N(Ввод!$E$17)/100))))</f>
        <v/>
      </c>
    </row>
    <row r="36" ht="22" customHeight="1">
      <c r="B36" s="320" t="n"/>
      <c r="C36" s="246">
        <f>IF(SUMIFS(Лэндинг!$F$5:$F$300,Лэндинг!$E$5:$E$300,$B36)+SUMIFS(Закрытые!$F$5:$F$300,Закрытые!$E$5:$E$300,$B36,Закрытые!$B$5:$B$300,"L-*")=0,"",SUMIFS(Лэндинг!$F$5:$F$300,Лэндинг!$E$5:$E$300,$B36)+SUMIFS(Закрытые!$F$5:$F$300,Закрытые!$E$5:$E$300,$B36,Закрытые!$B$5:$B$300,"L-*"))</f>
        <v/>
      </c>
      <c r="D36" s="183">
        <f>IF(C36="","",(SUMPRODUCT((Лэндинг!$E$5:$E$300=$B36)*Лэндинг!$F$5:$F$300*Лэндинг!$G$5:$G$300)+SUMPRODUCT((Закрытые!$E$5:$E$300=$B36)*(LEFT(Закрытые!$B$5:$B$300,2)="L-")*Закрытые!$F$5:$F$300*Закрытые!$G$5:$G$300))/C36)</f>
        <v/>
      </c>
      <c r="E36" s="247">
        <f>IF(C36="","",SUMIFS(Лэндинг!$H$5:$H$300,Лэндинг!$E$5:$E$300,$B36)+SUMIFS(Закрытые!$H$5:$H$300,Закрытые!$E$5:$E$300,$B36,Закрытые!$B$5:$B$300,"L-*"))</f>
        <v/>
      </c>
      <c r="F36" s="246">
        <f>IF(SUMIFS(Лэндинг!$I$5:$I$300,Лэндинг!$E$5:$E$300,$B36)+SUMIFS(Закрытые!$I$5:$I$300,Закрытые!$E$5:$E$300,$B36,Закрытые!$B$5:$B$300,"L-*")=0,"",SUMIFS(Лэндинг!$I$5:$I$300,Лэндинг!$E$5:$E$300,$B36)+SUMIFS(Закрытые!$I$5:$I$300,Закрытые!$E$5:$E$300,$B36,Закрытые!$B$5:$B$300,"L-*"))</f>
        <v/>
      </c>
      <c r="G36" s="183">
        <f>IF(F36="","",(SUMPRODUCT((Лэндинг!$E$5:$E$300=$B36)*Лэндинг!$I$5:$I$300*Лэндинг!$J$5:$J$300)+SUMPRODUCT((Закрытые!$E$5:$E$300=$B36)*(LEFT(Закрытые!$B$5:$B$300,2)="L-")*Закрытые!$I$5:$I$300*Закрытые!$J$5:$J$300))/F36)</f>
        <v/>
      </c>
      <c r="H36" s="247">
        <f>IF(F36="","",SUMIFS(Лэндинг!$K$5:$K$300,Лэндинг!$E$5:$E$300,$B36)+SUMIFS(Закрытые!$K$5:$K$300,Закрытые!$E$5:$E$300,$B36,Закрытые!$B$5:$B$300,"L-*"))</f>
        <v/>
      </c>
      <c r="I36" s="246">
        <f>IF($B36="","",IF(COUNTIFS(Лэндинг!$E$5:$E$300,$B36)+COUNTIFS(Закрытые!$E$5:$E$300,$B36,Закрытые!$B$5:$B$300,"L-*")=0,"",ROUND(SUMIFS(Лэндинг!$L$5:$L$300,Лэндинг!$E$5:$E$300,$B36)+SUMIFS(Закрытые!$L$5:$L$300,Закрытые!$E$5:$E$300,$B36,Закрытые!$B$5:$B$300,"L-*"),8)))</f>
        <v/>
      </c>
      <c r="J36" s="247">
        <f>IF($B36="","",IF(COUNTIFS(Лэндинг!$E$5:$E$300,$B36)+COUNTIFS(Закрытые!$E$5:$E$300,$B36,Закрытые!$B$5:$B$300,"L-*")=0,"",ROUND(SUMIFS(Лэндинг!$M$5:$M$300,Лэндинг!$E$5:$E$300,$B36)+SUMIFS(Закрытые!$M$5:$M$300,Закрытые!$E$5:$E$300,$B36,Закрытые!$B$5:$B$300,"L-*"),8)))</f>
        <v/>
      </c>
      <c r="K36" s="246">
        <f>IF($B36="","",ROUND(SUMIFS(Закрытые!$N$5:$N$300,Закрытые!$E$5:$E$300,$B36,Закрытые!$B$5:$B$300,"L-*"),8))</f>
        <v/>
      </c>
      <c r="L36" s="183">
        <f>IF(K36="","",IF(SUMPRODUCT((Закрытые!$E$5:$E$300=$B36)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36/SUMPRODUCT((Закрытые!$E$5:$E$300=$B36)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6" s="183">
        <f>IF(OR(ROUND(N(C36)-N(F36),8)=0,1-N(Ввод!$E$17)/100&lt;=0),"",IF(N(C36)&gt;N(F36),(N(E36)-N(H36))/((N(C36)-N(F36))*(1-N(Ввод!$E$17)/100)),(N(H36)-N(E36))/((N(F36)-N(C36))*(1+N(Ввод!$E$17)/100))))</f>
        <v/>
      </c>
    </row>
    <row r="37" ht="22" customHeight="1">
      <c r="B37" s="315" t="n"/>
      <c r="C37" s="240">
        <f>IF(SUMIFS(Лэндинг!$F$5:$F$300,Лэндинг!$E$5:$E$300,$B37)+SUMIFS(Закрытые!$F$5:$F$300,Закрытые!$E$5:$E$300,$B37,Закрытые!$B$5:$B$300,"L-*")=0,"",SUMIFS(Лэндинг!$F$5:$F$300,Лэндинг!$E$5:$E$300,$B37)+SUMIFS(Закрытые!$F$5:$F$300,Закрытые!$E$5:$E$300,$B37,Закрытые!$B$5:$B$300,"L-*"))</f>
        <v/>
      </c>
      <c r="D37" s="177">
        <f>IF(C37="","",(SUMPRODUCT((Лэндинг!$E$5:$E$300=$B37)*Лэндинг!$F$5:$F$300*Лэндинг!$G$5:$G$300)+SUMPRODUCT((Закрытые!$E$5:$E$300=$B37)*(LEFT(Закрытые!$B$5:$B$300,2)="L-")*Закрытые!$F$5:$F$300*Закрытые!$G$5:$G$300))/C37)</f>
        <v/>
      </c>
      <c r="E37" s="241">
        <f>IF(C37="","",SUMIFS(Лэндинг!$H$5:$H$300,Лэндинг!$E$5:$E$300,$B37)+SUMIFS(Закрытые!$H$5:$H$300,Закрытые!$E$5:$E$300,$B37,Закрытые!$B$5:$B$300,"L-*"))</f>
        <v/>
      </c>
      <c r="F37" s="240">
        <f>IF(SUMIFS(Лэндинг!$I$5:$I$300,Лэндинг!$E$5:$E$300,$B37)+SUMIFS(Закрытые!$I$5:$I$300,Закрытые!$E$5:$E$300,$B37,Закрытые!$B$5:$B$300,"L-*")=0,"",SUMIFS(Лэндинг!$I$5:$I$300,Лэндинг!$E$5:$E$300,$B37)+SUMIFS(Закрытые!$I$5:$I$300,Закрытые!$E$5:$E$300,$B37,Закрытые!$B$5:$B$300,"L-*"))</f>
        <v/>
      </c>
      <c r="G37" s="177">
        <f>IF(F37="","",(SUMPRODUCT((Лэндинг!$E$5:$E$300=$B37)*Лэндинг!$I$5:$I$300*Лэндинг!$J$5:$J$300)+SUMPRODUCT((Закрытые!$E$5:$E$300=$B37)*(LEFT(Закрытые!$B$5:$B$300,2)="L-")*Закрытые!$I$5:$I$300*Закрытые!$J$5:$J$300))/F37)</f>
        <v/>
      </c>
      <c r="H37" s="241">
        <f>IF(F37="","",SUMIFS(Лэндинг!$K$5:$K$300,Лэндинг!$E$5:$E$300,$B37)+SUMIFS(Закрытые!$K$5:$K$300,Закрытые!$E$5:$E$300,$B37,Закрытые!$B$5:$B$300,"L-*"))</f>
        <v/>
      </c>
      <c r="I37" s="240">
        <f>IF($B37="","",IF(COUNTIFS(Лэндинг!$E$5:$E$300,$B37)+COUNTIFS(Закрытые!$E$5:$E$300,$B37,Закрытые!$B$5:$B$300,"L-*")=0,"",ROUND(SUMIFS(Лэндинг!$L$5:$L$300,Лэндинг!$E$5:$E$300,$B37)+SUMIFS(Закрытые!$L$5:$L$300,Закрытые!$E$5:$E$300,$B37,Закрытые!$B$5:$B$300,"L-*"),8)))</f>
        <v/>
      </c>
      <c r="J37" s="241">
        <f>IF($B37="","",IF(COUNTIFS(Лэндинг!$E$5:$E$300,$B37)+COUNTIFS(Закрытые!$E$5:$E$300,$B37,Закрытые!$B$5:$B$300,"L-*")=0,"",ROUND(SUMIFS(Лэндинг!$M$5:$M$300,Лэндинг!$E$5:$E$300,$B37)+SUMIFS(Закрытые!$M$5:$M$300,Закрытые!$E$5:$E$300,$B37,Закрытые!$B$5:$B$300,"L-*"),8)))</f>
        <v/>
      </c>
      <c r="K37" s="240">
        <f>IF($B37="","",ROUND(SUMIFS(Закрытые!$N$5:$N$300,Закрытые!$E$5:$E$300,$B37,Закрытые!$B$5:$B$300,"L-*"),8))</f>
        <v/>
      </c>
      <c r="L37" s="177">
        <f>IF(K37="","",IF(SUMPRODUCT((Закрытые!$E$5:$E$300=$B37)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37/SUMPRODUCT((Закрытые!$E$5:$E$300=$B37)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7" s="177">
        <f>IF(OR(ROUND(N(C37)-N(F37),8)=0,1-N(Ввод!$E$17)/100&lt;=0),"",IF(N(C37)&gt;N(F37),(N(E37)-N(H37))/((N(C37)-N(F37))*(1-N(Ввод!$E$17)/100)),(N(H37)-N(E37))/((N(F37)-N(C37))*(1+N(Ввод!$E$17)/100))))</f>
        <v/>
      </c>
    </row>
    <row r="38" ht="22" customHeight="1">
      <c r="B38" s="320" t="n"/>
      <c r="C38" s="246">
        <f>IF(SUMIFS(Лэндинг!$F$5:$F$300,Лэндинг!$E$5:$E$300,$B38)+SUMIFS(Закрытые!$F$5:$F$300,Закрытые!$E$5:$E$300,$B38,Закрытые!$B$5:$B$300,"L-*")=0,"",SUMIFS(Лэндинг!$F$5:$F$300,Лэндинг!$E$5:$E$300,$B38)+SUMIFS(Закрытые!$F$5:$F$300,Закрытые!$E$5:$E$300,$B38,Закрытые!$B$5:$B$300,"L-*"))</f>
        <v/>
      </c>
      <c r="D38" s="183">
        <f>IF(C38="","",(SUMPRODUCT((Лэндинг!$E$5:$E$300=$B38)*Лэндинг!$F$5:$F$300*Лэндинг!$G$5:$G$300)+SUMPRODUCT((Закрытые!$E$5:$E$300=$B38)*(LEFT(Закрытые!$B$5:$B$300,2)="L-")*Закрытые!$F$5:$F$300*Закрытые!$G$5:$G$300))/C38)</f>
        <v/>
      </c>
      <c r="E38" s="247">
        <f>IF(C38="","",SUMIFS(Лэндинг!$H$5:$H$300,Лэндинг!$E$5:$E$300,$B38)+SUMIFS(Закрытые!$H$5:$H$300,Закрытые!$E$5:$E$300,$B38,Закрытые!$B$5:$B$300,"L-*"))</f>
        <v/>
      </c>
      <c r="F38" s="246">
        <f>IF(SUMIFS(Лэндинг!$I$5:$I$300,Лэндинг!$E$5:$E$300,$B38)+SUMIFS(Закрытые!$I$5:$I$300,Закрытые!$E$5:$E$300,$B38,Закрытые!$B$5:$B$300,"L-*")=0,"",SUMIFS(Лэндинг!$I$5:$I$300,Лэндинг!$E$5:$E$300,$B38)+SUMIFS(Закрытые!$I$5:$I$300,Закрытые!$E$5:$E$300,$B38,Закрытые!$B$5:$B$300,"L-*"))</f>
        <v/>
      </c>
      <c r="G38" s="183">
        <f>IF(F38="","",(SUMPRODUCT((Лэндинг!$E$5:$E$300=$B38)*Лэндинг!$I$5:$I$300*Лэндинг!$J$5:$J$300)+SUMPRODUCT((Закрытые!$E$5:$E$300=$B38)*(LEFT(Закрытые!$B$5:$B$300,2)="L-")*Закрытые!$I$5:$I$300*Закрытые!$J$5:$J$300))/F38)</f>
        <v/>
      </c>
      <c r="H38" s="247">
        <f>IF(F38="","",SUMIFS(Лэндинг!$K$5:$K$300,Лэндинг!$E$5:$E$300,$B38)+SUMIFS(Закрытые!$K$5:$K$300,Закрытые!$E$5:$E$300,$B38,Закрытые!$B$5:$B$300,"L-*"))</f>
        <v/>
      </c>
      <c r="I38" s="246">
        <f>IF($B38="","",IF(COUNTIFS(Лэндинг!$E$5:$E$300,$B38)+COUNTIFS(Закрытые!$E$5:$E$300,$B38,Закрытые!$B$5:$B$300,"L-*")=0,"",ROUND(SUMIFS(Лэндинг!$L$5:$L$300,Лэндинг!$E$5:$E$300,$B38)+SUMIFS(Закрытые!$L$5:$L$300,Закрытые!$E$5:$E$300,$B38,Закрытые!$B$5:$B$300,"L-*"),8)))</f>
        <v/>
      </c>
      <c r="J38" s="247">
        <f>IF($B38="","",IF(COUNTIFS(Лэндинг!$E$5:$E$300,$B38)+COUNTIFS(Закрытые!$E$5:$E$300,$B38,Закрытые!$B$5:$B$300,"L-*")=0,"",ROUND(SUMIFS(Лэндинг!$M$5:$M$300,Лэндинг!$E$5:$E$300,$B38)+SUMIFS(Закрытые!$M$5:$M$300,Закрытые!$E$5:$E$300,$B38,Закрытые!$B$5:$B$300,"L-*"),8)))</f>
        <v/>
      </c>
      <c r="K38" s="246">
        <f>IF($B38="","",ROUND(SUMIFS(Закрытые!$N$5:$N$300,Закрытые!$E$5:$E$300,$B38,Закрытые!$B$5:$B$300,"L-*"),8))</f>
        <v/>
      </c>
      <c r="L38" s="183">
        <f>IF(K38="","",IF(SUMPRODUCT((Закрытые!$E$5:$E$300=$B38)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38/SUMPRODUCT((Закрытые!$E$5:$E$300=$B38)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8" s="183">
        <f>IF(OR(ROUND(N(C38)-N(F38),8)=0,1-N(Ввод!$E$17)/100&lt;=0),"",IF(N(C38)&gt;N(F38),(N(E38)-N(H38))/((N(C38)-N(F38))*(1-N(Ввод!$E$17)/100)),(N(H38)-N(E38))/((N(F38)-N(C38))*(1+N(Ввод!$E$17)/100))))</f>
        <v/>
      </c>
    </row>
    <row r="39" ht="22" customHeight="1">
      <c r="B39" s="315" t="n"/>
      <c r="C39" s="240">
        <f>IF(SUMIFS(Лэндинг!$F$5:$F$300,Лэндинг!$E$5:$E$300,$B39)+SUMIFS(Закрытые!$F$5:$F$300,Закрытые!$E$5:$E$300,$B39,Закрытые!$B$5:$B$300,"L-*")=0,"",SUMIFS(Лэндинг!$F$5:$F$300,Лэндинг!$E$5:$E$300,$B39)+SUMIFS(Закрытые!$F$5:$F$300,Закрытые!$E$5:$E$300,$B39,Закрытые!$B$5:$B$300,"L-*"))</f>
        <v/>
      </c>
      <c r="D39" s="177">
        <f>IF(C39="","",(SUMPRODUCT((Лэндинг!$E$5:$E$300=$B39)*Лэндинг!$F$5:$F$300*Лэндинг!$G$5:$G$300)+SUMPRODUCT((Закрытые!$E$5:$E$300=$B39)*(LEFT(Закрытые!$B$5:$B$300,2)="L-")*Закрытые!$F$5:$F$300*Закрытые!$G$5:$G$300))/C39)</f>
        <v/>
      </c>
      <c r="E39" s="241">
        <f>IF(C39="","",SUMIFS(Лэндинг!$H$5:$H$300,Лэндинг!$E$5:$E$300,$B39)+SUMIFS(Закрытые!$H$5:$H$300,Закрытые!$E$5:$E$300,$B39,Закрытые!$B$5:$B$300,"L-*"))</f>
        <v/>
      </c>
      <c r="F39" s="240">
        <f>IF(SUMIFS(Лэндинг!$I$5:$I$300,Лэндинг!$E$5:$E$300,$B39)+SUMIFS(Закрытые!$I$5:$I$300,Закрытые!$E$5:$E$300,$B39,Закрытые!$B$5:$B$300,"L-*")=0,"",SUMIFS(Лэндинг!$I$5:$I$300,Лэндинг!$E$5:$E$300,$B39)+SUMIFS(Закрытые!$I$5:$I$300,Закрытые!$E$5:$E$300,$B39,Закрытые!$B$5:$B$300,"L-*"))</f>
        <v/>
      </c>
      <c r="G39" s="177">
        <f>IF(F39="","",(SUMPRODUCT((Лэндинг!$E$5:$E$300=$B39)*Лэндинг!$I$5:$I$300*Лэндинг!$J$5:$J$300)+SUMPRODUCT((Закрытые!$E$5:$E$300=$B39)*(LEFT(Закрытые!$B$5:$B$300,2)="L-")*Закрытые!$I$5:$I$300*Закрытые!$J$5:$J$300))/F39)</f>
        <v/>
      </c>
      <c r="H39" s="241">
        <f>IF(F39="","",SUMIFS(Лэндинг!$K$5:$K$300,Лэндинг!$E$5:$E$300,$B39)+SUMIFS(Закрытые!$K$5:$K$300,Закрытые!$E$5:$E$300,$B39,Закрытые!$B$5:$B$300,"L-*"))</f>
        <v/>
      </c>
      <c r="I39" s="240">
        <f>IF($B39="","",IF(COUNTIFS(Лэндинг!$E$5:$E$300,$B39)+COUNTIFS(Закрытые!$E$5:$E$300,$B39,Закрытые!$B$5:$B$300,"L-*")=0,"",ROUND(SUMIFS(Лэндинг!$L$5:$L$300,Лэндинг!$E$5:$E$300,$B39)+SUMIFS(Закрытые!$L$5:$L$300,Закрытые!$E$5:$E$300,$B39,Закрытые!$B$5:$B$300,"L-*"),8)))</f>
        <v/>
      </c>
      <c r="J39" s="241">
        <f>IF($B39="","",IF(COUNTIFS(Лэндинг!$E$5:$E$300,$B39)+COUNTIFS(Закрытые!$E$5:$E$300,$B39,Закрытые!$B$5:$B$300,"L-*")=0,"",ROUND(SUMIFS(Лэндинг!$M$5:$M$300,Лэндинг!$E$5:$E$300,$B39)+SUMIFS(Закрытые!$M$5:$M$300,Закрытые!$E$5:$E$300,$B39,Закрытые!$B$5:$B$300,"L-*"),8)))</f>
        <v/>
      </c>
      <c r="K39" s="240">
        <f>IF($B39="","",ROUND(SUMIFS(Закрытые!$N$5:$N$300,Закрытые!$E$5:$E$300,$B39,Закрытые!$B$5:$B$300,"L-*"),8))</f>
        <v/>
      </c>
      <c r="L39" s="177">
        <f>IF(K39="","",IF(SUMPRODUCT((Закрытые!$E$5:$E$300=$B39)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39/SUMPRODUCT((Закрытые!$E$5:$E$300=$B39)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9" s="177">
        <f>IF(OR(ROUND(N(C39)-N(F39),8)=0,1-N(Ввод!$E$17)/100&lt;=0),"",IF(N(C39)&gt;N(F39),(N(E39)-N(H39))/((N(C39)-N(F39))*(1-N(Ввод!$E$17)/100)),(N(H39)-N(E39))/((N(F39)-N(C39))*(1+N(Ввод!$E$17)/100))))</f>
        <v/>
      </c>
    </row>
    <row r="40" ht="22" customHeight="1">
      <c r="B40" s="320" t="n"/>
      <c r="C40" s="246">
        <f>IF(SUMIFS(Лэндинг!$F$5:$F$300,Лэндинг!$E$5:$E$300,$B40)+SUMIFS(Закрытые!$F$5:$F$300,Закрытые!$E$5:$E$300,$B40,Закрытые!$B$5:$B$300,"L-*")=0,"",SUMIFS(Лэндинг!$F$5:$F$300,Лэндинг!$E$5:$E$300,$B40)+SUMIFS(Закрытые!$F$5:$F$300,Закрытые!$E$5:$E$300,$B40,Закрытые!$B$5:$B$300,"L-*"))</f>
        <v/>
      </c>
      <c r="D40" s="183">
        <f>IF(C40="","",(SUMPRODUCT((Лэндинг!$E$5:$E$300=$B40)*Лэндинг!$F$5:$F$300*Лэндинг!$G$5:$G$300)+SUMPRODUCT((Закрытые!$E$5:$E$300=$B40)*(LEFT(Закрытые!$B$5:$B$300,2)="L-")*Закрытые!$F$5:$F$300*Закрытые!$G$5:$G$300))/C40)</f>
        <v/>
      </c>
      <c r="E40" s="247">
        <f>IF(C40="","",SUMIFS(Лэндинг!$H$5:$H$300,Лэндинг!$E$5:$E$300,$B40)+SUMIFS(Закрытые!$H$5:$H$300,Закрытые!$E$5:$E$300,$B40,Закрытые!$B$5:$B$300,"L-*"))</f>
        <v/>
      </c>
      <c r="F40" s="246">
        <f>IF(SUMIFS(Лэндинг!$I$5:$I$300,Лэндинг!$E$5:$E$300,$B40)+SUMIFS(Закрытые!$I$5:$I$300,Закрытые!$E$5:$E$300,$B40,Закрытые!$B$5:$B$300,"L-*")=0,"",SUMIFS(Лэндинг!$I$5:$I$300,Лэндинг!$E$5:$E$300,$B40)+SUMIFS(Закрытые!$I$5:$I$300,Закрытые!$E$5:$E$300,$B40,Закрытые!$B$5:$B$300,"L-*"))</f>
        <v/>
      </c>
      <c r="G40" s="183">
        <f>IF(F40="","",(SUMPRODUCT((Лэндинг!$E$5:$E$300=$B40)*Лэндинг!$I$5:$I$300*Лэндинг!$J$5:$J$300)+SUMPRODUCT((Закрытые!$E$5:$E$300=$B40)*(LEFT(Закрытые!$B$5:$B$300,2)="L-")*Закрытые!$I$5:$I$300*Закрытые!$J$5:$J$300))/F40)</f>
        <v/>
      </c>
      <c r="H40" s="247">
        <f>IF(F40="","",SUMIFS(Лэндинг!$K$5:$K$300,Лэндинг!$E$5:$E$300,$B40)+SUMIFS(Закрытые!$K$5:$K$300,Закрытые!$E$5:$E$300,$B40,Закрытые!$B$5:$B$300,"L-*"))</f>
        <v/>
      </c>
      <c r="I40" s="246">
        <f>IF($B40="","",IF(COUNTIFS(Лэндинг!$E$5:$E$300,$B40)+COUNTIFS(Закрытые!$E$5:$E$300,$B40,Закрытые!$B$5:$B$300,"L-*")=0,"",ROUND(SUMIFS(Лэндинг!$L$5:$L$300,Лэндинг!$E$5:$E$300,$B40)+SUMIFS(Закрытые!$L$5:$L$300,Закрытые!$E$5:$E$300,$B40,Закрытые!$B$5:$B$300,"L-*"),8)))</f>
        <v/>
      </c>
      <c r="J40" s="247">
        <f>IF($B40="","",IF(COUNTIFS(Лэндинг!$E$5:$E$300,$B40)+COUNTIFS(Закрытые!$E$5:$E$300,$B40,Закрытые!$B$5:$B$300,"L-*")=0,"",ROUND(SUMIFS(Лэндинг!$M$5:$M$300,Лэндинг!$E$5:$E$300,$B40)+SUMIFS(Закрытые!$M$5:$M$300,Закрытые!$E$5:$E$300,$B40,Закрытые!$B$5:$B$300,"L-*"),8)))</f>
        <v/>
      </c>
      <c r="K40" s="246">
        <f>IF($B40="","",ROUND(SUMIFS(Закрытые!$N$5:$N$300,Закрытые!$E$5:$E$300,$B40,Закрытые!$B$5:$B$300,"L-*"),8))</f>
        <v/>
      </c>
      <c r="L40" s="183">
        <f>IF(K40="","",IF(SUMPRODUCT((Закрытые!$E$5:$E$300=$B40)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40/SUMPRODUCT((Закрытые!$E$5:$E$300=$B40)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0" s="183">
        <f>IF(OR(ROUND(N(C40)-N(F40),8)=0,1-N(Ввод!$E$17)/100&lt;=0),"",IF(N(C40)&gt;N(F40),(N(E40)-N(H40))/((N(C40)-N(F40))*(1-N(Ввод!$E$17)/100)),(N(H40)-N(E40))/((N(F40)-N(C40))*(1+N(Ввод!$E$17)/100))))</f>
        <v/>
      </c>
    </row>
    <row r="41" ht="22" customHeight="1">
      <c r="B41" s="315" t="n"/>
      <c r="C41" s="240">
        <f>IF(SUMIFS(Лэндинг!$F$5:$F$300,Лэндинг!$E$5:$E$300,$B41)+SUMIFS(Закрытые!$F$5:$F$300,Закрытые!$E$5:$E$300,$B41,Закрытые!$B$5:$B$300,"L-*")=0,"",SUMIFS(Лэндинг!$F$5:$F$300,Лэндинг!$E$5:$E$300,$B41)+SUMIFS(Закрытые!$F$5:$F$300,Закрытые!$E$5:$E$300,$B41,Закрытые!$B$5:$B$300,"L-*"))</f>
        <v/>
      </c>
      <c r="D41" s="177">
        <f>IF(C41="","",(SUMPRODUCT((Лэндинг!$E$5:$E$300=$B41)*Лэндинг!$F$5:$F$300*Лэндинг!$G$5:$G$300)+SUMPRODUCT((Закрытые!$E$5:$E$300=$B41)*(LEFT(Закрытые!$B$5:$B$300,2)="L-")*Закрытые!$F$5:$F$300*Закрытые!$G$5:$G$300))/C41)</f>
        <v/>
      </c>
      <c r="E41" s="241">
        <f>IF(C41="","",SUMIFS(Лэндинг!$H$5:$H$300,Лэндинг!$E$5:$E$300,$B41)+SUMIFS(Закрытые!$H$5:$H$300,Закрытые!$E$5:$E$300,$B41,Закрытые!$B$5:$B$300,"L-*"))</f>
        <v/>
      </c>
      <c r="F41" s="240">
        <f>IF(SUMIFS(Лэндинг!$I$5:$I$300,Лэндинг!$E$5:$E$300,$B41)+SUMIFS(Закрытые!$I$5:$I$300,Закрытые!$E$5:$E$300,$B41,Закрытые!$B$5:$B$300,"L-*")=0,"",SUMIFS(Лэндинг!$I$5:$I$300,Лэндинг!$E$5:$E$300,$B41)+SUMIFS(Закрытые!$I$5:$I$300,Закрытые!$E$5:$E$300,$B41,Закрытые!$B$5:$B$300,"L-*"))</f>
        <v/>
      </c>
      <c r="G41" s="177">
        <f>IF(F41="","",(SUMPRODUCT((Лэндинг!$E$5:$E$300=$B41)*Лэндинг!$I$5:$I$300*Лэндинг!$J$5:$J$300)+SUMPRODUCT((Закрытые!$E$5:$E$300=$B41)*(LEFT(Закрытые!$B$5:$B$300,2)="L-")*Закрытые!$I$5:$I$300*Закрытые!$J$5:$J$300))/F41)</f>
        <v/>
      </c>
      <c r="H41" s="241">
        <f>IF(F41="","",SUMIFS(Лэндинг!$K$5:$K$300,Лэндинг!$E$5:$E$300,$B41)+SUMIFS(Закрытые!$K$5:$K$300,Закрытые!$E$5:$E$300,$B41,Закрытые!$B$5:$B$300,"L-*"))</f>
        <v/>
      </c>
      <c r="I41" s="240">
        <f>IF($B41="","",IF(COUNTIFS(Лэндинг!$E$5:$E$300,$B41)+COUNTIFS(Закрытые!$E$5:$E$300,$B41,Закрытые!$B$5:$B$300,"L-*")=0,"",ROUND(SUMIFS(Лэндинг!$L$5:$L$300,Лэндинг!$E$5:$E$300,$B41)+SUMIFS(Закрытые!$L$5:$L$300,Закрытые!$E$5:$E$300,$B41,Закрытые!$B$5:$B$300,"L-*"),8)))</f>
        <v/>
      </c>
      <c r="J41" s="241">
        <f>IF($B41="","",IF(COUNTIFS(Лэндинг!$E$5:$E$300,$B41)+COUNTIFS(Закрытые!$E$5:$E$300,$B41,Закрытые!$B$5:$B$300,"L-*")=0,"",ROUND(SUMIFS(Лэндинг!$M$5:$M$300,Лэндинг!$E$5:$E$300,$B41)+SUMIFS(Закрытые!$M$5:$M$300,Закрытые!$E$5:$E$300,$B41,Закрытые!$B$5:$B$300,"L-*"),8)))</f>
        <v/>
      </c>
      <c r="K41" s="240">
        <f>IF($B41="","",ROUND(SUMIFS(Закрытые!$N$5:$N$300,Закрытые!$E$5:$E$300,$B41,Закрытые!$B$5:$B$300,"L-*"),8))</f>
        <v/>
      </c>
      <c r="L41" s="177">
        <f>IF(K41="","",IF(SUMPRODUCT((Закрытые!$E$5:$E$300=$B41)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41/SUMPRODUCT((Закрытые!$E$5:$E$300=$B41)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1" s="177">
        <f>IF(OR(ROUND(N(C41)-N(F41),8)=0,1-N(Ввод!$E$17)/100&lt;=0),"",IF(N(C41)&gt;N(F41),(N(E41)-N(H41))/((N(C41)-N(F41))*(1-N(Ввод!$E$17)/100)),(N(H41)-N(E41))/((N(F41)-N(C41))*(1+N(Ввод!$E$17)/100))))</f>
        <v/>
      </c>
    </row>
    <row r="42" ht="22" customHeight="1">
      <c r="B42" s="320" t="n"/>
      <c r="C42" s="246">
        <f>IF(SUMIFS(Лэндинг!$F$5:$F$300,Лэндинг!$E$5:$E$300,$B42)+SUMIFS(Закрытые!$F$5:$F$300,Закрытые!$E$5:$E$300,$B42,Закрытые!$B$5:$B$300,"L-*")=0,"",SUMIFS(Лэндинг!$F$5:$F$300,Лэндинг!$E$5:$E$300,$B42)+SUMIFS(Закрытые!$F$5:$F$300,Закрытые!$E$5:$E$300,$B42,Закрытые!$B$5:$B$300,"L-*"))</f>
        <v/>
      </c>
      <c r="D42" s="183">
        <f>IF(C42="","",(SUMPRODUCT((Лэндинг!$E$5:$E$300=$B42)*Лэндинг!$F$5:$F$300*Лэндинг!$G$5:$G$300)+SUMPRODUCT((Закрытые!$E$5:$E$300=$B42)*(LEFT(Закрытые!$B$5:$B$300,2)="L-")*Закрытые!$F$5:$F$300*Закрытые!$G$5:$G$300))/C42)</f>
        <v/>
      </c>
      <c r="E42" s="247">
        <f>IF(C42="","",SUMIFS(Лэндинг!$H$5:$H$300,Лэндинг!$E$5:$E$300,$B42)+SUMIFS(Закрытые!$H$5:$H$300,Закрытые!$E$5:$E$300,$B42,Закрытые!$B$5:$B$300,"L-*"))</f>
        <v/>
      </c>
      <c r="F42" s="246">
        <f>IF(SUMIFS(Лэндинг!$I$5:$I$300,Лэндинг!$E$5:$E$300,$B42)+SUMIFS(Закрытые!$I$5:$I$300,Закрытые!$E$5:$E$300,$B42,Закрытые!$B$5:$B$300,"L-*")=0,"",SUMIFS(Лэндинг!$I$5:$I$300,Лэндинг!$E$5:$E$300,$B42)+SUMIFS(Закрытые!$I$5:$I$300,Закрытые!$E$5:$E$300,$B42,Закрытые!$B$5:$B$300,"L-*"))</f>
        <v/>
      </c>
      <c r="G42" s="183">
        <f>IF(F42="","",(SUMPRODUCT((Лэндинг!$E$5:$E$300=$B42)*Лэндинг!$I$5:$I$300*Лэндинг!$J$5:$J$300)+SUMPRODUCT((Закрытые!$E$5:$E$300=$B42)*(LEFT(Закрытые!$B$5:$B$300,2)="L-")*Закрытые!$I$5:$I$300*Закрытые!$J$5:$J$300))/F42)</f>
        <v/>
      </c>
      <c r="H42" s="247">
        <f>IF(F42="","",SUMIFS(Лэндинг!$K$5:$K$300,Лэндинг!$E$5:$E$300,$B42)+SUMIFS(Закрытые!$K$5:$K$300,Закрытые!$E$5:$E$300,$B42,Закрытые!$B$5:$B$300,"L-*"))</f>
        <v/>
      </c>
      <c r="I42" s="246">
        <f>IF($B42="","",IF(COUNTIFS(Лэндинг!$E$5:$E$300,$B42)+COUNTIFS(Закрытые!$E$5:$E$300,$B42,Закрытые!$B$5:$B$300,"L-*")=0,"",ROUND(SUMIFS(Лэндинг!$L$5:$L$300,Лэндинг!$E$5:$E$300,$B42)+SUMIFS(Закрытые!$L$5:$L$300,Закрытые!$E$5:$E$300,$B42,Закрытые!$B$5:$B$300,"L-*"),8)))</f>
        <v/>
      </c>
      <c r="J42" s="247">
        <f>IF($B42="","",IF(COUNTIFS(Лэндинг!$E$5:$E$300,$B42)+COUNTIFS(Закрытые!$E$5:$E$300,$B42,Закрытые!$B$5:$B$300,"L-*")=0,"",ROUND(SUMIFS(Лэндинг!$M$5:$M$300,Лэндинг!$E$5:$E$300,$B42)+SUMIFS(Закрытые!$M$5:$M$300,Закрытые!$E$5:$E$300,$B42,Закрытые!$B$5:$B$300,"L-*"),8)))</f>
        <v/>
      </c>
      <c r="K42" s="246">
        <f>IF($B42="","",ROUND(SUMIFS(Закрытые!$N$5:$N$300,Закрытые!$E$5:$E$300,$B42,Закрытые!$B$5:$B$300,"L-*"),8))</f>
        <v/>
      </c>
      <c r="L42" s="183">
        <f>IF(K42="","",IF(SUMPRODUCT((Закрытые!$E$5:$E$300=$B42)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42/SUMPRODUCT((Закрытые!$E$5:$E$300=$B42)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2" s="183">
        <f>IF(OR(ROUND(N(C42)-N(F42),8)=0,1-N(Ввод!$E$17)/100&lt;=0),"",IF(N(C42)&gt;N(F42),(N(E42)-N(H42))/((N(C42)-N(F42))*(1-N(Ввод!$E$17)/100)),(N(H42)-N(E42))/((N(F42)-N(C42))*(1+N(Ввод!$E$17)/100))))</f>
        <v/>
      </c>
    </row>
    <row r="43" ht="22" customHeight="1">
      <c r="B43" s="315" t="n"/>
      <c r="C43" s="240">
        <f>IF(SUMIFS(Лэндинг!$F$5:$F$300,Лэндинг!$E$5:$E$300,$B43)+SUMIFS(Закрытые!$F$5:$F$300,Закрытые!$E$5:$E$300,$B43,Закрытые!$B$5:$B$300,"L-*")=0,"",SUMIFS(Лэндинг!$F$5:$F$300,Лэндинг!$E$5:$E$300,$B43)+SUMIFS(Закрытые!$F$5:$F$300,Закрытые!$E$5:$E$300,$B43,Закрытые!$B$5:$B$300,"L-*"))</f>
        <v/>
      </c>
      <c r="D43" s="177">
        <f>IF(C43="","",(SUMPRODUCT((Лэндинг!$E$5:$E$300=$B43)*Лэндинг!$F$5:$F$300*Лэндинг!$G$5:$G$300)+SUMPRODUCT((Закрытые!$E$5:$E$300=$B43)*(LEFT(Закрытые!$B$5:$B$300,2)="L-")*Закрытые!$F$5:$F$300*Закрытые!$G$5:$G$300))/C43)</f>
        <v/>
      </c>
      <c r="E43" s="241">
        <f>IF(C43="","",SUMIFS(Лэндинг!$H$5:$H$300,Лэндинг!$E$5:$E$300,$B43)+SUMIFS(Закрытые!$H$5:$H$300,Закрытые!$E$5:$E$300,$B43,Закрытые!$B$5:$B$300,"L-*"))</f>
        <v/>
      </c>
      <c r="F43" s="240">
        <f>IF(SUMIFS(Лэндинг!$I$5:$I$300,Лэндинг!$E$5:$E$300,$B43)+SUMIFS(Закрытые!$I$5:$I$300,Закрытые!$E$5:$E$300,$B43,Закрытые!$B$5:$B$300,"L-*")=0,"",SUMIFS(Лэндинг!$I$5:$I$300,Лэндинг!$E$5:$E$300,$B43)+SUMIFS(Закрытые!$I$5:$I$300,Закрытые!$E$5:$E$300,$B43,Закрытые!$B$5:$B$300,"L-*"))</f>
        <v/>
      </c>
      <c r="G43" s="177">
        <f>IF(F43="","",(SUMPRODUCT((Лэндинг!$E$5:$E$300=$B43)*Лэндинг!$I$5:$I$300*Лэндинг!$J$5:$J$300)+SUMPRODUCT((Закрытые!$E$5:$E$300=$B43)*(LEFT(Закрытые!$B$5:$B$300,2)="L-")*Закрытые!$I$5:$I$300*Закрытые!$J$5:$J$300))/F43)</f>
        <v/>
      </c>
      <c r="H43" s="241">
        <f>IF(F43="","",SUMIFS(Лэндинг!$K$5:$K$300,Лэндинг!$E$5:$E$300,$B43)+SUMIFS(Закрытые!$K$5:$K$300,Закрытые!$E$5:$E$300,$B43,Закрытые!$B$5:$B$300,"L-*"))</f>
        <v/>
      </c>
      <c r="I43" s="240">
        <f>IF($B43="","",IF(COUNTIFS(Лэндинг!$E$5:$E$300,$B43)+COUNTIFS(Закрытые!$E$5:$E$300,$B43,Закрытые!$B$5:$B$300,"L-*")=0,"",ROUND(SUMIFS(Лэндинг!$L$5:$L$300,Лэндинг!$E$5:$E$300,$B43)+SUMIFS(Закрытые!$L$5:$L$300,Закрытые!$E$5:$E$300,$B43,Закрытые!$B$5:$B$300,"L-*"),8)))</f>
        <v/>
      </c>
      <c r="J43" s="241">
        <f>IF($B43="","",IF(COUNTIFS(Лэндинг!$E$5:$E$300,$B43)+COUNTIFS(Закрытые!$E$5:$E$300,$B43,Закрытые!$B$5:$B$300,"L-*")=0,"",ROUND(SUMIFS(Лэндинг!$M$5:$M$300,Лэндинг!$E$5:$E$300,$B43)+SUMIFS(Закрытые!$M$5:$M$300,Закрытые!$E$5:$E$300,$B43,Закрытые!$B$5:$B$300,"L-*"),8)))</f>
        <v/>
      </c>
      <c r="K43" s="240">
        <f>IF($B43="","",ROUND(SUMIFS(Закрытые!$N$5:$N$300,Закрытые!$E$5:$E$300,$B43,Закрытые!$B$5:$B$300,"L-*"),8))</f>
        <v/>
      </c>
      <c r="L43" s="177">
        <f>IF(K43="","",IF(SUMPRODUCT((Закрытые!$E$5:$E$300=$B43)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43/SUMPRODUCT((Закрытые!$E$5:$E$300=$B43)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3" s="177">
        <f>IF(OR(ROUND(N(C43)-N(F43),8)=0,1-N(Ввод!$E$17)/100&lt;=0),"",IF(N(C43)&gt;N(F43),(N(E43)-N(H43))/((N(C43)-N(F43))*(1-N(Ввод!$E$17)/100)),(N(H43)-N(E43))/((N(F43)-N(C43))*(1+N(Ввод!$E$17)/100))))</f>
        <v/>
      </c>
    </row>
    <row r="44" ht="22" customHeight="1">
      <c r="B44" s="320" t="n"/>
      <c r="C44" s="246">
        <f>IF(SUMIFS(Лэндинг!$F$5:$F$300,Лэндинг!$E$5:$E$300,$B44)+SUMIFS(Закрытые!$F$5:$F$300,Закрытые!$E$5:$E$300,$B44,Закрытые!$B$5:$B$300,"L-*")=0,"",SUMIFS(Лэндинг!$F$5:$F$300,Лэндинг!$E$5:$E$300,$B44)+SUMIFS(Закрытые!$F$5:$F$300,Закрытые!$E$5:$E$300,$B44,Закрытые!$B$5:$B$300,"L-*"))</f>
        <v/>
      </c>
      <c r="D44" s="183">
        <f>IF(C44="","",(SUMPRODUCT((Лэндинг!$E$5:$E$300=$B44)*Лэндинг!$F$5:$F$300*Лэндинг!$G$5:$G$300)+SUMPRODUCT((Закрытые!$E$5:$E$300=$B44)*(LEFT(Закрытые!$B$5:$B$300,2)="L-")*Закрытые!$F$5:$F$300*Закрытые!$G$5:$G$300))/C44)</f>
        <v/>
      </c>
      <c r="E44" s="247">
        <f>IF(C44="","",SUMIFS(Лэндинг!$H$5:$H$300,Лэндинг!$E$5:$E$300,$B44)+SUMIFS(Закрытые!$H$5:$H$300,Закрытые!$E$5:$E$300,$B44,Закрытые!$B$5:$B$300,"L-*"))</f>
        <v/>
      </c>
      <c r="F44" s="246">
        <f>IF(SUMIFS(Лэндинг!$I$5:$I$300,Лэндинг!$E$5:$E$300,$B44)+SUMIFS(Закрытые!$I$5:$I$300,Закрытые!$E$5:$E$300,$B44,Закрытые!$B$5:$B$300,"L-*")=0,"",SUMIFS(Лэндинг!$I$5:$I$300,Лэндинг!$E$5:$E$300,$B44)+SUMIFS(Закрытые!$I$5:$I$300,Закрытые!$E$5:$E$300,$B44,Закрытые!$B$5:$B$300,"L-*"))</f>
        <v/>
      </c>
      <c r="G44" s="183">
        <f>IF(F44="","",(SUMPRODUCT((Лэндинг!$E$5:$E$300=$B44)*Лэндинг!$I$5:$I$300*Лэндинг!$J$5:$J$300)+SUMPRODUCT((Закрытые!$E$5:$E$300=$B44)*(LEFT(Закрытые!$B$5:$B$300,2)="L-")*Закрытые!$I$5:$I$300*Закрытые!$J$5:$J$300))/F44)</f>
        <v/>
      </c>
      <c r="H44" s="247">
        <f>IF(F44="","",SUMIFS(Лэндинг!$K$5:$K$300,Лэндинг!$E$5:$E$300,$B44)+SUMIFS(Закрытые!$K$5:$K$300,Закрытые!$E$5:$E$300,$B44,Закрытые!$B$5:$B$300,"L-*"))</f>
        <v/>
      </c>
      <c r="I44" s="246">
        <f>IF($B44="","",IF(COUNTIFS(Лэндинг!$E$5:$E$300,$B44)+COUNTIFS(Закрытые!$E$5:$E$300,$B44,Закрытые!$B$5:$B$300,"L-*")=0,"",ROUND(SUMIFS(Лэндинг!$L$5:$L$300,Лэндинг!$E$5:$E$300,$B44)+SUMIFS(Закрытые!$L$5:$L$300,Закрытые!$E$5:$E$300,$B44,Закрытые!$B$5:$B$300,"L-*"),8)))</f>
        <v/>
      </c>
      <c r="J44" s="247">
        <f>IF($B44="","",IF(COUNTIFS(Лэндинг!$E$5:$E$300,$B44)+COUNTIFS(Закрытые!$E$5:$E$300,$B44,Закрытые!$B$5:$B$300,"L-*")=0,"",ROUND(SUMIFS(Лэндинг!$M$5:$M$300,Лэндинг!$E$5:$E$300,$B44)+SUMIFS(Закрытые!$M$5:$M$300,Закрытые!$E$5:$E$300,$B44,Закрытые!$B$5:$B$300,"L-*"),8)))</f>
        <v/>
      </c>
      <c r="K44" s="246">
        <f>IF($B44="","",ROUND(SUMIFS(Закрытые!$N$5:$N$300,Закрытые!$E$5:$E$300,$B44,Закрытые!$B$5:$B$300,"L-*"),8))</f>
        <v/>
      </c>
      <c r="L44" s="183">
        <f>IF(K44="","",IF(SUMPRODUCT((Закрытые!$E$5:$E$300=$B44)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44/SUMPRODUCT((Закрытые!$E$5:$E$300=$B44)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4" s="183">
        <f>IF(OR(ROUND(N(C44)-N(F44),8)=0,1-N(Ввод!$E$17)/100&lt;=0),"",IF(N(C44)&gt;N(F44),(N(E44)-N(H44))/((N(C44)-N(F44))*(1-N(Ввод!$E$17)/100)),(N(H44)-N(E44))/((N(F44)-N(C44))*(1+N(Ввод!$E$17)/100))))</f>
        <v/>
      </c>
    </row>
    <row r="45" ht="22" customHeight="1">
      <c r="B45" s="315" t="n"/>
      <c r="C45" s="240">
        <f>IF(SUMIFS(Лэндинг!$F$5:$F$300,Лэндинг!$E$5:$E$300,$B45)+SUMIFS(Закрытые!$F$5:$F$300,Закрытые!$E$5:$E$300,$B45,Закрытые!$B$5:$B$300,"L-*")=0,"",SUMIFS(Лэндинг!$F$5:$F$300,Лэндинг!$E$5:$E$300,$B45)+SUMIFS(Закрытые!$F$5:$F$300,Закрытые!$E$5:$E$300,$B45,Закрытые!$B$5:$B$300,"L-*"))</f>
        <v/>
      </c>
      <c r="D45" s="177">
        <f>IF(C45="","",(SUMPRODUCT((Лэндинг!$E$5:$E$300=$B45)*Лэндинг!$F$5:$F$300*Лэндинг!$G$5:$G$300)+SUMPRODUCT((Закрытые!$E$5:$E$300=$B45)*(LEFT(Закрытые!$B$5:$B$300,2)="L-")*Закрытые!$F$5:$F$300*Закрытые!$G$5:$G$300))/C45)</f>
        <v/>
      </c>
      <c r="E45" s="241">
        <f>IF(C45="","",SUMIFS(Лэндинг!$H$5:$H$300,Лэндинг!$E$5:$E$300,$B45)+SUMIFS(Закрытые!$H$5:$H$300,Закрытые!$E$5:$E$300,$B45,Закрытые!$B$5:$B$300,"L-*"))</f>
        <v/>
      </c>
      <c r="F45" s="240">
        <f>IF(SUMIFS(Лэндинг!$I$5:$I$300,Лэндинг!$E$5:$E$300,$B45)+SUMIFS(Закрытые!$I$5:$I$300,Закрытые!$E$5:$E$300,$B45,Закрытые!$B$5:$B$300,"L-*")=0,"",SUMIFS(Лэндинг!$I$5:$I$300,Лэндинг!$E$5:$E$300,$B45)+SUMIFS(Закрытые!$I$5:$I$300,Закрытые!$E$5:$E$300,$B45,Закрытые!$B$5:$B$300,"L-*"))</f>
        <v/>
      </c>
      <c r="G45" s="177">
        <f>IF(F45="","",(SUMPRODUCT((Лэндинг!$E$5:$E$300=$B45)*Лэндинг!$I$5:$I$300*Лэндинг!$J$5:$J$300)+SUMPRODUCT((Закрытые!$E$5:$E$300=$B45)*(LEFT(Закрытые!$B$5:$B$300,2)="L-")*Закрытые!$I$5:$I$300*Закрытые!$J$5:$J$300))/F45)</f>
        <v/>
      </c>
      <c r="H45" s="241">
        <f>IF(F45="","",SUMIFS(Лэндинг!$K$5:$K$300,Лэндинг!$E$5:$E$300,$B45)+SUMIFS(Закрытые!$K$5:$K$300,Закрытые!$E$5:$E$300,$B45,Закрытые!$B$5:$B$300,"L-*"))</f>
        <v/>
      </c>
      <c r="I45" s="240">
        <f>IF($B45="","",IF(COUNTIFS(Лэндинг!$E$5:$E$300,$B45)+COUNTIFS(Закрытые!$E$5:$E$300,$B45,Закрытые!$B$5:$B$300,"L-*")=0,"",ROUND(SUMIFS(Лэндинг!$L$5:$L$300,Лэндинг!$E$5:$E$300,$B45)+SUMIFS(Закрытые!$L$5:$L$300,Закрытые!$E$5:$E$300,$B45,Закрытые!$B$5:$B$300,"L-*"),8)))</f>
        <v/>
      </c>
      <c r="J45" s="241">
        <f>IF($B45="","",IF(COUNTIFS(Лэндинг!$E$5:$E$300,$B45)+COUNTIFS(Закрытые!$E$5:$E$300,$B45,Закрытые!$B$5:$B$300,"L-*")=0,"",ROUND(SUMIFS(Лэндинг!$M$5:$M$300,Лэндинг!$E$5:$E$300,$B45)+SUMIFS(Закрытые!$M$5:$M$300,Закрытые!$E$5:$E$300,$B45,Закрытые!$B$5:$B$300,"L-*"),8)))</f>
        <v/>
      </c>
      <c r="K45" s="240">
        <f>IF($B45="","",ROUND(SUMIFS(Закрытые!$N$5:$N$300,Закрытые!$E$5:$E$300,$B45,Закрытые!$B$5:$B$300,"L-*"),8))</f>
        <v/>
      </c>
      <c r="L45" s="177">
        <f>IF(K45="","",IF(SUMPRODUCT((Закрытые!$E$5:$E$300=$B45)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45/SUMPRODUCT((Закрытые!$E$5:$E$300=$B45)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5" s="177">
        <f>IF(OR(ROUND(N(C45)-N(F45),8)=0,1-N(Ввод!$E$17)/100&lt;=0),"",IF(N(C45)&gt;N(F45),(N(E45)-N(H45))/((N(C45)-N(F45))*(1-N(Ввод!$E$17)/100)),(N(H45)-N(E45))/((N(F45)-N(C45))*(1+N(Ввод!$E$17)/100))))</f>
        <v/>
      </c>
    </row>
    <row r="46" ht="22" customHeight="1">
      <c r="B46" s="320" t="n"/>
      <c r="C46" s="246">
        <f>IF(SUMIFS(Лэндинг!$F$5:$F$300,Лэндинг!$E$5:$E$300,$B46)+SUMIFS(Закрытые!$F$5:$F$300,Закрытые!$E$5:$E$300,$B46,Закрытые!$B$5:$B$300,"L-*")=0,"",SUMIFS(Лэндинг!$F$5:$F$300,Лэндинг!$E$5:$E$300,$B46)+SUMIFS(Закрытые!$F$5:$F$300,Закрытые!$E$5:$E$300,$B46,Закрытые!$B$5:$B$300,"L-*"))</f>
        <v/>
      </c>
      <c r="D46" s="183">
        <f>IF(C46="","",(SUMPRODUCT((Лэндинг!$E$5:$E$300=$B46)*Лэндинг!$F$5:$F$300*Лэндинг!$G$5:$G$300)+SUMPRODUCT((Закрытые!$E$5:$E$300=$B46)*(LEFT(Закрытые!$B$5:$B$300,2)="L-")*Закрытые!$F$5:$F$300*Закрытые!$G$5:$G$300))/C46)</f>
        <v/>
      </c>
      <c r="E46" s="247">
        <f>IF(C46="","",SUMIFS(Лэндинг!$H$5:$H$300,Лэндинг!$E$5:$E$300,$B46)+SUMIFS(Закрытые!$H$5:$H$300,Закрытые!$E$5:$E$300,$B46,Закрытые!$B$5:$B$300,"L-*"))</f>
        <v/>
      </c>
      <c r="F46" s="246">
        <f>IF(SUMIFS(Лэндинг!$I$5:$I$300,Лэндинг!$E$5:$E$300,$B46)+SUMIFS(Закрытые!$I$5:$I$300,Закрытые!$E$5:$E$300,$B46,Закрытые!$B$5:$B$300,"L-*")=0,"",SUMIFS(Лэндинг!$I$5:$I$300,Лэндинг!$E$5:$E$300,$B46)+SUMIFS(Закрытые!$I$5:$I$300,Закрытые!$E$5:$E$300,$B46,Закрытые!$B$5:$B$300,"L-*"))</f>
        <v/>
      </c>
      <c r="G46" s="183">
        <f>IF(F46="","",(SUMPRODUCT((Лэндинг!$E$5:$E$300=$B46)*Лэндинг!$I$5:$I$300*Лэндинг!$J$5:$J$300)+SUMPRODUCT((Закрытые!$E$5:$E$300=$B46)*(LEFT(Закрытые!$B$5:$B$300,2)="L-")*Закрытые!$I$5:$I$300*Закрытые!$J$5:$J$300))/F46)</f>
        <v/>
      </c>
      <c r="H46" s="247">
        <f>IF(F46="","",SUMIFS(Лэндинг!$K$5:$K$300,Лэндинг!$E$5:$E$300,$B46)+SUMIFS(Закрытые!$K$5:$K$300,Закрытые!$E$5:$E$300,$B46,Закрытые!$B$5:$B$300,"L-*"))</f>
        <v/>
      </c>
      <c r="I46" s="246">
        <f>IF($B46="","",IF(COUNTIFS(Лэндинг!$E$5:$E$300,$B46)+COUNTIFS(Закрытые!$E$5:$E$300,$B46,Закрытые!$B$5:$B$300,"L-*")=0,"",ROUND(SUMIFS(Лэндинг!$L$5:$L$300,Лэндинг!$E$5:$E$300,$B46)+SUMIFS(Закрытые!$L$5:$L$300,Закрытые!$E$5:$E$300,$B46,Закрытые!$B$5:$B$300,"L-*"),8)))</f>
        <v/>
      </c>
      <c r="J46" s="247">
        <f>IF($B46="","",IF(COUNTIFS(Лэндинг!$E$5:$E$300,$B46)+COUNTIFS(Закрытые!$E$5:$E$300,$B46,Закрытые!$B$5:$B$300,"L-*")=0,"",ROUND(SUMIFS(Лэндинг!$M$5:$M$300,Лэндинг!$E$5:$E$300,$B46)+SUMIFS(Закрытые!$M$5:$M$300,Закрытые!$E$5:$E$300,$B46,Закрытые!$B$5:$B$300,"L-*"),8)))</f>
        <v/>
      </c>
      <c r="K46" s="246">
        <f>IF($B46="","",ROUND(SUMIFS(Закрытые!$N$5:$N$300,Закрытые!$E$5:$E$300,$B46,Закрытые!$B$5:$B$300,"L-*"),8))</f>
        <v/>
      </c>
      <c r="L46" s="183">
        <f>IF(K46="","",IF(SUMPRODUCT((Закрытые!$E$5:$E$300=$B46)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46/SUMPRODUCT((Закрытые!$E$5:$E$300=$B46)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6" s="183">
        <f>IF(OR(ROUND(N(C46)-N(F46),8)=0,1-N(Ввод!$E$17)/100&lt;=0),"",IF(N(C46)&gt;N(F46),(N(E46)-N(H46))/((N(C46)-N(F46))*(1-N(Ввод!$E$17)/100)),(N(H46)-N(E46))/((N(F46)-N(C46))*(1+N(Ввод!$E$17)/100))))</f>
        <v/>
      </c>
    </row>
    <row r="47" ht="22" customHeight="1">
      <c r="B47" s="315" t="n"/>
      <c r="C47" s="240">
        <f>IF(SUMIFS(Лэндинг!$F$5:$F$300,Лэндинг!$E$5:$E$300,$B47)+SUMIFS(Закрытые!$F$5:$F$300,Закрытые!$E$5:$E$300,$B47,Закрытые!$B$5:$B$300,"L-*")=0,"",SUMIFS(Лэндинг!$F$5:$F$300,Лэндинг!$E$5:$E$300,$B47)+SUMIFS(Закрытые!$F$5:$F$300,Закрытые!$E$5:$E$300,$B47,Закрытые!$B$5:$B$300,"L-*"))</f>
        <v/>
      </c>
      <c r="D47" s="177">
        <f>IF(C47="","",(SUMPRODUCT((Лэндинг!$E$5:$E$300=$B47)*Лэндинг!$F$5:$F$300*Лэндинг!$G$5:$G$300)+SUMPRODUCT((Закрытые!$E$5:$E$300=$B47)*(LEFT(Закрытые!$B$5:$B$300,2)="L-")*Закрытые!$F$5:$F$300*Закрытые!$G$5:$G$300))/C47)</f>
        <v/>
      </c>
      <c r="E47" s="241">
        <f>IF(C47="","",SUMIFS(Лэндинг!$H$5:$H$300,Лэндинг!$E$5:$E$300,$B47)+SUMIFS(Закрытые!$H$5:$H$300,Закрытые!$E$5:$E$300,$B47,Закрытые!$B$5:$B$300,"L-*"))</f>
        <v/>
      </c>
      <c r="F47" s="240">
        <f>IF(SUMIFS(Лэндинг!$I$5:$I$300,Лэндинг!$E$5:$E$300,$B47)+SUMIFS(Закрытые!$I$5:$I$300,Закрытые!$E$5:$E$300,$B47,Закрытые!$B$5:$B$300,"L-*")=0,"",SUMIFS(Лэндинг!$I$5:$I$300,Лэндинг!$E$5:$E$300,$B47)+SUMIFS(Закрытые!$I$5:$I$300,Закрытые!$E$5:$E$300,$B47,Закрытые!$B$5:$B$300,"L-*"))</f>
        <v/>
      </c>
      <c r="G47" s="177">
        <f>IF(F47="","",(SUMPRODUCT((Лэндинг!$E$5:$E$300=$B47)*Лэндинг!$I$5:$I$300*Лэндинг!$J$5:$J$300)+SUMPRODUCT((Закрытые!$E$5:$E$300=$B47)*(LEFT(Закрытые!$B$5:$B$300,2)="L-")*Закрытые!$I$5:$I$300*Закрытые!$J$5:$J$300))/F47)</f>
        <v/>
      </c>
      <c r="H47" s="241">
        <f>IF(F47="","",SUMIFS(Лэндинг!$K$5:$K$300,Лэндинг!$E$5:$E$300,$B47)+SUMIFS(Закрытые!$K$5:$K$300,Закрытые!$E$5:$E$300,$B47,Закрытые!$B$5:$B$300,"L-*"))</f>
        <v/>
      </c>
      <c r="I47" s="240">
        <f>IF($B47="","",IF(COUNTIFS(Лэндинг!$E$5:$E$300,$B47)+COUNTIFS(Закрытые!$E$5:$E$300,$B47,Закрытые!$B$5:$B$300,"L-*")=0,"",ROUND(SUMIFS(Лэндинг!$L$5:$L$300,Лэндинг!$E$5:$E$300,$B47)+SUMIFS(Закрытые!$L$5:$L$300,Закрытые!$E$5:$E$300,$B47,Закрытые!$B$5:$B$300,"L-*"),8)))</f>
        <v/>
      </c>
      <c r="J47" s="241">
        <f>IF($B47="","",IF(COUNTIFS(Лэндинг!$E$5:$E$300,$B47)+COUNTIFS(Закрытые!$E$5:$E$300,$B47,Закрытые!$B$5:$B$300,"L-*")=0,"",ROUND(SUMIFS(Лэндинг!$M$5:$M$300,Лэндинг!$E$5:$E$300,$B47)+SUMIFS(Закрытые!$M$5:$M$300,Закрытые!$E$5:$E$300,$B47,Закрытые!$B$5:$B$300,"L-*"),8)))</f>
        <v/>
      </c>
      <c r="K47" s="240">
        <f>IF($B47="","",ROUND(SUMIFS(Закрытые!$N$5:$N$300,Закрытые!$E$5:$E$300,$B47,Закрытые!$B$5:$B$300,"L-*"),8))</f>
        <v/>
      </c>
      <c r="L47" s="177">
        <f>IF(K47="","",IF(SUMPRODUCT((Закрытые!$E$5:$E$300=$B47)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47/SUMPRODUCT((Закрытые!$E$5:$E$300=$B47)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7" s="177">
        <f>IF(OR(ROUND(N(C47)-N(F47),8)=0,1-N(Ввод!$E$17)/100&lt;=0),"",IF(N(C47)&gt;N(F47),(N(E47)-N(H47))/((N(C47)-N(F47))*(1-N(Ввод!$E$17)/100)),(N(H47)-N(E47))/((N(F47)-N(C47))*(1+N(Ввод!$E$17)/100))))</f>
        <v/>
      </c>
    </row>
    <row r="48" ht="22" customHeight="1">
      <c r="B48" s="320" t="n"/>
      <c r="C48" s="246">
        <f>IF(SUMIFS(Лэндинг!$F$5:$F$300,Лэндинг!$E$5:$E$300,$B48)+SUMIFS(Закрытые!$F$5:$F$300,Закрытые!$E$5:$E$300,$B48,Закрытые!$B$5:$B$300,"L-*")=0,"",SUMIFS(Лэндинг!$F$5:$F$300,Лэндинг!$E$5:$E$300,$B48)+SUMIFS(Закрытые!$F$5:$F$300,Закрытые!$E$5:$E$300,$B48,Закрытые!$B$5:$B$300,"L-*"))</f>
        <v/>
      </c>
      <c r="D48" s="183">
        <f>IF(C48="","",(SUMPRODUCT((Лэндинг!$E$5:$E$300=$B48)*Лэндинг!$F$5:$F$300*Лэндинг!$G$5:$G$300)+SUMPRODUCT((Закрытые!$E$5:$E$300=$B48)*(LEFT(Закрытые!$B$5:$B$300,2)="L-")*Закрытые!$F$5:$F$300*Закрытые!$G$5:$G$300))/C48)</f>
        <v/>
      </c>
      <c r="E48" s="247">
        <f>IF(C48="","",SUMIFS(Лэндинг!$H$5:$H$300,Лэндинг!$E$5:$E$300,$B48)+SUMIFS(Закрытые!$H$5:$H$300,Закрытые!$E$5:$E$300,$B48,Закрытые!$B$5:$B$300,"L-*"))</f>
        <v/>
      </c>
      <c r="F48" s="246">
        <f>IF(SUMIFS(Лэндинг!$I$5:$I$300,Лэндинг!$E$5:$E$300,$B48)+SUMIFS(Закрытые!$I$5:$I$300,Закрытые!$E$5:$E$300,$B48,Закрытые!$B$5:$B$300,"L-*")=0,"",SUMIFS(Лэндинг!$I$5:$I$300,Лэндинг!$E$5:$E$300,$B48)+SUMIFS(Закрытые!$I$5:$I$300,Закрытые!$E$5:$E$300,$B48,Закрытые!$B$5:$B$300,"L-*"))</f>
        <v/>
      </c>
      <c r="G48" s="183">
        <f>IF(F48="","",(SUMPRODUCT((Лэндинг!$E$5:$E$300=$B48)*Лэндинг!$I$5:$I$300*Лэндинг!$J$5:$J$300)+SUMPRODUCT((Закрытые!$E$5:$E$300=$B48)*(LEFT(Закрытые!$B$5:$B$300,2)="L-")*Закрытые!$I$5:$I$300*Закрытые!$J$5:$J$300))/F48)</f>
        <v/>
      </c>
      <c r="H48" s="247">
        <f>IF(F48="","",SUMIFS(Лэндинг!$K$5:$K$300,Лэндинг!$E$5:$E$300,$B48)+SUMIFS(Закрытые!$K$5:$K$300,Закрытые!$E$5:$E$300,$B48,Закрытые!$B$5:$B$300,"L-*"))</f>
        <v/>
      </c>
      <c r="I48" s="246">
        <f>IF($B48="","",IF(COUNTIFS(Лэндинг!$E$5:$E$300,$B48)+COUNTIFS(Закрытые!$E$5:$E$300,$B48,Закрытые!$B$5:$B$300,"L-*")=0,"",ROUND(SUMIFS(Лэндинг!$L$5:$L$300,Лэндинг!$E$5:$E$300,$B48)+SUMIFS(Закрытые!$L$5:$L$300,Закрытые!$E$5:$E$300,$B48,Закрытые!$B$5:$B$300,"L-*"),8)))</f>
        <v/>
      </c>
      <c r="J48" s="247">
        <f>IF($B48="","",IF(COUNTIFS(Лэндинг!$E$5:$E$300,$B48)+COUNTIFS(Закрытые!$E$5:$E$300,$B48,Закрытые!$B$5:$B$300,"L-*")=0,"",ROUND(SUMIFS(Лэндинг!$M$5:$M$300,Лэндинг!$E$5:$E$300,$B48)+SUMIFS(Закрытые!$M$5:$M$300,Закрытые!$E$5:$E$300,$B48,Закрытые!$B$5:$B$300,"L-*"),8)))</f>
        <v/>
      </c>
      <c r="K48" s="246">
        <f>IF($B48="","",ROUND(SUMIFS(Закрытые!$N$5:$N$300,Закрытые!$E$5:$E$300,$B48,Закрытые!$B$5:$B$300,"L-*"),8))</f>
        <v/>
      </c>
      <c r="L48" s="183">
        <f>IF(K48="","",IF(SUMPRODUCT((Закрытые!$E$5:$E$300=$B48)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48/SUMPRODUCT((Закрытые!$E$5:$E$300=$B48)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8" s="183">
        <f>IF(OR(ROUND(N(C48)-N(F48),8)=0,1-N(Ввод!$E$17)/100&lt;=0),"",IF(N(C48)&gt;N(F48),(N(E48)-N(H48))/((N(C48)-N(F48))*(1-N(Ввод!$E$17)/100)),(N(H48)-N(E48))/((N(F48)-N(C48))*(1+N(Ввод!$E$17)/100))))</f>
        <v/>
      </c>
    </row>
    <row r="49" ht="22" customHeight="1">
      <c r="B49" s="315" t="n"/>
      <c r="C49" s="240">
        <f>IF(SUMIFS(Лэндинг!$F$5:$F$300,Лэндинг!$E$5:$E$300,$B49)+SUMIFS(Закрытые!$F$5:$F$300,Закрытые!$E$5:$E$300,$B49,Закрытые!$B$5:$B$300,"L-*")=0,"",SUMIFS(Лэндинг!$F$5:$F$300,Лэндинг!$E$5:$E$300,$B49)+SUMIFS(Закрытые!$F$5:$F$300,Закрытые!$E$5:$E$300,$B49,Закрытые!$B$5:$B$300,"L-*"))</f>
        <v/>
      </c>
      <c r="D49" s="177">
        <f>IF(C49="","",(SUMPRODUCT((Лэндинг!$E$5:$E$300=$B49)*Лэндинг!$F$5:$F$300*Лэндинг!$G$5:$G$300)+SUMPRODUCT((Закрытые!$E$5:$E$300=$B49)*(LEFT(Закрытые!$B$5:$B$300,2)="L-")*Закрытые!$F$5:$F$300*Закрытые!$G$5:$G$300))/C49)</f>
        <v/>
      </c>
      <c r="E49" s="241">
        <f>IF(C49="","",SUMIFS(Лэндинг!$H$5:$H$300,Лэндинг!$E$5:$E$300,$B49)+SUMIFS(Закрытые!$H$5:$H$300,Закрытые!$E$5:$E$300,$B49,Закрытые!$B$5:$B$300,"L-*"))</f>
        <v/>
      </c>
      <c r="F49" s="240">
        <f>IF(SUMIFS(Лэндинг!$I$5:$I$300,Лэндинг!$E$5:$E$300,$B49)+SUMIFS(Закрытые!$I$5:$I$300,Закрытые!$E$5:$E$300,$B49,Закрытые!$B$5:$B$300,"L-*")=0,"",SUMIFS(Лэндинг!$I$5:$I$300,Лэндинг!$E$5:$E$300,$B49)+SUMIFS(Закрытые!$I$5:$I$300,Закрытые!$E$5:$E$300,$B49,Закрытые!$B$5:$B$300,"L-*"))</f>
        <v/>
      </c>
      <c r="G49" s="177">
        <f>IF(F49="","",(SUMPRODUCT((Лэндинг!$E$5:$E$300=$B49)*Лэндинг!$I$5:$I$300*Лэндинг!$J$5:$J$300)+SUMPRODUCT((Закрытые!$E$5:$E$300=$B49)*(LEFT(Закрытые!$B$5:$B$300,2)="L-")*Закрытые!$I$5:$I$300*Закрытые!$J$5:$J$300))/F49)</f>
        <v/>
      </c>
      <c r="H49" s="241">
        <f>IF(F49="","",SUMIFS(Лэндинг!$K$5:$K$300,Лэндинг!$E$5:$E$300,$B49)+SUMIFS(Закрытые!$K$5:$K$300,Закрытые!$E$5:$E$300,$B49,Закрытые!$B$5:$B$300,"L-*"))</f>
        <v/>
      </c>
      <c r="I49" s="240">
        <f>IF($B49="","",IF(COUNTIFS(Лэндинг!$E$5:$E$300,$B49)+COUNTIFS(Закрытые!$E$5:$E$300,$B49,Закрытые!$B$5:$B$300,"L-*")=0,"",ROUND(SUMIFS(Лэндинг!$L$5:$L$300,Лэндинг!$E$5:$E$300,$B49)+SUMIFS(Закрытые!$L$5:$L$300,Закрытые!$E$5:$E$300,$B49,Закрытые!$B$5:$B$300,"L-*"),8)))</f>
        <v/>
      </c>
      <c r="J49" s="241">
        <f>IF($B49="","",IF(COUNTIFS(Лэндинг!$E$5:$E$300,$B49)+COUNTIFS(Закрытые!$E$5:$E$300,$B49,Закрытые!$B$5:$B$300,"L-*")=0,"",ROUND(SUMIFS(Лэндинг!$M$5:$M$300,Лэндинг!$E$5:$E$300,$B49)+SUMIFS(Закрытые!$M$5:$M$300,Закрытые!$E$5:$E$300,$B49,Закрытые!$B$5:$B$300,"L-*"),8)))</f>
        <v/>
      </c>
      <c r="K49" s="240">
        <f>IF($B49="","",ROUND(SUMIFS(Закрытые!$N$5:$N$300,Закрытые!$E$5:$E$300,$B49,Закрытые!$B$5:$B$300,"L-*"),8))</f>
        <v/>
      </c>
      <c r="L49" s="177">
        <f>IF(K49="","",IF(SUMPRODUCT((Закрытые!$E$5:$E$300=$B49)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49/SUMPRODUCT((Закрытые!$E$5:$E$300=$B49)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9" s="177">
        <f>IF(OR(ROUND(N(C49)-N(F49),8)=0,1-N(Ввод!$E$17)/100&lt;=0),"",IF(N(C49)&gt;N(F49),(N(E49)-N(H49))/((N(C49)-N(F49))*(1-N(Ввод!$E$17)/100)),(N(H49)-N(E49))/((N(F49)-N(C49))*(1+N(Ввод!$E$17)/100))))</f>
        <v/>
      </c>
    </row>
    <row r="50" ht="22" customHeight="1">
      <c r="B50" s="320" t="n"/>
      <c r="C50" s="246">
        <f>IF(SUMIFS(Лэндинг!$F$5:$F$300,Лэндинг!$E$5:$E$300,$B50)+SUMIFS(Закрытые!$F$5:$F$300,Закрытые!$E$5:$E$300,$B50,Закрытые!$B$5:$B$300,"L-*")=0,"",SUMIFS(Лэндинг!$F$5:$F$300,Лэндинг!$E$5:$E$300,$B50)+SUMIFS(Закрытые!$F$5:$F$300,Закрытые!$E$5:$E$300,$B50,Закрытые!$B$5:$B$300,"L-*"))</f>
        <v/>
      </c>
      <c r="D50" s="183">
        <f>IF(C50="","",(SUMPRODUCT((Лэндинг!$E$5:$E$300=$B50)*Лэндинг!$F$5:$F$300*Лэндинг!$G$5:$G$300)+SUMPRODUCT((Закрытые!$E$5:$E$300=$B50)*(LEFT(Закрытые!$B$5:$B$300,2)="L-")*Закрытые!$F$5:$F$300*Закрытые!$G$5:$G$300))/C50)</f>
        <v/>
      </c>
      <c r="E50" s="247">
        <f>IF(C50="","",SUMIFS(Лэндинг!$H$5:$H$300,Лэндинг!$E$5:$E$300,$B50)+SUMIFS(Закрытые!$H$5:$H$300,Закрытые!$E$5:$E$300,$B50,Закрытые!$B$5:$B$300,"L-*"))</f>
        <v/>
      </c>
      <c r="F50" s="246">
        <f>IF(SUMIFS(Лэндинг!$I$5:$I$300,Лэндинг!$E$5:$E$300,$B50)+SUMIFS(Закрытые!$I$5:$I$300,Закрытые!$E$5:$E$300,$B50,Закрытые!$B$5:$B$300,"L-*")=0,"",SUMIFS(Лэндинг!$I$5:$I$300,Лэндинг!$E$5:$E$300,$B50)+SUMIFS(Закрытые!$I$5:$I$300,Закрытые!$E$5:$E$300,$B50,Закрытые!$B$5:$B$300,"L-*"))</f>
        <v/>
      </c>
      <c r="G50" s="183">
        <f>IF(F50="","",(SUMPRODUCT((Лэндинг!$E$5:$E$300=$B50)*Лэндинг!$I$5:$I$300*Лэндинг!$J$5:$J$300)+SUMPRODUCT((Закрытые!$E$5:$E$300=$B50)*(LEFT(Закрытые!$B$5:$B$300,2)="L-")*Закрытые!$I$5:$I$300*Закрытые!$J$5:$J$300))/F50)</f>
        <v/>
      </c>
      <c r="H50" s="247">
        <f>IF(F50="","",SUMIFS(Лэндинг!$K$5:$K$300,Лэндинг!$E$5:$E$300,$B50)+SUMIFS(Закрытые!$K$5:$K$300,Закрытые!$E$5:$E$300,$B50,Закрытые!$B$5:$B$300,"L-*"))</f>
        <v/>
      </c>
      <c r="I50" s="246">
        <f>IF($B50="","",IF(COUNTIFS(Лэндинг!$E$5:$E$300,$B50)+COUNTIFS(Закрытые!$E$5:$E$300,$B50,Закрытые!$B$5:$B$300,"L-*")=0,"",ROUND(SUMIFS(Лэндинг!$L$5:$L$300,Лэндинг!$E$5:$E$300,$B50)+SUMIFS(Закрытые!$L$5:$L$300,Закрытые!$E$5:$E$300,$B50,Закрытые!$B$5:$B$300,"L-*"),8)))</f>
        <v/>
      </c>
      <c r="J50" s="247">
        <f>IF($B50="","",IF(COUNTIFS(Лэндинг!$E$5:$E$300,$B50)+COUNTIFS(Закрытые!$E$5:$E$300,$B50,Закрытые!$B$5:$B$300,"L-*")=0,"",ROUND(SUMIFS(Лэндинг!$M$5:$M$300,Лэндинг!$E$5:$E$300,$B50)+SUMIFS(Закрытые!$M$5:$M$300,Закрытые!$E$5:$E$300,$B50,Закрытые!$B$5:$B$300,"L-*"),8)))</f>
        <v/>
      </c>
      <c r="K50" s="246">
        <f>IF($B50="","",ROUND(SUMIFS(Закрытые!$N$5:$N$300,Закрытые!$E$5:$E$300,$B50,Закрытые!$B$5:$B$300,"L-*"),8))</f>
        <v/>
      </c>
      <c r="L50" s="183">
        <f>IF(K50="","",IF(SUMPRODUCT((Закрытые!$E$5:$E$300=$B50)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50/SUMPRODUCT((Закрытые!$E$5:$E$300=$B50)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0" s="183">
        <f>IF(OR(ROUND(N(C50)-N(F50),8)=0,1-N(Ввод!$E$17)/100&lt;=0),"",IF(N(C50)&gt;N(F50),(N(E50)-N(H50))/((N(C50)-N(F50))*(1-N(Ввод!$E$17)/100)),(N(H50)-N(E50))/((N(F50)-N(C50))*(1+N(Ввод!$E$17)/100))))</f>
        <v/>
      </c>
    </row>
    <row r="51" ht="22" customHeight="1">
      <c r="B51" s="315" t="n"/>
      <c r="C51" s="240">
        <f>IF(SUMIFS(Лэндинг!$F$5:$F$300,Лэндинг!$E$5:$E$300,$B51)+SUMIFS(Закрытые!$F$5:$F$300,Закрытые!$E$5:$E$300,$B51,Закрытые!$B$5:$B$300,"L-*")=0,"",SUMIFS(Лэндинг!$F$5:$F$300,Лэндинг!$E$5:$E$300,$B51)+SUMIFS(Закрытые!$F$5:$F$300,Закрытые!$E$5:$E$300,$B51,Закрытые!$B$5:$B$300,"L-*"))</f>
        <v/>
      </c>
      <c r="D51" s="177">
        <f>IF(C51="","",(SUMPRODUCT((Лэндинг!$E$5:$E$300=$B51)*Лэндинг!$F$5:$F$300*Лэндинг!$G$5:$G$300)+SUMPRODUCT((Закрытые!$E$5:$E$300=$B51)*(LEFT(Закрытые!$B$5:$B$300,2)="L-")*Закрытые!$F$5:$F$300*Закрытые!$G$5:$G$300))/C51)</f>
        <v/>
      </c>
      <c r="E51" s="241">
        <f>IF(C51="","",SUMIFS(Лэндинг!$H$5:$H$300,Лэндинг!$E$5:$E$300,$B51)+SUMIFS(Закрытые!$H$5:$H$300,Закрытые!$E$5:$E$300,$B51,Закрытые!$B$5:$B$300,"L-*"))</f>
        <v/>
      </c>
      <c r="F51" s="240">
        <f>IF(SUMIFS(Лэндинг!$I$5:$I$300,Лэндинг!$E$5:$E$300,$B51)+SUMIFS(Закрытые!$I$5:$I$300,Закрытые!$E$5:$E$300,$B51,Закрытые!$B$5:$B$300,"L-*")=0,"",SUMIFS(Лэндинг!$I$5:$I$300,Лэндинг!$E$5:$E$300,$B51)+SUMIFS(Закрытые!$I$5:$I$300,Закрытые!$E$5:$E$300,$B51,Закрытые!$B$5:$B$300,"L-*"))</f>
        <v/>
      </c>
      <c r="G51" s="177">
        <f>IF(F51="","",(SUMPRODUCT((Лэндинг!$E$5:$E$300=$B51)*Лэндинг!$I$5:$I$300*Лэндинг!$J$5:$J$300)+SUMPRODUCT((Закрытые!$E$5:$E$300=$B51)*(LEFT(Закрытые!$B$5:$B$300,2)="L-")*Закрытые!$I$5:$I$300*Закрытые!$J$5:$J$300))/F51)</f>
        <v/>
      </c>
      <c r="H51" s="241">
        <f>IF(F51="","",SUMIFS(Лэндинг!$K$5:$K$300,Лэндинг!$E$5:$E$300,$B51)+SUMIFS(Закрытые!$K$5:$K$300,Закрытые!$E$5:$E$300,$B51,Закрытые!$B$5:$B$300,"L-*"))</f>
        <v/>
      </c>
      <c r="I51" s="240">
        <f>IF($B51="","",IF(COUNTIFS(Лэндинг!$E$5:$E$300,$B51)+COUNTIFS(Закрытые!$E$5:$E$300,$B51,Закрытые!$B$5:$B$300,"L-*")=0,"",ROUND(SUMIFS(Лэндинг!$L$5:$L$300,Лэндинг!$E$5:$E$300,$B51)+SUMIFS(Закрытые!$L$5:$L$300,Закрытые!$E$5:$E$300,$B51,Закрытые!$B$5:$B$300,"L-*"),8)))</f>
        <v/>
      </c>
      <c r="J51" s="241">
        <f>IF($B51="","",IF(COUNTIFS(Лэндинг!$E$5:$E$300,$B51)+COUNTIFS(Закрытые!$E$5:$E$300,$B51,Закрытые!$B$5:$B$300,"L-*")=0,"",ROUND(SUMIFS(Лэндинг!$M$5:$M$300,Лэндинг!$E$5:$E$300,$B51)+SUMIFS(Закрытые!$M$5:$M$300,Закрытые!$E$5:$E$300,$B51,Закрытые!$B$5:$B$300,"L-*"),8)))</f>
        <v/>
      </c>
      <c r="K51" s="240">
        <f>IF($B51="","",ROUND(SUMIFS(Закрытые!$N$5:$N$300,Закрытые!$E$5:$E$300,$B51,Закрытые!$B$5:$B$300,"L-*"),8))</f>
        <v/>
      </c>
      <c r="L51" s="177">
        <f>IF(K51="","",IF(SUMPRODUCT((Закрытые!$E$5:$E$300=$B51)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51/SUMPRODUCT((Закрытые!$E$5:$E$300=$B51)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1" s="177">
        <f>IF(OR(ROUND(N(C51)-N(F51),8)=0,1-N(Ввод!$E$17)/100&lt;=0),"",IF(N(C51)&gt;N(F51),(N(E51)-N(H51))/((N(C51)-N(F51))*(1-N(Ввод!$E$17)/100)),(N(H51)-N(E51))/((N(F51)-N(C51))*(1+N(Ввод!$E$17)/100))))</f>
        <v/>
      </c>
    </row>
    <row r="52" ht="22" customHeight="1">
      <c r="B52" s="320" t="n"/>
      <c r="C52" s="246">
        <f>IF(SUMIFS(Лэндинг!$F$5:$F$300,Лэндинг!$E$5:$E$300,$B52)+SUMIFS(Закрытые!$F$5:$F$300,Закрытые!$E$5:$E$300,$B52,Закрытые!$B$5:$B$300,"L-*")=0,"",SUMIFS(Лэндинг!$F$5:$F$300,Лэндинг!$E$5:$E$300,$B52)+SUMIFS(Закрытые!$F$5:$F$300,Закрытые!$E$5:$E$300,$B52,Закрытые!$B$5:$B$300,"L-*"))</f>
        <v/>
      </c>
      <c r="D52" s="183">
        <f>IF(C52="","",(SUMPRODUCT((Лэндинг!$E$5:$E$300=$B52)*Лэндинг!$F$5:$F$300*Лэндинг!$G$5:$G$300)+SUMPRODUCT((Закрытые!$E$5:$E$300=$B52)*(LEFT(Закрытые!$B$5:$B$300,2)="L-")*Закрытые!$F$5:$F$300*Закрытые!$G$5:$G$300))/C52)</f>
        <v/>
      </c>
      <c r="E52" s="247">
        <f>IF(C52="","",SUMIFS(Лэндинг!$H$5:$H$300,Лэндинг!$E$5:$E$300,$B52)+SUMIFS(Закрытые!$H$5:$H$300,Закрытые!$E$5:$E$300,$B52,Закрытые!$B$5:$B$300,"L-*"))</f>
        <v/>
      </c>
      <c r="F52" s="246">
        <f>IF(SUMIFS(Лэндинг!$I$5:$I$300,Лэндинг!$E$5:$E$300,$B52)+SUMIFS(Закрытые!$I$5:$I$300,Закрытые!$E$5:$E$300,$B52,Закрытые!$B$5:$B$300,"L-*")=0,"",SUMIFS(Лэндинг!$I$5:$I$300,Лэндинг!$E$5:$E$300,$B52)+SUMIFS(Закрытые!$I$5:$I$300,Закрытые!$E$5:$E$300,$B52,Закрытые!$B$5:$B$300,"L-*"))</f>
        <v/>
      </c>
      <c r="G52" s="183">
        <f>IF(F52="","",(SUMPRODUCT((Лэндинг!$E$5:$E$300=$B52)*Лэндинг!$I$5:$I$300*Лэндинг!$J$5:$J$300)+SUMPRODUCT((Закрытые!$E$5:$E$300=$B52)*(LEFT(Закрытые!$B$5:$B$300,2)="L-")*Закрытые!$I$5:$I$300*Закрытые!$J$5:$J$300))/F52)</f>
        <v/>
      </c>
      <c r="H52" s="247">
        <f>IF(F52="","",SUMIFS(Лэндинг!$K$5:$K$300,Лэндинг!$E$5:$E$300,$B52)+SUMIFS(Закрытые!$K$5:$K$300,Закрытые!$E$5:$E$300,$B52,Закрытые!$B$5:$B$300,"L-*"))</f>
        <v/>
      </c>
      <c r="I52" s="246">
        <f>IF($B52="","",IF(COUNTIFS(Лэндинг!$E$5:$E$300,$B52)+COUNTIFS(Закрытые!$E$5:$E$300,$B52,Закрытые!$B$5:$B$300,"L-*")=0,"",ROUND(SUMIFS(Лэндинг!$L$5:$L$300,Лэндинг!$E$5:$E$300,$B52)+SUMIFS(Закрытые!$L$5:$L$300,Закрытые!$E$5:$E$300,$B52,Закрытые!$B$5:$B$300,"L-*"),8)))</f>
        <v/>
      </c>
      <c r="J52" s="247">
        <f>IF($B52="","",IF(COUNTIFS(Лэндинг!$E$5:$E$300,$B52)+COUNTIFS(Закрытые!$E$5:$E$300,$B52,Закрытые!$B$5:$B$300,"L-*")=0,"",ROUND(SUMIFS(Лэндинг!$M$5:$M$300,Лэндинг!$E$5:$E$300,$B52)+SUMIFS(Закрытые!$M$5:$M$300,Закрытые!$E$5:$E$300,$B52,Закрытые!$B$5:$B$300,"L-*"),8)))</f>
        <v/>
      </c>
      <c r="K52" s="246">
        <f>IF($B52="","",ROUND(SUMIFS(Закрытые!$N$5:$N$300,Закрытые!$E$5:$E$300,$B52,Закрытые!$B$5:$B$300,"L-*"),8))</f>
        <v/>
      </c>
      <c r="L52" s="183">
        <f>IF(K52="","",IF(SUMPRODUCT((Закрытые!$E$5:$E$300=$B52)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52/SUMPRODUCT((Закрытые!$E$5:$E$300=$B52)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2" s="183">
        <f>IF(OR(ROUND(N(C52)-N(F52),8)=0,1-N(Ввод!$E$17)/100&lt;=0),"",IF(N(C52)&gt;N(F52),(N(E52)-N(H52))/((N(C52)-N(F52))*(1-N(Ввод!$E$17)/100)),(N(H52)-N(E52))/((N(F52)-N(C52))*(1+N(Ввод!$E$17)/100))))</f>
        <v/>
      </c>
    </row>
    <row r="53" ht="22" customHeight="1">
      <c r="B53" s="315" t="n"/>
      <c r="C53" s="240">
        <f>IF(SUMIFS(Лэндинг!$F$5:$F$300,Лэндинг!$E$5:$E$300,$B53)+SUMIFS(Закрытые!$F$5:$F$300,Закрытые!$E$5:$E$300,$B53,Закрытые!$B$5:$B$300,"L-*")=0,"",SUMIFS(Лэндинг!$F$5:$F$300,Лэндинг!$E$5:$E$300,$B53)+SUMIFS(Закрытые!$F$5:$F$300,Закрытые!$E$5:$E$300,$B53,Закрытые!$B$5:$B$300,"L-*"))</f>
        <v/>
      </c>
      <c r="D53" s="177">
        <f>IF(C53="","",(SUMPRODUCT((Лэндинг!$E$5:$E$300=$B53)*Лэндинг!$F$5:$F$300*Лэндинг!$G$5:$G$300)+SUMPRODUCT((Закрытые!$E$5:$E$300=$B53)*(LEFT(Закрытые!$B$5:$B$300,2)="L-")*Закрытые!$F$5:$F$300*Закрытые!$G$5:$G$300))/C53)</f>
        <v/>
      </c>
      <c r="E53" s="241">
        <f>IF(C53="","",SUMIFS(Лэндинг!$H$5:$H$300,Лэндинг!$E$5:$E$300,$B53)+SUMIFS(Закрытые!$H$5:$H$300,Закрытые!$E$5:$E$300,$B53,Закрытые!$B$5:$B$300,"L-*"))</f>
        <v/>
      </c>
      <c r="F53" s="240">
        <f>IF(SUMIFS(Лэндинг!$I$5:$I$300,Лэндинг!$E$5:$E$300,$B53)+SUMIFS(Закрытые!$I$5:$I$300,Закрытые!$E$5:$E$300,$B53,Закрытые!$B$5:$B$300,"L-*")=0,"",SUMIFS(Лэндинг!$I$5:$I$300,Лэндинг!$E$5:$E$300,$B53)+SUMIFS(Закрытые!$I$5:$I$300,Закрытые!$E$5:$E$300,$B53,Закрытые!$B$5:$B$300,"L-*"))</f>
        <v/>
      </c>
      <c r="G53" s="177">
        <f>IF(F53="","",(SUMPRODUCT((Лэндинг!$E$5:$E$300=$B53)*Лэндинг!$I$5:$I$300*Лэндинг!$J$5:$J$300)+SUMPRODUCT((Закрытые!$E$5:$E$300=$B53)*(LEFT(Закрытые!$B$5:$B$300,2)="L-")*Закрытые!$I$5:$I$300*Закрытые!$J$5:$J$300))/F53)</f>
        <v/>
      </c>
      <c r="H53" s="241">
        <f>IF(F53="","",SUMIFS(Лэндинг!$K$5:$K$300,Лэндинг!$E$5:$E$300,$B53)+SUMIFS(Закрытые!$K$5:$K$300,Закрытые!$E$5:$E$300,$B53,Закрытые!$B$5:$B$300,"L-*"))</f>
        <v/>
      </c>
      <c r="I53" s="240">
        <f>IF($B53="","",IF(COUNTIFS(Лэндинг!$E$5:$E$300,$B53)+COUNTIFS(Закрытые!$E$5:$E$300,$B53,Закрытые!$B$5:$B$300,"L-*")=0,"",ROUND(SUMIFS(Лэндинг!$L$5:$L$300,Лэндинг!$E$5:$E$300,$B53)+SUMIFS(Закрытые!$L$5:$L$300,Закрытые!$E$5:$E$300,$B53,Закрытые!$B$5:$B$300,"L-*"),8)))</f>
        <v/>
      </c>
      <c r="J53" s="241">
        <f>IF($B53="","",IF(COUNTIFS(Лэндинг!$E$5:$E$300,$B53)+COUNTIFS(Закрытые!$E$5:$E$300,$B53,Закрытые!$B$5:$B$300,"L-*")=0,"",ROUND(SUMIFS(Лэндинг!$M$5:$M$300,Лэндинг!$E$5:$E$300,$B53)+SUMIFS(Закрытые!$M$5:$M$300,Закрытые!$E$5:$E$300,$B53,Закрытые!$B$5:$B$300,"L-*"),8)))</f>
        <v/>
      </c>
      <c r="K53" s="240">
        <f>IF($B53="","",ROUND(SUMIFS(Закрытые!$N$5:$N$300,Закрытые!$E$5:$E$300,$B53,Закрытые!$B$5:$B$300,"L-*"),8))</f>
        <v/>
      </c>
      <c r="L53" s="177">
        <f>IF(K53="","",IF(SUMPRODUCT((Закрытые!$E$5:$E$300=$B53)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53/SUMPRODUCT((Закрытые!$E$5:$E$300=$B53)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3" s="177">
        <f>IF(OR(ROUND(N(C53)-N(F53),8)=0,1-N(Ввод!$E$17)/100&lt;=0),"",IF(N(C53)&gt;N(F53),(N(E53)-N(H53))/((N(C53)-N(F53))*(1-N(Ввод!$E$17)/100)),(N(H53)-N(E53))/((N(F53)-N(C53))*(1+N(Ввод!$E$17)/100))))</f>
        <v/>
      </c>
    </row>
    <row r="54" ht="22" customHeight="1">
      <c r="B54" s="320" t="n"/>
      <c r="C54" s="246">
        <f>IF(SUMIFS(Лэндинг!$F$5:$F$300,Лэндинг!$E$5:$E$300,$B54)+SUMIFS(Закрытые!$F$5:$F$300,Закрытые!$E$5:$E$300,$B54,Закрытые!$B$5:$B$300,"L-*")=0,"",SUMIFS(Лэндинг!$F$5:$F$300,Лэндинг!$E$5:$E$300,$B54)+SUMIFS(Закрытые!$F$5:$F$300,Закрытые!$E$5:$E$300,$B54,Закрытые!$B$5:$B$300,"L-*"))</f>
        <v/>
      </c>
      <c r="D54" s="183">
        <f>IF(C54="","",(SUMPRODUCT((Лэндинг!$E$5:$E$300=$B54)*Лэндинг!$F$5:$F$300*Лэндинг!$G$5:$G$300)+SUMPRODUCT((Закрытые!$E$5:$E$300=$B54)*(LEFT(Закрытые!$B$5:$B$300,2)="L-")*Закрытые!$F$5:$F$300*Закрытые!$G$5:$G$300))/C54)</f>
        <v/>
      </c>
      <c r="E54" s="247">
        <f>IF(C54="","",SUMIFS(Лэндинг!$H$5:$H$300,Лэндинг!$E$5:$E$300,$B54)+SUMIFS(Закрытые!$H$5:$H$300,Закрытые!$E$5:$E$300,$B54,Закрытые!$B$5:$B$300,"L-*"))</f>
        <v/>
      </c>
      <c r="F54" s="246">
        <f>IF(SUMIFS(Лэндинг!$I$5:$I$300,Лэндинг!$E$5:$E$300,$B54)+SUMIFS(Закрытые!$I$5:$I$300,Закрытые!$E$5:$E$300,$B54,Закрытые!$B$5:$B$300,"L-*")=0,"",SUMIFS(Лэндинг!$I$5:$I$300,Лэндинг!$E$5:$E$300,$B54)+SUMIFS(Закрытые!$I$5:$I$300,Закрытые!$E$5:$E$300,$B54,Закрытые!$B$5:$B$300,"L-*"))</f>
        <v/>
      </c>
      <c r="G54" s="183">
        <f>IF(F54="","",(SUMPRODUCT((Лэндинг!$E$5:$E$300=$B54)*Лэндинг!$I$5:$I$300*Лэндинг!$J$5:$J$300)+SUMPRODUCT((Закрытые!$E$5:$E$300=$B54)*(LEFT(Закрытые!$B$5:$B$300,2)="L-")*Закрытые!$I$5:$I$300*Закрытые!$J$5:$J$300))/F54)</f>
        <v/>
      </c>
      <c r="H54" s="247">
        <f>IF(F54="","",SUMIFS(Лэндинг!$K$5:$K$300,Лэндинг!$E$5:$E$300,$B54)+SUMIFS(Закрытые!$K$5:$K$300,Закрытые!$E$5:$E$300,$B54,Закрытые!$B$5:$B$300,"L-*"))</f>
        <v/>
      </c>
      <c r="I54" s="246">
        <f>IF($B54="","",IF(COUNTIFS(Лэндинг!$E$5:$E$300,$B54)+COUNTIFS(Закрытые!$E$5:$E$300,$B54,Закрытые!$B$5:$B$300,"L-*")=0,"",ROUND(SUMIFS(Лэндинг!$L$5:$L$300,Лэндинг!$E$5:$E$300,$B54)+SUMIFS(Закрытые!$L$5:$L$300,Закрытые!$E$5:$E$300,$B54,Закрытые!$B$5:$B$300,"L-*"),8)))</f>
        <v/>
      </c>
      <c r="J54" s="247">
        <f>IF($B54="","",IF(COUNTIFS(Лэндинг!$E$5:$E$300,$B54)+COUNTIFS(Закрытые!$E$5:$E$300,$B54,Закрытые!$B$5:$B$300,"L-*")=0,"",ROUND(SUMIFS(Лэндинг!$M$5:$M$300,Лэндинг!$E$5:$E$300,$B54)+SUMIFS(Закрытые!$M$5:$M$300,Закрытые!$E$5:$E$300,$B54,Закрытые!$B$5:$B$300,"L-*"),8)))</f>
        <v/>
      </c>
      <c r="K54" s="246">
        <f>IF($B54="","",ROUND(SUMIFS(Закрытые!$N$5:$N$300,Закрытые!$E$5:$E$300,$B54,Закрытые!$B$5:$B$300,"L-*"),8))</f>
        <v/>
      </c>
      <c r="L54" s="183">
        <f>IF(K54="","",IF(SUMPRODUCT((Закрытые!$E$5:$E$300=$B54)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54/SUMPRODUCT((Закрытые!$E$5:$E$300=$B54)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4" s="183">
        <f>IF(OR(ROUND(N(C54)-N(F54),8)=0,1-N(Ввод!$E$17)/100&lt;=0),"",IF(N(C54)&gt;N(F54),(N(E54)-N(H54))/((N(C54)-N(F54))*(1-N(Ввод!$E$17)/100)),(N(H54)-N(E54))/((N(F54)-N(C54))*(1+N(Ввод!$E$17)/100))))</f>
        <v/>
      </c>
    </row>
    <row r="55" ht="22" customHeight="1">
      <c r="B55" s="315" t="n"/>
      <c r="C55" s="240">
        <f>IF(SUMIFS(Лэндинг!$F$5:$F$300,Лэндинг!$E$5:$E$300,$B55)+SUMIFS(Закрытые!$F$5:$F$300,Закрытые!$E$5:$E$300,$B55,Закрытые!$B$5:$B$300,"L-*")=0,"",SUMIFS(Лэндинг!$F$5:$F$300,Лэндинг!$E$5:$E$300,$B55)+SUMIFS(Закрытые!$F$5:$F$300,Закрытые!$E$5:$E$300,$B55,Закрытые!$B$5:$B$300,"L-*"))</f>
        <v/>
      </c>
      <c r="D55" s="177">
        <f>IF(C55="","",(SUMPRODUCT((Лэндинг!$E$5:$E$300=$B55)*Лэндинг!$F$5:$F$300*Лэндинг!$G$5:$G$300)+SUMPRODUCT((Закрытые!$E$5:$E$300=$B55)*(LEFT(Закрытые!$B$5:$B$300,2)="L-")*Закрытые!$F$5:$F$300*Закрытые!$G$5:$G$300))/C55)</f>
        <v/>
      </c>
      <c r="E55" s="241">
        <f>IF(C55="","",SUMIFS(Лэндинг!$H$5:$H$300,Лэндинг!$E$5:$E$300,$B55)+SUMIFS(Закрытые!$H$5:$H$300,Закрытые!$E$5:$E$300,$B55,Закрытые!$B$5:$B$300,"L-*"))</f>
        <v/>
      </c>
      <c r="F55" s="240">
        <f>IF(SUMIFS(Лэндинг!$I$5:$I$300,Лэндинг!$E$5:$E$300,$B55)+SUMIFS(Закрытые!$I$5:$I$300,Закрытые!$E$5:$E$300,$B55,Закрытые!$B$5:$B$300,"L-*")=0,"",SUMIFS(Лэндинг!$I$5:$I$300,Лэндинг!$E$5:$E$300,$B55)+SUMIFS(Закрытые!$I$5:$I$300,Закрытые!$E$5:$E$300,$B55,Закрытые!$B$5:$B$300,"L-*"))</f>
        <v/>
      </c>
      <c r="G55" s="177">
        <f>IF(F55="","",(SUMPRODUCT((Лэндинг!$E$5:$E$300=$B55)*Лэндинг!$I$5:$I$300*Лэндинг!$J$5:$J$300)+SUMPRODUCT((Закрытые!$E$5:$E$300=$B55)*(LEFT(Закрытые!$B$5:$B$300,2)="L-")*Закрытые!$I$5:$I$300*Закрытые!$J$5:$J$300))/F55)</f>
        <v/>
      </c>
      <c r="H55" s="241">
        <f>IF(F55="","",SUMIFS(Лэндинг!$K$5:$K$300,Лэндинг!$E$5:$E$300,$B55)+SUMIFS(Закрытые!$K$5:$K$300,Закрытые!$E$5:$E$300,$B55,Закрытые!$B$5:$B$300,"L-*"))</f>
        <v/>
      </c>
      <c r="I55" s="240">
        <f>IF($B55="","",IF(COUNTIFS(Лэндинг!$E$5:$E$300,$B55)+COUNTIFS(Закрытые!$E$5:$E$300,$B55,Закрытые!$B$5:$B$300,"L-*")=0,"",ROUND(SUMIFS(Лэндинг!$L$5:$L$300,Лэндинг!$E$5:$E$300,$B55)+SUMIFS(Закрытые!$L$5:$L$300,Закрытые!$E$5:$E$300,$B55,Закрытые!$B$5:$B$300,"L-*"),8)))</f>
        <v/>
      </c>
      <c r="J55" s="241">
        <f>IF($B55="","",IF(COUNTIFS(Лэндинг!$E$5:$E$300,$B55)+COUNTIFS(Закрытые!$E$5:$E$300,$B55,Закрытые!$B$5:$B$300,"L-*")=0,"",ROUND(SUMIFS(Лэндинг!$M$5:$M$300,Лэндинг!$E$5:$E$300,$B55)+SUMIFS(Закрытые!$M$5:$M$300,Закрытые!$E$5:$E$300,$B55,Закрытые!$B$5:$B$300,"L-*"),8)))</f>
        <v/>
      </c>
      <c r="K55" s="240">
        <f>IF($B55="","",ROUND(SUMIFS(Закрытые!$N$5:$N$300,Закрытые!$E$5:$E$300,$B55,Закрытые!$B$5:$B$300,"L-*"),8))</f>
        <v/>
      </c>
      <c r="L55" s="177">
        <f>IF(K55="","",IF(SUMPRODUCT((Закрытые!$E$5:$E$300=$B55)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55/SUMPRODUCT((Закрытые!$E$5:$E$300=$B55)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5" s="177">
        <f>IF(OR(ROUND(N(C55)-N(F55),8)=0,1-N(Ввод!$E$17)/100&lt;=0),"",IF(N(C55)&gt;N(F55),(N(E55)-N(H55))/((N(C55)-N(F55))*(1-N(Ввод!$E$17)/100)),(N(H55)-N(E55))/((N(F55)-N(C55))*(1+N(Ввод!$E$17)/100))))</f>
        <v/>
      </c>
    </row>
    <row r="56" ht="22" customHeight="1">
      <c r="B56" s="320" t="n"/>
      <c r="C56" s="246">
        <f>IF(SUMIFS(Лэндинг!$F$5:$F$300,Лэндинг!$E$5:$E$300,$B56)+SUMIFS(Закрытые!$F$5:$F$300,Закрытые!$E$5:$E$300,$B56,Закрытые!$B$5:$B$300,"L-*")=0,"",SUMIFS(Лэндинг!$F$5:$F$300,Лэндинг!$E$5:$E$300,$B56)+SUMIFS(Закрытые!$F$5:$F$300,Закрытые!$E$5:$E$300,$B56,Закрытые!$B$5:$B$300,"L-*"))</f>
        <v/>
      </c>
      <c r="D56" s="183">
        <f>IF(C56="","",(SUMPRODUCT((Лэндинг!$E$5:$E$300=$B56)*Лэндинг!$F$5:$F$300*Лэндинг!$G$5:$G$300)+SUMPRODUCT((Закрытые!$E$5:$E$300=$B56)*(LEFT(Закрытые!$B$5:$B$300,2)="L-")*Закрытые!$F$5:$F$300*Закрытые!$G$5:$G$300))/C56)</f>
        <v/>
      </c>
      <c r="E56" s="247">
        <f>IF(C56="","",SUMIFS(Лэндинг!$H$5:$H$300,Лэндинг!$E$5:$E$300,$B56)+SUMIFS(Закрытые!$H$5:$H$300,Закрытые!$E$5:$E$300,$B56,Закрытые!$B$5:$B$300,"L-*"))</f>
        <v/>
      </c>
      <c r="F56" s="246">
        <f>IF(SUMIFS(Лэндинг!$I$5:$I$300,Лэндинг!$E$5:$E$300,$B56)+SUMIFS(Закрытые!$I$5:$I$300,Закрытые!$E$5:$E$300,$B56,Закрытые!$B$5:$B$300,"L-*")=0,"",SUMIFS(Лэндинг!$I$5:$I$300,Лэндинг!$E$5:$E$300,$B56)+SUMIFS(Закрытые!$I$5:$I$300,Закрытые!$E$5:$E$300,$B56,Закрытые!$B$5:$B$300,"L-*"))</f>
        <v/>
      </c>
      <c r="G56" s="183">
        <f>IF(F56="","",(SUMPRODUCT((Лэндинг!$E$5:$E$300=$B56)*Лэндинг!$I$5:$I$300*Лэндинг!$J$5:$J$300)+SUMPRODUCT((Закрытые!$E$5:$E$300=$B56)*(LEFT(Закрытые!$B$5:$B$300,2)="L-")*Закрытые!$I$5:$I$300*Закрытые!$J$5:$J$300))/F56)</f>
        <v/>
      </c>
      <c r="H56" s="247">
        <f>IF(F56="","",SUMIFS(Лэндинг!$K$5:$K$300,Лэндинг!$E$5:$E$300,$B56)+SUMIFS(Закрытые!$K$5:$K$300,Закрытые!$E$5:$E$300,$B56,Закрытые!$B$5:$B$300,"L-*"))</f>
        <v/>
      </c>
      <c r="I56" s="246">
        <f>IF($B56="","",IF(COUNTIFS(Лэндинг!$E$5:$E$300,$B56)+COUNTIFS(Закрытые!$E$5:$E$300,$B56,Закрытые!$B$5:$B$300,"L-*")=0,"",ROUND(SUMIFS(Лэндинг!$L$5:$L$300,Лэндинг!$E$5:$E$300,$B56)+SUMIFS(Закрытые!$L$5:$L$300,Закрытые!$E$5:$E$300,$B56,Закрытые!$B$5:$B$300,"L-*"),8)))</f>
        <v/>
      </c>
      <c r="J56" s="247">
        <f>IF($B56="","",IF(COUNTIFS(Лэндинг!$E$5:$E$300,$B56)+COUNTIFS(Закрытые!$E$5:$E$300,$B56,Закрытые!$B$5:$B$300,"L-*")=0,"",ROUND(SUMIFS(Лэндинг!$M$5:$M$300,Лэндинг!$E$5:$E$300,$B56)+SUMIFS(Закрытые!$M$5:$M$300,Закрытые!$E$5:$E$300,$B56,Закрытые!$B$5:$B$300,"L-*"),8)))</f>
        <v/>
      </c>
      <c r="K56" s="246">
        <f>IF($B56="","",ROUND(SUMIFS(Закрытые!$N$5:$N$300,Закрытые!$E$5:$E$300,$B56,Закрытые!$B$5:$B$300,"L-*"),8))</f>
        <v/>
      </c>
      <c r="L56" s="183">
        <f>IF(K56="","",IF(SUMPRODUCT((Закрытые!$E$5:$E$300=$B56)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56/SUMPRODUCT((Закрытые!$E$5:$E$300=$B56)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6" s="183">
        <f>IF(OR(ROUND(N(C56)-N(F56),8)=0,1-N(Ввод!$E$17)/100&lt;=0),"",IF(N(C56)&gt;N(F56),(N(E56)-N(H56))/((N(C56)-N(F56))*(1-N(Ввод!$E$17)/100)),(N(H56)-N(E56))/((N(F56)-N(C56))*(1+N(Ввод!$E$17)/100))))</f>
        <v/>
      </c>
    </row>
    <row r="57" ht="22" customHeight="1">
      <c r="B57" s="315" t="n"/>
      <c r="C57" s="240">
        <f>IF(SUMIFS(Лэндинг!$F$5:$F$300,Лэндинг!$E$5:$E$300,$B57)+SUMIFS(Закрытые!$F$5:$F$300,Закрытые!$E$5:$E$300,$B57,Закрытые!$B$5:$B$300,"L-*")=0,"",SUMIFS(Лэндинг!$F$5:$F$300,Лэндинг!$E$5:$E$300,$B57)+SUMIFS(Закрытые!$F$5:$F$300,Закрытые!$E$5:$E$300,$B57,Закрытые!$B$5:$B$300,"L-*"))</f>
        <v/>
      </c>
      <c r="D57" s="177">
        <f>IF(C57="","",(SUMPRODUCT((Лэндинг!$E$5:$E$300=$B57)*Лэндинг!$F$5:$F$300*Лэндинг!$G$5:$G$300)+SUMPRODUCT((Закрытые!$E$5:$E$300=$B57)*(LEFT(Закрытые!$B$5:$B$300,2)="L-")*Закрытые!$F$5:$F$300*Закрытые!$G$5:$G$300))/C57)</f>
        <v/>
      </c>
      <c r="E57" s="241">
        <f>IF(C57="","",SUMIFS(Лэндинг!$H$5:$H$300,Лэндинг!$E$5:$E$300,$B57)+SUMIFS(Закрытые!$H$5:$H$300,Закрытые!$E$5:$E$300,$B57,Закрытые!$B$5:$B$300,"L-*"))</f>
        <v/>
      </c>
      <c r="F57" s="240">
        <f>IF(SUMIFS(Лэндинг!$I$5:$I$300,Лэндинг!$E$5:$E$300,$B57)+SUMIFS(Закрытые!$I$5:$I$300,Закрытые!$E$5:$E$300,$B57,Закрытые!$B$5:$B$300,"L-*")=0,"",SUMIFS(Лэндинг!$I$5:$I$300,Лэндинг!$E$5:$E$300,$B57)+SUMIFS(Закрытые!$I$5:$I$300,Закрытые!$E$5:$E$300,$B57,Закрытые!$B$5:$B$300,"L-*"))</f>
        <v/>
      </c>
      <c r="G57" s="177">
        <f>IF(F57="","",(SUMPRODUCT((Лэндинг!$E$5:$E$300=$B57)*Лэндинг!$I$5:$I$300*Лэндинг!$J$5:$J$300)+SUMPRODUCT((Закрытые!$E$5:$E$300=$B57)*(LEFT(Закрытые!$B$5:$B$300,2)="L-")*Закрытые!$I$5:$I$300*Закрытые!$J$5:$J$300))/F57)</f>
        <v/>
      </c>
      <c r="H57" s="241">
        <f>IF(F57="","",SUMIFS(Лэндинг!$K$5:$K$300,Лэндинг!$E$5:$E$300,$B57)+SUMIFS(Закрытые!$K$5:$K$300,Закрытые!$E$5:$E$300,$B57,Закрытые!$B$5:$B$300,"L-*"))</f>
        <v/>
      </c>
      <c r="I57" s="240">
        <f>IF($B57="","",IF(COUNTIFS(Лэндинг!$E$5:$E$300,$B57)+COUNTIFS(Закрытые!$E$5:$E$300,$B57,Закрытые!$B$5:$B$300,"L-*")=0,"",ROUND(SUMIFS(Лэндинг!$L$5:$L$300,Лэндинг!$E$5:$E$300,$B57)+SUMIFS(Закрытые!$L$5:$L$300,Закрытые!$E$5:$E$300,$B57,Закрытые!$B$5:$B$300,"L-*"),8)))</f>
        <v/>
      </c>
      <c r="J57" s="241">
        <f>IF($B57="","",IF(COUNTIFS(Лэндинг!$E$5:$E$300,$B57)+COUNTIFS(Закрытые!$E$5:$E$300,$B57,Закрытые!$B$5:$B$300,"L-*")=0,"",ROUND(SUMIFS(Лэндинг!$M$5:$M$300,Лэндинг!$E$5:$E$300,$B57)+SUMIFS(Закрытые!$M$5:$M$300,Закрытые!$E$5:$E$300,$B57,Закрытые!$B$5:$B$300,"L-*"),8)))</f>
        <v/>
      </c>
      <c r="K57" s="240">
        <f>IF($B57="","",ROUND(SUMIFS(Закрытые!$N$5:$N$300,Закрытые!$E$5:$E$300,$B57,Закрытые!$B$5:$B$300,"L-*"),8))</f>
        <v/>
      </c>
      <c r="L57" s="177">
        <f>IF(K57="","",IF(SUMPRODUCT((Закрытые!$E$5:$E$300=$B57)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57/SUMPRODUCT((Закрытые!$E$5:$E$300=$B57)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7" s="177">
        <f>IF(OR(ROUND(N(C57)-N(F57),8)=0,1-N(Ввод!$E$17)/100&lt;=0),"",IF(N(C57)&gt;N(F57),(N(E57)-N(H57))/((N(C57)-N(F57))*(1-N(Ввод!$E$17)/100)),(N(H57)-N(E57))/((N(F57)-N(C57))*(1+N(Ввод!$E$17)/100))))</f>
        <v/>
      </c>
    </row>
    <row r="58" ht="22" customHeight="1">
      <c r="B58" s="320" t="n"/>
      <c r="C58" s="246">
        <f>IF(SUMIFS(Лэндинг!$F$5:$F$300,Лэндинг!$E$5:$E$300,$B58)+SUMIFS(Закрытые!$F$5:$F$300,Закрытые!$E$5:$E$300,$B58,Закрытые!$B$5:$B$300,"L-*")=0,"",SUMIFS(Лэндинг!$F$5:$F$300,Лэндинг!$E$5:$E$300,$B58)+SUMIFS(Закрытые!$F$5:$F$300,Закрытые!$E$5:$E$300,$B58,Закрытые!$B$5:$B$300,"L-*"))</f>
        <v/>
      </c>
      <c r="D58" s="183">
        <f>IF(C58="","",(SUMPRODUCT((Лэндинг!$E$5:$E$300=$B58)*Лэндинг!$F$5:$F$300*Лэндинг!$G$5:$G$300)+SUMPRODUCT((Закрытые!$E$5:$E$300=$B58)*(LEFT(Закрытые!$B$5:$B$300,2)="L-")*Закрытые!$F$5:$F$300*Закрытые!$G$5:$G$300))/C58)</f>
        <v/>
      </c>
      <c r="E58" s="247">
        <f>IF(C58="","",SUMIFS(Лэндинг!$H$5:$H$300,Лэндинг!$E$5:$E$300,$B58)+SUMIFS(Закрытые!$H$5:$H$300,Закрытые!$E$5:$E$300,$B58,Закрытые!$B$5:$B$300,"L-*"))</f>
        <v/>
      </c>
      <c r="F58" s="246">
        <f>IF(SUMIFS(Лэндинг!$I$5:$I$300,Лэндинг!$E$5:$E$300,$B58)+SUMIFS(Закрытые!$I$5:$I$300,Закрытые!$E$5:$E$300,$B58,Закрытые!$B$5:$B$300,"L-*")=0,"",SUMIFS(Лэндинг!$I$5:$I$300,Лэндинг!$E$5:$E$300,$B58)+SUMIFS(Закрытые!$I$5:$I$300,Закрытые!$E$5:$E$300,$B58,Закрытые!$B$5:$B$300,"L-*"))</f>
        <v/>
      </c>
      <c r="G58" s="183">
        <f>IF(F58="","",(SUMPRODUCT((Лэндинг!$E$5:$E$300=$B58)*Лэндинг!$I$5:$I$300*Лэндинг!$J$5:$J$300)+SUMPRODUCT((Закрытые!$E$5:$E$300=$B58)*(LEFT(Закрытые!$B$5:$B$300,2)="L-")*Закрытые!$I$5:$I$300*Закрытые!$J$5:$J$300))/F58)</f>
        <v/>
      </c>
      <c r="H58" s="247">
        <f>IF(F58="","",SUMIFS(Лэндинг!$K$5:$K$300,Лэндинг!$E$5:$E$300,$B58)+SUMIFS(Закрытые!$K$5:$K$300,Закрытые!$E$5:$E$300,$B58,Закрытые!$B$5:$B$300,"L-*"))</f>
        <v/>
      </c>
      <c r="I58" s="246">
        <f>IF($B58="","",IF(COUNTIFS(Лэндинг!$E$5:$E$300,$B58)+COUNTIFS(Закрытые!$E$5:$E$300,$B58,Закрытые!$B$5:$B$300,"L-*")=0,"",ROUND(SUMIFS(Лэндинг!$L$5:$L$300,Лэндинг!$E$5:$E$300,$B58)+SUMIFS(Закрытые!$L$5:$L$300,Закрытые!$E$5:$E$300,$B58,Закрытые!$B$5:$B$300,"L-*"),8)))</f>
        <v/>
      </c>
      <c r="J58" s="247">
        <f>IF($B58="","",IF(COUNTIFS(Лэндинг!$E$5:$E$300,$B58)+COUNTIFS(Закрытые!$E$5:$E$300,$B58,Закрытые!$B$5:$B$300,"L-*")=0,"",ROUND(SUMIFS(Лэндинг!$M$5:$M$300,Лэндинг!$E$5:$E$300,$B58)+SUMIFS(Закрытые!$M$5:$M$300,Закрытые!$E$5:$E$300,$B58,Закрытые!$B$5:$B$300,"L-*"),8)))</f>
        <v/>
      </c>
      <c r="K58" s="246">
        <f>IF($B58="","",ROUND(SUMIFS(Закрытые!$N$5:$N$300,Закрытые!$E$5:$E$300,$B58,Закрытые!$B$5:$B$300,"L-*"),8))</f>
        <v/>
      </c>
      <c r="L58" s="183">
        <f>IF(K58="","",IF(SUMPRODUCT((Закрытые!$E$5:$E$300=$B58)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58/SUMPRODUCT((Закрытые!$E$5:$E$300=$B58)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8" s="183">
        <f>IF(OR(ROUND(N(C58)-N(F58),8)=0,1-N(Ввод!$E$17)/100&lt;=0),"",IF(N(C58)&gt;N(F58),(N(E58)-N(H58))/((N(C58)-N(F58))*(1-N(Ввод!$E$17)/100)),(N(H58)-N(E58))/((N(F58)-N(C58))*(1+N(Ввод!$E$17)/100))))</f>
        <v/>
      </c>
    </row>
    <row r="59" ht="22" customHeight="1">
      <c r="B59" s="315" t="n"/>
      <c r="C59" s="240">
        <f>IF(SUMIFS(Лэндинг!$F$5:$F$300,Лэндинг!$E$5:$E$300,$B59)+SUMIFS(Закрытые!$F$5:$F$300,Закрытые!$E$5:$E$300,$B59,Закрытые!$B$5:$B$300,"L-*")=0,"",SUMIFS(Лэндинг!$F$5:$F$300,Лэндинг!$E$5:$E$300,$B59)+SUMIFS(Закрытые!$F$5:$F$300,Закрытые!$E$5:$E$300,$B59,Закрытые!$B$5:$B$300,"L-*"))</f>
        <v/>
      </c>
      <c r="D59" s="177">
        <f>IF(C59="","",(SUMPRODUCT((Лэндинг!$E$5:$E$300=$B59)*Лэндинг!$F$5:$F$300*Лэндинг!$G$5:$G$300)+SUMPRODUCT((Закрытые!$E$5:$E$300=$B59)*(LEFT(Закрытые!$B$5:$B$300,2)="L-")*Закрытые!$F$5:$F$300*Закрытые!$G$5:$G$300))/C59)</f>
        <v/>
      </c>
      <c r="E59" s="241">
        <f>IF(C59="","",SUMIFS(Лэндинг!$H$5:$H$300,Лэндинг!$E$5:$E$300,$B59)+SUMIFS(Закрытые!$H$5:$H$300,Закрытые!$E$5:$E$300,$B59,Закрытые!$B$5:$B$300,"L-*"))</f>
        <v/>
      </c>
      <c r="F59" s="240">
        <f>IF(SUMIFS(Лэндинг!$I$5:$I$300,Лэндинг!$E$5:$E$300,$B59)+SUMIFS(Закрытые!$I$5:$I$300,Закрытые!$E$5:$E$300,$B59,Закрытые!$B$5:$B$300,"L-*")=0,"",SUMIFS(Лэндинг!$I$5:$I$300,Лэндинг!$E$5:$E$300,$B59)+SUMIFS(Закрытые!$I$5:$I$300,Закрытые!$E$5:$E$300,$B59,Закрытые!$B$5:$B$300,"L-*"))</f>
        <v/>
      </c>
      <c r="G59" s="177">
        <f>IF(F59="","",(SUMPRODUCT((Лэндинг!$E$5:$E$300=$B59)*Лэндинг!$I$5:$I$300*Лэндинг!$J$5:$J$300)+SUMPRODUCT((Закрытые!$E$5:$E$300=$B59)*(LEFT(Закрытые!$B$5:$B$300,2)="L-")*Закрытые!$I$5:$I$300*Закрытые!$J$5:$J$300))/F59)</f>
        <v/>
      </c>
      <c r="H59" s="241">
        <f>IF(F59="","",SUMIFS(Лэндинг!$K$5:$K$300,Лэндинг!$E$5:$E$300,$B59)+SUMIFS(Закрытые!$K$5:$K$300,Закрытые!$E$5:$E$300,$B59,Закрытые!$B$5:$B$300,"L-*"))</f>
        <v/>
      </c>
      <c r="I59" s="240">
        <f>IF($B59="","",IF(COUNTIFS(Лэндинг!$E$5:$E$300,$B59)+COUNTIFS(Закрытые!$E$5:$E$300,$B59,Закрытые!$B$5:$B$300,"L-*")=0,"",ROUND(SUMIFS(Лэндинг!$L$5:$L$300,Лэндинг!$E$5:$E$300,$B59)+SUMIFS(Закрытые!$L$5:$L$300,Закрытые!$E$5:$E$300,$B59,Закрытые!$B$5:$B$300,"L-*"),8)))</f>
        <v/>
      </c>
      <c r="J59" s="241">
        <f>IF($B59="","",IF(COUNTIFS(Лэндинг!$E$5:$E$300,$B59)+COUNTIFS(Закрытые!$E$5:$E$300,$B59,Закрытые!$B$5:$B$300,"L-*")=0,"",ROUND(SUMIFS(Лэндинг!$M$5:$M$300,Лэндинг!$E$5:$E$300,$B59)+SUMIFS(Закрытые!$M$5:$M$300,Закрытые!$E$5:$E$300,$B59,Закрытые!$B$5:$B$300,"L-*"),8)))</f>
        <v/>
      </c>
      <c r="K59" s="240">
        <f>IF($B59="","",ROUND(SUMIFS(Закрытые!$N$5:$N$300,Закрытые!$E$5:$E$300,$B59,Закрытые!$B$5:$B$300,"L-*"),8))</f>
        <v/>
      </c>
      <c r="L59" s="177">
        <f>IF(K59="","",IF(SUMPRODUCT((Закрытые!$E$5:$E$300=$B59)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59/SUMPRODUCT((Закрытые!$E$5:$E$300=$B59)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9" s="177">
        <f>IF(OR(ROUND(N(C59)-N(F59),8)=0,1-N(Ввод!$E$17)/100&lt;=0),"",IF(N(C59)&gt;N(F59),(N(E59)-N(H59))/((N(C59)-N(F59))*(1-N(Ввод!$E$17)/100)),(N(H59)-N(E59))/((N(F59)-N(C59))*(1+N(Ввод!$E$17)/100))))</f>
        <v/>
      </c>
    </row>
    <row r="60" ht="22" customHeight="1">
      <c r="B60" s="320" t="n"/>
      <c r="C60" s="246">
        <f>IF(SUMIFS(Лэндинг!$F$5:$F$300,Лэндинг!$E$5:$E$300,$B60)+SUMIFS(Закрытые!$F$5:$F$300,Закрытые!$E$5:$E$300,$B60,Закрытые!$B$5:$B$300,"L-*")=0,"",SUMIFS(Лэндинг!$F$5:$F$300,Лэндинг!$E$5:$E$300,$B60)+SUMIFS(Закрытые!$F$5:$F$300,Закрытые!$E$5:$E$300,$B60,Закрытые!$B$5:$B$300,"L-*"))</f>
        <v/>
      </c>
      <c r="D60" s="183">
        <f>IF(C60="","",(SUMPRODUCT((Лэндинг!$E$5:$E$300=$B60)*Лэндинг!$F$5:$F$300*Лэндинг!$G$5:$G$300)+SUMPRODUCT((Закрытые!$E$5:$E$300=$B60)*(LEFT(Закрытые!$B$5:$B$300,2)="L-")*Закрытые!$F$5:$F$300*Закрытые!$G$5:$G$300))/C60)</f>
        <v/>
      </c>
      <c r="E60" s="247">
        <f>IF(C60="","",SUMIFS(Лэндинг!$H$5:$H$300,Лэндинг!$E$5:$E$300,$B60)+SUMIFS(Закрытые!$H$5:$H$300,Закрытые!$E$5:$E$300,$B60,Закрытые!$B$5:$B$300,"L-*"))</f>
        <v/>
      </c>
      <c r="F60" s="246">
        <f>IF(SUMIFS(Лэндинг!$I$5:$I$300,Лэндинг!$E$5:$E$300,$B60)+SUMIFS(Закрытые!$I$5:$I$300,Закрытые!$E$5:$E$300,$B60,Закрытые!$B$5:$B$300,"L-*")=0,"",SUMIFS(Лэндинг!$I$5:$I$300,Лэндинг!$E$5:$E$300,$B60)+SUMIFS(Закрытые!$I$5:$I$300,Закрытые!$E$5:$E$300,$B60,Закрытые!$B$5:$B$300,"L-*"))</f>
        <v/>
      </c>
      <c r="G60" s="183">
        <f>IF(F60="","",(SUMPRODUCT((Лэндинг!$E$5:$E$300=$B60)*Лэндинг!$I$5:$I$300*Лэндинг!$J$5:$J$300)+SUMPRODUCT((Закрытые!$E$5:$E$300=$B60)*(LEFT(Закрытые!$B$5:$B$300,2)="L-")*Закрытые!$I$5:$I$300*Закрытые!$J$5:$J$300))/F60)</f>
        <v/>
      </c>
      <c r="H60" s="247">
        <f>IF(F60="","",SUMIFS(Лэндинг!$K$5:$K$300,Лэндинг!$E$5:$E$300,$B60)+SUMIFS(Закрытые!$K$5:$K$300,Закрытые!$E$5:$E$300,$B60,Закрытые!$B$5:$B$300,"L-*"))</f>
        <v/>
      </c>
      <c r="I60" s="246">
        <f>IF($B60="","",IF(COUNTIFS(Лэндинг!$E$5:$E$300,$B60)+COUNTIFS(Закрытые!$E$5:$E$300,$B60,Закрытые!$B$5:$B$300,"L-*")=0,"",ROUND(SUMIFS(Лэндинг!$L$5:$L$300,Лэндинг!$E$5:$E$300,$B60)+SUMIFS(Закрытые!$L$5:$L$300,Закрытые!$E$5:$E$300,$B60,Закрытые!$B$5:$B$300,"L-*"),8)))</f>
        <v/>
      </c>
      <c r="J60" s="247">
        <f>IF($B60="","",IF(COUNTIFS(Лэндинг!$E$5:$E$300,$B60)+COUNTIFS(Закрытые!$E$5:$E$300,$B60,Закрытые!$B$5:$B$300,"L-*")=0,"",ROUND(SUMIFS(Лэндинг!$M$5:$M$300,Лэндинг!$E$5:$E$300,$B60)+SUMIFS(Закрытые!$M$5:$M$300,Закрытые!$E$5:$E$300,$B60,Закрытые!$B$5:$B$300,"L-*"),8)))</f>
        <v/>
      </c>
      <c r="K60" s="246">
        <f>IF($B60="","",ROUND(SUMIFS(Закрытые!$N$5:$N$300,Закрытые!$E$5:$E$300,$B60,Закрытые!$B$5:$B$300,"L-*"),8))</f>
        <v/>
      </c>
      <c r="L60" s="183">
        <f>IF(K60="","",IF(SUMPRODUCT((Закрытые!$E$5:$E$300=$B60)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60/SUMPRODUCT((Закрытые!$E$5:$E$300=$B60)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0" s="183">
        <f>IF(OR(ROUND(N(C60)-N(F60),8)=0,1-N(Ввод!$E$17)/100&lt;=0),"",IF(N(C60)&gt;N(F60),(N(E60)-N(H60))/((N(C60)-N(F60))*(1-N(Ввод!$E$17)/100)),(N(H60)-N(E60))/((N(F60)-N(C60))*(1+N(Ввод!$E$17)/100))))</f>
        <v/>
      </c>
    </row>
    <row r="61" ht="22" customHeight="1">
      <c r="B61" s="315" t="n"/>
      <c r="C61" s="240">
        <f>IF(SUMIFS(Лэндинг!$F$5:$F$300,Лэндинг!$E$5:$E$300,$B61)+SUMIFS(Закрытые!$F$5:$F$300,Закрытые!$E$5:$E$300,$B61,Закрытые!$B$5:$B$300,"L-*")=0,"",SUMIFS(Лэндинг!$F$5:$F$300,Лэндинг!$E$5:$E$300,$B61)+SUMIFS(Закрытые!$F$5:$F$300,Закрытые!$E$5:$E$300,$B61,Закрытые!$B$5:$B$300,"L-*"))</f>
        <v/>
      </c>
      <c r="D61" s="177">
        <f>IF(C61="","",(SUMPRODUCT((Лэндинг!$E$5:$E$300=$B61)*Лэндинг!$F$5:$F$300*Лэндинг!$G$5:$G$300)+SUMPRODUCT((Закрытые!$E$5:$E$300=$B61)*(LEFT(Закрытые!$B$5:$B$300,2)="L-")*Закрытые!$F$5:$F$300*Закрытые!$G$5:$G$300))/C61)</f>
        <v/>
      </c>
      <c r="E61" s="241">
        <f>IF(C61="","",SUMIFS(Лэндинг!$H$5:$H$300,Лэндинг!$E$5:$E$300,$B61)+SUMIFS(Закрытые!$H$5:$H$300,Закрытые!$E$5:$E$300,$B61,Закрытые!$B$5:$B$300,"L-*"))</f>
        <v/>
      </c>
      <c r="F61" s="240">
        <f>IF(SUMIFS(Лэндинг!$I$5:$I$300,Лэндинг!$E$5:$E$300,$B61)+SUMIFS(Закрытые!$I$5:$I$300,Закрытые!$E$5:$E$300,$B61,Закрытые!$B$5:$B$300,"L-*")=0,"",SUMIFS(Лэндинг!$I$5:$I$300,Лэндинг!$E$5:$E$300,$B61)+SUMIFS(Закрытые!$I$5:$I$300,Закрытые!$E$5:$E$300,$B61,Закрытые!$B$5:$B$300,"L-*"))</f>
        <v/>
      </c>
      <c r="G61" s="177">
        <f>IF(F61="","",(SUMPRODUCT((Лэндинг!$E$5:$E$300=$B61)*Лэндинг!$I$5:$I$300*Лэндинг!$J$5:$J$300)+SUMPRODUCT((Закрытые!$E$5:$E$300=$B61)*(LEFT(Закрытые!$B$5:$B$300,2)="L-")*Закрытые!$I$5:$I$300*Закрытые!$J$5:$J$300))/F61)</f>
        <v/>
      </c>
      <c r="H61" s="241">
        <f>IF(F61="","",SUMIFS(Лэндинг!$K$5:$K$300,Лэндинг!$E$5:$E$300,$B61)+SUMIFS(Закрытые!$K$5:$K$300,Закрытые!$E$5:$E$300,$B61,Закрытые!$B$5:$B$300,"L-*"))</f>
        <v/>
      </c>
      <c r="I61" s="240">
        <f>IF($B61="","",IF(COUNTIFS(Лэндинг!$E$5:$E$300,$B61)+COUNTIFS(Закрытые!$E$5:$E$300,$B61,Закрытые!$B$5:$B$300,"L-*")=0,"",ROUND(SUMIFS(Лэндинг!$L$5:$L$300,Лэндинг!$E$5:$E$300,$B61)+SUMIFS(Закрытые!$L$5:$L$300,Закрытые!$E$5:$E$300,$B61,Закрытые!$B$5:$B$300,"L-*"),8)))</f>
        <v/>
      </c>
      <c r="J61" s="241">
        <f>IF($B61="","",IF(COUNTIFS(Лэндинг!$E$5:$E$300,$B61)+COUNTIFS(Закрытые!$E$5:$E$300,$B61,Закрытые!$B$5:$B$300,"L-*")=0,"",ROUND(SUMIFS(Лэндинг!$M$5:$M$300,Лэндинг!$E$5:$E$300,$B61)+SUMIFS(Закрытые!$M$5:$M$300,Закрытые!$E$5:$E$300,$B61,Закрытые!$B$5:$B$300,"L-*"),8)))</f>
        <v/>
      </c>
      <c r="K61" s="240">
        <f>IF($B61="","",ROUND(SUMIFS(Закрытые!$N$5:$N$300,Закрытые!$E$5:$E$300,$B61,Закрытые!$B$5:$B$300,"L-*"),8))</f>
        <v/>
      </c>
      <c r="L61" s="177">
        <f>IF(K61="","",IF(SUMPRODUCT((Закрытые!$E$5:$E$300=$B61)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61/SUMPRODUCT((Закрытые!$E$5:$E$300=$B61)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1" s="177">
        <f>IF(OR(ROUND(N(C61)-N(F61),8)=0,1-N(Ввод!$E$17)/100&lt;=0),"",IF(N(C61)&gt;N(F61),(N(E61)-N(H61))/((N(C61)-N(F61))*(1-N(Ввод!$E$17)/100)),(N(H61)-N(E61))/((N(F61)-N(C61))*(1+N(Ввод!$E$17)/100))))</f>
        <v/>
      </c>
    </row>
    <row r="62" ht="22" customHeight="1">
      <c r="B62" s="320" t="n"/>
      <c r="C62" s="246">
        <f>IF(SUMIFS(Лэндинг!$F$5:$F$300,Лэндинг!$E$5:$E$300,$B62)+SUMIFS(Закрытые!$F$5:$F$300,Закрытые!$E$5:$E$300,$B62,Закрытые!$B$5:$B$300,"L-*")=0,"",SUMIFS(Лэндинг!$F$5:$F$300,Лэндинг!$E$5:$E$300,$B62)+SUMIFS(Закрытые!$F$5:$F$300,Закрытые!$E$5:$E$300,$B62,Закрытые!$B$5:$B$300,"L-*"))</f>
        <v/>
      </c>
      <c r="D62" s="183">
        <f>IF(C62="","",(SUMPRODUCT((Лэндинг!$E$5:$E$300=$B62)*Лэндинг!$F$5:$F$300*Лэндинг!$G$5:$G$300)+SUMPRODUCT((Закрытые!$E$5:$E$300=$B62)*(LEFT(Закрытые!$B$5:$B$300,2)="L-")*Закрытые!$F$5:$F$300*Закрытые!$G$5:$G$300))/C62)</f>
        <v/>
      </c>
      <c r="E62" s="247">
        <f>IF(C62="","",SUMIFS(Лэндинг!$H$5:$H$300,Лэндинг!$E$5:$E$300,$B62)+SUMIFS(Закрытые!$H$5:$H$300,Закрытые!$E$5:$E$300,$B62,Закрытые!$B$5:$B$300,"L-*"))</f>
        <v/>
      </c>
      <c r="F62" s="246">
        <f>IF(SUMIFS(Лэндинг!$I$5:$I$300,Лэндинг!$E$5:$E$300,$B62)+SUMIFS(Закрытые!$I$5:$I$300,Закрытые!$E$5:$E$300,$B62,Закрытые!$B$5:$B$300,"L-*")=0,"",SUMIFS(Лэндинг!$I$5:$I$300,Лэндинг!$E$5:$E$300,$B62)+SUMIFS(Закрытые!$I$5:$I$300,Закрытые!$E$5:$E$300,$B62,Закрытые!$B$5:$B$300,"L-*"))</f>
        <v/>
      </c>
      <c r="G62" s="183">
        <f>IF(F62="","",(SUMPRODUCT((Лэндинг!$E$5:$E$300=$B62)*Лэндинг!$I$5:$I$300*Лэндинг!$J$5:$J$300)+SUMPRODUCT((Закрытые!$E$5:$E$300=$B62)*(LEFT(Закрытые!$B$5:$B$300,2)="L-")*Закрытые!$I$5:$I$300*Закрытые!$J$5:$J$300))/F62)</f>
        <v/>
      </c>
      <c r="H62" s="247">
        <f>IF(F62="","",SUMIFS(Лэндинг!$K$5:$K$300,Лэндинг!$E$5:$E$300,$B62)+SUMIFS(Закрытые!$K$5:$K$300,Закрытые!$E$5:$E$300,$B62,Закрытые!$B$5:$B$300,"L-*"))</f>
        <v/>
      </c>
      <c r="I62" s="246">
        <f>IF($B62="","",IF(COUNTIFS(Лэндинг!$E$5:$E$300,$B62)+COUNTIFS(Закрытые!$E$5:$E$300,$B62,Закрытые!$B$5:$B$300,"L-*")=0,"",ROUND(SUMIFS(Лэндинг!$L$5:$L$300,Лэндинг!$E$5:$E$300,$B62)+SUMIFS(Закрытые!$L$5:$L$300,Закрытые!$E$5:$E$300,$B62,Закрытые!$B$5:$B$300,"L-*"),8)))</f>
        <v/>
      </c>
      <c r="J62" s="247">
        <f>IF($B62="","",IF(COUNTIFS(Лэндинг!$E$5:$E$300,$B62)+COUNTIFS(Закрытые!$E$5:$E$300,$B62,Закрытые!$B$5:$B$300,"L-*")=0,"",ROUND(SUMIFS(Лэндинг!$M$5:$M$300,Лэндинг!$E$5:$E$300,$B62)+SUMIFS(Закрытые!$M$5:$M$300,Закрытые!$E$5:$E$300,$B62,Закрытые!$B$5:$B$300,"L-*"),8)))</f>
        <v/>
      </c>
      <c r="K62" s="246">
        <f>IF($B62="","",ROUND(SUMIFS(Закрытые!$N$5:$N$300,Закрытые!$E$5:$E$300,$B62,Закрытые!$B$5:$B$300,"L-*"),8))</f>
        <v/>
      </c>
      <c r="L62" s="183">
        <f>IF(K62="","",IF(SUMPRODUCT((Закрытые!$E$5:$E$300=$B62)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62/SUMPRODUCT((Закрытые!$E$5:$E$300=$B62)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2" s="183">
        <f>IF(OR(ROUND(N(C62)-N(F62),8)=0,1-N(Ввод!$E$17)/100&lt;=0),"",IF(N(C62)&gt;N(F62),(N(E62)-N(H62))/((N(C62)-N(F62))*(1-N(Ввод!$E$17)/100)),(N(H62)-N(E62))/((N(F62)-N(C62))*(1+N(Ввод!$E$17)/100))))</f>
        <v/>
      </c>
    </row>
    <row r="63" ht="22" customHeight="1">
      <c r="B63" s="315" t="n"/>
      <c r="C63" s="240">
        <f>IF(SUMIFS(Лэндинг!$F$5:$F$300,Лэндинг!$E$5:$E$300,$B63)+SUMIFS(Закрытые!$F$5:$F$300,Закрытые!$E$5:$E$300,$B63,Закрытые!$B$5:$B$300,"L-*")=0,"",SUMIFS(Лэндинг!$F$5:$F$300,Лэндинг!$E$5:$E$300,$B63)+SUMIFS(Закрытые!$F$5:$F$300,Закрытые!$E$5:$E$300,$B63,Закрытые!$B$5:$B$300,"L-*"))</f>
        <v/>
      </c>
      <c r="D63" s="177">
        <f>IF(C63="","",(SUMPRODUCT((Лэндинг!$E$5:$E$300=$B63)*Лэндинг!$F$5:$F$300*Лэндинг!$G$5:$G$300)+SUMPRODUCT((Закрытые!$E$5:$E$300=$B63)*(LEFT(Закрытые!$B$5:$B$300,2)="L-")*Закрытые!$F$5:$F$300*Закрытые!$G$5:$G$300))/C63)</f>
        <v/>
      </c>
      <c r="E63" s="241">
        <f>IF(C63="","",SUMIFS(Лэндинг!$H$5:$H$300,Лэндинг!$E$5:$E$300,$B63)+SUMIFS(Закрытые!$H$5:$H$300,Закрытые!$E$5:$E$300,$B63,Закрытые!$B$5:$B$300,"L-*"))</f>
        <v/>
      </c>
      <c r="F63" s="240">
        <f>IF(SUMIFS(Лэндинг!$I$5:$I$300,Лэндинг!$E$5:$E$300,$B63)+SUMIFS(Закрытые!$I$5:$I$300,Закрытые!$E$5:$E$300,$B63,Закрытые!$B$5:$B$300,"L-*")=0,"",SUMIFS(Лэндинг!$I$5:$I$300,Лэндинг!$E$5:$E$300,$B63)+SUMIFS(Закрытые!$I$5:$I$300,Закрытые!$E$5:$E$300,$B63,Закрытые!$B$5:$B$300,"L-*"))</f>
        <v/>
      </c>
      <c r="G63" s="177">
        <f>IF(F63="","",(SUMPRODUCT((Лэндинг!$E$5:$E$300=$B63)*Лэндинг!$I$5:$I$300*Лэндинг!$J$5:$J$300)+SUMPRODUCT((Закрытые!$E$5:$E$300=$B63)*(LEFT(Закрытые!$B$5:$B$300,2)="L-")*Закрытые!$I$5:$I$300*Закрытые!$J$5:$J$300))/F63)</f>
        <v/>
      </c>
      <c r="H63" s="241">
        <f>IF(F63="","",SUMIFS(Лэндинг!$K$5:$K$300,Лэндинг!$E$5:$E$300,$B63)+SUMIFS(Закрытые!$K$5:$K$300,Закрытые!$E$5:$E$300,$B63,Закрытые!$B$5:$B$300,"L-*"))</f>
        <v/>
      </c>
      <c r="I63" s="240">
        <f>IF($B63="","",IF(COUNTIFS(Лэндинг!$E$5:$E$300,$B63)+COUNTIFS(Закрытые!$E$5:$E$300,$B63,Закрытые!$B$5:$B$300,"L-*")=0,"",ROUND(SUMIFS(Лэндинг!$L$5:$L$300,Лэндинг!$E$5:$E$300,$B63)+SUMIFS(Закрытые!$L$5:$L$300,Закрытые!$E$5:$E$300,$B63,Закрытые!$B$5:$B$300,"L-*"),8)))</f>
        <v/>
      </c>
      <c r="J63" s="241">
        <f>IF($B63="","",IF(COUNTIFS(Лэндинг!$E$5:$E$300,$B63)+COUNTIFS(Закрытые!$E$5:$E$300,$B63,Закрытые!$B$5:$B$300,"L-*")=0,"",ROUND(SUMIFS(Лэндинг!$M$5:$M$300,Лэндинг!$E$5:$E$300,$B63)+SUMIFS(Закрытые!$M$5:$M$300,Закрытые!$E$5:$E$300,$B63,Закрытые!$B$5:$B$300,"L-*"),8)))</f>
        <v/>
      </c>
      <c r="K63" s="240">
        <f>IF($B63="","",ROUND(SUMIFS(Закрытые!$N$5:$N$300,Закрытые!$E$5:$E$300,$B63,Закрытые!$B$5:$B$300,"L-*"),8))</f>
        <v/>
      </c>
      <c r="L63" s="177">
        <f>IF(K63="","",IF(SUMPRODUCT((Закрытые!$E$5:$E$300=$B63)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63/SUMPRODUCT((Закрытые!$E$5:$E$300=$B63)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3" s="177">
        <f>IF(OR(ROUND(N(C63)-N(F63),8)=0,1-N(Ввод!$E$17)/100&lt;=0),"",IF(N(C63)&gt;N(F63),(N(E63)-N(H63))/((N(C63)-N(F63))*(1-N(Ввод!$E$17)/100)),(N(H63)-N(E63))/((N(F63)-N(C63))*(1+N(Ввод!$E$17)/100))))</f>
        <v/>
      </c>
    </row>
    <row r="64" ht="22" customHeight="1">
      <c r="B64" s="320" t="n"/>
      <c r="C64" s="246">
        <f>IF(SUMIFS(Лэндинг!$F$5:$F$300,Лэндинг!$E$5:$E$300,$B64)+SUMIFS(Закрытые!$F$5:$F$300,Закрытые!$E$5:$E$300,$B64,Закрытые!$B$5:$B$300,"L-*")=0,"",SUMIFS(Лэндинг!$F$5:$F$300,Лэндинг!$E$5:$E$300,$B64)+SUMIFS(Закрытые!$F$5:$F$300,Закрытые!$E$5:$E$300,$B64,Закрытые!$B$5:$B$300,"L-*"))</f>
        <v/>
      </c>
      <c r="D64" s="183">
        <f>IF(C64="","",(SUMPRODUCT((Лэндинг!$E$5:$E$300=$B64)*Лэндинг!$F$5:$F$300*Лэндинг!$G$5:$G$300)+SUMPRODUCT((Закрытые!$E$5:$E$300=$B64)*(LEFT(Закрытые!$B$5:$B$300,2)="L-")*Закрытые!$F$5:$F$300*Закрытые!$G$5:$G$300))/C64)</f>
        <v/>
      </c>
      <c r="E64" s="247">
        <f>IF(C64="","",SUMIFS(Лэндинг!$H$5:$H$300,Лэндинг!$E$5:$E$300,$B64)+SUMIFS(Закрытые!$H$5:$H$300,Закрытые!$E$5:$E$300,$B64,Закрытые!$B$5:$B$300,"L-*"))</f>
        <v/>
      </c>
      <c r="F64" s="246">
        <f>IF(SUMIFS(Лэндинг!$I$5:$I$300,Лэндинг!$E$5:$E$300,$B64)+SUMIFS(Закрытые!$I$5:$I$300,Закрытые!$E$5:$E$300,$B64,Закрытые!$B$5:$B$300,"L-*")=0,"",SUMIFS(Лэндинг!$I$5:$I$300,Лэндинг!$E$5:$E$300,$B64)+SUMIFS(Закрытые!$I$5:$I$300,Закрытые!$E$5:$E$300,$B64,Закрытые!$B$5:$B$300,"L-*"))</f>
        <v/>
      </c>
      <c r="G64" s="183">
        <f>IF(F64="","",(SUMPRODUCT((Лэндинг!$E$5:$E$300=$B64)*Лэндинг!$I$5:$I$300*Лэндинг!$J$5:$J$300)+SUMPRODUCT((Закрытые!$E$5:$E$300=$B64)*(LEFT(Закрытые!$B$5:$B$300,2)="L-")*Закрытые!$I$5:$I$300*Закрытые!$J$5:$J$300))/F64)</f>
        <v/>
      </c>
      <c r="H64" s="247">
        <f>IF(F64="","",SUMIFS(Лэндинг!$K$5:$K$300,Лэндинг!$E$5:$E$300,$B64)+SUMIFS(Закрытые!$K$5:$K$300,Закрытые!$E$5:$E$300,$B64,Закрытые!$B$5:$B$300,"L-*"))</f>
        <v/>
      </c>
      <c r="I64" s="246">
        <f>IF($B64="","",IF(COUNTIFS(Лэндинг!$E$5:$E$300,$B64)+COUNTIFS(Закрытые!$E$5:$E$300,$B64,Закрытые!$B$5:$B$300,"L-*")=0,"",ROUND(SUMIFS(Лэндинг!$L$5:$L$300,Лэндинг!$E$5:$E$300,$B64)+SUMIFS(Закрытые!$L$5:$L$300,Закрытые!$E$5:$E$300,$B64,Закрытые!$B$5:$B$300,"L-*"),8)))</f>
        <v/>
      </c>
      <c r="J64" s="247">
        <f>IF($B64="","",IF(COUNTIFS(Лэндинг!$E$5:$E$300,$B64)+COUNTIFS(Закрытые!$E$5:$E$300,$B64,Закрытые!$B$5:$B$300,"L-*")=0,"",ROUND(SUMIFS(Лэндинг!$M$5:$M$300,Лэндинг!$E$5:$E$300,$B64)+SUMIFS(Закрытые!$M$5:$M$300,Закрытые!$E$5:$E$300,$B64,Закрытые!$B$5:$B$300,"L-*"),8)))</f>
        <v/>
      </c>
      <c r="K64" s="246">
        <f>IF($B64="","",ROUND(SUMIFS(Закрытые!$N$5:$N$300,Закрытые!$E$5:$E$300,$B64,Закрытые!$B$5:$B$300,"L-*"),8))</f>
        <v/>
      </c>
      <c r="L64" s="183">
        <f>IF(K64="","",IF(SUMPRODUCT((Закрытые!$E$5:$E$300=$B64)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64/SUMPRODUCT((Закрытые!$E$5:$E$300=$B64)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4" s="183">
        <f>IF(OR(ROUND(N(C64)-N(F64),8)=0,1-N(Ввод!$E$17)/100&lt;=0),"",IF(N(C64)&gt;N(F64),(N(E64)-N(H64))/((N(C64)-N(F64))*(1-N(Ввод!$E$17)/100)),(N(H64)-N(E64))/((N(F64)-N(C64))*(1+N(Ввод!$E$17)/100))))</f>
        <v/>
      </c>
    </row>
    <row r="65" ht="22" customHeight="1">
      <c r="B65" s="315" t="n"/>
      <c r="C65" s="240">
        <f>IF(SUMIFS(Лэндинг!$F$5:$F$300,Лэндинг!$E$5:$E$300,$B65)+SUMIFS(Закрытые!$F$5:$F$300,Закрытые!$E$5:$E$300,$B65,Закрытые!$B$5:$B$300,"L-*")=0,"",SUMIFS(Лэндинг!$F$5:$F$300,Лэндинг!$E$5:$E$300,$B65)+SUMIFS(Закрытые!$F$5:$F$300,Закрытые!$E$5:$E$300,$B65,Закрытые!$B$5:$B$300,"L-*"))</f>
        <v/>
      </c>
      <c r="D65" s="177">
        <f>IF(C65="","",(SUMPRODUCT((Лэндинг!$E$5:$E$300=$B65)*Лэндинг!$F$5:$F$300*Лэндинг!$G$5:$G$300)+SUMPRODUCT((Закрытые!$E$5:$E$300=$B65)*(LEFT(Закрытые!$B$5:$B$300,2)="L-")*Закрытые!$F$5:$F$300*Закрытые!$G$5:$G$300))/C65)</f>
        <v/>
      </c>
      <c r="E65" s="241">
        <f>IF(C65="","",SUMIFS(Лэндинг!$H$5:$H$300,Лэндинг!$E$5:$E$300,$B65)+SUMIFS(Закрытые!$H$5:$H$300,Закрытые!$E$5:$E$300,$B65,Закрытые!$B$5:$B$300,"L-*"))</f>
        <v/>
      </c>
      <c r="F65" s="240">
        <f>IF(SUMIFS(Лэндинг!$I$5:$I$300,Лэндинг!$E$5:$E$300,$B65)+SUMIFS(Закрытые!$I$5:$I$300,Закрытые!$E$5:$E$300,$B65,Закрытые!$B$5:$B$300,"L-*")=0,"",SUMIFS(Лэндинг!$I$5:$I$300,Лэндинг!$E$5:$E$300,$B65)+SUMIFS(Закрытые!$I$5:$I$300,Закрытые!$E$5:$E$300,$B65,Закрытые!$B$5:$B$300,"L-*"))</f>
        <v/>
      </c>
      <c r="G65" s="177">
        <f>IF(F65="","",(SUMPRODUCT((Лэндинг!$E$5:$E$300=$B65)*Лэндинг!$I$5:$I$300*Лэндинг!$J$5:$J$300)+SUMPRODUCT((Закрытые!$E$5:$E$300=$B65)*(LEFT(Закрытые!$B$5:$B$300,2)="L-")*Закрытые!$I$5:$I$300*Закрытые!$J$5:$J$300))/F65)</f>
        <v/>
      </c>
      <c r="H65" s="241">
        <f>IF(F65="","",SUMIFS(Лэндинг!$K$5:$K$300,Лэндинг!$E$5:$E$300,$B65)+SUMIFS(Закрытые!$K$5:$K$300,Закрытые!$E$5:$E$300,$B65,Закрытые!$B$5:$B$300,"L-*"))</f>
        <v/>
      </c>
      <c r="I65" s="240">
        <f>IF($B65="","",IF(COUNTIFS(Лэндинг!$E$5:$E$300,$B65)+COUNTIFS(Закрытые!$E$5:$E$300,$B65,Закрытые!$B$5:$B$300,"L-*")=0,"",ROUND(SUMIFS(Лэндинг!$L$5:$L$300,Лэндинг!$E$5:$E$300,$B65)+SUMIFS(Закрытые!$L$5:$L$300,Закрытые!$E$5:$E$300,$B65,Закрытые!$B$5:$B$300,"L-*"),8)))</f>
        <v/>
      </c>
      <c r="J65" s="241">
        <f>IF($B65="","",IF(COUNTIFS(Лэндинг!$E$5:$E$300,$B65)+COUNTIFS(Закрытые!$E$5:$E$300,$B65,Закрытые!$B$5:$B$300,"L-*")=0,"",ROUND(SUMIFS(Лэндинг!$M$5:$M$300,Лэндинг!$E$5:$E$300,$B65)+SUMIFS(Закрытые!$M$5:$M$300,Закрытые!$E$5:$E$300,$B65,Закрытые!$B$5:$B$300,"L-*"),8)))</f>
        <v/>
      </c>
      <c r="K65" s="240">
        <f>IF($B65="","",ROUND(SUMIFS(Закрытые!$N$5:$N$300,Закрытые!$E$5:$E$300,$B65,Закрытые!$B$5:$B$300,"L-*"),8))</f>
        <v/>
      </c>
      <c r="L65" s="177">
        <f>IF(K65="","",IF(SUMPRODUCT((Закрытые!$E$5:$E$300=$B65)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65/SUMPRODUCT((Закрытые!$E$5:$E$300=$B65)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5" s="177">
        <f>IF(OR(ROUND(N(C65)-N(F65),8)=0,1-N(Ввод!$E$17)/100&lt;=0),"",IF(N(C65)&gt;N(F65),(N(E65)-N(H65))/((N(C65)-N(F65))*(1-N(Ввод!$E$17)/100)),(N(H65)-N(E65))/((N(F65)-N(C65))*(1+N(Ввод!$E$17)/100))))</f>
        <v/>
      </c>
    </row>
    <row r="66" ht="22" customHeight="1">
      <c r="B66" s="320" t="n"/>
      <c r="C66" s="246">
        <f>IF(SUMIFS(Лэндинг!$F$5:$F$300,Лэндинг!$E$5:$E$300,$B66)+SUMIFS(Закрытые!$F$5:$F$300,Закрытые!$E$5:$E$300,$B66,Закрытые!$B$5:$B$300,"L-*")=0,"",SUMIFS(Лэндинг!$F$5:$F$300,Лэндинг!$E$5:$E$300,$B66)+SUMIFS(Закрытые!$F$5:$F$300,Закрытые!$E$5:$E$300,$B66,Закрытые!$B$5:$B$300,"L-*"))</f>
        <v/>
      </c>
      <c r="D66" s="183">
        <f>IF(C66="","",(SUMPRODUCT((Лэндинг!$E$5:$E$300=$B66)*Лэндинг!$F$5:$F$300*Лэндинг!$G$5:$G$300)+SUMPRODUCT((Закрытые!$E$5:$E$300=$B66)*(LEFT(Закрытые!$B$5:$B$300,2)="L-")*Закрытые!$F$5:$F$300*Закрытые!$G$5:$G$300))/C66)</f>
        <v/>
      </c>
      <c r="E66" s="247">
        <f>IF(C66="","",SUMIFS(Лэндинг!$H$5:$H$300,Лэндинг!$E$5:$E$300,$B66)+SUMIFS(Закрытые!$H$5:$H$300,Закрытые!$E$5:$E$300,$B66,Закрытые!$B$5:$B$300,"L-*"))</f>
        <v/>
      </c>
      <c r="F66" s="246">
        <f>IF(SUMIFS(Лэндинг!$I$5:$I$300,Лэндинг!$E$5:$E$300,$B66)+SUMIFS(Закрытые!$I$5:$I$300,Закрытые!$E$5:$E$300,$B66,Закрытые!$B$5:$B$300,"L-*")=0,"",SUMIFS(Лэндинг!$I$5:$I$300,Лэндинг!$E$5:$E$300,$B66)+SUMIFS(Закрытые!$I$5:$I$300,Закрытые!$E$5:$E$300,$B66,Закрытые!$B$5:$B$300,"L-*"))</f>
        <v/>
      </c>
      <c r="G66" s="183">
        <f>IF(F66="","",(SUMPRODUCT((Лэндинг!$E$5:$E$300=$B66)*Лэндинг!$I$5:$I$300*Лэндинг!$J$5:$J$300)+SUMPRODUCT((Закрытые!$E$5:$E$300=$B66)*(LEFT(Закрытые!$B$5:$B$300,2)="L-")*Закрытые!$I$5:$I$300*Закрытые!$J$5:$J$300))/F66)</f>
        <v/>
      </c>
      <c r="H66" s="247">
        <f>IF(F66="","",SUMIFS(Лэндинг!$K$5:$K$300,Лэндинг!$E$5:$E$300,$B66)+SUMIFS(Закрытые!$K$5:$K$300,Закрытые!$E$5:$E$300,$B66,Закрытые!$B$5:$B$300,"L-*"))</f>
        <v/>
      </c>
      <c r="I66" s="246">
        <f>IF($B66="","",IF(COUNTIFS(Лэндинг!$E$5:$E$300,$B66)+COUNTIFS(Закрытые!$E$5:$E$300,$B66,Закрытые!$B$5:$B$300,"L-*")=0,"",ROUND(SUMIFS(Лэндинг!$L$5:$L$300,Лэндинг!$E$5:$E$300,$B66)+SUMIFS(Закрытые!$L$5:$L$300,Закрытые!$E$5:$E$300,$B66,Закрытые!$B$5:$B$300,"L-*"),8)))</f>
        <v/>
      </c>
      <c r="J66" s="247">
        <f>IF($B66="","",IF(COUNTIFS(Лэндинг!$E$5:$E$300,$B66)+COUNTIFS(Закрытые!$E$5:$E$300,$B66,Закрытые!$B$5:$B$300,"L-*")=0,"",ROUND(SUMIFS(Лэндинг!$M$5:$M$300,Лэндинг!$E$5:$E$300,$B66)+SUMIFS(Закрытые!$M$5:$M$300,Закрытые!$E$5:$E$300,$B66,Закрытые!$B$5:$B$300,"L-*"),8)))</f>
        <v/>
      </c>
      <c r="K66" s="246">
        <f>IF($B66="","",ROUND(SUMIFS(Закрытые!$N$5:$N$300,Закрытые!$E$5:$E$300,$B66,Закрытые!$B$5:$B$300,"L-*"),8))</f>
        <v/>
      </c>
      <c r="L66" s="183">
        <f>IF(K66="","",IF(SUMPRODUCT((Закрытые!$E$5:$E$300=$B66)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66/SUMPRODUCT((Закрытые!$E$5:$E$300=$B66)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6" s="183">
        <f>IF(OR(ROUND(N(C66)-N(F66),8)=0,1-N(Ввод!$E$17)/100&lt;=0),"",IF(N(C66)&gt;N(F66),(N(E66)-N(H66))/((N(C66)-N(F66))*(1-N(Ввод!$E$17)/100)),(N(H66)-N(E66))/((N(F66)-N(C66))*(1+N(Ввод!$E$17)/100))))</f>
        <v/>
      </c>
    </row>
    <row r="67" ht="22" customHeight="1">
      <c r="B67" s="315" t="n"/>
      <c r="C67" s="240">
        <f>IF(SUMIFS(Лэндинг!$F$5:$F$300,Лэндинг!$E$5:$E$300,$B67)+SUMIFS(Закрытые!$F$5:$F$300,Закрытые!$E$5:$E$300,$B67,Закрытые!$B$5:$B$300,"L-*")=0,"",SUMIFS(Лэндинг!$F$5:$F$300,Лэндинг!$E$5:$E$300,$B67)+SUMIFS(Закрытые!$F$5:$F$300,Закрытые!$E$5:$E$300,$B67,Закрытые!$B$5:$B$300,"L-*"))</f>
        <v/>
      </c>
      <c r="D67" s="177">
        <f>IF(C67="","",(SUMPRODUCT((Лэндинг!$E$5:$E$300=$B67)*Лэндинг!$F$5:$F$300*Лэндинг!$G$5:$G$300)+SUMPRODUCT((Закрытые!$E$5:$E$300=$B67)*(LEFT(Закрытые!$B$5:$B$300,2)="L-")*Закрытые!$F$5:$F$300*Закрытые!$G$5:$G$300))/C67)</f>
        <v/>
      </c>
      <c r="E67" s="241">
        <f>IF(C67="","",SUMIFS(Лэндинг!$H$5:$H$300,Лэндинг!$E$5:$E$300,$B67)+SUMIFS(Закрытые!$H$5:$H$300,Закрытые!$E$5:$E$300,$B67,Закрытые!$B$5:$B$300,"L-*"))</f>
        <v/>
      </c>
      <c r="F67" s="240">
        <f>IF(SUMIFS(Лэндинг!$I$5:$I$300,Лэндинг!$E$5:$E$300,$B67)+SUMIFS(Закрытые!$I$5:$I$300,Закрытые!$E$5:$E$300,$B67,Закрытые!$B$5:$B$300,"L-*")=0,"",SUMIFS(Лэндинг!$I$5:$I$300,Лэндинг!$E$5:$E$300,$B67)+SUMIFS(Закрытые!$I$5:$I$300,Закрытые!$E$5:$E$300,$B67,Закрытые!$B$5:$B$300,"L-*"))</f>
        <v/>
      </c>
      <c r="G67" s="177">
        <f>IF(F67="","",(SUMPRODUCT((Лэндинг!$E$5:$E$300=$B67)*Лэндинг!$I$5:$I$300*Лэндинг!$J$5:$J$300)+SUMPRODUCT((Закрытые!$E$5:$E$300=$B67)*(LEFT(Закрытые!$B$5:$B$300,2)="L-")*Закрытые!$I$5:$I$300*Закрытые!$J$5:$J$300))/F67)</f>
        <v/>
      </c>
      <c r="H67" s="241">
        <f>IF(F67="","",SUMIFS(Лэндинг!$K$5:$K$300,Лэндинг!$E$5:$E$300,$B67)+SUMIFS(Закрытые!$K$5:$K$300,Закрытые!$E$5:$E$300,$B67,Закрытые!$B$5:$B$300,"L-*"))</f>
        <v/>
      </c>
      <c r="I67" s="240">
        <f>IF($B67="","",IF(COUNTIFS(Лэндинг!$E$5:$E$300,$B67)+COUNTIFS(Закрытые!$E$5:$E$300,$B67,Закрытые!$B$5:$B$300,"L-*")=0,"",ROUND(SUMIFS(Лэндинг!$L$5:$L$300,Лэндинг!$E$5:$E$300,$B67)+SUMIFS(Закрытые!$L$5:$L$300,Закрытые!$E$5:$E$300,$B67,Закрытые!$B$5:$B$300,"L-*"),8)))</f>
        <v/>
      </c>
      <c r="J67" s="241">
        <f>IF($B67="","",IF(COUNTIFS(Лэндинг!$E$5:$E$300,$B67)+COUNTIFS(Закрытые!$E$5:$E$300,$B67,Закрытые!$B$5:$B$300,"L-*")=0,"",ROUND(SUMIFS(Лэндинг!$M$5:$M$300,Лэндинг!$E$5:$E$300,$B67)+SUMIFS(Закрытые!$M$5:$M$300,Закрытые!$E$5:$E$300,$B67,Закрытые!$B$5:$B$300,"L-*"),8)))</f>
        <v/>
      </c>
      <c r="K67" s="240">
        <f>IF($B67="","",ROUND(SUMIFS(Закрытые!$N$5:$N$300,Закрытые!$E$5:$E$300,$B67,Закрытые!$B$5:$B$300,"L-*"),8))</f>
        <v/>
      </c>
      <c r="L67" s="177">
        <f>IF(K67="","",IF(SUMPRODUCT((Закрытые!$E$5:$E$300=$B67)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67/SUMPRODUCT((Закрытые!$E$5:$E$300=$B67)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7" s="177">
        <f>IF(OR(ROUND(N(C67)-N(F67),8)=0,1-N(Ввод!$E$17)/100&lt;=0),"",IF(N(C67)&gt;N(F67),(N(E67)-N(H67))/((N(C67)-N(F67))*(1-N(Ввод!$E$17)/100)),(N(H67)-N(E67))/((N(F67)-N(C67))*(1+N(Ввод!$E$17)/100))))</f>
        <v/>
      </c>
    </row>
    <row r="68" ht="22" customHeight="1">
      <c r="B68" s="320" t="n"/>
      <c r="C68" s="246">
        <f>IF(SUMIFS(Лэндинг!$F$5:$F$300,Лэндинг!$E$5:$E$300,$B68)+SUMIFS(Закрытые!$F$5:$F$300,Закрытые!$E$5:$E$300,$B68,Закрытые!$B$5:$B$300,"L-*")=0,"",SUMIFS(Лэндинг!$F$5:$F$300,Лэндинг!$E$5:$E$300,$B68)+SUMIFS(Закрытые!$F$5:$F$300,Закрытые!$E$5:$E$300,$B68,Закрытые!$B$5:$B$300,"L-*"))</f>
        <v/>
      </c>
      <c r="D68" s="183">
        <f>IF(C68="","",(SUMPRODUCT((Лэндинг!$E$5:$E$300=$B68)*Лэндинг!$F$5:$F$300*Лэндинг!$G$5:$G$300)+SUMPRODUCT((Закрытые!$E$5:$E$300=$B68)*(LEFT(Закрытые!$B$5:$B$300,2)="L-")*Закрытые!$F$5:$F$300*Закрытые!$G$5:$G$300))/C68)</f>
        <v/>
      </c>
      <c r="E68" s="247">
        <f>IF(C68="","",SUMIFS(Лэндинг!$H$5:$H$300,Лэндинг!$E$5:$E$300,$B68)+SUMIFS(Закрытые!$H$5:$H$300,Закрытые!$E$5:$E$300,$B68,Закрытые!$B$5:$B$300,"L-*"))</f>
        <v/>
      </c>
      <c r="F68" s="246">
        <f>IF(SUMIFS(Лэндинг!$I$5:$I$300,Лэндинг!$E$5:$E$300,$B68)+SUMIFS(Закрытые!$I$5:$I$300,Закрытые!$E$5:$E$300,$B68,Закрытые!$B$5:$B$300,"L-*")=0,"",SUMIFS(Лэндинг!$I$5:$I$300,Лэндинг!$E$5:$E$300,$B68)+SUMIFS(Закрытые!$I$5:$I$300,Закрытые!$E$5:$E$300,$B68,Закрытые!$B$5:$B$300,"L-*"))</f>
        <v/>
      </c>
      <c r="G68" s="183">
        <f>IF(F68="","",(SUMPRODUCT((Лэндинг!$E$5:$E$300=$B68)*Лэндинг!$I$5:$I$300*Лэндинг!$J$5:$J$300)+SUMPRODUCT((Закрытые!$E$5:$E$300=$B68)*(LEFT(Закрытые!$B$5:$B$300,2)="L-")*Закрытые!$I$5:$I$300*Закрытые!$J$5:$J$300))/F68)</f>
        <v/>
      </c>
      <c r="H68" s="247">
        <f>IF(F68="","",SUMIFS(Лэндинг!$K$5:$K$300,Лэндинг!$E$5:$E$300,$B68)+SUMIFS(Закрытые!$K$5:$K$300,Закрытые!$E$5:$E$300,$B68,Закрытые!$B$5:$B$300,"L-*"))</f>
        <v/>
      </c>
      <c r="I68" s="246">
        <f>IF($B68="","",IF(COUNTIFS(Лэндинг!$E$5:$E$300,$B68)+COUNTIFS(Закрытые!$E$5:$E$300,$B68,Закрытые!$B$5:$B$300,"L-*")=0,"",ROUND(SUMIFS(Лэндинг!$L$5:$L$300,Лэндинг!$E$5:$E$300,$B68)+SUMIFS(Закрытые!$L$5:$L$300,Закрытые!$E$5:$E$300,$B68,Закрытые!$B$5:$B$300,"L-*"),8)))</f>
        <v/>
      </c>
      <c r="J68" s="247">
        <f>IF($B68="","",IF(COUNTIFS(Лэндинг!$E$5:$E$300,$B68)+COUNTIFS(Закрытые!$E$5:$E$300,$B68,Закрытые!$B$5:$B$300,"L-*")=0,"",ROUND(SUMIFS(Лэндинг!$M$5:$M$300,Лэндинг!$E$5:$E$300,$B68)+SUMIFS(Закрытые!$M$5:$M$300,Закрытые!$E$5:$E$300,$B68,Закрытые!$B$5:$B$300,"L-*"),8)))</f>
        <v/>
      </c>
      <c r="K68" s="246">
        <f>IF($B68="","",ROUND(SUMIFS(Закрытые!$N$5:$N$300,Закрытые!$E$5:$E$300,$B68,Закрытые!$B$5:$B$300,"L-*"),8))</f>
        <v/>
      </c>
      <c r="L68" s="183">
        <f>IF(K68="","",IF(SUMPRODUCT((Закрытые!$E$5:$E$300=$B68)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68/SUMPRODUCT((Закрытые!$E$5:$E$300=$B68)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8" s="183">
        <f>IF(OR(ROUND(N(C68)-N(F68),8)=0,1-N(Ввод!$E$17)/100&lt;=0),"",IF(N(C68)&gt;N(F68),(N(E68)-N(H68))/((N(C68)-N(F68))*(1-N(Ввод!$E$17)/100)),(N(H68)-N(E68))/((N(F68)-N(C68))*(1+N(Ввод!$E$17)/100))))</f>
        <v/>
      </c>
    </row>
    <row r="69" ht="22" customHeight="1">
      <c r="B69" s="315" t="n"/>
      <c r="C69" s="240">
        <f>IF(SUMIFS(Лэндинг!$F$5:$F$300,Лэндинг!$E$5:$E$300,$B69)+SUMIFS(Закрытые!$F$5:$F$300,Закрытые!$E$5:$E$300,$B69,Закрытые!$B$5:$B$300,"L-*")=0,"",SUMIFS(Лэндинг!$F$5:$F$300,Лэндинг!$E$5:$E$300,$B69)+SUMIFS(Закрытые!$F$5:$F$300,Закрытые!$E$5:$E$300,$B69,Закрытые!$B$5:$B$300,"L-*"))</f>
        <v/>
      </c>
      <c r="D69" s="177">
        <f>IF(C69="","",(SUMPRODUCT((Лэндинг!$E$5:$E$300=$B69)*Лэндинг!$F$5:$F$300*Лэндинг!$G$5:$G$300)+SUMPRODUCT((Закрытые!$E$5:$E$300=$B69)*(LEFT(Закрытые!$B$5:$B$300,2)="L-")*Закрытые!$F$5:$F$300*Закрытые!$G$5:$G$300))/C69)</f>
        <v/>
      </c>
      <c r="E69" s="241">
        <f>IF(C69="","",SUMIFS(Лэндинг!$H$5:$H$300,Лэндинг!$E$5:$E$300,$B69)+SUMIFS(Закрытые!$H$5:$H$300,Закрытые!$E$5:$E$300,$B69,Закрытые!$B$5:$B$300,"L-*"))</f>
        <v/>
      </c>
      <c r="F69" s="240">
        <f>IF(SUMIFS(Лэндинг!$I$5:$I$300,Лэндинг!$E$5:$E$300,$B69)+SUMIFS(Закрытые!$I$5:$I$300,Закрытые!$E$5:$E$300,$B69,Закрытые!$B$5:$B$300,"L-*")=0,"",SUMIFS(Лэндинг!$I$5:$I$300,Лэндинг!$E$5:$E$300,$B69)+SUMIFS(Закрытые!$I$5:$I$300,Закрытые!$E$5:$E$300,$B69,Закрытые!$B$5:$B$300,"L-*"))</f>
        <v/>
      </c>
      <c r="G69" s="177">
        <f>IF(F69="","",(SUMPRODUCT((Лэндинг!$E$5:$E$300=$B69)*Лэндинг!$I$5:$I$300*Лэндинг!$J$5:$J$300)+SUMPRODUCT((Закрытые!$E$5:$E$300=$B69)*(LEFT(Закрытые!$B$5:$B$300,2)="L-")*Закрытые!$I$5:$I$300*Закрытые!$J$5:$J$300))/F69)</f>
        <v/>
      </c>
      <c r="H69" s="241">
        <f>IF(F69="","",SUMIFS(Лэндинг!$K$5:$K$300,Лэндинг!$E$5:$E$300,$B69)+SUMIFS(Закрытые!$K$5:$K$300,Закрытые!$E$5:$E$300,$B69,Закрытые!$B$5:$B$300,"L-*"))</f>
        <v/>
      </c>
      <c r="I69" s="240">
        <f>IF($B69="","",IF(COUNTIFS(Лэндинг!$E$5:$E$300,$B69)+COUNTIFS(Закрытые!$E$5:$E$300,$B69,Закрытые!$B$5:$B$300,"L-*")=0,"",ROUND(SUMIFS(Лэндинг!$L$5:$L$300,Лэндинг!$E$5:$E$300,$B69)+SUMIFS(Закрытые!$L$5:$L$300,Закрытые!$E$5:$E$300,$B69,Закрытые!$B$5:$B$300,"L-*"),8)))</f>
        <v/>
      </c>
      <c r="J69" s="241">
        <f>IF($B69="","",IF(COUNTIFS(Лэндинг!$E$5:$E$300,$B69)+COUNTIFS(Закрытые!$E$5:$E$300,$B69,Закрытые!$B$5:$B$300,"L-*")=0,"",ROUND(SUMIFS(Лэндинг!$M$5:$M$300,Лэндинг!$E$5:$E$300,$B69)+SUMIFS(Закрытые!$M$5:$M$300,Закрытые!$E$5:$E$300,$B69,Закрытые!$B$5:$B$300,"L-*"),8)))</f>
        <v/>
      </c>
      <c r="K69" s="240">
        <f>IF($B69="","",ROUND(SUMIFS(Закрытые!$N$5:$N$300,Закрытые!$E$5:$E$300,$B69,Закрытые!$B$5:$B$300,"L-*"),8))</f>
        <v/>
      </c>
      <c r="L69" s="177">
        <f>IF(K69="","",IF(SUMPRODUCT((Закрытые!$E$5:$E$300=$B69)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69/SUMPRODUCT((Закрытые!$E$5:$E$300=$B69)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9" s="177">
        <f>IF(OR(ROUND(N(C69)-N(F69),8)=0,1-N(Ввод!$E$17)/100&lt;=0),"",IF(N(C69)&gt;N(F69),(N(E69)-N(H69))/((N(C69)-N(F69))*(1-N(Ввод!$E$17)/100)),(N(H69)-N(E69))/((N(F69)-N(C69))*(1+N(Ввод!$E$17)/100))))</f>
        <v/>
      </c>
    </row>
    <row r="70" ht="22" customHeight="1">
      <c r="B70" s="320" t="n"/>
      <c r="C70" s="246">
        <f>IF(SUMIFS(Лэндинг!$F$5:$F$300,Лэндинг!$E$5:$E$300,$B70)+SUMIFS(Закрытые!$F$5:$F$300,Закрытые!$E$5:$E$300,$B70,Закрытые!$B$5:$B$300,"L-*")=0,"",SUMIFS(Лэндинг!$F$5:$F$300,Лэндинг!$E$5:$E$300,$B70)+SUMIFS(Закрытые!$F$5:$F$300,Закрытые!$E$5:$E$300,$B70,Закрытые!$B$5:$B$300,"L-*"))</f>
        <v/>
      </c>
      <c r="D70" s="183">
        <f>IF(C70="","",(SUMPRODUCT((Лэндинг!$E$5:$E$300=$B70)*Лэндинг!$F$5:$F$300*Лэндинг!$G$5:$G$300)+SUMPRODUCT((Закрытые!$E$5:$E$300=$B70)*(LEFT(Закрытые!$B$5:$B$300,2)="L-")*Закрытые!$F$5:$F$300*Закрытые!$G$5:$G$300))/C70)</f>
        <v/>
      </c>
      <c r="E70" s="247">
        <f>IF(C70="","",SUMIFS(Лэндинг!$H$5:$H$300,Лэндинг!$E$5:$E$300,$B70)+SUMIFS(Закрытые!$H$5:$H$300,Закрытые!$E$5:$E$300,$B70,Закрытые!$B$5:$B$300,"L-*"))</f>
        <v/>
      </c>
      <c r="F70" s="246">
        <f>IF(SUMIFS(Лэндинг!$I$5:$I$300,Лэндинг!$E$5:$E$300,$B70)+SUMIFS(Закрытые!$I$5:$I$300,Закрытые!$E$5:$E$300,$B70,Закрытые!$B$5:$B$300,"L-*")=0,"",SUMIFS(Лэндинг!$I$5:$I$300,Лэндинг!$E$5:$E$300,$B70)+SUMIFS(Закрытые!$I$5:$I$300,Закрытые!$E$5:$E$300,$B70,Закрытые!$B$5:$B$300,"L-*"))</f>
        <v/>
      </c>
      <c r="G70" s="183">
        <f>IF(F70="","",(SUMPRODUCT((Лэндинг!$E$5:$E$300=$B70)*Лэндинг!$I$5:$I$300*Лэндинг!$J$5:$J$300)+SUMPRODUCT((Закрытые!$E$5:$E$300=$B70)*(LEFT(Закрытые!$B$5:$B$300,2)="L-")*Закрытые!$I$5:$I$300*Закрытые!$J$5:$J$300))/F70)</f>
        <v/>
      </c>
      <c r="H70" s="247">
        <f>IF(F70="","",SUMIFS(Лэндинг!$K$5:$K$300,Лэндинг!$E$5:$E$300,$B70)+SUMIFS(Закрытые!$K$5:$K$300,Закрытые!$E$5:$E$300,$B70,Закрытые!$B$5:$B$300,"L-*"))</f>
        <v/>
      </c>
      <c r="I70" s="246">
        <f>IF($B70="","",IF(COUNTIFS(Лэндинг!$E$5:$E$300,$B70)+COUNTIFS(Закрытые!$E$5:$E$300,$B70,Закрытые!$B$5:$B$300,"L-*")=0,"",ROUND(SUMIFS(Лэндинг!$L$5:$L$300,Лэндинг!$E$5:$E$300,$B70)+SUMIFS(Закрытые!$L$5:$L$300,Закрытые!$E$5:$E$300,$B70,Закрытые!$B$5:$B$300,"L-*"),8)))</f>
        <v/>
      </c>
      <c r="J70" s="247">
        <f>IF($B70="","",IF(COUNTIFS(Лэндинг!$E$5:$E$300,$B70)+COUNTIFS(Закрытые!$E$5:$E$300,$B70,Закрытые!$B$5:$B$300,"L-*")=0,"",ROUND(SUMIFS(Лэндинг!$M$5:$M$300,Лэндинг!$E$5:$E$300,$B70)+SUMIFS(Закрытые!$M$5:$M$300,Закрытые!$E$5:$E$300,$B70,Закрытые!$B$5:$B$300,"L-*"),8)))</f>
        <v/>
      </c>
      <c r="K70" s="246">
        <f>IF($B70="","",ROUND(SUMIFS(Закрытые!$N$5:$N$300,Закрытые!$E$5:$E$300,$B70,Закрытые!$B$5:$B$300,"L-*"),8))</f>
        <v/>
      </c>
      <c r="L70" s="183">
        <f>IF(K70="","",IF(SUMPRODUCT((Закрытые!$E$5:$E$300=$B70)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70/SUMPRODUCT((Закрытые!$E$5:$E$300=$B70)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0" s="183">
        <f>IF(OR(ROUND(N(C70)-N(F70),8)=0,1-N(Ввод!$E$17)/100&lt;=0),"",IF(N(C70)&gt;N(F70),(N(E70)-N(H70))/((N(C70)-N(F70))*(1-N(Ввод!$E$17)/100)),(N(H70)-N(E70))/((N(F70)-N(C70))*(1+N(Ввод!$E$17)/100))))</f>
        <v/>
      </c>
    </row>
    <row r="71" ht="22" customHeight="1">
      <c r="B71" s="315" t="n"/>
      <c r="C71" s="240">
        <f>IF(SUMIFS(Лэндинг!$F$5:$F$300,Лэндинг!$E$5:$E$300,$B71)+SUMIFS(Закрытые!$F$5:$F$300,Закрытые!$E$5:$E$300,$B71,Закрытые!$B$5:$B$300,"L-*")=0,"",SUMIFS(Лэндинг!$F$5:$F$300,Лэндинг!$E$5:$E$300,$B71)+SUMIFS(Закрытые!$F$5:$F$300,Закрытые!$E$5:$E$300,$B71,Закрытые!$B$5:$B$300,"L-*"))</f>
        <v/>
      </c>
      <c r="D71" s="177">
        <f>IF(C71="","",(SUMPRODUCT((Лэндинг!$E$5:$E$300=$B71)*Лэндинг!$F$5:$F$300*Лэндинг!$G$5:$G$300)+SUMPRODUCT((Закрытые!$E$5:$E$300=$B71)*(LEFT(Закрытые!$B$5:$B$300,2)="L-")*Закрытые!$F$5:$F$300*Закрытые!$G$5:$G$300))/C71)</f>
        <v/>
      </c>
      <c r="E71" s="241">
        <f>IF(C71="","",SUMIFS(Лэндинг!$H$5:$H$300,Лэндинг!$E$5:$E$300,$B71)+SUMIFS(Закрытые!$H$5:$H$300,Закрытые!$E$5:$E$300,$B71,Закрытые!$B$5:$B$300,"L-*"))</f>
        <v/>
      </c>
      <c r="F71" s="240">
        <f>IF(SUMIFS(Лэндинг!$I$5:$I$300,Лэндинг!$E$5:$E$300,$B71)+SUMIFS(Закрытые!$I$5:$I$300,Закрытые!$E$5:$E$300,$B71,Закрытые!$B$5:$B$300,"L-*")=0,"",SUMIFS(Лэндинг!$I$5:$I$300,Лэндинг!$E$5:$E$300,$B71)+SUMIFS(Закрытые!$I$5:$I$300,Закрытые!$E$5:$E$300,$B71,Закрытые!$B$5:$B$300,"L-*"))</f>
        <v/>
      </c>
      <c r="G71" s="177">
        <f>IF(F71="","",(SUMPRODUCT((Лэндинг!$E$5:$E$300=$B71)*Лэндинг!$I$5:$I$300*Лэндинг!$J$5:$J$300)+SUMPRODUCT((Закрытые!$E$5:$E$300=$B71)*(LEFT(Закрытые!$B$5:$B$300,2)="L-")*Закрытые!$I$5:$I$300*Закрытые!$J$5:$J$300))/F71)</f>
        <v/>
      </c>
      <c r="H71" s="241">
        <f>IF(F71="","",SUMIFS(Лэндинг!$K$5:$K$300,Лэндинг!$E$5:$E$300,$B71)+SUMIFS(Закрытые!$K$5:$K$300,Закрытые!$E$5:$E$300,$B71,Закрытые!$B$5:$B$300,"L-*"))</f>
        <v/>
      </c>
      <c r="I71" s="240">
        <f>IF($B71="","",IF(COUNTIFS(Лэндинг!$E$5:$E$300,$B71)+COUNTIFS(Закрытые!$E$5:$E$300,$B71,Закрытые!$B$5:$B$300,"L-*")=0,"",ROUND(SUMIFS(Лэндинг!$L$5:$L$300,Лэндинг!$E$5:$E$300,$B71)+SUMIFS(Закрытые!$L$5:$L$300,Закрытые!$E$5:$E$300,$B71,Закрытые!$B$5:$B$300,"L-*"),8)))</f>
        <v/>
      </c>
      <c r="J71" s="241">
        <f>IF($B71="","",IF(COUNTIFS(Лэндинг!$E$5:$E$300,$B71)+COUNTIFS(Закрытые!$E$5:$E$300,$B71,Закрытые!$B$5:$B$300,"L-*")=0,"",ROUND(SUMIFS(Лэндинг!$M$5:$M$300,Лэндинг!$E$5:$E$300,$B71)+SUMIFS(Закрытые!$M$5:$M$300,Закрытые!$E$5:$E$300,$B71,Закрытые!$B$5:$B$300,"L-*"),8)))</f>
        <v/>
      </c>
      <c r="K71" s="240">
        <f>IF($B71="","",ROUND(SUMIFS(Закрытые!$N$5:$N$300,Закрытые!$E$5:$E$300,$B71,Закрытые!$B$5:$B$300,"L-*"),8))</f>
        <v/>
      </c>
      <c r="L71" s="177">
        <f>IF(K71="","",IF(SUMPRODUCT((Закрытые!$E$5:$E$300=$B71)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71/SUMPRODUCT((Закрытые!$E$5:$E$300=$B71)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1" s="177">
        <f>IF(OR(ROUND(N(C71)-N(F71),8)=0,1-N(Ввод!$E$17)/100&lt;=0),"",IF(N(C71)&gt;N(F71),(N(E71)-N(H71))/((N(C71)-N(F71))*(1-N(Ввод!$E$17)/100)),(N(H71)-N(E71))/((N(F71)-N(C71))*(1+N(Ввод!$E$17)/100))))</f>
        <v/>
      </c>
    </row>
    <row r="72" ht="22" customHeight="1">
      <c r="B72" s="320" t="n"/>
      <c r="C72" s="246">
        <f>IF(SUMIFS(Лэндинг!$F$5:$F$300,Лэндинг!$E$5:$E$300,$B72)+SUMIFS(Закрытые!$F$5:$F$300,Закрытые!$E$5:$E$300,$B72,Закрытые!$B$5:$B$300,"L-*")=0,"",SUMIFS(Лэндинг!$F$5:$F$300,Лэндинг!$E$5:$E$300,$B72)+SUMIFS(Закрытые!$F$5:$F$300,Закрытые!$E$5:$E$300,$B72,Закрытые!$B$5:$B$300,"L-*"))</f>
        <v/>
      </c>
      <c r="D72" s="183">
        <f>IF(C72="","",(SUMPRODUCT((Лэндинг!$E$5:$E$300=$B72)*Лэндинг!$F$5:$F$300*Лэндинг!$G$5:$G$300)+SUMPRODUCT((Закрытые!$E$5:$E$300=$B72)*(LEFT(Закрытые!$B$5:$B$300,2)="L-")*Закрытые!$F$5:$F$300*Закрытые!$G$5:$G$300))/C72)</f>
        <v/>
      </c>
      <c r="E72" s="247">
        <f>IF(C72="","",SUMIFS(Лэндинг!$H$5:$H$300,Лэндинг!$E$5:$E$300,$B72)+SUMIFS(Закрытые!$H$5:$H$300,Закрытые!$E$5:$E$300,$B72,Закрытые!$B$5:$B$300,"L-*"))</f>
        <v/>
      </c>
      <c r="F72" s="246">
        <f>IF(SUMIFS(Лэндинг!$I$5:$I$300,Лэндинг!$E$5:$E$300,$B72)+SUMIFS(Закрытые!$I$5:$I$300,Закрытые!$E$5:$E$300,$B72,Закрытые!$B$5:$B$300,"L-*")=0,"",SUMIFS(Лэндинг!$I$5:$I$300,Лэндинг!$E$5:$E$300,$B72)+SUMIFS(Закрытые!$I$5:$I$300,Закрытые!$E$5:$E$300,$B72,Закрытые!$B$5:$B$300,"L-*"))</f>
        <v/>
      </c>
      <c r="G72" s="183">
        <f>IF(F72="","",(SUMPRODUCT((Лэндинг!$E$5:$E$300=$B72)*Лэндинг!$I$5:$I$300*Лэндинг!$J$5:$J$300)+SUMPRODUCT((Закрытые!$E$5:$E$300=$B72)*(LEFT(Закрытые!$B$5:$B$300,2)="L-")*Закрытые!$I$5:$I$300*Закрытые!$J$5:$J$300))/F72)</f>
        <v/>
      </c>
      <c r="H72" s="247">
        <f>IF(F72="","",SUMIFS(Лэндинг!$K$5:$K$300,Лэндинг!$E$5:$E$300,$B72)+SUMIFS(Закрытые!$K$5:$K$300,Закрытые!$E$5:$E$300,$B72,Закрытые!$B$5:$B$300,"L-*"))</f>
        <v/>
      </c>
      <c r="I72" s="246">
        <f>IF($B72="","",IF(COUNTIFS(Лэндинг!$E$5:$E$300,$B72)+COUNTIFS(Закрытые!$E$5:$E$300,$B72,Закрытые!$B$5:$B$300,"L-*")=0,"",ROUND(SUMIFS(Лэндинг!$L$5:$L$300,Лэндинг!$E$5:$E$300,$B72)+SUMIFS(Закрытые!$L$5:$L$300,Закрытые!$E$5:$E$300,$B72,Закрытые!$B$5:$B$300,"L-*"),8)))</f>
        <v/>
      </c>
      <c r="J72" s="247">
        <f>IF($B72="","",IF(COUNTIFS(Лэндинг!$E$5:$E$300,$B72)+COUNTIFS(Закрытые!$E$5:$E$300,$B72,Закрытые!$B$5:$B$300,"L-*")=0,"",ROUND(SUMIFS(Лэндинг!$M$5:$M$300,Лэндинг!$E$5:$E$300,$B72)+SUMIFS(Закрытые!$M$5:$M$300,Закрытые!$E$5:$E$300,$B72,Закрытые!$B$5:$B$300,"L-*"),8)))</f>
        <v/>
      </c>
      <c r="K72" s="246">
        <f>IF($B72="","",ROUND(SUMIFS(Закрытые!$N$5:$N$300,Закрытые!$E$5:$E$300,$B72,Закрытые!$B$5:$B$300,"L-*"),8))</f>
        <v/>
      </c>
      <c r="L72" s="183">
        <f>IF(K72="","",IF(SUMPRODUCT((Закрытые!$E$5:$E$300=$B72)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72/SUMPRODUCT((Закрытые!$E$5:$E$300=$B72)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2" s="183">
        <f>IF(OR(ROUND(N(C72)-N(F72),8)=0,1-N(Ввод!$E$17)/100&lt;=0),"",IF(N(C72)&gt;N(F72),(N(E72)-N(H72))/((N(C72)-N(F72))*(1-N(Ввод!$E$17)/100)),(N(H72)-N(E72))/((N(F72)-N(C72))*(1+N(Ввод!$E$17)/100))))</f>
        <v/>
      </c>
    </row>
    <row r="73" ht="22" customHeight="1">
      <c r="B73" s="315" t="n"/>
      <c r="C73" s="240">
        <f>IF(SUMIFS(Лэндинг!$F$5:$F$300,Лэндинг!$E$5:$E$300,$B73)+SUMIFS(Закрытые!$F$5:$F$300,Закрытые!$E$5:$E$300,$B73,Закрытые!$B$5:$B$300,"L-*")=0,"",SUMIFS(Лэндинг!$F$5:$F$300,Лэндинг!$E$5:$E$300,$B73)+SUMIFS(Закрытые!$F$5:$F$300,Закрытые!$E$5:$E$300,$B73,Закрытые!$B$5:$B$300,"L-*"))</f>
        <v/>
      </c>
      <c r="D73" s="177">
        <f>IF(C73="","",(SUMPRODUCT((Лэндинг!$E$5:$E$300=$B73)*Лэндинг!$F$5:$F$300*Лэндинг!$G$5:$G$300)+SUMPRODUCT((Закрытые!$E$5:$E$300=$B73)*(LEFT(Закрытые!$B$5:$B$300,2)="L-")*Закрытые!$F$5:$F$300*Закрытые!$G$5:$G$300))/C73)</f>
        <v/>
      </c>
      <c r="E73" s="241">
        <f>IF(C73="","",SUMIFS(Лэндинг!$H$5:$H$300,Лэндинг!$E$5:$E$300,$B73)+SUMIFS(Закрытые!$H$5:$H$300,Закрытые!$E$5:$E$300,$B73,Закрытые!$B$5:$B$300,"L-*"))</f>
        <v/>
      </c>
      <c r="F73" s="240">
        <f>IF(SUMIFS(Лэндинг!$I$5:$I$300,Лэндинг!$E$5:$E$300,$B73)+SUMIFS(Закрытые!$I$5:$I$300,Закрытые!$E$5:$E$300,$B73,Закрытые!$B$5:$B$300,"L-*")=0,"",SUMIFS(Лэндинг!$I$5:$I$300,Лэндинг!$E$5:$E$300,$B73)+SUMIFS(Закрытые!$I$5:$I$300,Закрытые!$E$5:$E$300,$B73,Закрытые!$B$5:$B$300,"L-*"))</f>
        <v/>
      </c>
      <c r="G73" s="177">
        <f>IF(F73="","",(SUMPRODUCT((Лэндинг!$E$5:$E$300=$B73)*Лэндинг!$I$5:$I$300*Лэндинг!$J$5:$J$300)+SUMPRODUCT((Закрытые!$E$5:$E$300=$B73)*(LEFT(Закрытые!$B$5:$B$300,2)="L-")*Закрытые!$I$5:$I$300*Закрытые!$J$5:$J$300))/F73)</f>
        <v/>
      </c>
      <c r="H73" s="241">
        <f>IF(F73="","",SUMIFS(Лэндинг!$K$5:$K$300,Лэндинг!$E$5:$E$300,$B73)+SUMIFS(Закрытые!$K$5:$K$300,Закрытые!$E$5:$E$300,$B73,Закрытые!$B$5:$B$300,"L-*"))</f>
        <v/>
      </c>
      <c r="I73" s="240">
        <f>IF($B73="","",IF(COUNTIFS(Лэндинг!$E$5:$E$300,$B73)+COUNTIFS(Закрытые!$E$5:$E$300,$B73,Закрытые!$B$5:$B$300,"L-*")=0,"",ROUND(SUMIFS(Лэндинг!$L$5:$L$300,Лэндинг!$E$5:$E$300,$B73)+SUMIFS(Закрытые!$L$5:$L$300,Закрытые!$E$5:$E$300,$B73,Закрытые!$B$5:$B$300,"L-*"),8)))</f>
        <v/>
      </c>
      <c r="J73" s="241">
        <f>IF($B73="","",IF(COUNTIFS(Лэндинг!$E$5:$E$300,$B73)+COUNTIFS(Закрытые!$E$5:$E$300,$B73,Закрытые!$B$5:$B$300,"L-*")=0,"",ROUND(SUMIFS(Лэндинг!$M$5:$M$300,Лэндинг!$E$5:$E$300,$B73)+SUMIFS(Закрытые!$M$5:$M$300,Закрытые!$E$5:$E$300,$B73,Закрытые!$B$5:$B$300,"L-*"),8)))</f>
        <v/>
      </c>
      <c r="K73" s="240">
        <f>IF($B73="","",ROUND(SUMIFS(Закрытые!$N$5:$N$300,Закрытые!$E$5:$E$300,$B73,Закрытые!$B$5:$B$300,"L-*"),8))</f>
        <v/>
      </c>
      <c r="L73" s="177">
        <f>IF(K73="","",IF(SUMPRODUCT((Закрытые!$E$5:$E$300=$B73)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73/SUMPRODUCT((Закрытые!$E$5:$E$300=$B73)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3" s="177">
        <f>IF(OR(ROUND(N(C73)-N(F73),8)=0,1-N(Ввод!$E$17)/100&lt;=0),"",IF(N(C73)&gt;N(F73),(N(E73)-N(H73))/((N(C73)-N(F73))*(1-N(Ввод!$E$17)/100)),(N(H73)-N(E73))/((N(F73)-N(C73))*(1+N(Ввод!$E$17)/100))))</f>
        <v/>
      </c>
    </row>
    <row r="74" ht="22" customHeight="1">
      <c r="B74" s="320" t="n"/>
      <c r="C74" s="246">
        <f>IF(SUMIFS(Лэндинг!$F$5:$F$300,Лэндинг!$E$5:$E$300,$B74)+SUMIFS(Закрытые!$F$5:$F$300,Закрытые!$E$5:$E$300,$B74,Закрытые!$B$5:$B$300,"L-*")=0,"",SUMIFS(Лэндинг!$F$5:$F$300,Лэндинг!$E$5:$E$300,$B74)+SUMIFS(Закрытые!$F$5:$F$300,Закрытые!$E$5:$E$300,$B74,Закрытые!$B$5:$B$300,"L-*"))</f>
        <v/>
      </c>
      <c r="D74" s="183">
        <f>IF(C74="","",(SUMPRODUCT((Лэндинг!$E$5:$E$300=$B74)*Лэндинг!$F$5:$F$300*Лэндинг!$G$5:$G$300)+SUMPRODUCT((Закрытые!$E$5:$E$300=$B74)*(LEFT(Закрытые!$B$5:$B$300,2)="L-")*Закрытые!$F$5:$F$300*Закрытые!$G$5:$G$300))/C74)</f>
        <v/>
      </c>
      <c r="E74" s="247">
        <f>IF(C74="","",SUMIFS(Лэндинг!$H$5:$H$300,Лэндинг!$E$5:$E$300,$B74)+SUMIFS(Закрытые!$H$5:$H$300,Закрытые!$E$5:$E$300,$B74,Закрытые!$B$5:$B$300,"L-*"))</f>
        <v/>
      </c>
      <c r="F74" s="246">
        <f>IF(SUMIFS(Лэндинг!$I$5:$I$300,Лэндинг!$E$5:$E$300,$B74)+SUMIFS(Закрытые!$I$5:$I$300,Закрытые!$E$5:$E$300,$B74,Закрытые!$B$5:$B$300,"L-*")=0,"",SUMIFS(Лэндинг!$I$5:$I$300,Лэндинг!$E$5:$E$300,$B74)+SUMIFS(Закрытые!$I$5:$I$300,Закрытые!$E$5:$E$300,$B74,Закрытые!$B$5:$B$300,"L-*"))</f>
        <v/>
      </c>
      <c r="G74" s="183">
        <f>IF(F74="","",(SUMPRODUCT((Лэндинг!$E$5:$E$300=$B74)*Лэндинг!$I$5:$I$300*Лэндинг!$J$5:$J$300)+SUMPRODUCT((Закрытые!$E$5:$E$300=$B74)*(LEFT(Закрытые!$B$5:$B$300,2)="L-")*Закрытые!$I$5:$I$300*Закрытые!$J$5:$J$300))/F74)</f>
        <v/>
      </c>
      <c r="H74" s="247">
        <f>IF(F74="","",SUMIFS(Лэндинг!$K$5:$K$300,Лэндинг!$E$5:$E$300,$B74)+SUMIFS(Закрытые!$K$5:$K$300,Закрытые!$E$5:$E$300,$B74,Закрытые!$B$5:$B$300,"L-*"))</f>
        <v/>
      </c>
      <c r="I74" s="246">
        <f>IF($B74="","",IF(COUNTIFS(Лэндинг!$E$5:$E$300,$B74)+COUNTIFS(Закрытые!$E$5:$E$300,$B74,Закрытые!$B$5:$B$300,"L-*")=0,"",ROUND(SUMIFS(Лэндинг!$L$5:$L$300,Лэндинг!$E$5:$E$300,$B74)+SUMIFS(Закрытые!$L$5:$L$300,Закрытые!$E$5:$E$300,$B74,Закрытые!$B$5:$B$300,"L-*"),8)))</f>
        <v/>
      </c>
      <c r="J74" s="247">
        <f>IF($B74="","",IF(COUNTIFS(Лэндинг!$E$5:$E$300,$B74)+COUNTIFS(Закрытые!$E$5:$E$300,$B74,Закрытые!$B$5:$B$300,"L-*")=0,"",ROUND(SUMIFS(Лэндинг!$M$5:$M$300,Лэндинг!$E$5:$E$300,$B74)+SUMIFS(Закрытые!$M$5:$M$300,Закрытые!$E$5:$E$300,$B74,Закрытые!$B$5:$B$300,"L-*"),8)))</f>
        <v/>
      </c>
      <c r="K74" s="246">
        <f>IF($B74="","",ROUND(SUMIFS(Закрытые!$N$5:$N$300,Закрытые!$E$5:$E$300,$B74,Закрытые!$B$5:$B$300,"L-*"),8))</f>
        <v/>
      </c>
      <c r="L74" s="183">
        <f>IF(K74="","",IF(SUMPRODUCT((Закрытые!$E$5:$E$300=$B74)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74/SUMPRODUCT((Закрытые!$E$5:$E$300=$B74)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4" s="183">
        <f>IF(OR(ROUND(N(C74)-N(F74),8)=0,1-N(Ввод!$E$17)/100&lt;=0),"",IF(N(C74)&gt;N(F74),(N(E74)-N(H74))/((N(C74)-N(F74))*(1-N(Ввод!$E$17)/100)),(N(H74)-N(E74))/((N(F74)-N(C74))*(1+N(Ввод!$E$17)/100))))</f>
        <v/>
      </c>
    </row>
    <row r="75" ht="22" customHeight="1">
      <c r="B75" s="315" t="n"/>
      <c r="C75" s="240">
        <f>IF(SUMIFS(Лэндинг!$F$5:$F$300,Лэндинг!$E$5:$E$300,$B75)+SUMIFS(Закрытые!$F$5:$F$300,Закрытые!$E$5:$E$300,$B75,Закрытые!$B$5:$B$300,"L-*")=0,"",SUMIFS(Лэндинг!$F$5:$F$300,Лэндинг!$E$5:$E$300,$B75)+SUMIFS(Закрытые!$F$5:$F$300,Закрытые!$E$5:$E$300,$B75,Закрытые!$B$5:$B$300,"L-*"))</f>
        <v/>
      </c>
      <c r="D75" s="177">
        <f>IF(C75="","",(SUMPRODUCT((Лэндинг!$E$5:$E$300=$B75)*Лэндинг!$F$5:$F$300*Лэндинг!$G$5:$G$300)+SUMPRODUCT((Закрытые!$E$5:$E$300=$B75)*(LEFT(Закрытые!$B$5:$B$300,2)="L-")*Закрытые!$F$5:$F$300*Закрытые!$G$5:$G$300))/C75)</f>
        <v/>
      </c>
      <c r="E75" s="241">
        <f>IF(C75="","",SUMIFS(Лэндинг!$H$5:$H$300,Лэндинг!$E$5:$E$300,$B75)+SUMIFS(Закрытые!$H$5:$H$300,Закрытые!$E$5:$E$300,$B75,Закрытые!$B$5:$B$300,"L-*"))</f>
        <v/>
      </c>
      <c r="F75" s="240">
        <f>IF(SUMIFS(Лэндинг!$I$5:$I$300,Лэндинг!$E$5:$E$300,$B75)+SUMIFS(Закрытые!$I$5:$I$300,Закрытые!$E$5:$E$300,$B75,Закрытые!$B$5:$B$300,"L-*")=0,"",SUMIFS(Лэндинг!$I$5:$I$300,Лэндинг!$E$5:$E$300,$B75)+SUMIFS(Закрытые!$I$5:$I$300,Закрытые!$E$5:$E$300,$B75,Закрытые!$B$5:$B$300,"L-*"))</f>
        <v/>
      </c>
      <c r="G75" s="177">
        <f>IF(F75="","",(SUMPRODUCT((Лэндинг!$E$5:$E$300=$B75)*Лэндинг!$I$5:$I$300*Лэндинг!$J$5:$J$300)+SUMPRODUCT((Закрытые!$E$5:$E$300=$B75)*(LEFT(Закрытые!$B$5:$B$300,2)="L-")*Закрытые!$I$5:$I$300*Закрытые!$J$5:$J$300))/F75)</f>
        <v/>
      </c>
      <c r="H75" s="241">
        <f>IF(F75="","",SUMIFS(Лэндинг!$K$5:$K$300,Лэндинг!$E$5:$E$300,$B75)+SUMIFS(Закрытые!$K$5:$K$300,Закрытые!$E$5:$E$300,$B75,Закрытые!$B$5:$B$300,"L-*"))</f>
        <v/>
      </c>
      <c r="I75" s="240">
        <f>IF($B75="","",IF(COUNTIFS(Лэндинг!$E$5:$E$300,$B75)+COUNTIFS(Закрытые!$E$5:$E$300,$B75,Закрытые!$B$5:$B$300,"L-*")=0,"",ROUND(SUMIFS(Лэндинг!$L$5:$L$300,Лэндинг!$E$5:$E$300,$B75)+SUMIFS(Закрытые!$L$5:$L$300,Закрытые!$E$5:$E$300,$B75,Закрытые!$B$5:$B$300,"L-*"),8)))</f>
        <v/>
      </c>
      <c r="J75" s="241">
        <f>IF($B75="","",IF(COUNTIFS(Лэндинг!$E$5:$E$300,$B75)+COUNTIFS(Закрытые!$E$5:$E$300,$B75,Закрытые!$B$5:$B$300,"L-*")=0,"",ROUND(SUMIFS(Лэндинг!$M$5:$M$300,Лэндинг!$E$5:$E$300,$B75)+SUMIFS(Закрытые!$M$5:$M$300,Закрытые!$E$5:$E$300,$B75,Закрытые!$B$5:$B$300,"L-*"),8)))</f>
        <v/>
      </c>
      <c r="K75" s="240">
        <f>IF($B75="","",ROUND(SUMIFS(Закрытые!$N$5:$N$300,Закрытые!$E$5:$E$300,$B75,Закрытые!$B$5:$B$300,"L-*"),8))</f>
        <v/>
      </c>
      <c r="L75" s="177">
        <f>IF(K75="","",IF(SUMPRODUCT((Закрытые!$E$5:$E$300=$B75)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75/SUMPRODUCT((Закрытые!$E$5:$E$300=$B75)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5" s="177">
        <f>IF(OR(ROUND(N(C75)-N(F75),8)=0,1-N(Ввод!$E$17)/100&lt;=0),"",IF(N(C75)&gt;N(F75),(N(E75)-N(H75))/((N(C75)-N(F75))*(1-N(Ввод!$E$17)/100)),(N(H75)-N(E75))/((N(F75)-N(C75))*(1+N(Ввод!$E$17)/100))))</f>
        <v/>
      </c>
    </row>
    <row r="76" ht="22" customHeight="1">
      <c r="B76" s="320" t="n"/>
      <c r="C76" s="246">
        <f>IF(SUMIFS(Лэндинг!$F$5:$F$300,Лэндинг!$E$5:$E$300,$B76)+SUMIFS(Закрытые!$F$5:$F$300,Закрытые!$E$5:$E$300,$B76,Закрытые!$B$5:$B$300,"L-*")=0,"",SUMIFS(Лэндинг!$F$5:$F$300,Лэндинг!$E$5:$E$300,$B76)+SUMIFS(Закрытые!$F$5:$F$300,Закрытые!$E$5:$E$300,$B76,Закрытые!$B$5:$B$300,"L-*"))</f>
        <v/>
      </c>
      <c r="D76" s="183">
        <f>IF(C76="","",(SUMPRODUCT((Лэндинг!$E$5:$E$300=$B76)*Лэндинг!$F$5:$F$300*Лэндинг!$G$5:$G$300)+SUMPRODUCT((Закрытые!$E$5:$E$300=$B76)*(LEFT(Закрытые!$B$5:$B$300,2)="L-")*Закрытые!$F$5:$F$300*Закрытые!$G$5:$G$300))/C76)</f>
        <v/>
      </c>
      <c r="E76" s="247">
        <f>IF(C76="","",SUMIFS(Лэндинг!$H$5:$H$300,Лэндинг!$E$5:$E$300,$B76)+SUMIFS(Закрытые!$H$5:$H$300,Закрытые!$E$5:$E$300,$B76,Закрытые!$B$5:$B$300,"L-*"))</f>
        <v/>
      </c>
      <c r="F76" s="246">
        <f>IF(SUMIFS(Лэндинг!$I$5:$I$300,Лэндинг!$E$5:$E$300,$B76)+SUMIFS(Закрытые!$I$5:$I$300,Закрытые!$E$5:$E$300,$B76,Закрытые!$B$5:$B$300,"L-*")=0,"",SUMIFS(Лэндинг!$I$5:$I$300,Лэндинг!$E$5:$E$300,$B76)+SUMIFS(Закрытые!$I$5:$I$300,Закрытые!$E$5:$E$300,$B76,Закрытые!$B$5:$B$300,"L-*"))</f>
        <v/>
      </c>
      <c r="G76" s="183">
        <f>IF(F76="","",(SUMPRODUCT((Лэндинг!$E$5:$E$300=$B76)*Лэндинг!$I$5:$I$300*Лэндинг!$J$5:$J$300)+SUMPRODUCT((Закрытые!$E$5:$E$300=$B76)*(LEFT(Закрытые!$B$5:$B$300,2)="L-")*Закрытые!$I$5:$I$300*Закрытые!$J$5:$J$300))/F76)</f>
        <v/>
      </c>
      <c r="H76" s="247">
        <f>IF(F76="","",SUMIFS(Лэндинг!$K$5:$K$300,Лэндинг!$E$5:$E$300,$B76)+SUMIFS(Закрытые!$K$5:$K$300,Закрытые!$E$5:$E$300,$B76,Закрытые!$B$5:$B$300,"L-*"))</f>
        <v/>
      </c>
      <c r="I76" s="246">
        <f>IF($B76="","",IF(COUNTIFS(Лэндинг!$E$5:$E$300,$B76)+COUNTIFS(Закрытые!$E$5:$E$300,$B76,Закрытые!$B$5:$B$300,"L-*")=0,"",ROUND(SUMIFS(Лэндинг!$L$5:$L$300,Лэндинг!$E$5:$E$300,$B76)+SUMIFS(Закрытые!$L$5:$L$300,Закрытые!$E$5:$E$300,$B76,Закрытые!$B$5:$B$300,"L-*"),8)))</f>
        <v/>
      </c>
      <c r="J76" s="247">
        <f>IF($B76="","",IF(COUNTIFS(Лэндинг!$E$5:$E$300,$B76)+COUNTIFS(Закрытые!$E$5:$E$300,$B76,Закрытые!$B$5:$B$300,"L-*")=0,"",ROUND(SUMIFS(Лэндинг!$M$5:$M$300,Лэндинг!$E$5:$E$300,$B76)+SUMIFS(Закрытые!$M$5:$M$300,Закрытые!$E$5:$E$300,$B76,Закрытые!$B$5:$B$300,"L-*"),8)))</f>
        <v/>
      </c>
      <c r="K76" s="246">
        <f>IF($B76="","",ROUND(SUMIFS(Закрытые!$N$5:$N$300,Закрытые!$E$5:$E$300,$B76,Закрытые!$B$5:$B$300,"L-*"),8))</f>
        <v/>
      </c>
      <c r="L76" s="183">
        <f>IF(K76="","",IF(SUMPRODUCT((Закрытые!$E$5:$E$300=$B76)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76/SUMPRODUCT((Закрытые!$E$5:$E$300=$B76)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6" s="183">
        <f>IF(OR(ROUND(N(C76)-N(F76),8)=0,1-N(Ввод!$E$17)/100&lt;=0),"",IF(N(C76)&gt;N(F76),(N(E76)-N(H76))/((N(C76)-N(F76))*(1-N(Ввод!$E$17)/100)),(N(H76)-N(E76))/((N(F76)-N(C76))*(1+N(Ввод!$E$17)/100))))</f>
        <v/>
      </c>
    </row>
    <row r="77" ht="22" customHeight="1">
      <c r="B77" s="315" t="n"/>
      <c r="C77" s="240">
        <f>IF(SUMIFS(Лэндинг!$F$5:$F$300,Лэндинг!$E$5:$E$300,$B77)+SUMIFS(Закрытые!$F$5:$F$300,Закрытые!$E$5:$E$300,$B77,Закрытые!$B$5:$B$300,"L-*")=0,"",SUMIFS(Лэндинг!$F$5:$F$300,Лэндинг!$E$5:$E$300,$B77)+SUMIFS(Закрытые!$F$5:$F$300,Закрытые!$E$5:$E$300,$B77,Закрытые!$B$5:$B$300,"L-*"))</f>
        <v/>
      </c>
      <c r="D77" s="177">
        <f>IF(C77="","",(SUMPRODUCT((Лэндинг!$E$5:$E$300=$B77)*Лэндинг!$F$5:$F$300*Лэндинг!$G$5:$G$300)+SUMPRODUCT((Закрытые!$E$5:$E$300=$B77)*(LEFT(Закрытые!$B$5:$B$300,2)="L-")*Закрытые!$F$5:$F$300*Закрытые!$G$5:$G$300))/C77)</f>
        <v/>
      </c>
      <c r="E77" s="241">
        <f>IF(C77="","",SUMIFS(Лэндинг!$H$5:$H$300,Лэндинг!$E$5:$E$300,$B77)+SUMIFS(Закрытые!$H$5:$H$300,Закрытые!$E$5:$E$300,$B77,Закрытые!$B$5:$B$300,"L-*"))</f>
        <v/>
      </c>
      <c r="F77" s="240">
        <f>IF(SUMIFS(Лэндинг!$I$5:$I$300,Лэндинг!$E$5:$E$300,$B77)+SUMIFS(Закрытые!$I$5:$I$300,Закрытые!$E$5:$E$300,$B77,Закрытые!$B$5:$B$300,"L-*")=0,"",SUMIFS(Лэндинг!$I$5:$I$300,Лэндинг!$E$5:$E$300,$B77)+SUMIFS(Закрытые!$I$5:$I$300,Закрытые!$E$5:$E$300,$B77,Закрытые!$B$5:$B$300,"L-*"))</f>
        <v/>
      </c>
      <c r="G77" s="177">
        <f>IF(F77="","",(SUMPRODUCT((Лэндинг!$E$5:$E$300=$B77)*Лэндинг!$I$5:$I$300*Лэндинг!$J$5:$J$300)+SUMPRODUCT((Закрытые!$E$5:$E$300=$B77)*(LEFT(Закрытые!$B$5:$B$300,2)="L-")*Закрытые!$I$5:$I$300*Закрытые!$J$5:$J$300))/F77)</f>
        <v/>
      </c>
      <c r="H77" s="241">
        <f>IF(F77="","",SUMIFS(Лэндинг!$K$5:$K$300,Лэндинг!$E$5:$E$300,$B77)+SUMIFS(Закрытые!$K$5:$K$300,Закрытые!$E$5:$E$300,$B77,Закрытые!$B$5:$B$300,"L-*"))</f>
        <v/>
      </c>
      <c r="I77" s="240">
        <f>IF($B77="","",IF(COUNTIFS(Лэндинг!$E$5:$E$300,$B77)+COUNTIFS(Закрытые!$E$5:$E$300,$B77,Закрытые!$B$5:$B$300,"L-*")=0,"",ROUND(SUMIFS(Лэндинг!$L$5:$L$300,Лэндинг!$E$5:$E$300,$B77)+SUMIFS(Закрытые!$L$5:$L$300,Закрытые!$E$5:$E$300,$B77,Закрытые!$B$5:$B$300,"L-*"),8)))</f>
        <v/>
      </c>
      <c r="J77" s="241">
        <f>IF($B77="","",IF(COUNTIFS(Лэндинг!$E$5:$E$300,$B77)+COUNTIFS(Закрытые!$E$5:$E$300,$B77,Закрытые!$B$5:$B$300,"L-*")=0,"",ROUND(SUMIFS(Лэндинг!$M$5:$M$300,Лэндинг!$E$5:$E$300,$B77)+SUMIFS(Закрытые!$M$5:$M$300,Закрытые!$E$5:$E$300,$B77,Закрытые!$B$5:$B$300,"L-*"),8)))</f>
        <v/>
      </c>
      <c r="K77" s="240">
        <f>IF($B77="","",ROUND(SUMIFS(Закрытые!$N$5:$N$300,Закрытые!$E$5:$E$300,$B77,Закрытые!$B$5:$B$300,"L-*"),8))</f>
        <v/>
      </c>
      <c r="L77" s="177">
        <f>IF(K77="","",IF(SUMPRODUCT((Закрытые!$E$5:$E$300=$B77)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77/SUMPRODUCT((Закрытые!$E$5:$E$300=$B77)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7" s="177">
        <f>IF(OR(ROUND(N(C77)-N(F77),8)=0,1-N(Ввод!$E$17)/100&lt;=0),"",IF(N(C77)&gt;N(F77),(N(E77)-N(H77))/((N(C77)-N(F77))*(1-N(Ввод!$E$17)/100)),(N(H77)-N(E77))/((N(F77)-N(C77))*(1+N(Ввод!$E$17)/100))))</f>
        <v/>
      </c>
    </row>
    <row r="78" ht="22" customHeight="1">
      <c r="B78" s="320" t="n"/>
      <c r="C78" s="246">
        <f>IF(SUMIFS(Лэндинг!$F$5:$F$300,Лэндинг!$E$5:$E$300,$B78)+SUMIFS(Закрытые!$F$5:$F$300,Закрытые!$E$5:$E$300,$B78,Закрытые!$B$5:$B$300,"L-*")=0,"",SUMIFS(Лэндинг!$F$5:$F$300,Лэндинг!$E$5:$E$300,$B78)+SUMIFS(Закрытые!$F$5:$F$300,Закрытые!$E$5:$E$300,$B78,Закрытые!$B$5:$B$300,"L-*"))</f>
        <v/>
      </c>
      <c r="D78" s="183">
        <f>IF(C78="","",(SUMPRODUCT((Лэндинг!$E$5:$E$300=$B78)*Лэндинг!$F$5:$F$300*Лэндинг!$G$5:$G$300)+SUMPRODUCT((Закрытые!$E$5:$E$300=$B78)*(LEFT(Закрытые!$B$5:$B$300,2)="L-")*Закрытые!$F$5:$F$300*Закрытые!$G$5:$G$300))/C78)</f>
        <v/>
      </c>
      <c r="E78" s="247">
        <f>IF(C78="","",SUMIFS(Лэндинг!$H$5:$H$300,Лэндинг!$E$5:$E$300,$B78)+SUMIFS(Закрытые!$H$5:$H$300,Закрытые!$E$5:$E$300,$B78,Закрытые!$B$5:$B$300,"L-*"))</f>
        <v/>
      </c>
      <c r="F78" s="246">
        <f>IF(SUMIFS(Лэндинг!$I$5:$I$300,Лэндинг!$E$5:$E$300,$B78)+SUMIFS(Закрытые!$I$5:$I$300,Закрытые!$E$5:$E$300,$B78,Закрытые!$B$5:$B$300,"L-*")=0,"",SUMIFS(Лэндинг!$I$5:$I$300,Лэндинг!$E$5:$E$300,$B78)+SUMIFS(Закрытые!$I$5:$I$300,Закрытые!$E$5:$E$300,$B78,Закрытые!$B$5:$B$300,"L-*"))</f>
        <v/>
      </c>
      <c r="G78" s="183">
        <f>IF(F78="","",(SUMPRODUCT((Лэндинг!$E$5:$E$300=$B78)*Лэндинг!$I$5:$I$300*Лэндинг!$J$5:$J$300)+SUMPRODUCT((Закрытые!$E$5:$E$300=$B78)*(LEFT(Закрытые!$B$5:$B$300,2)="L-")*Закрытые!$I$5:$I$300*Закрытые!$J$5:$J$300))/F78)</f>
        <v/>
      </c>
      <c r="H78" s="247">
        <f>IF(F78="","",SUMIFS(Лэндинг!$K$5:$K$300,Лэндинг!$E$5:$E$300,$B78)+SUMIFS(Закрытые!$K$5:$K$300,Закрытые!$E$5:$E$300,$B78,Закрытые!$B$5:$B$300,"L-*"))</f>
        <v/>
      </c>
      <c r="I78" s="246">
        <f>IF($B78="","",IF(COUNTIFS(Лэндинг!$E$5:$E$300,$B78)+COUNTIFS(Закрытые!$E$5:$E$300,$B78,Закрытые!$B$5:$B$300,"L-*")=0,"",ROUND(SUMIFS(Лэндинг!$L$5:$L$300,Лэндинг!$E$5:$E$300,$B78)+SUMIFS(Закрытые!$L$5:$L$300,Закрытые!$E$5:$E$300,$B78,Закрытые!$B$5:$B$300,"L-*"),8)))</f>
        <v/>
      </c>
      <c r="J78" s="247">
        <f>IF($B78="","",IF(COUNTIFS(Лэндинг!$E$5:$E$300,$B78)+COUNTIFS(Закрытые!$E$5:$E$300,$B78,Закрытые!$B$5:$B$300,"L-*")=0,"",ROUND(SUMIFS(Лэндинг!$M$5:$M$300,Лэндинг!$E$5:$E$300,$B78)+SUMIFS(Закрытые!$M$5:$M$300,Закрытые!$E$5:$E$300,$B78,Закрытые!$B$5:$B$300,"L-*"),8)))</f>
        <v/>
      </c>
      <c r="K78" s="246">
        <f>IF($B78="","",ROUND(SUMIFS(Закрытые!$N$5:$N$300,Закрытые!$E$5:$E$300,$B78,Закрытые!$B$5:$B$300,"L-*"),8))</f>
        <v/>
      </c>
      <c r="L78" s="183">
        <f>IF(K78="","",IF(SUMPRODUCT((Закрытые!$E$5:$E$300=$B78)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78/SUMPRODUCT((Закрытые!$E$5:$E$300=$B78)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8" s="183">
        <f>IF(OR(ROUND(N(C78)-N(F78),8)=0,1-N(Ввод!$E$17)/100&lt;=0),"",IF(N(C78)&gt;N(F78),(N(E78)-N(H78))/((N(C78)-N(F78))*(1-N(Ввод!$E$17)/100)),(N(H78)-N(E78))/((N(F78)-N(C78))*(1+N(Ввод!$E$17)/100))))</f>
        <v/>
      </c>
    </row>
    <row r="79" ht="22" customHeight="1">
      <c r="B79" s="315" t="n"/>
      <c r="C79" s="240">
        <f>IF(SUMIFS(Лэндинг!$F$5:$F$300,Лэндинг!$E$5:$E$300,$B79)+SUMIFS(Закрытые!$F$5:$F$300,Закрытые!$E$5:$E$300,$B79,Закрытые!$B$5:$B$300,"L-*")=0,"",SUMIFS(Лэндинг!$F$5:$F$300,Лэндинг!$E$5:$E$300,$B79)+SUMIFS(Закрытые!$F$5:$F$300,Закрытые!$E$5:$E$300,$B79,Закрытые!$B$5:$B$300,"L-*"))</f>
        <v/>
      </c>
      <c r="D79" s="177">
        <f>IF(C79="","",(SUMPRODUCT((Лэндинг!$E$5:$E$300=$B79)*Лэндинг!$F$5:$F$300*Лэндинг!$G$5:$G$300)+SUMPRODUCT((Закрытые!$E$5:$E$300=$B79)*(LEFT(Закрытые!$B$5:$B$300,2)="L-")*Закрытые!$F$5:$F$300*Закрытые!$G$5:$G$300))/C79)</f>
        <v/>
      </c>
      <c r="E79" s="241">
        <f>IF(C79="","",SUMIFS(Лэндинг!$H$5:$H$300,Лэндинг!$E$5:$E$300,$B79)+SUMIFS(Закрытые!$H$5:$H$300,Закрытые!$E$5:$E$300,$B79,Закрытые!$B$5:$B$300,"L-*"))</f>
        <v/>
      </c>
      <c r="F79" s="240">
        <f>IF(SUMIFS(Лэндинг!$I$5:$I$300,Лэндинг!$E$5:$E$300,$B79)+SUMIFS(Закрытые!$I$5:$I$300,Закрытые!$E$5:$E$300,$B79,Закрытые!$B$5:$B$300,"L-*")=0,"",SUMIFS(Лэндинг!$I$5:$I$300,Лэндинг!$E$5:$E$300,$B79)+SUMIFS(Закрытые!$I$5:$I$300,Закрытые!$E$5:$E$300,$B79,Закрытые!$B$5:$B$300,"L-*"))</f>
        <v/>
      </c>
      <c r="G79" s="177">
        <f>IF(F79="","",(SUMPRODUCT((Лэндинг!$E$5:$E$300=$B79)*Лэндинг!$I$5:$I$300*Лэндинг!$J$5:$J$300)+SUMPRODUCT((Закрытые!$E$5:$E$300=$B79)*(LEFT(Закрытые!$B$5:$B$300,2)="L-")*Закрытые!$I$5:$I$300*Закрытые!$J$5:$J$300))/F79)</f>
        <v/>
      </c>
      <c r="H79" s="241">
        <f>IF(F79="","",SUMIFS(Лэндинг!$K$5:$K$300,Лэндинг!$E$5:$E$300,$B79)+SUMIFS(Закрытые!$K$5:$K$300,Закрытые!$E$5:$E$300,$B79,Закрытые!$B$5:$B$300,"L-*"))</f>
        <v/>
      </c>
      <c r="I79" s="240">
        <f>IF($B79="","",IF(COUNTIFS(Лэндинг!$E$5:$E$300,$B79)+COUNTIFS(Закрытые!$E$5:$E$300,$B79,Закрытые!$B$5:$B$300,"L-*")=0,"",ROUND(SUMIFS(Лэндинг!$L$5:$L$300,Лэндинг!$E$5:$E$300,$B79)+SUMIFS(Закрытые!$L$5:$L$300,Закрытые!$E$5:$E$300,$B79,Закрытые!$B$5:$B$300,"L-*"),8)))</f>
        <v/>
      </c>
      <c r="J79" s="241">
        <f>IF($B79="","",IF(COUNTIFS(Лэндинг!$E$5:$E$300,$B79)+COUNTIFS(Закрытые!$E$5:$E$300,$B79,Закрытые!$B$5:$B$300,"L-*")=0,"",ROUND(SUMIFS(Лэндинг!$M$5:$M$300,Лэндинг!$E$5:$E$300,$B79)+SUMIFS(Закрытые!$M$5:$M$300,Закрытые!$E$5:$E$300,$B79,Закрытые!$B$5:$B$300,"L-*"),8)))</f>
        <v/>
      </c>
      <c r="K79" s="240">
        <f>IF($B79="","",ROUND(SUMIFS(Закрытые!$N$5:$N$300,Закрытые!$E$5:$E$300,$B79,Закрытые!$B$5:$B$300,"L-*"),8))</f>
        <v/>
      </c>
      <c r="L79" s="177">
        <f>IF(K79="","",IF(SUMPRODUCT((Закрытые!$E$5:$E$300=$B79)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79/SUMPRODUCT((Закрытые!$E$5:$E$300=$B79)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9" s="177">
        <f>IF(OR(ROUND(N(C79)-N(F79),8)=0,1-N(Ввод!$E$17)/100&lt;=0),"",IF(N(C79)&gt;N(F79),(N(E79)-N(H79))/((N(C79)-N(F79))*(1-N(Ввод!$E$17)/100)),(N(H79)-N(E79))/((N(F79)-N(C79))*(1+N(Ввод!$E$17)/100))))</f>
        <v/>
      </c>
    </row>
    <row r="80" ht="22" customHeight="1">
      <c r="B80" s="320" t="n"/>
      <c r="C80" s="246">
        <f>IF(SUMIFS(Лэндинг!$F$5:$F$300,Лэндинг!$E$5:$E$300,$B80)+SUMIFS(Закрытые!$F$5:$F$300,Закрытые!$E$5:$E$300,$B80,Закрытые!$B$5:$B$300,"L-*")=0,"",SUMIFS(Лэндинг!$F$5:$F$300,Лэндинг!$E$5:$E$300,$B80)+SUMIFS(Закрытые!$F$5:$F$300,Закрытые!$E$5:$E$300,$B80,Закрытые!$B$5:$B$300,"L-*"))</f>
        <v/>
      </c>
      <c r="D80" s="183">
        <f>IF(C80="","",(SUMPRODUCT((Лэндинг!$E$5:$E$300=$B80)*Лэндинг!$F$5:$F$300*Лэндинг!$G$5:$G$300)+SUMPRODUCT((Закрытые!$E$5:$E$300=$B80)*(LEFT(Закрытые!$B$5:$B$300,2)="L-")*Закрытые!$F$5:$F$300*Закрытые!$G$5:$G$300))/C80)</f>
        <v/>
      </c>
      <c r="E80" s="247">
        <f>IF(C80="","",SUMIFS(Лэндинг!$H$5:$H$300,Лэндинг!$E$5:$E$300,$B80)+SUMIFS(Закрытые!$H$5:$H$300,Закрытые!$E$5:$E$300,$B80,Закрытые!$B$5:$B$300,"L-*"))</f>
        <v/>
      </c>
      <c r="F80" s="246">
        <f>IF(SUMIFS(Лэндинг!$I$5:$I$300,Лэндинг!$E$5:$E$300,$B80)+SUMIFS(Закрытые!$I$5:$I$300,Закрытые!$E$5:$E$300,$B80,Закрытые!$B$5:$B$300,"L-*")=0,"",SUMIFS(Лэндинг!$I$5:$I$300,Лэндинг!$E$5:$E$300,$B80)+SUMIFS(Закрытые!$I$5:$I$300,Закрытые!$E$5:$E$300,$B80,Закрытые!$B$5:$B$300,"L-*"))</f>
        <v/>
      </c>
      <c r="G80" s="183">
        <f>IF(F80="","",(SUMPRODUCT((Лэндинг!$E$5:$E$300=$B80)*Лэндинг!$I$5:$I$300*Лэндинг!$J$5:$J$300)+SUMPRODUCT((Закрытые!$E$5:$E$300=$B80)*(LEFT(Закрытые!$B$5:$B$300,2)="L-")*Закрытые!$I$5:$I$300*Закрытые!$J$5:$J$300))/F80)</f>
        <v/>
      </c>
      <c r="H80" s="247">
        <f>IF(F80="","",SUMIFS(Лэндинг!$K$5:$K$300,Лэндинг!$E$5:$E$300,$B80)+SUMIFS(Закрытые!$K$5:$K$300,Закрытые!$E$5:$E$300,$B80,Закрытые!$B$5:$B$300,"L-*"))</f>
        <v/>
      </c>
      <c r="I80" s="246">
        <f>IF($B80="","",IF(COUNTIFS(Лэндинг!$E$5:$E$300,$B80)+COUNTIFS(Закрытые!$E$5:$E$300,$B80,Закрытые!$B$5:$B$300,"L-*")=0,"",ROUND(SUMIFS(Лэндинг!$L$5:$L$300,Лэндинг!$E$5:$E$300,$B80)+SUMIFS(Закрытые!$L$5:$L$300,Закрытые!$E$5:$E$300,$B80,Закрытые!$B$5:$B$300,"L-*"),8)))</f>
        <v/>
      </c>
      <c r="J80" s="247">
        <f>IF($B80="","",IF(COUNTIFS(Лэндинг!$E$5:$E$300,$B80)+COUNTIFS(Закрытые!$E$5:$E$300,$B80,Закрытые!$B$5:$B$300,"L-*")=0,"",ROUND(SUMIFS(Лэндинг!$M$5:$M$300,Лэндинг!$E$5:$E$300,$B80)+SUMIFS(Закрытые!$M$5:$M$300,Закрытые!$E$5:$E$300,$B80,Закрытые!$B$5:$B$300,"L-*"),8)))</f>
        <v/>
      </c>
      <c r="K80" s="246">
        <f>IF($B80="","",ROUND(SUMIFS(Закрытые!$N$5:$N$300,Закрытые!$E$5:$E$300,$B80,Закрытые!$B$5:$B$300,"L-*"),8))</f>
        <v/>
      </c>
      <c r="L80" s="183">
        <f>IF(K80="","",IF(SUMPRODUCT((Закрытые!$E$5:$E$300=$B80)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80/SUMPRODUCT((Закрытые!$E$5:$E$300=$B80)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0" s="183">
        <f>IF(OR(ROUND(N(C80)-N(F80),8)=0,1-N(Ввод!$E$17)/100&lt;=0),"",IF(N(C80)&gt;N(F80),(N(E80)-N(H80))/((N(C80)-N(F80))*(1-N(Ввод!$E$17)/100)),(N(H80)-N(E80))/((N(F80)-N(C80))*(1+N(Ввод!$E$17)/100))))</f>
        <v/>
      </c>
    </row>
    <row r="81" ht="22" customHeight="1">
      <c r="B81" s="315" t="n"/>
      <c r="C81" s="240">
        <f>IF(SUMIFS(Лэндинг!$F$5:$F$300,Лэндинг!$E$5:$E$300,$B81)+SUMIFS(Закрытые!$F$5:$F$300,Закрытые!$E$5:$E$300,$B81,Закрытые!$B$5:$B$300,"L-*")=0,"",SUMIFS(Лэндинг!$F$5:$F$300,Лэндинг!$E$5:$E$300,$B81)+SUMIFS(Закрытые!$F$5:$F$300,Закрытые!$E$5:$E$300,$B81,Закрытые!$B$5:$B$300,"L-*"))</f>
        <v/>
      </c>
      <c r="D81" s="177">
        <f>IF(C81="","",(SUMPRODUCT((Лэндинг!$E$5:$E$300=$B81)*Лэндинг!$F$5:$F$300*Лэндинг!$G$5:$G$300)+SUMPRODUCT((Закрытые!$E$5:$E$300=$B81)*(LEFT(Закрытые!$B$5:$B$300,2)="L-")*Закрытые!$F$5:$F$300*Закрытые!$G$5:$G$300))/C81)</f>
        <v/>
      </c>
      <c r="E81" s="241">
        <f>IF(C81="","",SUMIFS(Лэндинг!$H$5:$H$300,Лэндинг!$E$5:$E$300,$B81)+SUMIFS(Закрытые!$H$5:$H$300,Закрытые!$E$5:$E$300,$B81,Закрытые!$B$5:$B$300,"L-*"))</f>
        <v/>
      </c>
      <c r="F81" s="240">
        <f>IF(SUMIFS(Лэндинг!$I$5:$I$300,Лэндинг!$E$5:$E$300,$B81)+SUMIFS(Закрытые!$I$5:$I$300,Закрытые!$E$5:$E$300,$B81,Закрытые!$B$5:$B$300,"L-*")=0,"",SUMIFS(Лэндинг!$I$5:$I$300,Лэндинг!$E$5:$E$300,$B81)+SUMIFS(Закрытые!$I$5:$I$300,Закрытые!$E$5:$E$300,$B81,Закрытые!$B$5:$B$300,"L-*"))</f>
        <v/>
      </c>
      <c r="G81" s="177">
        <f>IF(F81="","",(SUMPRODUCT((Лэндинг!$E$5:$E$300=$B81)*Лэндинг!$I$5:$I$300*Лэндинг!$J$5:$J$300)+SUMPRODUCT((Закрытые!$E$5:$E$300=$B81)*(LEFT(Закрытые!$B$5:$B$300,2)="L-")*Закрытые!$I$5:$I$300*Закрытые!$J$5:$J$300))/F81)</f>
        <v/>
      </c>
      <c r="H81" s="241">
        <f>IF(F81="","",SUMIFS(Лэндинг!$K$5:$K$300,Лэндинг!$E$5:$E$300,$B81)+SUMIFS(Закрытые!$K$5:$K$300,Закрытые!$E$5:$E$300,$B81,Закрытые!$B$5:$B$300,"L-*"))</f>
        <v/>
      </c>
      <c r="I81" s="240">
        <f>IF($B81="","",IF(COUNTIFS(Лэндинг!$E$5:$E$300,$B81)+COUNTIFS(Закрытые!$E$5:$E$300,$B81,Закрытые!$B$5:$B$300,"L-*")=0,"",ROUND(SUMIFS(Лэндинг!$L$5:$L$300,Лэндинг!$E$5:$E$300,$B81)+SUMIFS(Закрытые!$L$5:$L$300,Закрытые!$E$5:$E$300,$B81,Закрытые!$B$5:$B$300,"L-*"),8)))</f>
        <v/>
      </c>
      <c r="J81" s="241">
        <f>IF($B81="","",IF(COUNTIFS(Лэндинг!$E$5:$E$300,$B81)+COUNTIFS(Закрытые!$E$5:$E$300,$B81,Закрытые!$B$5:$B$300,"L-*")=0,"",ROUND(SUMIFS(Лэндинг!$M$5:$M$300,Лэндинг!$E$5:$E$300,$B81)+SUMIFS(Закрытые!$M$5:$M$300,Закрытые!$E$5:$E$300,$B81,Закрытые!$B$5:$B$300,"L-*"),8)))</f>
        <v/>
      </c>
      <c r="K81" s="240">
        <f>IF($B81="","",ROUND(SUMIFS(Закрытые!$N$5:$N$300,Закрытые!$E$5:$E$300,$B81,Закрытые!$B$5:$B$300,"L-*"),8))</f>
        <v/>
      </c>
      <c r="L81" s="177">
        <f>IF(K81="","",IF(SUMPRODUCT((Закрытые!$E$5:$E$300=$B81)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81/SUMPRODUCT((Закрытые!$E$5:$E$300=$B81)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1" s="177">
        <f>IF(OR(ROUND(N(C81)-N(F81),8)=0,1-N(Ввод!$E$17)/100&lt;=0),"",IF(N(C81)&gt;N(F81),(N(E81)-N(H81))/((N(C81)-N(F81))*(1-N(Ввод!$E$17)/100)),(N(H81)-N(E81))/((N(F81)-N(C81))*(1+N(Ввод!$E$17)/100))))</f>
        <v/>
      </c>
    </row>
    <row r="82" ht="22" customHeight="1">
      <c r="B82" s="320" t="n"/>
      <c r="C82" s="246">
        <f>IF(SUMIFS(Лэндинг!$F$5:$F$300,Лэндинг!$E$5:$E$300,$B82)+SUMIFS(Закрытые!$F$5:$F$300,Закрытые!$E$5:$E$300,$B82,Закрытые!$B$5:$B$300,"L-*")=0,"",SUMIFS(Лэндинг!$F$5:$F$300,Лэндинг!$E$5:$E$300,$B82)+SUMIFS(Закрытые!$F$5:$F$300,Закрытые!$E$5:$E$300,$B82,Закрытые!$B$5:$B$300,"L-*"))</f>
        <v/>
      </c>
      <c r="D82" s="183">
        <f>IF(C82="","",(SUMPRODUCT((Лэндинг!$E$5:$E$300=$B82)*Лэндинг!$F$5:$F$300*Лэндинг!$G$5:$G$300)+SUMPRODUCT((Закрытые!$E$5:$E$300=$B82)*(LEFT(Закрытые!$B$5:$B$300,2)="L-")*Закрытые!$F$5:$F$300*Закрытые!$G$5:$G$300))/C82)</f>
        <v/>
      </c>
      <c r="E82" s="247">
        <f>IF(C82="","",SUMIFS(Лэндинг!$H$5:$H$300,Лэндинг!$E$5:$E$300,$B82)+SUMIFS(Закрытые!$H$5:$H$300,Закрытые!$E$5:$E$300,$B82,Закрытые!$B$5:$B$300,"L-*"))</f>
        <v/>
      </c>
      <c r="F82" s="246">
        <f>IF(SUMIFS(Лэндинг!$I$5:$I$300,Лэндинг!$E$5:$E$300,$B82)+SUMIFS(Закрытые!$I$5:$I$300,Закрытые!$E$5:$E$300,$B82,Закрытые!$B$5:$B$300,"L-*")=0,"",SUMIFS(Лэндинг!$I$5:$I$300,Лэндинг!$E$5:$E$300,$B82)+SUMIFS(Закрытые!$I$5:$I$300,Закрытые!$E$5:$E$300,$B82,Закрытые!$B$5:$B$300,"L-*"))</f>
        <v/>
      </c>
      <c r="G82" s="183">
        <f>IF(F82="","",(SUMPRODUCT((Лэндинг!$E$5:$E$300=$B82)*Лэндинг!$I$5:$I$300*Лэндинг!$J$5:$J$300)+SUMPRODUCT((Закрытые!$E$5:$E$300=$B82)*(LEFT(Закрытые!$B$5:$B$300,2)="L-")*Закрытые!$I$5:$I$300*Закрытые!$J$5:$J$300))/F82)</f>
        <v/>
      </c>
      <c r="H82" s="247">
        <f>IF(F82="","",SUMIFS(Лэндинг!$K$5:$K$300,Лэндинг!$E$5:$E$300,$B82)+SUMIFS(Закрытые!$K$5:$K$300,Закрытые!$E$5:$E$300,$B82,Закрытые!$B$5:$B$300,"L-*"))</f>
        <v/>
      </c>
      <c r="I82" s="246">
        <f>IF($B82="","",IF(COUNTIFS(Лэндинг!$E$5:$E$300,$B82)+COUNTIFS(Закрытые!$E$5:$E$300,$B82,Закрытые!$B$5:$B$300,"L-*")=0,"",ROUND(SUMIFS(Лэндинг!$L$5:$L$300,Лэндинг!$E$5:$E$300,$B82)+SUMIFS(Закрытые!$L$5:$L$300,Закрытые!$E$5:$E$300,$B82,Закрытые!$B$5:$B$300,"L-*"),8)))</f>
        <v/>
      </c>
      <c r="J82" s="247">
        <f>IF($B82="","",IF(COUNTIFS(Лэндинг!$E$5:$E$300,$B82)+COUNTIFS(Закрытые!$E$5:$E$300,$B82,Закрытые!$B$5:$B$300,"L-*")=0,"",ROUND(SUMIFS(Лэндинг!$M$5:$M$300,Лэндинг!$E$5:$E$300,$B82)+SUMIFS(Закрытые!$M$5:$M$300,Закрытые!$E$5:$E$300,$B82,Закрытые!$B$5:$B$300,"L-*"),8)))</f>
        <v/>
      </c>
      <c r="K82" s="246">
        <f>IF($B82="","",ROUND(SUMIFS(Закрытые!$N$5:$N$300,Закрытые!$E$5:$E$300,$B82,Закрытые!$B$5:$B$300,"L-*"),8))</f>
        <v/>
      </c>
      <c r="L82" s="183">
        <f>IF(K82="","",IF(SUMPRODUCT((Закрытые!$E$5:$E$300=$B82)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82/SUMPRODUCT((Закрытые!$E$5:$E$300=$B82)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2" s="183">
        <f>IF(OR(ROUND(N(C82)-N(F82),8)=0,1-N(Ввод!$E$17)/100&lt;=0),"",IF(N(C82)&gt;N(F82),(N(E82)-N(H82))/((N(C82)-N(F82))*(1-N(Ввод!$E$17)/100)),(N(H82)-N(E82))/((N(F82)-N(C82))*(1+N(Ввод!$E$17)/100))))</f>
        <v/>
      </c>
    </row>
    <row r="83" ht="22" customHeight="1">
      <c r="B83" s="315" t="n"/>
      <c r="C83" s="240">
        <f>IF(SUMIFS(Лэндинг!$F$5:$F$300,Лэндинг!$E$5:$E$300,$B83)+SUMIFS(Закрытые!$F$5:$F$300,Закрытые!$E$5:$E$300,$B83,Закрытые!$B$5:$B$300,"L-*")=0,"",SUMIFS(Лэндинг!$F$5:$F$300,Лэндинг!$E$5:$E$300,$B83)+SUMIFS(Закрытые!$F$5:$F$300,Закрытые!$E$5:$E$300,$B83,Закрытые!$B$5:$B$300,"L-*"))</f>
        <v/>
      </c>
      <c r="D83" s="177">
        <f>IF(C83="","",(SUMPRODUCT((Лэндинг!$E$5:$E$300=$B83)*Лэндинг!$F$5:$F$300*Лэндинг!$G$5:$G$300)+SUMPRODUCT((Закрытые!$E$5:$E$300=$B83)*(LEFT(Закрытые!$B$5:$B$300,2)="L-")*Закрытые!$F$5:$F$300*Закрытые!$G$5:$G$300))/C83)</f>
        <v/>
      </c>
      <c r="E83" s="241">
        <f>IF(C83="","",SUMIFS(Лэндинг!$H$5:$H$300,Лэндинг!$E$5:$E$300,$B83)+SUMIFS(Закрытые!$H$5:$H$300,Закрытые!$E$5:$E$300,$B83,Закрытые!$B$5:$B$300,"L-*"))</f>
        <v/>
      </c>
      <c r="F83" s="240">
        <f>IF(SUMIFS(Лэндинг!$I$5:$I$300,Лэндинг!$E$5:$E$300,$B83)+SUMIFS(Закрытые!$I$5:$I$300,Закрытые!$E$5:$E$300,$B83,Закрытые!$B$5:$B$300,"L-*")=0,"",SUMIFS(Лэндинг!$I$5:$I$300,Лэндинг!$E$5:$E$300,$B83)+SUMIFS(Закрытые!$I$5:$I$300,Закрытые!$E$5:$E$300,$B83,Закрытые!$B$5:$B$300,"L-*"))</f>
        <v/>
      </c>
      <c r="G83" s="177">
        <f>IF(F83="","",(SUMPRODUCT((Лэндинг!$E$5:$E$300=$B83)*Лэндинг!$I$5:$I$300*Лэндинг!$J$5:$J$300)+SUMPRODUCT((Закрытые!$E$5:$E$300=$B83)*(LEFT(Закрытые!$B$5:$B$300,2)="L-")*Закрытые!$I$5:$I$300*Закрытые!$J$5:$J$300))/F83)</f>
        <v/>
      </c>
      <c r="H83" s="241">
        <f>IF(F83="","",SUMIFS(Лэндинг!$K$5:$K$300,Лэндинг!$E$5:$E$300,$B83)+SUMIFS(Закрытые!$K$5:$K$300,Закрытые!$E$5:$E$300,$B83,Закрытые!$B$5:$B$300,"L-*"))</f>
        <v/>
      </c>
      <c r="I83" s="240">
        <f>IF($B83="","",IF(COUNTIFS(Лэндинг!$E$5:$E$300,$B83)+COUNTIFS(Закрытые!$E$5:$E$300,$B83,Закрытые!$B$5:$B$300,"L-*")=0,"",ROUND(SUMIFS(Лэндинг!$L$5:$L$300,Лэндинг!$E$5:$E$300,$B83)+SUMIFS(Закрытые!$L$5:$L$300,Закрытые!$E$5:$E$300,$B83,Закрытые!$B$5:$B$300,"L-*"),8)))</f>
        <v/>
      </c>
      <c r="J83" s="241">
        <f>IF($B83="","",IF(COUNTIFS(Лэндинг!$E$5:$E$300,$B83)+COUNTIFS(Закрытые!$E$5:$E$300,$B83,Закрытые!$B$5:$B$300,"L-*")=0,"",ROUND(SUMIFS(Лэндинг!$M$5:$M$300,Лэндинг!$E$5:$E$300,$B83)+SUMIFS(Закрытые!$M$5:$M$300,Закрытые!$E$5:$E$300,$B83,Закрытые!$B$5:$B$300,"L-*"),8)))</f>
        <v/>
      </c>
      <c r="K83" s="240">
        <f>IF($B83="","",ROUND(SUMIFS(Закрытые!$N$5:$N$300,Закрытые!$E$5:$E$300,$B83,Закрытые!$B$5:$B$300,"L-*"),8))</f>
        <v/>
      </c>
      <c r="L83" s="177">
        <f>IF(K83="","",IF(SUMPRODUCT((Закрытые!$E$5:$E$300=$B83)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83/SUMPRODUCT((Закрытые!$E$5:$E$300=$B83)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3" s="177">
        <f>IF(OR(ROUND(N(C83)-N(F83),8)=0,1-N(Ввод!$E$17)/100&lt;=0),"",IF(N(C83)&gt;N(F83),(N(E83)-N(H83))/((N(C83)-N(F83))*(1-N(Ввод!$E$17)/100)),(N(H83)-N(E83))/((N(F83)-N(C83))*(1+N(Ввод!$E$17)/100))))</f>
        <v/>
      </c>
    </row>
    <row r="84" ht="22" customHeight="1">
      <c r="B84" s="320" t="n"/>
      <c r="C84" s="246">
        <f>IF(SUMIFS(Лэндинг!$F$5:$F$300,Лэндинг!$E$5:$E$300,$B84)+SUMIFS(Закрытые!$F$5:$F$300,Закрытые!$E$5:$E$300,$B84,Закрытые!$B$5:$B$300,"L-*")=0,"",SUMIFS(Лэндинг!$F$5:$F$300,Лэндинг!$E$5:$E$300,$B84)+SUMIFS(Закрытые!$F$5:$F$300,Закрытые!$E$5:$E$300,$B84,Закрытые!$B$5:$B$300,"L-*"))</f>
        <v/>
      </c>
      <c r="D84" s="183">
        <f>IF(C84="","",(SUMPRODUCT((Лэндинг!$E$5:$E$300=$B84)*Лэндинг!$F$5:$F$300*Лэндинг!$G$5:$G$300)+SUMPRODUCT((Закрытые!$E$5:$E$300=$B84)*(LEFT(Закрытые!$B$5:$B$300,2)="L-")*Закрытые!$F$5:$F$300*Закрытые!$G$5:$G$300))/C84)</f>
        <v/>
      </c>
      <c r="E84" s="247">
        <f>IF(C84="","",SUMIFS(Лэндинг!$H$5:$H$300,Лэндинг!$E$5:$E$300,$B84)+SUMIFS(Закрытые!$H$5:$H$300,Закрытые!$E$5:$E$300,$B84,Закрытые!$B$5:$B$300,"L-*"))</f>
        <v/>
      </c>
      <c r="F84" s="246">
        <f>IF(SUMIFS(Лэндинг!$I$5:$I$300,Лэндинг!$E$5:$E$300,$B84)+SUMIFS(Закрытые!$I$5:$I$300,Закрытые!$E$5:$E$300,$B84,Закрытые!$B$5:$B$300,"L-*")=0,"",SUMIFS(Лэндинг!$I$5:$I$300,Лэндинг!$E$5:$E$300,$B84)+SUMIFS(Закрытые!$I$5:$I$300,Закрытые!$E$5:$E$300,$B84,Закрытые!$B$5:$B$300,"L-*"))</f>
        <v/>
      </c>
      <c r="G84" s="183">
        <f>IF(F84="","",(SUMPRODUCT((Лэндинг!$E$5:$E$300=$B84)*Лэндинг!$I$5:$I$300*Лэндинг!$J$5:$J$300)+SUMPRODUCT((Закрытые!$E$5:$E$300=$B84)*(LEFT(Закрытые!$B$5:$B$300,2)="L-")*Закрытые!$I$5:$I$300*Закрытые!$J$5:$J$300))/F84)</f>
        <v/>
      </c>
      <c r="H84" s="247">
        <f>IF(F84="","",SUMIFS(Лэндинг!$K$5:$K$300,Лэндинг!$E$5:$E$300,$B84)+SUMIFS(Закрытые!$K$5:$K$300,Закрытые!$E$5:$E$300,$B84,Закрытые!$B$5:$B$300,"L-*"))</f>
        <v/>
      </c>
      <c r="I84" s="246">
        <f>IF($B84="","",IF(COUNTIFS(Лэндинг!$E$5:$E$300,$B84)+COUNTIFS(Закрытые!$E$5:$E$300,$B84,Закрытые!$B$5:$B$300,"L-*")=0,"",ROUND(SUMIFS(Лэндинг!$L$5:$L$300,Лэндинг!$E$5:$E$300,$B84)+SUMIFS(Закрытые!$L$5:$L$300,Закрытые!$E$5:$E$300,$B84,Закрытые!$B$5:$B$300,"L-*"),8)))</f>
        <v/>
      </c>
      <c r="J84" s="247">
        <f>IF($B84="","",IF(COUNTIFS(Лэндинг!$E$5:$E$300,$B84)+COUNTIFS(Закрытые!$E$5:$E$300,$B84,Закрытые!$B$5:$B$300,"L-*")=0,"",ROUND(SUMIFS(Лэндинг!$M$5:$M$300,Лэндинг!$E$5:$E$300,$B84)+SUMIFS(Закрытые!$M$5:$M$300,Закрытые!$E$5:$E$300,$B84,Закрытые!$B$5:$B$300,"L-*"),8)))</f>
        <v/>
      </c>
      <c r="K84" s="246">
        <f>IF($B84="","",ROUND(SUMIFS(Закрытые!$N$5:$N$300,Закрытые!$E$5:$E$300,$B84,Закрытые!$B$5:$B$300,"L-*"),8))</f>
        <v/>
      </c>
      <c r="L84" s="183">
        <f>IF(K84="","",IF(SUMPRODUCT((Закрытые!$E$5:$E$300=$B84)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84/SUMPRODUCT((Закрытые!$E$5:$E$300=$B84)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4" s="183">
        <f>IF(OR(ROUND(N(C84)-N(F84),8)=0,1-N(Ввод!$E$17)/100&lt;=0),"",IF(N(C84)&gt;N(F84),(N(E84)-N(H84))/((N(C84)-N(F84))*(1-N(Ввод!$E$17)/100)),(N(H84)-N(E84))/((N(F84)-N(C84))*(1+N(Ввод!$E$17)/100))))</f>
        <v/>
      </c>
    </row>
    <row r="85" ht="22" customHeight="1">
      <c r="B85" s="315" t="n"/>
      <c r="C85" s="240">
        <f>IF(SUMIFS(Лэндинг!$F$5:$F$300,Лэндинг!$E$5:$E$300,$B85)+SUMIFS(Закрытые!$F$5:$F$300,Закрытые!$E$5:$E$300,$B85,Закрытые!$B$5:$B$300,"L-*")=0,"",SUMIFS(Лэндинг!$F$5:$F$300,Лэндинг!$E$5:$E$300,$B85)+SUMIFS(Закрытые!$F$5:$F$300,Закрытые!$E$5:$E$300,$B85,Закрытые!$B$5:$B$300,"L-*"))</f>
        <v/>
      </c>
      <c r="D85" s="177">
        <f>IF(C85="","",(SUMPRODUCT((Лэндинг!$E$5:$E$300=$B85)*Лэндинг!$F$5:$F$300*Лэндинг!$G$5:$G$300)+SUMPRODUCT((Закрытые!$E$5:$E$300=$B85)*(LEFT(Закрытые!$B$5:$B$300,2)="L-")*Закрытые!$F$5:$F$300*Закрытые!$G$5:$G$300))/C85)</f>
        <v/>
      </c>
      <c r="E85" s="241">
        <f>IF(C85="","",SUMIFS(Лэндинг!$H$5:$H$300,Лэндинг!$E$5:$E$300,$B85)+SUMIFS(Закрытые!$H$5:$H$300,Закрытые!$E$5:$E$300,$B85,Закрытые!$B$5:$B$300,"L-*"))</f>
        <v/>
      </c>
      <c r="F85" s="240">
        <f>IF(SUMIFS(Лэндинг!$I$5:$I$300,Лэндинг!$E$5:$E$300,$B85)+SUMIFS(Закрытые!$I$5:$I$300,Закрытые!$E$5:$E$300,$B85,Закрытые!$B$5:$B$300,"L-*")=0,"",SUMIFS(Лэндинг!$I$5:$I$300,Лэндинг!$E$5:$E$300,$B85)+SUMIFS(Закрытые!$I$5:$I$300,Закрытые!$E$5:$E$300,$B85,Закрытые!$B$5:$B$300,"L-*"))</f>
        <v/>
      </c>
      <c r="G85" s="177">
        <f>IF(F85="","",(SUMPRODUCT((Лэндинг!$E$5:$E$300=$B85)*Лэндинг!$I$5:$I$300*Лэндинг!$J$5:$J$300)+SUMPRODUCT((Закрытые!$E$5:$E$300=$B85)*(LEFT(Закрытые!$B$5:$B$300,2)="L-")*Закрытые!$I$5:$I$300*Закрытые!$J$5:$J$300))/F85)</f>
        <v/>
      </c>
      <c r="H85" s="241">
        <f>IF(F85="","",SUMIFS(Лэндинг!$K$5:$K$300,Лэндинг!$E$5:$E$300,$B85)+SUMIFS(Закрытые!$K$5:$K$300,Закрытые!$E$5:$E$300,$B85,Закрытые!$B$5:$B$300,"L-*"))</f>
        <v/>
      </c>
      <c r="I85" s="240">
        <f>IF($B85="","",IF(COUNTIFS(Лэндинг!$E$5:$E$300,$B85)+COUNTIFS(Закрытые!$E$5:$E$300,$B85,Закрытые!$B$5:$B$300,"L-*")=0,"",ROUND(SUMIFS(Лэндинг!$L$5:$L$300,Лэндинг!$E$5:$E$300,$B85)+SUMIFS(Закрытые!$L$5:$L$300,Закрытые!$E$5:$E$300,$B85,Закрытые!$B$5:$B$300,"L-*"),8)))</f>
        <v/>
      </c>
      <c r="J85" s="241">
        <f>IF($B85="","",IF(COUNTIFS(Лэндинг!$E$5:$E$300,$B85)+COUNTIFS(Закрытые!$E$5:$E$300,$B85,Закрытые!$B$5:$B$300,"L-*")=0,"",ROUND(SUMIFS(Лэндинг!$M$5:$M$300,Лэндинг!$E$5:$E$300,$B85)+SUMIFS(Закрытые!$M$5:$M$300,Закрытые!$E$5:$E$300,$B85,Закрытые!$B$5:$B$300,"L-*"),8)))</f>
        <v/>
      </c>
      <c r="K85" s="240">
        <f>IF($B85="","",ROUND(SUMIFS(Закрытые!$N$5:$N$300,Закрытые!$E$5:$E$300,$B85,Закрытые!$B$5:$B$300,"L-*"),8))</f>
        <v/>
      </c>
      <c r="L85" s="177">
        <f>IF(K85="","",IF(SUMPRODUCT((Закрытые!$E$5:$E$300=$B85)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85/SUMPRODUCT((Закрытые!$E$5:$E$300=$B85)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5" s="177">
        <f>IF(OR(ROUND(N(C85)-N(F85),8)=0,1-N(Ввод!$E$17)/100&lt;=0),"",IF(N(C85)&gt;N(F85),(N(E85)-N(H85))/((N(C85)-N(F85))*(1-N(Ввод!$E$17)/100)),(N(H85)-N(E85))/((N(F85)-N(C85))*(1+N(Ввод!$E$17)/100))))</f>
        <v/>
      </c>
    </row>
    <row r="86" ht="22" customHeight="1">
      <c r="B86" s="320" t="n"/>
      <c r="C86" s="246">
        <f>IF(SUMIFS(Лэндинг!$F$5:$F$300,Лэндинг!$E$5:$E$300,$B86)+SUMIFS(Закрытые!$F$5:$F$300,Закрытые!$E$5:$E$300,$B86,Закрытые!$B$5:$B$300,"L-*")=0,"",SUMIFS(Лэндинг!$F$5:$F$300,Лэндинг!$E$5:$E$300,$B86)+SUMIFS(Закрытые!$F$5:$F$300,Закрытые!$E$5:$E$300,$B86,Закрытые!$B$5:$B$300,"L-*"))</f>
        <v/>
      </c>
      <c r="D86" s="183">
        <f>IF(C86="","",(SUMPRODUCT((Лэндинг!$E$5:$E$300=$B86)*Лэндинг!$F$5:$F$300*Лэндинг!$G$5:$G$300)+SUMPRODUCT((Закрытые!$E$5:$E$300=$B86)*(LEFT(Закрытые!$B$5:$B$300,2)="L-")*Закрытые!$F$5:$F$300*Закрытые!$G$5:$G$300))/C86)</f>
        <v/>
      </c>
      <c r="E86" s="247">
        <f>IF(C86="","",SUMIFS(Лэндинг!$H$5:$H$300,Лэндинг!$E$5:$E$300,$B86)+SUMIFS(Закрытые!$H$5:$H$300,Закрытые!$E$5:$E$300,$B86,Закрытые!$B$5:$B$300,"L-*"))</f>
        <v/>
      </c>
      <c r="F86" s="246">
        <f>IF(SUMIFS(Лэндинг!$I$5:$I$300,Лэндинг!$E$5:$E$300,$B86)+SUMIFS(Закрытые!$I$5:$I$300,Закрытые!$E$5:$E$300,$B86,Закрытые!$B$5:$B$300,"L-*")=0,"",SUMIFS(Лэндинг!$I$5:$I$300,Лэндинг!$E$5:$E$300,$B86)+SUMIFS(Закрытые!$I$5:$I$300,Закрытые!$E$5:$E$300,$B86,Закрытые!$B$5:$B$300,"L-*"))</f>
        <v/>
      </c>
      <c r="G86" s="183">
        <f>IF(F86="","",(SUMPRODUCT((Лэндинг!$E$5:$E$300=$B86)*Лэндинг!$I$5:$I$300*Лэндинг!$J$5:$J$300)+SUMPRODUCT((Закрытые!$E$5:$E$300=$B86)*(LEFT(Закрытые!$B$5:$B$300,2)="L-")*Закрытые!$I$5:$I$300*Закрытые!$J$5:$J$300))/F86)</f>
        <v/>
      </c>
      <c r="H86" s="247">
        <f>IF(F86="","",SUMIFS(Лэндинг!$K$5:$K$300,Лэндинг!$E$5:$E$300,$B86)+SUMIFS(Закрытые!$K$5:$K$300,Закрытые!$E$5:$E$300,$B86,Закрытые!$B$5:$B$300,"L-*"))</f>
        <v/>
      </c>
      <c r="I86" s="246">
        <f>IF($B86="","",IF(COUNTIFS(Лэндинг!$E$5:$E$300,$B86)+COUNTIFS(Закрытые!$E$5:$E$300,$B86,Закрытые!$B$5:$B$300,"L-*")=0,"",ROUND(SUMIFS(Лэндинг!$L$5:$L$300,Лэндинг!$E$5:$E$300,$B86)+SUMIFS(Закрытые!$L$5:$L$300,Закрытые!$E$5:$E$300,$B86,Закрытые!$B$5:$B$300,"L-*"),8)))</f>
        <v/>
      </c>
      <c r="J86" s="247">
        <f>IF($B86="","",IF(COUNTIFS(Лэндинг!$E$5:$E$300,$B86)+COUNTIFS(Закрытые!$E$5:$E$300,$B86,Закрытые!$B$5:$B$300,"L-*")=0,"",ROUND(SUMIFS(Лэндинг!$M$5:$M$300,Лэндинг!$E$5:$E$300,$B86)+SUMIFS(Закрытые!$M$5:$M$300,Закрытые!$E$5:$E$300,$B86,Закрытые!$B$5:$B$300,"L-*"),8)))</f>
        <v/>
      </c>
      <c r="K86" s="246">
        <f>IF($B86="","",ROUND(SUMIFS(Закрытые!$N$5:$N$300,Закрытые!$E$5:$E$300,$B86,Закрытые!$B$5:$B$300,"L-*"),8))</f>
        <v/>
      </c>
      <c r="L86" s="183">
        <f>IF(K86="","",IF(SUMPRODUCT((Закрытые!$E$5:$E$300=$B86)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86/SUMPRODUCT((Закрытые!$E$5:$E$300=$B86)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6" s="183">
        <f>IF(OR(ROUND(N(C86)-N(F86),8)=0,1-N(Ввод!$E$17)/100&lt;=0),"",IF(N(C86)&gt;N(F86),(N(E86)-N(H86))/((N(C86)-N(F86))*(1-N(Ввод!$E$17)/100)),(N(H86)-N(E86))/((N(F86)-N(C86))*(1+N(Ввод!$E$17)/100))))</f>
        <v/>
      </c>
    </row>
    <row r="87" ht="22" customHeight="1">
      <c r="B87" s="315" t="n"/>
      <c r="C87" s="240">
        <f>IF(SUMIFS(Лэндинг!$F$5:$F$300,Лэндинг!$E$5:$E$300,$B87)+SUMIFS(Закрытые!$F$5:$F$300,Закрытые!$E$5:$E$300,$B87,Закрытые!$B$5:$B$300,"L-*")=0,"",SUMIFS(Лэндинг!$F$5:$F$300,Лэндинг!$E$5:$E$300,$B87)+SUMIFS(Закрытые!$F$5:$F$300,Закрытые!$E$5:$E$300,$B87,Закрытые!$B$5:$B$300,"L-*"))</f>
        <v/>
      </c>
      <c r="D87" s="177">
        <f>IF(C87="","",(SUMPRODUCT((Лэндинг!$E$5:$E$300=$B87)*Лэндинг!$F$5:$F$300*Лэндинг!$G$5:$G$300)+SUMPRODUCT((Закрытые!$E$5:$E$300=$B87)*(LEFT(Закрытые!$B$5:$B$300,2)="L-")*Закрытые!$F$5:$F$300*Закрытые!$G$5:$G$300))/C87)</f>
        <v/>
      </c>
      <c r="E87" s="241">
        <f>IF(C87="","",SUMIFS(Лэндинг!$H$5:$H$300,Лэндинг!$E$5:$E$300,$B87)+SUMIFS(Закрытые!$H$5:$H$300,Закрытые!$E$5:$E$300,$B87,Закрытые!$B$5:$B$300,"L-*"))</f>
        <v/>
      </c>
      <c r="F87" s="240">
        <f>IF(SUMIFS(Лэндинг!$I$5:$I$300,Лэндинг!$E$5:$E$300,$B87)+SUMIFS(Закрытые!$I$5:$I$300,Закрытые!$E$5:$E$300,$B87,Закрытые!$B$5:$B$300,"L-*")=0,"",SUMIFS(Лэндинг!$I$5:$I$300,Лэндинг!$E$5:$E$300,$B87)+SUMIFS(Закрытые!$I$5:$I$300,Закрытые!$E$5:$E$300,$B87,Закрытые!$B$5:$B$300,"L-*"))</f>
        <v/>
      </c>
      <c r="G87" s="177">
        <f>IF(F87="","",(SUMPRODUCT((Лэндинг!$E$5:$E$300=$B87)*Лэндинг!$I$5:$I$300*Лэндинг!$J$5:$J$300)+SUMPRODUCT((Закрытые!$E$5:$E$300=$B87)*(LEFT(Закрытые!$B$5:$B$300,2)="L-")*Закрытые!$I$5:$I$300*Закрытые!$J$5:$J$300))/F87)</f>
        <v/>
      </c>
      <c r="H87" s="241">
        <f>IF(F87="","",SUMIFS(Лэндинг!$K$5:$K$300,Лэндинг!$E$5:$E$300,$B87)+SUMIFS(Закрытые!$K$5:$K$300,Закрытые!$E$5:$E$300,$B87,Закрытые!$B$5:$B$300,"L-*"))</f>
        <v/>
      </c>
      <c r="I87" s="240">
        <f>IF($B87="","",IF(COUNTIFS(Лэндинг!$E$5:$E$300,$B87)+COUNTIFS(Закрытые!$E$5:$E$300,$B87,Закрытые!$B$5:$B$300,"L-*")=0,"",ROUND(SUMIFS(Лэндинг!$L$5:$L$300,Лэндинг!$E$5:$E$300,$B87)+SUMIFS(Закрытые!$L$5:$L$300,Закрытые!$E$5:$E$300,$B87,Закрытые!$B$5:$B$300,"L-*"),8)))</f>
        <v/>
      </c>
      <c r="J87" s="241">
        <f>IF($B87="","",IF(COUNTIFS(Лэндинг!$E$5:$E$300,$B87)+COUNTIFS(Закрытые!$E$5:$E$300,$B87,Закрытые!$B$5:$B$300,"L-*")=0,"",ROUND(SUMIFS(Лэндинг!$M$5:$M$300,Лэндинг!$E$5:$E$300,$B87)+SUMIFS(Закрытые!$M$5:$M$300,Закрытые!$E$5:$E$300,$B87,Закрытые!$B$5:$B$300,"L-*"),8)))</f>
        <v/>
      </c>
      <c r="K87" s="240">
        <f>IF($B87="","",ROUND(SUMIFS(Закрытые!$N$5:$N$300,Закрытые!$E$5:$E$300,$B87,Закрытые!$B$5:$B$300,"L-*"),8))</f>
        <v/>
      </c>
      <c r="L87" s="177">
        <f>IF(K87="","",IF(SUMPRODUCT((Закрытые!$E$5:$E$300=$B87)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87/SUMPRODUCT((Закрытые!$E$5:$E$300=$B87)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7" s="177">
        <f>IF(OR(ROUND(N(C87)-N(F87),8)=0,1-N(Ввод!$E$17)/100&lt;=0),"",IF(N(C87)&gt;N(F87),(N(E87)-N(H87))/((N(C87)-N(F87))*(1-N(Ввод!$E$17)/100)),(N(H87)-N(E87))/((N(F87)-N(C87))*(1+N(Ввод!$E$17)/100))))</f>
        <v/>
      </c>
    </row>
    <row r="88" ht="22" customHeight="1">
      <c r="B88" s="320" t="n"/>
      <c r="C88" s="246">
        <f>IF(SUMIFS(Лэндинг!$F$5:$F$300,Лэндинг!$E$5:$E$300,$B88)+SUMIFS(Закрытые!$F$5:$F$300,Закрытые!$E$5:$E$300,$B88,Закрытые!$B$5:$B$300,"L-*")=0,"",SUMIFS(Лэндинг!$F$5:$F$300,Лэндинг!$E$5:$E$300,$B88)+SUMIFS(Закрытые!$F$5:$F$300,Закрытые!$E$5:$E$300,$B88,Закрытые!$B$5:$B$300,"L-*"))</f>
        <v/>
      </c>
      <c r="D88" s="183">
        <f>IF(C88="","",(SUMPRODUCT((Лэндинг!$E$5:$E$300=$B88)*Лэндинг!$F$5:$F$300*Лэндинг!$G$5:$G$300)+SUMPRODUCT((Закрытые!$E$5:$E$300=$B88)*(LEFT(Закрытые!$B$5:$B$300,2)="L-")*Закрытые!$F$5:$F$300*Закрытые!$G$5:$G$300))/C88)</f>
        <v/>
      </c>
      <c r="E88" s="247">
        <f>IF(C88="","",SUMIFS(Лэндинг!$H$5:$H$300,Лэндинг!$E$5:$E$300,$B88)+SUMIFS(Закрытые!$H$5:$H$300,Закрытые!$E$5:$E$300,$B88,Закрытые!$B$5:$B$300,"L-*"))</f>
        <v/>
      </c>
      <c r="F88" s="246">
        <f>IF(SUMIFS(Лэндинг!$I$5:$I$300,Лэндинг!$E$5:$E$300,$B88)+SUMIFS(Закрытые!$I$5:$I$300,Закрытые!$E$5:$E$300,$B88,Закрытые!$B$5:$B$300,"L-*")=0,"",SUMIFS(Лэндинг!$I$5:$I$300,Лэндинг!$E$5:$E$300,$B88)+SUMIFS(Закрытые!$I$5:$I$300,Закрытые!$E$5:$E$300,$B88,Закрытые!$B$5:$B$300,"L-*"))</f>
        <v/>
      </c>
      <c r="G88" s="183">
        <f>IF(F88="","",(SUMPRODUCT((Лэндинг!$E$5:$E$300=$B88)*Лэндинг!$I$5:$I$300*Лэндинг!$J$5:$J$300)+SUMPRODUCT((Закрытые!$E$5:$E$300=$B88)*(LEFT(Закрытые!$B$5:$B$300,2)="L-")*Закрытые!$I$5:$I$300*Закрытые!$J$5:$J$300))/F88)</f>
        <v/>
      </c>
      <c r="H88" s="247">
        <f>IF(F88="","",SUMIFS(Лэндинг!$K$5:$K$300,Лэндинг!$E$5:$E$300,$B88)+SUMIFS(Закрытые!$K$5:$K$300,Закрытые!$E$5:$E$300,$B88,Закрытые!$B$5:$B$300,"L-*"))</f>
        <v/>
      </c>
      <c r="I88" s="246">
        <f>IF($B88="","",IF(COUNTIFS(Лэндинг!$E$5:$E$300,$B88)+COUNTIFS(Закрытые!$E$5:$E$300,$B88,Закрытые!$B$5:$B$300,"L-*")=0,"",ROUND(SUMIFS(Лэндинг!$L$5:$L$300,Лэндинг!$E$5:$E$300,$B88)+SUMIFS(Закрытые!$L$5:$L$300,Закрытые!$E$5:$E$300,$B88,Закрытые!$B$5:$B$300,"L-*"),8)))</f>
        <v/>
      </c>
      <c r="J88" s="247">
        <f>IF($B88="","",IF(COUNTIFS(Лэндинг!$E$5:$E$300,$B88)+COUNTIFS(Закрытые!$E$5:$E$300,$B88,Закрытые!$B$5:$B$300,"L-*")=0,"",ROUND(SUMIFS(Лэндинг!$M$5:$M$300,Лэндинг!$E$5:$E$300,$B88)+SUMIFS(Закрытые!$M$5:$M$300,Закрытые!$E$5:$E$300,$B88,Закрытые!$B$5:$B$300,"L-*"),8)))</f>
        <v/>
      </c>
      <c r="K88" s="246">
        <f>IF($B88="","",ROUND(SUMIFS(Закрытые!$N$5:$N$300,Закрытые!$E$5:$E$300,$B88,Закрытые!$B$5:$B$300,"L-*"),8))</f>
        <v/>
      </c>
      <c r="L88" s="183">
        <f>IF(K88="","",IF(SUMPRODUCT((Закрытые!$E$5:$E$300=$B88)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88/SUMPRODUCT((Закрытые!$E$5:$E$300=$B88)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8" s="183">
        <f>IF(OR(ROUND(N(C88)-N(F88),8)=0,1-N(Ввод!$E$17)/100&lt;=0),"",IF(N(C88)&gt;N(F88),(N(E88)-N(H88))/((N(C88)-N(F88))*(1-N(Ввод!$E$17)/100)),(N(H88)-N(E88))/((N(F88)-N(C88))*(1+N(Ввод!$E$17)/100))))</f>
        <v/>
      </c>
    </row>
    <row r="89" ht="22" customHeight="1">
      <c r="B89" s="315" t="n"/>
      <c r="C89" s="240">
        <f>IF(SUMIFS(Лэндинг!$F$5:$F$300,Лэндинг!$E$5:$E$300,$B89)+SUMIFS(Закрытые!$F$5:$F$300,Закрытые!$E$5:$E$300,$B89,Закрытые!$B$5:$B$300,"L-*")=0,"",SUMIFS(Лэндинг!$F$5:$F$300,Лэндинг!$E$5:$E$300,$B89)+SUMIFS(Закрытые!$F$5:$F$300,Закрытые!$E$5:$E$300,$B89,Закрытые!$B$5:$B$300,"L-*"))</f>
        <v/>
      </c>
      <c r="D89" s="177">
        <f>IF(C89="","",(SUMPRODUCT((Лэндинг!$E$5:$E$300=$B89)*Лэндинг!$F$5:$F$300*Лэндинг!$G$5:$G$300)+SUMPRODUCT((Закрытые!$E$5:$E$300=$B89)*(LEFT(Закрытые!$B$5:$B$300,2)="L-")*Закрытые!$F$5:$F$300*Закрытые!$G$5:$G$300))/C89)</f>
        <v/>
      </c>
      <c r="E89" s="241">
        <f>IF(C89="","",SUMIFS(Лэндинг!$H$5:$H$300,Лэндинг!$E$5:$E$300,$B89)+SUMIFS(Закрытые!$H$5:$H$300,Закрытые!$E$5:$E$300,$B89,Закрытые!$B$5:$B$300,"L-*"))</f>
        <v/>
      </c>
      <c r="F89" s="240">
        <f>IF(SUMIFS(Лэндинг!$I$5:$I$300,Лэндинг!$E$5:$E$300,$B89)+SUMIFS(Закрытые!$I$5:$I$300,Закрытые!$E$5:$E$300,$B89,Закрытые!$B$5:$B$300,"L-*")=0,"",SUMIFS(Лэндинг!$I$5:$I$300,Лэндинг!$E$5:$E$300,$B89)+SUMIFS(Закрытые!$I$5:$I$300,Закрытые!$E$5:$E$300,$B89,Закрытые!$B$5:$B$300,"L-*"))</f>
        <v/>
      </c>
      <c r="G89" s="177">
        <f>IF(F89="","",(SUMPRODUCT((Лэндинг!$E$5:$E$300=$B89)*Лэндинг!$I$5:$I$300*Лэндинг!$J$5:$J$300)+SUMPRODUCT((Закрытые!$E$5:$E$300=$B89)*(LEFT(Закрытые!$B$5:$B$300,2)="L-")*Закрытые!$I$5:$I$300*Закрытые!$J$5:$J$300))/F89)</f>
        <v/>
      </c>
      <c r="H89" s="241">
        <f>IF(F89="","",SUMIFS(Лэндинг!$K$5:$K$300,Лэндинг!$E$5:$E$300,$B89)+SUMIFS(Закрытые!$K$5:$K$300,Закрытые!$E$5:$E$300,$B89,Закрытые!$B$5:$B$300,"L-*"))</f>
        <v/>
      </c>
      <c r="I89" s="240">
        <f>IF($B89="","",IF(COUNTIFS(Лэндинг!$E$5:$E$300,$B89)+COUNTIFS(Закрытые!$E$5:$E$300,$B89,Закрытые!$B$5:$B$300,"L-*")=0,"",ROUND(SUMIFS(Лэндинг!$L$5:$L$300,Лэндинг!$E$5:$E$300,$B89)+SUMIFS(Закрытые!$L$5:$L$300,Закрытые!$E$5:$E$300,$B89,Закрытые!$B$5:$B$300,"L-*"),8)))</f>
        <v/>
      </c>
      <c r="J89" s="241">
        <f>IF($B89="","",IF(COUNTIFS(Лэндинг!$E$5:$E$300,$B89)+COUNTIFS(Закрытые!$E$5:$E$300,$B89,Закрытые!$B$5:$B$300,"L-*")=0,"",ROUND(SUMIFS(Лэндинг!$M$5:$M$300,Лэндинг!$E$5:$E$300,$B89)+SUMIFS(Закрытые!$M$5:$M$300,Закрытые!$E$5:$E$300,$B89,Закрытые!$B$5:$B$300,"L-*"),8)))</f>
        <v/>
      </c>
      <c r="K89" s="240">
        <f>IF($B89="","",ROUND(SUMIFS(Закрытые!$N$5:$N$300,Закрытые!$E$5:$E$300,$B89,Закрытые!$B$5:$B$300,"L-*"),8))</f>
        <v/>
      </c>
      <c r="L89" s="177">
        <f>IF(K89="","",IF(SUMPRODUCT((Закрытые!$E$5:$E$300=$B89)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89/SUMPRODUCT((Закрытые!$E$5:$E$300=$B89)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9" s="177">
        <f>IF(OR(ROUND(N(C89)-N(F89),8)=0,1-N(Ввод!$E$17)/100&lt;=0),"",IF(N(C89)&gt;N(F89),(N(E89)-N(H89))/((N(C89)-N(F89))*(1-N(Ввод!$E$17)/100)),(N(H89)-N(E89))/((N(F89)-N(C89))*(1+N(Ввод!$E$17)/100))))</f>
        <v/>
      </c>
    </row>
    <row r="90" ht="22" customHeight="1">
      <c r="B90" s="320" t="n"/>
      <c r="C90" s="246">
        <f>IF(SUMIFS(Лэндинг!$F$5:$F$300,Лэндинг!$E$5:$E$300,$B90)+SUMIFS(Закрытые!$F$5:$F$300,Закрытые!$E$5:$E$300,$B90,Закрытые!$B$5:$B$300,"L-*")=0,"",SUMIFS(Лэндинг!$F$5:$F$300,Лэндинг!$E$5:$E$300,$B90)+SUMIFS(Закрытые!$F$5:$F$300,Закрытые!$E$5:$E$300,$B90,Закрытые!$B$5:$B$300,"L-*"))</f>
        <v/>
      </c>
      <c r="D90" s="183">
        <f>IF(C90="","",(SUMPRODUCT((Лэндинг!$E$5:$E$300=$B90)*Лэндинг!$F$5:$F$300*Лэндинг!$G$5:$G$300)+SUMPRODUCT((Закрытые!$E$5:$E$300=$B90)*(LEFT(Закрытые!$B$5:$B$300,2)="L-")*Закрытые!$F$5:$F$300*Закрытые!$G$5:$G$300))/C90)</f>
        <v/>
      </c>
      <c r="E90" s="247">
        <f>IF(C90="","",SUMIFS(Лэндинг!$H$5:$H$300,Лэндинг!$E$5:$E$300,$B90)+SUMIFS(Закрытые!$H$5:$H$300,Закрытые!$E$5:$E$300,$B90,Закрытые!$B$5:$B$300,"L-*"))</f>
        <v/>
      </c>
      <c r="F90" s="246">
        <f>IF(SUMIFS(Лэндинг!$I$5:$I$300,Лэндинг!$E$5:$E$300,$B90)+SUMIFS(Закрытые!$I$5:$I$300,Закрытые!$E$5:$E$300,$B90,Закрытые!$B$5:$B$300,"L-*")=0,"",SUMIFS(Лэндинг!$I$5:$I$300,Лэндинг!$E$5:$E$300,$B90)+SUMIFS(Закрытые!$I$5:$I$300,Закрытые!$E$5:$E$300,$B90,Закрытые!$B$5:$B$300,"L-*"))</f>
        <v/>
      </c>
      <c r="G90" s="183">
        <f>IF(F90="","",(SUMPRODUCT((Лэндинг!$E$5:$E$300=$B90)*Лэндинг!$I$5:$I$300*Лэндинг!$J$5:$J$300)+SUMPRODUCT((Закрытые!$E$5:$E$300=$B90)*(LEFT(Закрытые!$B$5:$B$300,2)="L-")*Закрытые!$I$5:$I$300*Закрытые!$J$5:$J$300))/F90)</f>
        <v/>
      </c>
      <c r="H90" s="247">
        <f>IF(F90="","",SUMIFS(Лэндинг!$K$5:$K$300,Лэндинг!$E$5:$E$300,$B90)+SUMIFS(Закрытые!$K$5:$K$300,Закрытые!$E$5:$E$300,$B90,Закрытые!$B$5:$B$300,"L-*"))</f>
        <v/>
      </c>
      <c r="I90" s="246">
        <f>IF($B90="","",IF(COUNTIFS(Лэндинг!$E$5:$E$300,$B90)+COUNTIFS(Закрытые!$E$5:$E$300,$B90,Закрытые!$B$5:$B$300,"L-*")=0,"",ROUND(SUMIFS(Лэндинг!$L$5:$L$300,Лэндинг!$E$5:$E$300,$B90)+SUMIFS(Закрытые!$L$5:$L$300,Закрытые!$E$5:$E$300,$B90,Закрытые!$B$5:$B$300,"L-*"),8)))</f>
        <v/>
      </c>
      <c r="J90" s="247">
        <f>IF($B90="","",IF(COUNTIFS(Лэндинг!$E$5:$E$300,$B90)+COUNTIFS(Закрытые!$E$5:$E$300,$B90,Закрытые!$B$5:$B$300,"L-*")=0,"",ROUND(SUMIFS(Лэндинг!$M$5:$M$300,Лэндинг!$E$5:$E$300,$B90)+SUMIFS(Закрытые!$M$5:$M$300,Закрытые!$E$5:$E$300,$B90,Закрытые!$B$5:$B$300,"L-*"),8)))</f>
        <v/>
      </c>
      <c r="K90" s="246">
        <f>IF($B90="","",ROUND(SUMIFS(Закрытые!$N$5:$N$300,Закрытые!$E$5:$E$300,$B90,Закрытые!$B$5:$B$300,"L-*"),8))</f>
        <v/>
      </c>
      <c r="L90" s="183">
        <f>IF(K90="","",IF(SUMPRODUCT((Закрытые!$E$5:$E$300=$B90)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90/SUMPRODUCT((Закрытые!$E$5:$E$300=$B90)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0" s="183">
        <f>IF(OR(ROUND(N(C90)-N(F90),8)=0,1-N(Ввод!$E$17)/100&lt;=0),"",IF(N(C90)&gt;N(F90),(N(E90)-N(H90))/((N(C90)-N(F90))*(1-N(Ввод!$E$17)/100)),(N(H90)-N(E90))/((N(F90)-N(C90))*(1+N(Ввод!$E$17)/100))))</f>
        <v/>
      </c>
    </row>
    <row r="91" ht="22" customHeight="1">
      <c r="B91" s="315" t="n"/>
      <c r="C91" s="240">
        <f>IF(SUMIFS(Лэндинг!$F$5:$F$300,Лэндинг!$E$5:$E$300,$B91)+SUMIFS(Закрытые!$F$5:$F$300,Закрытые!$E$5:$E$300,$B91,Закрытые!$B$5:$B$300,"L-*")=0,"",SUMIFS(Лэндинг!$F$5:$F$300,Лэндинг!$E$5:$E$300,$B91)+SUMIFS(Закрытые!$F$5:$F$300,Закрытые!$E$5:$E$300,$B91,Закрытые!$B$5:$B$300,"L-*"))</f>
        <v/>
      </c>
      <c r="D91" s="177">
        <f>IF(C91="","",(SUMPRODUCT((Лэндинг!$E$5:$E$300=$B91)*Лэндинг!$F$5:$F$300*Лэндинг!$G$5:$G$300)+SUMPRODUCT((Закрытые!$E$5:$E$300=$B91)*(LEFT(Закрытые!$B$5:$B$300,2)="L-")*Закрытые!$F$5:$F$300*Закрытые!$G$5:$G$300))/C91)</f>
        <v/>
      </c>
      <c r="E91" s="241">
        <f>IF(C91="","",SUMIFS(Лэндинг!$H$5:$H$300,Лэндинг!$E$5:$E$300,$B91)+SUMIFS(Закрытые!$H$5:$H$300,Закрытые!$E$5:$E$300,$B91,Закрытые!$B$5:$B$300,"L-*"))</f>
        <v/>
      </c>
      <c r="F91" s="240">
        <f>IF(SUMIFS(Лэндинг!$I$5:$I$300,Лэндинг!$E$5:$E$300,$B91)+SUMIFS(Закрытые!$I$5:$I$300,Закрытые!$E$5:$E$300,$B91,Закрытые!$B$5:$B$300,"L-*")=0,"",SUMIFS(Лэндинг!$I$5:$I$300,Лэндинг!$E$5:$E$300,$B91)+SUMIFS(Закрытые!$I$5:$I$300,Закрытые!$E$5:$E$300,$B91,Закрытые!$B$5:$B$300,"L-*"))</f>
        <v/>
      </c>
      <c r="G91" s="177">
        <f>IF(F91="","",(SUMPRODUCT((Лэндинг!$E$5:$E$300=$B91)*Лэндинг!$I$5:$I$300*Лэндинг!$J$5:$J$300)+SUMPRODUCT((Закрытые!$E$5:$E$300=$B91)*(LEFT(Закрытые!$B$5:$B$300,2)="L-")*Закрытые!$I$5:$I$300*Закрытые!$J$5:$J$300))/F91)</f>
        <v/>
      </c>
      <c r="H91" s="241">
        <f>IF(F91="","",SUMIFS(Лэндинг!$K$5:$K$300,Лэндинг!$E$5:$E$300,$B91)+SUMIFS(Закрытые!$K$5:$K$300,Закрытые!$E$5:$E$300,$B91,Закрытые!$B$5:$B$300,"L-*"))</f>
        <v/>
      </c>
      <c r="I91" s="240">
        <f>IF($B91="","",IF(COUNTIFS(Лэндинг!$E$5:$E$300,$B91)+COUNTIFS(Закрытые!$E$5:$E$300,$B91,Закрытые!$B$5:$B$300,"L-*")=0,"",ROUND(SUMIFS(Лэндинг!$L$5:$L$300,Лэндинг!$E$5:$E$300,$B91)+SUMIFS(Закрытые!$L$5:$L$300,Закрытые!$E$5:$E$300,$B91,Закрытые!$B$5:$B$300,"L-*"),8)))</f>
        <v/>
      </c>
      <c r="J91" s="241">
        <f>IF($B91="","",IF(COUNTIFS(Лэндинг!$E$5:$E$300,$B91)+COUNTIFS(Закрытые!$E$5:$E$300,$B91,Закрытые!$B$5:$B$300,"L-*")=0,"",ROUND(SUMIFS(Лэндинг!$M$5:$M$300,Лэндинг!$E$5:$E$300,$B91)+SUMIFS(Закрытые!$M$5:$M$300,Закрытые!$E$5:$E$300,$B91,Закрытые!$B$5:$B$300,"L-*"),8)))</f>
        <v/>
      </c>
      <c r="K91" s="240">
        <f>IF($B91="","",ROUND(SUMIFS(Закрытые!$N$5:$N$300,Закрытые!$E$5:$E$300,$B91,Закрытые!$B$5:$B$300,"L-*"),8))</f>
        <v/>
      </c>
      <c r="L91" s="177">
        <f>IF(K91="","",IF(SUMPRODUCT((Закрытые!$E$5:$E$300=$B91)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91/SUMPRODUCT((Закрытые!$E$5:$E$300=$B91)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1" s="177">
        <f>IF(OR(ROUND(N(C91)-N(F91),8)=0,1-N(Ввод!$E$17)/100&lt;=0),"",IF(N(C91)&gt;N(F91),(N(E91)-N(H91))/((N(C91)-N(F91))*(1-N(Ввод!$E$17)/100)),(N(H91)-N(E91))/((N(F91)-N(C91))*(1+N(Ввод!$E$17)/100))))</f>
        <v/>
      </c>
    </row>
    <row r="92" ht="22" customHeight="1">
      <c r="B92" s="320" t="n"/>
      <c r="C92" s="246">
        <f>IF(SUMIFS(Лэндинг!$F$5:$F$300,Лэндинг!$E$5:$E$300,$B92)+SUMIFS(Закрытые!$F$5:$F$300,Закрытые!$E$5:$E$300,$B92,Закрытые!$B$5:$B$300,"L-*")=0,"",SUMIFS(Лэндинг!$F$5:$F$300,Лэндинг!$E$5:$E$300,$B92)+SUMIFS(Закрытые!$F$5:$F$300,Закрытые!$E$5:$E$300,$B92,Закрытые!$B$5:$B$300,"L-*"))</f>
        <v/>
      </c>
      <c r="D92" s="183">
        <f>IF(C92="","",(SUMPRODUCT((Лэндинг!$E$5:$E$300=$B92)*Лэндинг!$F$5:$F$300*Лэндинг!$G$5:$G$300)+SUMPRODUCT((Закрытые!$E$5:$E$300=$B92)*(LEFT(Закрытые!$B$5:$B$300,2)="L-")*Закрытые!$F$5:$F$300*Закрытые!$G$5:$G$300))/C92)</f>
        <v/>
      </c>
      <c r="E92" s="247">
        <f>IF(C92="","",SUMIFS(Лэндинг!$H$5:$H$300,Лэндинг!$E$5:$E$300,$B92)+SUMIFS(Закрытые!$H$5:$H$300,Закрытые!$E$5:$E$300,$B92,Закрытые!$B$5:$B$300,"L-*"))</f>
        <v/>
      </c>
      <c r="F92" s="246">
        <f>IF(SUMIFS(Лэндинг!$I$5:$I$300,Лэндинг!$E$5:$E$300,$B92)+SUMIFS(Закрытые!$I$5:$I$300,Закрытые!$E$5:$E$300,$B92,Закрытые!$B$5:$B$300,"L-*")=0,"",SUMIFS(Лэндинг!$I$5:$I$300,Лэндинг!$E$5:$E$300,$B92)+SUMIFS(Закрытые!$I$5:$I$300,Закрытые!$E$5:$E$300,$B92,Закрытые!$B$5:$B$300,"L-*"))</f>
        <v/>
      </c>
      <c r="G92" s="183">
        <f>IF(F92="","",(SUMPRODUCT((Лэндинг!$E$5:$E$300=$B92)*Лэндинг!$I$5:$I$300*Лэндинг!$J$5:$J$300)+SUMPRODUCT((Закрытые!$E$5:$E$300=$B92)*(LEFT(Закрытые!$B$5:$B$300,2)="L-")*Закрытые!$I$5:$I$300*Закрытые!$J$5:$J$300))/F92)</f>
        <v/>
      </c>
      <c r="H92" s="247">
        <f>IF(F92="","",SUMIFS(Лэндинг!$K$5:$K$300,Лэндинг!$E$5:$E$300,$B92)+SUMIFS(Закрытые!$K$5:$K$300,Закрытые!$E$5:$E$300,$B92,Закрытые!$B$5:$B$300,"L-*"))</f>
        <v/>
      </c>
      <c r="I92" s="246">
        <f>IF($B92="","",IF(COUNTIFS(Лэндинг!$E$5:$E$300,$B92)+COUNTIFS(Закрытые!$E$5:$E$300,$B92,Закрытые!$B$5:$B$300,"L-*")=0,"",ROUND(SUMIFS(Лэндинг!$L$5:$L$300,Лэндинг!$E$5:$E$300,$B92)+SUMIFS(Закрытые!$L$5:$L$300,Закрытые!$E$5:$E$300,$B92,Закрытые!$B$5:$B$300,"L-*"),8)))</f>
        <v/>
      </c>
      <c r="J92" s="247">
        <f>IF($B92="","",IF(COUNTIFS(Лэндинг!$E$5:$E$300,$B92)+COUNTIFS(Закрытые!$E$5:$E$300,$B92,Закрытые!$B$5:$B$300,"L-*")=0,"",ROUND(SUMIFS(Лэндинг!$M$5:$M$300,Лэндинг!$E$5:$E$300,$B92)+SUMIFS(Закрытые!$M$5:$M$300,Закрытые!$E$5:$E$300,$B92,Закрытые!$B$5:$B$300,"L-*"),8)))</f>
        <v/>
      </c>
      <c r="K92" s="246">
        <f>IF($B92="","",ROUND(SUMIFS(Закрытые!$N$5:$N$300,Закрытые!$E$5:$E$300,$B92,Закрытые!$B$5:$B$300,"L-*"),8))</f>
        <v/>
      </c>
      <c r="L92" s="183">
        <f>IF(K92="","",IF(SUMPRODUCT((Закрытые!$E$5:$E$300=$B92)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92/SUMPRODUCT((Закрытые!$E$5:$E$300=$B92)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2" s="183">
        <f>IF(OR(ROUND(N(C92)-N(F92),8)=0,1-N(Ввод!$E$17)/100&lt;=0),"",IF(N(C92)&gt;N(F92),(N(E92)-N(H92))/((N(C92)-N(F92))*(1-N(Ввод!$E$17)/100)),(N(H92)-N(E92))/((N(F92)-N(C92))*(1+N(Ввод!$E$17)/100))))</f>
        <v/>
      </c>
    </row>
    <row r="93" ht="22" customHeight="1">
      <c r="B93" s="315" t="n"/>
      <c r="C93" s="240">
        <f>IF(SUMIFS(Лэндинг!$F$5:$F$300,Лэндинг!$E$5:$E$300,$B93)+SUMIFS(Закрытые!$F$5:$F$300,Закрытые!$E$5:$E$300,$B93,Закрытые!$B$5:$B$300,"L-*")=0,"",SUMIFS(Лэндинг!$F$5:$F$300,Лэндинг!$E$5:$E$300,$B93)+SUMIFS(Закрытые!$F$5:$F$300,Закрытые!$E$5:$E$300,$B93,Закрытые!$B$5:$B$300,"L-*"))</f>
        <v/>
      </c>
      <c r="D93" s="177">
        <f>IF(C93="","",(SUMPRODUCT((Лэндинг!$E$5:$E$300=$B93)*Лэндинг!$F$5:$F$300*Лэндинг!$G$5:$G$300)+SUMPRODUCT((Закрытые!$E$5:$E$300=$B93)*(LEFT(Закрытые!$B$5:$B$300,2)="L-")*Закрытые!$F$5:$F$300*Закрытые!$G$5:$G$300))/C93)</f>
        <v/>
      </c>
      <c r="E93" s="241">
        <f>IF(C93="","",SUMIFS(Лэндинг!$H$5:$H$300,Лэндинг!$E$5:$E$300,$B93)+SUMIFS(Закрытые!$H$5:$H$300,Закрытые!$E$5:$E$300,$B93,Закрытые!$B$5:$B$300,"L-*"))</f>
        <v/>
      </c>
      <c r="F93" s="240">
        <f>IF(SUMIFS(Лэндинг!$I$5:$I$300,Лэндинг!$E$5:$E$300,$B93)+SUMIFS(Закрытые!$I$5:$I$300,Закрытые!$E$5:$E$300,$B93,Закрытые!$B$5:$B$300,"L-*")=0,"",SUMIFS(Лэндинг!$I$5:$I$300,Лэндинг!$E$5:$E$300,$B93)+SUMIFS(Закрытые!$I$5:$I$300,Закрытые!$E$5:$E$300,$B93,Закрытые!$B$5:$B$300,"L-*"))</f>
        <v/>
      </c>
      <c r="G93" s="177">
        <f>IF(F93="","",(SUMPRODUCT((Лэндинг!$E$5:$E$300=$B93)*Лэндинг!$I$5:$I$300*Лэндинг!$J$5:$J$300)+SUMPRODUCT((Закрытые!$E$5:$E$300=$B93)*(LEFT(Закрытые!$B$5:$B$300,2)="L-")*Закрытые!$I$5:$I$300*Закрытые!$J$5:$J$300))/F93)</f>
        <v/>
      </c>
      <c r="H93" s="241">
        <f>IF(F93="","",SUMIFS(Лэндинг!$K$5:$K$300,Лэндинг!$E$5:$E$300,$B93)+SUMIFS(Закрытые!$K$5:$K$300,Закрытые!$E$5:$E$300,$B93,Закрытые!$B$5:$B$300,"L-*"))</f>
        <v/>
      </c>
      <c r="I93" s="240">
        <f>IF($B93="","",IF(COUNTIFS(Лэндинг!$E$5:$E$300,$B93)+COUNTIFS(Закрытые!$E$5:$E$300,$B93,Закрытые!$B$5:$B$300,"L-*")=0,"",ROUND(SUMIFS(Лэндинг!$L$5:$L$300,Лэндинг!$E$5:$E$300,$B93)+SUMIFS(Закрытые!$L$5:$L$300,Закрытые!$E$5:$E$300,$B93,Закрытые!$B$5:$B$300,"L-*"),8)))</f>
        <v/>
      </c>
      <c r="J93" s="241">
        <f>IF($B93="","",IF(COUNTIFS(Лэндинг!$E$5:$E$300,$B93)+COUNTIFS(Закрытые!$E$5:$E$300,$B93,Закрытые!$B$5:$B$300,"L-*")=0,"",ROUND(SUMIFS(Лэндинг!$M$5:$M$300,Лэндинг!$E$5:$E$300,$B93)+SUMIFS(Закрытые!$M$5:$M$300,Закрытые!$E$5:$E$300,$B93,Закрытые!$B$5:$B$300,"L-*"),8)))</f>
        <v/>
      </c>
      <c r="K93" s="240">
        <f>IF($B93="","",ROUND(SUMIFS(Закрытые!$N$5:$N$300,Закрытые!$E$5:$E$300,$B93,Закрытые!$B$5:$B$300,"L-*"),8))</f>
        <v/>
      </c>
      <c r="L93" s="177">
        <f>IF(K93="","",IF(SUMPRODUCT((Закрытые!$E$5:$E$300=$B93)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93/SUMPRODUCT((Закрытые!$E$5:$E$300=$B93)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3" s="177">
        <f>IF(OR(ROUND(N(C93)-N(F93),8)=0,1-N(Ввод!$E$17)/100&lt;=0),"",IF(N(C93)&gt;N(F93),(N(E93)-N(H93))/((N(C93)-N(F93))*(1-N(Ввод!$E$17)/100)),(N(H93)-N(E93))/((N(F93)-N(C93))*(1+N(Ввод!$E$17)/100))))</f>
        <v/>
      </c>
    </row>
    <row r="94" ht="22" customHeight="1">
      <c r="B94" s="320" t="n"/>
      <c r="C94" s="246">
        <f>IF(SUMIFS(Лэндинг!$F$5:$F$300,Лэндинг!$E$5:$E$300,$B94)+SUMIFS(Закрытые!$F$5:$F$300,Закрытые!$E$5:$E$300,$B94,Закрытые!$B$5:$B$300,"L-*")=0,"",SUMIFS(Лэндинг!$F$5:$F$300,Лэндинг!$E$5:$E$300,$B94)+SUMIFS(Закрытые!$F$5:$F$300,Закрытые!$E$5:$E$300,$B94,Закрытые!$B$5:$B$300,"L-*"))</f>
        <v/>
      </c>
      <c r="D94" s="183">
        <f>IF(C94="","",(SUMPRODUCT((Лэндинг!$E$5:$E$300=$B94)*Лэндинг!$F$5:$F$300*Лэндинг!$G$5:$G$300)+SUMPRODUCT((Закрытые!$E$5:$E$300=$B94)*(LEFT(Закрытые!$B$5:$B$300,2)="L-")*Закрытые!$F$5:$F$300*Закрытые!$G$5:$G$300))/C94)</f>
        <v/>
      </c>
      <c r="E94" s="247">
        <f>IF(C94="","",SUMIFS(Лэндинг!$H$5:$H$300,Лэндинг!$E$5:$E$300,$B94)+SUMIFS(Закрытые!$H$5:$H$300,Закрытые!$E$5:$E$300,$B94,Закрытые!$B$5:$B$300,"L-*"))</f>
        <v/>
      </c>
      <c r="F94" s="246">
        <f>IF(SUMIFS(Лэндинг!$I$5:$I$300,Лэндинг!$E$5:$E$300,$B94)+SUMIFS(Закрытые!$I$5:$I$300,Закрытые!$E$5:$E$300,$B94,Закрытые!$B$5:$B$300,"L-*")=0,"",SUMIFS(Лэндинг!$I$5:$I$300,Лэндинг!$E$5:$E$300,$B94)+SUMIFS(Закрытые!$I$5:$I$300,Закрытые!$E$5:$E$300,$B94,Закрытые!$B$5:$B$300,"L-*"))</f>
        <v/>
      </c>
      <c r="G94" s="183">
        <f>IF(F94="","",(SUMPRODUCT((Лэндинг!$E$5:$E$300=$B94)*Лэндинг!$I$5:$I$300*Лэндинг!$J$5:$J$300)+SUMPRODUCT((Закрытые!$E$5:$E$300=$B94)*(LEFT(Закрытые!$B$5:$B$300,2)="L-")*Закрытые!$I$5:$I$300*Закрытые!$J$5:$J$300))/F94)</f>
        <v/>
      </c>
      <c r="H94" s="247">
        <f>IF(F94="","",SUMIFS(Лэндинг!$K$5:$K$300,Лэндинг!$E$5:$E$300,$B94)+SUMIFS(Закрытые!$K$5:$K$300,Закрытые!$E$5:$E$300,$B94,Закрытые!$B$5:$B$300,"L-*"))</f>
        <v/>
      </c>
      <c r="I94" s="246">
        <f>IF($B94="","",IF(COUNTIFS(Лэндинг!$E$5:$E$300,$B94)+COUNTIFS(Закрытые!$E$5:$E$300,$B94,Закрытые!$B$5:$B$300,"L-*")=0,"",ROUND(SUMIFS(Лэндинг!$L$5:$L$300,Лэндинг!$E$5:$E$300,$B94)+SUMIFS(Закрытые!$L$5:$L$300,Закрытые!$E$5:$E$300,$B94,Закрытые!$B$5:$B$300,"L-*"),8)))</f>
        <v/>
      </c>
      <c r="J94" s="247">
        <f>IF($B94="","",IF(COUNTIFS(Лэндинг!$E$5:$E$300,$B94)+COUNTIFS(Закрытые!$E$5:$E$300,$B94,Закрытые!$B$5:$B$300,"L-*")=0,"",ROUND(SUMIFS(Лэндинг!$M$5:$M$300,Лэндинг!$E$5:$E$300,$B94)+SUMIFS(Закрытые!$M$5:$M$300,Закрытые!$E$5:$E$300,$B94,Закрытые!$B$5:$B$300,"L-*"),8)))</f>
        <v/>
      </c>
      <c r="K94" s="246">
        <f>IF($B94="","",ROUND(SUMIFS(Закрытые!$N$5:$N$300,Закрытые!$E$5:$E$300,$B94,Закрытые!$B$5:$B$300,"L-*"),8))</f>
        <v/>
      </c>
      <c r="L94" s="183">
        <f>IF(K94="","",IF(SUMPRODUCT((Закрытые!$E$5:$E$300=$B94)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94/SUMPRODUCT((Закрытые!$E$5:$E$300=$B94)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4" s="183">
        <f>IF(OR(ROUND(N(C94)-N(F94),8)=0,1-N(Ввод!$E$17)/100&lt;=0),"",IF(N(C94)&gt;N(F94),(N(E94)-N(H94))/((N(C94)-N(F94))*(1-N(Ввод!$E$17)/100)),(N(H94)-N(E94))/((N(F94)-N(C94))*(1+N(Ввод!$E$17)/100))))</f>
        <v/>
      </c>
    </row>
    <row r="95" ht="22" customHeight="1">
      <c r="B95" s="315" t="n"/>
      <c r="C95" s="240">
        <f>IF(SUMIFS(Лэндинг!$F$5:$F$300,Лэндинг!$E$5:$E$300,$B95)+SUMIFS(Закрытые!$F$5:$F$300,Закрытые!$E$5:$E$300,$B95,Закрытые!$B$5:$B$300,"L-*")=0,"",SUMIFS(Лэндинг!$F$5:$F$300,Лэндинг!$E$5:$E$300,$B95)+SUMIFS(Закрытые!$F$5:$F$300,Закрытые!$E$5:$E$300,$B95,Закрытые!$B$5:$B$300,"L-*"))</f>
        <v/>
      </c>
      <c r="D95" s="177">
        <f>IF(C95="","",(SUMPRODUCT((Лэндинг!$E$5:$E$300=$B95)*Лэндинг!$F$5:$F$300*Лэндинг!$G$5:$G$300)+SUMPRODUCT((Закрытые!$E$5:$E$300=$B95)*(LEFT(Закрытые!$B$5:$B$300,2)="L-")*Закрытые!$F$5:$F$300*Закрытые!$G$5:$G$300))/C95)</f>
        <v/>
      </c>
      <c r="E95" s="241">
        <f>IF(C95="","",SUMIFS(Лэндинг!$H$5:$H$300,Лэндинг!$E$5:$E$300,$B95)+SUMIFS(Закрытые!$H$5:$H$300,Закрытые!$E$5:$E$300,$B95,Закрытые!$B$5:$B$300,"L-*"))</f>
        <v/>
      </c>
      <c r="F95" s="240">
        <f>IF(SUMIFS(Лэндинг!$I$5:$I$300,Лэндинг!$E$5:$E$300,$B95)+SUMIFS(Закрытые!$I$5:$I$300,Закрытые!$E$5:$E$300,$B95,Закрытые!$B$5:$B$300,"L-*")=0,"",SUMIFS(Лэндинг!$I$5:$I$300,Лэндинг!$E$5:$E$300,$B95)+SUMIFS(Закрытые!$I$5:$I$300,Закрытые!$E$5:$E$300,$B95,Закрытые!$B$5:$B$300,"L-*"))</f>
        <v/>
      </c>
      <c r="G95" s="177">
        <f>IF(F95="","",(SUMPRODUCT((Лэндинг!$E$5:$E$300=$B95)*Лэндинг!$I$5:$I$300*Лэндинг!$J$5:$J$300)+SUMPRODUCT((Закрытые!$E$5:$E$300=$B95)*(LEFT(Закрытые!$B$5:$B$300,2)="L-")*Закрытые!$I$5:$I$300*Закрытые!$J$5:$J$300))/F95)</f>
        <v/>
      </c>
      <c r="H95" s="241">
        <f>IF(F95="","",SUMIFS(Лэндинг!$K$5:$K$300,Лэндинг!$E$5:$E$300,$B95)+SUMIFS(Закрытые!$K$5:$K$300,Закрытые!$E$5:$E$300,$B95,Закрытые!$B$5:$B$300,"L-*"))</f>
        <v/>
      </c>
      <c r="I95" s="240">
        <f>IF($B95="","",IF(COUNTIFS(Лэндинг!$E$5:$E$300,$B95)+COUNTIFS(Закрытые!$E$5:$E$300,$B95,Закрытые!$B$5:$B$300,"L-*")=0,"",ROUND(SUMIFS(Лэндинг!$L$5:$L$300,Лэндинг!$E$5:$E$300,$B95)+SUMIFS(Закрытые!$L$5:$L$300,Закрытые!$E$5:$E$300,$B95,Закрытые!$B$5:$B$300,"L-*"),8)))</f>
        <v/>
      </c>
      <c r="J95" s="241">
        <f>IF($B95="","",IF(COUNTIFS(Лэндинг!$E$5:$E$300,$B95)+COUNTIFS(Закрытые!$E$5:$E$300,$B95,Закрытые!$B$5:$B$300,"L-*")=0,"",ROUND(SUMIFS(Лэндинг!$M$5:$M$300,Лэндинг!$E$5:$E$300,$B95)+SUMIFS(Закрытые!$M$5:$M$300,Закрытые!$E$5:$E$300,$B95,Закрытые!$B$5:$B$300,"L-*"),8)))</f>
        <v/>
      </c>
      <c r="K95" s="240">
        <f>IF($B95="","",ROUND(SUMIFS(Закрытые!$N$5:$N$300,Закрытые!$E$5:$E$300,$B95,Закрытые!$B$5:$B$300,"L-*"),8))</f>
        <v/>
      </c>
      <c r="L95" s="177">
        <f>IF(K95="","",IF(SUMPRODUCT((Закрытые!$E$5:$E$300=$B95)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95/SUMPRODUCT((Закрытые!$E$5:$E$300=$B95)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5" s="177">
        <f>IF(OR(ROUND(N(C95)-N(F95),8)=0,1-N(Ввод!$E$17)/100&lt;=0),"",IF(N(C95)&gt;N(F95),(N(E95)-N(H95))/((N(C95)-N(F95))*(1-N(Ввод!$E$17)/100)),(N(H95)-N(E95))/((N(F95)-N(C95))*(1+N(Ввод!$E$17)/100))))</f>
        <v/>
      </c>
    </row>
    <row r="96" ht="22" customHeight="1">
      <c r="B96" s="320" t="n"/>
      <c r="C96" s="246">
        <f>IF(SUMIFS(Лэндинг!$F$5:$F$300,Лэндинг!$E$5:$E$300,$B96)+SUMIFS(Закрытые!$F$5:$F$300,Закрытые!$E$5:$E$300,$B96,Закрытые!$B$5:$B$300,"L-*")=0,"",SUMIFS(Лэндинг!$F$5:$F$300,Лэндинг!$E$5:$E$300,$B96)+SUMIFS(Закрытые!$F$5:$F$300,Закрытые!$E$5:$E$300,$B96,Закрытые!$B$5:$B$300,"L-*"))</f>
        <v/>
      </c>
      <c r="D96" s="183">
        <f>IF(C96="","",(SUMPRODUCT((Лэндинг!$E$5:$E$300=$B96)*Лэндинг!$F$5:$F$300*Лэндинг!$G$5:$G$300)+SUMPRODUCT((Закрытые!$E$5:$E$300=$B96)*(LEFT(Закрытые!$B$5:$B$300,2)="L-")*Закрытые!$F$5:$F$300*Закрытые!$G$5:$G$300))/C96)</f>
        <v/>
      </c>
      <c r="E96" s="247">
        <f>IF(C96="","",SUMIFS(Лэндинг!$H$5:$H$300,Лэндинг!$E$5:$E$300,$B96)+SUMIFS(Закрытые!$H$5:$H$300,Закрытые!$E$5:$E$300,$B96,Закрытые!$B$5:$B$300,"L-*"))</f>
        <v/>
      </c>
      <c r="F96" s="246">
        <f>IF(SUMIFS(Лэндинг!$I$5:$I$300,Лэндинг!$E$5:$E$300,$B96)+SUMIFS(Закрытые!$I$5:$I$300,Закрытые!$E$5:$E$300,$B96,Закрытые!$B$5:$B$300,"L-*")=0,"",SUMIFS(Лэндинг!$I$5:$I$300,Лэндинг!$E$5:$E$300,$B96)+SUMIFS(Закрытые!$I$5:$I$300,Закрытые!$E$5:$E$300,$B96,Закрытые!$B$5:$B$300,"L-*"))</f>
        <v/>
      </c>
      <c r="G96" s="183">
        <f>IF(F96="","",(SUMPRODUCT((Лэндинг!$E$5:$E$300=$B96)*Лэндинг!$I$5:$I$300*Лэндинг!$J$5:$J$300)+SUMPRODUCT((Закрытые!$E$5:$E$300=$B96)*(LEFT(Закрытые!$B$5:$B$300,2)="L-")*Закрытые!$I$5:$I$300*Закрытые!$J$5:$J$300))/F96)</f>
        <v/>
      </c>
      <c r="H96" s="247">
        <f>IF(F96="","",SUMIFS(Лэндинг!$K$5:$K$300,Лэндинг!$E$5:$E$300,$B96)+SUMIFS(Закрытые!$K$5:$K$300,Закрытые!$E$5:$E$300,$B96,Закрытые!$B$5:$B$300,"L-*"))</f>
        <v/>
      </c>
      <c r="I96" s="246">
        <f>IF($B96="","",IF(COUNTIFS(Лэндинг!$E$5:$E$300,$B96)+COUNTIFS(Закрытые!$E$5:$E$300,$B96,Закрытые!$B$5:$B$300,"L-*")=0,"",ROUND(SUMIFS(Лэндинг!$L$5:$L$300,Лэндинг!$E$5:$E$300,$B96)+SUMIFS(Закрытые!$L$5:$L$300,Закрытые!$E$5:$E$300,$B96,Закрытые!$B$5:$B$300,"L-*"),8)))</f>
        <v/>
      </c>
      <c r="J96" s="247">
        <f>IF($B96="","",IF(COUNTIFS(Лэндинг!$E$5:$E$300,$B96)+COUNTIFS(Закрытые!$E$5:$E$300,$B96,Закрытые!$B$5:$B$300,"L-*")=0,"",ROUND(SUMIFS(Лэндинг!$M$5:$M$300,Лэндинг!$E$5:$E$300,$B96)+SUMIFS(Закрытые!$M$5:$M$300,Закрытые!$E$5:$E$300,$B96,Закрытые!$B$5:$B$300,"L-*"),8)))</f>
        <v/>
      </c>
      <c r="K96" s="246">
        <f>IF($B96="","",ROUND(SUMIFS(Закрытые!$N$5:$N$300,Закрытые!$E$5:$E$300,$B96,Закрытые!$B$5:$B$300,"L-*"),8))</f>
        <v/>
      </c>
      <c r="L96" s="183">
        <f>IF(K96="","",IF(SUMPRODUCT((Закрытые!$E$5:$E$300=$B96)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96/SUMPRODUCT((Закрытые!$E$5:$E$300=$B96)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6" s="183">
        <f>IF(OR(ROUND(N(C96)-N(F96),8)=0,1-N(Ввод!$E$17)/100&lt;=0),"",IF(N(C96)&gt;N(F96),(N(E96)-N(H96))/((N(C96)-N(F96))*(1-N(Ввод!$E$17)/100)),(N(H96)-N(E96))/((N(F96)-N(C96))*(1+N(Ввод!$E$17)/100))))</f>
        <v/>
      </c>
    </row>
    <row r="97" ht="22" customHeight="1">
      <c r="B97" s="315" t="n"/>
      <c r="C97" s="240">
        <f>IF(SUMIFS(Лэндинг!$F$5:$F$300,Лэндинг!$E$5:$E$300,$B97)+SUMIFS(Закрытые!$F$5:$F$300,Закрытые!$E$5:$E$300,$B97,Закрытые!$B$5:$B$300,"L-*")=0,"",SUMIFS(Лэндинг!$F$5:$F$300,Лэндинг!$E$5:$E$300,$B97)+SUMIFS(Закрытые!$F$5:$F$300,Закрытые!$E$5:$E$300,$B97,Закрытые!$B$5:$B$300,"L-*"))</f>
        <v/>
      </c>
      <c r="D97" s="177">
        <f>IF(C97="","",(SUMPRODUCT((Лэндинг!$E$5:$E$300=$B97)*Лэндинг!$F$5:$F$300*Лэндинг!$G$5:$G$300)+SUMPRODUCT((Закрытые!$E$5:$E$300=$B97)*(LEFT(Закрытые!$B$5:$B$300,2)="L-")*Закрытые!$F$5:$F$300*Закрытые!$G$5:$G$300))/C97)</f>
        <v/>
      </c>
      <c r="E97" s="241">
        <f>IF(C97="","",SUMIFS(Лэндинг!$H$5:$H$300,Лэндинг!$E$5:$E$300,$B97)+SUMIFS(Закрытые!$H$5:$H$300,Закрытые!$E$5:$E$300,$B97,Закрытые!$B$5:$B$300,"L-*"))</f>
        <v/>
      </c>
      <c r="F97" s="240">
        <f>IF(SUMIFS(Лэндинг!$I$5:$I$300,Лэндинг!$E$5:$E$300,$B97)+SUMIFS(Закрытые!$I$5:$I$300,Закрытые!$E$5:$E$300,$B97,Закрытые!$B$5:$B$300,"L-*")=0,"",SUMIFS(Лэндинг!$I$5:$I$300,Лэндинг!$E$5:$E$300,$B97)+SUMIFS(Закрытые!$I$5:$I$300,Закрытые!$E$5:$E$300,$B97,Закрытые!$B$5:$B$300,"L-*"))</f>
        <v/>
      </c>
      <c r="G97" s="177">
        <f>IF(F97="","",(SUMPRODUCT((Лэндинг!$E$5:$E$300=$B97)*Лэндинг!$I$5:$I$300*Лэндинг!$J$5:$J$300)+SUMPRODUCT((Закрытые!$E$5:$E$300=$B97)*(LEFT(Закрытые!$B$5:$B$300,2)="L-")*Закрытые!$I$5:$I$300*Закрытые!$J$5:$J$300))/F97)</f>
        <v/>
      </c>
      <c r="H97" s="241">
        <f>IF(F97="","",SUMIFS(Лэндинг!$K$5:$K$300,Лэндинг!$E$5:$E$300,$B97)+SUMIFS(Закрытые!$K$5:$K$300,Закрытые!$E$5:$E$300,$B97,Закрытые!$B$5:$B$300,"L-*"))</f>
        <v/>
      </c>
      <c r="I97" s="240">
        <f>IF($B97="","",IF(COUNTIFS(Лэндинг!$E$5:$E$300,$B97)+COUNTIFS(Закрытые!$E$5:$E$300,$B97,Закрытые!$B$5:$B$300,"L-*")=0,"",ROUND(SUMIFS(Лэндинг!$L$5:$L$300,Лэндинг!$E$5:$E$300,$B97)+SUMIFS(Закрытые!$L$5:$L$300,Закрытые!$E$5:$E$300,$B97,Закрытые!$B$5:$B$300,"L-*"),8)))</f>
        <v/>
      </c>
      <c r="J97" s="241">
        <f>IF($B97="","",IF(COUNTIFS(Лэндинг!$E$5:$E$300,$B97)+COUNTIFS(Закрытые!$E$5:$E$300,$B97,Закрытые!$B$5:$B$300,"L-*")=0,"",ROUND(SUMIFS(Лэндинг!$M$5:$M$300,Лэндинг!$E$5:$E$300,$B97)+SUMIFS(Закрытые!$M$5:$M$300,Закрытые!$E$5:$E$300,$B97,Закрытые!$B$5:$B$300,"L-*"),8)))</f>
        <v/>
      </c>
      <c r="K97" s="240">
        <f>IF($B97="","",ROUND(SUMIFS(Закрытые!$N$5:$N$300,Закрытые!$E$5:$E$300,$B97,Закрытые!$B$5:$B$300,"L-*"),8))</f>
        <v/>
      </c>
      <c r="L97" s="177">
        <f>IF(K97="","",IF(SUMPRODUCT((Закрытые!$E$5:$E$300=$B97)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97/SUMPRODUCT((Закрытые!$E$5:$E$300=$B97)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7" s="177">
        <f>IF(OR(ROUND(N(C97)-N(F97),8)=0,1-N(Ввод!$E$17)/100&lt;=0),"",IF(N(C97)&gt;N(F97),(N(E97)-N(H97))/((N(C97)-N(F97))*(1-N(Ввод!$E$17)/100)),(N(H97)-N(E97))/((N(F97)-N(C97))*(1+N(Ввод!$E$17)/100))))</f>
        <v/>
      </c>
    </row>
    <row r="98" ht="22" customHeight="1">
      <c r="B98" s="320" t="n"/>
      <c r="C98" s="246">
        <f>IF(SUMIFS(Лэндинг!$F$5:$F$300,Лэндинг!$E$5:$E$300,$B98)+SUMIFS(Закрытые!$F$5:$F$300,Закрытые!$E$5:$E$300,$B98,Закрытые!$B$5:$B$300,"L-*")=0,"",SUMIFS(Лэндинг!$F$5:$F$300,Лэндинг!$E$5:$E$300,$B98)+SUMIFS(Закрытые!$F$5:$F$300,Закрытые!$E$5:$E$300,$B98,Закрытые!$B$5:$B$300,"L-*"))</f>
        <v/>
      </c>
      <c r="D98" s="183">
        <f>IF(C98="","",(SUMPRODUCT((Лэндинг!$E$5:$E$300=$B98)*Лэндинг!$F$5:$F$300*Лэндинг!$G$5:$G$300)+SUMPRODUCT((Закрытые!$E$5:$E$300=$B98)*(LEFT(Закрытые!$B$5:$B$300,2)="L-")*Закрытые!$F$5:$F$300*Закрытые!$G$5:$G$300))/C98)</f>
        <v/>
      </c>
      <c r="E98" s="247">
        <f>IF(C98="","",SUMIFS(Лэндинг!$H$5:$H$300,Лэндинг!$E$5:$E$300,$B98)+SUMIFS(Закрытые!$H$5:$H$300,Закрытые!$E$5:$E$300,$B98,Закрытые!$B$5:$B$300,"L-*"))</f>
        <v/>
      </c>
      <c r="F98" s="246">
        <f>IF(SUMIFS(Лэндинг!$I$5:$I$300,Лэндинг!$E$5:$E$300,$B98)+SUMIFS(Закрытые!$I$5:$I$300,Закрытые!$E$5:$E$300,$B98,Закрытые!$B$5:$B$300,"L-*")=0,"",SUMIFS(Лэндинг!$I$5:$I$300,Лэндинг!$E$5:$E$300,$B98)+SUMIFS(Закрытые!$I$5:$I$300,Закрытые!$E$5:$E$300,$B98,Закрытые!$B$5:$B$300,"L-*"))</f>
        <v/>
      </c>
      <c r="G98" s="183">
        <f>IF(F98="","",(SUMPRODUCT((Лэндинг!$E$5:$E$300=$B98)*Лэндинг!$I$5:$I$300*Лэндинг!$J$5:$J$300)+SUMPRODUCT((Закрытые!$E$5:$E$300=$B98)*(LEFT(Закрытые!$B$5:$B$300,2)="L-")*Закрытые!$I$5:$I$300*Закрытые!$J$5:$J$300))/F98)</f>
        <v/>
      </c>
      <c r="H98" s="247">
        <f>IF(F98="","",SUMIFS(Лэндинг!$K$5:$K$300,Лэндинг!$E$5:$E$300,$B98)+SUMIFS(Закрытые!$K$5:$K$300,Закрытые!$E$5:$E$300,$B98,Закрытые!$B$5:$B$300,"L-*"))</f>
        <v/>
      </c>
      <c r="I98" s="246">
        <f>IF($B98="","",IF(COUNTIFS(Лэндинг!$E$5:$E$300,$B98)+COUNTIFS(Закрытые!$E$5:$E$300,$B98,Закрытые!$B$5:$B$300,"L-*")=0,"",ROUND(SUMIFS(Лэндинг!$L$5:$L$300,Лэндинг!$E$5:$E$300,$B98)+SUMIFS(Закрытые!$L$5:$L$300,Закрытые!$E$5:$E$300,$B98,Закрытые!$B$5:$B$300,"L-*"),8)))</f>
        <v/>
      </c>
      <c r="J98" s="247">
        <f>IF($B98="","",IF(COUNTIFS(Лэндинг!$E$5:$E$300,$B98)+COUNTIFS(Закрытые!$E$5:$E$300,$B98,Закрытые!$B$5:$B$300,"L-*")=0,"",ROUND(SUMIFS(Лэндинг!$M$5:$M$300,Лэндинг!$E$5:$E$300,$B98)+SUMIFS(Закрытые!$M$5:$M$300,Закрытые!$E$5:$E$300,$B98,Закрытые!$B$5:$B$300,"L-*"),8)))</f>
        <v/>
      </c>
      <c r="K98" s="246">
        <f>IF($B98="","",ROUND(SUMIFS(Закрытые!$N$5:$N$300,Закрытые!$E$5:$E$300,$B98,Закрытые!$B$5:$B$300,"L-*"),8))</f>
        <v/>
      </c>
      <c r="L98" s="183">
        <f>IF(K98="","",IF(SUMPRODUCT((Закрытые!$E$5:$E$300=$B98)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98/SUMPRODUCT((Закрытые!$E$5:$E$300=$B98)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8" s="183">
        <f>IF(OR(ROUND(N(C98)-N(F98),8)=0,1-N(Ввод!$E$17)/100&lt;=0),"",IF(N(C98)&gt;N(F98),(N(E98)-N(H98))/((N(C98)-N(F98))*(1-N(Ввод!$E$17)/100)),(N(H98)-N(E98))/((N(F98)-N(C98))*(1+N(Ввод!$E$17)/100))))</f>
        <v/>
      </c>
    </row>
    <row r="99" ht="22" customHeight="1">
      <c r="B99" s="315" t="n"/>
      <c r="C99" s="240">
        <f>IF(SUMIFS(Лэндинг!$F$5:$F$300,Лэндинг!$E$5:$E$300,$B99)+SUMIFS(Закрытые!$F$5:$F$300,Закрытые!$E$5:$E$300,$B99,Закрытые!$B$5:$B$300,"L-*")=0,"",SUMIFS(Лэндинг!$F$5:$F$300,Лэндинг!$E$5:$E$300,$B99)+SUMIFS(Закрытые!$F$5:$F$300,Закрытые!$E$5:$E$300,$B99,Закрытые!$B$5:$B$300,"L-*"))</f>
        <v/>
      </c>
      <c r="D99" s="177">
        <f>IF(C99="","",(SUMPRODUCT((Лэндинг!$E$5:$E$300=$B99)*Лэндинг!$F$5:$F$300*Лэндинг!$G$5:$G$300)+SUMPRODUCT((Закрытые!$E$5:$E$300=$B99)*(LEFT(Закрытые!$B$5:$B$300,2)="L-")*Закрытые!$F$5:$F$300*Закрытые!$G$5:$G$300))/C99)</f>
        <v/>
      </c>
      <c r="E99" s="241">
        <f>IF(C99="","",SUMIFS(Лэндинг!$H$5:$H$300,Лэндинг!$E$5:$E$300,$B99)+SUMIFS(Закрытые!$H$5:$H$300,Закрытые!$E$5:$E$300,$B99,Закрытые!$B$5:$B$300,"L-*"))</f>
        <v/>
      </c>
      <c r="F99" s="240">
        <f>IF(SUMIFS(Лэндинг!$I$5:$I$300,Лэндинг!$E$5:$E$300,$B99)+SUMIFS(Закрытые!$I$5:$I$300,Закрытые!$E$5:$E$300,$B99,Закрытые!$B$5:$B$300,"L-*")=0,"",SUMIFS(Лэндинг!$I$5:$I$300,Лэндинг!$E$5:$E$300,$B99)+SUMIFS(Закрытые!$I$5:$I$300,Закрытые!$E$5:$E$300,$B99,Закрытые!$B$5:$B$300,"L-*"))</f>
        <v/>
      </c>
      <c r="G99" s="177">
        <f>IF(F99="","",(SUMPRODUCT((Лэндинг!$E$5:$E$300=$B99)*Лэндинг!$I$5:$I$300*Лэндинг!$J$5:$J$300)+SUMPRODUCT((Закрытые!$E$5:$E$300=$B99)*(LEFT(Закрытые!$B$5:$B$300,2)="L-")*Закрытые!$I$5:$I$300*Закрытые!$J$5:$J$300))/F99)</f>
        <v/>
      </c>
      <c r="H99" s="241">
        <f>IF(F99="","",SUMIFS(Лэндинг!$K$5:$K$300,Лэндинг!$E$5:$E$300,$B99)+SUMIFS(Закрытые!$K$5:$K$300,Закрытые!$E$5:$E$300,$B99,Закрытые!$B$5:$B$300,"L-*"))</f>
        <v/>
      </c>
      <c r="I99" s="240">
        <f>IF($B99="","",IF(COUNTIFS(Лэндинг!$E$5:$E$300,$B99)+COUNTIFS(Закрытые!$E$5:$E$300,$B99,Закрытые!$B$5:$B$300,"L-*")=0,"",ROUND(SUMIFS(Лэндинг!$L$5:$L$300,Лэндинг!$E$5:$E$300,$B99)+SUMIFS(Закрытые!$L$5:$L$300,Закрытые!$E$5:$E$300,$B99,Закрытые!$B$5:$B$300,"L-*"),8)))</f>
        <v/>
      </c>
      <c r="J99" s="241">
        <f>IF($B99="","",IF(COUNTIFS(Лэндинг!$E$5:$E$300,$B99)+COUNTIFS(Закрытые!$E$5:$E$300,$B99,Закрытые!$B$5:$B$300,"L-*")=0,"",ROUND(SUMIFS(Лэндинг!$M$5:$M$300,Лэндинг!$E$5:$E$300,$B99)+SUMIFS(Закрытые!$M$5:$M$300,Закрытые!$E$5:$E$300,$B99,Закрытые!$B$5:$B$300,"L-*"),8)))</f>
        <v/>
      </c>
      <c r="K99" s="240">
        <f>IF($B99="","",ROUND(SUMIFS(Закрытые!$N$5:$N$300,Закрытые!$E$5:$E$300,$B99,Закрытые!$B$5:$B$300,"L-*"),8))</f>
        <v/>
      </c>
      <c r="L99" s="177">
        <f>IF(K99="","",IF(SUMPRODUCT((Закрытые!$E$5:$E$300=$B99)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99/SUMPRODUCT((Закрытые!$E$5:$E$300=$B99)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9" s="177">
        <f>IF(OR(ROUND(N(C99)-N(F99),8)=0,1-N(Ввод!$E$17)/100&lt;=0),"",IF(N(C99)&gt;N(F99),(N(E99)-N(H99))/((N(C99)-N(F99))*(1-N(Ввод!$E$17)/100)),(N(H99)-N(E99))/((N(F99)-N(C99))*(1+N(Ввод!$E$17)/100))))</f>
        <v/>
      </c>
    </row>
    <row r="100" ht="22" customHeight="1">
      <c r="B100" s="320" t="n"/>
      <c r="C100" s="246">
        <f>IF(SUMIFS(Лэндинг!$F$5:$F$300,Лэндинг!$E$5:$E$300,$B100)+SUMIFS(Закрытые!$F$5:$F$300,Закрытые!$E$5:$E$300,$B100,Закрытые!$B$5:$B$300,"L-*")=0,"",SUMIFS(Лэндинг!$F$5:$F$300,Лэндинг!$E$5:$E$300,$B100)+SUMIFS(Закрытые!$F$5:$F$300,Закрытые!$E$5:$E$300,$B100,Закрытые!$B$5:$B$300,"L-*"))</f>
        <v/>
      </c>
      <c r="D100" s="183">
        <f>IF(C100="","",(SUMPRODUCT((Лэндинг!$E$5:$E$300=$B100)*Лэндинг!$F$5:$F$300*Лэндинг!$G$5:$G$300)+SUMPRODUCT((Закрытые!$E$5:$E$300=$B100)*(LEFT(Закрытые!$B$5:$B$300,2)="L-")*Закрытые!$F$5:$F$300*Закрытые!$G$5:$G$300))/C100)</f>
        <v/>
      </c>
      <c r="E100" s="247">
        <f>IF(C100="","",SUMIFS(Лэндинг!$H$5:$H$300,Лэндинг!$E$5:$E$300,$B100)+SUMIFS(Закрытые!$H$5:$H$300,Закрытые!$E$5:$E$300,$B100,Закрытые!$B$5:$B$300,"L-*"))</f>
        <v/>
      </c>
      <c r="F100" s="246">
        <f>IF(SUMIFS(Лэндинг!$I$5:$I$300,Лэндинг!$E$5:$E$300,$B100)+SUMIFS(Закрытые!$I$5:$I$300,Закрытые!$E$5:$E$300,$B100,Закрытые!$B$5:$B$300,"L-*")=0,"",SUMIFS(Лэндинг!$I$5:$I$300,Лэндинг!$E$5:$E$300,$B100)+SUMIFS(Закрытые!$I$5:$I$300,Закрытые!$E$5:$E$300,$B100,Закрытые!$B$5:$B$300,"L-*"))</f>
        <v/>
      </c>
      <c r="G100" s="183">
        <f>IF(F100="","",(SUMPRODUCT((Лэндинг!$E$5:$E$300=$B100)*Лэндинг!$I$5:$I$300*Лэндинг!$J$5:$J$300)+SUMPRODUCT((Закрытые!$E$5:$E$300=$B100)*(LEFT(Закрытые!$B$5:$B$300,2)="L-")*Закрытые!$I$5:$I$300*Закрытые!$J$5:$J$300))/F100)</f>
        <v/>
      </c>
      <c r="H100" s="247">
        <f>IF(F100="","",SUMIFS(Лэндинг!$K$5:$K$300,Лэндинг!$E$5:$E$300,$B100)+SUMIFS(Закрытые!$K$5:$K$300,Закрытые!$E$5:$E$300,$B100,Закрытые!$B$5:$B$300,"L-*"))</f>
        <v/>
      </c>
      <c r="I100" s="246">
        <f>IF($B100="","",IF(COUNTIFS(Лэндинг!$E$5:$E$300,$B100)+COUNTIFS(Закрытые!$E$5:$E$300,$B100,Закрытые!$B$5:$B$300,"L-*")=0,"",ROUND(SUMIFS(Лэндинг!$L$5:$L$300,Лэндинг!$E$5:$E$300,$B100)+SUMIFS(Закрытые!$L$5:$L$300,Закрытые!$E$5:$E$300,$B100,Закрытые!$B$5:$B$300,"L-*"),8)))</f>
        <v/>
      </c>
      <c r="J100" s="247">
        <f>IF($B100="","",IF(COUNTIFS(Лэндинг!$E$5:$E$300,$B100)+COUNTIFS(Закрытые!$E$5:$E$300,$B100,Закрытые!$B$5:$B$300,"L-*")=0,"",ROUND(SUMIFS(Лэндинг!$M$5:$M$300,Лэндинг!$E$5:$E$300,$B100)+SUMIFS(Закрытые!$M$5:$M$300,Закрытые!$E$5:$E$300,$B100,Закрытые!$B$5:$B$300,"L-*"),8)))</f>
        <v/>
      </c>
      <c r="K100" s="246">
        <f>IF($B100="","",ROUND(SUMIFS(Закрытые!$N$5:$N$300,Закрытые!$E$5:$E$300,$B100,Закрытые!$B$5:$B$300,"L-*"),8))</f>
        <v/>
      </c>
      <c r="L100" s="183">
        <f>IF(K100="","",IF(SUMPRODUCT((Закрытые!$E$5:$E$300=$B100)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100/SUMPRODUCT((Закрытые!$E$5:$E$300=$B100)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0" s="183">
        <f>IF(OR(ROUND(N(C100)-N(F100),8)=0,1-N(Ввод!$E$17)/100&lt;=0),"",IF(N(C100)&gt;N(F100),(N(E100)-N(H100))/((N(C100)-N(F100))*(1-N(Ввод!$E$17)/100)),(N(H100)-N(E100))/((N(F100)-N(C100))*(1+N(Ввод!$E$17)/100))))</f>
        <v/>
      </c>
    </row>
    <row r="101" ht="22" customHeight="1">
      <c r="B101" s="315" t="n"/>
      <c r="C101" s="240">
        <f>IF(SUMIFS(Лэндинг!$F$5:$F$300,Лэндинг!$E$5:$E$300,$B101)+SUMIFS(Закрытые!$F$5:$F$300,Закрытые!$E$5:$E$300,$B101,Закрытые!$B$5:$B$300,"L-*")=0,"",SUMIFS(Лэндинг!$F$5:$F$300,Лэндинг!$E$5:$E$300,$B101)+SUMIFS(Закрытые!$F$5:$F$300,Закрытые!$E$5:$E$300,$B101,Закрытые!$B$5:$B$300,"L-*"))</f>
        <v/>
      </c>
      <c r="D101" s="177">
        <f>IF(C101="","",(SUMPRODUCT((Лэндинг!$E$5:$E$300=$B101)*Лэндинг!$F$5:$F$300*Лэндинг!$G$5:$G$300)+SUMPRODUCT((Закрытые!$E$5:$E$300=$B101)*(LEFT(Закрытые!$B$5:$B$300,2)="L-")*Закрытые!$F$5:$F$300*Закрытые!$G$5:$G$300))/C101)</f>
        <v/>
      </c>
      <c r="E101" s="241">
        <f>IF(C101="","",SUMIFS(Лэндинг!$H$5:$H$300,Лэндинг!$E$5:$E$300,$B101)+SUMIFS(Закрытые!$H$5:$H$300,Закрытые!$E$5:$E$300,$B101,Закрытые!$B$5:$B$300,"L-*"))</f>
        <v/>
      </c>
      <c r="F101" s="240">
        <f>IF(SUMIFS(Лэндинг!$I$5:$I$300,Лэндинг!$E$5:$E$300,$B101)+SUMIFS(Закрытые!$I$5:$I$300,Закрытые!$E$5:$E$300,$B101,Закрытые!$B$5:$B$300,"L-*")=0,"",SUMIFS(Лэндинг!$I$5:$I$300,Лэндинг!$E$5:$E$300,$B101)+SUMIFS(Закрытые!$I$5:$I$300,Закрытые!$E$5:$E$300,$B101,Закрытые!$B$5:$B$300,"L-*"))</f>
        <v/>
      </c>
      <c r="G101" s="177">
        <f>IF(F101="","",(SUMPRODUCT((Лэндинг!$E$5:$E$300=$B101)*Лэндинг!$I$5:$I$300*Лэндинг!$J$5:$J$300)+SUMPRODUCT((Закрытые!$E$5:$E$300=$B101)*(LEFT(Закрытые!$B$5:$B$300,2)="L-")*Закрытые!$I$5:$I$300*Закрытые!$J$5:$J$300))/F101)</f>
        <v/>
      </c>
      <c r="H101" s="241">
        <f>IF(F101="","",SUMIFS(Лэндинг!$K$5:$K$300,Лэндинг!$E$5:$E$300,$B101)+SUMIFS(Закрытые!$K$5:$K$300,Закрытые!$E$5:$E$300,$B101,Закрытые!$B$5:$B$300,"L-*"))</f>
        <v/>
      </c>
      <c r="I101" s="240">
        <f>IF($B101="","",IF(COUNTIFS(Лэндинг!$E$5:$E$300,$B101)+COUNTIFS(Закрытые!$E$5:$E$300,$B101,Закрытые!$B$5:$B$300,"L-*")=0,"",ROUND(SUMIFS(Лэндинг!$L$5:$L$300,Лэндинг!$E$5:$E$300,$B101)+SUMIFS(Закрытые!$L$5:$L$300,Закрытые!$E$5:$E$300,$B101,Закрытые!$B$5:$B$300,"L-*"),8)))</f>
        <v/>
      </c>
      <c r="J101" s="241">
        <f>IF($B101="","",IF(COUNTIFS(Лэндинг!$E$5:$E$300,$B101)+COUNTIFS(Закрытые!$E$5:$E$300,$B101,Закрытые!$B$5:$B$300,"L-*")=0,"",ROUND(SUMIFS(Лэндинг!$M$5:$M$300,Лэндинг!$E$5:$E$300,$B101)+SUMIFS(Закрытые!$M$5:$M$300,Закрытые!$E$5:$E$300,$B101,Закрытые!$B$5:$B$300,"L-*"),8)))</f>
        <v/>
      </c>
      <c r="K101" s="240">
        <f>IF($B101="","",ROUND(SUMIFS(Закрытые!$N$5:$N$300,Закрытые!$E$5:$E$300,$B101,Закрытые!$B$5:$B$300,"L-*"),8))</f>
        <v/>
      </c>
      <c r="L101" s="177">
        <f>IF(K101="","",IF(SUMPRODUCT((Закрытые!$E$5:$E$300=$B101)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101/SUMPRODUCT((Закрытые!$E$5:$E$300=$B101)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1" s="177">
        <f>IF(OR(ROUND(N(C101)-N(F101),8)=0,1-N(Ввод!$E$17)/100&lt;=0),"",IF(N(C101)&gt;N(F101),(N(E101)-N(H101))/((N(C101)-N(F101))*(1-N(Ввод!$E$17)/100)),(N(H101)-N(E101))/((N(F101)-N(C101))*(1+N(Ввод!$E$17)/100))))</f>
        <v/>
      </c>
    </row>
    <row r="102" ht="22" customHeight="1">
      <c r="B102" s="320" t="n"/>
      <c r="C102" s="246">
        <f>IF(SUMIFS(Лэндинг!$F$5:$F$300,Лэндинг!$E$5:$E$300,$B102)+SUMIFS(Закрытые!$F$5:$F$300,Закрытые!$E$5:$E$300,$B102,Закрытые!$B$5:$B$300,"L-*")=0,"",SUMIFS(Лэндинг!$F$5:$F$300,Лэндинг!$E$5:$E$300,$B102)+SUMIFS(Закрытые!$F$5:$F$300,Закрытые!$E$5:$E$300,$B102,Закрытые!$B$5:$B$300,"L-*"))</f>
        <v/>
      </c>
      <c r="D102" s="183">
        <f>IF(C102="","",(SUMPRODUCT((Лэндинг!$E$5:$E$300=$B102)*Лэндинг!$F$5:$F$300*Лэндинг!$G$5:$G$300)+SUMPRODUCT((Закрытые!$E$5:$E$300=$B102)*(LEFT(Закрытые!$B$5:$B$300,2)="L-")*Закрытые!$F$5:$F$300*Закрытые!$G$5:$G$300))/C102)</f>
        <v/>
      </c>
      <c r="E102" s="247">
        <f>IF(C102="","",SUMIFS(Лэндинг!$H$5:$H$300,Лэндинг!$E$5:$E$300,$B102)+SUMIFS(Закрытые!$H$5:$H$300,Закрытые!$E$5:$E$300,$B102,Закрытые!$B$5:$B$300,"L-*"))</f>
        <v/>
      </c>
      <c r="F102" s="246">
        <f>IF(SUMIFS(Лэндинг!$I$5:$I$300,Лэндинг!$E$5:$E$300,$B102)+SUMIFS(Закрытые!$I$5:$I$300,Закрытые!$E$5:$E$300,$B102,Закрытые!$B$5:$B$300,"L-*")=0,"",SUMIFS(Лэндинг!$I$5:$I$300,Лэндинг!$E$5:$E$300,$B102)+SUMIFS(Закрытые!$I$5:$I$300,Закрытые!$E$5:$E$300,$B102,Закрытые!$B$5:$B$300,"L-*"))</f>
        <v/>
      </c>
      <c r="G102" s="183">
        <f>IF(F102="","",(SUMPRODUCT((Лэндинг!$E$5:$E$300=$B102)*Лэндинг!$I$5:$I$300*Лэндинг!$J$5:$J$300)+SUMPRODUCT((Закрытые!$E$5:$E$300=$B102)*(LEFT(Закрытые!$B$5:$B$300,2)="L-")*Закрытые!$I$5:$I$300*Закрытые!$J$5:$J$300))/F102)</f>
        <v/>
      </c>
      <c r="H102" s="247">
        <f>IF(F102="","",SUMIFS(Лэндинг!$K$5:$K$300,Лэндинг!$E$5:$E$300,$B102)+SUMIFS(Закрытые!$K$5:$K$300,Закрытые!$E$5:$E$300,$B102,Закрытые!$B$5:$B$300,"L-*"))</f>
        <v/>
      </c>
      <c r="I102" s="246">
        <f>IF($B102="","",IF(COUNTIFS(Лэндинг!$E$5:$E$300,$B102)+COUNTIFS(Закрытые!$E$5:$E$300,$B102,Закрытые!$B$5:$B$300,"L-*")=0,"",ROUND(SUMIFS(Лэндинг!$L$5:$L$300,Лэндинг!$E$5:$E$300,$B102)+SUMIFS(Закрытые!$L$5:$L$300,Закрытые!$E$5:$E$300,$B102,Закрытые!$B$5:$B$300,"L-*"),8)))</f>
        <v/>
      </c>
      <c r="J102" s="247">
        <f>IF($B102="","",IF(COUNTIFS(Лэндинг!$E$5:$E$300,$B102)+COUNTIFS(Закрытые!$E$5:$E$300,$B102,Закрытые!$B$5:$B$300,"L-*")=0,"",ROUND(SUMIFS(Лэндинг!$M$5:$M$300,Лэндинг!$E$5:$E$300,$B102)+SUMIFS(Закрытые!$M$5:$M$300,Закрытые!$E$5:$E$300,$B102,Закрытые!$B$5:$B$300,"L-*"),8)))</f>
        <v/>
      </c>
      <c r="K102" s="246">
        <f>IF($B102="","",ROUND(SUMIFS(Закрытые!$N$5:$N$300,Закрытые!$E$5:$E$300,$B102,Закрытые!$B$5:$B$300,"L-*"),8))</f>
        <v/>
      </c>
      <c r="L102" s="183">
        <f>IF(K102="","",IF(SUMPRODUCT((Закрытые!$E$5:$E$300=$B102)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102/SUMPRODUCT((Закрытые!$E$5:$E$300=$B102)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2" s="183">
        <f>IF(OR(ROUND(N(C102)-N(F102),8)=0,1-N(Ввод!$E$17)/100&lt;=0),"",IF(N(C102)&gt;N(F102),(N(E102)-N(H102))/((N(C102)-N(F102))*(1-N(Ввод!$E$17)/100)),(N(H102)-N(E102))/((N(F102)-N(C102))*(1+N(Ввод!$E$17)/100))))</f>
        <v/>
      </c>
    </row>
    <row r="103" ht="22" customHeight="1">
      <c r="B103" s="315" t="n"/>
      <c r="C103" s="240">
        <f>IF(SUMIFS(Лэндинг!$F$5:$F$300,Лэндинг!$E$5:$E$300,$B103)+SUMIFS(Закрытые!$F$5:$F$300,Закрытые!$E$5:$E$300,$B103,Закрытые!$B$5:$B$300,"L-*")=0,"",SUMIFS(Лэндинг!$F$5:$F$300,Лэндинг!$E$5:$E$300,$B103)+SUMIFS(Закрытые!$F$5:$F$300,Закрытые!$E$5:$E$300,$B103,Закрытые!$B$5:$B$300,"L-*"))</f>
        <v/>
      </c>
      <c r="D103" s="177">
        <f>IF(C103="","",(SUMPRODUCT((Лэндинг!$E$5:$E$300=$B103)*Лэндинг!$F$5:$F$300*Лэндинг!$G$5:$G$300)+SUMPRODUCT((Закрытые!$E$5:$E$300=$B103)*(LEFT(Закрытые!$B$5:$B$300,2)="L-")*Закрытые!$F$5:$F$300*Закрытые!$G$5:$G$300))/C103)</f>
        <v/>
      </c>
      <c r="E103" s="241">
        <f>IF(C103="","",SUMIFS(Лэндинг!$H$5:$H$300,Лэндинг!$E$5:$E$300,$B103)+SUMIFS(Закрытые!$H$5:$H$300,Закрытые!$E$5:$E$300,$B103,Закрытые!$B$5:$B$300,"L-*"))</f>
        <v/>
      </c>
      <c r="F103" s="240">
        <f>IF(SUMIFS(Лэндинг!$I$5:$I$300,Лэндинг!$E$5:$E$300,$B103)+SUMIFS(Закрытые!$I$5:$I$300,Закрытые!$E$5:$E$300,$B103,Закрытые!$B$5:$B$300,"L-*")=0,"",SUMIFS(Лэндинг!$I$5:$I$300,Лэндинг!$E$5:$E$300,$B103)+SUMIFS(Закрытые!$I$5:$I$300,Закрытые!$E$5:$E$300,$B103,Закрытые!$B$5:$B$300,"L-*"))</f>
        <v/>
      </c>
      <c r="G103" s="177">
        <f>IF(F103="","",(SUMPRODUCT((Лэндинг!$E$5:$E$300=$B103)*Лэндинг!$I$5:$I$300*Лэндинг!$J$5:$J$300)+SUMPRODUCT((Закрытые!$E$5:$E$300=$B103)*(LEFT(Закрытые!$B$5:$B$300,2)="L-")*Закрытые!$I$5:$I$300*Закрытые!$J$5:$J$300))/F103)</f>
        <v/>
      </c>
      <c r="H103" s="241">
        <f>IF(F103="","",SUMIFS(Лэндинг!$K$5:$K$300,Лэндинг!$E$5:$E$300,$B103)+SUMIFS(Закрытые!$K$5:$K$300,Закрытые!$E$5:$E$300,$B103,Закрытые!$B$5:$B$300,"L-*"))</f>
        <v/>
      </c>
      <c r="I103" s="240">
        <f>IF($B103="","",IF(COUNTIFS(Лэндинг!$E$5:$E$300,$B103)+COUNTIFS(Закрытые!$E$5:$E$300,$B103,Закрытые!$B$5:$B$300,"L-*")=0,"",ROUND(SUMIFS(Лэндинг!$L$5:$L$300,Лэндинг!$E$5:$E$300,$B103)+SUMIFS(Закрытые!$L$5:$L$300,Закрытые!$E$5:$E$300,$B103,Закрытые!$B$5:$B$300,"L-*"),8)))</f>
        <v/>
      </c>
      <c r="J103" s="241">
        <f>IF($B103="","",IF(COUNTIFS(Лэндинг!$E$5:$E$300,$B103)+COUNTIFS(Закрытые!$E$5:$E$300,$B103,Закрытые!$B$5:$B$300,"L-*")=0,"",ROUND(SUMIFS(Лэндинг!$M$5:$M$300,Лэндинг!$E$5:$E$300,$B103)+SUMIFS(Закрытые!$M$5:$M$300,Закрытые!$E$5:$E$300,$B103,Закрытые!$B$5:$B$300,"L-*"),8)))</f>
        <v/>
      </c>
      <c r="K103" s="240">
        <f>IF($B103="","",ROUND(SUMIFS(Закрытые!$N$5:$N$300,Закрытые!$E$5:$E$300,$B103,Закрытые!$B$5:$B$300,"L-*"),8))</f>
        <v/>
      </c>
      <c r="L103" s="177">
        <f>IF(K103="","",IF(SUMPRODUCT((Закрытые!$E$5:$E$300=$B103)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103/SUMPRODUCT((Закрытые!$E$5:$E$300=$B103)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3" s="177">
        <f>IF(OR(ROUND(N(C103)-N(F103),8)=0,1-N(Ввод!$E$17)/100&lt;=0),"",IF(N(C103)&gt;N(F103),(N(E103)-N(H103))/((N(C103)-N(F103))*(1-N(Ввод!$E$17)/100)),(N(H103)-N(E103))/((N(F103)-N(C103))*(1+N(Ввод!$E$17)/100))))</f>
        <v/>
      </c>
    </row>
    <row r="104" ht="22" customHeight="1">
      <c r="B104" s="320" t="n"/>
      <c r="C104" s="246">
        <f>IF(SUMIFS(Лэндинг!$F$5:$F$300,Лэндинг!$E$5:$E$300,$B104)+SUMIFS(Закрытые!$F$5:$F$300,Закрытые!$E$5:$E$300,$B104,Закрытые!$B$5:$B$300,"L-*")=0,"",SUMIFS(Лэндинг!$F$5:$F$300,Лэндинг!$E$5:$E$300,$B104)+SUMIFS(Закрытые!$F$5:$F$300,Закрытые!$E$5:$E$300,$B104,Закрытые!$B$5:$B$300,"L-*"))</f>
        <v/>
      </c>
      <c r="D104" s="183">
        <f>IF(C104="","",(SUMPRODUCT((Лэндинг!$E$5:$E$300=$B104)*Лэндинг!$F$5:$F$300*Лэндинг!$G$5:$G$300)+SUMPRODUCT((Закрытые!$E$5:$E$300=$B104)*(LEFT(Закрытые!$B$5:$B$300,2)="L-")*Закрытые!$F$5:$F$300*Закрытые!$G$5:$G$300))/C104)</f>
        <v/>
      </c>
      <c r="E104" s="247">
        <f>IF(C104="","",SUMIFS(Лэндинг!$H$5:$H$300,Лэндинг!$E$5:$E$300,$B104)+SUMIFS(Закрытые!$H$5:$H$300,Закрытые!$E$5:$E$300,$B104,Закрытые!$B$5:$B$300,"L-*"))</f>
        <v/>
      </c>
      <c r="F104" s="246">
        <f>IF(SUMIFS(Лэндинг!$I$5:$I$300,Лэндинг!$E$5:$E$300,$B104)+SUMIFS(Закрытые!$I$5:$I$300,Закрытые!$E$5:$E$300,$B104,Закрытые!$B$5:$B$300,"L-*")=0,"",SUMIFS(Лэндинг!$I$5:$I$300,Лэндинг!$E$5:$E$300,$B104)+SUMIFS(Закрытые!$I$5:$I$300,Закрытые!$E$5:$E$300,$B104,Закрытые!$B$5:$B$300,"L-*"))</f>
        <v/>
      </c>
      <c r="G104" s="183">
        <f>IF(F104="","",(SUMPRODUCT((Лэндинг!$E$5:$E$300=$B104)*Лэндинг!$I$5:$I$300*Лэндинг!$J$5:$J$300)+SUMPRODUCT((Закрытые!$E$5:$E$300=$B104)*(LEFT(Закрытые!$B$5:$B$300,2)="L-")*Закрытые!$I$5:$I$300*Закрытые!$J$5:$J$300))/F104)</f>
        <v/>
      </c>
      <c r="H104" s="247">
        <f>IF(F104="","",SUMIFS(Лэндинг!$K$5:$K$300,Лэндинг!$E$5:$E$300,$B104)+SUMIFS(Закрытые!$K$5:$K$300,Закрытые!$E$5:$E$300,$B104,Закрытые!$B$5:$B$300,"L-*"))</f>
        <v/>
      </c>
      <c r="I104" s="246">
        <f>IF($B104="","",IF(COUNTIFS(Лэндинг!$E$5:$E$300,$B104)+COUNTIFS(Закрытые!$E$5:$E$300,$B104,Закрытые!$B$5:$B$300,"L-*")=0,"",ROUND(SUMIFS(Лэндинг!$L$5:$L$300,Лэндинг!$E$5:$E$300,$B104)+SUMIFS(Закрытые!$L$5:$L$300,Закрытые!$E$5:$E$300,$B104,Закрытые!$B$5:$B$300,"L-*"),8)))</f>
        <v/>
      </c>
      <c r="J104" s="247">
        <f>IF($B104="","",IF(COUNTIFS(Лэндинг!$E$5:$E$300,$B104)+COUNTIFS(Закрытые!$E$5:$E$300,$B104,Закрытые!$B$5:$B$300,"L-*")=0,"",ROUND(SUMIFS(Лэндинг!$M$5:$M$300,Лэндинг!$E$5:$E$300,$B104)+SUMIFS(Закрытые!$M$5:$M$300,Закрытые!$E$5:$E$300,$B104,Закрытые!$B$5:$B$300,"L-*"),8)))</f>
        <v/>
      </c>
      <c r="K104" s="246">
        <f>IF($B104="","",ROUND(SUMIFS(Закрытые!$N$5:$N$300,Закрытые!$E$5:$E$300,$B104,Закрытые!$B$5:$B$300,"L-*"),8))</f>
        <v/>
      </c>
      <c r="L104" s="183">
        <f>IF(K104="","",IF(SUMPRODUCT((Закрытые!$E$5:$E$300=$B104)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104/SUMPRODUCT((Закрытые!$E$5:$E$300=$B104)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4" s="183">
        <f>IF(OR(ROUND(N(C104)-N(F104),8)=0,1-N(Ввод!$E$17)/100&lt;=0),"",IF(N(C104)&gt;N(F104),(N(E104)-N(H104))/((N(C104)-N(F104))*(1-N(Ввод!$E$17)/100)),(N(H104)-N(E104))/((N(F104)-N(C104))*(1+N(Ввод!$E$17)/100))))</f>
        <v/>
      </c>
    </row>
    <row r="105" ht="22" customHeight="1">
      <c r="B105" s="315" t="n"/>
      <c r="C105" s="240">
        <f>IF(SUMIFS(Лэндинг!$F$5:$F$300,Лэндинг!$E$5:$E$300,$B105)+SUMIFS(Закрытые!$F$5:$F$300,Закрытые!$E$5:$E$300,$B105,Закрытые!$B$5:$B$300,"L-*")=0,"",SUMIFS(Лэндинг!$F$5:$F$300,Лэндинг!$E$5:$E$300,$B105)+SUMIFS(Закрытые!$F$5:$F$300,Закрытые!$E$5:$E$300,$B105,Закрытые!$B$5:$B$300,"L-*"))</f>
        <v/>
      </c>
      <c r="D105" s="177">
        <f>IF(C105="","",(SUMPRODUCT((Лэндинг!$E$5:$E$300=$B105)*Лэндинг!$F$5:$F$300*Лэндинг!$G$5:$G$300)+SUMPRODUCT((Закрытые!$E$5:$E$300=$B105)*(LEFT(Закрытые!$B$5:$B$300,2)="L-")*Закрытые!$F$5:$F$300*Закрытые!$G$5:$G$300))/C105)</f>
        <v/>
      </c>
      <c r="E105" s="241">
        <f>IF(C105="","",SUMIFS(Лэндинг!$H$5:$H$300,Лэндинг!$E$5:$E$300,$B105)+SUMIFS(Закрытые!$H$5:$H$300,Закрытые!$E$5:$E$300,$B105,Закрытые!$B$5:$B$300,"L-*"))</f>
        <v/>
      </c>
      <c r="F105" s="240">
        <f>IF(SUMIFS(Лэндинг!$I$5:$I$300,Лэндинг!$E$5:$E$300,$B105)+SUMIFS(Закрытые!$I$5:$I$300,Закрытые!$E$5:$E$300,$B105,Закрытые!$B$5:$B$300,"L-*")=0,"",SUMIFS(Лэндинг!$I$5:$I$300,Лэндинг!$E$5:$E$300,$B105)+SUMIFS(Закрытые!$I$5:$I$300,Закрытые!$E$5:$E$300,$B105,Закрытые!$B$5:$B$300,"L-*"))</f>
        <v/>
      </c>
      <c r="G105" s="177">
        <f>IF(F105="","",(SUMPRODUCT((Лэндинг!$E$5:$E$300=$B105)*Лэндинг!$I$5:$I$300*Лэндинг!$J$5:$J$300)+SUMPRODUCT((Закрытые!$E$5:$E$300=$B105)*(LEFT(Закрытые!$B$5:$B$300,2)="L-")*Закрытые!$I$5:$I$300*Закрытые!$J$5:$J$300))/F105)</f>
        <v/>
      </c>
      <c r="H105" s="241">
        <f>IF(F105="","",SUMIFS(Лэндинг!$K$5:$K$300,Лэндинг!$E$5:$E$300,$B105)+SUMIFS(Закрытые!$K$5:$K$300,Закрытые!$E$5:$E$300,$B105,Закрытые!$B$5:$B$300,"L-*"))</f>
        <v/>
      </c>
      <c r="I105" s="240">
        <f>IF($B105="","",IF(COUNTIFS(Лэндинг!$E$5:$E$300,$B105)+COUNTIFS(Закрытые!$E$5:$E$300,$B105,Закрытые!$B$5:$B$300,"L-*")=0,"",ROUND(SUMIFS(Лэндинг!$L$5:$L$300,Лэндинг!$E$5:$E$300,$B105)+SUMIFS(Закрытые!$L$5:$L$300,Закрытые!$E$5:$E$300,$B105,Закрытые!$B$5:$B$300,"L-*"),8)))</f>
        <v/>
      </c>
      <c r="J105" s="241">
        <f>IF($B105="","",IF(COUNTIFS(Лэндинг!$E$5:$E$300,$B105)+COUNTIFS(Закрытые!$E$5:$E$300,$B105,Закрытые!$B$5:$B$300,"L-*")=0,"",ROUND(SUMIFS(Лэндинг!$M$5:$M$300,Лэндинг!$E$5:$E$300,$B105)+SUMIFS(Закрытые!$M$5:$M$300,Закрытые!$E$5:$E$300,$B105,Закрытые!$B$5:$B$300,"L-*"),8)))</f>
        <v/>
      </c>
      <c r="K105" s="240">
        <f>IF($B105="","",ROUND(SUMIFS(Закрытые!$N$5:$N$300,Закрытые!$E$5:$E$300,$B105,Закрытые!$B$5:$B$300,"L-*"),8))</f>
        <v/>
      </c>
      <c r="L105" s="177">
        <f>IF(K105="","",IF(SUMPRODUCT((Закрытые!$E$5:$E$300=$B105)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105/SUMPRODUCT((Закрытые!$E$5:$E$300=$B105)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5" s="177">
        <f>IF(OR(ROUND(N(C105)-N(F105),8)=0,1-N(Ввод!$E$17)/100&lt;=0),"",IF(N(C105)&gt;N(F105),(N(E105)-N(H105))/((N(C105)-N(F105))*(1-N(Ввод!$E$17)/100)),(N(H105)-N(E105))/((N(F105)-N(C105))*(1+N(Ввод!$E$17)/100))))</f>
        <v/>
      </c>
    </row>
    <row r="106" ht="22" customHeight="1">
      <c r="B106" s="320" t="n"/>
      <c r="C106" s="246">
        <f>IF(SUMIFS(Лэндинг!$F$5:$F$300,Лэндинг!$E$5:$E$300,$B106)+SUMIFS(Закрытые!$F$5:$F$300,Закрытые!$E$5:$E$300,$B106,Закрытые!$B$5:$B$300,"L-*")=0,"",SUMIFS(Лэндинг!$F$5:$F$300,Лэндинг!$E$5:$E$300,$B106)+SUMIFS(Закрытые!$F$5:$F$300,Закрытые!$E$5:$E$300,$B106,Закрытые!$B$5:$B$300,"L-*"))</f>
        <v/>
      </c>
      <c r="D106" s="183">
        <f>IF(C106="","",(SUMPRODUCT((Лэндинг!$E$5:$E$300=$B106)*Лэндинг!$F$5:$F$300*Лэндинг!$G$5:$G$300)+SUMPRODUCT((Закрытые!$E$5:$E$300=$B106)*(LEFT(Закрытые!$B$5:$B$300,2)="L-")*Закрытые!$F$5:$F$300*Закрытые!$G$5:$G$300))/C106)</f>
        <v/>
      </c>
      <c r="E106" s="247">
        <f>IF(C106="","",SUMIFS(Лэндинг!$H$5:$H$300,Лэндинг!$E$5:$E$300,$B106)+SUMIFS(Закрытые!$H$5:$H$300,Закрытые!$E$5:$E$300,$B106,Закрытые!$B$5:$B$300,"L-*"))</f>
        <v/>
      </c>
      <c r="F106" s="246">
        <f>IF(SUMIFS(Лэндинг!$I$5:$I$300,Лэндинг!$E$5:$E$300,$B106)+SUMIFS(Закрытые!$I$5:$I$300,Закрытые!$E$5:$E$300,$B106,Закрытые!$B$5:$B$300,"L-*")=0,"",SUMIFS(Лэндинг!$I$5:$I$300,Лэндинг!$E$5:$E$300,$B106)+SUMIFS(Закрытые!$I$5:$I$300,Закрытые!$E$5:$E$300,$B106,Закрытые!$B$5:$B$300,"L-*"))</f>
        <v/>
      </c>
      <c r="G106" s="183">
        <f>IF(F106="","",(SUMPRODUCT((Лэндинг!$E$5:$E$300=$B106)*Лэндинг!$I$5:$I$300*Лэндинг!$J$5:$J$300)+SUMPRODUCT((Закрытые!$E$5:$E$300=$B106)*(LEFT(Закрытые!$B$5:$B$300,2)="L-")*Закрытые!$I$5:$I$300*Закрытые!$J$5:$J$300))/F106)</f>
        <v/>
      </c>
      <c r="H106" s="247">
        <f>IF(F106="","",SUMIFS(Лэндинг!$K$5:$K$300,Лэндинг!$E$5:$E$300,$B106)+SUMIFS(Закрытые!$K$5:$K$300,Закрытые!$E$5:$E$300,$B106,Закрытые!$B$5:$B$300,"L-*"))</f>
        <v/>
      </c>
      <c r="I106" s="246">
        <f>IF($B106="","",IF(COUNTIFS(Лэндинг!$E$5:$E$300,$B106)+COUNTIFS(Закрытые!$E$5:$E$300,$B106,Закрытые!$B$5:$B$300,"L-*")=0,"",ROUND(SUMIFS(Лэндинг!$L$5:$L$300,Лэндинг!$E$5:$E$300,$B106)+SUMIFS(Закрытые!$L$5:$L$300,Закрытые!$E$5:$E$300,$B106,Закрытые!$B$5:$B$300,"L-*"),8)))</f>
        <v/>
      </c>
      <c r="J106" s="247">
        <f>IF($B106="","",IF(COUNTIFS(Лэндинг!$E$5:$E$300,$B106)+COUNTIFS(Закрытые!$E$5:$E$300,$B106,Закрытые!$B$5:$B$300,"L-*")=0,"",ROUND(SUMIFS(Лэндинг!$M$5:$M$300,Лэндинг!$E$5:$E$300,$B106)+SUMIFS(Закрытые!$M$5:$M$300,Закрытые!$E$5:$E$300,$B106,Закрытые!$B$5:$B$300,"L-*"),8)))</f>
        <v/>
      </c>
      <c r="K106" s="246">
        <f>IF($B106="","",ROUND(SUMIFS(Закрытые!$N$5:$N$300,Закрытые!$E$5:$E$300,$B106,Закрытые!$B$5:$B$300,"L-*"),8))</f>
        <v/>
      </c>
      <c r="L106" s="183">
        <f>IF(K106="","",IF(SUMPRODUCT((Закрытые!$E$5:$E$300=$B106)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106/SUMPRODUCT((Закрытые!$E$5:$E$300=$B106)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6" s="183">
        <f>IF(OR(ROUND(N(C106)-N(F106),8)=0,1-N(Ввод!$E$17)/100&lt;=0),"",IF(N(C106)&gt;N(F106),(N(E106)-N(H106))/((N(C106)-N(F106))*(1-N(Ввод!$E$17)/100)),(N(H106)-N(E106))/((N(F106)-N(C106))*(1+N(Ввод!$E$17)/100))))</f>
        <v/>
      </c>
    </row>
    <row r="107" ht="22" customHeight="1">
      <c r="B107" s="315" t="n"/>
      <c r="C107" s="240">
        <f>IF(SUMIFS(Лэндинг!$F$5:$F$300,Лэндинг!$E$5:$E$300,$B107)+SUMIFS(Закрытые!$F$5:$F$300,Закрытые!$E$5:$E$300,$B107,Закрытые!$B$5:$B$300,"L-*")=0,"",SUMIFS(Лэндинг!$F$5:$F$300,Лэндинг!$E$5:$E$300,$B107)+SUMIFS(Закрытые!$F$5:$F$300,Закрытые!$E$5:$E$300,$B107,Закрытые!$B$5:$B$300,"L-*"))</f>
        <v/>
      </c>
      <c r="D107" s="177">
        <f>IF(C107="","",(SUMPRODUCT((Лэндинг!$E$5:$E$300=$B107)*Лэндинг!$F$5:$F$300*Лэндинг!$G$5:$G$300)+SUMPRODUCT((Закрытые!$E$5:$E$300=$B107)*(LEFT(Закрытые!$B$5:$B$300,2)="L-")*Закрытые!$F$5:$F$300*Закрытые!$G$5:$G$300))/C107)</f>
        <v/>
      </c>
      <c r="E107" s="241">
        <f>IF(C107="","",SUMIFS(Лэндинг!$H$5:$H$300,Лэндинг!$E$5:$E$300,$B107)+SUMIFS(Закрытые!$H$5:$H$300,Закрытые!$E$5:$E$300,$B107,Закрытые!$B$5:$B$300,"L-*"))</f>
        <v/>
      </c>
      <c r="F107" s="240">
        <f>IF(SUMIFS(Лэндинг!$I$5:$I$300,Лэндинг!$E$5:$E$300,$B107)+SUMIFS(Закрытые!$I$5:$I$300,Закрытые!$E$5:$E$300,$B107,Закрытые!$B$5:$B$300,"L-*")=0,"",SUMIFS(Лэндинг!$I$5:$I$300,Лэндинг!$E$5:$E$300,$B107)+SUMIFS(Закрытые!$I$5:$I$300,Закрытые!$E$5:$E$300,$B107,Закрытые!$B$5:$B$300,"L-*"))</f>
        <v/>
      </c>
      <c r="G107" s="177">
        <f>IF(F107="","",(SUMPRODUCT((Лэндинг!$E$5:$E$300=$B107)*Лэндинг!$I$5:$I$300*Лэндинг!$J$5:$J$300)+SUMPRODUCT((Закрытые!$E$5:$E$300=$B107)*(LEFT(Закрытые!$B$5:$B$300,2)="L-")*Закрытые!$I$5:$I$300*Закрытые!$J$5:$J$300))/F107)</f>
        <v/>
      </c>
      <c r="H107" s="241">
        <f>IF(F107="","",SUMIFS(Лэндинг!$K$5:$K$300,Лэндинг!$E$5:$E$300,$B107)+SUMIFS(Закрытые!$K$5:$K$300,Закрытые!$E$5:$E$300,$B107,Закрытые!$B$5:$B$300,"L-*"))</f>
        <v/>
      </c>
      <c r="I107" s="240">
        <f>IF($B107="","",IF(COUNTIFS(Лэндинг!$E$5:$E$300,$B107)+COUNTIFS(Закрытые!$E$5:$E$300,$B107,Закрытые!$B$5:$B$300,"L-*")=0,"",ROUND(SUMIFS(Лэндинг!$L$5:$L$300,Лэндинг!$E$5:$E$300,$B107)+SUMIFS(Закрытые!$L$5:$L$300,Закрытые!$E$5:$E$300,$B107,Закрытые!$B$5:$B$300,"L-*"),8)))</f>
        <v/>
      </c>
      <c r="J107" s="241">
        <f>IF($B107="","",IF(COUNTIFS(Лэндинг!$E$5:$E$300,$B107)+COUNTIFS(Закрытые!$E$5:$E$300,$B107,Закрытые!$B$5:$B$300,"L-*")=0,"",ROUND(SUMIFS(Лэндинг!$M$5:$M$300,Лэндинг!$E$5:$E$300,$B107)+SUMIFS(Закрытые!$M$5:$M$300,Закрытые!$E$5:$E$300,$B107,Закрытые!$B$5:$B$300,"L-*"),8)))</f>
        <v/>
      </c>
      <c r="K107" s="240">
        <f>IF($B107="","",ROUND(SUMIFS(Закрытые!$N$5:$N$300,Закрытые!$E$5:$E$300,$B107,Закрытые!$B$5:$B$300,"L-*"),8))</f>
        <v/>
      </c>
      <c r="L107" s="177">
        <f>IF(K107="","",IF(SUMPRODUCT((Закрытые!$E$5:$E$300=$B107)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107/SUMPRODUCT((Закрытые!$E$5:$E$300=$B107)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7" s="177">
        <f>IF(OR(ROUND(N(C107)-N(F107),8)=0,1-N(Ввод!$E$17)/100&lt;=0),"",IF(N(C107)&gt;N(F107),(N(E107)-N(H107))/((N(C107)-N(F107))*(1-N(Ввод!$E$17)/100)),(N(H107)-N(E107))/((N(F107)-N(C107))*(1+N(Ввод!$E$17)/100))))</f>
        <v/>
      </c>
    </row>
    <row r="108" ht="22" customHeight="1">
      <c r="B108" s="320" t="n"/>
      <c r="C108" s="246">
        <f>IF(SUMIFS(Лэндинг!$F$5:$F$300,Лэндинг!$E$5:$E$300,$B108)+SUMIFS(Закрытые!$F$5:$F$300,Закрытые!$E$5:$E$300,$B108,Закрытые!$B$5:$B$300,"L-*")=0,"",SUMIFS(Лэндинг!$F$5:$F$300,Лэндинг!$E$5:$E$300,$B108)+SUMIFS(Закрытые!$F$5:$F$300,Закрытые!$E$5:$E$300,$B108,Закрытые!$B$5:$B$300,"L-*"))</f>
        <v/>
      </c>
      <c r="D108" s="183">
        <f>IF(C108="","",(SUMPRODUCT((Лэндинг!$E$5:$E$300=$B108)*Лэндинг!$F$5:$F$300*Лэндинг!$G$5:$G$300)+SUMPRODUCT((Закрытые!$E$5:$E$300=$B108)*(LEFT(Закрытые!$B$5:$B$300,2)="L-")*Закрытые!$F$5:$F$300*Закрытые!$G$5:$G$300))/C108)</f>
        <v/>
      </c>
      <c r="E108" s="247">
        <f>IF(C108="","",SUMIFS(Лэндинг!$H$5:$H$300,Лэндинг!$E$5:$E$300,$B108)+SUMIFS(Закрытые!$H$5:$H$300,Закрытые!$E$5:$E$300,$B108,Закрытые!$B$5:$B$300,"L-*"))</f>
        <v/>
      </c>
      <c r="F108" s="246">
        <f>IF(SUMIFS(Лэндинг!$I$5:$I$300,Лэндинг!$E$5:$E$300,$B108)+SUMIFS(Закрытые!$I$5:$I$300,Закрытые!$E$5:$E$300,$B108,Закрытые!$B$5:$B$300,"L-*")=0,"",SUMIFS(Лэндинг!$I$5:$I$300,Лэндинг!$E$5:$E$300,$B108)+SUMIFS(Закрытые!$I$5:$I$300,Закрытые!$E$5:$E$300,$B108,Закрытые!$B$5:$B$300,"L-*"))</f>
        <v/>
      </c>
      <c r="G108" s="183">
        <f>IF(F108="","",(SUMPRODUCT((Лэндинг!$E$5:$E$300=$B108)*Лэндинг!$I$5:$I$300*Лэндинг!$J$5:$J$300)+SUMPRODUCT((Закрытые!$E$5:$E$300=$B108)*(LEFT(Закрытые!$B$5:$B$300,2)="L-")*Закрытые!$I$5:$I$300*Закрытые!$J$5:$J$300))/F108)</f>
        <v/>
      </c>
      <c r="H108" s="247">
        <f>IF(F108="","",SUMIFS(Лэндинг!$K$5:$K$300,Лэндинг!$E$5:$E$300,$B108)+SUMIFS(Закрытые!$K$5:$K$300,Закрытые!$E$5:$E$300,$B108,Закрытые!$B$5:$B$300,"L-*"))</f>
        <v/>
      </c>
      <c r="I108" s="246">
        <f>IF($B108="","",IF(COUNTIFS(Лэндинг!$E$5:$E$300,$B108)+COUNTIFS(Закрытые!$E$5:$E$300,$B108,Закрытые!$B$5:$B$300,"L-*")=0,"",ROUND(SUMIFS(Лэндинг!$L$5:$L$300,Лэндинг!$E$5:$E$300,$B108)+SUMIFS(Закрытые!$L$5:$L$300,Закрытые!$E$5:$E$300,$B108,Закрытые!$B$5:$B$300,"L-*"),8)))</f>
        <v/>
      </c>
      <c r="J108" s="247">
        <f>IF($B108="","",IF(COUNTIFS(Лэндинг!$E$5:$E$300,$B108)+COUNTIFS(Закрытые!$E$5:$E$300,$B108,Закрытые!$B$5:$B$300,"L-*")=0,"",ROUND(SUMIFS(Лэндинг!$M$5:$M$300,Лэндинг!$E$5:$E$300,$B108)+SUMIFS(Закрытые!$M$5:$M$300,Закрытые!$E$5:$E$300,$B108,Закрытые!$B$5:$B$300,"L-*"),8)))</f>
        <v/>
      </c>
      <c r="K108" s="246">
        <f>IF($B108="","",ROUND(SUMIFS(Закрытые!$N$5:$N$300,Закрытые!$E$5:$E$300,$B108,Закрытые!$B$5:$B$300,"L-*"),8))</f>
        <v/>
      </c>
      <c r="L108" s="183">
        <f>IF(K108="","",IF(SUMPRODUCT((Закрытые!$E$5:$E$300=$B108)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108/SUMPRODUCT((Закрытые!$E$5:$E$300=$B108)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8" s="183">
        <f>IF(OR(ROUND(N(C108)-N(F108),8)=0,1-N(Ввод!$E$17)/100&lt;=0),"",IF(N(C108)&gt;N(F108),(N(E108)-N(H108))/((N(C108)-N(F108))*(1-N(Ввод!$E$17)/100)),(N(H108)-N(E108))/((N(F108)-N(C108))*(1+N(Ввод!$E$17)/100))))</f>
        <v/>
      </c>
    </row>
    <row r="109" ht="22" customHeight="1">
      <c r="B109" s="315" t="n"/>
      <c r="C109" s="240">
        <f>IF(SUMIFS(Лэндинг!$F$5:$F$300,Лэндинг!$E$5:$E$300,$B109)+SUMIFS(Закрытые!$F$5:$F$300,Закрытые!$E$5:$E$300,$B109,Закрытые!$B$5:$B$300,"L-*")=0,"",SUMIFS(Лэндинг!$F$5:$F$300,Лэндинг!$E$5:$E$300,$B109)+SUMIFS(Закрытые!$F$5:$F$300,Закрытые!$E$5:$E$300,$B109,Закрытые!$B$5:$B$300,"L-*"))</f>
        <v/>
      </c>
      <c r="D109" s="177">
        <f>IF(C109="","",(SUMPRODUCT((Лэндинг!$E$5:$E$300=$B109)*Лэндинг!$F$5:$F$300*Лэндинг!$G$5:$G$300)+SUMPRODUCT((Закрытые!$E$5:$E$300=$B109)*(LEFT(Закрытые!$B$5:$B$300,2)="L-")*Закрытые!$F$5:$F$300*Закрытые!$G$5:$G$300))/C109)</f>
        <v/>
      </c>
      <c r="E109" s="241">
        <f>IF(C109="","",SUMIFS(Лэндинг!$H$5:$H$300,Лэндинг!$E$5:$E$300,$B109)+SUMIFS(Закрытые!$H$5:$H$300,Закрытые!$E$5:$E$300,$B109,Закрытые!$B$5:$B$300,"L-*"))</f>
        <v/>
      </c>
      <c r="F109" s="240">
        <f>IF(SUMIFS(Лэндинг!$I$5:$I$300,Лэндинг!$E$5:$E$300,$B109)+SUMIFS(Закрытые!$I$5:$I$300,Закрытые!$E$5:$E$300,$B109,Закрытые!$B$5:$B$300,"L-*")=0,"",SUMIFS(Лэндинг!$I$5:$I$300,Лэндинг!$E$5:$E$300,$B109)+SUMIFS(Закрытые!$I$5:$I$300,Закрытые!$E$5:$E$300,$B109,Закрытые!$B$5:$B$300,"L-*"))</f>
        <v/>
      </c>
      <c r="G109" s="177">
        <f>IF(F109="","",(SUMPRODUCT((Лэндинг!$E$5:$E$300=$B109)*Лэндинг!$I$5:$I$300*Лэндинг!$J$5:$J$300)+SUMPRODUCT((Закрытые!$E$5:$E$300=$B109)*(LEFT(Закрытые!$B$5:$B$300,2)="L-")*Закрытые!$I$5:$I$300*Закрытые!$J$5:$J$300))/F109)</f>
        <v/>
      </c>
      <c r="H109" s="241">
        <f>IF(F109="","",SUMIFS(Лэндинг!$K$5:$K$300,Лэндинг!$E$5:$E$300,$B109)+SUMIFS(Закрытые!$K$5:$K$300,Закрытые!$E$5:$E$300,$B109,Закрытые!$B$5:$B$300,"L-*"))</f>
        <v/>
      </c>
      <c r="I109" s="240">
        <f>IF($B109="","",IF(COUNTIFS(Лэндинг!$E$5:$E$300,$B109)+COUNTIFS(Закрытые!$E$5:$E$300,$B109,Закрытые!$B$5:$B$300,"L-*")=0,"",ROUND(SUMIFS(Лэндинг!$L$5:$L$300,Лэндинг!$E$5:$E$300,$B109)+SUMIFS(Закрытые!$L$5:$L$300,Закрытые!$E$5:$E$300,$B109,Закрытые!$B$5:$B$300,"L-*"),8)))</f>
        <v/>
      </c>
      <c r="J109" s="241">
        <f>IF($B109="","",IF(COUNTIFS(Лэндинг!$E$5:$E$300,$B109)+COUNTIFS(Закрытые!$E$5:$E$300,$B109,Закрытые!$B$5:$B$300,"L-*")=0,"",ROUND(SUMIFS(Лэндинг!$M$5:$M$300,Лэндинг!$E$5:$E$300,$B109)+SUMIFS(Закрытые!$M$5:$M$300,Закрытые!$E$5:$E$300,$B109,Закрытые!$B$5:$B$300,"L-*"),8)))</f>
        <v/>
      </c>
      <c r="K109" s="240">
        <f>IF($B109="","",ROUND(SUMIFS(Закрытые!$N$5:$N$300,Закрытые!$E$5:$E$300,$B109,Закрытые!$B$5:$B$300,"L-*"),8))</f>
        <v/>
      </c>
      <c r="L109" s="177">
        <f>IF(K109="","",IF(SUMPRODUCT((Закрытые!$E$5:$E$300=$B109)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109/SUMPRODUCT((Закрытые!$E$5:$E$300=$B109)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9" s="177">
        <f>IF(OR(ROUND(N(C109)-N(F109),8)=0,1-N(Ввод!$E$17)/100&lt;=0),"",IF(N(C109)&gt;N(F109),(N(E109)-N(H109))/((N(C109)-N(F109))*(1-N(Ввод!$E$17)/100)),(N(H109)-N(E109))/((N(F109)-N(C109))*(1+N(Ввод!$E$17)/100))))</f>
        <v/>
      </c>
    </row>
    <row r="110" ht="22" customHeight="1">
      <c r="B110" s="320" t="n"/>
      <c r="C110" s="246">
        <f>IF(SUMIFS(Лэндинг!$F$5:$F$300,Лэндинг!$E$5:$E$300,$B110)+SUMIFS(Закрытые!$F$5:$F$300,Закрытые!$E$5:$E$300,$B110,Закрытые!$B$5:$B$300,"L-*")=0,"",SUMIFS(Лэндинг!$F$5:$F$300,Лэндинг!$E$5:$E$300,$B110)+SUMIFS(Закрытые!$F$5:$F$300,Закрытые!$E$5:$E$300,$B110,Закрытые!$B$5:$B$300,"L-*"))</f>
        <v/>
      </c>
      <c r="D110" s="183">
        <f>IF(C110="","",(SUMPRODUCT((Лэндинг!$E$5:$E$300=$B110)*Лэндинг!$F$5:$F$300*Лэндинг!$G$5:$G$300)+SUMPRODUCT((Закрытые!$E$5:$E$300=$B110)*(LEFT(Закрытые!$B$5:$B$300,2)="L-")*Закрытые!$F$5:$F$300*Закрытые!$G$5:$G$300))/C110)</f>
        <v/>
      </c>
      <c r="E110" s="247">
        <f>IF(C110="","",SUMIFS(Лэндинг!$H$5:$H$300,Лэндинг!$E$5:$E$300,$B110)+SUMIFS(Закрытые!$H$5:$H$300,Закрытые!$E$5:$E$300,$B110,Закрытые!$B$5:$B$300,"L-*"))</f>
        <v/>
      </c>
      <c r="F110" s="246">
        <f>IF(SUMIFS(Лэндинг!$I$5:$I$300,Лэндинг!$E$5:$E$300,$B110)+SUMIFS(Закрытые!$I$5:$I$300,Закрытые!$E$5:$E$300,$B110,Закрытые!$B$5:$B$300,"L-*")=0,"",SUMIFS(Лэндинг!$I$5:$I$300,Лэндинг!$E$5:$E$300,$B110)+SUMIFS(Закрытые!$I$5:$I$300,Закрытые!$E$5:$E$300,$B110,Закрытые!$B$5:$B$300,"L-*"))</f>
        <v/>
      </c>
      <c r="G110" s="183">
        <f>IF(F110="","",(SUMPRODUCT((Лэндинг!$E$5:$E$300=$B110)*Лэндинг!$I$5:$I$300*Лэндинг!$J$5:$J$300)+SUMPRODUCT((Закрытые!$E$5:$E$300=$B110)*(LEFT(Закрытые!$B$5:$B$300,2)="L-")*Закрытые!$I$5:$I$300*Закрытые!$J$5:$J$300))/F110)</f>
        <v/>
      </c>
      <c r="H110" s="247">
        <f>IF(F110="","",SUMIFS(Лэндинг!$K$5:$K$300,Лэндинг!$E$5:$E$300,$B110)+SUMIFS(Закрытые!$K$5:$K$300,Закрытые!$E$5:$E$300,$B110,Закрытые!$B$5:$B$300,"L-*"))</f>
        <v/>
      </c>
      <c r="I110" s="246">
        <f>IF($B110="","",IF(COUNTIFS(Лэндинг!$E$5:$E$300,$B110)+COUNTIFS(Закрытые!$E$5:$E$300,$B110,Закрытые!$B$5:$B$300,"L-*")=0,"",ROUND(SUMIFS(Лэндинг!$L$5:$L$300,Лэндинг!$E$5:$E$300,$B110)+SUMIFS(Закрытые!$L$5:$L$300,Закрытые!$E$5:$E$300,$B110,Закрытые!$B$5:$B$300,"L-*"),8)))</f>
        <v/>
      </c>
      <c r="J110" s="247">
        <f>IF($B110="","",IF(COUNTIFS(Лэндинг!$E$5:$E$300,$B110)+COUNTIFS(Закрытые!$E$5:$E$300,$B110,Закрытые!$B$5:$B$300,"L-*")=0,"",ROUND(SUMIFS(Лэндинг!$M$5:$M$300,Лэндинг!$E$5:$E$300,$B110)+SUMIFS(Закрытые!$M$5:$M$300,Закрытые!$E$5:$E$300,$B110,Закрытые!$B$5:$B$300,"L-*"),8)))</f>
        <v/>
      </c>
      <c r="K110" s="246">
        <f>IF($B110="","",ROUND(SUMIFS(Закрытые!$N$5:$N$300,Закрытые!$E$5:$E$300,$B110,Закрытые!$B$5:$B$300,"L-*"),8))</f>
        <v/>
      </c>
      <c r="L110" s="183">
        <f>IF(K110="","",IF(SUMPRODUCT((Закрытые!$E$5:$E$300=$B110)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110/SUMPRODUCT((Закрытые!$E$5:$E$300=$B110)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0" s="183">
        <f>IF(OR(ROUND(N(C110)-N(F110),8)=0,1-N(Ввод!$E$17)/100&lt;=0),"",IF(N(C110)&gt;N(F110),(N(E110)-N(H110))/((N(C110)-N(F110))*(1-N(Ввод!$E$17)/100)),(N(H110)-N(E110))/((N(F110)-N(C110))*(1+N(Ввод!$E$17)/100))))</f>
        <v/>
      </c>
    </row>
    <row r="111" ht="22" customHeight="1">
      <c r="B111" s="315" t="n"/>
      <c r="C111" s="240">
        <f>IF(SUMIFS(Лэндинг!$F$5:$F$300,Лэндинг!$E$5:$E$300,$B111)+SUMIFS(Закрытые!$F$5:$F$300,Закрытые!$E$5:$E$300,$B111,Закрытые!$B$5:$B$300,"L-*")=0,"",SUMIFS(Лэндинг!$F$5:$F$300,Лэндинг!$E$5:$E$300,$B111)+SUMIFS(Закрытые!$F$5:$F$300,Закрытые!$E$5:$E$300,$B111,Закрытые!$B$5:$B$300,"L-*"))</f>
        <v/>
      </c>
      <c r="D111" s="177">
        <f>IF(C111="","",(SUMPRODUCT((Лэндинг!$E$5:$E$300=$B111)*Лэндинг!$F$5:$F$300*Лэндинг!$G$5:$G$300)+SUMPRODUCT((Закрытые!$E$5:$E$300=$B111)*(LEFT(Закрытые!$B$5:$B$300,2)="L-")*Закрытые!$F$5:$F$300*Закрытые!$G$5:$G$300))/C111)</f>
        <v/>
      </c>
      <c r="E111" s="241">
        <f>IF(C111="","",SUMIFS(Лэндинг!$H$5:$H$300,Лэндинг!$E$5:$E$300,$B111)+SUMIFS(Закрытые!$H$5:$H$300,Закрытые!$E$5:$E$300,$B111,Закрытые!$B$5:$B$300,"L-*"))</f>
        <v/>
      </c>
      <c r="F111" s="240">
        <f>IF(SUMIFS(Лэндинг!$I$5:$I$300,Лэндинг!$E$5:$E$300,$B111)+SUMIFS(Закрытые!$I$5:$I$300,Закрытые!$E$5:$E$300,$B111,Закрытые!$B$5:$B$300,"L-*")=0,"",SUMIFS(Лэндинг!$I$5:$I$300,Лэндинг!$E$5:$E$300,$B111)+SUMIFS(Закрытые!$I$5:$I$300,Закрытые!$E$5:$E$300,$B111,Закрытые!$B$5:$B$300,"L-*"))</f>
        <v/>
      </c>
      <c r="G111" s="177">
        <f>IF(F111="","",(SUMPRODUCT((Лэндинг!$E$5:$E$300=$B111)*Лэндинг!$I$5:$I$300*Лэндинг!$J$5:$J$300)+SUMPRODUCT((Закрытые!$E$5:$E$300=$B111)*(LEFT(Закрытые!$B$5:$B$300,2)="L-")*Закрытые!$I$5:$I$300*Закрытые!$J$5:$J$300))/F111)</f>
        <v/>
      </c>
      <c r="H111" s="241">
        <f>IF(F111="","",SUMIFS(Лэндинг!$K$5:$K$300,Лэндинг!$E$5:$E$300,$B111)+SUMIFS(Закрытые!$K$5:$K$300,Закрытые!$E$5:$E$300,$B111,Закрытые!$B$5:$B$300,"L-*"))</f>
        <v/>
      </c>
      <c r="I111" s="240">
        <f>IF($B111="","",IF(COUNTIFS(Лэндинг!$E$5:$E$300,$B111)+COUNTIFS(Закрытые!$E$5:$E$300,$B111,Закрытые!$B$5:$B$300,"L-*")=0,"",ROUND(SUMIFS(Лэндинг!$L$5:$L$300,Лэндинг!$E$5:$E$300,$B111)+SUMIFS(Закрытые!$L$5:$L$300,Закрытые!$E$5:$E$300,$B111,Закрытые!$B$5:$B$300,"L-*"),8)))</f>
        <v/>
      </c>
      <c r="J111" s="241">
        <f>IF($B111="","",IF(COUNTIFS(Лэндинг!$E$5:$E$300,$B111)+COUNTIFS(Закрытые!$E$5:$E$300,$B111,Закрытые!$B$5:$B$300,"L-*")=0,"",ROUND(SUMIFS(Лэндинг!$M$5:$M$300,Лэндинг!$E$5:$E$300,$B111)+SUMIFS(Закрытые!$M$5:$M$300,Закрытые!$E$5:$E$300,$B111,Закрытые!$B$5:$B$300,"L-*"),8)))</f>
        <v/>
      </c>
      <c r="K111" s="240">
        <f>IF($B111="","",ROUND(SUMIFS(Закрытые!$N$5:$N$300,Закрытые!$E$5:$E$300,$B111,Закрытые!$B$5:$B$300,"L-*"),8))</f>
        <v/>
      </c>
      <c r="L111" s="177">
        <f>IF(K111="","",IF(SUMPRODUCT((Закрытые!$E$5:$E$300=$B111)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111/SUMPRODUCT((Закрытые!$E$5:$E$300=$B111)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1" s="177">
        <f>IF(OR(ROUND(N(C111)-N(F111),8)=0,1-N(Ввод!$E$17)/100&lt;=0),"",IF(N(C111)&gt;N(F111),(N(E111)-N(H111))/((N(C111)-N(F111))*(1-N(Ввод!$E$17)/100)),(N(H111)-N(E111))/((N(F111)-N(C111))*(1+N(Ввод!$E$17)/100))))</f>
        <v/>
      </c>
    </row>
    <row r="112" ht="22" customHeight="1">
      <c r="B112" s="320" t="n"/>
      <c r="C112" s="246">
        <f>IF(SUMIFS(Лэндинг!$F$5:$F$300,Лэндинг!$E$5:$E$300,$B112)+SUMIFS(Закрытые!$F$5:$F$300,Закрытые!$E$5:$E$300,$B112,Закрытые!$B$5:$B$300,"L-*")=0,"",SUMIFS(Лэндинг!$F$5:$F$300,Лэндинг!$E$5:$E$300,$B112)+SUMIFS(Закрытые!$F$5:$F$300,Закрытые!$E$5:$E$300,$B112,Закрытые!$B$5:$B$300,"L-*"))</f>
        <v/>
      </c>
      <c r="D112" s="183">
        <f>IF(C112="","",(SUMPRODUCT((Лэндинг!$E$5:$E$300=$B112)*Лэндинг!$F$5:$F$300*Лэндинг!$G$5:$G$300)+SUMPRODUCT((Закрытые!$E$5:$E$300=$B112)*(LEFT(Закрытые!$B$5:$B$300,2)="L-")*Закрытые!$F$5:$F$300*Закрытые!$G$5:$G$300))/C112)</f>
        <v/>
      </c>
      <c r="E112" s="247">
        <f>IF(C112="","",SUMIFS(Лэндинг!$H$5:$H$300,Лэндинг!$E$5:$E$300,$B112)+SUMIFS(Закрытые!$H$5:$H$300,Закрытые!$E$5:$E$300,$B112,Закрытые!$B$5:$B$300,"L-*"))</f>
        <v/>
      </c>
      <c r="F112" s="246">
        <f>IF(SUMIFS(Лэндинг!$I$5:$I$300,Лэндинг!$E$5:$E$300,$B112)+SUMIFS(Закрытые!$I$5:$I$300,Закрытые!$E$5:$E$300,$B112,Закрытые!$B$5:$B$300,"L-*")=0,"",SUMIFS(Лэндинг!$I$5:$I$300,Лэндинг!$E$5:$E$300,$B112)+SUMIFS(Закрытые!$I$5:$I$300,Закрытые!$E$5:$E$300,$B112,Закрытые!$B$5:$B$300,"L-*"))</f>
        <v/>
      </c>
      <c r="G112" s="183">
        <f>IF(F112="","",(SUMPRODUCT((Лэндинг!$E$5:$E$300=$B112)*Лэндинг!$I$5:$I$300*Лэндинг!$J$5:$J$300)+SUMPRODUCT((Закрытые!$E$5:$E$300=$B112)*(LEFT(Закрытые!$B$5:$B$300,2)="L-")*Закрытые!$I$5:$I$300*Закрытые!$J$5:$J$300))/F112)</f>
        <v/>
      </c>
      <c r="H112" s="247">
        <f>IF(F112="","",SUMIFS(Лэндинг!$K$5:$K$300,Лэндинг!$E$5:$E$300,$B112)+SUMIFS(Закрытые!$K$5:$K$300,Закрытые!$E$5:$E$300,$B112,Закрытые!$B$5:$B$300,"L-*"))</f>
        <v/>
      </c>
      <c r="I112" s="246">
        <f>IF($B112="","",IF(COUNTIFS(Лэндинг!$E$5:$E$300,$B112)+COUNTIFS(Закрытые!$E$5:$E$300,$B112,Закрытые!$B$5:$B$300,"L-*")=0,"",ROUND(SUMIFS(Лэндинг!$L$5:$L$300,Лэндинг!$E$5:$E$300,$B112)+SUMIFS(Закрытые!$L$5:$L$300,Закрытые!$E$5:$E$300,$B112,Закрытые!$B$5:$B$300,"L-*"),8)))</f>
        <v/>
      </c>
      <c r="J112" s="247">
        <f>IF($B112="","",IF(COUNTIFS(Лэндинг!$E$5:$E$300,$B112)+COUNTIFS(Закрытые!$E$5:$E$300,$B112,Закрытые!$B$5:$B$300,"L-*")=0,"",ROUND(SUMIFS(Лэндинг!$M$5:$M$300,Лэндинг!$E$5:$E$300,$B112)+SUMIFS(Закрытые!$M$5:$M$300,Закрытые!$E$5:$E$300,$B112,Закрытые!$B$5:$B$300,"L-*"),8)))</f>
        <v/>
      </c>
      <c r="K112" s="246">
        <f>IF($B112="","",ROUND(SUMIFS(Закрытые!$N$5:$N$300,Закрытые!$E$5:$E$300,$B112,Закрытые!$B$5:$B$300,"L-*"),8))</f>
        <v/>
      </c>
      <c r="L112" s="183">
        <f>IF(K112="","",IF(SUMPRODUCT((Закрытые!$E$5:$E$300=$B112)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112/SUMPRODUCT((Закрытые!$E$5:$E$300=$B112)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2" s="183">
        <f>IF(OR(ROUND(N(C112)-N(F112),8)=0,1-N(Ввод!$E$17)/100&lt;=0),"",IF(N(C112)&gt;N(F112),(N(E112)-N(H112))/((N(C112)-N(F112))*(1-N(Ввод!$E$17)/100)),(N(H112)-N(E112))/((N(F112)-N(C112))*(1+N(Ввод!$E$17)/100))))</f>
        <v/>
      </c>
    </row>
    <row r="113" ht="22" customHeight="1">
      <c r="B113" s="315" t="n"/>
      <c r="C113" s="240">
        <f>IF(SUMIFS(Лэндинг!$F$5:$F$300,Лэндинг!$E$5:$E$300,$B113)+SUMIFS(Закрытые!$F$5:$F$300,Закрытые!$E$5:$E$300,$B113,Закрытые!$B$5:$B$300,"L-*")=0,"",SUMIFS(Лэндинг!$F$5:$F$300,Лэндинг!$E$5:$E$300,$B113)+SUMIFS(Закрытые!$F$5:$F$300,Закрытые!$E$5:$E$300,$B113,Закрытые!$B$5:$B$300,"L-*"))</f>
        <v/>
      </c>
      <c r="D113" s="177">
        <f>IF(C113="","",(SUMPRODUCT((Лэндинг!$E$5:$E$300=$B113)*Лэндинг!$F$5:$F$300*Лэндинг!$G$5:$G$300)+SUMPRODUCT((Закрытые!$E$5:$E$300=$B113)*(LEFT(Закрытые!$B$5:$B$300,2)="L-")*Закрытые!$F$5:$F$300*Закрытые!$G$5:$G$300))/C113)</f>
        <v/>
      </c>
      <c r="E113" s="241">
        <f>IF(C113="","",SUMIFS(Лэндинг!$H$5:$H$300,Лэндинг!$E$5:$E$300,$B113)+SUMIFS(Закрытые!$H$5:$H$300,Закрытые!$E$5:$E$300,$B113,Закрытые!$B$5:$B$300,"L-*"))</f>
        <v/>
      </c>
      <c r="F113" s="240">
        <f>IF(SUMIFS(Лэндинг!$I$5:$I$300,Лэндинг!$E$5:$E$300,$B113)+SUMIFS(Закрытые!$I$5:$I$300,Закрытые!$E$5:$E$300,$B113,Закрытые!$B$5:$B$300,"L-*")=0,"",SUMIFS(Лэндинг!$I$5:$I$300,Лэндинг!$E$5:$E$300,$B113)+SUMIFS(Закрытые!$I$5:$I$300,Закрытые!$E$5:$E$300,$B113,Закрытые!$B$5:$B$300,"L-*"))</f>
        <v/>
      </c>
      <c r="G113" s="177">
        <f>IF(F113="","",(SUMPRODUCT((Лэндинг!$E$5:$E$300=$B113)*Лэндинг!$I$5:$I$300*Лэндинг!$J$5:$J$300)+SUMPRODUCT((Закрытые!$E$5:$E$300=$B113)*(LEFT(Закрытые!$B$5:$B$300,2)="L-")*Закрытые!$I$5:$I$300*Закрытые!$J$5:$J$300))/F113)</f>
        <v/>
      </c>
      <c r="H113" s="241">
        <f>IF(F113="","",SUMIFS(Лэндинг!$K$5:$K$300,Лэндинг!$E$5:$E$300,$B113)+SUMIFS(Закрытые!$K$5:$K$300,Закрытые!$E$5:$E$300,$B113,Закрытые!$B$5:$B$300,"L-*"))</f>
        <v/>
      </c>
      <c r="I113" s="240">
        <f>IF($B113="","",IF(COUNTIFS(Лэндинг!$E$5:$E$300,$B113)+COUNTIFS(Закрытые!$E$5:$E$300,$B113,Закрытые!$B$5:$B$300,"L-*")=0,"",ROUND(SUMIFS(Лэндинг!$L$5:$L$300,Лэндинг!$E$5:$E$300,$B113)+SUMIFS(Закрытые!$L$5:$L$300,Закрытые!$E$5:$E$300,$B113,Закрытые!$B$5:$B$300,"L-*"),8)))</f>
        <v/>
      </c>
      <c r="J113" s="241">
        <f>IF($B113="","",IF(COUNTIFS(Лэндинг!$E$5:$E$300,$B113)+COUNTIFS(Закрытые!$E$5:$E$300,$B113,Закрытые!$B$5:$B$300,"L-*")=0,"",ROUND(SUMIFS(Лэндинг!$M$5:$M$300,Лэндинг!$E$5:$E$300,$B113)+SUMIFS(Закрытые!$M$5:$M$300,Закрытые!$E$5:$E$300,$B113,Закрытые!$B$5:$B$300,"L-*"),8)))</f>
        <v/>
      </c>
      <c r="K113" s="240">
        <f>IF($B113="","",ROUND(SUMIFS(Закрытые!$N$5:$N$300,Закрытые!$E$5:$E$300,$B113,Закрытые!$B$5:$B$300,"L-*"),8))</f>
        <v/>
      </c>
      <c r="L113" s="177">
        <f>IF(K113="","",IF(SUMPRODUCT((Закрытые!$E$5:$E$300=$B113)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113/SUMPRODUCT((Закрытые!$E$5:$E$300=$B113)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3" s="177">
        <f>IF(OR(ROUND(N(C113)-N(F113),8)=0,1-N(Ввод!$E$17)/100&lt;=0),"",IF(N(C113)&gt;N(F113),(N(E113)-N(H113))/((N(C113)-N(F113))*(1-N(Ввод!$E$17)/100)),(N(H113)-N(E113))/((N(F113)-N(C113))*(1+N(Ввод!$E$17)/100))))</f>
        <v/>
      </c>
    </row>
    <row r="114" ht="22" customHeight="1">
      <c r="B114" s="320" t="n"/>
      <c r="C114" s="246">
        <f>IF(SUMIFS(Лэндинг!$F$5:$F$300,Лэндинг!$E$5:$E$300,$B114)+SUMIFS(Закрытые!$F$5:$F$300,Закрытые!$E$5:$E$300,$B114,Закрытые!$B$5:$B$300,"L-*")=0,"",SUMIFS(Лэндинг!$F$5:$F$300,Лэндинг!$E$5:$E$300,$B114)+SUMIFS(Закрытые!$F$5:$F$300,Закрытые!$E$5:$E$300,$B114,Закрытые!$B$5:$B$300,"L-*"))</f>
        <v/>
      </c>
      <c r="D114" s="183">
        <f>IF(C114="","",(SUMPRODUCT((Лэндинг!$E$5:$E$300=$B114)*Лэндинг!$F$5:$F$300*Лэндинг!$G$5:$G$300)+SUMPRODUCT((Закрытые!$E$5:$E$300=$B114)*(LEFT(Закрытые!$B$5:$B$300,2)="L-")*Закрытые!$F$5:$F$300*Закрытые!$G$5:$G$300))/C114)</f>
        <v/>
      </c>
      <c r="E114" s="247">
        <f>IF(C114="","",SUMIFS(Лэндинг!$H$5:$H$300,Лэндинг!$E$5:$E$300,$B114)+SUMIFS(Закрытые!$H$5:$H$300,Закрытые!$E$5:$E$300,$B114,Закрытые!$B$5:$B$300,"L-*"))</f>
        <v/>
      </c>
      <c r="F114" s="246">
        <f>IF(SUMIFS(Лэндинг!$I$5:$I$300,Лэндинг!$E$5:$E$300,$B114)+SUMIFS(Закрытые!$I$5:$I$300,Закрытые!$E$5:$E$300,$B114,Закрытые!$B$5:$B$300,"L-*")=0,"",SUMIFS(Лэндинг!$I$5:$I$300,Лэндинг!$E$5:$E$300,$B114)+SUMIFS(Закрытые!$I$5:$I$300,Закрытые!$E$5:$E$300,$B114,Закрытые!$B$5:$B$300,"L-*"))</f>
        <v/>
      </c>
      <c r="G114" s="183">
        <f>IF(F114="","",(SUMPRODUCT((Лэндинг!$E$5:$E$300=$B114)*Лэндинг!$I$5:$I$300*Лэндинг!$J$5:$J$300)+SUMPRODUCT((Закрытые!$E$5:$E$300=$B114)*(LEFT(Закрытые!$B$5:$B$300,2)="L-")*Закрытые!$I$5:$I$300*Закрытые!$J$5:$J$300))/F114)</f>
        <v/>
      </c>
      <c r="H114" s="247">
        <f>IF(F114="","",SUMIFS(Лэндинг!$K$5:$K$300,Лэндинг!$E$5:$E$300,$B114)+SUMIFS(Закрытые!$K$5:$K$300,Закрытые!$E$5:$E$300,$B114,Закрытые!$B$5:$B$300,"L-*"))</f>
        <v/>
      </c>
      <c r="I114" s="246">
        <f>IF($B114="","",IF(COUNTIFS(Лэндинг!$E$5:$E$300,$B114)+COUNTIFS(Закрытые!$E$5:$E$300,$B114,Закрытые!$B$5:$B$300,"L-*")=0,"",ROUND(SUMIFS(Лэндинг!$L$5:$L$300,Лэндинг!$E$5:$E$300,$B114)+SUMIFS(Закрытые!$L$5:$L$300,Закрытые!$E$5:$E$300,$B114,Закрытые!$B$5:$B$300,"L-*"),8)))</f>
        <v/>
      </c>
      <c r="J114" s="247">
        <f>IF($B114="","",IF(COUNTIFS(Лэндинг!$E$5:$E$300,$B114)+COUNTIFS(Закрытые!$E$5:$E$300,$B114,Закрытые!$B$5:$B$300,"L-*")=0,"",ROUND(SUMIFS(Лэндинг!$M$5:$M$300,Лэндинг!$E$5:$E$300,$B114)+SUMIFS(Закрытые!$M$5:$M$300,Закрытые!$E$5:$E$300,$B114,Закрытые!$B$5:$B$300,"L-*"),8)))</f>
        <v/>
      </c>
      <c r="K114" s="246">
        <f>IF($B114="","",ROUND(SUMIFS(Закрытые!$N$5:$N$300,Закрытые!$E$5:$E$300,$B114,Закрытые!$B$5:$B$300,"L-*"),8))</f>
        <v/>
      </c>
      <c r="L114" s="183">
        <f>IF(K114="","",IF(SUMPRODUCT((Закрытые!$E$5:$E$300=$B114)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114/SUMPRODUCT((Закрытые!$E$5:$E$300=$B114)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4" s="183">
        <f>IF(OR(ROUND(N(C114)-N(F114),8)=0,1-N(Ввод!$E$17)/100&lt;=0),"",IF(N(C114)&gt;N(F114),(N(E114)-N(H114))/((N(C114)-N(F114))*(1-N(Ввод!$E$17)/100)),(N(H114)-N(E114))/((N(F114)-N(C114))*(1+N(Ввод!$E$17)/100))))</f>
        <v/>
      </c>
    </row>
    <row r="115" ht="22" customHeight="1">
      <c r="B115" s="315" t="n"/>
      <c r="C115" s="240">
        <f>IF(SUMIFS(Лэндинг!$F$5:$F$300,Лэндинг!$E$5:$E$300,$B115)+SUMIFS(Закрытые!$F$5:$F$300,Закрытые!$E$5:$E$300,$B115,Закрытые!$B$5:$B$300,"L-*")=0,"",SUMIFS(Лэндинг!$F$5:$F$300,Лэндинг!$E$5:$E$300,$B115)+SUMIFS(Закрытые!$F$5:$F$300,Закрытые!$E$5:$E$300,$B115,Закрытые!$B$5:$B$300,"L-*"))</f>
        <v/>
      </c>
      <c r="D115" s="177">
        <f>IF(C115="","",(SUMPRODUCT((Лэндинг!$E$5:$E$300=$B115)*Лэндинг!$F$5:$F$300*Лэндинг!$G$5:$G$300)+SUMPRODUCT((Закрытые!$E$5:$E$300=$B115)*(LEFT(Закрытые!$B$5:$B$300,2)="L-")*Закрытые!$F$5:$F$300*Закрытые!$G$5:$G$300))/C115)</f>
        <v/>
      </c>
      <c r="E115" s="241">
        <f>IF(C115="","",SUMIFS(Лэндинг!$H$5:$H$300,Лэндинг!$E$5:$E$300,$B115)+SUMIFS(Закрытые!$H$5:$H$300,Закрытые!$E$5:$E$300,$B115,Закрытые!$B$5:$B$300,"L-*"))</f>
        <v/>
      </c>
      <c r="F115" s="240">
        <f>IF(SUMIFS(Лэндинг!$I$5:$I$300,Лэндинг!$E$5:$E$300,$B115)+SUMIFS(Закрытые!$I$5:$I$300,Закрытые!$E$5:$E$300,$B115,Закрытые!$B$5:$B$300,"L-*")=0,"",SUMIFS(Лэндинг!$I$5:$I$300,Лэндинг!$E$5:$E$300,$B115)+SUMIFS(Закрытые!$I$5:$I$300,Закрытые!$E$5:$E$300,$B115,Закрытые!$B$5:$B$300,"L-*"))</f>
        <v/>
      </c>
      <c r="G115" s="177">
        <f>IF(F115="","",(SUMPRODUCT((Лэндинг!$E$5:$E$300=$B115)*Лэндинг!$I$5:$I$300*Лэндинг!$J$5:$J$300)+SUMPRODUCT((Закрытые!$E$5:$E$300=$B115)*(LEFT(Закрытые!$B$5:$B$300,2)="L-")*Закрытые!$I$5:$I$300*Закрытые!$J$5:$J$300))/F115)</f>
        <v/>
      </c>
      <c r="H115" s="241">
        <f>IF(F115="","",SUMIFS(Лэндинг!$K$5:$K$300,Лэндинг!$E$5:$E$300,$B115)+SUMIFS(Закрытые!$K$5:$K$300,Закрытые!$E$5:$E$300,$B115,Закрытые!$B$5:$B$300,"L-*"))</f>
        <v/>
      </c>
      <c r="I115" s="240">
        <f>IF($B115="","",IF(COUNTIFS(Лэндинг!$E$5:$E$300,$B115)+COUNTIFS(Закрытые!$E$5:$E$300,$B115,Закрытые!$B$5:$B$300,"L-*")=0,"",ROUND(SUMIFS(Лэндинг!$L$5:$L$300,Лэндинг!$E$5:$E$300,$B115)+SUMIFS(Закрытые!$L$5:$L$300,Закрытые!$E$5:$E$300,$B115,Закрытые!$B$5:$B$300,"L-*"),8)))</f>
        <v/>
      </c>
      <c r="J115" s="241">
        <f>IF($B115="","",IF(COUNTIFS(Лэндинг!$E$5:$E$300,$B115)+COUNTIFS(Закрытые!$E$5:$E$300,$B115,Закрытые!$B$5:$B$300,"L-*")=0,"",ROUND(SUMIFS(Лэндинг!$M$5:$M$300,Лэндинг!$E$5:$E$300,$B115)+SUMIFS(Закрытые!$M$5:$M$300,Закрытые!$E$5:$E$300,$B115,Закрытые!$B$5:$B$300,"L-*"),8)))</f>
        <v/>
      </c>
      <c r="K115" s="240">
        <f>IF($B115="","",ROUND(SUMIFS(Закрытые!$N$5:$N$300,Закрытые!$E$5:$E$300,$B115,Закрытые!$B$5:$B$300,"L-*"),8))</f>
        <v/>
      </c>
      <c r="L115" s="177">
        <f>IF(K115="","",IF(SUMPRODUCT((Закрытые!$E$5:$E$300=$B115)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115/SUMPRODUCT((Закрытые!$E$5:$E$300=$B115)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5" s="177">
        <f>IF(OR(ROUND(N(C115)-N(F115),8)=0,1-N(Ввод!$E$17)/100&lt;=0),"",IF(N(C115)&gt;N(F115),(N(E115)-N(H115))/((N(C115)-N(F115))*(1-N(Ввод!$E$17)/100)),(N(H115)-N(E115))/((N(F115)-N(C115))*(1+N(Ввод!$E$17)/100))))</f>
        <v/>
      </c>
    </row>
    <row r="116" ht="22" customHeight="1">
      <c r="B116" s="320" t="n"/>
      <c r="C116" s="246">
        <f>IF(SUMIFS(Лэндинг!$F$5:$F$300,Лэндинг!$E$5:$E$300,$B116)+SUMIFS(Закрытые!$F$5:$F$300,Закрытые!$E$5:$E$300,$B116,Закрытые!$B$5:$B$300,"L-*")=0,"",SUMIFS(Лэндинг!$F$5:$F$300,Лэндинг!$E$5:$E$300,$B116)+SUMIFS(Закрытые!$F$5:$F$300,Закрытые!$E$5:$E$300,$B116,Закрытые!$B$5:$B$300,"L-*"))</f>
        <v/>
      </c>
      <c r="D116" s="183">
        <f>IF(C116="","",(SUMPRODUCT((Лэндинг!$E$5:$E$300=$B116)*Лэндинг!$F$5:$F$300*Лэндинг!$G$5:$G$300)+SUMPRODUCT((Закрытые!$E$5:$E$300=$B116)*(LEFT(Закрытые!$B$5:$B$300,2)="L-")*Закрытые!$F$5:$F$300*Закрытые!$G$5:$G$300))/C116)</f>
        <v/>
      </c>
      <c r="E116" s="247">
        <f>IF(C116="","",SUMIFS(Лэндинг!$H$5:$H$300,Лэндинг!$E$5:$E$300,$B116)+SUMIFS(Закрытые!$H$5:$H$300,Закрытые!$E$5:$E$300,$B116,Закрытые!$B$5:$B$300,"L-*"))</f>
        <v/>
      </c>
      <c r="F116" s="246">
        <f>IF(SUMIFS(Лэндинг!$I$5:$I$300,Лэндинг!$E$5:$E$300,$B116)+SUMIFS(Закрытые!$I$5:$I$300,Закрытые!$E$5:$E$300,$B116,Закрытые!$B$5:$B$300,"L-*")=0,"",SUMIFS(Лэндинг!$I$5:$I$300,Лэндинг!$E$5:$E$300,$B116)+SUMIFS(Закрытые!$I$5:$I$300,Закрытые!$E$5:$E$300,$B116,Закрытые!$B$5:$B$300,"L-*"))</f>
        <v/>
      </c>
      <c r="G116" s="183">
        <f>IF(F116="","",(SUMPRODUCT((Лэндинг!$E$5:$E$300=$B116)*Лэндинг!$I$5:$I$300*Лэндинг!$J$5:$J$300)+SUMPRODUCT((Закрытые!$E$5:$E$300=$B116)*(LEFT(Закрытые!$B$5:$B$300,2)="L-")*Закрытые!$I$5:$I$300*Закрытые!$J$5:$J$300))/F116)</f>
        <v/>
      </c>
      <c r="H116" s="247">
        <f>IF(F116="","",SUMIFS(Лэндинг!$K$5:$K$300,Лэндинг!$E$5:$E$300,$B116)+SUMIFS(Закрытые!$K$5:$K$300,Закрытые!$E$5:$E$300,$B116,Закрытые!$B$5:$B$300,"L-*"))</f>
        <v/>
      </c>
      <c r="I116" s="246">
        <f>IF($B116="","",IF(COUNTIFS(Лэндинг!$E$5:$E$300,$B116)+COUNTIFS(Закрытые!$E$5:$E$300,$B116,Закрытые!$B$5:$B$300,"L-*")=0,"",ROUND(SUMIFS(Лэндинг!$L$5:$L$300,Лэндинг!$E$5:$E$300,$B116)+SUMIFS(Закрытые!$L$5:$L$300,Закрытые!$E$5:$E$300,$B116,Закрытые!$B$5:$B$300,"L-*"),8)))</f>
        <v/>
      </c>
      <c r="J116" s="247">
        <f>IF($B116="","",IF(COUNTIFS(Лэндинг!$E$5:$E$300,$B116)+COUNTIFS(Закрытые!$E$5:$E$300,$B116,Закрытые!$B$5:$B$300,"L-*")=0,"",ROUND(SUMIFS(Лэндинг!$M$5:$M$300,Лэндинг!$E$5:$E$300,$B116)+SUMIFS(Закрытые!$M$5:$M$300,Закрытые!$E$5:$E$300,$B116,Закрытые!$B$5:$B$300,"L-*"),8)))</f>
        <v/>
      </c>
      <c r="K116" s="246">
        <f>IF($B116="","",ROUND(SUMIFS(Закрытые!$N$5:$N$300,Закрытые!$E$5:$E$300,$B116,Закрытые!$B$5:$B$300,"L-*"),8))</f>
        <v/>
      </c>
      <c r="L116" s="183">
        <f>IF(K116="","",IF(SUMPRODUCT((Закрытые!$E$5:$E$300=$B116)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116/SUMPRODUCT((Закрытые!$E$5:$E$300=$B116)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6" s="183">
        <f>IF(OR(ROUND(N(C116)-N(F116),8)=0,1-N(Ввод!$E$17)/100&lt;=0),"",IF(N(C116)&gt;N(F116),(N(E116)-N(H116))/((N(C116)-N(F116))*(1-N(Ввод!$E$17)/100)),(N(H116)-N(E116))/((N(F116)-N(C116))*(1+N(Ввод!$E$17)/100))))</f>
        <v/>
      </c>
    </row>
    <row r="117" ht="22" customHeight="1">
      <c r="B117" s="315" t="n"/>
      <c r="C117" s="240">
        <f>IF(SUMIFS(Лэндинг!$F$5:$F$300,Лэндинг!$E$5:$E$300,$B117)+SUMIFS(Закрытые!$F$5:$F$300,Закрытые!$E$5:$E$300,$B117,Закрытые!$B$5:$B$300,"L-*")=0,"",SUMIFS(Лэндинг!$F$5:$F$300,Лэндинг!$E$5:$E$300,$B117)+SUMIFS(Закрытые!$F$5:$F$300,Закрытые!$E$5:$E$300,$B117,Закрытые!$B$5:$B$300,"L-*"))</f>
        <v/>
      </c>
      <c r="D117" s="177">
        <f>IF(C117="","",(SUMPRODUCT((Лэндинг!$E$5:$E$300=$B117)*Лэндинг!$F$5:$F$300*Лэндинг!$G$5:$G$300)+SUMPRODUCT((Закрытые!$E$5:$E$300=$B117)*(LEFT(Закрытые!$B$5:$B$300,2)="L-")*Закрытые!$F$5:$F$300*Закрытые!$G$5:$G$300))/C117)</f>
        <v/>
      </c>
      <c r="E117" s="241">
        <f>IF(C117="","",SUMIFS(Лэндинг!$H$5:$H$300,Лэндинг!$E$5:$E$300,$B117)+SUMIFS(Закрытые!$H$5:$H$300,Закрытые!$E$5:$E$300,$B117,Закрытые!$B$5:$B$300,"L-*"))</f>
        <v/>
      </c>
      <c r="F117" s="240">
        <f>IF(SUMIFS(Лэндинг!$I$5:$I$300,Лэндинг!$E$5:$E$300,$B117)+SUMIFS(Закрытые!$I$5:$I$300,Закрытые!$E$5:$E$300,$B117,Закрытые!$B$5:$B$300,"L-*")=0,"",SUMIFS(Лэндинг!$I$5:$I$300,Лэндинг!$E$5:$E$300,$B117)+SUMIFS(Закрытые!$I$5:$I$300,Закрытые!$E$5:$E$300,$B117,Закрытые!$B$5:$B$300,"L-*"))</f>
        <v/>
      </c>
      <c r="G117" s="177">
        <f>IF(F117="","",(SUMPRODUCT((Лэндинг!$E$5:$E$300=$B117)*Лэндинг!$I$5:$I$300*Лэндинг!$J$5:$J$300)+SUMPRODUCT((Закрытые!$E$5:$E$300=$B117)*(LEFT(Закрытые!$B$5:$B$300,2)="L-")*Закрытые!$I$5:$I$300*Закрытые!$J$5:$J$300))/F117)</f>
        <v/>
      </c>
      <c r="H117" s="241">
        <f>IF(F117="","",SUMIFS(Лэндинг!$K$5:$K$300,Лэндинг!$E$5:$E$300,$B117)+SUMIFS(Закрытые!$K$5:$K$300,Закрытые!$E$5:$E$300,$B117,Закрытые!$B$5:$B$300,"L-*"))</f>
        <v/>
      </c>
      <c r="I117" s="240">
        <f>IF($B117="","",IF(COUNTIFS(Лэндинг!$E$5:$E$300,$B117)+COUNTIFS(Закрытые!$E$5:$E$300,$B117,Закрытые!$B$5:$B$300,"L-*")=0,"",ROUND(SUMIFS(Лэндинг!$L$5:$L$300,Лэндинг!$E$5:$E$300,$B117)+SUMIFS(Закрытые!$L$5:$L$300,Закрытые!$E$5:$E$300,$B117,Закрытые!$B$5:$B$300,"L-*"),8)))</f>
        <v/>
      </c>
      <c r="J117" s="241">
        <f>IF($B117="","",IF(COUNTIFS(Лэндинг!$E$5:$E$300,$B117)+COUNTIFS(Закрытые!$E$5:$E$300,$B117,Закрытые!$B$5:$B$300,"L-*")=0,"",ROUND(SUMIFS(Лэндинг!$M$5:$M$300,Лэндинг!$E$5:$E$300,$B117)+SUMIFS(Закрытые!$M$5:$M$300,Закрытые!$E$5:$E$300,$B117,Закрытые!$B$5:$B$300,"L-*"),8)))</f>
        <v/>
      </c>
      <c r="K117" s="240">
        <f>IF($B117="","",ROUND(SUMIFS(Закрытые!$N$5:$N$300,Закрытые!$E$5:$E$300,$B117,Закрытые!$B$5:$B$300,"L-*"),8))</f>
        <v/>
      </c>
      <c r="L117" s="177">
        <f>IF(K117="","",IF(SUMPRODUCT((Закрытые!$E$5:$E$300=$B117)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117/SUMPRODUCT((Закрытые!$E$5:$E$300=$B117)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7" s="177">
        <f>IF(OR(ROUND(N(C117)-N(F117),8)=0,1-N(Ввод!$E$17)/100&lt;=0),"",IF(N(C117)&gt;N(F117),(N(E117)-N(H117))/((N(C117)-N(F117))*(1-N(Ввод!$E$17)/100)),(N(H117)-N(E117))/((N(F117)-N(C117))*(1+N(Ввод!$E$17)/100))))</f>
        <v/>
      </c>
    </row>
    <row r="118" ht="22" customHeight="1">
      <c r="B118" s="320" t="n"/>
      <c r="C118" s="246">
        <f>IF(SUMIFS(Лэндинг!$F$5:$F$300,Лэндинг!$E$5:$E$300,$B118)+SUMIFS(Закрытые!$F$5:$F$300,Закрытые!$E$5:$E$300,$B118,Закрытые!$B$5:$B$300,"L-*")=0,"",SUMIFS(Лэндинг!$F$5:$F$300,Лэндинг!$E$5:$E$300,$B118)+SUMIFS(Закрытые!$F$5:$F$300,Закрытые!$E$5:$E$300,$B118,Закрытые!$B$5:$B$300,"L-*"))</f>
        <v/>
      </c>
      <c r="D118" s="183">
        <f>IF(C118="","",(SUMPRODUCT((Лэндинг!$E$5:$E$300=$B118)*Лэндинг!$F$5:$F$300*Лэндинг!$G$5:$G$300)+SUMPRODUCT((Закрытые!$E$5:$E$300=$B118)*(LEFT(Закрытые!$B$5:$B$300,2)="L-")*Закрытые!$F$5:$F$300*Закрытые!$G$5:$G$300))/C118)</f>
        <v/>
      </c>
      <c r="E118" s="247">
        <f>IF(C118="","",SUMIFS(Лэндинг!$H$5:$H$300,Лэндинг!$E$5:$E$300,$B118)+SUMIFS(Закрытые!$H$5:$H$300,Закрытые!$E$5:$E$300,$B118,Закрытые!$B$5:$B$300,"L-*"))</f>
        <v/>
      </c>
      <c r="F118" s="246">
        <f>IF(SUMIFS(Лэндинг!$I$5:$I$300,Лэндинг!$E$5:$E$300,$B118)+SUMIFS(Закрытые!$I$5:$I$300,Закрытые!$E$5:$E$300,$B118,Закрытые!$B$5:$B$300,"L-*")=0,"",SUMIFS(Лэндинг!$I$5:$I$300,Лэндинг!$E$5:$E$300,$B118)+SUMIFS(Закрытые!$I$5:$I$300,Закрытые!$E$5:$E$300,$B118,Закрытые!$B$5:$B$300,"L-*"))</f>
        <v/>
      </c>
      <c r="G118" s="183">
        <f>IF(F118="","",(SUMPRODUCT((Лэндинг!$E$5:$E$300=$B118)*Лэндинг!$I$5:$I$300*Лэндинг!$J$5:$J$300)+SUMPRODUCT((Закрытые!$E$5:$E$300=$B118)*(LEFT(Закрытые!$B$5:$B$300,2)="L-")*Закрытые!$I$5:$I$300*Закрытые!$J$5:$J$300))/F118)</f>
        <v/>
      </c>
      <c r="H118" s="247">
        <f>IF(F118="","",SUMIFS(Лэндинг!$K$5:$K$300,Лэндинг!$E$5:$E$300,$B118)+SUMIFS(Закрытые!$K$5:$K$300,Закрытые!$E$5:$E$300,$B118,Закрытые!$B$5:$B$300,"L-*"))</f>
        <v/>
      </c>
      <c r="I118" s="246">
        <f>IF($B118="","",IF(COUNTIFS(Лэндинг!$E$5:$E$300,$B118)+COUNTIFS(Закрытые!$E$5:$E$300,$B118,Закрытые!$B$5:$B$300,"L-*")=0,"",ROUND(SUMIFS(Лэндинг!$L$5:$L$300,Лэндинг!$E$5:$E$300,$B118)+SUMIFS(Закрытые!$L$5:$L$300,Закрытые!$E$5:$E$300,$B118,Закрытые!$B$5:$B$300,"L-*"),8)))</f>
        <v/>
      </c>
      <c r="J118" s="247">
        <f>IF($B118="","",IF(COUNTIFS(Лэндинг!$E$5:$E$300,$B118)+COUNTIFS(Закрытые!$E$5:$E$300,$B118,Закрытые!$B$5:$B$300,"L-*")=0,"",ROUND(SUMIFS(Лэндинг!$M$5:$M$300,Лэндинг!$E$5:$E$300,$B118)+SUMIFS(Закрытые!$M$5:$M$300,Закрытые!$E$5:$E$300,$B118,Закрытые!$B$5:$B$300,"L-*"),8)))</f>
        <v/>
      </c>
      <c r="K118" s="246">
        <f>IF($B118="","",ROUND(SUMIFS(Закрытые!$N$5:$N$300,Закрытые!$E$5:$E$300,$B118,Закрытые!$B$5:$B$300,"L-*"),8))</f>
        <v/>
      </c>
      <c r="L118" s="183">
        <f>IF(K118="","",IF(SUMPRODUCT((Закрытые!$E$5:$E$300=$B118)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118/SUMPRODUCT((Закрытые!$E$5:$E$300=$B118)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8" s="183">
        <f>IF(OR(ROUND(N(C118)-N(F118),8)=0,1-N(Ввод!$E$17)/100&lt;=0),"",IF(N(C118)&gt;N(F118),(N(E118)-N(H118))/((N(C118)-N(F118))*(1-N(Ввод!$E$17)/100)),(N(H118)-N(E118))/((N(F118)-N(C118))*(1+N(Ввод!$E$17)/100))))</f>
        <v/>
      </c>
    </row>
    <row r="119" ht="22" customHeight="1">
      <c r="B119" s="315" t="n"/>
      <c r="C119" s="240">
        <f>IF(SUMIFS(Лэндинг!$F$5:$F$300,Лэндинг!$E$5:$E$300,$B119)+SUMIFS(Закрытые!$F$5:$F$300,Закрытые!$E$5:$E$300,$B119,Закрытые!$B$5:$B$300,"L-*")=0,"",SUMIFS(Лэндинг!$F$5:$F$300,Лэндинг!$E$5:$E$300,$B119)+SUMIFS(Закрытые!$F$5:$F$300,Закрытые!$E$5:$E$300,$B119,Закрытые!$B$5:$B$300,"L-*"))</f>
        <v/>
      </c>
      <c r="D119" s="177">
        <f>IF(C119="","",(SUMPRODUCT((Лэндинг!$E$5:$E$300=$B119)*Лэндинг!$F$5:$F$300*Лэндинг!$G$5:$G$300)+SUMPRODUCT((Закрытые!$E$5:$E$300=$B119)*(LEFT(Закрытые!$B$5:$B$300,2)="L-")*Закрытые!$F$5:$F$300*Закрытые!$G$5:$G$300))/C119)</f>
        <v/>
      </c>
      <c r="E119" s="241">
        <f>IF(C119="","",SUMIFS(Лэндинг!$H$5:$H$300,Лэндинг!$E$5:$E$300,$B119)+SUMIFS(Закрытые!$H$5:$H$300,Закрытые!$E$5:$E$300,$B119,Закрытые!$B$5:$B$300,"L-*"))</f>
        <v/>
      </c>
      <c r="F119" s="240">
        <f>IF(SUMIFS(Лэндинг!$I$5:$I$300,Лэндинг!$E$5:$E$300,$B119)+SUMIFS(Закрытые!$I$5:$I$300,Закрытые!$E$5:$E$300,$B119,Закрытые!$B$5:$B$300,"L-*")=0,"",SUMIFS(Лэндинг!$I$5:$I$300,Лэндинг!$E$5:$E$300,$B119)+SUMIFS(Закрытые!$I$5:$I$300,Закрытые!$E$5:$E$300,$B119,Закрытые!$B$5:$B$300,"L-*"))</f>
        <v/>
      </c>
      <c r="G119" s="177">
        <f>IF(F119="","",(SUMPRODUCT((Лэндинг!$E$5:$E$300=$B119)*Лэндинг!$I$5:$I$300*Лэндинг!$J$5:$J$300)+SUMPRODUCT((Закрытые!$E$5:$E$300=$B119)*(LEFT(Закрытые!$B$5:$B$300,2)="L-")*Закрытые!$I$5:$I$300*Закрытые!$J$5:$J$300))/F119)</f>
        <v/>
      </c>
      <c r="H119" s="241">
        <f>IF(F119="","",SUMIFS(Лэндинг!$K$5:$K$300,Лэндинг!$E$5:$E$300,$B119)+SUMIFS(Закрытые!$K$5:$K$300,Закрытые!$E$5:$E$300,$B119,Закрытые!$B$5:$B$300,"L-*"))</f>
        <v/>
      </c>
      <c r="I119" s="240">
        <f>IF($B119="","",IF(COUNTIFS(Лэндинг!$E$5:$E$300,$B119)+COUNTIFS(Закрытые!$E$5:$E$300,$B119,Закрытые!$B$5:$B$300,"L-*")=0,"",ROUND(SUMIFS(Лэндинг!$L$5:$L$300,Лэндинг!$E$5:$E$300,$B119)+SUMIFS(Закрытые!$L$5:$L$300,Закрытые!$E$5:$E$300,$B119,Закрытые!$B$5:$B$300,"L-*"),8)))</f>
        <v/>
      </c>
      <c r="J119" s="241">
        <f>IF($B119="","",IF(COUNTIFS(Лэндинг!$E$5:$E$300,$B119)+COUNTIFS(Закрытые!$E$5:$E$300,$B119,Закрытые!$B$5:$B$300,"L-*")=0,"",ROUND(SUMIFS(Лэндинг!$M$5:$M$300,Лэндинг!$E$5:$E$300,$B119)+SUMIFS(Закрытые!$M$5:$M$300,Закрытые!$E$5:$E$300,$B119,Закрытые!$B$5:$B$300,"L-*"),8)))</f>
        <v/>
      </c>
      <c r="K119" s="240">
        <f>IF($B119="","",ROUND(SUMIFS(Закрытые!$N$5:$N$300,Закрытые!$E$5:$E$300,$B119,Закрытые!$B$5:$B$300,"L-*"),8))</f>
        <v/>
      </c>
      <c r="L119" s="177">
        <f>IF(K119="","",IF(SUMPRODUCT((Закрытые!$E$5:$E$300=$B119)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119/SUMPRODUCT((Закрытые!$E$5:$E$300=$B119)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9" s="177">
        <f>IF(OR(ROUND(N(C119)-N(F119),8)=0,1-N(Ввод!$E$17)/100&lt;=0),"",IF(N(C119)&gt;N(F119),(N(E119)-N(H119))/((N(C119)-N(F119))*(1-N(Ввод!$E$17)/100)),(N(H119)-N(E119))/((N(F119)-N(C119))*(1+N(Ввод!$E$17)/100))))</f>
        <v/>
      </c>
    </row>
    <row r="120" ht="22" customHeight="1">
      <c r="B120" s="320" t="n"/>
      <c r="C120" s="246">
        <f>IF(SUMIFS(Лэндинг!$F$5:$F$300,Лэндинг!$E$5:$E$300,$B120)+SUMIFS(Закрытые!$F$5:$F$300,Закрытые!$E$5:$E$300,$B120,Закрытые!$B$5:$B$300,"L-*")=0,"",SUMIFS(Лэндинг!$F$5:$F$300,Лэндинг!$E$5:$E$300,$B120)+SUMIFS(Закрытые!$F$5:$F$300,Закрытые!$E$5:$E$300,$B120,Закрытые!$B$5:$B$300,"L-*"))</f>
        <v/>
      </c>
      <c r="D120" s="183">
        <f>IF(C120="","",(SUMPRODUCT((Лэндинг!$E$5:$E$300=$B120)*Лэндинг!$F$5:$F$300*Лэндинг!$G$5:$G$300)+SUMPRODUCT((Закрытые!$E$5:$E$300=$B120)*(LEFT(Закрытые!$B$5:$B$300,2)="L-")*Закрытые!$F$5:$F$300*Закрытые!$G$5:$G$300))/C120)</f>
        <v/>
      </c>
      <c r="E120" s="247">
        <f>IF(C120="","",SUMIFS(Лэндинг!$H$5:$H$300,Лэндинг!$E$5:$E$300,$B120)+SUMIFS(Закрытые!$H$5:$H$300,Закрытые!$E$5:$E$300,$B120,Закрытые!$B$5:$B$300,"L-*"))</f>
        <v/>
      </c>
      <c r="F120" s="246">
        <f>IF(SUMIFS(Лэндинг!$I$5:$I$300,Лэндинг!$E$5:$E$300,$B120)+SUMIFS(Закрытые!$I$5:$I$300,Закрытые!$E$5:$E$300,$B120,Закрытые!$B$5:$B$300,"L-*")=0,"",SUMIFS(Лэндинг!$I$5:$I$300,Лэндинг!$E$5:$E$300,$B120)+SUMIFS(Закрытые!$I$5:$I$300,Закрытые!$E$5:$E$300,$B120,Закрытые!$B$5:$B$300,"L-*"))</f>
        <v/>
      </c>
      <c r="G120" s="183">
        <f>IF(F120="","",(SUMPRODUCT((Лэндинг!$E$5:$E$300=$B120)*Лэндинг!$I$5:$I$300*Лэндинг!$J$5:$J$300)+SUMPRODUCT((Закрытые!$E$5:$E$300=$B120)*(LEFT(Закрытые!$B$5:$B$300,2)="L-")*Закрытые!$I$5:$I$300*Закрытые!$J$5:$J$300))/F120)</f>
        <v/>
      </c>
      <c r="H120" s="247">
        <f>IF(F120="","",SUMIFS(Лэндинг!$K$5:$K$300,Лэндинг!$E$5:$E$300,$B120)+SUMIFS(Закрытые!$K$5:$K$300,Закрытые!$E$5:$E$300,$B120,Закрытые!$B$5:$B$300,"L-*"))</f>
        <v/>
      </c>
      <c r="I120" s="246">
        <f>IF($B120="","",IF(COUNTIFS(Лэндинг!$E$5:$E$300,$B120)+COUNTIFS(Закрытые!$E$5:$E$300,$B120,Закрытые!$B$5:$B$300,"L-*")=0,"",ROUND(SUMIFS(Лэндинг!$L$5:$L$300,Лэндинг!$E$5:$E$300,$B120)+SUMIFS(Закрытые!$L$5:$L$300,Закрытые!$E$5:$E$300,$B120,Закрытые!$B$5:$B$300,"L-*"),8)))</f>
        <v/>
      </c>
      <c r="J120" s="247">
        <f>IF($B120="","",IF(COUNTIFS(Лэндинг!$E$5:$E$300,$B120)+COUNTIFS(Закрытые!$E$5:$E$300,$B120,Закрытые!$B$5:$B$300,"L-*")=0,"",ROUND(SUMIFS(Лэндинг!$M$5:$M$300,Лэндинг!$E$5:$E$300,$B120)+SUMIFS(Закрытые!$M$5:$M$300,Закрытые!$E$5:$E$300,$B120,Закрытые!$B$5:$B$300,"L-*"),8)))</f>
        <v/>
      </c>
      <c r="K120" s="246">
        <f>IF($B120="","",ROUND(SUMIFS(Закрытые!$N$5:$N$300,Закрытые!$E$5:$E$300,$B120,Закрытые!$B$5:$B$300,"L-*"),8))</f>
        <v/>
      </c>
      <c r="L120" s="183">
        <f>IF(K120="","",IF(SUMPRODUCT((Закрытые!$E$5:$E$300=$B120)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120/SUMPRODUCT((Закрытые!$E$5:$E$300=$B120)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0" s="183">
        <f>IF(OR(ROUND(N(C120)-N(F120),8)=0,1-N(Ввод!$E$17)/100&lt;=0),"",IF(N(C120)&gt;N(F120),(N(E120)-N(H120))/((N(C120)-N(F120))*(1-N(Ввод!$E$17)/100)),(N(H120)-N(E120))/((N(F120)-N(C120))*(1+N(Ввод!$E$17)/100))))</f>
        <v/>
      </c>
    </row>
    <row r="121" ht="22" customHeight="1">
      <c r="B121" s="315" t="n"/>
      <c r="C121" s="240">
        <f>IF(SUMIFS(Лэндинг!$F$5:$F$300,Лэндинг!$E$5:$E$300,$B121)+SUMIFS(Закрытые!$F$5:$F$300,Закрытые!$E$5:$E$300,$B121,Закрытые!$B$5:$B$300,"L-*")=0,"",SUMIFS(Лэндинг!$F$5:$F$300,Лэндинг!$E$5:$E$300,$B121)+SUMIFS(Закрытые!$F$5:$F$300,Закрытые!$E$5:$E$300,$B121,Закрытые!$B$5:$B$300,"L-*"))</f>
        <v/>
      </c>
      <c r="D121" s="177">
        <f>IF(C121="","",(SUMPRODUCT((Лэндинг!$E$5:$E$300=$B121)*Лэндинг!$F$5:$F$300*Лэндинг!$G$5:$G$300)+SUMPRODUCT((Закрытые!$E$5:$E$300=$B121)*(LEFT(Закрытые!$B$5:$B$300,2)="L-")*Закрытые!$F$5:$F$300*Закрытые!$G$5:$G$300))/C121)</f>
        <v/>
      </c>
      <c r="E121" s="241">
        <f>IF(C121="","",SUMIFS(Лэндинг!$H$5:$H$300,Лэндинг!$E$5:$E$300,$B121)+SUMIFS(Закрытые!$H$5:$H$300,Закрытые!$E$5:$E$300,$B121,Закрытые!$B$5:$B$300,"L-*"))</f>
        <v/>
      </c>
      <c r="F121" s="240">
        <f>IF(SUMIFS(Лэндинг!$I$5:$I$300,Лэндинг!$E$5:$E$300,$B121)+SUMIFS(Закрытые!$I$5:$I$300,Закрытые!$E$5:$E$300,$B121,Закрытые!$B$5:$B$300,"L-*")=0,"",SUMIFS(Лэндинг!$I$5:$I$300,Лэндинг!$E$5:$E$300,$B121)+SUMIFS(Закрытые!$I$5:$I$300,Закрытые!$E$5:$E$300,$B121,Закрытые!$B$5:$B$300,"L-*"))</f>
        <v/>
      </c>
      <c r="G121" s="177">
        <f>IF(F121="","",(SUMPRODUCT((Лэндинг!$E$5:$E$300=$B121)*Лэндинг!$I$5:$I$300*Лэндинг!$J$5:$J$300)+SUMPRODUCT((Закрытые!$E$5:$E$300=$B121)*(LEFT(Закрытые!$B$5:$B$300,2)="L-")*Закрытые!$I$5:$I$300*Закрытые!$J$5:$J$300))/F121)</f>
        <v/>
      </c>
      <c r="H121" s="241">
        <f>IF(F121="","",SUMIFS(Лэндинг!$K$5:$K$300,Лэндинг!$E$5:$E$300,$B121)+SUMIFS(Закрытые!$K$5:$K$300,Закрытые!$E$5:$E$300,$B121,Закрытые!$B$5:$B$300,"L-*"))</f>
        <v/>
      </c>
      <c r="I121" s="240">
        <f>IF($B121="","",IF(COUNTIFS(Лэндинг!$E$5:$E$300,$B121)+COUNTIFS(Закрытые!$E$5:$E$300,$B121,Закрытые!$B$5:$B$300,"L-*")=0,"",ROUND(SUMIFS(Лэндинг!$L$5:$L$300,Лэндинг!$E$5:$E$300,$B121)+SUMIFS(Закрытые!$L$5:$L$300,Закрытые!$E$5:$E$300,$B121,Закрытые!$B$5:$B$300,"L-*"),8)))</f>
        <v/>
      </c>
      <c r="J121" s="241">
        <f>IF($B121="","",IF(COUNTIFS(Лэндинг!$E$5:$E$300,$B121)+COUNTIFS(Закрытые!$E$5:$E$300,$B121,Закрытые!$B$5:$B$300,"L-*")=0,"",ROUND(SUMIFS(Лэндинг!$M$5:$M$300,Лэндинг!$E$5:$E$300,$B121)+SUMIFS(Закрытые!$M$5:$M$300,Закрытые!$E$5:$E$300,$B121,Закрытые!$B$5:$B$300,"L-*"),8)))</f>
        <v/>
      </c>
      <c r="K121" s="240">
        <f>IF($B121="","",ROUND(SUMIFS(Закрытые!$N$5:$N$300,Закрытые!$E$5:$E$300,$B121,Закрытые!$B$5:$B$300,"L-*"),8))</f>
        <v/>
      </c>
      <c r="L121" s="177">
        <f>IF(K121="","",IF(SUMPRODUCT((Закрытые!$E$5:$E$300=$B121)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121/SUMPRODUCT((Закрытые!$E$5:$E$300=$B121)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1" s="177">
        <f>IF(OR(ROUND(N(C121)-N(F121),8)=0,1-N(Ввод!$E$17)/100&lt;=0),"",IF(N(C121)&gt;N(F121),(N(E121)-N(H121))/((N(C121)-N(F121))*(1-N(Ввод!$E$17)/100)),(N(H121)-N(E121))/((N(F121)-N(C121))*(1+N(Ввод!$E$17)/100))))</f>
        <v/>
      </c>
    </row>
    <row r="122" ht="22" customHeight="1">
      <c r="B122" s="320" t="n"/>
      <c r="C122" s="246">
        <f>IF(SUMIFS(Лэндинг!$F$5:$F$300,Лэндинг!$E$5:$E$300,$B122)+SUMIFS(Закрытые!$F$5:$F$300,Закрытые!$E$5:$E$300,$B122,Закрытые!$B$5:$B$300,"L-*")=0,"",SUMIFS(Лэндинг!$F$5:$F$300,Лэндинг!$E$5:$E$300,$B122)+SUMIFS(Закрытые!$F$5:$F$300,Закрытые!$E$5:$E$300,$B122,Закрытые!$B$5:$B$300,"L-*"))</f>
        <v/>
      </c>
      <c r="D122" s="183">
        <f>IF(C122="","",(SUMPRODUCT((Лэндинг!$E$5:$E$300=$B122)*Лэндинг!$F$5:$F$300*Лэндинг!$G$5:$G$300)+SUMPRODUCT((Закрытые!$E$5:$E$300=$B122)*(LEFT(Закрытые!$B$5:$B$300,2)="L-")*Закрытые!$F$5:$F$300*Закрытые!$G$5:$G$300))/C122)</f>
        <v/>
      </c>
      <c r="E122" s="247">
        <f>IF(C122="","",SUMIFS(Лэндинг!$H$5:$H$300,Лэндинг!$E$5:$E$300,$B122)+SUMIFS(Закрытые!$H$5:$H$300,Закрытые!$E$5:$E$300,$B122,Закрытые!$B$5:$B$300,"L-*"))</f>
        <v/>
      </c>
      <c r="F122" s="246">
        <f>IF(SUMIFS(Лэндинг!$I$5:$I$300,Лэндинг!$E$5:$E$300,$B122)+SUMIFS(Закрытые!$I$5:$I$300,Закрытые!$E$5:$E$300,$B122,Закрытые!$B$5:$B$300,"L-*")=0,"",SUMIFS(Лэндинг!$I$5:$I$300,Лэндинг!$E$5:$E$300,$B122)+SUMIFS(Закрытые!$I$5:$I$300,Закрытые!$E$5:$E$300,$B122,Закрытые!$B$5:$B$300,"L-*"))</f>
        <v/>
      </c>
      <c r="G122" s="183">
        <f>IF(F122="","",(SUMPRODUCT((Лэндинг!$E$5:$E$300=$B122)*Лэндинг!$I$5:$I$300*Лэндинг!$J$5:$J$300)+SUMPRODUCT((Закрытые!$E$5:$E$300=$B122)*(LEFT(Закрытые!$B$5:$B$300,2)="L-")*Закрытые!$I$5:$I$300*Закрытые!$J$5:$J$300))/F122)</f>
        <v/>
      </c>
      <c r="H122" s="247">
        <f>IF(F122="","",SUMIFS(Лэндинг!$K$5:$K$300,Лэндинг!$E$5:$E$300,$B122)+SUMIFS(Закрытые!$K$5:$K$300,Закрытые!$E$5:$E$300,$B122,Закрытые!$B$5:$B$300,"L-*"))</f>
        <v/>
      </c>
      <c r="I122" s="246">
        <f>IF($B122="","",IF(COUNTIFS(Лэндинг!$E$5:$E$300,$B122)+COUNTIFS(Закрытые!$E$5:$E$300,$B122,Закрытые!$B$5:$B$300,"L-*")=0,"",ROUND(SUMIFS(Лэндинг!$L$5:$L$300,Лэндинг!$E$5:$E$300,$B122)+SUMIFS(Закрытые!$L$5:$L$300,Закрытые!$E$5:$E$300,$B122,Закрытые!$B$5:$B$300,"L-*"),8)))</f>
        <v/>
      </c>
      <c r="J122" s="247">
        <f>IF($B122="","",IF(COUNTIFS(Лэндинг!$E$5:$E$300,$B122)+COUNTIFS(Закрытые!$E$5:$E$300,$B122,Закрытые!$B$5:$B$300,"L-*")=0,"",ROUND(SUMIFS(Лэндинг!$M$5:$M$300,Лэндинг!$E$5:$E$300,$B122)+SUMIFS(Закрытые!$M$5:$M$300,Закрытые!$E$5:$E$300,$B122,Закрытые!$B$5:$B$300,"L-*"),8)))</f>
        <v/>
      </c>
      <c r="K122" s="246">
        <f>IF($B122="","",ROUND(SUMIFS(Закрытые!$N$5:$N$300,Закрытые!$E$5:$E$300,$B122,Закрытые!$B$5:$B$300,"L-*"),8))</f>
        <v/>
      </c>
      <c r="L122" s="183">
        <f>IF(K122="","",IF(SUMPRODUCT((Закрытые!$E$5:$E$300=$B122)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122/SUMPRODUCT((Закрытые!$E$5:$E$300=$B122)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2" s="183">
        <f>IF(OR(ROUND(N(C122)-N(F122),8)=0,1-N(Ввод!$E$17)/100&lt;=0),"",IF(N(C122)&gt;N(F122),(N(E122)-N(H122))/((N(C122)-N(F122))*(1-N(Ввод!$E$17)/100)),(N(H122)-N(E122))/((N(F122)-N(C122))*(1+N(Ввод!$E$17)/100))))</f>
        <v/>
      </c>
    </row>
    <row r="123" ht="22" customHeight="1">
      <c r="B123" s="315" t="n"/>
      <c r="C123" s="240">
        <f>IF(SUMIFS(Лэндинг!$F$5:$F$300,Лэндинг!$E$5:$E$300,$B123)+SUMIFS(Закрытые!$F$5:$F$300,Закрытые!$E$5:$E$300,$B123,Закрытые!$B$5:$B$300,"L-*")=0,"",SUMIFS(Лэндинг!$F$5:$F$300,Лэндинг!$E$5:$E$300,$B123)+SUMIFS(Закрытые!$F$5:$F$300,Закрытые!$E$5:$E$300,$B123,Закрытые!$B$5:$B$300,"L-*"))</f>
        <v/>
      </c>
      <c r="D123" s="177">
        <f>IF(C123="","",(SUMPRODUCT((Лэндинг!$E$5:$E$300=$B123)*Лэндинг!$F$5:$F$300*Лэндинг!$G$5:$G$300)+SUMPRODUCT((Закрытые!$E$5:$E$300=$B123)*(LEFT(Закрытые!$B$5:$B$300,2)="L-")*Закрытые!$F$5:$F$300*Закрытые!$G$5:$G$300))/C123)</f>
        <v/>
      </c>
      <c r="E123" s="241">
        <f>IF(C123="","",SUMIFS(Лэндинг!$H$5:$H$300,Лэндинг!$E$5:$E$300,$B123)+SUMIFS(Закрытые!$H$5:$H$300,Закрытые!$E$5:$E$300,$B123,Закрытые!$B$5:$B$300,"L-*"))</f>
        <v/>
      </c>
      <c r="F123" s="240">
        <f>IF(SUMIFS(Лэндинг!$I$5:$I$300,Лэндинг!$E$5:$E$300,$B123)+SUMIFS(Закрытые!$I$5:$I$300,Закрытые!$E$5:$E$300,$B123,Закрытые!$B$5:$B$300,"L-*")=0,"",SUMIFS(Лэндинг!$I$5:$I$300,Лэндинг!$E$5:$E$300,$B123)+SUMIFS(Закрытые!$I$5:$I$300,Закрытые!$E$5:$E$300,$B123,Закрытые!$B$5:$B$300,"L-*"))</f>
        <v/>
      </c>
      <c r="G123" s="177">
        <f>IF(F123="","",(SUMPRODUCT((Лэндинг!$E$5:$E$300=$B123)*Лэндинг!$I$5:$I$300*Лэндинг!$J$5:$J$300)+SUMPRODUCT((Закрытые!$E$5:$E$300=$B123)*(LEFT(Закрытые!$B$5:$B$300,2)="L-")*Закрытые!$I$5:$I$300*Закрытые!$J$5:$J$300))/F123)</f>
        <v/>
      </c>
      <c r="H123" s="241">
        <f>IF(F123="","",SUMIFS(Лэндинг!$K$5:$K$300,Лэндинг!$E$5:$E$300,$B123)+SUMIFS(Закрытые!$K$5:$K$300,Закрытые!$E$5:$E$300,$B123,Закрытые!$B$5:$B$300,"L-*"))</f>
        <v/>
      </c>
      <c r="I123" s="240">
        <f>IF($B123="","",IF(COUNTIFS(Лэндинг!$E$5:$E$300,$B123)+COUNTIFS(Закрытые!$E$5:$E$300,$B123,Закрытые!$B$5:$B$300,"L-*")=0,"",ROUND(SUMIFS(Лэндинг!$L$5:$L$300,Лэндинг!$E$5:$E$300,$B123)+SUMIFS(Закрытые!$L$5:$L$300,Закрытые!$E$5:$E$300,$B123,Закрытые!$B$5:$B$300,"L-*"),8)))</f>
        <v/>
      </c>
      <c r="J123" s="241">
        <f>IF($B123="","",IF(COUNTIFS(Лэндинг!$E$5:$E$300,$B123)+COUNTIFS(Закрытые!$E$5:$E$300,$B123,Закрытые!$B$5:$B$300,"L-*")=0,"",ROUND(SUMIFS(Лэндинг!$M$5:$M$300,Лэндинг!$E$5:$E$300,$B123)+SUMIFS(Закрытые!$M$5:$M$300,Закрытые!$E$5:$E$300,$B123,Закрытые!$B$5:$B$300,"L-*"),8)))</f>
        <v/>
      </c>
      <c r="K123" s="240">
        <f>IF($B123="","",ROUND(SUMIFS(Закрытые!$N$5:$N$300,Закрытые!$E$5:$E$300,$B123,Закрытые!$B$5:$B$300,"L-*"),8))</f>
        <v/>
      </c>
      <c r="L123" s="177">
        <f>IF(K123="","",IF(SUMPRODUCT((Закрытые!$E$5:$E$300=$B123)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123/SUMPRODUCT((Закрытые!$E$5:$E$300=$B123)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3" s="177">
        <f>IF(OR(ROUND(N(C123)-N(F123),8)=0,1-N(Ввод!$E$17)/100&lt;=0),"",IF(N(C123)&gt;N(F123),(N(E123)-N(H123))/((N(C123)-N(F123))*(1-N(Ввод!$E$17)/100)),(N(H123)-N(E123))/((N(F123)-N(C123))*(1+N(Ввод!$E$17)/100))))</f>
        <v/>
      </c>
    </row>
    <row r="124" ht="22" customHeight="1">
      <c r="B124" s="320" t="n"/>
      <c r="C124" s="246">
        <f>IF(SUMIFS(Лэндинг!$F$5:$F$300,Лэндинг!$E$5:$E$300,$B124)+SUMIFS(Закрытые!$F$5:$F$300,Закрытые!$E$5:$E$300,$B124,Закрытые!$B$5:$B$300,"L-*")=0,"",SUMIFS(Лэндинг!$F$5:$F$300,Лэндинг!$E$5:$E$300,$B124)+SUMIFS(Закрытые!$F$5:$F$300,Закрытые!$E$5:$E$300,$B124,Закрытые!$B$5:$B$300,"L-*"))</f>
        <v/>
      </c>
      <c r="D124" s="183">
        <f>IF(C124="","",(SUMPRODUCT((Лэндинг!$E$5:$E$300=$B124)*Лэндинг!$F$5:$F$300*Лэндинг!$G$5:$G$300)+SUMPRODUCT((Закрытые!$E$5:$E$300=$B124)*(LEFT(Закрытые!$B$5:$B$300,2)="L-")*Закрытые!$F$5:$F$300*Закрытые!$G$5:$G$300))/C124)</f>
        <v/>
      </c>
      <c r="E124" s="247">
        <f>IF(C124="","",SUMIFS(Лэндинг!$H$5:$H$300,Лэндинг!$E$5:$E$300,$B124)+SUMIFS(Закрытые!$H$5:$H$300,Закрытые!$E$5:$E$300,$B124,Закрытые!$B$5:$B$300,"L-*"))</f>
        <v/>
      </c>
      <c r="F124" s="246">
        <f>IF(SUMIFS(Лэндинг!$I$5:$I$300,Лэндинг!$E$5:$E$300,$B124)+SUMIFS(Закрытые!$I$5:$I$300,Закрытые!$E$5:$E$300,$B124,Закрытые!$B$5:$B$300,"L-*")=0,"",SUMIFS(Лэндинг!$I$5:$I$300,Лэндинг!$E$5:$E$300,$B124)+SUMIFS(Закрытые!$I$5:$I$300,Закрытые!$E$5:$E$300,$B124,Закрытые!$B$5:$B$300,"L-*"))</f>
        <v/>
      </c>
      <c r="G124" s="183">
        <f>IF(F124="","",(SUMPRODUCT((Лэндинг!$E$5:$E$300=$B124)*Лэндинг!$I$5:$I$300*Лэндинг!$J$5:$J$300)+SUMPRODUCT((Закрытые!$E$5:$E$300=$B124)*(LEFT(Закрытые!$B$5:$B$300,2)="L-")*Закрытые!$I$5:$I$300*Закрытые!$J$5:$J$300))/F124)</f>
        <v/>
      </c>
      <c r="H124" s="247">
        <f>IF(F124="","",SUMIFS(Лэндинг!$K$5:$K$300,Лэндинг!$E$5:$E$300,$B124)+SUMIFS(Закрытые!$K$5:$K$300,Закрытые!$E$5:$E$300,$B124,Закрытые!$B$5:$B$300,"L-*"))</f>
        <v/>
      </c>
      <c r="I124" s="246">
        <f>IF($B124="","",IF(COUNTIFS(Лэндинг!$E$5:$E$300,$B124)+COUNTIFS(Закрытые!$E$5:$E$300,$B124,Закрытые!$B$5:$B$300,"L-*")=0,"",ROUND(SUMIFS(Лэндинг!$L$5:$L$300,Лэндинг!$E$5:$E$300,$B124)+SUMIFS(Закрытые!$L$5:$L$300,Закрытые!$E$5:$E$300,$B124,Закрытые!$B$5:$B$300,"L-*"),8)))</f>
        <v/>
      </c>
      <c r="J124" s="247">
        <f>IF($B124="","",IF(COUNTIFS(Лэндинг!$E$5:$E$300,$B124)+COUNTIFS(Закрытые!$E$5:$E$300,$B124,Закрытые!$B$5:$B$300,"L-*")=0,"",ROUND(SUMIFS(Лэндинг!$M$5:$M$300,Лэндинг!$E$5:$E$300,$B124)+SUMIFS(Закрытые!$M$5:$M$300,Закрытые!$E$5:$E$300,$B124,Закрытые!$B$5:$B$300,"L-*"),8)))</f>
        <v/>
      </c>
      <c r="K124" s="246">
        <f>IF($B124="","",ROUND(SUMIFS(Закрытые!$N$5:$N$300,Закрытые!$E$5:$E$300,$B124,Закрытые!$B$5:$B$300,"L-*"),8))</f>
        <v/>
      </c>
      <c r="L124" s="183">
        <f>IF(K124="","",IF(SUMPRODUCT((Закрытые!$E$5:$E$300=$B124)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124/SUMPRODUCT((Закрытые!$E$5:$E$300=$B124)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4" s="183">
        <f>IF(OR(ROUND(N(C124)-N(F124),8)=0,1-N(Ввод!$E$17)/100&lt;=0),"",IF(N(C124)&gt;N(F124),(N(E124)-N(H124))/((N(C124)-N(F124))*(1-N(Ввод!$E$17)/100)),(N(H124)-N(E124))/((N(F124)-N(C124))*(1+N(Ввод!$E$17)/100))))</f>
        <v/>
      </c>
    </row>
    <row r="125" ht="22" customHeight="1">
      <c r="B125" s="315" t="n"/>
      <c r="C125" s="240">
        <f>IF(SUMIFS(Лэндинг!$F$5:$F$300,Лэндинг!$E$5:$E$300,$B125)+SUMIFS(Закрытые!$F$5:$F$300,Закрытые!$E$5:$E$300,$B125,Закрытые!$B$5:$B$300,"L-*")=0,"",SUMIFS(Лэндинг!$F$5:$F$300,Лэндинг!$E$5:$E$300,$B125)+SUMIFS(Закрытые!$F$5:$F$300,Закрытые!$E$5:$E$300,$B125,Закрытые!$B$5:$B$300,"L-*"))</f>
        <v/>
      </c>
      <c r="D125" s="177">
        <f>IF(C125="","",(SUMPRODUCT((Лэндинг!$E$5:$E$300=$B125)*Лэндинг!$F$5:$F$300*Лэндинг!$G$5:$G$300)+SUMPRODUCT((Закрытые!$E$5:$E$300=$B125)*(LEFT(Закрытые!$B$5:$B$300,2)="L-")*Закрытые!$F$5:$F$300*Закрытые!$G$5:$G$300))/C125)</f>
        <v/>
      </c>
      <c r="E125" s="241">
        <f>IF(C125="","",SUMIFS(Лэндинг!$H$5:$H$300,Лэндинг!$E$5:$E$300,$B125)+SUMIFS(Закрытые!$H$5:$H$300,Закрытые!$E$5:$E$300,$B125,Закрытые!$B$5:$B$300,"L-*"))</f>
        <v/>
      </c>
      <c r="F125" s="240">
        <f>IF(SUMIFS(Лэндинг!$I$5:$I$300,Лэндинг!$E$5:$E$300,$B125)+SUMIFS(Закрытые!$I$5:$I$300,Закрытые!$E$5:$E$300,$B125,Закрытые!$B$5:$B$300,"L-*")=0,"",SUMIFS(Лэндинг!$I$5:$I$300,Лэндинг!$E$5:$E$300,$B125)+SUMIFS(Закрытые!$I$5:$I$300,Закрытые!$E$5:$E$300,$B125,Закрытые!$B$5:$B$300,"L-*"))</f>
        <v/>
      </c>
      <c r="G125" s="177">
        <f>IF(F125="","",(SUMPRODUCT((Лэндинг!$E$5:$E$300=$B125)*Лэндинг!$I$5:$I$300*Лэндинг!$J$5:$J$300)+SUMPRODUCT((Закрытые!$E$5:$E$300=$B125)*(LEFT(Закрытые!$B$5:$B$300,2)="L-")*Закрытые!$I$5:$I$300*Закрытые!$J$5:$J$300))/F125)</f>
        <v/>
      </c>
      <c r="H125" s="241">
        <f>IF(F125="","",SUMIFS(Лэндинг!$K$5:$K$300,Лэндинг!$E$5:$E$300,$B125)+SUMIFS(Закрытые!$K$5:$K$300,Закрытые!$E$5:$E$300,$B125,Закрытые!$B$5:$B$300,"L-*"))</f>
        <v/>
      </c>
      <c r="I125" s="240">
        <f>IF($B125="","",IF(COUNTIFS(Лэндинг!$E$5:$E$300,$B125)+COUNTIFS(Закрытые!$E$5:$E$300,$B125,Закрытые!$B$5:$B$300,"L-*")=0,"",ROUND(SUMIFS(Лэндинг!$L$5:$L$300,Лэндинг!$E$5:$E$300,$B125)+SUMIFS(Закрытые!$L$5:$L$300,Закрытые!$E$5:$E$300,$B125,Закрытые!$B$5:$B$300,"L-*"),8)))</f>
        <v/>
      </c>
      <c r="J125" s="241">
        <f>IF($B125="","",IF(COUNTIFS(Лэндинг!$E$5:$E$300,$B125)+COUNTIFS(Закрытые!$E$5:$E$300,$B125,Закрытые!$B$5:$B$300,"L-*")=0,"",ROUND(SUMIFS(Лэндинг!$M$5:$M$300,Лэндинг!$E$5:$E$300,$B125)+SUMIFS(Закрытые!$M$5:$M$300,Закрытые!$E$5:$E$300,$B125,Закрытые!$B$5:$B$300,"L-*"),8)))</f>
        <v/>
      </c>
      <c r="K125" s="240">
        <f>IF($B125="","",ROUND(SUMIFS(Закрытые!$N$5:$N$300,Закрытые!$E$5:$E$300,$B125,Закрытые!$B$5:$B$300,"L-*"),8))</f>
        <v/>
      </c>
      <c r="L125" s="177">
        <f>IF(K125="","",IF(SUMPRODUCT((Закрытые!$E$5:$E$300=$B125)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125/SUMPRODUCT((Закрытые!$E$5:$E$300=$B125)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5" s="177">
        <f>IF(OR(ROUND(N(C125)-N(F125),8)=0,1-N(Ввод!$E$17)/100&lt;=0),"",IF(N(C125)&gt;N(F125),(N(E125)-N(H125))/((N(C125)-N(F125))*(1-N(Ввод!$E$17)/100)),(N(H125)-N(E125))/((N(F125)-N(C125))*(1+N(Ввод!$E$17)/100))))</f>
        <v/>
      </c>
    </row>
    <row r="126" ht="22" customHeight="1">
      <c r="B126" s="320" t="n"/>
      <c r="C126" s="246">
        <f>IF(SUMIFS(Лэндинг!$F$5:$F$300,Лэндинг!$E$5:$E$300,$B126)+SUMIFS(Закрытые!$F$5:$F$300,Закрытые!$E$5:$E$300,$B126,Закрытые!$B$5:$B$300,"L-*")=0,"",SUMIFS(Лэндинг!$F$5:$F$300,Лэндинг!$E$5:$E$300,$B126)+SUMIFS(Закрытые!$F$5:$F$300,Закрытые!$E$5:$E$300,$B126,Закрытые!$B$5:$B$300,"L-*"))</f>
        <v/>
      </c>
      <c r="D126" s="183">
        <f>IF(C126="","",(SUMPRODUCT((Лэндинг!$E$5:$E$300=$B126)*Лэндинг!$F$5:$F$300*Лэндинг!$G$5:$G$300)+SUMPRODUCT((Закрытые!$E$5:$E$300=$B126)*(LEFT(Закрытые!$B$5:$B$300,2)="L-")*Закрытые!$F$5:$F$300*Закрытые!$G$5:$G$300))/C126)</f>
        <v/>
      </c>
      <c r="E126" s="247">
        <f>IF(C126="","",SUMIFS(Лэндинг!$H$5:$H$300,Лэндинг!$E$5:$E$300,$B126)+SUMIFS(Закрытые!$H$5:$H$300,Закрытые!$E$5:$E$300,$B126,Закрытые!$B$5:$B$300,"L-*"))</f>
        <v/>
      </c>
      <c r="F126" s="246">
        <f>IF(SUMIFS(Лэндинг!$I$5:$I$300,Лэндинг!$E$5:$E$300,$B126)+SUMIFS(Закрытые!$I$5:$I$300,Закрытые!$E$5:$E$300,$B126,Закрытые!$B$5:$B$300,"L-*")=0,"",SUMIFS(Лэндинг!$I$5:$I$300,Лэндинг!$E$5:$E$300,$B126)+SUMIFS(Закрытые!$I$5:$I$300,Закрытые!$E$5:$E$300,$B126,Закрытые!$B$5:$B$300,"L-*"))</f>
        <v/>
      </c>
      <c r="G126" s="183">
        <f>IF(F126="","",(SUMPRODUCT((Лэндинг!$E$5:$E$300=$B126)*Лэндинг!$I$5:$I$300*Лэндинг!$J$5:$J$300)+SUMPRODUCT((Закрытые!$E$5:$E$300=$B126)*(LEFT(Закрытые!$B$5:$B$300,2)="L-")*Закрытые!$I$5:$I$300*Закрытые!$J$5:$J$300))/F126)</f>
        <v/>
      </c>
      <c r="H126" s="247">
        <f>IF(F126="","",SUMIFS(Лэндинг!$K$5:$K$300,Лэндинг!$E$5:$E$300,$B126)+SUMIFS(Закрытые!$K$5:$K$300,Закрытые!$E$5:$E$300,$B126,Закрытые!$B$5:$B$300,"L-*"))</f>
        <v/>
      </c>
      <c r="I126" s="246">
        <f>IF($B126="","",IF(COUNTIFS(Лэндинг!$E$5:$E$300,$B126)+COUNTIFS(Закрытые!$E$5:$E$300,$B126,Закрытые!$B$5:$B$300,"L-*")=0,"",ROUND(SUMIFS(Лэндинг!$L$5:$L$300,Лэндинг!$E$5:$E$300,$B126)+SUMIFS(Закрытые!$L$5:$L$300,Закрытые!$E$5:$E$300,$B126,Закрытые!$B$5:$B$300,"L-*"),8)))</f>
        <v/>
      </c>
      <c r="J126" s="247">
        <f>IF($B126="","",IF(COUNTIFS(Лэндинг!$E$5:$E$300,$B126)+COUNTIFS(Закрытые!$E$5:$E$300,$B126,Закрытые!$B$5:$B$300,"L-*")=0,"",ROUND(SUMIFS(Лэндинг!$M$5:$M$300,Лэндинг!$E$5:$E$300,$B126)+SUMIFS(Закрытые!$M$5:$M$300,Закрытые!$E$5:$E$300,$B126,Закрытые!$B$5:$B$300,"L-*"),8)))</f>
        <v/>
      </c>
      <c r="K126" s="246">
        <f>IF($B126="","",ROUND(SUMIFS(Закрытые!$N$5:$N$300,Закрытые!$E$5:$E$300,$B126,Закрытые!$B$5:$B$300,"L-*"),8))</f>
        <v/>
      </c>
      <c r="L126" s="183">
        <f>IF(K126="","",IF(SUMPRODUCT((Закрытые!$E$5:$E$300=$B126)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126/SUMPRODUCT((Закрытые!$E$5:$E$300=$B126)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6" s="183">
        <f>IF(OR(ROUND(N(C126)-N(F126),8)=0,1-N(Ввод!$E$17)/100&lt;=0),"",IF(N(C126)&gt;N(F126),(N(E126)-N(H126))/((N(C126)-N(F126))*(1-N(Ввод!$E$17)/100)),(N(H126)-N(E126))/((N(F126)-N(C126))*(1+N(Ввод!$E$17)/100))))</f>
        <v/>
      </c>
    </row>
    <row r="127" ht="22" customHeight="1">
      <c r="B127" s="315" t="n"/>
      <c r="C127" s="240">
        <f>IF(SUMIFS(Лэндинг!$F$5:$F$300,Лэндинг!$E$5:$E$300,$B127)+SUMIFS(Закрытые!$F$5:$F$300,Закрытые!$E$5:$E$300,$B127,Закрытые!$B$5:$B$300,"L-*")=0,"",SUMIFS(Лэндинг!$F$5:$F$300,Лэндинг!$E$5:$E$300,$B127)+SUMIFS(Закрытые!$F$5:$F$300,Закрытые!$E$5:$E$300,$B127,Закрытые!$B$5:$B$300,"L-*"))</f>
        <v/>
      </c>
      <c r="D127" s="177">
        <f>IF(C127="","",(SUMPRODUCT((Лэндинг!$E$5:$E$300=$B127)*Лэндинг!$F$5:$F$300*Лэндинг!$G$5:$G$300)+SUMPRODUCT((Закрытые!$E$5:$E$300=$B127)*(LEFT(Закрытые!$B$5:$B$300,2)="L-")*Закрытые!$F$5:$F$300*Закрытые!$G$5:$G$300))/C127)</f>
        <v/>
      </c>
      <c r="E127" s="241">
        <f>IF(C127="","",SUMIFS(Лэндинг!$H$5:$H$300,Лэндинг!$E$5:$E$300,$B127)+SUMIFS(Закрытые!$H$5:$H$300,Закрытые!$E$5:$E$300,$B127,Закрытые!$B$5:$B$300,"L-*"))</f>
        <v/>
      </c>
      <c r="F127" s="240">
        <f>IF(SUMIFS(Лэндинг!$I$5:$I$300,Лэндинг!$E$5:$E$300,$B127)+SUMIFS(Закрытые!$I$5:$I$300,Закрытые!$E$5:$E$300,$B127,Закрытые!$B$5:$B$300,"L-*")=0,"",SUMIFS(Лэндинг!$I$5:$I$300,Лэндинг!$E$5:$E$300,$B127)+SUMIFS(Закрытые!$I$5:$I$300,Закрытые!$E$5:$E$300,$B127,Закрытые!$B$5:$B$300,"L-*"))</f>
        <v/>
      </c>
      <c r="G127" s="177">
        <f>IF(F127="","",(SUMPRODUCT((Лэндинг!$E$5:$E$300=$B127)*Лэндинг!$I$5:$I$300*Лэндинг!$J$5:$J$300)+SUMPRODUCT((Закрытые!$E$5:$E$300=$B127)*(LEFT(Закрытые!$B$5:$B$300,2)="L-")*Закрытые!$I$5:$I$300*Закрытые!$J$5:$J$300))/F127)</f>
        <v/>
      </c>
      <c r="H127" s="241">
        <f>IF(F127="","",SUMIFS(Лэндинг!$K$5:$K$300,Лэндинг!$E$5:$E$300,$B127)+SUMIFS(Закрытые!$K$5:$K$300,Закрытые!$E$5:$E$300,$B127,Закрытые!$B$5:$B$300,"L-*"))</f>
        <v/>
      </c>
      <c r="I127" s="240">
        <f>IF($B127="","",IF(COUNTIFS(Лэндинг!$E$5:$E$300,$B127)+COUNTIFS(Закрытые!$E$5:$E$300,$B127,Закрытые!$B$5:$B$300,"L-*")=0,"",ROUND(SUMIFS(Лэндинг!$L$5:$L$300,Лэндинг!$E$5:$E$300,$B127)+SUMIFS(Закрытые!$L$5:$L$300,Закрытые!$E$5:$E$300,$B127,Закрытые!$B$5:$B$300,"L-*"),8)))</f>
        <v/>
      </c>
      <c r="J127" s="241">
        <f>IF($B127="","",IF(COUNTIFS(Лэндинг!$E$5:$E$300,$B127)+COUNTIFS(Закрытые!$E$5:$E$300,$B127,Закрытые!$B$5:$B$300,"L-*")=0,"",ROUND(SUMIFS(Лэндинг!$M$5:$M$300,Лэндинг!$E$5:$E$300,$B127)+SUMIFS(Закрытые!$M$5:$M$300,Закрытые!$E$5:$E$300,$B127,Закрытые!$B$5:$B$300,"L-*"),8)))</f>
        <v/>
      </c>
      <c r="K127" s="240">
        <f>IF($B127="","",ROUND(SUMIFS(Закрытые!$N$5:$N$300,Закрытые!$E$5:$E$300,$B127,Закрытые!$B$5:$B$300,"L-*"),8))</f>
        <v/>
      </c>
      <c r="L127" s="177">
        <f>IF(K127="","",IF(SUMPRODUCT((Закрытые!$E$5:$E$300=$B127)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127/SUMPRODUCT((Закрытые!$E$5:$E$300=$B127)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7" s="177">
        <f>IF(OR(ROUND(N(C127)-N(F127),8)=0,1-N(Ввод!$E$17)/100&lt;=0),"",IF(N(C127)&gt;N(F127),(N(E127)-N(H127))/((N(C127)-N(F127))*(1-N(Ввод!$E$17)/100)),(N(H127)-N(E127))/((N(F127)-N(C127))*(1+N(Ввод!$E$17)/100))))</f>
        <v/>
      </c>
    </row>
    <row r="128" ht="22" customHeight="1">
      <c r="B128" s="320" t="n"/>
      <c r="C128" s="246">
        <f>IF(SUMIFS(Лэндинг!$F$5:$F$300,Лэндинг!$E$5:$E$300,$B128)+SUMIFS(Закрытые!$F$5:$F$300,Закрытые!$E$5:$E$300,$B128,Закрытые!$B$5:$B$300,"L-*")=0,"",SUMIFS(Лэндинг!$F$5:$F$300,Лэндинг!$E$5:$E$300,$B128)+SUMIFS(Закрытые!$F$5:$F$300,Закрытые!$E$5:$E$300,$B128,Закрытые!$B$5:$B$300,"L-*"))</f>
        <v/>
      </c>
      <c r="D128" s="183">
        <f>IF(C128="","",(SUMPRODUCT((Лэндинг!$E$5:$E$300=$B128)*Лэндинг!$F$5:$F$300*Лэндинг!$G$5:$G$300)+SUMPRODUCT((Закрытые!$E$5:$E$300=$B128)*(LEFT(Закрытые!$B$5:$B$300,2)="L-")*Закрытые!$F$5:$F$300*Закрытые!$G$5:$G$300))/C128)</f>
        <v/>
      </c>
      <c r="E128" s="247">
        <f>IF(C128="","",SUMIFS(Лэндинг!$H$5:$H$300,Лэндинг!$E$5:$E$300,$B128)+SUMIFS(Закрытые!$H$5:$H$300,Закрытые!$E$5:$E$300,$B128,Закрытые!$B$5:$B$300,"L-*"))</f>
        <v/>
      </c>
      <c r="F128" s="246">
        <f>IF(SUMIFS(Лэндинг!$I$5:$I$300,Лэндинг!$E$5:$E$300,$B128)+SUMIFS(Закрытые!$I$5:$I$300,Закрытые!$E$5:$E$300,$B128,Закрытые!$B$5:$B$300,"L-*")=0,"",SUMIFS(Лэндинг!$I$5:$I$300,Лэндинг!$E$5:$E$300,$B128)+SUMIFS(Закрытые!$I$5:$I$300,Закрытые!$E$5:$E$300,$B128,Закрытые!$B$5:$B$300,"L-*"))</f>
        <v/>
      </c>
      <c r="G128" s="183">
        <f>IF(F128="","",(SUMPRODUCT((Лэндинг!$E$5:$E$300=$B128)*Лэндинг!$I$5:$I$300*Лэндинг!$J$5:$J$300)+SUMPRODUCT((Закрытые!$E$5:$E$300=$B128)*(LEFT(Закрытые!$B$5:$B$300,2)="L-")*Закрытые!$I$5:$I$300*Закрытые!$J$5:$J$300))/F128)</f>
        <v/>
      </c>
      <c r="H128" s="247">
        <f>IF(F128="","",SUMIFS(Лэндинг!$K$5:$K$300,Лэндинг!$E$5:$E$300,$B128)+SUMIFS(Закрытые!$K$5:$K$300,Закрытые!$E$5:$E$300,$B128,Закрытые!$B$5:$B$300,"L-*"))</f>
        <v/>
      </c>
      <c r="I128" s="246">
        <f>IF($B128="","",IF(COUNTIFS(Лэндинг!$E$5:$E$300,$B128)+COUNTIFS(Закрытые!$E$5:$E$300,$B128,Закрытые!$B$5:$B$300,"L-*")=0,"",ROUND(SUMIFS(Лэндинг!$L$5:$L$300,Лэндинг!$E$5:$E$300,$B128)+SUMIFS(Закрытые!$L$5:$L$300,Закрытые!$E$5:$E$300,$B128,Закрытые!$B$5:$B$300,"L-*"),8)))</f>
        <v/>
      </c>
      <c r="J128" s="247">
        <f>IF($B128="","",IF(COUNTIFS(Лэндинг!$E$5:$E$300,$B128)+COUNTIFS(Закрытые!$E$5:$E$300,$B128,Закрытые!$B$5:$B$300,"L-*")=0,"",ROUND(SUMIFS(Лэндинг!$M$5:$M$300,Лэндинг!$E$5:$E$300,$B128)+SUMIFS(Закрытые!$M$5:$M$300,Закрытые!$E$5:$E$300,$B128,Закрытые!$B$5:$B$300,"L-*"),8)))</f>
        <v/>
      </c>
      <c r="K128" s="246">
        <f>IF($B128="","",ROUND(SUMIFS(Закрытые!$N$5:$N$300,Закрытые!$E$5:$E$300,$B128,Закрытые!$B$5:$B$300,"L-*"),8))</f>
        <v/>
      </c>
      <c r="L128" s="183">
        <f>IF(K128="","",IF(SUMPRODUCT((Закрытые!$E$5:$E$300=$B128)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128/SUMPRODUCT((Закрытые!$E$5:$E$300=$B128)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8" s="183">
        <f>IF(OR(ROUND(N(C128)-N(F128),8)=0,1-N(Ввод!$E$17)/100&lt;=0),"",IF(N(C128)&gt;N(F128),(N(E128)-N(H128))/((N(C128)-N(F128))*(1-N(Ввод!$E$17)/100)),(N(H128)-N(E128))/((N(F128)-N(C128))*(1+N(Ввод!$E$17)/100))))</f>
        <v/>
      </c>
    </row>
    <row r="129" ht="22" customHeight="1">
      <c r="B129" s="315" t="n"/>
      <c r="C129" s="240">
        <f>IF(SUMIFS(Лэндинг!$F$5:$F$300,Лэндинг!$E$5:$E$300,$B129)+SUMIFS(Закрытые!$F$5:$F$300,Закрытые!$E$5:$E$300,$B129,Закрытые!$B$5:$B$300,"L-*")=0,"",SUMIFS(Лэндинг!$F$5:$F$300,Лэндинг!$E$5:$E$300,$B129)+SUMIFS(Закрытые!$F$5:$F$300,Закрытые!$E$5:$E$300,$B129,Закрытые!$B$5:$B$300,"L-*"))</f>
        <v/>
      </c>
      <c r="D129" s="177">
        <f>IF(C129="","",(SUMPRODUCT((Лэндинг!$E$5:$E$300=$B129)*Лэндинг!$F$5:$F$300*Лэндинг!$G$5:$G$300)+SUMPRODUCT((Закрытые!$E$5:$E$300=$B129)*(LEFT(Закрытые!$B$5:$B$300,2)="L-")*Закрытые!$F$5:$F$300*Закрытые!$G$5:$G$300))/C129)</f>
        <v/>
      </c>
      <c r="E129" s="241">
        <f>IF(C129="","",SUMIFS(Лэндинг!$H$5:$H$300,Лэндинг!$E$5:$E$300,$B129)+SUMIFS(Закрытые!$H$5:$H$300,Закрытые!$E$5:$E$300,$B129,Закрытые!$B$5:$B$300,"L-*"))</f>
        <v/>
      </c>
      <c r="F129" s="240">
        <f>IF(SUMIFS(Лэндинг!$I$5:$I$300,Лэндинг!$E$5:$E$300,$B129)+SUMIFS(Закрытые!$I$5:$I$300,Закрытые!$E$5:$E$300,$B129,Закрытые!$B$5:$B$300,"L-*")=0,"",SUMIFS(Лэндинг!$I$5:$I$300,Лэндинг!$E$5:$E$300,$B129)+SUMIFS(Закрытые!$I$5:$I$300,Закрытые!$E$5:$E$300,$B129,Закрытые!$B$5:$B$300,"L-*"))</f>
        <v/>
      </c>
      <c r="G129" s="177">
        <f>IF(F129="","",(SUMPRODUCT((Лэндинг!$E$5:$E$300=$B129)*Лэндинг!$I$5:$I$300*Лэндинг!$J$5:$J$300)+SUMPRODUCT((Закрытые!$E$5:$E$300=$B129)*(LEFT(Закрытые!$B$5:$B$300,2)="L-")*Закрытые!$I$5:$I$300*Закрытые!$J$5:$J$300))/F129)</f>
        <v/>
      </c>
      <c r="H129" s="241">
        <f>IF(F129="","",SUMIFS(Лэндинг!$K$5:$K$300,Лэндинг!$E$5:$E$300,$B129)+SUMIFS(Закрытые!$K$5:$K$300,Закрытые!$E$5:$E$300,$B129,Закрытые!$B$5:$B$300,"L-*"))</f>
        <v/>
      </c>
      <c r="I129" s="240">
        <f>IF($B129="","",IF(COUNTIFS(Лэндинг!$E$5:$E$300,$B129)+COUNTIFS(Закрытые!$E$5:$E$300,$B129,Закрытые!$B$5:$B$300,"L-*")=0,"",ROUND(SUMIFS(Лэндинг!$L$5:$L$300,Лэндинг!$E$5:$E$300,$B129)+SUMIFS(Закрытые!$L$5:$L$300,Закрытые!$E$5:$E$300,$B129,Закрытые!$B$5:$B$300,"L-*"),8)))</f>
        <v/>
      </c>
      <c r="J129" s="241">
        <f>IF($B129="","",IF(COUNTIFS(Лэндинг!$E$5:$E$300,$B129)+COUNTIFS(Закрытые!$E$5:$E$300,$B129,Закрытые!$B$5:$B$300,"L-*")=0,"",ROUND(SUMIFS(Лэндинг!$M$5:$M$300,Лэндинг!$E$5:$E$300,$B129)+SUMIFS(Закрытые!$M$5:$M$300,Закрытые!$E$5:$E$300,$B129,Закрытые!$B$5:$B$300,"L-*"),8)))</f>
        <v/>
      </c>
      <c r="K129" s="240">
        <f>IF($B129="","",ROUND(SUMIFS(Закрытые!$N$5:$N$300,Закрытые!$E$5:$E$300,$B129,Закрытые!$B$5:$B$300,"L-*"),8))</f>
        <v/>
      </c>
      <c r="L129" s="177">
        <f>IF(K129="","",IF(SUMPRODUCT((Закрытые!$E$5:$E$300=$B129)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129/SUMPRODUCT((Закрытые!$E$5:$E$300=$B129)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9" s="177">
        <f>IF(OR(ROUND(N(C129)-N(F129),8)=0,1-N(Ввод!$E$17)/100&lt;=0),"",IF(N(C129)&gt;N(F129),(N(E129)-N(H129))/((N(C129)-N(F129))*(1-N(Ввод!$E$17)/100)),(N(H129)-N(E129))/((N(F129)-N(C129))*(1+N(Ввод!$E$17)/100))))</f>
        <v/>
      </c>
    </row>
    <row r="130" ht="22" customHeight="1">
      <c r="B130" s="320" t="n"/>
      <c r="C130" s="246">
        <f>IF(SUMIFS(Лэндинг!$F$5:$F$300,Лэндинг!$E$5:$E$300,$B130)+SUMIFS(Закрытые!$F$5:$F$300,Закрытые!$E$5:$E$300,$B130,Закрытые!$B$5:$B$300,"L-*")=0,"",SUMIFS(Лэндинг!$F$5:$F$300,Лэндинг!$E$5:$E$300,$B130)+SUMIFS(Закрытые!$F$5:$F$300,Закрытые!$E$5:$E$300,$B130,Закрытые!$B$5:$B$300,"L-*"))</f>
        <v/>
      </c>
      <c r="D130" s="183">
        <f>IF(C130="","",(SUMPRODUCT((Лэндинг!$E$5:$E$300=$B130)*Лэндинг!$F$5:$F$300*Лэндинг!$G$5:$G$300)+SUMPRODUCT((Закрытые!$E$5:$E$300=$B130)*(LEFT(Закрытые!$B$5:$B$300,2)="L-")*Закрытые!$F$5:$F$300*Закрытые!$G$5:$G$300))/C130)</f>
        <v/>
      </c>
      <c r="E130" s="247">
        <f>IF(C130="","",SUMIFS(Лэндинг!$H$5:$H$300,Лэндинг!$E$5:$E$300,$B130)+SUMIFS(Закрытые!$H$5:$H$300,Закрытые!$E$5:$E$300,$B130,Закрытые!$B$5:$B$300,"L-*"))</f>
        <v/>
      </c>
      <c r="F130" s="246">
        <f>IF(SUMIFS(Лэндинг!$I$5:$I$300,Лэндинг!$E$5:$E$300,$B130)+SUMIFS(Закрытые!$I$5:$I$300,Закрытые!$E$5:$E$300,$B130,Закрытые!$B$5:$B$300,"L-*")=0,"",SUMIFS(Лэндинг!$I$5:$I$300,Лэндинг!$E$5:$E$300,$B130)+SUMIFS(Закрытые!$I$5:$I$300,Закрытые!$E$5:$E$300,$B130,Закрытые!$B$5:$B$300,"L-*"))</f>
        <v/>
      </c>
      <c r="G130" s="183">
        <f>IF(F130="","",(SUMPRODUCT((Лэндинг!$E$5:$E$300=$B130)*Лэндинг!$I$5:$I$300*Лэндинг!$J$5:$J$300)+SUMPRODUCT((Закрытые!$E$5:$E$300=$B130)*(LEFT(Закрытые!$B$5:$B$300,2)="L-")*Закрытые!$I$5:$I$300*Закрытые!$J$5:$J$300))/F130)</f>
        <v/>
      </c>
      <c r="H130" s="247">
        <f>IF(F130="","",SUMIFS(Лэндинг!$K$5:$K$300,Лэндинг!$E$5:$E$300,$B130)+SUMIFS(Закрытые!$K$5:$K$300,Закрытые!$E$5:$E$300,$B130,Закрытые!$B$5:$B$300,"L-*"))</f>
        <v/>
      </c>
      <c r="I130" s="246">
        <f>IF($B130="","",IF(COUNTIFS(Лэндинг!$E$5:$E$300,$B130)+COUNTIFS(Закрытые!$E$5:$E$300,$B130,Закрытые!$B$5:$B$300,"L-*")=0,"",ROUND(SUMIFS(Лэндинг!$L$5:$L$300,Лэндинг!$E$5:$E$300,$B130)+SUMIFS(Закрытые!$L$5:$L$300,Закрытые!$E$5:$E$300,$B130,Закрытые!$B$5:$B$300,"L-*"),8)))</f>
        <v/>
      </c>
      <c r="J130" s="247">
        <f>IF($B130="","",IF(COUNTIFS(Лэндинг!$E$5:$E$300,$B130)+COUNTIFS(Закрытые!$E$5:$E$300,$B130,Закрытые!$B$5:$B$300,"L-*")=0,"",ROUND(SUMIFS(Лэндинг!$M$5:$M$300,Лэндинг!$E$5:$E$300,$B130)+SUMIFS(Закрытые!$M$5:$M$300,Закрытые!$E$5:$E$300,$B130,Закрытые!$B$5:$B$300,"L-*"),8)))</f>
        <v/>
      </c>
      <c r="K130" s="246">
        <f>IF($B130="","",ROUND(SUMIFS(Закрытые!$N$5:$N$300,Закрытые!$E$5:$E$300,$B130,Закрытые!$B$5:$B$300,"L-*"),8))</f>
        <v/>
      </c>
      <c r="L130" s="183">
        <f>IF(K130="","",IF(SUMPRODUCT((Закрытые!$E$5:$E$300=$B130)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130/SUMPRODUCT((Закрытые!$E$5:$E$300=$B130)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0" s="183">
        <f>IF(OR(ROUND(N(C130)-N(F130),8)=0,1-N(Ввод!$E$17)/100&lt;=0),"",IF(N(C130)&gt;N(F130),(N(E130)-N(H130))/((N(C130)-N(F130))*(1-N(Ввод!$E$17)/100)),(N(H130)-N(E130))/((N(F130)-N(C130))*(1+N(Ввод!$E$17)/100))))</f>
        <v/>
      </c>
    </row>
    <row r="131" ht="22" customHeight="1">
      <c r="B131" s="315" t="n"/>
      <c r="C131" s="240">
        <f>IF(SUMIFS(Лэндинг!$F$5:$F$300,Лэндинг!$E$5:$E$300,$B131)+SUMIFS(Закрытые!$F$5:$F$300,Закрытые!$E$5:$E$300,$B131,Закрытые!$B$5:$B$300,"L-*")=0,"",SUMIFS(Лэндинг!$F$5:$F$300,Лэндинг!$E$5:$E$300,$B131)+SUMIFS(Закрытые!$F$5:$F$300,Закрытые!$E$5:$E$300,$B131,Закрытые!$B$5:$B$300,"L-*"))</f>
        <v/>
      </c>
      <c r="D131" s="177">
        <f>IF(C131="","",(SUMPRODUCT((Лэндинг!$E$5:$E$300=$B131)*Лэндинг!$F$5:$F$300*Лэндинг!$G$5:$G$300)+SUMPRODUCT((Закрытые!$E$5:$E$300=$B131)*(LEFT(Закрытые!$B$5:$B$300,2)="L-")*Закрытые!$F$5:$F$300*Закрытые!$G$5:$G$300))/C131)</f>
        <v/>
      </c>
      <c r="E131" s="241">
        <f>IF(C131="","",SUMIFS(Лэндинг!$H$5:$H$300,Лэндинг!$E$5:$E$300,$B131)+SUMIFS(Закрытые!$H$5:$H$300,Закрытые!$E$5:$E$300,$B131,Закрытые!$B$5:$B$300,"L-*"))</f>
        <v/>
      </c>
      <c r="F131" s="240">
        <f>IF(SUMIFS(Лэндинг!$I$5:$I$300,Лэндинг!$E$5:$E$300,$B131)+SUMIFS(Закрытые!$I$5:$I$300,Закрытые!$E$5:$E$300,$B131,Закрытые!$B$5:$B$300,"L-*")=0,"",SUMIFS(Лэндинг!$I$5:$I$300,Лэндинг!$E$5:$E$300,$B131)+SUMIFS(Закрытые!$I$5:$I$300,Закрытые!$E$5:$E$300,$B131,Закрытые!$B$5:$B$300,"L-*"))</f>
        <v/>
      </c>
      <c r="G131" s="177">
        <f>IF(F131="","",(SUMPRODUCT((Лэндинг!$E$5:$E$300=$B131)*Лэндинг!$I$5:$I$300*Лэндинг!$J$5:$J$300)+SUMPRODUCT((Закрытые!$E$5:$E$300=$B131)*(LEFT(Закрытые!$B$5:$B$300,2)="L-")*Закрытые!$I$5:$I$300*Закрытые!$J$5:$J$300))/F131)</f>
        <v/>
      </c>
      <c r="H131" s="241">
        <f>IF(F131="","",SUMIFS(Лэндинг!$K$5:$K$300,Лэндинг!$E$5:$E$300,$B131)+SUMIFS(Закрытые!$K$5:$K$300,Закрытые!$E$5:$E$300,$B131,Закрытые!$B$5:$B$300,"L-*"))</f>
        <v/>
      </c>
      <c r="I131" s="240">
        <f>IF($B131="","",IF(COUNTIFS(Лэндинг!$E$5:$E$300,$B131)+COUNTIFS(Закрытые!$E$5:$E$300,$B131,Закрытые!$B$5:$B$300,"L-*")=0,"",ROUND(SUMIFS(Лэндинг!$L$5:$L$300,Лэндинг!$E$5:$E$300,$B131)+SUMIFS(Закрытые!$L$5:$L$300,Закрытые!$E$5:$E$300,$B131,Закрытые!$B$5:$B$300,"L-*"),8)))</f>
        <v/>
      </c>
      <c r="J131" s="241">
        <f>IF($B131="","",IF(COUNTIFS(Лэндинг!$E$5:$E$300,$B131)+COUNTIFS(Закрытые!$E$5:$E$300,$B131,Закрытые!$B$5:$B$300,"L-*")=0,"",ROUND(SUMIFS(Лэндинг!$M$5:$M$300,Лэндинг!$E$5:$E$300,$B131)+SUMIFS(Закрытые!$M$5:$M$300,Закрытые!$E$5:$E$300,$B131,Закрытые!$B$5:$B$300,"L-*"),8)))</f>
        <v/>
      </c>
      <c r="K131" s="240">
        <f>IF($B131="","",ROUND(SUMIFS(Закрытые!$N$5:$N$300,Закрытые!$E$5:$E$300,$B131,Закрытые!$B$5:$B$300,"L-*"),8))</f>
        <v/>
      </c>
      <c r="L131" s="177">
        <f>IF(K131="","",IF(SUMPRODUCT((Закрытые!$E$5:$E$300=$B131)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131/SUMPRODUCT((Закрытые!$E$5:$E$300=$B131)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1" s="177">
        <f>IF(OR(ROUND(N(C131)-N(F131),8)=0,1-N(Ввод!$E$17)/100&lt;=0),"",IF(N(C131)&gt;N(F131),(N(E131)-N(H131))/((N(C131)-N(F131))*(1-N(Ввод!$E$17)/100)),(N(H131)-N(E131))/((N(F131)-N(C131))*(1+N(Ввод!$E$17)/100))))</f>
        <v/>
      </c>
    </row>
    <row r="132" ht="22" customHeight="1">
      <c r="B132" s="320" t="n"/>
      <c r="C132" s="246">
        <f>IF(SUMIFS(Лэндинг!$F$5:$F$300,Лэндинг!$E$5:$E$300,$B132)+SUMIFS(Закрытые!$F$5:$F$300,Закрытые!$E$5:$E$300,$B132,Закрытые!$B$5:$B$300,"L-*")=0,"",SUMIFS(Лэндинг!$F$5:$F$300,Лэндинг!$E$5:$E$300,$B132)+SUMIFS(Закрытые!$F$5:$F$300,Закрытые!$E$5:$E$300,$B132,Закрытые!$B$5:$B$300,"L-*"))</f>
        <v/>
      </c>
      <c r="D132" s="183">
        <f>IF(C132="","",(SUMPRODUCT((Лэндинг!$E$5:$E$300=$B132)*Лэндинг!$F$5:$F$300*Лэндинг!$G$5:$G$300)+SUMPRODUCT((Закрытые!$E$5:$E$300=$B132)*(LEFT(Закрытые!$B$5:$B$300,2)="L-")*Закрытые!$F$5:$F$300*Закрытые!$G$5:$G$300))/C132)</f>
        <v/>
      </c>
      <c r="E132" s="247">
        <f>IF(C132="","",SUMIFS(Лэндинг!$H$5:$H$300,Лэндинг!$E$5:$E$300,$B132)+SUMIFS(Закрытые!$H$5:$H$300,Закрытые!$E$5:$E$300,$B132,Закрытые!$B$5:$B$300,"L-*"))</f>
        <v/>
      </c>
      <c r="F132" s="246">
        <f>IF(SUMIFS(Лэндинг!$I$5:$I$300,Лэндинг!$E$5:$E$300,$B132)+SUMIFS(Закрытые!$I$5:$I$300,Закрытые!$E$5:$E$300,$B132,Закрытые!$B$5:$B$300,"L-*")=0,"",SUMIFS(Лэндинг!$I$5:$I$300,Лэндинг!$E$5:$E$300,$B132)+SUMIFS(Закрытые!$I$5:$I$300,Закрытые!$E$5:$E$300,$B132,Закрытые!$B$5:$B$300,"L-*"))</f>
        <v/>
      </c>
      <c r="G132" s="183">
        <f>IF(F132="","",(SUMPRODUCT((Лэндинг!$E$5:$E$300=$B132)*Лэндинг!$I$5:$I$300*Лэндинг!$J$5:$J$300)+SUMPRODUCT((Закрытые!$E$5:$E$300=$B132)*(LEFT(Закрытые!$B$5:$B$300,2)="L-")*Закрытые!$I$5:$I$300*Закрытые!$J$5:$J$300))/F132)</f>
        <v/>
      </c>
      <c r="H132" s="247">
        <f>IF(F132="","",SUMIFS(Лэндинг!$K$5:$K$300,Лэндинг!$E$5:$E$300,$B132)+SUMIFS(Закрытые!$K$5:$K$300,Закрытые!$E$5:$E$300,$B132,Закрытые!$B$5:$B$300,"L-*"))</f>
        <v/>
      </c>
      <c r="I132" s="246">
        <f>IF($B132="","",IF(COUNTIFS(Лэндинг!$E$5:$E$300,$B132)+COUNTIFS(Закрытые!$E$5:$E$300,$B132,Закрытые!$B$5:$B$300,"L-*")=0,"",ROUND(SUMIFS(Лэндинг!$L$5:$L$300,Лэндинг!$E$5:$E$300,$B132)+SUMIFS(Закрытые!$L$5:$L$300,Закрытые!$E$5:$E$300,$B132,Закрытые!$B$5:$B$300,"L-*"),8)))</f>
        <v/>
      </c>
      <c r="J132" s="247">
        <f>IF($B132="","",IF(COUNTIFS(Лэндинг!$E$5:$E$300,$B132)+COUNTIFS(Закрытые!$E$5:$E$300,$B132,Закрытые!$B$5:$B$300,"L-*")=0,"",ROUND(SUMIFS(Лэндинг!$M$5:$M$300,Лэндинг!$E$5:$E$300,$B132)+SUMIFS(Закрытые!$M$5:$M$300,Закрытые!$E$5:$E$300,$B132,Закрытые!$B$5:$B$300,"L-*"),8)))</f>
        <v/>
      </c>
      <c r="K132" s="246">
        <f>IF($B132="","",ROUND(SUMIFS(Закрытые!$N$5:$N$300,Закрытые!$E$5:$E$300,$B132,Закрытые!$B$5:$B$300,"L-*"),8))</f>
        <v/>
      </c>
      <c r="L132" s="183">
        <f>IF(K132="","",IF(SUMPRODUCT((Закрытые!$E$5:$E$300=$B132)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132/SUMPRODUCT((Закрытые!$E$5:$E$300=$B132)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2" s="183">
        <f>IF(OR(ROUND(N(C132)-N(F132),8)=0,1-N(Ввод!$E$17)/100&lt;=0),"",IF(N(C132)&gt;N(F132),(N(E132)-N(H132))/((N(C132)-N(F132))*(1-N(Ввод!$E$17)/100)),(N(H132)-N(E132))/((N(F132)-N(C132))*(1+N(Ввод!$E$17)/100))))</f>
        <v/>
      </c>
    </row>
    <row r="133" ht="22" customHeight="1">
      <c r="B133" s="315" t="n"/>
      <c r="C133" s="240">
        <f>IF(SUMIFS(Лэндинг!$F$5:$F$300,Лэндинг!$E$5:$E$300,$B133)+SUMIFS(Закрытые!$F$5:$F$300,Закрытые!$E$5:$E$300,$B133,Закрытые!$B$5:$B$300,"L-*")=0,"",SUMIFS(Лэндинг!$F$5:$F$300,Лэндинг!$E$5:$E$300,$B133)+SUMIFS(Закрытые!$F$5:$F$300,Закрытые!$E$5:$E$300,$B133,Закрытые!$B$5:$B$300,"L-*"))</f>
        <v/>
      </c>
      <c r="D133" s="177">
        <f>IF(C133="","",(SUMPRODUCT((Лэндинг!$E$5:$E$300=$B133)*Лэндинг!$F$5:$F$300*Лэндинг!$G$5:$G$300)+SUMPRODUCT((Закрытые!$E$5:$E$300=$B133)*(LEFT(Закрытые!$B$5:$B$300,2)="L-")*Закрытые!$F$5:$F$300*Закрытые!$G$5:$G$300))/C133)</f>
        <v/>
      </c>
      <c r="E133" s="241">
        <f>IF(C133="","",SUMIFS(Лэндинг!$H$5:$H$300,Лэндинг!$E$5:$E$300,$B133)+SUMIFS(Закрытые!$H$5:$H$300,Закрытые!$E$5:$E$300,$B133,Закрытые!$B$5:$B$300,"L-*"))</f>
        <v/>
      </c>
      <c r="F133" s="240">
        <f>IF(SUMIFS(Лэндинг!$I$5:$I$300,Лэндинг!$E$5:$E$300,$B133)+SUMIFS(Закрытые!$I$5:$I$300,Закрытые!$E$5:$E$300,$B133,Закрытые!$B$5:$B$300,"L-*")=0,"",SUMIFS(Лэндинг!$I$5:$I$300,Лэндинг!$E$5:$E$300,$B133)+SUMIFS(Закрытые!$I$5:$I$300,Закрытые!$E$5:$E$300,$B133,Закрытые!$B$5:$B$300,"L-*"))</f>
        <v/>
      </c>
      <c r="G133" s="177">
        <f>IF(F133="","",(SUMPRODUCT((Лэндинг!$E$5:$E$300=$B133)*Лэндинг!$I$5:$I$300*Лэндинг!$J$5:$J$300)+SUMPRODUCT((Закрытые!$E$5:$E$300=$B133)*(LEFT(Закрытые!$B$5:$B$300,2)="L-")*Закрытые!$I$5:$I$300*Закрытые!$J$5:$J$300))/F133)</f>
        <v/>
      </c>
      <c r="H133" s="241">
        <f>IF(F133="","",SUMIFS(Лэндинг!$K$5:$K$300,Лэндинг!$E$5:$E$300,$B133)+SUMIFS(Закрытые!$K$5:$K$300,Закрытые!$E$5:$E$300,$B133,Закрытые!$B$5:$B$300,"L-*"))</f>
        <v/>
      </c>
      <c r="I133" s="240">
        <f>IF($B133="","",IF(COUNTIFS(Лэндинг!$E$5:$E$300,$B133)+COUNTIFS(Закрытые!$E$5:$E$300,$B133,Закрытые!$B$5:$B$300,"L-*")=0,"",ROUND(SUMIFS(Лэндинг!$L$5:$L$300,Лэндинг!$E$5:$E$300,$B133)+SUMIFS(Закрытые!$L$5:$L$300,Закрытые!$E$5:$E$300,$B133,Закрытые!$B$5:$B$300,"L-*"),8)))</f>
        <v/>
      </c>
      <c r="J133" s="241">
        <f>IF($B133="","",IF(COUNTIFS(Лэндинг!$E$5:$E$300,$B133)+COUNTIFS(Закрытые!$E$5:$E$300,$B133,Закрытые!$B$5:$B$300,"L-*")=0,"",ROUND(SUMIFS(Лэндинг!$M$5:$M$300,Лэндинг!$E$5:$E$300,$B133)+SUMIFS(Закрытые!$M$5:$M$300,Закрытые!$E$5:$E$300,$B133,Закрытые!$B$5:$B$300,"L-*"),8)))</f>
        <v/>
      </c>
      <c r="K133" s="240">
        <f>IF($B133="","",ROUND(SUMIFS(Закрытые!$N$5:$N$300,Закрытые!$E$5:$E$300,$B133,Закрытые!$B$5:$B$300,"L-*"),8))</f>
        <v/>
      </c>
      <c r="L133" s="177">
        <f>IF(K133="","",IF(SUMPRODUCT((Закрытые!$E$5:$E$300=$B133)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133/SUMPRODUCT((Закрытые!$E$5:$E$300=$B133)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3" s="177">
        <f>IF(OR(ROUND(N(C133)-N(F133),8)=0,1-N(Ввод!$E$17)/100&lt;=0),"",IF(N(C133)&gt;N(F133),(N(E133)-N(H133))/((N(C133)-N(F133))*(1-N(Ввод!$E$17)/100)),(N(H133)-N(E133))/((N(F133)-N(C133))*(1+N(Ввод!$E$17)/100))))</f>
        <v/>
      </c>
    </row>
    <row r="134" ht="22" customHeight="1">
      <c r="B134" s="320" t="n"/>
      <c r="C134" s="246">
        <f>IF(SUMIFS(Лэндинг!$F$5:$F$300,Лэндинг!$E$5:$E$300,$B134)+SUMIFS(Закрытые!$F$5:$F$300,Закрытые!$E$5:$E$300,$B134,Закрытые!$B$5:$B$300,"L-*")=0,"",SUMIFS(Лэндинг!$F$5:$F$300,Лэндинг!$E$5:$E$300,$B134)+SUMIFS(Закрытые!$F$5:$F$300,Закрытые!$E$5:$E$300,$B134,Закрытые!$B$5:$B$300,"L-*"))</f>
        <v/>
      </c>
      <c r="D134" s="183">
        <f>IF(C134="","",(SUMPRODUCT((Лэндинг!$E$5:$E$300=$B134)*Лэндинг!$F$5:$F$300*Лэндинг!$G$5:$G$300)+SUMPRODUCT((Закрытые!$E$5:$E$300=$B134)*(LEFT(Закрытые!$B$5:$B$300,2)="L-")*Закрытые!$F$5:$F$300*Закрытые!$G$5:$G$300))/C134)</f>
        <v/>
      </c>
      <c r="E134" s="247">
        <f>IF(C134="","",SUMIFS(Лэндинг!$H$5:$H$300,Лэндинг!$E$5:$E$300,$B134)+SUMIFS(Закрытые!$H$5:$H$300,Закрытые!$E$5:$E$300,$B134,Закрытые!$B$5:$B$300,"L-*"))</f>
        <v/>
      </c>
      <c r="F134" s="246">
        <f>IF(SUMIFS(Лэндинг!$I$5:$I$300,Лэндинг!$E$5:$E$300,$B134)+SUMIFS(Закрытые!$I$5:$I$300,Закрытые!$E$5:$E$300,$B134,Закрытые!$B$5:$B$300,"L-*")=0,"",SUMIFS(Лэндинг!$I$5:$I$300,Лэндинг!$E$5:$E$300,$B134)+SUMIFS(Закрытые!$I$5:$I$300,Закрытые!$E$5:$E$300,$B134,Закрытые!$B$5:$B$300,"L-*"))</f>
        <v/>
      </c>
      <c r="G134" s="183">
        <f>IF(F134="","",(SUMPRODUCT((Лэндинг!$E$5:$E$300=$B134)*Лэндинг!$I$5:$I$300*Лэндинг!$J$5:$J$300)+SUMPRODUCT((Закрытые!$E$5:$E$300=$B134)*(LEFT(Закрытые!$B$5:$B$300,2)="L-")*Закрытые!$I$5:$I$300*Закрытые!$J$5:$J$300))/F134)</f>
        <v/>
      </c>
      <c r="H134" s="247">
        <f>IF(F134="","",SUMIFS(Лэндинг!$K$5:$K$300,Лэндинг!$E$5:$E$300,$B134)+SUMIFS(Закрытые!$K$5:$K$300,Закрытые!$E$5:$E$300,$B134,Закрытые!$B$5:$B$300,"L-*"))</f>
        <v/>
      </c>
      <c r="I134" s="246">
        <f>IF($B134="","",IF(COUNTIFS(Лэндинг!$E$5:$E$300,$B134)+COUNTIFS(Закрытые!$E$5:$E$300,$B134,Закрытые!$B$5:$B$300,"L-*")=0,"",ROUND(SUMIFS(Лэндинг!$L$5:$L$300,Лэндинг!$E$5:$E$300,$B134)+SUMIFS(Закрытые!$L$5:$L$300,Закрытые!$E$5:$E$300,$B134,Закрытые!$B$5:$B$300,"L-*"),8)))</f>
        <v/>
      </c>
      <c r="J134" s="247">
        <f>IF($B134="","",IF(COUNTIFS(Лэндинг!$E$5:$E$300,$B134)+COUNTIFS(Закрытые!$E$5:$E$300,$B134,Закрытые!$B$5:$B$300,"L-*")=0,"",ROUND(SUMIFS(Лэндинг!$M$5:$M$300,Лэндинг!$E$5:$E$300,$B134)+SUMIFS(Закрытые!$M$5:$M$300,Закрытые!$E$5:$E$300,$B134,Закрытые!$B$5:$B$300,"L-*"),8)))</f>
        <v/>
      </c>
      <c r="K134" s="246">
        <f>IF($B134="","",ROUND(SUMIFS(Закрытые!$N$5:$N$300,Закрытые!$E$5:$E$300,$B134,Закрытые!$B$5:$B$300,"L-*"),8))</f>
        <v/>
      </c>
      <c r="L134" s="183">
        <f>IF(K134="","",IF(SUMPRODUCT((Закрытые!$E$5:$E$300=$B134)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134/SUMPRODUCT((Закрытые!$E$5:$E$300=$B134)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4" s="183">
        <f>IF(OR(ROUND(N(C134)-N(F134),8)=0,1-N(Ввод!$E$17)/100&lt;=0),"",IF(N(C134)&gt;N(F134),(N(E134)-N(H134))/((N(C134)-N(F134))*(1-N(Ввод!$E$17)/100)),(N(H134)-N(E134))/((N(F134)-N(C134))*(1+N(Ввод!$E$17)/100))))</f>
        <v/>
      </c>
    </row>
    <row r="135" ht="22" customHeight="1">
      <c r="B135" s="315" t="n"/>
      <c r="C135" s="240">
        <f>IF(SUMIFS(Лэндинг!$F$5:$F$300,Лэндинг!$E$5:$E$300,$B135)+SUMIFS(Закрытые!$F$5:$F$300,Закрытые!$E$5:$E$300,$B135,Закрытые!$B$5:$B$300,"L-*")=0,"",SUMIFS(Лэндинг!$F$5:$F$300,Лэндинг!$E$5:$E$300,$B135)+SUMIFS(Закрытые!$F$5:$F$300,Закрытые!$E$5:$E$300,$B135,Закрытые!$B$5:$B$300,"L-*"))</f>
        <v/>
      </c>
      <c r="D135" s="177">
        <f>IF(C135="","",(SUMPRODUCT((Лэндинг!$E$5:$E$300=$B135)*Лэндинг!$F$5:$F$300*Лэндинг!$G$5:$G$300)+SUMPRODUCT((Закрытые!$E$5:$E$300=$B135)*(LEFT(Закрытые!$B$5:$B$300,2)="L-")*Закрытые!$F$5:$F$300*Закрытые!$G$5:$G$300))/C135)</f>
        <v/>
      </c>
      <c r="E135" s="241">
        <f>IF(C135="","",SUMIFS(Лэндинг!$H$5:$H$300,Лэндинг!$E$5:$E$300,$B135)+SUMIFS(Закрытые!$H$5:$H$300,Закрытые!$E$5:$E$300,$B135,Закрытые!$B$5:$B$300,"L-*"))</f>
        <v/>
      </c>
      <c r="F135" s="240">
        <f>IF(SUMIFS(Лэндинг!$I$5:$I$300,Лэндинг!$E$5:$E$300,$B135)+SUMIFS(Закрытые!$I$5:$I$300,Закрытые!$E$5:$E$300,$B135,Закрытые!$B$5:$B$300,"L-*")=0,"",SUMIFS(Лэндинг!$I$5:$I$300,Лэндинг!$E$5:$E$300,$B135)+SUMIFS(Закрытые!$I$5:$I$300,Закрытые!$E$5:$E$300,$B135,Закрытые!$B$5:$B$300,"L-*"))</f>
        <v/>
      </c>
      <c r="G135" s="177">
        <f>IF(F135="","",(SUMPRODUCT((Лэндинг!$E$5:$E$300=$B135)*Лэндинг!$I$5:$I$300*Лэндинг!$J$5:$J$300)+SUMPRODUCT((Закрытые!$E$5:$E$300=$B135)*(LEFT(Закрытые!$B$5:$B$300,2)="L-")*Закрытые!$I$5:$I$300*Закрытые!$J$5:$J$300))/F135)</f>
        <v/>
      </c>
      <c r="H135" s="241">
        <f>IF(F135="","",SUMIFS(Лэндинг!$K$5:$K$300,Лэндинг!$E$5:$E$300,$B135)+SUMIFS(Закрытые!$K$5:$K$300,Закрытые!$E$5:$E$300,$B135,Закрытые!$B$5:$B$300,"L-*"))</f>
        <v/>
      </c>
      <c r="I135" s="240">
        <f>IF($B135="","",IF(COUNTIFS(Лэндинг!$E$5:$E$300,$B135)+COUNTIFS(Закрытые!$E$5:$E$300,$B135,Закрытые!$B$5:$B$300,"L-*")=0,"",ROUND(SUMIFS(Лэндинг!$L$5:$L$300,Лэндинг!$E$5:$E$300,$B135)+SUMIFS(Закрытые!$L$5:$L$300,Закрытые!$E$5:$E$300,$B135,Закрытые!$B$5:$B$300,"L-*"),8)))</f>
        <v/>
      </c>
      <c r="J135" s="241">
        <f>IF($B135="","",IF(COUNTIFS(Лэндинг!$E$5:$E$300,$B135)+COUNTIFS(Закрытые!$E$5:$E$300,$B135,Закрытые!$B$5:$B$300,"L-*")=0,"",ROUND(SUMIFS(Лэндинг!$M$5:$M$300,Лэндинг!$E$5:$E$300,$B135)+SUMIFS(Закрытые!$M$5:$M$300,Закрытые!$E$5:$E$300,$B135,Закрытые!$B$5:$B$300,"L-*"),8)))</f>
        <v/>
      </c>
      <c r="K135" s="240">
        <f>IF($B135="","",ROUND(SUMIFS(Закрытые!$N$5:$N$300,Закрытые!$E$5:$E$300,$B135,Закрытые!$B$5:$B$300,"L-*"),8))</f>
        <v/>
      </c>
      <c r="L135" s="177">
        <f>IF(K135="","",IF(SUMPRODUCT((Закрытые!$E$5:$E$300=$B135)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135/SUMPRODUCT((Закрытые!$E$5:$E$300=$B135)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5" s="177">
        <f>IF(OR(ROUND(N(C135)-N(F135),8)=0,1-N(Ввод!$E$17)/100&lt;=0),"",IF(N(C135)&gt;N(F135),(N(E135)-N(H135))/((N(C135)-N(F135))*(1-N(Ввод!$E$17)/100)),(N(H135)-N(E135))/((N(F135)-N(C135))*(1+N(Ввод!$E$17)/100))))</f>
        <v/>
      </c>
    </row>
    <row r="136" ht="22" customHeight="1">
      <c r="B136" s="320" t="n"/>
      <c r="C136" s="246">
        <f>IF(SUMIFS(Лэндинг!$F$5:$F$300,Лэндинг!$E$5:$E$300,$B136)+SUMIFS(Закрытые!$F$5:$F$300,Закрытые!$E$5:$E$300,$B136,Закрытые!$B$5:$B$300,"L-*")=0,"",SUMIFS(Лэндинг!$F$5:$F$300,Лэндинг!$E$5:$E$300,$B136)+SUMIFS(Закрытые!$F$5:$F$300,Закрытые!$E$5:$E$300,$B136,Закрытые!$B$5:$B$300,"L-*"))</f>
        <v/>
      </c>
      <c r="D136" s="183">
        <f>IF(C136="","",(SUMPRODUCT((Лэндинг!$E$5:$E$300=$B136)*Лэндинг!$F$5:$F$300*Лэндинг!$G$5:$G$300)+SUMPRODUCT((Закрытые!$E$5:$E$300=$B136)*(LEFT(Закрытые!$B$5:$B$300,2)="L-")*Закрытые!$F$5:$F$300*Закрытые!$G$5:$G$300))/C136)</f>
        <v/>
      </c>
      <c r="E136" s="247">
        <f>IF(C136="","",SUMIFS(Лэндинг!$H$5:$H$300,Лэндинг!$E$5:$E$300,$B136)+SUMIFS(Закрытые!$H$5:$H$300,Закрытые!$E$5:$E$300,$B136,Закрытые!$B$5:$B$300,"L-*"))</f>
        <v/>
      </c>
      <c r="F136" s="246">
        <f>IF(SUMIFS(Лэндинг!$I$5:$I$300,Лэндинг!$E$5:$E$300,$B136)+SUMIFS(Закрытые!$I$5:$I$300,Закрытые!$E$5:$E$300,$B136,Закрытые!$B$5:$B$300,"L-*")=0,"",SUMIFS(Лэндинг!$I$5:$I$300,Лэндинг!$E$5:$E$300,$B136)+SUMIFS(Закрытые!$I$5:$I$300,Закрытые!$E$5:$E$300,$B136,Закрытые!$B$5:$B$300,"L-*"))</f>
        <v/>
      </c>
      <c r="G136" s="183">
        <f>IF(F136="","",(SUMPRODUCT((Лэндинг!$E$5:$E$300=$B136)*Лэндинг!$I$5:$I$300*Лэндинг!$J$5:$J$300)+SUMPRODUCT((Закрытые!$E$5:$E$300=$B136)*(LEFT(Закрытые!$B$5:$B$300,2)="L-")*Закрытые!$I$5:$I$300*Закрытые!$J$5:$J$300))/F136)</f>
        <v/>
      </c>
      <c r="H136" s="247">
        <f>IF(F136="","",SUMIFS(Лэндинг!$K$5:$K$300,Лэндинг!$E$5:$E$300,$B136)+SUMIFS(Закрытые!$K$5:$K$300,Закрытые!$E$5:$E$300,$B136,Закрытые!$B$5:$B$300,"L-*"))</f>
        <v/>
      </c>
      <c r="I136" s="246">
        <f>IF($B136="","",IF(COUNTIFS(Лэндинг!$E$5:$E$300,$B136)+COUNTIFS(Закрытые!$E$5:$E$300,$B136,Закрытые!$B$5:$B$300,"L-*")=0,"",ROUND(SUMIFS(Лэндинг!$L$5:$L$300,Лэндинг!$E$5:$E$300,$B136)+SUMIFS(Закрытые!$L$5:$L$300,Закрытые!$E$5:$E$300,$B136,Закрытые!$B$5:$B$300,"L-*"),8)))</f>
        <v/>
      </c>
      <c r="J136" s="247">
        <f>IF($B136="","",IF(COUNTIFS(Лэндинг!$E$5:$E$300,$B136)+COUNTIFS(Закрытые!$E$5:$E$300,$B136,Закрытые!$B$5:$B$300,"L-*")=0,"",ROUND(SUMIFS(Лэндинг!$M$5:$M$300,Лэндинг!$E$5:$E$300,$B136)+SUMIFS(Закрытые!$M$5:$M$300,Закрытые!$E$5:$E$300,$B136,Закрытые!$B$5:$B$300,"L-*"),8)))</f>
        <v/>
      </c>
      <c r="K136" s="246">
        <f>IF($B136="","",ROUND(SUMIFS(Закрытые!$N$5:$N$300,Закрытые!$E$5:$E$300,$B136,Закрытые!$B$5:$B$300,"L-*"),8))</f>
        <v/>
      </c>
      <c r="L136" s="183">
        <f>IF(K136="","",IF(SUMPRODUCT((Закрытые!$E$5:$E$300=$B136)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136/SUMPRODUCT((Закрытые!$E$5:$E$300=$B136)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6" s="183">
        <f>IF(OR(ROUND(N(C136)-N(F136),8)=0,1-N(Ввод!$E$17)/100&lt;=0),"",IF(N(C136)&gt;N(F136),(N(E136)-N(H136))/((N(C136)-N(F136))*(1-N(Ввод!$E$17)/100)),(N(H136)-N(E136))/((N(F136)-N(C136))*(1+N(Ввод!$E$17)/100))))</f>
        <v/>
      </c>
    </row>
    <row r="137" ht="22" customHeight="1">
      <c r="B137" s="315" t="n"/>
      <c r="C137" s="240">
        <f>IF(SUMIFS(Лэндинг!$F$5:$F$300,Лэндинг!$E$5:$E$300,$B137)+SUMIFS(Закрытые!$F$5:$F$300,Закрытые!$E$5:$E$300,$B137,Закрытые!$B$5:$B$300,"L-*")=0,"",SUMIFS(Лэндинг!$F$5:$F$300,Лэндинг!$E$5:$E$300,$B137)+SUMIFS(Закрытые!$F$5:$F$300,Закрытые!$E$5:$E$300,$B137,Закрытые!$B$5:$B$300,"L-*"))</f>
        <v/>
      </c>
      <c r="D137" s="177">
        <f>IF(C137="","",(SUMPRODUCT((Лэндинг!$E$5:$E$300=$B137)*Лэндинг!$F$5:$F$300*Лэндинг!$G$5:$G$300)+SUMPRODUCT((Закрытые!$E$5:$E$300=$B137)*(LEFT(Закрытые!$B$5:$B$300,2)="L-")*Закрытые!$F$5:$F$300*Закрытые!$G$5:$G$300))/C137)</f>
        <v/>
      </c>
      <c r="E137" s="241">
        <f>IF(C137="","",SUMIFS(Лэндинг!$H$5:$H$300,Лэндинг!$E$5:$E$300,$B137)+SUMIFS(Закрытые!$H$5:$H$300,Закрытые!$E$5:$E$300,$B137,Закрытые!$B$5:$B$300,"L-*"))</f>
        <v/>
      </c>
      <c r="F137" s="240">
        <f>IF(SUMIFS(Лэндинг!$I$5:$I$300,Лэндинг!$E$5:$E$300,$B137)+SUMIFS(Закрытые!$I$5:$I$300,Закрытые!$E$5:$E$300,$B137,Закрытые!$B$5:$B$300,"L-*")=0,"",SUMIFS(Лэндинг!$I$5:$I$300,Лэндинг!$E$5:$E$300,$B137)+SUMIFS(Закрытые!$I$5:$I$300,Закрытые!$E$5:$E$300,$B137,Закрытые!$B$5:$B$300,"L-*"))</f>
        <v/>
      </c>
      <c r="G137" s="177">
        <f>IF(F137="","",(SUMPRODUCT((Лэндинг!$E$5:$E$300=$B137)*Лэндинг!$I$5:$I$300*Лэндинг!$J$5:$J$300)+SUMPRODUCT((Закрытые!$E$5:$E$300=$B137)*(LEFT(Закрытые!$B$5:$B$300,2)="L-")*Закрытые!$I$5:$I$300*Закрытые!$J$5:$J$300))/F137)</f>
        <v/>
      </c>
      <c r="H137" s="241">
        <f>IF(F137="","",SUMIFS(Лэндинг!$K$5:$K$300,Лэндинг!$E$5:$E$300,$B137)+SUMIFS(Закрытые!$K$5:$K$300,Закрытые!$E$5:$E$300,$B137,Закрытые!$B$5:$B$300,"L-*"))</f>
        <v/>
      </c>
      <c r="I137" s="240">
        <f>IF($B137="","",IF(COUNTIFS(Лэндинг!$E$5:$E$300,$B137)+COUNTIFS(Закрытые!$E$5:$E$300,$B137,Закрытые!$B$5:$B$300,"L-*")=0,"",ROUND(SUMIFS(Лэндинг!$L$5:$L$300,Лэндинг!$E$5:$E$300,$B137)+SUMIFS(Закрытые!$L$5:$L$300,Закрытые!$E$5:$E$300,$B137,Закрытые!$B$5:$B$300,"L-*"),8)))</f>
        <v/>
      </c>
      <c r="J137" s="241">
        <f>IF($B137="","",IF(COUNTIFS(Лэндинг!$E$5:$E$300,$B137)+COUNTIFS(Закрытые!$E$5:$E$300,$B137,Закрытые!$B$5:$B$300,"L-*")=0,"",ROUND(SUMIFS(Лэндинг!$M$5:$M$300,Лэндинг!$E$5:$E$300,$B137)+SUMIFS(Закрытые!$M$5:$M$300,Закрытые!$E$5:$E$300,$B137,Закрытые!$B$5:$B$300,"L-*"),8)))</f>
        <v/>
      </c>
      <c r="K137" s="240">
        <f>IF($B137="","",ROUND(SUMIFS(Закрытые!$N$5:$N$300,Закрытые!$E$5:$E$300,$B137,Закрытые!$B$5:$B$300,"L-*"),8))</f>
        <v/>
      </c>
      <c r="L137" s="177">
        <f>IF(K137="","",IF(SUMPRODUCT((Закрытые!$E$5:$E$300=$B137)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137/SUMPRODUCT((Закрытые!$E$5:$E$300=$B137)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7" s="177">
        <f>IF(OR(ROUND(N(C137)-N(F137),8)=0,1-N(Ввод!$E$17)/100&lt;=0),"",IF(N(C137)&gt;N(F137),(N(E137)-N(H137))/((N(C137)-N(F137))*(1-N(Ввод!$E$17)/100)),(N(H137)-N(E137))/((N(F137)-N(C137))*(1+N(Ввод!$E$17)/100))))</f>
        <v/>
      </c>
    </row>
    <row r="138" ht="22" customHeight="1">
      <c r="B138" s="320" t="n"/>
      <c r="C138" s="246">
        <f>IF(SUMIFS(Лэндинг!$F$5:$F$300,Лэндинг!$E$5:$E$300,$B138)+SUMIFS(Закрытые!$F$5:$F$300,Закрытые!$E$5:$E$300,$B138,Закрытые!$B$5:$B$300,"L-*")=0,"",SUMIFS(Лэндинг!$F$5:$F$300,Лэндинг!$E$5:$E$300,$B138)+SUMIFS(Закрытые!$F$5:$F$300,Закрытые!$E$5:$E$300,$B138,Закрытые!$B$5:$B$300,"L-*"))</f>
        <v/>
      </c>
      <c r="D138" s="183">
        <f>IF(C138="","",(SUMPRODUCT((Лэндинг!$E$5:$E$300=$B138)*Лэндинг!$F$5:$F$300*Лэндинг!$G$5:$G$300)+SUMPRODUCT((Закрытые!$E$5:$E$300=$B138)*(LEFT(Закрытые!$B$5:$B$300,2)="L-")*Закрытые!$F$5:$F$300*Закрытые!$G$5:$G$300))/C138)</f>
        <v/>
      </c>
      <c r="E138" s="247">
        <f>IF(C138="","",SUMIFS(Лэндинг!$H$5:$H$300,Лэндинг!$E$5:$E$300,$B138)+SUMIFS(Закрытые!$H$5:$H$300,Закрытые!$E$5:$E$300,$B138,Закрытые!$B$5:$B$300,"L-*"))</f>
        <v/>
      </c>
      <c r="F138" s="246">
        <f>IF(SUMIFS(Лэндинг!$I$5:$I$300,Лэндинг!$E$5:$E$300,$B138)+SUMIFS(Закрытые!$I$5:$I$300,Закрытые!$E$5:$E$300,$B138,Закрытые!$B$5:$B$300,"L-*")=0,"",SUMIFS(Лэндинг!$I$5:$I$300,Лэндинг!$E$5:$E$300,$B138)+SUMIFS(Закрытые!$I$5:$I$300,Закрытые!$E$5:$E$300,$B138,Закрытые!$B$5:$B$300,"L-*"))</f>
        <v/>
      </c>
      <c r="G138" s="183">
        <f>IF(F138="","",(SUMPRODUCT((Лэндинг!$E$5:$E$300=$B138)*Лэндинг!$I$5:$I$300*Лэндинг!$J$5:$J$300)+SUMPRODUCT((Закрытые!$E$5:$E$300=$B138)*(LEFT(Закрытые!$B$5:$B$300,2)="L-")*Закрытые!$I$5:$I$300*Закрытые!$J$5:$J$300))/F138)</f>
        <v/>
      </c>
      <c r="H138" s="247">
        <f>IF(F138="","",SUMIFS(Лэндинг!$K$5:$K$300,Лэндинг!$E$5:$E$300,$B138)+SUMIFS(Закрытые!$K$5:$K$300,Закрытые!$E$5:$E$300,$B138,Закрытые!$B$5:$B$300,"L-*"))</f>
        <v/>
      </c>
      <c r="I138" s="246">
        <f>IF($B138="","",IF(COUNTIFS(Лэндинг!$E$5:$E$300,$B138)+COUNTIFS(Закрытые!$E$5:$E$300,$B138,Закрытые!$B$5:$B$300,"L-*")=0,"",ROUND(SUMIFS(Лэндинг!$L$5:$L$300,Лэндинг!$E$5:$E$300,$B138)+SUMIFS(Закрытые!$L$5:$L$300,Закрытые!$E$5:$E$300,$B138,Закрытые!$B$5:$B$300,"L-*"),8)))</f>
        <v/>
      </c>
      <c r="J138" s="247">
        <f>IF($B138="","",IF(COUNTIFS(Лэндинг!$E$5:$E$300,$B138)+COUNTIFS(Закрытые!$E$5:$E$300,$B138,Закрытые!$B$5:$B$300,"L-*")=0,"",ROUND(SUMIFS(Лэндинг!$M$5:$M$300,Лэндинг!$E$5:$E$300,$B138)+SUMIFS(Закрытые!$M$5:$M$300,Закрытые!$E$5:$E$300,$B138,Закрытые!$B$5:$B$300,"L-*"),8)))</f>
        <v/>
      </c>
      <c r="K138" s="246">
        <f>IF($B138="","",ROUND(SUMIFS(Закрытые!$N$5:$N$300,Закрытые!$E$5:$E$300,$B138,Закрытые!$B$5:$B$300,"L-*"),8))</f>
        <v/>
      </c>
      <c r="L138" s="183">
        <f>IF(K138="","",IF(SUMPRODUCT((Закрытые!$E$5:$E$300=$B138)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138/SUMPRODUCT((Закрытые!$E$5:$E$300=$B138)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8" s="183">
        <f>IF(OR(ROUND(N(C138)-N(F138),8)=0,1-N(Ввод!$E$17)/100&lt;=0),"",IF(N(C138)&gt;N(F138),(N(E138)-N(H138))/((N(C138)-N(F138))*(1-N(Ввод!$E$17)/100)),(N(H138)-N(E138))/((N(F138)-N(C138))*(1+N(Ввод!$E$17)/100))))</f>
        <v/>
      </c>
    </row>
    <row r="139" ht="22" customHeight="1">
      <c r="B139" s="315" t="n"/>
      <c r="C139" s="240">
        <f>IF(SUMIFS(Лэндинг!$F$5:$F$300,Лэндинг!$E$5:$E$300,$B139)+SUMIFS(Закрытые!$F$5:$F$300,Закрытые!$E$5:$E$300,$B139,Закрытые!$B$5:$B$300,"L-*")=0,"",SUMIFS(Лэндинг!$F$5:$F$300,Лэндинг!$E$5:$E$300,$B139)+SUMIFS(Закрытые!$F$5:$F$300,Закрытые!$E$5:$E$300,$B139,Закрытые!$B$5:$B$300,"L-*"))</f>
        <v/>
      </c>
      <c r="D139" s="177">
        <f>IF(C139="","",(SUMPRODUCT((Лэндинг!$E$5:$E$300=$B139)*Лэндинг!$F$5:$F$300*Лэндинг!$G$5:$G$300)+SUMPRODUCT((Закрытые!$E$5:$E$300=$B139)*(LEFT(Закрытые!$B$5:$B$300,2)="L-")*Закрытые!$F$5:$F$300*Закрытые!$G$5:$G$300))/C139)</f>
        <v/>
      </c>
      <c r="E139" s="241">
        <f>IF(C139="","",SUMIFS(Лэндинг!$H$5:$H$300,Лэндинг!$E$5:$E$300,$B139)+SUMIFS(Закрытые!$H$5:$H$300,Закрытые!$E$5:$E$300,$B139,Закрытые!$B$5:$B$300,"L-*"))</f>
        <v/>
      </c>
      <c r="F139" s="240">
        <f>IF(SUMIFS(Лэндинг!$I$5:$I$300,Лэндинг!$E$5:$E$300,$B139)+SUMIFS(Закрытые!$I$5:$I$300,Закрытые!$E$5:$E$300,$B139,Закрытые!$B$5:$B$300,"L-*")=0,"",SUMIFS(Лэндинг!$I$5:$I$300,Лэндинг!$E$5:$E$300,$B139)+SUMIFS(Закрытые!$I$5:$I$300,Закрытые!$E$5:$E$300,$B139,Закрытые!$B$5:$B$300,"L-*"))</f>
        <v/>
      </c>
      <c r="G139" s="177">
        <f>IF(F139="","",(SUMPRODUCT((Лэндинг!$E$5:$E$300=$B139)*Лэндинг!$I$5:$I$300*Лэндинг!$J$5:$J$300)+SUMPRODUCT((Закрытые!$E$5:$E$300=$B139)*(LEFT(Закрытые!$B$5:$B$300,2)="L-")*Закрытые!$I$5:$I$300*Закрытые!$J$5:$J$300))/F139)</f>
        <v/>
      </c>
      <c r="H139" s="241">
        <f>IF(F139="","",SUMIFS(Лэндинг!$K$5:$K$300,Лэндинг!$E$5:$E$300,$B139)+SUMIFS(Закрытые!$K$5:$K$300,Закрытые!$E$5:$E$300,$B139,Закрытые!$B$5:$B$300,"L-*"))</f>
        <v/>
      </c>
      <c r="I139" s="240">
        <f>IF($B139="","",IF(COUNTIFS(Лэндинг!$E$5:$E$300,$B139)+COUNTIFS(Закрытые!$E$5:$E$300,$B139,Закрытые!$B$5:$B$300,"L-*")=0,"",ROUND(SUMIFS(Лэндинг!$L$5:$L$300,Лэндинг!$E$5:$E$300,$B139)+SUMIFS(Закрытые!$L$5:$L$300,Закрытые!$E$5:$E$300,$B139,Закрытые!$B$5:$B$300,"L-*"),8)))</f>
        <v/>
      </c>
      <c r="J139" s="241">
        <f>IF($B139="","",IF(COUNTIFS(Лэндинг!$E$5:$E$300,$B139)+COUNTIFS(Закрытые!$E$5:$E$300,$B139,Закрытые!$B$5:$B$300,"L-*")=0,"",ROUND(SUMIFS(Лэндинг!$M$5:$M$300,Лэндинг!$E$5:$E$300,$B139)+SUMIFS(Закрытые!$M$5:$M$300,Закрытые!$E$5:$E$300,$B139,Закрытые!$B$5:$B$300,"L-*"),8)))</f>
        <v/>
      </c>
      <c r="K139" s="240">
        <f>IF($B139="","",ROUND(SUMIFS(Закрытые!$N$5:$N$300,Закрытые!$E$5:$E$300,$B139,Закрытые!$B$5:$B$300,"L-*"),8))</f>
        <v/>
      </c>
      <c r="L139" s="177">
        <f>IF(K139="","",IF(SUMPRODUCT((Закрытые!$E$5:$E$300=$B139)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139/SUMPRODUCT((Закрытые!$E$5:$E$300=$B139)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9" s="177">
        <f>IF(OR(ROUND(N(C139)-N(F139),8)=0,1-N(Ввод!$E$17)/100&lt;=0),"",IF(N(C139)&gt;N(F139),(N(E139)-N(H139))/((N(C139)-N(F139))*(1-N(Ввод!$E$17)/100)),(N(H139)-N(E139))/((N(F139)-N(C139))*(1+N(Ввод!$E$17)/100))))</f>
        <v/>
      </c>
    </row>
    <row r="140" ht="22" customHeight="1">
      <c r="B140" s="320" t="n"/>
      <c r="C140" s="246">
        <f>IF(SUMIFS(Лэндинг!$F$5:$F$300,Лэндинг!$E$5:$E$300,$B140)+SUMIFS(Закрытые!$F$5:$F$300,Закрытые!$E$5:$E$300,$B140,Закрытые!$B$5:$B$300,"L-*")=0,"",SUMIFS(Лэндинг!$F$5:$F$300,Лэндинг!$E$5:$E$300,$B140)+SUMIFS(Закрытые!$F$5:$F$300,Закрытые!$E$5:$E$300,$B140,Закрытые!$B$5:$B$300,"L-*"))</f>
        <v/>
      </c>
      <c r="D140" s="183">
        <f>IF(C140="","",(SUMPRODUCT((Лэндинг!$E$5:$E$300=$B140)*Лэндинг!$F$5:$F$300*Лэндинг!$G$5:$G$300)+SUMPRODUCT((Закрытые!$E$5:$E$300=$B140)*(LEFT(Закрытые!$B$5:$B$300,2)="L-")*Закрытые!$F$5:$F$300*Закрытые!$G$5:$G$300))/C140)</f>
        <v/>
      </c>
      <c r="E140" s="247">
        <f>IF(C140="","",SUMIFS(Лэндинг!$H$5:$H$300,Лэндинг!$E$5:$E$300,$B140)+SUMIFS(Закрытые!$H$5:$H$300,Закрытые!$E$5:$E$300,$B140,Закрытые!$B$5:$B$300,"L-*"))</f>
        <v/>
      </c>
      <c r="F140" s="246">
        <f>IF(SUMIFS(Лэндинг!$I$5:$I$300,Лэндинг!$E$5:$E$300,$B140)+SUMIFS(Закрытые!$I$5:$I$300,Закрытые!$E$5:$E$300,$B140,Закрытые!$B$5:$B$300,"L-*")=0,"",SUMIFS(Лэндинг!$I$5:$I$300,Лэндинг!$E$5:$E$300,$B140)+SUMIFS(Закрытые!$I$5:$I$300,Закрытые!$E$5:$E$300,$B140,Закрытые!$B$5:$B$300,"L-*"))</f>
        <v/>
      </c>
      <c r="G140" s="183">
        <f>IF(F140="","",(SUMPRODUCT((Лэндинг!$E$5:$E$300=$B140)*Лэндинг!$I$5:$I$300*Лэндинг!$J$5:$J$300)+SUMPRODUCT((Закрытые!$E$5:$E$300=$B140)*(LEFT(Закрытые!$B$5:$B$300,2)="L-")*Закрытые!$I$5:$I$300*Закрытые!$J$5:$J$300))/F140)</f>
        <v/>
      </c>
      <c r="H140" s="247">
        <f>IF(F140="","",SUMIFS(Лэндинг!$K$5:$K$300,Лэндинг!$E$5:$E$300,$B140)+SUMIFS(Закрытые!$K$5:$K$300,Закрытые!$E$5:$E$300,$B140,Закрытые!$B$5:$B$300,"L-*"))</f>
        <v/>
      </c>
      <c r="I140" s="246">
        <f>IF($B140="","",IF(COUNTIFS(Лэндинг!$E$5:$E$300,$B140)+COUNTIFS(Закрытые!$E$5:$E$300,$B140,Закрытые!$B$5:$B$300,"L-*")=0,"",ROUND(SUMIFS(Лэндинг!$L$5:$L$300,Лэндинг!$E$5:$E$300,$B140)+SUMIFS(Закрытые!$L$5:$L$300,Закрытые!$E$5:$E$300,$B140,Закрытые!$B$5:$B$300,"L-*"),8)))</f>
        <v/>
      </c>
      <c r="J140" s="247">
        <f>IF($B140="","",IF(COUNTIFS(Лэндинг!$E$5:$E$300,$B140)+COUNTIFS(Закрытые!$E$5:$E$300,$B140,Закрытые!$B$5:$B$300,"L-*")=0,"",ROUND(SUMIFS(Лэндинг!$M$5:$M$300,Лэндинг!$E$5:$E$300,$B140)+SUMIFS(Закрытые!$M$5:$M$300,Закрытые!$E$5:$E$300,$B140,Закрытые!$B$5:$B$300,"L-*"),8)))</f>
        <v/>
      </c>
      <c r="K140" s="246">
        <f>IF($B140="","",ROUND(SUMIFS(Закрытые!$N$5:$N$300,Закрытые!$E$5:$E$300,$B140,Закрытые!$B$5:$B$300,"L-*"),8))</f>
        <v/>
      </c>
      <c r="L140" s="183">
        <f>IF(K140="","",IF(SUMPRODUCT((Закрытые!$E$5:$E$300=$B140)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140/SUMPRODUCT((Закрытые!$E$5:$E$300=$B140)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0" s="183">
        <f>IF(OR(ROUND(N(C140)-N(F140),8)=0,1-N(Ввод!$E$17)/100&lt;=0),"",IF(N(C140)&gt;N(F140),(N(E140)-N(H140))/((N(C140)-N(F140))*(1-N(Ввод!$E$17)/100)),(N(H140)-N(E140))/((N(F140)-N(C140))*(1+N(Ввод!$E$17)/100))))</f>
        <v/>
      </c>
    </row>
    <row r="141" ht="22" customHeight="1">
      <c r="B141" s="315" t="n"/>
      <c r="C141" s="240">
        <f>IF(SUMIFS(Лэндинг!$F$5:$F$300,Лэндинг!$E$5:$E$300,$B141)+SUMIFS(Закрытые!$F$5:$F$300,Закрытые!$E$5:$E$300,$B141,Закрытые!$B$5:$B$300,"L-*")=0,"",SUMIFS(Лэндинг!$F$5:$F$300,Лэндинг!$E$5:$E$300,$B141)+SUMIFS(Закрытые!$F$5:$F$300,Закрытые!$E$5:$E$300,$B141,Закрытые!$B$5:$B$300,"L-*"))</f>
        <v/>
      </c>
      <c r="D141" s="177">
        <f>IF(C141="","",(SUMPRODUCT((Лэндинг!$E$5:$E$300=$B141)*Лэндинг!$F$5:$F$300*Лэндинг!$G$5:$G$300)+SUMPRODUCT((Закрытые!$E$5:$E$300=$B141)*(LEFT(Закрытые!$B$5:$B$300,2)="L-")*Закрытые!$F$5:$F$300*Закрытые!$G$5:$G$300))/C141)</f>
        <v/>
      </c>
      <c r="E141" s="241">
        <f>IF(C141="","",SUMIFS(Лэндинг!$H$5:$H$300,Лэндинг!$E$5:$E$300,$B141)+SUMIFS(Закрытые!$H$5:$H$300,Закрытые!$E$5:$E$300,$B141,Закрытые!$B$5:$B$300,"L-*"))</f>
        <v/>
      </c>
      <c r="F141" s="240">
        <f>IF(SUMIFS(Лэндинг!$I$5:$I$300,Лэндинг!$E$5:$E$300,$B141)+SUMIFS(Закрытые!$I$5:$I$300,Закрытые!$E$5:$E$300,$B141,Закрытые!$B$5:$B$300,"L-*")=0,"",SUMIFS(Лэндинг!$I$5:$I$300,Лэндинг!$E$5:$E$300,$B141)+SUMIFS(Закрытые!$I$5:$I$300,Закрытые!$E$5:$E$300,$B141,Закрытые!$B$5:$B$300,"L-*"))</f>
        <v/>
      </c>
      <c r="G141" s="177">
        <f>IF(F141="","",(SUMPRODUCT((Лэндинг!$E$5:$E$300=$B141)*Лэндинг!$I$5:$I$300*Лэндинг!$J$5:$J$300)+SUMPRODUCT((Закрытые!$E$5:$E$300=$B141)*(LEFT(Закрытые!$B$5:$B$300,2)="L-")*Закрытые!$I$5:$I$300*Закрытые!$J$5:$J$300))/F141)</f>
        <v/>
      </c>
      <c r="H141" s="241">
        <f>IF(F141="","",SUMIFS(Лэндинг!$K$5:$K$300,Лэндинг!$E$5:$E$300,$B141)+SUMIFS(Закрытые!$K$5:$K$300,Закрытые!$E$5:$E$300,$B141,Закрытые!$B$5:$B$300,"L-*"))</f>
        <v/>
      </c>
      <c r="I141" s="240">
        <f>IF($B141="","",IF(COUNTIFS(Лэндинг!$E$5:$E$300,$B141)+COUNTIFS(Закрытые!$E$5:$E$300,$B141,Закрытые!$B$5:$B$300,"L-*")=0,"",ROUND(SUMIFS(Лэндинг!$L$5:$L$300,Лэндинг!$E$5:$E$300,$B141)+SUMIFS(Закрытые!$L$5:$L$300,Закрытые!$E$5:$E$300,$B141,Закрытые!$B$5:$B$300,"L-*"),8)))</f>
        <v/>
      </c>
      <c r="J141" s="241">
        <f>IF($B141="","",IF(COUNTIFS(Лэндинг!$E$5:$E$300,$B141)+COUNTIFS(Закрытые!$E$5:$E$300,$B141,Закрытые!$B$5:$B$300,"L-*")=0,"",ROUND(SUMIFS(Лэндинг!$M$5:$M$300,Лэндинг!$E$5:$E$300,$B141)+SUMIFS(Закрытые!$M$5:$M$300,Закрытые!$E$5:$E$300,$B141,Закрытые!$B$5:$B$300,"L-*"),8)))</f>
        <v/>
      </c>
      <c r="K141" s="240">
        <f>IF($B141="","",ROUND(SUMIFS(Закрытые!$N$5:$N$300,Закрытые!$E$5:$E$300,$B141,Закрытые!$B$5:$B$300,"L-*"),8))</f>
        <v/>
      </c>
      <c r="L141" s="177">
        <f>IF(K141="","",IF(SUMPRODUCT((Закрытые!$E$5:$E$300=$B141)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141/SUMPRODUCT((Закрытые!$E$5:$E$300=$B141)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1" s="177">
        <f>IF(OR(ROUND(N(C141)-N(F141),8)=0,1-N(Ввод!$E$17)/100&lt;=0),"",IF(N(C141)&gt;N(F141),(N(E141)-N(H141))/((N(C141)-N(F141))*(1-N(Ввод!$E$17)/100)),(N(H141)-N(E141))/((N(F141)-N(C141))*(1+N(Ввод!$E$17)/100))))</f>
        <v/>
      </c>
    </row>
    <row r="142" ht="22" customHeight="1">
      <c r="B142" s="320" t="n"/>
      <c r="C142" s="246">
        <f>IF(SUMIFS(Лэндинг!$F$5:$F$300,Лэндинг!$E$5:$E$300,$B142)+SUMIFS(Закрытые!$F$5:$F$300,Закрытые!$E$5:$E$300,$B142,Закрытые!$B$5:$B$300,"L-*")=0,"",SUMIFS(Лэндинг!$F$5:$F$300,Лэндинг!$E$5:$E$300,$B142)+SUMIFS(Закрытые!$F$5:$F$300,Закрытые!$E$5:$E$300,$B142,Закрытые!$B$5:$B$300,"L-*"))</f>
        <v/>
      </c>
      <c r="D142" s="183">
        <f>IF(C142="","",(SUMPRODUCT((Лэндинг!$E$5:$E$300=$B142)*Лэндинг!$F$5:$F$300*Лэндинг!$G$5:$G$300)+SUMPRODUCT((Закрытые!$E$5:$E$300=$B142)*(LEFT(Закрытые!$B$5:$B$300,2)="L-")*Закрытые!$F$5:$F$300*Закрытые!$G$5:$G$300))/C142)</f>
        <v/>
      </c>
      <c r="E142" s="247">
        <f>IF(C142="","",SUMIFS(Лэндинг!$H$5:$H$300,Лэндинг!$E$5:$E$300,$B142)+SUMIFS(Закрытые!$H$5:$H$300,Закрытые!$E$5:$E$300,$B142,Закрытые!$B$5:$B$300,"L-*"))</f>
        <v/>
      </c>
      <c r="F142" s="246">
        <f>IF(SUMIFS(Лэндинг!$I$5:$I$300,Лэндинг!$E$5:$E$300,$B142)+SUMIFS(Закрытые!$I$5:$I$300,Закрытые!$E$5:$E$300,$B142,Закрытые!$B$5:$B$300,"L-*")=0,"",SUMIFS(Лэндинг!$I$5:$I$300,Лэндинг!$E$5:$E$300,$B142)+SUMIFS(Закрытые!$I$5:$I$300,Закрытые!$E$5:$E$300,$B142,Закрытые!$B$5:$B$300,"L-*"))</f>
        <v/>
      </c>
      <c r="G142" s="183">
        <f>IF(F142="","",(SUMPRODUCT((Лэндинг!$E$5:$E$300=$B142)*Лэндинг!$I$5:$I$300*Лэндинг!$J$5:$J$300)+SUMPRODUCT((Закрытые!$E$5:$E$300=$B142)*(LEFT(Закрытые!$B$5:$B$300,2)="L-")*Закрытые!$I$5:$I$300*Закрытые!$J$5:$J$300))/F142)</f>
        <v/>
      </c>
      <c r="H142" s="247">
        <f>IF(F142="","",SUMIFS(Лэндинг!$K$5:$K$300,Лэндинг!$E$5:$E$300,$B142)+SUMIFS(Закрытые!$K$5:$K$300,Закрытые!$E$5:$E$300,$B142,Закрытые!$B$5:$B$300,"L-*"))</f>
        <v/>
      </c>
      <c r="I142" s="246">
        <f>IF($B142="","",IF(COUNTIFS(Лэндинг!$E$5:$E$300,$B142)+COUNTIFS(Закрытые!$E$5:$E$300,$B142,Закрытые!$B$5:$B$300,"L-*")=0,"",ROUND(SUMIFS(Лэндинг!$L$5:$L$300,Лэндинг!$E$5:$E$300,$B142)+SUMIFS(Закрытые!$L$5:$L$300,Закрытые!$E$5:$E$300,$B142,Закрытые!$B$5:$B$300,"L-*"),8)))</f>
        <v/>
      </c>
      <c r="J142" s="247">
        <f>IF($B142="","",IF(COUNTIFS(Лэндинг!$E$5:$E$300,$B142)+COUNTIFS(Закрытые!$E$5:$E$300,$B142,Закрытые!$B$5:$B$300,"L-*")=0,"",ROUND(SUMIFS(Лэндинг!$M$5:$M$300,Лэндинг!$E$5:$E$300,$B142)+SUMIFS(Закрытые!$M$5:$M$300,Закрытые!$E$5:$E$300,$B142,Закрытые!$B$5:$B$300,"L-*"),8)))</f>
        <v/>
      </c>
      <c r="K142" s="246">
        <f>IF($B142="","",ROUND(SUMIFS(Закрытые!$N$5:$N$300,Закрытые!$E$5:$E$300,$B142,Закрытые!$B$5:$B$300,"L-*"),8))</f>
        <v/>
      </c>
      <c r="L142" s="183">
        <f>IF(K142="","",IF(SUMPRODUCT((Закрытые!$E$5:$E$300=$B142)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142/SUMPRODUCT((Закрытые!$E$5:$E$300=$B142)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2" s="183">
        <f>IF(OR(ROUND(N(C142)-N(F142),8)=0,1-N(Ввод!$E$17)/100&lt;=0),"",IF(N(C142)&gt;N(F142),(N(E142)-N(H142))/((N(C142)-N(F142))*(1-N(Ввод!$E$17)/100)),(N(H142)-N(E142))/((N(F142)-N(C142))*(1+N(Ввод!$E$17)/100))))</f>
        <v/>
      </c>
    </row>
    <row r="143" ht="22" customHeight="1">
      <c r="B143" s="315" t="n"/>
      <c r="C143" s="240">
        <f>IF(SUMIFS(Лэндинг!$F$5:$F$300,Лэндинг!$E$5:$E$300,$B143)+SUMIFS(Закрытые!$F$5:$F$300,Закрытые!$E$5:$E$300,$B143,Закрытые!$B$5:$B$300,"L-*")=0,"",SUMIFS(Лэндинг!$F$5:$F$300,Лэндинг!$E$5:$E$300,$B143)+SUMIFS(Закрытые!$F$5:$F$300,Закрытые!$E$5:$E$300,$B143,Закрытые!$B$5:$B$300,"L-*"))</f>
        <v/>
      </c>
      <c r="D143" s="177">
        <f>IF(C143="","",(SUMPRODUCT((Лэндинг!$E$5:$E$300=$B143)*Лэндинг!$F$5:$F$300*Лэндинг!$G$5:$G$300)+SUMPRODUCT((Закрытые!$E$5:$E$300=$B143)*(LEFT(Закрытые!$B$5:$B$300,2)="L-")*Закрытые!$F$5:$F$300*Закрытые!$G$5:$G$300))/C143)</f>
        <v/>
      </c>
      <c r="E143" s="241">
        <f>IF(C143="","",SUMIFS(Лэндинг!$H$5:$H$300,Лэндинг!$E$5:$E$300,$B143)+SUMIFS(Закрытые!$H$5:$H$300,Закрытые!$E$5:$E$300,$B143,Закрытые!$B$5:$B$300,"L-*"))</f>
        <v/>
      </c>
      <c r="F143" s="240">
        <f>IF(SUMIFS(Лэндинг!$I$5:$I$300,Лэндинг!$E$5:$E$300,$B143)+SUMIFS(Закрытые!$I$5:$I$300,Закрытые!$E$5:$E$300,$B143,Закрытые!$B$5:$B$300,"L-*")=0,"",SUMIFS(Лэндинг!$I$5:$I$300,Лэндинг!$E$5:$E$300,$B143)+SUMIFS(Закрытые!$I$5:$I$300,Закрытые!$E$5:$E$300,$B143,Закрытые!$B$5:$B$300,"L-*"))</f>
        <v/>
      </c>
      <c r="G143" s="177">
        <f>IF(F143="","",(SUMPRODUCT((Лэндинг!$E$5:$E$300=$B143)*Лэндинг!$I$5:$I$300*Лэндинг!$J$5:$J$300)+SUMPRODUCT((Закрытые!$E$5:$E$300=$B143)*(LEFT(Закрытые!$B$5:$B$300,2)="L-")*Закрытые!$I$5:$I$300*Закрытые!$J$5:$J$300))/F143)</f>
        <v/>
      </c>
      <c r="H143" s="241">
        <f>IF(F143="","",SUMIFS(Лэндинг!$K$5:$K$300,Лэндинг!$E$5:$E$300,$B143)+SUMIFS(Закрытые!$K$5:$K$300,Закрытые!$E$5:$E$300,$B143,Закрытые!$B$5:$B$300,"L-*"))</f>
        <v/>
      </c>
      <c r="I143" s="240">
        <f>IF($B143="","",IF(COUNTIFS(Лэндинг!$E$5:$E$300,$B143)+COUNTIFS(Закрытые!$E$5:$E$300,$B143,Закрытые!$B$5:$B$300,"L-*")=0,"",ROUND(SUMIFS(Лэндинг!$L$5:$L$300,Лэндинг!$E$5:$E$300,$B143)+SUMIFS(Закрытые!$L$5:$L$300,Закрытые!$E$5:$E$300,$B143,Закрытые!$B$5:$B$300,"L-*"),8)))</f>
        <v/>
      </c>
      <c r="J143" s="241">
        <f>IF($B143="","",IF(COUNTIFS(Лэндинг!$E$5:$E$300,$B143)+COUNTIFS(Закрытые!$E$5:$E$300,$B143,Закрытые!$B$5:$B$300,"L-*")=0,"",ROUND(SUMIFS(Лэндинг!$M$5:$M$300,Лэндинг!$E$5:$E$300,$B143)+SUMIFS(Закрытые!$M$5:$M$300,Закрытые!$E$5:$E$300,$B143,Закрытые!$B$5:$B$300,"L-*"),8)))</f>
        <v/>
      </c>
      <c r="K143" s="240">
        <f>IF($B143="","",ROUND(SUMIFS(Закрытые!$N$5:$N$300,Закрытые!$E$5:$E$300,$B143,Закрытые!$B$5:$B$300,"L-*"),8))</f>
        <v/>
      </c>
      <c r="L143" s="177">
        <f>IF(K143="","",IF(SUMPRODUCT((Закрытые!$E$5:$E$300=$B143)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143/SUMPRODUCT((Закрытые!$E$5:$E$300=$B143)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3" s="177">
        <f>IF(OR(ROUND(N(C143)-N(F143),8)=0,1-N(Ввод!$E$17)/100&lt;=0),"",IF(N(C143)&gt;N(F143),(N(E143)-N(H143))/((N(C143)-N(F143))*(1-N(Ввод!$E$17)/100)),(N(H143)-N(E143))/((N(F143)-N(C143))*(1+N(Ввод!$E$17)/100))))</f>
        <v/>
      </c>
    </row>
    <row r="144" ht="22" customHeight="1">
      <c r="B144" s="320" t="n"/>
      <c r="C144" s="246">
        <f>IF(SUMIFS(Лэндинг!$F$5:$F$300,Лэндинг!$E$5:$E$300,$B144)+SUMIFS(Закрытые!$F$5:$F$300,Закрытые!$E$5:$E$300,$B144,Закрытые!$B$5:$B$300,"L-*")=0,"",SUMIFS(Лэндинг!$F$5:$F$300,Лэндинг!$E$5:$E$300,$B144)+SUMIFS(Закрытые!$F$5:$F$300,Закрытые!$E$5:$E$300,$B144,Закрытые!$B$5:$B$300,"L-*"))</f>
        <v/>
      </c>
      <c r="D144" s="183">
        <f>IF(C144="","",(SUMPRODUCT((Лэндинг!$E$5:$E$300=$B144)*Лэндинг!$F$5:$F$300*Лэндинг!$G$5:$G$300)+SUMPRODUCT((Закрытые!$E$5:$E$300=$B144)*(LEFT(Закрытые!$B$5:$B$300,2)="L-")*Закрытые!$F$5:$F$300*Закрытые!$G$5:$G$300))/C144)</f>
        <v/>
      </c>
      <c r="E144" s="247">
        <f>IF(C144="","",SUMIFS(Лэндинг!$H$5:$H$300,Лэндинг!$E$5:$E$300,$B144)+SUMIFS(Закрытые!$H$5:$H$300,Закрытые!$E$5:$E$300,$B144,Закрытые!$B$5:$B$300,"L-*"))</f>
        <v/>
      </c>
      <c r="F144" s="246">
        <f>IF(SUMIFS(Лэндинг!$I$5:$I$300,Лэндинг!$E$5:$E$300,$B144)+SUMIFS(Закрытые!$I$5:$I$300,Закрытые!$E$5:$E$300,$B144,Закрытые!$B$5:$B$300,"L-*")=0,"",SUMIFS(Лэндинг!$I$5:$I$300,Лэндинг!$E$5:$E$300,$B144)+SUMIFS(Закрытые!$I$5:$I$300,Закрытые!$E$5:$E$300,$B144,Закрытые!$B$5:$B$300,"L-*"))</f>
        <v/>
      </c>
      <c r="G144" s="183">
        <f>IF(F144="","",(SUMPRODUCT((Лэндинг!$E$5:$E$300=$B144)*Лэндинг!$I$5:$I$300*Лэндинг!$J$5:$J$300)+SUMPRODUCT((Закрытые!$E$5:$E$300=$B144)*(LEFT(Закрытые!$B$5:$B$300,2)="L-")*Закрытые!$I$5:$I$300*Закрытые!$J$5:$J$300))/F144)</f>
        <v/>
      </c>
      <c r="H144" s="247">
        <f>IF(F144="","",SUMIFS(Лэндинг!$K$5:$K$300,Лэндинг!$E$5:$E$300,$B144)+SUMIFS(Закрытые!$K$5:$K$300,Закрытые!$E$5:$E$300,$B144,Закрытые!$B$5:$B$300,"L-*"))</f>
        <v/>
      </c>
      <c r="I144" s="246">
        <f>IF($B144="","",IF(COUNTIFS(Лэндинг!$E$5:$E$300,$B144)+COUNTIFS(Закрытые!$E$5:$E$300,$B144,Закрытые!$B$5:$B$300,"L-*")=0,"",ROUND(SUMIFS(Лэндинг!$L$5:$L$300,Лэндинг!$E$5:$E$300,$B144)+SUMIFS(Закрытые!$L$5:$L$300,Закрытые!$E$5:$E$300,$B144,Закрытые!$B$5:$B$300,"L-*"),8)))</f>
        <v/>
      </c>
      <c r="J144" s="247">
        <f>IF($B144="","",IF(COUNTIFS(Лэндинг!$E$5:$E$300,$B144)+COUNTIFS(Закрытые!$E$5:$E$300,$B144,Закрытые!$B$5:$B$300,"L-*")=0,"",ROUND(SUMIFS(Лэндинг!$M$5:$M$300,Лэндинг!$E$5:$E$300,$B144)+SUMIFS(Закрытые!$M$5:$M$300,Закрытые!$E$5:$E$300,$B144,Закрытые!$B$5:$B$300,"L-*"),8)))</f>
        <v/>
      </c>
      <c r="K144" s="246">
        <f>IF($B144="","",ROUND(SUMIFS(Закрытые!$N$5:$N$300,Закрытые!$E$5:$E$300,$B144,Закрытые!$B$5:$B$300,"L-*"),8))</f>
        <v/>
      </c>
      <c r="L144" s="183">
        <f>IF(K144="","",IF(SUMPRODUCT((Закрытые!$E$5:$E$300=$B144)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144/SUMPRODUCT((Закрытые!$E$5:$E$300=$B144)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4" s="183">
        <f>IF(OR(ROUND(N(C144)-N(F144),8)=0,1-N(Ввод!$E$17)/100&lt;=0),"",IF(N(C144)&gt;N(F144),(N(E144)-N(H144))/((N(C144)-N(F144))*(1-N(Ввод!$E$17)/100)),(N(H144)-N(E144))/((N(F144)-N(C144))*(1+N(Ввод!$E$17)/100))))</f>
        <v/>
      </c>
    </row>
    <row r="145" ht="22" customHeight="1">
      <c r="B145" s="315" t="n"/>
      <c r="C145" s="240">
        <f>IF(SUMIFS(Лэндинг!$F$5:$F$300,Лэндинг!$E$5:$E$300,$B145)+SUMIFS(Закрытые!$F$5:$F$300,Закрытые!$E$5:$E$300,$B145,Закрытые!$B$5:$B$300,"L-*")=0,"",SUMIFS(Лэндинг!$F$5:$F$300,Лэндинг!$E$5:$E$300,$B145)+SUMIFS(Закрытые!$F$5:$F$300,Закрытые!$E$5:$E$300,$B145,Закрытые!$B$5:$B$300,"L-*"))</f>
        <v/>
      </c>
      <c r="D145" s="177">
        <f>IF(C145="","",(SUMPRODUCT((Лэндинг!$E$5:$E$300=$B145)*Лэндинг!$F$5:$F$300*Лэндинг!$G$5:$G$300)+SUMPRODUCT((Закрытые!$E$5:$E$300=$B145)*(LEFT(Закрытые!$B$5:$B$300,2)="L-")*Закрытые!$F$5:$F$300*Закрытые!$G$5:$G$300))/C145)</f>
        <v/>
      </c>
      <c r="E145" s="241">
        <f>IF(C145="","",SUMIFS(Лэндинг!$H$5:$H$300,Лэндинг!$E$5:$E$300,$B145)+SUMIFS(Закрытые!$H$5:$H$300,Закрытые!$E$5:$E$300,$B145,Закрытые!$B$5:$B$300,"L-*"))</f>
        <v/>
      </c>
      <c r="F145" s="240">
        <f>IF(SUMIFS(Лэндинг!$I$5:$I$300,Лэндинг!$E$5:$E$300,$B145)+SUMIFS(Закрытые!$I$5:$I$300,Закрытые!$E$5:$E$300,$B145,Закрытые!$B$5:$B$300,"L-*")=0,"",SUMIFS(Лэндинг!$I$5:$I$300,Лэндинг!$E$5:$E$300,$B145)+SUMIFS(Закрытые!$I$5:$I$300,Закрытые!$E$5:$E$300,$B145,Закрытые!$B$5:$B$300,"L-*"))</f>
        <v/>
      </c>
      <c r="G145" s="177">
        <f>IF(F145="","",(SUMPRODUCT((Лэндинг!$E$5:$E$300=$B145)*Лэндинг!$I$5:$I$300*Лэндинг!$J$5:$J$300)+SUMPRODUCT((Закрытые!$E$5:$E$300=$B145)*(LEFT(Закрытые!$B$5:$B$300,2)="L-")*Закрытые!$I$5:$I$300*Закрытые!$J$5:$J$300))/F145)</f>
        <v/>
      </c>
      <c r="H145" s="241">
        <f>IF(F145="","",SUMIFS(Лэндинг!$K$5:$K$300,Лэндинг!$E$5:$E$300,$B145)+SUMIFS(Закрытые!$K$5:$K$300,Закрытые!$E$5:$E$300,$B145,Закрытые!$B$5:$B$300,"L-*"))</f>
        <v/>
      </c>
      <c r="I145" s="240">
        <f>IF($B145="","",IF(COUNTIFS(Лэндинг!$E$5:$E$300,$B145)+COUNTIFS(Закрытые!$E$5:$E$300,$B145,Закрытые!$B$5:$B$300,"L-*")=0,"",ROUND(SUMIFS(Лэндинг!$L$5:$L$300,Лэндинг!$E$5:$E$300,$B145)+SUMIFS(Закрытые!$L$5:$L$300,Закрытые!$E$5:$E$300,$B145,Закрытые!$B$5:$B$300,"L-*"),8)))</f>
        <v/>
      </c>
      <c r="J145" s="241">
        <f>IF($B145="","",IF(COUNTIFS(Лэндинг!$E$5:$E$300,$B145)+COUNTIFS(Закрытые!$E$5:$E$300,$B145,Закрытые!$B$5:$B$300,"L-*")=0,"",ROUND(SUMIFS(Лэндинг!$M$5:$M$300,Лэндинг!$E$5:$E$300,$B145)+SUMIFS(Закрытые!$M$5:$M$300,Закрытые!$E$5:$E$300,$B145,Закрытые!$B$5:$B$300,"L-*"),8)))</f>
        <v/>
      </c>
      <c r="K145" s="240">
        <f>IF($B145="","",ROUND(SUMIFS(Закрытые!$N$5:$N$300,Закрытые!$E$5:$E$300,$B145,Закрытые!$B$5:$B$300,"L-*"),8))</f>
        <v/>
      </c>
      <c r="L145" s="177">
        <f>IF(K145="","",IF(SUMPRODUCT((Закрытые!$E$5:$E$300=$B145)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145/SUMPRODUCT((Закрытые!$E$5:$E$300=$B145)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5" s="177">
        <f>IF(OR(ROUND(N(C145)-N(F145),8)=0,1-N(Ввод!$E$17)/100&lt;=0),"",IF(N(C145)&gt;N(F145),(N(E145)-N(H145))/((N(C145)-N(F145))*(1-N(Ввод!$E$17)/100)),(N(H145)-N(E145))/((N(F145)-N(C145))*(1+N(Ввод!$E$17)/100))))</f>
        <v/>
      </c>
    </row>
    <row r="146" ht="22" customHeight="1">
      <c r="B146" s="320" t="n"/>
      <c r="C146" s="246">
        <f>IF(SUMIFS(Лэндинг!$F$5:$F$300,Лэндинг!$E$5:$E$300,$B146)+SUMIFS(Закрытые!$F$5:$F$300,Закрытые!$E$5:$E$300,$B146,Закрытые!$B$5:$B$300,"L-*")=0,"",SUMIFS(Лэндинг!$F$5:$F$300,Лэндинг!$E$5:$E$300,$B146)+SUMIFS(Закрытые!$F$5:$F$300,Закрытые!$E$5:$E$300,$B146,Закрытые!$B$5:$B$300,"L-*"))</f>
        <v/>
      </c>
      <c r="D146" s="183">
        <f>IF(C146="","",(SUMPRODUCT((Лэндинг!$E$5:$E$300=$B146)*Лэндинг!$F$5:$F$300*Лэндинг!$G$5:$G$300)+SUMPRODUCT((Закрытые!$E$5:$E$300=$B146)*(LEFT(Закрытые!$B$5:$B$300,2)="L-")*Закрытые!$F$5:$F$300*Закрытые!$G$5:$G$300))/C146)</f>
        <v/>
      </c>
      <c r="E146" s="247">
        <f>IF(C146="","",SUMIFS(Лэндинг!$H$5:$H$300,Лэндинг!$E$5:$E$300,$B146)+SUMIFS(Закрытые!$H$5:$H$300,Закрытые!$E$5:$E$300,$B146,Закрытые!$B$5:$B$300,"L-*"))</f>
        <v/>
      </c>
      <c r="F146" s="246">
        <f>IF(SUMIFS(Лэндинг!$I$5:$I$300,Лэндинг!$E$5:$E$300,$B146)+SUMIFS(Закрытые!$I$5:$I$300,Закрытые!$E$5:$E$300,$B146,Закрытые!$B$5:$B$300,"L-*")=0,"",SUMIFS(Лэндинг!$I$5:$I$300,Лэндинг!$E$5:$E$300,$B146)+SUMIFS(Закрытые!$I$5:$I$300,Закрытые!$E$5:$E$300,$B146,Закрытые!$B$5:$B$300,"L-*"))</f>
        <v/>
      </c>
      <c r="G146" s="183">
        <f>IF(F146="","",(SUMPRODUCT((Лэндинг!$E$5:$E$300=$B146)*Лэндинг!$I$5:$I$300*Лэндинг!$J$5:$J$300)+SUMPRODUCT((Закрытые!$E$5:$E$300=$B146)*(LEFT(Закрытые!$B$5:$B$300,2)="L-")*Закрытые!$I$5:$I$300*Закрытые!$J$5:$J$300))/F146)</f>
        <v/>
      </c>
      <c r="H146" s="247">
        <f>IF(F146="","",SUMIFS(Лэндинг!$K$5:$K$300,Лэндинг!$E$5:$E$300,$B146)+SUMIFS(Закрытые!$K$5:$K$300,Закрытые!$E$5:$E$300,$B146,Закрытые!$B$5:$B$300,"L-*"))</f>
        <v/>
      </c>
      <c r="I146" s="246">
        <f>IF($B146="","",IF(COUNTIFS(Лэндинг!$E$5:$E$300,$B146)+COUNTIFS(Закрытые!$E$5:$E$300,$B146,Закрытые!$B$5:$B$300,"L-*")=0,"",ROUND(SUMIFS(Лэндинг!$L$5:$L$300,Лэндинг!$E$5:$E$300,$B146)+SUMIFS(Закрытые!$L$5:$L$300,Закрытые!$E$5:$E$300,$B146,Закрытые!$B$5:$B$300,"L-*"),8)))</f>
        <v/>
      </c>
      <c r="J146" s="247">
        <f>IF($B146="","",IF(COUNTIFS(Лэндинг!$E$5:$E$300,$B146)+COUNTIFS(Закрытые!$E$5:$E$300,$B146,Закрытые!$B$5:$B$300,"L-*")=0,"",ROUND(SUMIFS(Лэндинг!$M$5:$M$300,Лэндинг!$E$5:$E$300,$B146)+SUMIFS(Закрытые!$M$5:$M$300,Закрытые!$E$5:$E$300,$B146,Закрытые!$B$5:$B$300,"L-*"),8)))</f>
        <v/>
      </c>
      <c r="K146" s="246">
        <f>IF($B146="","",ROUND(SUMIFS(Закрытые!$N$5:$N$300,Закрытые!$E$5:$E$300,$B146,Закрытые!$B$5:$B$300,"L-*"),8))</f>
        <v/>
      </c>
      <c r="L146" s="183">
        <f>IF(K146="","",IF(SUMPRODUCT((Закрытые!$E$5:$E$300=$B146)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146/SUMPRODUCT((Закрытые!$E$5:$E$300=$B146)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6" s="183">
        <f>IF(OR(ROUND(N(C146)-N(F146),8)=0,1-N(Ввод!$E$17)/100&lt;=0),"",IF(N(C146)&gt;N(F146),(N(E146)-N(H146))/((N(C146)-N(F146))*(1-N(Ввод!$E$17)/100)),(N(H146)-N(E146))/((N(F146)-N(C146))*(1+N(Ввод!$E$17)/100))))</f>
        <v/>
      </c>
    </row>
    <row r="147" ht="22" customHeight="1">
      <c r="B147" s="315" t="n"/>
      <c r="C147" s="240">
        <f>IF(SUMIFS(Лэндинг!$F$5:$F$300,Лэндинг!$E$5:$E$300,$B147)+SUMIFS(Закрытые!$F$5:$F$300,Закрытые!$E$5:$E$300,$B147,Закрытые!$B$5:$B$300,"L-*")=0,"",SUMIFS(Лэндинг!$F$5:$F$300,Лэндинг!$E$5:$E$300,$B147)+SUMIFS(Закрытые!$F$5:$F$300,Закрытые!$E$5:$E$300,$B147,Закрытые!$B$5:$B$300,"L-*"))</f>
        <v/>
      </c>
      <c r="D147" s="177">
        <f>IF(C147="","",(SUMPRODUCT((Лэндинг!$E$5:$E$300=$B147)*Лэндинг!$F$5:$F$300*Лэндинг!$G$5:$G$300)+SUMPRODUCT((Закрытые!$E$5:$E$300=$B147)*(LEFT(Закрытые!$B$5:$B$300,2)="L-")*Закрытые!$F$5:$F$300*Закрытые!$G$5:$G$300))/C147)</f>
        <v/>
      </c>
      <c r="E147" s="241">
        <f>IF(C147="","",SUMIFS(Лэндинг!$H$5:$H$300,Лэндинг!$E$5:$E$300,$B147)+SUMIFS(Закрытые!$H$5:$H$300,Закрытые!$E$5:$E$300,$B147,Закрытые!$B$5:$B$300,"L-*"))</f>
        <v/>
      </c>
      <c r="F147" s="240">
        <f>IF(SUMIFS(Лэндинг!$I$5:$I$300,Лэндинг!$E$5:$E$300,$B147)+SUMIFS(Закрытые!$I$5:$I$300,Закрытые!$E$5:$E$300,$B147,Закрытые!$B$5:$B$300,"L-*")=0,"",SUMIFS(Лэндинг!$I$5:$I$300,Лэндинг!$E$5:$E$300,$B147)+SUMIFS(Закрытые!$I$5:$I$300,Закрытые!$E$5:$E$300,$B147,Закрытые!$B$5:$B$300,"L-*"))</f>
        <v/>
      </c>
      <c r="G147" s="177">
        <f>IF(F147="","",(SUMPRODUCT((Лэндинг!$E$5:$E$300=$B147)*Лэндинг!$I$5:$I$300*Лэндинг!$J$5:$J$300)+SUMPRODUCT((Закрытые!$E$5:$E$300=$B147)*(LEFT(Закрытые!$B$5:$B$300,2)="L-")*Закрытые!$I$5:$I$300*Закрытые!$J$5:$J$300))/F147)</f>
        <v/>
      </c>
      <c r="H147" s="241">
        <f>IF(F147="","",SUMIFS(Лэндинг!$K$5:$K$300,Лэндинг!$E$5:$E$300,$B147)+SUMIFS(Закрытые!$K$5:$K$300,Закрытые!$E$5:$E$300,$B147,Закрытые!$B$5:$B$300,"L-*"))</f>
        <v/>
      </c>
      <c r="I147" s="240">
        <f>IF($B147="","",IF(COUNTIFS(Лэндинг!$E$5:$E$300,$B147)+COUNTIFS(Закрытые!$E$5:$E$300,$B147,Закрытые!$B$5:$B$300,"L-*")=0,"",ROUND(SUMIFS(Лэндинг!$L$5:$L$300,Лэндинг!$E$5:$E$300,$B147)+SUMIFS(Закрытые!$L$5:$L$300,Закрытые!$E$5:$E$300,$B147,Закрытые!$B$5:$B$300,"L-*"),8)))</f>
        <v/>
      </c>
      <c r="J147" s="241">
        <f>IF($B147="","",IF(COUNTIFS(Лэндинг!$E$5:$E$300,$B147)+COUNTIFS(Закрытые!$E$5:$E$300,$B147,Закрытые!$B$5:$B$300,"L-*")=0,"",ROUND(SUMIFS(Лэндинг!$M$5:$M$300,Лэндинг!$E$5:$E$300,$B147)+SUMIFS(Закрытые!$M$5:$M$300,Закрытые!$E$5:$E$300,$B147,Закрытые!$B$5:$B$300,"L-*"),8)))</f>
        <v/>
      </c>
      <c r="K147" s="240">
        <f>IF($B147="","",ROUND(SUMIFS(Закрытые!$N$5:$N$300,Закрытые!$E$5:$E$300,$B147,Закрытые!$B$5:$B$300,"L-*"),8))</f>
        <v/>
      </c>
      <c r="L147" s="177">
        <f>IF(K147="","",IF(SUMPRODUCT((Закрытые!$E$5:$E$300=$B147)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147/SUMPRODUCT((Закрытые!$E$5:$E$300=$B147)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7" s="177">
        <f>IF(OR(ROUND(N(C147)-N(F147),8)=0,1-N(Ввод!$E$17)/100&lt;=0),"",IF(N(C147)&gt;N(F147),(N(E147)-N(H147))/((N(C147)-N(F147))*(1-N(Ввод!$E$17)/100)),(N(H147)-N(E147))/((N(F147)-N(C147))*(1+N(Ввод!$E$17)/100))))</f>
        <v/>
      </c>
    </row>
    <row r="148" ht="22" customHeight="1">
      <c r="B148" s="320" t="n"/>
      <c r="C148" s="246">
        <f>IF(SUMIFS(Лэндинг!$F$5:$F$300,Лэндинг!$E$5:$E$300,$B148)+SUMIFS(Закрытые!$F$5:$F$300,Закрытые!$E$5:$E$300,$B148,Закрытые!$B$5:$B$300,"L-*")=0,"",SUMIFS(Лэндинг!$F$5:$F$300,Лэндинг!$E$5:$E$300,$B148)+SUMIFS(Закрытые!$F$5:$F$300,Закрытые!$E$5:$E$300,$B148,Закрытые!$B$5:$B$300,"L-*"))</f>
        <v/>
      </c>
      <c r="D148" s="183">
        <f>IF(C148="","",(SUMPRODUCT((Лэндинг!$E$5:$E$300=$B148)*Лэндинг!$F$5:$F$300*Лэндинг!$G$5:$G$300)+SUMPRODUCT((Закрытые!$E$5:$E$300=$B148)*(LEFT(Закрытые!$B$5:$B$300,2)="L-")*Закрытые!$F$5:$F$300*Закрытые!$G$5:$G$300))/C148)</f>
        <v/>
      </c>
      <c r="E148" s="247">
        <f>IF(C148="","",SUMIFS(Лэндинг!$H$5:$H$300,Лэндинг!$E$5:$E$300,$B148)+SUMIFS(Закрытые!$H$5:$H$300,Закрытые!$E$5:$E$300,$B148,Закрытые!$B$5:$B$300,"L-*"))</f>
        <v/>
      </c>
      <c r="F148" s="246">
        <f>IF(SUMIFS(Лэндинг!$I$5:$I$300,Лэндинг!$E$5:$E$300,$B148)+SUMIFS(Закрытые!$I$5:$I$300,Закрытые!$E$5:$E$300,$B148,Закрытые!$B$5:$B$300,"L-*")=0,"",SUMIFS(Лэндинг!$I$5:$I$300,Лэндинг!$E$5:$E$300,$B148)+SUMIFS(Закрытые!$I$5:$I$300,Закрытые!$E$5:$E$300,$B148,Закрытые!$B$5:$B$300,"L-*"))</f>
        <v/>
      </c>
      <c r="G148" s="183">
        <f>IF(F148="","",(SUMPRODUCT((Лэндинг!$E$5:$E$300=$B148)*Лэндинг!$I$5:$I$300*Лэндинг!$J$5:$J$300)+SUMPRODUCT((Закрытые!$E$5:$E$300=$B148)*(LEFT(Закрытые!$B$5:$B$300,2)="L-")*Закрытые!$I$5:$I$300*Закрытые!$J$5:$J$300))/F148)</f>
        <v/>
      </c>
      <c r="H148" s="247">
        <f>IF(F148="","",SUMIFS(Лэндинг!$K$5:$K$300,Лэндинг!$E$5:$E$300,$B148)+SUMIFS(Закрытые!$K$5:$K$300,Закрытые!$E$5:$E$300,$B148,Закрытые!$B$5:$B$300,"L-*"))</f>
        <v/>
      </c>
      <c r="I148" s="246">
        <f>IF($B148="","",IF(COUNTIFS(Лэндинг!$E$5:$E$300,$B148)+COUNTIFS(Закрытые!$E$5:$E$300,$B148,Закрытые!$B$5:$B$300,"L-*")=0,"",ROUND(SUMIFS(Лэндинг!$L$5:$L$300,Лэндинг!$E$5:$E$300,$B148)+SUMIFS(Закрытые!$L$5:$L$300,Закрытые!$E$5:$E$300,$B148,Закрытые!$B$5:$B$300,"L-*"),8)))</f>
        <v/>
      </c>
      <c r="J148" s="247">
        <f>IF($B148="","",IF(COUNTIFS(Лэндинг!$E$5:$E$300,$B148)+COUNTIFS(Закрытые!$E$5:$E$300,$B148,Закрытые!$B$5:$B$300,"L-*")=0,"",ROUND(SUMIFS(Лэндинг!$M$5:$M$300,Лэндинг!$E$5:$E$300,$B148)+SUMIFS(Закрытые!$M$5:$M$300,Закрытые!$E$5:$E$300,$B148,Закрытые!$B$5:$B$300,"L-*"),8)))</f>
        <v/>
      </c>
      <c r="K148" s="246">
        <f>IF($B148="","",ROUND(SUMIFS(Закрытые!$N$5:$N$300,Закрытые!$E$5:$E$300,$B148,Закрытые!$B$5:$B$300,"L-*"),8))</f>
        <v/>
      </c>
      <c r="L148" s="183">
        <f>IF(K148="","",IF(SUMPRODUCT((Закрытые!$E$5:$E$300=$B148)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148/SUMPRODUCT((Закрытые!$E$5:$E$300=$B148)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8" s="183">
        <f>IF(OR(ROUND(N(C148)-N(F148),8)=0,1-N(Ввод!$E$17)/100&lt;=0),"",IF(N(C148)&gt;N(F148),(N(E148)-N(H148))/((N(C148)-N(F148))*(1-N(Ввод!$E$17)/100)),(N(H148)-N(E148))/((N(F148)-N(C148))*(1+N(Ввод!$E$17)/100))))</f>
        <v/>
      </c>
    </row>
    <row r="149" ht="22" customHeight="1">
      <c r="B149" s="315" t="n"/>
      <c r="C149" s="240">
        <f>IF(SUMIFS(Лэндинг!$F$5:$F$300,Лэндинг!$E$5:$E$300,$B149)+SUMIFS(Закрытые!$F$5:$F$300,Закрытые!$E$5:$E$300,$B149,Закрытые!$B$5:$B$300,"L-*")=0,"",SUMIFS(Лэндинг!$F$5:$F$300,Лэндинг!$E$5:$E$300,$B149)+SUMIFS(Закрытые!$F$5:$F$300,Закрытые!$E$5:$E$300,$B149,Закрытые!$B$5:$B$300,"L-*"))</f>
        <v/>
      </c>
      <c r="D149" s="177">
        <f>IF(C149="","",(SUMPRODUCT((Лэндинг!$E$5:$E$300=$B149)*Лэндинг!$F$5:$F$300*Лэндинг!$G$5:$G$300)+SUMPRODUCT((Закрытые!$E$5:$E$300=$B149)*(LEFT(Закрытые!$B$5:$B$300,2)="L-")*Закрытые!$F$5:$F$300*Закрытые!$G$5:$G$300))/C149)</f>
        <v/>
      </c>
      <c r="E149" s="241">
        <f>IF(C149="","",SUMIFS(Лэндинг!$H$5:$H$300,Лэндинг!$E$5:$E$300,$B149)+SUMIFS(Закрытые!$H$5:$H$300,Закрытые!$E$5:$E$300,$B149,Закрытые!$B$5:$B$300,"L-*"))</f>
        <v/>
      </c>
      <c r="F149" s="240">
        <f>IF(SUMIFS(Лэндинг!$I$5:$I$300,Лэндинг!$E$5:$E$300,$B149)+SUMIFS(Закрытые!$I$5:$I$300,Закрытые!$E$5:$E$300,$B149,Закрытые!$B$5:$B$300,"L-*")=0,"",SUMIFS(Лэндинг!$I$5:$I$300,Лэндинг!$E$5:$E$300,$B149)+SUMIFS(Закрытые!$I$5:$I$300,Закрытые!$E$5:$E$300,$B149,Закрытые!$B$5:$B$300,"L-*"))</f>
        <v/>
      </c>
      <c r="G149" s="177">
        <f>IF(F149="","",(SUMPRODUCT((Лэндинг!$E$5:$E$300=$B149)*Лэндинг!$I$5:$I$300*Лэндинг!$J$5:$J$300)+SUMPRODUCT((Закрытые!$E$5:$E$300=$B149)*(LEFT(Закрытые!$B$5:$B$300,2)="L-")*Закрытые!$I$5:$I$300*Закрытые!$J$5:$J$300))/F149)</f>
        <v/>
      </c>
      <c r="H149" s="241">
        <f>IF(F149="","",SUMIFS(Лэндинг!$K$5:$K$300,Лэндинг!$E$5:$E$300,$B149)+SUMIFS(Закрытые!$K$5:$K$300,Закрытые!$E$5:$E$300,$B149,Закрытые!$B$5:$B$300,"L-*"))</f>
        <v/>
      </c>
      <c r="I149" s="240">
        <f>IF($B149="","",IF(COUNTIFS(Лэндинг!$E$5:$E$300,$B149)+COUNTIFS(Закрытые!$E$5:$E$300,$B149,Закрытые!$B$5:$B$300,"L-*")=0,"",ROUND(SUMIFS(Лэндинг!$L$5:$L$300,Лэндинг!$E$5:$E$300,$B149)+SUMIFS(Закрытые!$L$5:$L$300,Закрытые!$E$5:$E$300,$B149,Закрытые!$B$5:$B$300,"L-*"),8)))</f>
        <v/>
      </c>
      <c r="J149" s="241">
        <f>IF($B149="","",IF(COUNTIFS(Лэндинг!$E$5:$E$300,$B149)+COUNTIFS(Закрытые!$E$5:$E$300,$B149,Закрытые!$B$5:$B$300,"L-*")=0,"",ROUND(SUMIFS(Лэндинг!$M$5:$M$300,Лэндинг!$E$5:$E$300,$B149)+SUMIFS(Закрытые!$M$5:$M$300,Закрытые!$E$5:$E$300,$B149,Закрытые!$B$5:$B$300,"L-*"),8)))</f>
        <v/>
      </c>
      <c r="K149" s="240">
        <f>IF($B149="","",ROUND(SUMIFS(Закрытые!$N$5:$N$300,Закрытые!$E$5:$E$300,$B149,Закрытые!$B$5:$B$300,"L-*"),8))</f>
        <v/>
      </c>
      <c r="L149" s="177">
        <f>IF(K149="","",IF(SUMPRODUCT((Закрытые!$E$5:$E$300=$B149)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149/SUMPRODUCT((Закрытые!$E$5:$E$300=$B149)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9" s="177">
        <f>IF(OR(ROUND(N(C149)-N(F149),8)=0,1-N(Ввод!$E$17)/100&lt;=0),"",IF(N(C149)&gt;N(F149),(N(E149)-N(H149))/((N(C149)-N(F149))*(1-N(Ввод!$E$17)/100)),(N(H149)-N(E149))/((N(F149)-N(C149))*(1+N(Ввод!$E$17)/100))))</f>
        <v/>
      </c>
    </row>
    <row r="150" ht="22" customHeight="1">
      <c r="B150" s="320" t="n"/>
      <c r="C150" s="246">
        <f>IF(SUMIFS(Лэндинг!$F$5:$F$300,Лэндинг!$E$5:$E$300,$B150)+SUMIFS(Закрытые!$F$5:$F$300,Закрытые!$E$5:$E$300,$B150,Закрытые!$B$5:$B$300,"L-*")=0,"",SUMIFS(Лэндинг!$F$5:$F$300,Лэндинг!$E$5:$E$300,$B150)+SUMIFS(Закрытые!$F$5:$F$300,Закрытые!$E$5:$E$300,$B150,Закрытые!$B$5:$B$300,"L-*"))</f>
        <v/>
      </c>
      <c r="D150" s="183">
        <f>IF(C150="","",(SUMPRODUCT((Лэндинг!$E$5:$E$300=$B150)*Лэндинг!$F$5:$F$300*Лэндинг!$G$5:$G$300)+SUMPRODUCT((Закрытые!$E$5:$E$300=$B150)*(LEFT(Закрытые!$B$5:$B$300,2)="L-")*Закрытые!$F$5:$F$300*Закрытые!$G$5:$G$300))/C150)</f>
        <v/>
      </c>
      <c r="E150" s="247">
        <f>IF(C150="","",SUMIFS(Лэндинг!$H$5:$H$300,Лэндинг!$E$5:$E$300,$B150)+SUMIFS(Закрытые!$H$5:$H$300,Закрытые!$E$5:$E$300,$B150,Закрытые!$B$5:$B$300,"L-*"))</f>
        <v/>
      </c>
      <c r="F150" s="246">
        <f>IF(SUMIFS(Лэндинг!$I$5:$I$300,Лэндинг!$E$5:$E$300,$B150)+SUMIFS(Закрытые!$I$5:$I$300,Закрытые!$E$5:$E$300,$B150,Закрытые!$B$5:$B$300,"L-*")=0,"",SUMIFS(Лэндинг!$I$5:$I$300,Лэндинг!$E$5:$E$300,$B150)+SUMIFS(Закрытые!$I$5:$I$300,Закрытые!$E$5:$E$300,$B150,Закрытые!$B$5:$B$300,"L-*"))</f>
        <v/>
      </c>
      <c r="G150" s="183">
        <f>IF(F150="","",(SUMPRODUCT((Лэндинг!$E$5:$E$300=$B150)*Лэндинг!$I$5:$I$300*Лэндинг!$J$5:$J$300)+SUMPRODUCT((Закрытые!$E$5:$E$300=$B150)*(LEFT(Закрытые!$B$5:$B$300,2)="L-")*Закрытые!$I$5:$I$300*Закрытые!$J$5:$J$300))/F150)</f>
        <v/>
      </c>
      <c r="H150" s="247">
        <f>IF(F150="","",SUMIFS(Лэндинг!$K$5:$K$300,Лэндинг!$E$5:$E$300,$B150)+SUMIFS(Закрытые!$K$5:$K$300,Закрытые!$E$5:$E$300,$B150,Закрытые!$B$5:$B$300,"L-*"))</f>
        <v/>
      </c>
      <c r="I150" s="246">
        <f>IF($B150="","",IF(COUNTIFS(Лэндинг!$E$5:$E$300,$B150)+COUNTIFS(Закрытые!$E$5:$E$300,$B150,Закрытые!$B$5:$B$300,"L-*")=0,"",ROUND(SUMIFS(Лэндинг!$L$5:$L$300,Лэндинг!$E$5:$E$300,$B150)+SUMIFS(Закрытые!$L$5:$L$300,Закрытые!$E$5:$E$300,$B150,Закрытые!$B$5:$B$300,"L-*"),8)))</f>
        <v/>
      </c>
      <c r="J150" s="247">
        <f>IF($B150="","",IF(COUNTIFS(Лэндинг!$E$5:$E$300,$B150)+COUNTIFS(Закрытые!$E$5:$E$300,$B150,Закрытые!$B$5:$B$300,"L-*")=0,"",ROUND(SUMIFS(Лэндинг!$M$5:$M$300,Лэндинг!$E$5:$E$300,$B150)+SUMIFS(Закрытые!$M$5:$M$300,Закрытые!$E$5:$E$300,$B150,Закрытые!$B$5:$B$300,"L-*"),8)))</f>
        <v/>
      </c>
      <c r="K150" s="246">
        <f>IF($B150="","",ROUND(SUMIFS(Закрытые!$N$5:$N$300,Закрытые!$E$5:$E$300,$B150,Закрытые!$B$5:$B$300,"L-*"),8))</f>
        <v/>
      </c>
      <c r="L150" s="183">
        <f>IF(K150="","",IF(SUMPRODUCT((Закрытые!$E$5:$E$300=$B150)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150/SUMPRODUCT((Закрытые!$E$5:$E$300=$B150)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0" s="183">
        <f>IF(OR(ROUND(N(C150)-N(F150),8)=0,1-N(Ввод!$E$17)/100&lt;=0),"",IF(N(C150)&gt;N(F150),(N(E150)-N(H150))/((N(C150)-N(F150))*(1-N(Ввод!$E$17)/100)),(N(H150)-N(E150))/((N(F150)-N(C150))*(1+N(Ввод!$E$17)/100))))</f>
        <v/>
      </c>
    </row>
    <row r="151" ht="22" customHeight="1">
      <c r="B151" s="315" t="n"/>
      <c r="C151" s="240">
        <f>IF(SUMIFS(Лэндинг!$F$5:$F$300,Лэндинг!$E$5:$E$300,$B151)+SUMIFS(Закрытые!$F$5:$F$300,Закрытые!$E$5:$E$300,$B151,Закрытые!$B$5:$B$300,"L-*")=0,"",SUMIFS(Лэндинг!$F$5:$F$300,Лэндинг!$E$5:$E$300,$B151)+SUMIFS(Закрытые!$F$5:$F$300,Закрытые!$E$5:$E$300,$B151,Закрытые!$B$5:$B$300,"L-*"))</f>
        <v/>
      </c>
      <c r="D151" s="177">
        <f>IF(C151="","",(SUMPRODUCT((Лэндинг!$E$5:$E$300=$B151)*Лэндинг!$F$5:$F$300*Лэндинг!$G$5:$G$300)+SUMPRODUCT((Закрытые!$E$5:$E$300=$B151)*(LEFT(Закрытые!$B$5:$B$300,2)="L-")*Закрытые!$F$5:$F$300*Закрытые!$G$5:$G$300))/C151)</f>
        <v/>
      </c>
      <c r="E151" s="241">
        <f>IF(C151="","",SUMIFS(Лэндинг!$H$5:$H$300,Лэндинг!$E$5:$E$300,$B151)+SUMIFS(Закрытые!$H$5:$H$300,Закрытые!$E$5:$E$300,$B151,Закрытые!$B$5:$B$300,"L-*"))</f>
        <v/>
      </c>
      <c r="F151" s="240">
        <f>IF(SUMIFS(Лэндинг!$I$5:$I$300,Лэндинг!$E$5:$E$300,$B151)+SUMIFS(Закрытые!$I$5:$I$300,Закрытые!$E$5:$E$300,$B151,Закрытые!$B$5:$B$300,"L-*")=0,"",SUMIFS(Лэндинг!$I$5:$I$300,Лэндинг!$E$5:$E$300,$B151)+SUMIFS(Закрытые!$I$5:$I$300,Закрытые!$E$5:$E$300,$B151,Закрытые!$B$5:$B$300,"L-*"))</f>
        <v/>
      </c>
      <c r="G151" s="177">
        <f>IF(F151="","",(SUMPRODUCT((Лэндинг!$E$5:$E$300=$B151)*Лэндинг!$I$5:$I$300*Лэндинг!$J$5:$J$300)+SUMPRODUCT((Закрытые!$E$5:$E$300=$B151)*(LEFT(Закрытые!$B$5:$B$300,2)="L-")*Закрытые!$I$5:$I$300*Закрытые!$J$5:$J$300))/F151)</f>
        <v/>
      </c>
      <c r="H151" s="241">
        <f>IF(F151="","",SUMIFS(Лэндинг!$K$5:$K$300,Лэндинг!$E$5:$E$300,$B151)+SUMIFS(Закрытые!$K$5:$K$300,Закрытые!$E$5:$E$300,$B151,Закрытые!$B$5:$B$300,"L-*"))</f>
        <v/>
      </c>
      <c r="I151" s="240">
        <f>IF($B151="","",IF(COUNTIFS(Лэндинг!$E$5:$E$300,$B151)+COUNTIFS(Закрытые!$E$5:$E$300,$B151,Закрытые!$B$5:$B$300,"L-*")=0,"",ROUND(SUMIFS(Лэндинг!$L$5:$L$300,Лэндинг!$E$5:$E$300,$B151)+SUMIFS(Закрытые!$L$5:$L$300,Закрытые!$E$5:$E$300,$B151,Закрытые!$B$5:$B$300,"L-*"),8)))</f>
        <v/>
      </c>
      <c r="J151" s="241">
        <f>IF($B151="","",IF(COUNTIFS(Лэндинг!$E$5:$E$300,$B151)+COUNTIFS(Закрытые!$E$5:$E$300,$B151,Закрытые!$B$5:$B$300,"L-*")=0,"",ROUND(SUMIFS(Лэндинг!$M$5:$M$300,Лэндинг!$E$5:$E$300,$B151)+SUMIFS(Закрытые!$M$5:$M$300,Закрытые!$E$5:$E$300,$B151,Закрытые!$B$5:$B$300,"L-*"),8)))</f>
        <v/>
      </c>
      <c r="K151" s="240">
        <f>IF($B151="","",ROUND(SUMIFS(Закрытые!$N$5:$N$300,Закрытые!$E$5:$E$300,$B151,Закрытые!$B$5:$B$300,"L-*"),8))</f>
        <v/>
      </c>
      <c r="L151" s="177">
        <f>IF(K151="","",IF(SUMPRODUCT((Закрытые!$E$5:$E$300=$B151)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151/SUMPRODUCT((Закрытые!$E$5:$E$300=$B151)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1" s="177">
        <f>IF(OR(ROUND(N(C151)-N(F151),8)=0,1-N(Ввод!$E$17)/100&lt;=0),"",IF(N(C151)&gt;N(F151),(N(E151)-N(H151))/((N(C151)-N(F151))*(1-N(Ввод!$E$17)/100)),(N(H151)-N(E151))/((N(F151)-N(C151))*(1+N(Ввод!$E$17)/100))))</f>
        <v/>
      </c>
    </row>
    <row r="152" ht="22" customHeight="1">
      <c r="B152" s="320" t="n"/>
      <c r="C152" s="246">
        <f>IF(SUMIFS(Лэндинг!$F$5:$F$300,Лэндинг!$E$5:$E$300,$B152)+SUMIFS(Закрытые!$F$5:$F$300,Закрытые!$E$5:$E$300,$B152,Закрытые!$B$5:$B$300,"L-*")=0,"",SUMIFS(Лэндинг!$F$5:$F$300,Лэндинг!$E$5:$E$300,$B152)+SUMIFS(Закрытые!$F$5:$F$300,Закрытые!$E$5:$E$300,$B152,Закрытые!$B$5:$B$300,"L-*"))</f>
        <v/>
      </c>
      <c r="D152" s="183">
        <f>IF(C152="","",(SUMPRODUCT((Лэндинг!$E$5:$E$300=$B152)*Лэндинг!$F$5:$F$300*Лэндинг!$G$5:$G$300)+SUMPRODUCT((Закрытые!$E$5:$E$300=$B152)*(LEFT(Закрытые!$B$5:$B$300,2)="L-")*Закрытые!$F$5:$F$300*Закрытые!$G$5:$G$300))/C152)</f>
        <v/>
      </c>
      <c r="E152" s="247">
        <f>IF(C152="","",SUMIFS(Лэндинг!$H$5:$H$300,Лэндинг!$E$5:$E$300,$B152)+SUMIFS(Закрытые!$H$5:$H$300,Закрытые!$E$5:$E$300,$B152,Закрытые!$B$5:$B$300,"L-*"))</f>
        <v/>
      </c>
      <c r="F152" s="246">
        <f>IF(SUMIFS(Лэндинг!$I$5:$I$300,Лэндинг!$E$5:$E$300,$B152)+SUMIFS(Закрытые!$I$5:$I$300,Закрытые!$E$5:$E$300,$B152,Закрытые!$B$5:$B$300,"L-*")=0,"",SUMIFS(Лэндинг!$I$5:$I$300,Лэндинг!$E$5:$E$300,$B152)+SUMIFS(Закрытые!$I$5:$I$300,Закрытые!$E$5:$E$300,$B152,Закрытые!$B$5:$B$300,"L-*"))</f>
        <v/>
      </c>
      <c r="G152" s="183">
        <f>IF(F152="","",(SUMPRODUCT((Лэндинг!$E$5:$E$300=$B152)*Лэндинг!$I$5:$I$300*Лэндинг!$J$5:$J$300)+SUMPRODUCT((Закрытые!$E$5:$E$300=$B152)*(LEFT(Закрытые!$B$5:$B$300,2)="L-")*Закрытые!$I$5:$I$300*Закрытые!$J$5:$J$300))/F152)</f>
        <v/>
      </c>
      <c r="H152" s="247">
        <f>IF(F152="","",SUMIFS(Лэндинг!$K$5:$K$300,Лэндинг!$E$5:$E$300,$B152)+SUMIFS(Закрытые!$K$5:$K$300,Закрытые!$E$5:$E$300,$B152,Закрытые!$B$5:$B$300,"L-*"))</f>
        <v/>
      </c>
      <c r="I152" s="246">
        <f>IF($B152="","",IF(COUNTIFS(Лэндинг!$E$5:$E$300,$B152)+COUNTIFS(Закрытые!$E$5:$E$300,$B152,Закрытые!$B$5:$B$300,"L-*")=0,"",ROUND(SUMIFS(Лэндинг!$L$5:$L$300,Лэндинг!$E$5:$E$300,$B152)+SUMIFS(Закрытые!$L$5:$L$300,Закрытые!$E$5:$E$300,$B152,Закрытые!$B$5:$B$300,"L-*"),8)))</f>
        <v/>
      </c>
      <c r="J152" s="247">
        <f>IF($B152="","",IF(COUNTIFS(Лэндинг!$E$5:$E$300,$B152)+COUNTIFS(Закрытые!$E$5:$E$300,$B152,Закрытые!$B$5:$B$300,"L-*")=0,"",ROUND(SUMIFS(Лэндинг!$M$5:$M$300,Лэндинг!$E$5:$E$300,$B152)+SUMIFS(Закрытые!$M$5:$M$300,Закрытые!$E$5:$E$300,$B152,Закрытые!$B$5:$B$300,"L-*"),8)))</f>
        <v/>
      </c>
      <c r="K152" s="246">
        <f>IF($B152="","",ROUND(SUMIFS(Закрытые!$N$5:$N$300,Закрытые!$E$5:$E$300,$B152,Закрытые!$B$5:$B$300,"L-*"),8))</f>
        <v/>
      </c>
      <c r="L152" s="183">
        <f>IF(K152="","",IF(SUMPRODUCT((Закрытые!$E$5:$E$300=$B152)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152/SUMPRODUCT((Закрытые!$E$5:$E$300=$B152)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2" s="183">
        <f>IF(OR(ROUND(N(C152)-N(F152),8)=0,1-N(Ввод!$E$17)/100&lt;=0),"",IF(N(C152)&gt;N(F152),(N(E152)-N(H152))/((N(C152)-N(F152))*(1-N(Ввод!$E$17)/100)),(N(H152)-N(E152))/((N(F152)-N(C152))*(1+N(Ввод!$E$17)/100))))</f>
        <v/>
      </c>
    </row>
    <row r="153" ht="22" customHeight="1">
      <c r="B153" s="315" t="n"/>
      <c r="C153" s="240">
        <f>IF(SUMIFS(Лэндинг!$F$5:$F$300,Лэндинг!$E$5:$E$300,$B153)+SUMIFS(Закрытые!$F$5:$F$300,Закрытые!$E$5:$E$300,$B153,Закрытые!$B$5:$B$300,"L-*")=0,"",SUMIFS(Лэндинг!$F$5:$F$300,Лэндинг!$E$5:$E$300,$B153)+SUMIFS(Закрытые!$F$5:$F$300,Закрытые!$E$5:$E$300,$B153,Закрытые!$B$5:$B$300,"L-*"))</f>
        <v/>
      </c>
      <c r="D153" s="177">
        <f>IF(C153="","",(SUMPRODUCT((Лэндинг!$E$5:$E$300=$B153)*Лэндинг!$F$5:$F$300*Лэндинг!$G$5:$G$300)+SUMPRODUCT((Закрытые!$E$5:$E$300=$B153)*(LEFT(Закрытые!$B$5:$B$300,2)="L-")*Закрытые!$F$5:$F$300*Закрытые!$G$5:$G$300))/C153)</f>
        <v/>
      </c>
      <c r="E153" s="241">
        <f>IF(C153="","",SUMIFS(Лэндинг!$H$5:$H$300,Лэндинг!$E$5:$E$300,$B153)+SUMIFS(Закрытые!$H$5:$H$300,Закрытые!$E$5:$E$300,$B153,Закрытые!$B$5:$B$300,"L-*"))</f>
        <v/>
      </c>
      <c r="F153" s="240">
        <f>IF(SUMIFS(Лэндинг!$I$5:$I$300,Лэндинг!$E$5:$E$300,$B153)+SUMIFS(Закрытые!$I$5:$I$300,Закрытые!$E$5:$E$300,$B153,Закрытые!$B$5:$B$300,"L-*")=0,"",SUMIFS(Лэндинг!$I$5:$I$300,Лэндинг!$E$5:$E$300,$B153)+SUMIFS(Закрытые!$I$5:$I$300,Закрытые!$E$5:$E$300,$B153,Закрытые!$B$5:$B$300,"L-*"))</f>
        <v/>
      </c>
      <c r="G153" s="177">
        <f>IF(F153="","",(SUMPRODUCT((Лэндинг!$E$5:$E$300=$B153)*Лэндинг!$I$5:$I$300*Лэндинг!$J$5:$J$300)+SUMPRODUCT((Закрытые!$E$5:$E$300=$B153)*(LEFT(Закрытые!$B$5:$B$300,2)="L-")*Закрытые!$I$5:$I$300*Закрытые!$J$5:$J$300))/F153)</f>
        <v/>
      </c>
      <c r="H153" s="241">
        <f>IF(F153="","",SUMIFS(Лэндинг!$K$5:$K$300,Лэндинг!$E$5:$E$300,$B153)+SUMIFS(Закрытые!$K$5:$K$300,Закрытые!$E$5:$E$300,$B153,Закрытые!$B$5:$B$300,"L-*"))</f>
        <v/>
      </c>
      <c r="I153" s="240">
        <f>IF($B153="","",IF(COUNTIFS(Лэндинг!$E$5:$E$300,$B153)+COUNTIFS(Закрытые!$E$5:$E$300,$B153,Закрытые!$B$5:$B$300,"L-*")=0,"",ROUND(SUMIFS(Лэндинг!$L$5:$L$300,Лэндинг!$E$5:$E$300,$B153)+SUMIFS(Закрытые!$L$5:$L$300,Закрытые!$E$5:$E$300,$B153,Закрытые!$B$5:$B$300,"L-*"),8)))</f>
        <v/>
      </c>
      <c r="J153" s="241">
        <f>IF($B153="","",IF(COUNTIFS(Лэндинг!$E$5:$E$300,$B153)+COUNTIFS(Закрытые!$E$5:$E$300,$B153,Закрытые!$B$5:$B$300,"L-*")=0,"",ROUND(SUMIFS(Лэндинг!$M$5:$M$300,Лэндинг!$E$5:$E$300,$B153)+SUMIFS(Закрытые!$M$5:$M$300,Закрытые!$E$5:$E$300,$B153,Закрытые!$B$5:$B$300,"L-*"),8)))</f>
        <v/>
      </c>
      <c r="K153" s="240">
        <f>IF($B153="","",ROUND(SUMIFS(Закрытые!$N$5:$N$300,Закрытые!$E$5:$E$300,$B153,Закрытые!$B$5:$B$300,"L-*"),8))</f>
        <v/>
      </c>
      <c r="L153" s="177">
        <f>IF(K153="","",IF(SUMPRODUCT((Закрытые!$E$5:$E$300=$B153)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153/SUMPRODUCT((Закрытые!$E$5:$E$300=$B153)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3" s="177">
        <f>IF(OR(ROUND(N(C153)-N(F153),8)=0,1-N(Ввод!$E$17)/100&lt;=0),"",IF(N(C153)&gt;N(F153),(N(E153)-N(H153))/((N(C153)-N(F153))*(1-N(Ввод!$E$17)/100)),(N(H153)-N(E153))/((N(F153)-N(C153))*(1+N(Ввод!$E$17)/100))))</f>
        <v/>
      </c>
    </row>
    <row r="154" ht="22" customHeight="1">
      <c r="B154" s="320" t="n"/>
      <c r="C154" s="246">
        <f>IF(SUMIFS(Лэндинг!$F$5:$F$300,Лэндинг!$E$5:$E$300,$B154)+SUMIFS(Закрытые!$F$5:$F$300,Закрытые!$E$5:$E$300,$B154,Закрытые!$B$5:$B$300,"L-*")=0,"",SUMIFS(Лэндинг!$F$5:$F$300,Лэндинг!$E$5:$E$300,$B154)+SUMIFS(Закрытые!$F$5:$F$300,Закрытые!$E$5:$E$300,$B154,Закрытые!$B$5:$B$300,"L-*"))</f>
        <v/>
      </c>
      <c r="D154" s="183">
        <f>IF(C154="","",(SUMPRODUCT((Лэндинг!$E$5:$E$300=$B154)*Лэндинг!$F$5:$F$300*Лэндинг!$G$5:$G$300)+SUMPRODUCT((Закрытые!$E$5:$E$300=$B154)*(LEFT(Закрытые!$B$5:$B$300,2)="L-")*Закрытые!$F$5:$F$300*Закрытые!$G$5:$G$300))/C154)</f>
        <v/>
      </c>
      <c r="E154" s="247">
        <f>IF(C154="","",SUMIFS(Лэндинг!$H$5:$H$300,Лэндинг!$E$5:$E$300,$B154)+SUMIFS(Закрытые!$H$5:$H$300,Закрытые!$E$5:$E$300,$B154,Закрытые!$B$5:$B$300,"L-*"))</f>
        <v/>
      </c>
      <c r="F154" s="246">
        <f>IF(SUMIFS(Лэндинг!$I$5:$I$300,Лэндинг!$E$5:$E$300,$B154)+SUMIFS(Закрытые!$I$5:$I$300,Закрытые!$E$5:$E$300,$B154,Закрытые!$B$5:$B$300,"L-*")=0,"",SUMIFS(Лэндинг!$I$5:$I$300,Лэндинг!$E$5:$E$300,$B154)+SUMIFS(Закрытые!$I$5:$I$300,Закрытые!$E$5:$E$300,$B154,Закрытые!$B$5:$B$300,"L-*"))</f>
        <v/>
      </c>
      <c r="G154" s="183">
        <f>IF(F154="","",(SUMPRODUCT((Лэндинг!$E$5:$E$300=$B154)*Лэндинг!$I$5:$I$300*Лэндинг!$J$5:$J$300)+SUMPRODUCT((Закрытые!$E$5:$E$300=$B154)*(LEFT(Закрытые!$B$5:$B$300,2)="L-")*Закрытые!$I$5:$I$300*Закрытые!$J$5:$J$300))/F154)</f>
        <v/>
      </c>
      <c r="H154" s="247">
        <f>IF(F154="","",SUMIFS(Лэндинг!$K$5:$K$300,Лэндинг!$E$5:$E$300,$B154)+SUMIFS(Закрытые!$K$5:$K$300,Закрытые!$E$5:$E$300,$B154,Закрытые!$B$5:$B$300,"L-*"))</f>
        <v/>
      </c>
      <c r="I154" s="246">
        <f>IF($B154="","",IF(COUNTIFS(Лэндинг!$E$5:$E$300,$B154)+COUNTIFS(Закрытые!$E$5:$E$300,$B154,Закрытые!$B$5:$B$300,"L-*")=0,"",ROUND(SUMIFS(Лэндинг!$L$5:$L$300,Лэндинг!$E$5:$E$300,$B154)+SUMIFS(Закрытые!$L$5:$L$300,Закрытые!$E$5:$E$300,$B154,Закрытые!$B$5:$B$300,"L-*"),8)))</f>
        <v/>
      </c>
      <c r="J154" s="247">
        <f>IF($B154="","",IF(COUNTIFS(Лэндинг!$E$5:$E$300,$B154)+COUNTIFS(Закрытые!$E$5:$E$300,$B154,Закрытые!$B$5:$B$300,"L-*")=0,"",ROUND(SUMIFS(Лэндинг!$M$5:$M$300,Лэндинг!$E$5:$E$300,$B154)+SUMIFS(Закрытые!$M$5:$M$300,Закрытые!$E$5:$E$300,$B154,Закрытые!$B$5:$B$300,"L-*"),8)))</f>
        <v/>
      </c>
      <c r="K154" s="246">
        <f>IF($B154="","",ROUND(SUMIFS(Закрытые!$N$5:$N$300,Закрытые!$E$5:$E$300,$B154,Закрытые!$B$5:$B$300,"L-*"),8))</f>
        <v/>
      </c>
      <c r="L154" s="183">
        <f>IF(K154="","",IF(SUMPRODUCT((Закрытые!$E$5:$E$300=$B154)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154/SUMPRODUCT((Закрытые!$E$5:$E$300=$B154)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4" s="183">
        <f>IF(OR(ROUND(N(C154)-N(F154),8)=0,1-N(Ввод!$E$17)/100&lt;=0),"",IF(N(C154)&gt;N(F154),(N(E154)-N(H154))/((N(C154)-N(F154))*(1-N(Ввод!$E$17)/100)),(N(H154)-N(E154))/((N(F154)-N(C154))*(1+N(Ввод!$E$17)/100))))</f>
        <v/>
      </c>
    </row>
    <row r="155" ht="22" customHeight="1">
      <c r="B155" s="315" t="n"/>
      <c r="C155" s="240">
        <f>IF(SUMIFS(Лэндинг!$F$5:$F$300,Лэндинг!$E$5:$E$300,$B155)+SUMIFS(Закрытые!$F$5:$F$300,Закрытые!$E$5:$E$300,$B155,Закрытые!$B$5:$B$300,"L-*")=0,"",SUMIFS(Лэндинг!$F$5:$F$300,Лэндинг!$E$5:$E$300,$B155)+SUMIFS(Закрытые!$F$5:$F$300,Закрытые!$E$5:$E$300,$B155,Закрытые!$B$5:$B$300,"L-*"))</f>
        <v/>
      </c>
      <c r="D155" s="177">
        <f>IF(C155="","",(SUMPRODUCT((Лэндинг!$E$5:$E$300=$B155)*Лэндинг!$F$5:$F$300*Лэндинг!$G$5:$G$300)+SUMPRODUCT((Закрытые!$E$5:$E$300=$B155)*(LEFT(Закрытые!$B$5:$B$300,2)="L-")*Закрытые!$F$5:$F$300*Закрытые!$G$5:$G$300))/C155)</f>
        <v/>
      </c>
      <c r="E155" s="241">
        <f>IF(C155="","",SUMIFS(Лэндинг!$H$5:$H$300,Лэндинг!$E$5:$E$300,$B155)+SUMIFS(Закрытые!$H$5:$H$300,Закрытые!$E$5:$E$300,$B155,Закрытые!$B$5:$B$300,"L-*"))</f>
        <v/>
      </c>
      <c r="F155" s="240">
        <f>IF(SUMIFS(Лэндинг!$I$5:$I$300,Лэндинг!$E$5:$E$300,$B155)+SUMIFS(Закрытые!$I$5:$I$300,Закрытые!$E$5:$E$300,$B155,Закрытые!$B$5:$B$300,"L-*")=0,"",SUMIFS(Лэндинг!$I$5:$I$300,Лэндинг!$E$5:$E$300,$B155)+SUMIFS(Закрытые!$I$5:$I$300,Закрытые!$E$5:$E$300,$B155,Закрытые!$B$5:$B$300,"L-*"))</f>
        <v/>
      </c>
      <c r="G155" s="177">
        <f>IF(F155="","",(SUMPRODUCT((Лэндинг!$E$5:$E$300=$B155)*Лэндинг!$I$5:$I$300*Лэндинг!$J$5:$J$300)+SUMPRODUCT((Закрытые!$E$5:$E$300=$B155)*(LEFT(Закрытые!$B$5:$B$300,2)="L-")*Закрытые!$I$5:$I$300*Закрытые!$J$5:$J$300))/F155)</f>
        <v/>
      </c>
      <c r="H155" s="241">
        <f>IF(F155="","",SUMIFS(Лэндинг!$K$5:$K$300,Лэндинг!$E$5:$E$300,$B155)+SUMIFS(Закрытые!$K$5:$K$300,Закрытые!$E$5:$E$300,$B155,Закрытые!$B$5:$B$300,"L-*"))</f>
        <v/>
      </c>
      <c r="I155" s="240">
        <f>IF($B155="","",IF(COUNTIFS(Лэндинг!$E$5:$E$300,$B155)+COUNTIFS(Закрытые!$E$5:$E$300,$B155,Закрытые!$B$5:$B$300,"L-*")=0,"",ROUND(SUMIFS(Лэндинг!$L$5:$L$300,Лэндинг!$E$5:$E$300,$B155)+SUMIFS(Закрытые!$L$5:$L$300,Закрытые!$E$5:$E$300,$B155,Закрытые!$B$5:$B$300,"L-*"),8)))</f>
        <v/>
      </c>
      <c r="J155" s="241">
        <f>IF($B155="","",IF(COUNTIFS(Лэндинг!$E$5:$E$300,$B155)+COUNTIFS(Закрытые!$E$5:$E$300,$B155,Закрытые!$B$5:$B$300,"L-*")=0,"",ROUND(SUMIFS(Лэндинг!$M$5:$M$300,Лэндинг!$E$5:$E$300,$B155)+SUMIFS(Закрытые!$M$5:$M$300,Закрытые!$E$5:$E$300,$B155,Закрытые!$B$5:$B$300,"L-*"),8)))</f>
        <v/>
      </c>
      <c r="K155" s="240">
        <f>IF($B155="","",ROUND(SUMIFS(Закрытые!$N$5:$N$300,Закрытые!$E$5:$E$300,$B155,Закрытые!$B$5:$B$300,"L-*"),8))</f>
        <v/>
      </c>
      <c r="L155" s="177">
        <f>IF(K155="","",IF(SUMPRODUCT((Закрытые!$E$5:$E$300=$B155)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155/SUMPRODUCT((Закрытые!$E$5:$E$300=$B155)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5" s="177">
        <f>IF(OR(ROUND(N(C155)-N(F155),8)=0,1-N(Ввод!$E$17)/100&lt;=0),"",IF(N(C155)&gt;N(F155),(N(E155)-N(H155))/((N(C155)-N(F155))*(1-N(Ввод!$E$17)/100)),(N(H155)-N(E155))/((N(F155)-N(C155))*(1+N(Ввод!$E$17)/100))))</f>
        <v/>
      </c>
    </row>
    <row r="156" ht="22" customHeight="1">
      <c r="B156" s="320" t="n"/>
      <c r="C156" s="246">
        <f>IF(SUMIFS(Лэндинг!$F$5:$F$300,Лэндинг!$E$5:$E$300,$B156)+SUMIFS(Закрытые!$F$5:$F$300,Закрытые!$E$5:$E$300,$B156,Закрытые!$B$5:$B$300,"L-*")=0,"",SUMIFS(Лэндинг!$F$5:$F$300,Лэндинг!$E$5:$E$300,$B156)+SUMIFS(Закрытые!$F$5:$F$300,Закрытые!$E$5:$E$300,$B156,Закрытые!$B$5:$B$300,"L-*"))</f>
        <v/>
      </c>
      <c r="D156" s="183">
        <f>IF(C156="","",(SUMPRODUCT((Лэндинг!$E$5:$E$300=$B156)*Лэндинг!$F$5:$F$300*Лэндинг!$G$5:$G$300)+SUMPRODUCT((Закрытые!$E$5:$E$300=$B156)*(LEFT(Закрытые!$B$5:$B$300,2)="L-")*Закрытые!$F$5:$F$300*Закрытые!$G$5:$G$300))/C156)</f>
        <v/>
      </c>
      <c r="E156" s="247">
        <f>IF(C156="","",SUMIFS(Лэндинг!$H$5:$H$300,Лэндинг!$E$5:$E$300,$B156)+SUMIFS(Закрытые!$H$5:$H$300,Закрытые!$E$5:$E$300,$B156,Закрытые!$B$5:$B$300,"L-*"))</f>
        <v/>
      </c>
      <c r="F156" s="246">
        <f>IF(SUMIFS(Лэндинг!$I$5:$I$300,Лэндинг!$E$5:$E$300,$B156)+SUMIFS(Закрытые!$I$5:$I$300,Закрытые!$E$5:$E$300,$B156,Закрытые!$B$5:$B$300,"L-*")=0,"",SUMIFS(Лэндинг!$I$5:$I$300,Лэндинг!$E$5:$E$300,$B156)+SUMIFS(Закрытые!$I$5:$I$300,Закрытые!$E$5:$E$300,$B156,Закрытые!$B$5:$B$300,"L-*"))</f>
        <v/>
      </c>
      <c r="G156" s="183">
        <f>IF(F156="","",(SUMPRODUCT((Лэндинг!$E$5:$E$300=$B156)*Лэндинг!$I$5:$I$300*Лэндинг!$J$5:$J$300)+SUMPRODUCT((Закрытые!$E$5:$E$300=$B156)*(LEFT(Закрытые!$B$5:$B$300,2)="L-")*Закрытые!$I$5:$I$300*Закрытые!$J$5:$J$300))/F156)</f>
        <v/>
      </c>
      <c r="H156" s="247">
        <f>IF(F156="","",SUMIFS(Лэндинг!$K$5:$K$300,Лэндинг!$E$5:$E$300,$B156)+SUMIFS(Закрытые!$K$5:$K$300,Закрытые!$E$5:$E$300,$B156,Закрытые!$B$5:$B$300,"L-*"))</f>
        <v/>
      </c>
      <c r="I156" s="246">
        <f>IF($B156="","",IF(COUNTIFS(Лэндинг!$E$5:$E$300,$B156)+COUNTIFS(Закрытые!$E$5:$E$300,$B156,Закрытые!$B$5:$B$300,"L-*")=0,"",ROUND(SUMIFS(Лэндинг!$L$5:$L$300,Лэндинг!$E$5:$E$300,$B156)+SUMIFS(Закрытые!$L$5:$L$300,Закрытые!$E$5:$E$300,$B156,Закрытые!$B$5:$B$300,"L-*"),8)))</f>
        <v/>
      </c>
      <c r="J156" s="247">
        <f>IF($B156="","",IF(COUNTIFS(Лэндинг!$E$5:$E$300,$B156)+COUNTIFS(Закрытые!$E$5:$E$300,$B156,Закрытые!$B$5:$B$300,"L-*")=0,"",ROUND(SUMIFS(Лэндинг!$M$5:$M$300,Лэндинг!$E$5:$E$300,$B156)+SUMIFS(Закрытые!$M$5:$M$300,Закрытые!$E$5:$E$300,$B156,Закрытые!$B$5:$B$300,"L-*"),8)))</f>
        <v/>
      </c>
      <c r="K156" s="246">
        <f>IF($B156="","",ROUND(SUMIFS(Закрытые!$N$5:$N$300,Закрытые!$E$5:$E$300,$B156,Закрытые!$B$5:$B$300,"L-*"),8))</f>
        <v/>
      </c>
      <c r="L156" s="183">
        <f>IF(K156="","",IF(SUMPRODUCT((Закрытые!$E$5:$E$300=$B156)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156/SUMPRODUCT((Закрытые!$E$5:$E$300=$B156)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6" s="183">
        <f>IF(OR(ROUND(N(C156)-N(F156),8)=0,1-N(Ввод!$E$17)/100&lt;=0),"",IF(N(C156)&gt;N(F156),(N(E156)-N(H156))/((N(C156)-N(F156))*(1-N(Ввод!$E$17)/100)),(N(H156)-N(E156))/((N(F156)-N(C156))*(1+N(Ввод!$E$17)/100))))</f>
        <v/>
      </c>
    </row>
    <row r="157" ht="22" customHeight="1">
      <c r="B157" s="315" t="n"/>
      <c r="C157" s="240">
        <f>IF(SUMIFS(Лэндинг!$F$5:$F$300,Лэндинг!$E$5:$E$300,$B157)+SUMIFS(Закрытые!$F$5:$F$300,Закрытые!$E$5:$E$300,$B157,Закрытые!$B$5:$B$300,"L-*")=0,"",SUMIFS(Лэндинг!$F$5:$F$300,Лэндинг!$E$5:$E$300,$B157)+SUMIFS(Закрытые!$F$5:$F$300,Закрытые!$E$5:$E$300,$B157,Закрытые!$B$5:$B$300,"L-*"))</f>
        <v/>
      </c>
      <c r="D157" s="177">
        <f>IF(C157="","",(SUMPRODUCT((Лэндинг!$E$5:$E$300=$B157)*Лэндинг!$F$5:$F$300*Лэндинг!$G$5:$G$300)+SUMPRODUCT((Закрытые!$E$5:$E$300=$B157)*(LEFT(Закрытые!$B$5:$B$300,2)="L-")*Закрытые!$F$5:$F$300*Закрытые!$G$5:$G$300))/C157)</f>
        <v/>
      </c>
      <c r="E157" s="241">
        <f>IF(C157="","",SUMIFS(Лэндинг!$H$5:$H$300,Лэндинг!$E$5:$E$300,$B157)+SUMIFS(Закрытые!$H$5:$H$300,Закрытые!$E$5:$E$300,$B157,Закрытые!$B$5:$B$300,"L-*"))</f>
        <v/>
      </c>
      <c r="F157" s="240">
        <f>IF(SUMIFS(Лэндинг!$I$5:$I$300,Лэндинг!$E$5:$E$300,$B157)+SUMIFS(Закрытые!$I$5:$I$300,Закрытые!$E$5:$E$300,$B157,Закрытые!$B$5:$B$300,"L-*")=0,"",SUMIFS(Лэндинг!$I$5:$I$300,Лэндинг!$E$5:$E$300,$B157)+SUMIFS(Закрытые!$I$5:$I$300,Закрытые!$E$5:$E$300,$B157,Закрытые!$B$5:$B$300,"L-*"))</f>
        <v/>
      </c>
      <c r="G157" s="177">
        <f>IF(F157="","",(SUMPRODUCT((Лэндинг!$E$5:$E$300=$B157)*Лэндинг!$I$5:$I$300*Лэндинг!$J$5:$J$300)+SUMPRODUCT((Закрытые!$E$5:$E$300=$B157)*(LEFT(Закрытые!$B$5:$B$300,2)="L-")*Закрытые!$I$5:$I$300*Закрытые!$J$5:$J$300))/F157)</f>
        <v/>
      </c>
      <c r="H157" s="241">
        <f>IF(F157="","",SUMIFS(Лэндинг!$K$5:$K$300,Лэндинг!$E$5:$E$300,$B157)+SUMIFS(Закрытые!$K$5:$K$300,Закрытые!$E$5:$E$300,$B157,Закрытые!$B$5:$B$300,"L-*"))</f>
        <v/>
      </c>
      <c r="I157" s="240">
        <f>IF($B157="","",IF(COUNTIFS(Лэндинг!$E$5:$E$300,$B157)+COUNTIFS(Закрытые!$E$5:$E$300,$B157,Закрытые!$B$5:$B$300,"L-*")=0,"",ROUND(SUMIFS(Лэндинг!$L$5:$L$300,Лэндинг!$E$5:$E$300,$B157)+SUMIFS(Закрытые!$L$5:$L$300,Закрытые!$E$5:$E$300,$B157,Закрытые!$B$5:$B$300,"L-*"),8)))</f>
        <v/>
      </c>
      <c r="J157" s="241">
        <f>IF($B157="","",IF(COUNTIFS(Лэндинг!$E$5:$E$300,$B157)+COUNTIFS(Закрытые!$E$5:$E$300,$B157,Закрытые!$B$5:$B$300,"L-*")=0,"",ROUND(SUMIFS(Лэндинг!$M$5:$M$300,Лэндинг!$E$5:$E$300,$B157)+SUMIFS(Закрытые!$M$5:$M$300,Закрытые!$E$5:$E$300,$B157,Закрытые!$B$5:$B$300,"L-*"),8)))</f>
        <v/>
      </c>
      <c r="K157" s="240">
        <f>IF($B157="","",ROUND(SUMIFS(Закрытые!$N$5:$N$300,Закрытые!$E$5:$E$300,$B157,Закрытые!$B$5:$B$300,"L-*"),8))</f>
        <v/>
      </c>
      <c r="L157" s="177">
        <f>IF(K157="","",IF(SUMPRODUCT((Закрытые!$E$5:$E$300=$B157)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157/SUMPRODUCT((Закрытые!$E$5:$E$300=$B157)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7" s="177">
        <f>IF(OR(ROUND(N(C157)-N(F157),8)=0,1-N(Ввод!$E$17)/100&lt;=0),"",IF(N(C157)&gt;N(F157),(N(E157)-N(H157))/((N(C157)-N(F157))*(1-N(Ввод!$E$17)/100)),(N(H157)-N(E157))/((N(F157)-N(C157))*(1+N(Ввод!$E$17)/100))))</f>
        <v/>
      </c>
    </row>
    <row r="158" ht="22" customHeight="1">
      <c r="B158" s="320" t="n"/>
      <c r="C158" s="246">
        <f>IF(SUMIFS(Лэндинг!$F$5:$F$300,Лэндинг!$E$5:$E$300,$B158)+SUMIFS(Закрытые!$F$5:$F$300,Закрытые!$E$5:$E$300,$B158,Закрытые!$B$5:$B$300,"L-*")=0,"",SUMIFS(Лэндинг!$F$5:$F$300,Лэндинг!$E$5:$E$300,$B158)+SUMIFS(Закрытые!$F$5:$F$300,Закрытые!$E$5:$E$300,$B158,Закрытые!$B$5:$B$300,"L-*"))</f>
        <v/>
      </c>
      <c r="D158" s="183">
        <f>IF(C158="","",(SUMPRODUCT((Лэндинг!$E$5:$E$300=$B158)*Лэндинг!$F$5:$F$300*Лэндинг!$G$5:$G$300)+SUMPRODUCT((Закрытые!$E$5:$E$300=$B158)*(LEFT(Закрытые!$B$5:$B$300,2)="L-")*Закрытые!$F$5:$F$300*Закрытые!$G$5:$G$300))/C158)</f>
        <v/>
      </c>
      <c r="E158" s="247">
        <f>IF(C158="","",SUMIFS(Лэндинг!$H$5:$H$300,Лэндинг!$E$5:$E$300,$B158)+SUMIFS(Закрытые!$H$5:$H$300,Закрытые!$E$5:$E$300,$B158,Закрытые!$B$5:$B$300,"L-*"))</f>
        <v/>
      </c>
      <c r="F158" s="246">
        <f>IF(SUMIFS(Лэндинг!$I$5:$I$300,Лэндинг!$E$5:$E$300,$B158)+SUMIFS(Закрытые!$I$5:$I$300,Закрытые!$E$5:$E$300,$B158,Закрытые!$B$5:$B$300,"L-*")=0,"",SUMIFS(Лэндинг!$I$5:$I$300,Лэндинг!$E$5:$E$300,$B158)+SUMIFS(Закрытые!$I$5:$I$300,Закрытые!$E$5:$E$300,$B158,Закрытые!$B$5:$B$300,"L-*"))</f>
        <v/>
      </c>
      <c r="G158" s="183">
        <f>IF(F158="","",(SUMPRODUCT((Лэндинг!$E$5:$E$300=$B158)*Лэндинг!$I$5:$I$300*Лэндинг!$J$5:$J$300)+SUMPRODUCT((Закрытые!$E$5:$E$300=$B158)*(LEFT(Закрытые!$B$5:$B$300,2)="L-")*Закрытые!$I$5:$I$300*Закрытые!$J$5:$J$300))/F158)</f>
        <v/>
      </c>
      <c r="H158" s="247">
        <f>IF(F158="","",SUMIFS(Лэндинг!$K$5:$K$300,Лэндинг!$E$5:$E$300,$B158)+SUMIFS(Закрытые!$K$5:$K$300,Закрытые!$E$5:$E$300,$B158,Закрытые!$B$5:$B$300,"L-*"))</f>
        <v/>
      </c>
      <c r="I158" s="246">
        <f>IF($B158="","",IF(COUNTIFS(Лэндинг!$E$5:$E$300,$B158)+COUNTIFS(Закрытые!$E$5:$E$300,$B158,Закрытые!$B$5:$B$300,"L-*")=0,"",ROUND(SUMIFS(Лэндинг!$L$5:$L$300,Лэндинг!$E$5:$E$300,$B158)+SUMIFS(Закрытые!$L$5:$L$300,Закрытые!$E$5:$E$300,$B158,Закрытые!$B$5:$B$300,"L-*"),8)))</f>
        <v/>
      </c>
      <c r="J158" s="247">
        <f>IF($B158="","",IF(COUNTIFS(Лэндинг!$E$5:$E$300,$B158)+COUNTIFS(Закрытые!$E$5:$E$300,$B158,Закрытые!$B$5:$B$300,"L-*")=0,"",ROUND(SUMIFS(Лэндинг!$M$5:$M$300,Лэндинг!$E$5:$E$300,$B158)+SUMIFS(Закрытые!$M$5:$M$300,Закрытые!$E$5:$E$300,$B158,Закрытые!$B$5:$B$300,"L-*"),8)))</f>
        <v/>
      </c>
      <c r="K158" s="246">
        <f>IF($B158="","",ROUND(SUMIFS(Закрытые!$N$5:$N$300,Закрытые!$E$5:$E$300,$B158,Закрытые!$B$5:$B$300,"L-*"),8))</f>
        <v/>
      </c>
      <c r="L158" s="183">
        <f>IF(K158="","",IF(SUMPRODUCT((Закрытые!$E$5:$E$300=$B158)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158/SUMPRODUCT((Закрытые!$E$5:$E$300=$B158)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8" s="183">
        <f>IF(OR(ROUND(N(C158)-N(F158),8)=0,1-N(Ввод!$E$17)/100&lt;=0),"",IF(N(C158)&gt;N(F158),(N(E158)-N(H158))/((N(C158)-N(F158))*(1-N(Ввод!$E$17)/100)),(N(H158)-N(E158))/((N(F158)-N(C158))*(1+N(Ввод!$E$17)/100))))</f>
        <v/>
      </c>
    </row>
    <row r="159" ht="22" customHeight="1">
      <c r="B159" s="315" t="n"/>
      <c r="C159" s="240">
        <f>IF(SUMIFS(Лэндинг!$F$5:$F$300,Лэндинг!$E$5:$E$300,$B159)+SUMIFS(Закрытые!$F$5:$F$300,Закрытые!$E$5:$E$300,$B159,Закрытые!$B$5:$B$300,"L-*")=0,"",SUMIFS(Лэндинг!$F$5:$F$300,Лэндинг!$E$5:$E$300,$B159)+SUMIFS(Закрытые!$F$5:$F$300,Закрытые!$E$5:$E$300,$B159,Закрытые!$B$5:$B$300,"L-*"))</f>
        <v/>
      </c>
      <c r="D159" s="177">
        <f>IF(C159="","",(SUMPRODUCT((Лэндинг!$E$5:$E$300=$B159)*Лэндинг!$F$5:$F$300*Лэндинг!$G$5:$G$300)+SUMPRODUCT((Закрытые!$E$5:$E$300=$B159)*(LEFT(Закрытые!$B$5:$B$300,2)="L-")*Закрытые!$F$5:$F$300*Закрытые!$G$5:$G$300))/C159)</f>
        <v/>
      </c>
      <c r="E159" s="241">
        <f>IF(C159="","",SUMIFS(Лэндинг!$H$5:$H$300,Лэндинг!$E$5:$E$300,$B159)+SUMIFS(Закрытые!$H$5:$H$300,Закрытые!$E$5:$E$300,$B159,Закрытые!$B$5:$B$300,"L-*"))</f>
        <v/>
      </c>
      <c r="F159" s="240">
        <f>IF(SUMIFS(Лэндинг!$I$5:$I$300,Лэндинг!$E$5:$E$300,$B159)+SUMIFS(Закрытые!$I$5:$I$300,Закрытые!$E$5:$E$300,$B159,Закрытые!$B$5:$B$300,"L-*")=0,"",SUMIFS(Лэндинг!$I$5:$I$300,Лэндинг!$E$5:$E$300,$B159)+SUMIFS(Закрытые!$I$5:$I$300,Закрытые!$E$5:$E$300,$B159,Закрытые!$B$5:$B$300,"L-*"))</f>
        <v/>
      </c>
      <c r="G159" s="177">
        <f>IF(F159="","",(SUMPRODUCT((Лэндинг!$E$5:$E$300=$B159)*Лэндинг!$I$5:$I$300*Лэндинг!$J$5:$J$300)+SUMPRODUCT((Закрытые!$E$5:$E$300=$B159)*(LEFT(Закрытые!$B$5:$B$300,2)="L-")*Закрытые!$I$5:$I$300*Закрытые!$J$5:$J$300))/F159)</f>
        <v/>
      </c>
      <c r="H159" s="241">
        <f>IF(F159="","",SUMIFS(Лэндинг!$K$5:$K$300,Лэндинг!$E$5:$E$300,$B159)+SUMIFS(Закрытые!$K$5:$K$300,Закрытые!$E$5:$E$300,$B159,Закрытые!$B$5:$B$300,"L-*"))</f>
        <v/>
      </c>
      <c r="I159" s="240">
        <f>IF($B159="","",IF(COUNTIFS(Лэндинг!$E$5:$E$300,$B159)+COUNTIFS(Закрытые!$E$5:$E$300,$B159,Закрытые!$B$5:$B$300,"L-*")=0,"",ROUND(SUMIFS(Лэндинг!$L$5:$L$300,Лэндинг!$E$5:$E$300,$B159)+SUMIFS(Закрытые!$L$5:$L$300,Закрытые!$E$5:$E$300,$B159,Закрытые!$B$5:$B$300,"L-*"),8)))</f>
        <v/>
      </c>
      <c r="J159" s="241">
        <f>IF($B159="","",IF(COUNTIFS(Лэндинг!$E$5:$E$300,$B159)+COUNTIFS(Закрытые!$E$5:$E$300,$B159,Закрытые!$B$5:$B$300,"L-*")=0,"",ROUND(SUMIFS(Лэндинг!$M$5:$M$300,Лэндинг!$E$5:$E$300,$B159)+SUMIFS(Закрытые!$M$5:$M$300,Закрытые!$E$5:$E$300,$B159,Закрытые!$B$5:$B$300,"L-*"),8)))</f>
        <v/>
      </c>
      <c r="K159" s="240">
        <f>IF($B159="","",ROUND(SUMIFS(Закрытые!$N$5:$N$300,Закрытые!$E$5:$E$300,$B159,Закрытые!$B$5:$B$300,"L-*"),8))</f>
        <v/>
      </c>
      <c r="L159" s="177">
        <f>IF(K159="","",IF(SUMPRODUCT((Закрытые!$E$5:$E$300=$B159)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159/SUMPRODUCT((Закрытые!$E$5:$E$300=$B159)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9" s="177">
        <f>IF(OR(ROUND(N(C159)-N(F159),8)=0,1-N(Ввод!$E$17)/100&lt;=0),"",IF(N(C159)&gt;N(F159),(N(E159)-N(H159))/((N(C159)-N(F159))*(1-N(Ввод!$E$17)/100)),(N(H159)-N(E159))/((N(F159)-N(C159))*(1+N(Ввод!$E$17)/100))))</f>
        <v/>
      </c>
    </row>
    <row r="160" ht="22" customHeight="1">
      <c r="B160" s="320" t="n"/>
      <c r="C160" s="246">
        <f>IF(SUMIFS(Лэндинг!$F$5:$F$300,Лэндинг!$E$5:$E$300,$B160)+SUMIFS(Закрытые!$F$5:$F$300,Закрытые!$E$5:$E$300,$B160,Закрытые!$B$5:$B$300,"L-*")=0,"",SUMIFS(Лэндинг!$F$5:$F$300,Лэндинг!$E$5:$E$300,$B160)+SUMIFS(Закрытые!$F$5:$F$300,Закрытые!$E$5:$E$300,$B160,Закрытые!$B$5:$B$300,"L-*"))</f>
        <v/>
      </c>
      <c r="D160" s="183">
        <f>IF(C160="","",(SUMPRODUCT((Лэндинг!$E$5:$E$300=$B160)*Лэндинг!$F$5:$F$300*Лэндинг!$G$5:$G$300)+SUMPRODUCT((Закрытые!$E$5:$E$300=$B160)*(LEFT(Закрытые!$B$5:$B$300,2)="L-")*Закрытые!$F$5:$F$300*Закрытые!$G$5:$G$300))/C160)</f>
        <v/>
      </c>
      <c r="E160" s="247">
        <f>IF(C160="","",SUMIFS(Лэндинг!$H$5:$H$300,Лэндинг!$E$5:$E$300,$B160)+SUMIFS(Закрытые!$H$5:$H$300,Закрытые!$E$5:$E$300,$B160,Закрытые!$B$5:$B$300,"L-*"))</f>
        <v/>
      </c>
      <c r="F160" s="246">
        <f>IF(SUMIFS(Лэндинг!$I$5:$I$300,Лэндинг!$E$5:$E$300,$B160)+SUMIFS(Закрытые!$I$5:$I$300,Закрытые!$E$5:$E$300,$B160,Закрытые!$B$5:$B$300,"L-*")=0,"",SUMIFS(Лэндинг!$I$5:$I$300,Лэндинг!$E$5:$E$300,$B160)+SUMIFS(Закрытые!$I$5:$I$300,Закрытые!$E$5:$E$300,$B160,Закрытые!$B$5:$B$300,"L-*"))</f>
        <v/>
      </c>
      <c r="G160" s="183">
        <f>IF(F160="","",(SUMPRODUCT((Лэндинг!$E$5:$E$300=$B160)*Лэндинг!$I$5:$I$300*Лэндинг!$J$5:$J$300)+SUMPRODUCT((Закрытые!$E$5:$E$300=$B160)*(LEFT(Закрытые!$B$5:$B$300,2)="L-")*Закрытые!$I$5:$I$300*Закрытые!$J$5:$J$300))/F160)</f>
        <v/>
      </c>
      <c r="H160" s="247">
        <f>IF(F160="","",SUMIFS(Лэндинг!$K$5:$K$300,Лэндинг!$E$5:$E$300,$B160)+SUMIFS(Закрытые!$K$5:$K$300,Закрытые!$E$5:$E$300,$B160,Закрытые!$B$5:$B$300,"L-*"))</f>
        <v/>
      </c>
      <c r="I160" s="246">
        <f>IF($B160="","",IF(COUNTIFS(Лэндинг!$E$5:$E$300,$B160)+COUNTIFS(Закрытые!$E$5:$E$300,$B160,Закрытые!$B$5:$B$300,"L-*")=0,"",ROUND(SUMIFS(Лэндинг!$L$5:$L$300,Лэндинг!$E$5:$E$300,$B160)+SUMIFS(Закрытые!$L$5:$L$300,Закрытые!$E$5:$E$300,$B160,Закрытые!$B$5:$B$300,"L-*"),8)))</f>
        <v/>
      </c>
      <c r="J160" s="247">
        <f>IF($B160="","",IF(COUNTIFS(Лэндинг!$E$5:$E$300,$B160)+COUNTIFS(Закрытые!$E$5:$E$300,$B160,Закрытые!$B$5:$B$300,"L-*")=0,"",ROUND(SUMIFS(Лэндинг!$M$5:$M$300,Лэндинг!$E$5:$E$300,$B160)+SUMIFS(Закрытые!$M$5:$M$300,Закрытые!$E$5:$E$300,$B160,Закрытые!$B$5:$B$300,"L-*"),8)))</f>
        <v/>
      </c>
      <c r="K160" s="246">
        <f>IF($B160="","",ROUND(SUMIFS(Закрытые!$N$5:$N$300,Закрытые!$E$5:$E$300,$B160,Закрытые!$B$5:$B$300,"L-*"),8))</f>
        <v/>
      </c>
      <c r="L160" s="183">
        <f>IF(K160="","",IF(SUMPRODUCT((Закрытые!$E$5:$E$300=$B160)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160/SUMPRODUCT((Закрытые!$E$5:$E$300=$B160)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0" s="183">
        <f>IF(OR(ROUND(N(C160)-N(F160),8)=0,1-N(Ввод!$E$17)/100&lt;=0),"",IF(N(C160)&gt;N(F160),(N(E160)-N(H160))/((N(C160)-N(F160))*(1-N(Ввод!$E$17)/100)),(N(H160)-N(E160))/((N(F160)-N(C160))*(1+N(Ввод!$E$17)/100))))</f>
        <v/>
      </c>
    </row>
    <row r="161" ht="22" customHeight="1">
      <c r="B161" s="315" t="n"/>
      <c r="C161" s="240">
        <f>IF(SUMIFS(Лэндинг!$F$5:$F$300,Лэндинг!$E$5:$E$300,$B161)+SUMIFS(Закрытые!$F$5:$F$300,Закрытые!$E$5:$E$300,$B161,Закрытые!$B$5:$B$300,"L-*")=0,"",SUMIFS(Лэндинг!$F$5:$F$300,Лэндинг!$E$5:$E$300,$B161)+SUMIFS(Закрытые!$F$5:$F$300,Закрытые!$E$5:$E$300,$B161,Закрытые!$B$5:$B$300,"L-*"))</f>
        <v/>
      </c>
      <c r="D161" s="177">
        <f>IF(C161="","",(SUMPRODUCT((Лэндинг!$E$5:$E$300=$B161)*Лэндинг!$F$5:$F$300*Лэндинг!$G$5:$G$300)+SUMPRODUCT((Закрытые!$E$5:$E$300=$B161)*(LEFT(Закрытые!$B$5:$B$300,2)="L-")*Закрытые!$F$5:$F$300*Закрытые!$G$5:$G$300))/C161)</f>
        <v/>
      </c>
      <c r="E161" s="241">
        <f>IF(C161="","",SUMIFS(Лэндинг!$H$5:$H$300,Лэндинг!$E$5:$E$300,$B161)+SUMIFS(Закрытые!$H$5:$H$300,Закрытые!$E$5:$E$300,$B161,Закрытые!$B$5:$B$300,"L-*"))</f>
        <v/>
      </c>
      <c r="F161" s="240">
        <f>IF(SUMIFS(Лэндинг!$I$5:$I$300,Лэндинг!$E$5:$E$300,$B161)+SUMIFS(Закрытые!$I$5:$I$300,Закрытые!$E$5:$E$300,$B161,Закрытые!$B$5:$B$300,"L-*")=0,"",SUMIFS(Лэндинг!$I$5:$I$300,Лэндинг!$E$5:$E$300,$B161)+SUMIFS(Закрытые!$I$5:$I$300,Закрытые!$E$5:$E$300,$B161,Закрытые!$B$5:$B$300,"L-*"))</f>
        <v/>
      </c>
      <c r="G161" s="177">
        <f>IF(F161="","",(SUMPRODUCT((Лэндинг!$E$5:$E$300=$B161)*Лэндинг!$I$5:$I$300*Лэндинг!$J$5:$J$300)+SUMPRODUCT((Закрытые!$E$5:$E$300=$B161)*(LEFT(Закрытые!$B$5:$B$300,2)="L-")*Закрытые!$I$5:$I$300*Закрытые!$J$5:$J$300))/F161)</f>
        <v/>
      </c>
      <c r="H161" s="241">
        <f>IF(F161="","",SUMIFS(Лэндинг!$K$5:$K$300,Лэндинг!$E$5:$E$300,$B161)+SUMIFS(Закрытые!$K$5:$K$300,Закрытые!$E$5:$E$300,$B161,Закрытые!$B$5:$B$300,"L-*"))</f>
        <v/>
      </c>
      <c r="I161" s="240">
        <f>IF($B161="","",IF(COUNTIFS(Лэндинг!$E$5:$E$300,$B161)+COUNTIFS(Закрытые!$E$5:$E$300,$B161,Закрытые!$B$5:$B$300,"L-*")=0,"",ROUND(SUMIFS(Лэндинг!$L$5:$L$300,Лэндинг!$E$5:$E$300,$B161)+SUMIFS(Закрытые!$L$5:$L$300,Закрытые!$E$5:$E$300,$B161,Закрытые!$B$5:$B$300,"L-*"),8)))</f>
        <v/>
      </c>
      <c r="J161" s="241">
        <f>IF($B161="","",IF(COUNTIFS(Лэндинг!$E$5:$E$300,$B161)+COUNTIFS(Закрытые!$E$5:$E$300,$B161,Закрытые!$B$5:$B$300,"L-*")=0,"",ROUND(SUMIFS(Лэндинг!$M$5:$M$300,Лэндинг!$E$5:$E$300,$B161)+SUMIFS(Закрытые!$M$5:$M$300,Закрытые!$E$5:$E$300,$B161,Закрытые!$B$5:$B$300,"L-*"),8)))</f>
        <v/>
      </c>
      <c r="K161" s="240">
        <f>IF($B161="","",ROUND(SUMIFS(Закрытые!$N$5:$N$300,Закрытые!$E$5:$E$300,$B161,Закрытые!$B$5:$B$300,"L-*"),8))</f>
        <v/>
      </c>
      <c r="L161" s="177">
        <f>IF(K161="","",IF(SUMPRODUCT((Закрытые!$E$5:$E$300=$B161)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161/SUMPRODUCT((Закрытые!$E$5:$E$300=$B161)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1" s="177">
        <f>IF(OR(ROUND(N(C161)-N(F161),8)=0,1-N(Ввод!$E$17)/100&lt;=0),"",IF(N(C161)&gt;N(F161),(N(E161)-N(H161))/((N(C161)-N(F161))*(1-N(Ввод!$E$17)/100)),(N(H161)-N(E161))/((N(F161)-N(C161))*(1+N(Ввод!$E$17)/100))))</f>
        <v/>
      </c>
    </row>
    <row r="162" ht="22" customHeight="1">
      <c r="B162" s="320" t="n"/>
      <c r="C162" s="246">
        <f>IF(SUMIFS(Лэндинг!$F$5:$F$300,Лэндинг!$E$5:$E$300,$B162)+SUMIFS(Закрытые!$F$5:$F$300,Закрытые!$E$5:$E$300,$B162,Закрытые!$B$5:$B$300,"L-*")=0,"",SUMIFS(Лэндинг!$F$5:$F$300,Лэндинг!$E$5:$E$300,$B162)+SUMIFS(Закрытые!$F$5:$F$300,Закрытые!$E$5:$E$300,$B162,Закрытые!$B$5:$B$300,"L-*"))</f>
        <v/>
      </c>
      <c r="D162" s="183">
        <f>IF(C162="","",(SUMPRODUCT((Лэндинг!$E$5:$E$300=$B162)*Лэндинг!$F$5:$F$300*Лэндинг!$G$5:$G$300)+SUMPRODUCT((Закрытые!$E$5:$E$300=$B162)*(LEFT(Закрытые!$B$5:$B$300,2)="L-")*Закрытые!$F$5:$F$300*Закрытые!$G$5:$G$300))/C162)</f>
        <v/>
      </c>
      <c r="E162" s="247">
        <f>IF(C162="","",SUMIFS(Лэндинг!$H$5:$H$300,Лэндинг!$E$5:$E$300,$B162)+SUMIFS(Закрытые!$H$5:$H$300,Закрытые!$E$5:$E$300,$B162,Закрытые!$B$5:$B$300,"L-*"))</f>
        <v/>
      </c>
      <c r="F162" s="246">
        <f>IF(SUMIFS(Лэндинг!$I$5:$I$300,Лэндинг!$E$5:$E$300,$B162)+SUMIFS(Закрытые!$I$5:$I$300,Закрытые!$E$5:$E$300,$B162,Закрытые!$B$5:$B$300,"L-*")=0,"",SUMIFS(Лэндинг!$I$5:$I$300,Лэндинг!$E$5:$E$300,$B162)+SUMIFS(Закрытые!$I$5:$I$300,Закрытые!$E$5:$E$300,$B162,Закрытые!$B$5:$B$300,"L-*"))</f>
        <v/>
      </c>
      <c r="G162" s="183">
        <f>IF(F162="","",(SUMPRODUCT((Лэндинг!$E$5:$E$300=$B162)*Лэндинг!$I$5:$I$300*Лэндинг!$J$5:$J$300)+SUMPRODUCT((Закрытые!$E$5:$E$300=$B162)*(LEFT(Закрытые!$B$5:$B$300,2)="L-")*Закрытые!$I$5:$I$300*Закрытые!$J$5:$J$300))/F162)</f>
        <v/>
      </c>
      <c r="H162" s="247">
        <f>IF(F162="","",SUMIFS(Лэндинг!$K$5:$K$300,Лэндинг!$E$5:$E$300,$B162)+SUMIFS(Закрытые!$K$5:$K$300,Закрытые!$E$5:$E$300,$B162,Закрытые!$B$5:$B$300,"L-*"))</f>
        <v/>
      </c>
      <c r="I162" s="246">
        <f>IF($B162="","",IF(COUNTIFS(Лэндинг!$E$5:$E$300,$B162)+COUNTIFS(Закрытые!$E$5:$E$300,$B162,Закрытые!$B$5:$B$300,"L-*")=0,"",ROUND(SUMIFS(Лэндинг!$L$5:$L$300,Лэндинг!$E$5:$E$300,$B162)+SUMIFS(Закрытые!$L$5:$L$300,Закрытые!$E$5:$E$300,$B162,Закрытые!$B$5:$B$300,"L-*"),8)))</f>
        <v/>
      </c>
      <c r="J162" s="247">
        <f>IF($B162="","",IF(COUNTIFS(Лэндинг!$E$5:$E$300,$B162)+COUNTIFS(Закрытые!$E$5:$E$300,$B162,Закрытые!$B$5:$B$300,"L-*")=0,"",ROUND(SUMIFS(Лэндинг!$M$5:$M$300,Лэндинг!$E$5:$E$300,$B162)+SUMIFS(Закрытые!$M$5:$M$300,Закрытые!$E$5:$E$300,$B162,Закрытые!$B$5:$B$300,"L-*"),8)))</f>
        <v/>
      </c>
      <c r="K162" s="246">
        <f>IF($B162="","",ROUND(SUMIFS(Закрытые!$N$5:$N$300,Закрытые!$E$5:$E$300,$B162,Закрытые!$B$5:$B$300,"L-*"),8))</f>
        <v/>
      </c>
      <c r="L162" s="183">
        <f>IF(K162="","",IF(SUMPRODUCT((Закрытые!$E$5:$E$300=$B162)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162/SUMPRODUCT((Закрытые!$E$5:$E$300=$B162)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2" s="183">
        <f>IF(OR(ROUND(N(C162)-N(F162),8)=0,1-N(Ввод!$E$17)/100&lt;=0),"",IF(N(C162)&gt;N(F162),(N(E162)-N(H162))/((N(C162)-N(F162))*(1-N(Ввод!$E$17)/100)),(N(H162)-N(E162))/((N(F162)-N(C162))*(1+N(Ввод!$E$17)/100))))</f>
        <v/>
      </c>
    </row>
    <row r="163" ht="22" customHeight="1">
      <c r="B163" s="315" t="n"/>
      <c r="C163" s="240">
        <f>IF(SUMIFS(Лэндинг!$F$5:$F$300,Лэндинг!$E$5:$E$300,$B163)+SUMIFS(Закрытые!$F$5:$F$300,Закрытые!$E$5:$E$300,$B163,Закрытые!$B$5:$B$300,"L-*")=0,"",SUMIFS(Лэндинг!$F$5:$F$300,Лэндинг!$E$5:$E$300,$B163)+SUMIFS(Закрытые!$F$5:$F$300,Закрытые!$E$5:$E$300,$B163,Закрытые!$B$5:$B$300,"L-*"))</f>
        <v/>
      </c>
      <c r="D163" s="177">
        <f>IF(C163="","",(SUMPRODUCT((Лэндинг!$E$5:$E$300=$B163)*Лэндинг!$F$5:$F$300*Лэндинг!$G$5:$G$300)+SUMPRODUCT((Закрытые!$E$5:$E$300=$B163)*(LEFT(Закрытые!$B$5:$B$300,2)="L-")*Закрытые!$F$5:$F$300*Закрытые!$G$5:$G$300))/C163)</f>
        <v/>
      </c>
      <c r="E163" s="241">
        <f>IF(C163="","",SUMIFS(Лэндинг!$H$5:$H$300,Лэндинг!$E$5:$E$300,$B163)+SUMIFS(Закрытые!$H$5:$H$300,Закрытые!$E$5:$E$300,$B163,Закрытые!$B$5:$B$300,"L-*"))</f>
        <v/>
      </c>
      <c r="F163" s="240">
        <f>IF(SUMIFS(Лэндинг!$I$5:$I$300,Лэндинг!$E$5:$E$300,$B163)+SUMIFS(Закрытые!$I$5:$I$300,Закрытые!$E$5:$E$300,$B163,Закрытые!$B$5:$B$300,"L-*")=0,"",SUMIFS(Лэндинг!$I$5:$I$300,Лэндинг!$E$5:$E$300,$B163)+SUMIFS(Закрытые!$I$5:$I$300,Закрытые!$E$5:$E$300,$B163,Закрытые!$B$5:$B$300,"L-*"))</f>
        <v/>
      </c>
      <c r="G163" s="177">
        <f>IF(F163="","",(SUMPRODUCT((Лэндинг!$E$5:$E$300=$B163)*Лэндинг!$I$5:$I$300*Лэндинг!$J$5:$J$300)+SUMPRODUCT((Закрытые!$E$5:$E$300=$B163)*(LEFT(Закрытые!$B$5:$B$300,2)="L-")*Закрытые!$I$5:$I$300*Закрытые!$J$5:$J$300))/F163)</f>
        <v/>
      </c>
      <c r="H163" s="241">
        <f>IF(F163="","",SUMIFS(Лэндинг!$K$5:$K$300,Лэндинг!$E$5:$E$300,$B163)+SUMIFS(Закрытые!$K$5:$K$300,Закрытые!$E$5:$E$300,$B163,Закрытые!$B$5:$B$300,"L-*"))</f>
        <v/>
      </c>
      <c r="I163" s="240">
        <f>IF($B163="","",IF(COUNTIFS(Лэндинг!$E$5:$E$300,$B163)+COUNTIFS(Закрытые!$E$5:$E$300,$B163,Закрытые!$B$5:$B$300,"L-*")=0,"",ROUND(SUMIFS(Лэндинг!$L$5:$L$300,Лэндинг!$E$5:$E$300,$B163)+SUMIFS(Закрытые!$L$5:$L$300,Закрытые!$E$5:$E$300,$B163,Закрытые!$B$5:$B$300,"L-*"),8)))</f>
        <v/>
      </c>
      <c r="J163" s="241">
        <f>IF($B163="","",IF(COUNTIFS(Лэндинг!$E$5:$E$300,$B163)+COUNTIFS(Закрытые!$E$5:$E$300,$B163,Закрытые!$B$5:$B$300,"L-*")=0,"",ROUND(SUMIFS(Лэндинг!$M$5:$M$300,Лэндинг!$E$5:$E$300,$B163)+SUMIFS(Закрытые!$M$5:$M$300,Закрытые!$E$5:$E$300,$B163,Закрытые!$B$5:$B$300,"L-*"),8)))</f>
        <v/>
      </c>
      <c r="K163" s="240">
        <f>IF($B163="","",ROUND(SUMIFS(Закрытые!$N$5:$N$300,Закрытые!$E$5:$E$300,$B163,Закрытые!$B$5:$B$300,"L-*"),8))</f>
        <v/>
      </c>
      <c r="L163" s="177">
        <f>IF(K163="","",IF(SUMPRODUCT((Закрытые!$E$5:$E$300=$B163)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163/SUMPRODUCT((Закрытые!$E$5:$E$300=$B163)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3" s="177">
        <f>IF(OR(ROUND(N(C163)-N(F163),8)=0,1-N(Ввод!$E$17)/100&lt;=0),"",IF(N(C163)&gt;N(F163),(N(E163)-N(H163))/((N(C163)-N(F163))*(1-N(Ввод!$E$17)/100)),(N(H163)-N(E163))/((N(F163)-N(C163))*(1+N(Ввод!$E$17)/100))))</f>
        <v/>
      </c>
    </row>
    <row r="164" ht="22" customHeight="1">
      <c r="B164" s="320" t="n"/>
      <c r="C164" s="246">
        <f>IF(SUMIFS(Лэндинг!$F$5:$F$300,Лэндинг!$E$5:$E$300,$B164)+SUMIFS(Закрытые!$F$5:$F$300,Закрытые!$E$5:$E$300,$B164,Закрытые!$B$5:$B$300,"L-*")=0,"",SUMIFS(Лэндинг!$F$5:$F$300,Лэндинг!$E$5:$E$300,$B164)+SUMIFS(Закрытые!$F$5:$F$300,Закрытые!$E$5:$E$300,$B164,Закрытые!$B$5:$B$300,"L-*"))</f>
        <v/>
      </c>
      <c r="D164" s="183">
        <f>IF(C164="","",(SUMPRODUCT((Лэндинг!$E$5:$E$300=$B164)*Лэндинг!$F$5:$F$300*Лэндинг!$G$5:$G$300)+SUMPRODUCT((Закрытые!$E$5:$E$300=$B164)*(LEFT(Закрытые!$B$5:$B$300,2)="L-")*Закрытые!$F$5:$F$300*Закрытые!$G$5:$G$300))/C164)</f>
        <v/>
      </c>
      <c r="E164" s="247">
        <f>IF(C164="","",SUMIFS(Лэндинг!$H$5:$H$300,Лэндинг!$E$5:$E$300,$B164)+SUMIFS(Закрытые!$H$5:$H$300,Закрытые!$E$5:$E$300,$B164,Закрытые!$B$5:$B$300,"L-*"))</f>
        <v/>
      </c>
      <c r="F164" s="246">
        <f>IF(SUMIFS(Лэндинг!$I$5:$I$300,Лэндинг!$E$5:$E$300,$B164)+SUMIFS(Закрытые!$I$5:$I$300,Закрытые!$E$5:$E$300,$B164,Закрытые!$B$5:$B$300,"L-*")=0,"",SUMIFS(Лэндинг!$I$5:$I$300,Лэндинг!$E$5:$E$300,$B164)+SUMIFS(Закрытые!$I$5:$I$300,Закрытые!$E$5:$E$300,$B164,Закрытые!$B$5:$B$300,"L-*"))</f>
        <v/>
      </c>
      <c r="G164" s="183">
        <f>IF(F164="","",(SUMPRODUCT((Лэндинг!$E$5:$E$300=$B164)*Лэндинг!$I$5:$I$300*Лэндинг!$J$5:$J$300)+SUMPRODUCT((Закрытые!$E$5:$E$300=$B164)*(LEFT(Закрытые!$B$5:$B$300,2)="L-")*Закрытые!$I$5:$I$300*Закрытые!$J$5:$J$300))/F164)</f>
        <v/>
      </c>
      <c r="H164" s="247">
        <f>IF(F164="","",SUMIFS(Лэндинг!$K$5:$K$300,Лэндинг!$E$5:$E$300,$B164)+SUMIFS(Закрытые!$K$5:$K$300,Закрытые!$E$5:$E$300,$B164,Закрытые!$B$5:$B$300,"L-*"))</f>
        <v/>
      </c>
      <c r="I164" s="246">
        <f>IF($B164="","",IF(COUNTIFS(Лэндинг!$E$5:$E$300,$B164)+COUNTIFS(Закрытые!$E$5:$E$300,$B164,Закрытые!$B$5:$B$300,"L-*")=0,"",ROUND(SUMIFS(Лэндинг!$L$5:$L$300,Лэндинг!$E$5:$E$300,$B164)+SUMIFS(Закрытые!$L$5:$L$300,Закрытые!$E$5:$E$300,$B164,Закрытые!$B$5:$B$300,"L-*"),8)))</f>
        <v/>
      </c>
      <c r="J164" s="247">
        <f>IF($B164="","",IF(COUNTIFS(Лэндинг!$E$5:$E$300,$B164)+COUNTIFS(Закрытые!$E$5:$E$300,$B164,Закрытые!$B$5:$B$300,"L-*")=0,"",ROUND(SUMIFS(Лэндинг!$M$5:$M$300,Лэндинг!$E$5:$E$300,$B164)+SUMIFS(Закрытые!$M$5:$M$300,Закрытые!$E$5:$E$300,$B164,Закрытые!$B$5:$B$300,"L-*"),8)))</f>
        <v/>
      </c>
      <c r="K164" s="246">
        <f>IF($B164="","",ROUND(SUMIFS(Закрытые!$N$5:$N$300,Закрытые!$E$5:$E$300,$B164,Закрытые!$B$5:$B$300,"L-*"),8))</f>
        <v/>
      </c>
      <c r="L164" s="183">
        <f>IF(K164="","",IF(SUMPRODUCT((Закрытые!$E$5:$E$300=$B164)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164/SUMPRODUCT((Закрытые!$E$5:$E$300=$B164)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4" s="183">
        <f>IF(OR(ROUND(N(C164)-N(F164),8)=0,1-N(Ввод!$E$17)/100&lt;=0),"",IF(N(C164)&gt;N(F164),(N(E164)-N(H164))/((N(C164)-N(F164))*(1-N(Ввод!$E$17)/100)),(N(H164)-N(E164))/((N(F164)-N(C164))*(1+N(Ввод!$E$17)/100))))</f>
        <v/>
      </c>
    </row>
    <row r="165" ht="22" customHeight="1">
      <c r="B165" s="315" t="n"/>
      <c r="C165" s="240">
        <f>IF(SUMIFS(Лэндинг!$F$5:$F$300,Лэндинг!$E$5:$E$300,$B165)+SUMIFS(Закрытые!$F$5:$F$300,Закрытые!$E$5:$E$300,$B165,Закрытые!$B$5:$B$300,"L-*")=0,"",SUMIFS(Лэндинг!$F$5:$F$300,Лэндинг!$E$5:$E$300,$B165)+SUMIFS(Закрытые!$F$5:$F$300,Закрытые!$E$5:$E$300,$B165,Закрытые!$B$5:$B$300,"L-*"))</f>
        <v/>
      </c>
      <c r="D165" s="177">
        <f>IF(C165="","",(SUMPRODUCT((Лэндинг!$E$5:$E$300=$B165)*Лэндинг!$F$5:$F$300*Лэндинг!$G$5:$G$300)+SUMPRODUCT((Закрытые!$E$5:$E$300=$B165)*(LEFT(Закрытые!$B$5:$B$300,2)="L-")*Закрытые!$F$5:$F$300*Закрытые!$G$5:$G$300))/C165)</f>
        <v/>
      </c>
      <c r="E165" s="241">
        <f>IF(C165="","",SUMIFS(Лэндинг!$H$5:$H$300,Лэндинг!$E$5:$E$300,$B165)+SUMIFS(Закрытые!$H$5:$H$300,Закрытые!$E$5:$E$300,$B165,Закрытые!$B$5:$B$300,"L-*"))</f>
        <v/>
      </c>
      <c r="F165" s="240">
        <f>IF(SUMIFS(Лэндинг!$I$5:$I$300,Лэндинг!$E$5:$E$300,$B165)+SUMIFS(Закрытые!$I$5:$I$300,Закрытые!$E$5:$E$300,$B165,Закрытые!$B$5:$B$300,"L-*")=0,"",SUMIFS(Лэндинг!$I$5:$I$300,Лэндинг!$E$5:$E$300,$B165)+SUMIFS(Закрытые!$I$5:$I$300,Закрытые!$E$5:$E$300,$B165,Закрытые!$B$5:$B$300,"L-*"))</f>
        <v/>
      </c>
      <c r="G165" s="177">
        <f>IF(F165="","",(SUMPRODUCT((Лэндинг!$E$5:$E$300=$B165)*Лэндинг!$I$5:$I$300*Лэндинг!$J$5:$J$300)+SUMPRODUCT((Закрытые!$E$5:$E$300=$B165)*(LEFT(Закрытые!$B$5:$B$300,2)="L-")*Закрытые!$I$5:$I$300*Закрытые!$J$5:$J$300))/F165)</f>
        <v/>
      </c>
      <c r="H165" s="241">
        <f>IF(F165="","",SUMIFS(Лэндинг!$K$5:$K$300,Лэндинг!$E$5:$E$300,$B165)+SUMIFS(Закрытые!$K$5:$K$300,Закрытые!$E$5:$E$300,$B165,Закрытые!$B$5:$B$300,"L-*"))</f>
        <v/>
      </c>
      <c r="I165" s="240">
        <f>IF($B165="","",IF(COUNTIFS(Лэндинг!$E$5:$E$300,$B165)+COUNTIFS(Закрытые!$E$5:$E$300,$B165,Закрытые!$B$5:$B$300,"L-*")=0,"",ROUND(SUMIFS(Лэндинг!$L$5:$L$300,Лэндинг!$E$5:$E$300,$B165)+SUMIFS(Закрытые!$L$5:$L$300,Закрытые!$E$5:$E$300,$B165,Закрытые!$B$5:$B$300,"L-*"),8)))</f>
        <v/>
      </c>
      <c r="J165" s="241">
        <f>IF($B165="","",IF(COUNTIFS(Лэндинг!$E$5:$E$300,$B165)+COUNTIFS(Закрытые!$E$5:$E$300,$B165,Закрытые!$B$5:$B$300,"L-*")=0,"",ROUND(SUMIFS(Лэндинг!$M$5:$M$300,Лэндинг!$E$5:$E$300,$B165)+SUMIFS(Закрытые!$M$5:$M$300,Закрытые!$E$5:$E$300,$B165,Закрытые!$B$5:$B$300,"L-*"),8)))</f>
        <v/>
      </c>
      <c r="K165" s="240">
        <f>IF($B165="","",ROUND(SUMIFS(Закрытые!$N$5:$N$300,Закрытые!$E$5:$E$300,$B165,Закрытые!$B$5:$B$300,"L-*"),8))</f>
        <v/>
      </c>
      <c r="L165" s="177">
        <f>IF(K165="","",IF(SUMPRODUCT((Закрытые!$E$5:$E$300=$B165)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165/SUMPRODUCT((Закрытые!$E$5:$E$300=$B165)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5" s="177">
        <f>IF(OR(ROUND(N(C165)-N(F165),8)=0,1-N(Ввод!$E$17)/100&lt;=0),"",IF(N(C165)&gt;N(F165),(N(E165)-N(H165))/((N(C165)-N(F165))*(1-N(Ввод!$E$17)/100)),(N(H165)-N(E165))/((N(F165)-N(C165))*(1+N(Ввод!$E$17)/100))))</f>
        <v/>
      </c>
    </row>
    <row r="166" ht="22" customHeight="1">
      <c r="B166" s="320" t="n"/>
      <c r="C166" s="246">
        <f>IF(SUMIFS(Лэндинг!$F$5:$F$300,Лэндинг!$E$5:$E$300,$B166)+SUMIFS(Закрытые!$F$5:$F$300,Закрытые!$E$5:$E$300,$B166,Закрытые!$B$5:$B$300,"L-*")=0,"",SUMIFS(Лэндинг!$F$5:$F$300,Лэндинг!$E$5:$E$300,$B166)+SUMIFS(Закрытые!$F$5:$F$300,Закрытые!$E$5:$E$300,$B166,Закрытые!$B$5:$B$300,"L-*"))</f>
        <v/>
      </c>
      <c r="D166" s="183">
        <f>IF(C166="","",(SUMPRODUCT((Лэндинг!$E$5:$E$300=$B166)*Лэндинг!$F$5:$F$300*Лэндинг!$G$5:$G$300)+SUMPRODUCT((Закрытые!$E$5:$E$300=$B166)*(LEFT(Закрытые!$B$5:$B$300,2)="L-")*Закрытые!$F$5:$F$300*Закрытые!$G$5:$G$300))/C166)</f>
        <v/>
      </c>
      <c r="E166" s="247">
        <f>IF(C166="","",SUMIFS(Лэндинг!$H$5:$H$300,Лэндинг!$E$5:$E$300,$B166)+SUMIFS(Закрытые!$H$5:$H$300,Закрытые!$E$5:$E$300,$B166,Закрытые!$B$5:$B$300,"L-*"))</f>
        <v/>
      </c>
      <c r="F166" s="246">
        <f>IF(SUMIFS(Лэндинг!$I$5:$I$300,Лэндинг!$E$5:$E$300,$B166)+SUMIFS(Закрытые!$I$5:$I$300,Закрытые!$E$5:$E$300,$B166,Закрытые!$B$5:$B$300,"L-*")=0,"",SUMIFS(Лэндинг!$I$5:$I$300,Лэндинг!$E$5:$E$300,$B166)+SUMIFS(Закрытые!$I$5:$I$300,Закрытые!$E$5:$E$300,$B166,Закрытые!$B$5:$B$300,"L-*"))</f>
        <v/>
      </c>
      <c r="G166" s="183">
        <f>IF(F166="","",(SUMPRODUCT((Лэндинг!$E$5:$E$300=$B166)*Лэндинг!$I$5:$I$300*Лэндинг!$J$5:$J$300)+SUMPRODUCT((Закрытые!$E$5:$E$300=$B166)*(LEFT(Закрытые!$B$5:$B$300,2)="L-")*Закрытые!$I$5:$I$300*Закрытые!$J$5:$J$300))/F166)</f>
        <v/>
      </c>
      <c r="H166" s="247">
        <f>IF(F166="","",SUMIFS(Лэндинг!$K$5:$K$300,Лэндинг!$E$5:$E$300,$B166)+SUMIFS(Закрытые!$K$5:$K$300,Закрытые!$E$5:$E$300,$B166,Закрытые!$B$5:$B$300,"L-*"))</f>
        <v/>
      </c>
      <c r="I166" s="246">
        <f>IF($B166="","",IF(COUNTIFS(Лэндинг!$E$5:$E$300,$B166)+COUNTIFS(Закрытые!$E$5:$E$300,$B166,Закрытые!$B$5:$B$300,"L-*")=0,"",ROUND(SUMIFS(Лэндинг!$L$5:$L$300,Лэндинг!$E$5:$E$300,$B166)+SUMIFS(Закрытые!$L$5:$L$300,Закрытые!$E$5:$E$300,$B166,Закрытые!$B$5:$B$300,"L-*"),8)))</f>
        <v/>
      </c>
      <c r="J166" s="247">
        <f>IF($B166="","",IF(COUNTIFS(Лэндинг!$E$5:$E$300,$B166)+COUNTIFS(Закрытые!$E$5:$E$300,$B166,Закрытые!$B$5:$B$300,"L-*")=0,"",ROUND(SUMIFS(Лэндинг!$M$5:$M$300,Лэндинг!$E$5:$E$300,$B166)+SUMIFS(Закрытые!$M$5:$M$300,Закрытые!$E$5:$E$300,$B166,Закрытые!$B$5:$B$300,"L-*"),8)))</f>
        <v/>
      </c>
      <c r="K166" s="246">
        <f>IF($B166="","",ROUND(SUMIFS(Закрытые!$N$5:$N$300,Закрытые!$E$5:$E$300,$B166,Закрытые!$B$5:$B$300,"L-*"),8))</f>
        <v/>
      </c>
      <c r="L166" s="183">
        <f>IF(K166="","",IF(SUMPRODUCT((Закрытые!$E$5:$E$300=$B166)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166/SUMPRODUCT((Закрытые!$E$5:$E$300=$B166)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6" s="183">
        <f>IF(OR(ROUND(N(C166)-N(F166),8)=0,1-N(Ввод!$E$17)/100&lt;=0),"",IF(N(C166)&gt;N(F166),(N(E166)-N(H166))/((N(C166)-N(F166))*(1-N(Ввод!$E$17)/100)),(N(H166)-N(E166))/((N(F166)-N(C166))*(1+N(Ввод!$E$17)/100))))</f>
        <v/>
      </c>
    </row>
    <row r="167" ht="22" customHeight="1">
      <c r="B167" s="315" t="n"/>
      <c r="C167" s="240">
        <f>IF(SUMIFS(Лэндинг!$F$5:$F$300,Лэндинг!$E$5:$E$300,$B167)+SUMIFS(Закрытые!$F$5:$F$300,Закрытые!$E$5:$E$300,$B167,Закрытые!$B$5:$B$300,"L-*")=0,"",SUMIFS(Лэндинг!$F$5:$F$300,Лэндинг!$E$5:$E$300,$B167)+SUMIFS(Закрытые!$F$5:$F$300,Закрытые!$E$5:$E$300,$B167,Закрытые!$B$5:$B$300,"L-*"))</f>
        <v/>
      </c>
      <c r="D167" s="177">
        <f>IF(C167="","",(SUMPRODUCT((Лэндинг!$E$5:$E$300=$B167)*Лэндинг!$F$5:$F$300*Лэндинг!$G$5:$G$300)+SUMPRODUCT((Закрытые!$E$5:$E$300=$B167)*(LEFT(Закрытые!$B$5:$B$300,2)="L-")*Закрытые!$F$5:$F$300*Закрытые!$G$5:$G$300))/C167)</f>
        <v/>
      </c>
      <c r="E167" s="241">
        <f>IF(C167="","",SUMIFS(Лэндинг!$H$5:$H$300,Лэндинг!$E$5:$E$300,$B167)+SUMIFS(Закрытые!$H$5:$H$300,Закрытые!$E$5:$E$300,$B167,Закрытые!$B$5:$B$300,"L-*"))</f>
        <v/>
      </c>
      <c r="F167" s="240">
        <f>IF(SUMIFS(Лэндинг!$I$5:$I$300,Лэндинг!$E$5:$E$300,$B167)+SUMIFS(Закрытые!$I$5:$I$300,Закрытые!$E$5:$E$300,$B167,Закрытые!$B$5:$B$300,"L-*")=0,"",SUMIFS(Лэндинг!$I$5:$I$300,Лэндинг!$E$5:$E$300,$B167)+SUMIFS(Закрытые!$I$5:$I$300,Закрытые!$E$5:$E$300,$B167,Закрытые!$B$5:$B$300,"L-*"))</f>
        <v/>
      </c>
      <c r="G167" s="177">
        <f>IF(F167="","",(SUMPRODUCT((Лэндинг!$E$5:$E$300=$B167)*Лэндинг!$I$5:$I$300*Лэндинг!$J$5:$J$300)+SUMPRODUCT((Закрытые!$E$5:$E$300=$B167)*(LEFT(Закрытые!$B$5:$B$300,2)="L-")*Закрытые!$I$5:$I$300*Закрытые!$J$5:$J$300))/F167)</f>
        <v/>
      </c>
      <c r="H167" s="241">
        <f>IF(F167="","",SUMIFS(Лэндинг!$K$5:$K$300,Лэндинг!$E$5:$E$300,$B167)+SUMIFS(Закрытые!$K$5:$K$300,Закрытые!$E$5:$E$300,$B167,Закрытые!$B$5:$B$300,"L-*"))</f>
        <v/>
      </c>
      <c r="I167" s="240">
        <f>IF($B167="","",IF(COUNTIFS(Лэндинг!$E$5:$E$300,$B167)+COUNTIFS(Закрытые!$E$5:$E$300,$B167,Закрытые!$B$5:$B$300,"L-*")=0,"",ROUND(SUMIFS(Лэндинг!$L$5:$L$300,Лэндинг!$E$5:$E$300,$B167)+SUMIFS(Закрытые!$L$5:$L$300,Закрытые!$E$5:$E$300,$B167,Закрытые!$B$5:$B$300,"L-*"),8)))</f>
        <v/>
      </c>
      <c r="J167" s="241">
        <f>IF($B167="","",IF(COUNTIFS(Лэндинг!$E$5:$E$300,$B167)+COUNTIFS(Закрытые!$E$5:$E$300,$B167,Закрытые!$B$5:$B$300,"L-*")=0,"",ROUND(SUMIFS(Лэндинг!$M$5:$M$300,Лэндинг!$E$5:$E$300,$B167)+SUMIFS(Закрытые!$M$5:$M$300,Закрытые!$E$5:$E$300,$B167,Закрытые!$B$5:$B$300,"L-*"),8)))</f>
        <v/>
      </c>
      <c r="K167" s="240">
        <f>IF($B167="","",ROUND(SUMIFS(Закрытые!$N$5:$N$300,Закрытые!$E$5:$E$300,$B167,Закрытые!$B$5:$B$300,"L-*"),8))</f>
        <v/>
      </c>
      <c r="L167" s="177">
        <f>IF(K167="","",IF(SUMPRODUCT((Закрытые!$E$5:$E$300=$B167)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167/SUMPRODUCT((Закрытые!$E$5:$E$300=$B167)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7" s="177">
        <f>IF(OR(ROUND(N(C167)-N(F167),8)=0,1-N(Ввод!$E$17)/100&lt;=0),"",IF(N(C167)&gt;N(F167),(N(E167)-N(H167))/((N(C167)-N(F167))*(1-N(Ввод!$E$17)/100)),(N(H167)-N(E167))/((N(F167)-N(C167))*(1+N(Ввод!$E$17)/100))))</f>
        <v/>
      </c>
    </row>
    <row r="168" ht="22" customHeight="1">
      <c r="B168" s="320" t="n"/>
      <c r="C168" s="246">
        <f>IF(SUMIFS(Лэндинг!$F$5:$F$300,Лэндинг!$E$5:$E$300,$B168)+SUMIFS(Закрытые!$F$5:$F$300,Закрытые!$E$5:$E$300,$B168,Закрытые!$B$5:$B$300,"L-*")=0,"",SUMIFS(Лэндинг!$F$5:$F$300,Лэндинг!$E$5:$E$300,$B168)+SUMIFS(Закрытые!$F$5:$F$300,Закрытые!$E$5:$E$300,$B168,Закрытые!$B$5:$B$300,"L-*"))</f>
        <v/>
      </c>
      <c r="D168" s="183">
        <f>IF(C168="","",(SUMPRODUCT((Лэндинг!$E$5:$E$300=$B168)*Лэндинг!$F$5:$F$300*Лэндинг!$G$5:$G$300)+SUMPRODUCT((Закрытые!$E$5:$E$300=$B168)*(LEFT(Закрытые!$B$5:$B$300,2)="L-")*Закрытые!$F$5:$F$300*Закрытые!$G$5:$G$300))/C168)</f>
        <v/>
      </c>
      <c r="E168" s="247">
        <f>IF(C168="","",SUMIFS(Лэндинг!$H$5:$H$300,Лэндинг!$E$5:$E$300,$B168)+SUMIFS(Закрытые!$H$5:$H$300,Закрытые!$E$5:$E$300,$B168,Закрытые!$B$5:$B$300,"L-*"))</f>
        <v/>
      </c>
      <c r="F168" s="246">
        <f>IF(SUMIFS(Лэндинг!$I$5:$I$300,Лэндинг!$E$5:$E$300,$B168)+SUMIFS(Закрытые!$I$5:$I$300,Закрытые!$E$5:$E$300,$B168,Закрытые!$B$5:$B$300,"L-*")=0,"",SUMIFS(Лэндинг!$I$5:$I$300,Лэндинг!$E$5:$E$300,$B168)+SUMIFS(Закрытые!$I$5:$I$300,Закрытые!$E$5:$E$300,$B168,Закрытые!$B$5:$B$300,"L-*"))</f>
        <v/>
      </c>
      <c r="G168" s="183">
        <f>IF(F168="","",(SUMPRODUCT((Лэндинг!$E$5:$E$300=$B168)*Лэндинг!$I$5:$I$300*Лэндинг!$J$5:$J$300)+SUMPRODUCT((Закрытые!$E$5:$E$300=$B168)*(LEFT(Закрытые!$B$5:$B$300,2)="L-")*Закрытые!$I$5:$I$300*Закрытые!$J$5:$J$300))/F168)</f>
        <v/>
      </c>
      <c r="H168" s="247">
        <f>IF(F168="","",SUMIFS(Лэндинг!$K$5:$K$300,Лэндинг!$E$5:$E$300,$B168)+SUMIFS(Закрытые!$K$5:$K$300,Закрытые!$E$5:$E$300,$B168,Закрытые!$B$5:$B$300,"L-*"))</f>
        <v/>
      </c>
      <c r="I168" s="246">
        <f>IF($B168="","",IF(COUNTIFS(Лэндинг!$E$5:$E$300,$B168)+COUNTIFS(Закрытые!$E$5:$E$300,$B168,Закрытые!$B$5:$B$300,"L-*")=0,"",ROUND(SUMIFS(Лэндинг!$L$5:$L$300,Лэндинг!$E$5:$E$300,$B168)+SUMIFS(Закрытые!$L$5:$L$300,Закрытые!$E$5:$E$300,$B168,Закрытые!$B$5:$B$300,"L-*"),8)))</f>
        <v/>
      </c>
      <c r="J168" s="247">
        <f>IF($B168="","",IF(COUNTIFS(Лэндинг!$E$5:$E$300,$B168)+COUNTIFS(Закрытые!$E$5:$E$300,$B168,Закрытые!$B$5:$B$300,"L-*")=0,"",ROUND(SUMIFS(Лэндинг!$M$5:$M$300,Лэндинг!$E$5:$E$300,$B168)+SUMIFS(Закрытые!$M$5:$M$300,Закрытые!$E$5:$E$300,$B168,Закрытые!$B$5:$B$300,"L-*"),8)))</f>
        <v/>
      </c>
      <c r="K168" s="246">
        <f>IF($B168="","",ROUND(SUMIFS(Закрытые!$N$5:$N$300,Закрытые!$E$5:$E$300,$B168,Закрытые!$B$5:$B$300,"L-*"),8))</f>
        <v/>
      </c>
      <c r="L168" s="183">
        <f>IF(K168="","",IF(SUMPRODUCT((Закрытые!$E$5:$E$300=$B168)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168/SUMPRODUCT((Закрытые!$E$5:$E$300=$B168)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8" s="183">
        <f>IF(OR(ROUND(N(C168)-N(F168),8)=0,1-N(Ввод!$E$17)/100&lt;=0),"",IF(N(C168)&gt;N(F168),(N(E168)-N(H168))/((N(C168)-N(F168))*(1-N(Ввод!$E$17)/100)),(N(H168)-N(E168))/((N(F168)-N(C168))*(1+N(Ввод!$E$17)/100))))</f>
        <v/>
      </c>
    </row>
    <row r="169" ht="22" customHeight="1">
      <c r="B169" s="315" t="n"/>
      <c r="C169" s="240">
        <f>IF(SUMIFS(Лэндинг!$F$5:$F$300,Лэндинг!$E$5:$E$300,$B169)+SUMIFS(Закрытые!$F$5:$F$300,Закрытые!$E$5:$E$300,$B169,Закрытые!$B$5:$B$300,"L-*")=0,"",SUMIFS(Лэндинг!$F$5:$F$300,Лэндинг!$E$5:$E$300,$B169)+SUMIFS(Закрытые!$F$5:$F$300,Закрытые!$E$5:$E$300,$B169,Закрытые!$B$5:$B$300,"L-*"))</f>
        <v/>
      </c>
      <c r="D169" s="177">
        <f>IF(C169="","",(SUMPRODUCT((Лэндинг!$E$5:$E$300=$B169)*Лэндинг!$F$5:$F$300*Лэндинг!$G$5:$G$300)+SUMPRODUCT((Закрытые!$E$5:$E$300=$B169)*(LEFT(Закрытые!$B$5:$B$300,2)="L-")*Закрытые!$F$5:$F$300*Закрытые!$G$5:$G$300))/C169)</f>
        <v/>
      </c>
      <c r="E169" s="241">
        <f>IF(C169="","",SUMIFS(Лэндинг!$H$5:$H$300,Лэндинг!$E$5:$E$300,$B169)+SUMIFS(Закрытые!$H$5:$H$300,Закрытые!$E$5:$E$300,$B169,Закрытые!$B$5:$B$300,"L-*"))</f>
        <v/>
      </c>
      <c r="F169" s="240">
        <f>IF(SUMIFS(Лэндинг!$I$5:$I$300,Лэндинг!$E$5:$E$300,$B169)+SUMIFS(Закрытые!$I$5:$I$300,Закрытые!$E$5:$E$300,$B169,Закрытые!$B$5:$B$300,"L-*")=0,"",SUMIFS(Лэндинг!$I$5:$I$300,Лэндинг!$E$5:$E$300,$B169)+SUMIFS(Закрытые!$I$5:$I$300,Закрытые!$E$5:$E$300,$B169,Закрытые!$B$5:$B$300,"L-*"))</f>
        <v/>
      </c>
      <c r="G169" s="177">
        <f>IF(F169="","",(SUMPRODUCT((Лэндинг!$E$5:$E$300=$B169)*Лэндинг!$I$5:$I$300*Лэндинг!$J$5:$J$300)+SUMPRODUCT((Закрытые!$E$5:$E$300=$B169)*(LEFT(Закрытые!$B$5:$B$300,2)="L-")*Закрытые!$I$5:$I$300*Закрытые!$J$5:$J$300))/F169)</f>
        <v/>
      </c>
      <c r="H169" s="241">
        <f>IF(F169="","",SUMIFS(Лэндинг!$K$5:$K$300,Лэндинг!$E$5:$E$300,$B169)+SUMIFS(Закрытые!$K$5:$K$300,Закрытые!$E$5:$E$300,$B169,Закрытые!$B$5:$B$300,"L-*"))</f>
        <v/>
      </c>
      <c r="I169" s="240">
        <f>IF($B169="","",IF(COUNTIFS(Лэндинг!$E$5:$E$300,$B169)+COUNTIFS(Закрытые!$E$5:$E$300,$B169,Закрытые!$B$5:$B$300,"L-*")=0,"",ROUND(SUMIFS(Лэндинг!$L$5:$L$300,Лэндинг!$E$5:$E$300,$B169)+SUMIFS(Закрытые!$L$5:$L$300,Закрытые!$E$5:$E$300,$B169,Закрытые!$B$5:$B$300,"L-*"),8)))</f>
        <v/>
      </c>
      <c r="J169" s="241">
        <f>IF($B169="","",IF(COUNTIFS(Лэндинг!$E$5:$E$300,$B169)+COUNTIFS(Закрытые!$E$5:$E$300,$B169,Закрытые!$B$5:$B$300,"L-*")=0,"",ROUND(SUMIFS(Лэндинг!$M$5:$M$300,Лэндинг!$E$5:$E$300,$B169)+SUMIFS(Закрытые!$M$5:$M$300,Закрытые!$E$5:$E$300,$B169,Закрытые!$B$5:$B$300,"L-*"),8)))</f>
        <v/>
      </c>
      <c r="K169" s="240">
        <f>IF($B169="","",ROUND(SUMIFS(Закрытые!$N$5:$N$300,Закрытые!$E$5:$E$300,$B169,Закрытые!$B$5:$B$300,"L-*"),8))</f>
        <v/>
      </c>
      <c r="L169" s="177">
        <f>IF(K169="","",IF(SUMPRODUCT((Закрытые!$E$5:$E$300=$B169)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169/SUMPRODUCT((Закрытые!$E$5:$E$300=$B169)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9" s="177">
        <f>IF(OR(ROUND(N(C169)-N(F169),8)=0,1-N(Ввод!$E$17)/100&lt;=0),"",IF(N(C169)&gt;N(F169),(N(E169)-N(H169))/((N(C169)-N(F169))*(1-N(Ввод!$E$17)/100)),(N(H169)-N(E169))/((N(F169)-N(C169))*(1+N(Ввод!$E$17)/100))))</f>
        <v/>
      </c>
    </row>
    <row r="170" ht="22" customHeight="1">
      <c r="B170" s="320" t="n"/>
      <c r="C170" s="246">
        <f>IF(SUMIFS(Лэндинг!$F$5:$F$300,Лэндинг!$E$5:$E$300,$B170)+SUMIFS(Закрытые!$F$5:$F$300,Закрытые!$E$5:$E$300,$B170,Закрытые!$B$5:$B$300,"L-*")=0,"",SUMIFS(Лэндинг!$F$5:$F$300,Лэндинг!$E$5:$E$300,$B170)+SUMIFS(Закрытые!$F$5:$F$300,Закрытые!$E$5:$E$300,$B170,Закрытые!$B$5:$B$300,"L-*"))</f>
        <v/>
      </c>
      <c r="D170" s="183">
        <f>IF(C170="","",(SUMPRODUCT((Лэндинг!$E$5:$E$300=$B170)*Лэндинг!$F$5:$F$300*Лэндинг!$G$5:$G$300)+SUMPRODUCT((Закрытые!$E$5:$E$300=$B170)*(LEFT(Закрытые!$B$5:$B$300,2)="L-")*Закрытые!$F$5:$F$300*Закрытые!$G$5:$G$300))/C170)</f>
        <v/>
      </c>
      <c r="E170" s="247">
        <f>IF(C170="","",SUMIFS(Лэндинг!$H$5:$H$300,Лэндинг!$E$5:$E$300,$B170)+SUMIFS(Закрытые!$H$5:$H$300,Закрытые!$E$5:$E$300,$B170,Закрытые!$B$5:$B$300,"L-*"))</f>
        <v/>
      </c>
      <c r="F170" s="246">
        <f>IF(SUMIFS(Лэндинг!$I$5:$I$300,Лэндинг!$E$5:$E$300,$B170)+SUMIFS(Закрытые!$I$5:$I$300,Закрытые!$E$5:$E$300,$B170,Закрытые!$B$5:$B$300,"L-*")=0,"",SUMIFS(Лэндинг!$I$5:$I$300,Лэндинг!$E$5:$E$300,$B170)+SUMIFS(Закрытые!$I$5:$I$300,Закрытые!$E$5:$E$300,$B170,Закрытые!$B$5:$B$300,"L-*"))</f>
        <v/>
      </c>
      <c r="G170" s="183">
        <f>IF(F170="","",(SUMPRODUCT((Лэндинг!$E$5:$E$300=$B170)*Лэндинг!$I$5:$I$300*Лэндинг!$J$5:$J$300)+SUMPRODUCT((Закрытые!$E$5:$E$300=$B170)*(LEFT(Закрытые!$B$5:$B$300,2)="L-")*Закрытые!$I$5:$I$300*Закрытые!$J$5:$J$300))/F170)</f>
        <v/>
      </c>
      <c r="H170" s="247">
        <f>IF(F170="","",SUMIFS(Лэндинг!$K$5:$K$300,Лэндинг!$E$5:$E$300,$B170)+SUMIFS(Закрытые!$K$5:$K$300,Закрытые!$E$5:$E$300,$B170,Закрытые!$B$5:$B$300,"L-*"))</f>
        <v/>
      </c>
      <c r="I170" s="246">
        <f>IF($B170="","",IF(COUNTIFS(Лэндинг!$E$5:$E$300,$B170)+COUNTIFS(Закрытые!$E$5:$E$300,$B170,Закрытые!$B$5:$B$300,"L-*")=0,"",ROUND(SUMIFS(Лэндинг!$L$5:$L$300,Лэндинг!$E$5:$E$300,$B170)+SUMIFS(Закрытые!$L$5:$L$300,Закрытые!$E$5:$E$300,$B170,Закрытые!$B$5:$B$300,"L-*"),8)))</f>
        <v/>
      </c>
      <c r="J170" s="247">
        <f>IF($B170="","",IF(COUNTIFS(Лэндинг!$E$5:$E$300,$B170)+COUNTIFS(Закрытые!$E$5:$E$300,$B170,Закрытые!$B$5:$B$300,"L-*")=0,"",ROUND(SUMIFS(Лэндинг!$M$5:$M$300,Лэндинг!$E$5:$E$300,$B170)+SUMIFS(Закрытые!$M$5:$M$300,Закрытые!$E$5:$E$300,$B170,Закрытые!$B$5:$B$300,"L-*"),8)))</f>
        <v/>
      </c>
      <c r="K170" s="246">
        <f>IF($B170="","",ROUND(SUMIFS(Закрытые!$N$5:$N$300,Закрытые!$E$5:$E$300,$B170,Закрытые!$B$5:$B$300,"L-*"),8))</f>
        <v/>
      </c>
      <c r="L170" s="183">
        <f>IF(K170="","",IF(SUMPRODUCT((Закрытые!$E$5:$E$300=$B170)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170/SUMPRODUCT((Закрытые!$E$5:$E$300=$B170)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0" s="183">
        <f>IF(OR(ROUND(N(C170)-N(F170),8)=0,1-N(Ввод!$E$17)/100&lt;=0),"",IF(N(C170)&gt;N(F170),(N(E170)-N(H170))/((N(C170)-N(F170))*(1-N(Ввод!$E$17)/100)),(N(H170)-N(E170))/((N(F170)-N(C170))*(1+N(Ввод!$E$17)/100))))</f>
        <v/>
      </c>
    </row>
    <row r="171" ht="22" customHeight="1">
      <c r="B171" s="315" t="n"/>
      <c r="C171" s="240">
        <f>IF(SUMIFS(Лэндинг!$F$5:$F$300,Лэндинг!$E$5:$E$300,$B171)+SUMIFS(Закрытые!$F$5:$F$300,Закрытые!$E$5:$E$300,$B171,Закрытые!$B$5:$B$300,"L-*")=0,"",SUMIFS(Лэндинг!$F$5:$F$300,Лэндинг!$E$5:$E$300,$B171)+SUMIFS(Закрытые!$F$5:$F$300,Закрытые!$E$5:$E$300,$B171,Закрытые!$B$5:$B$300,"L-*"))</f>
        <v/>
      </c>
      <c r="D171" s="177">
        <f>IF(C171="","",(SUMPRODUCT((Лэндинг!$E$5:$E$300=$B171)*Лэндинг!$F$5:$F$300*Лэндинг!$G$5:$G$300)+SUMPRODUCT((Закрытые!$E$5:$E$300=$B171)*(LEFT(Закрытые!$B$5:$B$300,2)="L-")*Закрытые!$F$5:$F$300*Закрытые!$G$5:$G$300))/C171)</f>
        <v/>
      </c>
      <c r="E171" s="241">
        <f>IF(C171="","",SUMIFS(Лэндинг!$H$5:$H$300,Лэндинг!$E$5:$E$300,$B171)+SUMIFS(Закрытые!$H$5:$H$300,Закрытые!$E$5:$E$300,$B171,Закрытые!$B$5:$B$300,"L-*"))</f>
        <v/>
      </c>
      <c r="F171" s="240">
        <f>IF(SUMIFS(Лэндинг!$I$5:$I$300,Лэндинг!$E$5:$E$300,$B171)+SUMIFS(Закрытые!$I$5:$I$300,Закрытые!$E$5:$E$300,$B171,Закрытые!$B$5:$B$300,"L-*")=0,"",SUMIFS(Лэндинг!$I$5:$I$300,Лэндинг!$E$5:$E$300,$B171)+SUMIFS(Закрытые!$I$5:$I$300,Закрытые!$E$5:$E$300,$B171,Закрытые!$B$5:$B$300,"L-*"))</f>
        <v/>
      </c>
      <c r="G171" s="177">
        <f>IF(F171="","",(SUMPRODUCT((Лэндинг!$E$5:$E$300=$B171)*Лэндинг!$I$5:$I$300*Лэндинг!$J$5:$J$300)+SUMPRODUCT((Закрытые!$E$5:$E$300=$B171)*(LEFT(Закрытые!$B$5:$B$300,2)="L-")*Закрытые!$I$5:$I$300*Закрытые!$J$5:$J$300))/F171)</f>
        <v/>
      </c>
      <c r="H171" s="241">
        <f>IF(F171="","",SUMIFS(Лэндинг!$K$5:$K$300,Лэндинг!$E$5:$E$300,$B171)+SUMIFS(Закрытые!$K$5:$K$300,Закрытые!$E$5:$E$300,$B171,Закрытые!$B$5:$B$300,"L-*"))</f>
        <v/>
      </c>
      <c r="I171" s="240">
        <f>IF($B171="","",IF(COUNTIFS(Лэндинг!$E$5:$E$300,$B171)+COUNTIFS(Закрытые!$E$5:$E$300,$B171,Закрытые!$B$5:$B$300,"L-*")=0,"",ROUND(SUMIFS(Лэндинг!$L$5:$L$300,Лэндинг!$E$5:$E$300,$B171)+SUMIFS(Закрытые!$L$5:$L$300,Закрытые!$E$5:$E$300,$B171,Закрытые!$B$5:$B$300,"L-*"),8)))</f>
        <v/>
      </c>
      <c r="J171" s="241">
        <f>IF($B171="","",IF(COUNTIFS(Лэндинг!$E$5:$E$300,$B171)+COUNTIFS(Закрытые!$E$5:$E$300,$B171,Закрытые!$B$5:$B$300,"L-*")=0,"",ROUND(SUMIFS(Лэндинг!$M$5:$M$300,Лэндинг!$E$5:$E$300,$B171)+SUMIFS(Закрытые!$M$5:$M$300,Закрытые!$E$5:$E$300,$B171,Закрытые!$B$5:$B$300,"L-*"),8)))</f>
        <v/>
      </c>
      <c r="K171" s="240">
        <f>IF($B171="","",ROUND(SUMIFS(Закрытые!$N$5:$N$300,Закрытые!$E$5:$E$300,$B171,Закрытые!$B$5:$B$300,"L-*"),8))</f>
        <v/>
      </c>
      <c r="L171" s="177">
        <f>IF(K171="","",IF(SUMPRODUCT((Закрытые!$E$5:$E$300=$B171)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171/SUMPRODUCT((Закрытые!$E$5:$E$300=$B171)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1" s="177">
        <f>IF(OR(ROUND(N(C171)-N(F171),8)=0,1-N(Ввод!$E$17)/100&lt;=0),"",IF(N(C171)&gt;N(F171),(N(E171)-N(H171))/((N(C171)-N(F171))*(1-N(Ввод!$E$17)/100)),(N(H171)-N(E171))/((N(F171)-N(C171))*(1+N(Ввод!$E$17)/100))))</f>
        <v/>
      </c>
    </row>
    <row r="172" ht="22" customHeight="1">
      <c r="B172" s="320" t="n"/>
      <c r="C172" s="246">
        <f>IF(SUMIFS(Лэндинг!$F$5:$F$300,Лэндинг!$E$5:$E$300,$B172)+SUMIFS(Закрытые!$F$5:$F$300,Закрытые!$E$5:$E$300,$B172,Закрытые!$B$5:$B$300,"L-*")=0,"",SUMIFS(Лэндинг!$F$5:$F$300,Лэндинг!$E$5:$E$300,$B172)+SUMIFS(Закрытые!$F$5:$F$300,Закрытые!$E$5:$E$300,$B172,Закрытые!$B$5:$B$300,"L-*"))</f>
        <v/>
      </c>
      <c r="D172" s="183">
        <f>IF(C172="","",(SUMPRODUCT((Лэндинг!$E$5:$E$300=$B172)*Лэндинг!$F$5:$F$300*Лэндинг!$G$5:$G$300)+SUMPRODUCT((Закрытые!$E$5:$E$300=$B172)*(LEFT(Закрытые!$B$5:$B$300,2)="L-")*Закрытые!$F$5:$F$300*Закрытые!$G$5:$G$300))/C172)</f>
        <v/>
      </c>
      <c r="E172" s="247">
        <f>IF(C172="","",SUMIFS(Лэндинг!$H$5:$H$300,Лэндинг!$E$5:$E$300,$B172)+SUMIFS(Закрытые!$H$5:$H$300,Закрытые!$E$5:$E$300,$B172,Закрытые!$B$5:$B$300,"L-*"))</f>
        <v/>
      </c>
      <c r="F172" s="246">
        <f>IF(SUMIFS(Лэндинг!$I$5:$I$300,Лэндинг!$E$5:$E$300,$B172)+SUMIFS(Закрытые!$I$5:$I$300,Закрытые!$E$5:$E$300,$B172,Закрытые!$B$5:$B$300,"L-*")=0,"",SUMIFS(Лэндинг!$I$5:$I$300,Лэндинг!$E$5:$E$300,$B172)+SUMIFS(Закрытые!$I$5:$I$300,Закрытые!$E$5:$E$300,$B172,Закрытые!$B$5:$B$300,"L-*"))</f>
        <v/>
      </c>
      <c r="G172" s="183">
        <f>IF(F172="","",(SUMPRODUCT((Лэндинг!$E$5:$E$300=$B172)*Лэндинг!$I$5:$I$300*Лэндинг!$J$5:$J$300)+SUMPRODUCT((Закрытые!$E$5:$E$300=$B172)*(LEFT(Закрытые!$B$5:$B$300,2)="L-")*Закрытые!$I$5:$I$300*Закрытые!$J$5:$J$300))/F172)</f>
        <v/>
      </c>
      <c r="H172" s="247">
        <f>IF(F172="","",SUMIFS(Лэндинг!$K$5:$K$300,Лэндинг!$E$5:$E$300,$B172)+SUMIFS(Закрытые!$K$5:$K$300,Закрытые!$E$5:$E$300,$B172,Закрытые!$B$5:$B$300,"L-*"))</f>
        <v/>
      </c>
      <c r="I172" s="246">
        <f>IF($B172="","",IF(COUNTIFS(Лэндинг!$E$5:$E$300,$B172)+COUNTIFS(Закрытые!$E$5:$E$300,$B172,Закрытые!$B$5:$B$300,"L-*")=0,"",ROUND(SUMIFS(Лэндинг!$L$5:$L$300,Лэндинг!$E$5:$E$300,$B172)+SUMIFS(Закрытые!$L$5:$L$300,Закрытые!$E$5:$E$300,$B172,Закрытые!$B$5:$B$300,"L-*"),8)))</f>
        <v/>
      </c>
      <c r="J172" s="247">
        <f>IF($B172="","",IF(COUNTIFS(Лэндинг!$E$5:$E$300,$B172)+COUNTIFS(Закрытые!$E$5:$E$300,$B172,Закрытые!$B$5:$B$300,"L-*")=0,"",ROUND(SUMIFS(Лэндинг!$M$5:$M$300,Лэндинг!$E$5:$E$300,$B172)+SUMIFS(Закрытые!$M$5:$M$300,Закрытые!$E$5:$E$300,$B172,Закрытые!$B$5:$B$300,"L-*"),8)))</f>
        <v/>
      </c>
      <c r="K172" s="246">
        <f>IF($B172="","",ROUND(SUMIFS(Закрытые!$N$5:$N$300,Закрытые!$E$5:$E$300,$B172,Закрытые!$B$5:$B$300,"L-*"),8))</f>
        <v/>
      </c>
      <c r="L172" s="183">
        <f>IF(K172="","",IF(SUMPRODUCT((Закрытые!$E$5:$E$300=$B172)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172/SUMPRODUCT((Закрытые!$E$5:$E$300=$B172)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2" s="183">
        <f>IF(OR(ROUND(N(C172)-N(F172),8)=0,1-N(Ввод!$E$17)/100&lt;=0),"",IF(N(C172)&gt;N(F172),(N(E172)-N(H172))/((N(C172)-N(F172))*(1-N(Ввод!$E$17)/100)),(N(H172)-N(E172))/((N(F172)-N(C172))*(1+N(Ввод!$E$17)/100))))</f>
        <v/>
      </c>
    </row>
    <row r="173" ht="22" customHeight="1">
      <c r="B173" s="315" t="n"/>
      <c r="C173" s="240">
        <f>IF(SUMIFS(Лэндинг!$F$5:$F$300,Лэндинг!$E$5:$E$300,$B173)+SUMIFS(Закрытые!$F$5:$F$300,Закрытые!$E$5:$E$300,$B173,Закрытые!$B$5:$B$300,"L-*")=0,"",SUMIFS(Лэндинг!$F$5:$F$300,Лэндинг!$E$5:$E$300,$B173)+SUMIFS(Закрытые!$F$5:$F$300,Закрытые!$E$5:$E$300,$B173,Закрытые!$B$5:$B$300,"L-*"))</f>
        <v/>
      </c>
      <c r="D173" s="177">
        <f>IF(C173="","",(SUMPRODUCT((Лэндинг!$E$5:$E$300=$B173)*Лэндинг!$F$5:$F$300*Лэндинг!$G$5:$G$300)+SUMPRODUCT((Закрытые!$E$5:$E$300=$B173)*(LEFT(Закрытые!$B$5:$B$300,2)="L-")*Закрытые!$F$5:$F$300*Закрытые!$G$5:$G$300))/C173)</f>
        <v/>
      </c>
      <c r="E173" s="241">
        <f>IF(C173="","",SUMIFS(Лэндинг!$H$5:$H$300,Лэндинг!$E$5:$E$300,$B173)+SUMIFS(Закрытые!$H$5:$H$300,Закрытые!$E$5:$E$300,$B173,Закрытые!$B$5:$B$300,"L-*"))</f>
        <v/>
      </c>
      <c r="F173" s="240">
        <f>IF(SUMIFS(Лэндинг!$I$5:$I$300,Лэндинг!$E$5:$E$300,$B173)+SUMIFS(Закрытые!$I$5:$I$300,Закрытые!$E$5:$E$300,$B173,Закрытые!$B$5:$B$300,"L-*")=0,"",SUMIFS(Лэндинг!$I$5:$I$300,Лэндинг!$E$5:$E$300,$B173)+SUMIFS(Закрытые!$I$5:$I$300,Закрытые!$E$5:$E$300,$B173,Закрытые!$B$5:$B$300,"L-*"))</f>
        <v/>
      </c>
      <c r="G173" s="177">
        <f>IF(F173="","",(SUMPRODUCT((Лэндинг!$E$5:$E$300=$B173)*Лэндинг!$I$5:$I$300*Лэндинг!$J$5:$J$300)+SUMPRODUCT((Закрытые!$E$5:$E$300=$B173)*(LEFT(Закрытые!$B$5:$B$300,2)="L-")*Закрытые!$I$5:$I$300*Закрытые!$J$5:$J$300))/F173)</f>
        <v/>
      </c>
      <c r="H173" s="241">
        <f>IF(F173="","",SUMIFS(Лэндинг!$K$5:$K$300,Лэндинг!$E$5:$E$300,$B173)+SUMIFS(Закрытые!$K$5:$K$300,Закрытые!$E$5:$E$300,$B173,Закрытые!$B$5:$B$300,"L-*"))</f>
        <v/>
      </c>
      <c r="I173" s="240">
        <f>IF($B173="","",IF(COUNTIFS(Лэндинг!$E$5:$E$300,$B173)+COUNTIFS(Закрытые!$E$5:$E$300,$B173,Закрытые!$B$5:$B$300,"L-*")=0,"",ROUND(SUMIFS(Лэндинг!$L$5:$L$300,Лэндинг!$E$5:$E$300,$B173)+SUMIFS(Закрытые!$L$5:$L$300,Закрытые!$E$5:$E$300,$B173,Закрытые!$B$5:$B$300,"L-*"),8)))</f>
        <v/>
      </c>
      <c r="J173" s="241">
        <f>IF($B173="","",IF(COUNTIFS(Лэндинг!$E$5:$E$300,$B173)+COUNTIFS(Закрытые!$E$5:$E$300,$B173,Закрытые!$B$5:$B$300,"L-*")=0,"",ROUND(SUMIFS(Лэндинг!$M$5:$M$300,Лэндинг!$E$5:$E$300,$B173)+SUMIFS(Закрытые!$M$5:$M$300,Закрытые!$E$5:$E$300,$B173,Закрытые!$B$5:$B$300,"L-*"),8)))</f>
        <v/>
      </c>
      <c r="K173" s="240">
        <f>IF($B173="","",ROUND(SUMIFS(Закрытые!$N$5:$N$300,Закрытые!$E$5:$E$300,$B173,Закрытые!$B$5:$B$300,"L-*"),8))</f>
        <v/>
      </c>
      <c r="L173" s="177">
        <f>IF(K173="","",IF(SUMPRODUCT((Закрытые!$E$5:$E$300=$B173)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173/SUMPRODUCT((Закрытые!$E$5:$E$300=$B173)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3" s="177">
        <f>IF(OR(ROUND(N(C173)-N(F173),8)=0,1-N(Ввод!$E$17)/100&lt;=0),"",IF(N(C173)&gt;N(F173),(N(E173)-N(H173))/((N(C173)-N(F173))*(1-N(Ввод!$E$17)/100)),(N(H173)-N(E173))/((N(F173)-N(C173))*(1+N(Ввод!$E$17)/100))))</f>
        <v/>
      </c>
    </row>
    <row r="174" ht="22" customHeight="1">
      <c r="B174" s="320" t="n"/>
      <c r="C174" s="246">
        <f>IF(SUMIFS(Лэндинг!$F$5:$F$300,Лэндинг!$E$5:$E$300,$B174)+SUMIFS(Закрытые!$F$5:$F$300,Закрытые!$E$5:$E$300,$B174,Закрытые!$B$5:$B$300,"L-*")=0,"",SUMIFS(Лэндинг!$F$5:$F$300,Лэндинг!$E$5:$E$300,$B174)+SUMIFS(Закрытые!$F$5:$F$300,Закрытые!$E$5:$E$300,$B174,Закрытые!$B$5:$B$300,"L-*"))</f>
        <v/>
      </c>
      <c r="D174" s="183">
        <f>IF(C174="","",(SUMPRODUCT((Лэндинг!$E$5:$E$300=$B174)*Лэндинг!$F$5:$F$300*Лэндинг!$G$5:$G$300)+SUMPRODUCT((Закрытые!$E$5:$E$300=$B174)*(LEFT(Закрытые!$B$5:$B$300,2)="L-")*Закрытые!$F$5:$F$300*Закрытые!$G$5:$G$300))/C174)</f>
        <v/>
      </c>
      <c r="E174" s="247">
        <f>IF(C174="","",SUMIFS(Лэндинг!$H$5:$H$300,Лэндинг!$E$5:$E$300,$B174)+SUMIFS(Закрытые!$H$5:$H$300,Закрытые!$E$5:$E$300,$B174,Закрытые!$B$5:$B$300,"L-*"))</f>
        <v/>
      </c>
      <c r="F174" s="246">
        <f>IF(SUMIFS(Лэндинг!$I$5:$I$300,Лэндинг!$E$5:$E$300,$B174)+SUMIFS(Закрытые!$I$5:$I$300,Закрытые!$E$5:$E$300,$B174,Закрытые!$B$5:$B$300,"L-*")=0,"",SUMIFS(Лэндинг!$I$5:$I$300,Лэндинг!$E$5:$E$300,$B174)+SUMIFS(Закрытые!$I$5:$I$300,Закрытые!$E$5:$E$300,$B174,Закрытые!$B$5:$B$300,"L-*"))</f>
        <v/>
      </c>
      <c r="G174" s="183">
        <f>IF(F174="","",(SUMPRODUCT((Лэндинг!$E$5:$E$300=$B174)*Лэндинг!$I$5:$I$300*Лэндинг!$J$5:$J$300)+SUMPRODUCT((Закрытые!$E$5:$E$300=$B174)*(LEFT(Закрытые!$B$5:$B$300,2)="L-")*Закрытые!$I$5:$I$300*Закрытые!$J$5:$J$300))/F174)</f>
        <v/>
      </c>
      <c r="H174" s="247">
        <f>IF(F174="","",SUMIFS(Лэндинг!$K$5:$K$300,Лэндинг!$E$5:$E$300,$B174)+SUMIFS(Закрытые!$K$5:$K$300,Закрытые!$E$5:$E$300,$B174,Закрытые!$B$5:$B$300,"L-*"))</f>
        <v/>
      </c>
      <c r="I174" s="246">
        <f>IF($B174="","",IF(COUNTIFS(Лэндинг!$E$5:$E$300,$B174)+COUNTIFS(Закрытые!$E$5:$E$300,$B174,Закрытые!$B$5:$B$300,"L-*")=0,"",ROUND(SUMIFS(Лэндинг!$L$5:$L$300,Лэндинг!$E$5:$E$300,$B174)+SUMIFS(Закрытые!$L$5:$L$300,Закрытые!$E$5:$E$300,$B174,Закрытые!$B$5:$B$300,"L-*"),8)))</f>
        <v/>
      </c>
      <c r="J174" s="247">
        <f>IF($B174="","",IF(COUNTIFS(Лэндинг!$E$5:$E$300,$B174)+COUNTIFS(Закрытые!$E$5:$E$300,$B174,Закрытые!$B$5:$B$300,"L-*")=0,"",ROUND(SUMIFS(Лэндинг!$M$5:$M$300,Лэндинг!$E$5:$E$300,$B174)+SUMIFS(Закрытые!$M$5:$M$300,Закрытые!$E$5:$E$300,$B174,Закрытые!$B$5:$B$300,"L-*"),8)))</f>
        <v/>
      </c>
      <c r="K174" s="246">
        <f>IF($B174="","",ROUND(SUMIFS(Закрытые!$N$5:$N$300,Закрытые!$E$5:$E$300,$B174,Закрытые!$B$5:$B$300,"L-*"),8))</f>
        <v/>
      </c>
      <c r="L174" s="183">
        <f>IF(K174="","",IF(SUMPRODUCT((Закрытые!$E$5:$E$300=$B174)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174/SUMPRODUCT((Закрытые!$E$5:$E$300=$B174)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4" s="183">
        <f>IF(OR(ROUND(N(C174)-N(F174),8)=0,1-N(Ввод!$E$17)/100&lt;=0),"",IF(N(C174)&gt;N(F174),(N(E174)-N(H174))/((N(C174)-N(F174))*(1-N(Ввод!$E$17)/100)),(N(H174)-N(E174))/((N(F174)-N(C174))*(1+N(Ввод!$E$17)/100))))</f>
        <v/>
      </c>
    </row>
    <row r="175" ht="22" customHeight="1">
      <c r="B175" s="315" t="n"/>
      <c r="C175" s="240">
        <f>IF(SUMIFS(Лэндинг!$F$5:$F$300,Лэндинг!$E$5:$E$300,$B175)+SUMIFS(Закрытые!$F$5:$F$300,Закрытые!$E$5:$E$300,$B175,Закрытые!$B$5:$B$300,"L-*")=0,"",SUMIFS(Лэндинг!$F$5:$F$300,Лэндинг!$E$5:$E$300,$B175)+SUMIFS(Закрытые!$F$5:$F$300,Закрытые!$E$5:$E$300,$B175,Закрытые!$B$5:$B$300,"L-*"))</f>
        <v/>
      </c>
      <c r="D175" s="177">
        <f>IF(C175="","",(SUMPRODUCT((Лэндинг!$E$5:$E$300=$B175)*Лэндинг!$F$5:$F$300*Лэндинг!$G$5:$G$300)+SUMPRODUCT((Закрытые!$E$5:$E$300=$B175)*(LEFT(Закрытые!$B$5:$B$300,2)="L-")*Закрытые!$F$5:$F$300*Закрытые!$G$5:$G$300))/C175)</f>
        <v/>
      </c>
      <c r="E175" s="241">
        <f>IF(C175="","",SUMIFS(Лэндинг!$H$5:$H$300,Лэндинг!$E$5:$E$300,$B175)+SUMIFS(Закрытые!$H$5:$H$300,Закрытые!$E$5:$E$300,$B175,Закрытые!$B$5:$B$300,"L-*"))</f>
        <v/>
      </c>
      <c r="F175" s="240">
        <f>IF(SUMIFS(Лэндинг!$I$5:$I$300,Лэндинг!$E$5:$E$300,$B175)+SUMIFS(Закрытые!$I$5:$I$300,Закрытые!$E$5:$E$300,$B175,Закрытые!$B$5:$B$300,"L-*")=0,"",SUMIFS(Лэндинг!$I$5:$I$300,Лэндинг!$E$5:$E$300,$B175)+SUMIFS(Закрытые!$I$5:$I$300,Закрытые!$E$5:$E$300,$B175,Закрытые!$B$5:$B$300,"L-*"))</f>
        <v/>
      </c>
      <c r="G175" s="177">
        <f>IF(F175="","",(SUMPRODUCT((Лэндинг!$E$5:$E$300=$B175)*Лэндинг!$I$5:$I$300*Лэндинг!$J$5:$J$300)+SUMPRODUCT((Закрытые!$E$5:$E$300=$B175)*(LEFT(Закрытые!$B$5:$B$300,2)="L-")*Закрытые!$I$5:$I$300*Закрытые!$J$5:$J$300))/F175)</f>
        <v/>
      </c>
      <c r="H175" s="241">
        <f>IF(F175="","",SUMIFS(Лэндинг!$K$5:$K$300,Лэндинг!$E$5:$E$300,$B175)+SUMIFS(Закрытые!$K$5:$K$300,Закрытые!$E$5:$E$300,$B175,Закрытые!$B$5:$B$300,"L-*"))</f>
        <v/>
      </c>
      <c r="I175" s="240">
        <f>IF($B175="","",IF(COUNTIFS(Лэндинг!$E$5:$E$300,$B175)+COUNTIFS(Закрытые!$E$5:$E$300,$B175,Закрытые!$B$5:$B$300,"L-*")=0,"",ROUND(SUMIFS(Лэндинг!$L$5:$L$300,Лэндинг!$E$5:$E$300,$B175)+SUMIFS(Закрытые!$L$5:$L$300,Закрытые!$E$5:$E$300,$B175,Закрытые!$B$5:$B$300,"L-*"),8)))</f>
        <v/>
      </c>
      <c r="J175" s="241">
        <f>IF($B175="","",IF(COUNTIFS(Лэндинг!$E$5:$E$300,$B175)+COUNTIFS(Закрытые!$E$5:$E$300,$B175,Закрытые!$B$5:$B$300,"L-*")=0,"",ROUND(SUMIFS(Лэндинг!$M$5:$M$300,Лэндинг!$E$5:$E$300,$B175)+SUMIFS(Закрытые!$M$5:$M$300,Закрытые!$E$5:$E$300,$B175,Закрытые!$B$5:$B$300,"L-*"),8)))</f>
        <v/>
      </c>
      <c r="K175" s="240">
        <f>IF($B175="","",ROUND(SUMIFS(Закрытые!$N$5:$N$300,Закрытые!$E$5:$E$300,$B175,Закрытые!$B$5:$B$300,"L-*"),8))</f>
        <v/>
      </c>
      <c r="L175" s="177">
        <f>IF(K175="","",IF(SUMPRODUCT((Закрытые!$E$5:$E$300=$B175)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175/SUMPRODUCT((Закрытые!$E$5:$E$300=$B175)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5" s="177">
        <f>IF(OR(ROUND(N(C175)-N(F175),8)=0,1-N(Ввод!$E$17)/100&lt;=0),"",IF(N(C175)&gt;N(F175),(N(E175)-N(H175))/((N(C175)-N(F175))*(1-N(Ввод!$E$17)/100)),(N(H175)-N(E175))/((N(F175)-N(C175))*(1+N(Ввод!$E$17)/100))))</f>
        <v/>
      </c>
    </row>
    <row r="176" ht="22" customHeight="1">
      <c r="B176" s="320" t="n"/>
      <c r="C176" s="246">
        <f>IF(SUMIFS(Лэндинг!$F$5:$F$300,Лэндинг!$E$5:$E$300,$B176)+SUMIFS(Закрытые!$F$5:$F$300,Закрытые!$E$5:$E$300,$B176,Закрытые!$B$5:$B$300,"L-*")=0,"",SUMIFS(Лэндинг!$F$5:$F$300,Лэндинг!$E$5:$E$300,$B176)+SUMIFS(Закрытые!$F$5:$F$300,Закрытые!$E$5:$E$300,$B176,Закрытые!$B$5:$B$300,"L-*"))</f>
        <v/>
      </c>
      <c r="D176" s="183">
        <f>IF(C176="","",(SUMPRODUCT((Лэндинг!$E$5:$E$300=$B176)*Лэндинг!$F$5:$F$300*Лэндинг!$G$5:$G$300)+SUMPRODUCT((Закрытые!$E$5:$E$300=$B176)*(LEFT(Закрытые!$B$5:$B$300,2)="L-")*Закрытые!$F$5:$F$300*Закрытые!$G$5:$G$300))/C176)</f>
        <v/>
      </c>
      <c r="E176" s="247">
        <f>IF(C176="","",SUMIFS(Лэндинг!$H$5:$H$300,Лэндинг!$E$5:$E$300,$B176)+SUMIFS(Закрытые!$H$5:$H$300,Закрытые!$E$5:$E$300,$B176,Закрытые!$B$5:$B$300,"L-*"))</f>
        <v/>
      </c>
      <c r="F176" s="246">
        <f>IF(SUMIFS(Лэндинг!$I$5:$I$300,Лэндинг!$E$5:$E$300,$B176)+SUMIFS(Закрытые!$I$5:$I$300,Закрытые!$E$5:$E$300,$B176,Закрытые!$B$5:$B$300,"L-*")=0,"",SUMIFS(Лэндинг!$I$5:$I$300,Лэндинг!$E$5:$E$300,$B176)+SUMIFS(Закрытые!$I$5:$I$300,Закрытые!$E$5:$E$300,$B176,Закрытые!$B$5:$B$300,"L-*"))</f>
        <v/>
      </c>
      <c r="G176" s="183">
        <f>IF(F176="","",(SUMPRODUCT((Лэндинг!$E$5:$E$300=$B176)*Лэндинг!$I$5:$I$300*Лэндинг!$J$5:$J$300)+SUMPRODUCT((Закрытые!$E$5:$E$300=$B176)*(LEFT(Закрытые!$B$5:$B$300,2)="L-")*Закрытые!$I$5:$I$300*Закрытые!$J$5:$J$300))/F176)</f>
        <v/>
      </c>
      <c r="H176" s="247">
        <f>IF(F176="","",SUMIFS(Лэндинг!$K$5:$K$300,Лэндинг!$E$5:$E$300,$B176)+SUMIFS(Закрытые!$K$5:$K$300,Закрытые!$E$5:$E$300,$B176,Закрытые!$B$5:$B$300,"L-*"))</f>
        <v/>
      </c>
      <c r="I176" s="246">
        <f>IF($B176="","",IF(COUNTIFS(Лэндинг!$E$5:$E$300,$B176)+COUNTIFS(Закрытые!$E$5:$E$300,$B176,Закрытые!$B$5:$B$300,"L-*")=0,"",ROUND(SUMIFS(Лэндинг!$L$5:$L$300,Лэндинг!$E$5:$E$300,$B176)+SUMIFS(Закрытые!$L$5:$L$300,Закрытые!$E$5:$E$300,$B176,Закрытые!$B$5:$B$300,"L-*"),8)))</f>
        <v/>
      </c>
      <c r="J176" s="247">
        <f>IF($B176="","",IF(COUNTIFS(Лэндинг!$E$5:$E$300,$B176)+COUNTIFS(Закрытые!$E$5:$E$300,$B176,Закрытые!$B$5:$B$300,"L-*")=0,"",ROUND(SUMIFS(Лэндинг!$M$5:$M$300,Лэндинг!$E$5:$E$300,$B176)+SUMIFS(Закрытые!$M$5:$M$300,Закрытые!$E$5:$E$300,$B176,Закрытые!$B$5:$B$300,"L-*"),8)))</f>
        <v/>
      </c>
      <c r="K176" s="246">
        <f>IF($B176="","",ROUND(SUMIFS(Закрытые!$N$5:$N$300,Закрытые!$E$5:$E$300,$B176,Закрытые!$B$5:$B$300,"L-*"),8))</f>
        <v/>
      </c>
      <c r="L176" s="183">
        <f>IF(K176="","",IF(SUMPRODUCT((Закрытые!$E$5:$E$300=$B176)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176/SUMPRODUCT((Закрытые!$E$5:$E$300=$B176)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6" s="183">
        <f>IF(OR(ROUND(N(C176)-N(F176),8)=0,1-N(Ввод!$E$17)/100&lt;=0),"",IF(N(C176)&gt;N(F176),(N(E176)-N(H176))/((N(C176)-N(F176))*(1-N(Ввод!$E$17)/100)),(N(H176)-N(E176))/((N(F176)-N(C176))*(1+N(Ввод!$E$17)/100))))</f>
        <v/>
      </c>
    </row>
    <row r="177" ht="22" customHeight="1">
      <c r="B177" s="315" t="n"/>
      <c r="C177" s="240">
        <f>IF(SUMIFS(Лэндинг!$F$5:$F$300,Лэндинг!$E$5:$E$300,$B177)+SUMIFS(Закрытые!$F$5:$F$300,Закрытые!$E$5:$E$300,$B177,Закрытые!$B$5:$B$300,"L-*")=0,"",SUMIFS(Лэндинг!$F$5:$F$300,Лэндинг!$E$5:$E$300,$B177)+SUMIFS(Закрытые!$F$5:$F$300,Закрытые!$E$5:$E$300,$B177,Закрытые!$B$5:$B$300,"L-*"))</f>
        <v/>
      </c>
      <c r="D177" s="177">
        <f>IF(C177="","",(SUMPRODUCT((Лэндинг!$E$5:$E$300=$B177)*Лэндинг!$F$5:$F$300*Лэндинг!$G$5:$G$300)+SUMPRODUCT((Закрытые!$E$5:$E$300=$B177)*(LEFT(Закрытые!$B$5:$B$300,2)="L-")*Закрытые!$F$5:$F$300*Закрытые!$G$5:$G$300))/C177)</f>
        <v/>
      </c>
      <c r="E177" s="241">
        <f>IF(C177="","",SUMIFS(Лэндинг!$H$5:$H$300,Лэндинг!$E$5:$E$300,$B177)+SUMIFS(Закрытые!$H$5:$H$300,Закрытые!$E$5:$E$300,$B177,Закрытые!$B$5:$B$300,"L-*"))</f>
        <v/>
      </c>
      <c r="F177" s="240">
        <f>IF(SUMIFS(Лэндинг!$I$5:$I$300,Лэндинг!$E$5:$E$300,$B177)+SUMIFS(Закрытые!$I$5:$I$300,Закрытые!$E$5:$E$300,$B177,Закрытые!$B$5:$B$300,"L-*")=0,"",SUMIFS(Лэндинг!$I$5:$I$300,Лэндинг!$E$5:$E$300,$B177)+SUMIFS(Закрытые!$I$5:$I$300,Закрытые!$E$5:$E$300,$B177,Закрытые!$B$5:$B$300,"L-*"))</f>
        <v/>
      </c>
      <c r="G177" s="177">
        <f>IF(F177="","",(SUMPRODUCT((Лэндинг!$E$5:$E$300=$B177)*Лэндинг!$I$5:$I$300*Лэндинг!$J$5:$J$300)+SUMPRODUCT((Закрытые!$E$5:$E$300=$B177)*(LEFT(Закрытые!$B$5:$B$300,2)="L-")*Закрытые!$I$5:$I$300*Закрытые!$J$5:$J$300))/F177)</f>
        <v/>
      </c>
      <c r="H177" s="241">
        <f>IF(F177="","",SUMIFS(Лэндинг!$K$5:$K$300,Лэндинг!$E$5:$E$300,$B177)+SUMIFS(Закрытые!$K$5:$K$300,Закрытые!$E$5:$E$300,$B177,Закрытые!$B$5:$B$300,"L-*"))</f>
        <v/>
      </c>
      <c r="I177" s="240">
        <f>IF($B177="","",IF(COUNTIFS(Лэндинг!$E$5:$E$300,$B177)+COUNTIFS(Закрытые!$E$5:$E$300,$B177,Закрытые!$B$5:$B$300,"L-*")=0,"",ROUND(SUMIFS(Лэндинг!$L$5:$L$300,Лэндинг!$E$5:$E$300,$B177)+SUMIFS(Закрытые!$L$5:$L$300,Закрытые!$E$5:$E$300,$B177,Закрытые!$B$5:$B$300,"L-*"),8)))</f>
        <v/>
      </c>
      <c r="J177" s="241">
        <f>IF($B177="","",IF(COUNTIFS(Лэндинг!$E$5:$E$300,$B177)+COUNTIFS(Закрытые!$E$5:$E$300,$B177,Закрытые!$B$5:$B$300,"L-*")=0,"",ROUND(SUMIFS(Лэндинг!$M$5:$M$300,Лэндинг!$E$5:$E$300,$B177)+SUMIFS(Закрытые!$M$5:$M$300,Закрытые!$E$5:$E$300,$B177,Закрытые!$B$5:$B$300,"L-*"),8)))</f>
        <v/>
      </c>
      <c r="K177" s="240">
        <f>IF($B177="","",ROUND(SUMIFS(Закрытые!$N$5:$N$300,Закрытые!$E$5:$E$300,$B177,Закрытые!$B$5:$B$300,"L-*"),8))</f>
        <v/>
      </c>
      <c r="L177" s="177">
        <f>IF(K177="","",IF(SUMPRODUCT((Закрытые!$E$5:$E$300=$B177)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177/SUMPRODUCT((Закрытые!$E$5:$E$300=$B177)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7" s="177">
        <f>IF(OR(ROUND(N(C177)-N(F177),8)=0,1-N(Ввод!$E$17)/100&lt;=0),"",IF(N(C177)&gt;N(F177),(N(E177)-N(H177))/((N(C177)-N(F177))*(1-N(Ввод!$E$17)/100)),(N(H177)-N(E177))/((N(F177)-N(C177))*(1+N(Ввод!$E$17)/100))))</f>
        <v/>
      </c>
    </row>
    <row r="178" ht="22" customHeight="1">
      <c r="B178" s="320" t="n"/>
      <c r="C178" s="246">
        <f>IF(SUMIFS(Лэндинг!$F$5:$F$300,Лэндинг!$E$5:$E$300,$B178)+SUMIFS(Закрытые!$F$5:$F$300,Закрытые!$E$5:$E$300,$B178,Закрытые!$B$5:$B$300,"L-*")=0,"",SUMIFS(Лэндинг!$F$5:$F$300,Лэндинг!$E$5:$E$300,$B178)+SUMIFS(Закрытые!$F$5:$F$300,Закрытые!$E$5:$E$300,$B178,Закрытые!$B$5:$B$300,"L-*"))</f>
        <v/>
      </c>
      <c r="D178" s="183">
        <f>IF(C178="","",(SUMPRODUCT((Лэндинг!$E$5:$E$300=$B178)*Лэндинг!$F$5:$F$300*Лэндинг!$G$5:$G$300)+SUMPRODUCT((Закрытые!$E$5:$E$300=$B178)*(LEFT(Закрытые!$B$5:$B$300,2)="L-")*Закрытые!$F$5:$F$300*Закрытые!$G$5:$G$300))/C178)</f>
        <v/>
      </c>
      <c r="E178" s="247">
        <f>IF(C178="","",SUMIFS(Лэндинг!$H$5:$H$300,Лэндинг!$E$5:$E$300,$B178)+SUMIFS(Закрытые!$H$5:$H$300,Закрытые!$E$5:$E$300,$B178,Закрытые!$B$5:$B$300,"L-*"))</f>
        <v/>
      </c>
      <c r="F178" s="246">
        <f>IF(SUMIFS(Лэндинг!$I$5:$I$300,Лэндинг!$E$5:$E$300,$B178)+SUMIFS(Закрытые!$I$5:$I$300,Закрытые!$E$5:$E$300,$B178,Закрытые!$B$5:$B$300,"L-*")=0,"",SUMIFS(Лэндинг!$I$5:$I$300,Лэндинг!$E$5:$E$300,$B178)+SUMIFS(Закрытые!$I$5:$I$300,Закрытые!$E$5:$E$300,$B178,Закрытые!$B$5:$B$300,"L-*"))</f>
        <v/>
      </c>
      <c r="G178" s="183">
        <f>IF(F178="","",(SUMPRODUCT((Лэндинг!$E$5:$E$300=$B178)*Лэндинг!$I$5:$I$300*Лэндинг!$J$5:$J$300)+SUMPRODUCT((Закрытые!$E$5:$E$300=$B178)*(LEFT(Закрытые!$B$5:$B$300,2)="L-")*Закрытые!$I$5:$I$300*Закрытые!$J$5:$J$300))/F178)</f>
        <v/>
      </c>
      <c r="H178" s="247">
        <f>IF(F178="","",SUMIFS(Лэндинг!$K$5:$K$300,Лэндинг!$E$5:$E$300,$B178)+SUMIFS(Закрытые!$K$5:$K$300,Закрытые!$E$5:$E$300,$B178,Закрытые!$B$5:$B$300,"L-*"))</f>
        <v/>
      </c>
      <c r="I178" s="246">
        <f>IF($B178="","",IF(COUNTIFS(Лэндинг!$E$5:$E$300,$B178)+COUNTIFS(Закрытые!$E$5:$E$300,$B178,Закрытые!$B$5:$B$300,"L-*")=0,"",ROUND(SUMIFS(Лэндинг!$L$5:$L$300,Лэндинг!$E$5:$E$300,$B178)+SUMIFS(Закрытые!$L$5:$L$300,Закрытые!$E$5:$E$300,$B178,Закрытые!$B$5:$B$300,"L-*"),8)))</f>
        <v/>
      </c>
      <c r="J178" s="247">
        <f>IF($B178="","",IF(COUNTIFS(Лэндинг!$E$5:$E$300,$B178)+COUNTIFS(Закрытые!$E$5:$E$300,$B178,Закрытые!$B$5:$B$300,"L-*")=0,"",ROUND(SUMIFS(Лэндинг!$M$5:$M$300,Лэндинг!$E$5:$E$300,$B178)+SUMIFS(Закрытые!$M$5:$M$300,Закрытые!$E$5:$E$300,$B178,Закрытые!$B$5:$B$300,"L-*"),8)))</f>
        <v/>
      </c>
      <c r="K178" s="246">
        <f>IF($B178="","",ROUND(SUMIFS(Закрытые!$N$5:$N$300,Закрытые!$E$5:$E$300,$B178,Закрытые!$B$5:$B$300,"L-*"),8))</f>
        <v/>
      </c>
      <c r="L178" s="183">
        <f>IF(K178="","",IF(SUMPRODUCT((Закрытые!$E$5:$E$300=$B178)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178/SUMPRODUCT((Закрытые!$E$5:$E$300=$B178)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8" s="183">
        <f>IF(OR(ROUND(N(C178)-N(F178),8)=0,1-N(Ввод!$E$17)/100&lt;=0),"",IF(N(C178)&gt;N(F178),(N(E178)-N(H178))/((N(C178)-N(F178))*(1-N(Ввод!$E$17)/100)),(N(H178)-N(E178))/((N(F178)-N(C178))*(1+N(Ввод!$E$17)/100))))</f>
        <v/>
      </c>
    </row>
    <row r="179" ht="22" customHeight="1">
      <c r="B179" s="315" t="n"/>
      <c r="C179" s="240">
        <f>IF(SUMIFS(Лэндинг!$F$5:$F$300,Лэндинг!$E$5:$E$300,$B179)+SUMIFS(Закрытые!$F$5:$F$300,Закрытые!$E$5:$E$300,$B179,Закрытые!$B$5:$B$300,"L-*")=0,"",SUMIFS(Лэндинг!$F$5:$F$300,Лэндинг!$E$5:$E$300,$B179)+SUMIFS(Закрытые!$F$5:$F$300,Закрытые!$E$5:$E$300,$B179,Закрытые!$B$5:$B$300,"L-*"))</f>
        <v/>
      </c>
      <c r="D179" s="177">
        <f>IF(C179="","",(SUMPRODUCT((Лэндинг!$E$5:$E$300=$B179)*Лэндинг!$F$5:$F$300*Лэндинг!$G$5:$G$300)+SUMPRODUCT((Закрытые!$E$5:$E$300=$B179)*(LEFT(Закрытые!$B$5:$B$300,2)="L-")*Закрытые!$F$5:$F$300*Закрытые!$G$5:$G$300))/C179)</f>
        <v/>
      </c>
      <c r="E179" s="241">
        <f>IF(C179="","",SUMIFS(Лэндинг!$H$5:$H$300,Лэндинг!$E$5:$E$300,$B179)+SUMIFS(Закрытые!$H$5:$H$300,Закрытые!$E$5:$E$300,$B179,Закрытые!$B$5:$B$300,"L-*"))</f>
        <v/>
      </c>
      <c r="F179" s="240">
        <f>IF(SUMIFS(Лэндинг!$I$5:$I$300,Лэндинг!$E$5:$E$300,$B179)+SUMIFS(Закрытые!$I$5:$I$300,Закрытые!$E$5:$E$300,$B179,Закрытые!$B$5:$B$300,"L-*")=0,"",SUMIFS(Лэндинг!$I$5:$I$300,Лэндинг!$E$5:$E$300,$B179)+SUMIFS(Закрытые!$I$5:$I$300,Закрытые!$E$5:$E$300,$B179,Закрытые!$B$5:$B$300,"L-*"))</f>
        <v/>
      </c>
      <c r="G179" s="177">
        <f>IF(F179="","",(SUMPRODUCT((Лэндинг!$E$5:$E$300=$B179)*Лэндинг!$I$5:$I$300*Лэндинг!$J$5:$J$300)+SUMPRODUCT((Закрытые!$E$5:$E$300=$B179)*(LEFT(Закрытые!$B$5:$B$300,2)="L-")*Закрытые!$I$5:$I$300*Закрытые!$J$5:$J$300))/F179)</f>
        <v/>
      </c>
      <c r="H179" s="241">
        <f>IF(F179="","",SUMIFS(Лэндинг!$K$5:$K$300,Лэндинг!$E$5:$E$300,$B179)+SUMIFS(Закрытые!$K$5:$K$300,Закрытые!$E$5:$E$300,$B179,Закрытые!$B$5:$B$300,"L-*"))</f>
        <v/>
      </c>
      <c r="I179" s="240">
        <f>IF($B179="","",IF(COUNTIFS(Лэндинг!$E$5:$E$300,$B179)+COUNTIFS(Закрытые!$E$5:$E$300,$B179,Закрытые!$B$5:$B$300,"L-*")=0,"",ROUND(SUMIFS(Лэндинг!$L$5:$L$300,Лэндинг!$E$5:$E$300,$B179)+SUMIFS(Закрытые!$L$5:$L$300,Закрытые!$E$5:$E$300,$B179,Закрытые!$B$5:$B$300,"L-*"),8)))</f>
        <v/>
      </c>
      <c r="J179" s="241">
        <f>IF($B179="","",IF(COUNTIFS(Лэндинг!$E$5:$E$300,$B179)+COUNTIFS(Закрытые!$E$5:$E$300,$B179,Закрытые!$B$5:$B$300,"L-*")=0,"",ROUND(SUMIFS(Лэндинг!$M$5:$M$300,Лэндинг!$E$5:$E$300,$B179)+SUMIFS(Закрытые!$M$5:$M$300,Закрытые!$E$5:$E$300,$B179,Закрытые!$B$5:$B$300,"L-*"),8)))</f>
        <v/>
      </c>
      <c r="K179" s="240">
        <f>IF($B179="","",ROUND(SUMIFS(Закрытые!$N$5:$N$300,Закрытые!$E$5:$E$300,$B179,Закрытые!$B$5:$B$300,"L-*"),8))</f>
        <v/>
      </c>
      <c r="L179" s="177">
        <f>IF(K179="","",IF(SUMPRODUCT((Закрытые!$E$5:$E$300=$B179)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179/SUMPRODUCT((Закрытые!$E$5:$E$300=$B179)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9" s="177">
        <f>IF(OR(ROUND(N(C179)-N(F179),8)=0,1-N(Ввод!$E$17)/100&lt;=0),"",IF(N(C179)&gt;N(F179),(N(E179)-N(H179))/((N(C179)-N(F179))*(1-N(Ввод!$E$17)/100)),(N(H179)-N(E179))/((N(F179)-N(C179))*(1+N(Ввод!$E$17)/100))))</f>
        <v/>
      </c>
    </row>
    <row r="180" ht="22" customHeight="1">
      <c r="B180" s="320" t="n"/>
      <c r="C180" s="246">
        <f>IF(SUMIFS(Лэндинг!$F$5:$F$300,Лэндинг!$E$5:$E$300,$B180)+SUMIFS(Закрытые!$F$5:$F$300,Закрытые!$E$5:$E$300,$B180,Закрытые!$B$5:$B$300,"L-*")=0,"",SUMIFS(Лэндинг!$F$5:$F$300,Лэндинг!$E$5:$E$300,$B180)+SUMIFS(Закрытые!$F$5:$F$300,Закрытые!$E$5:$E$300,$B180,Закрытые!$B$5:$B$300,"L-*"))</f>
        <v/>
      </c>
      <c r="D180" s="183">
        <f>IF(C180="","",(SUMPRODUCT((Лэндинг!$E$5:$E$300=$B180)*Лэндинг!$F$5:$F$300*Лэндинг!$G$5:$G$300)+SUMPRODUCT((Закрытые!$E$5:$E$300=$B180)*(LEFT(Закрытые!$B$5:$B$300,2)="L-")*Закрытые!$F$5:$F$300*Закрытые!$G$5:$G$300))/C180)</f>
        <v/>
      </c>
      <c r="E180" s="247">
        <f>IF(C180="","",SUMIFS(Лэндинг!$H$5:$H$300,Лэндинг!$E$5:$E$300,$B180)+SUMIFS(Закрытые!$H$5:$H$300,Закрытые!$E$5:$E$300,$B180,Закрытые!$B$5:$B$300,"L-*"))</f>
        <v/>
      </c>
      <c r="F180" s="246">
        <f>IF(SUMIFS(Лэндинг!$I$5:$I$300,Лэндинг!$E$5:$E$300,$B180)+SUMIFS(Закрытые!$I$5:$I$300,Закрытые!$E$5:$E$300,$B180,Закрытые!$B$5:$B$300,"L-*")=0,"",SUMIFS(Лэндинг!$I$5:$I$300,Лэндинг!$E$5:$E$300,$B180)+SUMIFS(Закрытые!$I$5:$I$300,Закрытые!$E$5:$E$300,$B180,Закрытые!$B$5:$B$300,"L-*"))</f>
        <v/>
      </c>
      <c r="G180" s="183">
        <f>IF(F180="","",(SUMPRODUCT((Лэндинг!$E$5:$E$300=$B180)*Лэндинг!$I$5:$I$300*Лэндинг!$J$5:$J$300)+SUMPRODUCT((Закрытые!$E$5:$E$300=$B180)*(LEFT(Закрытые!$B$5:$B$300,2)="L-")*Закрытые!$I$5:$I$300*Закрытые!$J$5:$J$300))/F180)</f>
        <v/>
      </c>
      <c r="H180" s="247">
        <f>IF(F180="","",SUMIFS(Лэндинг!$K$5:$K$300,Лэндинг!$E$5:$E$300,$B180)+SUMIFS(Закрытые!$K$5:$K$300,Закрытые!$E$5:$E$300,$B180,Закрытые!$B$5:$B$300,"L-*"))</f>
        <v/>
      </c>
      <c r="I180" s="246">
        <f>IF($B180="","",IF(COUNTIFS(Лэндинг!$E$5:$E$300,$B180)+COUNTIFS(Закрытые!$E$5:$E$300,$B180,Закрытые!$B$5:$B$300,"L-*")=0,"",ROUND(SUMIFS(Лэндинг!$L$5:$L$300,Лэндинг!$E$5:$E$300,$B180)+SUMIFS(Закрытые!$L$5:$L$300,Закрытые!$E$5:$E$300,$B180,Закрытые!$B$5:$B$300,"L-*"),8)))</f>
        <v/>
      </c>
      <c r="J180" s="247">
        <f>IF($B180="","",IF(COUNTIFS(Лэндинг!$E$5:$E$300,$B180)+COUNTIFS(Закрытые!$E$5:$E$300,$B180,Закрытые!$B$5:$B$300,"L-*")=0,"",ROUND(SUMIFS(Лэндинг!$M$5:$M$300,Лэндинг!$E$5:$E$300,$B180)+SUMIFS(Закрытые!$M$5:$M$300,Закрытые!$E$5:$E$300,$B180,Закрытые!$B$5:$B$300,"L-*"),8)))</f>
        <v/>
      </c>
      <c r="K180" s="246">
        <f>IF($B180="","",ROUND(SUMIFS(Закрытые!$N$5:$N$300,Закрытые!$E$5:$E$300,$B180,Закрытые!$B$5:$B$300,"L-*"),8))</f>
        <v/>
      </c>
      <c r="L180" s="183">
        <f>IF(K180="","",IF(SUMPRODUCT((Закрытые!$E$5:$E$300=$B180)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180/SUMPRODUCT((Закрытые!$E$5:$E$300=$B180)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0" s="183">
        <f>IF(OR(ROUND(N(C180)-N(F180),8)=0,1-N(Ввод!$E$17)/100&lt;=0),"",IF(N(C180)&gt;N(F180),(N(E180)-N(H180))/((N(C180)-N(F180))*(1-N(Ввод!$E$17)/100)),(N(H180)-N(E180))/((N(F180)-N(C180))*(1+N(Ввод!$E$17)/100))))</f>
        <v/>
      </c>
    </row>
    <row r="181" ht="22" customHeight="1">
      <c r="B181" s="315" t="n"/>
      <c r="C181" s="240">
        <f>IF(SUMIFS(Лэндинг!$F$5:$F$300,Лэндинг!$E$5:$E$300,$B181)+SUMIFS(Закрытые!$F$5:$F$300,Закрытые!$E$5:$E$300,$B181,Закрытые!$B$5:$B$300,"L-*")=0,"",SUMIFS(Лэндинг!$F$5:$F$300,Лэндинг!$E$5:$E$300,$B181)+SUMIFS(Закрытые!$F$5:$F$300,Закрытые!$E$5:$E$300,$B181,Закрытые!$B$5:$B$300,"L-*"))</f>
        <v/>
      </c>
      <c r="D181" s="177">
        <f>IF(C181="","",(SUMPRODUCT((Лэндинг!$E$5:$E$300=$B181)*Лэндинг!$F$5:$F$300*Лэндинг!$G$5:$G$300)+SUMPRODUCT((Закрытые!$E$5:$E$300=$B181)*(LEFT(Закрытые!$B$5:$B$300,2)="L-")*Закрытые!$F$5:$F$300*Закрытые!$G$5:$G$300))/C181)</f>
        <v/>
      </c>
      <c r="E181" s="241">
        <f>IF(C181="","",SUMIFS(Лэндинг!$H$5:$H$300,Лэндинг!$E$5:$E$300,$B181)+SUMIFS(Закрытые!$H$5:$H$300,Закрытые!$E$5:$E$300,$B181,Закрытые!$B$5:$B$300,"L-*"))</f>
        <v/>
      </c>
      <c r="F181" s="240">
        <f>IF(SUMIFS(Лэндинг!$I$5:$I$300,Лэндинг!$E$5:$E$300,$B181)+SUMIFS(Закрытые!$I$5:$I$300,Закрытые!$E$5:$E$300,$B181,Закрытые!$B$5:$B$300,"L-*")=0,"",SUMIFS(Лэндинг!$I$5:$I$300,Лэндинг!$E$5:$E$300,$B181)+SUMIFS(Закрытые!$I$5:$I$300,Закрытые!$E$5:$E$300,$B181,Закрытые!$B$5:$B$300,"L-*"))</f>
        <v/>
      </c>
      <c r="G181" s="177">
        <f>IF(F181="","",(SUMPRODUCT((Лэндинг!$E$5:$E$300=$B181)*Лэндинг!$I$5:$I$300*Лэндинг!$J$5:$J$300)+SUMPRODUCT((Закрытые!$E$5:$E$300=$B181)*(LEFT(Закрытые!$B$5:$B$300,2)="L-")*Закрытые!$I$5:$I$300*Закрытые!$J$5:$J$300))/F181)</f>
        <v/>
      </c>
      <c r="H181" s="241">
        <f>IF(F181="","",SUMIFS(Лэндинг!$K$5:$K$300,Лэндинг!$E$5:$E$300,$B181)+SUMIFS(Закрытые!$K$5:$K$300,Закрытые!$E$5:$E$300,$B181,Закрытые!$B$5:$B$300,"L-*"))</f>
        <v/>
      </c>
      <c r="I181" s="240">
        <f>IF($B181="","",IF(COUNTIFS(Лэндинг!$E$5:$E$300,$B181)+COUNTIFS(Закрытые!$E$5:$E$300,$B181,Закрытые!$B$5:$B$300,"L-*")=0,"",ROUND(SUMIFS(Лэндинг!$L$5:$L$300,Лэндинг!$E$5:$E$300,$B181)+SUMIFS(Закрытые!$L$5:$L$300,Закрытые!$E$5:$E$300,$B181,Закрытые!$B$5:$B$300,"L-*"),8)))</f>
        <v/>
      </c>
      <c r="J181" s="241">
        <f>IF($B181="","",IF(COUNTIFS(Лэндинг!$E$5:$E$300,$B181)+COUNTIFS(Закрытые!$E$5:$E$300,$B181,Закрытые!$B$5:$B$300,"L-*")=0,"",ROUND(SUMIFS(Лэндинг!$M$5:$M$300,Лэндинг!$E$5:$E$300,$B181)+SUMIFS(Закрытые!$M$5:$M$300,Закрытые!$E$5:$E$300,$B181,Закрытые!$B$5:$B$300,"L-*"),8)))</f>
        <v/>
      </c>
      <c r="K181" s="240">
        <f>IF($B181="","",ROUND(SUMIFS(Закрытые!$N$5:$N$300,Закрытые!$E$5:$E$300,$B181,Закрытые!$B$5:$B$300,"L-*"),8))</f>
        <v/>
      </c>
      <c r="L181" s="177">
        <f>IF(K181="","",IF(SUMPRODUCT((Закрытые!$E$5:$E$300=$B181)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181/SUMPRODUCT((Закрытые!$E$5:$E$300=$B181)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1" s="177">
        <f>IF(OR(ROUND(N(C181)-N(F181),8)=0,1-N(Ввод!$E$17)/100&lt;=0),"",IF(N(C181)&gt;N(F181),(N(E181)-N(H181))/((N(C181)-N(F181))*(1-N(Ввод!$E$17)/100)),(N(H181)-N(E181))/((N(F181)-N(C181))*(1+N(Ввод!$E$17)/100))))</f>
        <v/>
      </c>
    </row>
    <row r="182" ht="22" customHeight="1">
      <c r="B182" s="320" t="n"/>
      <c r="C182" s="246">
        <f>IF(SUMIFS(Лэндинг!$F$5:$F$300,Лэндинг!$E$5:$E$300,$B182)+SUMIFS(Закрытые!$F$5:$F$300,Закрытые!$E$5:$E$300,$B182,Закрытые!$B$5:$B$300,"L-*")=0,"",SUMIFS(Лэндинг!$F$5:$F$300,Лэндинг!$E$5:$E$300,$B182)+SUMIFS(Закрытые!$F$5:$F$300,Закрытые!$E$5:$E$300,$B182,Закрытые!$B$5:$B$300,"L-*"))</f>
        <v/>
      </c>
      <c r="D182" s="183">
        <f>IF(C182="","",(SUMPRODUCT((Лэндинг!$E$5:$E$300=$B182)*Лэндинг!$F$5:$F$300*Лэндинг!$G$5:$G$300)+SUMPRODUCT((Закрытые!$E$5:$E$300=$B182)*(LEFT(Закрытые!$B$5:$B$300,2)="L-")*Закрытые!$F$5:$F$300*Закрытые!$G$5:$G$300))/C182)</f>
        <v/>
      </c>
      <c r="E182" s="247">
        <f>IF(C182="","",SUMIFS(Лэндинг!$H$5:$H$300,Лэндинг!$E$5:$E$300,$B182)+SUMIFS(Закрытые!$H$5:$H$300,Закрытые!$E$5:$E$300,$B182,Закрытые!$B$5:$B$300,"L-*"))</f>
        <v/>
      </c>
      <c r="F182" s="246">
        <f>IF(SUMIFS(Лэндинг!$I$5:$I$300,Лэндинг!$E$5:$E$300,$B182)+SUMIFS(Закрытые!$I$5:$I$300,Закрытые!$E$5:$E$300,$B182,Закрытые!$B$5:$B$300,"L-*")=0,"",SUMIFS(Лэндинг!$I$5:$I$300,Лэндинг!$E$5:$E$300,$B182)+SUMIFS(Закрытые!$I$5:$I$300,Закрытые!$E$5:$E$300,$B182,Закрытые!$B$5:$B$300,"L-*"))</f>
        <v/>
      </c>
      <c r="G182" s="183">
        <f>IF(F182="","",(SUMPRODUCT((Лэндинг!$E$5:$E$300=$B182)*Лэндинг!$I$5:$I$300*Лэндинг!$J$5:$J$300)+SUMPRODUCT((Закрытые!$E$5:$E$300=$B182)*(LEFT(Закрытые!$B$5:$B$300,2)="L-")*Закрытые!$I$5:$I$300*Закрытые!$J$5:$J$300))/F182)</f>
        <v/>
      </c>
      <c r="H182" s="247">
        <f>IF(F182="","",SUMIFS(Лэндинг!$K$5:$K$300,Лэндинг!$E$5:$E$300,$B182)+SUMIFS(Закрытые!$K$5:$K$300,Закрытые!$E$5:$E$300,$B182,Закрытые!$B$5:$B$300,"L-*"))</f>
        <v/>
      </c>
      <c r="I182" s="246">
        <f>IF($B182="","",IF(COUNTIFS(Лэндинг!$E$5:$E$300,$B182)+COUNTIFS(Закрытые!$E$5:$E$300,$B182,Закрытые!$B$5:$B$300,"L-*")=0,"",ROUND(SUMIFS(Лэндинг!$L$5:$L$300,Лэндинг!$E$5:$E$300,$B182)+SUMIFS(Закрытые!$L$5:$L$300,Закрытые!$E$5:$E$300,$B182,Закрытые!$B$5:$B$300,"L-*"),8)))</f>
        <v/>
      </c>
      <c r="J182" s="247">
        <f>IF($B182="","",IF(COUNTIFS(Лэндинг!$E$5:$E$300,$B182)+COUNTIFS(Закрытые!$E$5:$E$300,$B182,Закрытые!$B$5:$B$300,"L-*")=0,"",ROUND(SUMIFS(Лэндинг!$M$5:$M$300,Лэндинг!$E$5:$E$300,$B182)+SUMIFS(Закрытые!$M$5:$M$300,Закрытые!$E$5:$E$300,$B182,Закрытые!$B$5:$B$300,"L-*"),8)))</f>
        <v/>
      </c>
      <c r="K182" s="246">
        <f>IF($B182="","",ROUND(SUMIFS(Закрытые!$N$5:$N$300,Закрытые!$E$5:$E$300,$B182,Закрытые!$B$5:$B$300,"L-*"),8))</f>
        <v/>
      </c>
      <c r="L182" s="183">
        <f>IF(K182="","",IF(SUMPRODUCT((Закрытые!$E$5:$E$300=$B182)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182/SUMPRODUCT((Закрытые!$E$5:$E$300=$B182)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2" s="183">
        <f>IF(OR(ROUND(N(C182)-N(F182),8)=0,1-N(Ввод!$E$17)/100&lt;=0),"",IF(N(C182)&gt;N(F182),(N(E182)-N(H182))/((N(C182)-N(F182))*(1-N(Ввод!$E$17)/100)),(N(H182)-N(E182))/((N(F182)-N(C182))*(1+N(Ввод!$E$17)/100))))</f>
        <v/>
      </c>
    </row>
    <row r="183" ht="22" customHeight="1">
      <c r="B183" s="315" t="n"/>
      <c r="C183" s="240">
        <f>IF(SUMIFS(Лэндинг!$F$5:$F$300,Лэндинг!$E$5:$E$300,$B183)+SUMIFS(Закрытые!$F$5:$F$300,Закрытые!$E$5:$E$300,$B183,Закрытые!$B$5:$B$300,"L-*")=0,"",SUMIFS(Лэндинг!$F$5:$F$300,Лэндинг!$E$5:$E$300,$B183)+SUMIFS(Закрытые!$F$5:$F$300,Закрытые!$E$5:$E$300,$B183,Закрытые!$B$5:$B$300,"L-*"))</f>
        <v/>
      </c>
      <c r="D183" s="177">
        <f>IF(C183="","",(SUMPRODUCT((Лэндинг!$E$5:$E$300=$B183)*Лэндинг!$F$5:$F$300*Лэндинг!$G$5:$G$300)+SUMPRODUCT((Закрытые!$E$5:$E$300=$B183)*(LEFT(Закрытые!$B$5:$B$300,2)="L-")*Закрытые!$F$5:$F$300*Закрытые!$G$5:$G$300))/C183)</f>
        <v/>
      </c>
      <c r="E183" s="241">
        <f>IF(C183="","",SUMIFS(Лэндинг!$H$5:$H$300,Лэндинг!$E$5:$E$300,$B183)+SUMIFS(Закрытые!$H$5:$H$300,Закрытые!$E$5:$E$300,$B183,Закрытые!$B$5:$B$300,"L-*"))</f>
        <v/>
      </c>
      <c r="F183" s="240">
        <f>IF(SUMIFS(Лэндинг!$I$5:$I$300,Лэндинг!$E$5:$E$300,$B183)+SUMIFS(Закрытые!$I$5:$I$300,Закрытые!$E$5:$E$300,$B183,Закрытые!$B$5:$B$300,"L-*")=0,"",SUMIFS(Лэндинг!$I$5:$I$300,Лэндинг!$E$5:$E$300,$B183)+SUMIFS(Закрытые!$I$5:$I$300,Закрытые!$E$5:$E$300,$B183,Закрытые!$B$5:$B$300,"L-*"))</f>
        <v/>
      </c>
      <c r="G183" s="177">
        <f>IF(F183="","",(SUMPRODUCT((Лэндинг!$E$5:$E$300=$B183)*Лэндинг!$I$5:$I$300*Лэндинг!$J$5:$J$300)+SUMPRODUCT((Закрытые!$E$5:$E$300=$B183)*(LEFT(Закрытые!$B$5:$B$300,2)="L-")*Закрытые!$I$5:$I$300*Закрытые!$J$5:$J$300))/F183)</f>
        <v/>
      </c>
      <c r="H183" s="241">
        <f>IF(F183="","",SUMIFS(Лэндинг!$K$5:$K$300,Лэндинг!$E$5:$E$300,$B183)+SUMIFS(Закрытые!$K$5:$K$300,Закрытые!$E$5:$E$300,$B183,Закрытые!$B$5:$B$300,"L-*"))</f>
        <v/>
      </c>
      <c r="I183" s="240">
        <f>IF($B183="","",IF(COUNTIFS(Лэндинг!$E$5:$E$300,$B183)+COUNTIFS(Закрытые!$E$5:$E$300,$B183,Закрытые!$B$5:$B$300,"L-*")=0,"",ROUND(SUMIFS(Лэндинг!$L$5:$L$300,Лэндинг!$E$5:$E$300,$B183)+SUMIFS(Закрытые!$L$5:$L$300,Закрытые!$E$5:$E$300,$B183,Закрытые!$B$5:$B$300,"L-*"),8)))</f>
        <v/>
      </c>
      <c r="J183" s="241">
        <f>IF($B183="","",IF(COUNTIFS(Лэндинг!$E$5:$E$300,$B183)+COUNTIFS(Закрытые!$E$5:$E$300,$B183,Закрытые!$B$5:$B$300,"L-*")=0,"",ROUND(SUMIFS(Лэндинг!$M$5:$M$300,Лэндинг!$E$5:$E$300,$B183)+SUMIFS(Закрытые!$M$5:$M$300,Закрытые!$E$5:$E$300,$B183,Закрытые!$B$5:$B$300,"L-*"),8)))</f>
        <v/>
      </c>
      <c r="K183" s="240">
        <f>IF($B183="","",ROUND(SUMIFS(Закрытые!$N$5:$N$300,Закрытые!$E$5:$E$300,$B183,Закрытые!$B$5:$B$300,"L-*"),8))</f>
        <v/>
      </c>
      <c r="L183" s="177">
        <f>IF(K183="","",IF(SUMPRODUCT((Закрытые!$E$5:$E$300=$B183)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183/SUMPRODUCT((Закрытые!$E$5:$E$300=$B183)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3" s="177">
        <f>IF(OR(ROUND(N(C183)-N(F183),8)=0,1-N(Ввод!$E$17)/100&lt;=0),"",IF(N(C183)&gt;N(F183),(N(E183)-N(H183))/((N(C183)-N(F183))*(1-N(Ввод!$E$17)/100)),(N(H183)-N(E183))/((N(F183)-N(C183))*(1+N(Ввод!$E$17)/100))))</f>
        <v/>
      </c>
    </row>
    <row r="184" ht="22" customHeight="1">
      <c r="B184" s="320" t="n"/>
      <c r="C184" s="246">
        <f>IF(SUMIFS(Лэндинг!$F$5:$F$300,Лэндинг!$E$5:$E$300,$B184)+SUMIFS(Закрытые!$F$5:$F$300,Закрытые!$E$5:$E$300,$B184,Закрытые!$B$5:$B$300,"L-*")=0,"",SUMIFS(Лэндинг!$F$5:$F$300,Лэндинг!$E$5:$E$300,$B184)+SUMIFS(Закрытые!$F$5:$F$300,Закрытые!$E$5:$E$300,$B184,Закрытые!$B$5:$B$300,"L-*"))</f>
        <v/>
      </c>
      <c r="D184" s="183">
        <f>IF(C184="","",(SUMPRODUCT((Лэндинг!$E$5:$E$300=$B184)*Лэндинг!$F$5:$F$300*Лэндинг!$G$5:$G$300)+SUMPRODUCT((Закрытые!$E$5:$E$300=$B184)*(LEFT(Закрытые!$B$5:$B$300,2)="L-")*Закрытые!$F$5:$F$300*Закрытые!$G$5:$G$300))/C184)</f>
        <v/>
      </c>
      <c r="E184" s="247">
        <f>IF(C184="","",SUMIFS(Лэндинг!$H$5:$H$300,Лэндинг!$E$5:$E$300,$B184)+SUMIFS(Закрытые!$H$5:$H$300,Закрытые!$E$5:$E$300,$B184,Закрытые!$B$5:$B$300,"L-*"))</f>
        <v/>
      </c>
      <c r="F184" s="246">
        <f>IF(SUMIFS(Лэндинг!$I$5:$I$300,Лэндинг!$E$5:$E$300,$B184)+SUMIFS(Закрытые!$I$5:$I$300,Закрытые!$E$5:$E$300,$B184,Закрытые!$B$5:$B$300,"L-*")=0,"",SUMIFS(Лэндинг!$I$5:$I$300,Лэндинг!$E$5:$E$300,$B184)+SUMIFS(Закрытые!$I$5:$I$300,Закрытые!$E$5:$E$300,$B184,Закрытые!$B$5:$B$300,"L-*"))</f>
        <v/>
      </c>
      <c r="G184" s="183">
        <f>IF(F184="","",(SUMPRODUCT((Лэндинг!$E$5:$E$300=$B184)*Лэндинг!$I$5:$I$300*Лэндинг!$J$5:$J$300)+SUMPRODUCT((Закрытые!$E$5:$E$300=$B184)*(LEFT(Закрытые!$B$5:$B$300,2)="L-")*Закрытые!$I$5:$I$300*Закрытые!$J$5:$J$300))/F184)</f>
        <v/>
      </c>
      <c r="H184" s="247">
        <f>IF(F184="","",SUMIFS(Лэндинг!$K$5:$K$300,Лэндинг!$E$5:$E$300,$B184)+SUMIFS(Закрытые!$K$5:$K$300,Закрытые!$E$5:$E$300,$B184,Закрытые!$B$5:$B$300,"L-*"))</f>
        <v/>
      </c>
      <c r="I184" s="246">
        <f>IF($B184="","",IF(COUNTIFS(Лэндинг!$E$5:$E$300,$B184)+COUNTIFS(Закрытые!$E$5:$E$300,$B184,Закрытые!$B$5:$B$300,"L-*")=0,"",ROUND(SUMIFS(Лэндинг!$L$5:$L$300,Лэндинг!$E$5:$E$300,$B184)+SUMIFS(Закрытые!$L$5:$L$300,Закрытые!$E$5:$E$300,$B184,Закрытые!$B$5:$B$300,"L-*"),8)))</f>
        <v/>
      </c>
      <c r="J184" s="247">
        <f>IF($B184="","",IF(COUNTIFS(Лэндинг!$E$5:$E$300,$B184)+COUNTIFS(Закрытые!$E$5:$E$300,$B184,Закрытые!$B$5:$B$300,"L-*")=0,"",ROUND(SUMIFS(Лэндинг!$M$5:$M$300,Лэндинг!$E$5:$E$300,$B184)+SUMIFS(Закрытые!$M$5:$M$300,Закрытые!$E$5:$E$300,$B184,Закрытые!$B$5:$B$300,"L-*"),8)))</f>
        <v/>
      </c>
      <c r="K184" s="246">
        <f>IF($B184="","",ROUND(SUMIFS(Закрытые!$N$5:$N$300,Закрытые!$E$5:$E$300,$B184,Закрытые!$B$5:$B$300,"L-*"),8))</f>
        <v/>
      </c>
      <c r="L184" s="183">
        <f>IF(K184="","",IF(SUMPRODUCT((Закрытые!$E$5:$E$300=$B184)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184/SUMPRODUCT((Закрытые!$E$5:$E$300=$B184)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4" s="183">
        <f>IF(OR(ROUND(N(C184)-N(F184),8)=0,1-N(Ввод!$E$17)/100&lt;=0),"",IF(N(C184)&gt;N(F184),(N(E184)-N(H184))/((N(C184)-N(F184))*(1-N(Ввод!$E$17)/100)),(N(H184)-N(E184))/((N(F184)-N(C184))*(1+N(Ввод!$E$17)/100))))</f>
        <v/>
      </c>
    </row>
    <row r="185" ht="22" customHeight="1">
      <c r="B185" s="315" t="n"/>
      <c r="C185" s="240">
        <f>IF(SUMIFS(Лэндинг!$F$5:$F$300,Лэндинг!$E$5:$E$300,$B185)+SUMIFS(Закрытые!$F$5:$F$300,Закрытые!$E$5:$E$300,$B185,Закрытые!$B$5:$B$300,"L-*")=0,"",SUMIFS(Лэндинг!$F$5:$F$300,Лэндинг!$E$5:$E$300,$B185)+SUMIFS(Закрытые!$F$5:$F$300,Закрытые!$E$5:$E$300,$B185,Закрытые!$B$5:$B$300,"L-*"))</f>
        <v/>
      </c>
      <c r="D185" s="177">
        <f>IF(C185="","",(SUMPRODUCT((Лэндинг!$E$5:$E$300=$B185)*Лэндинг!$F$5:$F$300*Лэндинг!$G$5:$G$300)+SUMPRODUCT((Закрытые!$E$5:$E$300=$B185)*(LEFT(Закрытые!$B$5:$B$300,2)="L-")*Закрытые!$F$5:$F$300*Закрытые!$G$5:$G$300))/C185)</f>
        <v/>
      </c>
      <c r="E185" s="241">
        <f>IF(C185="","",SUMIFS(Лэндинг!$H$5:$H$300,Лэндинг!$E$5:$E$300,$B185)+SUMIFS(Закрытые!$H$5:$H$300,Закрытые!$E$5:$E$300,$B185,Закрытые!$B$5:$B$300,"L-*"))</f>
        <v/>
      </c>
      <c r="F185" s="240">
        <f>IF(SUMIFS(Лэндинг!$I$5:$I$300,Лэндинг!$E$5:$E$300,$B185)+SUMIFS(Закрытые!$I$5:$I$300,Закрытые!$E$5:$E$300,$B185,Закрытые!$B$5:$B$300,"L-*")=0,"",SUMIFS(Лэндинг!$I$5:$I$300,Лэндинг!$E$5:$E$300,$B185)+SUMIFS(Закрытые!$I$5:$I$300,Закрытые!$E$5:$E$300,$B185,Закрытые!$B$5:$B$300,"L-*"))</f>
        <v/>
      </c>
      <c r="G185" s="177">
        <f>IF(F185="","",(SUMPRODUCT((Лэндинг!$E$5:$E$300=$B185)*Лэндинг!$I$5:$I$300*Лэндинг!$J$5:$J$300)+SUMPRODUCT((Закрытые!$E$5:$E$300=$B185)*(LEFT(Закрытые!$B$5:$B$300,2)="L-")*Закрытые!$I$5:$I$300*Закрытые!$J$5:$J$300))/F185)</f>
        <v/>
      </c>
      <c r="H185" s="241">
        <f>IF(F185="","",SUMIFS(Лэндинг!$K$5:$K$300,Лэндинг!$E$5:$E$300,$B185)+SUMIFS(Закрытые!$K$5:$K$300,Закрытые!$E$5:$E$300,$B185,Закрытые!$B$5:$B$300,"L-*"))</f>
        <v/>
      </c>
      <c r="I185" s="240">
        <f>IF($B185="","",IF(COUNTIFS(Лэндинг!$E$5:$E$300,$B185)+COUNTIFS(Закрытые!$E$5:$E$300,$B185,Закрытые!$B$5:$B$300,"L-*")=0,"",ROUND(SUMIFS(Лэндинг!$L$5:$L$300,Лэндинг!$E$5:$E$300,$B185)+SUMIFS(Закрытые!$L$5:$L$300,Закрытые!$E$5:$E$300,$B185,Закрытые!$B$5:$B$300,"L-*"),8)))</f>
        <v/>
      </c>
      <c r="J185" s="241">
        <f>IF($B185="","",IF(COUNTIFS(Лэндинг!$E$5:$E$300,$B185)+COUNTIFS(Закрытые!$E$5:$E$300,$B185,Закрытые!$B$5:$B$300,"L-*")=0,"",ROUND(SUMIFS(Лэндинг!$M$5:$M$300,Лэндинг!$E$5:$E$300,$B185)+SUMIFS(Закрытые!$M$5:$M$300,Закрытые!$E$5:$E$300,$B185,Закрытые!$B$5:$B$300,"L-*"),8)))</f>
        <v/>
      </c>
      <c r="K185" s="240">
        <f>IF($B185="","",ROUND(SUMIFS(Закрытые!$N$5:$N$300,Закрытые!$E$5:$E$300,$B185,Закрытые!$B$5:$B$300,"L-*"),8))</f>
        <v/>
      </c>
      <c r="L185" s="177">
        <f>IF(K185="","",IF(SUMPRODUCT((Закрытые!$E$5:$E$300=$B185)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185/SUMPRODUCT((Закрытые!$E$5:$E$300=$B185)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5" s="177">
        <f>IF(OR(ROUND(N(C185)-N(F185),8)=0,1-N(Ввод!$E$17)/100&lt;=0),"",IF(N(C185)&gt;N(F185),(N(E185)-N(H185))/((N(C185)-N(F185))*(1-N(Ввод!$E$17)/100)),(N(H185)-N(E185))/((N(F185)-N(C185))*(1+N(Ввод!$E$17)/100))))</f>
        <v/>
      </c>
    </row>
    <row r="186" ht="22" customHeight="1">
      <c r="B186" s="320" t="n"/>
      <c r="C186" s="246">
        <f>IF(SUMIFS(Лэндинг!$F$5:$F$300,Лэндинг!$E$5:$E$300,$B186)+SUMIFS(Закрытые!$F$5:$F$300,Закрытые!$E$5:$E$300,$B186,Закрытые!$B$5:$B$300,"L-*")=0,"",SUMIFS(Лэндинг!$F$5:$F$300,Лэндинг!$E$5:$E$300,$B186)+SUMIFS(Закрытые!$F$5:$F$300,Закрытые!$E$5:$E$300,$B186,Закрытые!$B$5:$B$300,"L-*"))</f>
        <v/>
      </c>
      <c r="D186" s="183">
        <f>IF(C186="","",(SUMPRODUCT((Лэндинг!$E$5:$E$300=$B186)*Лэндинг!$F$5:$F$300*Лэндинг!$G$5:$G$300)+SUMPRODUCT((Закрытые!$E$5:$E$300=$B186)*(LEFT(Закрытые!$B$5:$B$300,2)="L-")*Закрытые!$F$5:$F$300*Закрытые!$G$5:$G$300))/C186)</f>
        <v/>
      </c>
      <c r="E186" s="247">
        <f>IF(C186="","",SUMIFS(Лэндинг!$H$5:$H$300,Лэндинг!$E$5:$E$300,$B186)+SUMIFS(Закрытые!$H$5:$H$300,Закрытые!$E$5:$E$300,$B186,Закрытые!$B$5:$B$300,"L-*"))</f>
        <v/>
      </c>
      <c r="F186" s="246">
        <f>IF(SUMIFS(Лэндинг!$I$5:$I$300,Лэндинг!$E$5:$E$300,$B186)+SUMIFS(Закрытые!$I$5:$I$300,Закрытые!$E$5:$E$300,$B186,Закрытые!$B$5:$B$300,"L-*")=0,"",SUMIFS(Лэндинг!$I$5:$I$300,Лэндинг!$E$5:$E$300,$B186)+SUMIFS(Закрытые!$I$5:$I$300,Закрытые!$E$5:$E$300,$B186,Закрытые!$B$5:$B$300,"L-*"))</f>
        <v/>
      </c>
      <c r="G186" s="183">
        <f>IF(F186="","",(SUMPRODUCT((Лэндинг!$E$5:$E$300=$B186)*Лэндинг!$I$5:$I$300*Лэндинг!$J$5:$J$300)+SUMPRODUCT((Закрытые!$E$5:$E$300=$B186)*(LEFT(Закрытые!$B$5:$B$300,2)="L-")*Закрытые!$I$5:$I$300*Закрытые!$J$5:$J$300))/F186)</f>
        <v/>
      </c>
      <c r="H186" s="247">
        <f>IF(F186="","",SUMIFS(Лэндинг!$K$5:$K$300,Лэндинг!$E$5:$E$300,$B186)+SUMIFS(Закрытые!$K$5:$K$300,Закрытые!$E$5:$E$300,$B186,Закрытые!$B$5:$B$300,"L-*"))</f>
        <v/>
      </c>
      <c r="I186" s="246">
        <f>IF($B186="","",IF(COUNTIFS(Лэндинг!$E$5:$E$300,$B186)+COUNTIFS(Закрытые!$E$5:$E$300,$B186,Закрытые!$B$5:$B$300,"L-*")=0,"",ROUND(SUMIFS(Лэндинг!$L$5:$L$300,Лэндинг!$E$5:$E$300,$B186)+SUMIFS(Закрытые!$L$5:$L$300,Закрытые!$E$5:$E$300,$B186,Закрытые!$B$5:$B$300,"L-*"),8)))</f>
        <v/>
      </c>
      <c r="J186" s="247">
        <f>IF($B186="","",IF(COUNTIFS(Лэндинг!$E$5:$E$300,$B186)+COUNTIFS(Закрытые!$E$5:$E$300,$B186,Закрытые!$B$5:$B$300,"L-*")=0,"",ROUND(SUMIFS(Лэндинг!$M$5:$M$300,Лэндинг!$E$5:$E$300,$B186)+SUMIFS(Закрытые!$M$5:$M$300,Закрытые!$E$5:$E$300,$B186,Закрытые!$B$5:$B$300,"L-*"),8)))</f>
        <v/>
      </c>
      <c r="K186" s="246">
        <f>IF($B186="","",ROUND(SUMIFS(Закрытые!$N$5:$N$300,Закрытые!$E$5:$E$300,$B186,Закрытые!$B$5:$B$300,"L-*"),8))</f>
        <v/>
      </c>
      <c r="L186" s="183">
        <f>IF(K186="","",IF(SUMPRODUCT((Закрытые!$E$5:$E$300=$B186)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186/SUMPRODUCT((Закрытые!$E$5:$E$300=$B186)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6" s="183">
        <f>IF(OR(ROUND(N(C186)-N(F186),8)=0,1-N(Ввод!$E$17)/100&lt;=0),"",IF(N(C186)&gt;N(F186),(N(E186)-N(H186))/((N(C186)-N(F186))*(1-N(Ввод!$E$17)/100)),(N(H186)-N(E186))/((N(F186)-N(C186))*(1+N(Ввод!$E$17)/100))))</f>
        <v/>
      </c>
    </row>
    <row r="187" ht="22" customHeight="1">
      <c r="B187" s="315" t="n"/>
      <c r="C187" s="240">
        <f>IF(SUMIFS(Лэндинг!$F$5:$F$300,Лэндинг!$E$5:$E$300,$B187)+SUMIFS(Закрытые!$F$5:$F$300,Закрытые!$E$5:$E$300,$B187,Закрытые!$B$5:$B$300,"L-*")=0,"",SUMIFS(Лэндинг!$F$5:$F$300,Лэндинг!$E$5:$E$300,$B187)+SUMIFS(Закрытые!$F$5:$F$300,Закрытые!$E$5:$E$300,$B187,Закрытые!$B$5:$B$300,"L-*"))</f>
        <v/>
      </c>
      <c r="D187" s="177">
        <f>IF(C187="","",(SUMPRODUCT((Лэндинг!$E$5:$E$300=$B187)*Лэндинг!$F$5:$F$300*Лэндинг!$G$5:$G$300)+SUMPRODUCT((Закрытые!$E$5:$E$300=$B187)*(LEFT(Закрытые!$B$5:$B$300,2)="L-")*Закрытые!$F$5:$F$300*Закрытые!$G$5:$G$300))/C187)</f>
        <v/>
      </c>
      <c r="E187" s="241">
        <f>IF(C187="","",SUMIFS(Лэндинг!$H$5:$H$300,Лэндинг!$E$5:$E$300,$B187)+SUMIFS(Закрытые!$H$5:$H$300,Закрытые!$E$5:$E$300,$B187,Закрытые!$B$5:$B$300,"L-*"))</f>
        <v/>
      </c>
      <c r="F187" s="240">
        <f>IF(SUMIFS(Лэндинг!$I$5:$I$300,Лэндинг!$E$5:$E$300,$B187)+SUMIFS(Закрытые!$I$5:$I$300,Закрытые!$E$5:$E$300,$B187,Закрытые!$B$5:$B$300,"L-*")=0,"",SUMIFS(Лэндинг!$I$5:$I$300,Лэндинг!$E$5:$E$300,$B187)+SUMIFS(Закрытые!$I$5:$I$300,Закрытые!$E$5:$E$300,$B187,Закрытые!$B$5:$B$300,"L-*"))</f>
        <v/>
      </c>
      <c r="G187" s="177">
        <f>IF(F187="","",(SUMPRODUCT((Лэндинг!$E$5:$E$300=$B187)*Лэндинг!$I$5:$I$300*Лэндинг!$J$5:$J$300)+SUMPRODUCT((Закрытые!$E$5:$E$300=$B187)*(LEFT(Закрытые!$B$5:$B$300,2)="L-")*Закрытые!$I$5:$I$300*Закрытые!$J$5:$J$300))/F187)</f>
        <v/>
      </c>
      <c r="H187" s="241">
        <f>IF(F187="","",SUMIFS(Лэндинг!$K$5:$K$300,Лэндинг!$E$5:$E$300,$B187)+SUMIFS(Закрытые!$K$5:$K$300,Закрытые!$E$5:$E$300,$B187,Закрытые!$B$5:$B$300,"L-*"))</f>
        <v/>
      </c>
      <c r="I187" s="240">
        <f>IF($B187="","",IF(COUNTIFS(Лэндинг!$E$5:$E$300,$B187)+COUNTIFS(Закрытые!$E$5:$E$300,$B187,Закрытые!$B$5:$B$300,"L-*")=0,"",ROUND(SUMIFS(Лэндинг!$L$5:$L$300,Лэндинг!$E$5:$E$300,$B187)+SUMIFS(Закрытые!$L$5:$L$300,Закрытые!$E$5:$E$300,$B187,Закрытые!$B$5:$B$300,"L-*"),8)))</f>
        <v/>
      </c>
      <c r="J187" s="241">
        <f>IF($B187="","",IF(COUNTIFS(Лэндинг!$E$5:$E$300,$B187)+COUNTIFS(Закрытые!$E$5:$E$300,$B187,Закрытые!$B$5:$B$300,"L-*")=0,"",ROUND(SUMIFS(Лэндинг!$M$5:$M$300,Лэндинг!$E$5:$E$300,$B187)+SUMIFS(Закрытые!$M$5:$M$300,Закрытые!$E$5:$E$300,$B187,Закрытые!$B$5:$B$300,"L-*"),8)))</f>
        <v/>
      </c>
      <c r="K187" s="240">
        <f>IF($B187="","",ROUND(SUMIFS(Закрытые!$N$5:$N$300,Закрытые!$E$5:$E$300,$B187,Закрытые!$B$5:$B$300,"L-*"),8))</f>
        <v/>
      </c>
      <c r="L187" s="177">
        <f>IF(K187="","",IF(SUMPRODUCT((Закрытые!$E$5:$E$300=$B187)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187/SUMPRODUCT((Закрытые!$E$5:$E$300=$B187)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7" s="177">
        <f>IF(OR(ROUND(N(C187)-N(F187),8)=0,1-N(Ввод!$E$17)/100&lt;=0),"",IF(N(C187)&gt;N(F187),(N(E187)-N(H187))/((N(C187)-N(F187))*(1-N(Ввод!$E$17)/100)),(N(H187)-N(E187))/((N(F187)-N(C187))*(1+N(Ввод!$E$17)/100))))</f>
        <v/>
      </c>
    </row>
    <row r="188" ht="22" customHeight="1">
      <c r="B188" s="320" t="n"/>
      <c r="C188" s="246">
        <f>IF(SUMIFS(Лэндинг!$F$5:$F$300,Лэндинг!$E$5:$E$300,$B188)+SUMIFS(Закрытые!$F$5:$F$300,Закрытые!$E$5:$E$300,$B188,Закрытые!$B$5:$B$300,"L-*")=0,"",SUMIFS(Лэндинг!$F$5:$F$300,Лэндинг!$E$5:$E$300,$B188)+SUMIFS(Закрытые!$F$5:$F$300,Закрытые!$E$5:$E$300,$B188,Закрытые!$B$5:$B$300,"L-*"))</f>
        <v/>
      </c>
      <c r="D188" s="183">
        <f>IF(C188="","",(SUMPRODUCT((Лэндинг!$E$5:$E$300=$B188)*Лэндинг!$F$5:$F$300*Лэндинг!$G$5:$G$300)+SUMPRODUCT((Закрытые!$E$5:$E$300=$B188)*(LEFT(Закрытые!$B$5:$B$300,2)="L-")*Закрытые!$F$5:$F$300*Закрытые!$G$5:$G$300))/C188)</f>
        <v/>
      </c>
      <c r="E188" s="247">
        <f>IF(C188="","",SUMIFS(Лэндинг!$H$5:$H$300,Лэндинг!$E$5:$E$300,$B188)+SUMIFS(Закрытые!$H$5:$H$300,Закрытые!$E$5:$E$300,$B188,Закрытые!$B$5:$B$300,"L-*"))</f>
        <v/>
      </c>
      <c r="F188" s="246">
        <f>IF(SUMIFS(Лэндинг!$I$5:$I$300,Лэндинг!$E$5:$E$300,$B188)+SUMIFS(Закрытые!$I$5:$I$300,Закрытые!$E$5:$E$300,$B188,Закрытые!$B$5:$B$300,"L-*")=0,"",SUMIFS(Лэндинг!$I$5:$I$300,Лэндинг!$E$5:$E$300,$B188)+SUMIFS(Закрытые!$I$5:$I$300,Закрытые!$E$5:$E$300,$B188,Закрытые!$B$5:$B$300,"L-*"))</f>
        <v/>
      </c>
      <c r="G188" s="183">
        <f>IF(F188="","",(SUMPRODUCT((Лэндинг!$E$5:$E$300=$B188)*Лэндинг!$I$5:$I$300*Лэндинг!$J$5:$J$300)+SUMPRODUCT((Закрытые!$E$5:$E$300=$B188)*(LEFT(Закрытые!$B$5:$B$300,2)="L-")*Закрытые!$I$5:$I$300*Закрытые!$J$5:$J$300))/F188)</f>
        <v/>
      </c>
      <c r="H188" s="247">
        <f>IF(F188="","",SUMIFS(Лэндинг!$K$5:$K$300,Лэндинг!$E$5:$E$300,$B188)+SUMIFS(Закрытые!$K$5:$K$300,Закрытые!$E$5:$E$300,$B188,Закрытые!$B$5:$B$300,"L-*"))</f>
        <v/>
      </c>
      <c r="I188" s="246">
        <f>IF($B188="","",IF(COUNTIFS(Лэндинг!$E$5:$E$300,$B188)+COUNTIFS(Закрытые!$E$5:$E$300,$B188,Закрытые!$B$5:$B$300,"L-*")=0,"",ROUND(SUMIFS(Лэндинг!$L$5:$L$300,Лэндинг!$E$5:$E$300,$B188)+SUMIFS(Закрытые!$L$5:$L$300,Закрытые!$E$5:$E$300,$B188,Закрытые!$B$5:$B$300,"L-*"),8)))</f>
        <v/>
      </c>
      <c r="J188" s="247">
        <f>IF($B188="","",IF(COUNTIFS(Лэндинг!$E$5:$E$300,$B188)+COUNTIFS(Закрытые!$E$5:$E$300,$B188,Закрытые!$B$5:$B$300,"L-*")=0,"",ROUND(SUMIFS(Лэндинг!$M$5:$M$300,Лэндинг!$E$5:$E$300,$B188)+SUMIFS(Закрытые!$M$5:$M$300,Закрытые!$E$5:$E$300,$B188,Закрытые!$B$5:$B$300,"L-*"),8)))</f>
        <v/>
      </c>
      <c r="K188" s="246">
        <f>IF($B188="","",ROUND(SUMIFS(Закрытые!$N$5:$N$300,Закрытые!$E$5:$E$300,$B188,Закрытые!$B$5:$B$300,"L-*"),8))</f>
        <v/>
      </c>
      <c r="L188" s="183">
        <f>IF(K188="","",IF(SUMPRODUCT((Закрытые!$E$5:$E$300=$B188)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188/SUMPRODUCT((Закрытые!$E$5:$E$300=$B188)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8" s="183">
        <f>IF(OR(ROUND(N(C188)-N(F188),8)=0,1-N(Ввод!$E$17)/100&lt;=0),"",IF(N(C188)&gt;N(F188),(N(E188)-N(H188))/((N(C188)-N(F188))*(1-N(Ввод!$E$17)/100)),(N(H188)-N(E188))/((N(F188)-N(C188))*(1+N(Ввод!$E$17)/100))))</f>
        <v/>
      </c>
    </row>
    <row r="189" ht="22" customHeight="1">
      <c r="B189" s="315" t="n"/>
      <c r="C189" s="240">
        <f>IF(SUMIFS(Лэндинг!$F$5:$F$300,Лэндинг!$E$5:$E$300,$B189)+SUMIFS(Закрытые!$F$5:$F$300,Закрытые!$E$5:$E$300,$B189,Закрытые!$B$5:$B$300,"L-*")=0,"",SUMIFS(Лэндинг!$F$5:$F$300,Лэндинг!$E$5:$E$300,$B189)+SUMIFS(Закрытые!$F$5:$F$300,Закрытые!$E$5:$E$300,$B189,Закрытые!$B$5:$B$300,"L-*"))</f>
        <v/>
      </c>
      <c r="D189" s="177">
        <f>IF(C189="","",(SUMPRODUCT((Лэндинг!$E$5:$E$300=$B189)*Лэндинг!$F$5:$F$300*Лэндинг!$G$5:$G$300)+SUMPRODUCT((Закрытые!$E$5:$E$300=$B189)*(LEFT(Закрытые!$B$5:$B$300,2)="L-")*Закрытые!$F$5:$F$300*Закрытые!$G$5:$G$300))/C189)</f>
        <v/>
      </c>
      <c r="E189" s="241">
        <f>IF(C189="","",SUMIFS(Лэндинг!$H$5:$H$300,Лэндинг!$E$5:$E$300,$B189)+SUMIFS(Закрытые!$H$5:$H$300,Закрытые!$E$5:$E$300,$B189,Закрытые!$B$5:$B$300,"L-*"))</f>
        <v/>
      </c>
      <c r="F189" s="240">
        <f>IF(SUMIFS(Лэндинг!$I$5:$I$300,Лэндинг!$E$5:$E$300,$B189)+SUMIFS(Закрытые!$I$5:$I$300,Закрытые!$E$5:$E$300,$B189,Закрытые!$B$5:$B$300,"L-*")=0,"",SUMIFS(Лэндинг!$I$5:$I$300,Лэндинг!$E$5:$E$300,$B189)+SUMIFS(Закрытые!$I$5:$I$300,Закрытые!$E$5:$E$300,$B189,Закрытые!$B$5:$B$300,"L-*"))</f>
        <v/>
      </c>
      <c r="G189" s="177">
        <f>IF(F189="","",(SUMPRODUCT((Лэндинг!$E$5:$E$300=$B189)*Лэндинг!$I$5:$I$300*Лэндинг!$J$5:$J$300)+SUMPRODUCT((Закрытые!$E$5:$E$300=$B189)*(LEFT(Закрытые!$B$5:$B$300,2)="L-")*Закрытые!$I$5:$I$300*Закрытые!$J$5:$J$300))/F189)</f>
        <v/>
      </c>
      <c r="H189" s="241">
        <f>IF(F189="","",SUMIFS(Лэндинг!$K$5:$K$300,Лэндинг!$E$5:$E$300,$B189)+SUMIFS(Закрытые!$K$5:$K$300,Закрытые!$E$5:$E$300,$B189,Закрытые!$B$5:$B$300,"L-*"))</f>
        <v/>
      </c>
      <c r="I189" s="240">
        <f>IF($B189="","",IF(COUNTIFS(Лэндинг!$E$5:$E$300,$B189)+COUNTIFS(Закрытые!$E$5:$E$300,$B189,Закрытые!$B$5:$B$300,"L-*")=0,"",ROUND(SUMIFS(Лэндинг!$L$5:$L$300,Лэндинг!$E$5:$E$300,$B189)+SUMIFS(Закрытые!$L$5:$L$300,Закрытые!$E$5:$E$300,$B189,Закрытые!$B$5:$B$300,"L-*"),8)))</f>
        <v/>
      </c>
      <c r="J189" s="241">
        <f>IF($B189="","",IF(COUNTIFS(Лэндинг!$E$5:$E$300,$B189)+COUNTIFS(Закрытые!$E$5:$E$300,$B189,Закрытые!$B$5:$B$300,"L-*")=0,"",ROUND(SUMIFS(Лэндинг!$M$5:$M$300,Лэндинг!$E$5:$E$300,$B189)+SUMIFS(Закрытые!$M$5:$M$300,Закрытые!$E$5:$E$300,$B189,Закрытые!$B$5:$B$300,"L-*"),8)))</f>
        <v/>
      </c>
      <c r="K189" s="240">
        <f>IF($B189="","",ROUND(SUMIFS(Закрытые!$N$5:$N$300,Закрытые!$E$5:$E$300,$B189,Закрытые!$B$5:$B$300,"L-*"),8))</f>
        <v/>
      </c>
      <c r="L189" s="177">
        <f>IF(K189="","",IF(SUMPRODUCT((Закрытые!$E$5:$E$300=$B189)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189/SUMPRODUCT((Закрытые!$E$5:$E$300=$B189)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9" s="177">
        <f>IF(OR(ROUND(N(C189)-N(F189),8)=0,1-N(Ввод!$E$17)/100&lt;=0),"",IF(N(C189)&gt;N(F189),(N(E189)-N(H189))/((N(C189)-N(F189))*(1-N(Ввод!$E$17)/100)),(N(H189)-N(E189))/((N(F189)-N(C189))*(1+N(Ввод!$E$17)/100))))</f>
        <v/>
      </c>
    </row>
    <row r="190" ht="22" customHeight="1">
      <c r="B190" s="320" t="n"/>
      <c r="C190" s="246">
        <f>IF(SUMIFS(Лэндинг!$F$5:$F$300,Лэндинг!$E$5:$E$300,$B190)+SUMIFS(Закрытые!$F$5:$F$300,Закрытые!$E$5:$E$300,$B190,Закрытые!$B$5:$B$300,"L-*")=0,"",SUMIFS(Лэндинг!$F$5:$F$300,Лэндинг!$E$5:$E$300,$B190)+SUMIFS(Закрытые!$F$5:$F$300,Закрытые!$E$5:$E$300,$B190,Закрытые!$B$5:$B$300,"L-*"))</f>
        <v/>
      </c>
      <c r="D190" s="183">
        <f>IF(C190="","",(SUMPRODUCT((Лэндинг!$E$5:$E$300=$B190)*Лэндинг!$F$5:$F$300*Лэндинг!$G$5:$G$300)+SUMPRODUCT((Закрытые!$E$5:$E$300=$B190)*(LEFT(Закрытые!$B$5:$B$300,2)="L-")*Закрытые!$F$5:$F$300*Закрытые!$G$5:$G$300))/C190)</f>
        <v/>
      </c>
      <c r="E190" s="247">
        <f>IF(C190="","",SUMIFS(Лэндинг!$H$5:$H$300,Лэндинг!$E$5:$E$300,$B190)+SUMIFS(Закрытые!$H$5:$H$300,Закрытые!$E$5:$E$300,$B190,Закрытые!$B$5:$B$300,"L-*"))</f>
        <v/>
      </c>
      <c r="F190" s="246">
        <f>IF(SUMIFS(Лэндинг!$I$5:$I$300,Лэндинг!$E$5:$E$300,$B190)+SUMIFS(Закрытые!$I$5:$I$300,Закрытые!$E$5:$E$300,$B190,Закрытые!$B$5:$B$300,"L-*")=0,"",SUMIFS(Лэндинг!$I$5:$I$300,Лэндинг!$E$5:$E$300,$B190)+SUMIFS(Закрытые!$I$5:$I$300,Закрытые!$E$5:$E$300,$B190,Закрытые!$B$5:$B$300,"L-*"))</f>
        <v/>
      </c>
      <c r="G190" s="183">
        <f>IF(F190="","",(SUMPRODUCT((Лэндинг!$E$5:$E$300=$B190)*Лэндинг!$I$5:$I$300*Лэндинг!$J$5:$J$300)+SUMPRODUCT((Закрытые!$E$5:$E$300=$B190)*(LEFT(Закрытые!$B$5:$B$300,2)="L-")*Закрытые!$I$5:$I$300*Закрытые!$J$5:$J$300))/F190)</f>
        <v/>
      </c>
      <c r="H190" s="247">
        <f>IF(F190="","",SUMIFS(Лэндинг!$K$5:$K$300,Лэндинг!$E$5:$E$300,$B190)+SUMIFS(Закрытые!$K$5:$K$300,Закрытые!$E$5:$E$300,$B190,Закрытые!$B$5:$B$300,"L-*"))</f>
        <v/>
      </c>
      <c r="I190" s="246">
        <f>IF($B190="","",IF(COUNTIFS(Лэндинг!$E$5:$E$300,$B190)+COUNTIFS(Закрытые!$E$5:$E$300,$B190,Закрытые!$B$5:$B$300,"L-*")=0,"",ROUND(SUMIFS(Лэндинг!$L$5:$L$300,Лэндинг!$E$5:$E$300,$B190)+SUMIFS(Закрытые!$L$5:$L$300,Закрытые!$E$5:$E$300,$B190,Закрытые!$B$5:$B$300,"L-*"),8)))</f>
        <v/>
      </c>
      <c r="J190" s="247">
        <f>IF($B190="","",IF(COUNTIFS(Лэндинг!$E$5:$E$300,$B190)+COUNTIFS(Закрытые!$E$5:$E$300,$B190,Закрытые!$B$5:$B$300,"L-*")=0,"",ROUND(SUMIFS(Лэндинг!$M$5:$M$300,Лэндинг!$E$5:$E$300,$B190)+SUMIFS(Закрытые!$M$5:$M$300,Закрытые!$E$5:$E$300,$B190,Закрытые!$B$5:$B$300,"L-*"),8)))</f>
        <v/>
      </c>
      <c r="K190" s="246">
        <f>IF($B190="","",ROUND(SUMIFS(Закрытые!$N$5:$N$300,Закрытые!$E$5:$E$300,$B190,Закрытые!$B$5:$B$300,"L-*"),8))</f>
        <v/>
      </c>
      <c r="L190" s="183">
        <f>IF(K190="","",IF(SUMPRODUCT((Закрытые!$E$5:$E$300=$B190)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190/SUMPRODUCT((Закрытые!$E$5:$E$300=$B190)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0" s="183">
        <f>IF(OR(ROUND(N(C190)-N(F190),8)=0,1-N(Ввод!$E$17)/100&lt;=0),"",IF(N(C190)&gt;N(F190),(N(E190)-N(H190))/((N(C190)-N(F190))*(1-N(Ввод!$E$17)/100)),(N(H190)-N(E190))/((N(F190)-N(C190))*(1+N(Ввод!$E$17)/100))))</f>
        <v/>
      </c>
    </row>
    <row r="191" ht="22" customHeight="1">
      <c r="B191" s="315" t="n"/>
      <c r="C191" s="240">
        <f>IF(SUMIFS(Лэндинг!$F$5:$F$300,Лэндинг!$E$5:$E$300,$B191)+SUMIFS(Закрытые!$F$5:$F$300,Закрытые!$E$5:$E$300,$B191,Закрытые!$B$5:$B$300,"L-*")=0,"",SUMIFS(Лэндинг!$F$5:$F$300,Лэндинг!$E$5:$E$300,$B191)+SUMIFS(Закрытые!$F$5:$F$300,Закрытые!$E$5:$E$300,$B191,Закрытые!$B$5:$B$300,"L-*"))</f>
        <v/>
      </c>
      <c r="D191" s="177">
        <f>IF(C191="","",(SUMPRODUCT((Лэндинг!$E$5:$E$300=$B191)*Лэндинг!$F$5:$F$300*Лэндинг!$G$5:$G$300)+SUMPRODUCT((Закрытые!$E$5:$E$300=$B191)*(LEFT(Закрытые!$B$5:$B$300,2)="L-")*Закрытые!$F$5:$F$300*Закрытые!$G$5:$G$300))/C191)</f>
        <v/>
      </c>
      <c r="E191" s="241">
        <f>IF(C191="","",SUMIFS(Лэндинг!$H$5:$H$300,Лэндинг!$E$5:$E$300,$B191)+SUMIFS(Закрытые!$H$5:$H$300,Закрытые!$E$5:$E$300,$B191,Закрытые!$B$5:$B$300,"L-*"))</f>
        <v/>
      </c>
      <c r="F191" s="240">
        <f>IF(SUMIFS(Лэндинг!$I$5:$I$300,Лэндинг!$E$5:$E$300,$B191)+SUMIFS(Закрытые!$I$5:$I$300,Закрытые!$E$5:$E$300,$B191,Закрытые!$B$5:$B$300,"L-*")=0,"",SUMIFS(Лэндинг!$I$5:$I$300,Лэндинг!$E$5:$E$300,$B191)+SUMIFS(Закрытые!$I$5:$I$300,Закрытые!$E$5:$E$300,$B191,Закрытые!$B$5:$B$300,"L-*"))</f>
        <v/>
      </c>
      <c r="G191" s="177">
        <f>IF(F191="","",(SUMPRODUCT((Лэндинг!$E$5:$E$300=$B191)*Лэндинг!$I$5:$I$300*Лэндинг!$J$5:$J$300)+SUMPRODUCT((Закрытые!$E$5:$E$300=$B191)*(LEFT(Закрытые!$B$5:$B$300,2)="L-")*Закрытые!$I$5:$I$300*Закрытые!$J$5:$J$300))/F191)</f>
        <v/>
      </c>
      <c r="H191" s="241">
        <f>IF(F191="","",SUMIFS(Лэндинг!$K$5:$K$300,Лэндинг!$E$5:$E$300,$B191)+SUMIFS(Закрытые!$K$5:$K$300,Закрытые!$E$5:$E$300,$B191,Закрытые!$B$5:$B$300,"L-*"))</f>
        <v/>
      </c>
      <c r="I191" s="240">
        <f>IF($B191="","",IF(COUNTIFS(Лэндинг!$E$5:$E$300,$B191)+COUNTIFS(Закрытые!$E$5:$E$300,$B191,Закрытые!$B$5:$B$300,"L-*")=0,"",ROUND(SUMIFS(Лэндинг!$L$5:$L$300,Лэндинг!$E$5:$E$300,$B191)+SUMIFS(Закрытые!$L$5:$L$300,Закрытые!$E$5:$E$300,$B191,Закрытые!$B$5:$B$300,"L-*"),8)))</f>
        <v/>
      </c>
      <c r="J191" s="241">
        <f>IF($B191="","",IF(COUNTIFS(Лэндинг!$E$5:$E$300,$B191)+COUNTIFS(Закрытые!$E$5:$E$300,$B191,Закрытые!$B$5:$B$300,"L-*")=0,"",ROUND(SUMIFS(Лэндинг!$M$5:$M$300,Лэндинг!$E$5:$E$300,$B191)+SUMIFS(Закрытые!$M$5:$M$300,Закрытые!$E$5:$E$300,$B191,Закрытые!$B$5:$B$300,"L-*"),8)))</f>
        <v/>
      </c>
      <c r="K191" s="240">
        <f>IF($B191="","",ROUND(SUMIFS(Закрытые!$N$5:$N$300,Закрытые!$E$5:$E$300,$B191,Закрытые!$B$5:$B$300,"L-*"),8))</f>
        <v/>
      </c>
      <c r="L191" s="177">
        <f>IF(K191="","",IF(SUMPRODUCT((Закрытые!$E$5:$E$300=$B191)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191/SUMPRODUCT((Закрытые!$E$5:$E$300=$B191)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1" s="177">
        <f>IF(OR(ROUND(N(C191)-N(F191),8)=0,1-N(Ввод!$E$17)/100&lt;=0),"",IF(N(C191)&gt;N(F191),(N(E191)-N(H191))/((N(C191)-N(F191))*(1-N(Ввод!$E$17)/100)),(N(H191)-N(E191))/((N(F191)-N(C191))*(1+N(Ввод!$E$17)/100))))</f>
        <v/>
      </c>
    </row>
    <row r="192" ht="22" customHeight="1">
      <c r="B192" s="320" t="n"/>
      <c r="C192" s="246">
        <f>IF(SUMIFS(Лэндинг!$F$5:$F$300,Лэндинг!$E$5:$E$300,$B192)+SUMIFS(Закрытые!$F$5:$F$300,Закрытые!$E$5:$E$300,$B192,Закрытые!$B$5:$B$300,"L-*")=0,"",SUMIFS(Лэндинг!$F$5:$F$300,Лэндинг!$E$5:$E$300,$B192)+SUMIFS(Закрытые!$F$5:$F$300,Закрытые!$E$5:$E$300,$B192,Закрытые!$B$5:$B$300,"L-*"))</f>
        <v/>
      </c>
      <c r="D192" s="183">
        <f>IF(C192="","",(SUMPRODUCT((Лэндинг!$E$5:$E$300=$B192)*Лэндинг!$F$5:$F$300*Лэндинг!$G$5:$G$300)+SUMPRODUCT((Закрытые!$E$5:$E$300=$B192)*(LEFT(Закрытые!$B$5:$B$300,2)="L-")*Закрытые!$F$5:$F$300*Закрытые!$G$5:$G$300))/C192)</f>
        <v/>
      </c>
      <c r="E192" s="247">
        <f>IF(C192="","",SUMIFS(Лэндинг!$H$5:$H$300,Лэндинг!$E$5:$E$300,$B192)+SUMIFS(Закрытые!$H$5:$H$300,Закрытые!$E$5:$E$300,$B192,Закрытые!$B$5:$B$300,"L-*"))</f>
        <v/>
      </c>
      <c r="F192" s="246">
        <f>IF(SUMIFS(Лэндинг!$I$5:$I$300,Лэндинг!$E$5:$E$300,$B192)+SUMIFS(Закрытые!$I$5:$I$300,Закрытые!$E$5:$E$300,$B192,Закрытые!$B$5:$B$300,"L-*")=0,"",SUMIFS(Лэндинг!$I$5:$I$300,Лэндинг!$E$5:$E$300,$B192)+SUMIFS(Закрытые!$I$5:$I$300,Закрытые!$E$5:$E$300,$B192,Закрытые!$B$5:$B$300,"L-*"))</f>
        <v/>
      </c>
      <c r="G192" s="183">
        <f>IF(F192="","",(SUMPRODUCT((Лэндинг!$E$5:$E$300=$B192)*Лэндинг!$I$5:$I$300*Лэндинг!$J$5:$J$300)+SUMPRODUCT((Закрытые!$E$5:$E$300=$B192)*(LEFT(Закрытые!$B$5:$B$300,2)="L-")*Закрытые!$I$5:$I$300*Закрытые!$J$5:$J$300))/F192)</f>
        <v/>
      </c>
      <c r="H192" s="247">
        <f>IF(F192="","",SUMIFS(Лэндинг!$K$5:$K$300,Лэндинг!$E$5:$E$300,$B192)+SUMIFS(Закрытые!$K$5:$K$300,Закрытые!$E$5:$E$300,$B192,Закрытые!$B$5:$B$300,"L-*"))</f>
        <v/>
      </c>
      <c r="I192" s="246">
        <f>IF($B192="","",IF(COUNTIFS(Лэндинг!$E$5:$E$300,$B192)+COUNTIFS(Закрытые!$E$5:$E$300,$B192,Закрытые!$B$5:$B$300,"L-*")=0,"",ROUND(SUMIFS(Лэндинг!$L$5:$L$300,Лэндинг!$E$5:$E$300,$B192)+SUMIFS(Закрытые!$L$5:$L$300,Закрытые!$E$5:$E$300,$B192,Закрытые!$B$5:$B$300,"L-*"),8)))</f>
        <v/>
      </c>
      <c r="J192" s="247">
        <f>IF($B192="","",IF(COUNTIFS(Лэндинг!$E$5:$E$300,$B192)+COUNTIFS(Закрытые!$E$5:$E$300,$B192,Закрытые!$B$5:$B$300,"L-*")=0,"",ROUND(SUMIFS(Лэндинг!$M$5:$M$300,Лэндинг!$E$5:$E$300,$B192)+SUMIFS(Закрытые!$M$5:$M$300,Закрытые!$E$5:$E$300,$B192,Закрытые!$B$5:$B$300,"L-*"),8)))</f>
        <v/>
      </c>
      <c r="K192" s="246">
        <f>IF($B192="","",ROUND(SUMIFS(Закрытые!$N$5:$N$300,Закрытые!$E$5:$E$300,$B192,Закрытые!$B$5:$B$300,"L-*"),8))</f>
        <v/>
      </c>
      <c r="L192" s="183">
        <f>IF(K192="","",IF(SUMPRODUCT((Закрытые!$E$5:$E$300=$B192)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192/SUMPRODUCT((Закрытые!$E$5:$E$300=$B192)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2" s="183">
        <f>IF(OR(ROUND(N(C192)-N(F192),8)=0,1-N(Ввод!$E$17)/100&lt;=0),"",IF(N(C192)&gt;N(F192),(N(E192)-N(H192))/((N(C192)-N(F192))*(1-N(Ввод!$E$17)/100)),(N(H192)-N(E192))/((N(F192)-N(C192))*(1+N(Ввод!$E$17)/100))))</f>
        <v/>
      </c>
    </row>
    <row r="193" ht="22" customHeight="1">
      <c r="B193" s="315" t="n"/>
      <c r="C193" s="240">
        <f>IF(SUMIFS(Лэндинг!$F$5:$F$300,Лэндинг!$E$5:$E$300,$B193)+SUMIFS(Закрытые!$F$5:$F$300,Закрытые!$E$5:$E$300,$B193,Закрытые!$B$5:$B$300,"L-*")=0,"",SUMIFS(Лэндинг!$F$5:$F$300,Лэндинг!$E$5:$E$300,$B193)+SUMIFS(Закрытые!$F$5:$F$300,Закрытые!$E$5:$E$300,$B193,Закрытые!$B$5:$B$300,"L-*"))</f>
        <v/>
      </c>
      <c r="D193" s="177">
        <f>IF(C193="","",(SUMPRODUCT((Лэндинг!$E$5:$E$300=$B193)*Лэндинг!$F$5:$F$300*Лэндинг!$G$5:$G$300)+SUMPRODUCT((Закрытые!$E$5:$E$300=$B193)*(LEFT(Закрытые!$B$5:$B$300,2)="L-")*Закрытые!$F$5:$F$300*Закрытые!$G$5:$G$300))/C193)</f>
        <v/>
      </c>
      <c r="E193" s="241">
        <f>IF(C193="","",SUMIFS(Лэндинг!$H$5:$H$300,Лэндинг!$E$5:$E$300,$B193)+SUMIFS(Закрытые!$H$5:$H$300,Закрытые!$E$5:$E$300,$B193,Закрытые!$B$5:$B$300,"L-*"))</f>
        <v/>
      </c>
      <c r="F193" s="240">
        <f>IF(SUMIFS(Лэндинг!$I$5:$I$300,Лэндинг!$E$5:$E$300,$B193)+SUMIFS(Закрытые!$I$5:$I$300,Закрытые!$E$5:$E$300,$B193,Закрытые!$B$5:$B$300,"L-*")=0,"",SUMIFS(Лэндинг!$I$5:$I$300,Лэндинг!$E$5:$E$300,$B193)+SUMIFS(Закрытые!$I$5:$I$300,Закрытые!$E$5:$E$300,$B193,Закрытые!$B$5:$B$300,"L-*"))</f>
        <v/>
      </c>
      <c r="G193" s="177">
        <f>IF(F193="","",(SUMPRODUCT((Лэндинг!$E$5:$E$300=$B193)*Лэндинг!$I$5:$I$300*Лэндинг!$J$5:$J$300)+SUMPRODUCT((Закрытые!$E$5:$E$300=$B193)*(LEFT(Закрытые!$B$5:$B$300,2)="L-")*Закрытые!$I$5:$I$300*Закрытые!$J$5:$J$300))/F193)</f>
        <v/>
      </c>
      <c r="H193" s="241">
        <f>IF(F193="","",SUMIFS(Лэндинг!$K$5:$K$300,Лэндинг!$E$5:$E$300,$B193)+SUMIFS(Закрытые!$K$5:$K$300,Закрытые!$E$5:$E$300,$B193,Закрытые!$B$5:$B$300,"L-*"))</f>
        <v/>
      </c>
      <c r="I193" s="240">
        <f>IF($B193="","",IF(COUNTIFS(Лэндинг!$E$5:$E$300,$B193)+COUNTIFS(Закрытые!$E$5:$E$300,$B193,Закрытые!$B$5:$B$300,"L-*")=0,"",ROUND(SUMIFS(Лэндинг!$L$5:$L$300,Лэндинг!$E$5:$E$300,$B193)+SUMIFS(Закрытые!$L$5:$L$300,Закрытые!$E$5:$E$300,$B193,Закрытые!$B$5:$B$300,"L-*"),8)))</f>
        <v/>
      </c>
      <c r="J193" s="241">
        <f>IF($B193="","",IF(COUNTIFS(Лэндинг!$E$5:$E$300,$B193)+COUNTIFS(Закрытые!$E$5:$E$300,$B193,Закрытые!$B$5:$B$300,"L-*")=0,"",ROUND(SUMIFS(Лэндинг!$M$5:$M$300,Лэндинг!$E$5:$E$300,$B193)+SUMIFS(Закрытые!$M$5:$M$300,Закрытые!$E$5:$E$300,$B193,Закрытые!$B$5:$B$300,"L-*"),8)))</f>
        <v/>
      </c>
      <c r="K193" s="240">
        <f>IF($B193="","",ROUND(SUMIFS(Закрытые!$N$5:$N$300,Закрытые!$E$5:$E$300,$B193,Закрытые!$B$5:$B$300,"L-*"),8))</f>
        <v/>
      </c>
      <c r="L193" s="177">
        <f>IF(K193="","",IF(SUMPRODUCT((Закрытые!$E$5:$E$300=$B193)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193/SUMPRODUCT((Закрытые!$E$5:$E$300=$B193)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3" s="177">
        <f>IF(OR(ROUND(N(C193)-N(F193),8)=0,1-N(Ввод!$E$17)/100&lt;=0),"",IF(N(C193)&gt;N(F193),(N(E193)-N(H193))/((N(C193)-N(F193))*(1-N(Ввод!$E$17)/100)),(N(H193)-N(E193))/((N(F193)-N(C193))*(1+N(Ввод!$E$17)/100))))</f>
        <v/>
      </c>
    </row>
    <row r="194" ht="22" customHeight="1">
      <c r="B194" s="320" t="n"/>
      <c r="C194" s="246">
        <f>IF(SUMIFS(Лэндинг!$F$5:$F$300,Лэндинг!$E$5:$E$300,$B194)+SUMIFS(Закрытые!$F$5:$F$300,Закрытые!$E$5:$E$300,$B194,Закрытые!$B$5:$B$300,"L-*")=0,"",SUMIFS(Лэндинг!$F$5:$F$300,Лэндинг!$E$5:$E$300,$B194)+SUMIFS(Закрытые!$F$5:$F$300,Закрытые!$E$5:$E$300,$B194,Закрытые!$B$5:$B$300,"L-*"))</f>
        <v/>
      </c>
      <c r="D194" s="183">
        <f>IF(C194="","",(SUMPRODUCT((Лэндинг!$E$5:$E$300=$B194)*Лэндинг!$F$5:$F$300*Лэндинг!$G$5:$G$300)+SUMPRODUCT((Закрытые!$E$5:$E$300=$B194)*(LEFT(Закрытые!$B$5:$B$300,2)="L-")*Закрытые!$F$5:$F$300*Закрытые!$G$5:$G$300))/C194)</f>
        <v/>
      </c>
      <c r="E194" s="247">
        <f>IF(C194="","",SUMIFS(Лэндинг!$H$5:$H$300,Лэндинг!$E$5:$E$300,$B194)+SUMIFS(Закрытые!$H$5:$H$300,Закрытые!$E$5:$E$300,$B194,Закрытые!$B$5:$B$300,"L-*"))</f>
        <v/>
      </c>
      <c r="F194" s="246">
        <f>IF(SUMIFS(Лэндинг!$I$5:$I$300,Лэндинг!$E$5:$E$300,$B194)+SUMIFS(Закрытые!$I$5:$I$300,Закрытые!$E$5:$E$300,$B194,Закрытые!$B$5:$B$300,"L-*")=0,"",SUMIFS(Лэндинг!$I$5:$I$300,Лэндинг!$E$5:$E$300,$B194)+SUMIFS(Закрытые!$I$5:$I$300,Закрытые!$E$5:$E$300,$B194,Закрытые!$B$5:$B$300,"L-*"))</f>
        <v/>
      </c>
      <c r="G194" s="183">
        <f>IF(F194="","",(SUMPRODUCT((Лэндинг!$E$5:$E$300=$B194)*Лэндинг!$I$5:$I$300*Лэндинг!$J$5:$J$300)+SUMPRODUCT((Закрытые!$E$5:$E$300=$B194)*(LEFT(Закрытые!$B$5:$B$300,2)="L-")*Закрытые!$I$5:$I$300*Закрытые!$J$5:$J$300))/F194)</f>
        <v/>
      </c>
      <c r="H194" s="247">
        <f>IF(F194="","",SUMIFS(Лэндинг!$K$5:$K$300,Лэндинг!$E$5:$E$300,$B194)+SUMIFS(Закрытые!$K$5:$K$300,Закрытые!$E$5:$E$300,$B194,Закрытые!$B$5:$B$300,"L-*"))</f>
        <v/>
      </c>
      <c r="I194" s="246">
        <f>IF($B194="","",IF(COUNTIFS(Лэндинг!$E$5:$E$300,$B194)+COUNTIFS(Закрытые!$E$5:$E$300,$B194,Закрытые!$B$5:$B$300,"L-*")=0,"",ROUND(SUMIFS(Лэндинг!$L$5:$L$300,Лэндинг!$E$5:$E$300,$B194)+SUMIFS(Закрытые!$L$5:$L$300,Закрытые!$E$5:$E$300,$B194,Закрытые!$B$5:$B$300,"L-*"),8)))</f>
        <v/>
      </c>
      <c r="J194" s="247">
        <f>IF($B194="","",IF(COUNTIFS(Лэндинг!$E$5:$E$300,$B194)+COUNTIFS(Закрытые!$E$5:$E$300,$B194,Закрытые!$B$5:$B$300,"L-*")=0,"",ROUND(SUMIFS(Лэндинг!$M$5:$M$300,Лэндинг!$E$5:$E$300,$B194)+SUMIFS(Закрытые!$M$5:$M$300,Закрытые!$E$5:$E$300,$B194,Закрытые!$B$5:$B$300,"L-*"),8)))</f>
        <v/>
      </c>
      <c r="K194" s="246">
        <f>IF($B194="","",ROUND(SUMIFS(Закрытые!$N$5:$N$300,Закрытые!$E$5:$E$300,$B194,Закрытые!$B$5:$B$300,"L-*"),8))</f>
        <v/>
      </c>
      <c r="L194" s="183">
        <f>IF(K194="","",IF(SUMPRODUCT((Закрытые!$E$5:$E$300=$B194)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194/SUMPRODUCT((Закрытые!$E$5:$E$300=$B194)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4" s="183">
        <f>IF(OR(ROUND(N(C194)-N(F194),8)=0,1-N(Ввод!$E$17)/100&lt;=0),"",IF(N(C194)&gt;N(F194),(N(E194)-N(H194))/((N(C194)-N(F194))*(1-N(Ввод!$E$17)/100)),(N(H194)-N(E194))/((N(F194)-N(C194))*(1+N(Ввод!$E$17)/100))))</f>
        <v/>
      </c>
    </row>
    <row r="195" ht="22" customHeight="1">
      <c r="B195" s="315" t="n"/>
      <c r="C195" s="240">
        <f>IF(SUMIFS(Лэндинг!$F$5:$F$300,Лэндинг!$E$5:$E$300,$B195)+SUMIFS(Закрытые!$F$5:$F$300,Закрытые!$E$5:$E$300,$B195,Закрытые!$B$5:$B$300,"L-*")=0,"",SUMIFS(Лэндинг!$F$5:$F$300,Лэндинг!$E$5:$E$300,$B195)+SUMIFS(Закрытые!$F$5:$F$300,Закрытые!$E$5:$E$300,$B195,Закрытые!$B$5:$B$300,"L-*"))</f>
        <v/>
      </c>
      <c r="D195" s="177">
        <f>IF(C195="","",(SUMPRODUCT((Лэндинг!$E$5:$E$300=$B195)*Лэндинг!$F$5:$F$300*Лэндинг!$G$5:$G$300)+SUMPRODUCT((Закрытые!$E$5:$E$300=$B195)*(LEFT(Закрытые!$B$5:$B$300,2)="L-")*Закрытые!$F$5:$F$300*Закрытые!$G$5:$G$300))/C195)</f>
        <v/>
      </c>
      <c r="E195" s="241">
        <f>IF(C195="","",SUMIFS(Лэндинг!$H$5:$H$300,Лэндинг!$E$5:$E$300,$B195)+SUMIFS(Закрытые!$H$5:$H$300,Закрытые!$E$5:$E$300,$B195,Закрытые!$B$5:$B$300,"L-*"))</f>
        <v/>
      </c>
      <c r="F195" s="240">
        <f>IF(SUMIFS(Лэндинг!$I$5:$I$300,Лэндинг!$E$5:$E$300,$B195)+SUMIFS(Закрытые!$I$5:$I$300,Закрытые!$E$5:$E$300,$B195,Закрытые!$B$5:$B$300,"L-*")=0,"",SUMIFS(Лэндинг!$I$5:$I$300,Лэндинг!$E$5:$E$300,$B195)+SUMIFS(Закрытые!$I$5:$I$300,Закрытые!$E$5:$E$300,$B195,Закрытые!$B$5:$B$300,"L-*"))</f>
        <v/>
      </c>
      <c r="G195" s="177">
        <f>IF(F195="","",(SUMPRODUCT((Лэндинг!$E$5:$E$300=$B195)*Лэндинг!$I$5:$I$300*Лэндинг!$J$5:$J$300)+SUMPRODUCT((Закрытые!$E$5:$E$300=$B195)*(LEFT(Закрытые!$B$5:$B$300,2)="L-")*Закрытые!$I$5:$I$300*Закрытые!$J$5:$J$300))/F195)</f>
        <v/>
      </c>
      <c r="H195" s="241">
        <f>IF(F195="","",SUMIFS(Лэндинг!$K$5:$K$300,Лэндинг!$E$5:$E$300,$B195)+SUMIFS(Закрытые!$K$5:$K$300,Закрытые!$E$5:$E$300,$B195,Закрытые!$B$5:$B$300,"L-*"))</f>
        <v/>
      </c>
      <c r="I195" s="240">
        <f>IF($B195="","",IF(COUNTIFS(Лэндинг!$E$5:$E$300,$B195)+COUNTIFS(Закрытые!$E$5:$E$300,$B195,Закрытые!$B$5:$B$300,"L-*")=0,"",ROUND(SUMIFS(Лэндинг!$L$5:$L$300,Лэндинг!$E$5:$E$300,$B195)+SUMIFS(Закрытые!$L$5:$L$300,Закрытые!$E$5:$E$300,$B195,Закрытые!$B$5:$B$300,"L-*"),8)))</f>
        <v/>
      </c>
      <c r="J195" s="241">
        <f>IF($B195="","",IF(COUNTIFS(Лэндинг!$E$5:$E$300,$B195)+COUNTIFS(Закрытые!$E$5:$E$300,$B195,Закрытые!$B$5:$B$300,"L-*")=0,"",ROUND(SUMIFS(Лэндинг!$M$5:$M$300,Лэндинг!$E$5:$E$300,$B195)+SUMIFS(Закрытые!$M$5:$M$300,Закрытые!$E$5:$E$300,$B195,Закрытые!$B$5:$B$300,"L-*"),8)))</f>
        <v/>
      </c>
      <c r="K195" s="240">
        <f>IF($B195="","",ROUND(SUMIFS(Закрытые!$N$5:$N$300,Закрытые!$E$5:$E$300,$B195,Закрытые!$B$5:$B$300,"L-*"),8))</f>
        <v/>
      </c>
      <c r="L195" s="177">
        <f>IF(K195="","",IF(SUMPRODUCT((Закрытые!$E$5:$E$300=$B195)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195/SUMPRODUCT((Закрытые!$E$5:$E$300=$B195)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5" s="177">
        <f>IF(OR(ROUND(N(C195)-N(F195),8)=0,1-N(Ввод!$E$17)/100&lt;=0),"",IF(N(C195)&gt;N(F195),(N(E195)-N(H195))/((N(C195)-N(F195))*(1-N(Ввод!$E$17)/100)),(N(H195)-N(E195))/((N(F195)-N(C195))*(1+N(Ввод!$E$17)/100))))</f>
        <v/>
      </c>
    </row>
    <row r="196" ht="22" customHeight="1">
      <c r="B196" s="320" t="n"/>
      <c r="C196" s="246">
        <f>IF(SUMIFS(Лэндинг!$F$5:$F$300,Лэндинг!$E$5:$E$300,$B196)+SUMIFS(Закрытые!$F$5:$F$300,Закрытые!$E$5:$E$300,$B196,Закрытые!$B$5:$B$300,"L-*")=0,"",SUMIFS(Лэндинг!$F$5:$F$300,Лэндинг!$E$5:$E$300,$B196)+SUMIFS(Закрытые!$F$5:$F$300,Закрытые!$E$5:$E$300,$B196,Закрытые!$B$5:$B$300,"L-*"))</f>
        <v/>
      </c>
      <c r="D196" s="183">
        <f>IF(C196="","",(SUMPRODUCT((Лэндинг!$E$5:$E$300=$B196)*Лэндинг!$F$5:$F$300*Лэндинг!$G$5:$G$300)+SUMPRODUCT((Закрытые!$E$5:$E$300=$B196)*(LEFT(Закрытые!$B$5:$B$300,2)="L-")*Закрытые!$F$5:$F$300*Закрытые!$G$5:$G$300))/C196)</f>
        <v/>
      </c>
      <c r="E196" s="247">
        <f>IF(C196="","",SUMIFS(Лэндинг!$H$5:$H$300,Лэндинг!$E$5:$E$300,$B196)+SUMIFS(Закрытые!$H$5:$H$300,Закрытые!$E$5:$E$300,$B196,Закрытые!$B$5:$B$300,"L-*"))</f>
        <v/>
      </c>
      <c r="F196" s="246">
        <f>IF(SUMIFS(Лэндинг!$I$5:$I$300,Лэндинг!$E$5:$E$300,$B196)+SUMIFS(Закрытые!$I$5:$I$300,Закрытые!$E$5:$E$300,$B196,Закрытые!$B$5:$B$300,"L-*")=0,"",SUMIFS(Лэндинг!$I$5:$I$300,Лэндинг!$E$5:$E$300,$B196)+SUMIFS(Закрытые!$I$5:$I$300,Закрытые!$E$5:$E$300,$B196,Закрытые!$B$5:$B$300,"L-*"))</f>
        <v/>
      </c>
      <c r="G196" s="183">
        <f>IF(F196="","",(SUMPRODUCT((Лэндинг!$E$5:$E$300=$B196)*Лэндинг!$I$5:$I$300*Лэндинг!$J$5:$J$300)+SUMPRODUCT((Закрытые!$E$5:$E$300=$B196)*(LEFT(Закрытые!$B$5:$B$300,2)="L-")*Закрытые!$I$5:$I$300*Закрытые!$J$5:$J$300))/F196)</f>
        <v/>
      </c>
      <c r="H196" s="247">
        <f>IF(F196="","",SUMIFS(Лэндинг!$K$5:$K$300,Лэндинг!$E$5:$E$300,$B196)+SUMIFS(Закрытые!$K$5:$K$300,Закрытые!$E$5:$E$300,$B196,Закрытые!$B$5:$B$300,"L-*"))</f>
        <v/>
      </c>
      <c r="I196" s="246">
        <f>IF($B196="","",IF(COUNTIFS(Лэндинг!$E$5:$E$300,$B196)+COUNTIFS(Закрытые!$E$5:$E$300,$B196,Закрытые!$B$5:$B$300,"L-*")=0,"",ROUND(SUMIFS(Лэндинг!$L$5:$L$300,Лэндинг!$E$5:$E$300,$B196)+SUMIFS(Закрытые!$L$5:$L$300,Закрытые!$E$5:$E$300,$B196,Закрытые!$B$5:$B$300,"L-*"),8)))</f>
        <v/>
      </c>
      <c r="J196" s="247">
        <f>IF($B196="","",IF(COUNTIFS(Лэндинг!$E$5:$E$300,$B196)+COUNTIFS(Закрытые!$E$5:$E$300,$B196,Закрытые!$B$5:$B$300,"L-*")=0,"",ROUND(SUMIFS(Лэндинг!$M$5:$M$300,Лэндинг!$E$5:$E$300,$B196)+SUMIFS(Закрытые!$M$5:$M$300,Закрытые!$E$5:$E$300,$B196,Закрытые!$B$5:$B$300,"L-*"),8)))</f>
        <v/>
      </c>
      <c r="K196" s="246">
        <f>IF($B196="","",ROUND(SUMIFS(Закрытые!$N$5:$N$300,Закрытые!$E$5:$E$300,$B196,Закрытые!$B$5:$B$300,"L-*"),8))</f>
        <v/>
      </c>
      <c r="L196" s="183">
        <f>IF(K196="","",IF(SUMPRODUCT((Закрытые!$E$5:$E$300=$B196)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196/SUMPRODUCT((Закрытые!$E$5:$E$300=$B196)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6" s="183">
        <f>IF(OR(ROUND(N(C196)-N(F196),8)=0,1-N(Ввод!$E$17)/100&lt;=0),"",IF(N(C196)&gt;N(F196),(N(E196)-N(H196))/((N(C196)-N(F196))*(1-N(Ввод!$E$17)/100)),(N(H196)-N(E196))/((N(F196)-N(C196))*(1+N(Ввод!$E$17)/100))))</f>
        <v/>
      </c>
    </row>
    <row r="197" ht="22" customHeight="1">
      <c r="B197" s="315" t="n"/>
      <c r="C197" s="240">
        <f>IF(SUMIFS(Лэндинг!$F$5:$F$300,Лэндинг!$E$5:$E$300,$B197)+SUMIFS(Закрытые!$F$5:$F$300,Закрытые!$E$5:$E$300,$B197,Закрытые!$B$5:$B$300,"L-*")=0,"",SUMIFS(Лэндинг!$F$5:$F$300,Лэндинг!$E$5:$E$300,$B197)+SUMIFS(Закрытые!$F$5:$F$300,Закрытые!$E$5:$E$300,$B197,Закрытые!$B$5:$B$300,"L-*"))</f>
        <v/>
      </c>
      <c r="D197" s="177">
        <f>IF(C197="","",(SUMPRODUCT((Лэндинг!$E$5:$E$300=$B197)*Лэндинг!$F$5:$F$300*Лэндинг!$G$5:$G$300)+SUMPRODUCT((Закрытые!$E$5:$E$300=$B197)*(LEFT(Закрытые!$B$5:$B$300,2)="L-")*Закрытые!$F$5:$F$300*Закрытые!$G$5:$G$300))/C197)</f>
        <v/>
      </c>
      <c r="E197" s="241">
        <f>IF(C197="","",SUMIFS(Лэндинг!$H$5:$H$300,Лэндинг!$E$5:$E$300,$B197)+SUMIFS(Закрытые!$H$5:$H$300,Закрытые!$E$5:$E$300,$B197,Закрытые!$B$5:$B$300,"L-*"))</f>
        <v/>
      </c>
      <c r="F197" s="240">
        <f>IF(SUMIFS(Лэндинг!$I$5:$I$300,Лэндинг!$E$5:$E$300,$B197)+SUMIFS(Закрытые!$I$5:$I$300,Закрытые!$E$5:$E$300,$B197,Закрытые!$B$5:$B$300,"L-*")=0,"",SUMIFS(Лэндинг!$I$5:$I$300,Лэндинг!$E$5:$E$300,$B197)+SUMIFS(Закрытые!$I$5:$I$300,Закрытые!$E$5:$E$300,$B197,Закрытые!$B$5:$B$300,"L-*"))</f>
        <v/>
      </c>
      <c r="G197" s="177">
        <f>IF(F197="","",(SUMPRODUCT((Лэндинг!$E$5:$E$300=$B197)*Лэндинг!$I$5:$I$300*Лэндинг!$J$5:$J$300)+SUMPRODUCT((Закрытые!$E$5:$E$300=$B197)*(LEFT(Закрытые!$B$5:$B$300,2)="L-")*Закрытые!$I$5:$I$300*Закрытые!$J$5:$J$300))/F197)</f>
        <v/>
      </c>
      <c r="H197" s="241">
        <f>IF(F197="","",SUMIFS(Лэндинг!$K$5:$K$300,Лэндинг!$E$5:$E$300,$B197)+SUMIFS(Закрытые!$K$5:$K$300,Закрытые!$E$5:$E$300,$B197,Закрытые!$B$5:$B$300,"L-*"))</f>
        <v/>
      </c>
      <c r="I197" s="240">
        <f>IF($B197="","",IF(COUNTIFS(Лэндинг!$E$5:$E$300,$B197)+COUNTIFS(Закрытые!$E$5:$E$300,$B197,Закрытые!$B$5:$B$300,"L-*")=0,"",ROUND(SUMIFS(Лэндинг!$L$5:$L$300,Лэндинг!$E$5:$E$300,$B197)+SUMIFS(Закрытые!$L$5:$L$300,Закрытые!$E$5:$E$300,$B197,Закрытые!$B$5:$B$300,"L-*"),8)))</f>
        <v/>
      </c>
      <c r="J197" s="241">
        <f>IF($B197="","",IF(COUNTIFS(Лэндинг!$E$5:$E$300,$B197)+COUNTIFS(Закрытые!$E$5:$E$300,$B197,Закрытые!$B$5:$B$300,"L-*")=0,"",ROUND(SUMIFS(Лэндинг!$M$5:$M$300,Лэндинг!$E$5:$E$300,$B197)+SUMIFS(Закрытые!$M$5:$M$300,Закрытые!$E$5:$E$300,$B197,Закрытые!$B$5:$B$300,"L-*"),8)))</f>
        <v/>
      </c>
      <c r="K197" s="240">
        <f>IF($B197="","",ROUND(SUMIFS(Закрытые!$N$5:$N$300,Закрытые!$E$5:$E$300,$B197,Закрытые!$B$5:$B$300,"L-*"),8))</f>
        <v/>
      </c>
      <c r="L197" s="177">
        <f>IF(K197="","",IF(SUMPRODUCT((Закрытые!$E$5:$E$300=$B197)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197/SUMPRODUCT((Закрытые!$E$5:$E$300=$B197)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7" s="177">
        <f>IF(OR(ROUND(N(C197)-N(F197),8)=0,1-N(Ввод!$E$17)/100&lt;=0),"",IF(N(C197)&gt;N(F197),(N(E197)-N(H197))/((N(C197)-N(F197))*(1-N(Ввод!$E$17)/100)),(N(H197)-N(E197))/((N(F197)-N(C197))*(1+N(Ввод!$E$17)/100))))</f>
        <v/>
      </c>
    </row>
    <row r="198" ht="22" customHeight="1">
      <c r="B198" s="320" t="n"/>
      <c r="C198" s="246">
        <f>IF(SUMIFS(Лэндинг!$F$5:$F$300,Лэндинг!$E$5:$E$300,$B198)+SUMIFS(Закрытые!$F$5:$F$300,Закрытые!$E$5:$E$300,$B198,Закрытые!$B$5:$B$300,"L-*")=0,"",SUMIFS(Лэндинг!$F$5:$F$300,Лэндинг!$E$5:$E$300,$B198)+SUMIFS(Закрытые!$F$5:$F$300,Закрытые!$E$5:$E$300,$B198,Закрытые!$B$5:$B$300,"L-*"))</f>
        <v/>
      </c>
      <c r="D198" s="183">
        <f>IF(C198="","",(SUMPRODUCT((Лэндинг!$E$5:$E$300=$B198)*Лэндинг!$F$5:$F$300*Лэндинг!$G$5:$G$300)+SUMPRODUCT((Закрытые!$E$5:$E$300=$B198)*(LEFT(Закрытые!$B$5:$B$300,2)="L-")*Закрытые!$F$5:$F$300*Закрытые!$G$5:$G$300))/C198)</f>
        <v/>
      </c>
      <c r="E198" s="247">
        <f>IF(C198="","",SUMIFS(Лэндинг!$H$5:$H$300,Лэндинг!$E$5:$E$300,$B198)+SUMIFS(Закрытые!$H$5:$H$300,Закрытые!$E$5:$E$300,$B198,Закрытые!$B$5:$B$300,"L-*"))</f>
        <v/>
      </c>
      <c r="F198" s="246">
        <f>IF(SUMIFS(Лэндинг!$I$5:$I$300,Лэндинг!$E$5:$E$300,$B198)+SUMIFS(Закрытые!$I$5:$I$300,Закрытые!$E$5:$E$300,$B198,Закрытые!$B$5:$B$300,"L-*")=0,"",SUMIFS(Лэндинг!$I$5:$I$300,Лэндинг!$E$5:$E$300,$B198)+SUMIFS(Закрытые!$I$5:$I$300,Закрытые!$E$5:$E$300,$B198,Закрытые!$B$5:$B$300,"L-*"))</f>
        <v/>
      </c>
      <c r="G198" s="183">
        <f>IF(F198="","",(SUMPRODUCT((Лэндинг!$E$5:$E$300=$B198)*Лэндинг!$I$5:$I$300*Лэндинг!$J$5:$J$300)+SUMPRODUCT((Закрытые!$E$5:$E$300=$B198)*(LEFT(Закрытые!$B$5:$B$300,2)="L-")*Закрытые!$I$5:$I$300*Закрытые!$J$5:$J$300))/F198)</f>
        <v/>
      </c>
      <c r="H198" s="247">
        <f>IF(F198="","",SUMIFS(Лэндинг!$K$5:$K$300,Лэндинг!$E$5:$E$300,$B198)+SUMIFS(Закрытые!$K$5:$K$300,Закрытые!$E$5:$E$300,$B198,Закрытые!$B$5:$B$300,"L-*"))</f>
        <v/>
      </c>
      <c r="I198" s="246">
        <f>IF($B198="","",IF(COUNTIFS(Лэндинг!$E$5:$E$300,$B198)+COUNTIFS(Закрытые!$E$5:$E$300,$B198,Закрытые!$B$5:$B$300,"L-*")=0,"",ROUND(SUMIFS(Лэндинг!$L$5:$L$300,Лэндинг!$E$5:$E$300,$B198)+SUMIFS(Закрытые!$L$5:$L$300,Закрытые!$E$5:$E$300,$B198,Закрытые!$B$5:$B$300,"L-*"),8)))</f>
        <v/>
      </c>
      <c r="J198" s="247">
        <f>IF($B198="","",IF(COUNTIFS(Лэндинг!$E$5:$E$300,$B198)+COUNTIFS(Закрытые!$E$5:$E$300,$B198,Закрытые!$B$5:$B$300,"L-*")=0,"",ROUND(SUMIFS(Лэндинг!$M$5:$M$300,Лэндинг!$E$5:$E$300,$B198)+SUMIFS(Закрытые!$M$5:$M$300,Закрытые!$E$5:$E$300,$B198,Закрытые!$B$5:$B$300,"L-*"),8)))</f>
        <v/>
      </c>
      <c r="K198" s="246">
        <f>IF($B198="","",ROUND(SUMIFS(Закрытые!$N$5:$N$300,Закрытые!$E$5:$E$300,$B198,Закрытые!$B$5:$B$300,"L-*"),8))</f>
        <v/>
      </c>
      <c r="L198" s="183">
        <f>IF(K198="","",IF(SUMPRODUCT((Закрытые!$E$5:$E$300=$B198)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198/SUMPRODUCT((Закрытые!$E$5:$E$300=$B198)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8" s="183">
        <f>IF(OR(ROUND(N(C198)-N(F198),8)=0,1-N(Ввод!$E$17)/100&lt;=0),"",IF(N(C198)&gt;N(F198),(N(E198)-N(H198))/((N(C198)-N(F198))*(1-N(Ввод!$E$17)/100)),(N(H198)-N(E198))/((N(F198)-N(C198))*(1+N(Ввод!$E$17)/100))))</f>
        <v/>
      </c>
    </row>
    <row r="199" ht="22" customHeight="1">
      <c r="B199" s="315" t="n"/>
      <c r="C199" s="240">
        <f>IF(SUMIFS(Лэндинг!$F$5:$F$300,Лэндинг!$E$5:$E$300,$B199)+SUMIFS(Закрытые!$F$5:$F$300,Закрытые!$E$5:$E$300,$B199,Закрытые!$B$5:$B$300,"L-*")=0,"",SUMIFS(Лэндинг!$F$5:$F$300,Лэндинг!$E$5:$E$300,$B199)+SUMIFS(Закрытые!$F$5:$F$300,Закрытые!$E$5:$E$300,$B199,Закрытые!$B$5:$B$300,"L-*"))</f>
        <v/>
      </c>
      <c r="D199" s="177">
        <f>IF(C199="","",(SUMPRODUCT((Лэндинг!$E$5:$E$300=$B199)*Лэндинг!$F$5:$F$300*Лэндинг!$G$5:$G$300)+SUMPRODUCT((Закрытые!$E$5:$E$300=$B199)*(LEFT(Закрытые!$B$5:$B$300,2)="L-")*Закрытые!$F$5:$F$300*Закрытые!$G$5:$G$300))/C199)</f>
        <v/>
      </c>
      <c r="E199" s="241">
        <f>IF(C199="","",SUMIFS(Лэндинг!$H$5:$H$300,Лэндинг!$E$5:$E$300,$B199)+SUMIFS(Закрытые!$H$5:$H$300,Закрытые!$E$5:$E$300,$B199,Закрытые!$B$5:$B$300,"L-*"))</f>
        <v/>
      </c>
      <c r="F199" s="240">
        <f>IF(SUMIFS(Лэндинг!$I$5:$I$300,Лэндинг!$E$5:$E$300,$B199)+SUMIFS(Закрытые!$I$5:$I$300,Закрытые!$E$5:$E$300,$B199,Закрытые!$B$5:$B$300,"L-*")=0,"",SUMIFS(Лэндинг!$I$5:$I$300,Лэндинг!$E$5:$E$300,$B199)+SUMIFS(Закрытые!$I$5:$I$300,Закрытые!$E$5:$E$300,$B199,Закрытые!$B$5:$B$300,"L-*"))</f>
        <v/>
      </c>
      <c r="G199" s="177">
        <f>IF(F199="","",(SUMPRODUCT((Лэндинг!$E$5:$E$300=$B199)*Лэндинг!$I$5:$I$300*Лэндинг!$J$5:$J$300)+SUMPRODUCT((Закрытые!$E$5:$E$300=$B199)*(LEFT(Закрытые!$B$5:$B$300,2)="L-")*Закрытые!$I$5:$I$300*Закрытые!$J$5:$J$300))/F199)</f>
        <v/>
      </c>
      <c r="H199" s="241">
        <f>IF(F199="","",SUMIFS(Лэндинг!$K$5:$K$300,Лэндинг!$E$5:$E$300,$B199)+SUMIFS(Закрытые!$K$5:$K$300,Закрытые!$E$5:$E$300,$B199,Закрытые!$B$5:$B$300,"L-*"))</f>
        <v/>
      </c>
      <c r="I199" s="240">
        <f>IF($B199="","",IF(COUNTIFS(Лэндинг!$E$5:$E$300,$B199)+COUNTIFS(Закрытые!$E$5:$E$300,$B199,Закрытые!$B$5:$B$300,"L-*")=0,"",ROUND(SUMIFS(Лэндинг!$L$5:$L$300,Лэндинг!$E$5:$E$300,$B199)+SUMIFS(Закрытые!$L$5:$L$300,Закрытые!$E$5:$E$300,$B199,Закрытые!$B$5:$B$300,"L-*"),8)))</f>
        <v/>
      </c>
      <c r="J199" s="241">
        <f>IF($B199="","",IF(COUNTIFS(Лэндинг!$E$5:$E$300,$B199)+COUNTIFS(Закрытые!$E$5:$E$300,$B199,Закрытые!$B$5:$B$300,"L-*")=0,"",ROUND(SUMIFS(Лэндинг!$M$5:$M$300,Лэндинг!$E$5:$E$300,$B199)+SUMIFS(Закрытые!$M$5:$M$300,Закрытые!$E$5:$E$300,$B199,Закрытые!$B$5:$B$300,"L-*"),8)))</f>
        <v/>
      </c>
      <c r="K199" s="240">
        <f>IF($B199="","",ROUND(SUMIFS(Закрытые!$N$5:$N$300,Закрытые!$E$5:$E$300,$B199,Закрытые!$B$5:$B$300,"L-*"),8))</f>
        <v/>
      </c>
      <c r="L199" s="177">
        <f>IF(K199="","",IF(SUMPRODUCT((Закрытые!$E$5:$E$300=$B199)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199/SUMPRODUCT((Закрытые!$E$5:$E$300=$B199)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9" s="177">
        <f>IF(OR(ROUND(N(C199)-N(F199),8)=0,1-N(Ввод!$E$17)/100&lt;=0),"",IF(N(C199)&gt;N(F199),(N(E199)-N(H199))/((N(C199)-N(F199))*(1-N(Ввод!$E$17)/100)),(N(H199)-N(E199))/((N(F199)-N(C199))*(1+N(Ввод!$E$17)/100))))</f>
        <v/>
      </c>
    </row>
    <row r="200" ht="22" customHeight="1">
      <c r="B200" s="320" t="n"/>
      <c r="C200" s="246">
        <f>IF(SUMIFS(Лэндинг!$F$5:$F$300,Лэндинг!$E$5:$E$300,$B200)+SUMIFS(Закрытые!$F$5:$F$300,Закрытые!$E$5:$E$300,$B200,Закрытые!$B$5:$B$300,"L-*")=0,"",SUMIFS(Лэндинг!$F$5:$F$300,Лэндинг!$E$5:$E$300,$B200)+SUMIFS(Закрытые!$F$5:$F$300,Закрытые!$E$5:$E$300,$B200,Закрытые!$B$5:$B$300,"L-*"))</f>
        <v/>
      </c>
      <c r="D200" s="183">
        <f>IF(C200="","",(SUMPRODUCT((Лэндинг!$E$5:$E$300=$B200)*Лэндинг!$F$5:$F$300*Лэндинг!$G$5:$G$300)+SUMPRODUCT((Закрытые!$E$5:$E$300=$B200)*(LEFT(Закрытые!$B$5:$B$300,2)="L-")*Закрытые!$F$5:$F$300*Закрытые!$G$5:$G$300))/C200)</f>
        <v/>
      </c>
      <c r="E200" s="247">
        <f>IF(C200="","",SUMIFS(Лэндинг!$H$5:$H$300,Лэндинг!$E$5:$E$300,$B200)+SUMIFS(Закрытые!$H$5:$H$300,Закрытые!$E$5:$E$300,$B200,Закрытые!$B$5:$B$300,"L-*"))</f>
        <v/>
      </c>
      <c r="F200" s="246">
        <f>IF(SUMIFS(Лэндинг!$I$5:$I$300,Лэндинг!$E$5:$E$300,$B200)+SUMIFS(Закрытые!$I$5:$I$300,Закрытые!$E$5:$E$300,$B200,Закрытые!$B$5:$B$300,"L-*")=0,"",SUMIFS(Лэндинг!$I$5:$I$300,Лэндинг!$E$5:$E$300,$B200)+SUMIFS(Закрытые!$I$5:$I$300,Закрытые!$E$5:$E$300,$B200,Закрытые!$B$5:$B$300,"L-*"))</f>
        <v/>
      </c>
      <c r="G200" s="183">
        <f>IF(F200="","",(SUMPRODUCT((Лэндинг!$E$5:$E$300=$B200)*Лэндинг!$I$5:$I$300*Лэндинг!$J$5:$J$300)+SUMPRODUCT((Закрытые!$E$5:$E$300=$B200)*(LEFT(Закрытые!$B$5:$B$300,2)="L-")*Закрытые!$I$5:$I$300*Закрытые!$J$5:$J$300))/F200)</f>
        <v/>
      </c>
      <c r="H200" s="247">
        <f>IF(F200="","",SUMIFS(Лэндинг!$K$5:$K$300,Лэндинг!$E$5:$E$300,$B200)+SUMIFS(Закрытые!$K$5:$K$300,Закрытые!$E$5:$E$300,$B200,Закрытые!$B$5:$B$300,"L-*"))</f>
        <v/>
      </c>
      <c r="I200" s="246">
        <f>IF($B200="","",IF(COUNTIFS(Лэндинг!$E$5:$E$300,$B200)+COUNTIFS(Закрытые!$E$5:$E$300,$B200,Закрытые!$B$5:$B$300,"L-*")=0,"",ROUND(SUMIFS(Лэндинг!$L$5:$L$300,Лэндинг!$E$5:$E$300,$B200)+SUMIFS(Закрытые!$L$5:$L$300,Закрытые!$E$5:$E$300,$B200,Закрытые!$B$5:$B$300,"L-*"),8)))</f>
        <v/>
      </c>
      <c r="J200" s="247">
        <f>IF($B200="","",IF(COUNTIFS(Лэндинг!$E$5:$E$300,$B200)+COUNTIFS(Закрытые!$E$5:$E$300,$B200,Закрытые!$B$5:$B$300,"L-*")=0,"",ROUND(SUMIFS(Лэндинг!$M$5:$M$300,Лэндинг!$E$5:$E$300,$B200)+SUMIFS(Закрытые!$M$5:$M$300,Закрытые!$E$5:$E$300,$B200,Закрытые!$B$5:$B$300,"L-*"),8)))</f>
        <v/>
      </c>
      <c r="K200" s="246">
        <f>IF($B200="","",ROUND(SUMIFS(Закрытые!$N$5:$N$300,Закрытые!$E$5:$E$300,$B200,Закрытые!$B$5:$B$300,"L-*"),8))</f>
        <v/>
      </c>
      <c r="L200" s="183">
        <f>IF(K200="","",IF(SUMPRODUCT((Закрытые!$E$5:$E$300=$B200)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200/SUMPRODUCT((Закрытые!$E$5:$E$300=$B200)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0" s="183">
        <f>IF(OR(ROUND(N(C200)-N(F200),8)=0,1-N(Ввод!$E$17)/100&lt;=0),"",IF(N(C200)&gt;N(F200),(N(E200)-N(H200))/((N(C200)-N(F200))*(1-N(Ввод!$E$17)/100)),(N(H200)-N(E200))/((N(F200)-N(C200))*(1+N(Ввод!$E$17)/100))))</f>
        <v/>
      </c>
    </row>
    <row r="201" ht="22" customHeight="1">
      <c r="B201" s="315" t="n"/>
      <c r="C201" s="240">
        <f>IF(SUMIFS(Лэндинг!$F$5:$F$300,Лэндинг!$E$5:$E$300,$B201)+SUMIFS(Закрытые!$F$5:$F$300,Закрытые!$E$5:$E$300,$B201,Закрытые!$B$5:$B$300,"L-*")=0,"",SUMIFS(Лэндинг!$F$5:$F$300,Лэндинг!$E$5:$E$300,$B201)+SUMIFS(Закрытые!$F$5:$F$300,Закрытые!$E$5:$E$300,$B201,Закрытые!$B$5:$B$300,"L-*"))</f>
        <v/>
      </c>
      <c r="D201" s="177">
        <f>IF(C201="","",(SUMPRODUCT((Лэндинг!$E$5:$E$300=$B201)*Лэндинг!$F$5:$F$300*Лэндинг!$G$5:$G$300)+SUMPRODUCT((Закрытые!$E$5:$E$300=$B201)*(LEFT(Закрытые!$B$5:$B$300,2)="L-")*Закрытые!$F$5:$F$300*Закрытые!$G$5:$G$300))/C201)</f>
        <v/>
      </c>
      <c r="E201" s="241">
        <f>IF(C201="","",SUMIFS(Лэндинг!$H$5:$H$300,Лэндинг!$E$5:$E$300,$B201)+SUMIFS(Закрытые!$H$5:$H$300,Закрытые!$E$5:$E$300,$B201,Закрытые!$B$5:$B$300,"L-*"))</f>
        <v/>
      </c>
      <c r="F201" s="240">
        <f>IF(SUMIFS(Лэндинг!$I$5:$I$300,Лэндинг!$E$5:$E$300,$B201)+SUMIFS(Закрытые!$I$5:$I$300,Закрытые!$E$5:$E$300,$B201,Закрытые!$B$5:$B$300,"L-*")=0,"",SUMIFS(Лэндинг!$I$5:$I$300,Лэндинг!$E$5:$E$300,$B201)+SUMIFS(Закрытые!$I$5:$I$300,Закрытые!$E$5:$E$300,$B201,Закрытые!$B$5:$B$300,"L-*"))</f>
        <v/>
      </c>
      <c r="G201" s="177">
        <f>IF(F201="","",(SUMPRODUCT((Лэндинг!$E$5:$E$300=$B201)*Лэндинг!$I$5:$I$300*Лэндинг!$J$5:$J$300)+SUMPRODUCT((Закрытые!$E$5:$E$300=$B201)*(LEFT(Закрытые!$B$5:$B$300,2)="L-")*Закрытые!$I$5:$I$300*Закрытые!$J$5:$J$300))/F201)</f>
        <v/>
      </c>
      <c r="H201" s="241">
        <f>IF(F201="","",SUMIFS(Лэндинг!$K$5:$K$300,Лэндинг!$E$5:$E$300,$B201)+SUMIFS(Закрытые!$K$5:$K$300,Закрытые!$E$5:$E$300,$B201,Закрытые!$B$5:$B$300,"L-*"))</f>
        <v/>
      </c>
      <c r="I201" s="240">
        <f>IF($B201="","",IF(COUNTIFS(Лэндинг!$E$5:$E$300,$B201)+COUNTIFS(Закрытые!$E$5:$E$300,$B201,Закрытые!$B$5:$B$300,"L-*")=0,"",ROUND(SUMIFS(Лэндинг!$L$5:$L$300,Лэндинг!$E$5:$E$300,$B201)+SUMIFS(Закрытые!$L$5:$L$300,Закрытые!$E$5:$E$300,$B201,Закрытые!$B$5:$B$300,"L-*"),8)))</f>
        <v/>
      </c>
      <c r="J201" s="241">
        <f>IF($B201="","",IF(COUNTIFS(Лэндинг!$E$5:$E$300,$B201)+COUNTIFS(Закрытые!$E$5:$E$300,$B201,Закрытые!$B$5:$B$300,"L-*")=0,"",ROUND(SUMIFS(Лэндинг!$M$5:$M$300,Лэндинг!$E$5:$E$300,$B201)+SUMIFS(Закрытые!$M$5:$M$300,Закрытые!$E$5:$E$300,$B201,Закрытые!$B$5:$B$300,"L-*"),8)))</f>
        <v/>
      </c>
      <c r="K201" s="240">
        <f>IF($B201="","",ROUND(SUMIFS(Закрытые!$N$5:$N$300,Закрытые!$E$5:$E$300,$B201,Закрытые!$B$5:$B$300,"L-*"),8))</f>
        <v/>
      </c>
      <c r="L201" s="177">
        <f>IF(K201="","",IF(SUMPRODUCT((Закрытые!$E$5:$E$300=$B201)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201/SUMPRODUCT((Закрытые!$E$5:$E$300=$B201)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1" s="177">
        <f>IF(OR(ROUND(N(C201)-N(F201),8)=0,1-N(Ввод!$E$17)/100&lt;=0),"",IF(N(C201)&gt;N(F201),(N(E201)-N(H201))/((N(C201)-N(F201))*(1-N(Ввод!$E$17)/100)),(N(H201)-N(E201))/((N(F201)-N(C201))*(1+N(Ввод!$E$17)/100))))</f>
        <v/>
      </c>
    </row>
    <row r="202" ht="22" customHeight="1">
      <c r="B202" s="320" t="n"/>
      <c r="C202" s="246">
        <f>IF(SUMIFS(Лэндинг!$F$5:$F$300,Лэндинг!$E$5:$E$300,$B202)+SUMIFS(Закрытые!$F$5:$F$300,Закрытые!$E$5:$E$300,$B202,Закрытые!$B$5:$B$300,"L-*")=0,"",SUMIFS(Лэндинг!$F$5:$F$300,Лэндинг!$E$5:$E$300,$B202)+SUMIFS(Закрытые!$F$5:$F$300,Закрытые!$E$5:$E$300,$B202,Закрытые!$B$5:$B$300,"L-*"))</f>
        <v/>
      </c>
      <c r="D202" s="183">
        <f>IF(C202="","",(SUMPRODUCT((Лэндинг!$E$5:$E$300=$B202)*Лэндинг!$F$5:$F$300*Лэндинг!$G$5:$G$300)+SUMPRODUCT((Закрытые!$E$5:$E$300=$B202)*(LEFT(Закрытые!$B$5:$B$300,2)="L-")*Закрытые!$F$5:$F$300*Закрытые!$G$5:$G$300))/C202)</f>
        <v/>
      </c>
      <c r="E202" s="247">
        <f>IF(C202="","",SUMIFS(Лэндинг!$H$5:$H$300,Лэндинг!$E$5:$E$300,$B202)+SUMIFS(Закрытые!$H$5:$H$300,Закрытые!$E$5:$E$300,$B202,Закрытые!$B$5:$B$300,"L-*"))</f>
        <v/>
      </c>
      <c r="F202" s="246">
        <f>IF(SUMIFS(Лэндинг!$I$5:$I$300,Лэндинг!$E$5:$E$300,$B202)+SUMIFS(Закрытые!$I$5:$I$300,Закрытые!$E$5:$E$300,$B202,Закрытые!$B$5:$B$300,"L-*")=0,"",SUMIFS(Лэндинг!$I$5:$I$300,Лэндинг!$E$5:$E$300,$B202)+SUMIFS(Закрытые!$I$5:$I$300,Закрытые!$E$5:$E$300,$B202,Закрытые!$B$5:$B$300,"L-*"))</f>
        <v/>
      </c>
      <c r="G202" s="183">
        <f>IF(F202="","",(SUMPRODUCT((Лэндинг!$E$5:$E$300=$B202)*Лэндинг!$I$5:$I$300*Лэндинг!$J$5:$J$300)+SUMPRODUCT((Закрытые!$E$5:$E$300=$B202)*(LEFT(Закрытые!$B$5:$B$300,2)="L-")*Закрытые!$I$5:$I$300*Закрытые!$J$5:$J$300))/F202)</f>
        <v/>
      </c>
      <c r="H202" s="247">
        <f>IF(F202="","",SUMIFS(Лэндинг!$K$5:$K$300,Лэндинг!$E$5:$E$300,$B202)+SUMIFS(Закрытые!$K$5:$K$300,Закрытые!$E$5:$E$300,$B202,Закрытые!$B$5:$B$300,"L-*"))</f>
        <v/>
      </c>
      <c r="I202" s="246">
        <f>IF($B202="","",IF(COUNTIFS(Лэндинг!$E$5:$E$300,$B202)+COUNTIFS(Закрытые!$E$5:$E$300,$B202,Закрытые!$B$5:$B$300,"L-*")=0,"",ROUND(SUMIFS(Лэндинг!$L$5:$L$300,Лэндинг!$E$5:$E$300,$B202)+SUMIFS(Закрытые!$L$5:$L$300,Закрытые!$E$5:$E$300,$B202,Закрытые!$B$5:$B$300,"L-*"),8)))</f>
        <v/>
      </c>
      <c r="J202" s="247">
        <f>IF($B202="","",IF(COUNTIFS(Лэндинг!$E$5:$E$300,$B202)+COUNTIFS(Закрытые!$E$5:$E$300,$B202,Закрытые!$B$5:$B$300,"L-*")=0,"",ROUND(SUMIFS(Лэндинг!$M$5:$M$300,Лэндинг!$E$5:$E$300,$B202)+SUMIFS(Закрытые!$M$5:$M$300,Закрытые!$E$5:$E$300,$B202,Закрытые!$B$5:$B$300,"L-*"),8)))</f>
        <v/>
      </c>
      <c r="K202" s="246">
        <f>IF($B202="","",ROUND(SUMIFS(Закрытые!$N$5:$N$300,Закрытые!$E$5:$E$300,$B202,Закрытые!$B$5:$B$300,"L-*"),8))</f>
        <v/>
      </c>
      <c r="L202" s="183">
        <f>IF(K202="","",IF(SUMPRODUCT((Закрытые!$E$5:$E$300=$B202)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202/SUMPRODUCT((Закрытые!$E$5:$E$300=$B202)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2" s="183">
        <f>IF(OR(ROUND(N(C202)-N(F202),8)=0,1-N(Ввод!$E$17)/100&lt;=0),"",IF(N(C202)&gt;N(F202),(N(E202)-N(H202))/((N(C202)-N(F202))*(1-N(Ввод!$E$17)/100)),(N(H202)-N(E202))/((N(F202)-N(C202))*(1+N(Ввод!$E$17)/100))))</f>
        <v/>
      </c>
    </row>
    <row r="203" ht="22" customHeight="1">
      <c r="B203" s="315" t="n"/>
      <c r="C203" s="240">
        <f>IF(SUMIFS(Лэндинг!$F$5:$F$300,Лэндинг!$E$5:$E$300,$B203)+SUMIFS(Закрытые!$F$5:$F$300,Закрытые!$E$5:$E$300,$B203,Закрытые!$B$5:$B$300,"L-*")=0,"",SUMIFS(Лэндинг!$F$5:$F$300,Лэндинг!$E$5:$E$300,$B203)+SUMIFS(Закрытые!$F$5:$F$300,Закрытые!$E$5:$E$300,$B203,Закрытые!$B$5:$B$300,"L-*"))</f>
        <v/>
      </c>
      <c r="D203" s="177">
        <f>IF(C203="","",(SUMPRODUCT((Лэндинг!$E$5:$E$300=$B203)*Лэндинг!$F$5:$F$300*Лэндинг!$G$5:$G$300)+SUMPRODUCT((Закрытые!$E$5:$E$300=$B203)*(LEFT(Закрытые!$B$5:$B$300,2)="L-")*Закрытые!$F$5:$F$300*Закрытые!$G$5:$G$300))/C203)</f>
        <v/>
      </c>
      <c r="E203" s="241">
        <f>IF(C203="","",SUMIFS(Лэндинг!$H$5:$H$300,Лэндинг!$E$5:$E$300,$B203)+SUMIFS(Закрытые!$H$5:$H$300,Закрытые!$E$5:$E$300,$B203,Закрытые!$B$5:$B$300,"L-*"))</f>
        <v/>
      </c>
      <c r="F203" s="240">
        <f>IF(SUMIFS(Лэндинг!$I$5:$I$300,Лэндинг!$E$5:$E$300,$B203)+SUMIFS(Закрытые!$I$5:$I$300,Закрытые!$E$5:$E$300,$B203,Закрытые!$B$5:$B$300,"L-*")=0,"",SUMIFS(Лэндинг!$I$5:$I$300,Лэндинг!$E$5:$E$300,$B203)+SUMIFS(Закрытые!$I$5:$I$300,Закрытые!$E$5:$E$300,$B203,Закрытые!$B$5:$B$300,"L-*"))</f>
        <v/>
      </c>
      <c r="G203" s="177">
        <f>IF(F203="","",(SUMPRODUCT((Лэндинг!$E$5:$E$300=$B203)*Лэндинг!$I$5:$I$300*Лэндинг!$J$5:$J$300)+SUMPRODUCT((Закрытые!$E$5:$E$300=$B203)*(LEFT(Закрытые!$B$5:$B$300,2)="L-")*Закрытые!$I$5:$I$300*Закрытые!$J$5:$J$300))/F203)</f>
        <v/>
      </c>
      <c r="H203" s="241">
        <f>IF(F203="","",SUMIFS(Лэндинг!$K$5:$K$300,Лэндинг!$E$5:$E$300,$B203)+SUMIFS(Закрытые!$K$5:$K$300,Закрытые!$E$5:$E$300,$B203,Закрытые!$B$5:$B$300,"L-*"))</f>
        <v/>
      </c>
      <c r="I203" s="240">
        <f>IF($B203="","",IF(COUNTIFS(Лэндинг!$E$5:$E$300,$B203)+COUNTIFS(Закрытые!$E$5:$E$300,$B203,Закрытые!$B$5:$B$300,"L-*")=0,"",ROUND(SUMIFS(Лэндинг!$L$5:$L$300,Лэндинг!$E$5:$E$300,$B203)+SUMIFS(Закрытые!$L$5:$L$300,Закрытые!$E$5:$E$300,$B203,Закрытые!$B$5:$B$300,"L-*"),8)))</f>
        <v/>
      </c>
      <c r="J203" s="241">
        <f>IF($B203="","",IF(COUNTIFS(Лэндинг!$E$5:$E$300,$B203)+COUNTIFS(Закрытые!$E$5:$E$300,$B203,Закрытые!$B$5:$B$300,"L-*")=0,"",ROUND(SUMIFS(Лэндинг!$M$5:$M$300,Лэндинг!$E$5:$E$300,$B203)+SUMIFS(Закрытые!$M$5:$M$300,Закрытые!$E$5:$E$300,$B203,Закрытые!$B$5:$B$300,"L-*"),8)))</f>
        <v/>
      </c>
      <c r="K203" s="240">
        <f>IF($B203="","",ROUND(SUMIFS(Закрытые!$N$5:$N$300,Закрытые!$E$5:$E$300,$B203,Закрытые!$B$5:$B$300,"L-*"),8))</f>
        <v/>
      </c>
      <c r="L203" s="177">
        <f>IF(K203="","",IF(SUMPRODUCT((Закрытые!$E$5:$E$300=$B203)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203/SUMPRODUCT((Закрытые!$E$5:$E$300=$B203)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3" s="177">
        <f>IF(OR(ROUND(N(C203)-N(F203),8)=0,1-N(Ввод!$E$17)/100&lt;=0),"",IF(N(C203)&gt;N(F203),(N(E203)-N(H203))/((N(C203)-N(F203))*(1-N(Ввод!$E$17)/100)),(N(H203)-N(E203))/((N(F203)-N(C203))*(1+N(Ввод!$E$17)/100))))</f>
        <v/>
      </c>
    </row>
    <row r="204" ht="22" customHeight="1">
      <c r="B204" s="320" t="n"/>
      <c r="C204" s="246">
        <f>IF(SUMIFS(Лэндинг!$F$5:$F$300,Лэндинг!$E$5:$E$300,$B204)+SUMIFS(Закрытые!$F$5:$F$300,Закрытые!$E$5:$E$300,$B204,Закрытые!$B$5:$B$300,"L-*")=0,"",SUMIFS(Лэндинг!$F$5:$F$300,Лэндинг!$E$5:$E$300,$B204)+SUMIFS(Закрытые!$F$5:$F$300,Закрытые!$E$5:$E$300,$B204,Закрытые!$B$5:$B$300,"L-*"))</f>
        <v/>
      </c>
      <c r="D204" s="183">
        <f>IF(C204="","",(SUMPRODUCT((Лэндинг!$E$5:$E$300=$B204)*Лэндинг!$F$5:$F$300*Лэндинг!$G$5:$G$300)+SUMPRODUCT((Закрытые!$E$5:$E$300=$B204)*(LEFT(Закрытые!$B$5:$B$300,2)="L-")*Закрытые!$F$5:$F$300*Закрытые!$G$5:$G$300))/C204)</f>
        <v/>
      </c>
      <c r="E204" s="247">
        <f>IF(C204="","",SUMIFS(Лэндинг!$H$5:$H$300,Лэндинг!$E$5:$E$300,$B204)+SUMIFS(Закрытые!$H$5:$H$300,Закрытые!$E$5:$E$300,$B204,Закрытые!$B$5:$B$300,"L-*"))</f>
        <v/>
      </c>
      <c r="F204" s="246">
        <f>IF(SUMIFS(Лэндинг!$I$5:$I$300,Лэндинг!$E$5:$E$300,$B204)+SUMIFS(Закрытые!$I$5:$I$300,Закрытые!$E$5:$E$300,$B204,Закрытые!$B$5:$B$300,"L-*")=0,"",SUMIFS(Лэндинг!$I$5:$I$300,Лэндинг!$E$5:$E$300,$B204)+SUMIFS(Закрытые!$I$5:$I$300,Закрытые!$E$5:$E$300,$B204,Закрытые!$B$5:$B$300,"L-*"))</f>
        <v/>
      </c>
      <c r="G204" s="183">
        <f>IF(F204="","",(SUMPRODUCT((Лэндинг!$E$5:$E$300=$B204)*Лэндинг!$I$5:$I$300*Лэндинг!$J$5:$J$300)+SUMPRODUCT((Закрытые!$E$5:$E$300=$B204)*(LEFT(Закрытые!$B$5:$B$300,2)="L-")*Закрытые!$I$5:$I$300*Закрытые!$J$5:$J$300))/F204)</f>
        <v/>
      </c>
      <c r="H204" s="247">
        <f>IF(F204="","",SUMIFS(Лэндинг!$K$5:$K$300,Лэндинг!$E$5:$E$300,$B204)+SUMIFS(Закрытые!$K$5:$K$300,Закрытые!$E$5:$E$300,$B204,Закрытые!$B$5:$B$300,"L-*"))</f>
        <v/>
      </c>
      <c r="I204" s="246">
        <f>IF($B204="","",IF(COUNTIFS(Лэндинг!$E$5:$E$300,$B204)+COUNTIFS(Закрытые!$E$5:$E$300,$B204,Закрытые!$B$5:$B$300,"L-*")=0,"",ROUND(SUMIFS(Лэндинг!$L$5:$L$300,Лэндинг!$E$5:$E$300,$B204)+SUMIFS(Закрытые!$L$5:$L$300,Закрытые!$E$5:$E$300,$B204,Закрытые!$B$5:$B$300,"L-*"),8)))</f>
        <v/>
      </c>
      <c r="J204" s="247">
        <f>IF($B204="","",IF(COUNTIFS(Лэндинг!$E$5:$E$300,$B204)+COUNTIFS(Закрытые!$E$5:$E$300,$B204,Закрытые!$B$5:$B$300,"L-*")=0,"",ROUND(SUMIFS(Лэндинг!$M$5:$M$300,Лэндинг!$E$5:$E$300,$B204)+SUMIFS(Закрытые!$M$5:$M$300,Закрытые!$E$5:$E$300,$B204,Закрытые!$B$5:$B$300,"L-*"),8)))</f>
        <v/>
      </c>
      <c r="K204" s="246">
        <f>IF($B204="","",ROUND(SUMIFS(Закрытые!$N$5:$N$300,Закрытые!$E$5:$E$300,$B204,Закрытые!$B$5:$B$300,"L-*"),8))</f>
        <v/>
      </c>
      <c r="L204" s="183">
        <f>IF(K204="","",IF(SUMPRODUCT((Закрытые!$E$5:$E$300=$B204)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204/SUMPRODUCT((Закрытые!$E$5:$E$300=$B204)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4" s="183">
        <f>IF(OR(ROUND(N(C204)-N(F204),8)=0,1-N(Ввод!$E$17)/100&lt;=0),"",IF(N(C204)&gt;N(F204),(N(E204)-N(H204))/((N(C204)-N(F204))*(1-N(Ввод!$E$17)/100)),(N(H204)-N(E204))/((N(F204)-N(C204))*(1+N(Ввод!$E$17)/100))))</f>
        <v/>
      </c>
    </row>
    <row r="205" ht="22" customHeight="1">
      <c r="B205" s="315" t="n"/>
      <c r="C205" s="240">
        <f>IF(SUMIFS(Лэндинг!$F$5:$F$300,Лэндинг!$E$5:$E$300,$B205)+SUMIFS(Закрытые!$F$5:$F$300,Закрытые!$E$5:$E$300,$B205,Закрытые!$B$5:$B$300,"L-*")=0,"",SUMIFS(Лэндинг!$F$5:$F$300,Лэндинг!$E$5:$E$300,$B205)+SUMIFS(Закрытые!$F$5:$F$300,Закрытые!$E$5:$E$300,$B205,Закрытые!$B$5:$B$300,"L-*"))</f>
        <v/>
      </c>
      <c r="D205" s="177">
        <f>IF(C205="","",(SUMPRODUCT((Лэндинг!$E$5:$E$300=$B205)*Лэндинг!$F$5:$F$300*Лэндинг!$G$5:$G$300)+SUMPRODUCT((Закрытые!$E$5:$E$300=$B205)*(LEFT(Закрытые!$B$5:$B$300,2)="L-")*Закрытые!$F$5:$F$300*Закрытые!$G$5:$G$300))/C205)</f>
        <v/>
      </c>
      <c r="E205" s="241">
        <f>IF(C205="","",SUMIFS(Лэндинг!$H$5:$H$300,Лэндинг!$E$5:$E$300,$B205)+SUMIFS(Закрытые!$H$5:$H$300,Закрытые!$E$5:$E$300,$B205,Закрытые!$B$5:$B$300,"L-*"))</f>
        <v/>
      </c>
      <c r="F205" s="240">
        <f>IF(SUMIFS(Лэндинг!$I$5:$I$300,Лэндинг!$E$5:$E$300,$B205)+SUMIFS(Закрытые!$I$5:$I$300,Закрытые!$E$5:$E$300,$B205,Закрытые!$B$5:$B$300,"L-*")=0,"",SUMIFS(Лэндинг!$I$5:$I$300,Лэндинг!$E$5:$E$300,$B205)+SUMIFS(Закрытые!$I$5:$I$300,Закрытые!$E$5:$E$300,$B205,Закрытые!$B$5:$B$300,"L-*"))</f>
        <v/>
      </c>
      <c r="G205" s="177">
        <f>IF(F205="","",(SUMPRODUCT((Лэндинг!$E$5:$E$300=$B205)*Лэндинг!$I$5:$I$300*Лэндинг!$J$5:$J$300)+SUMPRODUCT((Закрытые!$E$5:$E$300=$B205)*(LEFT(Закрытые!$B$5:$B$300,2)="L-")*Закрытые!$I$5:$I$300*Закрытые!$J$5:$J$300))/F205)</f>
        <v/>
      </c>
      <c r="H205" s="241">
        <f>IF(F205="","",SUMIFS(Лэндинг!$K$5:$K$300,Лэндинг!$E$5:$E$300,$B205)+SUMIFS(Закрытые!$K$5:$K$300,Закрытые!$E$5:$E$300,$B205,Закрытые!$B$5:$B$300,"L-*"))</f>
        <v/>
      </c>
      <c r="I205" s="240">
        <f>IF($B205="","",IF(COUNTIFS(Лэндинг!$E$5:$E$300,$B205)+COUNTIFS(Закрытые!$E$5:$E$300,$B205,Закрытые!$B$5:$B$300,"L-*")=0,"",ROUND(SUMIFS(Лэндинг!$L$5:$L$300,Лэндинг!$E$5:$E$300,$B205)+SUMIFS(Закрытые!$L$5:$L$300,Закрытые!$E$5:$E$300,$B205,Закрытые!$B$5:$B$300,"L-*"),8)))</f>
        <v/>
      </c>
      <c r="J205" s="241">
        <f>IF($B205="","",IF(COUNTIFS(Лэндинг!$E$5:$E$300,$B205)+COUNTIFS(Закрытые!$E$5:$E$300,$B205,Закрытые!$B$5:$B$300,"L-*")=0,"",ROUND(SUMIFS(Лэндинг!$M$5:$M$300,Лэндинг!$E$5:$E$300,$B205)+SUMIFS(Закрытые!$M$5:$M$300,Закрытые!$E$5:$E$300,$B205,Закрытые!$B$5:$B$300,"L-*"),8)))</f>
        <v/>
      </c>
      <c r="K205" s="240">
        <f>IF($B205="","",ROUND(SUMIFS(Закрытые!$N$5:$N$300,Закрытые!$E$5:$E$300,$B205,Закрытые!$B$5:$B$300,"L-*"),8))</f>
        <v/>
      </c>
      <c r="L205" s="177">
        <f>IF(K205="","",IF(SUMPRODUCT((Закрытые!$E$5:$E$300=$B205)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205/SUMPRODUCT((Закрытые!$E$5:$E$300=$B205)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5" s="177">
        <f>IF(OR(ROUND(N(C205)-N(F205),8)=0,1-N(Ввод!$E$17)/100&lt;=0),"",IF(N(C205)&gt;N(F205),(N(E205)-N(H205))/((N(C205)-N(F205))*(1-N(Ввод!$E$17)/100)),(N(H205)-N(E205))/((N(F205)-N(C205))*(1+N(Ввод!$E$17)/100))))</f>
        <v/>
      </c>
    </row>
    <row r="206" ht="22" customHeight="1">
      <c r="B206" s="320" t="n"/>
      <c r="C206" s="246">
        <f>IF(SUMIFS(Лэндинг!$F$5:$F$300,Лэндинг!$E$5:$E$300,$B206)+SUMIFS(Закрытые!$F$5:$F$300,Закрытые!$E$5:$E$300,$B206,Закрытые!$B$5:$B$300,"L-*")=0,"",SUMIFS(Лэндинг!$F$5:$F$300,Лэндинг!$E$5:$E$300,$B206)+SUMIFS(Закрытые!$F$5:$F$300,Закрытые!$E$5:$E$300,$B206,Закрытые!$B$5:$B$300,"L-*"))</f>
        <v/>
      </c>
      <c r="D206" s="183">
        <f>IF(C206="","",(SUMPRODUCT((Лэндинг!$E$5:$E$300=$B206)*Лэндинг!$F$5:$F$300*Лэндинг!$G$5:$G$300)+SUMPRODUCT((Закрытые!$E$5:$E$300=$B206)*(LEFT(Закрытые!$B$5:$B$300,2)="L-")*Закрытые!$F$5:$F$300*Закрытые!$G$5:$G$300))/C206)</f>
        <v/>
      </c>
      <c r="E206" s="247">
        <f>IF(C206="","",SUMIFS(Лэндинг!$H$5:$H$300,Лэндинг!$E$5:$E$300,$B206)+SUMIFS(Закрытые!$H$5:$H$300,Закрытые!$E$5:$E$300,$B206,Закрытые!$B$5:$B$300,"L-*"))</f>
        <v/>
      </c>
      <c r="F206" s="246">
        <f>IF(SUMIFS(Лэндинг!$I$5:$I$300,Лэндинг!$E$5:$E$300,$B206)+SUMIFS(Закрытые!$I$5:$I$300,Закрытые!$E$5:$E$300,$B206,Закрытые!$B$5:$B$300,"L-*")=0,"",SUMIFS(Лэндинг!$I$5:$I$300,Лэндинг!$E$5:$E$300,$B206)+SUMIFS(Закрытые!$I$5:$I$300,Закрытые!$E$5:$E$300,$B206,Закрытые!$B$5:$B$300,"L-*"))</f>
        <v/>
      </c>
      <c r="G206" s="183">
        <f>IF(F206="","",(SUMPRODUCT((Лэндинг!$E$5:$E$300=$B206)*Лэндинг!$I$5:$I$300*Лэндинг!$J$5:$J$300)+SUMPRODUCT((Закрытые!$E$5:$E$300=$B206)*(LEFT(Закрытые!$B$5:$B$300,2)="L-")*Закрытые!$I$5:$I$300*Закрытые!$J$5:$J$300))/F206)</f>
        <v/>
      </c>
      <c r="H206" s="247">
        <f>IF(F206="","",SUMIFS(Лэндинг!$K$5:$K$300,Лэндинг!$E$5:$E$300,$B206)+SUMIFS(Закрытые!$K$5:$K$300,Закрытые!$E$5:$E$300,$B206,Закрытые!$B$5:$B$300,"L-*"))</f>
        <v/>
      </c>
      <c r="I206" s="246">
        <f>IF($B206="","",IF(COUNTIFS(Лэндинг!$E$5:$E$300,$B206)+COUNTIFS(Закрытые!$E$5:$E$300,$B206,Закрытые!$B$5:$B$300,"L-*")=0,"",ROUND(SUMIFS(Лэндинг!$L$5:$L$300,Лэндинг!$E$5:$E$300,$B206)+SUMIFS(Закрытые!$L$5:$L$300,Закрытые!$E$5:$E$300,$B206,Закрытые!$B$5:$B$300,"L-*"),8)))</f>
        <v/>
      </c>
      <c r="J206" s="247">
        <f>IF($B206="","",IF(COUNTIFS(Лэндинг!$E$5:$E$300,$B206)+COUNTIFS(Закрытые!$E$5:$E$300,$B206,Закрытые!$B$5:$B$300,"L-*")=0,"",ROUND(SUMIFS(Лэндинг!$M$5:$M$300,Лэндинг!$E$5:$E$300,$B206)+SUMIFS(Закрытые!$M$5:$M$300,Закрытые!$E$5:$E$300,$B206,Закрытые!$B$5:$B$300,"L-*"),8)))</f>
        <v/>
      </c>
      <c r="K206" s="246">
        <f>IF($B206="","",ROUND(SUMIFS(Закрытые!$N$5:$N$300,Закрытые!$E$5:$E$300,$B206,Закрытые!$B$5:$B$300,"L-*"),8))</f>
        <v/>
      </c>
      <c r="L206" s="183">
        <f>IF(K206="","",IF(SUMPRODUCT((Закрытые!$E$5:$E$300=$B206)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206/SUMPRODUCT((Закрытые!$E$5:$E$300=$B206)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6" s="183">
        <f>IF(OR(ROUND(N(C206)-N(F206),8)=0,1-N(Ввод!$E$17)/100&lt;=0),"",IF(N(C206)&gt;N(F206),(N(E206)-N(H206))/((N(C206)-N(F206))*(1-N(Ввод!$E$17)/100)),(N(H206)-N(E206))/((N(F206)-N(C206))*(1+N(Ввод!$E$17)/100))))</f>
        <v/>
      </c>
    </row>
    <row r="207" ht="22" customHeight="1">
      <c r="B207" s="315" t="n"/>
      <c r="C207" s="240">
        <f>IF(SUMIFS(Лэндинг!$F$5:$F$300,Лэндинг!$E$5:$E$300,$B207)+SUMIFS(Закрытые!$F$5:$F$300,Закрытые!$E$5:$E$300,$B207,Закрытые!$B$5:$B$300,"L-*")=0,"",SUMIFS(Лэндинг!$F$5:$F$300,Лэндинг!$E$5:$E$300,$B207)+SUMIFS(Закрытые!$F$5:$F$300,Закрытые!$E$5:$E$300,$B207,Закрытые!$B$5:$B$300,"L-*"))</f>
        <v/>
      </c>
      <c r="D207" s="177">
        <f>IF(C207="","",(SUMPRODUCT((Лэндинг!$E$5:$E$300=$B207)*Лэндинг!$F$5:$F$300*Лэндинг!$G$5:$G$300)+SUMPRODUCT((Закрытые!$E$5:$E$300=$B207)*(LEFT(Закрытые!$B$5:$B$300,2)="L-")*Закрытые!$F$5:$F$300*Закрытые!$G$5:$G$300))/C207)</f>
        <v/>
      </c>
      <c r="E207" s="241">
        <f>IF(C207="","",SUMIFS(Лэндинг!$H$5:$H$300,Лэндинг!$E$5:$E$300,$B207)+SUMIFS(Закрытые!$H$5:$H$300,Закрытые!$E$5:$E$300,$B207,Закрытые!$B$5:$B$300,"L-*"))</f>
        <v/>
      </c>
      <c r="F207" s="240">
        <f>IF(SUMIFS(Лэндинг!$I$5:$I$300,Лэндинг!$E$5:$E$300,$B207)+SUMIFS(Закрытые!$I$5:$I$300,Закрытые!$E$5:$E$300,$B207,Закрытые!$B$5:$B$300,"L-*")=0,"",SUMIFS(Лэндинг!$I$5:$I$300,Лэндинг!$E$5:$E$300,$B207)+SUMIFS(Закрытые!$I$5:$I$300,Закрытые!$E$5:$E$300,$B207,Закрытые!$B$5:$B$300,"L-*"))</f>
        <v/>
      </c>
      <c r="G207" s="177">
        <f>IF(F207="","",(SUMPRODUCT((Лэндинг!$E$5:$E$300=$B207)*Лэндинг!$I$5:$I$300*Лэндинг!$J$5:$J$300)+SUMPRODUCT((Закрытые!$E$5:$E$300=$B207)*(LEFT(Закрытые!$B$5:$B$300,2)="L-")*Закрытые!$I$5:$I$300*Закрытые!$J$5:$J$300))/F207)</f>
        <v/>
      </c>
      <c r="H207" s="241">
        <f>IF(F207="","",SUMIFS(Лэндинг!$K$5:$K$300,Лэндинг!$E$5:$E$300,$B207)+SUMIFS(Закрытые!$K$5:$K$300,Закрытые!$E$5:$E$300,$B207,Закрытые!$B$5:$B$300,"L-*"))</f>
        <v/>
      </c>
      <c r="I207" s="240">
        <f>IF($B207="","",IF(COUNTIFS(Лэндинг!$E$5:$E$300,$B207)+COUNTIFS(Закрытые!$E$5:$E$300,$B207,Закрытые!$B$5:$B$300,"L-*")=0,"",ROUND(SUMIFS(Лэндинг!$L$5:$L$300,Лэндинг!$E$5:$E$300,$B207)+SUMIFS(Закрытые!$L$5:$L$300,Закрытые!$E$5:$E$300,$B207,Закрытые!$B$5:$B$300,"L-*"),8)))</f>
        <v/>
      </c>
      <c r="J207" s="241">
        <f>IF($B207="","",IF(COUNTIFS(Лэндинг!$E$5:$E$300,$B207)+COUNTIFS(Закрытые!$E$5:$E$300,$B207,Закрытые!$B$5:$B$300,"L-*")=0,"",ROUND(SUMIFS(Лэндинг!$M$5:$M$300,Лэндинг!$E$5:$E$300,$B207)+SUMIFS(Закрытые!$M$5:$M$300,Закрытые!$E$5:$E$300,$B207,Закрытые!$B$5:$B$300,"L-*"),8)))</f>
        <v/>
      </c>
      <c r="K207" s="240">
        <f>IF($B207="","",ROUND(SUMIFS(Закрытые!$N$5:$N$300,Закрытые!$E$5:$E$300,$B207,Закрытые!$B$5:$B$300,"L-*"),8))</f>
        <v/>
      </c>
      <c r="L207" s="177">
        <f>IF(K207="","",IF(SUMPRODUCT((Закрытые!$E$5:$E$300=$B207)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207/SUMPRODUCT((Закрытые!$E$5:$E$300=$B207)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7" s="177">
        <f>IF(OR(ROUND(N(C207)-N(F207),8)=0,1-N(Ввод!$E$17)/100&lt;=0),"",IF(N(C207)&gt;N(F207),(N(E207)-N(H207))/((N(C207)-N(F207))*(1-N(Ввод!$E$17)/100)),(N(H207)-N(E207))/((N(F207)-N(C207))*(1+N(Ввод!$E$17)/100))))</f>
        <v/>
      </c>
    </row>
    <row r="208" ht="22" customHeight="1">
      <c r="B208" s="320" t="n"/>
      <c r="C208" s="246">
        <f>IF(SUMIFS(Лэндинг!$F$5:$F$300,Лэндинг!$E$5:$E$300,$B208)+SUMIFS(Закрытые!$F$5:$F$300,Закрытые!$E$5:$E$300,$B208,Закрытые!$B$5:$B$300,"L-*")=0,"",SUMIFS(Лэндинг!$F$5:$F$300,Лэндинг!$E$5:$E$300,$B208)+SUMIFS(Закрытые!$F$5:$F$300,Закрытые!$E$5:$E$300,$B208,Закрытые!$B$5:$B$300,"L-*"))</f>
        <v/>
      </c>
      <c r="D208" s="183">
        <f>IF(C208="","",(SUMPRODUCT((Лэндинг!$E$5:$E$300=$B208)*Лэндинг!$F$5:$F$300*Лэндинг!$G$5:$G$300)+SUMPRODUCT((Закрытые!$E$5:$E$300=$B208)*(LEFT(Закрытые!$B$5:$B$300,2)="L-")*Закрытые!$F$5:$F$300*Закрытые!$G$5:$G$300))/C208)</f>
        <v/>
      </c>
      <c r="E208" s="247">
        <f>IF(C208="","",SUMIFS(Лэндинг!$H$5:$H$300,Лэндинг!$E$5:$E$300,$B208)+SUMIFS(Закрытые!$H$5:$H$300,Закрытые!$E$5:$E$300,$B208,Закрытые!$B$5:$B$300,"L-*"))</f>
        <v/>
      </c>
      <c r="F208" s="246">
        <f>IF(SUMIFS(Лэндинг!$I$5:$I$300,Лэндинг!$E$5:$E$300,$B208)+SUMIFS(Закрытые!$I$5:$I$300,Закрытые!$E$5:$E$300,$B208,Закрытые!$B$5:$B$300,"L-*")=0,"",SUMIFS(Лэндинг!$I$5:$I$300,Лэндинг!$E$5:$E$300,$B208)+SUMIFS(Закрытые!$I$5:$I$300,Закрытые!$E$5:$E$300,$B208,Закрытые!$B$5:$B$300,"L-*"))</f>
        <v/>
      </c>
      <c r="G208" s="183">
        <f>IF(F208="","",(SUMPRODUCT((Лэндинг!$E$5:$E$300=$B208)*Лэндинг!$I$5:$I$300*Лэндинг!$J$5:$J$300)+SUMPRODUCT((Закрытые!$E$5:$E$300=$B208)*(LEFT(Закрытые!$B$5:$B$300,2)="L-")*Закрытые!$I$5:$I$300*Закрытые!$J$5:$J$300))/F208)</f>
        <v/>
      </c>
      <c r="H208" s="247">
        <f>IF(F208="","",SUMIFS(Лэндинг!$K$5:$K$300,Лэндинг!$E$5:$E$300,$B208)+SUMIFS(Закрытые!$K$5:$K$300,Закрытые!$E$5:$E$300,$B208,Закрытые!$B$5:$B$300,"L-*"))</f>
        <v/>
      </c>
      <c r="I208" s="246">
        <f>IF($B208="","",IF(COUNTIFS(Лэндинг!$E$5:$E$300,$B208)+COUNTIFS(Закрытые!$E$5:$E$300,$B208,Закрытые!$B$5:$B$300,"L-*")=0,"",ROUND(SUMIFS(Лэндинг!$L$5:$L$300,Лэндинг!$E$5:$E$300,$B208)+SUMIFS(Закрытые!$L$5:$L$300,Закрытые!$E$5:$E$300,$B208,Закрытые!$B$5:$B$300,"L-*"),8)))</f>
        <v/>
      </c>
      <c r="J208" s="247">
        <f>IF($B208="","",IF(COUNTIFS(Лэндинг!$E$5:$E$300,$B208)+COUNTIFS(Закрытые!$E$5:$E$300,$B208,Закрытые!$B$5:$B$300,"L-*")=0,"",ROUND(SUMIFS(Лэндинг!$M$5:$M$300,Лэндинг!$E$5:$E$300,$B208)+SUMIFS(Закрытые!$M$5:$M$300,Закрытые!$E$5:$E$300,$B208,Закрытые!$B$5:$B$300,"L-*"),8)))</f>
        <v/>
      </c>
      <c r="K208" s="246">
        <f>IF($B208="","",ROUND(SUMIFS(Закрытые!$N$5:$N$300,Закрытые!$E$5:$E$300,$B208,Закрытые!$B$5:$B$300,"L-*"),8))</f>
        <v/>
      </c>
      <c r="L208" s="183">
        <f>IF(K208="","",IF(SUMPRODUCT((Закрытые!$E$5:$E$300=$B208)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208/SUMPRODUCT((Закрытые!$E$5:$E$300=$B208)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8" s="183">
        <f>IF(OR(ROUND(N(C208)-N(F208),8)=0,1-N(Ввод!$E$17)/100&lt;=0),"",IF(N(C208)&gt;N(F208),(N(E208)-N(H208))/((N(C208)-N(F208))*(1-N(Ввод!$E$17)/100)),(N(H208)-N(E208))/((N(F208)-N(C208))*(1+N(Ввод!$E$17)/100))))</f>
        <v/>
      </c>
    </row>
    <row r="209" ht="22" customHeight="1">
      <c r="B209" s="315" t="n"/>
      <c r="C209" s="240">
        <f>IF(SUMIFS(Лэндинг!$F$5:$F$300,Лэндинг!$E$5:$E$300,$B209)+SUMIFS(Закрытые!$F$5:$F$300,Закрытые!$E$5:$E$300,$B209,Закрытые!$B$5:$B$300,"L-*")=0,"",SUMIFS(Лэндинг!$F$5:$F$300,Лэндинг!$E$5:$E$300,$B209)+SUMIFS(Закрытые!$F$5:$F$300,Закрытые!$E$5:$E$300,$B209,Закрытые!$B$5:$B$300,"L-*"))</f>
        <v/>
      </c>
      <c r="D209" s="177">
        <f>IF(C209="","",(SUMPRODUCT((Лэндинг!$E$5:$E$300=$B209)*Лэндинг!$F$5:$F$300*Лэндинг!$G$5:$G$300)+SUMPRODUCT((Закрытые!$E$5:$E$300=$B209)*(LEFT(Закрытые!$B$5:$B$300,2)="L-")*Закрытые!$F$5:$F$300*Закрытые!$G$5:$G$300))/C209)</f>
        <v/>
      </c>
      <c r="E209" s="241">
        <f>IF(C209="","",SUMIFS(Лэндинг!$H$5:$H$300,Лэндинг!$E$5:$E$300,$B209)+SUMIFS(Закрытые!$H$5:$H$300,Закрытые!$E$5:$E$300,$B209,Закрытые!$B$5:$B$300,"L-*"))</f>
        <v/>
      </c>
      <c r="F209" s="240">
        <f>IF(SUMIFS(Лэндинг!$I$5:$I$300,Лэндинг!$E$5:$E$300,$B209)+SUMIFS(Закрытые!$I$5:$I$300,Закрытые!$E$5:$E$300,$B209,Закрытые!$B$5:$B$300,"L-*")=0,"",SUMIFS(Лэндинг!$I$5:$I$300,Лэндинг!$E$5:$E$300,$B209)+SUMIFS(Закрытые!$I$5:$I$300,Закрытые!$E$5:$E$300,$B209,Закрытые!$B$5:$B$300,"L-*"))</f>
        <v/>
      </c>
      <c r="G209" s="177">
        <f>IF(F209="","",(SUMPRODUCT((Лэндинг!$E$5:$E$300=$B209)*Лэндинг!$I$5:$I$300*Лэндинг!$J$5:$J$300)+SUMPRODUCT((Закрытые!$E$5:$E$300=$B209)*(LEFT(Закрытые!$B$5:$B$300,2)="L-")*Закрытые!$I$5:$I$300*Закрытые!$J$5:$J$300))/F209)</f>
        <v/>
      </c>
      <c r="H209" s="241">
        <f>IF(F209="","",SUMIFS(Лэндинг!$K$5:$K$300,Лэндинг!$E$5:$E$300,$B209)+SUMIFS(Закрытые!$K$5:$K$300,Закрытые!$E$5:$E$300,$B209,Закрытые!$B$5:$B$300,"L-*"))</f>
        <v/>
      </c>
      <c r="I209" s="240">
        <f>IF($B209="","",IF(COUNTIFS(Лэндинг!$E$5:$E$300,$B209)+COUNTIFS(Закрытые!$E$5:$E$300,$B209,Закрытые!$B$5:$B$300,"L-*")=0,"",ROUND(SUMIFS(Лэндинг!$L$5:$L$300,Лэндинг!$E$5:$E$300,$B209)+SUMIFS(Закрытые!$L$5:$L$300,Закрытые!$E$5:$E$300,$B209,Закрытые!$B$5:$B$300,"L-*"),8)))</f>
        <v/>
      </c>
      <c r="J209" s="241">
        <f>IF($B209="","",IF(COUNTIFS(Лэндинг!$E$5:$E$300,$B209)+COUNTIFS(Закрытые!$E$5:$E$300,$B209,Закрытые!$B$5:$B$300,"L-*")=0,"",ROUND(SUMIFS(Лэндинг!$M$5:$M$300,Лэндинг!$E$5:$E$300,$B209)+SUMIFS(Закрытые!$M$5:$M$300,Закрытые!$E$5:$E$300,$B209,Закрытые!$B$5:$B$300,"L-*"),8)))</f>
        <v/>
      </c>
      <c r="K209" s="240">
        <f>IF($B209="","",ROUND(SUMIFS(Закрытые!$N$5:$N$300,Закрытые!$E$5:$E$300,$B209,Закрытые!$B$5:$B$300,"L-*"),8))</f>
        <v/>
      </c>
      <c r="L209" s="177">
        <f>IF(K209="","",IF(SUMPRODUCT((Закрытые!$E$5:$E$300=$B209)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209/SUMPRODUCT((Закрытые!$E$5:$E$300=$B209)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9" s="177">
        <f>IF(OR(ROUND(N(C209)-N(F209),8)=0,1-N(Ввод!$E$17)/100&lt;=0),"",IF(N(C209)&gt;N(F209),(N(E209)-N(H209))/((N(C209)-N(F209))*(1-N(Ввод!$E$17)/100)),(N(H209)-N(E209))/((N(F209)-N(C209))*(1+N(Ввод!$E$17)/100))))</f>
        <v/>
      </c>
    </row>
    <row r="210" ht="22" customHeight="1">
      <c r="B210" s="320" t="n"/>
      <c r="C210" s="246">
        <f>IF(SUMIFS(Лэндинг!$F$5:$F$300,Лэндинг!$E$5:$E$300,$B210)+SUMIFS(Закрытые!$F$5:$F$300,Закрытые!$E$5:$E$300,$B210,Закрытые!$B$5:$B$300,"L-*")=0,"",SUMIFS(Лэндинг!$F$5:$F$300,Лэндинг!$E$5:$E$300,$B210)+SUMIFS(Закрытые!$F$5:$F$300,Закрытые!$E$5:$E$300,$B210,Закрытые!$B$5:$B$300,"L-*"))</f>
        <v/>
      </c>
      <c r="D210" s="183">
        <f>IF(C210="","",(SUMPRODUCT((Лэндинг!$E$5:$E$300=$B210)*Лэндинг!$F$5:$F$300*Лэндинг!$G$5:$G$300)+SUMPRODUCT((Закрытые!$E$5:$E$300=$B210)*(LEFT(Закрытые!$B$5:$B$300,2)="L-")*Закрытые!$F$5:$F$300*Закрытые!$G$5:$G$300))/C210)</f>
        <v/>
      </c>
      <c r="E210" s="247">
        <f>IF(C210="","",SUMIFS(Лэндинг!$H$5:$H$300,Лэндинг!$E$5:$E$300,$B210)+SUMIFS(Закрытые!$H$5:$H$300,Закрытые!$E$5:$E$300,$B210,Закрытые!$B$5:$B$300,"L-*"))</f>
        <v/>
      </c>
      <c r="F210" s="246">
        <f>IF(SUMIFS(Лэндинг!$I$5:$I$300,Лэндинг!$E$5:$E$300,$B210)+SUMIFS(Закрытые!$I$5:$I$300,Закрытые!$E$5:$E$300,$B210,Закрытые!$B$5:$B$300,"L-*")=0,"",SUMIFS(Лэндинг!$I$5:$I$300,Лэндинг!$E$5:$E$300,$B210)+SUMIFS(Закрытые!$I$5:$I$300,Закрытые!$E$5:$E$300,$B210,Закрытые!$B$5:$B$300,"L-*"))</f>
        <v/>
      </c>
      <c r="G210" s="183">
        <f>IF(F210="","",(SUMPRODUCT((Лэндинг!$E$5:$E$300=$B210)*Лэндинг!$I$5:$I$300*Лэндинг!$J$5:$J$300)+SUMPRODUCT((Закрытые!$E$5:$E$300=$B210)*(LEFT(Закрытые!$B$5:$B$300,2)="L-")*Закрытые!$I$5:$I$300*Закрытые!$J$5:$J$300))/F210)</f>
        <v/>
      </c>
      <c r="H210" s="247">
        <f>IF(F210="","",SUMIFS(Лэндинг!$K$5:$K$300,Лэндинг!$E$5:$E$300,$B210)+SUMIFS(Закрытые!$K$5:$K$300,Закрытые!$E$5:$E$300,$B210,Закрытые!$B$5:$B$300,"L-*"))</f>
        <v/>
      </c>
      <c r="I210" s="246">
        <f>IF($B210="","",IF(COUNTIFS(Лэндинг!$E$5:$E$300,$B210)+COUNTIFS(Закрытые!$E$5:$E$300,$B210,Закрытые!$B$5:$B$300,"L-*")=0,"",ROUND(SUMIFS(Лэндинг!$L$5:$L$300,Лэндинг!$E$5:$E$300,$B210)+SUMIFS(Закрытые!$L$5:$L$300,Закрытые!$E$5:$E$300,$B210,Закрытые!$B$5:$B$300,"L-*"),8)))</f>
        <v/>
      </c>
      <c r="J210" s="247">
        <f>IF($B210="","",IF(COUNTIFS(Лэндинг!$E$5:$E$300,$B210)+COUNTIFS(Закрытые!$E$5:$E$300,$B210,Закрытые!$B$5:$B$300,"L-*")=0,"",ROUND(SUMIFS(Лэндинг!$M$5:$M$300,Лэндинг!$E$5:$E$300,$B210)+SUMIFS(Закрытые!$M$5:$M$300,Закрытые!$E$5:$E$300,$B210,Закрытые!$B$5:$B$300,"L-*"),8)))</f>
        <v/>
      </c>
      <c r="K210" s="246">
        <f>IF($B210="","",ROUND(SUMIFS(Закрытые!$N$5:$N$300,Закрытые!$E$5:$E$300,$B210,Закрытые!$B$5:$B$300,"L-*"),8))</f>
        <v/>
      </c>
      <c r="L210" s="183">
        <f>IF(K210="","",IF(SUMPRODUCT((Закрытые!$E$5:$E$300=$B210)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210/SUMPRODUCT((Закрытые!$E$5:$E$300=$B210)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0" s="183">
        <f>IF(OR(ROUND(N(C210)-N(F210),8)=0,1-N(Ввод!$E$17)/100&lt;=0),"",IF(N(C210)&gt;N(F210),(N(E210)-N(H210))/((N(C210)-N(F210))*(1-N(Ввод!$E$17)/100)),(N(H210)-N(E210))/((N(F210)-N(C210))*(1+N(Ввод!$E$17)/100))))</f>
        <v/>
      </c>
    </row>
    <row r="211" ht="22" customHeight="1">
      <c r="B211" s="315" t="n"/>
      <c r="C211" s="240">
        <f>IF(SUMIFS(Лэндинг!$F$5:$F$300,Лэндинг!$E$5:$E$300,$B211)+SUMIFS(Закрытые!$F$5:$F$300,Закрытые!$E$5:$E$300,$B211,Закрытые!$B$5:$B$300,"L-*")=0,"",SUMIFS(Лэндинг!$F$5:$F$300,Лэндинг!$E$5:$E$300,$B211)+SUMIFS(Закрытые!$F$5:$F$300,Закрытые!$E$5:$E$300,$B211,Закрытые!$B$5:$B$300,"L-*"))</f>
        <v/>
      </c>
      <c r="D211" s="177">
        <f>IF(C211="","",(SUMPRODUCT((Лэндинг!$E$5:$E$300=$B211)*Лэндинг!$F$5:$F$300*Лэндинг!$G$5:$G$300)+SUMPRODUCT((Закрытые!$E$5:$E$300=$B211)*(LEFT(Закрытые!$B$5:$B$300,2)="L-")*Закрытые!$F$5:$F$300*Закрытые!$G$5:$G$300))/C211)</f>
        <v/>
      </c>
      <c r="E211" s="241">
        <f>IF(C211="","",SUMIFS(Лэндинг!$H$5:$H$300,Лэндинг!$E$5:$E$300,$B211)+SUMIFS(Закрытые!$H$5:$H$300,Закрытые!$E$5:$E$300,$B211,Закрытые!$B$5:$B$300,"L-*"))</f>
        <v/>
      </c>
      <c r="F211" s="240">
        <f>IF(SUMIFS(Лэндинг!$I$5:$I$300,Лэндинг!$E$5:$E$300,$B211)+SUMIFS(Закрытые!$I$5:$I$300,Закрытые!$E$5:$E$300,$B211,Закрытые!$B$5:$B$300,"L-*")=0,"",SUMIFS(Лэндинг!$I$5:$I$300,Лэндинг!$E$5:$E$300,$B211)+SUMIFS(Закрытые!$I$5:$I$300,Закрытые!$E$5:$E$300,$B211,Закрытые!$B$5:$B$300,"L-*"))</f>
        <v/>
      </c>
      <c r="G211" s="177">
        <f>IF(F211="","",(SUMPRODUCT((Лэндинг!$E$5:$E$300=$B211)*Лэндинг!$I$5:$I$300*Лэндинг!$J$5:$J$300)+SUMPRODUCT((Закрытые!$E$5:$E$300=$B211)*(LEFT(Закрытые!$B$5:$B$300,2)="L-")*Закрытые!$I$5:$I$300*Закрытые!$J$5:$J$300))/F211)</f>
        <v/>
      </c>
      <c r="H211" s="241">
        <f>IF(F211="","",SUMIFS(Лэндинг!$K$5:$K$300,Лэндинг!$E$5:$E$300,$B211)+SUMIFS(Закрытые!$K$5:$K$300,Закрытые!$E$5:$E$300,$B211,Закрытые!$B$5:$B$300,"L-*"))</f>
        <v/>
      </c>
      <c r="I211" s="240">
        <f>IF($B211="","",IF(COUNTIFS(Лэндинг!$E$5:$E$300,$B211)+COUNTIFS(Закрытые!$E$5:$E$300,$B211,Закрытые!$B$5:$B$300,"L-*")=0,"",ROUND(SUMIFS(Лэндинг!$L$5:$L$300,Лэндинг!$E$5:$E$300,$B211)+SUMIFS(Закрытые!$L$5:$L$300,Закрытые!$E$5:$E$300,$B211,Закрытые!$B$5:$B$300,"L-*"),8)))</f>
        <v/>
      </c>
      <c r="J211" s="241">
        <f>IF($B211="","",IF(COUNTIFS(Лэндинг!$E$5:$E$300,$B211)+COUNTIFS(Закрытые!$E$5:$E$300,$B211,Закрытые!$B$5:$B$300,"L-*")=0,"",ROUND(SUMIFS(Лэндинг!$M$5:$M$300,Лэндинг!$E$5:$E$300,$B211)+SUMIFS(Закрытые!$M$5:$M$300,Закрытые!$E$5:$E$300,$B211,Закрытые!$B$5:$B$300,"L-*"),8)))</f>
        <v/>
      </c>
      <c r="K211" s="240">
        <f>IF($B211="","",ROUND(SUMIFS(Закрытые!$N$5:$N$300,Закрытые!$E$5:$E$300,$B211,Закрытые!$B$5:$B$300,"L-*"),8))</f>
        <v/>
      </c>
      <c r="L211" s="177">
        <f>IF(K211="","",IF(SUMPRODUCT((Закрытые!$E$5:$E$300=$B211)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211/SUMPRODUCT((Закрытые!$E$5:$E$300=$B211)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1" s="177">
        <f>IF(OR(ROUND(N(C211)-N(F211),8)=0,1-N(Ввод!$E$17)/100&lt;=0),"",IF(N(C211)&gt;N(F211),(N(E211)-N(H211))/((N(C211)-N(F211))*(1-N(Ввод!$E$17)/100)),(N(H211)-N(E211))/((N(F211)-N(C211))*(1+N(Ввод!$E$17)/100))))</f>
        <v/>
      </c>
    </row>
    <row r="212" ht="22" customHeight="1">
      <c r="B212" s="320" t="n"/>
      <c r="C212" s="246">
        <f>IF(SUMIFS(Лэндинг!$F$5:$F$300,Лэндинг!$E$5:$E$300,$B212)+SUMIFS(Закрытые!$F$5:$F$300,Закрытые!$E$5:$E$300,$B212,Закрытые!$B$5:$B$300,"L-*")=0,"",SUMIFS(Лэндинг!$F$5:$F$300,Лэндинг!$E$5:$E$300,$B212)+SUMIFS(Закрытые!$F$5:$F$300,Закрытые!$E$5:$E$300,$B212,Закрытые!$B$5:$B$300,"L-*"))</f>
        <v/>
      </c>
      <c r="D212" s="183">
        <f>IF(C212="","",(SUMPRODUCT((Лэндинг!$E$5:$E$300=$B212)*Лэндинг!$F$5:$F$300*Лэндинг!$G$5:$G$300)+SUMPRODUCT((Закрытые!$E$5:$E$300=$B212)*(LEFT(Закрытые!$B$5:$B$300,2)="L-")*Закрытые!$F$5:$F$300*Закрытые!$G$5:$G$300))/C212)</f>
        <v/>
      </c>
      <c r="E212" s="247">
        <f>IF(C212="","",SUMIFS(Лэндинг!$H$5:$H$300,Лэндинг!$E$5:$E$300,$B212)+SUMIFS(Закрытые!$H$5:$H$300,Закрытые!$E$5:$E$300,$B212,Закрытые!$B$5:$B$300,"L-*"))</f>
        <v/>
      </c>
      <c r="F212" s="246">
        <f>IF(SUMIFS(Лэндинг!$I$5:$I$300,Лэндинг!$E$5:$E$300,$B212)+SUMIFS(Закрытые!$I$5:$I$300,Закрытые!$E$5:$E$300,$B212,Закрытые!$B$5:$B$300,"L-*")=0,"",SUMIFS(Лэндинг!$I$5:$I$300,Лэндинг!$E$5:$E$300,$B212)+SUMIFS(Закрытые!$I$5:$I$300,Закрытые!$E$5:$E$300,$B212,Закрытые!$B$5:$B$300,"L-*"))</f>
        <v/>
      </c>
      <c r="G212" s="183">
        <f>IF(F212="","",(SUMPRODUCT((Лэндинг!$E$5:$E$300=$B212)*Лэндинг!$I$5:$I$300*Лэндинг!$J$5:$J$300)+SUMPRODUCT((Закрытые!$E$5:$E$300=$B212)*(LEFT(Закрытые!$B$5:$B$300,2)="L-")*Закрытые!$I$5:$I$300*Закрытые!$J$5:$J$300))/F212)</f>
        <v/>
      </c>
      <c r="H212" s="247">
        <f>IF(F212="","",SUMIFS(Лэндинг!$K$5:$K$300,Лэндинг!$E$5:$E$300,$B212)+SUMIFS(Закрытые!$K$5:$K$300,Закрытые!$E$5:$E$300,$B212,Закрытые!$B$5:$B$300,"L-*"))</f>
        <v/>
      </c>
      <c r="I212" s="246">
        <f>IF($B212="","",IF(COUNTIFS(Лэндинг!$E$5:$E$300,$B212)+COUNTIFS(Закрытые!$E$5:$E$300,$B212,Закрытые!$B$5:$B$300,"L-*")=0,"",ROUND(SUMIFS(Лэндинг!$L$5:$L$300,Лэндинг!$E$5:$E$300,$B212)+SUMIFS(Закрытые!$L$5:$L$300,Закрытые!$E$5:$E$300,$B212,Закрытые!$B$5:$B$300,"L-*"),8)))</f>
        <v/>
      </c>
      <c r="J212" s="247">
        <f>IF($B212="","",IF(COUNTIFS(Лэндинг!$E$5:$E$300,$B212)+COUNTIFS(Закрытые!$E$5:$E$300,$B212,Закрытые!$B$5:$B$300,"L-*")=0,"",ROUND(SUMIFS(Лэндинг!$M$5:$M$300,Лэндинг!$E$5:$E$300,$B212)+SUMIFS(Закрытые!$M$5:$M$300,Закрытые!$E$5:$E$300,$B212,Закрытые!$B$5:$B$300,"L-*"),8)))</f>
        <v/>
      </c>
      <c r="K212" s="246">
        <f>IF($B212="","",ROUND(SUMIFS(Закрытые!$N$5:$N$300,Закрытые!$E$5:$E$300,$B212,Закрытые!$B$5:$B$300,"L-*"),8))</f>
        <v/>
      </c>
      <c r="L212" s="183">
        <f>IF(K212="","",IF(SUMPRODUCT((Закрытые!$E$5:$E$300=$B212)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212/SUMPRODUCT((Закрытые!$E$5:$E$300=$B212)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2" s="183">
        <f>IF(OR(ROUND(N(C212)-N(F212),8)=0,1-N(Ввод!$E$17)/100&lt;=0),"",IF(N(C212)&gt;N(F212),(N(E212)-N(H212))/((N(C212)-N(F212))*(1-N(Ввод!$E$17)/100)),(N(H212)-N(E212))/((N(F212)-N(C212))*(1+N(Ввод!$E$17)/100))))</f>
        <v/>
      </c>
    </row>
    <row r="213" ht="22" customHeight="1">
      <c r="B213" s="315" t="n"/>
      <c r="C213" s="240">
        <f>IF(SUMIFS(Лэндинг!$F$5:$F$300,Лэндинг!$E$5:$E$300,$B213)+SUMIFS(Закрытые!$F$5:$F$300,Закрытые!$E$5:$E$300,$B213,Закрытые!$B$5:$B$300,"L-*")=0,"",SUMIFS(Лэндинг!$F$5:$F$300,Лэндинг!$E$5:$E$300,$B213)+SUMIFS(Закрытые!$F$5:$F$300,Закрытые!$E$5:$E$300,$B213,Закрытые!$B$5:$B$300,"L-*"))</f>
        <v/>
      </c>
      <c r="D213" s="177">
        <f>IF(C213="","",(SUMPRODUCT((Лэндинг!$E$5:$E$300=$B213)*Лэндинг!$F$5:$F$300*Лэндинг!$G$5:$G$300)+SUMPRODUCT((Закрытые!$E$5:$E$300=$B213)*(LEFT(Закрытые!$B$5:$B$300,2)="L-")*Закрытые!$F$5:$F$300*Закрытые!$G$5:$G$300))/C213)</f>
        <v/>
      </c>
      <c r="E213" s="241">
        <f>IF(C213="","",SUMIFS(Лэндинг!$H$5:$H$300,Лэндинг!$E$5:$E$300,$B213)+SUMIFS(Закрытые!$H$5:$H$300,Закрытые!$E$5:$E$300,$B213,Закрытые!$B$5:$B$300,"L-*"))</f>
        <v/>
      </c>
      <c r="F213" s="240">
        <f>IF(SUMIFS(Лэндинг!$I$5:$I$300,Лэндинг!$E$5:$E$300,$B213)+SUMIFS(Закрытые!$I$5:$I$300,Закрытые!$E$5:$E$300,$B213,Закрытые!$B$5:$B$300,"L-*")=0,"",SUMIFS(Лэндинг!$I$5:$I$300,Лэндинг!$E$5:$E$300,$B213)+SUMIFS(Закрытые!$I$5:$I$300,Закрытые!$E$5:$E$300,$B213,Закрытые!$B$5:$B$300,"L-*"))</f>
        <v/>
      </c>
      <c r="G213" s="177">
        <f>IF(F213="","",(SUMPRODUCT((Лэндинг!$E$5:$E$300=$B213)*Лэндинг!$I$5:$I$300*Лэндинг!$J$5:$J$300)+SUMPRODUCT((Закрытые!$E$5:$E$300=$B213)*(LEFT(Закрытые!$B$5:$B$300,2)="L-")*Закрытые!$I$5:$I$300*Закрытые!$J$5:$J$300))/F213)</f>
        <v/>
      </c>
      <c r="H213" s="241">
        <f>IF(F213="","",SUMIFS(Лэндинг!$K$5:$K$300,Лэндинг!$E$5:$E$300,$B213)+SUMIFS(Закрытые!$K$5:$K$300,Закрытые!$E$5:$E$300,$B213,Закрытые!$B$5:$B$300,"L-*"))</f>
        <v/>
      </c>
      <c r="I213" s="240">
        <f>IF($B213="","",IF(COUNTIFS(Лэндинг!$E$5:$E$300,$B213)+COUNTIFS(Закрытые!$E$5:$E$300,$B213,Закрытые!$B$5:$B$300,"L-*")=0,"",ROUND(SUMIFS(Лэндинг!$L$5:$L$300,Лэндинг!$E$5:$E$300,$B213)+SUMIFS(Закрытые!$L$5:$L$300,Закрытые!$E$5:$E$300,$B213,Закрытые!$B$5:$B$300,"L-*"),8)))</f>
        <v/>
      </c>
      <c r="J213" s="241">
        <f>IF($B213="","",IF(COUNTIFS(Лэндинг!$E$5:$E$300,$B213)+COUNTIFS(Закрытые!$E$5:$E$300,$B213,Закрытые!$B$5:$B$300,"L-*")=0,"",ROUND(SUMIFS(Лэндинг!$M$5:$M$300,Лэндинг!$E$5:$E$300,$B213)+SUMIFS(Закрытые!$M$5:$M$300,Закрытые!$E$5:$E$300,$B213,Закрытые!$B$5:$B$300,"L-*"),8)))</f>
        <v/>
      </c>
      <c r="K213" s="240">
        <f>IF($B213="","",ROUND(SUMIFS(Закрытые!$N$5:$N$300,Закрытые!$E$5:$E$300,$B213,Закрытые!$B$5:$B$300,"L-*"),8))</f>
        <v/>
      </c>
      <c r="L213" s="177">
        <f>IF(K213="","",IF(SUMPRODUCT((Закрытые!$E$5:$E$300=$B213)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213/SUMPRODUCT((Закрытые!$E$5:$E$300=$B213)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3" s="177">
        <f>IF(OR(ROUND(N(C213)-N(F213),8)=0,1-N(Ввод!$E$17)/100&lt;=0),"",IF(N(C213)&gt;N(F213),(N(E213)-N(H213))/((N(C213)-N(F213))*(1-N(Ввод!$E$17)/100)),(N(H213)-N(E213))/((N(F213)-N(C213))*(1+N(Ввод!$E$17)/100))))</f>
        <v/>
      </c>
    </row>
    <row r="214" ht="22" customHeight="1">
      <c r="B214" s="320" t="n"/>
      <c r="C214" s="246">
        <f>IF(SUMIFS(Лэндинг!$F$5:$F$300,Лэндинг!$E$5:$E$300,$B214)+SUMIFS(Закрытые!$F$5:$F$300,Закрытые!$E$5:$E$300,$B214,Закрытые!$B$5:$B$300,"L-*")=0,"",SUMIFS(Лэндинг!$F$5:$F$300,Лэндинг!$E$5:$E$300,$B214)+SUMIFS(Закрытые!$F$5:$F$300,Закрытые!$E$5:$E$300,$B214,Закрытые!$B$5:$B$300,"L-*"))</f>
        <v/>
      </c>
      <c r="D214" s="183">
        <f>IF(C214="","",(SUMPRODUCT((Лэндинг!$E$5:$E$300=$B214)*Лэндинг!$F$5:$F$300*Лэндинг!$G$5:$G$300)+SUMPRODUCT((Закрытые!$E$5:$E$300=$B214)*(LEFT(Закрытые!$B$5:$B$300,2)="L-")*Закрытые!$F$5:$F$300*Закрытые!$G$5:$G$300))/C214)</f>
        <v/>
      </c>
      <c r="E214" s="247">
        <f>IF(C214="","",SUMIFS(Лэндинг!$H$5:$H$300,Лэндинг!$E$5:$E$300,$B214)+SUMIFS(Закрытые!$H$5:$H$300,Закрытые!$E$5:$E$300,$B214,Закрытые!$B$5:$B$300,"L-*"))</f>
        <v/>
      </c>
      <c r="F214" s="246">
        <f>IF(SUMIFS(Лэндинг!$I$5:$I$300,Лэндинг!$E$5:$E$300,$B214)+SUMIFS(Закрытые!$I$5:$I$300,Закрытые!$E$5:$E$300,$B214,Закрытые!$B$5:$B$300,"L-*")=0,"",SUMIFS(Лэндинг!$I$5:$I$300,Лэндинг!$E$5:$E$300,$B214)+SUMIFS(Закрытые!$I$5:$I$300,Закрытые!$E$5:$E$300,$B214,Закрытые!$B$5:$B$300,"L-*"))</f>
        <v/>
      </c>
      <c r="G214" s="183">
        <f>IF(F214="","",(SUMPRODUCT((Лэндинг!$E$5:$E$300=$B214)*Лэндинг!$I$5:$I$300*Лэндинг!$J$5:$J$300)+SUMPRODUCT((Закрытые!$E$5:$E$300=$B214)*(LEFT(Закрытые!$B$5:$B$300,2)="L-")*Закрытые!$I$5:$I$300*Закрытые!$J$5:$J$300))/F214)</f>
        <v/>
      </c>
      <c r="H214" s="247">
        <f>IF(F214="","",SUMIFS(Лэндинг!$K$5:$K$300,Лэндинг!$E$5:$E$300,$B214)+SUMIFS(Закрытые!$K$5:$K$300,Закрытые!$E$5:$E$300,$B214,Закрытые!$B$5:$B$300,"L-*"))</f>
        <v/>
      </c>
      <c r="I214" s="246">
        <f>IF($B214="","",IF(COUNTIFS(Лэндинг!$E$5:$E$300,$B214)+COUNTIFS(Закрытые!$E$5:$E$300,$B214,Закрытые!$B$5:$B$300,"L-*")=0,"",ROUND(SUMIFS(Лэндинг!$L$5:$L$300,Лэндинг!$E$5:$E$300,$B214)+SUMIFS(Закрытые!$L$5:$L$300,Закрытые!$E$5:$E$300,$B214,Закрытые!$B$5:$B$300,"L-*"),8)))</f>
        <v/>
      </c>
      <c r="J214" s="247">
        <f>IF($B214="","",IF(COUNTIFS(Лэндинг!$E$5:$E$300,$B214)+COUNTIFS(Закрытые!$E$5:$E$300,$B214,Закрытые!$B$5:$B$300,"L-*")=0,"",ROUND(SUMIFS(Лэндинг!$M$5:$M$300,Лэндинг!$E$5:$E$300,$B214)+SUMIFS(Закрытые!$M$5:$M$300,Закрытые!$E$5:$E$300,$B214,Закрытые!$B$5:$B$300,"L-*"),8)))</f>
        <v/>
      </c>
      <c r="K214" s="246">
        <f>IF($B214="","",ROUND(SUMIFS(Закрытые!$N$5:$N$300,Закрытые!$E$5:$E$300,$B214,Закрытые!$B$5:$B$300,"L-*"),8))</f>
        <v/>
      </c>
      <c r="L214" s="183">
        <f>IF(K214="","",IF(SUMPRODUCT((Закрытые!$E$5:$E$300=$B214)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214/SUMPRODUCT((Закрытые!$E$5:$E$300=$B214)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4" s="183">
        <f>IF(OR(ROUND(N(C214)-N(F214),8)=0,1-N(Ввод!$E$17)/100&lt;=0),"",IF(N(C214)&gt;N(F214),(N(E214)-N(H214))/((N(C214)-N(F214))*(1-N(Ввод!$E$17)/100)),(N(H214)-N(E214))/((N(F214)-N(C214))*(1+N(Ввод!$E$17)/100))))</f>
        <v/>
      </c>
    </row>
    <row r="215" ht="22" customHeight="1">
      <c r="B215" s="315" t="n"/>
      <c r="C215" s="240">
        <f>IF(SUMIFS(Лэндинг!$F$5:$F$300,Лэндинг!$E$5:$E$300,$B215)+SUMIFS(Закрытые!$F$5:$F$300,Закрытые!$E$5:$E$300,$B215,Закрытые!$B$5:$B$300,"L-*")=0,"",SUMIFS(Лэндинг!$F$5:$F$300,Лэндинг!$E$5:$E$300,$B215)+SUMIFS(Закрытые!$F$5:$F$300,Закрытые!$E$5:$E$300,$B215,Закрытые!$B$5:$B$300,"L-*"))</f>
        <v/>
      </c>
      <c r="D215" s="177">
        <f>IF(C215="","",(SUMPRODUCT((Лэндинг!$E$5:$E$300=$B215)*Лэндинг!$F$5:$F$300*Лэндинг!$G$5:$G$300)+SUMPRODUCT((Закрытые!$E$5:$E$300=$B215)*(LEFT(Закрытые!$B$5:$B$300,2)="L-")*Закрытые!$F$5:$F$300*Закрытые!$G$5:$G$300))/C215)</f>
        <v/>
      </c>
      <c r="E215" s="241">
        <f>IF(C215="","",SUMIFS(Лэндинг!$H$5:$H$300,Лэндинг!$E$5:$E$300,$B215)+SUMIFS(Закрытые!$H$5:$H$300,Закрытые!$E$5:$E$300,$B215,Закрытые!$B$5:$B$300,"L-*"))</f>
        <v/>
      </c>
      <c r="F215" s="240">
        <f>IF(SUMIFS(Лэндинг!$I$5:$I$300,Лэндинг!$E$5:$E$300,$B215)+SUMIFS(Закрытые!$I$5:$I$300,Закрытые!$E$5:$E$300,$B215,Закрытые!$B$5:$B$300,"L-*")=0,"",SUMIFS(Лэндинг!$I$5:$I$300,Лэндинг!$E$5:$E$300,$B215)+SUMIFS(Закрытые!$I$5:$I$300,Закрытые!$E$5:$E$300,$B215,Закрытые!$B$5:$B$300,"L-*"))</f>
        <v/>
      </c>
      <c r="G215" s="177">
        <f>IF(F215="","",(SUMPRODUCT((Лэндинг!$E$5:$E$300=$B215)*Лэндинг!$I$5:$I$300*Лэндинг!$J$5:$J$300)+SUMPRODUCT((Закрытые!$E$5:$E$300=$B215)*(LEFT(Закрытые!$B$5:$B$300,2)="L-")*Закрытые!$I$5:$I$300*Закрытые!$J$5:$J$300))/F215)</f>
        <v/>
      </c>
      <c r="H215" s="241">
        <f>IF(F215="","",SUMIFS(Лэндинг!$K$5:$K$300,Лэндинг!$E$5:$E$300,$B215)+SUMIFS(Закрытые!$K$5:$K$300,Закрытые!$E$5:$E$300,$B215,Закрытые!$B$5:$B$300,"L-*"))</f>
        <v/>
      </c>
      <c r="I215" s="240">
        <f>IF($B215="","",IF(COUNTIFS(Лэндинг!$E$5:$E$300,$B215)+COUNTIFS(Закрытые!$E$5:$E$300,$B215,Закрытые!$B$5:$B$300,"L-*")=0,"",ROUND(SUMIFS(Лэндинг!$L$5:$L$300,Лэндинг!$E$5:$E$300,$B215)+SUMIFS(Закрытые!$L$5:$L$300,Закрытые!$E$5:$E$300,$B215,Закрытые!$B$5:$B$300,"L-*"),8)))</f>
        <v/>
      </c>
      <c r="J215" s="241">
        <f>IF($B215="","",IF(COUNTIFS(Лэндинг!$E$5:$E$300,$B215)+COUNTIFS(Закрытые!$E$5:$E$300,$B215,Закрытые!$B$5:$B$300,"L-*")=0,"",ROUND(SUMIFS(Лэндинг!$M$5:$M$300,Лэндинг!$E$5:$E$300,$B215)+SUMIFS(Закрытые!$M$5:$M$300,Закрытые!$E$5:$E$300,$B215,Закрытые!$B$5:$B$300,"L-*"),8)))</f>
        <v/>
      </c>
      <c r="K215" s="240">
        <f>IF($B215="","",ROUND(SUMIFS(Закрытые!$N$5:$N$300,Закрытые!$E$5:$E$300,$B215,Закрытые!$B$5:$B$300,"L-*"),8))</f>
        <v/>
      </c>
      <c r="L215" s="177">
        <f>IF(K215="","",IF(SUMPRODUCT((Закрытые!$E$5:$E$300=$B215)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215/SUMPRODUCT((Закрытые!$E$5:$E$300=$B215)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5" s="177">
        <f>IF(OR(ROUND(N(C215)-N(F215),8)=0,1-N(Ввод!$E$17)/100&lt;=0),"",IF(N(C215)&gt;N(F215),(N(E215)-N(H215))/((N(C215)-N(F215))*(1-N(Ввод!$E$17)/100)),(N(H215)-N(E215))/((N(F215)-N(C215))*(1+N(Ввод!$E$17)/100))))</f>
        <v/>
      </c>
    </row>
    <row r="216" ht="22" customHeight="1">
      <c r="B216" s="320" t="n"/>
      <c r="C216" s="246">
        <f>IF(SUMIFS(Лэндинг!$F$5:$F$300,Лэндинг!$E$5:$E$300,$B216)+SUMIFS(Закрытые!$F$5:$F$300,Закрытые!$E$5:$E$300,$B216,Закрытые!$B$5:$B$300,"L-*")=0,"",SUMIFS(Лэндинг!$F$5:$F$300,Лэндинг!$E$5:$E$300,$B216)+SUMIFS(Закрытые!$F$5:$F$300,Закрытые!$E$5:$E$300,$B216,Закрытые!$B$5:$B$300,"L-*"))</f>
        <v/>
      </c>
      <c r="D216" s="183">
        <f>IF(C216="","",(SUMPRODUCT((Лэндинг!$E$5:$E$300=$B216)*Лэндинг!$F$5:$F$300*Лэндинг!$G$5:$G$300)+SUMPRODUCT((Закрытые!$E$5:$E$300=$B216)*(LEFT(Закрытые!$B$5:$B$300,2)="L-")*Закрытые!$F$5:$F$300*Закрытые!$G$5:$G$300))/C216)</f>
        <v/>
      </c>
      <c r="E216" s="247">
        <f>IF(C216="","",SUMIFS(Лэндинг!$H$5:$H$300,Лэндинг!$E$5:$E$300,$B216)+SUMIFS(Закрытые!$H$5:$H$300,Закрытые!$E$5:$E$300,$B216,Закрытые!$B$5:$B$300,"L-*"))</f>
        <v/>
      </c>
      <c r="F216" s="246">
        <f>IF(SUMIFS(Лэндинг!$I$5:$I$300,Лэндинг!$E$5:$E$300,$B216)+SUMIFS(Закрытые!$I$5:$I$300,Закрытые!$E$5:$E$300,$B216,Закрытые!$B$5:$B$300,"L-*")=0,"",SUMIFS(Лэндинг!$I$5:$I$300,Лэндинг!$E$5:$E$300,$B216)+SUMIFS(Закрытые!$I$5:$I$300,Закрытые!$E$5:$E$300,$B216,Закрытые!$B$5:$B$300,"L-*"))</f>
        <v/>
      </c>
      <c r="G216" s="183">
        <f>IF(F216="","",(SUMPRODUCT((Лэндинг!$E$5:$E$300=$B216)*Лэндинг!$I$5:$I$300*Лэндинг!$J$5:$J$300)+SUMPRODUCT((Закрытые!$E$5:$E$300=$B216)*(LEFT(Закрытые!$B$5:$B$300,2)="L-")*Закрытые!$I$5:$I$300*Закрытые!$J$5:$J$300))/F216)</f>
        <v/>
      </c>
      <c r="H216" s="247">
        <f>IF(F216="","",SUMIFS(Лэндинг!$K$5:$K$300,Лэндинг!$E$5:$E$300,$B216)+SUMIFS(Закрытые!$K$5:$K$300,Закрытые!$E$5:$E$300,$B216,Закрытые!$B$5:$B$300,"L-*"))</f>
        <v/>
      </c>
      <c r="I216" s="246">
        <f>IF($B216="","",IF(COUNTIFS(Лэндинг!$E$5:$E$300,$B216)+COUNTIFS(Закрытые!$E$5:$E$300,$B216,Закрытые!$B$5:$B$300,"L-*")=0,"",ROUND(SUMIFS(Лэндинг!$L$5:$L$300,Лэндинг!$E$5:$E$300,$B216)+SUMIFS(Закрытые!$L$5:$L$300,Закрытые!$E$5:$E$300,$B216,Закрытые!$B$5:$B$300,"L-*"),8)))</f>
        <v/>
      </c>
      <c r="J216" s="247">
        <f>IF($B216="","",IF(COUNTIFS(Лэндинг!$E$5:$E$300,$B216)+COUNTIFS(Закрытые!$E$5:$E$300,$B216,Закрытые!$B$5:$B$300,"L-*")=0,"",ROUND(SUMIFS(Лэндинг!$M$5:$M$300,Лэндинг!$E$5:$E$300,$B216)+SUMIFS(Закрытые!$M$5:$M$300,Закрытые!$E$5:$E$300,$B216,Закрытые!$B$5:$B$300,"L-*"),8)))</f>
        <v/>
      </c>
      <c r="K216" s="246">
        <f>IF($B216="","",ROUND(SUMIFS(Закрытые!$N$5:$N$300,Закрытые!$E$5:$E$300,$B216,Закрытые!$B$5:$B$300,"L-*"),8))</f>
        <v/>
      </c>
      <c r="L216" s="183">
        <f>IF(K216="","",IF(SUMPRODUCT((Закрытые!$E$5:$E$300=$B216)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216/SUMPRODUCT((Закрытые!$E$5:$E$300=$B216)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6" s="183">
        <f>IF(OR(ROUND(N(C216)-N(F216),8)=0,1-N(Ввод!$E$17)/100&lt;=0),"",IF(N(C216)&gt;N(F216),(N(E216)-N(H216))/((N(C216)-N(F216))*(1-N(Ввод!$E$17)/100)),(N(H216)-N(E216))/((N(F216)-N(C216))*(1+N(Ввод!$E$17)/100))))</f>
        <v/>
      </c>
    </row>
    <row r="217" ht="22" customHeight="1">
      <c r="B217" s="315" t="n"/>
      <c r="C217" s="240">
        <f>IF(SUMIFS(Лэндинг!$F$5:$F$300,Лэндинг!$E$5:$E$300,$B217)+SUMIFS(Закрытые!$F$5:$F$300,Закрытые!$E$5:$E$300,$B217,Закрытые!$B$5:$B$300,"L-*")=0,"",SUMIFS(Лэндинг!$F$5:$F$300,Лэндинг!$E$5:$E$300,$B217)+SUMIFS(Закрытые!$F$5:$F$300,Закрытые!$E$5:$E$300,$B217,Закрытые!$B$5:$B$300,"L-*"))</f>
        <v/>
      </c>
      <c r="D217" s="177">
        <f>IF(C217="","",(SUMPRODUCT((Лэндинг!$E$5:$E$300=$B217)*Лэндинг!$F$5:$F$300*Лэндинг!$G$5:$G$300)+SUMPRODUCT((Закрытые!$E$5:$E$300=$B217)*(LEFT(Закрытые!$B$5:$B$300,2)="L-")*Закрытые!$F$5:$F$300*Закрытые!$G$5:$G$300))/C217)</f>
        <v/>
      </c>
      <c r="E217" s="241">
        <f>IF(C217="","",SUMIFS(Лэндинг!$H$5:$H$300,Лэндинг!$E$5:$E$300,$B217)+SUMIFS(Закрытые!$H$5:$H$300,Закрытые!$E$5:$E$300,$B217,Закрытые!$B$5:$B$300,"L-*"))</f>
        <v/>
      </c>
      <c r="F217" s="240">
        <f>IF(SUMIFS(Лэндинг!$I$5:$I$300,Лэндинг!$E$5:$E$300,$B217)+SUMIFS(Закрытые!$I$5:$I$300,Закрытые!$E$5:$E$300,$B217,Закрытые!$B$5:$B$300,"L-*")=0,"",SUMIFS(Лэндинг!$I$5:$I$300,Лэндинг!$E$5:$E$300,$B217)+SUMIFS(Закрытые!$I$5:$I$300,Закрытые!$E$5:$E$300,$B217,Закрытые!$B$5:$B$300,"L-*"))</f>
        <v/>
      </c>
      <c r="G217" s="177">
        <f>IF(F217="","",(SUMPRODUCT((Лэндинг!$E$5:$E$300=$B217)*Лэндинг!$I$5:$I$300*Лэндинг!$J$5:$J$300)+SUMPRODUCT((Закрытые!$E$5:$E$300=$B217)*(LEFT(Закрытые!$B$5:$B$300,2)="L-")*Закрытые!$I$5:$I$300*Закрытые!$J$5:$J$300))/F217)</f>
        <v/>
      </c>
      <c r="H217" s="241">
        <f>IF(F217="","",SUMIFS(Лэндинг!$K$5:$K$300,Лэндинг!$E$5:$E$300,$B217)+SUMIFS(Закрытые!$K$5:$K$300,Закрытые!$E$5:$E$300,$B217,Закрытые!$B$5:$B$300,"L-*"))</f>
        <v/>
      </c>
      <c r="I217" s="240">
        <f>IF($B217="","",IF(COUNTIFS(Лэндинг!$E$5:$E$300,$B217)+COUNTIFS(Закрытые!$E$5:$E$300,$B217,Закрытые!$B$5:$B$300,"L-*")=0,"",ROUND(SUMIFS(Лэндинг!$L$5:$L$300,Лэндинг!$E$5:$E$300,$B217)+SUMIFS(Закрытые!$L$5:$L$300,Закрытые!$E$5:$E$300,$B217,Закрытые!$B$5:$B$300,"L-*"),8)))</f>
        <v/>
      </c>
      <c r="J217" s="241">
        <f>IF($B217="","",IF(COUNTIFS(Лэндинг!$E$5:$E$300,$B217)+COUNTIFS(Закрытые!$E$5:$E$300,$B217,Закрытые!$B$5:$B$300,"L-*")=0,"",ROUND(SUMIFS(Лэндинг!$M$5:$M$300,Лэндинг!$E$5:$E$300,$B217)+SUMIFS(Закрытые!$M$5:$M$300,Закрытые!$E$5:$E$300,$B217,Закрытые!$B$5:$B$300,"L-*"),8)))</f>
        <v/>
      </c>
      <c r="K217" s="240">
        <f>IF($B217="","",ROUND(SUMIFS(Закрытые!$N$5:$N$300,Закрытые!$E$5:$E$300,$B217,Закрытые!$B$5:$B$300,"L-*"),8))</f>
        <v/>
      </c>
      <c r="L217" s="177">
        <f>IF(K217="","",IF(SUMPRODUCT((Закрытые!$E$5:$E$300=$B217)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217/SUMPRODUCT((Закрытые!$E$5:$E$300=$B217)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7" s="177">
        <f>IF(OR(ROUND(N(C217)-N(F217),8)=0,1-N(Ввод!$E$17)/100&lt;=0),"",IF(N(C217)&gt;N(F217),(N(E217)-N(H217))/((N(C217)-N(F217))*(1-N(Ввод!$E$17)/100)),(N(H217)-N(E217))/((N(F217)-N(C217))*(1+N(Ввод!$E$17)/100))))</f>
        <v/>
      </c>
    </row>
    <row r="218" ht="22" customHeight="1">
      <c r="B218" s="320" t="n"/>
      <c r="C218" s="246">
        <f>IF(SUMIFS(Лэндинг!$F$5:$F$300,Лэндинг!$E$5:$E$300,$B218)+SUMIFS(Закрытые!$F$5:$F$300,Закрытые!$E$5:$E$300,$B218,Закрытые!$B$5:$B$300,"L-*")=0,"",SUMIFS(Лэндинг!$F$5:$F$300,Лэндинг!$E$5:$E$300,$B218)+SUMIFS(Закрытые!$F$5:$F$300,Закрытые!$E$5:$E$300,$B218,Закрытые!$B$5:$B$300,"L-*"))</f>
        <v/>
      </c>
      <c r="D218" s="183">
        <f>IF(C218="","",(SUMPRODUCT((Лэндинг!$E$5:$E$300=$B218)*Лэндинг!$F$5:$F$300*Лэндинг!$G$5:$G$300)+SUMPRODUCT((Закрытые!$E$5:$E$300=$B218)*(LEFT(Закрытые!$B$5:$B$300,2)="L-")*Закрытые!$F$5:$F$300*Закрытые!$G$5:$G$300))/C218)</f>
        <v/>
      </c>
      <c r="E218" s="247">
        <f>IF(C218="","",SUMIFS(Лэндинг!$H$5:$H$300,Лэндинг!$E$5:$E$300,$B218)+SUMIFS(Закрытые!$H$5:$H$300,Закрытые!$E$5:$E$300,$B218,Закрытые!$B$5:$B$300,"L-*"))</f>
        <v/>
      </c>
      <c r="F218" s="246">
        <f>IF(SUMIFS(Лэндинг!$I$5:$I$300,Лэндинг!$E$5:$E$300,$B218)+SUMIFS(Закрытые!$I$5:$I$300,Закрытые!$E$5:$E$300,$B218,Закрытые!$B$5:$B$300,"L-*")=0,"",SUMIFS(Лэндинг!$I$5:$I$300,Лэндинг!$E$5:$E$300,$B218)+SUMIFS(Закрытые!$I$5:$I$300,Закрытые!$E$5:$E$300,$B218,Закрытые!$B$5:$B$300,"L-*"))</f>
        <v/>
      </c>
      <c r="G218" s="183">
        <f>IF(F218="","",(SUMPRODUCT((Лэндинг!$E$5:$E$300=$B218)*Лэндинг!$I$5:$I$300*Лэндинг!$J$5:$J$300)+SUMPRODUCT((Закрытые!$E$5:$E$300=$B218)*(LEFT(Закрытые!$B$5:$B$300,2)="L-")*Закрытые!$I$5:$I$300*Закрытые!$J$5:$J$300))/F218)</f>
        <v/>
      </c>
      <c r="H218" s="247">
        <f>IF(F218="","",SUMIFS(Лэндинг!$K$5:$K$300,Лэндинг!$E$5:$E$300,$B218)+SUMIFS(Закрытые!$K$5:$K$300,Закрытые!$E$5:$E$300,$B218,Закрытые!$B$5:$B$300,"L-*"))</f>
        <v/>
      </c>
      <c r="I218" s="246">
        <f>IF($B218="","",IF(COUNTIFS(Лэндинг!$E$5:$E$300,$B218)+COUNTIFS(Закрытые!$E$5:$E$300,$B218,Закрытые!$B$5:$B$300,"L-*")=0,"",ROUND(SUMIFS(Лэндинг!$L$5:$L$300,Лэндинг!$E$5:$E$300,$B218)+SUMIFS(Закрытые!$L$5:$L$300,Закрытые!$E$5:$E$300,$B218,Закрытые!$B$5:$B$300,"L-*"),8)))</f>
        <v/>
      </c>
      <c r="J218" s="247">
        <f>IF($B218="","",IF(COUNTIFS(Лэндинг!$E$5:$E$300,$B218)+COUNTIFS(Закрытые!$E$5:$E$300,$B218,Закрытые!$B$5:$B$300,"L-*")=0,"",ROUND(SUMIFS(Лэндинг!$M$5:$M$300,Лэндинг!$E$5:$E$300,$B218)+SUMIFS(Закрытые!$M$5:$M$300,Закрытые!$E$5:$E$300,$B218,Закрытые!$B$5:$B$300,"L-*"),8)))</f>
        <v/>
      </c>
      <c r="K218" s="246">
        <f>IF($B218="","",ROUND(SUMIFS(Закрытые!$N$5:$N$300,Закрытые!$E$5:$E$300,$B218,Закрытые!$B$5:$B$300,"L-*"),8))</f>
        <v/>
      </c>
      <c r="L218" s="183">
        <f>IF(K218="","",IF(SUMPRODUCT((Закрытые!$E$5:$E$300=$B218)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218/SUMPRODUCT((Закрытые!$E$5:$E$300=$B218)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8" s="183">
        <f>IF(OR(ROUND(N(C218)-N(F218),8)=0,1-N(Ввод!$E$17)/100&lt;=0),"",IF(N(C218)&gt;N(F218),(N(E218)-N(H218))/((N(C218)-N(F218))*(1-N(Ввод!$E$17)/100)),(N(H218)-N(E218))/((N(F218)-N(C218))*(1+N(Ввод!$E$17)/100))))</f>
        <v/>
      </c>
    </row>
    <row r="219" ht="22" customHeight="1">
      <c r="B219" s="315" t="n"/>
      <c r="C219" s="240">
        <f>IF(SUMIFS(Лэндинг!$F$5:$F$300,Лэндинг!$E$5:$E$300,$B219)+SUMIFS(Закрытые!$F$5:$F$300,Закрытые!$E$5:$E$300,$B219,Закрытые!$B$5:$B$300,"L-*")=0,"",SUMIFS(Лэндинг!$F$5:$F$300,Лэндинг!$E$5:$E$300,$B219)+SUMIFS(Закрытые!$F$5:$F$300,Закрытые!$E$5:$E$300,$B219,Закрытые!$B$5:$B$300,"L-*"))</f>
        <v/>
      </c>
      <c r="D219" s="177">
        <f>IF(C219="","",(SUMPRODUCT((Лэндинг!$E$5:$E$300=$B219)*Лэндинг!$F$5:$F$300*Лэндинг!$G$5:$G$300)+SUMPRODUCT((Закрытые!$E$5:$E$300=$B219)*(LEFT(Закрытые!$B$5:$B$300,2)="L-")*Закрытые!$F$5:$F$300*Закрытые!$G$5:$G$300))/C219)</f>
        <v/>
      </c>
      <c r="E219" s="241">
        <f>IF(C219="","",SUMIFS(Лэндинг!$H$5:$H$300,Лэндинг!$E$5:$E$300,$B219)+SUMIFS(Закрытые!$H$5:$H$300,Закрытые!$E$5:$E$300,$B219,Закрытые!$B$5:$B$300,"L-*"))</f>
        <v/>
      </c>
      <c r="F219" s="240">
        <f>IF(SUMIFS(Лэндинг!$I$5:$I$300,Лэндинг!$E$5:$E$300,$B219)+SUMIFS(Закрытые!$I$5:$I$300,Закрытые!$E$5:$E$300,$B219,Закрытые!$B$5:$B$300,"L-*")=0,"",SUMIFS(Лэндинг!$I$5:$I$300,Лэндинг!$E$5:$E$300,$B219)+SUMIFS(Закрытые!$I$5:$I$300,Закрытые!$E$5:$E$300,$B219,Закрытые!$B$5:$B$300,"L-*"))</f>
        <v/>
      </c>
      <c r="G219" s="177">
        <f>IF(F219="","",(SUMPRODUCT((Лэндинг!$E$5:$E$300=$B219)*Лэндинг!$I$5:$I$300*Лэндинг!$J$5:$J$300)+SUMPRODUCT((Закрытые!$E$5:$E$300=$B219)*(LEFT(Закрытые!$B$5:$B$300,2)="L-")*Закрытые!$I$5:$I$300*Закрытые!$J$5:$J$300))/F219)</f>
        <v/>
      </c>
      <c r="H219" s="241">
        <f>IF(F219="","",SUMIFS(Лэндинг!$K$5:$K$300,Лэндинг!$E$5:$E$300,$B219)+SUMIFS(Закрытые!$K$5:$K$300,Закрытые!$E$5:$E$300,$B219,Закрытые!$B$5:$B$300,"L-*"))</f>
        <v/>
      </c>
      <c r="I219" s="240">
        <f>IF($B219="","",IF(COUNTIFS(Лэндинг!$E$5:$E$300,$B219)+COUNTIFS(Закрытые!$E$5:$E$300,$B219,Закрытые!$B$5:$B$300,"L-*")=0,"",ROUND(SUMIFS(Лэндинг!$L$5:$L$300,Лэндинг!$E$5:$E$300,$B219)+SUMIFS(Закрытые!$L$5:$L$300,Закрытые!$E$5:$E$300,$B219,Закрытые!$B$5:$B$300,"L-*"),8)))</f>
        <v/>
      </c>
      <c r="J219" s="241">
        <f>IF($B219="","",IF(COUNTIFS(Лэндинг!$E$5:$E$300,$B219)+COUNTIFS(Закрытые!$E$5:$E$300,$B219,Закрытые!$B$5:$B$300,"L-*")=0,"",ROUND(SUMIFS(Лэндинг!$M$5:$M$300,Лэндинг!$E$5:$E$300,$B219)+SUMIFS(Закрытые!$M$5:$M$300,Закрытые!$E$5:$E$300,$B219,Закрытые!$B$5:$B$300,"L-*"),8)))</f>
        <v/>
      </c>
      <c r="K219" s="240">
        <f>IF($B219="","",ROUND(SUMIFS(Закрытые!$N$5:$N$300,Закрытые!$E$5:$E$300,$B219,Закрытые!$B$5:$B$300,"L-*"),8))</f>
        <v/>
      </c>
      <c r="L219" s="177">
        <f>IF(K219="","",IF(SUMPRODUCT((Закрытые!$E$5:$E$300=$B219)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219/SUMPRODUCT((Закрытые!$E$5:$E$300=$B219)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9" s="177">
        <f>IF(OR(ROUND(N(C219)-N(F219),8)=0,1-N(Ввод!$E$17)/100&lt;=0),"",IF(N(C219)&gt;N(F219),(N(E219)-N(H219))/((N(C219)-N(F219))*(1-N(Ввод!$E$17)/100)),(N(H219)-N(E219))/((N(F219)-N(C219))*(1+N(Ввод!$E$17)/100))))</f>
        <v/>
      </c>
    </row>
    <row r="220" ht="22" customHeight="1">
      <c r="B220" s="320" t="n"/>
      <c r="C220" s="246">
        <f>IF(SUMIFS(Лэндинг!$F$5:$F$300,Лэндинг!$E$5:$E$300,$B220)+SUMIFS(Закрытые!$F$5:$F$300,Закрытые!$E$5:$E$300,$B220,Закрытые!$B$5:$B$300,"L-*")=0,"",SUMIFS(Лэндинг!$F$5:$F$300,Лэндинг!$E$5:$E$300,$B220)+SUMIFS(Закрытые!$F$5:$F$300,Закрытые!$E$5:$E$300,$B220,Закрытые!$B$5:$B$300,"L-*"))</f>
        <v/>
      </c>
      <c r="D220" s="183">
        <f>IF(C220="","",(SUMPRODUCT((Лэндинг!$E$5:$E$300=$B220)*Лэндинг!$F$5:$F$300*Лэндинг!$G$5:$G$300)+SUMPRODUCT((Закрытые!$E$5:$E$300=$B220)*(LEFT(Закрытые!$B$5:$B$300,2)="L-")*Закрытые!$F$5:$F$300*Закрытые!$G$5:$G$300))/C220)</f>
        <v/>
      </c>
      <c r="E220" s="247">
        <f>IF(C220="","",SUMIFS(Лэндинг!$H$5:$H$300,Лэндинг!$E$5:$E$300,$B220)+SUMIFS(Закрытые!$H$5:$H$300,Закрытые!$E$5:$E$300,$B220,Закрытые!$B$5:$B$300,"L-*"))</f>
        <v/>
      </c>
      <c r="F220" s="246">
        <f>IF(SUMIFS(Лэндинг!$I$5:$I$300,Лэндинг!$E$5:$E$300,$B220)+SUMIFS(Закрытые!$I$5:$I$300,Закрытые!$E$5:$E$300,$B220,Закрытые!$B$5:$B$300,"L-*")=0,"",SUMIFS(Лэндинг!$I$5:$I$300,Лэндинг!$E$5:$E$300,$B220)+SUMIFS(Закрытые!$I$5:$I$300,Закрытые!$E$5:$E$300,$B220,Закрытые!$B$5:$B$300,"L-*"))</f>
        <v/>
      </c>
      <c r="G220" s="183">
        <f>IF(F220="","",(SUMPRODUCT((Лэндинг!$E$5:$E$300=$B220)*Лэндинг!$I$5:$I$300*Лэндинг!$J$5:$J$300)+SUMPRODUCT((Закрытые!$E$5:$E$300=$B220)*(LEFT(Закрытые!$B$5:$B$300,2)="L-")*Закрытые!$I$5:$I$300*Закрытые!$J$5:$J$300))/F220)</f>
        <v/>
      </c>
      <c r="H220" s="247">
        <f>IF(F220="","",SUMIFS(Лэндинг!$K$5:$K$300,Лэндинг!$E$5:$E$300,$B220)+SUMIFS(Закрытые!$K$5:$K$300,Закрытые!$E$5:$E$300,$B220,Закрытые!$B$5:$B$300,"L-*"))</f>
        <v/>
      </c>
      <c r="I220" s="246">
        <f>IF($B220="","",IF(COUNTIFS(Лэндинг!$E$5:$E$300,$B220)+COUNTIFS(Закрытые!$E$5:$E$300,$B220,Закрытые!$B$5:$B$300,"L-*")=0,"",ROUND(SUMIFS(Лэндинг!$L$5:$L$300,Лэндинг!$E$5:$E$300,$B220)+SUMIFS(Закрытые!$L$5:$L$300,Закрытые!$E$5:$E$300,$B220,Закрытые!$B$5:$B$300,"L-*"),8)))</f>
        <v/>
      </c>
      <c r="J220" s="247">
        <f>IF($B220="","",IF(COUNTIFS(Лэндинг!$E$5:$E$300,$B220)+COUNTIFS(Закрытые!$E$5:$E$300,$B220,Закрытые!$B$5:$B$300,"L-*")=0,"",ROUND(SUMIFS(Лэндинг!$M$5:$M$300,Лэндинг!$E$5:$E$300,$B220)+SUMIFS(Закрытые!$M$5:$M$300,Закрытые!$E$5:$E$300,$B220,Закрытые!$B$5:$B$300,"L-*"),8)))</f>
        <v/>
      </c>
      <c r="K220" s="246">
        <f>IF($B220="","",ROUND(SUMIFS(Закрытые!$N$5:$N$300,Закрытые!$E$5:$E$300,$B220,Закрытые!$B$5:$B$300,"L-*"),8))</f>
        <v/>
      </c>
      <c r="L220" s="183">
        <f>IF(K220="","",IF(SUMPRODUCT((Закрытые!$E$5:$E$300=$B220)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220/SUMPRODUCT((Закрытые!$E$5:$E$300=$B220)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0" s="183">
        <f>IF(OR(ROUND(N(C220)-N(F220),8)=0,1-N(Ввод!$E$17)/100&lt;=0),"",IF(N(C220)&gt;N(F220),(N(E220)-N(H220))/((N(C220)-N(F220))*(1-N(Ввод!$E$17)/100)),(N(H220)-N(E220))/((N(F220)-N(C220))*(1+N(Ввод!$E$17)/100))))</f>
        <v/>
      </c>
    </row>
    <row r="221" ht="22" customHeight="1">
      <c r="B221" s="315" t="n"/>
      <c r="C221" s="240">
        <f>IF(SUMIFS(Лэндинг!$F$5:$F$300,Лэндинг!$E$5:$E$300,$B221)+SUMIFS(Закрытые!$F$5:$F$300,Закрытые!$E$5:$E$300,$B221,Закрытые!$B$5:$B$300,"L-*")=0,"",SUMIFS(Лэндинг!$F$5:$F$300,Лэндинг!$E$5:$E$300,$B221)+SUMIFS(Закрытые!$F$5:$F$300,Закрытые!$E$5:$E$300,$B221,Закрытые!$B$5:$B$300,"L-*"))</f>
        <v/>
      </c>
      <c r="D221" s="177">
        <f>IF(C221="","",(SUMPRODUCT((Лэндинг!$E$5:$E$300=$B221)*Лэндинг!$F$5:$F$300*Лэндинг!$G$5:$G$300)+SUMPRODUCT((Закрытые!$E$5:$E$300=$B221)*(LEFT(Закрытые!$B$5:$B$300,2)="L-")*Закрытые!$F$5:$F$300*Закрытые!$G$5:$G$300))/C221)</f>
        <v/>
      </c>
      <c r="E221" s="241">
        <f>IF(C221="","",SUMIFS(Лэндинг!$H$5:$H$300,Лэндинг!$E$5:$E$300,$B221)+SUMIFS(Закрытые!$H$5:$H$300,Закрытые!$E$5:$E$300,$B221,Закрытые!$B$5:$B$300,"L-*"))</f>
        <v/>
      </c>
      <c r="F221" s="240">
        <f>IF(SUMIFS(Лэндинг!$I$5:$I$300,Лэндинг!$E$5:$E$300,$B221)+SUMIFS(Закрытые!$I$5:$I$300,Закрытые!$E$5:$E$300,$B221,Закрытые!$B$5:$B$300,"L-*")=0,"",SUMIFS(Лэндинг!$I$5:$I$300,Лэндинг!$E$5:$E$300,$B221)+SUMIFS(Закрытые!$I$5:$I$300,Закрытые!$E$5:$E$300,$B221,Закрытые!$B$5:$B$300,"L-*"))</f>
        <v/>
      </c>
      <c r="G221" s="177">
        <f>IF(F221="","",(SUMPRODUCT((Лэндинг!$E$5:$E$300=$B221)*Лэндинг!$I$5:$I$300*Лэндинг!$J$5:$J$300)+SUMPRODUCT((Закрытые!$E$5:$E$300=$B221)*(LEFT(Закрытые!$B$5:$B$300,2)="L-")*Закрытые!$I$5:$I$300*Закрытые!$J$5:$J$300))/F221)</f>
        <v/>
      </c>
      <c r="H221" s="241">
        <f>IF(F221="","",SUMIFS(Лэндинг!$K$5:$K$300,Лэндинг!$E$5:$E$300,$B221)+SUMIFS(Закрытые!$K$5:$K$300,Закрытые!$E$5:$E$300,$B221,Закрытые!$B$5:$B$300,"L-*"))</f>
        <v/>
      </c>
      <c r="I221" s="240">
        <f>IF($B221="","",IF(COUNTIFS(Лэндинг!$E$5:$E$300,$B221)+COUNTIFS(Закрытые!$E$5:$E$300,$B221,Закрытые!$B$5:$B$300,"L-*")=0,"",ROUND(SUMIFS(Лэндинг!$L$5:$L$300,Лэндинг!$E$5:$E$300,$B221)+SUMIFS(Закрытые!$L$5:$L$300,Закрытые!$E$5:$E$300,$B221,Закрытые!$B$5:$B$300,"L-*"),8)))</f>
        <v/>
      </c>
      <c r="J221" s="241">
        <f>IF($B221="","",IF(COUNTIFS(Лэндинг!$E$5:$E$300,$B221)+COUNTIFS(Закрытые!$E$5:$E$300,$B221,Закрытые!$B$5:$B$300,"L-*")=0,"",ROUND(SUMIFS(Лэндинг!$M$5:$M$300,Лэндинг!$E$5:$E$300,$B221)+SUMIFS(Закрытые!$M$5:$M$300,Закрытые!$E$5:$E$300,$B221,Закрытые!$B$5:$B$300,"L-*"),8)))</f>
        <v/>
      </c>
      <c r="K221" s="240">
        <f>IF($B221="","",ROUND(SUMIFS(Закрытые!$N$5:$N$300,Закрытые!$E$5:$E$300,$B221,Закрытые!$B$5:$B$300,"L-*"),8))</f>
        <v/>
      </c>
      <c r="L221" s="177">
        <f>IF(K221="","",IF(SUMPRODUCT((Закрытые!$E$5:$E$300=$B221)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221/SUMPRODUCT((Закрытые!$E$5:$E$300=$B221)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1" s="177">
        <f>IF(OR(ROUND(N(C221)-N(F221),8)=0,1-N(Ввод!$E$17)/100&lt;=0),"",IF(N(C221)&gt;N(F221),(N(E221)-N(H221))/((N(C221)-N(F221))*(1-N(Ввод!$E$17)/100)),(N(H221)-N(E221))/((N(F221)-N(C221))*(1+N(Ввод!$E$17)/100))))</f>
        <v/>
      </c>
    </row>
    <row r="222" ht="22" customHeight="1">
      <c r="B222" s="320" t="n"/>
      <c r="C222" s="246">
        <f>IF(SUMIFS(Лэндинг!$F$5:$F$300,Лэндинг!$E$5:$E$300,$B222)+SUMIFS(Закрытые!$F$5:$F$300,Закрытые!$E$5:$E$300,$B222,Закрытые!$B$5:$B$300,"L-*")=0,"",SUMIFS(Лэндинг!$F$5:$F$300,Лэндинг!$E$5:$E$300,$B222)+SUMIFS(Закрытые!$F$5:$F$300,Закрытые!$E$5:$E$300,$B222,Закрытые!$B$5:$B$300,"L-*"))</f>
        <v/>
      </c>
      <c r="D222" s="183">
        <f>IF(C222="","",(SUMPRODUCT((Лэндинг!$E$5:$E$300=$B222)*Лэндинг!$F$5:$F$300*Лэндинг!$G$5:$G$300)+SUMPRODUCT((Закрытые!$E$5:$E$300=$B222)*(LEFT(Закрытые!$B$5:$B$300,2)="L-")*Закрытые!$F$5:$F$300*Закрытые!$G$5:$G$300))/C222)</f>
        <v/>
      </c>
      <c r="E222" s="247">
        <f>IF(C222="","",SUMIFS(Лэндинг!$H$5:$H$300,Лэндинг!$E$5:$E$300,$B222)+SUMIFS(Закрытые!$H$5:$H$300,Закрытые!$E$5:$E$300,$B222,Закрытые!$B$5:$B$300,"L-*"))</f>
        <v/>
      </c>
      <c r="F222" s="246">
        <f>IF(SUMIFS(Лэндинг!$I$5:$I$300,Лэндинг!$E$5:$E$300,$B222)+SUMIFS(Закрытые!$I$5:$I$300,Закрытые!$E$5:$E$300,$B222,Закрытые!$B$5:$B$300,"L-*")=0,"",SUMIFS(Лэндинг!$I$5:$I$300,Лэндинг!$E$5:$E$300,$B222)+SUMIFS(Закрытые!$I$5:$I$300,Закрытые!$E$5:$E$300,$B222,Закрытые!$B$5:$B$300,"L-*"))</f>
        <v/>
      </c>
      <c r="G222" s="183">
        <f>IF(F222="","",(SUMPRODUCT((Лэндинг!$E$5:$E$300=$B222)*Лэндинг!$I$5:$I$300*Лэндинг!$J$5:$J$300)+SUMPRODUCT((Закрытые!$E$5:$E$300=$B222)*(LEFT(Закрытые!$B$5:$B$300,2)="L-")*Закрытые!$I$5:$I$300*Закрытые!$J$5:$J$300))/F222)</f>
        <v/>
      </c>
      <c r="H222" s="247">
        <f>IF(F222="","",SUMIFS(Лэндинг!$K$5:$K$300,Лэндинг!$E$5:$E$300,$B222)+SUMIFS(Закрытые!$K$5:$K$300,Закрытые!$E$5:$E$300,$B222,Закрытые!$B$5:$B$300,"L-*"))</f>
        <v/>
      </c>
      <c r="I222" s="246">
        <f>IF($B222="","",IF(COUNTIFS(Лэндинг!$E$5:$E$300,$B222)+COUNTIFS(Закрытые!$E$5:$E$300,$B222,Закрытые!$B$5:$B$300,"L-*")=0,"",ROUND(SUMIFS(Лэндинг!$L$5:$L$300,Лэндинг!$E$5:$E$300,$B222)+SUMIFS(Закрытые!$L$5:$L$300,Закрытые!$E$5:$E$300,$B222,Закрытые!$B$5:$B$300,"L-*"),8)))</f>
        <v/>
      </c>
      <c r="J222" s="247">
        <f>IF($B222="","",IF(COUNTIFS(Лэндинг!$E$5:$E$300,$B222)+COUNTIFS(Закрытые!$E$5:$E$300,$B222,Закрытые!$B$5:$B$300,"L-*")=0,"",ROUND(SUMIFS(Лэндинг!$M$5:$M$300,Лэндинг!$E$5:$E$300,$B222)+SUMIFS(Закрытые!$M$5:$M$300,Закрытые!$E$5:$E$300,$B222,Закрытые!$B$5:$B$300,"L-*"),8)))</f>
        <v/>
      </c>
      <c r="K222" s="246">
        <f>IF($B222="","",ROUND(SUMIFS(Закрытые!$N$5:$N$300,Закрытые!$E$5:$E$300,$B222,Закрытые!$B$5:$B$300,"L-*"),8))</f>
        <v/>
      </c>
      <c r="L222" s="183">
        <f>IF(K222="","",IF(SUMPRODUCT((Закрытые!$E$5:$E$300=$B222)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222/SUMPRODUCT((Закрытые!$E$5:$E$300=$B222)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2" s="183">
        <f>IF(OR(ROUND(N(C222)-N(F222),8)=0,1-N(Ввод!$E$17)/100&lt;=0),"",IF(N(C222)&gt;N(F222),(N(E222)-N(H222))/((N(C222)-N(F222))*(1-N(Ввод!$E$17)/100)),(N(H222)-N(E222))/((N(F222)-N(C222))*(1+N(Ввод!$E$17)/100))))</f>
        <v/>
      </c>
    </row>
    <row r="223" ht="22" customHeight="1">
      <c r="B223" s="315" t="n"/>
      <c r="C223" s="240">
        <f>IF(SUMIFS(Лэндинг!$F$5:$F$300,Лэндинг!$E$5:$E$300,$B223)+SUMIFS(Закрытые!$F$5:$F$300,Закрытые!$E$5:$E$300,$B223,Закрытые!$B$5:$B$300,"L-*")=0,"",SUMIFS(Лэндинг!$F$5:$F$300,Лэндинг!$E$5:$E$300,$B223)+SUMIFS(Закрытые!$F$5:$F$300,Закрытые!$E$5:$E$300,$B223,Закрытые!$B$5:$B$300,"L-*"))</f>
        <v/>
      </c>
      <c r="D223" s="177">
        <f>IF(C223="","",(SUMPRODUCT((Лэндинг!$E$5:$E$300=$B223)*Лэндинг!$F$5:$F$300*Лэндинг!$G$5:$G$300)+SUMPRODUCT((Закрытые!$E$5:$E$300=$B223)*(LEFT(Закрытые!$B$5:$B$300,2)="L-")*Закрытые!$F$5:$F$300*Закрытые!$G$5:$G$300))/C223)</f>
        <v/>
      </c>
      <c r="E223" s="241">
        <f>IF(C223="","",SUMIFS(Лэндинг!$H$5:$H$300,Лэндинг!$E$5:$E$300,$B223)+SUMIFS(Закрытые!$H$5:$H$300,Закрытые!$E$5:$E$300,$B223,Закрытые!$B$5:$B$300,"L-*"))</f>
        <v/>
      </c>
      <c r="F223" s="240">
        <f>IF(SUMIFS(Лэндинг!$I$5:$I$300,Лэндинг!$E$5:$E$300,$B223)+SUMIFS(Закрытые!$I$5:$I$300,Закрытые!$E$5:$E$300,$B223,Закрытые!$B$5:$B$300,"L-*")=0,"",SUMIFS(Лэндинг!$I$5:$I$300,Лэндинг!$E$5:$E$300,$B223)+SUMIFS(Закрытые!$I$5:$I$300,Закрытые!$E$5:$E$300,$B223,Закрытые!$B$5:$B$300,"L-*"))</f>
        <v/>
      </c>
      <c r="G223" s="177">
        <f>IF(F223="","",(SUMPRODUCT((Лэндинг!$E$5:$E$300=$B223)*Лэндинг!$I$5:$I$300*Лэндинг!$J$5:$J$300)+SUMPRODUCT((Закрытые!$E$5:$E$300=$B223)*(LEFT(Закрытые!$B$5:$B$300,2)="L-")*Закрытые!$I$5:$I$300*Закрытые!$J$5:$J$300))/F223)</f>
        <v/>
      </c>
      <c r="H223" s="241">
        <f>IF(F223="","",SUMIFS(Лэндинг!$K$5:$K$300,Лэндинг!$E$5:$E$300,$B223)+SUMIFS(Закрытые!$K$5:$K$300,Закрытые!$E$5:$E$300,$B223,Закрытые!$B$5:$B$300,"L-*"))</f>
        <v/>
      </c>
      <c r="I223" s="240">
        <f>IF($B223="","",IF(COUNTIFS(Лэндинг!$E$5:$E$300,$B223)+COUNTIFS(Закрытые!$E$5:$E$300,$B223,Закрытые!$B$5:$B$300,"L-*")=0,"",ROUND(SUMIFS(Лэндинг!$L$5:$L$300,Лэндинг!$E$5:$E$300,$B223)+SUMIFS(Закрытые!$L$5:$L$300,Закрытые!$E$5:$E$300,$B223,Закрытые!$B$5:$B$300,"L-*"),8)))</f>
        <v/>
      </c>
      <c r="J223" s="241">
        <f>IF($B223="","",IF(COUNTIFS(Лэндинг!$E$5:$E$300,$B223)+COUNTIFS(Закрытые!$E$5:$E$300,$B223,Закрытые!$B$5:$B$300,"L-*")=0,"",ROUND(SUMIFS(Лэндинг!$M$5:$M$300,Лэндинг!$E$5:$E$300,$B223)+SUMIFS(Закрытые!$M$5:$M$300,Закрытые!$E$5:$E$300,$B223,Закрытые!$B$5:$B$300,"L-*"),8)))</f>
        <v/>
      </c>
      <c r="K223" s="240">
        <f>IF($B223="","",ROUND(SUMIFS(Закрытые!$N$5:$N$300,Закрытые!$E$5:$E$300,$B223,Закрытые!$B$5:$B$300,"L-*"),8))</f>
        <v/>
      </c>
      <c r="L223" s="177">
        <f>IF(K223="","",IF(SUMPRODUCT((Закрытые!$E$5:$E$300=$B223)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223/SUMPRODUCT((Закрытые!$E$5:$E$300=$B223)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3" s="177">
        <f>IF(OR(ROUND(N(C223)-N(F223),8)=0,1-N(Ввод!$E$17)/100&lt;=0),"",IF(N(C223)&gt;N(F223),(N(E223)-N(H223))/((N(C223)-N(F223))*(1-N(Ввод!$E$17)/100)),(N(H223)-N(E223))/((N(F223)-N(C223))*(1+N(Ввод!$E$17)/100))))</f>
        <v/>
      </c>
    </row>
    <row r="224" ht="22" customHeight="1">
      <c r="B224" s="320" t="n"/>
      <c r="C224" s="246">
        <f>IF(SUMIFS(Лэндинг!$F$5:$F$300,Лэндинг!$E$5:$E$300,$B224)+SUMIFS(Закрытые!$F$5:$F$300,Закрытые!$E$5:$E$300,$B224,Закрытые!$B$5:$B$300,"L-*")=0,"",SUMIFS(Лэндинг!$F$5:$F$300,Лэндинг!$E$5:$E$300,$B224)+SUMIFS(Закрытые!$F$5:$F$300,Закрытые!$E$5:$E$300,$B224,Закрытые!$B$5:$B$300,"L-*"))</f>
        <v/>
      </c>
      <c r="D224" s="183">
        <f>IF(C224="","",(SUMPRODUCT((Лэндинг!$E$5:$E$300=$B224)*Лэндинг!$F$5:$F$300*Лэндинг!$G$5:$G$300)+SUMPRODUCT((Закрытые!$E$5:$E$300=$B224)*(LEFT(Закрытые!$B$5:$B$300,2)="L-")*Закрытые!$F$5:$F$300*Закрытые!$G$5:$G$300))/C224)</f>
        <v/>
      </c>
      <c r="E224" s="247">
        <f>IF(C224="","",SUMIFS(Лэндинг!$H$5:$H$300,Лэндинг!$E$5:$E$300,$B224)+SUMIFS(Закрытые!$H$5:$H$300,Закрытые!$E$5:$E$300,$B224,Закрытые!$B$5:$B$300,"L-*"))</f>
        <v/>
      </c>
      <c r="F224" s="246">
        <f>IF(SUMIFS(Лэндинг!$I$5:$I$300,Лэндинг!$E$5:$E$300,$B224)+SUMIFS(Закрытые!$I$5:$I$300,Закрытые!$E$5:$E$300,$B224,Закрытые!$B$5:$B$300,"L-*")=0,"",SUMIFS(Лэндинг!$I$5:$I$300,Лэндинг!$E$5:$E$300,$B224)+SUMIFS(Закрытые!$I$5:$I$300,Закрытые!$E$5:$E$300,$B224,Закрытые!$B$5:$B$300,"L-*"))</f>
        <v/>
      </c>
      <c r="G224" s="183">
        <f>IF(F224="","",(SUMPRODUCT((Лэндинг!$E$5:$E$300=$B224)*Лэндинг!$I$5:$I$300*Лэндинг!$J$5:$J$300)+SUMPRODUCT((Закрытые!$E$5:$E$300=$B224)*(LEFT(Закрытые!$B$5:$B$300,2)="L-")*Закрытые!$I$5:$I$300*Закрытые!$J$5:$J$300))/F224)</f>
        <v/>
      </c>
      <c r="H224" s="247">
        <f>IF(F224="","",SUMIFS(Лэндинг!$K$5:$K$300,Лэндинг!$E$5:$E$300,$B224)+SUMIFS(Закрытые!$K$5:$K$300,Закрытые!$E$5:$E$300,$B224,Закрытые!$B$5:$B$300,"L-*"))</f>
        <v/>
      </c>
      <c r="I224" s="246">
        <f>IF($B224="","",IF(COUNTIFS(Лэндинг!$E$5:$E$300,$B224)+COUNTIFS(Закрытые!$E$5:$E$300,$B224,Закрытые!$B$5:$B$300,"L-*")=0,"",ROUND(SUMIFS(Лэндинг!$L$5:$L$300,Лэндинг!$E$5:$E$300,$B224)+SUMIFS(Закрытые!$L$5:$L$300,Закрытые!$E$5:$E$300,$B224,Закрытые!$B$5:$B$300,"L-*"),8)))</f>
        <v/>
      </c>
      <c r="J224" s="247">
        <f>IF($B224="","",IF(COUNTIFS(Лэндинг!$E$5:$E$300,$B224)+COUNTIFS(Закрытые!$E$5:$E$300,$B224,Закрытые!$B$5:$B$300,"L-*")=0,"",ROUND(SUMIFS(Лэндинг!$M$5:$M$300,Лэндинг!$E$5:$E$300,$B224)+SUMIFS(Закрытые!$M$5:$M$300,Закрытые!$E$5:$E$300,$B224,Закрытые!$B$5:$B$300,"L-*"),8)))</f>
        <v/>
      </c>
      <c r="K224" s="246">
        <f>IF($B224="","",ROUND(SUMIFS(Закрытые!$N$5:$N$300,Закрытые!$E$5:$E$300,$B224,Закрытые!$B$5:$B$300,"L-*"),8))</f>
        <v/>
      </c>
      <c r="L224" s="183">
        <f>IF(K224="","",IF(SUMPRODUCT((Закрытые!$E$5:$E$300=$B224)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224/SUMPRODUCT((Закрытые!$E$5:$E$300=$B224)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4" s="183">
        <f>IF(OR(ROUND(N(C224)-N(F224),8)=0,1-N(Ввод!$E$17)/100&lt;=0),"",IF(N(C224)&gt;N(F224),(N(E224)-N(H224))/((N(C224)-N(F224))*(1-N(Ввод!$E$17)/100)),(N(H224)-N(E224))/((N(F224)-N(C224))*(1+N(Ввод!$E$17)/100))))</f>
        <v/>
      </c>
    </row>
    <row r="225" ht="22" customHeight="1">
      <c r="B225" s="315" t="n"/>
      <c r="C225" s="240">
        <f>IF(SUMIFS(Лэндинг!$F$5:$F$300,Лэндинг!$E$5:$E$300,$B225)+SUMIFS(Закрытые!$F$5:$F$300,Закрытые!$E$5:$E$300,$B225,Закрытые!$B$5:$B$300,"L-*")=0,"",SUMIFS(Лэндинг!$F$5:$F$300,Лэндинг!$E$5:$E$300,$B225)+SUMIFS(Закрытые!$F$5:$F$300,Закрытые!$E$5:$E$300,$B225,Закрытые!$B$5:$B$300,"L-*"))</f>
        <v/>
      </c>
      <c r="D225" s="177">
        <f>IF(C225="","",(SUMPRODUCT((Лэндинг!$E$5:$E$300=$B225)*Лэндинг!$F$5:$F$300*Лэндинг!$G$5:$G$300)+SUMPRODUCT((Закрытые!$E$5:$E$300=$B225)*(LEFT(Закрытые!$B$5:$B$300,2)="L-")*Закрытые!$F$5:$F$300*Закрытые!$G$5:$G$300))/C225)</f>
        <v/>
      </c>
      <c r="E225" s="241">
        <f>IF(C225="","",SUMIFS(Лэндинг!$H$5:$H$300,Лэндинг!$E$5:$E$300,$B225)+SUMIFS(Закрытые!$H$5:$H$300,Закрытые!$E$5:$E$300,$B225,Закрытые!$B$5:$B$300,"L-*"))</f>
        <v/>
      </c>
      <c r="F225" s="240">
        <f>IF(SUMIFS(Лэндинг!$I$5:$I$300,Лэндинг!$E$5:$E$300,$B225)+SUMIFS(Закрытые!$I$5:$I$300,Закрытые!$E$5:$E$300,$B225,Закрытые!$B$5:$B$300,"L-*")=0,"",SUMIFS(Лэндинг!$I$5:$I$300,Лэндинг!$E$5:$E$300,$B225)+SUMIFS(Закрытые!$I$5:$I$300,Закрытые!$E$5:$E$300,$B225,Закрытые!$B$5:$B$300,"L-*"))</f>
        <v/>
      </c>
      <c r="G225" s="177">
        <f>IF(F225="","",(SUMPRODUCT((Лэндинг!$E$5:$E$300=$B225)*Лэндинг!$I$5:$I$300*Лэндинг!$J$5:$J$300)+SUMPRODUCT((Закрытые!$E$5:$E$300=$B225)*(LEFT(Закрытые!$B$5:$B$300,2)="L-")*Закрытые!$I$5:$I$300*Закрытые!$J$5:$J$300))/F225)</f>
        <v/>
      </c>
      <c r="H225" s="241">
        <f>IF(F225="","",SUMIFS(Лэндинг!$K$5:$K$300,Лэндинг!$E$5:$E$300,$B225)+SUMIFS(Закрытые!$K$5:$K$300,Закрытые!$E$5:$E$300,$B225,Закрытые!$B$5:$B$300,"L-*"))</f>
        <v/>
      </c>
      <c r="I225" s="240">
        <f>IF($B225="","",IF(COUNTIFS(Лэндинг!$E$5:$E$300,$B225)+COUNTIFS(Закрытые!$E$5:$E$300,$B225,Закрытые!$B$5:$B$300,"L-*")=0,"",ROUND(SUMIFS(Лэндинг!$L$5:$L$300,Лэндинг!$E$5:$E$300,$B225)+SUMIFS(Закрытые!$L$5:$L$300,Закрытые!$E$5:$E$300,$B225,Закрытые!$B$5:$B$300,"L-*"),8)))</f>
        <v/>
      </c>
      <c r="J225" s="241">
        <f>IF($B225="","",IF(COUNTIFS(Лэндинг!$E$5:$E$300,$B225)+COUNTIFS(Закрытые!$E$5:$E$300,$B225,Закрытые!$B$5:$B$300,"L-*")=0,"",ROUND(SUMIFS(Лэндинг!$M$5:$M$300,Лэндинг!$E$5:$E$300,$B225)+SUMIFS(Закрытые!$M$5:$M$300,Закрытые!$E$5:$E$300,$B225,Закрытые!$B$5:$B$300,"L-*"),8)))</f>
        <v/>
      </c>
      <c r="K225" s="240">
        <f>IF($B225="","",ROUND(SUMIFS(Закрытые!$N$5:$N$300,Закрытые!$E$5:$E$300,$B225,Закрытые!$B$5:$B$300,"L-*"),8))</f>
        <v/>
      </c>
      <c r="L225" s="177">
        <f>IF(K225="","",IF(SUMPRODUCT((Закрытые!$E$5:$E$300=$B225)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225/SUMPRODUCT((Закрытые!$E$5:$E$300=$B225)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5" s="177">
        <f>IF(OR(ROUND(N(C225)-N(F225),8)=0,1-N(Ввод!$E$17)/100&lt;=0),"",IF(N(C225)&gt;N(F225),(N(E225)-N(H225))/((N(C225)-N(F225))*(1-N(Ввод!$E$17)/100)),(N(H225)-N(E225))/((N(F225)-N(C225))*(1+N(Ввод!$E$17)/100))))</f>
        <v/>
      </c>
    </row>
    <row r="226" ht="22" customHeight="1">
      <c r="B226" s="320" t="n"/>
      <c r="C226" s="246">
        <f>IF(SUMIFS(Лэндинг!$F$5:$F$300,Лэндинг!$E$5:$E$300,$B226)+SUMIFS(Закрытые!$F$5:$F$300,Закрытые!$E$5:$E$300,$B226,Закрытые!$B$5:$B$300,"L-*")=0,"",SUMIFS(Лэндинг!$F$5:$F$300,Лэндинг!$E$5:$E$300,$B226)+SUMIFS(Закрытые!$F$5:$F$300,Закрытые!$E$5:$E$300,$B226,Закрытые!$B$5:$B$300,"L-*"))</f>
        <v/>
      </c>
      <c r="D226" s="183">
        <f>IF(C226="","",(SUMPRODUCT((Лэндинг!$E$5:$E$300=$B226)*Лэндинг!$F$5:$F$300*Лэндинг!$G$5:$G$300)+SUMPRODUCT((Закрытые!$E$5:$E$300=$B226)*(LEFT(Закрытые!$B$5:$B$300,2)="L-")*Закрытые!$F$5:$F$300*Закрытые!$G$5:$G$300))/C226)</f>
        <v/>
      </c>
      <c r="E226" s="247">
        <f>IF(C226="","",SUMIFS(Лэндинг!$H$5:$H$300,Лэндинг!$E$5:$E$300,$B226)+SUMIFS(Закрытые!$H$5:$H$300,Закрытые!$E$5:$E$300,$B226,Закрытые!$B$5:$B$300,"L-*"))</f>
        <v/>
      </c>
      <c r="F226" s="246">
        <f>IF(SUMIFS(Лэндинг!$I$5:$I$300,Лэндинг!$E$5:$E$300,$B226)+SUMIFS(Закрытые!$I$5:$I$300,Закрытые!$E$5:$E$300,$B226,Закрытые!$B$5:$B$300,"L-*")=0,"",SUMIFS(Лэндинг!$I$5:$I$300,Лэндинг!$E$5:$E$300,$B226)+SUMIFS(Закрытые!$I$5:$I$300,Закрытые!$E$5:$E$300,$B226,Закрытые!$B$5:$B$300,"L-*"))</f>
        <v/>
      </c>
      <c r="G226" s="183">
        <f>IF(F226="","",(SUMPRODUCT((Лэндинг!$E$5:$E$300=$B226)*Лэндинг!$I$5:$I$300*Лэндинг!$J$5:$J$300)+SUMPRODUCT((Закрытые!$E$5:$E$300=$B226)*(LEFT(Закрытые!$B$5:$B$300,2)="L-")*Закрытые!$I$5:$I$300*Закрытые!$J$5:$J$300))/F226)</f>
        <v/>
      </c>
      <c r="H226" s="247">
        <f>IF(F226="","",SUMIFS(Лэндинг!$K$5:$K$300,Лэндинг!$E$5:$E$300,$B226)+SUMIFS(Закрытые!$K$5:$K$300,Закрытые!$E$5:$E$300,$B226,Закрытые!$B$5:$B$300,"L-*"))</f>
        <v/>
      </c>
      <c r="I226" s="246">
        <f>IF($B226="","",IF(COUNTIFS(Лэндинг!$E$5:$E$300,$B226)+COUNTIFS(Закрытые!$E$5:$E$300,$B226,Закрытые!$B$5:$B$300,"L-*")=0,"",ROUND(SUMIFS(Лэндинг!$L$5:$L$300,Лэндинг!$E$5:$E$300,$B226)+SUMIFS(Закрытые!$L$5:$L$300,Закрытые!$E$5:$E$300,$B226,Закрытые!$B$5:$B$300,"L-*"),8)))</f>
        <v/>
      </c>
      <c r="J226" s="247">
        <f>IF($B226="","",IF(COUNTIFS(Лэндинг!$E$5:$E$300,$B226)+COUNTIFS(Закрытые!$E$5:$E$300,$B226,Закрытые!$B$5:$B$300,"L-*")=0,"",ROUND(SUMIFS(Лэндинг!$M$5:$M$300,Лэндинг!$E$5:$E$300,$B226)+SUMIFS(Закрытые!$M$5:$M$300,Закрытые!$E$5:$E$300,$B226,Закрытые!$B$5:$B$300,"L-*"),8)))</f>
        <v/>
      </c>
      <c r="K226" s="246">
        <f>IF($B226="","",ROUND(SUMIFS(Закрытые!$N$5:$N$300,Закрытые!$E$5:$E$300,$B226,Закрытые!$B$5:$B$300,"L-*"),8))</f>
        <v/>
      </c>
      <c r="L226" s="183">
        <f>IF(K226="","",IF(SUMPRODUCT((Закрытые!$E$5:$E$300=$B226)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226/SUMPRODUCT((Закрытые!$E$5:$E$300=$B226)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6" s="183">
        <f>IF(OR(ROUND(N(C226)-N(F226),8)=0,1-N(Ввод!$E$17)/100&lt;=0),"",IF(N(C226)&gt;N(F226),(N(E226)-N(H226))/((N(C226)-N(F226))*(1-N(Ввод!$E$17)/100)),(N(H226)-N(E226))/((N(F226)-N(C226))*(1+N(Ввод!$E$17)/100))))</f>
        <v/>
      </c>
    </row>
    <row r="227" ht="22" customHeight="1">
      <c r="B227" s="315" t="n"/>
      <c r="C227" s="240">
        <f>IF(SUMIFS(Лэндинг!$F$5:$F$300,Лэндинг!$E$5:$E$300,$B227)+SUMIFS(Закрытые!$F$5:$F$300,Закрытые!$E$5:$E$300,$B227,Закрытые!$B$5:$B$300,"L-*")=0,"",SUMIFS(Лэндинг!$F$5:$F$300,Лэндинг!$E$5:$E$300,$B227)+SUMIFS(Закрытые!$F$5:$F$300,Закрытые!$E$5:$E$300,$B227,Закрытые!$B$5:$B$300,"L-*"))</f>
        <v/>
      </c>
      <c r="D227" s="177">
        <f>IF(C227="","",(SUMPRODUCT((Лэндинг!$E$5:$E$300=$B227)*Лэндинг!$F$5:$F$300*Лэндинг!$G$5:$G$300)+SUMPRODUCT((Закрытые!$E$5:$E$300=$B227)*(LEFT(Закрытые!$B$5:$B$300,2)="L-")*Закрытые!$F$5:$F$300*Закрытые!$G$5:$G$300))/C227)</f>
        <v/>
      </c>
      <c r="E227" s="241">
        <f>IF(C227="","",SUMIFS(Лэндинг!$H$5:$H$300,Лэндинг!$E$5:$E$300,$B227)+SUMIFS(Закрытые!$H$5:$H$300,Закрытые!$E$5:$E$300,$B227,Закрытые!$B$5:$B$300,"L-*"))</f>
        <v/>
      </c>
      <c r="F227" s="240">
        <f>IF(SUMIFS(Лэндинг!$I$5:$I$300,Лэндинг!$E$5:$E$300,$B227)+SUMIFS(Закрытые!$I$5:$I$300,Закрытые!$E$5:$E$300,$B227,Закрытые!$B$5:$B$300,"L-*")=0,"",SUMIFS(Лэндинг!$I$5:$I$300,Лэндинг!$E$5:$E$300,$B227)+SUMIFS(Закрытые!$I$5:$I$300,Закрытые!$E$5:$E$300,$B227,Закрытые!$B$5:$B$300,"L-*"))</f>
        <v/>
      </c>
      <c r="G227" s="177">
        <f>IF(F227="","",(SUMPRODUCT((Лэндинг!$E$5:$E$300=$B227)*Лэндинг!$I$5:$I$300*Лэндинг!$J$5:$J$300)+SUMPRODUCT((Закрытые!$E$5:$E$300=$B227)*(LEFT(Закрытые!$B$5:$B$300,2)="L-")*Закрытые!$I$5:$I$300*Закрытые!$J$5:$J$300))/F227)</f>
        <v/>
      </c>
      <c r="H227" s="241">
        <f>IF(F227="","",SUMIFS(Лэндинг!$K$5:$K$300,Лэндинг!$E$5:$E$300,$B227)+SUMIFS(Закрытые!$K$5:$K$300,Закрытые!$E$5:$E$300,$B227,Закрытые!$B$5:$B$300,"L-*"))</f>
        <v/>
      </c>
      <c r="I227" s="240">
        <f>IF($B227="","",IF(COUNTIFS(Лэндинг!$E$5:$E$300,$B227)+COUNTIFS(Закрытые!$E$5:$E$300,$B227,Закрытые!$B$5:$B$300,"L-*")=0,"",ROUND(SUMIFS(Лэндинг!$L$5:$L$300,Лэндинг!$E$5:$E$300,$B227)+SUMIFS(Закрытые!$L$5:$L$300,Закрытые!$E$5:$E$300,$B227,Закрытые!$B$5:$B$300,"L-*"),8)))</f>
        <v/>
      </c>
      <c r="J227" s="241">
        <f>IF($B227="","",IF(COUNTIFS(Лэндинг!$E$5:$E$300,$B227)+COUNTIFS(Закрытые!$E$5:$E$300,$B227,Закрытые!$B$5:$B$300,"L-*")=0,"",ROUND(SUMIFS(Лэндинг!$M$5:$M$300,Лэндинг!$E$5:$E$300,$B227)+SUMIFS(Закрытые!$M$5:$M$300,Закрытые!$E$5:$E$300,$B227,Закрытые!$B$5:$B$300,"L-*"),8)))</f>
        <v/>
      </c>
      <c r="K227" s="240">
        <f>IF($B227="","",ROUND(SUMIFS(Закрытые!$N$5:$N$300,Закрытые!$E$5:$E$300,$B227,Закрытые!$B$5:$B$300,"L-*"),8))</f>
        <v/>
      </c>
      <c r="L227" s="177">
        <f>IF(K227="","",IF(SUMPRODUCT((Закрытые!$E$5:$E$300=$B227)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227/SUMPRODUCT((Закрытые!$E$5:$E$300=$B227)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7" s="177">
        <f>IF(OR(ROUND(N(C227)-N(F227),8)=0,1-N(Ввод!$E$17)/100&lt;=0),"",IF(N(C227)&gt;N(F227),(N(E227)-N(H227))/((N(C227)-N(F227))*(1-N(Ввод!$E$17)/100)),(N(H227)-N(E227))/((N(F227)-N(C227))*(1+N(Ввод!$E$17)/100))))</f>
        <v/>
      </c>
    </row>
    <row r="228" ht="22" customHeight="1">
      <c r="B228" s="320" t="n"/>
      <c r="C228" s="246">
        <f>IF(SUMIFS(Лэндинг!$F$5:$F$300,Лэндинг!$E$5:$E$300,$B228)+SUMIFS(Закрытые!$F$5:$F$300,Закрытые!$E$5:$E$300,$B228,Закрытые!$B$5:$B$300,"L-*")=0,"",SUMIFS(Лэндинг!$F$5:$F$300,Лэндинг!$E$5:$E$300,$B228)+SUMIFS(Закрытые!$F$5:$F$300,Закрытые!$E$5:$E$300,$B228,Закрытые!$B$5:$B$300,"L-*"))</f>
        <v/>
      </c>
      <c r="D228" s="183">
        <f>IF(C228="","",(SUMPRODUCT((Лэндинг!$E$5:$E$300=$B228)*Лэндинг!$F$5:$F$300*Лэндинг!$G$5:$G$300)+SUMPRODUCT((Закрытые!$E$5:$E$300=$B228)*(LEFT(Закрытые!$B$5:$B$300,2)="L-")*Закрытые!$F$5:$F$300*Закрытые!$G$5:$G$300))/C228)</f>
        <v/>
      </c>
      <c r="E228" s="247">
        <f>IF(C228="","",SUMIFS(Лэндинг!$H$5:$H$300,Лэндинг!$E$5:$E$300,$B228)+SUMIFS(Закрытые!$H$5:$H$300,Закрытые!$E$5:$E$300,$B228,Закрытые!$B$5:$B$300,"L-*"))</f>
        <v/>
      </c>
      <c r="F228" s="246">
        <f>IF(SUMIFS(Лэндинг!$I$5:$I$300,Лэндинг!$E$5:$E$300,$B228)+SUMIFS(Закрытые!$I$5:$I$300,Закрытые!$E$5:$E$300,$B228,Закрытые!$B$5:$B$300,"L-*")=0,"",SUMIFS(Лэндинг!$I$5:$I$300,Лэндинг!$E$5:$E$300,$B228)+SUMIFS(Закрытые!$I$5:$I$300,Закрытые!$E$5:$E$300,$B228,Закрытые!$B$5:$B$300,"L-*"))</f>
        <v/>
      </c>
      <c r="G228" s="183">
        <f>IF(F228="","",(SUMPRODUCT((Лэндинг!$E$5:$E$300=$B228)*Лэндинг!$I$5:$I$300*Лэндинг!$J$5:$J$300)+SUMPRODUCT((Закрытые!$E$5:$E$300=$B228)*(LEFT(Закрытые!$B$5:$B$300,2)="L-")*Закрытые!$I$5:$I$300*Закрытые!$J$5:$J$300))/F228)</f>
        <v/>
      </c>
      <c r="H228" s="247">
        <f>IF(F228="","",SUMIFS(Лэндинг!$K$5:$K$300,Лэндинг!$E$5:$E$300,$B228)+SUMIFS(Закрытые!$K$5:$K$300,Закрытые!$E$5:$E$300,$B228,Закрытые!$B$5:$B$300,"L-*"))</f>
        <v/>
      </c>
      <c r="I228" s="246">
        <f>IF($B228="","",IF(COUNTIFS(Лэндинг!$E$5:$E$300,$B228)+COUNTIFS(Закрытые!$E$5:$E$300,$B228,Закрытые!$B$5:$B$300,"L-*")=0,"",ROUND(SUMIFS(Лэндинг!$L$5:$L$300,Лэндинг!$E$5:$E$300,$B228)+SUMIFS(Закрытые!$L$5:$L$300,Закрытые!$E$5:$E$300,$B228,Закрытые!$B$5:$B$300,"L-*"),8)))</f>
        <v/>
      </c>
      <c r="J228" s="247">
        <f>IF($B228="","",IF(COUNTIFS(Лэндинг!$E$5:$E$300,$B228)+COUNTIFS(Закрытые!$E$5:$E$300,$B228,Закрытые!$B$5:$B$300,"L-*")=0,"",ROUND(SUMIFS(Лэндинг!$M$5:$M$300,Лэндинг!$E$5:$E$300,$B228)+SUMIFS(Закрытые!$M$5:$M$300,Закрытые!$E$5:$E$300,$B228,Закрытые!$B$5:$B$300,"L-*"),8)))</f>
        <v/>
      </c>
      <c r="K228" s="246">
        <f>IF($B228="","",ROUND(SUMIFS(Закрытые!$N$5:$N$300,Закрытые!$E$5:$E$300,$B228,Закрытые!$B$5:$B$300,"L-*"),8))</f>
        <v/>
      </c>
      <c r="L228" s="183">
        <f>IF(K228="","",IF(SUMPRODUCT((Закрытые!$E$5:$E$300=$B228)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228/SUMPRODUCT((Закрытые!$E$5:$E$300=$B228)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8" s="183">
        <f>IF(OR(ROUND(N(C228)-N(F228),8)=0,1-N(Ввод!$E$17)/100&lt;=0),"",IF(N(C228)&gt;N(F228),(N(E228)-N(H228))/((N(C228)-N(F228))*(1-N(Ввод!$E$17)/100)),(N(H228)-N(E228))/((N(F228)-N(C228))*(1+N(Ввод!$E$17)/100))))</f>
        <v/>
      </c>
    </row>
    <row r="229" ht="22" customHeight="1">
      <c r="B229" s="315" t="n"/>
      <c r="C229" s="240">
        <f>IF(SUMIFS(Лэндинг!$F$5:$F$300,Лэндинг!$E$5:$E$300,$B229)+SUMIFS(Закрытые!$F$5:$F$300,Закрытые!$E$5:$E$300,$B229,Закрытые!$B$5:$B$300,"L-*")=0,"",SUMIFS(Лэндинг!$F$5:$F$300,Лэндинг!$E$5:$E$300,$B229)+SUMIFS(Закрытые!$F$5:$F$300,Закрытые!$E$5:$E$300,$B229,Закрытые!$B$5:$B$300,"L-*"))</f>
        <v/>
      </c>
      <c r="D229" s="177">
        <f>IF(C229="","",(SUMPRODUCT((Лэндинг!$E$5:$E$300=$B229)*Лэндинг!$F$5:$F$300*Лэндинг!$G$5:$G$300)+SUMPRODUCT((Закрытые!$E$5:$E$300=$B229)*(LEFT(Закрытые!$B$5:$B$300,2)="L-")*Закрытые!$F$5:$F$300*Закрытые!$G$5:$G$300))/C229)</f>
        <v/>
      </c>
      <c r="E229" s="241">
        <f>IF(C229="","",SUMIFS(Лэндинг!$H$5:$H$300,Лэндинг!$E$5:$E$300,$B229)+SUMIFS(Закрытые!$H$5:$H$300,Закрытые!$E$5:$E$300,$B229,Закрытые!$B$5:$B$300,"L-*"))</f>
        <v/>
      </c>
      <c r="F229" s="240">
        <f>IF(SUMIFS(Лэндинг!$I$5:$I$300,Лэндинг!$E$5:$E$300,$B229)+SUMIFS(Закрытые!$I$5:$I$300,Закрытые!$E$5:$E$300,$B229,Закрытые!$B$5:$B$300,"L-*")=0,"",SUMIFS(Лэндинг!$I$5:$I$300,Лэндинг!$E$5:$E$300,$B229)+SUMIFS(Закрытые!$I$5:$I$300,Закрытые!$E$5:$E$300,$B229,Закрытые!$B$5:$B$300,"L-*"))</f>
        <v/>
      </c>
      <c r="G229" s="177">
        <f>IF(F229="","",(SUMPRODUCT((Лэндинг!$E$5:$E$300=$B229)*Лэндинг!$I$5:$I$300*Лэндинг!$J$5:$J$300)+SUMPRODUCT((Закрытые!$E$5:$E$300=$B229)*(LEFT(Закрытые!$B$5:$B$300,2)="L-")*Закрытые!$I$5:$I$300*Закрытые!$J$5:$J$300))/F229)</f>
        <v/>
      </c>
      <c r="H229" s="241">
        <f>IF(F229="","",SUMIFS(Лэндинг!$K$5:$K$300,Лэндинг!$E$5:$E$300,$B229)+SUMIFS(Закрытые!$K$5:$K$300,Закрытые!$E$5:$E$300,$B229,Закрытые!$B$5:$B$300,"L-*"))</f>
        <v/>
      </c>
      <c r="I229" s="240">
        <f>IF($B229="","",IF(COUNTIFS(Лэндинг!$E$5:$E$300,$B229)+COUNTIFS(Закрытые!$E$5:$E$300,$B229,Закрытые!$B$5:$B$300,"L-*")=0,"",ROUND(SUMIFS(Лэндинг!$L$5:$L$300,Лэндинг!$E$5:$E$300,$B229)+SUMIFS(Закрытые!$L$5:$L$300,Закрытые!$E$5:$E$300,$B229,Закрытые!$B$5:$B$300,"L-*"),8)))</f>
        <v/>
      </c>
      <c r="J229" s="241">
        <f>IF($B229="","",IF(COUNTIFS(Лэндинг!$E$5:$E$300,$B229)+COUNTIFS(Закрытые!$E$5:$E$300,$B229,Закрытые!$B$5:$B$300,"L-*")=0,"",ROUND(SUMIFS(Лэндинг!$M$5:$M$300,Лэндинг!$E$5:$E$300,$B229)+SUMIFS(Закрытые!$M$5:$M$300,Закрытые!$E$5:$E$300,$B229,Закрытые!$B$5:$B$300,"L-*"),8)))</f>
        <v/>
      </c>
      <c r="K229" s="240">
        <f>IF($B229="","",ROUND(SUMIFS(Закрытые!$N$5:$N$300,Закрытые!$E$5:$E$300,$B229,Закрытые!$B$5:$B$300,"L-*"),8))</f>
        <v/>
      </c>
      <c r="L229" s="177">
        <f>IF(K229="","",IF(SUMPRODUCT((Закрытые!$E$5:$E$300=$B229)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229/SUMPRODUCT((Закрытые!$E$5:$E$300=$B229)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9" s="177">
        <f>IF(OR(ROUND(N(C229)-N(F229),8)=0,1-N(Ввод!$E$17)/100&lt;=0),"",IF(N(C229)&gt;N(F229),(N(E229)-N(H229))/((N(C229)-N(F229))*(1-N(Ввод!$E$17)/100)),(N(H229)-N(E229))/((N(F229)-N(C229))*(1+N(Ввод!$E$17)/100))))</f>
        <v/>
      </c>
    </row>
    <row r="230" ht="22" customHeight="1">
      <c r="B230" s="320" t="n"/>
      <c r="C230" s="246">
        <f>IF(SUMIFS(Лэндинг!$F$5:$F$300,Лэндинг!$E$5:$E$300,$B230)+SUMIFS(Закрытые!$F$5:$F$300,Закрытые!$E$5:$E$300,$B230,Закрытые!$B$5:$B$300,"L-*")=0,"",SUMIFS(Лэндинг!$F$5:$F$300,Лэндинг!$E$5:$E$300,$B230)+SUMIFS(Закрытые!$F$5:$F$300,Закрытые!$E$5:$E$300,$B230,Закрытые!$B$5:$B$300,"L-*"))</f>
        <v/>
      </c>
      <c r="D230" s="183">
        <f>IF(C230="","",(SUMPRODUCT((Лэндинг!$E$5:$E$300=$B230)*Лэндинг!$F$5:$F$300*Лэндинг!$G$5:$G$300)+SUMPRODUCT((Закрытые!$E$5:$E$300=$B230)*(LEFT(Закрытые!$B$5:$B$300,2)="L-")*Закрытые!$F$5:$F$300*Закрытые!$G$5:$G$300))/C230)</f>
        <v/>
      </c>
      <c r="E230" s="247">
        <f>IF(C230="","",SUMIFS(Лэндинг!$H$5:$H$300,Лэндинг!$E$5:$E$300,$B230)+SUMIFS(Закрытые!$H$5:$H$300,Закрытые!$E$5:$E$300,$B230,Закрытые!$B$5:$B$300,"L-*"))</f>
        <v/>
      </c>
      <c r="F230" s="246">
        <f>IF(SUMIFS(Лэндинг!$I$5:$I$300,Лэндинг!$E$5:$E$300,$B230)+SUMIFS(Закрытые!$I$5:$I$300,Закрытые!$E$5:$E$300,$B230,Закрытые!$B$5:$B$300,"L-*")=0,"",SUMIFS(Лэндинг!$I$5:$I$300,Лэндинг!$E$5:$E$300,$B230)+SUMIFS(Закрытые!$I$5:$I$300,Закрытые!$E$5:$E$300,$B230,Закрытые!$B$5:$B$300,"L-*"))</f>
        <v/>
      </c>
      <c r="G230" s="183">
        <f>IF(F230="","",(SUMPRODUCT((Лэндинг!$E$5:$E$300=$B230)*Лэндинг!$I$5:$I$300*Лэндинг!$J$5:$J$300)+SUMPRODUCT((Закрытые!$E$5:$E$300=$B230)*(LEFT(Закрытые!$B$5:$B$300,2)="L-")*Закрытые!$I$5:$I$300*Закрытые!$J$5:$J$300))/F230)</f>
        <v/>
      </c>
      <c r="H230" s="247">
        <f>IF(F230="","",SUMIFS(Лэндинг!$K$5:$K$300,Лэндинг!$E$5:$E$300,$B230)+SUMIFS(Закрытые!$K$5:$K$300,Закрытые!$E$5:$E$300,$B230,Закрытые!$B$5:$B$300,"L-*"))</f>
        <v/>
      </c>
      <c r="I230" s="246">
        <f>IF($B230="","",IF(COUNTIFS(Лэндинг!$E$5:$E$300,$B230)+COUNTIFS(Закрытые!$E$5:$E$300,$B230,Закрытые!$B$5:$B$300,"L-*")=0,"",ROUND(SUMIFS(Лэндинг!$L$5:$L$300,Лэндинг!$E$5:$E$300,$B230)+SUMIFS(Закрытые!$L$5:$L$300,Закрытые!$E$5:$E$300,$B230,Закрытые!$B$5:$B$300,"L-*"),8)))</f>
        <v/>
      </c>
      <c r="J230" s="247">
        <f>IF($B230="","",IF(COUNTIFS(Лэндинг!$E$5:$E$300,$B230)+COUNTIFS(Закрытые!$E$5:$E$300,$B230,Закрытые!$B$5:$B$300,"L-*")=0,"",ROUND(SUMIFS(Лэндинг!$M$5:$M$300,Лэндинг!$E$5:$E$300,$B230)+SUMIFS(Закрытые!$M$5:$M$300,Закрытые!$E$5:$E$300,$B230,Закрытые!$B$5:$B$300,"L-*"),8)))</f>
        <v/>
      </c>
      <c r="K230" s="246">
        <f>IF($B230="","",ROUND(SUMIFS(Закрытые!$N$5:$N$300,Закрытые!$E$5:$E$300,$B230,Закрытые!$B$5:$B$300,"L-*"),8))</f>
        <v/>
      </c>
      <c r="L230" s="183">
        <f>IF(K230="","",IF(SUMPRODUCT((Закрытые!$E$5:$E$300=$B230)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230/SUMPRODUCT((Закрытые!$E$5:$E$300=$B230)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0" s="183">
        <f>IF(OR(ROUND(N(C230)-N(F230),8)=0,1-N(Ввод!$E$17)/100&lt;=0),"",IF(N(C230)&gt;N(F230),(N(E230)-N(H230))/((N(C230)-N(F230))*(1-N(Ввод!$E$17)/100)),(N(H230)-N(E230))/((N(F230)-N(C230))*(1+N(Ввод!$E$17)/100))))</f>
        <v/>
      </c>
    </row>
    <row r="231" ht="22" customHeight="1">
      <c r="B231" s="315" t="n"/>
      <c r="C231" s="240">
        <f>IF(SUMIFS(Лэндинг!$F$5:$F$300,Лэндинг!$E$5:$E$300,$B231)+SUMIFS(Закрытые!$F$5:$F$300,Закрытые!$E$5:$E$300,$B231,Закрытые!$B$5:$B$300,"L-*")=0,"",SUMIFS(Лэндинг!$F$5:$F$300,Лэндинг!$E$5:$E$300,$B231)+SUMIFS(Закрытые!$F$5:$F$300,Закрытые!$E$5:$E$300,$B231,Закрытые!$B$5:$B$300,"L-*"))</f>
        <v/>
      </c>
      <c r="D231" s="177">
        <f>IF(C231="","",(SUMPRODUCT((Лэндинг!$E$5:$E$300=$B231)*Лэндинг!$F$5:$F$300*Лэндинг!$G$5:$G$300)+SUMPRODUCT((Закрытые!$E$5:$E$300=$B231)*(LEFT(Закрытые!$B$5:$B$300,2)="L-")*Закрытые!$F$5:$F$300*Закрытые!$G$5:$G$300))/C231)</f>
        <v/>
      </c>
      <c r="E231" s="241">
        <f>IF(C231="","",SUMIFS(Лэндинг!$H$5:$H$300,Лэндинг!$E$5:$E$300,$B231)+SUMIFS(Закрытые!$H$5:$H$300,Закрытые!$E$5:$E$300,$B231,Закрытые!$B$5:$B$300,"L-*"))</f>
        <v/>
      </c>
      <c r="F231" s="240">
        <f>IF(SUMIFS(Лэндинг!$I$5:$I$300,Лэндинг!$E$5:$E$300,$B231)+SUMIFS(Закрытые!$I$5:$I$300,Закрытые!$E$5:$E$300,$B231,Закрытые!$B$5:$B$300,"L-*")=0,"",SUMIFS(Лэндинг!$I$5:$I$300,Лэндинг!$E$5:$E$300,$B231)+SUMIFS(Закрытые!$I$5:$I$300,Закрытые!$E$5:$E$300,$B231,Закрытые!$B$5:$B$300,"L-*"))</f>
        <v/>
      </c>
      <c r="G231" s="177">
        <f>IF(F231="","",(SUMPRODUCT((Лэндинг!$E$5:$E$300=$B231)*Лэндинг!$I$5:$I$300*Лэндинг!$J$5:$J$300)+SUMPRODUCT((Закрытые!$E$5:$E$300=$B231)*(LEFT(Закрытые!$B$5:$B$300,2)="L-")*Закрытые!$I$5:$I$300*Закрытые!$J$5:$J$300))/F231)</f>
        <v/>
      </c>
      <c r="H231" s="241">
        <f>IF(F231="","",SUMIFS(Лэндинг!$K$5:$K$300,Лэндинг!$E$5:$E$300,$B231)+SUMIFS(Закрытые!$K$5:$K$300,Закрытые!$E$5:$E$300,$B231,Закрытые!$B$5:$B$300,"L-*"))</f>
        <v/>
      </c>
      <c r="I231" s="240">
        <f>IF($B231="","",IF(COUNTIFS(Лэндинг!$E$5:$E$300,$B231)+COUNTIFS(Закрытые!$E$5:$E$300,$B231,Закрытые!$B$5:$B$300,"L-*")=0,"",ROUND(SUMIFS(Лэндинг!$L$5:$L$300,Лэндинг!$E$5:$E$300,$B231)+SUMIFS(Закрытые!$L$5:$L$300,Закрытые!$E$5:$E$300,$B231,Закрытые!$B$5:$B$300,"L-*"),8)))</f>
        <v/>
      </c>
      <c r="J231" s="241">
        <f>IF($B231="","",IF(COUNTIFS(Лэндинг!$E$5:$E$300,$B231)+COUNTIFS(Закрытые!$E$5:$E$300,$B231,Закрытые!$B$5:$B$300,"L-*")=0,"",ROUND(SUMIFS(Лэндинг!$M$5:$M$300,Лэндинг!$E$5:$E$300,$B231)+SUMIFS(Закрытые!$M$5:$M$300,Закрытые!$E$5:$E$300,$B231,Закрытые!$B$5:$B$300,"L-*"),8)))</f>
        <v/>
      </c>
      <c r="K231" s="240">
        <f>IF($B231="","",ROUND(SUMIFS(Закрытые!$N$5:$N$300,Закрытые!$E$5:$E$300,$B231,Закрытые!$B$5:$B$300,"L-*"),8))</f>
        <v/>
      </c>
      <c r="L231" s="177">
        <f>IF(K231="","",IF(SUMPRODUCT((Закрытые!$E$5:$E$300=$B231)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231/SUMPRODUCT((Закрытые!$E$5:$E$300=$B231)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1" s="177">
        <f>IF(OR(ROUND(N(C231)-N(F231),8)=0,1-N(Ввод!$E$17)/100&lt;=0),"",IF(N(C231)&gt;N(F231),(N(E231)-N(H231))/((N(C231)-N(F231))*(1-N(Ввод!$E$17)/100)),(N(H231)-N(E231))/((N(F231)-N(C231))*(1+N(Ввод!$E$17)/100))))</f>
        <v/>
      </c>
    </row>
    <row r="232" ht="22" customHeight="1">
      <c r="B232" s="320" t="n"/>
      <c r="C232" s="246">
        <f>IF(SUMIFS(Лэндинг!$F$5:$F$300,Лэндинг!$E$5:$E$300,$B232)+SUMIFS(Закрытые!$F$5:$F$300,Закрытые!$E$5:$E$300,$B232,Закрытые!$B$5:$B$300,"L-*")=0,"",SUMIFS(Лэндинг!$F$5:$F$300,Лэндинг!$E$5:$E$300,$B232)+SUMIFS(Закрытые!$F$5:$F$300,Закрытые!$E$5:$E$300,$B232,Закрытые!$B$5:$B$300,"L-*"))</f>
        <v/>
      </c>
      <c r="D232" s="183">
        <f>IF(C232="","",(SUMPRODUCT((Лэндинг!$E$5:$E$300=$B232)*Лэндинг!$F$5:$F$300*Лэндинг!$G$5:$G$300)+SUMPRODUCT((Закрытые!$E$5:$E$300=$B232)*(LEFT(Закрытые!$B$5:$B$300,2)="L-")*Закрытые!$F$5:$F$300*Закрытые!$G$5:$G$300))/C232)</f>
        <v/>
      </c>
      <c r="E232" s="247">
        <f>IF(C232="","",SUMIFS(Лэндинг!$H$5:$H$300,Лэндинг!$E$5:$E$300,$B232)+SUMIFS(Закрытые!$H$5:$H$300,Закрытые!$E$5:$E$300,$B232,Закрытые!$B$5:$B$300,"L-*"))</f>
        <v/>
      </c>
      <c r="F232" s="246">
        <f>IF(SUMIFS(Лэндинг!$I$5:$I$300,Лэндинг!$E$5:$E$300,$B232)+SUMIFS(Закрытые!$I$5:$I$300,Закрытые!$E$5:$E$300,$B232,Закрытые!$B$5:$B$300,"L-*")=0,"",SUMIFS(Лэндинг!$I$5:$I$300,Лэндинг!$E$5:$E$300,$B232)+SUMIFS(Закрытые!$I$5:$I$300,Закрытые!$E$5:$E$300,$B232,Закрытые!$B$5:$B$300,"L-*"))</f>
        <v/>
      </c>
      <c r="G232" s="183">
        <f>IF(F232="","",(SUMPRODUCT((Лэндинг!$E$5:$E$300=$B232)*Лэндинг!$I$5:$I$300*Лэндинг!$J$5:$J$300)+SUMPRODUCT((Закрытые!$E$5:$E$300=$B232)*(LEFT(Закрытые!$B$5:$B$300,2)="L-")*Закрытые!$I$5:$I$300*Закрытые!$J$5:$J$300))/F232)</f>
        <v/>
      </c>
      <c r="H232" s="247">
        <f>IF(F232="","",SUMIFS(Лэндинг!$K$5:$K$300,Лэндинг!$E$5:$E$300,$B232)+SUMIFS(Закрытые!$K$5:$K$300,Закрытые!$E$5:$E$300,$B232,Закрытые!$B$5:$B$300,"L-*"))</f>
        <v/>
      </c>
      <c r="I232" s="246">
        <f>IF($B232="","",IF(COUNTIFS(Лэндинг!$E$5:$E$300,$B232)+COUNTIFS(Закрытые!$E$5:$E$300,$B232,Закрытые!$B$5:$B$300,"L-*")=0,"",ROUND(SUMIFS(Лэндинг!$L$5:$L$300,Лэндинг!$E$5:$E$300,$B232)+SUMIFS(Закрытые!$L$5:$L$300,Закрытые!$E$5:$E$300,$B232,Закрытые!$B$5:$B$300,"L-*"),8)))</f>
        <v/>
      </c>
      <c r="J232" s="247">
        <f>IF($B232="","",IF(COUNTIFS(Лэндинг!$E$5:$E$300,$B232)+COUNTIFS(Закрытые!$E$5:$E$300,$B232,Закрытые!$B$5:$B$300,"L-*")=0,"",ROUND(SUMIFS(Лэндинг!$M$5:$M$300,Лэндинг!$E$5:$E$300,$B232)+SUMIFS(Закрытые!$M$5:$M$300,Закрытые!$E$5:$E$300,$B232,Закрытые!$B$5:$B$300,"L-*"),8)))</f>
        <v/>
      </c>
      <c r="K232" s="246">
        <f>IF($B232="","",ROUND(SUMIFS(Закрытые!$N$5:$N$300,Закрытые!$E$5:$E$300,$B232,Закрытые!$B$5:$B$300,"L-*"),8))</f>
        <v/>
      </c>
      <c r="L232" s="183">
        <f>IF(K232="","",IF(SUMPRODUCT((Закрытые!$E$5:$E$300=$B232)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232/SUMPRODUCT((Закрытые!$E$5:$E$300=$B232)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2" s="183">
        <f>IF(OR(ROUND(N(C232)-N(F232),8)=0,1-N(Ввод!$E$17)/100&lt;=0),"",IF(N(C232)&gt;N(F232),(N(E232)-N(H232))/((N(C232)-N(F232))*(1-N(Ввод!$E$17)/100)),(N(H232)-N(E232))/((N(F232)-N(C232))*(1+N(Ввод!$E$17)/100))))</f>
        <v/>
      </c>
    </row>
    <row r="233" ht="22" customHeight="1">
      <c r="B233" s="315" t="n"/>
      <c r="C233" s="240">
        <f>IF(SUMIFS(Лэндинг!$F$5:$F$300,Лэндинг!$E$5:$E$300,$B233)+SUMIFS(Закрытые!$F$5:$F$300,Закрытые!$E$5:$E$300,$B233,Закрытые!$B$5:$B$300,"L-*")=0,"",SUMIFS(Лэндинг!$F$5:$F$300,Лэндинг!$E$5:$E$300,$B233)+SUMIFS(Закрытые!$F$5:$F$300,Закрытые!$E$5:$E$300,$B233,Закрытые!$B$5:$B$300,"L-*"))</f>
        <v/>
      </c>
      <c r="D233" s="177">
        <f>IF(C233="","",(SUMPRODUCT((Лэндинг!$E$5:$E$300=$B233)*Лэндинг!$F$5:$F$300*Лэндинг!$G$5:$G$300)+SUMPRODUCT((Закрытые!$E$5:$E$300=$B233)*(LEFT(Закрытые!$B$5:$B$300,2)="L-")*Закрытые!$F$5:$F$300*Закрытые!$G$5:$G$300))/C233)</f>
        <v/>
      </c>
      <c r="E233" s="241">
        <f>IF(C233="","",SUMIFS(Лэндинг!$H$5:$H$300,Лэндинг!$E$5:$E$300,$B233)+SUMIFS(Закрытые!$H$5:$H$300,Закрытые!$E$5:$E$300,$B233,Закрытые!$B$5:$B$300,"L-*"))</f>
        <v/>
      </c>
      <c r="F233" s="240">
        <f>IF(SUMIFS(Лэндинг!$I$5:$I$300,Лэндинг!$E$5:$E$300,$B233)+SUMIFS(Закрытые!$I$5:$I$300,Закрытые!$E$5:$E$300,$B233,Закрытые!$B$5:$B$300,"L-*")=0,"",SUMIFS(Лэндинг!$I$5:$I$300,Лэндинг!$E$5:$E$300,$B233)+SUMIFS(Закрытые!$I$5:$I$300,Закрытые!$E$5:$E$300,$B233,Закрытые!$B$5:$B$300,"L-*"))</f>
        <v/>
      </c>
      <c r="G233" s="177">
        <f>IF(F233="","",(SUMPRODUCT((Лэндинг!$E$5:$E$300=$B233)*Лэндинг!$I$5:$I$300*Лэндинг!$J$5:$J$300)+SUMPRODUCT((Закрытые!$E$5:$E$300=$B233)*(LEFT(Закрытые!$B$5:$B$300,2)="L-")*Закрытые!$I$5:$I$300*Закрытые!$J$5:$J$300))/F233)</f>
        <v/>
      </c>
      <c r="H233" s="241">
        <f>IF(F233="","",SUMIFS(Лэндинг!$K$5:$K$300,Лэндинг!$E$5:$E$300,$B233)+SUMIFS(Закрытые!$K$5:$K$300,Закрытые!$E$5:$E$300,$B233,Закрытые!$B$5:$B$300,"L-*"))</f>
        <v/>
      </c>
      <c r="I233" s="240">
        <f>IF($B233="","",IF(COUNTIFS(Лэндинг!$E$5:$E$300,$B233)+COUNTIFS(Закрытые!$E$5:$E$300,$B233,Закрытые!$B$5:$B$300,"L-*")=0,"",ROUND(SUMIFS(Лэндинг!$L$5:$L$300,Лэндинг!$E$5:$E$300,$B233)+SUMIFS(Закрытые!$L$5:$L$300,Закрытые!$E$5:$E$300,$B233,Закрытые!$B$5:$B$300,"L-*"),8)))</f>
        <v/>
      </c>
      <c r="J233" s="241">
        <f>IF($B233="","",IF(COUNTIFS(Лэндинг!$E$5:$E$300,$B233)+COUNTIFS(Закрытые!$E$5:$E$300,$B233,Закрытые!$B$5:$B$300,"L-*")=0,"",ROUND(SUMIFS(Лэндинг!$M$5:$M$300,Лэндинг!$E$5:$E$300,$B233)+SUMIFS(Закрытые!$M$5:$M$300,Закрытые!$E$5:$E$300,$B233,Закрытые!$B$5:$B$300,"L-*"),8)))</f>
        <v/>
      </c>
      <c r="K233" s="240">
        <f>IF($B233="","",ROUND(SUMIFS(Закрытые!$N$5:$N$300,Закрытые!$E$5:$E$300,$B233,Закрытые!$B$5:$B$300,"L-*"),8))</f>
        <v/>
      </c>
      <c r="L233" s="177">
        <f>IF(K233="","",IF(SUMPRODUCT((Закрытые!$E$5:$E$300=$B233)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233/SUMPRODUCT((Закрытые!$E$5:$E$300=$B233)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3" s="177">
        <f>IF(OR(ROUND(N(C233)-N(F233),8)=0,1-N(Ввод!$E$17)/100&lt;=0),"",IF(N(C233)&gt;N(F233),(N(E233)-N(H233))/((N(C233)-N(F233))*(1-N(Ввод!$E$17)/100)),(N(H233)-N(E233))/((N(F233)-N(C233))*(1+N(Ввод!$E$17)/100))))</f>
        <v/>
      </c>
    </row>
    <row r="234" ht="22" customHeight="1">
      <c r="B234" s="320" t="n"/>
      <c r="C234" s="246">
        <f>IF(SUMIFS(Лэндинг!$F$5:$F$300,Лэндинг!$E$5:$E$300,$B234)+SUMIFS(Закрытые!$F$5:$F$300,Закрытые!$E$5:$E$300,$B234,Закрытые!$B$5:$B$300,"L-*")=0,"",SUMIFS(Лэндинг!$F$5:$F$300,Лэндинг!$E$5:$E$300,$B234)+SUMIFS(Закрытые!$F$5:$F$300,Закрытые!$E$5:$E$300,$B234,Закрытые!$B$5:$B$300,"L-*"))</f>
        <v/>
      </c>
      <c r="D234" s="183">
        <f>IF(C234="","",(SUMPRODUCT((Лэндинг!$E$5:$E$300=$B234)*Лэндинг!$F$5:$F$300*Лэндинг!$G$5:$G$300)+SUMPRODUCT((Закрытые!$E$5:$E$300=$B234)*(LEFT(Закрытые!$B$5:$B$300,2)="L-")*Закрытые!$F$5:$F$300*Закрытые!$G$5:$G$300))/C234)</f>
        <v/>
      </c>
      <c r="E234" s="247">
        <f>IF(C234="","",SUMIFS(Лэндинг!$H$5:$H$300,Лэндинг!$E$5:$E$300,$B234)+SUMIFS(Закрытые!$H$5:$H$300,Закрытые!$E$5:$E$300,$B234,Закрытые!$B$5:$B$300,"L-*"))</f>
        <v/>
      </c>
      <c r="F234" s="246">
        <f>IF(SUMIFS(Лэндинг!$I$5:$I$300,Лэндинг!$E$5:$E$300,$B234)+SUMIFS(Закрытые!$I$5:$I$300,Закрытые!$E$5:$E$300,$B234,Закрытые!$B$5:$B$300,"L-*")=0,"",SUMIFS(Лэндинг!$I$5:$I$300,Лэндинг!$E$5:$E$300,$B234)+SUMIFS(Закрытые!$I$5:$I$300,Закрытые!$E$5:$E$300,$B234,Закрытые!$B$5:$B$300,"L-*"))</f>
        <v/>
      </c>
      <c r="G234" s="183">
        <f>IF(F234="","",(SUMPRODUCT((Лэндинг!$E$5:$E$300=$B234)*Лэндинг!$I$5:$I$300*Лэндинг!$J$5:$J$300)+SUMPRODUCT((Закрытые!$E$5:$E$300=$B234)*(LEFT(Закрытые!$B$5:$B$300,2)="L-")*Закрытые!$I$5:$I$300*Закрытые!$J$5:$J$300))/F234)</f>
        <v/>
      </c>
      <c r="H234" s="247">
        <f>IF(F234="","",SUMIFS(Лэндинг!$K$5:$K$300,Лэндинг!$E$5:$E$300,$B234)+SUMIFS(Закрытые!$K$5:$K$300,Закрытые!$E$5:$E$300,$B234,Закрытые!$B$5:$B$300,"L-*"))</f>
        <v/>
      </c>
      <c r="I234" s="246">
        <f>IF($B234="","",IF(COUNTIFS(Лэндинг!$E$5:$E$300,$B234)+COUNTIFS(Закрытые!$E$5:$E$300,$B234,Закрытые!$B$5:$B$300,"L-*")=0,"",ROUND(SUMIFS(Лэндинг!$L$5:$L$300,Лэндинг!$E$5:$E$300,$B234)+SUMIFS(Закрытые!$L$5:$L$300,Закрытые!$E$5:$E$300,$B234,Закрытые!$B$5:$B$300,"L-*"),8)))</f>
        <v/>
      </c>
      <c r="J234" s="247">
        <f>IF($B234="","",IF(COUNTIFS(Лэндинг!$E$5:$E$300,$B234)+COUNTIFS(Закрытые!$E$5:$E$300,$B234,Закрытые!$B$5:$B$300,"L-*")=0,"",ROUND(SUMIFS(Лэндинг!$M$5:$M$300,Лэндинг!$E$5:$E$300,$B234)+SUMIFS(Закрытые!$M$5:$M$300,Закрытые!$E$5:$E$300,$B234,Закрытые!$B$5:$B$300,"L-*"),8)))</f>
        <v/>
      </c>
      <c r="K234" s="246">
        <f>IF($B234="","",ROUND(SUMIFS(Закрытые!$N$5:$N$300,Закрытые!$E$5:$E$300,$B234,Закрытые!$B$5:$B$300,"L-*"),8))</f>
        <v/>
      </c>
      <c r="L234" s="183">
        <f>IF(K234="","",IF(SUMPRODUCT((Закрытые!$E$5:$E$300=$B234)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234/SUMPRODUCT((Закрытые!$E$5:$E$300=$B234)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4" s="183">
        <f>IF(OR(ROUND(N(C234)-N(F234),8)=0,1-N(Ввод!$E$17)/100&lt;=0),"",IF(N(C234)&gt;N(F234),(N(E234)-N(H234))/((N(C234)-N(F234))*(1-N(Ввод!$E$17)/100)),(N(H234)-N(E234))/((N(F234)-N(C234))*(1+N(Ввод!$E$17)/100))))</f>
        <v/>
      </c>
    </row>
    <row r="235" ht="22" customHeight="1">
      <c r="B235" s="315" t="n"/>
      <c r="C235" s="240">
        <f>IF(SUMIFS(Лэндинг!$F$5:$F$300,Лэндинг!$E$5:$E$300,$B235)+SUMIFS(Закрытые!$F$5:$F$300,Закрытые!$E$5:$E$300,$B235,Закрытые!$B$5:$B$300,"L-*")=0,"",SUMIFS(Лэндинг!$F$5:$F$300,Лэндинг!$E$5:$E$300,$B235)+SUMIFS(Закрытые!$F$5:$F$300,Закрытые!$E$5:$E$300,$B235,Закрытые!$B$5:$B$300,"L-*"))</f>
        <v/>
      </c>
      <c r="D235" s="177">
        <f>IF(C235="","",(SUMPRODUCT((Лэндинг!$E$5:$E$300=$B235)*Лэндинг!$F$5:$F$300*Лэндинг!$G$5:$G$300)+SUMPRODUCT((Закрытые!$E$5:$E$300=$B235)*(LEFT(Закрытые!$B$5:$B$300,2)="L-")*Закрытые!$F$5:$F$300*Закрытые!$G$5:$G$300))/C235)</f>
        <v/>
      </c>
      <c r="E235" s="241">
        <f>IF(C235="","",SUMIFS(Лэндинг!$H$5:$H$300,Лэндинг!$E$5:$E$300,$B235)+SUMIFS(Закрытые!$H$5:$H$300,Закрытые!$E$5:$E$300,$B235,Закрытые!$B$5:$B$300,"L-*"))</f>
        <v/>
      </c>
      <c r="F235" s="240">
        <f>IF(SUMIFS(Лэндинг!$I$5:$I$300,Лэндинг!$E$5:$E$300,$B235)+SUMIFS(Закрытые!$I$5:$I$300,Закрытые!$E$5:$E$300,$B235,Закрытые!$B$5:$B$300,"L-*")=0,"",SUMIFS(Лэндинг!$I$5:$I$300,Лэндинг!$E$5:$E$300,$B235)+SUMIFS(Закрытые!$I$5:$I$300,Закрытые!$E$5:$E$300,$B235,Закрытые!$B$5:$B$300,"L-*"))</f>
        <v/>
      </c>
      <c r="G235" s="177">
        <f>IF(F235="","",(SUMPRODUCT((Лэндинг!$E$5:$E$300=$B235)*Лэндинг!$I$5:$I$300*Лэндинг!$J$5:$J$300)+SUMPRODUCT((Закрытые!$E$5:$E$300=$B235)*(LEFT(Закрытые!$B$5:$B$300,2)="L-")*Закрытые!$I$5:$I$300*Закрытые!$J$5:$J$300))/F235)</f>
        <v/>
      </c>
      <c r="H235" s="241">
        <f>IF(F235="","",SUMIFS(Лэндинг!$K$5:$K$300,Лэндинг!$E$5:$E$300,$B235)+SUMIFS(Закрытые!$K$5:$K$300,Закрытые!$E$5:$E$300,$B235,Закрытые!$B$5:$B$300,"L-*"))</f>
        <v/>
      </c>
      <c r="I235" s="240">
        <f>IF($B235="","",IF(COUNTIFS(Лэндинг!$E$5:$E$300,$B235)+COUNTIFS(Закрытые!$E$5:$E$300,$B235,Закрытые!$B$5:$B$300,"L-*")=0,"",ROUND(SUMIFS(Лэндинг!$L$5:$L$300,Лэндинг!$E$5:$E$300,$B235)+SUMIFS(Закрытые!$L$5:$L$300,Закрытые!$E$5:$E$300,$B235,Закрытые!$B$5:$B$300,"L-*"),8)))</f>
        <v/>
      </c>
      <c r="J235" s="241">
        <f>IF($B235="","",IF(COUNTIFS(Лэндинг!$E$5:$E$300,$B235)+COUNTIFS(Закрытые!$E$5:$E$300,$B235,Закрытые!$B$5:$B$300,"L-*")=0,"",ROUND(SUMIFS(Лэндинг!$M$5:$M$300,Лэндинг!$E$5:$E$300,$B235)+SUMIFS(Закрытые!$M$5:$M$300,Закрытые!$E$5:$E$300,$B235,Закрытые!$B$5:$B$300,"L-*"),8)))</f>
        <v/>
      </c>
      <c r="K235" s="240">
        <f>IF($B235="","",ROUND(SUMIFS(Закрытые!$N$5:$N$300,Закрытые!$E$5:$E$300,$B235,Закрытые!$B$5:$B$300,"L-*"),8))</f>
        <v/>
      </c>
      <c r="L235" s="177">
        <f>IF(K235="","",IF(SUMPRODUCT((Закрытые!$E$5:$E$300=$B235)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235/SUMPRODUCT((Закрытые!$E$5:$E$300=$B235)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5" s="177">
        <f>IF(OR(ROUND(N(C235)-N(F235),8)=0,1-N(Ввод!$E$17)/100&lt;=0),"",IF(N(C235)&gt;N(F235),(N(E235)-N(H235))/((N(C235)-N(F235))*(1-N(Ввод!$E$17)/100)),(N(H235)-N(E235))/((N(F235)-N(C235))*(1+N(Ввод!$E$17)/100))))</f>
        <v/>
      </c>
    </row>
    <row r="236" ht="22" customHeight="1">
      <c r="B236" s="320" t="n"/>
      <c r="C236" s="246">
        <f>IF(SUMIFS(Лэндинг!$F$5:$F$300,Лэндинг!$E$5:$E$300,$B236)+SUMIFS(Закрытые!$F$5:$F$300,Закрытые!$E$5:$E$300,$B236,Закрытые!$B$5:$B$300,"L-*")=0,"",SUMIFS(Лэндинг!$F$5:$F$300,Лэндинг!$E$5:$E$300,$B236)+SUMIFS(Закрытые!$F$5:$F$300,Закрытые!$E$5:$E$300,$B236,Закрытые!$B$5:$B$300,"L-*"))</f>
        <v/>
      </c>
      <c r="D236" s="183">
        <f>IF(C236="","",(SUMPRODUCT((Лэндинг!$E$5:$E$300=$B236)*Лэндинг!$F$5:$F$300*Лэндинг!$G$5:$G$300)+SUMPRODUCT((Закрытые!$E$5:$E$300=$B236)*(LEFT(Закрытые!$B$5:$B$300,2)="L-")*Закрытые!$F$5:$F$300*Закрытые!$G$5:$G$300))/C236)</f>
        <v/>
      </c>
      <c r="E236" s="247">
        <f>IF(C236="","",SUMIFS(Лэндинг!$H$5:$H$300,Лэндинг!$E$5:$E$300,$B236)+SUMIFS(Закрытые!$H$5:$H$300,Закрытые!$E$5:$E$300,$B236,Закрытые!$B$5:$B$300,"L-*"))</f>
        <v/>
      </c>
      <c r="F236" s="246">
        <f>IF(SUMIFS(Лэндинг!$I$5:$I$300,Лэндинг!$E$5:$E$300,$B236)+SUMIFS(Закрытые!$I$5:$I$300,Закрытые!$E$5:$E$300,$B236,Закрытые!$B$5:$B$300,"L-*")=0,"",SUMIFS(Лэндинг!$I$5:$I$300,Лэндинг!$E$5:$E$300,$B236)+SUMIFS(Закрытые!$I$5:$I$300,Закрытые!$E$5:$E$300,$B236,Закрытые!$B$5:$B$300,"L-*"))</f>
        <v/>
      </c>
      <c r="G236" s="183">
        <f>IF(F236="","",(SUMPRODUCT((Лэндинг!$E$5:$E$300=$B236)*Лэндинг!$I$5:$I$300*Лэндинг!$J$5:$J$300)+SUMPRODUCT((Закрытые!$E$5:$E$300=$B236)*(LEFT(Закрытые!$B$5:$B$300,2)="L-")*Закрытые!$I$5:$I$300*Закрытые!$J$5:$J$300))/F236)</f>
        <v/>
      </c>
      <c r="H236" s="247">
        <f>IF(F236="","",SUMIFS(Лэндинг!$K$5:$K$300,Лэндинг!$E$5:$E$300,$B236)+SUMIFS(Закрытые!$K$5:$K$300,Закрытые!$E$5:$E$300,$B236,Закрытые!$B$5:$B$300,"L-*"))</f>
        <v/>
      </c>
      <c r="I236" s="246">
        <f>IF($B236="","",IF(COUNTIFS(Лэндинг!$E$5:$E$300,$B236)+COUNTIFS(Закрытые!$E$5:$E$300,$B236,Закрытые!$B$5:$B$300,"L-*")=0,"",ROUND(SUMIFS(Лэндинг!$L$5:$L$300,Лэндинг!$E$5:$E$300,$B236)+SUMIFS(Закрытые!$L$5:$L$300,Закрытые!$E$5:$E$300,$B236,Закрытые!$B$5:$B$300,"L-*"),8)))</f>
        <v/>
      </c>
      <c r="J236" s="247">
        <f>IF($B236="","",IF(COUNTIFS(Лэндинг!$E$5:$E$300,$B236)+COUNTIFS(Закрытые!$E$5:$E$300,$B236,Закрытые!$B$5:$B$300,"L-*")=0,"",ROUND(SUMIFS(Лэндинг!$M$5:$M$300,Лэндинг!$E$5:$E$300,$B236)+SUMIFS(Закрытые!$M$5:$M$300,Закрытые!$E$5:$E$300,$B236,Закрытые!$B$5:$B$300,"L-*"),8)))</f>
        <v/>
      </c>
      <c r="K236" s="246">
        <f>IF($B236="","",ROUND(SUMIFS(Закрытые!$N$5:$N$300,Закрытые!$E$5:$E$300,$B236,Закрытые!$B$5:$B$300,"L-*"),8))</f>
        <v/>
      </c>
      <c r="L236" s="183">
        <f>IF(K236="","",IF(SUMPRODUCT((Закрытые!$E$5:$E$300=$B236)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236/SUMPRODUCT((Закрытые!$E$5:$E$300=$B236)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6" s="183">
        <f>IF(OR(ROUND(N(C236)-N(F236),8)=0,1-N(Ввод!$E$17)/100&lt;=0),"",IF(N(C236)&gt;N(F236),(N(E236)-N(H236))/((N(C236)-N(F236))*(1-N(Ввод!$E$17)/100)),(N(H236)-N(E236))/((N(F236)-N(C236))*(1+N(Ввод!$E$17)/100))))</f>
        <v/>
      </c>
    </row>
    <row r="237" ht="22" customHeight="1">
      <c r="B237" s="315" t="n"/>
      <c r="C237" s="240">
        <f>IF(SUMIFS(Лэндинг!$F$5:$F$300,Лэндинг!$E$5:$E$300,$B237)+SUMIFS(Закрытые!$F$5:$F$300,Закрытые!$E$5:$E$300,$B237,Закрытые!$B$5:$B$300,"L-*")=0,"",SUMIFS(Лэндинг!$F$5:$F$300,Лэндинг!$E$5:$E$300,$B237)+SUMIFS(Закрытые!$F$5:$F$300,Закрытые!$E$5:$E$300,$B237,Закрытые!$B$5:$B$300,"L-*"))</f>
        <v/>
      </c>
      <c r="D237" s="177">
        <f>IF(C237="","",(SUMPRODUCT((Лэндинг!$E$5:$E$300=$B237)*Лэндинг!$F$5:$F$300*Лэндинг!$G$5:$G$300)+SUMPRODUCT((Закрытые!$E$5:$E$300=$B237)*(LEFT(Закрытые!$B$5:$B$300,2)="L-")*Закрытые!$F$5:$F$300*Закрытые!$G$5:$G$300))/C237)</f>
        <v/>
      </c>
      <c r="E237" s="241">
        <f>IF(C237="","",SUMIFS(Лэндинг!$H$5:$H$300,Лэндинг!$E$5:$E$300,$B237)+SUMIFS(Закрытые!$H$5:$H$300,Закрытые!$E$5:$E$300,$B237,Закрытые!$B$5:$B$300,"L-*"))</f>
        <v/>
      </c>
      <c r="F237" s="240">
        <f>IF(SUMIFS(Лэндинг!$I$5:$I$300,Лэндинг!$E$5:$E$300,$B237)+SUMIFS(Закрытые!$I$5:$I$300,Закрытые!$E$5:$E$300,$B237,Закрытые!$B$5:$B$300,"L-*")=0,"",SUMIFS(Лэндинг!$I$5:$I$300,Лэндинг!$E$5:$E$300,$B237)+SUMIFS(Закрытые!$I$5:$I$300,Закрытые!$E$5:$E$300,$B237,Закрытые!$B$5:$B$300,"L-*"))</f>
        <v/>
      </c>
      <c r="G237" s="177">
        <f>IF(F237="","",(SUMPRODUCT((Лэндинг!$E$5:$E$300=$B237)*Лэндинг!$I$5:$I$300*Лэндинг!$J$5:$J$300)+SUMPRODUCT((Закрытые!$E$5:$E$300=$B237)*(LEFT(Закрытые!$B$5:$B$300,2)="L-")*Закрытые!$I$5:$I$300*Закрытые!$J$5:$J$300))/F237)</f>
        <v/>
      </c>
      <c r="H237" s="241">
        <f>IF(F237="","",SUMIFS(Лэндинг!$K$5:$K$300,Лэндинг!$E$5:$E$300,$B237)+SUMIFS(Закрытые!$K$5:$K$300,Закрытые!$E$5:$E$300,$B237,Закрытые!$B$5:$B$300,"L-*"))</f>
        <v/>
      </c>
      <c r="I237" s="240">
        <f>IF($B237="","",IF(COUNTIFS(Лэндинг!$E$5:$E$300,$B237)+COUNTIFS(Закрытые!$E$5:$E$300,$B237,Закрытые!$B$5:$B$300,"L-*")=0,"",ROUND(SUMIFS(Лэндинг!$L$5:$L$300,Лэндинг!$E$5:$E$300,$B237)+SUMIFS(Закрытые!$L$5:$L$300,Закрытые!$E$5:$E$300,$B237,Закрытые!$B$5:$B$300,"L-*"),8)))</f>
        <v/>
      </c>
      <c r="J237" s="241">
        <f>IF($B237="","",IF(COUNTIFS(Лэндинг!$E$5:$E$300,$B237)+COUNTIFS(Закрытые!$E$5:$E$300,$B237,Закрытые!$B$5:$B$300,"L-*")=0,"",ROUND(SUMIFS(Лэндинг!$M$5:$M$300,Лэндинг!$E$5:$E$300,$B237)+SUMIFS(Закрытые!$M$5:$M$300,Закрытые!$E$5:$E$300,$B237,Закрытые!$B$5:$B$300,"L-*"),8)))</f>
        <v/>
      </c>
      <c r="K237" s="240">
        <f>IF($B237="","",ROUND(SUMIFS(Закрытые!$N$5:$N$300,Закрытые!$E$5:$E$300,$B237,Закрытые!$B$5:$B$300,"L-*"),8))</f>
        <v/>
      </c>
      <c r="L237" s="177">
        <f>IF(K237="","",IF(SUMPRODUCT((Закрытые!$E$5:$E$300=$B237)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237/SUMPRODUCT((Закрытые!$E$5:$E$300=$B237)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7" s="177">
        <f>IF(OR(ROUND(N(C237)-N(F237),8)=0,1-N(Ввод!$E$17)/100&lt;=0),"",IF(N(C237)&gt;N(F237),(N(E237)-N(H237))/((N(C237)-N(F237))*(1-N(Ввод!$E$17)/100)),(N(H237)-N(E237))/((N(F237)-N(C237))*(1+N(Ввод!$E$17)/100))))</f>
        <v/>
      </c>
    </row>
    <row r="238" ht="22" customHeight="1">
      <c r="B238" s="320" t="n"/>
      <c r="C238" s="246">
        <f>IF(SUMIFS(Лэндинг!$F$5:$F$300,Лэндинг!$E$5:$E$300,$B238)+SUMIFS(Закрытые!$F$5:$F$300,Закрытые!$E$5:$E$300,$B238,Закрытые!$B$5:$B$300,"L-*")=0,"",SUMIFS(Лэндинг!$F$5:$F$300,Лэндинг!$E$5:$E$300,$B238)+SUMIFS(Закрытые!$F$5:$F$300,Закрытые!$E$5:$E$300,$B238,Закрытые!$B$5:$B$300,"L-*"))</f>
        <v/>
      </c>
      <c r="D238" s="183">
        <f>IF(C238="","",(SUMPRODUCT((Лэндинг!$E$5:$E$300=$B238)*Лэндинг!$F$5:$F$300*Лэндинг!$G$5:$G$300)+SUMPRODUCT((Закрытые!$E$5:$E$300=$B238)*(LEFT(Закрытые!$B$5:$B$300,2)="L-")*Закрытые!$F$5:$F$300*Закрытые!$G$5:$G$300))/C238)</f>
        <v/>
      </c>
      <c r="E238" s="247">
        <f>IF(C238="","",SUMIFS(Лэндинг!$H$5:$H$300,Лэндинг!$E$5:$E$300,$B238)+SUMIFS(Закрытые!$H$5:$H$300,Закрытые!$E$5:$E$300,$B238,Закрытые!$B$5:$B$300,"L-*"))</f>
        <v/>
      </c>
      <c r="F238" s="246">
        <f>IF(SUMIFS(Лэндинг!$I$5:$I$300,Лэндинг!$E$5:$E$300,$B238)+SUMIFS(Закрытые!$I$5:$I$300,Закрытые!$E$5:$E$300,$B238,Закрытые!$B$5:$B$300,"L-*")=0,"",SUMIFS(Лэндинг!$I$5:$I$300,Лэндинг!$E$5:$E$300,$B238)+SUMIFS(Закрытые!$I$5:$I$300,Закрытые!$E$5:$E$300,$B238,Закрытые!$B$5:$B$300,"L-*"))</f>
        <v/>
      </c>
      <c r="G238" s="183">
        <f>IF(F238="","",(SUMPRODUCT((Лэндинг!$E$5:$E$300=$B238)*Лэндинг!$I$5:$I$300*Лэндинг!$J$5:$J$300)+SUMPRODUCT((Закрытые!$E$5:$E$300=$B238)*(LEFT(Закрытые!$B$5:$B$300,2)="L-")*Закрытые!$I$5:$I$300*Закрытые!$J$5:$J$300))/F238)</f>
        <v/>
      </c>
      <c r="H238" s="247">
        <f>IF(F238="","",SUMIFS(Лэндинг!$K$5:$K$300,Лэндинг!$E$5:$E$300,$B238)+SUMIFS(Закрытые!$K$5:$K$300,Закрытые!$E$5:$E$300,$B238,Закрытые!$B$5:$B$300,"L-*"))</f>
        <v/>
      </c>
      <c r="I238" s="246">
        <f>IF($B238="","",IF(COUNTIFS(Лэндинг!$E$5:$E$300,$B238)+COUNTIFS(Закрытые!$E$5:$E$300,$B238,Закрытые!$B$5:$B$300,"L-*")=0,"",ROUND(SUMIFS(Лэндинг!$L$5:$L$300,Лэндинг!$E$5:$E$300,$B238)+SUMIFS(Закрытые!$L$5:$L$300,Закрытые!$E$5:$E$300,$B238,Закрытые!$B$5:$B$300,"L-*"),8)))</f>
        <v/>
      </c>
      <c r="J238" s="247">
        <f>IF($B238="","",IF(COUNTIFS(Лэндинг!$E$5:$E$300,$B238)+COUNTIFS(Закрытые!$E$5:$E$300,$B238,Закрытые!$B$5:$B$300,"L-*")=0,"",ROUND(SUMIFS(Лэндинг!$M$5:$M$300,Лэндинг!$E$5:$E$300,$B238)+SUMIFS(Закрытые!$M$5:$M$300,Закрытые!$E$5:$E$300,$B238,Закрытые!$B$5:$B$300,"L-*"),8)))</f>
        <v/>
      </c>
      <c r="K238" s="246">
        <f>IF($B238="","",ROUND(SUMIFS(Закрытые!$N$5:$N$300,Закрытые!$E$5:$E$300,$B238,Закрытые!$B$5:$B$300,"L-*"),8))</f>
        <v/>
      </c>
      <c r="L238" s="183">
        <f>IF(K238="","",IF(SUMPRODUCT((Закрытые!$E$5:$E$300=$B238)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238/SUMPRODUCT((Закрытые!$E$5:$E$300=$B238)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8" s="183">
        <f>IF(OR(ROUND(N(C238)-N(F238),8)=0,1-N(Ввод!$E$17)/100&lt;=0),"",IF(N(C238)&gt;N(F238),(N(E238)-N(H238))/((N(C238)-N(F238))*(1-N(Ввод!$E$17)/100)),(N(H238)-N(E238))/((N(F238)-N(C238))*(1+N(Ввод!$E$17)/100))))</f>
        <v/>
      </c>
    </row>
    <row r="239" ht="22" customHeight="1">
      <c r="B239" s="315" t="n"/>
      <c r="C239" s="240">
        <f>IF(SUMIFS(Лэндинг!$F$5:$F$300,Лэндинг!$E$5:$E$300,$B239)+SUMIFS(Закрытые!$F$5:$F$300,Закрытые!$E$5:$E$300,$B239,Закрытые!$B$5:$B$300,"L-*")=0,"",SUMIFS(Лэндинг!$F$5:$F$300,Лэндинг!$E$5:$E$300,$B239)+SUMIFS(Закрытые!$F$5:$F$300,Закрытые!$E$5:$E$300,$B239,Закрытые!$B$5:$B$300,"L-*"))</f>
        <v/>
      </c>
      <c r="D239" s="177">
        <f>IF(C239="","",(SUMPRODUCT((Лэндинг!$E$5:$E$300=$B239)*Лэндинг!$F$5:$F$300*Лэндинг!$G$5:$G$300)+SUMPRODUCT((Закрытые!$E$5:$E$300=$B239)*(LEFT(Закрытые!$B$5:$B$300,2)="L-")*Закрытые!$F$5:$F$300*Закрытые!$G$5:$G$300))/C239)</f>
        <v/>
      </c>
      <c r="E239" s="241">
        <f>IF(C239="","",SUMIFS(Лэндинг!$H$5:$H$300,Лэндинг!$E$5:$E$300,$B239)+SUMIFS(Закрытые!$H$5:$H$300,Закрытые!$E$5:$E$300,$B239,Закрытые!$B$5:$B$300,"L-*"))</f>
        <v/>
      </c>
      <c r="F239" s="240">
        <f>IF(SUMIFS(Лэндинг!$I$5:$I$300,Лэндинг!$E$5:$E$300,$B239)+SUMIFS(Закрытые!$I$5:$I$300,Закрытые!$E$5:$E$300,$B239,Закрытые!$B$5:$B$300,"L-*")=0,"",SUMIFS(Лэндинг!$I$5:$I$300,Лэндинг!$E$5:$E$300,$B239)+SUMIFS(Закрытые!$I$5:$I$300,Закрытые!$E$5:$E$300,$B239,Закрытые!$B$5:$B$300,"L-*"))</f>
        <v/>
      </c>
      <c r="G239" s="177">
        <f>IF(F239="","",(SUMPRODUCT((Лэндинг!$E$5:$E$300=$B239)*Лэндинг!$I$5:$I$300*Лэндинг!$J$5:$J$300)+SUMPRODUCT((Закрытые!$E$5:$E$300=$B239)*(LEFT(Закрытые!$B$5:$B$300,2)="L-")*Закрытые!$I$5:$I$300*Закрытые!$J$5:$J$300))/F239)</f>
        <v/>
      </c>
      <c r="H239" s="241">
        <f>IF(F239="","",SUMIFS(Лэндинг!$K$5:$K$300,Лэндинг!$E$5:$E$300,$B239)+SUMIFS(Закрытые!$K$5:$K$300,Закрытые!$E$5:$E$300,$B239,Закрытые!$B$5:$B$300,"L-*"))</f>
        <v/>
      </c>
      <c r="I239" s="240">
        <f>IF($B239="","",IF(COUNTIFS(Лэндинг!$E$5:$E$300,$B239)+COUNTIFS(Закрытые!$E$5:$E$300,$B239,Закрытые!$B$5:$B$300,"L-*")=0,"",ROUND(SUMIFS(Лэндинг!$L$5:$L$300,Лэндинг!$E$5:$E$300,$B239)+SUMIFS(Закрытые!$L$5:$L$300,Закрытые!$E$5:$E$300,$B239,Закрытые!$B$5:$B$300,"L-*"),8)))</f>
        <v/>
      </c>
      <c r="J239" s="241">
        <f>IF($B239="","",IF(COUNTIFS(Лэндинг!$E$5:$E$300,$B239)+COUNTIFS(Закрытые!$E$5:$E$300,$B239,Закрытые!$B$5:$B$300,"L-*")=0,"",ROUND(SUMIFS(Лэндинг!$M$5:$M$300,Лэндинг!$E$5:$E$300,$B239)+SUMIFS(Закрытые!$M$5:$M$300,Закрытые!$E$5:$E$300,$B239,Закрытые!$B$5:$B$300,"L-*"),8)))</f>
        <v/>
      </c>
      <c r="K239" s="240">
        <f>IF($B239="","",ROUND(SUMIFS(Закрытые!$N$5:$N$300,Закрытые!$E$5:$E$300,$B239,Закрытые!$B$5:$B$300,"L-*"),8))</f>
        <v/>
      </c>
      <c r="L239" s="177">
        <f>IF(K239="","",IF(SUMPRODUCT((Закрытые!$E$5:$E$300=$B239)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239/SUMPRODUCT((Закрытые!$E$5:$E$300=$B239)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9" s="177">
        <f>IF(OR(ROUND(N(C239)-N(F239),8)=0,1-N(Ввод!$E$17)/100&lt;=0),"",IF(N(C239)&gt;N(F239),(N(E239)-N(H239))/((N(C239)-N(F239))*(1-N(Ввод!$E$17)/100)),(N(H239)-N(E239))/((N(F239)-N(C239))*(1+N(Ввод!$E$17)/100))))</f>
        <v/>
      </c>
    </row>
    <row r="240" ht="22" customHeight="1">
      <c r="B240" s="320" t="n"/>
      <c r="C240" s="246">
        <f>IF(SUMIFS(Лэндинг!$F$5:$F$300,Лэндинг!$E$5:$E$300,$B240)+SUMIFS(Закрытые!$F$5:$F$300,Закрытые!$E$5:$E$300,$B240,Закрытые!$B$5:$B$300,"L-*")=0,"",SUMIFS(Лэндинг!$F$5:$F$300,Лэндинг!$E$5:$E$300,$B240)+SUMIFS(Закрытые!$F$5:$F$300,Закрытые!$E$5:$E$300,$B240,Закрытые!$B$5:$B$300,"L-*"))</f>
        <v/>
      </c>
      <c r="D240" s="183">
        <f>IF(C240="","",(SUMPRODUCT((Лэндинг!$E$5:$E$300=$B240)*Лэндинг!$F$5:$F$300*Лэндинг!$G$5:$G$300)+SUMPRODUCT((Закрытые!$E$5:$E$300=$B240)*(LEFT(Закрытые!$B$5:$B$300,2)="L-")*Закрытые!$F$5:$F$300*Закрытые!$G$5:$G$300))/C240)</f>
        <v/>
      </c>
      <c r="E240" s="247">
        <f>IF(C240="","",SUMIFS(Лэндинг!$H$5:$H$300,Лэндинг!$E$5:$E$300,$B240)+SUMIFS(Закрытые!$H$5:$H$300,Закрытые!$E$5:$E$300,$B240,Закрытые!$B$5:$B$300,"L-*"))</f>
        <v/>
      </c>
      <c r="F240" s="246">
        <f>IF(SUMIFS(Лэндинг!$I$5:$I$300,Лэндинг!$E$5:$E$300,$B240)+SUMIFS(Закрытые!$I$5:$I$300,Закрытые!$E$5:$E$300,$B240,Закрытые!$B$5:$B$300,"L-*")=0,"",SUMIFS(Лэндинг!$I$5:$I$300,Лэндинг!$E$5:$E$300,$B240)+SUMIFS(Закрытые!$I$5:$I$300,Закрытые!$E$5:$E$300,$B240,Закрытые!$B$5:$B$300,"L-*"))</f>
        <v/>
      </c>
      <c r="G240" s="183">
        <f>IF(F240="","",(SUMPRODUCT((Лэндинг!$E$5:$E$300=$B240)*Лэндинг!$I$5:$I$300*Лэндинг!$J$5:$J$300)+SUMPRODUCT((Закрытые!$E$5:$E$300=$B240)*(LEFT(Закрытые!$B$5:$B$300,2)="L-")*Закрытые!$I$5:$I$300*Закрытые!$J$5:$J$300))/F240)</f>
        <v/>
      </c>
      <c r="H240" s="247">
        <f>IF(F240="","",SUMIFS(Лэндинг!$K$5:$K$300,Лэндинг!$E$5:$E$300,$B240)+SUMIFS(Закрытые!$K$5:$K$300,Закрытые!$E$5:$E$300,$B240,Закрытые!$B$5:$B$300,"L-*"))</f>
        <v/>
      </c>
      <c r="I240" s="246">
        <f>IF($B240="","",IF(COUNTIFS(Лэндинг!$E$5:$E$300,$B240)+COUNTIFS(Закрытые!$E$5:$E$300,$B240,Закрытые!$B$5:$B$300,"L-*")=0,"",ROUND(SUMIFS(Лэндинг!$L$5:$L$300,Лэндинг!$E$5:$E$300,$B240)+SUMIFS(Закрытые!$L$5:$L$300,Закрытые!$E$5:$E$300,$B240,Закрытые!$B$5:$B$300,"L-*"),8)))</f>
        <v/>
      </c>
      <c r="J240" s="247">
        <f>IF($B240="","",IF(COUNTIFS(Лэндинг!$E$5:$E$300,$B240)+COUNTIFS(Закрытые!$E$5:$E$300,$B240,Закрытые!$B$5:$B$300,"L-*")=0,"",ROUND(SUMIFS(Лэндинг!$M$5:$M$300,Лэндинг!$E$5:$E$300,$B240)+SUMIFS(Закрытые!$M$5:$M$300,Закрытые!$E$5:$E$300,$B240,Закрытые!$B$5:$B$300,"L-*"),8)))</f>
        <v/>
      </c>
      <c r="K240" s="246">
        <f>IF($B240="","",ROUND(SUMIFS(Закрытые!$N$5:$N$300,Закрытые!$E$5:$E$300,$B240,Закрытые!$B$5:$B$300,"L-*"),8))</f>
        <v/>
      </c>
      <c r="L240" s="183">
        <f>IF(K240="","",IF(SUMPRODUCT((Закрытые!$E$5:$E$300=$B240)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240/SUMPRODUCT((Закрытые!$E$5:$E$300=$B240)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0" s="183">
        <f>IF(OR(ROUND(N(C240)-N(F240),8)=0,1-N(Ввод!$E$17)/100&lt;=0),"",IF(N(C240)&gt;N(F240),(N(E240)-N(H240))/((N(C240)-N(F240))*(1-N(Ввод!$E$17)/100)),(N(H240)-N(E240))/((N(F240)-N(C240))*(1+N(Ввод!$E$17)/100))))</f>
        <v/>
      </c>
    </row>
    <row r="241" ht="22" customHeight="1">
      <c r="B241" s="315" t="n"/>
      <c r="C241" s="240">
        <f>IF(SUMIFS(Лэндинг!$F$5:$F$300,Лэндинг!$E$5:$E$300,$B241)+SUMIFS(Закрытые!$F$5:$F$300,Закрытые!$E$5:$E$300,$B241,Закрытые!$B$5:$B$300,"L-*")=0,"",SUMIFS(Лэндинг!$F$5:$F$300,Лэндинг!$E$5:$E$300,$B241)+SUMIFS(Закрытые!$F$5:$F$300,Закрытые!$E$5:$E$300,$B241,Закрытые!$B$5:$B$300,"L-*"))</f>
        <v/>
      </c>
      <c r="D241" s="177">
        <f>IF(C241="","",(SUMPRODUCT((Лэндинг!$E$5:$E$300=$B241)*Лэндинг!$F$5:$F$300*Лэндинг!$G$5:$G$300)+SUMPRODUCT((Закрытые!$E$5:$E$300=$B241)*(LEFT(Закрытые!$B$5:$B$300,2)="L-")*Закрытые!$F$5:$F$300*Закрытые!$G$5:$G$300))/C241)</f>
        <v/>
      </c>
      <c r="E241" s="241">
        <f>IF(C241="","",SUMIFS(Лэндинг!$H$5:$H$300,Лэндинг!$E$5:$E$300,$B241)+SUMIFS(Закрытые!$H$5:$H$300,Закрытые!$E$5:$E$300,$B241,Закрытые!$B$5:$B$300,"L-*"))</f>
        <v/>
      </c>
      <c r="F241" s="240">
        <f>IF(SUMIFS(Лэндинг!$I$5:$I$300,Лэндинг!$E$5:$E$300,$B241)+SUMIFS(Закрытые!$I$5:$I$300,Закрытые!$E$5:$E$300,$B241,Закрытые!$B$5:$B$300,"L-*")=0,"",SUMIFS(Лэндинг!$I$5:$I$300,Лэндинг!$E$5:$E$300,$B241)+SUMIFS(Закрытые!$I$5:$I$300,Закрытые!$E$5:$E$300,$B241,Закрытые!$B$5:$B$300,"L-*"))</f>
        <v/>
      </c>
      <c r="G241" s="177">
        <f>IF(F241="","",(SUMPRODUCT((Лэндинг!$E$5:$E$300=$B241)*Лэндинг!$I$5:$I$300*Лэндинг!$J$5:$J$300)+SUMPRODUCT((Закрытые!$E$5:$E$300=$B241)*(LEFT(Закрытые!$B$5:$B$300,2)="L-")*Закрытые!$I$5:$I$300*Закрытые!$J$5:$J$300))/F241)</f>
        <v/>
      </c>
      <c r="H241" s="241">
        <f>IF(F241="","",SUMIFS(Лэндинг!$K$5:$K$300,Лэндинг!$E$5:$E$300,$B241)+SUMIFS(Закрытые!$K$5:$K$300,Закрытые!$E$5:$E$300,$B241,Закрытые!$B$5:$B$300,"L-*"))</f>
        <v/>
      </c>
      <c r="I241" s="240">
        <f>IF($B241="","",IF(COUNTIFS(Лэндинг!$E$5:$E$300,$B241)+COUNTIFS(Закрытые!$E$5:$E$300,$B241,Закрытые!$B$5:$B$300,"L-*")=0,"",ROUND(SUMIFS(Лэндинг!$L$5:$L$300,Лэндинг!$E$5:$E$300,$B241)+SUMIFS(Закрытые!$L$5:$L$300,Закрытые!$E$5:$E$300,$B241,Закрытые!$B$5:$B$300,"L-*"),8)))</f>
        <v/>
      </c>
      <c r="J241" s="241">
        <f>IF($B241="","",IF(COUNTIFS(Лэндинг!$E$5:$E$300,$B241)+COUNTIFS(Закрытые!$E$5:$E$300,$B241,Закрытые!$B$5:$B$300,"L-*")=0,"",ROUND(SUMIFS(Лэндинг!$M$5:$M$300,Лэндинг!$E$5:$E$300,$B241)+SUMIFS(Закрытые!$M$5:$M$300,Закрытые!$E$5:$E$300,$B241,Закрытые!$B$5:$B$300,"L-*"),8)))</f>
        <v/>
      </c>
      <c r="K241" s="240">
        <f>IF($B241="","",ROUND(SUMIFS(Закрытые!$N$5:$N$300,Закрытые!$E$5:$E$300,$B241,Закрытые!$B$5:$B$300,"L-*"),8))</f>
        <v/>
      </c>
      <c r="L241" s="177">
        <f>IF(K241="","",IF(SUMPRODUCT((Закрытые!$E$5:$E$300=$B241)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241/SUMPRODUCT((Закрытые!$E$5:$E$300=$B241)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1" s="177">
        <f>IF(OR(ROUND(N(C241)-N(F241),8)=0,1-N(Ввод!$E$17)/100&lt;=0),"",IF(N(C241)&gt;N(F241),(N(E241)-N(H241))/((N(C241)-N(F241))*(1-N(Ввод!$E$17)/100)),(N(H241)-N(E241))/((N(F241)-N(C241))*(1+N(Ввод!$E$17)/100))))</f>
        <v/>
      </c>
    </row>
    <row r="242" ht="22" customHeight="1">
      <c r="B242" s="320" t="n"/>
      <c r="C242" s="246">
        <f>IF(SUMIFS(Лэндинг!$F$5:$F$300,Лэндинг!$E$5:$E$300,$B242)+SUMIFS(Закрытые!$F$5:$F$300,Закрытые!$E$5:$E$300,$B242,Закрытые!$B$5:$B$300,"L-*")=0,"",SUMIFS(Лэндинг!$F$5:$F$300,Лэндинг!$E$5:$E$300,$B242)+SUMIFS(Закрытые!$F$5:$F$300,Закрытые!$E$5:$E$300,$B242,Закрытые!$B$5:$B$300,"L-*"))</f>
        <v/>
      </c>
      <c r="D242" s="183">
        <f>IF(C242="","",(SUMPRODUCT((Лэндинг!$E$5:$E$300=$B242)*Лэндинг!$F$5:$F$300*Лэндинг!$G$5:$G$300)+SUMPRODUCT((Закрытые!$E$5:$E$300=$B242)*(LEFT(Закрытые!$B$5:$B$300,2)="L-")*Закрытые!$F$5:$F$300*Закрытые!$G$5:$G$300))/C242)</f>
        <v/>
      </c>
      <c r="E242" s="247">
        <f>IF(C242="","",SUMIFS(Лэндинг!$H$5:$H$300,Лэндинг!$E$5:$E$300,$B242)+SUMIFS(Закрытые!$H$5:$H$300,Закрытые!$E$5:$E$300,$B242,Закрытые!$B$5:$B$300,"L-*"))</f>
        <v/>
      </c>
      <c r="F242" s="246">
        <f>IF(SUMIFS(Лэндинг!$I$5:$I$300,Лэндинг!$E$5:$E$300,$B242)+SUMIFS(Закрытые!$I$5:$I$300,Закрытые!$E$5:$E$300,$B242,Закрытые!$B$5:$B$300,"L-*")=0,"",SUMIFS(Лэндинг!$I$5:$I$300,Лэндинг!$E$5:$E$300,$B242)+SUMIFS(Закрытые!$I$5:$I$300,Закрытые!$E$5:$E$300,$B242,Закрытые!$B$5:$B$300,"L-*"))</f>
        <v/>
      </c>
      <c r="G242" s="183">
        <f>IF(F242="","",(SUMPRODUCT((Лэндинг!$E$5:$E$300=$B242)*Лэндинг!$I$5:$I$300*Лэндинг!$J$5:$J$300)+SUMPRODUCT((Закрытые!$E$5:$E$300=$B242)*(LEFT(Закрытые!$B$5:$B$300,2)="L-")*Закрытые!$I$5:$I$300*Закрытые!$J$5:$J$300))/F242)</f>
        <v/>
      </c>
      <c r="H242" s="247">
        <f>IF(F242="","",SUMIFS(Лэндинг!$K$5:$K$300,Лэндинг!$E$5:$E$300,$B242)+SUMIFS(Закрытые!$K$5:$K$300,Закрытые!$E$5:$E$300,$B242,Закрытые!$B$5:$B$300,"L-*"))</f>
        <v/>
      </c>
      <c r="I242" s="246">
        <f>IF($B242="","",IF(COUNTIFS(Лэндинг!$E$5:$E$300,$B242)+COUNTIFS(Закрытые!$E$5:$E$300,$B242,Закрытые!$B$5:$B$300,"L-*")=0,"",ROUND(SUMIFS(Лэндинг!$L$5:$L$300,Лэндинг!$E$5:$E$300,$B242)+SUMIFS(Закрытые!$L$5:$L$300,Закрытые!$E$5:$E$300,$B242,Закрытые!$B$5:$B$300,"L-*"),8)))</f>
        <v/>
      </c>
      <c r="J242" s="247">
        <f>IF($B242="","",IF(COUNTIFS(Лэндинг!$E$5:$E$300,$B242)+COUNTIFS(Закрытые!$E$5:$E$300,$B242,Закрытые!$B$5:$B$300,"L-*")=0,"",ROUND(SUMIFS(Лэндинг!$M$5:$M$300,Лэндинг!$E$5:$E$300,$B242)+SUMIFS(Закрытые!$M$5:$M$300,Закрытые!$E$5:$E$300,$B242,Закрытые!$B$5:$B$300,"L-*"),8)))</f>
        <v/>
      </c>
      <c r="K242" s="246">
        <f>IF($B242="","",ROUND(SUMIFS(Закрытые!$N$5:$N$300,Закрытые!$E$5:$E$300,$B242,Закрытые!$B$5:$B$300,"L-*"),8))</f>
        <v/>
      </c>
      <c r="L242" s="183">
        <f>IF(K242="","",IF(SUMPRODUCT((Закрытые!$E$5:$E$300=$B242)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242/SUMPRODUCT((Закрытые!$E$5:$E$300=$B242)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2" s="183">
        <f>IF(OR(ROUND(N(C242)-N(F242),8)=0,1-N(Ввод!$E$17)/100&lt;=0),"",IF(N(C242)&gt;N(F242),(N(E242)-N(H242))/((N(C242)-N(F242))*(1-N(Ввод!$E$17)/100)),(N(H242)-N(E242))/((N(F242)-N(C242))*(1+N(Ввод!$E$17)/100))))</f>
        <v/>
      </c>
    </row>
    <row r="243" ht="22" customHeight="1">
      <c r="B243" s="315" t="n"/>
      <c r="C243" s="240">
        <f>IF(SUMIFS(Лэндинг!$F$5:$F$300,Лэндинг!$E$5:$E$300,$B243)+SUMIFS(Закрытые!$F$5:$F$300,Закрытые!$E$5:$E$300,$B243,Закрытые!$B$5:$B$300,"L-*")=0,"",SUMIFS(Лэндинг!$F$5:$F$300,Лэндинг!$E$5:$E$300,$B243)+SUMIFS(Закрытые!$F$5:$F$300,Закрытые!$E$5:$E$300,$B243,Закрытые!$B$5:$B$300,"L-*"))</f>
        <v/>
      </c>
      <c r="D243" s="177">
        <f>IF(C243="","",(SUMPRODUCT((Лэндинг!$E$5:$E$300=$B243)*Лэндинг!$F$5:$F$300*Лэндинг!$G$5:$G$300)+SUMPRODUCT((Закрытые!$E$5:$E$300=$B243)*(LEFT(Закрытые!$B$5:$B$300,2)="L-")*Закрытые!$F$5:$F$300*Закрытые!$G$5:$G$300))/C243)</f>
        <v/>
      </c>
      <c r="E243" s="241">
        <f>IF(C243="","",SUMIFS(Лэндинг!$H$5:$H$300,Лэндинг!$E$5:$E$300,$B243)+SUMIFS(Закрытые!$H$5:$H$300,Закрытые!$E$5:$E$300,$B243,Закрытые!$B$5:$B$300,"L-*"))</f>
        <v/>
      </c>
      <c r="F243" s="240">
        <f>IF(SUMIFS(Лэндинг!$I$5:$I$300,Лэндинг!$E$5:$E$300,$B243)+SUMIFS(Закрытые!$I$5:$I$300,Закрытые!$E$5:$E$300,$B243,Закрытые!$B$5:$B$300,"L-*")=0,"",SUMIFS(Лэндинг!$I$5:$I$300,Лэндинг!$E$5:$E$300,$B243)+SUMIFS(Закрытые!$I$5:$I$300,Закрытые!$E$5:$E$300,$B243,Закрытые!$B$5:$B$300,"L-*"))</f>
        <v/>
      </c>
      <c r="G243" s="177">
        <f>IF(F243="","",(SUMPRODUCT((Лэндинг!$E$5:$E$300=$B243)*Лэндинг!$I$5:$I$300*Лэндинг!$J$5:$J$300)+SUMPRODUCT((Закрытые!$E$5:$E$300=$B243)*(LEFT(Закрытые!$B$5:$B$300,2)="L-")*Закрытые!$I$5:$I$300*Закрытые!$J$5:$J$300))/F243)</f>
        <v/>
      </c>
      <c r="H243" s="241">
        <f>IF(F243="","",SUMIFS(Лэндинг!$K$5:$K$300,Лэндинг!$E$5:$E$300,$B243)+SUMIFS(Закрытые!$K$5:$K$300,Закрытые!$E$5:$E$300,$B243,Закрытые!$B$5:$B$300,"L-*"))</f>
        <v/>
      </c>
      <c r="I243" s="240">
        <f>IF($B243="","",IF(COUNTIFS(Лэндинг!$E$5:$E$300,$B243)+COUNTIFS(Закрытые!$E$5:$E$300,$B243,Закрытые!$B$5:$B$300,"L-*")=0,"",ROUND(SUMIFS(Лэндинг!$L$5:$L$300,Лэндинг!$E$5:$E$300,$B243)+SUMIFS(Закрытые!$L$5:$L$300,Закрытые!$E$5:$E$300,$B243,Закрытые!$B$5:$B$300,"L-*"),8)))</f>
        <v/>
      </c>
      <c r="J243" s="241">
        <f>IF($B243="","",IF(COUNTIFS(Лэндинг!$E$5:$E$300,$B243)+COUNTIFS(Закрытые!$E$5:$E$300,$B243,Закрытые!$B$5:$B$300,"L-*")=0,"",ROUND(SUMIFS(Лэндинг!$M$5:$M$300,Лэндинг!$E$5:$E$300,$B243)+SUMIFS(Закрытые!$M$5:$M$300,Закрытые!$E$5:$E$300,$B243,Закрытые!$B$5:$B$300,"L-*"),8)))</f>
        <v/>
      </c>
      <c r="K243" s="240">
        <f>IF($B243="","",ROUND(SUMIFS(Закрытые!$N$5:$N$300,Закрытые!$E$5:$E$300,$B243,Закрытые!$B$5:$B$300,"L-*"),8))</f>
        <v/>
      </c>
      <c r="L243" s="177">
        <f>IF(K243="","",IF(SUMPRODUCT((Закрытые!$E$5:$E$300=$B243)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243/SUMPRODUCT((Закрытые!$E$5:$E$300=$B243)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3" s="177">
        <f>IF(OR(ROUND(N(C243)-N(F243),8)=0,1-N(Ввод!$E$17)/100&lt;=0),"",IF(N(C243)&gt;N(F243),(N(E243)-N(H243))/((N(C243)-N(F243))*(1-N(Ввод!$E$17)/100)),(N(H243)-N(E243))/((N(F243)-N(C243))*(1+N(Ввод!$E$17)/100))))</f>
        <v/>
      </c>
    </row>
    <row r="244" ht="22" customHeight="1">
      <c r="B244" s="320" t="n"/>
      <c r="C244" s="246">
        <f>IF(SUMIFS(Лэндинг!$F$5:$F$300,Лэндинг!$E$5:$E$300,$B244)+SUMIFS(Закрытые!$F$5:$F$300,Закрытые!$E$5:$E$300,$B244,Закрытые!$B$5:$B$300,"L-*")=0,"",SUMIFS(Лэндинг!$F$5:$F$300,Лэндинг!$E$5:$E$300,$B244)+SUMIFS(Закрытые!$F$5:$F$300,Закрытые!$E$5:$E$300,$B244,Закрытые!$B$5:$B$300,"L-*"))</f>
        <v/>
      </c>
      <c r="D244" s="183">
        <f>IF(C244="","",(SUMPRODUCT((Лэндинг!$E$5:$E$300=$B244)*Лэндинг!$F$5:$F$300*Лэндинг!$G$5:$G$300)+SUMPRODUCT((Закрытые!$E$5:$E$300=$B244)*(LEFT(Закрытые!$B$5:$B$300,2)="L-")*Закрытые!$F$5:$F$300*Закрытые!$G$5:$G$300))/C244)</f>
        <v/>
      </c>
      <c r="E244" s="247">
        <f>IF(C244="","",SUMIFS(Лэндинг!$H$5:$H$300,Лэндинг!$E$5:$E$300,$B244)+SUMIFS(Закрытые!$H$5:$H$300,Закрытые!$E$5:$E$300,$B244,Закрытые!$B$5:$B$300,"L-*"))</f>
        <v/>
      </c>
      <c r="F244" s="246">
        <f>IF(SUMIFS(Лэндинг!$I$5:$I$300,Лэндинг!$E$5:$E$300,$B244)+SUMIFS(Закрытые!$I$5:$I$300,Закрытые!$E$5:$E$300,$B244,Закрытые!$B$5:$B$300,"L-*")=0,"",SUMIFS(Лэндинг!$I$5:$I$300,Лэндинг!$E$5:$E$300,$B244)+SUMIFS(Закрытые!$I$5:$I$300,Закрытые!$E$5:$E$300,$B244,Закрытые!$B$5:$B$300,"L-*"))</f>
        <v/>
      </c>
      <c r="G244" s="183">
        <f>IF(F244="","",(SUMPRODUCT((Лэндинг!$E$5:$E$300=$B244)*Лэндинг!$I$5:$I$300*Лэндинг!$J$5:$J$300)+SUMPRODUCT((Закрытые!$E$5:$E$300=$B244)*(LEFT(Закрытые!$B$5:$B$300,2)="L-")*Закрытые!$I$5:$I$300*Закрытые!$J$5:$J$300))/F244)</f>
        <v/>
      </c>
      <c r="H244" s="247">
        <f>IF(F244="","",SUMIFS(Лэндинг!$K$5:$K$300,Лэндинг!$E$5:$E$300,$B244)+SUMIFS(Закрытые!$K$5:$K$300,Закрытые!$E$5:$E$300,$B244,Закрытые!$B$5:$B$300,"L-*"))</f>
        <v/>
      </c>
      <c r="I244" s="246">
        <f>IF($B244="","",IF(COUNTIFS(Лэндинг!$E$5:$E$300,$B244)+COUNTIFS(Закрытые!$E$5:$E$300,$B244,Закрытые!$B$5:$B$300,"L-*")=0,"",ROUND(SUMIFS(Лэндинг!$L$5:$L$300,Лэндинг!$E$5:$E$300,$B244)+SUMIFS(Закрытые!$L$5:$L$300,Закрытые!$E$5:$E$300,$B244,Закрытые!$B$5:$B$300,"L-*"),8)))</f>
        <v/>
      </c>
      <c r="J244" s="247">
        <f>IF($B244="","",IF(COUNTIFS(Лэндинг!$E$5:$E$300,$B244)+COUNTIFS(Закрытые!$E$5:$E$300,$B244,Закрытые!$B$5:$B$300,"L-*")=0,"",ROUND(SUMIFS(Лэндинг!$M$5:$M$300,Лэндинг!$E$5:$E$300,$B244)+SUMIFS(Закрытые!$M$5:$M$300,Закрытые!$E$5:$E$300,$B244,Закрытые!$B$5:$B$300,"L-*"),8)))</f>
        <v/>
      </c>
      <c r="K244" s="246">
        <f>IF($B244="","",ROUND(SUMIFS(Закрытые!$N$5:$N$300,Закрытые!$E$5:$E$300,$B244,Закрытые!$B$5:$B$300,"L-*"),8))</f>
        <v/>
      </c>
      <c r="L244" s="183">
        <f>IF(K244="","",IF(SUMPRODUCT((Закрытые!$E$5:$E$300=$B244)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244/SUMPRODUCT((Закрытые!$E$5:$E$300=$B244)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4" s="183">
        <f>IF(OR(ROUND(N(C244)-N(F244),8)=0,1-N(Ввод!$E$17)/100&lt;=0),"",IF(N(C244)&gt;N(F244),(N(E244)-N(H244))/((N(C244)-N(F244))*(1-N(Ввод!$E$17)/100)),(N(H244)-N(E244))/((N(F244)-N(C244))*(1+N(Ввод!$E$17)/100))))</f>
        <v/>
      </c>
    </row>
    <row r="245" ht="22" customHeight="1">
      <c r="B245" s="315" t="n"/>
      <c r="C245" s="240">
        <f>IF(SUMIFS(Лэндинг!$F$5:$F$300,Лэндинг!$E$5:$E$300,$B245)+SUMIFS(Закрытые!$F$5:$F$300,Закрытые!$E$5:$E$300,$B245,Закрытые!$B$5:$B$300,"L-*")=0,"",SUMIFS(Лэндинг!$F$5:$F$300,Лэндинг!$E$5:$E$300,$B245)+SUMIFS(Закрытые!$F$5:$F$300,Закрытые!$E$5:$E$300,$B245,Закрытые!$B$5:$B$300,"L-*"))</f>
        <v/>
      </c>
      <c r="D245" s="177">
        <f>IF(C245="","",(SUMPRODUCT((Лэндинг!$E$5:$E$300=$B245)*Лэндинг!$F$5:$F$300*Лэндинг!$G$5:$G$300)+SUMPRODUCT((Закрытые!$E$5:$E$300=$B245)*(LEFT(Закрытые!$B$5:$B$300,2)="L-")*Закрытые!$F$5:$F$300*Закрытые!$G$5:$G$300))/C245)</f>
        <v/>
      </c>
      <c r="E245" s="241">
        <f>IF(C245="","",SUMIFS(Лэндинг!$H$5:$H$300,Лэндинг!$E$5:$E$300,$B245)+SUMIFS(Закрытые!$H$5:$H$300,Закрытые!$E$5:$E$300,$B245,Закрытые!$B$5:$B$300,"L-*"))</f>
        <v/>
      </c>
      <c r="F245" s="240">
        <f>IF(SUMIFS(Лэндинг!$I$5:$I$300,Лэндинг!$E$5:$E$300,$B245)+SUMIFS(Закрытые!$I$5:$I$300,Закрытые!$E$5:$E$300,$B245,Закрытые!$B$5:$B$300,"L-*")=0,"",SUMIFS(Лэндинг!$I$5:$I$300,Лэндинг!$E$5:$E$300,$B245)+SUMIFS(Закрытые!$I$5:$I$300,Закрытые!$E$5:$E$300,$B245,Закрытые!$B$5:$B$300,"L-*"))</f>
        <v/>
      </c>
      <c r="G245" s="177">
        <f>IF(F245="","",(SUMPRODUCT((Лэндинг!$E$5:$E$300=$B245)*Лэндинг!$I$5:$I$300*Лэндинг!$J$5:$J$300)+SUMPRODUCT((Закрытые!$E$5:$E$300=$B245)*(LEFT(Закрытые!$B$5:$B$300,2)="L-")*Закрытые!$I$5:$I$300*Закрытые!$J$5:$J$300))/F245)</f>
        <v/>
      </c>
      <c r="H245" s="241">
        <f>IF(F245="","",SUMIFS(Лэндинг!$K$5:$K$300,Лэндинг!$E$5:$E$300,$B245)+SUMIFS(Закрытые!$K$5:$K$300,Закрытые!$E$5:$E$300,$B245,Закрытые!$B$5:$B$300,"L-*"))</f>
        <v/>
      </c>
      <c r="I245" s="240">
        <f>IF($B245="","",IF(COUNTIFS(Лэндинг!$E$5:$E$300,$B245)+COUNTIFS(Закрытые!$E$5:$E$300,$B245,Закрытые!$B$5:$B$300,"L-*")=0,"",ROUND(SUMIFS(Лэндинг!$L$5:$L$300,Лэндинг!$E$5:$E$300,$B245)+SUMIFS(Закрытые!$L$5:$L$300,Закрытые!$E$5:$E$300,$B245,Закрытые!$B$5:$B$300,"L-*"),8)))</f>
        <v/>
      </c>
      <c r="J245" s="241">
        <f>IF($B245="","",IF(COUNTIFS(Лэндинг!$E$5:$E$300,$B245)+COUNTIFS(Закрытые!$E$5:$E$300,$B245,Закрытые!$B$5:$B$300,"L-*")=0,"",ROUND(SUMIFS(Лэндинг!$M$5:$M$300,Лэндинг!$E$5:$E$300,$B245)+SUMIFS(Закрытые!$M$5:$M$300,Закрытые!$E$5:$E$300,$B245,Закрытые!$B$5:$B$300,"L-*"),8)))</f>
        <v/>
      </c>
      <c r="K245" s="240">
        <f>IF($B245="","",ROUND(SUMIFS(Закрытые!$N$5:$N$300,Закрытые!$E$5:$E$300,$B245,Закрытые!$B$5:$B$300,"L-*"),8))</f>
        <v/>
      </c>
      <c r="L245" s="177">
        <f>IF(K245="","",IF(SUMPRODUCT((Закрытые!$E$5:$E$300=$B245)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245/SUMPRODUCT((Закрытые!$E$5:$E$300=$B245)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5" s="177">
        <f>IF(OR(ROUND(N(C245)-N(F245),8)=0,1-N(Ввод!$E$17)/100&lt;=0),"",IF(N(C245)&gt;N(F245),(N(E245)-N(H245))/((N(C245)-N(F245))*(1-N(Ввод!$E$17)/100)),(N(H245)-N(E245))/((N(F245)-N(C245))*(1+N(Ввод!$E$17)/100))))</f>
        <v/>
      </c>
    </row>
    <row r="246" ht="22" customHeight="1">
      <c r="B246" s="320" t="n"/>
      <c r="C246" s="246">
        <f>IF(SUMIFS(Лэндинг!$F$5:$F$300,Лэндинг!$E$5:$E$300,$B246)+SUMIFS(Закрытые!$F$5:$F$300,Закрытые!$E$5:$E$300,$B246,Закрытые!$B$5:$B$300,"L-*")=0,"",SUMIFS(Лэндинг!$F$5:$F$300,Лэндинг!$E$5:$E$300,$B246)+SUMIFS(Закрытые!$F$5:$F$300,Закрытые!$E$5:$E$300,$B246,Закрытые!$B$5:$B$300,"L-*"))</f>
        <v/>
      </c>
      <c r="D246" s="183">
        <f>IF(C246="","",(SUMPRODUCT((Лэндинг!$E$5:$E$300=$B246)*Лэндинг!$F$5:$F$300*Лэндинг!$G$5:$G$300)+SUMPRODUCT((Закрытые!$E$5:$E$300=$B246)*(LEFT(Закрытые!$B$5:$B$300,2)="L-")*Закрытые!$F$5:$F$300*Закрытые!$G$5:$G$300))/C246)</f>
        <v/>
      </c>
      <c r="E246" s="247">
        <f>IF(C246="","",SUMIFS(Лэндинг!$H$5:$H$300,Лэндинг!$E$5:$E$300,$B246)+SUMIFS(Закрытые!$H$5:$H$300,Закрытые!$E$5:$E$300,$B246,Закрытые!$B$5:$B$300,"L-*"))</f>
        <v/>
      </c>
      <c r="F246" s="246">
        <f>IF(SUMIFS(Лэндинг!$I$5:$I$300,Лэндинг!$E$5:$E$300,$B246)+SUMIFS(Закрытые!$I$5:$I$300,Закрытые!$E$5:$E$300,$B246,Закрытые!$B$5:$B$300,"L-*")=0,"",SUMIFS(Лэндинг!$I$5:$I$300,Лэндинг!$E$5:$E$300,$B246)+SUMIFS(Закрытые!$I$5:$I$300,Закрытые!$E$5:$E$300,$B246,Закрытые!$B$5:$B$300,"L-*"))</f>
        <v/>
      </c>
      <c r="G246" s="183">
        <f>IF(F246="","",(SUMPRODUCT((Лэндинг!$E$5:$E$300=$B246)*Лэндинг!$I$5:$I$300*Лэндинг!$J$5:$J$300)+SUMPRODUCT((Закрытые!$E$5:$E$300=$B246)*(LEFT(Закрытые!$B$5:$B$300,2)="L-")*Закрытые!$I$5:$I$300*Закрытые!$J$5:$J$300))/F246)</f>
        <v/>
      </c>
      <c r="H246" s="247">
        <f>IF(F246="","",SUMIFS(Лэндинг!$K$5:$K$300,Лэндинг!$E$5:$E$300,$B246)+SUMIFS(Закрытые!$K$5:$K$300,Закрытые!$E$5:$E$300,$B246,Закрытые!$B$5:$B$300,"L-*"))</f>
        <v/>
      </c>
      <c r="I246" s="246">
        <f>IF($B246="","",IF(COUNTIFS(Лэндинг!$E$5:$E$300,$B246)+COUNTIFS(Закрытые!$E$5:$E$300,$B246,Закрытые!$B$5:$B$300,"L-*")=0,"",ROUND(SUMIFS(Лэндинг!$L$5:$L$300,Лэндинг!$E$5:$E$300,$B246)+SUMIFS(Закрытые!$L$5:$L$300,Закрытые!$E$5:$E$300,$B246,Закрытые!$B$5:$B$300,"L-*"),8)))</f>
        <v/>
      </c>
      <c r="J246" s="247">
        <f>IF($B246="","",IF(COUNTIFS(Лэндинг!$E$5:$E$300,$B246)+COUNTIFS(Закрытые!$E$5:$E$300,$B246,Закрытые!$B$5:$B$300,"L-*")=0,"",ROUND(SUMIFS(Лэндинг!$M$5:$M$300,Лэндинг!$E$5:$E$300,$B246)+SUMIFS(Закрытые!$M$5:$M$300,Закрытые!$E$5:$E$300,$B246,Закрытые!$B$5:$B$300,"L-*"),8)))</f>
        <v/>
      </c>
      <c r="K246" s="246">
        <f>IF($B246="","",ROUND(SUMIFS(Закрытые!$N$5:$N$300,Закрытые!$E$5:$E$300,$B246,Закрытые!$B$5:$B$300,"L-*"),8))</f>
        <v/>
      </c>
      <c r="L246" s="183">
        <f>IF(K246="","",IF(SUMPRODUCT((Закрытые!$E$5:$E$300=$B246)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246/SUMPRODUCT((Закрытые!$E$5:$E$300=$B246)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6" s="183">
        <f>IF(OR(ROUND(N(C246)-N(F246),8)=0,1-N(Ввод!$E$17)/100&lt;=0),"",IF(N(C246)&gt;N(F246),(N(E246)-N(H246))/((N(C246)-N(F246))*(1-N(Ввод!$E$17)/100)),(N(H246)-N(E246))/((N(F246)-N(C246))*(1+N(Ввод!$E$17)/100))))</f>
        <v/>
      </c>
    </row>
    <row r="247" ht="22" customHeight="1">
      <c r="B247" s="315" t="n"/>
      <c r="C247" s="240">
        <f>IF(SUMIFS(Лэндинг!$F$5:$F$300,Лэндинг!$E$5:$E$300,$B247)+SUMIFS(Закрытые!$F$5:$F$300,Закрытые!$E$5:$E$300,$B247,Закрытые!$B$5:$B$300,"L-*")=0,"",SUMIFS(Лэндинг!$F$5:$F$300,Лэндинг!$E$5:$E$300,$B247)+SUMIFS(Закрытые!$F$5:$F$300,Закрытые!$E$5:$E$300,$B247,Закрытые!$B$5:$B$300,"L-*"))</f>
        <v/>
      </c>
      <c r="D247" s="177">
        <f>IF(C247="","",(SUMPRODUCT((Лэндинг!$E$5:$E$300=$B247)*Лэндинг!$F$5:$F$300*Лэндинг!$G$5:$G$300)+SUMPRODUCT((Закрытые!$E$5:$E$300=$B247)*(LEFT(Закрытые!$B$5:$B$300,2)="L-")*Закрытые!$F$5:$F$300*Закрытые!$G$5:$G$300))/C247)</f>
        <v/>
      </c>
      <c r="E247" s="241">
        <f>IF(C247="","",SUMIFS(Лэндинг!$H$5:$H$300,Лэндинг!$E$5:$E$300,$B247)+SUMIFS(Закрытые!$H$5:$H$300,Закрытые!$E$5:$E$300,$B247,Закрытые!$B$5:$B$300,"L-*"))</f>
        <v/>
      </c>
      <c r="F247" s="240">
        <f>IF(SUMIFS(Лэндинг!$I$5:$I$300,Лэндинг!$E$5:$E$300,$B247)+SUMIFS(Закрытые!$I$5:$I$300,Закрытые!$E$5:$E$300,$B247,Закрытые!$B$5:$B$300,"L-*")=0,"",SUMIFS(Лэндинг!$I$5:$I$300,Лэндинг!$E$5:$E$300,$B247)+SUMIFS(Закрытые!$I$5:$I$300,Закрытые!$E$5:$E$300,$B247,Закрытые!$B$5:$B$300,"L-*"))</f>
        <v/>
      </c>
      <c r="G247" s="177">
        <f>IF(F247="","",(SUMPRODUCT((Лэндинг!$E$5:$E$300=$B247)*Лэндинг!$I$5:$I$300*Лэндинг!$J$5:$J$300)+SUMPRODUCT((Закрытые!$E$5:$E$300=$B247)*(LEFT(Закрытые!$B$5:$B$300,2)="L-")*Закрытые!$I$5:$I$300*Закрытые!$J$5:$J$300))/F247)</f>
        <v/>
      </c>
      <c r="H247" s="241">
        <f>IF(F247="","",SUMIFS(Лэндинг!$K$5:$K$300,Лэндинг!$E$5:$E$300,$B247)+SUMIFS(Закрытые!$K$5:$K$300,Закрытые!$E$5:$E$300,$B247,Закрытые!$B$5:$B$300,"L-*"))</f>
        <v/>
      </c>
      <c r="I247" s="240">
        <f>IF($B247="","",IF(COUNTIFS(Лэндинг!$E$5:$E$300,$B247)+COUNTIFS(Закрытые!$E$5:$E$300,$B247,Закрытые!$B$5:$B$300,"L-*")=0,"",ROUND(SUMIFS(Лэндинг!$L$5:$L$300,Лэндинг!$E$5:$E$300,$B247)+SUMIFS(Закрытые!$L$5:$L$300,Закрытые!$E$5:$E$300,$B247,Закрытые!$B$5:$B$300,"L-*"),8)))</f>
        <v/>
      </c>
      <c r="J247" s="241">
        <f>IF($B247="","",IF(COUNTIFS(Лэндинг!$E$5:$E$300,$B247)+COUNTIFS(Закрытые!$E$5:$E$300,$B247,Закрытые!$B$5:$B$300,"L-*")=0,"",ROUND(SUMIFS(Лэндинг!$M$5:$M$300,Лэндинг!$E$5:$E$300,$B247)+SUMIFS(Закрытые!$M$5:$M$300,Закрытые!$E$5:$E$300,$B247,Закрытые!$B$5:$B$300,"L-*"),8)))</f>
        <v/>
      </c>
      <c r="K247" s="240">
        <f>IF($B247="","",ROUND(SUMIFS(Закрытые!$N$5:$N$300,Закрытые!$E$5:$E$300,$B247,Закрытые!$B$5:$B$300,"L-*"),8))</f>
        <v/>
      </c>
      <c r="L247" s="177">
        <f>IF(K247="","",IF(SUMPRODUCT((Закрытые!$E$5:$E$300=$B247)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247/SUMPRODUCT((Закрытые!$E$5:$E$300=$B247)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7" s="177">
        <f>IF(OR(ROUND(N(C247)-N(F247),8)=0,1-N(Ввод!$E$17)/100&lt;=0),"",IF(N(C247)&gt;N(F247),(N(E247)-N(H247))/((N(C247)-N(F247))*(1-N(Ввод!$E$17)/100)),(N(H247)-N(E247))/((N(F247)-N(C247))*(1+N(Ввод!$E$17)/100))))</f>
        <v/>
      </c>
    </row>
    <row r="248" ht="22" customHeight="1">
      <c r="B248" s="320" t="n"/>
      <c r="C248" s="246">
        <f>IF(SUMIFS(Лэндинг!$F$5:$F$300,Лэндинг!$E$5:$E$300,$B248)+SUMIFS(Закрытые!$F$5:$F$300,Закрытые!$E$5:$E$300,$B248,Закрытые!$B$5:$B$300,"L-*")=0,"",SUMIFS(Лэндинг!$F$5:$F$300,Лэндинг!$E$5:$E$300,$B248)+SUMIFS(Закрытые!$F$5:$F$300,Закрытые!$E$5:$E$300,$B248,Закрытые!$B$5:$B$300,"L-*"))</f>
        <v/>
      </c>
      <c r="D248" s="183">
        <f>IF(C248="","",(SUMPRODUCT((Лэндинг!$E$5:$E$300=$B248)*Лэндинг!$F$5:$F$300*Лэндинг!$G$5:$G$300)+SUMPRODUCT((Закрытые!$E$5:$E$300=$B248)*(LEFT(Закрытые!$B$5:$B$300,2)="L-")*Закрытые!$F$5:$F$300*Закрытые!$G$5:$G$300))/C248)</f>
        <v/>
      </c>
      <c r="E248" s="247">
        <f>IF(C248="","",SUMIFS(Лэндинг!$H$5:$H$300,Лэндинг!$E$5:$E$300,$B248)+SUMIFS(Закрытые!$H$5:$H$300,Закрытые!$E$5:$E$300,$B248,Закрытые!$B$5:$B$300,"L-*"))</f>
        <v/>
      </c>
      <c r="F248" s="246">
        <f>IF(SUMIFS(Лэндинг!$I$5:$I$300,Лэндинг!$E$5:$E$300,$B248)+SUMIFS(Закрытые!$I$5:$I$300,Закрытые!$E$5:$E$300,$B248,Закрытые!$B$5:$B$300,"L-*")=0,"",SUMIFS(Лэндинг!$I$5:$I$300,Лэндинг!$E$5:$E$300,$B248)+SUMIFS(Закрытые!$I$5:$I$300,Закрытые!$E$5:$E$300,$B248,Закрытые!$B$5:$B$300,"L-*"))</f>
        <v/>
      </c>
      <c r="G248" s="183">
        <f>IF(F248="","",(SUMPRODUCT((Лэндинг!$E$5:$E$300=$B248)*Лэндинг!$I$5:$I$300*Лэндинг!$J$5:$J$300)+SUMPRODUCT((Закрытые!$E$5:$E$300=$B248)*(LEFT(Закрытые!$B$5:$B$300,2)="L-")*Закрытые!$I$5:$I$300*Закрытые!$J$5:$J$300))/F248)</f>
        <v/>
      </c>
      <c r="H248" s="247">
        <f>IF(F248="","",SUMIFS(Лэндинг!$K$5:$K$300,Лэндинг!$E$5:$E$300,$B248)+SUMIFS(Закрытые!$K$5:$K$300,Закрытые!$E$5:$E$300,$B248,Закрытые!$B$5:$B$300,"L-*"))</f>
        <v/>
      </c>
      <c r="I248" s="246">
        <f>IF($B248="","",IF(COUNTIFS(Лэндинг!$E$5:$E$300,$B248)+COUNTIFS(Закрытые!$E$5:$E$300,$B248,Закрытые!$B$5:$B$300,"L-*")=0,"",ROUND(SUMIFS(Лэндинг!$L$5:$L$300,Лэндинг!$E$5:$E$300,$B248)+SUMIFS(Закрытые!$L$5:$L$300,Закрытые!$E$5:$E$300,$B248,Закрытые!$B$5:$B$300,"L-*"),8)))</f>
        <v/>
      </c>
      <c r="J248" s="247">
        <f>IF($B248="","",IF(COUNTIFS(Лэндинг!$E$5:$E$300,$B248)+COUNTIFS(Закрытые!$E$5:$E$300,$B248,Закрытые!$B$5:$B$300,"L-*")=0,"",ROUND(SUMIFS(Лэндинг!$M$5:$M$300,Лэндинг!$E$5:$E$300,$B248)+SUMIFS(Закрытые!$M$5:$M$300,Закрытые!$E$5:$E$300,$B248,Закрытые!$B$5:$B$300,"L-*"),8)))</f>
        <v/>
      </c>
      <c r="K248" s="246">
        <f>IF($B248="","",ROUND(SUMIFS(Закрытые!$N$5:$N$300,Закрытые!$E$5:$E$300,$B248,Закрытые!$B$5:$B$300,"L-*"),8))</f>
        <v/>
      </c>
      <c r="L248" s="183">
        <f>IF(K248="","",IF(SUMPRODUCT((Закрытые!$E$5:$E$300=$B248)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248/SUMPRODUCT((Закрытые!$E$5:$E$300=$B248)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8" s="183">
        <f>IF(OR(ROUND(N(C248)-N(F248),8)=0,1-N(Ввод!$E$17)/100&lt;=0),"",IF(N(C248)&gt;N(F248),(N(E248)-N(H248))/((N(C248)-N(F248))*(1-N(Ввод!$E$17)/100)),(N(H248)-N(E248))/((N(F248)-N(C248))*(1+N(Ввод!$E$17)/100))))</f>
        <v/>
      </c>
    </row>
    <row r="249" ht="22" customHeight="1">
      <c r="B249" s="315" t="n"/>
      <c r="C249" s="240">
        <f>IF(SUMIFS(Лэндинг!$F$5:$F$300,Лэндинг!$E$5:$E$300,$B249)+SUMIFS(Закрытые!$F$5:$F$300,Закрытые!$E$5:$E$300,$B249,Закрытые!$B$5:$B$300,"L-*")=0,"",SUMIFS(Лэндинг!$F$5:$F$300,Лэндинг!$E$5:$E$300,$B249)+SUMIFS(Закрытые!$F$5:$F$300,Закрытые!$E$5:$E$300,$B249,Закрытые!$B$5:$B$300,"L-*"))</f>
        <v/>
      </c>
      <c r="D249" s="177">
        <f>IF(C249="","",(SUMPRODUCT((Лэндинг!$E$5:$E$300=$B249)*Лэндинг!$F$5:$F$300*Лэндинг!$G$5:$G$300)+SUMPRODUCT((Закрытые!$E$5:$E$300=$B249)*(LEFT(Закрытые!$B$5:$B$300,2)="L-")*Закрытые!$F$5:$F$300*Закрытые!$G$5:$G$300))/C249)</f>
        <v/>
      </c>
      <c r="E249" s="241">
        <f>IF(C249="","",SUMIFS(Лэндинг!$H$5:$H$300,Лэндинг!$E$5:$E$300,$B249)+SUMIFS(Закрытые!$H$5:$H$300,Закрытые!$E$5:$E$300,$B249,Закрытые!$B$5:$B$300,"L-*"))</f>
        <v/>
      </c>
      <c r="F249" s="240">
        <f>IF(SUMIFS(Лэндинг!$I$5:$I$300,Лэндинг!$E$5:$E$300,$B249)+SUMIFS(Закрытые!$I$5:$I$300,Закрытые!$E$5:$E$300,$B249,Закрытые!$B$5:$B$300,"L-*")=0,"",SUMIFS(Лэндинг!$I$5:$I$300,Лэндинг!$E$5:$E$300,$B249)+SUMIFS(Закрытые!$I$5:$I$300,Закрытые!$E$5:$E$300,$B249,Закрытые!$B$5:$B$300,"L-*"))</f>
        <v/>
      </c>
      <c r="G249" s="177">
        <f>IF(F249="","",(SUMPRODUCT((Лэндинг!$E$5:$E$300=$B249)*Лэндинг!$I$5:$I$300*Лэндинг!$J$5:$J$300)+SUMPRODUCT((Закрытые!$E$5:$E$300=$B249)*(LEFT(Закрытые!$B$5:$B$300,2)="L-")*Закрытые!$I$5:$I$300*Закрытые!$J$5:$J$300))/F249)</f>
        <v/>
      </c>
      <c r="H249" s="241">
        <f>IF(F249="","",SUMIFS(Лэндинг!$K$5:$K$300,Лэндинг!$E$5:$E$300,$B249)+SUMIFS(Закрытые!$K$5:$K$300,Закрытые!$E$5:$E$300,$B249,Закрытые!$B$5:$B$300,"L-*"))</f>
        <v/>
      </c>
      <c r="I249" s="240">
        <f>IF($B249="","",IF(COUNTIFS(Лэндинг!$E$5:$E$300,$B249)+COUNTIFS(Закрытые!$E$5:$E$300,$B249,Закрытые!$B$5:$B$300,"L-*")=0,"",ROUND(SUMIFS(Лэндинг!$L$5:$L$300,Лэндинг!$E$5:$E$300,$B249)+SUMIFS(Закрытые!$L$5:$L$300,Закрытые!$E$5:$E$300,$B249,Закрытые!$B$5:$B$300,"L-*"),8)))</f>
        <v/>
      </c>
      <c r="J249" s="241">
        <f>IF($B249="","",IF(COUNTIFS(Лэндинг!$E$5:$E$300,$B249)+COUNTIFS(Закрытые!$E$5:$E$300,$B249,Закрытые!$B$5:$B$300,"L-*")=0,"",ROUND(SUMIFS(Лэндинг!$M$5:$M$300,Лэндинг!$E$5:$E$300,$B249)+SUMIFS(Закрытые!$M$5:$M$300,Закрытые!$E$5:$E$300,$B249,Закрытые!$B$5:$B$300,"L-*"),8)))</f>
        <v/>
      </c>
      <c r="K249" s="240">
        <f>IF($B249="","",ROUND(SUMIFS(Закрытые!$N$5:$N$300,Закрытые!$E$5:$E$300,$B249,Закрытые!$B$5:$B$300,"L-*"),8))</f>
        <v/>
      </c>
      <c r="L249" s="177">
        <f>IF(K249="","",IF(SUMPRODUCT((Закрытые!$E$5:$E$300=$B249)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249/SUMPRODUCT((Закрытые!$E$5:$E$300=$B249)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9" s="177">
        <f>IF(OR(ROUND(N(C249)-N(F249),8)=0,1-N(Ввод!$E$17)/100&lt;=0),"",IF(N(C249)&gt;N(F249),(N(E249)-N(H249))/((N(C249)-N(F249))*(1-N(Ввод!$E$17)/100)),(N(H249)-N(E249))/((N(F249)-N(C249))*(1+N(Ввод!$E$17)/100))))</f>
        <v/>
      </c>
    </row>
    <row r="250" ht="22" customHeight="1">
      <c r="B250" s="320" t="n"/>
      <c r="C250" s="246">
        <f>IF(SUMIFS(Лэндинг!$F$5:$F$300,Лэндинг!$E$5:$E$300,$B250)+SUMIFS(Закрытые!$F$5:$F$300,Закрытые!$E$5:$E$300,$B250,Закрытые!$B$5:$B$300,"L-*")=0,"",SUMIFS(Лэндинг!$F$5:$F$300,Лэндинг!$E$5:$E$300,$B250)+SUMIFS(Закрытые!$F$5:$F$300,Закрытые!$E$5:$E$300,$B250,Закрытые!$B$5:$B$300,"L-*"))</f>
        <v/>
      </c>
      <c r="D250" s="183">
        <f>IF(C250="","",(SUMPRODUCT((Лэндинг!$E$5:$E$300=$B250)*Лэндинг!$F$5:$F$300*Лэндинг!$G$5:$G$300)+SUMPRODUCT((Закрытые!$E$5:$E$300=$B250)*(LEFT(Закрытые!$B$5:$B$300,2)="L-")*Закрытые!$F$5:$F$300*Закрытые!$G$5:$G$300))/C250)</f>
        <v/>
      </c>
      <c r="E250" s="247">
        <f>IF(C250="","",SUMIFS(Лэндинг!$H$5:$H$300,Лэндинг!$E$5:$E$300,$B250)+SUMIFS(Закрытые!$H$5:$H$300,Закрытые!$E$5:$E$300,$B250,Закрытые!$B$5:$B$300,"L-*"))</f>
        <v/>
      </c>
      <c r="F250" s="246">
        <f>IF(SUMIFS(Лэндинг!$I$5:$I$300,Лэндинг!$E$5:$E$300,$B250)+SUMIFS(Закрытые!$I$5:$I$300,Закрытые!$E$5:$E$300,$B250,Закрытые!$B$5:$B$300,"L-*")=0,"",SUMIFS(Лэндинг!$I$5:$I$300,Лэндинг!$E$5:$E$300,$B250)+SUMIFS(Закрытые!$I$5:$I$300,Закрытые!$E$5:$E$300,$B250,Закрытые!$B$5:$B$300,"L-*"))</f>
        <v/>
      </c>
      <c r="G250" s="183">
        <f>IF(F250="","",(SUMPRODUCT((Лэндинг!$E$5:$E$300=$B250)*Лэндинг!$I$5:$I$300*Лэндинг!$J$5:$J$300)+SUMPRODUCT((Закрытые!$E$5:$E$300=$B250)*(LEFT(Закрытые!$B$5:$B$300,2)="L-")*Закрытые!$I$5:$I$300*Закрытые!$J$5:$J$300))/F250)</f>
        <v/>
      </c>
      <c r="H250" s="247">
        <f>IF(F250="","",SUMIFS(Лэндинг!$K$5:$K$300,Лэндинг!$E$5:$E$300,$B250)+SUMIFS(Закрытые!$K$5:$K$300,Закрытые!$E$5:$E$300,$B250,Закрытые!$B$5:$B$300,"L-*"))</f>
        <v/>
      </c>
      <c r="I250" s="246">
        <f>IF($B250="","",IF(COUNTIFS(Лэндинг!$E$5:$E$300,$B250)+COUNTIFS(Закрытые!$E$5:$E$300,$B250,Закрытые!$B$5:$B$300,"L-*")=0,"",ROUND(SUMIFS(Лэндинг!$L$5:$L$300,Лэндинг!$E$5:$E$300,$B250)+SUMIFS(Закрытые!$L$5:$L$300,Закрытые!$E$5:$E$300,$B250,Закрытые!$B$5:$B$300,"L-*"),8)))</f>
        <v/>
      </c>
      <c r="J250" s="247">
        <f>IF($B250="","",IF(COUNTIFS(Лэндинг!$E$5:$E$300,$B250)+COUNTIFS(Закрытые!$E$5:$E$300,$B250,Закрытые!$B$5:$B$300,"L-*")=0,"",ROUND(SUMIFS(Лэндинг!$M$5:$M$300,Лэндинг!$E$5:$E$300,$B250)+SUMIFS(Закрытые!$M$5:$M$300,Закрытые!$E$5:$E$300,$B250,Закрытые!$B$5:$B$300,"L-*"),8)))</f>
        <v/>
      </c>
      <c r="K250" s="246">
        <f>IF($B250="","",ROUND(SUMIFS(Закрытые!$N$5:$N$300,Закрытые!$E$5:$E$300,$B250,Закрытые!$B$5:$B$300,"L-*"),8))</f>
        <v/>
      </c>
      <c r="L250" s="183">
        <f>IF(K250="","",IF(SUMPRODUCT((Закрытые!$E$5:$E$300=$B250)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250/SUMPRODUCT((Закрытые!$E$5:$E$300=$B250)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0" s="183">
        <f>IF(OR(ROUND(N(C250)-N(F250),8)=0,1-N(Ввод!$E$17)/100&lt;=0),"",IF(N(C250)&gt;N(F250),(N(E250)-N(H250))/((N(C250)-N(F250))*(1-N(Ввод!$E$17)/100)),(N(H250)-N(E250))/((N(F250)-N(C250))*(1+N(Ввод!$E$17)/100))))</f>
        <v/>
      </c>
    </row>
    <row r="251" ht="22" customHeight="1">
      <c r="B251" s="315" t="n"/>
      <c r="C251" s="240">
        <f>IF(SUMIFS(Лэндинг!$F$5:$F$300,Лэндинг!$E$5:$E$300,$B251)+SUMIFS(Закрытые!$F$5:$F$300,Закрытые!$E$5:$E$300,$B251,Закрытые!$B$5:$B$300,"L-*")=0,"",SUMIFS(Лэндинг!$F$5:$F$300,Лэндинг!$E$5:$E$300,$B251)+SUMIFS(Закрытые!$F$5:$F$300,Закрытые!$E$5:$E$300,$B251,Закрытые!$B$5:$B$300,"L-*"))</f>
        <v/>
      </c>
      <c r="D251" s="177">
        <f>IF(C251="","",(SUMPRODUCT((Лэндинг!$E$5:$E$300=$B251)*Лэндинг!$F$5:$F$300*Лэндинг!$G$5:$G$300)+SUMPRODUCT((Закрытые!$E$5:$E$300=$B251)*(LEFT(Закрытые!$B$5:$B$300,2)="L-")*Закрытые!$F$5:$F$300*Закрытые!$G$5:$G$300))/C251)</f>
        <v/>
      </c>
      <c r="E251" s="241">
        <f>IF(C251="","",SUMIFS(Лэндинг!$H$5:$H$300,Лэндинг!$E$5:$E$300,$B251)+SUMIFS(Закрытые!$H$5:$H$300,Закрытые!$E$5:$E$300,$B251,Закрытые!$B$5:$B$300,"L-*"))</f>
        <v/>
      </c>
      <c r="F251" s="240">
        <f>IF(SUMIFS(Лэндинг!$I$5:$I$300,Лэндинг!$E$5:$E$300,$B251)+SUMIFS(Закрытые!$I$5:$I$300,Закрытые!$E$5:$E$300,$B251,Закрытые!$B$5:$B$300,"L-*")=0,"",SUMIFS(Лэндинг!$I$5:$I$300,Лэндинг!$E$5:$E$300,$B251)+SUMIFS(Закрытые!$I$5:$I$300,Закрытые!$E$5:$E$300,$B251,Закрытые!$B$5:$B$300,"L-*"))</f>
        <v/>
      </c>
      <c r="G251" s="177">
        <f>IF(F251="","",(SUMPRODUCT((Лэндинг!$E$5:$E$300=$B251)*Лэндинг!$I$5:$I$300*Лэндинг!$J$5:$J$300)+SUMPRODUCT((Закрытые!$E$5:$E$300=$B251)*(LEFT(Закрытые!$B$5:$B$300,2)="L-")*Закрытые!$I$5:$I$300*Закрытые!$J$5:$J$300))/F251)</f>
        <v/>
      </c>
      <c r="H251" s="241">
        <f>IF(F251="","",SUMIFS(Лэндинг!$K$5:$K$300,Лэндинг!$E$5:$E$300,$B251)+SUMIFS(Закрытые!$K$5:$K$300,Закрытые!$E$5:$E$300,$B251,Закрытые!$B$5:$B$300,"L-*"))</f>
        <v/>
      </c>
      <c r="I251" s="240">
        <f>IF($B251="","",IF(COUNTIFS(Лэндинг!$E$5:$E$300,$B251)+COUNTIFS(Закрытые!$E$5:$E$300,$B251,Закрытые!$B$5:$B$300,"L-*")=0,"",ROUND(SUMIFS(Лэндинг!$L$5:$L$300,Лэндинг!$E$5:$E$300,$B251)+SUMIFS(Закрытые!$L$5:$L$300,Закрытые!$E$5:$E$300,$B251,Закрытые!$B$5:$B$300,"L-*"),8)))</f>
        <v/>
      </c>
      <c r="J251" s="241">
        <f>IF($B251="","",IF(COUNTIFS(Лэндинг!$E$5:$E$300,$B251)+COUNTIFS(Закрытые!$E$5:$E$300,$B251,Закрытые!$B$5:$B$300,"L-*")=0,"",ROUND(SUMIFS(Лэндинг!$M$5:$M$300,Лэндинг!$E$5:$E$300,$B251)+SUMIFS(Закрытые!$M$5:$M$300,Закрытые!$E$5:$E$300,$B251,Закрытые!$B$5:$B$300,"L-*"),8)))</f>
        <v/>
      </c>
      <c r="K251" s="240">
        <f>IF($B251="","",ROUND(SUMIFS(Закрытые!$N$5:$N$300,Закрытые!$E$5:$E$300,$B251,Закрытые!$B$5:$B$300,"L-*"),8))</f>
        <v/>
      </c>
      <c r="L251" s="177">
        <f>IF(K251="","",IF(SUMPRODUCT((Закрытые!$E$5:$E$300=$B251)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251/SUMPRODUCT((Закрытые!$E$5:$E$300=$B251)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1" s="177">
        <f>IF(OR(ROUND(N(C251)-N(F251),8)=0,1-N(Ввод!$E$17)/100&lt;=0),"",IF(N(C251)&gt;N(F251),(N(E251)-N(H251))/((N(C251)-N(F251))*(1-N(Ввод!$E$17)/100)),(N(H251)-N(E251))/((N(F251)-N(C251))*(1+N(Ввод!$E$17)/100))))</f>
        <v/>
      </c>
    </row>
    <row r="252" ht="22" customHeight="1">
      <c r="B252" s="320" t="n"/>
      <c r="C252" s="246">
        <f>IF(SUMIFS(Лэндинг!$F$5:$F$300,Лэндинг!$E$5:$E$300,$B252)+SUMIFS(Закрытые!$F$5:$F$300,Закрытые!$E$5:$E$300,$B252,Закрытые!$B$5:$B$300,"L-*")=0,"",SUMIFS(Лэндинг!$F$5:$F$300,Лэндинг!$E$5:$E$300,$B252)+SUMIFS(Закрытые!$F$5:$F$300,Закрытые!$E$5:$E$300,$B252,Закрытые!$B$5:$B$300,"L-*"))</f>
        <v/>
      </c>
      <c r="D252" s="183">
        <f>IF(C252="","",(SUMPRODUCT((Лэндинг!$E$5:$E$300=$B252)*Лэндинг!$F$5:$F$300*Лэндинг!$G$5:$G$300)+SUMPRODUCT((Закрытые!$E$5:$E$300=$B252)*(LEFT(Закрытые!$B$5:$B$300,2)="L-")*Закрытые!$F$5:$F$300*Закрытые!$G$5:$G$300))/C252)</f>
        <v/>
      </c>
      <c r="E252" s="247">
        <f>IF(C252="","",SUMIFS(Лэндинг!$H$5:$H$300,Лэндинг!$E$5:$E$300,$B252)+SUMIFS(Закрытые!$H$5:$H$300,Закрытые!$E$5:$E$300,$B252,Закрытые!$B$5:$B$300,"L-*"))</f>
        <v/>
      </c>
      <c r="F252" s="246">
        <f>IF(SUMIFS(Лэндинг!$I$5:$I$300,Лэндинг!$E$5:$E$300,$B252)+SUMIFS(Закрытые!$I$5:$I$300,Закрытые!$E$5:$E$300,$B252,Закрытые!$B$5:$B$300,"L-*")=0,"",SUMIFS(Лэндинг!$I$5:$I$300,Лэндинг!$E$5:$E$300,$B252)+SUMIFS(Закрытые!$I$5:$I$300,Закрытые!$E$5:$E$300,$B252,Закрытые!$B$5:$B$300,"L-*"))</f>
        <v/>
      </c>
      <c r="G252" s="183">
        <f>IF(F252="","",(SUMPRODUCT((Лэндинг!$E$5:$E$300=$B252)*Лэндинг!$I$5:$I$300*Лэндинг!$J$5:$J$300)+SUMPRODUCT((Закрытые!$E$5:$E$300=$B252)*(LEFT(Закрытые!$B$5:$B$300,2)="L-")*Закрытые!$I$5:$I$300*Закрытые!$J$5:$J$300))/F252)</f>
        <v/>
      </c>
      <c r="H252" s="247">
        <f>IF(F252="","",SUMIFS(Лэндинг!$K$5:$K$300,Лэндинг!$E$5:$E$300,$B252)+SUMIFS(Закрытые!$K$5:$K$300,Закрытые!$E$5:$E$300,$B252,Закрытые!$B$5:$B$300,"L-*"))</f>
        <v/>
      </c>
      <c r="I252" s="246">
        <f>IF($B252="","",IF(COUNTIFS(Лэндинг!$E$5:$E$300,$B252)+COUNTIFS(Закрытые!$E$5:$E$300,$B252,Закрытые!$B$5:$B$300,"L-*")=0,"",ROUND(SUMIFS(Лэндинг!$L$5:$L$300,Лэндинг!$E$5:$E$300,$B252)+SUMIFS(Закрытые!$L$5:$L$300,Закрытые!$E$5:$E$300,$B252,Закрытые!$B$5:$B$300,"L-*"),8)))</f>
        <v/>
      </c>
      <c r="J252" s="247">
        <f>IF($B252="","",IF(COUNTIFS(Лэндинг!$E$5:$E$300,$B252)+COUNTIFS(Закрытые!$E$5:$E$300,$B252,Закрытые!$B$5:$B$300,"L-*")=0,"",ROUND(SUMIFS(Лэндинг!$M$5:$M$300,Лэндинг!$E$5:$E$300,$B252)+SUMIFS(Закрытые!$M$5:$M$300,Закрытые!$E$5:$E$300,$B252,Закрытые!$B$5:$B$300,"L-*"),8)))</f>
        <v/>
      </c>
      <c r="K252" s="246">
        <f>IF($B252="","",ROUND(SUMIFS(Закрытые!$N$5:$N$300,Закрытые!$E$5:$E$300,$B252,Закрытые!$B$5:$B$300,"L-*"),8))</f>
        <v/>
      </c>
      <c r="L252" s="183">
        <f>IF(K252="","",IF(SUMPRODUCT((Закрытые!$E$5:$E$300=$B252)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252/SUMPRODUCT((Закрытые!$E$5:$E$300=$B252)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2" s="183">
        <f>IF(OR(ROUND(N(C252)-N(F252),8)=0,1-N(Ввод!$E$17)/100&lt;=0),"",IF(N(C252)&gt;N(F252),(N(E252)-N(H252))/((N(C252)-N(F252))*(1-N(Ввод!$E$17)/100)),(N(H252)-N(E252))/((N(F252)-N(C252))*(1+N(Ввод!$E$17)/100))))</f>
        <v/>
      </c>
    </row>
    <row r="253" ht="22" customHeight="1">
      <c r="B253" s="315" t="n"/>
      <c r="C253" s="240">
        <f>IF(SUMIFS(Лэндинг!$F$5:$F$300,Лэндинг!$E$5:$E$300,$B253)+SUMIFS(Закрытые!$F$5:$F$300,Закрытые!$E$5:$E$300,$B253,Закрытые!$B$5:$B$300,"L-*")=0,"",SUMIFS(Лэндинг!$F$5:$F$300,Лэндинг!$E$5:$E$300,$B253)+SUMIFS(Закрытые!$F$5:$F$300,Закрытые!$E$5:$E$300,$B253,Закрытые!$B$5:$B$300,"L-*"))</f>
        <v/>
      </c>
      <c r="D253" s="177">
        <f>IF(C253="","",(SUMPRODUCT((Лэндинг!$E$5:$E$300=$B253)*Лэндинг!$F$5:$F$300*Лэндинг!$G$5:$G$300)+SUMPRODUCT((Закрытые!$E$5:$E$300=$B253)*(LEFT(Закрытые!$B$5:$B$300,2)="L-")*Закрытые!$F$5:$F$300*Закрытые!$G$5:$G$300))/C253)</f>
        <v/>
      </c>
      <c r="E253" s="241">
        <f>IF(C253="","",SUMIFS(Лэндинг!$H$5:$H$300,Лэндинг!$E$5:$E$300,$B253)+SUMIFS(Закрытые!$H$5:$H$300,Закрытые!$E$5:$E$300,$B253,Закрытые!$B$5:$B$300,"L-*"))</f>
        <v/>
      </c>
      <c r="F253" s="240">
        <f>IF(SUMIFS(Лэндинг!$I$5:$I$300,Лэндинг!$E$5:$E$300,$B253)+SUMIFS(Закрытые!$I$5:$I$300,Закрытые!$E$5:$E$300,$B253,Закрытые!$B$5:$B$300,"L-*")=0,"",SUMIFS(Лэндинг!$I$5:$I$300,Лэндинг!$E$5:$E$300,$B253)+SUMIFS(Закрытые!$I$5:$I$300,Закрытые!$E$5:$E$300,$B253,Закрытые!$B$5:$B$300,"L-*"))</f>
        <v/>
      </c>
      <c r="G253" s="177">
        <f>IF(F253="","",(SUMPRODUCT((Лэндинг!$E$5:$E$300=$B253)*Лэндинг!$I$5:$I$300*Лэндинг!$J$5:$J$300)+SUMPRODUCT((Закрытые!$E$5:$E$300=$B253)*(LEFT(Закрытые!$B$5:$B$300,2)="L-")*Закрытые!$I$5:$I$300*Закрытые!$J$5:$J$300))/F253)</f>
        <v/>
      </c>
      <c r="H253" s="241">
        <f>IF(F253="","",SUMIFS(Лэндинг!$K$5:$K$300,Лэндинг!$E$5:$E$300,$B253)+SUMIFS(Закрытые!$K$5:$K$300,Закрытые!$E$5:$E$300,$B253,Закрытые!$B$5:$B$300,"L-*"))</f>
        <v/>
      </c>
      <c r="I253" s="240">
        <f>IF($B253="","",IF(COUNTIFS(Лэндинг!$E$5:$E$300,$B253)+COUNTIFS(Закрытые!$E$5:$E$300,$B253,Закрытые!$B$5:$B$300,"L-*")=0,"",ROUND(SUMIFS(Лэндинг!$L$5:$L$300,Лэндинг!$E$5:$E$300,$B253)+SUMIFS(Закрытые!$L$5:$L$300,Закрытые!$E$5:$E$300,$B253,Закрытые!$B$5:$B$300,"L-*"),8)))</f>
        <v/>
      </c>
      <c r="J253" s="241">
        <f>IF($B253="","",IF(COUNTIFS(Лэндинг!$E$5:$E$300,$B253)+COUNTIFS(Закрытые!$E$5:$E$300,$B253,Закрытые!$B$5:$B$300,"L-*")=0,"",ROUND(SUMIFS(Лэндинг!$M$5:$M$300,Лэндинг!$E$5:$E$300,$B253)+SUMIFS(Закрытые!$M$5:$M$300,Закрытые!$E$5:$E$300,$B253,Закрытые!$B$5:$B$300,"L-*"),8)))</f>
        <v/>
      </c>
      <c r="K253" s="240">
        <f>IF($B253="","",ROUND(SUMIFS(Закрытые!$N$5:$N$300,Закрытые!$E$5:$E$300,$B253,Закрытые!$B$5:$B$300,"L-*"),8))</f>
        <v/>
      </c>
      <c r="L253" s="177">
        <f>IF(K253="","",IF(SUMPRODUCT((Закрытые!$E$5:$E$300=$B253)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253/SUMPRODUCT((Закрытые!$E$5:$E$300=$B253)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3" s="177">
        <f>IF(OR(ROUND(N(C253)-N(F253),8)=0,1-N(Ввод!$E$17)/100&lt;=0),"",IF(N(C253)&gt;N(F253),(N(E253)-N(H253))/((N(C253)-N(F253))*(1-N(Ввод!$E$17)/100)),(N(H253)-N(E253))/((N(F253)-N(C253))*(1+N(Ввод!$E$17)/100))))</f>
        <v/>
      </c>
    </row>
    <row r="254" ht="22" customHeight="1">
      <c r="B254" s="320" t="n"/>
      <c r="C254" s="246">
        <f>IF(SUMIFS(Лэндинг!$F$5:$F$300,Лэндинг!$E$5:$E$300,$B254)+SUMIFS(Закрытые!$F$5:$F$300,Закрытые!$E$5:$E$300,$B254,Закрытые!$B$5:$B$300,"L-*")=0,"",SUMIFS(Лэндинг!$F$5:$F$300,Лэндинг!$E$5:$E$300,$B254)+SUMIFS(Закрытые!$F$5:$F$300,Закрытые!$E$5:$E$300,$B254,Закрытые!$B$5:$B$300,"L-*"))</f>
        <v/>
      </c>
      <c r="D254" s="183">
        <f>IF(C254="","",(SUMPRODUCT((Лэндинг!$E$5:$E$300=$B254)*Лэндинг!$F$5:$F$300*Лэндинг!$G$5:$G$300)+SUMPRODUCT((Закрытые!$E$5:$E$300=$B254)*(LEFT(Закрытые!$B$5:$B$300,2)="L-")*Закрытые!$F$5:$F$300*Закрытые!$G$5:$G$300))/C254)</f>
        <v/>
      </c>
      <c r="E254" s="247">
        <f>IF(C254="","",SUMIFS(Лэндинг!$H$5:$H$300,Лэндинг!$E$5:$E$300,$B254)+SUMIFS(Закрытые!$H$5:$H$300,Закрытые!$E$5:$E$300,$B254,Закрытые!$B$5:$B$300,"L-*"))</f>
        <v/>
      </c>
      <c r="F254" s="246">
        <f>IF(SUMIFS(Лэндинг!$I$5:$I$300,Лэндинг!$E$5:$E$300,$B254)+SUMIFS(Закрытые!$I$5:$I$300,Закрытые!$E$5:$E$300,$B254,Закрытые!$B$5:$B$300,"L-*")=0,"",SUMIFS(Лэндинг!$I$5:$I$300,Лэндинг!$E$5:$E$300,$B254)+SUMIFS(Закрытые!$I$5:$I$300,Закрытые!$E$5:$E$300,$B254,Закрытые!$B$5:$B$300,"L-*"))</f>
        <v/>
      </c>
      <c r="G254" s="183">
        <f>IF(F254="","",(SUMPRODUCT((Лэндинг!$E$5:$E$300=$B254)*Лэндинг!$I$5:$I$300*Лэндинг!$J$5:$J$300)+SUMPRODUCT((Закрытые!$E$5:$E$300=$B254)*(LEFT(Закрытые!$B$5:$B$300,2)="L-")*Закрытые!$I$5:$I$300*Закрытые!$J$5:$J$300))/F254)</f>
        <v/>
      </c>
      <c r="H254" s="247">
        <f>IF(F254="","",SUMIFS(Лэндинг!$K$5:$K$300,Лэндинг!$E$5:$E$300,$B254)+SUMIFS(Закрытые!$K$5:$K$300,Закрытые!$E$5:$E$300,$B254,Закрытые!$B$5:$B$300,"L-*"))</f>
        <v/>
      </c>
      <c r="I254" s="246">
        <f>IF($B254="","",IF(COUNTIFS(Лэндинг!$E$5:$E$300,$B254)+COUNTIFS(Закрытые!$E$5:$E$300,$B254,Закрытые!$B$5:$B$300,"L-*")=0,"",ROUND(SUMIFS(Лэндинг!$L$5:$L$300,Лэндинг!$E$5:$E$300,$B254)+SUMIFS(Закрытые!$L$5:$L$300,Закрытые!$E$5:$E$300,$B254,Закрытые!$B$5:$B$300,"L-*"),8)))</f>
        <v/>
      </c>
      <c r="J254" s="247">
        <f>IF($B254="","",IF(COUNTIFS(Лэндинг!$E$5:$E$300,$B254)+COUNTIFS(Закрытые!$E$5:$E$300,$B254,Закрытые!$B$5:$B$300,"L-*")=0,"",ROUND(SUMIFS(Лэндинг!$M$5:$M$300,Лэндинг!$E$5:$E$300,$B254)+SUMIFS(Закрытые!$M$5:$M$300,Закрытые!$E$5:$E$300,$B254,Закрытые!$B$5:$B$300,"L-*"),8)))</f>
        <v/>
      </c>
      <c r="K254" s="246">
        <f>IF($B254="","",ROUND(SUMIFS(Закрытые!$N$5:$N$300,Закрытые!$E$5:$E$300,$B254,Закрытые!$B$5:$B$300,"L-*"),8))</f>
        <v/>
      </c>
      <c r="L254" s="183">
        <f>IF(K254="","",IF(SUMPRODUCT((Закрытые!$E$5:$E$300=$B254)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254/SUMPRODUCT((Закрытые!$E$5:$E$300=$B254)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4" s="183">
        <f>IF(OR(ROUND(N(C254)-N(F254),8)=0,1-N(Ввод!$E$17)/100&lt;=0),"",IF(N(C254)&gt;N(F254),(N(E254)-N(H254))/((N(C254)-N(F254))*(1-N(Ввод!$E$17)/100)),(N(H254)-N(E254))/((N(F254)-N(C254))*(1+N(Ввод!$E$17)/100))))</f>
        <v/>
      </c>
    </row>
    <row r="255" ht="22" customHeight="1">
      <c r="B255" s="315" t="n"/>
      <c r="C255" s="240">
        <f>IF(SUMIFS(Лэндинг!$F$5:$F$300,Лэндинг!$E$5:$E$300,$B255)+SUMIFS(Закрытые!$F$5:$F$300,Закрытые!$E$5:$E$300,$B255,Закрытые!$B$5:$B$300,"L-*")=0,"",SUMIFS(Лэндинг!$F$5:$F$300,Лэндинг!$E$5:$E$300,$B255)+SUMIFS(Закрытые!$F$5:$F$300,Закрытые!$E$5:$E$300,$B255,Закрытые!$B$5:$B$300,"L-*"))</f>
        <v/>
      </c>
      <c r="D255" s="177">
        <f>IF(C255="","",(SUMPRODUCT((Лэндинг!$E$5:$E$300=$B255)*Лэндинг!$F$5:$F$300*Лэндинг!$G$5:$G$300)+SUMPRODUCT((Закрытые!$E$5:$E$300=$B255)*(LEFT(Закрытые!$B$5:$B$300,2)="L-")*Закрытые!$F$5:$F$300*Закрытые!$G$5:$G$300))/C255)</f>
        <v/>
      </c>
      <c r="E255" s="241">
        <f>IF(C255="","",SUMIFS(Лэндинг!$H$5:$H$300,Лэндинг!$E$5:$E$300,$B255)+SUMIFS(Закрытые!$H$5:$H$300,Закрытые!$E$5:$E$300,$B255,Закрытые!$B$5:$B$300,"L-*"))</f>
        <v/>
      </c>
      <c r="F255" s="240">
        <f>IF(SUMIFS(Лэндинг!$I$5:$I$300,Лэндинг!$E$5:$E$300,$B255)+SUMIFS(Закрытые!$I$5:$I$300,Закрытые!$E$5:$E$300,$B255,Закрытые!$B$5:$B$300,"L-*")=0,"",SUMIFS(Лэндинг!$I$5:$I$300,Лэндинг!$E$5:$E$300,$B255)+SUMIFS(Закрытые!$I$5:$I$300,Закрытые!$E$5:$E$300,$B255,Закрытые!$B$5:$B$300,"L-*"))</f>
        <v/>
      </c>
      <c r="G255" s="177">
        <f>IF(F255="","",(SUMPRODUCT((Лэндинг!$E$5:$E$300=$B255)*Лэндинг!$I$5:$I$300*Лэндинг!$J$5:$J$300)+SUMPRODUCT((Закрытые!$E$5:$E$300=$B255)*(LEFT(Закрытые!$B$5:$B$300,2)="L-")*Закрытые!$I$5:$I$300*Закрытые!$J$5:$J$300))/F255)</f>
        <v/>
      </c>
      <c r="H255" s="241">
        <f>IF(F255="","",SUMIFS(Лэндинг!$K$5:$K$300,Лэндинг!$E$5:$E$300,$B255)+SUMIFS(Закрытые!$K$5:$K$300,Закрытые!$E$5:$E$300,$B255,Закрытые!$B$5:$B$300,"L-*"))</f>
        <v/>
      </c>
      <c r="I255" s="240">
        <f>IF($B255="","",IF(COUNTIFS(Лэндинг!$E$5:$E$300,$B255)+COUNTIFS(Закрытые!$E$5:$E$300,$B255,Закрытые!$B$5:$B$300,"L-*")=0,"",ROUND(SUMIFS(Лэндинг!$L$5:$L$300,Лэндинг!$E$5:$E$300,$B255)+SUMIFS(Закрытые!$L$5:$L$300,Закрытые!$E$5:$E$300,$B255,Закрытые!$B$5:$B$300,"L-*"),8)))</f>
        <v/>
      </c>
      <c r="J255" s="241">
        <f>IF($B255="","",IF(COUNTIFS(Лэндинг!$E$5:$E$300,$B255)+COUNTIFS(Закрытые!$E$5:$E$300,$B255,Закрытые!$B$5:$B$300,"L-*")=0,"",ROUND(SUMIFS(Лэндинг!$M$5:$M$300,Лэндинг!$E$5:$E$300,$B255)+SUMIFS(Закрытые!$M$5:$M$300,Закрытые!$E$5:$E$300,$B255,Закрытые!$B$5:$B$300,"L-*"),8)))</f>
        <v/>
      </c>
      <c r="K255" s="240">
        <f>IF($B255="","",ROUND(SUMIFS(Закрытые!$N$5:$N$300,Закрытые!$E$5:$E$300,$B255,Закрытые!$B$5:$B$300,"L-*"),8))</f>
        <v/>
      </c>
      <c r="L255" s="177">
        <f>IF(K255="","",IF(SUMPRODUCT((Закрытые!$E$5:$E$300=$B255)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255/SUMPRODUCT((Закрытые!$E$5:$E$300=$B255)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5" s="177">
        <f>IF(OR(ROUND(N(C255)-N(F255),8)=0,1-N(Ввод!$E$17)/100&lt;=0),"",IF(N(C255)&gt;N(F255),(N(E255)-N(H255))/((N(C255)-N(F255))*(1-N(Ввод!$E$17)/100)),(N(H255)-N(E255))/((N(F255)-N(C255))*(1+N(Ввод!$E$17)/100))))</f>
        <v/>
      </c>
    </row>
    <row r="256" ht="22" customHeight="1">
      <c r="B256" s="320" t="n"/>
      <c r="C256" s="246">
        <f>IF(SUMIFS(Лэндинг!$F$5:$F$300,Лэндинг!$E$5:$E$300,$B256)+SUMIFS(Закрытые!$F$5:$F$300,Закрытые!$E$5:$E$300,$B256,Закрытые!$B$5:$B$300,"L-*")=0,"",SUMIFS(Лэндинг!$F$5:$F$300,Лэндинг!$E$5:$E$300,$B256)+SUMIFS(Закрытые!$F$5:$F$300,Закрытые!$E$5:$E$300,$B256,Закрытые!$B$5:$B$300,"L-*"))</f>
        <v/>
      </c>
      <c r="D256" s="183">
        <f>IF(C256="","",(SUMPRODUCT((Лэндинг!$E$5:$E$300=$B256)*Лэндинг!$F$5:$F$300*Лэндинг!$G$5:$G$300)+SUMPRODUCT((Закрытые!$E$5:$E$300=$B256)*(LEFT(Закрытые!$B$5:$B$300,2)="L-")*Закрытые!$F$5:$F$300*Закрытые!$G$5:$G$300))/C256)</f>
        <v/>
      </c>
      <c r="E256" s="247">
        <f>IF(C256="","",SUMIFS(Лэндинг!$H$5:$H$300,Лэндинг!$E$5:$E$300,$B256)+SUMIFS(Закрытые!$H$5:$H$300,Закрытые!$E$5:$E$300,$B256,Закрытые!$B$5:$B$300,"L-*"))</f>
        <v/>
      </c>
      <c r="F256" s="246">
        <f>IF(SUMIFS(Лэндинг!$I$5:$I$300,Лэндинг!$E$5:$E$300,$B256)+SUMIFS(Закрытые!$I$5:$I$300,Закрытые!$E$5:$E$300,$B256,Закрытые!$B$5:$B$300,"L-*")=0,"",SUMIFS(Лэндинг!$I$5:$I$300,Лэндинг!$E$5:$E$300,$B256)+SUMIFS(Закрытые!$I$5:$I$300,Закрытые!$E$5:$E$300,$B256,Закрытые!$B$5:$B$300,"L-*"))</f>
        <v/>
      </c>
      <c r="G256" s="183">
        <f>IF(F256="","",(SUMPRODUCT((Лэндинг!$E$5:$E$300=$B256)*Лэндинг!$I$5:$I$300*Лэндинг!$J$5:$J$300)+SUMPRODUCT((Закрытые!$E$5:$E$300=$B256)*(LEFT(Закрытые!$B$5:$B$300,2)="L-")*Закрытые!$I$5:$I$300*Закрытые!$J$5:$J$300))/F256)</f>
        <v/>
      </c>
      <c r="H256" s="247">
        <f>IF(F256="","",SUMIFS(Лэндинг!$K$5:$K$300,Лэндинг!$E$5:$E$300,$B256)+SUMIFS(Закрытые!$K$5:$K$300,Закрытые!$E$5:$E$300,$B256,Закрытые!$B$5:$B$300,"L-*"))</f>
        <v/>
      </c>
      <c r="I256" s="246">
        <f>IF($B256="","",IF(COUNTIFS(Лэндинг!$E$5:$E$300,$B256)+COUNTIFS(Закрытые!$E$5:$E$300,$B256,Закрытые!$B$5:$B$300,"L-*")=0,"",ROUND(SUMIFS(Лэндинг!$L$5:$L$300,Лэндинг!$E$5:$E$300,$B256)+SUMIFS(Закрытые!$L$5:$L$300,Закрытые!$E$5:$E$300,$B256,Закрытые!$B$5:$B$300,"L-*"),8)))</f>
        <v/>
      </c>
      <c r="J256" s="247">
        <f>IF($B256="","",IF(COUNTIFS(Лэндинг!$E$5:$E$300,$B256)+COUNTIFS(Закрытые!$E$5:$E$300,$B256,Закрытые!$B$5:$B$300,"L-*")=0,"",ROUND(SUMIFS(Лэндинг!$M$5:$M$300,Лэндинг!$E$5:$E$300,$B256)+SUMIFS(Закрытые!$M$5:$M$300,Закрытые!$E$5:$E$300,$B256,Закрытые!$B$5:$B$300,"L-*"),8)))</f>
        <v/>
      </c>
      <c r="K256" s="246">
        <f>IF($B256="","",ROUND(SUMIFS(Закрытые!$N$5:$N$300,Закрытые!$E$5:$E$300,$B256,Закрытые!$B$5:$B$300,"L-*"),8))</f>
        <v/>
      </c>
      <c r="L256" s="183">
        <f>IF(K256="","",IF(SUMPRODUCT((Закрытые!$E$5:$E$300=$B256)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256/SUMPRODUCT((Закрытые!$E$5:$E$300=$B256)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6" s="183">
        <f>IF(OR(ROUND(N(C256)-N(F256),8)=0,1-N(Ввод!$E$17)/100&lt;=0),"",IF(N(C256)&gt;N(F256),(N(E256)-N(H256))/((N(C256)-N(F256))*(1-N(Ввод!$E$17)/100)),(N(H256)-N(E256))/((N(F256)-N(C256))*(1+N(Ввод!$E$17)/100))))</f>
        <v/>
      </c>
    </row>
    <row r="257" ht="22" customHeight="1">
      <c r="B257" s="315" t="n"/>
      <c r="C257" s="240">
        <f>IF(SUMIFS(Лэндинг!$F$5:$F$300,Лэндинг!$E$5:$E$300,$B257)+SUMIFS(Закрытые!$F$5:$F$300,Закрытые!$E$5:$E$300,$B257,Закрытые!$B$5:$B$300,"L-*")=0,"",SUMIFS(Лэндинг!$F$5:$F$300,Лэндинг!$E$5:$E$300,$B257)+SUMIFS(Закрытые!$F$5:$F$300,Закрытые!$E$5:$E$300,$B257,Закрытые!$B$5:$B$300,"L-*"))</f>
        <v/>
      </c>
      <c r="D257" s="177">
        <f>IF(C257="","",(SUMPRODUCT((Лэндинг!$E$5:$E$300=$B257)*Лэндинг!$F$5:$F$300*Лэндинг!$G$5:$G$300)+SUMPRODUCT((Закрытые!$E$5:$E$300=$B257)*(LEFT(Закрытые!$B$5:$B$300,2)="L-")*Закрытые!$F$5:$F$300*Закрытые!$G$5:$G$300))/C257)</f>
        <v/>
      </c>
      <c r="E257" s="241">
        <f>IF(C257="","",SUMIFS(Лэндинг!$H$5:$H$300,Лэндинг!$E$5:$E$300,$B257)+SUMIFS(Закрытые!$H$5:$H$300,Закрытые!$E$5:$E$300,$B257,Закрытые!$B$5:$B$300,"L-*"))</f>
        <v/>
      </c>
      <c r="F257" s="240">
        <f>IF(SUMIFS(Лэндинг!$I$5:$I$300,Лэндинг!$E$5:$E$300,$B257)+SUMIFS(Закрытые!$I$5:$I$300,Закрытые!$E$5:$E$300,$B257,Закрытые!$B$5:$B$300,"L-*")=0,"",SUMIFS(Лэндинг!$I$5:$I$300,Лэндинг!$E$5:$E$300,$B257)+SUMIFS(Закрытые!$I$5:$I$300,Закрытые!$E$5:$E$300,$B257,Закрытые!$B$5:$B$300,"L-*"))</f>
        <v/>
      </c>
      <c r="G257" s="177">
        <f>IF(F257="","",(SUMPRODUCT((Лэндинг!$E$5:$E$300=$B257)*Лэндинг!$I$5:$I$300*Лэндинг!$J$5:$J$300)+SUMPRODUCT((Закрытые!$E$5:$E$300=$B257)*(LEFT(Закрытые!$B$5:$B$300,2)="L-")*Закрытые!$I$5:$I$300*Закрытые!$J$5:$J$300))/F257)</f>
        <v/>
      </c>
      <c r="H257" s="241">
        <f>IF(F257="","",SUMIFS(Лэндинг!$K$5:$K$300,Лэндинг!$E$5:$E$300,$B257)+SUMIFS(Закрытые!$K$5:$K$300,Закрытые!$E$5:$E$300,$B257,Закрытые!$B$5:$B$300,"L-*"))</f>
        <v/>
      </c>
      <c r="I257" s="240">
        <f>IF($B257="","",IF(COUNTIFS(Лэндинг!$E$5:$E$300,$B257)+COUNTIFS(Закрытые!$E$5:$E$300,$B257,Закрытые!$B$5:$B$300,"L-*")=0,"",ROUND(SUMIFS(Лэндинг!$L$5:$L$300,Лэндинг!$E$5:$E$300,$B257)+SUMIFS(Закрытые!$L$5:$L$300,Закрытые!$E$5:$E$300,$B257,Закрытые!$B$5:$B$300,"L-*"),8)))</f>
        <v/>
      </c>
      <c r="J257" s="241">
        <f>IF($B257="","",IF(COUNTIFS(Лэндинг!$E$5:$E$300,$B257)+COUNTIFS(Закрытые!$E$5:$E$300,$B257,Закрытые!$B$5:$B$300,"L-*")=0,"",ROUND(SUMIFS(Лэндинг!$M$5:$M$300,Лэндинг!$E$5:$E$300,$B257)+SUMIFS(Закрытые!$M$5:$M$300,Закрытые!$E$5:$E$300,$B257,Закрытые!$B$5:$B$300,"L-*"),8)))</f>
        <v/>
      </c>
      <c r="K257" s="240">
        <f>IF($B257="","",ROUND(SUMIFS(Закрытые!$N$5:$N$300,Закрытые!$E$5:$E$300,$B257,Закрытые!$B$5:$B$300,"L-*"),8))</f>
        <v/>
      </c>
      <c r="L257" s="177">
        <f>IF(K257="","",IF(SUMPRODUCT((Закрытые!$E$5:$E$300=$B257)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257/SUMPRODUCT((Закрытые!$E$5:$E$300=$B257)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7" s="177">
        <f>IF(OR(ROUND(N(C257)-N(F257),8)=0,1-N(Ввод!$E$17)/100&lt;=0),"",IF(N(C257)&gt;N(F257),(N(E257)-N(H257))/((N(C257)-N(F257))*(1-N(Ввод!$E$17)/100)),(N(H257)-N(E257))/((N(F257)-N(C257))*(1+N(Ввод!$E$17)/100))))</f>
        <v/>
      </c>
    </row>
    <row r="258" ht="22" customHeight="1">
      <c r="B258" s="320" t="n"/>
      <c r="C258" s="246">
        <f>IF(SUMIFS(Лэндинг!$F$5:$F$300,Лэндинг!$E$5:$E$300,$B258)+SUMIFS(Закрытые!$F$5:$F$300,Закрытые!$E$5:$E$300,$B258,Закрытые!$B$5:$B$300,"L-*")=0,"",SUMIFS(Лэндинг!$F$5:$F$300,Лэндинг!$E$5:$E$300,$B258)+SUMIFS(Закрытые!$F$5:$F$300,Закрытые!$E$5:$E$300,$B258,Закрытые!$B$5:$B$300,"L-*"))</f>
        <v/>
      </c>
      <c r="D258" s="183">
        <f>IF(C258="","",(SUMPRODUCT((Лэндинг!$E$5:$E$300=$B258)*Лэндинг!$F$5:$F$300*Лэндинг!$G$5:$G$300)+SUMPRODUCT((Закрытые!$E$5:$E$300=$B258)*(LEFT(Закрытые!$B$5:$B$300,2)="L-")*Закрытые!$F$5:$F$300*Закрытые!$G$5:$G$300))/C258)</f>
        <v/>
      </c>
      <c r="E258" s="247">
        <f>IF(C258="","",SUMIFS(Лэндинг!$H$5:$H$300,Лэндинг!$E$5:$E$300,$B258)+SUMIFS(Закрытые!$H$5:$H$300,Закрытые!$E$5:$E$300,$B258,Закрытые!$B$5:$B$300,"L-*"))</f>
        <v/>
      </c>
      <c r="F258" s="246">
        <f>IF(SUMIFS(Лэндинг!$I$5:$I$300,Лэндинг!$E$5:$E$300,$B258)+SUMIFS(Закрытые!$I$5:$I$300,Закрытые!$E$5:$E$300,$B258,Закрытые!$B$5:$B$300,"L-*")=0,"",SUMIFS(Лэндинг!$I$5:$I$300,Лэндинг!$E$5:$E$300,$B258)+SUMIFS(Закрытые!$I$5:$I$300,Закрытые!$E$5:$E$300,$B258,Закрытые!$B$5:$B$300,"L-*"))</f>
        <v/>
      </c>
      <c r="G258" s="183">
        <f>IF(F258="","",(SUMPRODUCT((Лэндинг!$E$5:$E$300=$B258)*Лэндинг!$I$5:$I$300*Лэндинг!$J$5:$J$300)+SUMPRODUCT((Закрытые!$E$5:$E$300=$B258)*(LEFT(Закрытые!$B$5:$B$300,2)="L-")*Закрытые!$I$5:$I$300*Закрытые!$J$5:$J$300))/F258)</f>
        <v/>
      </c>
      <c r="H258" s="247">
        <f>IF(F258="","",SUMIFS(Лэндинг!$K$5:$K$300,Лэндинг!$E$5:$E$300,$B258)+SUMIFS(Закрытые!$K$5:$K$300,Закрытые!$E$5:$E$300,$B258,Закрытые!$B$5:$B$300,"L-*"))</f>
        <v/>
      </c>
      <c r="I258" s="246">
        <f>IF($B258="","",IF(COUNTIFS(Лэндинг!$E$5:$E$300,$B258)+COUNTIFS(Закрытые!$E$5:$E$300,$B258,Закрытые!$B$5:$B$300,"L-*")=0,"",ROUND(SUMIFS(Лэндинг!$L$5:$L$300,Лэндинг!$E$5:$E$300,$B258)+SUMIFS(Закрытые!$L$5:$L$300,Закрытые!$E$5:$E$300,$B258,Закрытые!$B$5:$B$300,"L-*"),8)))</f>
        <v/>
      </c>
      <c r="J258" s="247">
        <f>IF($B258="","",IF(COUNTIFS(Лэндинг!$E$5:$E$300,$B258)+COUNTIFS(Закрытые!$E$5:$E$300,$B258,Закрытые!$B$5:$B$300,"L-*")=0,"",ROUND(SUMIFS(Лэндинг!$M$5:$M$300,Лэндинг!$E$5:$E$300,$B258)+SUMIFS(Закрытые!$M$5:$M$300,Закрытые!$E$5:$E$300,$B258,Закрытые!$B$5:$B$300,"L-*"),8)))</f>
        <v/>
      </c>
      <c r="K258" s="246">
        <f>IF($B258="","",ROUND(SUMIFS(Закрытые!$N$5:$N$300,Закрытые!$E$5:$E$300,$B258,Закрытые!$B$5:$B$300,"L-*"),8))</f>
        <v/>
      </c>
      <c r="L258" s="183">
        <f>IF(K258="","",IF(SUMPRODUCT((Закрытые!$E$5:$E$300=$B258)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258/SUMPRODUCT((Закрытые!$E$5:$E$300=$B258)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8" s="183">
        <f>IF(OR(ROUND(N(C258)-N(F258),8)=0,1-N(Ввод!$E$17)/100&lt;=0),"",IF(N(C258)&gt;N(F258),(N(E258)-N(H258))/((N(C258)-N(F258))*(1-N(Ввод!$E$17)/100)),(N(H258)-N(E258))/((N(F258)-N(C258))*(1+N(Ввод!$E$17)/100))))</f>
        <v/>
      </c>
    </row>
    <row r="259" ht="22" customHeight="1">
      <c r="B259" s="315" t="n"/>
      <c r="C259" s="240">
        <f>IF(SUMIFS(Лэндинг!$F$5:$F$300,Лэндинг!$E$5:$E$300,$B259)+SUMIFS(Закрытые!$F$5:$F$300,Закрытые!$E$5:$E$300,$B259,Закрытые!$B$5:$B$300,"L-*")=0,"",SUMIFS(Лэндинг!$F$5:$F$300,Лэндинг!$E$5:$E$300,$B259)+SUMIFS(Закрытые!$F$5:$F$300,Закрытые!$E$5:$E$300,$B259,Закрытые!$B$5:$B$300,"L-*"))</f>
        <v/>
      </c>
      <c r="D259" s="177">
        <f>IF(C259="","",(SUMPRODUCT((Лэндинг!$E$5:$E$300=$B259)*Лэндинг!$F$5:$F$300*Лэндинг!$G$5:$G$300)+SUMPRODUCT((Закрытые!$E$5:$E$300=$B259)*(LEFT(Закрытые!$B$5:$B$300,2)="L-")*Закрытые!$F$5:$F$300*Закрытые!$G$5:$G$300))/C259)</f>
        <v/>
      </c>
      <c r="E259" s="241">
        <f>IF(C259="","",SUMIFS(Лэндинг!$H$5:$H$300,Лэндинг!$E$5:$E$300,$B259)+SUMIFS(Закрытые!$H$5:$H$300,Закрытые!$E$5:$E$300,$B259,Закрытые!$B$5:$B$300,"L-*"))</f>
        <v/>
      </c>
      <c r="F259" s="240">
        <f>IF(SUMIFS(Лэндинг!$I$5:$I$300,Лэндинг!$E$5:$E$300,$B259)+SUMIFS(Закрытые!$I$5:$I$300,Закрытые!$E$5:$E$300,$B259,Закрытые!$B$5:$B$300,"L-*")=0,"",SUMIFS(Лэндинг!$I$5:$I$300,Лэндинг!$E$5:$E$300,$B259)+SUMIFS(Закрытые!$I$5:$I$300,Закрытые!$E$5:$E$300,$B259,Закрытые!$B$5:$B$300,"L-*"))</f>
        <v/>
      </c>
      <c r="G259" s="177">
        <f>IF(F259="","",(SUMPRODUCT((Лэндинг!$E$5:$E$300=$B259)*Лэндинг!$I$5:$I$300*Лэндинг!$J$5:$J$300)+SUMPRODUCT((Закрытые!$E$5:$E$300=$B259)*(LEFT(Закрытые!$B$5:$B$300,2)="L-")*Закрытые!$I$5:$I$300*Закрытые!$J$5:$J$300))/F259)</f>
        <v/>
      </c>
      <c r="H259" s="241">
        <f>IF(F259="","",SUMIFS(Лэндинг!$K$5:$K$300,Лэндинг!$E$5:$E$300,$B259)+SUMIFS(Закрытые!$K$5:$K$300,Закрытые!$E$5:$E$300,$B259,Закрытые!$B$5:$B$300,"L-*"))</f>
        <v/>
      </c>
      <c r="I259" s="240">
        <f>IF($B259="","",IF(COUNTIFS(Лэндинг!$E$5:$E$300,$B259)+COUNTIFS(Закрытые!$E$5:$E$300,$B259,Закрытые!$B$5:$B$300,"L-*")=0,"",ROUND(SUMIFS(Лэндинг!$L$5:$L$300,Лэндинг!$E$5:$E$300,$B259)+SUMIFS(Закрытые!$L$5:$L$300,Закрытые!$E$5:$E$300,$B259,Закрытые!$B$5:$B$300,"L-*"),8)))</f>
        <v/>
      </c>
      <c r="J259" s="241">
        <f>IF($B259="","",IF(COUNTIFS(Лэндинг!$E$5:$E$300,$B259)+COUNTIFS(Закрытые!$E$5:$E$300,$B259,Закрытые!$B$5:$B$300,"L-*")=0,"",ROUND(SUMIFS(Лэндинг!$M$5:$M$300,Лэндинг!$E$5:$E$300,$B259)+SUMIFS(Закрытые!$M$5:$M$300,Закрытые!$E$5:$E$300,$B259,Закрытые!$B$5:$B$300,"L-*"),8)))</f>
        <v/>
      </c>
      <c r="K259" s="240">
        <f>IF($B259="","",ROUND(SUMIFS(Закрытые!$N$5:$N$300,Закрытые!$E$5:$E$300,$B259,Закрытые!$B$5:$B$300,"L-*"),8))</f>
        <v/>
      </c>
      <c r="L259" s="177">
        <f>IF(K259="","",IF(SUMPRODUCT((Закрытые!$E$5:$E$300=$B259)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259/SUMPRODUCT((Закрытые!$E$5:$E$300=$B259)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9" s="177">
        <f>IF(OR(ROUND(N(C259)-N(F259),8)=0,1-N(Ввод!$E$17)/100&lt;=0),"",IF(N(C259)&gt;N(F259),(N(E259)-N(H259))/((N(C259)-N(F259))*(1-N(Ввод!$E$17)/100)),(N(H259)-N(E259))/((N(F259)-N(C259))*(1+N(Ввод!$E$17)/100))))</f>
        <v/>
      </c>
    </row>
    <row r="260" ht="22" customHeight="1">
      <c r="B260" s="320" t="n"/>
      <c r="C260" s="246">
        <f>IF(SUMIFS(Лэндинг!$F$5:$F$300,Лэндинг!$E$5:$E$300,$B260)+SUMIFS(Закрытые!$F$5:$F$300,Закрытые!$E$5:$E$300,$B260,Закрытые!$B$5:$B$300,"L-*")=0,"",SUMIFS(Лэндинг!$F$5:$F$300,Лэндинг!$E$5:$E$300,$B260)+SUMIFS(Закрытые!$F$5:$F$300,Закрытые!$E$5:$E$300,$B260,Закрытые!$B$5:$B$300,"L-*"))</f>
        <v/>
      </c>
      <c r="D260" s="183">
        <f>IF(C260="","",(SUMPRODUCT((Лэндинг!$E$5:$E$300=$B260)*Лэндинг!$F$5:$F$300*Лэндинг!$G$5:$G$300)+SUMPRODUCT((Закрытые!$E$5:$E$300=$B260)*(LEFT(Закрытые!$B$5:$B$300,2)="L-")*Закрытые!$F$5:$F$300*Закрытые!$G$5:$G$300))/C260)</f>
        <v/>
      </c>
      <c r="E260" s="247">
        <f>IF(C260="","",SUMIFS(Лэндинг!$H$5:$H$300,Лэндинг!$E$5:$E$300,$B260)+SUMIFS(Закрытые!$H$5:$H$300,Закрытые!$E$5:$E$300,$B260,Закрытые!$B$5:$B$300,"L-*"))</f>
        <v/>
      </c>
      <c r="F260" s="246">
        <f>IF(SUMIFS(Лэндинг!$I$5:$I$300,Лэндинг!$E$5:$E$300,$B260)+SUMIFS(Закрытые!$I$5:$I$300,Закрытые!$E$5:$E$300,$B260,Закрытые!$B$5:$B$300,"L-*")=0,"",SUMIFS(Лэндинг!$I$5:$I$300,Лэндинг!$E$5:$E$300,$B260)+SUMIFS(Закрытые!$I$5:$I$300,Закрытые!$E$5:$E$300,$B260,Закрытые!$B$5:$B$300,"L-*"))</f>
        <v/>
      </c>
      <c r="G260" s="183">
        <f>IF(F260="","",(SUMPRODUCT((Лэндинг!$E$5:$E$300=$B260)*Лэндинг!$I$5:$I$300*Лэндинг!$J$5:$J$300)+SUMPRODUCT((Закрытые!$E$5:$E$300=$B260)*(LEFT(Закрытые!$B$5:$B$300,2)="L-")*Закрытые!$I$5:$I$300*Закрытые!$J$5:$J$300))/F260)</f>
        <v/>
      </c>
      <c r="H260" s="247">
        <f>IF(F260="","",SUMIFS(Лэндинг!$K$5:$K$300,Лэндинг!$E$5:$E$300,$B260)+SUMIFS(Закрытые!$K$5:$K$300,Закрытые!$E$5:$E$300,$B260,Закрытые!$B$5:$B$300,"L-*"))</f>
        <v/>
      </c>
      <c r="I260" s="246">
        <f>IF($B260="","",IF(COUNTIFS(Лэндинг!$E$5:$E$300,$B260)+COUNTIFS(Закрытые!$E$5:$E$300,$B260,Закрытые!$B$5:$B$300,"L-*")=0,"",ROUND(SUMIFS(Лэндинг!$L$5:$L$300,Лэндинг!$E$5:$E$300,$B260)+SUMIFS(Закрытые!$L$5:$L$300,Закрытые!$E$5:$E$300,$B260,Закрытые!$B$5:$B$300,"L-*"),8)))</f>
        <v/>
      </c>
      <c r="J260" s="247">
        <f>IF($B260="","",IF(COUNTIFS(Лэндинг!$E$5:$E$300,$B260)+COUNTIFS(Закрытые!$E$5:$E$300,$B260,Закрытые!$B$5:$B$300,"L-*")=0,"",ROUND(SUMIFS(Лэндинг!$M$5:$M$300,Лэндинг!$E$5:$E$300,$B260)+SUMIFS(Закрытые!$M$5:$M$300,Закрытые!$E$5:$E$300,$B260,Закрытые!$B$5:$B$300,"L-*"),8)))</f>
        <v/>
      </c>
      <c r="K260" s="246">
        <f>IF($B260="","",ROUND(SUMIFS(Закрытые!$N$5:$N$300,Закрытые!$E$5:$E$300,$B260,Закрытые!$B$5:$B$300,"L-*"),8))</f>
        <v/>
      </c>
      <c r="L260" s="183">
        <f>IF(K260="","",IF(SUMPRODUCT((Закрытые!$E$5:$E$300=$B260)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260/SUMPRODUCT((Закрытые!$E$5:$E$300=$B260)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0" s="183">
        <f>IF(OR(ROUND(N(C260)-N(F260),8)=0,1-N(Ввод!$E$17)/100&lt;=0),"",IF(N(C260)&gt;N(F260),(N(E260)-N(H260))/((N(C260)-N(F260))*(1-N(Ввод!$E$17)/100)),(N(H260)-N(E260))/((N(F260)-N(C260))*(1+N(Ввод!$E$17)/100))))</f>
        <v/>
      </c>
    </row>
    <row r="261" ht="22" customHeight="1">
      <c r="B261" s="315" t="n"/>
      <c r="C261" s="240">
        <f>IF(SUMIFS(Лэндинг!$F$5:$F$300,Лэндинг!$E$5:$E$300,$B261)+SUMIFS(Закрытые!$F$5:$F$300,Закрытые!$E$5:$E$300,$B261,Закрытые!$B$5:$B$300,"L-*")=0,"",SUMIFS(Лэндинг!$F$5:$F$300,Лэндинг!$E$5:$E$300,$B261)+SUMIFS(Закрытые!$F$5:$F$300,Закрытые!$E$5:$E$300,$B261,Закрытые!$B$5:$B$300,"L-*"))</f>
        <v/>
      </c>
      <c r="D261" s="177">
        <f>IF(C261="","",(SUMPRODUCT((Лэндинг!$E$5:$E$300=$B261)*Лэндинг!$F$5:$F$300*Лэндинг!$G$5:$G$300)+SUMPRODUCT((Закрытые!$E$5:$E$300=$B261)*(LEFT(Закрытые!$B$5:$B$300,2)="L-")*Закрытые!$F$5:$F$300*Закрытые!$G$5:$G$300))/C261)</f>
        <v/>
      </c>
      <c r="E261" s="241">
        <f>IF(C261="","",SUMIFS(Лэндинг!$H$5:$H$300,Лэндинг!$E$5:$E$300,$B261)+SUMIFS(Закрытые!$H$5:$H$300,Закрытые!$E$5:$E$300,$B261,Закрытые!$B$5:$B$300,"L-*"))</f>
        <v/>
      </c>
      <c r="F261" s="240">
        <f>IF(SUMIFS(Лэндинг!$I$5:$I$300,Лэндинг!$E$5:$E$300,$B261)+SUMIFS(Закрытые!$I$5:$I$300,Закрытые!$E$5:$E$300,$B261,Закрытые!$B$5:$B$300,"L-*")=0,"",SUMIFS(Лэндинг!$I$5:$I$300,Лэндинг!$E$5:$E$300,$B261)+SUMIFS(Закрытые!$I$5:$I$300,Закрытые!$E$5:$E$300,$B261,Закрытые!$B$5:$B$300,"L-*"))</f>
        <v/>
      </c>
      <c r="G261" s="177">
        <f>IF(F261="","",(SUMPRODUCT((Лэндинг!$E$5:$E$300=$B261)*Лэндинг!$I$5:$I$300*Лэндинг!$J$5:$J$300)+SUMPRODUCT((Закрытые!$E$5:$E$300=$B261)*(LEFT(Закрытые!$B$5:$B$300,2)="L-")*Закрытые!$I$5:$I$300*Закрытые!$J$5:$J$300))/F261)</f>
        <v/>
      </c>
      <c r="H261" s="241">
        <f>IF(F261="","",SUMIFS(Лэндинг!$K$5:$K$300,Лэндинг!$E$5:$E$300,$B261)+SUMIFS(Закрытые!$K$5:$K$300,Закрытые!$E$5:$E$300,$B261,Закрытые!$B$5:$B$300,"L-*"))</f>
        <v/>
      </c>
      <c r="I261" s="240">
        <f>IF($B261="","",IF(COUNTIFS(Лэндинг!$E$5:$E$300,$B261)+COUNTIFS(Закрытые!$E$5:$E$300,$B261,Закрытые!$B$5:$B$300,"L-*")=0,"",ROUND(SUMIFS(Лэндинг!$L$5:$L$300,Лэндинг!$E$5:$E$300,$B261)+SUMIFS(Закрытые!$L$5:$L$300,Закрытые!$E$5:$E$300,$B261,Закрытые!$B$5:$B$300,"L-*"),8)))</f>
        <v/>
      </c>
      <c r="J261" s="241">
        <f>IF($B261="","",IF(COUNTIFS(Лэндинг!$E$5:$E$300,$B261)+COUNTIFS(Закрытые!$E$5:$E$300,$B261,Закрытые!$B$5:$B$300,"L-*")=0,"",ROUND(SUMIFS(Лэндинг!$M$5:$M$300,Лэндинг!$E$5:$E$300,$B261)+SUMIFS(Закрытые!$M$5:$M$300,Закрытые!$E$5:$E$300,$B261,Закрытые!$B$5:$B$300,"L-*"),8)))</f>
        <v/>
      </c>
      <c r="K261" s="240">
        <f>IF($B261="","",ROUND(SUMIFS(Закрытые!$N$5:$N$300,Закрытые!$E$5:$E$300,$B261,Закрытые!$B$5:$B$300,"L-*"),8))</f>
        <v/>
      </c>
      <c r="L261" s="177">
        <f>IF(K261="","",IF(SUMPRODUCT((Закрытые!$E$5:$E$300=$B261)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261/SUMPRODUCT((Закрытые!$E$5:$E$300=$B261)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1" s="177">
        <f>IF(OR(ROUND(N(C261)-N(F261),8)=0,1-N(Ввод!$E$17)/100&lt;=0),"",IF(N(C261)&gt;N(F261),(N(E261)-N(H261))/((N(C261)-N(F261))*(1-N(Ввод!$E$17)/100)),(N(H261)-N(E261))/((N(F261)-N(C261))*(1+N(Ввод!$E$17)/100))))</f>
        <v/>
      </c>
    </row>
    <row r="262" ht="22" customHeight="1">
      <c r="B262" s="320" t="n"/>
      <c r="C262" s="246">
        <f>IF(SUMIFS(Лэндинг!$F$5:$F$300,Лэндинг!$E$5:$E$300,$B262)+SUMIFS(Закрытые!$F$5:$F$300,Закрытые!$E$5:$E$300,$B262,Закрытые!$B$5:$B$300,"L-*")=0,"",SUMIFS(Лэндинг!$F$5:$F$300,Лэндинг!$E$5:$E$300,$B262)+SUMIFS(Закрытые!$F$5:$F$300,Закрытые!$E$5:$E$300,$B262,Закрытые!$B$5:$B$300,"L-*"))</f>
        <v/>
      </c>
      <c r="D262" s="183">
        <f>IF(C262="","",(SUMPRODUCT((Лэндинг!$E$5:$E$300=$B262)*Лэндинг!$F$5:$F$300*Лэндинг!$G$5:$G$300)+SUMPRODUCT((Закрытые!$E$5:$E$300=$B262)*(LEFT(Закрытые!$B$5:$B$300,2)="L-")*Закрытые!$F$5:$F$300*Закрытые!$G$5:$G$300))/C262)</f>
        <v/>
      </c>
      <c r="E262" s="247">
        <f>IF(C262="","",SUMIFS(Лэндинг!$H$5:$H$300,Лэндинг!$E$5:$E$300,$B262)+SUMIFS(Закрытые!$H$5:$H$300,Закрытые!$E$5:$E$300,$B262,Закрытые!$B$5:$B$300,"L-*"))</f>
        <v/>
      </c>
      <c r="F262" s="246">
        <f>IF(SUMIFS(Лэндинг!$I$5:$I$300,Лэндинг!$E$5:$E$300,$B262)+SUMIFS(Закрытые!$I$5:$I$300,Закрытые!$E$5:$E$300,$B262,Закрытые!$B$5:$B$300,"L-*")=0,"",SUMIFS(Лэндинг!$I$5:$I$300,Лэндинг!$E$5:$E$300,$B262)+SUMIFS(Закрытые!$I$5:$I$300,Закрытые!$E$5:$E$300,$B262,Закрытые!$B$5:$B$300,"L-*"))</f>
        <v/>
      </c>
      <c r="G262" s="183">
        <f>IF(F262="","",(SUMPRODUCT((Лэндинг!$E$5:$E$300=$B262)*Лэндинг!$I$5:$I$300*Лэндинг!$J$5:$J$300)+SUMPRODUCT((Закрытые!$E$5:$E$300=$B262)*(LEFT(Закрытые!$B$5:$B$300,2)="L-")*Закрытые!$I$5:$I$300*Закрытые!$J$5:$J$300))/F262)</f>
        <v/>
      </c>
      <c r="H262" s="247">
        <f>IF(F262="","",SUMIFS(Лэндинг!$K$5:$K$300,Лэндинг!$E$5:$E$300,$B262)+SUMIFS(Закрытые!$K$5:$K$300,Закрытые!$E$5:$E$300,$B262,Закрытые!$B$5:$B$300,"L-*"))</f>
        <v/>
      </c>
      <c r="I262" s="246">
        <f>IF($B262="","",IF(COUNTIFS(Лэндинг!$E$5:$E$300,$B262)+COUNTIFS(Закрытые!$E$5:$E$300,$B262,Закрытые!$B$5:$B$300,"L-*")=0,"",ROUND(SUMIFS(Лэндинг!$L$5:$L$300,Лэндинг!$E$5:$E$300,$B262)+SUMIFS(Закрытые!$L$5:$L$300,Закрытые!$E$5:$E$300,$B262,Закрытые!$B$5:$B$300,"L-*"),8)))</f>
        <v/>
      </c>
      <c r="J262" s="247">
        <f>IF($B262="","",IF(COUNTIFS(Лэндинг!$E$5:$E$300,$B262)+COUNTIFS(Закрытые!$E$5:$E$300,$B262,Закрытые!$B$5:$B$300,"L-*")=0,"",ROUND(SUMIFS(Лэндинг!$M$5:$M$300,Лэндинг!$E$5:$E$300,$B262)+SUMIFS(Закрытые!$M$5:$M$300,Закрытые!$E$5:$E$300,$B262,Закрытые!$B$5:$B$300,"L-*"),8)))</f>
        <v/>
      </c>
      <c r="K262" s="246">
        <f>IF($B262="","",ROUND(SUMIFS(Закрытые!$N$5:$N$300,Закрытые!$E$5:$E$300,$B262,Закрытые!$B$5:$B$300,"L-*"),8))</f>
        <v/>
      </c>
      <c r="L262" s="183">
        <f>IF(K262="","",IF(SUMPRODUCT((Закрытые!$E$5:$E$300=$B262)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262/SUMPRODUCT((Закрытые!$E$5:$E$300=$B262)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2" s="183">
        <f>IF(OR(ROUND(N(C262)-N(F262),8)=0,1-N(Ввод!$E$17)/100&lt;=0),"",IF(N(C262)&gt;N(F262),(N(E262)-N(H262))/((N(C262)-N(F262))*(1-N(Ввод!$E$17)/100)),(N(H262)-N(E262))/((N(F262)-N(C262))*(1+N(Ввод!$E$17)/100))))</f>
        <v/>
      </c>
    </row>
    <row r="263" ht="22" customHeight="1">
      <c r="B263" s="315" t="n"/>
      <c r="C263" s="240">
        <f>IF(SUMIFS(Лэндинг!$F$5:$F$300,Лэндинг!$E$5:$E$300,$B263)+SUMIFS(Закрытые!$F$5:$F$300,Закрытые!$E$5:$E$300,$B263,Закрытые!$B$5:$B$300,"L-*")=0,"",SUMIFS(Лэндинг!$F$5:$F$300,Лэндинг!$E$5:$E$300,$B263)+SUMIFS(Закрытые!$F$5:$F$300,Закрытые!$E$5:$E$300,$B263,Закрытые!$B$5:$B$300,"L-*"))</f>
        <v/>
      </c>
      <c r="D263" s="177">
        <f>IF(C263="","",(SUMPRODUCT((Лэндинг!$E$5:$E$300=$B263)*Лэндинг!$F$5:$F$300*Лэндинг!$G$5:$G$300)+SUMPRODUCT((Закрытые!$E$5:$E$300=$B263)*(LEFT(Закрытые!$B$5:$B$300,2)="L-")*Закрытые!$F$5:$F$300*Закрытые!$G$5:$G$300))/C263)</f>
        <v/>
      </c>
      <c r="E263" s="241">
        <f>IF(C263="","",SUMIFS(Лэндинг!$H$5:$H$300,Лэндинг!$E$5:$E$300,$B263)+SUMIFS(Закрытые!$H$5:$H$300,Закрытые!$E$5:$E$300,$B263,Закрытые!$B$5:$B$300,"L-*"))</f>
        <v/>
      </c>
      <c r="F263" s="240">
        <f>IF(SUMIFS(Лэндинг!$I$5:$I$300,Лэндинг!$E$5:$E$300,$B263)+SUMIFS(Закрытые!$I$5:$I$300,Закрытые!$E$5:$E$300,$B263,Закрытые!$B$5:$B$300,"L-*")=0,"",SUMIFS(Лэндинг!$I$5:$I$300,Лэндинг!$E$5:$E$300,$B263)+SUMIFS(Закрытые!$I$5:$I$300,Закрытые!$E$5:$E$300,$B263,Закрытые!$B$5:$B$300,"L-*"))</f>
        <v/>
      </c>
      <c r="G263" s="177">
        <f>IF(F263="","",(SUMPRODUCT((Лэндинг!$E$5:$E$300=$B263)*Лэндинг!$I$5:$I$300*Лэндинг!$J$5:$J$300)+SUMPRODUCT((Закрытые!$E$5:$E$300=$B263)*(LEFT(Закрытые!$B$5:$B$300,2)="L-")*Закрытые!$I$5:$I$300*Закрытые!$J$5:$J$300))/F263)</f>
        <v/>
      </c>
      <c r="H263" s="241">
        <f>IF(F263="","",SUMIFS(Лэндинг!$K$5:$K$300,Лэндинг!$E$5:$E$300,$B263)+SUMIFS(Закрытые!$K$5:$K$300,Закрытые!$E$5:$E$300,$B263,Закрытые!$B$5:$B$300,"L-*"))</f>
        <v/>
      </c>
      <c r="I263" s="240">
        <f>IF($B263="","",IF(COUNTIFS(Лэндинг!$E$5:$E$300,$B263)+COUNTIFS(Закрытые!$E$5:$E$300,$B263,Закрытые!$B$5:$B$300,"L-*")=0,"",ROUND(SUMIFS(Лэндинг!$L$5:$L$300,Лэндинг!$E$5:$E$300,$B263)+SUMIFS(Закрытые!$L$5:$L$300,Закрытые!$E$5:$E$300,$B263,Закрытые!$B$5:$B$300,"L-*"),8)))</f>
        <v/>
      </c>
      <c r="J263" s="241">
        <f>IF($B263="","",IF(COUNTIFS(Лэндинг!$E$5:$E$300,$B263)+COUNTIFS(Закрытые!$E$5:$E$300,$B263,Закрытые!$B$5:$B$300,"L-*")=0,"",ROUND(SUMIFS(Лэндинг!$M$5:$M$300,Лэндинг!$E$5:$E$300,$B263)+SUMIFS(Закрытые!$M$5:$M$300,Закрытые!$E$5:$E$300,$B263,Закрытые!$B$5:$B$300,"L-*"),8)))</f>
        <v/>
      </c>
      <c r="K263" s="240">
        <f>IF($B263="","",ROUND(SUMIFS(Закрытые!$N$5:$N$300,Закрытые!$E$5:$E$300,$B263,Закрытые!$B$5:$B$300,"L-*"),8))</f>
        <v/>
      </c>
      <c r="L263" s="177">
        <f>IF(K263="","",IF(SUMPRODUCT((Закрытые!$E$5:$E$300=$B263)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263/SUMPRODUCT((Закрытые!$E$5:$E$300=$B263)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3" s="177">
        <f>IF(OR(ROUND(N(C263)-N(F263),8)=0,1-N(Ввод!$E$17)/100&lt;=0),"",IF(N(C263)&gt;N(F263),(N(E263)-N(H263))/((N(C263)-N(F263))*(1-N(Ввод!$E$17)/100)),(N(H263)-N(E263))/((N(F263)-N(C263))*(1+N(Ввод!$E$17)/100))))</f>
        <v/>
      </c>
    </row>
    <row r="264" ht="22" customHeight="1">
      <c r="B264" s="320" t="n"/>
      <c r="C264" s="246">
        <f>IF(SUMIFS(Лэндинг!$F$5:$F$300,Лэндинг!$E$5:$E$300,$B264)+SUMIFS(Закрытые!$F$5:$F$300,Закрытые!$E$5:$E$300,$B264,Закрытые!$B$5:$B$300,"L-*")=0,"",SUMIFS(Лэндинг!$F$5:$F$300,Лэндинг!$E$5:$E$300,$B264)+SUMIFS(Закрытые!$F$5:$F$300,Закрытые!$E$5:$E$300,$B264,Закрытые!$B$5:$B$300,"L-*"))</f>
        <v/>
      </c>
      <c r="D264" s="183">
        <f>IF(C264="","",(SUMPRODUCT((Лэндинг!$E$5:$E$300=$B264)*Лэндинг!$F$5:$F$300*Лэндинг!$G$5:$G$300)+SUMPRODUCT((Закрытые!$E$5:$E$300=$B264)*(LEFT(Закрытые!$B$5:$B$300,2)="L-")*Закрытые!$F$5:$F$300*Закрытые!$G$5:$G$300))/C264)</f>
        <v/>
      </c>
      <c r="E264" s="247">
        <f>IF(C264="","",SUMIFS(Лэндинг!$H$5:$H$300,Лэндинг!$E$5:$E$300,$B264)+SUMIFS(Закрытые!$H$5:$H$300,Закрытые!$E$5:$E$300,$B264,Закрытые!$B$5:$B$300,"L-*"))</f>
        <v/>
      </c>
      <c r="F264" s="246">
        <f>IF(SUMIFS(Лэндинг!$I$5:$I$300,Лэндинг!$E$5:$E$300,$B264)+SUMIFS(Закрытые!$I$5:$I$300,Закрытые!$E$5:$E$300,$B264,Закрытые!$B$5:$B$300,"L-*")=0,"",SUMIFS(Лэндинг!$I$5:$I$300,Лэндинг!$E$5:$E$300,$B264)+SUMIFS(Закрытые!$I$5:$I$300,Закрытые!$E$5:$E$300,$B264,Закрытые!$B$5:$B$300,"L-*"))</f>
        <v/>
      </c>
      <c r="G264" s="183">
        <f>IF(F264="","",(SUMPRODUCT((Лэндинг!$E$5:$E$300=$B264)*Лэндинг!$I$5:$I$300*Лэндинг!$J$5:$J$300)+SUMPRODUCT((Закрытые!$E$5:$E$300=$B264)*(LEFT(Закрытые!$B$5:$B$300,2)="L-")*Закрытые!$I$5:$I$300*Закрытые!$J$5:$J$300))/F264)</f>
        <v/>
      </c>
      <c r="H264" s="247">
        <f>IF(F264="","",SUMIFS(Лэндинг!$K$5:$K$300,Лэндинг!$E$5:$E$300,$B264)+SUMIFS(Закрытые!$K$5:$K$300,Закрытые!$E$5:$E$300,$B264,Закрытые!$B$5:$B$300,"L-*"))</f>
        <v/>
      </c>
      <c r="I264" s="246">
        <f>IF($B264="","",IF(COUNTIFS(Лэндинг!$E$5:$E$300,$B264)+COUNTIFS(Закрытые!$E$5:$E$300,$B264,Закрытые!$B$5:$B$300,"L-*")=0,"",ROUND(SUMIFS(Лэндинг!$L$5:$L$300,Лэндинг!$E$5:$E$300,$B264)+SUMIFS(Закрытые!$L$5:$L$300,Закрытые!$E$5:$E$300,$B264,Закрытые!$B$5:$B$300,"L-*"),8)))</f>
        <v/>
      </c>
      <c r="J264" s="247">
        <f>IF($B264="","",IF(COUNTIFS(Лэндинг!$E$5:$E$300,$B264)+COUNTIFS(Закрытые!$E$5:$E$300,$B264,Закрытые!$B$5:$B$300,"L-*")=0,"",ROUND(SUMIFS(Лэндинг!$M$5:$M$300,Лэндинг!$E$5:$E$300,$B264)+SUMIFS(Закрытые!$M$5:$M$300,Закрытые!$E$5:$E$300,$B264,Закрытые!$B$5:$B$300,"L-*"),8)))</f>
        <v/>
      </c>
      <c r="K264" s="246">
        <f>IF($B264="","",ROUND(SUMIFS(Закрытые!$N$5:$N$300,Закрытые!$E$5:$E$300,$B264,Закрытые!$B$5:$B$300,"L-*"),8))</f>
        <v/>
      </c>
      <c r="L264" s="183">
        <f>IF(K264="","",IF(SUMPRODUCT((Закрытые!$E$5:$E$300=$B264)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264/SUMPRODUCT((Закрытые!$E$5:$E$300=$B264)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4" s="183">
        <f>IF(OR(ROUND(N(C264)-N(F264),8)=0,1-N(Ввод!$E$17)/100&lt;=0),"",IF(N(C264)&gt;N(F264),(N(E264)-N(H264))/((N(C264)-N(F264))*(1-N(Ввод!$E$17)/100)),(N(H264)-N(E264))/((N(F264)-N(C264))*(1+N(Ввод!$E$17)/100))))</f>
        <v/>
      </c>
    </row>
    <row r="265" ht="22" customHeight="1">
      <c r="B265" s="315" t="n"/>
      <c r="C265" s="240">
        <f>IF(SUMIFS(Лэндинг!$F$5:$F$300,Лэндинг!$E$5:$E$300,$B265)+SUMIFS(Закрытые!$F$5:$F$300,Закрытые!$E$5:$E$300,$B265,Закрытые!$B$5:$B$300,"L-*")=0,"",SUMIFS(Лэндинг!$F$5:$F$300,Лэндинг!$E$5:$E$300,$B265)+SUMIFS(Закрытые!$F$5:$F$300,Закрытые!$E$5:$E$300,$B265,Закрытые!$B$5:$B$300,"L-*"))</f>
        <v/>
      </c>
      <c r="D265" s="177">
        <f>IF(C265="","",(SUMPRODUCT((Лэндинг!$E$5:$E$300=$B265)*Лэндинг!$F$5:$F$300*Лэндинг!$G$5:$G$300)+SUMPRODUCT((Закрытые!$E$5:$E$300=$B265)*(LEFT(Закрытые!$B$5:$B$300,2)="L-")*Закрытые!$F$5:$F$300*Закрытые!$G$5:$G$300))/C265)</f>
        <v/>
      </c>
      <c r="E265" s="241">
        <f>IF(C265="","",SUMIFS(Лэндинг!$H$5:$H$300,Лэндинг!$E$5:$E$300,$B265)+SUMIFS(Закрытые!$H$5:$H$300,Закрытые!$E$5:$E$300,$B265,Закрытые!$B$5:$B$300,"L-*"))</f>
        <v/>
      </c>
      <c r="F265" s="240">
        <f>IF(SUMIFS(Лэндинг!$I$5:$I$300,Лэндинг!$E$5:$E$300,$B265)+SUMIFS(Закрытые!$I$5:$I$300,Закрытые!$E$5:$E$300,$B265,Закрытые!$B$5:$B$300,"L-*")=0,"",SUMIFS(Лэндинг!$I$5:$I$300,Лэндинг!$E$5:$E$300,$B265)+SUMIFS(Закрытые!$I$5:$I$300,Закрытые!$E$5:$E$300,$B265,Закрытые!$B$5:$B$300,"L-*"))</f>
        <v/>
      </c>
      <c r="G265" s="177">
        <f>IF(F265="","",(SUMPRODUCT((Лэндинг!$E$5:$E$300=$B265)*Лэндинг!$I$5:$I$300*Лэндинг!$J$5:$J$300)+SUMPRODUCT((Закрытые!$E$5:$E$300=$B265)*(LEFT(Закрытые!$B$5:$B$300,2)="L-")*Закрытые!$I$5:$I$300*Закрытые!$J$5:$J$300))/F265)</f>
        <v/>
      </c>
      <c r="H265" s="241">
        <f>IF(F265="","",SUMIFS(Лэндинг!$K$5:$K$300,Лэндинг!$E$5:$E$300,$B265)+SUMIFS(Закрытые!$K$5:$K$300,Закрытые!$E$5:$E$300,$B265,Закрытые!$B$5:$B$300,"L-*"))</f>
        <v/>
      </c>
      <c r="I265" s="240">
        <f>IF($B265="","",IF(COUNTIFS(Лэндинг!$E$5:$E$300,$B265)+COUNTIFS(Закрытые!$E$5:$E$300,$B265,Закрытые!$B$5:$B$300,"L-*")=0,"",ROUND(SUMIFS(Лэндинг!$L$5:$L$300,Лэндинг!$E$5:$E$300,$B265)+SUMIFS(Закрытые!$L$5:$L$300,Закрытые!$E$5:$E$300,$B265,Закрытые!$B$5:$B$300,"L-*"),8)))</f>
        <v/>
      </c>
      <c r="J265" s="241">
        <f>IF($B265="","",IF(COUNTIFS(Лэндинг!$E$5:$E$300,$B265)+COUNTIFS(Закрытые!$E$5:$E$300,$B265,Закрытые!$B$5:$B$300,"L-*")=0,"",ROUND(SUMIFS(Лэндинг!$M$5:$M$300,Лэндинг!$E$5:$E$300,$B265)+SUMIFS(Закрытые!$M$5:$M$300,Закрытые!$E$5:$E$300,$B265,Закрытые!$B$5:$B$300,"L-*"),8)))</f>
        <v/>
      </c>
      <c r="K265" s="240">
        <f>IF($B265="","",ROUND(SUMIFS(Закрытые!$N$5:$N$300,Закрытые!$E$5:$E$300,$B265,Закрытые!$B$5:$B$300,"L-*"),8))</f>
        <v/>
      </c>
      <c r="L265" s="177">
        <f>IF(K265="","",IF(SUMPRODUCT((Закрытые!$E$5:$E$300=$B265)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265/SUMPRODUCT((Закрытые!$E$5:$E$300=$B265)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5" s="177">
        <f>IF(OR(ROUND(N(C265)-N(F265),8)=0,1-N(Ввод!$E$17)/100&lt;=0),"",IF(N(C265)&gt;N(F265),(N(E265)-N(H265))/((N(C265)-N(F265))*(1-N(Ввод!$E$17)/100)),(N(H265)-N(E265))/((N(F265)-N(C265))*(1+N(Ввод!$E$17)/100))))</f>
        <v/>
      </c>
    </row>
    <row r="266" ht="22" customHeight="1">
      <c r="B266" s="320" t="n"/>
      <c r="C266" s="246">
        <f>IF(SUMIFS(Лэндинг!$F$5:$F$300,Лэндинг!$E$5:$E$300,$B266)+SUMIFS(Закрытые!$F$5:$F$300,Закрытые!$E$5:$E$300,$B266,Закрытые!$B$5:$B$300,"L-*")=0,"",SUMIFS(Лэндинг!$F$5:$F$300,Лэндинг!$E$5:$E$300,$B266)+SUMIFS(Закрытые!$F$5:$F$300,Закрытые!$E$5:$E$300,$B266,Закрытые!$B$5:$B$300,"L-*"))</f>
        <v/>
      </c>
      <c r="D266" s="183">
        <f>IF(C266="","",(SUMPRODUCT((Лэндинг!$E$5:$E$300=$B266)*Лэндинг!$F$5:$F$300*Лэндинг!$G$5:$G$300)+SUMPRODUCT((Закрытые!$E$5:$E$300=$B266)*(LEFT(Закрытые!$B$5:$B$300,2)="L-")*Закрытые!$F$5:$F$300*Закрытые!$G$5:$G$300))/C266)</f>
        <v/>
      </c>
      <c r="E266" s="247">
        <f>IF(C266="","",SUMIFS(Лэндинг!$H$5:$H$300,Лэндинг!$E$5:$E$300,$B266)+SUMIFS(Закрытые!$H$5:$H$300,Закрытые!$E$5:$E$300,$B266,Закрытые!$B$5:$B$300,"L-*"))</f>
        <v/>
      </c>
      <c r="F266" s="246">
        <f>IF(SUMIFS(Лэндинг!$I$5:$I$300,Лэндинг!$E$5:$E$300,$B266)+SUMIFS(Закрытые!$I$5:$I$300,Закрытые!$E$5:$E$300,$B266,Закрытые!$B$5:$B$300,"L-*")=0,"",SUMIFS(Лэндинг!$I$5:$I$300,Лэндинг!$E$5:$E$300,$B266)+SUMIFS(Закрытые!$I$5:$I$300,Закрытые!$E$5:$E$300,$B266,Закрытые!$B$5:$B$300,"L-*"))</f>
        <v/>
      </c>
      <c r="G266" s="183">
        <f>IF(F266="","",(SUMPRODUCT((Лэндинг!$E$5:$E$300=$B266)*Лэндинг!$I$5:$I$300*Лэндинг!$J$5:$J$300)+SUMPRODUCT((Закрытые!$E$5:$E$300=$B266)*(LEFT(Закрытые!$B$5:$B$300,2)="L-")*Закрытые!$I$5:$I$300*Закрытые!$J$5:$J$300))/F266)</f>
        <v/>
      </c>
      <c r="H266" s="247">
        <f>IF(F266="","",SUMIFS(Лэндинг!$K$5:$K$300,Лэндинг!$E$5:$E$300,$B266)+SUMIFS(Закрытые!$K$5:$K$300,Закрытые!$E$5:$E$300,$B266,Закрытые!$B$5:$B$300,"L-*"))</f>
        <v/>
      </c>
      <c r="I266" s="246">
        <f>IF($B266="","",IF(COUNTIFS(Лэндинг!$E$5:$E$300,$B266)+COUNTIFS(Закрытые!$E$5:$E$300,$B266,Закрытые!$B$5:$B$300,"L-*")=0,"",ROUND(SUMIFS(Лэндинг!$L$5:$L$300,Лэндинг!$E$5:$E$300,$B266)+SUMIFS(Закрытые!$L$5:$L$300,Закрытые!$E$5:$E$300,$B266,Закрытые!$B$5:$B$300,"L-*"),8)))</f>
        <v/>
      </c>
      <c r="J266" s="247">
        <f>IF($B266="","",IF(COUNTIFS(Лэндинг!$E$5:$E$300,$B266)+COUNTIFS(Закрытые!$E$5:$E$300,$B266,Закрытые!$B$5:$B$300,"L-*")=0,"",ROUND(SUMIFS(Лэндинг!$M$5:$M$300,Лэндинг!$E$5:$E$300,$B266)+SUMIFS(Закрытые!$M$5:$M$300,Закрытые!$E$5:$E$300,$B266,Закрытые!$B$5:$B$300,"L-*"),8)))</f>
        <v/>
      </c>
      <c r="K266" s="246">
        <f>IF($B266="","",ROUND(SUMIFS(Закрытые!$N$5:$N$300,Закрытые!$E$5:$E$300,$B266,Закрытые!$B$5:$B$300,"L-*"),8))</f>
        <v/>
      </c>
      <c r="L266" s="183">
        <f>IF(K266="","",IF(SUMPRODUCT((Закрытые!$E$5:$E$300=$B266)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266/SUMPRODUCT((Закрытые!$E$5:$E$300=$B266)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6" s="183">
        <f>IF(OR(ROUND(N(C266)-N(F266),8)=0,1-N(Ввод!$E$17)/100&lt;=0),"",IF(N(C266)&gt;N(F266),(N(E266)-N(H266))/((N(C266)-N(F266))*(1-N(Ввод!$E$17)/100)),(N(H266)-N(E266))/((N(F266)-N(C266))*(1+N(Ввод!$E$17)/100))))</f>
        <v/>
      </c>
    </row>
    <row r="267" ht="22" customHeight="1">
      <c r="B267" s="315" t="n"/>
      <c r="C267" s="240">
        <f>IF(SUMIFS(Лэндинг!$F$5:$F$300,Лэндинг!$E$5:$E$300,$B267)+SUMIFS(Закрытые!$F$5:$F$300,Закрытые!$E$5:$E$300,$B267,Закрытые!$B$5:$B$300,"L-*")=0,"",SUMIFS(Лэндинг!$F$5:$F$300,Лэндинг!$E$5:$E$300,$B267)+SUMIFS(Закрытые!$F$5:$F$300,Закрытые!$E$5:$E$300,$B267,Закрытые!$B$5:$B$300,"L-*"))</f>
        <v/>
      </c>
      <c r="D267" s="177">
        <f>IF(C267="","",(SUMPRODUCT((Лэндинг!$E$5:$E$300=$B267)*Лэндинг!$F$5:$F$300*Лэндинг!$G$5:$G$300)+SUMPRODUCT((Закрытые!$E$5:$E$300=$B267)*(LEFT(Закрытые!$B$5:$B$300,2)="L-")*Закрытые!$F$5:$F$300*Закрытые!$G$5:$G$300))/C267)</f>
        <v/>
      </c>
      <c r="E267" s="241">
        <f>IF(C267="","",SUMIFS(Лэндинг!$H$5:$H$300,Лэндинг!$E$5:$E$300,$B267)+SUMIFS(Закрытые!$H$5:$H$300,Закрытые!$E$5:$E$300,$B267,Закрытые!$B$5:$B$300,"L-*"))</f>
        <v/>
      </c>
      <c r="F267" s="240">
        <f>IF(SUMIFS(Лэндинг!$I$5:$I$300,Лэндинг!$E$5:$E$300,$B267)+SUMIFS(Закрытые!$I$5:$I$300,Закрытые!$E$5:$E$300,$B267,Закрытые!$B$5:$B$300,"L-*")=0,"",SUMIFS(Лэндинг!$I$5:$I$300,Лэндинг!$E$5:$E$300,$B267)+SUMIFS(Закрытые!$I$5:$I$300,Закрытые!$E$5:$E$300,$B267,Закрытые!$B$5:$B$300,"L-*"))</f>
        <v/>
      </c>
      <c r="G267" s="177">
        <f>IF(F267="","",(SUMPRODUCT((Лэндинг!$E$5:$E$300=$B267)*Лэндинг!$I$5:$I$300*Лэндинг!$J$5:$J$300)+SUMPRODUCT((Закрытые!$E$5:$E$300=$B267)*(LEFT(Закрытые!$B$5:$B$300,2)="L-")*Закрытые!$I$5:$I$300*Закрытые!$J$5:$J$300))/F267)</f>
        <v/>
      </c>
      <c r="H267" s="241">
        <f>IF(F267="","",SUMIFS(Лэндинг!$K$5:$K$300,Лэндинг!$E$5:$E$300,$B267)+SUMIFS(Закрытые!$K$5:$K$300,Закрытые!$E$5:$E$300,$B267,Закрытые!$B$5:$B$300,"L-*"))</f>
        <v/>
      </c>
      <c r="I267" s="240">
        <f>IF($B267="","",IF(COUNTIFS(Лэндинг!$E$5:$E$300,$B267)+COUNTIFS(Закрытые!$E$5:$E$300,$B267,Закрытые!$B$5:$B$300,"L-*")=0,"",ROUND(SUMIFS(Лэндинг!$L$5:$L$300,Лэндинг!$E$5:$E$300,$B267)+SUMIFS(Закрытые!$L$5:$L$300,Закрытые!$E$5:$E$300,$B267,Закрытые!$B$5:$B$300,"L-*"),8)))</f>
        <v/>
      </c>
      <c r="J267" s="241">
        <f>IF($B267="","",IF(COUNTIFS(Лэндинг!$E$5:$E$300,$B267)+COUNTIFS(Закрытые!$E$5:$E$300,$B267,Закрытые!$B$5:$B$300,"L-*")=0,"",ROUND(SUMIFS(Лэндинг!$M$5:$M$300,Лэндинг!$E$5:$E$300,$B267)+SUMIFS(Закрытые!$M$5:$M$300,Закрытые!$E$5:$E$300,$B267,Закрытые!$B$5:$B$300,"L-*"),8)))</f>
        <v/>
      </c>
      <c r="K267" s="240">
        <f>IF($B267="","",ROUND(SUMIFS(Закрытые!$N$5:$N$300,Закрытые!$E$5:$E$300,$B267,Закрытые!$B$5:$B$300,"L-*"),8))</f>
        <v/>
      </c>
      <c r="L267" s="177">
        <f>IF(K267="","",IF(SUMPRODUCT((Закрытые!$E$5:$E$300=$B267)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267/SUMPRODUCT((Закрытые!$E$5:$E$300=$B267)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7" s="177">
        <f>IF(OR(ROUND(N(C267)-N(F267),8)=0,1-N(Ввод!$E$17)/100&lt;=0),"",IF(N(C267)&gt;N(F267),(N(E267)-N(H267))/((N(C267)-N(F267))*(1-N(Ввод!$E$17)/100)),(N(H267)-N(E267))/((N(F267)-N(C267))*(1+N(Ввод!$E$17)/100))))</f>
        <v/>
      </c>
    </row>
    <row r="268" ht="22" customHeight="1">
      <c r="B268" s="320" t="n"/>
      <c r="C268" s="246">
        <f>IF(SUMIFS(Лэндинг!$F$5:$F$300,Лэндинг!$E$5:$E$300,$B268)+SUMIFS(Закрытые!$F$5:$F$300,Закрытые!$E$5:$E$300,$B268,Закрытые!$B$5:$B$300,"L-*")=0,"",SUMIFS(Лэндинг!$F$5:$F$300,Лэндинг!$E$5:$E$300,$B268)+SUMIFS(Закрытые!$F$5:$F$300,Закрытые!$E$5:$E$300,$B268,Закрытые!$B$5:$B$300,"L-*"))</f>
        <v/>
      </c>
      <c r="D268" s="183">
        <f>IF(C268="","",(SUMPRODUCT((Лэндинг!$E$5:$E$300=$B268)*Лэндинг!$F$5:$F$300*Лэндинг!$G$5:$G$300)+SUMPRODUCT((Закрытые!$E$5:$E$300=$B268)*(LEFT(Закрытые!$B$5:$B$300,2)="L-")*Закрытые!$F$5:$F$300*Закрытые!$G$5:$G$300))/C268)</f>
        <v/>
      </c>
      <c r="E268" s="247">
        <f>IF(C268="","",SUMIFS(Лэндинг!$H$5:$H$300,Лэндинг!$E$5:$E$300,$B268)+SUMIFS(Закрытые!$H$5:$H$300,Закрытые!$E$5:$E$300,$B268,Закрытые!$B$5:$B$300,"L-*"))</f>
        <v/>
      </c>
      <c r="F268" s="246">
        <f>IF(SUMIFS(Лэндинг!$I$5:$I$300,Лэндинг!$E$5:$E$300,$B268)+SUMIFS(Закрытые!$I$5:$I$300,Закрытые!$E$5:$E$300,$B268,Закрытые!$B$5:$B$300,"L-*")=0,"",SUMIFS(Лэндинг!$I$5:$I$300,Лэндинг!$E$5:$E$300,$B268)+SUMIFS(Закрытые!$I$5:$I$300,Закрытые!$E$5:$E$300,$B268,Закрытые!$B$5:$B$300,"L-*"))</f>
        <v/>
      </c>
      <c r="G268" s="183">
        <f>IF(F268="","",(SUMPRODUCT((Лэндинг!$E$5:$E$300=$B268)*Лэндинг!$I$5:$I$300*Лэндинг!$J$5:$J$300)+SUMPRODUCT((Закрытые!$E$5:$E$300=$B268)*(LEFT(Закрытые!$B$5:$B$300,2)="L-")*Закрытые!$I$5:$I$300*Закрытые!$J$5:$J$300))/F268)</f>
        <v/>
      </c>
      <c r="H268" s="247">
        <f>IF(F268="","",SUMIFS(Лэндинг!$K$5:$K$300,Лэндинг!$E$5:$E$300,$B268)+SUMIFS(Закрытые!$K$5:$K$300,Закрытые!$E$5:$E$300,$B268,Закрытые!$B$5:$B$300,"L-*"))</f>
        <v/>
      </c>
      <c r="I268" s="246">
        <f>IF($B268="","",IF(COUNTIFS(Лэндинг!$E$5:$E$300,$B268)+COUNTIFS(Закрытые!$E$5:$E$300,$B268,Закрытые!$B$5:$B$300,"L-*")=0,"",ROUND(SUMIFS(Лэндинг!$L$5:$L$300,Лэндинг!$E$5:$E$300,$B268)+SUMIFS(Закрытые!$L$5:$L$300,Закрытые!$E$5:$E$300,$B268,Закрытые!$B$5:$B$300,"L-*"),8)))</f>
        <v/>
      </c>
      <c r="J268" s="247">
        <f>IF($B268="","",IF(COUNTIFS(Лэндинг!$E$5:$E$300,$B268)+COUNTIFS(Закрытые!$E$5:$E$300,$B268,Закрытые!$B$5:$B$300,"L-*")=0,"",ROUND(SUMIFS(Лэндинг!$M$5:$M$300,Лэндинг!$E$5:$E$300,$B268)+SUMIFS(Закрытые!$M$5:$M$300,Закрытые!$E$5:$E$300,$B268,Закрытые!$B$5:$B$300,"L-*"),8)))</f>
        <v/>
      </c>
      <c r="K268" s="246">
        <f>IF($B268="","",ROUND(SUMIFS(Закрытые!$N$5:$N$300,Закрытые!$E$5:$E$300,$B268,Закрытые!$B$5:$B$300,"L-*"),8))</f>
        <v/>
      </c>
      <c r="L268" s="183">
        <f>IF(K268="","",IF(SUMPRODUCT((Закрытые!$E$5:$E$300=$B268)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268/SUMPRODUCT((Закрытые!$E$5:$E$300=$B268)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8" s="183">
        <f>IF(OR(ROUND(N(C268)-N(F268),8)=0,1-N(Ввод!$E$17)/100&lt;=0),"",IF(N(C268)&gt;N(F268),(N(E268)-N(H268))/((N(C268)-N(F268))*(1-N(Ввод!$E$17)/100)),(N(H268)-N(E268))/((N(F268)-N(C268))*(1+N(Ввод!$E$17)/100))))</f>
        <v/>
      </c>
    </row>
    <row r="269" ht="22" customHeight="1">
      <c r="B269" s="315" t="n"/>
      <c r="C269" s="240">
        <f>IF(SUMIFS(Лэндинг!$F$5:$F$300,Лэндинг!$E$5:$E$300,$B269)+SUMIFS(Закрытые!$F$5:$F$300,Закрытые!$E$5:$E$300,$B269,Закрытые!$B$5:$B$300,"L-*")=0,"",SUMIFS(Лэндинг!$F$5:$F$300,Лэндинг!$E$5:$E$300,$B269)+SUMIFS(Закрытые!$F$5:$F$300,Закрытые!$E$5:$E$300,$B269,Закрытые!$B$5:$B$300,"L-*"))</f>
        <v/>
      </c>
      <c r="D269" s="177">
        <f>IF(C269="","",(SUMPRODUCT((Лэндинг!$E$5:$E$300=$B269)*Лэндинг!$F$5:$F$300*Лэндинг!$G$5:$G$300)+SUMPRODUCT((Закрытые!$E$5:$E$300=$B269)*(LEFT(Закрытые!$B$5:$B$300,2)="L-")*Закрытые!$F$5:$F$300*Закрытые!$G$5:$G$300))/C269)</f>
        <v/>
      </c>
      <c r="E269" s="241">
        <f>IF(C269="","",SUMIFS(Лэндинг!$H$5:$H$300,Лэндинг!$E$5:$E$300,$B269)+SUMIFS(Закрытые!$H$5:$H$300,Закрытые!$E$5:$E$300,$B269,Закрытые!$B$5:$B$300,"L-*"))</f>
        <v/>
      </c>
      <c r="F269" s="240">
        <f>IF(SUMIFS(Лэндинг!$I$5:$I$300,Лэндинг!$E$5:$E$300,$B269)+SUMIFS(Закрытые!$I$5:$I$300,Закрытые!$E$5:$E$300,$B269,Закрытые!$B$5:$B$300,"L-*")=0,"",SUMIFS(Лэндинг!$I$5:$I$300,Лэндинг!$E$5:$E$300,$B269)+SUMIFS(Закрытые!$I$5:$I$300,Закрытые!$E$5:$E$300,$B269,Закрытые!$B$5:$B$300,"L-*"))</f>
        <v/>
      </c>
      <c r="G269" s="177">
        <f>IF(F269="","",(SUMPRODUCT((Лэндинг!$E$5:$E$300=$B269)*Лэндинг!$I$5:$I$300*Лэндинг!$J$5:$J$300)+SUMPRODUCT((Закрытые!$E$5:$E$300=$B269)*(LEFT(Закрытые!$B$5:$B$300,2)="L-")*Закрытые!$I$5:$I$300*Закрытые!$J$5:$J$300))/F269)</f>
        <v/>
      </c>
      <c r="H269" s="241">
        <f>IF(F269="","",SUMIFS(Лэндинг!$K$5:$K$300,Лэндинг!$E$5:$E$300,$B269)+SUMIFS(Закрытые!$K$5:$K$300,Закрытые!$E$5:$E$300,$B269,Закрытые!$B$5:$B$300,"L-*"))</f>
        <v/>
      </c>
      <c r="I269" s="240">
        <f>IF($B269="","",IF(COUNTIFS(Лэндинг!$E$5:$E$300,$B269)+COUNTIFS(Закрытые!$E$5:$E$300,$B269,Закрытые!$B$5:$B$300,"L-*")=0,"",ROUND(SUMIFS(Лэндинг!$L$5:$L$300,Лэндинг!$E$5:$E$300,$B269)+SUMIFS(Закрытые!$L$5:$L$300,Закрытые!$E$5:$E$300,$B269,Закрытые!$B$5:$B$300,"L-*"),8)))</f>
        <v/>
      </c>
      <c r="J269" s="241">
        <f>IF($B269="","",IF(COUNTIFS(Лэндинг!$E$5:$E$300,$B269)+COUNTIFS(Закрытые!$E$5:$E$300,$B269,Закрытые!$B$5:$B$300,"L-*")=0,"",ROUND(SUMIFS(Лэндинг!$M$5:$M$300,Лэндинг!$E$5:$E$300,$B269)+SUMIFS(Закрытые!$M$5:$M$300,Закрытые!$E$5:$E$300,$B269,Закрытые!$B$5:$B$300,"L-*"),8)))</f>
        <v/>
      </c>
      <c r="K269" s="240">
        <f>IF($B269="","",ROUND(SUMIFS(Закрытые!$N$5:$N$300,Закрытые!$E$5:$E$300,$B269,Закрытые!$B$5:$B$300,"L-*"),8))</f>
        <v/>
      </c>
      <c r="L269" s="177">
        <f>IF(K269="","",IF(SUMPRODUCT((Закрытые!$E$5:$E$300=$B269)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269/SUMPRODUCT((Закрытые!$E$5:$E$300=$B269)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9" s="177">
        <f>IF(OR(ROUND(N(C269)-N(F269),8)=0,1-N(Ввод!$E$17)/100&lt;=0),"",IF(N(C269)&gt;N(F269),(N(E269)-N(H269))/((N(C269)-N(F269))*(1-N(Ввод!$E$17)/100)),(N(H269)-N(E269))/((N(F269)-N(C269))*(1+N(Ввод!$E$17)/100))))</f>
        <v/>
      </c>
    </row>
    <row r="270" ht="22" customHeight="1">
      <c r="B270" s="320" t="n"/>
      <c r="C270" s="246">
        <f>IF(SUMIFS(Лэндинг!$F$5:$F$300,Лэндинг!$E$5:$E$300,$B270)+SUMIFS(Закрытые!$F$5:$F$300,Закрытые!$E$5:$E$300,$B270,Закрытые!$B$5:$B$300,"L-*")=0,"",SUMIFS(Лэндинг!$F$5:$F$300,Лэндинг!$E$5:$E$300,$B270)+SUMIFS(Закрытые!$F$5:$F$300,Закрытые!$E$5:$E$300,$B270,Закрытые!$B$5:$B$300,"L-*"))</f>
        <v/>
      </c>
      <c r="D270" s="183">
        <f>IF(C270="","",(SUMPRODUCT((Лэндинг!$E$5:$E$300=$B270)*Лэндинг!$F$5:$F$300*Лэндинг!$G$5:$G$300)+SUMPRODUCT((Закрытые!$E$5:$E$300=$B270)*(LEFT(Закрытые!$B$5:$B$300,2)="L-")*Закрытые!$F$5:$F$300*Закрытые!$G$5:$G$300))/C270)</f>
        <v/>
      </c>
      <c r="E270" s="247">
        <f>IF(C270="","",SUMIFS(Лэндинг!$H$5:$H$300,Лэндинг!$E$5:$E$300,$B270)+SUMIFS(Закрытые!$H$5:$H$300,Закрытые!$E$5:$E$300,$B270,Закрытые!$B$5:$B$300,"L-*"))</f>
        <v/>
      </c>
      <c r="F270" s="246">
        <f>IF(SUMIFS(Лэндинг!$I$5:$I$300,Лэндинг!$E$5:$E$300,$B270)+SUMIFS(Закрытые!$I$5:$I$300,Закрытые!$E$5:$E$300,$B270,Закрытые!$B$5:$B$300,"L-*")=0,"",SUMIFS(Лэндинг!$I$5:$I$300,Лэндинг!$E$5:$E$300,$B270)+SUMIFS(Закрытые!$I$5:$I$300,Закрытые!$E$5:$E$300,$B270,Закрытые!$B$5:$B$300,"L-*"))</f>
        <v/>
      </c>
      <c r="G270" s="183">
        <f>IF(F270="","",(SUMPRODUCT((Лэндинг!$E$5:$E$300=$B270)*Лэндинг!$I$5:$I$300*Лэндинг!$J$5:$J$300)+SUMPRODUCT((Закрытые!$E$5:$E$300=$B270)*(LEFT(Закрытые!$B$5:$B$300,2)="L-")*Закрытые!$I$5:$I$300*Закрытые!$J$5:$J$300))/F270)</f>
        <v/>
      </c>
      <c r="H270" s="247">
        <f>IF(F270="","",SUMIFS(Лэндинг!$K$5:$K$300,Лэндинг!$E$5:$E$300,$B270)+SUMIFS(Закрытые!$K$5:$K$300,Закрытые!$E$5:$E$300,$B270,Закрытые!$B$5:$B$300,"L-*"))</f>
        <v/>
      </c>
      <c r="I270" s="246">
        <f>IF($B270="","",IF(COUNTIFS(Лэндинг!$E$5:$E$300,$B270)+COUNTIFS(Закрытые!$E$5:$E$300,$B270,Закрытые!$B$5:$B$300,"L-*")=0,"",ROUND(SUMIFS(Лэндинг!$L$5:$L$300,Лэндинг!$E$5:$E$300,$B270)+SUMIFS(Закрытые!$L$5:$L$300,Закрытые!$E$5:$E$300,$B270,Закрытые!$B$5:$B$300,"L-*"),8)))</f>
        <v/>
      </c>
      <c r="J270" s="247">
        <f>IF($B270="","",IF(COUNTIFS(Лэндинг!$E$5:$E$300,$B270)+COUNTIFS(Закрытые!$E$5:$E$300,$B270,Закрытые!$B$5:$B$300,"L-*")=0,"",ROUND(SUMIFS(Лэндинг!$M$5:$M$300,Лэндинг!$E$5:$E$300,$B270)+SUMIFS(Закрытые!$M$5:$M$300,Закрытые!$E$5:$E$300,$B270,Закрытые!$B$5:$B$300,"L-*"),8)))</f>
        <v/>
      </c>
      <c r="K270" s="246">
        <f>IF($B270="","",ROUND(SUMIFS(Закрытые!$N$5:$N$300,Закрытые!$E$5:$E$300,$B270,Закрытые!$B$5:$B$300,"L-*"),8))</f>
        <v/>
      </c>
      <c r="L270" s="183">
        <f>IF(K270="","",IF(SUMPRODUCT((Закрытые!$E$5:$E$300=$B270)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270/SUMPRODUCT((Закрытые!$E$5:$E$300=$B270)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0" s="183">
        <f>IF(OR(ROUND(N(C270)-N(F270),8)=0,1-N(Ввод!$E$17)/100&lt;=0),"",IF(N(C270)&gt;N(F270),(N(E270)-N(H270))/((N(C270)-N(F270))*(1-N(Ввод!$E$17)/100)),(N(H270)-N(E270))/((N(F270)-N(C270))*(1+N(Ввод!$E$17)/100))))</f>
        <v/>
      </c>
    </row>
    <row r="271" ht="22" customHeight="1">
      <c r="B271" s="315" t="n"/>
      <c r="C271" s="240">
        <f>IF(SUMIFS(Лэндинг!$F$5:$F$300,Лэндинг!$E$5:$E$300,$B271)+SUMIFS(Закрытые!$F$5:$F$300,Закрытые!$E$5:$E$300,$B271,Закрытые!$B$5:$B$300,"L-*")=0,"",SUMIFS(Лэндинг!$F$5:$F$300,Лэндинг!$E$5:$E$300,$B271)+SUMIFS(Закрытые!$F$5:$F$300,Закрытые!$E$5:$E$300,$B271,Закрытые!$B$5:$B$300,"L-*"))</f>
        <v/>
      </c>
      <c r="D271" s="177">
        <f>IF(C271="","",(SUMPRODUCT((Лэндинг!$E$5:$E$300=$B271)*Лэндинг!$F$5:$F$300*Лэндинг!$G$5:$G$300)+SUMPRODUCT((Закрытые!$E$5:$E$300=$B271)*(LEFT(Закрытые!$B$5:$B$300,2)="L-")*Закрытые!$F$5:$F$300*Закрытые!$G$5:$G$300))/C271)</f>
        <v/>
      </c>
      <c r="E271" s="241">
        <f>IF(C271="","",SUMIFS(Лэндинг!$H$5:$H$300,Лэндинг!$E$5:$E$300,$B271)+SUMIFS(Закрытые!$H$5:$H$300,Закрытые!$E$5:$E$300,$B271,Закрытые!$B$5:$B$300,"L-*"))</f>
        <v/>
      </c>
      <c r="F271" s="240">
        <f>IF(SUMIFS(Лэндинг!$I$5:$I$300,Лэндинг!$E$5:$E$300,$B271)+SUMIFS(Закрытые!$I$5:$I$300,Закрытые!$E$5:$E$300,$B271,Закрытые!$B$5:$B$300,"L-*")=0,"",SUMIFS(Лэндинг!$I$5:$I$300,Лэндинг!$E$5:$E$300,$B271)+SUMIFS(Закрытые!$I$5:$I$300,Закрытые!$E$5:$E$300,$B271,Закрытые!$B$5:$B$300,"L-*"))</f>
        <v/>
      </c>
      <c r="G271" s="177">
        <f>IF(F271="","",(SUMPRODUCT((Лэндинг!$E$5:$E$300=$B271)*Лэндинг!$I$5:$I$300*Лэндинг!$J$5:$J$300)+SUMPRODUCT((Закрытые!$E$5:$E$300=$B271)*(LEFT(Закрытые!$B$5:$B$300,2)="L-")*Закрытые!$I$5:$I$300*Закрытые!$J$5:$J$300))/F271)</f>
        <v/>
      </c>
      <c r="H271" s="241">
        <f>IF(F271="","",SUMIFS(Лэндинг!$K$5:$K$300,Лэндинг!$E$5:$E$300,$B271)+SUMIFS(Закрытые!$K$5:$K$300,Закрытые!$E$5:$E$300,$B271,Закрытые!$B$5:$B$300,"L-*"))</f>
        <v/>
      </c>
      <c r="I271" s="240">
        <f>IF($B271="","",IF(COUNTIFS(Лэндинг!$E$5:$E$300,$B271)+COUNTIFS(Закрытые!$E$5:$E$300,$B271,Закрытые!$B$5:$B$300,"L-*")=0,"",ROUND(SUMIFS(Лэндинг!$L$5:$L$300,Лэндинг!$E$5:$E$300,$B271)+SUMIFS(Закрытые!$L$5:$L$300,Закрытые!$E$5:$E$300,$B271,Закрытые!$B$5:$B$300,"L-*"),8)))</f>
        <v/>
      </c>
      <c r="J271" s="241">
        <f>IF($B271="","",IF(COUNTIFS(Лэндинг!$E$5:$E$300,$B271)+COUNTIFS(Закрытые!$E$5:$E$300,$B271,Закрытые!$B$5:$B$300,"L-*")=0,"",ROUND(SUMIFS(Лэндинг!$M$5:$M$300,Лэндинг!$E$5:$E$300,$B271)+SUMIFS(Закрытые!$M$5:$M$300,Закрытые!$E$5:$E$300,$B271,Закрытые!$B$5:$B$300,"L-*"),8)))</f>
        <v/>
      </c>
      <c r="K271" s="240">
        <f>IF($B271="","",ROUND(SUMIFS(Закрытые!$N$5:$N$300,Закрытые!$E$5:$E$300,$B271,Закрытые!$B$5:$B$300,"L-*"),8))</f>
        <v/>
      </c>
      <c r="L271" s="177">
        <f>IF(K271="","",IF(SUMPRODUCT((Закрытые!$E$5:$E$300=$B271)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271/SUMPRODUCT((Закрытые!$E$5:$E$300=$B271)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1" s="177">
        <f>IF(OR(ROUND(N(C271)-N(F271),8)=0,1-N(Ввод!$E$17)/100&lt;=0),"",IF(N(C271)&gt;N(F271),(N(E271)-N(H271))/((N(C271)-N(F271))*(1-N(Ввод!$E$17)/100)),(N(H271)-N(E271))/((N(F271)-N(C271))*(1+N(Ввод!$E$17)/100))))</f>
        <v/>
      </c>
    </row>
    <row r="272" ht="22" customHeight="1">
      <c r="B272" s="320" t="n"/>
      <c r="C272" s="246">
        <f>IF(SUMIFS(Лэндинг!$F$5:$F$300,Лэндинг!$E$5:$E$300,$B272)+SUMIFS(Закрытые!$F$5:$F$300,Закрытые!$E$5:$E$300,$B272,Закрытые!$B$5:$B$300,"L-*")=0,"",SUMIFS(Лэндинг!$F$5:$F$300,Лэндинг!$E$5:$E$300,$B272)+SUMIFS(Закрытые!$F$5:$F$300,Закрытые!$E$5:$E$300,$B272,Закрытые!$B$5:$B$300,"L-*"))</f>
        <v/>
      </c>
      <c r="D272" s="183">
        <f>IF(C272="","",(SUMPRODUCT((Лэндинг!$E$5:$E$300=$B272)*Лэндинг!$F$5:$F$300*Лэндинг!$G$5:$G$300)+SUMPRODUCT((Закрытые!$E$5:$E$300=$B272)*(LEFT(Закрытые!$B$5:$B$300,2)="L-")*Закрытые!$F$5:$F$300*Закрытые!$G$5:$G$300))/C272)</f>
        <v/>
      </c>
      <c r="E272" s="247">
        <f>IF(C272="","",SUMIFS(Лэндинг!$H$5:$H$300,Лэндинг!$E$5:$E$300,$B272)+SUMIFS(Закрытые!$H$5:$H$300,Закрытые!$E$5:$E$300,$B272,Закрытые!$B$5:$B$300,"L-*"))</f>
        <v/>
      </c>
      <c r="F272" s="246">
        <f>IF(SUMIFS(Лэндинг!$I$5:$I$300,Лэндинг!$E$5:$E$300,$B272)+SUMIFS(Закрытые!$I$5:$I$300,Закрытые!$E$5:$E$300,$B272,Закрытые!$B$5:$B$300,"L-*")=0,"",SUMIFS(Лэндинг!$I$5:$I$300,Лэндинг!$E$5:$E$300,$B272)+SUMIFS(Закрытые!$I$5:$I$300,Закрытые!$E$5:$E$300,$B272,Закрытые!$B$5:$B$300,"L-*"))</f>
        <v/>
      </c>
      <c r="G272" s="183">
        <f>IF(F272="","",(SUMPRODUCT((Лэндинг!$E$5:$E$300=$B272)*Лэндинг!$I$5:$I$300*Лэндинг!$J$5:$J$300)+SUMPRODUCT((Закрытые!$E$5:$E$300=$B272)*(LEFT(Закрытые!$B$5:$B$300,2)="L-")*Закрытые!$I$5:$I$300*Закрытые!$J$5:$J$300))/F272)</f>
        <v/>
      </c>
      <c r="H272" s="247">
        <f>IF(F272="","",SUMIFS(Лэндинг!$K$5:$K$300,Лэндинг!$E$5:$E$300,$B272)+SUMIFS(Закрытые!$K$5:$K$300,Закрытые!$E$5:$E$300,$B272,Закрытые!$B$5:$B$300,"L-*"))</f>
        <v/>
      </c>
      <c r="I272" s="246">
        <f>IF($B272="","",IF(COUNTIFS(Лэндинг!$E$5:$E$300,$B272)+COUNTIFS(Закрытые!$E$5:$E$300,$B272,Закрытые!$B$5:$B$300,"L-*")=0,"",ROUND(SUMIFS(Лэндинг!$L$5:$L$300,Лэндинг!$E$5:$E$300,$B272)+SUMIFS(Закрытые!$L$5:$L$300,Закрытые!$E$5:$E$300,$B272,Закрытые!$B$5:$B$300,"L-*"),8)))</f>
        <v/>
      </c>
      <c r="J272" s="247">
        <f>IF($B272="","",IF(COUNTIFS(Лэндинг!$E$5:$E$300,$B272)+COUNTIFS(Закрытые!$E$5:$E$300,$B272,Закрытые!$B$5:$B$300,"L-*")=0,"",ROUND(SUMIFS(Лэндинг!$M$5:$M$300,Лэндинг!$E$5:$E$300,$B272)+SUMIFS(Закрытые!$M$5:$M$300,Закрытые!$E$5:$E$300,$B272,Закрытые!$B$5:$B$300,"L-*"),8)))</f>
        <v/>
      </c>
      <c r="K272" s="246">
        <f>IF($B272="","",ROUND(SUMIFS(Закрытые!$N$5:$N$300,Закрытые!$E$5:$E$300,$B272,Закрытые!$B$5:$B$300,"L-*"),8))</f>
        <v/>
      </c>
      <c r="L272" s="183">
        <f>IF(K272="","",IF(SUMPRODUCT((Закрытые!$E$5:$E$300=$B272)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272/SUMPRODUCT((Закрытые!$E$5:$E$300=$B272)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2" s="183">
        <f>IF(OR(ROUND(N(C272)-N(F272),8)=0,1-N(Ввод!$E$17)/100&lt;=0),"",IF(N(C272)&gt;N(F272),(N(E272)-N(H272))/((N(C272)-N(F272))*(1-N(Ввод!$E$17)/100)),(N(H272)-N(E272))/((N(F272)-N(C272))*(1+N(Ввод!$E$17)/100))))</f>
        <v/>
      </c>
    </row>
    <row r="273" ht="22" customHeight="1">
      <c r="B273" s="315" t="n"/>
      <c r="C273" s="240">
        <f>IF(SUMIFS(Лэндинг!$F$5:$F$300,Лэндинг!$E$5:$E$300,$B273)+SUMIFS(Закрытые!$F$5:$F$300,Закрытые!$E$5:$E$300,$B273,Закрытые!$B$5:$B$300,"L-*")=0,"",SUMIFS(Лэндинг!$F$5:$F$300,Лэндинг!$E$5:$E$300,$B273)+SUMIFS(Закрытые!$F$5:$F$300,Закрытые!$E$5:$E$300,$B273,Закрытые!$B$5:$B$300,"L-*"))</f>
        <v/>
      </c>
      <c r="D273" s="177">
        <f>IF(C273="","",(SUMPRODUCT((Лэндинг!$E$5:$E$300=$B273)*Лэндинг!$F$5:$F$300*Лэндинг!$G$5:$G$300)+SUMPRODUCT((Закрытые!$E$5:$E$300=$B273)*(LEFT(Закрытые!$B$5:$B$300,2)="L-")*Закрытые!$F$5:$F$300*Закрытые!$G$5:$G$300))/C273)</f>
        <v/>
      </c>
      <c r="E273" s="241">
        <f>IF(C273="","",SUMIFS(Лэндинг!$H$5:$H$300,Лэндинг!$E$5:$E$300,$B273)+SUMIFS(Закрытые!$H$5:$H$300,Закрытые!$E$5:$E$300,$B273,Закрытые!$B$5:$B$300,"L-*"))</f>
        <v/>
      </c>
      <c r="F273" s="240">
        <f>IF(SUMIFS(Лэндинг!$I$5:$I$300,Лэндинг!$E$5:$E$300,$B273)+SUMIFS(Закрытые!$I$5:$I$300,Закрытые!$E$5:$E$300,$B273,Закрытые!$B$5:$B$300,"L-*")=0,"",SUMIFS(Лэндинг!$I$5:$I$300,Лэндинг!$E$5:$E$300,$B273)+SUMIFS(Закрытые!$I$5:$I$300,Закрытые!$E$5:$E$300,$B273,Закрытые!$B$5:$B$300,"L-*"))</f>
        <v/>
      </c>
      <c r="G273" s="177">
        <f>IF(F273="","",(SUMPRODUCT((Лэндинг!$E$5:$E$300=$B273)*Лэндинг!$I$5:$I$300*Лэндинг!$J$5:$J$300)+SUMPRODUCT((Закрытые!$E$5:$E$300=$B273)*(LEFT(Закрытые!$B$5:$B$300,2)="L-")*Закрытые!$I$5:$I$300*Закрытые!$J$5:$J$300))/F273)</f>
        <v/>
      </c>
      <c r="H273" s="241">
        <f>IF(F273="","",SUMIFS(Лэндинг!$K$5:$K$300,Лэндинг!$E$5:$E$300,$B273)+SUMIFS(Закрытые!$K$5:$K$300,Закрытые!$E$5:$E$300,$B273,Закрытые!$B$5:$B$300,"L-*"))</f>
        <v/>
      </c>
      <c r="I273" s="240">
        <f>IF($B273="","",IF(COUNTIFS(Лэндинг!$E$5:$E$300,$B273)+COUNTIFS(Закрытые!$E$5:$E$300,$B273,Закрытые!$B$5:$B$300,"L-*")=0,"",ROUND(SUMIFS(Лэндинг!$L$5:$L$300,Лэндинг!$E$5:$E$300,$B273)+SUMIFS(Закрытые!$L$5:$L$300,Закрытые!$E$5:$E$300,$B273,Закрытые!$B$5:$B$300,"L-*"),8)))</f>
        <v/>
      </c>
      <c r="J273" s="241">
        <f>IF($B273="","",IF(COUNTIFS(Лэндинг!$E$5:$E$300,$B273)+COUNTIFS(Закрытые!$E$5:$E$300,$B273,Закрытые!$B$5:$B$300,"L-*")=0,"",ROUND(SUMIFS(Лэндинг!$M$5:$M$300,Лэндинг!$E$5:$E$300,$B273)+SUMIFS(Закрытые!$M$5:$M$300,Закрытые!$E$5:$E$300,$B273,Закрытые!$B$5:$B$300,"L-*"),8)))</f>
        <v/>
      </c>
      <c r="K273" s="240">
        <f>IF($B273="","",ROUND(SUMIFS(Закрытые!$N$5:$N$300,Закрытые!$E$5:$E$300,$B273,Закрытые!$B$5:$B$300,"L-*"),8))</f>
        <v/>
      </c>
      <c r="L273" s="177">
        <f>IF(K273="","",IF(SUMPRODUCT((Закрытые!$E$5:$E$300=$B273)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273/SUMPRODUCT((Закрытые!$E$5:$E$300=$B273)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3" s="177">
        <f>IF(OR(ROUND(N(C273)-N(F273),8)=0,1-N(Ввод!$E$17)/100&lt;=0),"",IF(N(C273)&gt;N(F273),(N(E273)-N(H273))/((N(C273)-N(F273))*(1-N(Ввод!$E$17)/100)),(N(H273)-N(E273))/((N(F273)-N(C273))*(1+N(Ввод!$E$17)/100))))</f>
        <v/>
      </c>
    </row>
    <row r="274" ht="22" customHeight="1">
      <c r="B274" s="320" t="n"/>
      <c r="C274" s="246">
        <f>IF(SUMIFS(Лэндинг!$F$5:$F$300,Лэндинг!$E$5:$E$300,$B274)+SUMIFS(Закрытые!$F$5:$F$300,Закрытые!$E$5:$E$300,$B274,Закрытые!$B$5:$B$300,"L-*")=0,"",SUMIFS(Лэндинг!$F$5:$F$300,Лэндинг!$E$5:$E$300,$B274)+SUMIFS(Закрытые!$F$5:$F$300,Закрытые!$E$5:$E$300,$B274,Закрытые!$B$5:$B$300,"L-*"))</f>
        <v/>
      </c>
      <c r="D274" s="183">
        <f>IF(C274="","",(SUMPRODUCT((Лэндинг!$E$5:$E$300=$B274)*Лэндинг!$F$5:$F$300*Лэндинг!$G$5:$G$300)+SUMPRODUCT((Закрытые!$E$5:$E$300=$B274)*(LEFT(Закрытые!$B$5:$B$300,2)="L-")*Закрытые!$F$5:$F$300*Закрытые!$G$5:$G$300))/C274)</f>
        <v/>
      </c>
      <c r="E274" s="247">
        <f>IF(C274="","",SUMIFS(Лэндинг!$H$5:$H$300,Лэндинг!$E$5:$E$300,$B274)+SUMIFS(Закрытые!$H$5:$H$300,Закрытые!$E$5:$E$300,$B274,Закрытые!$B$5:$B$300,"L-*"))</f>
        <v/>
      </c>
      <c r="F274" s="246">
        <f>IF(SUMIFS(Лэндинг!$I$5:$I$300,Лэндинг!$E$5:$E$300,$B274)+SUMIFS(Закрытые!$I$5:$I$300,Закрытые!$E$5:$E$300,$B274,Закрытые!$B$5:$B$300,"L-*")=0,"",SUMIFS(Лэндинг!$I$5:$I$300,Лэндинг!$E$5:$E$300,$B274)+SUMIFS(Закрытые!$I$5:$I$300,Закрытые!$E$5:$E$300,$B274,Закрытые!$B$5:$B$300,"L-*"))</f>
        <v/>
      </c>
      <c r="G274" s="183">
        <f>IF(F274="","",(SUMPRODUCT((Лэндинг!$E$5:$E$300=$B274)*Лэндинг!$I$5:$I$300*Лэндинг!$J$5:$J$300)+SUMPRODUCT((Закрытые!$E$5:$E$300=$B274)*(LEFT(Закрытые!$B$5:$B$300,2)="L-")*Закрытые!$I$5:$I$300*Закрытые!$J$5:$J$300))/F274)</f>
        <v/>
      </c>
      <c r="H274" s="247">
        <f>IF(F274="","",SUMIFS(Лэндинг!$K$5:$K$300,Лэндинг!$E$5:$E$300,$B274)+SUMIFS(Закрытые!$K$5:$K$300,Закрытые!$E$5:$E$300,$B274,Закрытые!$B$5:$B$300,"L-*"))</f>
        <v/>
      </c>
      <c r="I274" s="246">
        <f>IF($B274="","",IF(COUNTIFS(Лэндинг!$E$5:$E$300,$B274)+COUNTIFS(Закрытые!$E$5:$E$300,$B274,Закрытые!$B$5:$B$300,"L-*")=0,"",ROUND(SUMIFS(Лэндинг!$L$5:$L$300,Лэндинг!$E$5:$E$300,$B274)+SUMIFS(Закрытые!$L$5:$L$300,Закрытые!$E$5:$E$300,$B274,Закрытые!$B$5:$B$300,"L-*"),8)))</f>
        <v/>
      </c>
      <c r="J274" s="247">
        <f>IF($B274="","",IF(COUNTIFS(Лэндинг!$E$5:$E$300,$B274)+COUNTIFS(Закрытые!$E$5:$E$300,$B274,Закрытые!$B$5:$B$300,"L-*")=0,"",ROUND(SUMIFS(Лэндинг!$M$5:$M$300,Лэндинг!$E$5:$E$300,$B274)+SUMIFS(Закрытые!$M$5:$M$300,Закрытые!$E$5:$E$300,$B274,Закрытые!$B$5:$B$300,"L-*"),8)))</f>
        <v/>
      </c>
      <c r="K274" s="246">
        <f>IF($B274="","",ROUND(SUMIFS(Закрытые!$N$5:$N$300,Закрытые!$E$5:$E$300,$B274,Закрытые!$B$5:$B$300,"L-*"),8))</f>
        <v/>
      </c>
      <c r="L274" s="183">
        <f>IF(K274="","",IF(SUMPRODUCT((Закрытые!$E$5:$E$300=$B274)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274/SUMPRODUCT((Закрытые!$E$5:$E$300=$B274)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4" s="183">
        <f>IF(OR(ROUND(N(C274)-N(F274),8)=0,1-N(Ввод!$E$17)/100&lt;=0),"",IF(N(C274)&gt;N(F274),(N(E274)-N(H274))/((N(C274)-N(F274))*(1-N(Ввод!$E$17)/100)),(N(H274)-N(E274))/((N(F274)-N(C274))*(1+N(Ввод!$E$17)/100))))</f>
        <v/>
      </c>
    </row>
    <row r="275" ht="22" customHeight="1">
      <c r="B275" s="315" t="n"/>
      <c r="C275" s="240">
        <f>IF(SUMIFS(Лэндинг!$F$5:$F$300,Лэндинг!$E$5:$E$300,$B275)+SUMIFS(Закрытые!$F$5:$F$300,Закрытые!$E$5:$E$300,$B275,Закрытые!$B$5:$B$300,"L-*")=0,"",SUMIFS(Лэндинг!$F$5:$F$300,Лэндинг!$E$5:$E$300,$B275)+SUMIFS(Закрытые!$F$5:$F$300,Закрытые!$E$5:$E$300,$B275,Закрытые!$B$5:$B$300,"L-*"))</f>
        <v/>
      </c>
      <c r="D275" s="177">
        <f>IF(C275="","",(SUMPRODUCT((Лэндинг!$E$5:$E$300=$B275)*Лэндинг!$F$5:$F$300*Лэндинг!$G$5:$G$300)+SUMPRODUCT((Закрытые!$E$5:$E$300=$B275)*(LEFT(Закрытые!$B$5:$B$300,2)="L-")*Закрытые!$F$5:$F$300*Закрытые!$G$5:$G$300))/C275)</f>
        <v/>
      </c>
      <c r="E275" s="241">
        <f>IF(C275="","",SUMIFS(Лэндинг!$H$5:$H$300,Лэндинг!$E$5:$E$300,$B275)+SUMIFS(Закрытые!$H$5:$H$300,Закрытые!$E$5:$E$300,$B275,Закрытые!$B$5:$B$300,"L-*"))</f>
        <v/>
      </c>
      <c r="F275" s="240">
        <f>IF(SUMIFS(Лэндинг!$I$5:$I$300,Лэндинг!$E$5:$E$300,$B275)+SUMIFS(Закрытые!$I$5:$I$300,Закрытые!$E$5:$E$300,$B275,Закрытые!$B$5:$B$300,"L-*")=0,"",SUMIFS(Лэндинг!$I$5:$I$300,Лэндинг!$E$5:$E$300,$B275)+SUMIFS(Закрытые!$I$5:$I$300,Закрытые!$E$5:$E$300,$B275,Закрытые!$B$5:$B$300,"L-*"))</f>
        <v/>
      </c>
      <c r="G275" s="177">
        <f>IF(F275="","",(SUMPRODUCT((Лэндинг!$E$5:$E$300=$B275)*Лэндинг!$I$5:$I$300*Лэндинг!$J$5:$J$300)+SUMPRODUCT((Закрытые!$E$5:$E$300=$B275)*(LEFT(Закрытые!$B$5:$B$300,2)="L-")*Закрытые!$I$5:$I$300*Закрытые!$J$5:$J$300))/F275)</f>
        <v/>
      </c>
      <c r="H275" s="241">
        <f>IF(F275="","",SUMIFS(Лэндинг!$K$5:$K$300,Лэндинг!$E$5:$E$300,$B275)+SUMIFS(Закрытые!$K$5:$K$300,Закрытые!$E$5:$E$300,$B275,Закрытые!$B$5:$B$300,"L-*"))</f>
        <v/>
      </c>
      <c r="I275" s="240">
        <f>IF($B275="","",IF(COUNTIFS(Лэндинг!$E$5:$E$300,$B275)+COUNTIFS(Закрытые!$E$5:$E$300,$B275,Закрытые!$B$5:$B$300,"L-*")=0,"",ROUND(SUMIFS(Лэндинг!$L$5:$L$300,Лэндинг!$E$5:$E$300,$B275)+SUMIFS(Закрытые!$L$5:$L$300,Закрытые!$E$5:$E$300,$B275,Закрытые!$B$5:$B$300,"L-*"),8)))</f>
        <v/>
      </c>
      <c r="J275" s="241">
        <f>IF($B275="","",IF(COUNTIFS(Лэндинг!$E$5:$E$300,$B275)+COUNTIFS(Закрытые!$E$5:$E$300,$B275,Закрытые!$B$5:$B$300,"L-*")=0,"",ROUND(SUMIFS(Лэндинг!$M$5:$M$300,Лэндинг!$E$5:$E$300,$B275)+SUMIFS(Закрытые!$M$5:$M$300,Закрытые!$E$5:$E$300,$B275,Закрытые!$B$5:$B$300,"L-*"),8)))</f>
        <v/>
      </c>
      <c r="K275" s="240">
        <f>IF($B275="","",ROUND(SUMIFS(Закрытые!$N$5:$N$300,Закрытые!$E$5:$E$300,$B275,Закрытые!$B$5:$B$300,"L-*"),8))</f>
        <v/>
      </c>
      <c r="L275" s="177">
        <f>IF(K275="","",IF(SUMPRODUCT((Закрытые!$E$5:$E$300=$B275)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275/SUMPRODUCT((Закрытые!$E$5:$E$300=$B275)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5" s="177">
        <f>IF(OR(ROUND(N(C275)-N(F275),8)=0,1-N(Ввод!$E$17)/100&lt;=0),"",IF(N(C275)&gt;N(F275),(N(E275)-N(H275))/((N(C275)-N(F275))*(1-N(Ввод!$E$17)/100)),(N(H275)-N(E275))/((N(F275)-N(C275))*(1+N(Ввод!$E$17)/100))))</f>
        <v/>
      </c>
    </row>
    <row r="276" ht="22" customHeight="1">
      <c r="B276" s="320" t="n"/>
      <c r="C276" s="246">
        <f>IF(SUMIFS(Лэндинг!$F$5:$F$300,Лэндинг!$E$5:$E$300,$B276)+SUMIFS(Закрытые!$F$5:$F$300,Закрытые!$E$5:$E$300,$B276,Закрытые!$B$5:$B$300,"L-*")=0,"",SUMIFS(Лэндинг!$F$5:$F$300,Лэндинг!$E$5:$E$300,$B276)+SUMIFS(Закрытые!$F$5:$F$300,Закрытые!$E$5:$E$300,$B276,Закрытые!$B$5:$B$300,"L-*"))</f>
        <v/>
      </c>
      <c r="D276" s="183">
        <f>IF(C276="","",(SUMPRODUCT((Лэндинг!$E$5:$E$300=$B276)*Лэндинг!$F$5:$F$300*Лэндинг!$G$5:$G$300)+SUMPRODUCT((Закрытые!$E$5:$E$300=$B276)*(LEFT(Закрытые!$B$5:$B$300,2)="L-")*Закрытые!$F$5:$F$300*Закрытые!$G$5:$G$300))/C276)</f>
        <v/>
      </c>
      <c r="E276" s="247">
        <f>IF(C276="","",SUMIFS(Лэндинг!$H$5:$H$300,Лэндинг!$E$5:$E$300,$B276)+SUMIFS(Закрытые!$H$5:$H$300,Закрытые!$E$5:$E$300,$B276,Закрытые!$B$5:$B$300,"L-*"))</f>
        <v/>
      </c>
      <c r="F276" s="246">
        <f>IF(SUMIFS(Лэндинг!$I$5:$I$300,Лэндинг!$E$5:$E$300,$B276)+SUMIFS(Закрытые!$I$5:$I$300,Закрытые!$E$5:$E$300,$B276,Закрытые!$B$5:$B$300,"L-*")=0,"",SUMIFS(Лэндинг!$I$5:$I$300,Лэндинг!$E$5:$E$300,$B276)+SUMIFS(Закрытые!$I$5:$I$300,Закрытые!$E$5:$E$300,$B276,Закрытые!$B$5:$B$300,"L-*"))</f>
        <v/>
      </c>
      <c r="G276" s="183">
        <f>IF(F276="","",(SUMPRODUCT((Лэндинг!$E$5:$E$300=$B276)*Лэндинг!$I$5:$I$300*Лэндинг!$J$5:$J$300)+SUMPRODUCT((Закрытые!$E$5:$E$300=$B276)*(LEFT(Закрытые!$B$5:$B$300,2)="L-")*Закрытые!$I$5:$I$300*Закрытые!$J$5:$J$300))/F276)</f>
        <v/>
      </c>
      <c r="H276" s="247">
        <f>IF(F276="","",SUMIFS(Лэндинг!$K$5:$K$300,Лэндинг!$E$5:$E$300,$B276)+SUMIFS(Закрытые!$K$5:$K$300,Закрытые!$E$5:$E$300,$B276,Закрытые!$B$5:$B$300,"L-*"))</f>
        <v/>
      </c>
      <c r="I276" s="246">
        <f>IF($B276="","",IF(COUNTIFS(Лэндинг!$E$5:$E$300,$B276)+COUNTIFS(Закрытые!$E$5:$E$300,$B276,Закрытые!$B$5:$B$300,"L-*")=0,"",ROUND(SUMIFS(Лэндинг!$L$5:$L$300,Лэндинг!$E$5:$E$300,$B276)+SUMIFS(Закрытые!$L$5:$L$300,Закрытые!$E$5:$E$300,$B276,Закрытые!$B$5:$B$300,"L-*"),8)))</f>
        <v/>
      </c>
      <c r="J276" s="247">
        <f>IF($B276="","",IF(COUNTIFS(Лэндинг!$E$5:$E$300,$B276)+COUNTIFS(Закрытые!$E$5:$E$300,$B276,Закрытые!$B$5:$B$300,"L-*")=0,"",ROUND(SUMIFS(Лэндинг!$M$5:$M$300,Лэндинг!$E$5:$E$300,$B276)+SUMIFS(Закрытые!$M$5:$M$300,Закрытые!$E$5:$E$300,$B276,Закрытые!$B$5:$B$300,"L-*"),8)))</f>
        <v/>
      </c>
      <c r="K276" s="246">
        <f>IF($B276="","",ROUND(SUMIFS(Закрытые!$N$5:$N$300,Закрытые!$E$5:$E$300,$B276,Закрытые!$B$5:$B$300,"L-*"),8))</f>
        <v/>
      </c>
      <c r="L276" s="183">
        <f>IF(K276="","",IF(SUMPRODUCT((Закрытые!$E$5:$E$300=$B276)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276/SUMPRODUCT((Закрытые!$E$5:$E$300=$B276)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6" s="183">
        <f>IF(OR(ROUND(N(C276)-N(F276),8)=0,1-N(Ввод!$E$17)/100&lt;=0),"",IF(N(C276)&gt;N(F276),(N(E276)-N(H276))/((N(C276)-N(F276))*(1-N(Ввод!$E$17)/100)),(N(H276)-N(E276))/((N(F276)-N(C276))*(1+N(Ввод!$E$17)/100))))</f>
        <v/>
      </c>
    </row>
    <row r="277" ht="22" customHeight="1">
      <c r="B277" s="315" t="n"/>
      <c r="C277" s="240">
        <f>IF(SUMIFS(Лэндинг!$F$5:$F$300,Лэндинг!$E$5:$E$300,$B277)+SUMIFS(Закрытые!$F$5:$F$300,Закрытые!$E$5:$E$300,$B277,Закрытые!$B$5:$B$300,"L-*")=0,"",SUMIFS(Лэндинг!$F$5:$F$300,Лэндинг!$E$5:$E$300,$B277)+SUMIFS(Закрытые!$F$5:$F$300,Закрытые!$E$5:$E$300,$B277,Закрытые!$B$5:$B$300,"L-*"))</f>
        <v/>
      </c>
      <c r="D277" s="177">
        <f>IF(C277="","",(SUMPRODUCT((Лэндинг!$E$5:$E$300=$B277)*Лэндинг!$F$5:$F$300*Лэндинг!$G$5:$G$300)+SUMPRODUCT((Закрытые!$E$5:$E$300=$B277)*(LEFT(Закрытые!$B$5:$B$300,2)="L-")*Закрытые!$F$5:$F$300*Закрытые!$G$5:$G$300))/C277)</f>
        <v/>
      </c>
      <c r="E277" s="241">
        <f>IF(C277="","",SUMIFS(Лэндинг!$H$5:$H$300,Лэндинг!$E$5:$E$300,$B277)+SUMIFS(Закрытые!$H$5:$H$300,Закрытые!$E$5:$E$300,$B277,Закрытые!$B$5:$B$300,"L-*"))</f>
        <v/>
      </c>
      <c r="F277" s="240">
        <f>IF(SUMIFS(Лэндинг!$I$5:$I$300,Лэндинг!$E$5:$E$300,$B277)+SUMIFS(Закрытые!$I$5:$I$300,Закрытые!$E$5:$E$300,$B277,Закрытые!$B$5:$B$300,"L-*")=0,"",SUMIFS(Лэндинг!$I$5:$I$300,Лэндинг!$E$5:$E$300,$B277)+SUMIFS(Закрытые!$I$5:$I$300,Закрытые!$E$5:$E$300,$B277,Закрытые!$B$5:$B$300,"L-*"))</f>
        <v/>
      </c>
      <c r="G277" s="177">
        <f>IF(F277="","",(SUMPRODUCT((Лэндинг!$E$5:$E$300=$B277)*Лэндинг!$I$5:$I$300*Лэндинг!$J$5:$J$300)+SUMPRODUCT((Закрытые!$E$5:$E$300=$B277)*(LEFT(Закрытые!$B$5:$B$300,2)="L-")*Закрытые!$I$5:$I$300*Закрытые!$J$5:$J$300))/F277)</f>
        <v/>
      </c>
      <c r="H277" s="241">
        <f>IF(F277="","",SUMIFS(Лэндинг!$K$5:$K$300,Лэндинг!$E$5:$E$300,$B277)+SUMIFS(Закрытые!$K$5:$K$300,Закрытые!$E$5:$E$300,$B277,Закрытые!$B$5:$B$300,"L-*"))</f>
        <v/>
      </c>
      <c r="I277" s="240">
        <f>IF($B277="","",IF(COUNTIFS(Лэндинг!$E$5:$E$300,$B277)+COUNTIFS(Закрытые!$E$5:$E$300,$B277,Закрытые!$B$5:$B$300,"L-*")=0,"",ROUND(SUMIFS(Лэндинг!$L$5:$L$300,Лэндинг!$E$5:$E$300,$B277)+SUMIFS(Закрытые!$L$5:$L$300,Закрытые!$E$5:$E$300,$B277,Закрытые!$B$5:$B$300,"L-*"),8)))</f>
        <v/>
      </c>
      <c r="J277" s="241">
        <f>IF($B277="","",IF(COUNTIFS(Лэндинг!$E$5:$E$300,$B277)+COUNTIFS(Закрытые!$E$5:$E$300,$B277,Закрытые!$B$5:$B$300,"L-*")=0,"",ROUND(SUMIFS(Лэндинг!$M$5:$M$300,Лэндинг!$E$5:$E$300,$B277)+SUMIFS(Закрытые!$M$5:$M$300,Закрытые!$E$5:$E$300,$B277,Закрытые!$B$5:$B$300,"L-*"),8)))</f>
        <v/>
      </c>
      <c r="K277" s="240">
        <f>IF($B277="","",ROUND(SUMIFS(Закрытые!$N$5:$N$300,Закрытые!$E$5:$E$300,$B277,Закрытые!$B$5:$B$300,"L-*"),8))</f>
        <v/>
      </c>
      <c r="L277" s="177">
        <f>IF(K277="","",IF(SUMPRODUCT((Закрытые!$E$5:$E$300=$B277)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277/SUMPRODUCT((Закрытые!$E$5:$E$300=$B277)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7" s="177">
        <f>IF(OR(ROUND(N(C277)-N(F277),8)=0,1-N(Ввод!$E$17)/100&lt;=0),"",IF(N(C277)&gt;N(F277),(N(E277)-N(H277))/((N(C277)-N(F277))*(1-N(Ввод!$E$17)/100)),(N(H277)-N(E277))/((N(F277)-N(C277))*(1+N(Ввод!$E$17)/100))))</f>
        <v/>
      </c>
    </row>
    <row r="278" ht="22" customHeight="1">
      <c r="B278" s="320" t="n"/>
      <c r="C278" s="246">
        <f>IF(SUMIFS(Лэндинг!$F$5:$F$300,Лэндинг!$E$5:$E$300,$B278)+SUMIFS(Закрытые!$F$5:$F$300,Закрытые!$E$5:$E$300,$B278,Закрытые!$B$5:$B$300,"L-*")=0,"",SUMIFS(Лэндинг!$F$5:$F$300,Лэндинг!$E$5:$E$300,$B278)+SUMIFS(Закрытые!$F$5:$F$300,Закрытые!$E$5:$E$300,$B278,Закрытые!$B$5:$B$300,"L-*"))</f>
        <v/>
      </c>
      <c r="D278" s="183">
        <f>IF(C278="","",(SUMPRODUCT((Лэндинг!$E$5:$E$300=$B278)*Лэндинг!$F$5:$F$300*Лэндинг!$G$5:$G$300)+SUMPRODUCT((Закрытые!$E$5:$E$300=$B278)*(LEFT(Закрытые!$B$5:$B$300,2)="L-")*Закрытые!$F$5:$F$300*Закрытые!$G$5:$G$300))/C278)</f>
        <v/>
      </c>
      <c r="E278" s="247">
        <f>IF(C278="","",SUMIFS(Лэндинг!$H$5:$H$300,Лэндинг!$E$5:$E$300,$B278)+SUMIFS(Закрытые!$H$5:$H$300,Закрытые!$E$5:$E$300,$B278,Закрытые!$B$5:$B$300,"L-*"))</f>
        <v/>
      </c>
      <c r="F278" s="246">
        <f>IF(SUMIFS(Лэндинг!$I$5:$I$300,Лэндинг!$E$5:$E$300,$B278)+SUMIFS(Закрытые!$I$5:$I$300,Закрытые!$E$5:$E$300,$B278,Закрытые!$B$5:$B$300,"L-*")=0,"",SUMIFS(Лэндинг!$I$5:$I$300,Лэндинг!$E$5:$E$300,$B278)+SUMIFS(Закрытые!$I$5:$I$300,Закрытые!$E$5:$E$300,$B278,Закрытые!$B$5:$B$300,"L-*"))</f>
        <v/>
      </c>
      <c r="G278" s="183">
        <f>IF(F278="","",(SUMPRODUCT((Лэндинг!$E$5:$E$300=$B278)*Лэндинг!$I$5:$I$300*Лэндинг!$J$5:$J$300)+SUMPRODUCT((Закрытые!$E$5:$E$300=$B278)*(LEFT(Закрытые!$B$5:$B$300,2)="L-")*Закрытые!$I$5:$I$300*Закрытые!$J$5:$J$300))/F278)</f>
        <v/>
      </c>
      <c r="H278" s="247">
        <f>IF(F278="","",SUMIFS(Лэндинг!$K$5:$K$300,Лэндинг!$E$5:$E$300,$B278)+SUMIFS(Закрытые!$K$5:$K$300,Закрытые!$E$5:$E$300,$B278,Закрытые!$B$5:$B$300,"L-*"))</f>
        <v/>
      </c>
      <c r="I278" s="246">
        <f>IF($B278="","",IF(COUNTIFS(Лэндинг!$E$5:$E$300,$B278)+COUNTIFS(Закрытые!$E$5:$E$300,$B278,Закрытые!$B$5:$B$300,"L-*")=0,"",ROUND(SUMIFS(Лэндинг!$L$5:$L$300,Лэндинг!$E$5:$E$300,$B278)+SUMIFS(Закрытые!$L$5:$L$300,Закрытые!$E$5:$E$300,$B278,Закрытые!$B$5:$B$300,"L-*"),8)))</f>
        <v/>
      </c>
      <c r="J278" s="247">
        <f>IF($B278="","",IF(COUNTIFS(Лэндинг!$E$5:$E$300,$B278)+COUNTIFS(Закрытые!$E$5:$E$300,$B278,Закрытые!$B$5:$B$300,"L-*")=0,"",ROUND(SUMIFS(Лэндинг!$M$5:$M$300,Лэндинг!$E$5:$E$300,$B278)+SUMIFS(Закрытые!$M$5:$M$300,Закрытые!$E$5:$E$300,$B278,Закрытые!$B$5:$B$300,"L-*"),8)))</f>
        <v/>
      </c>
      <c r="K278" s="246">
        <f>IF($B278="","",ROUND(SUMIFS(Закрытые!$N$5:$N$300,Закрытые!$E$5:$E$300,$B278,Закрытые!$B$5:$B$300,"L-*"),8))</f>
        <v/>
      </c>
      <c r="L278" s="183">
        <f>IF(K278="","",IF(SUMPRODUCT((Закрытые!$E$5:$E$300=$B278)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278/SUMPRODUCT((Закрытые!$E$5:$E$300=$B278)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8" s="183">
        <f>IF(OR(ROUND(N(C278)-N(F278),8)=0,1-N(Ввод!$E$17)/100&lt;=0),"",IF(N(C278)&gt;N(F278),(N(E278)-N(H278))/((N(C278)-N(F278))*(1-N(Ввод!$E$17)/100)),(N(H278)-N(E278))/((N(F278)-N(C278))*(1+N(Ввод!$E$17)/100))))</f>
        <v/>
      </c>
    </row>
    <row r="279" ht="22" customHeight="1">
      <c r="B279" s="315" t="n"/>
      <c r="C279" s="240">
        <f>IF(SUMIFS(Лэндинг!$F$5:$F$300,Лэндинг!$E$5:$E$300,$B279)+SUMIFS(Закрытые!$F$5:$F$300,Закрытые!$E$5:$E$300,$B279,Закрытые!$B$5:$B$300,"L-*")=0,"",SUMIFS(Лэндинг!$F$5:$F$300,Лэндинг!$E$5:$E$300,$B279)+SUMIFS(Закрытые!$F$5:$F$300,Закрытые!$E$5:$E$300,$B279,Закрытые!$B$5:$B$300,"L-*"))</f>
        <v/>
      </c>
      <c r="D279" s="177">
        <f>IF(C279="","",(SUMPRODUCT((Лэндинг!$E$5:$E$300=$B279)*Лэндинг!$F$5:$F$300*Лэндинг!$G$5:$G$300)+SUMPRODUCT((Закрытые!$E$5:$E$300=$B279)*(LEFT(Закрытые!$B$5:$B$300,2)="L-")*Закрытые!$F$5:$F$300*Закрытые!$G$5:$G$300))/C279)</f>
        <v/>
      </c>
      <c r="E279" s="241">
        <f>IF(C279="","",SUMIFS(Лэндинг!$H$5:$H$300,Лэндинг!$E$5:$E$300,$B279)+SUMIFS(Закрытые!$H$5:$H$300,Закрытые!$E$5:$E$300,$B279,Закрытые!$B$5:$B$300,"L-*"))</f>
        <v/>
      </c>
      <c r="F279" s="240">
        <f>IF(SUMIFS(Лэндинг!$I$5:$I$300,Лэндинг!$E$5:$E$300,$B279)+SUMIFS(Закрытые!$I$5:$I$300,Закрытые!$E$5:$E$300,$B279,Закрытые!$B$5:$B$300,"L-*")=0,"",SUMIFS(Лэндинг!$I$5:$I$300,Лэндинг!$E$5:$E$300,$B279)+SUMIFS(Закрытые!$I$5:$I$300,Закрытые!$E$5:$E$300,$B279,Закрытые!$B$5:$B$300,"L-*"))</f>
        <v/>
      </c>
      <c r="G279" s="177">
        <f>IF(F279="","",(SUMPRODUCT((Лэндинг!$E$5:$E$300=$B279)*Лэндинг!$I$5:$I$300*Лэндинг!$J$5:$J$300)+SUMPRODUCT((Закрытые!$E$5:$E$300=$B279)*(LEFT(Закрытые!$B$5:$B$300,2)="L-")*Закрытые!$I$5:$I$300*Закрытые!$J$5:$J$300))/F279)</f>
        <v/>
      </c>
      <c r="H279" s="241">
        <f>IF(F279="","",SUMIFS(Лэндинг!$K$5:$K$300,Лэндинг!$E$5:$E$300,$B279)+SUMIFS(Закрытые!$K$5:$K$300,Закрытые!$E$5:$E$300,$B279,Закрытые!$B$5:$B$300,"L-*"))</f>
        <v/>
      </c>
      <c r="I279" s="240">
        <f>IF($B279="","",IF(COUNTIFS(Лэндинг!$E$5:$E$300,$B279)+COUNTIFS(Закрытые!$E$5:$E$300,$B279,Закрытые!$B$5:$B$300,"L-*")=0,"",ROUND(SUMIFS(Лэндинг!$L$5:$L$300,Лэндинг!$E$5:$E$300,$B279)+SUMIFS(Закрытые!$L$5:$L$300,Закрытые!$E$5:$E$300,$B279,Закрытые!$B$5:$B$300,"L-*"),8)))</f>
        <v/>
      </c>
      <c r="J279" s="241">
        <f>IF($B279="","",IF(COUNTIFS(Лэндинг!$E$5:$E$300,$B279)+COUNTIFS(Закрытые!$E$5:$E$300,$B279,Закрытые!$B$5:$B$300,"L-*")=0,"",ROUND(SUMIFS(Лэндинг!$M$5:$M$300,Лэндинг!$E$5:$E$300,$B279)+SUMIFS(Закрытые!$M$5:$M$300,Закрытые!$E$5:$E$300,$B279,Закрытые!$B$5:$B$300,"L-*"),8)))</f>
        <v/>
      </c>
      <c r="K279" s="240">
        <f>IF($B279="","",ROUND(SUMIFS(Закрытые!$N$5:$N$300,Закрытые!$E$5:$E$300,$B279,Закрытые!$B$5:$B$300,"L-*"),8))</f>
        <v/>
      </c>
      <c r="L279" s="177">
        <f>IF(K279="","",IF(SUMPRODUCT((Закрытые!$E$5:$E$300=$B279)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279/SUMPRODUCT((Закрытые!$E$5:$E$300=$B279)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9" s="177">
        <f>IF(OR(ROUND(N(C279)-N(F279),8)=0,1-N(Ввод!$E$17)/100&lt;=0),"",IF(N(C279)&gt;N(F279),(N(E279)-N(H279))/((N(C279)-N(F279))*(1-N(Ввод!$E$17)/100)),(N(H279)-N(E279))/((N(F279)-N(C279))*(1+N(Ввод!$E$17)/100))))</f>
        <v/>
      </c>
    </row>
    <row r="280" ht="22" customHeight="1">
      <c r="B280" s="320" t="n"/>
      <c r="C280" s="246">
        <f>IF(SUMIFS(Лэндинг!$F$5:$F$300,Лэндинг!$E$5:$E$300,$B280)+SUMIFS(Закрытые!$F$5:$F$300,Закрытые!$E$5:$E$300,$B280,Закрытые!$B$5:$B$300,"L-*")=0,"",SUMIFS(Лэндинг!$F$5:$F$300,Лэндинг!$E$5:$E$300,$B280)+SUMIFS(Закрытые!$F$5:$F$300,Закрытые!$E$5:$E$300,$B280,Закрытые!$B$5:$B$300,"L-*"))</f>
        <v/>
      </c>
      <c r="D280" s="183">
        <f>IF(C280="","",(SUMPRODUCT((Лэндинг!$E$5:$E$300=$B280)*Лэндинг!$F$5:$F$300*Лэндинг!$G$5:$G$300)+SUMPRODUCT((Закрытые!$E$5:$E$300=$B280)*(LEFT(Закрытые!$B$5:$B$300,2)="L-")*Закрытые!$F$5:$F$300*Закрытые!$G$5:$G$300))/C280)</f>
        <v/>
      </c>
      <c r="E280" s="247">
        <f>IF(C280="","",SUMIFS(Лэндинг!$H$5:$H$300,Лэндинг!$E$5:$E$300,$B280)+SUMIFS(Закрытые!$H$5:$H$300,Закрытые!$E$5:$E$300,$B280,Закрытые!$B$5:$B$300,"L-*"))</f>
        <v/>
      </c>
      <c r="F280" s="246">
        <f>IF(SUMIFS(Лэндинг!$I$5:$I$300,Лэндинг!$E$5:$E$300,$B280)+SUMIFS(Закрытые!$I$5:$I$300,Закрытые!$E$5:$E$300,$B280,Закрытые!$B$5:$B$300,"L-*")=0,"",SUMIFS(Лэндинг!$I$5:$I$300,Лэндинг!$E$5:$E$300,$B280)+SUMIFS(Закрытые!$I$5:$I$300,Закрытые!$E$5:$E$300,$B280,Закрытые!$B$5:$B$300,"L-*"))</f>
        <v/>
      </c>
      <c r="G280" s="183">
        <f>IF(F280="","",(SUMPRODUCT((Лэндинг!$E$5:$E$300=$B280)*Лэндинг!$I$5:$I$300*Лэндинг!$J$5:$J$300)+SUMPRODUCT((Закрытые!$E$5:$E$300=$B280)*(LEFT(Закрытые!$B$5:$B$300,2)="L-")*Закрытые!$I$5:$I$300*Закрытые!$J$5:$J$300))/F280)</f>
        <v/>
      </c>
      <c r="H280" s="247">
        <f>IF(F280="","",SUMIFS(Лэндинг!$K$5:$K$300,Лэндинг!$E$5:$E$300,$B280)+SUMIFS(Закрытые!$K$5:$K$300,Закрытые!$E$5:$E$300,$B280,Закрытые!$B$5:$B$300,"L-*"))</f>
        <v/>
      </c>
      <c r="I280" s="246">
        <f>IF($B280="","",IF(COUNTIFS(Лэндинг!$E$5:$E$300,$B280)+COUNTIFS(Закрытые!$E$5:$E$300,$B280,Закрытые!$B$5:$B$300,"L-*")=0,"",ROUND(SUMIFS(Лэндинг!$L$5:$L$300,Лэндинг!$E$5:$E$300,$B280)+SUMIFS(Закрытые!$L$5:$L$300,Закрытые!$E$5:$E$300,$B280,Закрытые!$B$5:$B$300,"L-*"),8)))</f>
        <v/>
      </c>
      <c r="J280" s="247">
        <f>IF($B280="","",IF(COUNTIFS(Лэндинг!$E$5:$E$300,$B280)+COUNTIFS(Закрытые!$E$5:$E$300,$B280,Закрытые!$B$5:$B$300,"L-*")=0,"",ROUND(SUMIFS(Лэндинг!$M$5:$M$300,Лэндинг!$E$5:$E$300,$B280)+SUMIFS(Закрытые!$M$5:$M$300,Закрытые!$E$5:$E$300,$B280,Закрытые!$B$5:$B$300,"L-*"),8)))</f>
        <v/>
      </c>
      <c r="K280" s="246">
        <f>IF($B280="","",ROUND(SUMIFS(Закрытые!$N$5:$N$300,Закрытые!$E$5:$E$300,$B280,Закрытые!$B$5:$B$300,"L-*"),8))</f>
        <v/>
      </c>
      <c r="L280" s="183">
        <f>IF(K280="","",IF(SUMPRODUCT((Закрытые!$E$5:$E$300=$B280)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280/SUMPRODUCT((Закрытые!$E$5:$E$300=$B280)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0" s="183">
        <f>IF(OR(ROUND(N(C280)-N(F280),8)=0,1-N(Ввод!$E$17)/100&lt;=0),"",IF(N(C280)&gt;N(F280),(N(E280)-N(H280))/((N(C280)-N(F280))*(1-N(Ввод!$E$17)/100)),(N(H280)-N(E280))/((N(F280)-N(C280))*(1+N(Ввод!$E$17)/100))))</f>
        <v/>
      </c>
    </row>
    <row r="281" ht="22" customHeight="1">
      <c r="B281" s="315" t="n"/>
      <c r="C281" s="240">
        <f>IF(SUMIFS(Лэндинг!$F$5:$F$300,Лэндинг!$E$5:$E$300,$B281)+SUMIFS(Закрытые!$F$5:$F$300,Закрытые!$E$5:$E$300,$B281,Закрытые!$B$5:$B$300,"L-*")=0,"",SUMIFS(Лэндинг!$F$5:$F$300,Лэндинг!$E$5:$E$300,$B281)+SUMIFS(Закрытые!$F$5:$F$300,Закрытые!$E$5:$E$300,$B281,Закрытые!$B$5:$B$300,"L-*"))</f>
        <v/>
      </c>
      <c r="D281" s="177">
        <f>IF(C281="","",(SUMPRODUCT((Лэндинг!$E$5:$E$300=$B281)*Лэндинг!$F$5:$F$300*Лэндинг!$G$5:$G$300)+SUMPRODUCT((Закрытые!$E$5:$E$300=$B281)*(LEFT(Закрытые!$B$5:$B$300,2)="L-")*Закрытые!$F$5:$F$300*Закрытые!$G$5:$G$300))/C281)</f>
        <v/>
      </c>
      <c r="E281" s="241">
        <f>IF(C281="","",SUMIFS(Лэндинг!$H$5:$H$300,Лэндинг!$E$5:$E$300,$B281)+SUMIFS(Закрытые!$H$5:$H$300,Закрытые!$E$5:$E$300,$B281,Закрытые!$B$5:$B$300,"L-*"))</f>
        <v/>
      </c>
      <c r="F281" s="240">
        <f>IF(SUMIFS(Лэндинг!$I$5:$I$300,Лэндинг!$E$5:$E$300,$B281)+SUMIFS(Закрытые!$I$5:$I$300,Закрытые!$E$5:$E$300,$B281,Закрытые!$B$5:$B$300,"L-*")=0,"",SUMIFS(Лэндинг!$I$5:$I$300,Лэндинг!$E$5:$E$300,$B281)+SUMIFS(Закрытые!$I$5:$I$300,Закрытые!$E$5:$E$300,$B281,Закрытые!$B$5:$B$300,"L-*"))</f>
        <v/>
      </c>
      <c r="G281" s="177">
        <f>IF(F281="","",(SUMPRODUCT((Лэндинг!$E$5:$E$300=$B281)*Лэндинг!$I$5:$I$300*Лэндинг!$J$5:$J$300)+SUMPRODUCT((Закрытые!$E$5:$E$300=$B281)*(LEFT(Закрытые!$B$5:$B$300,2)="L-")*Закрытые!$I$5:$I$300*Закрытые!$J$5:$J$300))/F281)</f>
        <v/>
      </c>
      <c r="H281" s="241">
        <f>IF(F281="","",SUMIFS(Лэндинг!$K$5:$K$300,Лэндинг!$E$5:$E$300,$B281)+SUMIFS(Закрытые!$K$5:$K$300,Закрытые!$E$5:$E$300,$B281,Закрытые!$B$5:$B$300,"L-*"))</f>
        <v/>
      </c>
      <c r="I281" s="240">
        <f>IF($B281="","",IF(COUNTIFS(Лэндинг!$E$5:$E$300,$B281)+COUNTIFS(Закрытые!$E$5:$E$300,$B281,Закрытые!$B$5:$B$300,"L-*")=0,"",ROUND(SUMIFS(Лэндинг!$L$5:$L$300,Лэндинг!$E$5:$E$300,$B281)+SUMIFS(Закрытые!$L$5:$L$300,Закрытые!$E$5:$E$300,$B281,Закрытые!$B$5:$B$300,"L-*"),8)))</f>
        <v/>
      </c>
      <c r="J281" s="241">
        <f>IF($B281="","",IF(COUNTIFS(Лэндинг!$E$5:$E$300,$B281)+COUNTIFS(Закрытые!$E$5:$E$300,$B281,Закрытые!$B$5:$B$300,"L-*")=0,"",ROUND(SUMIFS(Лэндинг!$M$5:$M$300,Лэндинг!$E$5:$E$300,$B281)+SUMIFS(Закрытые!$M$5:$M$300,Закрытые!$E$5:$E$300,$B281,Закрытые!$B$5:$B$300,"L-*"),8)))</f>
        <v/>
      </c>
      <c r="K281" s="240">
        <f>IF($B281="","",ROUND(SUMIFS(Закрытые!$N$5:$N$300,Закрытые!$E$5:$E$300,$B281,Закрытые!$B$5:$B$300,"L-*"),8))</f>
        <v/>
      </c>
      <c r="L281" s="177">
        <f>IF(K281="","",IF(SUMPRODUCT((Закрытые!$E$5:$E$300=$B281)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281/SUMPRODUCT((Закрытые!$E$5:$E$300=$B281)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1" s="177">
        <f>IF(OR(ROUND(N(C281)-N(F281),8)=0,1-N(Ввод!$E$17)/100&lt;=0),"",IF(N(C281)&gt;N(F281),(N(E281)-N(H281))/((N(C281)-N(F281))*(1-N(Ввод!$E$17)/100)),(N(H281)-N(E281))/((N(F281)-N(C281))*(1+N(Ввод!$E$17)/100))))</f>
        <v/>
      </c>
    </row>
    <row r="282" ht="22" customHeight="1">
      <c r="B282" s="320" t="n"/>
      <c r="C282" s="246">
        <f>IF(SUMIFS(Лэндинг!$F$5:$F$300,Лэндинг!$E$5:$E$300,$B282)+SUMIFS(Закрытые!$F$5:$F$300,Закрытые!$E$5:$E$300,$B282,Закрытые!$B$5:$B$300,"L-*")=0,"",SUMIFS(Лэндинг!$F$5:$F$300,Лэндинг!$E$5:$E$300,$B282)+SUMIFS(Закрытые!$F$5:$F$300,Закрытые!$E$5:$E$300,$B282,Закрытые!$B$5:$B$300,"L-*"))</f>
        <v/>
      </c>
      <c r="D282" s="183">
        <f>IF(C282="","",(SUMPRODUCT((Лэндинг!$E$5:$E$300=$B282)*Лэндинг!$F$5:$F$300*Лэндинг!$G$5:$G$300)+SUMPRODUCT((Закрытые!$E$5:$E$300=$B282)*(LEFT(Закрытые!$B$5:$B$300,2)="L-")*Закрытые!$F$5:$F$300*Закрытые!$G$5:$G$300))/C282)</f>
        <v/>
      </c>
      <c r="E282" s="247">
        <f>IF(C282="","",SUMIFS(Лэндинг!$H$5:$H$300,Лэндинг!$E$5:$E$300,$B282)+SUMIFS(Закрытые!$H$5:$H$300,Закрытые!$E$5:$E$300,$B282,Закрытые!$B$5:$B$300,"L-*"))</f>
        <v/>
      </c>
      <c r="F282" s="246">
        <f>IF(SUMIFS(Лэндинг!$I$5:$I$300,Лэндинг!$E$5:$E$300,$B282)+SUMIFS(Закрытые!$I$5:$I$300,Закрытые!$E$5:$E$300,$B282,Закрытые!$B$5:$B$300,"L-*")=0,"",SUMIFS(Лэндинг!$I$5:$I$300,Лэндинг!$E$5:$E$300,$B282)+SUMIFS(Закрытые!$I$5:$I$300,Закрытые!$E$5:$E$300,$B282,Закрытые!$B$5:$B$300,"L-*"))</f>
        <v/>
      </c>
      <c r="G282" s="183">
        <f>IF(F282="","",(SUMPRODUCT((Лэндинг!$E$5:$E$300=$B282)*Лэндинг!$I$5:$I$300*Лэндинг!$J$5:$J$300)+SUMPRODUCT((Закрытые!$E$5:$E$300=$B282)*(LEFT(Закрытые!$B$5:$B$300,2)="L-")*Закрытые!$I$5:$I$300*Закрытые!$J$5:$J$300))/F282)</f>
        <v/>
      </c>
      <c r="H282" s="247">
        <f>IF(F282="","",SUMIFS(Лэндинг!$K$5:$K$300,Лэндинг!$E$5:$E$300,$B282)+SUMIFS(Закрытые!$K$5:$K$300,Закрытые!$E$5:$E$300,$B282,Закрытые!$B$5:$B$300,"L-*"))</f>
        <v/>
      </c>
      <c r="I282" s="246">
        <f>IF($B282="","",IF(COUNTIFS(Лэндинг!$E$5:$E$300,$B282)+COUNTIFS(Закрытые!$E$5:$E$300,$B282,Закрытые!$B$5:$B$300,"L-*")=0,"",ROUND(SUMIFS(Лэндинг!$L$5:$L$300,Лэндинг!$E$5:$E$300,$B282)+SUMIFS(Закрытые!$L$5:$L$300,Закрытые!$E$5:$E$300,$B282,Закрытые!$B$5:$B$300,"L-*"),8)))</f>
        <v/>
      </c>
      <c r="J282" s="247">
        <f>IF($B282="","",IF(COUNTIFS(Лэндинг!$E$5:$E$300,$B282)+COUNTIFS(Закрытые!$E$5:$E$300,$B282,Закрытые!$B$5:$B$300,"L-*")=0,"",ROUND(SUMIFS(Лэндинг!$M$5:$M$300,Лэндинг!$E$5:$E$300,$B282)+SUMIFS(Закрытые!$M$5:$M$300,Закрытые!$E$5:$E$300,$B282,Закрытые!$B$5:$B$300,"L-*"),8)))</f>
        <v/>
      </c>
      <c r="K282" s="246">
        <f>IF($B282="","",ROUND(SUMIFS(Закрытые!$N$5:$N$300,Закрытые!$E$5:$E$300,$B282,Закрытые!$B$5:$B$300,"L-*"),8))</f>
        <v/>
      </c>
      <c r="L282" s="183">
        <f>IF(K282="","",IF(SUMPRODUCT((Закрытые!$E$5:$E$300=$B282)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282/SUMPRODUCT((Закрытые!$E$5:$E$300=$B282)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2" s="183">
        <f>IF(OR(ROUND(N(C282)-N(F282),8)=0,1-N(Ввод!$E$17)/100&lt;=0),"",IF(N(C282)&gt;N(F282),(N(E282)-N(H282))/((N(C282)-N(F282))*(1-N(Ввод!$E$17)/100)),(N(H282)-N(E282))/((N(F282)-N(C282))*(1+N(Ввод!$E$17)/100))))</f>
        <v/>
      </c>
    </row>
    <row r="283" ht="22" customHeight="1">
      <c r="B283" s="315" t="n"/>
      <c r="C283" s="240">
        <f>IF(SUMIFS(Лэндинг!$F$5:$F$300,Лэндинг!$E$5:$E$300,$B283)+SUMIFS(Закрытые!$F$5:$F$300,Закрытые!$E$5:$E$300,$B283,Закрытые!$B$5:$B$300,"L-*")=0,"",SUMIFS(Лэндинг!$F$5:$F$300,Лэндинг!$E$5:$E$300,$B283)+SUMIFS(Закрытые!$F$5:$F$300,Закрытые!$E$5:$E$300,$B283,Закрытые!$B$5:$B$300,"L-*"))</f>
        <v/>
      </c>
      <c r="D283" s="177">
        <f>IF(C283="","",(SUMPRODUCT((Лэндинг!$E$5:$E$300=$B283)*Лэндинг!$F$5:$F$300*Лэндинг!$G$5:$G$300)+SUMPRODUCT((Закрытые!$E$5:$E$300=$B283)*(LEFT(Закрытые!$B$5:$B$300,2)="L-")*Закрытые!$F$5:$F$300*Закрытые!$G$5:$G$300))/C283)</f>
        <v/>
      </c>
      <c r="E283" s="241">
        <f>IF(C283="","",SUMIFS(Лэндинг!$H$5:$H$300,Лэндинг!$E$5:$E$300,$B283)+SUMIFS(Закрытые!$H$5:$H$300,Закрытые!$E$5:$E$300,$B283,Закрытые!$B$5:$B$300,"L-*"))</f>
        <v/>
      </c>
      <c r="F283" s="240">
        <f>IF(SUMIFS(Лэндинг!$I$5:$I$300,Лэндинг!$E$5:$E$300,$B283)+SUMIFS(Закрытые!$I$5:$I$300,Закрытые!$E$5:$E$300,$B283,Закрытые!$B$5:$B$300,"L-*")=0,"",SUMIFS(Лэндинг!$I$5:$I$300,Лэндинг!$E$5:$E$300,$B283)+SUMIFS(Закрытые!$I$5:$I$300,Закрытые!$E$5:$E$300,$B283,Закрытые!$B$5:$B$300,"L-*"))</f>
        <v/>
      </c>
      <c r="G283" s="177">
        <f>IF(F283="","",(SUMPRODUCT((Лэндинг!$E$5:$E$300=$B283)*Лэндинг!$I$5:$I$300*Лэндинг!$J$5:$J$300)+SUMPRODUCT((Закрытые!$E$5:$E$300=$B283)*(LEFT(Закрытые!$B$5:$B$300,2)="L-")*Закрытые!$I$5:$I$300*Закрытые!$J$5:$J$300))/F283)</f>
        <v/>
      </c>
      <c r="H283" s="241">
        <f>IF(F283="","",SUMIFS(Лэндинг!$K$5:$K$300,Лэндинг!$E$5:$E$300,$B283)+SUMIFS(Закрытые!$K$5:$K$300,Закрытые!$E$5:$E$300,$B283,Закрытые!$B$5:$B$300,"L-*"))</f>
        <v/>
      </c>
      <c r="I283" s="240">
        <f>IF($B283="","",IF(COUNTIFS(Лэндинг!$E$5:$E$300,$B283)+COUNTIFS(Закрытые!$E$5:$E$300,$B283,Закрытые!$B$5:$B$300,"L-*")=0,"",ROUND(SUMIFS(Лэндинг!$L$5:$L$300,Лэндинг!$E$5:$E$300,$B283)+SUMIFS(Закрытые!$L$5:$L$300,Закрытые!$E$5:$E$300,$B283,Закрытые!$B$5:$B$300,"L-*"),8)))</f>
        <v/>
      </c>
      <c r="J283" s="241">
        <f>IF($B283="","",IF(COUNTIFS(Лэндинг!$E$5:$E$300,$B283)+COUNTIFS(Закрытые!$E$5:$E$300,$B283,Закрытые!$B$5:$B$300,"L-*")=0,"",ROUND(SUMIFS(Лэндинг!$M$5:$M$300,Лэндинг!$E$5:$E$300,$B283)+SUMIFS(Закрытые!$M$5:$M$300,Закрытые!$E$5:$E$300,$B283,Закрытые!$B$5:$B$300,"L-*"),8)))</f>
        <v/>
      </c>
      <c r="K283" s="240">
        <f>IF($B283="","",ROUND(SUMIFS(Закрытые!$N$5:$N$300,Закрытые!$E$5:$E$300,$B283,Закрытые!$B$5:$B$300,"L-*"),8))</f>
        <v/>
      </c>
      <c r="L283" s="177">
        <f>IF(K283="","",IF(SUMPRODUCT((Закрытые!$E$5:$E$300=$B283)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283/SUMPRODUCT((Закрытые!$E$5:$E$300=$B283)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3" s="177">
        <f>IF(OR(ROUND(N(C283)-N(F283),8)=0,1-N(Ввод!$E$17)/100&lt;=0),"",IF(N(C283)&gt;N(F283),(N(E283)-N(H283))/((N(C283)-N(F283))*(1-N(Ввод!$E$17)/100)),(N(H283)-N(E283))/((N(F283)-N(C283))*(1+N(Ввод!$E$17)/100))))</f>
        <v/>
      </c>
    </row>
    <row r="284" ht="22" customHeight="1">
      <c r="B284" s="320" t="n"/>
      <c r="C284" s="246">
        <f>IF(SUMIFS(Лэндинг!$F$5:$F$300,Лэндинг!$E$5:$E$300,$B284)+SUMIFS(Закрытые!$F$5:$F$300,Закрытые!$E$5:$E$300,$B284,Закрытые!$B$5:$B$300,"L-*")=0,"",SUMIFS(Лэндинг!$F$5:$F$300,Лэндинг!$E$5:$E$300,$B284)+SUMIFS(Закрытые!$F$5:$F$300,Закрытые!$E$5:$E$300,$B284,Закрытые!$B$5:$B$300,"L-*"))</f>
        <v/>
      </c>
      <c r="D284" s="183">
        <f>IF(C284="","",(SUMPRODUCT((Лэндинг!$E$5:$E$300=$B284)*Лэндинг!$F$5:$F$300*Лэндинг!$G$5:$G$300)+SUMPRODUCT((Закрытые!$E$5:$E$300=$B284)*(LEFT(Закрытые!$B$5:$B$300,2)="L-")*Закрытые!$F$5:$F$300*Закрытые!$G$5:$G$300))/C284)</f>
        <v/>
      </c>
      <c r="E284" s="247">
        <f>IF(C284="","",SUMIFS(Лэндинг!$H$5:$H$300,Лэндинг!$E$5:$E$300,$B284)+SUMIFS(Закрытые!$H$5:$H$300,Закрытые!$E$5:$E$300,$B284,Закрытые!$B$5:$B$300,"L-*"))</f>
        <v/>
      </c>
      <c r="F284" s="246">
        <f>IF(SUMIFS(Лэндинг!$I$5:$I$300,Лэндинг!$E$5:$E$300,$B284)+SUMIFS(Закрытые!$I$5:$I$300,Закрытые!$E$5:$E$300,$B284,Закрытые!$B$5:$B$300,"L-*")=0,"",SUMIFS(Лэндинг!$I$5:$I$300,Лэндинг!$E$5:$E$300,$B284)+SUMIFS(Закрытые!$I$5:$I$300,Закрытые!$E$5:$E$300,$B284,Закрытые!$B$5:$B$300,"L-*"))</f>
        <v/>
      </c>
      <c r="G284" s="183">
        <f>IF(F284="","",(SUMPRODUCT((Лэндинг!$E$5:$E$300=$B284)*Лэндинг!$I$5:$I$300*Лэндинг!$J$5:$J$300)+SUMPRODUCT((Закрытые!$E$5:$E$300=$B284)*(LEFT(Закрытые!$B$5:$B$300,2)="L-")*Закрытые!$I$5:$I$300*Закрытые!$J$5:$J$300))/F284)</f>
        <v/>
      </c>
      <c r="H284" s="247">
        <f>IF(F284="","",SUMIFS(Лэндинг!$K$5:$K$300,Лэндинг!$E$5:$E$300,$B284)+SUMIFS(Закрытые!$K$5:$K$300,Закрытые!$E$5:$E$300,$B284,Закрытые!$B$5:$B$300,"L-*"))</f>
        <v/>
      </c>
      <c r="I284" s="246">
        <f>IF($B284="","",IF(COUNTIFS(Лэндинг!$E$5:$E$300,$B284)+COUNTIFS(Закрытые!$E$5:$E$300,$B284,Закрытые!$B$5:$B$300,"L-*")=0,"",ROUND(SUMIFS(Лэндинг!$L$5:$L$300,Лэндинг!$E$5:$E$300,$B284)+SUMIFS(Закрытые!$L$5:$L$300,Закрытые!$E$5:$E$300,$B284,Закрытые!$B$5:$B$300,"L-*"),8)))</f>
        <v/>
      </c>
      <c r="J284" s="247">
        <f>IF($B284="","",IF(COUNTIFS(Лэндинг!$E$5:$E$300,$B284)+COUNTIFS(Закрытые!$E$5:$E$300,$B284,Закрытые!$B$5:$B$300,"L-*")=0,"",ROUND(SUMIFS(Лэндинг!$M$5:$M$300,Лэндинг!$E$5:$E$300,$B284)+SUMIFS(Закрытые!$M$5:$M$300,Закрытые!$E$5:$E$300,$B284,Закрытые!$B$5:$B$300,"L-*"),8)))</f>
        <v/>
      </c>
      <c r="K284" s="246">
        <f>IF($B284="","",ROUND(SUMIFS(Закрытые!$N$5:$N$300,Закрытые!$E$5:$E$300,$B284,Закрытые!$B$5:$B$300,"L-*"),8))</f>
        <v/>
      </c>
      <c r="L284" s="183">
        <f>IF(K284="","",IF(SUMPRODUCT((Закрытые!$E$5:$E$300=$B284)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284/SUMPRODUCT((Закрытые!$E$5:$E$300=$B284)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4" s="183">
        <f>IF(OR(ROUND(N(C284)-N(F284),8)=0,1-N(Ввод!$E$17)/100&lt;=0),"",IF(N(C284)&gt;N(F284),(N(E284)-N(H284))/((N(C284)-N(F284))*(1-N(Ввод!$E$17)/100)),(N(H284)-N(E284))/((N(F284)-N(C284))*(1+N(Ввод!$E$17)/100))))</f>
        <v/>
      </c>
    </row>
    <row r="285" ht="22" customHeight="1">
      <c r="B285" s="315" t="n"/>
      <c r="C285" s="240">
        <f>IF(SUMIFS(Лэндинг!$F$5:$F$300,Лэндинг!$E$5:$E$300,$B285)+SUMIFS(Закрытые!$F$5:$F$300,Закрытые!$E$5:$E$300,$B285,Закрытые!$B$5:$B$300,"L-*")=0,"",SUMIFS(Лэндинг!$F$5:$F$300,Лэндинг!$E$5:$E$300,$B285)+SUMIFS(Закрытые!$F$5:$F$300,Закрытые!$E$5:$E$300,$B285,Закрытые!$B$5:$B$300,"L-*"))</f>
        <v/>
      </c>
      <c r="D285" s="177">
        <f>IF(C285="","",(SUMPRODUCT((Лэндинг!$E$5:$E$300=$B285)*Лэндинг!$F$5:$F$300*Лэндинг!$G$5:$G$300)+SUMPRODUCT((Закрытые!$E$5:$E$300=$B285)*(LEFT(Закрытые!$B$5:$B$300,2)="L-")*Закрытые!$F$5:$F$300*Закрытые!$G$5:$G$300))/C285)</f>
        <v/>
      </c>
      <c r="E285" s="241">
        <f>IF(C285="","",SUMIFS(Лэндинг!$H$5:$H$300,Лэндинг!$E$5:$E$300,$B285)+SUMIFS(Закрытые!$H$5:$H$300,Закрытые!$E$5:$E$300,$B285,Закрытые!$B$5:$B$300,"L-*"))</f>
        <v/>
      </c>
      <c r="F285" s="240">
        <f>IF(SUMIFS(Лэндинг!$I$5:$I$300,Лэндинг!$E$5:$E$300,$B285)+SUMIFS(Закрытые!$I$5:$I$300,Закрытые!$E$5:$E$300,$B285,Закрытые!$B$5:$B$300,"L-*")=0,"",SUMIFS(Лэндинг!$I$5:$I$300,Лэндинг!$E$5:$E$300,$B285)+SUMIFS(Закрытые!$I$5:$I$300,Закрытые!$E$5:$E$300,$B285,Закрытые!$B$5:$B$300,"L-*"))</f>
        <v/>
      </c>
      <c r="G285" s="177">
        <f>IF(F285="","",(SUMPRODUCT((Лэндинг!$E$5:$E$300=$B285)*Лэндинг!$I$5:$I$300*Лэндинг!$J$5:$J$300)+SUMPRODUCT((Закрытые!$E$5:$E$300=$B285)*(LEFT(Закрытые!$B$5:$B$300,2)="L-")*Закрытые!$I$5:$I$300*Закрытые!$J$5:$J$300))/F285)</f>
        <v/>
      </c>
      <c r="H285" s="241">
        <f>IF(F285="","",SUMIFS(Лэндинг!$K$5:$K$300,Лэндинг!$E$5:$E$300,$B285)+SUMIFS(Закрытые!$K$5:$K$300,Закрытые!$E$5:$E$300,$B285,Закрытые!$B$5:$B$300,"L-*"))</f>
        <v/>
      </c>
      <c r="I285" s="240">
        <f>IF($B285="","",IF(COUNTIFS(Лэндинг!$E$5:$E$300,$B285)+COUNTIFS(Закрытые!$E$5:$E$300,$B285,Закрытые!$B$5:$B$300,"L-*")=0,"",ROUND(SUMIFS(Лэндинг!$L$5:$L$300,Лэндинг!$E$5:$E$300,$B285)+SUMIFS(Закрытые!$L$5:$L$300,Закрытые!$E$5:$E$300,$B285,Закрытые!$B$5:$B$300,"L-*"),8)))</f>
        <v/>
      </c>
      <c r="J285" s="241">
        <f>IF($B285="","",IF(COUNTIFS(Лэндинг!$E$5:$E$300,$B285)+COUNTIFS(Закрытые!$E$5:$E$300,$B285,Закрытые!$B$5:$B$300,"L-*")=0,"",ROUND(SUMIFS(Лэндинг!$M$5:$M$300,Лэндинг!$E$5:$E$300,$B285)+SUMIFS(Закрытые!$M$5:$M$300,Закрытые!$E$5:$E$300,$B285,Закрытые!$B$5:$B$300,"L-*"),8)))</f>
        <v/>
      </c>
      <c r="K285" s="240">
        <f>IF($B285="","",ROUND(SUMIFS(Закрытые!$N$5:$N$300,Закрытые!$E$5:$E$300,$B285,Закрытые!$B$5:$B$300,"L-*"),8))</f>
        <v/>
      </c>
      <c r="L285" s="177">
        <f>IF(K285="","",IF(SUMPRODUCT((Закрытые!$E$5:$E$300=$B285)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285/SUMPRODUCT((Закрытые!$E$5:$E$300=$B285)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5" s="177">
        <f>IF(OR(ROUND(N(C285)-N(F285),8)=0,1-N(Ввод!$E$17)/100&lt;=0),"",IF(N(C285)&gt;N(F285),(N(E285)-N(H285))/((N(C285)-N(F285))*(1-N(Ввод!$E$17)/100)),(N(H285)-N(E285))/((N(F285)-N(C285))*(1+N(Ввод!$E$17)/100))))</f>
        <v/>
      </c>
    </row>
    <row r="286" ht="22" customHeight="1">
      <c r="B286" s="320" t="n"/>
      <c r="C286" s="246">
        <f>IF(SUMIFS(Лэндинг!$F$5:$F$300,Лэндинг!$E$5:$E$300,$B286)+SUMIFS(Закрытые!$F$5:$F$300,Закрытые!$E$5:$E$300,$B286,Закрытые!$B$5:$B$300,"L-*")=0,"",SUMIFS(Лэндинг!$F$5:$F$300,Лэндинг!$E$5:$E$300,$B286)+SUMIFS(Закрытые!$F$5:$F$300,Закрытые!$E$5:$E$300,$B286,Закрытые!$B$5:$B$300,"L-*"))</f>
        <v/>
      </c>
      <c r="D286" s="183">
        <f>IF(C286="","",(SUMPRODUCT((Лэндинг!$E$5:$E$300=$B286)*Лэндинг!$F$5:$F$300*Лэндинг!$G$5:$G$300)+SUMPRODUCT((Закрытые!$E$5:$E$300=$B286)*(LEFT(Закрытые!$B$5:$B$300,2)="L-")*Закрытые!$F$5:$F$300*Закрытые!$G$5:$G$300))/C286)</f>
        <v/>
      </c>
      <c r="E286" s="247">
        <f>IF(C286="","",SUMIFS(Лэндинг!$H$5:$H$300,Лэндинг!$E$5:$E$300,$B286)+SUMIFS(Закрытые!$H$5:$H$300,Закрытые!$E$5:$E$300,$B286,Закрытые!$B$5:$B$300,"L-*"))</f>
        <v/>
      </c>
      <c r="F286" s="246">
        <f>IF(SUMIFS(Лэндинг!$I$5:$I$300,Лэндинг!$E$5:$E$300,$B286)+SUMIFS(Закрытые!$I$5:$I$300,Закрытые!$E$5:$E$300,$B286,Закрытые!$B$5:$B$300,"L-*")=0,"",SUMIFS(Лэндинг!$I$5:$I$300,Лэндинг!$E$5:$E$300,$B286)+SUMIFS(Закрытые!$I$5:$I$300,Закрытые!$E$5:$E$300,$B286,Закрытые!$B$5:$B$300,"L-*"))</f>
        <v/>
      </c>
      <c r="G286" s="183">
        <f>IF(F286="","",(SUMPRODUCT((Лэндинг!$E$5:$E$300=$B286)*Лэндинг!$I$5:$I$300*Лэндинг!$J$5:$J$300)+SUMPRODUCT((Закрытые!$E$5:$E$300=$B286)*(LEFT(Закрытые!$B$5:$B$300,2)="L-")*Закрытые!$I$5:$I$300*Закрытые!$J$5:$J$300))/F286)</f>
        <v/>
      </c>
      <c r="H286" s="247">
        <f>IF(F286="","",SUMIFS(Лэндинг!$K$5:$K$300,Лэндинг!$E$5:$E$300,$B286)+SUMIFS(Закрытые!$K$5:$K$300,Закрытые!$E$5:$E$300,$B286,Закрытые!$B$5:$B$300,"L-*"))</f>
        <v/>
      </c>
      <c r="I286" s="246">
        <f>IF($B286="","",IF(COUNTIFS(Лэндинг!$E$5:$E$300,$B286)+COUNTIFS(Закрытые!$E$5:$E$300,$B286,Закрытые!$B$5:$B$300,"L-*")=0,"",ROUND(SUMIFS(Лэндинг!$L$5:$L$300,Лэндинг!$E$5:$E$300,$B286)+SUMIFS(Закрытые!$L$5:$L$300,Закрытые!$E$5:$E$300,$B286,Закрытые!$B$5:$B$300,"L-*"),8)))</f>
        <v/>
      </c>
      <c r="J286" s="247">
        <f>IF($B286="","",IF(COUNTIFS(Лэндинг!$E$5:$E$300,$B286)+COUNTIFS(Закрытые!$E$5:$E$300,$B286,Закрытые!$B$5:$B$300,"L-*")=0,"",ROUND(SUMIFS(Лэндинг!$M$5:$M$300,Лэндинг!$E$5:$E$300,$B286)+SUMIFS(Закрытые!$M$5:$M$300,Закрытые!$E$5:$E$300,$B286,Закрытые!$B$5:$B$300,"L-*"),8)))</f>
        <v/>
      </c>
      <c r="K286" s="246">
        <f>IF($B286="","",ROUND(SUMIFS(Закрытые!$N$5:$N$300,Закрытые!$E$5:$E$300,$B286,Закрытые!$B$5:$B$300,"L-*"),8))</f>
        <v/>
      </c>
      <c r="L286" s="183">
        <f>IF(K286="","",IF(SUMPRODUCT((Закрытые!$E$5:$E$300=$B286)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286/SUMPRODUCT((Закрытые!$E$5:$E$300=$B286)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6" s="183">
        <f>IF(OR(ROUND(N(C286)-N(F286),8)=0,1-N(Ввод!$E$17)/100&lt;=0),"",IF(N(C286)&gt;N(F286),(N(E286)-N(H286))/((N(C286)-N(F286))*(1-N(Ввод!$E$17)/100)),(N(H286)-N(E286))/((N(F286)-N(C286))*(1+N(Ввод!$E$17)/100))))</f>
        <v/>
      </c>
    </row>
    <row r="287" ht="22" customHeight="1">
      <c r="B287" s="315" t="n"/>
      <c r="C287" s="240">
        <f>IF(SUMIFS(Лэндинг!$F$5:$F$300,Лэндинг!$E$5:$E$300,$B287)+SUMIFS(Закрытые!$F$5:$F$300,Закрытые!$E$5:$E$300,$B287,Закрытые!$B$5:$B$300,"L-*")=0,"",SUMIFS(Лэндинг!$F$5:$F$300,Лэндинг!$E$5:$E$300,$B287)+SUMIFS(Закрытые!$F$5:$F$300,Закрытые!$E$5:$E$300,$B287,Закрытые!$B$5:$B$300,"L-*"))</f>
        <v/>
      </c>
      <c r="D287" s="177">
        <f>IF(C287="","",(SUMPRODUCT((Лэндинг!$E$5:$E$300=$B287)*Лэндинг!$F$5:$F$300*Лэндинг!$G$5:$G$300)+SUMPRODUCT((Закрытые!$E$5:$E$300=$B287)*(LEFT(Закрытые!$B$5:$B$300,2)="L-")*Закрытые!$F$5:$F$300*Закрытые!$G$5:$G$300))/C287)</f>
        <v/>
      </c>
      <c r="E287" s="241">
        <f>IF(C287="","",SUMIFS(Лэндинг!$H$5:$H$300,Лэндинг!$E$5:$E$300,$B287)+SUMIFS(Закрытые!$H$5:$H$300,Закрытые!$E$5:$E$300,$B287,Закрытые!$B$5:$B$300,"L-*"))</f>
        <v/>
      </c>
      <c r="F287" s="240">
        <f>IF(SUMIFS(Лэндинг!$I$5:$I$300,Лэндинг!$E$5:$E$300,$B287)+SUMIFS(Закрытые!$I$5:$I$300,Закрытые!$E$5:$E$300,$B287,Закрытые!$B$5:$B$300,"L-*")=0,"",SUMIFS(Лэндинг!$I$5:$I$300,Лэндинг!$E$5:$E$300,$B287)+SUMIFS(Закрытые!$I$5:$I$300,Закрытые!$E$5:$E$300,$B287,Закрытые!$B$5:$B$300,"L-*"))</f>
        <v/>
      </c>
      <c r="G287" s="177">
        <f>IF(F287="","",(SUMPRODUCT((Лэндинг!$E$5:$E$300=$B287)*Лэндинг!$I$5:$I$300*Лэндинг!$J$5:$J$300)+SUMPRODUCT((Закрытые!$E$5:$E$300=$B287)*(LEFT(Закрытые!$B$5:$B$300,2)="L-")*Закрытые!$I$5:$I$300*Закрытые!$J$5:$J$300))/F287)</f>
        <v/>
      </c>
      <c r="H287" s="241">
        <f>IF(F287="","",SUMIFS(Лэндинг!$K$5:$K$300,Лэндинг!$E$5:$E$300,$B287)+SUMIFS(Закрытые!$K$5:$K$300,Закрытые!$E$5:$E$300,$B287,Закрытые!$B$5:$B$300,"L-*"))</f>
        <v/>
      </c>
      <c r="I287" s="240">
        <f>IF($B287="","",IF(COUNTIFS(Лэндинг!$E$5:$E$300,$B287)+COUNTIFS(Закрытые!$E$5:$E$300,$B287,Закрытые!$B$5:$B$300,"L-*")=0,"",ROUND(SUMIFS(Лэндинг!$L$5:$L$300,Лэндинг!$E$5:$E$300,$B287)+SUMIFS(Закрытые!$L$5:$L$300,Закрытые!$E$5:$E$300,$B287,Закрытые!$B$5:$B$300,"L-*"),8)))</f>
        <v/>
      </c>
      <c r="J287" s="241">
        <f>IF($B287="","",IF(COUNTIFS(Лэндинг!$E$5:$E$300,$B287)+COUNTIFS(Закрытые!$E$5:$E$300,$B287,Закрытые!$B$5:$B$300,"L-*")=0,"",ROUND(SUMIFS(Лэндинг!$M$5:$M$300,Лэндинг!$E$5:$E$300,$B287)+SUMIFS(Закрытые!$M$5:$M$300,Закрытые!$E$5:$E$300,$B287,Закрытые!$B$5:$B$300,"L-*"),8)))</f>
        <v/>
      </c>
      <c r="K287" s="240">
        <f>IF($B287="","",ROUND(SUMIFS(Закрытые!$N$5:$N$300,Закрытые!$E$5:$E$300,$B287,Закрытые!$B$5:$B$300,"L-*"),8))</f>
        <v/>
      </c>
      <c r="L287" s="177">
        <f>IF(K287="","",IF(SUMPRODUCT((Закрытые!$E$5:$E$300=$B287)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287/SUMPRODUCT((Закрытые!$E$5:$E$300=$B287)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7" s="177">
        <f>IF(OR(ROUND(N(C287)-N(F287),8)=0,1-N(Ввод!$E$17)/100&lt;=0),"",IF(N(C287)&gt;N(F287),(N(E287)-N(H287))/((N(C287)-N(F287))*(1-N(Ввод!$E$17)/100)),(N(H287)-N(E287))/((N(F287)-N(C287))*(1+N(Ввод!$E$17)/100))))</f>
        <v/>
      </c>
    </row>
    <row r="288" ht="22" customHeight="1">
      <c r="B288" s="320" t="n"/>
      <c r="C288" s="246">
        <f>IF(SUMIFS(Лэндинг!$F$5:$F$300,Лэндинг!$E$5:$E$300,$B288)+SUMIFS(Закрытые!$F$5:$F$300,Закрытые!$E$5:$E$300,$B288,Закрытые!$B$5:$B$300,"L-*")=0,"",SUMIFS(Лэндинг!$F$5:$F$300,Лэндинг!$E$5:$E$300,$B288)+SUMIFS(Закрытые!$F$5:$F$300,Закрытые!$E$5:$E$300,$B288,Закрытые!$B$5:$B$300,"L-*"))</f>
        <v/>
      </c>
      <c r="D288" s="183">
        <f>IF(C288="","",(SUMPRODUCT((Лэндинг!$E$5:$E$300=$B288)*Лэндинг!$F$5:$F$300*Лэндинг!$G$5:$G$300)+SUMPRODUCT((Закрытые!$E$5:$E$300=$B288)*(LEFT(Закрытые!$B$5:$B$300,2)="L-")*Закрытые!$F$5:$F$300*Закрытые!$G$5:$G$300))/C288)</f>
        <v/>
      </c>
      <c r="E288" s="247">
        <f>IF(C288="","",SUMIFS(Лэндинг!$H$5:$H$300,Лэндинг!$E$5:$E$300,$B288)+SUMIFS(Закрытые!$H$5:$H$300,Закрытые!$E$5:$E$300,$B288,Закрытые!$B$5:$B$300,"L-*"))</f>
        <v/>
      </c>
      <c r="F288" s="246">
        <f>IF(SUMIFS(Лэндинг!$I$5:$I$300,Лэндинг!$E$5:$E$300,$B288)+SUMIFS(Закрытые!$I$5:$I$300,Закрытые!$E$5:$E$300,$B288,Закрытые!$B$5:$B$300,"L-*")=0,"",SUMIFS(Лэндинг!$I$5:$I$300,Лэндинг!$E$5:$E$300,$B288)+SUMIFS(Закрытые!$I$5:$I$300,Закрытые!$E$5:$E$300,$B288,Закрытые!$B$5:$B$300,"L-*"))</f>
        <v/>
      </c>
      <c r="G288" s="183">
        <f>IF(F288="","",(SUMPRODUCT((Лэндинг!$E$5:$E$300=$B288)*Лэндинг!$I$5:$I$300*Лэндинг!$J$5:$J$300)+SUMPRODUCT((Закрытые!$E$5:$E$300=$B288)*(LEFT(Закрытые!$B$5:$B$300,2)="L-")*Закрытые!$I$5:$I$300*Закрытые!$J$5:$J$300))/F288)</f>
        <v/>
      </c>
      <c r="H288" s="247">
        <f>IF(F288="","",SUMIFS(Лэндинг!$K$5:$K$300,Лэндинг!$E$5:$E$300,$B288)+SUMIFS(Закрытые!$K$5:$K$300,Закрытые!$E$5:$E$300,$B288,Закрытые!$B$5:$B$300,"L-*"))</f>
        <v/>
      </c>
      <c r="I288" s="246">
        <f>IF($B288="","",IF(COUNTIFS(Лэндинг!$E$5:$E$300,$B288)+COUNTIFS(Закрытые!$E$5:$E$300,$B288,Закрытые!$B$5:$B$300,"L-*")=0,"",ROUND(SUMIFS(Лэндинг!$L$5:$L$300,Лэндинг!$E$5:$E$300,$B288)+SUMIFS(Закрытые!$L$5:$L$300,Закрытые!$E$5:$E$300,$B288,Закрытые!$B$5:$B$300,"L-*"),8)))</f>
        <v/>
      </c>
      <c r="J288" s="247">
        <f>IF($B288="","",IF(COUNTIFS(Лэндинг!$E$5:$E$300,$B288)+COUNTIFS(Закрытые!$E$5:$E$300,$B288,Закрытые!$B$5:$B$300,"L-*")=0,"",ROUND(SUMIFS(Лэндинг!$M$5:$M$300,Лэндинг!$E$5:$E$300,$B288)+SUMIFS(Закрытые!$M$5:$M$300,Закрытые!$E$5:$E$300,$B288,Закрытые!$B$5:$B$300,"L-*"),8)))</f>
        <v/>
      </c>
      <c r="K288" s="246">
        <f>IF($B288="","",ROUND(SUMIFS(Закрытые!$N$5:$N$300,Закрытые!$E$5:$E$300,$B288,Закрытые!$B$5:$B$300,"L-*"),8))</f>
        <v/>
      </c>
      <c r="L288" s="183">
        <f>IF(K288="","",IF(SUMPRODUCT((Закрытые!$E$5:$E$300=$B288)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288/SUMPRODUCT((Закрытые!$E$5:$E$300=$B288)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8" s="183">
        <f>IF(OR(ROUND(N(C288)-N(F288),8)=0,1-N(Ввод!$E$17)/100&lt;=0),"",IF(N(C288)&gt;N(F288),(N(E288)-N(H288))/((N(C288)-N(F288))*(1-N(Ввод!$E$17)/100)),(N(H288)-N(E288))/((N(F288)-N(C288))*(1+N(Ввод!$E$17)/100))))</f>
        <v/>
      </c>
    </row>
    <row r="289" ht="22" customHeight="1">
      <c r="B289" s="315" t="n"/>
      <c r="C289" s="240">
        <f>IF(SUMIFS(Лэндинг!$F$5:$F$300,Лэндинг!$E$5:$E$300,$B289)+SUMIFS(Закрытые!$F$5:$F$300,Закрытые!$E$5:$E$300,$B289,Закрытые!$B$5:$B$300,"L-*")=0,"",SUMIFS(Лэндинг!$F$5:$F$300,Лэндинг!$E$5:$E$300,$B289)+SUMIFS(Закрытые!$F$5:$F$300,Закрытые!$E$5:$E$300,$B289,Закрытые!$B$5:$B$300,"L-*"))</f>
        <v/>
      </c>
      <c r="D289" s="177">
        <f>IF(C289="","",(SUMPRODUCT((Лэндинг!$E$5:$E$300=$B289)*Лэндинг!$F$5:$F$300*Лэндинг!$G$5:$G$300)+SUMPRODUCT((Закрытые!$E$5:$E$300=$B289)*(LEFT(Закрытые!$B$5:$B$300,2)="L-")*Закрытые!$F$5:$F$300*Закрытые!$G$5:$G$300))/C289)</f>
        <v/>
      </c>
      <c r="E289" s="241">
        <f>IF(C289="","",SUMIFS(Лэндинг!$H$5:$H$300,Лэндинг!$E$5:$E$300,$B289)+SUMIFS(Закрытые!$H$5:$H$300,Закрытые!$E$5:$E$300,$B289,Закрытые!$B$5:$B$300,"L-*"))</f>
        <v/>
      </c>
      <c r="F289" s="240">
        <f>IF(SUMIFS(Лэндинг!$I$5:$I$300,Лэндинг!$E$5:$E$300,$B289)+SUMIFS(Закрытые!$I$5:$I$300,Закрытые!$E$5:$E$300,$B289,Закрытые!$B$5:$B$300,"L-*")=0,"",SUMIFS(Лэндинг!$I$5:$I$300,Лэндинг!$E$5:$E$300,$B289)+SUMIFS(Закрытые!$I$5:$I$300,Закрытые!$E$5:$E$300,$B289,Закрытые!$B$5:$B$300,"L-*"))</f>
        <v/>
      </c>
      <c r="G289" s="177">
        <f>IF(F289="","",(SUMPRODUCT((Лэндинг!$E$5:$E$300=$B289)*Лэндинг!$I$5:$I$300*Лэндинг!$J$5:$J$300)+SUMPRODUCT((Закрытые!$E$5:$E$300=$B289)*(LEFT(Закрытые!$B$5:$B$300,2)="L-")*Закрытые!$I$5:$I$300*Закрытые!$J$5:$J$300))/F289)</f>
        <v/>
      </c>
      <c r="H289" s="241">
        <f>IF(F289="","",SUMIFS(Лэндинг!$K$5:$K$300,Лэндинг!$E$5:$E$300,$B289)+SUMIFS(Закрытые!$K$5:$K$300,Закрытые!$E$5:$E$300,$B289,Закрытые!$B$5:$B$300,"L-*"))</f>
        <v/>
      </c>
      <c r="I289" s="240">
        <f>IF($B289="","",IF(COUNTIFS(Лэндинг!$E$5:$E$300,$B289)+COUNTIFS(Закрытые!$E$5:$E$300,$B289,Закрытые!$B$5:$B$300,"L-*")=0,"",ROUND(SUMIFS(Лэндинг!$L$5:$L$300,Лэндинг!$E$5:$E$300,$B289)+SUMIFS(Закрытые!$L$5:$L$300,Закрытые!$E$5:$E$300,$B289,Закрытые!$B$5:$B$300,"L-*"),8)))</f>
        <v/>
      </c>
      <c r="J289" s="241">
        <f>IF($B289="","",IF(COUNTIFS(Лэндинг!$E$5:$E$300,$B289)+COUNTIFS(Закрытые!$E$5:$E$300,$B289,Закрытые!$B$5:$B$300,"L-*")=0,"",ROUND(SUMIFS(Лэндинг!$M$5:$M$300,Лэндинг!$E$5:$E$300,$B289)+SUMIFS(Закрытые!$M$5:$M$300,Закрытые!$E$5:$E$300,$B289,Закрытые!$B$5:$B$300,"L-*"),8)))</f>
        <v/>
      </c>
      <c r="K289" s="240">
        <f>IF($B289="","",ROUND(SUMIFS(Закрытые!$N$5:$N$300,Закрытые!$E$5:$E$300,$B289,Закрытые!$B$5:$B$300,"L-*"),8))</f>
        <v/>
      </c>
      <c r="L289" s="177">
        <f>IF(K289="","",IF(SUMPRODUCT((Закрытые!$E$5:$E$300=$B289)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289/SUMPRODUCT((Закрытые!$E$5:$E$300=$B289)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9" s="177">
        <f>IF(OR(ROUND(N(C289)-N(F289),8)=0,1-N(Ввод!$E$17)/100&lt;=0),"",IF(N(C289)&gt;N(F289),(N(E289)-N(H289))/((N(C289)-N(F289))*(1-N(Ввод!$E$17)/100)),(N(H289)-N(E289))/((N(F289)-N(C289))*(1+N(Ввод!$E$17)/100))))</f>
        <v/>
      </c>
    </row>
    <row r="290" ht="22" customHeight="1">
      <c r="B290" s="320" t="n"/>
      <c r="C290" s="246">
        <f>IF(SUMIFS(Лэндинг!$F$5:$F$300,Лэндинг!$E$5:$E$300,$B290)+SUMIFS(Закрытые!$F$5:$F$300,Закрытые!$E$5:$E$300,$B290,Закрытые!$B$5:$B$300,"L-*")=0,"",SUMIFS(Лэндинг!$F$5:$F$300,Лэндинг!$E$5:$E$300,$B290)+SUMIFS(Закрытые!$F$5:$F$300,Закрытые!$E$5:$E$300,$B290,Закрытые!$B$5:$B$300,"L-*"))</f>
        <v/>
      </c>
      <c r="D290" s="183">
        <f>IF(C290="","",(SUMPRODUCT((Лэндинг!$E$5:$E$300=$B290)*Лэндинг!$F$5:$F$300*Лэндинг!$G$5:$G$300)+SUMPRODUCT((Закрытые!$E$5:$E$300=$B290)*(LEFT(Закрытые!$B$5:$B$300,2)="L-")*Закрытые!$F$5:$F$300*Закрытые!$G$5:$G$300))/C290)</f>
        <v/>
      </c>
      <c r="E290" s="247">
        <f>IF(C290="","",SUMIFS(Лэндинг!$H$5:$H$300,Лэндинг!$E$5:$E$300,$B290)+SUMIFS(Закрытые!$H$5:$H$300,Закрытые!$E$5:$E$300,$B290,Закрытые!$B$5:$B$300,"L-*"))</f>
        <v/>
      </c>
      <c r="F290" s="246">
        <f>IF(SUMIFS(Лэндинг!$I$5:$I$300,Лэндинг!$E$5:$E$300,$B290)+SUMIFS(Закрытые!$I$5:$I$300,Закрытые!$E$5:$E$300,$B290,Закрытые!$B$5:$B$300,"L-*")=0,"",SUMIFS(Лэндинг!$I$5:$I$300,Лэндинг!$E$5:$E$300,$B290)+SUMIFS(Закрытые!$I$5:$I$300,Закрытые!$E$5:$E$300,$B290,Закрытые!$B$5:$B$300,"L-*"))</f>
        <v/>
      </c>
      <c r="G290" s="183">
        <f>IF(F290="","",(SUMPRODUCT((Лэндинг!$E$5:$E$300=$B290)*Лэндинг!$I$5:$I$300*Лэндинг!$J$5:$J$300)+SUMPRODUCT((Закрытые!$E$5:$E$300=$B290)*(LEFT(Закрытые!$B$5:$B$300,2)="L-")*Закрытые!$I$5:$I$300*Закрытые!$J$5:$J$300))/F290)</f>
        <v/>
      </c>
      <c r="H290" s="247">
        <f>IF(F290="","",SUMIFS(Лэндинг!$K$5:$K$300,Лэндинг!$E$5:$E$300,$B290)+SUMIFS(Закрытые!$K$5:$K$300,Закрытые!$E$5:$E$300,$B290,Закрытые!$B$5:$B$300,"L-*"))</f>
        <v/>
      </c>
      <c r="I290" s="246">
        <f>IF($B290="","",IF(COUNTIFS(Лэндинг!$E$5:$E$300,$B290)+COUNTIFS(Закрытые!$E$5:$E$300,$B290,Закрытые!$B$5:$B$300,"L-*")=0,"",ROUND(SUMIFS(Лэндинг!$L$5:$L$300,Лэндинг!$E$5:$E$300,$B290)+SUMIFS(Закрытые!$L$5:$L$300,Закрытые!$E$5:$E$300,$B290,Закрытые!$B$5:$B$300,"L-*"),8)))</f>
        <v/>
      </c>
      <c r="J290" s="247">
        <f>IF($B290="","",IF(COUNTIFS(Лэндинг!$E$5:$E$300,$B290)+COUNTIFS(Закрытые!$E$5:$E$300,$B290,Закрытые!$B$5:$B$300,"L-*")=0,"",ROUND(SUMIFS(Лэндинг!$M$5:$M$300,Лэндинг!$E$5:$E$300,$B290)+SUMIFS(Закрытые!$M$5:$M$300,Закрытые!$E$5:$E$300,$B290,Закрытые!$B$5:$B$300,"L-*"),8)))</f>
        <v/>
      </c>
      <c r="K290" s="246">
        <f>IF($B290="","",ROUND(SUMIFS(Закрытые!$N$5:$N$300,Закрытые!$E$5:$E$300,$B290,Закрытые!$B$5:$B$300,"L-*"),8))</f>
        <v/>
      </c>
      <c r="L290" s="183">
        <f>IF(K290="","",IF(SUMPRODUCT((Закрытые!$E$5:$E$300=$B290)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290/SUMPRODUCT((Закрытые!$E$5:$E$300=$B290)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0" s="183">
        <f>IF(OR(ROUND(N(C290)-N(F290),8)=0,1-N(Ввод!$E$17)/100&lt;=0),"",IF(N(C290)&gt;N(F290),(N(E290)-N(H290))/((N(C290)-N(F290))*(1-N(Ввод!$E$17)/100)),(N(H290)-N(E290))/((N(F290)-N(C290))*(1+N(Ввод!$E$17)/100))))</f>
        <v/>
      </c>
    </row>
    <row r="291" ht="22" customHeight="1">
      <c r="B291" s="315" t="n"/>
      <c r="C291" s="240">
        <f>IF(SUMIFS(Лэндинг!$F$5:$F$300,Лэндинг!$E$5:$E$300,$B291)+SUMIFS(Закрытые!$F$5:$F$300,Закрытые!$E$5:$E$300,$B291,Закрытые!$B$5:$B$300,"L-*")=0,"",SUMIFS(Лэндинг!$F$5:$F$300,Лэндинг!$E$5:$E$300,$B291)+SUMIFS(Закрытые!$F$5:$F$300,Закрытые!$E$5:$E$300,$B291,Закрытые!$B$5:$B$300,"L-*"))</f>
        <v/>
      </c>
      <c r="D291" s="177">
        <f>IF(C291="","",(SUMPRODUCT((Лэндинг!$E$5:$E$300=$B291)*Лэндинг!$F$5:$F$300*Лэндинг!$G$5:$G$300)+SUMPRODUCT((Закрытые!$E$5:$E$300=$B291)*(LEFT(Закрытые!$B$5:$B$300,2)="L-")*Закрытые!$F$5:$F$300*Закрытые!$G$5:$G$300))/C291)</f>
        <v/>
      </c>
      <c r="E291" s="241">
        <f>IF(C291="","",SUMIFS(Лэндинг!$H$5:$H$300,Лэндинг!$E$5:$E$300,$B291)+SUMIFS(Закрытые!$H$5:$H$300,Закрытые!$E$5:$E$300,$B291,Закрытые!$B$5:$B$300,"L-*"))</f>
        <v/>
      </c>
      <c r="F291" s="240">
        <f>IF(SUMIFS(Лэндинг!$I$5:$I$300,Лэндинг!$E$5:$E$300,$B291)+SUMIFS(Закрытые!$I$5:$I$300,Закрытые!$E$5:$E$300,$B291,Закрытые!$B$5:$B$300,"L-*")=0,"",SUMIFS(Лэндинг!$I$5:$I$300,Лэндинг!$E$5:$E$300,$B291)+SUMIFS(Закрытые!$I$5:$I$300,Закрытые!$E$5:$E$300,$B291,Закрытые!$B$5:$B$300,"L-*"))</f>
        <v/>
      </c>
      <c r="G291" s="177">
        <f>IF(F291="","",(SUMPRODUCT((Лэндинг!$E$5:$E$300=$B291)*Лэндинг!$I$5:$I$300*Лэндинг!$J$5:$J$300)+SUMPRODUCT((Закрытые!$E$5:$E$300=$B291)*(LEFT(Закрытые!$B$5:$B$300,2)="L-")*Закрытые!$I$5:$I$300*Закрытые!$J$5:$J$300))/F291)</f>
        <v/>
      </c>
      <c r="H291" s="241">
        <f>IF(F291="","",SUMIFS(Лэндинг!$K$5:$K$300,Лэндинг!$E$5:$E$300,$B291)+SUMIFS(Закрытые!$K$5:$K$300,Закрытые!$E$5:$E$300,$B291,Закрытые!$B$5:$B$300,"L-*"))</f>
        <v/>
      </c>
      <c r="I291" s="240">
        <f>IF($B291="","",IF(COUNTIFS(Лэндинг!$E$5:$E$300,$B291)+COUNTIFS(Закрытые!$E$5:$E$300,$B291,Закрытые!$B$5:$B$300,"L-*")=0,"",ROUND(SUMIFS(Лэндинг!$L$5:$L$300,Лэндинг!$E$5:$E$300,$B291)+SUMIFS(Закрытые!$L$5:$L$300,Закрытые!$E$5:$E$300,$B291,Закрытые!$B$5:$B$300,"L-*"),8)))</f>
        <v/>
      </c>
      <c r="J291" s="241">
        <f>IF($B291="","",IF(COUNTIFS(Лэндинг!$E$5:$E$300,$B291)+COUNTIFS(Закрытые!$E$5:$E$300,$B291,Закрытые!$B$5:$B$300,"L-*")=0,"",ROUND(SUMIFS(Лэндинг!$M$5:$M$300,Лэндинг!$E$5:$E$300,$B291)+SUMIFS(Закрытые!$M$5:$M$300,Закрытые!$E$5:$E$300,$B291,Закрытые!$B$5:$B$300,"L-*"),8)))</f>
        <v/>
      </c>
      <c r="K291" s="240">
        <f>IF($B291="","",ROUND(SUMIFS(Закрытые!$N$5:$N$300,Закрытые!$E$5:$E$300,$B291,Закрытые!$B$5:$B$300,"L-*"),8))</f>
        <v/>
      </c>
      <c r="L291" s="177">
        <f>IF(K291="","",IF(SUMPRODUCT((Закрытые!$E$5:$E$300=$B291)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291/SUMPRODUCT((Закрытые!$E$5:$E$300=$B291)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1" s="177">
        <f>IF(OR(ROUND(N(C291)-N(F291),8)=0,1-N(Ввод!$E$17)/100&lt;=0),"",IF(N(C291)&gt;N(F291),(N(E291)-N(H291))/((N(C291)-N(F291))*(1-N(Ввод!$E$17)/100)),(N(H291)-N(E291))/((N(F291)-N(C291))*(1+N(Ввод!$E$17)/100))))</f>
        <v/>
      </c>
    </row>
    <row r="292" ht="22" customHeight="1">
      <c r="B292" s="320" t="n"/>
      <c r="C292" s="246">
        <f>IF(SUMIFS(Лэндинг!$F$5:$F$300,Лэндинг!$E$5:$E$300,$B292)+SUMIFS(Закрытые!$F$5:$F$300,Закрытые!$E$5:$E$300,$B292,Закрытые!$B$5:$B$300,"L-*")=0,"",SUMIFS(Лэндинг!$F$5:$F$300,Лэндинг!$E$5:$E$300,$B292)+SUMIFS(Закрытые!$F$5:$F$300,Закрытые!$E$5:$E$300,$B292,Закрытые!$B$5:$B$300,"L-*"))</f>
        <v/>
      </c>
      <c r="D292" s="183">
        <f>IF(C292="","",(SUMPRODUCT((Лэндинг!$E$5:$E$300=$B292)*Лэндинг!$F$5:$F$300*Лэндинг!$G$5:$G$300)+SUMPRODUCT((Закрытые!$E$5:$E$300=$B292)*(LEFT(Закрытые!$B$5:$B$300,2)="L-")*Закрытые!$F$5:$F$300*Закрытые!$G$5:$G$300))/C292)</f>
        <v/>
      </c>
      <c r="E292" s="247">
        <f>IF(C292="","",SUMIFS(Лэндинг!$H$5:$H$300,Лэндинг!$E$5:$E$300,$B292)+SUMIFS(Закрытые!$H$5:$H$300,Закрытые!$E$5:$E$300,$B292,Закрытые!$B$5:$B$300,"L-*"))</f>
        <v/>
      </c>
      <c r="F292" s="246">
        <f>IF(SUMIFS(Лэндинг!$I$5:$I$300,Лэндинг!$E$5:$E$300,$B292)+SUMIFS(Закрытые!$I$5:$I$300,Закрытые!$E$5:$E$300,$B292,Закрытые!$B$5:$B$300,"L-*")=0,"",SUMIFS(Лэндинг!$I$5:$I$300,Лэндинг!$E$5:$E$300,$B292)+SUMIFS(Закрытые!$I$5:$I$300,Закрытые!$E$5:$E$300,$B292,Закрытые!$B$5:$B$300,"L-*"))</f>
        <v/>
      </c>
      <c r="G292" s="183">
        <f>IF(F292="","",(SUMPRODUCT((Лэндинг!$E$5:$E$300=$B292)*Лэндинг!$I$5:$I$300*Лэндинг!$J$5:$J$300)+SUMPRODUCT((Закрытые!$E$5:$E$300=$B292)*(LEFT(Закрытые!$B$5:$B$300,2)="L-")*Закрытые!$I$5:$I$300*Закрытые!$J$5:$J$300))/F292)</f>
        <v/>
      </c>
      <c r="H292" s="247">
        <f>IF(F292="","",SUMIFS(Лэндинг!$K$5:$K$300,Лэндинг!$E$5:$E$300,$B292)+SUMIFS(Закрытые!$K$5:$K$300,Закрытые!$E$5:$E$300,$B292,Закрытые!$B$5:$B$300,"L-*"))</f>
        <v/>
      </c>
      <c r="I292" s="246">
        <f>IF($B292="","",IF(COUNTIFS(Лэндинг!$E$5:$E$300,$B292)+COUNTIFS(Закрытые!$E$5:$E$300,$B292,Закрытые!$B$5:$B$300,"L-*")=0,"",ROUND(SUMIFS(Лэндинг!$L$5:$L$300,Лэндинг!$E$5:$E$300,$B292)+SUMIFS(Закрытые!$L$5:$L$300,Закрытые!$E$5:$E$300,$B292,Закрытые!$B$5:$B$300,"L-*"),8)))</f>
        <v/>
      </c>
      <c r="J292" s="247">
        <f>IF($B292="","",IF(COUNTIFS(Лэндинг!$E$5:$E$300,$B292)+COUNTIFS(Закрытые!$E$5:$E$300,$B292,Закрытые!$B$5:$B$300,"L-*")=0,"",ROUND(SUMIFS(Лэндинг!$M$5:$M$300,Лэндинг!$E$5:$E$300,$B292)+SUMIFS(Закрытые!$M$5:$M$300,Закрытые!$E$5:$E$300,$B292,Закрытые!$B$5:$B$300,"L-*"),8)))</f>
        <v/>
      </c>
      <c r="K292" s="246">
        <f>IF($B292="","",ROUND(SUMIFS(Закрытые!$N$5:$N$300,Закрытые!$E$5:$E$300,$B292,Закрытые!$B$5:$B$300,"L-*"),8))</f>
        <v/>
      </c>
      <c r="L292" s="183">
        <f>IF(K292="","",IF(SUMPRODUCT((Закрытые!$E$5:$E$300=$B292)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292/SUMPRODUCT((Закрытые!$E$5:$E$300=$B292)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2" s="183">
        <f>IF(OR(ROUND(N(C292)-N(F292),8)=0,1-N(Ввод!$E$17)/100&lt;=0),"",IF(N(C292)&gt;N(F292),(N(E292)-N(H292))/((N(C292)-N(F292))*(1-N(Ввод!$E$17)/100)),(N(H292)-N(E292))/((N(F292)-N(C292))*(1+N(Ввод!$E$17)/100))))</f>
        <v/>
      </c>
    </row>
    <row r="293" ht="22" customHeight="1">
      <c r="B293" s="315" t="n"/>
      <c r="C293" s="240">
        <f>IF(SUMIFS(Лэндинг!$F$5:$F$300,Лэндинг!$E$5:$E$300,$B293)+SUMIFS(Закрытые!$F$5:$F$300,Закрытые!$E$5:$E$300,$B293,Закрытые!$B$5:$B$300,"L-*")=0,"",SUMIFS(Лэндинг!$F$5:$F$300,Лэндинг!$E$5:$E$300,$B293)+SUMIFS(Закрытые!$F$5:$F$300,Закрытые!$E$5:$E$300,$B293,Закрытые!$B$5:$B$300,"L-*"))</f>
        <v/>
      </c>
      <c r="D293" s="177">
        <f>IF(C293="","",(SUMPRODUCT((Лэндинг!$E$5:$E$300=$B293)*Лэндинг!$F$5:$F$300*Лэндинг!$G$5:$G$300)+SUMPRODUCT((Закрытые!$E$5:$E$300=$B293)*(LEFT(Закрытые!$B$5:$B$300,2)="L-")*Закрытые!$F$5:$F$300*Закрытые!$G$5:$G$300))/C293)</f>
        <v/>
      </c>
      <c r="E293" s="241">
        <f>IF(C293="","",SUMIFS(Лэндинг!$H$5:$H$300,Лэндинг!$E$5:$E$300,$B293)+SUMIFS(Закрытые!$H$5:$H$300,Закрытые!$E$5:$E$300,$B293,Закрытые!$B$5:$B$300,"L-*"))</f>
        <v/>
      </c>
      <c r="F293" s="240">
        <f>IF(SUMIFS(Лэндинг!$I$5:$I$300,Лэндинг!$E$5:$E$300,$B293)+SUMIFS(Закрытые!$I$5:$I$300,Закрытые!$E$5:$E$300,$B293,Закрытые!$B$5:$B$300,"L-*")=0,"",SUMIFS(Лэндинг!$I$5:$I$300,Лэндинг!$E$5:$E$300,$B293)+SUMIFS(Закрытые!$I$5:$I$300,Закрытые!$E$5:$E$300,$B293,Закрытые!$B$5:$B$300,"L-*"))</f>
        <v/>
      </c>
      <c r="G293" s="177">
        <f>IF(F293="","",(SUMPRODUCT((Лэндинг!$E$5:$E$300=$B293)*Лэндинг!$I$5:$I$300*Лэндинг!$J$5:$J$300)+SUMPRODUCT((Закрытые!$E$5:$E$300=$B293)*(LEFT(Закрытые!$B$5:$B$300,2)="L-")*Закрытые!$I$5:$I$300*Закрытые!$J$5:$J$300))/F293)</f>
        <v/>
      </c>
      <c r="H293" s="241">
        <f>IF(F293="","",SUMIFS(Лэндинг!$K$5:$K$300,Лэндинг!$E$5:$E$300,$B293)+SUMIFS(Закрытые!$K$5:$K$300,Закрытые!$E$5:$E$300,$B293,Закрытые!$B$5:$B$300,"L-*"))</f>
        <v/>
      </c>
      <c r="I293" s="240">
        <f>IF($B293="","",IF(COUNTIFS(Лэндинг!$E$5:$E$300,$B293)+COUNTIFS(Закрытые!$E$5:$E$300,$B293,Закрытые!$B$5:$B$300,"L-*")=0,"",ROUND(SUMIFS(Лэндинг!$L$5:$L$300,Лэндинг!$E$5:$E$300,$B293)+SUMIFS(Закрытые!$L$5:$L$300,Закрытые!$E$5:$E$300,$B293,Закрытые!$B$5:$B$300,"L-*"),8)))</f>
        <v/>
      </c>
      <c r="J293" s="241">
        <f>IF($B293="","",IF(COUNTIFS(Лэндинг!$E$5:$E$300,$B293)+COUNTIFS(Закрытые!$E$5:$E$300,$B293,Закрытые!$B$5:$B$300,"L-*")=0,"",ROUND(SUMIFS(Лэндинг!$M$5:$M$300,Лэндинг!$E$5:$E$300,$B293)+SUMIFS(Закрытые!$M$5:$M$300,Закрытые!$E$5:$E$300,$B293,Закрытые!$B$5:$B$300,"L-*"),8)))</f>
        <v/>
      </c>
      <c r="K293" s="240">
        <f>IF($B293="","",ROUND(SUMIFS(Закрытые!$N$5:$N$300,Закрытые!$E$5:$E$300,$B293,Закрытые!$B$5:$B$300,"L-*"),8))</f>
        <v/>
      </c>
      <c r="L293" s="177">
        <f>IF(K293="","",IF(SUMPRODUCT((Закрытые!$E$5:$E$300=$B293)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293/SUMPRODUCT((Закрытые!$E$5:$E$300=$B293)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3" s="177">
        <f>IF(OR(ROUND(N(C293)-N(F293),8)=0,1-N(Ввод!$E$17)/100&lt;=0),"",IF(N(C293)&gt;N(F293),(N(E293)-N(H293))/((N(C293)-N(F293))*(1-N(Ввод!$E$17)/100)),(N(H293)-N(E293))/((N(F293)-N(C293))*(1+N(Ввод!$E$17)/100))))</f>
        <v/>
      </c>
    </row>
    <row r="294" ht="22" customHeight="1">
      <c r="B294" s="320" t="n"/>
      <c r="C294" s="246">
        <f>IF(SUMIFS(Лэндинг!$F$5:$F$300,Лэндинг!$E$5:$E$300,$B294)+SUMIFS(Закрытые!$F$5:$F$300,Закрытые!$E$5:$E$300,$B294,Закрытые!$B$5:$B$300,"L-*")=0,"",SUMIFS(Лэндинг!$F$5:$F$300,Лэндинг!$E$5:$E$300,$B294)+SUMIFS(Закрытые!$F$5:$F$300,Закрытые!$E$5:$E$300,$B294,Закрытые!$B$5:$B$300,"L-*"))</f>
        <v/>
      </c>
      <c r="D294" s="183">
        <f>IF(C294="","",(SUMPRODUCT((Лэндинг!$E$5:$E$300=$B294)*Лэндинг!$F$5:$F$300*Лэндинг!$G$5:$G$300)+SUMPRODUCT((Закрытые!$E$5:$E$300=$B294)*(LEFT(Закрытые!$B$5:$B$300,2)="L-")*Закрытые!$F$5:$F$300*Закрытые!$G$5:$G$300))/C294)</f>
        <v/>
      </c>
      <c r="E294" s="247">
        <f>IF(C294="","",SUMIFS(Лэндинг!$H$5:$H$300,Лэндинг!$E$5:$E$300,$B294)+SUMIFS(Закрытые!$H$5:$H$300,Закрытые!$E$5:$E$300,$B294,Закрытые!$B$5:$B$300,"L-*"))</f>
        <v/>
      </c>
      <c r="F294" s="246">
        <f>IF(SUMIFS(Лэндинг!$I$5:$I$300,Лэндинг!$E$5:$E$300,$B294)+SUMIFS(Закрытые!$I$5:$I$300,Закрытые!$E$5:$E$300,$B294,Закрытые!$B$5:$B$300,"L-*")=0,"",SUMIFS(Лэндинг!$I$5:$I$300,Лэндинг!$E$5:$E$300,$B294)+SUMIFS(Закрытые!$I$5:$I$300,Закрытые!$E$5:$E$300,$B294,Закрытые!$B$5:$B$300,"L-*"))</f>
        <v/>
      </c>
      <c r="G294" s="183">
        <f>IF(F294="","",(SUMPRODUCT((Лэндинг!$E$5:$E$300=$B294)*Лэндинг!$I$5:$I$300*Лэндинг!$J$5:$J$300)+SUMPRODUCT((Закрытые!$E$5:$E$300=$B294)*(LEFT(Закрытые!$B$5:$B$300,2)="L-")*Закрытые!$I$5:$I$300*Закрытые!$J$5:$J$300))/F294)</f>
        <v/>
      </c>
      <c r="H294" s="247">
        <f>IF(F294="","",SUMIFS(Лэндинг!$K$5:$K$300,Лэндинг!$E$5:$E$300,$B294)+SUMIFS(Закрытые!$K$5:$K$300,Закрытые!$E$5:$E$300,$B294,Закрытые!$B$5:$B$300,"L-*"))</f>
        <v/>
      </c>
      <c r="I294" s="246">
        <f>IF($B294="","",IF(COUNTIFS(Лэндинг!$E$5:$E$300,$B294)+COUNTIFS(Закрытые!$E$5:$E$300,$B294,Закрытые!$B$5:$B$300,"L-*")=0,"",ROUND(SUMIFS(Лэндинг!$L$5:$L$300,Лэндинг!$E$5:$E$300,$B294)+SUMIFS(Закрытые!$L$5:$L$300,Закрытые!$E$5:$E$300,$B294,Закрытые!$B$5:$B$300,"L-*"),8)))</f>
        <v/>
      </c>
      <c r="J294" s="247">
        <f>IF($B294="","",IF(COUNTIFS(Лэндинг!$E$5:$E$300,$B294)+COUNTIFS(Закрытые!$E$5:$E$300,$B294,Закрытые!$B$5:$B$300,"L-*")=0,"",ROUND(SUMIFS(Лэндинг!$M$5:$M$300,Лэндинг!$E$5:$E$300,$B294)+SUMIFS(Закрытые!$M$5:$M$300,Закрытые!$E$5:$E$300,$B294,Закрытые!$B$5:$B$300,"L-*"),8)))</f>
        <v/>
      </c>
      <c r="K294" s="246">
        <f>IF($B294="","",ROUND(SUMIFS(Закрытые!$N$5:$N$300,Закрытые!$E$5:$E$300,$B294,Закрытые!$B$5:$B$300,"L-*"),8))</f>
        <v/>
      </c>
      <c r="L294" s="183">
        <f>IF(K294="","",IF(SUMPRODUCT((Закрытые!$E$5:$E$300=$B294)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294/SUMPRODUCT((Закрытые!$E$5:$E$300=$B294)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4" s="183">
        <f>IF(OR(ROUND(N(C294)-N(F294),8)=0,1-N(Ввод!$E$17)/100&lt;=0),"",IF(N(C294)&gt;N(F294),(N(E294)-N(H294))/((N(C294)-N(F294))*(1-N(Ввод!$E$17)/100)),(N(H294)-N(E294))/((N(F294)-N(C294))*(1+N(Ввод!$E$17)/100))))</f>
        <v/>
      </c>
    </row>
    <row r="295" ht="22" customHeight="1">
      <c r="B295" s="315" t="n"/>
      <c r="C295" s="240">
        <f>IF(SUMIFS(Лэндинг!$F$5:$F$300,Лэндинг!$E$5:$E$300,$B295)+SUMIFS(Закрытые!$F$5:$F$300,Закрытые!$E$5:$E$300,$B295,Закрытые!$B$5:$B$300,"L-*")=0,"",SUMIFS(Лэндинг!$F$5:$F$300,Лэндинг!$E$5:$E$300,$B295)+SUMIFS(Закрытые!$F$5:$F$300,Закрытые!$E$5:$E$300,$B295,Закрытые!$B$5:$B$300,"L-*"))</f>
        <v/>
      </c>
      <c r="D295" s="177">
        <f>IF(C295="","",(SUMPRODUCT((Лэндинг!$E$5:$E$300=$B295)*Лэндинг!$F$5:$F$300*Лэндинг!$G$5:$G$300)+SUMPRODUCT((Закрытые!$E$5:$E$300=$B295)*(LEFT(Закрытые!$B$5:$B$300,2)="L-")*Закрытые!$F$5:$F$300*Закрытые!$G$5:$G$300))/C295)</f>
        <v/>
      </c>
      <c r="E295" s="241">
        <f>IF(C295="","",SUMIFS(Лэндинг!$H$5:$H$300,Лэндинг!$E$5:$E$300,$B295)+SUMIFS(Закрытые!$H$5:$H$300,Закрытые!$E$5:$E$300,$B295,Закрытые!$B$5:$B$300,"L-*"))</f>
        <v/>
      </c>
      <c r="F295" s="240">
        <f>IF(SUMIFS(Лэндинг!$I$5:$I$300,Лэндинг!$E$5:$E$300,$B295)+SUMIFS(Закрытые!$I$5:$I$300,Закрытые!$E$5:$E$300,$B295,Закрытые!$B$5:$B$300,"L-*")=0,"",SUMIFS(Лэндинг!$I$5:$I$300,Лэндинг!$E$5:$E$300,$B295)+SUMIFS(Закрытые!$I$5:$I$300,Закрытые!$E$5:$E$300,$B295,Закрытые!$B$5:$B$300,"L-*"))</f>
        <v/>
      </c>
      <c r="G295" s="177">
        <f>IF(F295="","",(SUMPRODUCT((Лэндинг!$E$5:$E$300=$B295)*Лэндинг!$I$5:$I$300*Лэндинг!$J$5:$J$300)+SUMPRODUCT((Закрытые!$E$5:$E$300=$B295)*(LEFT(Закрытые!$B$5:$B$300,2)="L-")*Закрытые!$I$5:$I$300*Закрытые!$J$5:$J$300))/F295)</f>
        <v/>
      </c>
      <c r="H295" s="241">
        <f>IF(F295="","",SUMIFS(Лэндинг!$K$5:$K$300,Лэндинг!$E$5:$E$300,$B295)+SUMIFS(Закрытые!$K$5:$K$300,Закрытые!$E$5:$E$300,$B295,Закрытые!$B$5:$B$300,"L-*"))</f>
        <v/>
      </c>
      <c r="I295" s="240">
        <f>IF($B295="","",IF(COUNTIFS(Лэндинг!$E$5:$E$300,$B295)+COUNTIFS(Закрытые!$E$5:$E$300,$B295,Закрытые!$B$5:$B$300,"L-*")=0,"",ROUND(SUMIFS(Лэндинг!$L$5:$L$300,Лэндинг!$E$5:$E$300,$B295)+SUMIFS(Закрытые!$L$5:$L$300,Закрытые!$E$5:$E$300,$B295,Закрытые!$B$5:$B$300,"L-*"),8)))</f>
        <v/>
      </c>
      <c r="J295" s="241">
        <f>IF($B295="","",IF(COUNTIFS(Лэндинг!$E$5:$E$300,$B295)+COUNTIFS(Закрытые!$E$5:$E$300,$B295,Закрытые!$B$5:$B$300,"L-*")=0,"",ROUND(SUMIFS(Лэндинг!$M$5:$M$300,Лэндинг!$E$5:$E$300,$B295)+SUMIFS(Закрытые!$M$5:$M$300,Закрытые!$E$5:$E$300,$B295,Закрытые!$B$5:$B$300,"L-*"),8)))</f>
        <v/>
      </c>
      <c r="K295" s="240">
        <f>IF($B295="","",ROUND(SUMIFS(Закрытые!$N$5:$N$300,Закрытые!$E$5:$E$300,$B295,Закрытые!$B$5:$B$300,"L-*"),8))</f>
        <v/>
      </c>
      <c r="L295" s="177">
        <f>IF(K295="","",IF(SUMPRODUCT((Закрытые!$E$5:$E$300=$B295)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295/SUMPRODUCT((Закрытые!$E$5:$E$300=$B295)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5" s="177">
        <f>IF(OR(ROUND(N(C295)-N(F295),8)=0,1-N(Ввод!$E$17)/100&lt;=0),"",IF(N(C295)&gt;N(F295),(N(E295)-N(H295))/((N(C295)-N(F295))*(1-N(Ввод!$E$17)/100)),(N(H295)-N(E295))/((N(F295)-N(C295))*(1+N(Ввод!$E$17)/100))))</f>
        <v/>
      </c>
    </row>
    <row r="296" ht="22" customHeight="1">
      <c r="B296" s="320" t="n"/>
      <c r="C296" s="246">
        <f>IF(SUMIFS(Лэндинг!$F$5:$F$300,Лэндинг!$E$5:$E$300,$B296)+SUMIFS(Закрытые!$F$5:$F$300,Закрытые!$E$5:$E$300,$B296,Закрытые!$B$5:$B$300,"L-*")=0,"",SUMIFS(Лэндинг!$F$5:$F$300,Лэндинг!$E$5:$E$300,$B296)+SUMIFS(Закрытые!$F$5:$F$300,Закрытые!$E$5:$E$300,$B296,Закрытые!$B$5:$B$300,"L-*"))</f>
        <v/>
      </c>
      <c r="D296" s="183">
        <f>IF(C296="","",(SUMPRODUCT((Лэндинг!$E$5:$E$300=$B296)*Лэндинг!$F$5:$F$300*Лэндинг!$G$5:$G$300)+SUMPRODUCT((Закрытые!$E$5:$E$300=$B296)*(LEFT(Закрытые!$B$5:$B$300,2)="L-")*Закрытые!$F$5:$F$300*Закрытые!$G$5:$G$300))/C296)</f>
        <v/>
      </c>
      <c r="E296" s="247">
        <f>IF(C296="","",SUMIFS(Лэндинг!$H$5:$H$300,Лэндинг!$E$5:$E$300,$B296)+SUMIFS(Закрытые!$H$5:$H$300,Закрытые!$E$5:$E$300,$B296,Закрытые!$B$5:$B$300,"L-*"))</f>
        <v/>
      </c>
      <c r="F296" s="246">
        <f>IF(SUMIFS(Лэндинг!$I$5:$I$300,Лэндинг!$E$5:$E$300,$B296)+SUMIFS(Закрытые!$I$5:$I$300,Закрытые!$E$5:$E$300,$B296,Закрытые!$B$5:$B$300,"L-*")=0,"",SUMIFS(Лэндинг!$I$5:$I$300,Лэндинг!$E$5:$E$300,$B296)+SUMIFS(Закрытые!$I$5:$I$300,Закрытые!$E$5:$E$300,$B296,Закрытые!$B$5:$B$300,"L-*"))</f>
        <v/>
      </c>
      <c r="G296" s="183">
        <f>IF(F296="","",(SUMPRODUCT((Лэндинг!$E$5:$E$300=$B296)*Лэндинг!$I$5:$I$300*Лэндинг!$J$5:$J$300)+SUMPRODUCT((Закрытые!$E$5:$E$300=$B296)*(LEFT(Закрытые!$B$5:$B$300,2)="L-")*Закрытые!$I$5:$I$300*Закрытые!$J$5:$J$300))/F296)</f>
        <v/>
      </c>
      <c r="H296" s="247">
        <f>IF(F296="","",SUMIFS(Лэндинг!$K$5:$K$300,Лэндинг!$E$5:$E$300,$B296)+SUMIFS(Закрытые!$K$5:$K$300,Закрытые!$E$5:$E$300,$B296,Закрытые!$B$5:$B$300,"L-*"))</f>
        <v/>
      </c>
      <c r="I296" s="246">
        <f>IF($B296="","",IF(COUNTIFS(Лэндинг!$E$5:$E$300,$B296)+COUNTIFS(Закрытые!$E$5:$E$300,$B296,Закрытые!$B$5:$B$300,"L-*")=0,"",ROUND(SUMIFS(Лэндинг!$L$5:$L$300,Лэндинг!$E$5:$E$300,$B296)+SUMIFS(Закрытые!$L$5:$L$300,Закрытые!$E$5:$E$300,$B296,Закрытые!$B$5:$B$300,"L-*"),8)))</f>
        <v/>
      </c>
      <c r="J296" s="247">
        <f>IF($B296="","",IF(COUNTIFS(Лэндинг!$E$5:$E$300,$B296)+COUNTIFS(Закрытые!$E$5:$E$300,$B296,Закрытые!$B$5:$B$300,"L-*")=0,"",ROUND(SUMIFS(Лэндинг!$M$5:$M$300,Лэндинг!$E$5:$E$300,$B296)+SUMIFS(Закрытые!$M$5:$M$300,Закрытые!$E$5:$E$300,$B296,Закрытые!$B$5:$B$300,"L-*"),8)))</f>
        <v/>
      </c>
      <c r="K296" s="246">
        <f>IF($B296="","",ROUND(SUMIFS(Закрытые!$N$5:$N$300,Закрытые!$E$5:$E$300,$B296,Закрытые!$B$5:$B$300,"L-*"),8))</f>
        <v/>
      </c>
      <c r="L296" s="183">
        <f>IF(K296="","",IF(SUMPRODUCT((Закрытые!$E$5:$E$300=$B296)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296/SUMPRODUCT((Закрытые!$E$5:$E$300=$B296)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6" s="183">
        <f>IF(OR(ROUND(N(C296)-N(F296),8)=0,1-N(Ввод!$E$17)/100&lt;=0),"",IF(N(C296)&gt;N(F296),(N(E296)-N(H296))/((N(C296)-N(F296))*(1-N(Ввод!$E$17)/100)),(N(H296)-N(E296))/((N(F296)-N(C296))*(1+N(Ввод!$E$17)/100))))</f>
        <v/>
      </c>
    </row>
    <row r="297" ht="22" customHeight="1">
      <c r="B297" s="315" t="n"/>
      <c r="C297" s="240">
        <f>IF(SUMIFS(Лэндинг!$F$5:$F$300,Лэндинг!$E$5:$E$300,$B297)+SUMIFS(Закрытые!$F$5:$F$300,Закрытые!$E$5:$E$300,$B297,Закрытые!$B$5:$B$300,"L-*")=0,"",SUMIFS(Лэндинг!$F$5:$F$300,Лэндинг!$E$5:$E$300,$B297)+SUMIFS(Закрытые!$F$5:$F$300,Закрытые!$E$5:$E$300,$B297,Закрытые!$B$5:$B$300,"L-*"))</f>
        <v/>
      </c>
      <c r="D297" s="177">
        <f>IF(C297="","",(SUMPRODUCT((Лэндинг!$E$5:$E$300=$B297)*Лэндинг!$F$5:$F$300*Лэндинг!$G$5:$G$300)+SUMPRODUCT((Закрытые!$E$5:$E$300=$B297)*(LEFT(Закрытые!$B$5:$B$300,2)="L-")*Закрытые!$F$5:$F$300*Закрытые!$G$5:$G$300))/C297)</f>
        <v/>
      </c>
      <c r="E297" s="241">
        <f>IF(C297="","",SUMIFS(Лэндинг!$H$5:$H$300,Лэндинг!$E$5:$E$300,$B297)+SUMIFS(Закрытые!$H$5:$H$300,Закрытые!$E$5:$E$300,$B297,Закрытые!$B$5:$B$300,"L-*"))</f>
        <v/>
      </c>
      <c r="F297" s="240">
        <f>IF(SUMIFS(Лэндинг!$I$5:$I$300,Лэндинг!$E$5:$E$300,$B297)+SUMIFS(Закрытые!$I$5:$I$300,Закрытые!$E$5:$E$300,$B297,Закрытые!$B$5:$B$300,"L-*")=0,"",SUMIFS(Лэндинг!$I$5:$I$300,Лэндинг!$E$5:$E$300,$B297)+SUMIFS(Закрытые!$I$5:$I$300,Закрытые!$E$5:$E$300,$B297,Закрытые!$B$5:$B$300,"L-*"))</f>
        <v/>
      </c>
      <c r="G297" s="177">
        <f>IF(F297="","",(SUMPRODUCT((Лэндинг!$E$5:$E$300=$B297)*Лэндинг!$I$5:$I$300*Лэндинг!$J$5:$J$300)+SUMPRODUCT((Закрытые!$E$5:$E$300=$B297)*(LEFT(Закрытые!$B$5:$B$300,2)="L-")*Закрытые!$I$5:$I$300*Закрытые!$J$5:$J$300))/F297)</f>
        <v/>
      </c>
      <c r="H297" s="241">
        <f>IF(F297="","",SUMIFS(Лэндинг!$K$5:$K$300,Лэндинг!$E$5:$E$300,$B297)+SUMIFS(Закрытые!$K$5:$K$300,Закрытые!$E$5:$E$300,$B297,Закрытые!$B$5:$B$300,"L-*"))</f>
        <v/>
      </c>
      <c r="I297" s="240">
        <f>IF($B297="","",IF(COUNTIFS(Лэндинг!$E$5:$E$300,$B297)+COUNTIFS(Закрытые!$E$5:$E$300,$B297,Закрытые!$B$5:$B$300,"L-*")=0,"",ROUND(SUMIFS(Лэндинг!$L$5:$L$300,Лэндинг!$E$5:$E$300,$B297)+SUMIFS(Закрытые!$L$5:$L$300,Закрытые!$E$5:$E$300,$B297,Закрытые!$B$5:$B$300,"L-*"),8)))</f>
        <v/>
      </c>
      <c r="J297" s="241">
        <f>IF($B297="","",IF(COUNTIFS(Лэндинг!$E$5:$E$300,$B297)+COUNTIFS(Закрытые!$E$5:$E$300,$B297,Закрытые!$B$5:$B$300,"L-*")=0,"",ROUND(SUMIFS(Лэндинг!$M$5:$M$300,Лэндинг!$E$5:$E$300,$B297)+SUMIFS(Закрытые!$M$5:$M$300,Закрытые!$E$5:$E$300,$B297,Закрытые!$B$5:$B$300,"L-*"),8)))</f>
        <v/>
      </c>
      <c r="K297" s="240">
        <f>IF($B297="","",ROUND(SUMIFS(Закрытые!$N$5:$N$300,Закрытые!$E$5:$E$300,$B297,Закрытые!$B$5:$B$300,"L-*"),8))</f>
        <v/>
      </c>
      <c r="L297" s="177">
        <f>IF(K297="","",IF(SUMPRODUCT((Закрытые!$E$5:$E$300=$B297)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297/SUMPRODUCT((Закрытые!$E$5:$E$300=$B297)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7" s="177">
        <f>IF(OR(ROUND(N(C297)-N(F297),8)=0,1-N(Ввод!$E$17)/100&lt;=0),"",IF(N(C297)&gt;N(F297),(N(E297)-N(H297))/((N(C297)-N(F297))*(1-N(Ввод!$E$17)/100)),(N(H297)-N(E297))/((N(F297)-N(C297))*(1+N(Ввод!$E$17)/100))))</f>
        <v/>
      </c>
    </row>
    <row r="298" ht="22" customHeight="1">
      <c r="B298" s="320" t="n"/>
      <c r="C298" s="246">
        <f>IF(SUMIFS(Лэндинг!$F$5:$F$300,Лэндинг!$E$5:$E$300,$B298)+SUMIFS(Закрытые!$F$5:$F$300,Закрытые!$E$5:$E$300,$B298,Закрытые!$B$5:$B$300,"L-*")=0,"",SUMIFS(Лэндинг!$F$5:$F$300,Лэндинг!$E$5:$E$300,$B298)+SUMIFS(Закрытые!$F$5:$F$300,Закрытые!$E$5:$E$300,$B298,Закрытые!$B$5:$B$300,"L-*"))</f>
        <v/>
      </c>
      <c r="D298" s="183">
        <f>IF(C298="","",(SUMPRODUCT((Лэндинг!$E$5:$E$300=$B298)*Лэндинг!$F$5:$F$300*Лэндинг!$G$5:$G$300)+SUMPRODUCT((Закрытые!$E$5:$E$300=$B298)*(LEFT(Закрытые!$B$5:$B$300,2)="L-")*Закрытые!$F$5:$F$300*Закрытые!$G$5:$G$300))/C298)</f>
        <v/>
      </c>
      <c r="E298" s="247">
        <f>IF(C298="","",SUMIFS(Лэндинг!$H$5:$H$300,Лэндинг!$E$5:$E$300,$B298)+SUMIFS(Закрытые!$H$5:$H$300,Закрытые!$E$5:$E$300,$B298,Закрытые!$B$5:$B$300,"L-*"))</f>
        <v/>
      </c>
      <c r="F298" s="246">
        <f>IF(SUMIFS(Лэндинг!$I$5:$I$300,Лэндинг!$E$5:$E$300,$B298)+SUMIFS(Закрытые!$I$5:$I$300,Закрытые!$E$5:$E$300,$B298,Закрытые!$B$5:$B$300,"L-*")=0,"",SUMIFS(Лэндинг!$I$5:$I$300,Лэндинг!$E$5:$E$300,$B298)+SUMIFS(Закрытые!$I$5:$I$300,Закрытые!$E$5:$E$300,$B298,Закрытые!$B$5:$B$300,"L-*"))</f>
        <v/>
      </c>
      <c r="G298" s="183">
        <f>IF(F298="","",(SUMPRODUCT((Лэндинг!$E$5:$E$300=$B298)*Лэндинг!$I$5:$I$300*Лэндинг!$J$5:$J$300)+SUMPRODUCT((Закрытые!$E$5:$E$300=$B298)*(LEFT(Закрытые!$B$5:$B$300,2)="L-")*Закрытые!$I$5:$I$300*Закрытые!$J$5:$J$300))/F298)</f>
        <v/>
      </c>
      <c r="H298" s="247">
        <f>IF(F298="","",SUMIFS(Лэндинг!$K$5:$K$300,Лэндинг!$E$5:$E$300,$B298)+SUMIFS(Закрытые!$K$5:$K$300,Закрытые!$E$5:$E$300,$B298,Закрытые!$B$5:$B$300,"L-*"))</f>
        <v/>
      </c>
      <c r="I298" s="246">
        <f>IF($B298="","",IF(COUNTIFS(Лэндинг!$E$5:$E$300,$B298)+COUNTIFS(Закрытые!$E$5:$E$300,$B298,Закрытые!$B$5:$B$300,"L-*")=0,"",ROUND(SUMIFS(Лэндинг!$L$5:$L$300,Лэндинг!$E$5:$E$300,$B298)+SUMIFS(Закрытые!$L$5:$L$300,Закрытые!$E$5:$E$300,$B298,Закрытые!$B$5:$B$300,"L-*"),8)))</f>
        <v/>
      </c>
      <c r="J298" s="247">
        <f>IF($B298="","",IF(COUNTIFS(Лэндинг!$E$5:$E$300,$B298)+COUNTIFS(Закрытые!$E$5:$E$300,$B298,Закрытые!$B$5:$B$300,"L-*")=0,"",ROUND(SUMIFS(Лэндинг!$M$5:$M$300,Лэндинг!$E$5:$E$300,$B298)+SUMIFS(Закрытые!$M$5:$M$300,Закрытые!$E$5:$E$300,$B298,Закрытые!$B$5:$B$300,"L-*"),8)))</f>
        <v/>
      </c>
      <c r="K298" s="246">
        <f>IF($B298="","",ROUND(SUMIFS(Закрытые!$N$5:$N$300,Закрытые!$E$5:$E$300,$B298,Закрытые!$B$5:$B$300,"L-*"),8))</f>
        <v/>
      </c>
      <c r="L298" s="183">
        <f>IF(K298="","",IF(SUMPRODUCT((Закрытые!$E$5:$E$300=$B298)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298/SUMPRODUCT((Закрытые!$E$5:$E$300=$B298)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8" s="183">
        <f>IF(OR(ROUND(N(C298)-N(F298),8)=0,1-N(Ввод!$E$17)/100&lt;=0),"",IF(N(C298)&gt;N(F298),(N(E298)-N(H298))/((N(C298)-N(F298))*(1-N(Ввод!$E$17)/100)),(N(H298)-N(E298))/((N(F298)-N(C298))*(1+N(Ввод!$E$17)/100))))</f>
        <v/>
      </c>
    </row>
    <row r="299" ht="22" customHeight="1">
      <c r="B299" s="315" t="n"/>
      <c r="C299" s="240">
        <f>IF(SUMIFS(Лэндинг!$F$5:$F$300,Лэндинг!$E$5:$E$300,$B299)+SUMIFS(Закрытые!$F$5:$F$300,Закрытые!$E$5:$E$300,$B299,Закрытые!$B$5:$B$300,"L-*")=0,"",SUMIFS(Лэндинг!$F$5:$F$300,Лэндинг!$E$5:$E$300,$B299)+SUMIFS(Закрытые!$F$5:$F$300,Закрытые!$E$5:$E$300,$B299,Закрытые!$B$5:$B$300,"L-*"))</f>
        <v/>
      </c>
      <c r="D299" s="177">
        <f>IF(C299="","",(SUMPRODUCT((Лэндинг!$E$5:$E$300=$B299)*Лэндинг!$F$5:$F$300*Лэндинг!$G$5:$G$300)+SUMPRODUCT((Закрытые!$E$5:$E$300=$B299)*(LEFT(Закрытые!$B$5:$B$300,2)="L-")*Закрытые!$F$5:$F$300*Закрытые!$G$5:$G$300))/C299)</f>
        <v/>
      </c>
      <c r="E299" s="241">
        <f>IF(C299="","",SUMIFS(Лэндинг!$H$5:$H$300,Лэндинг!$E$5:$E$300,$B299)+SUMIFS(Закрытые!$H$5:$H$300,Закрытые!$E$5:$E$300,$B299,Закрытые!$B$5:$B$300,"L-*"))</f>
        <v/>
      </c>
      <c r="F299" s="240">
        <f>IF(SUMIFS(Лэндинг!$I$5:$I$300,Лэндинг!$E$5:$E$300,$B299)+SUMIFS(Закрытые!$I$5:$I$300,Закрытые!$E$5:$E$300,$B299,Закрытые!$B$5:$B$300,"L-*")=0,"",SUMIFS(Лэндинг!$I$5:$I$300,Лэндинг!$E$5:$E$300,$B299)+SUMIFS(Закрытые!$I$5:$I$300,Закрытые!$E$5:$E$300,$B299,Закрытые!$B$5:$B$300,"L-*"))</f>
        <v/>
      </c>
      <c r="G299" s="177">
        <f>IF(F299="","",(SUMPRODUCT((Лэндинг!$E$5:$E$300=$B299)*Лэндинг!$I$5:$I$300*Лэндинг!$J$5:$J$300)+SUMPRODUCT((Закрытые!$E$5:$E$300=$B299)*(LEFT(Закрытые!$B$5:$B$300,2)="L-")*Закрытые!$I$5:$I$300*Закрытые!$J$5:$J$300))/F299)</f>
        <v/>
      </c>
      <c r="H299" s="241">
        <f>IF(F299="","",SUMIFS(Лэндинг!$K$5:$K$300,Лэндинг!$E$5:$E$300,$B299)+SUMIFS(Закрытые!$K$5:$K$300,Закрытые!$E$5:$E$300,$B299,Закрытые!$B$5:$B$300,"L-*"))</f>
        <v/>
      </c>
      <c r="I299" s="240">
        <f>IF($B299="","",IF(COUNTIFS(Лэндинг!$E$5:$E$300,$B299)+COUNTIFS(Закрытые!$E$5:$E$300,$B299,Закрытые!$B$5:$B$300,"L-*")=0,"",ROUND(SUMIFS(Лэндинг!$L$5:$L$300,Лэндинг!$E$5:$E$300,$B299)+SUMIFS(Закрытые!$L$5:$L$300,Закрытые!$E$5:$E$300,$B299,Закрытые!$B$5:$B$300,"L-*"),8)))</f>
        <v/>
      </c>
      <c r="J299" s="241">
        <f>IF($B299="","",IF(COUNTIFS(Лэндинг!$E$5:$E$300,$B299)+COUNTIFS(Закрытые!$E$5:$E$300,$B299,Закрытые!$B$5:$B$300,"L-*")=0,"",ROUND(SUMIFS(Лэндинг!$M$5:$M$300,Лэндинг!$E$5:$E$300,$B299)+SUMIFS(Закрытые!$M$5:$M$300,Закрытые!$E$5:$E$300,$B299,Закрытые!$B$5:$B$300,"L-*"),8)))</f>
        <v/>
      </c>
      <c r="K299" s="240">
        <f>IF($B299="","",ROUND(SUMIFS(Закрытые!$N$5:$N$300,Закрытые!$E$5:$E$300,$B299,Закрытые!$B$5:$B$300,"L-*"),8))</f>
        <v/>
      </c>
      <c r="L299" s="177">
        <f>IF(K299="","",IF(SUMPRODUCT((Закрытые!$E$5:$E$300=$B299)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299/SUMPRODUCT((Закрытые!$E$5:$E$300=$B299)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9" s="177">
        <f>IF(OR(ROUND(N(C299)-N(F299),8)=0,1-N(Ввод!$E$17)/100&lt;=0),"",IF(N(C299)&gt;N(F299),(N(E299)-N(H299))/((N(C299)-N(F299))*(1-N(Ввод!$E$17)/100)),(N(H299)-N(E299))/((N(F299)-N(C299))*(1+N(Ввод!$E$17)/100))))</f>
        <v/>
      </c>
    </row>
    <row r="300" ht="22" customHeight="1">
      <c r="B300" s="320" t="n"/>
      <c r="C300" s="246">
        <f>IF(SUMIFS(Лэндинг!$F$5:$F$300,Лэндинг!$E$5:$E$300,$B300)+SUMIFS(Закрытые!$F$5:$F$300,Закрытые!$E$5:$E$300,$B300,Закрытые!$B$5:$B$300,"L-*")=0,"",SUMIFS(Лэндинг!$F$5:$F$300,Лэндинг!$E$5:$E$300,$B300)+SUMIFS(Закрытые!$F$5:$F$300,Закрытые!$E$5:$E$300,$B300,Закрытые!$B$5:$B$300,"L-*"))</f>
        <v/>
      </c>
      <c r="D300" s="183">
        <f>IF(C300="","",(SUMPRODUCT((Лэндинг!$E$5:$E$300=$B300)*Лэндинг!$F$5:$F$300*Лэндинг!$G$5:$G$300)+SUMPRODUCT((Закрытые!$E$5:$E$300=$B300)*(LEFT(Закрытые!$B$5:$B$300,2)="L-")*Закрытые!$F$5:$F$300*Закрытые!$G$5:$G$300))/C300)</f>
        <v/>
      </c>
      <c r="E300" s="247">
        <f>IF(C300="","",SUMIFS(Лэндинг!$H$5:$H$300,Лэндинг!$E$5:$E$300,$B300)+SUMIFS(Закрытые!$H$5:$H$300,Закрытые!$E$5:$E$300,$B300,Закрытые!$B$5:$B$300,"L-*"))</f>
        <v/>
      </c>
      <c r="F300" s="246">
        <f>IF(SUMIFS(Лэндинг!$I$5:$I$300,Лэндинг!$E$5:$E$300,$B300)+SUMIFS(Закрытые!$I$5:$I$300,Закрытые!$E$5:$E$300,$B300,Закрытые!$B$5:$B$300,"L-*")=0,"",SUMIFS(Лэндинг!$I$5:$I$300,Лэндинг!$E$5:$E$300,$B300)+SUMIFS(Закрытые!$I$5:$I$300,Закрытые!$E$5:$E$300,$B300,Закрытые!$B$5:$B$300,"L-*"))</f>
        <v/>
      </c>
      <c r="G300" s="183">
        <f>IF(F300="","",(SUMPRODUCT((Лэндинг!$E$5:$E$300=$B300)*Лэндинг!$I$5:$I$300*Лэндинг!$J$5:$J$300)+SUMPRODUCT((Закрытые!$E$5:$E$300=$B300)*(LEFT(Закрытые!$B$5:$B$300,2)="L-")*Закрытые!$I$5:$I$300*Закрытые!$J$5:$J$300))/F300)</f>
        <v/>
      </c>
      <c r="H300" s="247">
        <f>IF(F300="","",SUMIFS(Лэндинг!$K$5:$K$300,Лэндинг!$E$5:$E$300,$B300)+SUMIFS(Закрытые!$K$5:$K$300,Закрытые!$E$5:$E$300,$B300,Закрытые!$B$5:$B$300,"L-*"))</f>
        <v/>
      </c>
      <c r="I300" s="246">
        <f>IF($B300="","",IF(COUNTIFS(Лэндинг!$E$5:$E$300,$B300)+COUNTIFS(Закрытые!$E$5:$E$300,$B300,Закрытые!$B$5:$B$300,"L-*")=0,"",ROUND(SUMIFS(Лэндинг!$L$5:$L$300,Лэндинг!$E$5:$E$300,$B300)+SUMIFS(Закрытые!$L$5:$L$300,Закрытые!$E$5:$E$300,$B300,Закрытые!$B$5:$B$300,"L-*"),8)))</f>
        <v/>
      </c>
      <c r="J300" s="247">
        <f>IF($B300="","",IF(COUNTIFS(Лэндинг!$E$5:$E$300,$B300)+COUNTIFS(Закрытые!$E$5:$E$300,$B300,Закрытые!$B$5:$B$300,"L-*")=0,"",ROUND(SUMIFS(Лэндинг!$M$5:$M$300,Лэндинг!$E$5:$E$300,$B300)+SUMIFS(Закрытые!$M$5:$M$300,Закрытые!$E$5:$E$300,$B300,Закрытые!$B$5:$B$300,"L-*"),8)))</f>
        <v/>
      </c>
      <c r="K300" s="246">
        <f>IF($B300="","",ROUND(SUMIFS(Закрытые!$N$5:$N$300,Закрытые!$E$5:$E$300,$B300,Закрытые!$B$5:$B$300,"L-*"),8))</f>
        <v/>
      </c>
      <c r="L300" s="183">
        <f>IF(K300="","",IF(SUMPRODUCT((Закрытые!$E$5:$E$300=$B300)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300/SUMPRODUCT((Закрытые!$E$5:$E$300=$B300)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00" s="183">
        <f>IF(OR(ROUND(N(C300)-N(F300),8)=0,1-N(Ввод!$E$17)/100&lt;=0),"",IF(N(C300)&gt;N(F300),(N(E300)-N(H300))/((N(C300)-N(F300))*(1-N(Ввод!$E$17)/100)),(N(H300)-N(E300))/((N(F300)-N(C300))*(1+N(Ввод!$E$17)/100))))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M300"/>
  <mergeCells count="1">
    <mergeCell ref="B1:M2"/>
  </mergeCells>
  <conditionalFormatting sqref="B5:M300">
    <cfRule type="expression" priority="1" dxfId="2">
      <formula>MOD(ROW(),2)=1</formula>
    </cfRule>
    <cfRule type="expression" priority="2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 codeName="Sheet6">
    <tabColor rgb="008064A2"/>
    <outlinePr summaryBelow="1" summaryRight="1"/>
    <pageSetUpPr fitToPage="1"/>
  </sheetPr>
  <dimension ref="B1:N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1" customWidth="1" min="8" max="8"/>
    <col width="11" customWidth="1" min="9" max="9"/>
    <col width="13" customWidth="1" min="10" max="10"/>
    <col width="13" customWidth="1" min="11" max="11"/>
    <col width="12" customWidth="1" min="12" max="12"/>
    <col width="13" customWidth="1" min="13" max="13"/>
    <col width="13" customWidth="1" min="14" max="14"/>
  </cols>
  <sheetData>
    <row r="1" ht="21" customHeight="1">
      <c r="B1" s="226" t="inlineStr">
        <is>
          <t>CRYPTO JOURNAL • ПУЛ</t>
        </is>
      </c>
    </row>
    <row r="2" ht="21" customHeight="1"/>
    <row r="3" ht="10" customHeight="1">
      <c r="B3" s="207" t="n"/>
      <c r="C3" s="207" t="n"/>
      <c r="D3" s="207" t="n"/>
      <c r="E3" s="207" t="n"/>
      <c r="F3" s="207" t="n"/>
      <c r="G3" s="207" t="n"/>
      <c r="H3" s="207" t="n"/>
      <c r="I3" s="207" t="n"/>
      <c r="J3" s="207" t="n"/>
      <c r="K3" s="207" t="n"/>
      <c r="L3" s="207" t="n"/>
    </row>
    <row r="4" ht="28" customHeight="1">
      <c r="B4" s="227" t="inlineStr">
        <is>
          <t>ID</t>
        </is>
      </c>
      <c r="C4" s="228" t="inlineStr">
        <is>
          <t>Дата</t>
        </is>
      </c>
      <c r="D4" s="228" t="inlineStr">
        <is>
          <t>Протокол</t>
        </is>
      </c>
      <c r="E4" s="229" t="inlineStr">
        <is>
          <t>Пара</t>
        </is>
      </c>
      <c r="F4" s="254" t="inlineStr">
        <is>
          <t>Открыто</t>
        </is>
      </c>
      <c r="G4" s="255" t="inlineStr">
        <is>
          <t>Актив 2</t>
        </is>
      </c>
      <c r="H4" s="256" t="inlineStr">
        <is>
          <t>Закрыто</t>
        </is>
      </c>
      <c r="I4" s="257" t="inlineStr">
        <is>
          <t>Актив 2</t>
        </is>
      </c>
      <c r="J4" s="258" t="inlineStr">
        <is>
          <t>Дельта 1</t>
        </is>
      </c>
      <c r="K4" s="259" t="inlineStr">
        <is>
          <t>Дельта 2</t>
        </is>
      </c>
      <c r="L4" s="229" t="inlineStr">
        <is>
          <t>Статус</t>
        </is>
      </c>
      <c r="M4" s="310" t="inlineStr">
        <is>
          <t>Min</t>
        </is>
      </c>
      <c r="N4" s="311" t="inlineStr">
        <is>
          <t>Max</t>
        </is>
      </c>
    </row>
    <row r="5" ht="22" customHeight="1">
      <c r="B5" s="323" t="inlineStr">
        <is>
          <t>P-0003</t>
        </is>
      </c>
      <c r="C5" s="314" t="n">
        <v>46297</v>
      </c>
      <c r="D5" s="313" t="inlineStr">
        <is>
          <t>PancakeSwap</t>
        </is>
      </c>
      <c r="E5" s="315" t="inlineStr">
        <is>
          <t>BNB/USDT</t>
        </is>
      </c>
      <c r="F5" s="316" t="n">
        <v>4</v>
      </c>
      <c r="G5" s="324" t="n">
        <v>2360</v>
      </c>
      <c r="H5" s="316" t="n">
        <v>4.2</v>
      </c>
      <c r="I5" s="324" t="n">
        <v>2300</v>
      </c>
      <c r="J5" s="240">
        <f>IF(AND(L5="Закрыт",ISNUMBER(F5),ISNUMBER(H5)),ROUND(H5-F5,8),"")</f>
        <v/>
      </c>
      <c r="K5" s="241">
        <f>IF(AND(L5="Закрыт",ISNUMBER(G5),ISNUMBER(I5)),ROUND(I5-G5,8),"")</f>
        <v/>
      </c>
      <c r="L5" s="325" t="inlineStr">
        <is>
          <t>Закрыт</t>
        </is>
      </c>
      <c r="M5" s="316" t="n"/>
      <c r="N5" s="324" t="n"/>
    </row>
    <row r="6" ht="22" customHeight="1">
      <c r="B6" s="326" t="inlineStr">
        <is>
          <t>P-0006</t>
        </is>
      </c>
      <c r="C6" s="319" t="n">
        <v>46299</v>
      </c>
      <c r="D6" s="318" t="inlineStr">
        <is>
          <t>Uniswap</t>
        </is>
      </c>
      <c r="E6" s="320" t="inlineStr">
        <is>
          <t>BTC/USDT</t>
        </is>
      </c>
      <c r="F6" s="321" t="n">
        <v>0.05</v>
      </c>
      <c r="G6" s="327" t="n">
        <v>3125</v>
      </c>
      <c r="H6" s="321" t="n"/>
      <c r="I6" s="327" t="n"/>
      <c r="J6" s="246">
        <f>IF(AND(L6="Закрыт",ISNUMBER(F6),ISNUMBER(H6)),ROUND(H6-F6,8),"")</f>
        <v/>
      </c>
      <c r="K6" s="247">
        <f>IF(AND(L6="Закрыт",ISNUMBER(G6),ISNUMBER(I6)),ROUND(I6-G6,8),"")</f>
        <v/>
      </c>
      <c r="L6" s="328" t="inlineStr">
        <is>
          <t>Открыт</t>
        </is>
      </c>
      <c r="M6" s="321" t="n">
        <v>58000</v>
      </c>
      <c r="N6" s="327" t="n">
        <v>68000</v>
      </c>
    </row>
    <row r="7" ht="22" customHeight="1">
      <c r="B7" s="323" t="inlineStr">
        <is>
          <t>P-0001</t>
        </is>
      </c>
      <c r="C7" s="314" t="n">
        <v>46296</v>
      </c>
      <c r="D7" s="313" t="inlineStr">
        <is>
          <t>Uniswap</t>
        </is>
      </c>
      <c r="E7" s="315" t="inlineStr">
        <is>
          <t>ETH/BTC</t>
        </is>
      </c>
      <c r="F7" s="316" t="n">
        <v>2</v>
      </c>
      <c r="G7" s="324" t="n">
        <v>0.104</v>
      </c>
      <c r="H7" s="316" t="n">
        <v>1.96</v>
      </c>
      <c r="I7" s="324" t="n">
        <v>0.1092</v>
      </c>
      <c r="J7" s="240">
        <f>IF(AND(L7="Закрыт",ISNUMBER(F7),ISNUMBER(H7)),ROUND(H7-F7,8),"")</f>
        <v/>
      </c>
      <c r="K7" s="241">
        <f>IF(AND(L7="Закрыт",ISNUMBER(G7),ISNUMBER(I7)),ROUND(I7-G7,8),"")</f>
        <v/>
      </c>
      <c r="L7" s="325" t="inlineStr">
        <is>
          <t>Закрыт</t>
        </is>
      </c>
      <c r="M7" s="316" t="n"/>
      <c r="N7" s="324" t="n"/>
    </row>
    <row r="8" ht="22" customHeight="1">
      <c r="B8" s="326" t="inlineStr">
        <is>
          <t>P-0007</t>
        </is>
      </c>
      <c r="C8" s="319" t="n">
        <v>46299</v>
      </c>
      <c r="D8" s="318" t="inlineStr">
        <is>
          <t>PancakeSwap</t>
        </is>
      </c>
      <c r="E8" s="320" t="inlineStr">
        <is>
          <t>ETH/BTC</t>
        </is>
      </c>
      <c r="F8" s="321" t="n">
        <v>1.2</v>
      </c>
      <c r="G8" s="327" t="n">
        <v>0.0624</v>
      </c>
      <c r="H8" s="321" t="n"/>
      <c r="I8" s="327" t="n"/>
      <c r="J8" s="246">
        <f>IF(AND(L8="Закрыт",ISNUMBER(F8),ISNUMBER(H8)),ROUND(H8-F8,8),"")</f>
        <v/>
      </c>
      <c r="K8" s="247">
        <f>IF(AND(L8="Закрыт",ISNUMBER(G8),ISNUMBER(I8)),ROUND(I8-G8,8),"")</f>
        <v/>
      </c>
      <c r="L8" s="328" t="inlineStr">
        <is>
          <t>Открыт</t>
        </is>
      </c>
      <c r="M8" s="321" t="n"/>
      <c r="N8" s="327" t="n"/>
    </row>
    <row r="9" ht="22" customHeight="1">
      <c r="B9" s="323" t="inlineStr">
        <is>
          <t>P-0004</t>
        </is>
      </c>
      <c r="C9" s="314" t="n">
        <v>46298</v>
      </c>
      <c r="D9" s="313" t="inlineStr">
        <is>
          <t>Uniswap</t>
        </is>
      </c>
      <c r="E9" s="315" t="inlineStr">
        <is>
          <t>ETH/USDT</t>
        </is>
      </c>
      <c r="F9" s="316" t="n">
        <v>1.5</v>
      </c>
      <c r="G9" s="324" t="n">
        <v>4800</v>
      </c>
      <c r="H9" s="316" t="n"/>
      <c r="I9" s="324" t="n"/>
      <c r="J9" s="240">
        <f>IF(AND(L9="Закрыт",ISNUMBER(F9),ISNUMBER(H9)),ROUND(H9-F9,8),"")</f>
        <v/>
      </c>
      <c r="K9" s="241">
        <f>IF(AND(L9="Закрыт",ISNUMBER(G9),ISNUMBER(I9)),ROUND(I9-G9,8),"")</f>
        <v/>
      </c>
      <c r="L9" s="325" t="inlineStr">
        <is>
          <t>Открыт</t>
        </is>
      </c>
      <c r="M9" s="316" t="n">
        <v>2800</v>
      </c>
      <c r="N9" s="324" t="n">
        <v>3600</v>
      </c>
    </row>
    <row r="10" ht="22" customHeight="1">
      <c r="B10" s="326" t="inlineStr">
        <is>
          <t>P-0002</t>
        </is>
      </c>
      <c r="C10" s="319" t="n">
        <v>46296</v>
      </c>
      <c r="D10" s="318" t="inlineStr">
        <is>
          <t>Raydium</t>
        </is>
      </c>
      <c r="E10" s="320" t="inlineStr">
        <is>
          <t>SOL/USDT</t>
        </is>
      </c>
      <c r="F10" s="321" t="n">
        <v>30</v>
      </c>
      <c r="G10" s="327" t="n">
        <v>4350</v>
      </c>
      <c r="H10" s="321" t="n">
        <v>28.5</v>
      </c>
      <c r="I10" s="327" t="n">
        <v>4560</v>
      </c>
      <c r="J10" s="246">
        <f>IF(AND(L10="Закрыт",ISNUMBER(F10),ISNUMBER(H10)),ROUND(H10-F10,8),"")</f>
        <v/>
      </c>
      <c r="K10" s="247">
        <f>IF(AND(L10="Закрыт",ISNUMBER(G10),ISNUMBER(I10)),ROUND(I10-G10,8),"")</f>
        <v/>
      </c>
      <c r="L10" s="328" t="inlineStr">
        <is>
          <t>Закрыт</t>
        </is>
      </c>
      <c r="M10" s="321" t="n"/>
      <c r="N10" s="327" t="n"/>
    </row>
    <row r="11" ht="22" customHeight="1">
      <c r="B11" s="323" t="inlineStr">
        <is>
          <t>P-0005</t>
        </is>
      </c>
      <c r="C11" s="314" t="n">
        <v>46298</v>
      </c>
      <c r="D11" s="313" t="inlineStr">
        <is>
          <t>Orca</t>
        </is>
      </c>
      <c r="E11" s="315" t="inlineStr">
        <is>
          <t>SOL/USDT</t>
        </is>
      </c>
      <c r="F11" s="316" t="n">
        <v>12</v>
      </c>
      <c r="G11" s="324" t="n">
        <v>1740</v>
      </c>
      <c r="H11" s="316" t="n">
        <v>12.6</v>
      </c>
      <c r="I11" s="324" t="n">
        <v>1688</v>
      </c>
      <c r="J11" s="240">
        <f>IF(AND(L11="Закрыт",ISNUMBER(F11),ISNUMBER(H11)),ROUND(H11-F11,8),"")</f>
        <v/>
      </c>
      <c r="K11" s="241">
        <f>IF(AND(L11="Закрыт",ISNUMBER(G11),ISNUMBER(I11)),ROUND(I11-G11,8),"")</f>
        <v/>
      </c>
      <c r="L11" s="325" t="inlineStr">
        <is>
          <t>Закрыт</t>
        </is>
      </c>
      <c r="M11" s="316" t="n"/>
      <c r="N11" s="324" t="n"/>
    </row>
    <row r="12" ht="22" customHeight="1">
      <c r="B12" s="326" t="inlineStr">
        <is>
          <t>P-0008</t>
        </is>
      </c>
      <c r="C12" s="319" t="n">
        <v>46299</v>
      </c>
      <c r="D12" s="318" t="inlineStr">
        <is>
          <t>Raydium</t>
        </is>
      </c>
      <c r="E12" s="320" t="inlineStr">
        <is>
          <t>SOL/USDT</t>
        </is>
      </c>
      <c r="F12" s="321" t="n">
        <v>25</v>
      </c>
      <c r="G12" s="327" t="n">
        <v>3625</v>
      </c>
      <c r="H12" s="321" t="n">
        <v>10</v>
      </c>
      <c r="I12" s="327" t="n">
        <v>1480</v>
      </c>
      <c r="J12" s="246">
        <f>IF(AND(L12="Закрыт",ISNUMBER(F12),ISNUMBER(H12)),ROUND(H12-F12,8),"")</f>
        <v/>
      </c>
      <c r="K12" s="247">
        <f>IF(AND(L12="Закрыт",ISNUMBER(G12),ISNUMBER(I12)),ROUND(I12-G12,8),"")</f>
        <v/>
      </c>
      <c r="L12" s="328" t="inlineStr">
        <is>
          <t>Открыт</t>
        </is>
      </c>
      <c r="M12" s="321" t="n"/>
      <c r="N12" s="327" t="n"/>
    </row>
    <row r="13" ht="22" customHeight="1">
      <c r="B13" s="323" t="inlineStr">
        <is>
          <t>P-0009</t>
        </is>
      </c>
      <c r="C13" s="314" t="n">
        <v>46302</v>
      </c>
      <c r="D13" s="313" t="inlineStr">
        <is>
          <t>Raydium</t>
        </is>
      </c>
      <c r="E13" s="315" t="inlineStr">
        <is>
          <t>SOL/USDT</t>
        </is>
      </c>
      <c r="F13" s="316" t="n">
        <v>20</v>
      </c>
      <c r="G13" s="324" t="n">
        <v>3000</v>
      </c>
      <c r="H13" s="316" t="n"/>
      <c r="I13" s="324" t="n"/>
      <c r="J13" s="240">
        <f>IF(AND(L13="Закрыт",ISNUMBER(F13),ISNUMBER(H13)),ROUND(H13-F13,8),"")</f>
        <v/>
      </c>
      <c r="K13" s="241">
        <f>IF(AND(L13="Закрыт",ISNUMBER(G13),ISNUMBER(I13)),ROUND(I13-G13,8),"")</f>
        <v/>
      </c>
      <c r="L13" s="325" t="inlineStr">
        <is>
          <t>Открыт</t>
        </is>
      </c>
      <c r="M13" s="316" t="n">
        <v>130</v>
      </c>
      <c r="N13" s="324" t="n">
        <v>170</v>
      </c>
    </row>
    <row r="14" ht="22" customHeight="1">
      <c r="B14" s="326" t="inlineStr">
        <is>
          <t>P-0010</t>
        </is>
      </c>
      <c r="C14" s="319" t="n">
        <v>46302</v>
      </c>
      <c r="D14" s="318" t="inlineStr">
        <is>
          <t>Raydium</t>
        </is>
      </c>
      <c r="E14" s="320" t="inlineStr">
        <is>
          <t>ELIZAOS/SOL</t>
        </is>
      </c>
      <c r="F14" s="321" t="n">
        <v>10000</v>
      </c>
      <c r="G14" s="327" t="n">
        <v>23.5</v>
      </c>
      <c r="H14" s="321" t="n"/>
      <c r="I14" s="327" t="n"/>
      <c r="J14" s="246">
        <f>IF(AND(L14="Закрыт",ISNUMBER(F14),ISNUMBER(H14)),ROUND(H14-F14,8),"")</f>
        <v/>
      </c>
      <c r="K14" s="247">
        <f>IF(AND(L14="Закрыт",ISNUMBER(G14),ISNUMBER(I14)),ROUND(I14-G14,8),"")</f>
        <v/>
      </c>
      <c r="L14" s="328" t="inlineStr">
        <is>
          <t>Открыт</t>
        </is>
      </c>
      <c r="M14" s="321" t="n"/>
      <c r="N14" s="327" t="n"/>
    </row>
    <row r="15" ht="22" customHeight="1">
      <c r="B15" s="323" t="inlineStr">
        <is>
          <t>P-0011</t>
        </is>
      </c>
      <c r="C15" s="314" t="n">
        <v>46302</v>
      </c>
      <c r="D15" s="313" t="inlineStr">
        <is>
          <t>Orca</t>
        </is>
      </c>
      <c r="E15" s="315" t="inlineStr">
        <is>
          <t>SOL/USDT</t>
        </is>
      </c>
      <c r="F15" s="316" t="n">
        <v>15</v>
      </c>
      <c r="G15" s="324" t="n">
        <v>2250</v>
      </c>
      <c r="H15" s="316" t="n"/>
      <c r="I15" s="324" t="n"/>
      <c r="J15" s="240">
        <f>IF(AND(L15="Закрыт",ISNUMBER(F15),ISNUMBER(H15)),ROUND(H15-F15,8),"")</f>
        <v/>
      </c>
      <c r="K15" s="241">
        <f>IF(AND(L15="Закрыт",ISNUMBER(G15),ISNUMBER(I15)),ROUND(I15-G15,8),"")</f>
        <v/>
      </c>
      <c r="L15" s="325" t="inlineStr">
        <is>
          <t>Открыт</t>
        </is>
      </c>
      <c r="M15" s="316" t="n"/>
      <c r="N15" s="324" t="n"/>
    </row>
    <row r="16" ht="22" customHeight="1">
      <c r="B16" s="326" t="inlineStr">
        <is>
          <t>P-0012</t>
        </is>
      </c>
      <c r="C16" s="319" t="n">
        <v>46302</v>
      </c>
      <c r="D16" s="318" t="inlineStr">
        <is>
          <t>Uniswap</t>
        </is>
      </c>
      <c r="E16" s="320" t="inlineStr">
        <is>
          <t>ETH/BTC</t>
        </is>
      </c>
      <c r="F16" s="321" t="n">
        <v>2.5</v>
      </c>
      <c r="G16" s="327" t="n">
        <v>0.129</v>
      </c>
      <c r="H16" s="321" t="n"/>
      <c r="I16" s="327" t="n"/>
      <c r="J16" s="246">
        <f>IF(AND(L16="Закрыт",ISNUMBER(F16),ISNUMBER(H16)),ROUND(H16-F16,8),"")</f>
        <v/>
      </c>
      <c r="K16" s="247">
        <f>IF(AND(L16="Закрыт",ISNUMBER(G16),ISNUMBER(I16)),ROUND(I16-G16,8),"")</f>
        <v/>
      </c>
      <c r="L16" s="328" t="inlineStr">
        <is>
          <t>Открыт</t>
        </is>
      </c>
      <c r="M16" s="321" t="n"/>
      <c r="N16" s="327" t="n"/>
    </row>
    <row r="17" ht="22" customHeight="1">
      <c r="B17" s="323" t="inlineStr">
        <is>
          <t>P-0013</t>
        </is>
      </c>
      <c r="C17" s="314" t="n">
        <v>46303</v>
      </c>
      <c r="D17" s="313" t="inlineStr">
        <is>
          <t>PancakeSwap</t>
        </is>
      </c>
      <c r="E17" s="315" t="inlineStr">
        <is>
          <t>BNB/ETH</t>
        </is>
      </c>
      <c r="F17" s="316" t="n">
        <v>6</v>
      </c>
      <c r="G17" s="324" t="n">
        <v>1.125</v>
      </c>
      <c r="H17" s="316" t="n"/>
      <c r="I17" s="324" t="n"/>
      <c r="J17" s="240">
        <f>IF(AND(L17="Закрыт",ISNUMBER(F17),ISNUMBER(H17)),ROUND(H17-F17,8),"")</f>
        <v/>
      </c>
      <c r="K17" s="241">
        <f>IF(AND(L17="Закрыт",ISNUMBER(G17),ISNUMBER(I17)),ROUND(I17-G17,8),"")</f>
        <v/>
      </c>
      <c r="L17" s="325" t="inlineStr">
        <is>
          <t>Открыт</t>
        </is>
      </c>
      <c r="M17" s="316" t="n"/>
      <c r="N17" s="324" t="n"/>
    </row>
    <row r="18" ht="22" customHeight="1">
      <c r="B18" s="326" t="inlineStr">
        <is>
          <t>P-0014</t>
        </is>
      </c>
      <c r="C18" s="319" t="n">
        <v>46302</v>
      </c>
      <c r="D18" s="318" t="inlineStr">
        <is>
          <t>Uniswap</t>
        </is>
      </c>
      <c r="E18" s="320" t="inlineStr">
        <is>
          <t>ETH/USDT</t>
        </is>
      </c>
      <c r="F18" s="321" t="n">
        <v>1.5</v>
      </c>
      <c r="G18" s="327" t="n">
        <v>4800</v>
      </c>
      <c r="H18" s="321" t="n">
        <v>1.46</v>
      </c>
      <c r="I18" s="327" t="n">
        <v>4990</v>
      </c>
      <c r="J18" s="246">
        <f>IF(AND(L18="Закрыт",ISNUMBER(F18),ISNUMBER(H18)),ROUND(H18-F18,8),"")</f>
        <v/>
      </c>
      <c r="K18" s="247">
        <f>IF(AND(L18="Закрыт",ISNUMBER(G18),ISNUMBER(I18)),ROUND(I18-G18,8),"")</f>
        <v/>
      </c>
      <c r="L18" s="328" t="inlineStr">
        <is>
          <t>Закрыт</t>
        </is>
      </c>
      <c r="M18" s="321" t="n"/>
      <c r="N18" s="327" t="n"/>
    </row>
    <row r="19" ht="22" customHeight="1">
      <c r="B19" s="323" t="inlineStr">
        <is>
          <t>P-0015</t>
        </is>
      </c>
      <c r="C19" s="314" t="n">
        <v>46302</v>
      </c>
      <c r="D19" s="313" t="inlineStr">
        <is>
          <t>Uniswap</t>
        </is>
      </c>
      <c r="E19" s="315" t="inlineStr">
        <is>
          <t>ARB/ETH</t>
        </is>
      </c>
      <c r="F19" s="316" t="n">
        <v>8000</v>
      </c>
      <c r="G19" s="324" t="n">
        <v>1.375</v>
      </c>
      <c r="H19" s="316" t="n">
        <v>8350</v>
      </c>
      <c r="I19" s="324" t="n">
        <v>1.31</v>
      </c>
      <c r="J19" s="240">
        <f>IF(AND(L19="Закрыт",ISNUMBER(F19),ISNUMBER(H19)),ROUND(H19-F19,8),"")</f>
        <v/>
      </c>
      <c r="K19" s="241">
        <f>IF(AND(L19="Закрыт",ISNUMBER(G19),ISNUMBER(I19)),ROUND(I19-G19,8),"")</f>
        <v/>
      </c>
      <c r="L19" s="325" t="inlineStr">
        <is>
          <t>Закрыт</t>
        </is>
      </c>
      <c r="M19" s="316" t="n"/>
      <c r="N19" s="324" t="n"/>
    </row>
    <row r="20" ht="22" customHeight="1">
      <c r="B20" s="326" t="inlineStr">
        <is>
          <t>P-0016</t>
        </is>
      </c>
      <c r="C20" s="319" t="n">
        <v>46303</v>
      </c>
      <c r="D20" s="318" t="inlineStr">
        <is>
          <t>Orca</t>
        </is>
      </c>
      <c r="E20" s="320" t="inlineStr">
        <is>
          <t>SOL/ETH</t>
        </is>
      </c>
      <c r="F20" s="321" t="n">
        <v>30</v>
      </c>
      <c r="G20" s="327" t="n">
        <v>1.4063</v>
      </c>
      <c r="H20" s="321" t="n">
        <v>28.8</v>
      </c>
      <c r="I20" s="327" t="n">
        <v>1.46</v>
      </c>
      <c r="J20" s="246">
        <f>IF(AND(L20="Закрыт",ISNUMBER(F20),ISNUMBER(H20)),ROUND(H20-F20,8),"")</f>
        <v/>
      </c>
      <c r="K20" s="247">
        <f>IF(AND(L20="Закрыт",ISNUMBER(G20),ISNUMBER(I20)),ROUND(I20-G20,8),"")</f>
        <v/>
      </c>
      <c r="L20" s="328" t="inlineStr">
        <is>
          <t>Закрыт</t>
        </is>
      </c>
      <c r="M20" s="321" t="n"/>
      <c r="N20" s="327" t="n"/>
    </row>
    <row r="21" ht="22" customHeight="1">
      <c r="B21" s="323" t="inlineStr">
        <is>
          <t>P-0017</t>
        </is>
      </c>
      <c r="C21" s="314" t="n">
        <v>46303</v>
      </c>
      <c r="D21" s="313" t="inlineStr">
        <is>
          <t>PancakeSwap</t>
        </is>
      </c>
      <c r="E21" s="315" t="inlineStr">
        <is>
          <t>BNB/USDT</t>
        </is>
      </c>
      <c r="F21" s="316" t="n">
        <v>5</v>
      </c>
      <c r="G21" s="324" t="n">
        <v>3000</v>
      </c>
      <c r="H21" s="316" t="n">
        <v>5.2</v>
      </c>
      <c r="I21" s="324" t="n">
        <v>2920</v>
      </c>
      <c r="J21" s="240">
        <f>IF(AND(L21="Закрыт",ISNUMBER(F21),ISNUMBER(H21)),ROUND(H21-F21,8),"")</f>
        <v/>
      </c>
      <c r="K21" s="241">
        <f>IF(AND(L21="Закрыт",ISNUMBER(G21),ISNUMBER(I21)),ROUND(I21-G21,8),"")</f>
        <v/>
      </c>
      <c r="L21" s="325" t="inlineStr">
        <is>
          <t>Закрыт</t>
        </is>
      </c>
      <c r="M21" s="316" t="n"/>
      <c r="N21" s="324" t="n"/>
    </row>
    <row r="22" ht="22" customHeight="1">
      <c r="B22" s="326" t="inlineStr">
        <is>
          <t>P-0018</t>
        </is>
      </c>
      <c r="C22" s="319" t="n">
        <v>46303</v>
      </c>
      <c r="D22" s="318" t="inlineStr">
        <is>
          <t>PancakeSwap</t>
        </is>
      </c>
      <c r="E22" s="320" t="inlineStr">
        <is>
          <t>CAKE/USDT</t>
        </is>
      </c>
      <c r="F22" s="321" t="n">
        <v>1000</v>
      </c>
      <c r="G22" s="327" t="n">
        <v>2400</v>
      </c>
      <c r="H22" s="321" t="n">
        <v>940</v>
      </c>
      <c r="I22" s="327" t="n">
        <v>2530</v>
      </c>
      <c r="J22" s="246">
        <f>IF(AND(L22="Закрыт",ISNUMBER(F22),ISNUMBER(H22)),ROUND(H22-F22,8),"")</f>
        <v/>
      </c>
      <c r="K22" s="247">
        <f>IF(AND(L22="Закрыт",ISNUMBER(G22),ISNUMBER(I22)),ROUND(I22-G22,8),"")</f>
        <v/>
      </c>
      <c r="L22" s="328" t="inlineStr">
        <is>
          <t>Закрыт</t>
        </is>
      </c>
      <c r="M22" s="321" t="n"/>
      <c r="N22" s="327" t="n"/>
    </row>
    <row r="23" ht="22" customHeight="1">
      <c r="B23" s="323" t="inlineStr">
        <is>
          <t>P-0019</t>
        </is>
      </c>
      <c r="C23" s="314" t="n">
        <v>46303</v>
      </c>
      <c r="D23" s="313" t="inlineStr">
        <is>
          <t>Uniswap</t>
        </is>
      </c>
      <c r="E23" s="315" t="inlineStr">
        <is>
          <t>BTC/USDT</t>
        </is>
      </c>
      <c r="F23" s="316" t="n">
        <v>0.1</v>
      </c>
      <c r="G23" s="324" t="n">
        <v>6200</v>
      </c>
      <c r="H23" s="316" t="n">
        <v>0.04</v>
      </c>
      <c r="I23" s="324" t="n">
        <v>2600</v>
      </c>
      <c r="J23" s="240">
        <f>IF(AND(L23="Закрыт",ISNUMBER(F23),ISNUMBER(H23)),ROUND(H23-F23,8),"")</f>
        <v/>
      </c>
      <c r="K23" s="241">
        <f>IF(AND(L23="Закрыт",ISNUMBER(G23),ISNUMBER(I23)),ROUND(I23-G23,8),"")</f>
        <v/>
      </c>
      <c r="L23" s="325" t="inlineStr">
        <is>
          <t>Открыт</t>
        </is>
      </c>
      <c r="M23" s="316" t="n"/>
      <c r="N23" s="324" t="n"/>
    </row>
    <row r="24" ht="22" customHeight="1">
      <c r="B24" s="326" t="inlineStr">
        <is>
          <t>P-0020</t>
        </is>
      </c>
      <c r="C24" s="319" t="n">
        <v>46303</v>
      </c>
      <c r="D24" s="318" t="inlineStr">
        <is>
          <t>Raydium</t>
        </is>
      </c>
      <c r="E24" s="320" t="inlineStr">
        <is>
          <t>BTC/USDT</t>
        </is>
      </c>
      <c r="F24" s="321" t="n">
        <v>0.08</v>
      </c>
      <c r="G24" s="327" t="n">
        <v>4960</v>
      </c>
      <c r="H24" s="321" t="n">
        <v>0.03</v>
      </c>
      <c r="I24" s="327" t="n">
        <v>1900</v>
      </c>
      <c r="J24" s="246">
        <f>IF(AND(L24="Закрыт",ISNUMBER(F24),ISNUMBER(H24)),ROUND(H24-F24,8),"")</f>
        <v/>
      </c>
      <c r="K24" s="247">
        <f>IF(AND(L24="Закрыт",ISNUMBER(G24),ISNUMBER(I24)),ROUND(I24-G24,8),"")</f>
        <v/>
      </c>
      <c r="L24" s="328" t="inlineStr">
        <is>
          <t>Открыт</t>
        </is>
      </c>
      <c r="M24" s="321" t="n"/>
      <c r="N24" s="327" t="n"/>
    </row>
    <row r="25" ht="22" customHeight="1">
      <c r="B25" s="323" t="inlineStr">
        <is>
          <t>P-0021</t>
        </is>
      </c>
      <c r="C25" s="314" t="n">
        <v>46304</v>
      </c>
      <c r="D25" s="313" t="inlineStr">
        <is>
          <t>PancakeSwap</t>
        </is>
      </c>
      <c r="E25" s="315" t="inlineStr">
        <is>
          <t>BNB/ETH</t>
        </is>
      </c>
      <c r="F25" s="316" t="n">
        <v>4</v>
      </c>
      <c r="G25" s="324" t="n">
        <v>0.75</v>
      </c>
      <c r="H25" s="316" t="n">
        <v>1.5</v>
      </c>
      <c r="I25" s="324" t="n">
        <v>0.29</v>
      </c>
      <c r="J25" s="240">
        <f>IF(AND(L25="Закрыт",ISNUMBER(F25),ISNUMBER(H25)),ROUND(H25-F25,8),"")</f>
        <v/>
      </c>
      <c r="K25" s="241">
        <f>IF(AND(L25="Закрыт",ISNUMBER(G25),ISNUMBER(I25)),ROUND(I25-G25,8),"")</f>
        <v/>
      </c>
      <c r="L25" s="325" t="inlineStr">
        <is>
          <t>Открыт</t>
        </is>
      </c>
      <c r="M25" s="316" t="n"/>
      <c r="N25" s="324" t="n"/>
    </row>
    <row r="26" ht="22" customHeight="1">
      <c r="B26" s="326" t="inlineStr">
        <is>
          <t>P-0022</t>
        </is>
      </c>
      <c r="C26" s="319" t="n">
        <v>46304</v>
      </c>
      <c r="D26" s="318" t="inlineStr">
        <is>
          <t>PancakeSwap</t>
        </is>
      </c>
      <c r="E26" s="320" t="inlineStr">
        <is>
          <t>CAKE/BNB</t>
        </is>
      </c>
      <c r="F26" s="321" t="n">
        <v>1500</v>
      </c>
      <c r="G26" s="327" t="n">
        <v>6</v>
      </c>
      <c r="H26" s="321" t="n">
        <v>500</v>
      </c>
      <c r="I26" s="327" t="n">
        <v>2.1</v>
      </c>
      <c r="J26" s="246">
        <f>IF(AND(L26="Закрыт",ISNUMBER(F26),ISNUMBER(H26)),ROUND(H26-F26,8),"")</f>
        <v/>
      </c>
      <c r="K26" s="247">
        <f>IF(AND(L26="Закрыт",ISNUMBER(G26),ISNUMBER(I26)),ROUND(I26-G26,8),"")</f>
        <v/>
      </c>
      <c r="L26" s="328" t="inlineStr">
        <is>
          <t>Открыт</t>
        </is>
      </c>
      <c r="M26" s="321" t="n"/>
      <c r="N26" s="327" t="n"/>
    </row>
    <row r="27" ht="22" customHeight="1">
      <c r="B27" s="323" t="inlineStr">
        <is>
          <t>P-0023</t>
        </is>
      </c>
      <c r="C27" s="314" t="n">
        <v>46304</v>
      </c>
      <c r="D27" s="313" t="inlineStr">
        <is>
          <t>Uniswap</t>
        </is>
      </c>
      <c r="E27" s="315" t="inlineStr">
        <is>
          <t>ARB/BTC</t>
        </is>
      </c>
      <c r="F27" s="316" t="n">
        <v>12000</v>
      </c>
      <c r="G27" s="324" t="n">
        <v>0.1064</v>
      </c>
      <c r="H27" s="316" t="n">
        <v>5000</v>
      </c>
      <c r="I27" s="324" t="n">
        <v>0.047</v>
      </c>
      <c r="J27" s="240">
        <f>IF(AND(L27="Закрыт",ISNUMBER(F27),ISNUMBER(H27)),ROUND(H27-F27,8),"")</f>
        <v/>
      </c>
      <c r="K27" s="241">
        <f>IF(AND(L27="Закрыт",ISNUMBER(G27),ISNUMBER(I27)),ROUND(I27-G27,8),"")</f>
        <v/>
      </c>
      <c r="L27" s="325" t="inlineStr">
        <is>
          <t>Открыт</t>
        </is>
      </c>
      <c r="M27" s="316" t="n"/>
      <c r="N27" s="324" t="n"/>
    </row>
    <row r="28" ht="22" customHeight="1">
      <c r="B28" s="326" t="n"/>
      <c r="C28" s="319" t="n"/>
      <c r="D28" s="318" t="n"/>
      <c r="E28" s="320" t="n"/>
      <c r="F28" s="321" t="n"/>
      <c r="G28" s="327" t="n"/>
      <c r="H28" s="321" t="n"/>
      <c r="I28" s="327" t="n"/>
      <c r="J28" s="246">
        <f>IF(AND(L28="Закрыт",ISNUMBER(F28),ISNUMBER(H28)),ROUND(H28-F28,8),"")</f>
        <v/>
      </c>
      <c r="K28" s="247">
        <f>IF(AND(L28="Закрыт",ISNUMBER(G28),ISNUMBER(I28)),ROUND(I28-G28,8),"")</f>
        <v/>
      </c>
      <c r="L28" s="328" t="n"/>
      <c r="M28" s="321" t="n"/>
      <c r="N28" s="327" t="n"/>
    </row>
    <row r="29" ht="22" customHeight="1">
      <c r="B29" s="323" t="n"/>
      <c r="C29" s="314" t="n"/>
      <c r="D29" s="313" t="n"/>
      <c r="E29" s="315" t="n"/>
      <c r="F29" s="316" t="n"/>
      <c r="G29" s="324" t="n"/>
      <c r="H29" s="316" t="n"/>
      <c r="I29" s="324" t="n"/>
      <c r="J29" s="240">
        <f>IF(AND(L29="Закрыт",ISNUMBER(F29),ISNUMBER(H29)),ROUND(H29-F29,8),"")</f>
        <v/>
      </c>
      <c r="K29" s="241">
        <f>IF(AND(L29="Закрыт",ISNUMBER(G29),ISNUMBER(I29)),ROUND(I29-G29,8),"")</f>
        <v/>
      </c>
      <c r="L29" s="325" t="n"/>
      <c r="M29" s="316" t="n"/>
      <c r="N29" s="324" t="n"/>
    </row>
    <row r="30" ht="22" customHeight="1">
      <c r="B30" s="326" t="n"/>
      <c r="C30" s="319" t="n"/>
      <c r="D30" s="318" t="n"/>
      <c r="E30" s="320" t="n"/>
      <c r="F30" s="321" t="n"/>
      <c r="G30" s="327" t="n"/>
      <c r="H30" s="321" t="n"/>
      <c r="I30" s="327" t="n"/>
      <c r="J30" s="246">
        <f>IF(AND(L30="Закрыт",ISNUMBER(F30),ISNUMBER(H30)),ROUND(H30-F30,8),"")</f>
        <v/>
      </c>
      <c r="K30" s="247">
        <f>IF(AND(L30="Закрыт",ISNUMBER(G30),ISNUMBER(I30)),ROUND(I30-G30,8),"")</f>
        <v/>
      </c>
      <c r="L30" s="328" t="n"/>
      <c r="M30" s="321" t="n"/>
      <c r="N30" s="327" t="n"/>
    </row>
    <row r="31" ht="22" customHeight="1">
      <c r="B31" s="323" t="n"/>
      <c r="C31" s="314" t="n"/>
      <c r="D31" s="313" t="n"/>
      <c r="E31" s="315" t="n"/>
      <c r="F31" s="316" t="n"/>
      <c r="G31" s="324" t="n"/>
      <c r="H31" s="316" t="n"/>
      <c r="I31" s="324" t="n"/>
      <c r="J31" s="240">
        <f>IF(AND(L31="Закрыт",ISNUMBER(F31),ISNUMBER(H31)),ROUND(H31-F31,8),"")</f>
        <v/>
      </c>
      <c r="K31" s="241">
        <f>IF(AND(L31="Закрыт",ISNUMBER(G31),ISNUMBER(I31)),ROUND(I31-G31,8),"")</f>
        <v/>
      </c>
      <c r="L31" s="325" t="n"/>
      <c r="M31" s="316" t="n"/>
      <c r="N31" s="324" t="n"/>
    </row>
    <row r="32" ht="22" customHeight="1">
      <c r="B32" s="326" t="n"/>
      <c r="C32" s="319" t="n"/>
      <c r="D32" s="318" t="n"/>
      <c r="E32" s="320" t="n"/>
      <c r="F32" s="321" t="n"/>
      <c r="G32" s="327" t="n"/>
      <c r="H32" s="321" t="n"/>
      <c r="I32" s="327" t="n"/>
      <c r="J32" s="246">
        <f>IF(AND(L32="Закрыт",ISNUMBER(F32),ISNUMBER(H32)),ROUND(H32-F32,8),"")</f>
        <v/>
      </c>
      <c r="K32" s="247">
        <f>IF(AND(L32="Закрыт",ISNUMBER(G32),ISNUMBER(I32)),ROUND(I32-G32,8),"")</f>
        <v/>
      </c>
      <c r="L32" s="328" t="n"/>
      <c r="M32" s="321" t="n"/>
      <c r="N32" s="327" t="n"/>
    </row>
    <row r="33" ht="22" customHeight="1">
      <c r="B33" s="323" t="n"/>
      <c r="C33" s="314" t="n"/>
      <c r="D33" s="313" t="n"/>
      <c r="E33" s="315" t="n"/>
      <c r="F33" s="316" t="n"/>
      <c r="G33" s="324" t="n"/>
      <c r="H33" s="316" t="n"/>
      <c r="I33" s="324" t="n"/>
      <c r="J33" s="240">
        <f>IF(AND(L33="Закрыт",ISNUMBER(F33),ISNUMBER(H33)),ROUND(H33-F33,8),"")</f>
        <v/>
      </c>
      <c r="K33" s="241">
        <f>IF(AND(L33="Закрыт",ISNUMBER(G33),ISNUMBER(I33)),ROUND(I33-G33,8),"")</f>
        <v/>
      </c>
      <c r="L33" s="325" t="n"/>
      <c r="M33" s="316" t="n"/>
      <c r="N33" s="324" t="n"/>
    </row>
    <row r="34" ht="22" customHeight="1">
      <c r="B34" s="326" t="n"/>
      <c r="C34" s="319" t="n"/>
      <c r="D34" s="318" t="n"/>
      <c r="E34" s="320" t="n"/>
      <c r="F34" s="321" t="n"/>
      <c r="G34" s="327" t="n"/>
      <c r="H34" s="321" t="n"/>
      <c r="I34" s="327" t="n"/>
      <c r="J34" s="246">
        <f>IF(AND(L34="Закрыт",ISNUMBER(F34),ISNUMBER(H34)),ROUND(H34-F34,8),"")</f>
        <v/>
      </c>
      <c r="K34" s="247">
        <f>IF(AND(L34="Закрыт",ISNUMBER(G34),ISNUMBER(I34)),ROUND(I34-G34,8),"")</f>
        <v/>
      </c>
      <c r="L34" s="328" t="n"/>
      <c r="M34" s="321" t="n"/>
      <c r="N34" s="327" t="n"/>
    </row>
    <row r="35" ht="22" customHeight="1">
      <c r="B35" s="323" t="n"/>
      <c r="C35" s="314" t="n"/>
      <c r="D35" s="313" t="n"/>
      <c r="E35" s="315" t="n"/>
      <c r="F35" s="316" t="n"/>
      <c r="G35" s="324" t="n"/>
      <c r="H35" s="316" t="n"/>
      <c r="I35" s="324" t="n"/>
      <c r="J35" s="240">
        <f>IF(AND(L35="Закрыт",ISNUMBER(F35),ISNUMBER(H35)),ROUND(H35-F35,8),"")</f>
        <v/>
      </c>
      <c r="K35" s="241">
        <f>IF(AND(L35="Закрыт",ISNUMBER(G35),ISNUMBER(I35)),ROUND(I35-G35,8),"")</f>
        <v/>
      </c>
      <c r="L35" s="325" t="n"/>
      <c r="M35" s="316" t="n"/>
      <c r="N35" s="324" t="n"/>
    </row>
    <row r="36" ht="22" customHeight="1">
      <c r="B36" s="326" t="n"/>
      <c r="C36" s="319" t="n"/>
      <c r="D36" s="318" t="n"/>
      <c r="E36" s="320" t="n"/>
      <c r="F36" s="321" t="n"/>
      <c r="G36" s="327" t="n"/>
      <c r="H36" s="321" t="n"/>
      <c r="I36" s="327" t="n"/>
      <c r="J36" s="246">
        <f>IF(AND(L36="Закрыт",ISNUMBER(F36),ISNUMBER(H36)),ROUND(H36-F36,8),"")</f>
        <v/>
      </c>
      <c r="K36" s="247">
        <f>IF(AND(L36="Закрыт",ISNUMBER(G36),ISNUMBER(I36)),ROUND(I36-G36,8),"")</f>
        <v/>
      </c>
      <c r="L36" s="328" t="n"/>
      <c r="M36" s="321" t="n"/>
      <c r="N36" s="327" t="n"/>
    </row>
    <row r="37" ht="22" customHeight="1">
      <c r="B37" s="323" t="n"/>
      <c r="C37" s="314" t="n"/>
      <c r="D37" s="313" t="n"/>
      <c r="E37" s="315" t="n"/>
      <c r="F37" s="316" t="n"/>
      <c r="G37" s="324" t="n"/>
      <c r="H37" s="316" t="n"/>
      <c r="I37" s="324" t="n"/>
      <c r="J37" s="240">
        <f>IF(AND(L37="Закрыт",ISNUMBER(F37),ISNUMBER(H37)),ROUND(H37-F37,8),"")</f>
        <v/>
      </c>
      <c r="K37" s="241">
        <f>IF(AND(L37="Закрыт",ISNUMBER(G37),ISNUMBER(I37)),ROUND(I37-G37,8),"")</f>
        <v/>
      </c>
      <c r="L37" s="325" t="n"/>
      <c r="M37" s="316" t="n"/>
      <c r="N37" s="324" t="n"/>
    </row>
    <row r="38" ht="22" customHeight="1">
      <c r="B38" s="326" t="n"/>
      <c r="C38" s="319" t="n"/>
      <c r="D38" s="318" t="n"/>
      <c r="E38" s="320" t="n"/>
      <c r="F38" s="321" t="n"/>
      <c r="G38" s="327" t="n"/>
      <c r="H38" s="321" t="n"/>
      <c r="I38" s="327" t="n"/>
      <c r="J38" s="246">
        <f>IF(AND(L38="Закрыт",ISNUMBER(F38),ISNUMBER(H38)),ROUND(H38-F38,8),"")</f>
        <v/>
      </c>
      <c r="K38" s="247">
        <f>IF(AND(L38="Закрыт",ISNUMBER(G38),ISNUMBER(I38)),ROUND(I38-G38,8),"")</f>
        <v/>
      </c>
      <c r="L38" s="328" t="n"/>
      <c r="M38" s="321" t="n"/>
      <c r="N38" s="327" t="n"/>
    </row>
    <row r="39" ht="22" customHeight="1">
      <c r="B39" s="323" t="n"/>
      <c r="C39" s="314" t="n"/>
      <c r="D39" s="313" t="n"/>
      <c r="E39" s="315" t="n"/>
      <c r="F39" s="316" t="n"/>
      <c r="G39" s="324" t="n"/>
      <c r="H39" s="316" t="n"/>
      <c r="I39" s="324" t="n"/>
      <c r="J39" s="240">
        <f>IF(AND(L39="Закрыт",ISNUMBER(F39),ISNUMBER(H39)),ROUND(H39-F39,8),"")</f>
        <v/>
      </c>
      <c r="K39" s="241">
        <f>IF(AND(L39="Закрыт",ISNUMBER(G39),ISNUMBER(I39)),ROUND(I39-G39,8),"")</f>
        <v/>
      </c>
      <c r="L39" s="325" t="n"/>
      <c r="M39" s="316" t="n"/>
      <c r="N39" s="324" t="n"/>
    </row>
    <row r="40" ht="22" customHeight="1">
      <c r="B40" s="326" t="n"/>
      <c r="C40" s="319" t="n"/>
      <c r="D40" s="318" t="n"/>
      <c r="E40" s="320" t="n"/>
      <c r="F40" s="321" t="n"/>
      <c r="G40" s="327" t="n"/>
      <c r="H40" s="321" t="n"/>
      <c r="I40" s="327" t="n"/>
      <c r="J40" s="246">
        <f>IF(AND(L40="Закрыт",ISNUMBER(F40),ISNUMBER(H40)),ROUND(H40-F40,8),"")</f>
        <v/>
      </c>
      <c r="K40" s="247">
        <f>IF(AND(L40="Закрыт",ISNUMBER(G40),ISNUMBER(I40)),ROUND(I40-G40,8),"")</f>
        <v/>
      </c>
      <c r="L40" s="328" t="n"/>
      <c r="M40" s="321" t="n"/>
      <c r="N40" s="327" t="n"/>
    </row>
    <row r="41" ht="22" customHeight="1">
      <c r="B41" s="323" t="n"/>
      <c r="C41" s="314" t="n"/>
      <c r="D41" s="313" t="n"/>
      <c r="E41" s="315" t="n"/>
      <c r="F41" s="316" t="n"/>
      <c r="G41" s="324" t="n"/>
      <c r="H41" s="316" t="n"/>
      <c r="I41" s="324" t="n"/>
      <c r="J41" s="240">
        <f>IF(AND(L41="Закрыт",ISNUMBER(F41),ISNUMBER(H41)),ROUND(H41-F41,8),"")</f>
        <v/>
      </c>
      <c r="K41" s="241">
        <f>IF(AND(L41="Закрыт",ISNUMBER(G41),ISNUMBER(I41)),ROUND(I41-G41,8),"")</f>
        <v/>
      </c>
      <c r="L41" s="325" t="n"/>
      <c r="M41" s="316" t="n"/>
      <c r="N41" s="324" t="n"/>
    </row>
    <row r="42" ht="22" customHeight="1">
      <c r="B42" s="326" t="n"/>
      <c r="C42" s="319" t="n"/>
      <c r="D42" s="318" t="n"/>
      <c r="E42" s="320" t="n"/>
      <c r="F42" s="321" t="n"/>
      <c r="G42" s="327" t="n"/>
      <c r="H42" s="321" t="n"/>
      <c r="I42" s="327" t="n"/>
      <c r="J42" s="246">
        <f>IF(AND(L42="Закрыт",ISNUMBER(F42),ISNUMBER(H42)),ROUND(H42-F42,8),"")</f>
        <v/>
      </c>
      <c r="K42" s="247">
        <f>IF(AND(L42="Закрыт",ISNUMBER(G42),ISNUMBER(I42)),ROUND(I42-G42,8),"")</f>
        <v/>
      </c>
      <c r="L42" s="328" t="n"/>
      <c r="M42" s="321" t="n"/>
      <c r="N42" s="327" t="n"/>
    </row>
    <row r="43" ht="22" customHeight="1">
      <c r="B43" s="323" t="n"/>
      <c r="C43" s="314" t="n"/>
      <c r="D43" s="313" t="n"/>
      <c r="E43" s="315" t="n"/>
      <c r="F43" s="316" t="n"/>
      <c r="G43" s="324" t="n"/>
      <c r="H43" s="316" t="n"/>
      <c r="I43" s="324" t="n"/>
      <c r="J43" s="240">
        <f>IF(AND(L43="Закрыт",ISNUMBER(F43),ISNUMBER(H43)),ROUND(H43-F43,8),"")</f>
        <v/>
      </c>
      <c r="K43" s="241">
        <f>IF(AND(L43="Закрыт",ISNUMBER(G43),ISNUMBER(I43)),ROUND(I43-G43,8),"")</f>
        <v/>
      </c>
      <c r="L43" s="325" t="n"/>
      <c r="M43" s="316" t="n"/>
      <c r="N43" s="324" t="n"/>
    </row>
    <row r="44" ht="22" customHeight="1">
      <c r="B44" s="326" t="n"/>
      <c r="C44" s="319" t="n"/>
      <c r="D44" s="318" t="n"/>
      <c r="E44" s="320" t="n"/>
      <c r="F44" s="321" t="n"/>
      <c r="G44" s="327" t="n"/>
      <c r="H44" s="321" t="n"/>
      <c r="I44" s="327" t="n"/>
      <c r="J44" s="246">
        <f>IF(AND(L44="Закрыт",ISNUMBER(F44),ISNUMBER(H44)),ROUND(H44-F44,8),"")</f>
        <v/>
      </c>
      <c r="K44" s="247">
        <f>IF(AND(L44="Закрыт",ISNUMBER(G44),ISNUMBER(I44)),ROUND(I44-G44,8),"")</f>
        <v/>
      </c>
      <c r="L44" s="328" t="n"/>
      <c r="M44" s="321" t="n"/>
      <c r="N44" s="327" t="n"/>
    </row>
    <row r="45" ht="22" customHeight="1">
      <c r="B45" s="323" t="n"/>
      <c r="C45" s="314" t="n"/>
      <c r="D45" s="313" t="n"/>
      <c r="E45" s="315" t="n"/>
      <c r="F45" s="316" t="n"/>
      <c r="G45" s="324" t="n"/>
      <c r="H45" s="316" t="n"/>
      <c r="I45" s="324" t="n"/>
      <c r="J45" s="240">
        <f>IF(AND(L45="Закрыт",ISNUMBER(F45),ISNUMBER(H45)),ROUND(H45-F45,8),"")</f>
        <v/>
      </c>
      <c r="K45" s="241">
        <f>IF(AND(L45="Закрыт",ISNUMBER(G45),ISNUMBER(I45)),ROUND(I45-G45,8),"")</f>
        <v/>
      </c>
      <c r="L45" s="325" t="n"/>
      <c r="M45" s="316" t="n"/>
      <c r="N45" s="324" t="n"/>
    </row>
    <row r="46" ht="22" customHeight="1">
      <c r="B46" s="326" t="n"/>
      <c r="C46" s="319" t="n"/>
      <c r="D46" s="318" t="n"/>
      <c r="E46" s="320" t="n"/>
      <c r="F46" s="321" t="n"/>
      <c r="G46" s="327" t="n"/>
      <c r="H46" s="321" t="n"/>
      <c r="I46" s="327" t="n"/>
      <c r="J46" s="246">
        <f>IF(AND(L46="Закрыт",ISNUMBER(F46),ISNUMBER(H46)),ROUND(H46-F46,8),"")</f>
        <v/>
      </c>
      <c r="K46" s="247">
        <f>IF(AND(L46="Закрыт",ISNUMBER(G46),ISNUMBER(I46)),ROUND(I46-G46,8),"")</f>
        <v/>
      </c>
      <c r="L46" s="328" t="n"/>
      <c r="M46" s="321" t="n"/>
      <c r="N46" s="327" t="n"/>
    </row>
    <row r="47" ht="22" customHeight="1">
      <c r="B47" s="323" t="n"/>
      <c r="C47" s="314" t="n"/>
      <c r="D47" s="313" t="n"/>
      <c r="E47" s="315" t="n"/>
      <c r="F47" s="316" t="n"/>
      <c r="G47" s="324" t="n"/>
      <c r="H47" s="316" t="n"/>
      <c r="I47" s="324" t="n"/>
      <c r="J47" s="240">
        <f>IF(AND(L47="Закрыт",ISNUMBER(F47),ISNUMBER(H47)),ROUND(H47-F47,8),"")</f>
        <v/>
      </c>
      <c r="K47" s="241">
        <f>IF(AND(L47="Закрыт",ISNUMBER(G47),ISNUMBER(I47)),ROUND(I47-G47,8),"")</f>
        <v/>
      </c>
      <c r="L47" s="325" t="n"/>
      <c r="M47" s="316" t="n"/>
      <c r="N47" s="324" t="n"/>
    </row>
    <row r="48" ht="22" customHeight="1">
      <c r="B48" s="326" t="n"/>
      <c r="C48" s="319" t="n"/>
      <c r="D48" s="318" t="n"/>
      <c r="E48" s="320" t="n"/>
      <c r="F48" s="321" t="n"/>
      <c r="G48" s="327" t="n"/>
      <c r="H48" s="321" t="n"/>
      <c r="I48" s="327" t="n"/>
      <c r="J48" s="246">
        <f>IF(AND(L48="Закрыт",ISNUMBER(F48),ISNUMBER(H48)),ROUND(H48-F48,8),"")</f>
        <v/>
      </c>
      <c r="K48" s="247">
        <f>IF(AND(L48="Закрыт",ISNUMBER(G48),ISNUMBER(I48)),ROUND(I48-G48,8),"")</f>
        <v/>
      </c>
      <c r="L48" s="328" t="n"/>
      <c r="M48" s="321" t="n"/>
      <c r="N48" s="327" t="n"/>
    </row>
    <row r="49" ht="22" customHeight="1">
      <c r="B49" s="323" t="n"/>
      <c r="C49" s="314" t="n"/>
      <c r="D49" s="313" t="n"/>
      <c r="E49" s="315" t="n"/>
      <c r="F49" s="316" t="n"/>
      <c r="G49" s="324" t="n"/>
      <c r="H49" s="316" t="n"/>
      <c r="I49" s="324" t="n"/>
      <c r="J49" s="240">
        <f>IF(AND(L49="Закрыт",ISNUMBER(F49),ISNUMBER(H49)),ROUND(H49-F49,8),"")</f>
        <v/>
      </c>
      <c r="K49" s="241">
        <f>IF(AND(L49="Закрыт",ISNUMBER(G49),ISNUMBER(I49)),ROUND(I49-G49,8),"")</f>
        <v/>
      </c>
      <c r="L49" s="325" t="n"/>
      <c r="M49" s="316" t="n"/>
      <c r="N49" s="324" t="n"/>
    </row>
    <row r="50" ht="22" customHeight="1">
      <c r="B50" s="326" t="n"/>
      <c r="C50" s="319" t="n"/>
      <c r="D50" s="318" t="n"/>
      <c r="E50" s="320" t="n"/>
      <c r="F50" s="321" t="n"/>
      <c r="G50" s="327" t="n"/>
      <c r="H50" s="321" t="n"/>
      <c r="I50" s="327" t="n"/>
      <c r="J50" s="246">
        <f>IF(AND(L50="Закрыт",ISNUMBER(F50),ISNUMBER(H50)),ROUND(H50-F50,8),"")</f>
        <v/>
      </c>
      <c r="K50" s="247">
        <f>IF(AND(L50="Закрыт",ISNUMBER(G50),ISNUMBER(I50)),ROUND(I50-G50,8),"")</f>
        <v/>
      </c>
      <c r="L50" s="328" t="n"/>
      <c r="M50" s="321" t="n"/>
      <c r="N50" s="327" t="n"/>
    </row>
    <row r="51" ht="22" customHeight="1">
      <c r="B51" s="323" t="n"/>
      <c r="C51" s="314" t="n"/>
      <c r="D51" s="313" t="n"/>
      <c r="E51" s="315" t="n"/>
      <c r="F51" s="316" t="n"/>
      <c r="G51" s="324" t="n"/>
      <c r="H51" s="316" t="n"/>
      <c r="I51" s="324" t="n"/>
      <c r="J51" s="240">
        <f>IF(AND(L51="Закрыт",ISNUMBER(F51),ISNUMBER(H51)),ROUND(H51-F51,8),"")</f>
        <v/>
      </c>
      <c r="K51" s="241">
        <f>IF(AND(L51="Закрыт",ISNUMBER(G51),ISNUMBER(I51)),ROUND(I51-G51,8),"")</f>
        <v/>
      </c>
      <c r="L51" s="325" t="n"/>
      <c r="M51" s="316" t="n"/>
      <c r="N51" s="324" t="n"/>
    </row>
    <row r="52" ht="22" customHeight="1">
      <c r="B52" s="326" t="n"/>
      <c r="C52" s="319" t="n"/>
      <c r="D52" s="318" t="n"/>
      <c r="E52" s="320" t="n"/>
      <c r="F52" s="321" t="n"/>
      <c r="G52" s="327" t="n"/>
      <c r="H52" s="321" t="n"/>
      <c r="I52" s="327" t="n"/>
      <c r="J52" s="246">
        <f>IF(AND(L52="Закрыт",ISNUMBER(F52),ISNUMBER(H52)),ROUND(H52-F52,8),"")</f>
        <v/>
      </c>
      <c r="K52" s="247">
        <f>IF(AND(L52="Закрыт",ISNUMBER(G52),ISNUMBER(I52)),ROUND(I52-G52,8),"")</f>
        <v/>
      </c>
      <c r="L52" s="328" t="n"/>
      <c r="M52" s="321" t="n"/>
      <c r="N52" s="327" t="n"/>
    </row>
    <row r="53" ht="22" customHeight="1">
      <c r="B53" s="323" t="n"/>
      <c r="C53" s="314" t="n"/>
      <c r="D53" s="313" t="n"/>
      <c r="E53" s="315" t="n"/>
      <c r="F53" s="316" t="n"/>
      <c r="G53" s="324" t="n"/>
      <c r="H53" s="316" t="n"/>
      <c r="I53" s="324" t="n"/>
      <c r="J53" s="240">
        <f>IF(AND(L53="Закрыт",ISNUMBER(F53),ISNUMBER(H53)),ROUND(H53-F53,8),"")</f>
        <v/>
      </c>
      <c r="K53" s="241">
        <f>IF(AND(L53="Закрыт",ISNUMBER(G53),ISNUMBER(I53)),ROUND(I53-G53,8),"")</f>
        <v/>
      </c>
      <c r="L53" s="325" t="n"/>
      <c r="M53" s="316" t="n"/>
      <c r="N53" s="324" t="n"/>
    </row>
    <row r="54" ht="22" customHeight="1">
      <c r="B54" s="326" t="n"/>
      <c r="C54" s="319" t="n"/>
      <c r="D54" s="318" t="n"/>
      <c r="E54" s="320" t="n"/>
      <c r="F54" s="321" t="n"/>
      <c r="G54" s="327" t="n"/>
      <c r="H54" s="321" t="n"/>
      <c r="I54" s="327" t="n"/>
      <c r="J54" s="246">
        <f>IF(AND(L54="Закрыт",ISNUMBER(F54),ISNUMBER(H54)),ROUND(H54-F54,8),"")</f>
        <v/>
      </c>
      <c r="K54" s="247">
        <f>IF(AND(L54="Закрыт",ISNUMBER(G54),ISNUMBER(I54)),ROUND(I54-G54,8),"")</f>
        <v/>
      </c>
      <c r="L54" s="328" t="n"/>
      <c r="M54" s="321" t="n"/>
      <c r="N54" s="327" t="n"/>
    </row>
    <row r="55" ht="22" customHeight="1">
      <c r="B55" s="323" t="n"/>
      <c r="C55" s="314" t="n"/>
      <c r="D55" s="313" t="n"/>
      <c r="E55" s="315" t="n"/>
      <c r="F55" s="316" t="n"/>
      <c r="G55" s="324" t="n"/>
      <c r="H55" s="316" t="n"/>
      <c r="I55" s="324" t="n"/>
      <c r="J55" s="240">
        <f>IF(AND(L55="Закрыт",ISNUMBER(F55),ISNUMBER(H55)),ROUND(H55-F55,8),"")</f>
        <v/>
      </c>
      <c r="K55" s="241">
        <f>IF(AND(L55="Закрыт",ISNUMBER(G55),ISNUMBER(I55)),ROUND(I55-G55,8),"")</f>
        <v/>
      </c>
      <c r="L55" s="325" t="n"/>
      <c r="M55" s="316" t="n"/>
      <c r="N55" s="324" t="n"/>
    </row>
    <row r="56" ht="22" customHeight="1">
      <c r="B56" s="326" t="n"/>
      <c r="C56" s="319" t="n"/>
      <c r="D56" s="318" t="n"/>
      <c r="E56" s="320" t="n"/>
      <c r="F56" s="321" t="n"/>
      <c r="G56" s="327" t="n"/>
      <c r="H56" s="321" t="n"/>
      <c r="I56" s="327" t="n"/>
      <c r="J56" s="246">
        <f>IF(AND(L56="Закрыт",ISNUMBER(F56),ISNUMBER(H56)),ROUND(H56-F56,8),"")</f>
        <v/>
      </c>
      <c r="K56" s="247">
        <f>IF(AND(L56="Закрыт",ISNUMBER(G56),ISNUMBER(I56)),ROUND(I56-G56,8),"")</f>
        <v/>
      </c>
      <c r="L56" s="328" t="n"/>
      <c r="M56" s="321" t="n"/>
      <c r="N56" s="327" t="n"/>
    </row>
    <row r="57" ht="22" customHeight="1">
      <c r="B57" s="323" t="n"/>
      <c r="C57" s="314" t="n"/>
      <c r="D57" s="313" t="n"/>
      <c r="E57" s="315" t="n"/>
      <c r="F57" s="316" t="n"/>
      <c r="G57" s="324" t="n"/>
      <c r="H57" s="316" t="n"/>
      <c r="I57" s="324" t="n"/>
      <c r="J57" s="240">
        <f>IF(AND(L57="Закрыт",ISNUMBER(F57),ISNUMBER(H57)),ROUND(H57-F57,8),"")</f>
        <v/>
      </c>
      <c r="K57" s="241">
        <f>IF(AND(L57="Закрыт",ISNUMBER(G57),ISNUMBER(I57)),ROUND(I57-G57,8),"")</f>
        <v/>
      </c>
      <c r="L57" s="325" t="n"/>
      <c r="M57" s="316" t="n"/>
      <c r="N57" s="324" t="n"/>
    </row>
    <row r="58" ht="22" customHeight="1">
      <c r="B58" s="326" t="n"/>
      <c r="C58" s="319" t="n"/>
      <c r="D58" s="318" t="n"/>
      <c r="E58" s="320" t="n"/>
      <c r="F58" s="321" t="n"/>
      <c r="G58" s="327" t="n"/>
      <c r="H58" s="321" t="n"/>
      <c r="I58" s="327" t="n"/>
      <c r="J58" s="246">
        <f>IF(AND(L58="Закрыт",ISNUMBER(F58),ISNUMBER(H58)),ROUND(H58-F58,8),"")</f>
        <v/>
      </c>
      <c r="K58" s="247">
        <f>IF(AND(L58="Закрыт",ISNUMBER(G58),ISNUMBER(I58)),ROUND(I58-G58,8),"")</f>
        <v/>
      </c>
      <c r="L58" s="328" t="n"/>
      <c r="M58" s="321" t="n"/>
      <c r="N58" s="327" t="n"/>
    </row>
    <row r="59" ht="22" customHeight="1">
      <c r="B59" s="323" t="n"/>
      <c r="C59" s="314" t="n"/>
      <c r="D59" s="313" t="n"/>
      <c r="E59" s="315" t="n"/>
      <c r="F59" s="316" t="n"/>
      <c r="G59" s="324" t="n"/>
      <c r="H59" s="316" t="n"/>
      <c r="I59" s="324" t="n"/>
      <c r="J59" s="240">
        <f>IF(AND(L59="Закрыт",ISNUMBER(F59),ISNUMBER(H59)),ROUND(H59-F59,8),"")</f>
        <v/>
      </c>
      <c r="K59" s="241">
        <f>IF(AND(L59="Закрыт",ISNUMBER(G59),ISNUMBER(I59)),ROUND(I59-G59,8),"")</f>
        <v/>
      </c>
      <c r="L59" s="325" t="n"/>
      <c r="M59" s="316" t="n"/>
      <c r="N59" s="324" t="n"/>
    </row>
    <row r="60" ht="22" customHeight="1">
      <c r="B60" s="326" t="n"/>
      <c r="C60" s="319" t="n"/>
      <c r="D60" s="318" t="n"/>
      <c r="E60" s="320" t="n"/>
      <c r="F60" s="321" t="n"/>
      <c r="G60" s="327" t="n"/>
      <c r="H60" s="321" t="n"/>
      <c r="I60" s="327" t="n"/>
      <c r="J60" s="246">
        <f>IF(AND(L60="Закрыт",ISNUMBER(F60),ISNUMBER(H60)),ROUND(H60-F60,8),"")</f>
        <v/>
      </c>
      <c r="K60" s="247">
        <f>IF(AND(L60="Закрыт",ISNUMBER(G60),ISNUMBER(I60)),ROUND(I60-G60,8),"")</f>
        <v/>
      </c>
      <c r="L60" s="328" t="n"/>
      <c r="M60" s="321" t="n"/>
      <c r="N60" s="327" t="n"/>
    </row>
    <row r="61" ht="22" customHeight="1">
      <c r="B61" s="323" t="n"/>
      <c r="C61" s="314" t="n"/>
      <c r="D61" s="313" t="n"/>
      <c r="E61" s="315" t="n"/>
      <c r="F61" s="316" t="n"/>
      <c r="G61" s="324" t="n"/>
      <c r="H61" s="316" t="n"/>
      <c r="I61" s="324" t="n"/>
      <c r="J61" s="240">
        <f>IF(AND(L61="Закрыт",ISNUMBER(F61),ISNUMBER(H61)),ROUND(H61-F61,8),"")</f>
        <v/>
      </c>
      <c r="K61" s="241">
        <f>IF(AND(L61="Закрыт",ISNUMBER(G61),ISNUMBER(I61)),ROUND(I61-G61,8),"")</f>
        <v/>
      </c>
      <c r="L61" s="325" t="n"/>
      <c r="M61" s="316" t="n"/>
      <c r="N61" s="324" t="n"/>
    </row>
    <row r="62" ht="22" customHeight="1">
      <c r="B62" s="326" t="n"/>
      <c r="C62" s="319" t="n"/>
      <c r="D62" s="318" t="n"/>
      <c r="E62" s="320" t="n"/>
      <c r="F62" s="321" t="n"/>
      <c r="G62" s="327" t="n"/>
      <c r="H62" s="321" t="n"/>
      <c r="I62" s="327" t="n"/>
      <c r="J62" s="246">
        <f>IF(AND(L62="Закрыт",ISNUMBER(F62),ISNUMBER(H62)),ROUND(H62-F62,8),"")</f>
        <v/>
      </c>
      <c r="K62" s="247">
        <f>IF(AND(L62="Закрыт",ISNUMBER(G62),ISNUMBER(I62)),ROUND(I62-G62,8),"")</f>
        <v/>
      </c>
      <c r="L62" s="328" t="n"/>
      <c r="M62" s="321" t="n"/>
      <c r="N62" s="327" t="n"/>
    </row>
    <row r="63" ht="22" customHeight="1">
      <c r="B63" s="323" t="n"/>
      <c r="C63" s="314" t="n"/>
      <c r="D63" s="313" t="n"/>
      <c r="E63" s="315" t="n"/>
      <c r="F63" s="316" t="n"/>
      <c r="G63" s="324" t="n"/>
      <c r="H63" s="316" t="n"/>
      <c r="I63" s="324" t="n"/>
      <c r="J63" s="240">
        <f>IF(AND(L63="Закрыт",ISNUMBER(F63),ISNUMBER(H63)),ROUND(H63-F63,8),"")</f>
        <v/>
      </c>
      <c r="K63" s="241">
        <f>IF(AND(L63="Закрыт",ISNUMBER(G63),ISNUMBER(I63)),ROUND(I63-G63,8),"")</f>
        <v/>
      </c>
      <c r="L63" s="325" t="n"/>
      <c r="M63" s="316" t="n"/>
      <c r="N63" s="324" t="n"/>
    </row>
    <row r="64" ht="22" customHeight="1">
      <c r="B64" s="326" t="n"/>
      <c r="C64" s="319" t="n"/>
      <c r="D64" s="318" t="n"/>
      <c r="E64" s="320" t="n"/>
      <c r="F64" s="321" t="n"/>
      <c r="G64" s="327" t="n"/>
      <c r="H64" s="321" t="n"/>
      <c r="I64" s="327" t="n"/>
      <c r="J64" s="246">
        <f>IF(AND(L64="Закрыт",ISNUMBER(F64),ISNUMBER(H64)),ROUND(H64-F64,8),"")</f>
        <v/>
      </c>
      <c r="K64" s="247">
        <f>IF(AND(L64="Закрыт",ISNUMBER(G64),ISNUMBER(I64)),ROUND(I64-G64,8),"")</f>
        <v/>
      </c>
      <c r="L64" s="328" t="n"/>
      <c r="M64" s="321" t="n"/>
      <c r="N64" s="327" t="n"/>
    </row>
    <row r="65" ht="22" customHeight="1">
      <c r="B65" s="323" t="n"/>
      <c r="C65" s="314" t="n"/>
      <c r="D65" s="313" t="n"/>
      <c r="E65" s="315" t="n"/>
      <c r="F65" s="316" t="n"/>
      <c r="G65" s="324" t="n"/>
      <c r="H65" s="316" t="n"/>
      <c r="I65" s="324" t="n"/>
      <c r="J65" s="240">
        <f>IF(AND(L65="Закрыт",ISNUMBER(F65),ISNUMBER(H65)),ROUND(H65-F65,8),"")</f>
        <v/>
      </c>
      <c r="K65" s="241">
        <f>IF(AND(L65="Закрыт",ISNUMBER(G65),ISNUMBER(I65)),ROUND(I65-G65,8),"")</f>
        <v/>
      </c>
      <c r="L65" s="325" t="n"/>
      <c r="M65" s="316" t="n"/>
      <c r="N65" s="324" t="n"/>
    </row>
    <row r="66" ht="22" customHeight="1">
      <c r="B66" s="326" t="n"/>
      <c r="C66" s="319" t="n"/>
      <c r="D66" s="318" t="n"/>
      <c r="E66" s="320" t="n"/>
      <c r="F66" s="321" t="n"/>
      <c r="G66" s="327" t="n"/>
      <c r="H66" s="321" t="n"/>
      <c r="I66" s="327" t="n"/>
      <c r="J66" s="246">
        <f>IF(AND(L66="Закрыт",ISNUMBER(F66),ISNUMBER(H66)),ROUND(H66-F66,8),"")</f>
        <v/>
      </c>
      <c r="K66" s="247">
        <f>IF(AND(L66="Закрыт",ISNUMBER(G66),ISNUMBER(I66)),ROUND(I66-G66,8),"")</f>
        <v/>
      </c>
      <c r="L66" s="328" t="n"/>
      <c r="M66" s="321" t="n"/>
      <c r="N66" s="327" t="n"/>
    </row>
    <row r="67" ht="22" customHeight="1">
      <c r="B67" s="323" t="n"/>
      <c r="C67" s="314" t="n"/>
      <c r="D67" s="313" t="n"/>
      <c r="E67" s="315" t="n"/>
      <c r="F67" s="316" t="n"/>
      <c r="G67" s="324" t="n"/>
      <c r="H67" s="316" t="n"/>
      <c r="I67" s="324" t="n"/>
      <c r="J67" s="240">
        <f>IF(AND(L67="Закрыт",ISNUMBER(F67),ISNUMBER(H67)),ROUND(H67-F67,8),"")</f>
        <v/>
      </c>
      <c r="K67" s="241">
        <f>IF(AND(L67="Закрыт",ISNUMBER(G67),ISNUMBER(I67)),ROUND(I67-G67,8),"")</f>
        <v/>
      </c>
      <c r="L67" s="325" t="n"/>
      <c r="M67" s="316" t="n"/>
      <c r="N67" s="324" t="n"/>
    </row>
    <row r="68" ht="22" customHeight="1">
      <c r="B68" s="326" t="n"/>
      <c r="C68" s="319" t="n"/>
      <c r="D68" s="318" t="n"/>
      <c r="E68" s="320" t="n"/>
      <c r="F68" s="321" t="n"/>
      <c r="G68" s="327" t="n"/>
      <c r="H68" s="321" t="n"/>
      <c r="I68" s="327" t="n"/>
      <c r="J68" s="246">
        <f>IF(AND(L68="Закрыт",ISNUMBER(F68),ISNUMBER(H68)),ROUND(H68-F68,8),"")</f>
        <v/>
      </c>
      <c r="K68" s="247">
        <f>IF(AND(L68="Закрыт",ISNUMBER(G68),ISNUMBER(I68)),ROUND(I68-G68,8),"")</f>
        <v/>
      </c>
      <c r="L68" s="328" t="n"/>
      <c r="M68" s="321" t="n"/>
      <c r="N68" s="327" t="n"/>
    </row>
    <row r="69" ht="22" customHeight="1">
      <c r="B69" s="323" t="n"/>
      <c r="C69" s="314" t="n"/>
      <c r="D69" s="313" t="n"/>
      <c r="E69" s="315" t="n"/>
      <c r="F69" s="316" t="n"/>
      <c r="G69" s="324" t="n"/>
      <c r="H69" s="316" t="n"/>
      <c r="I69" s="324" t="n"/>
      <c r="J69" s="240">
        <f>IF(AND(L69="Закрыт",ISNUMBER(F69),ISNUMBER(H69)),ROUND(H69-F69,8),"")</f>
        <v/>
      </c>
      <c r="K69" s="241">
        <f>IF(AND(L69="Закрыт",ISNUMBER(G69),ISNUMBER(I69)),ROUND(I69-G69,8),"")</f>
        <v/>
      </c>
      <c r="L69" s="325" t="n"/>
      <c r="M69" s="316" t="n"/>
      <c r="N69" s="324" t="n"/>
    </row>
    <row r="70" ht="22" customHeight="1">
      <c r="B70" s="326" t="n"/>
      <c r="C70" s="319" t="n"/>
      <c r="D70" s="318" t="n"/>
      <c r="E70" s="320" t="n"/>
      <c r="F70" s="321" t="n"/>
      <c r="G70" s="327" t="n"/>
      <c r="H70" s="321" t="n"/>
      <c r="I70" s="327" t="n"/>
      <c r="J70" s="246">
        <f>IF(AND(L70="Закрыт",ISNUMBER(F70),ISNUMBER(H70)),ROUND(H70-F70,8),"")</f>
        <v/>
      </c>
      <c r="K70" s="247">
        <f>IF(AND(L70="Закрыт",ISNUMBER(G70),ISNUMBER(I70)),ROUND(I70-G70,8),"")</f>
        <v/>
      </c>
      <c r="L70" s="328" t="n"/>
      <c r="M70" s="321" t="n"/>
      <c r="N70" s="327" t="n"/>
    </row>
    <row r="71" ht="22" customHeight="1">
      <c r="B71" s="323" t="n"/>
      <c r="C71" s="314" t="n"/>
      <c r="D71" s="313" t="n"/>
      <c r="E71" s="315" t="n"/>
      <c r="F71" s="316" t="n"/>
      <c r="G71" s="324" t="n"/>
      <c r="H71" s="316" t="n"/>
      <c r="I71" s="324" t="n"/>
      <c r="J71" s="240">
        <f>IF(AND(L71="Закрыт",ISNUMBER(F71),ISNUMBER(H71)),ROUND(H71-F71,8),"")</f>
        <v/>
      </c>
      <c r="K71" s="241">
        <f>IF(AND(L71="Закрыт",ISNUMBER(G71),ISNUMBER(I71)),ROUND(I71-G71,8),"")</f>
        <v/>
      </c>
      <c r="L71" s="325" t="n"/>
      <c r="M71" s="316" t="n"/>
      <c r="N71" s="324" t="n"/>
    </row>
    <row r="72" ht="22" customHeight="1">
      <c r="B72" s="326" t="n"/>
      <c r="C72" s="319" t="n"/>
      <c r="D72" s="318" t="n"/>
      <c r="E72" s="320" t="n"/>
      <c r="F72" s="321" t="n"/>
      <c r="G72" s="327" t="n"/>
      <c r="H72" s="321" t="n"/>
      <c r="I72" s="327" t="n"/>
      <c r="J72" s="246">
        <f>IF(AND(L72="Закрыт",ISNUMBER(F72),ISNUMBER(H72)),ROUND(H72-F72,8),"")</f>
        <v/>
      </c>
      <c r="K72" s="247">
        <f>IF(AND(L72="Закрыт",ISNUMBER(G72),ISNUMBER(I72)),ROUND(I72-G72,8),"")</f>
        <v/>
      </c>
      <c r="L72" s="328" t="n"/>
      <c r="M72" s="321" t="n"/>
      <c r="N72" s="327" t="n"/>
    </row>
    <row r="73" ht="22" customHeight="1">
      <c r="B73" s="323" t="n"/>
      <c r="C73" s="314" t="n"/>
      <c r="D73" s="313" t="n"/>
      <c r="E73" s="315" t="n"/>
      <c r="F73" s="316" t="n"/>
      <c r="G73" s="324" t="n"/>
      <c r="H73" s="316" t="n"/>
      <c r="I73" s="324" t="n"/>
      <c r="J73" s="240">
        <f>IF(AND(L73="Закрыт",ISNUMBER(F73),ISNUMBER(H73)),ROUND(H73-F73,8),"")</f>
        <v/>
      </c>
      <c r="K73" s="241">
        <f>IF(AND(L73="Закрыт",ISNUMBER(G73),ISNUMBER(I73)),ROUND(I73-G73,8),"")</f>
        <v/>
      </c>
      <c r="L73" s="325" t="n"/>
      <c r="M73" s="316" t="n"/>
      <c r="N73" s="324" t="n"/>
    </row>
    <row r="74" ht="22" customHeight="1">
      <c r="B74" s="326" t="n"/>
      <c r="C74" s="319" t="n"/>
      <c r="D74" s="318" t="n"/>
      <c r="E74" s="320" t="n"/>
      <c r="F74" s="321" t="n"/>
      <c r="G74" s="327" t="n"/>
      <c r="H74" s="321" t="n"/>
      <c r="I74" s="327" t="n"/>
      <c r="J74" s="246">
        <f>IF(AND(L74="Закрыт",ISNUMBER(F74),ISNUMBER(H74)),ROUND(H74-F74,8),"")</f>
        <v/>
      </c>
      <c r="K74" s="247">
        <f>IF(AND(L74="Закрыт",ISNUMBER(G74),ISNUMBER(I74)),ROUND(I74-G74,8),"")</f>
        <v/>
      </c>
      <c r="L74" s="328" t="n"/>
      <c r="M74" s="321" t="n"/>
      <c r="N74" s="327" t="n"/>
    </row>
    <row r="75" ht="22" customHeight="1">
      <c r="B75" s="323" t="n"/>
      <c r="C75" s="314" t="n"/>
      <c r="D75" s="313" t="n"/>
      <c r="E75" s="315" t="n"/>
      <c r="F75" s="316" t="n"/>
      <c r="G75" s="324" t="n"/>
      <c r="H75" s="316" t="n"/>
      <c r="I75" s="324" t="n"/>
      <c r="J75" s="240">
        <f>IF(AND(L75="Закрыт",ISNUMBER(F75),ISNUMBER(H75)),ROUND(H75-F75,8),"")</f>
        <v/>
      </c>
      <c r="K75" s="241">
        <f>IF(AND(L75="Закрыт",ISNUMBER(G75),ISNUMBER(I75)),ROUND(I75-G75,8),"")</f>
        <v/>
      </c>
      <c r="L75" s="325" t="n"/>
      <c r="M75" s="316" t="n"/>
      <c r="N75" s="324" t="n"/>
    </row>
    <row r="76" ht="22" customHeight="1">
      <c r="B76" s="326" t="n"/>
      <c r="C76" s="319" t="n"/>
      <c r="D76" s="318" t="n"/>
      <c r="E76" s="320" t="n"/>
      <c r="F76" s="321" t="n"/>
      <c r="G76" s="327" t="n"/>
      <c r="H76" s="321" t="n"/>
      <c r="I76" s="327" t="n"/>
      <c r="J76" s="246">
        <f>IF(AND(L76="Закрыт",ISNUMBER(F76),ISNUMBER(H76)),ROUND(H76-F76,8),"")</f>
        <v/>
      </c>
      <c r="K76" s="247">
        <f>IF(AND(L76="Закрыт",ISNUMBER(G76),ISNUMBER(I76)),ROUND(I76-G76,8),"")</f>
        <v/>
      </c>
      <c r="L76" s="328" t="n"/>
      <c r="M76" s="321" t="n"/>
      <c r="N76" s="327" t="n"/>
    </row>
    <row r="77" ht="22" customHeight="1">
      <c r="B77" s="323" t="n"/>
      <c r="C77" s="314" t="n"/>
      <c r="D77" s="313" t="n"/>
      <c r="E77" s="315" t="n"/>
      <c r="F77" s="316" t="n"/>
      <c r="G77" s="324" t="n"/>
      <c r="H77" s="316" t="n"/>
      <c r="I77" s="324" t="n"/>
      <c r="J77" s="240">
        <f>IF(AND(L77="Закрыт",ISNUMBER(F77),ISNUMBER(H77)),ROUND(H77-F77,8),"")</f>
        <v/>
      </c>
      <c r="K77" s="241">
        <f>IF(AND(L77="Закрыт",ISNUMBER(G77),ISNUMBER(I77)),ROUND(I77-G77,8),"")</f>
        <v/>
      </c>
      <c r="L77" s="325" t="n"/>
      <c r="M77" s="316" t="n"/>
      <c r="N77" s="324" t="n"/>
    </row>
    <row r="78" ht="22" customHeight="1">
      <c r="B78" s="326" t="n"/>
      <c r="C78" s="319" t="n"/>
      <c r="D78" s="318" t="n"/>
      <c r="E78" s="320" t="n"/>
      <c r="F78" s="321" t="n"/>
      <c r="G78" s="327" t="n"/>
      <c r="H78" s="321" t="n"/>
      <c r="I78" s="327" t="n"/>
      <c r="J78" s="246">
        <f>IF(AND(L78="Закрыт",ISNUMBER(F78),ISNUMBER(H78)),ROUND(H78-F78,8),"")</f>
        <v/>
      </c>
      <c r="K78" s="247">
        <f>IF(AND(L78="Закрыт",ISNUMBER(G78),ISNUMBER(I78)),ROUND(I78-G78,8),"")</f>
        <v/>
      </c>
      <c r="L78" s="328" t="n"/>
      <c r="M78" s="321" t="n"/>
      <c r="N78" s="327" t="n"/>
    </row>
    <row r="79" ht="22" customHeight="1">
      <c r="B79" s="323" t="n"/>
      <c r="C79" s="314" t="n"/>
      <c r="D79" s="313" t="n"/>
      <c r="E79" s="315" t="n"/>
      <c r="F79" s="316" t="n"/>
      <c r="G79" s="324" t="n"/>
      <c r="H79" s="316" t="n"/>
      <c r="I79" s="324" t="n"/>
      <c r="J79" s="240">
        <f>IF(AND(L79="Закрыт",ISNUMBER(F79),ISNUMBER(H79)),ROUND(H79-F79,8),"")</f>
        <v/>
      </c>
      <c r="K79" s="241">
        <f>IF(AND(L79="Закрыт",ISNUMBER(G79),ISNUMBER(I79)),ROUND(I79-G79,8),"")</f>
        <v/>
      </c>
      <c r="L79" s="325" t="n"/>
      <c r="M79" s="316" t="n"/>
      <c r="N79" s="324" t="n"/>
    </row>
    <row r="80" ht="22" customHeight="1">
      <c r="B80" s="326" t="n"/>
      <c r="C80" s="319" t="n"/>
      <c r="D80" s="318" t="n"/>
      <c r="E80" s="320" t="n"/>
      <c r="F80" s="321" t="n"/>
      <c r="G80" s="327" t="n"/>
      <c r="H80" s="321" t="n"/>
      <c r="I80" s="327" t="n"/>
      <c r="J80" s="246">
        <f>IF(AND(L80="Закрыт",ISNUMBER(F80),ISNUMBER(H80)),ROUND(H80-F80,8),"")</f>
        <v/>
      </c>
      <c r="K80" s="247">
        <f>IF(AND(L80="Закрыт",ISNUMBER(G80),ISNUMBER(I80)),ROUND(I80-G80,8),"")</f>
        <v/>
      </c>
      <c r="L80" s="328" t="n"/>
      <c r="M80" s="321" t="n"/>
      <c r="N80" s="327" t="n"/>
    </row>
    <row r="81" ht="22" customHeight="1">
      <c r="B81" s="323" t="n"/>
      <c r="C81" s="314" t="n"/>
      <c r="D81" s="313" t="n"/>
      <c r="E81" s="315" t="n"/>
      <c r="F81" s="316" t="n"/>
      <c r="G81" s="324" t="n"/>
      <c r="H81" s="316" t="n"/>
      <c r="I81" s="324" t="n"/>
      <c r="J81" s="240">
        <f>IF(AND(L81="Закрыт",ISNUMBER(F81),ISNUMBER(H81)),ROUND(H81-F81,8),"")</f>
        <v/>
      </c>
      <c r="K81" s="241">
        <f>IF(AND(L81="Закрыт",ISNUMBER(G81),ISNUMBER(I81)),ROUND(I81-G81,8),"")</f>
        <v/>
      </c>
      <c r="L81" s="325" t="n"/>
      <c r="M81" s="316" t="n"/>
      <c r="N81" s="324" t="n"/>
    </row>
    <row r="82" ht="22" customHeight="1">
      <c r="B82" s="326" t="n"/>
      <c r="C82" s="319" t="n"/>
      <c r="D82" s="318" t="n"/>
      <c r="E82" s="320" t="n"/>
      <c r="F82" s="321" t="n"/>
      <c r="G82" s="327" t="n"/>
      <c r="H82" s="321" t="n"/>
      <c r="I82" s="327" t="n"/>
      <c r="J82" s="246">
        <f>IF(AND(L82="Закрыт",ISNUMBER(F82),ISNUMBER(H82)),ROUND(H82-F82,8),"")</f>
        <v/>
      </c>
      <c r="K82" s="247">
        <f>IF(AND(L82="Закрыт",ISNUMBER(G82),ISNUMBER(I82)),ROUND(I82-G82,8),"")</f>
        <v/>
      </c>
      <c r="L82" s="328" t="n"/>
      <c r="M82" s="321" t="n"/>
      <c r="N82" s="327" t="n"/>
    </row>
    <row r="83" ht="22" customHeight="1">
      <c r="B83" s="323" t="n"/>
      <c r="C83" s="314" t="n"/>
      <c r="D83" s="313" t="n"/>
      <c r="E83" s="315" t="n"/>
      <c r="F83" s="316" t="n"/>
      <c r="G83" s="324" t="n"/>
      <c r="H83" s="316" t="n"/>
      <c r="I83" s="324" t="n"/>
      <c r="J83" s="240">
        <f>IF(AND(L83="Закрыт",ISNUMBER(F83),ISNUMBER(H83)),ROUND(H83-F83,8),"")</f>
        <v/>
      </c>
      <c r="K83" s="241">
        <f>IF(AND(L83="Закрыт",ISNUMBER(G83),ISNUMBER(I83)),ROUND(I83-G83,8),"")</f>
        <v/>
      </c>
      <c r="L83" s="325" t="n"/>
      <c r="M83" s="316" t="n"/>
      <c r="N83" s="324" t="n"/>
    </row>
    <row r="84" ht="22" customHeight="1">
      <c r="B84" s="326" t="n"/>
      <c r="C84" s="319" t="n"/>
      <c r="D84" s="318" t="n"/>
      <c r="E84" s="320" t="n"/>
      <c r="F84" s="321" t="n"/>
      <c r="G84" s="327" t="n"/>
      <c r="H84" s="321" t="n"/>
      <c r="I84" s="327" t="n"/>
      <c r="J84" s="246">
        <f>IF(AND(L84="Закрыт",ISNUMBER(F84),ISNUMBER(H84)),ROUND(H84-F84,8),"")</f>
        <v/>
      </c>
      <c r="K84" s="247">
        <f>IF(AND(L84="Закрыт",ISNUMBER(G84),ISNUMBER(I84)),ROUND(I84-G84,8),"")</f>
        <v/>
      </c>
      <c r="L84" s="328" t="n"/>
      <c r="M84" s="321" t="n"/>
      <c r="N84" s="327" t="n"/>
    </row>
    <row r="85" ht="22" customHeight="1">
      <c r="B85" s="323" t="n"/>
      <c r="C85" s="314" t="n"/>
      <c r="D85" s="313" t="n"/>
      <c r="E85" s="315" t="n"/>
      <c r="F85" s="316" t="n"/>
      <c r="G85" s="324" t="n"/>
      <c r="H85" s="316" t="n"/>
      <c r="I85" s="324" t="n"/>
      <c r="J85" s="240">
        <f>IF(AND(L85="Закрыт",ISNUMBER(F85),ISNUMBER(H85)),ROUND(H85-F85,8),"")</f>
        <v/>
      </c>
      <c r="K85" s="241">
        <f>IF(AND(L85="Закрыт",ISNUMBER(G85),ISNUMBER(I85)),ROUND(I85-G85,8),"")</f>
        <v/>
      </c>
      <c r="L85" s="325" t="n"/>
      <c r="M85" s="316" t="n"/>
      <c r="N85" s="324" t="n"/>
    </row>
    <row r="86" ht="22" customHeight="1">
      <c r="B86" s="326" t="n"/>
      <c r="C86" s="319" t="n"/>
      <c r="D86" s="318" t="n"/>
      <c r="E86" s="320" t="n"/>
      <c r="F86" s="321" t="n"/>
      <c r="G86" s="327" t="n"/>
      <c r="H86" s="321" t="n"/>
      <c r="I86" s="327" t="n"/>
      <c r="J86" s="246">
        <f>IF(AND(L86="Закрыт",ISNUMBER(F86),ISNUMBER(H86)),ROUND(H86-F86,8),"")</f>
        <v/>
      </c>
      <c r="K86" s="247">
        <f>IF(AND(L86="Закрыт",ISNUMBER(G86),ISNUMBER(I86)),ROUND(I86-G86,8),"")</f>
        <v/>
      </c>
      <c r="L86" s="328" t="n"/>
      <c r="M86" s="321" t="n"/>
      <c r="N86" s="327" t="n"/>
    </row>
    <row r="87" ht="22" customHeight="1">
      <c r="B87" s="323" t="n"/>
      <c r="C87" s="314" t="n"/>
      <c r="D87" s="313" t="n"/>
      <c r="E87" s="315" t="n"/>
      <c r="F87" s="316" t="n"/>
      <c r="G87" s="324" t="n"/>
      <c r="H87" s="316" t="n"/>
      <c r="I87" s="324" t="n"/>
      <c r="J87" s="240">
        <f>IF(AND(L87="Закрыт",ISNUMBER(F87),ISNUMBER(H87)),ROUND(H87-F87,8),"")</f>
        <v/>
      </c>
      <c r="K87" s="241">
        <f>IF(AND(L87="Закрыт",ISNUMBER(G87),ISNUMBER(I87)),ROUND(I87-G87,8),"")</f>
        <v/>
      </c>
      <c r="L87" s="325" t="n"/>
      <c r="M87" s="316" t="n"/>
      <c r="N87" s="324" t="n"/>
    </row>
    <row r="88" ht="22" customHeight="1">
      <c r="B88" s="326" t="n"/>
      <c r="C88" s="319" t="n"/>
      <c r="D88" s="318" t="n"/>
      <c r="E88" s="320" t="n"/>
      <c r="F88" s="321" t="n"/>
      <c r="G88" s="327" t="n"/>
      <c r="H88" s="321" t="n"/>
      <c r="I88" s="327" t="n"/>
      <c r="J88" s="246">
        <f>IF(AND(L88="Закрыт",ISNUMBER(F88),ISNUMBER(H88)),ROUND(H88-F88,8),"")</f>
        <v/>
      </c>
      <c r="K88" s="247">
        <f>IF(AND(L88="Закрыт",ISNUMBER(G88),ISNUMBER(I88)),ROUND(I88-G88,8),"")</f>
        <v/>
      </c>
      <c r="L88" s="328" t="n"/>
      <c r="M88" s="321" t="n"/>
      <c r="N88" s="327" t="n"/>
    </row>
    <row r="89" ht="22" customHeight="1">
      <c r="B89" s="323" t="n"/>
      <c r="C89" s="314" t="n"/>
      <c r="D89" s="313" t="n"/>
      <c r="E89" s="315" t="n"/>
      <c r="F89" s="316" t="n"/>
      <c r="G89" s="324" t="n"/>
      <c r="H89" s="316" t="n"/>
      <c r="I89" s="324" t="n"/>
      <c r="J89" s="240">
        <f>IF(AND(L89="Закрыт",ISNUMBER(F89),ISNUMBER(H89)),ROUND(H89-F89,8),"")</f>
        <v/>
      </c>
      <c r="K89" s="241">
        <f>IF(AND(L89="Закрыт",ISNUMBER(G89),ISNUMBER(I89)),ROUND(I89-G89,8),"")</f>
        <v/>
      </c>
      <c r="L89" s="325" t="n"/>
      <c r="M89" s="316" t="n"/>
      <c r="N89" s="324" t="n"/>
    </row>
    <row r="90" ht="22" customHeight="1">
      <c r="B90" s="326" t="n"/>
      <c r="C90" s="319" t="n"/>
      <c r="D90" s="318" t="n"/>
      <c r="E90" s="320" t="n"/>
      <c r="F90" s="321" t="n"/>
      <c r="G90" s="327" t="n"/>
      <c r="H90" s="321" t="n"/>
      <c r="I90" s="327" t="n"/>
      <c r="J90" s="246">
        <f>IF(AND(L90="Закрыт",ISNUMBER(F90),ISNUMBER(H90)),ROUND(H90-F90,8),"")</f>
        <v/>
      </c>
      <c r="K90" s="247">
        <f>IF(AND(L90="Закрыт",ISNUMBER(G90),ISNUMBER(I90)),ROUND(I90-G90,8),"")</f>
        <v/>
      </c>
      <c r="L90" s="328" t="n"/>
      <c r="M90" s="321" t="n"/>
      <c r="N90" s="327" t="n"/>
    </row>
    <row r="91" ht="22" customHeight="1">
      <c r="B91" s="323" t="n"/>
      <c r="C91" s="314" t="n"/>
      <c r="D91" s="313" t="n"/>
      <c r="E91" s="315" t="n"/>
      <c r="F91" s="316" t="n"/>
      <c r="G91" s="324" t="n"/>
      <c r="H91" s="316" t="n"/>
      <c r="I91" s="324" t="n"/>
      <c r="J91" s="240">
        <f>IF(AND(L91="Закрыт",ISNUMBER(F91),ISNUMBER(H91)),ROUND(H91-F91,8),"")</f>
        <v/>
      </c>
      <c r="K91" s="241">
        <f>IF(AND(L91="Закрыт",ISNUMBER(G91),ISNUMBER(I91)),ROUND(I91-G91,8),"")</f>
        <v/>
      </c>
      <c r="L91" s="325" t="n"/>
      <c r="M91" s="316" t="n"/>
      <c r="N91" s="324" t="n"/>
    </row>
    <row r="92" ht="22" customHeight="1">
      <c r="B92" s="326" t="n"/>
      <c r="C92" s="319" t="n"/>
      <c r="D92" s="318" t="n"/>
      <c r="E92" s="320" t="n"/>
      <c r="F92" s="321" t="n"/>
      <c r="G92" s="327" t="n"/>
      <c r="H92" s="321" t="n"/>
      <c r="I92" s="327" t="n"/>
      <c r="J92" s="246">
        <f>IF(AND(L92="Закрыт",ISNUMBER(F92),ISNUMBER(H92)),ROUND(H92-F92,8),"")</f>
        <v/>
      </c>
      <c r="K92" s="247">
        <f>IF(AND(L92="Закрыт",ISNUMBER(G92),ISNUMBER(I92)),ROUND(I92-G92,8),"")</f>
        <v/>
      </c>
      <c r="L92" s="328" t="n"/>
      <c r="M92" s="321" t="n"/>
      <c r="N92" s="327" t="n"/>
    </row>
    <row r="93" ht="22" customHeight="1">
      <c r="B93" s="323" t="n"/>
      <c r="C93" s="314" t="n"/>
      <c r="D93" s="313" t="n"/>
      <c r="E93" s="315" t="n"/>
      <c r="F93" s="316" t="n"/>
      <c r="G93" s="324" t="n"/>
      <c r="H93" s="316" t="n"/>
      <c r="I93" s="324" t="n"/>
      <c r="J93" s="240">
        <f>IF(AND(L93="Закрыт",ISNUMBER(F93),ISNUMBER(H93)),ROUND(H93-F93,8),"")</f>
        <v/>
      </c>
      <c r="K93" s="241">
        <f>IF(AND(L93="Закрыт",ISNUMBER(G93),ISNUMBER(I93)),ROUND(I93-G93,8),"")</f>
        <v/>
      </c>
      <c r="L93" s="325" t="n"/>
      <c r="M93" s="316" t="n"/>
      <c r="N93" s="324" t="n"/>
    </row>
    <row r="94" ht="22" customHeight="1">
      <c r="B94" s="326" t="n"/>
      <c r="C94" s="319" t="n"/>
      <c r="D94" s="318" t="n"/>
      <c r="E94" s="320" t="n"/>
      <c r="F94" s="321" t="n"/>
      <c r="G94" s="327" t="n"/>
      <c r="H94" s="321" t="n"/>
      <c r="I94" s="327" t="n"/>
      <c r="J94" s="246">
        <f>IF(AND(L94="Закрыт",ISNUMBER(F94),ISNUMBER(H94)),ROUND(H94-F94,8),"")</f>
        <v/>
      </c>
      <c r="K94" s="247">
        <f>IF(AND(L94="Закрыт",ISNUMBER(G94),ISNUMBER(I94)),ROUND(I94-G94,8),"")</f>
        <v/>
      </c>
      <c r="L94" s="328" t="n"/>
      <c r="M94" s="321" t="n"/>
      <c r="N94" s="327" t="n"/>
    </row>
    <row r="95" ht="22" customHeight="1">
      <c r="B95" s="323" t="n"/>
      <c r="C95" s="314" t="n"/>
      <c r="D95" s="313" t="n"/>
      <c r="E95" s="315" t="n"/>
      <c r="F95" s="316" t="n"/>
      <c r="G95" s="324" t="n"/>
      <c r="H95" s="316" t="n"/>
      <c r="I95" s="324" t="n"/>
      <c r="J95" s="240">
        <f>IF(AND(L95="Закрыт",ISNUMBER(F95),ISNUMBER(H95)),ROUND(H95-F95,8),"")</f>
        <v/>
      </c>
      <c r="K95" s="241">
        <f>IF(AND(L95="Закрыт",ISNUMBER(G95),ISNUMBER(I95)),ROUND(I95-G95,8),"")</f>
        <v/>
      </c>
      <c r="L95" s="325" t="n"/>
      <c r="M95" s="316" t="n"/>
      <c r="N95" s="324" t="n"/>
    </row>
    <row r="96" ht="22" customHeight="1">
      <c r="B96" s="326" t="n"/>
      <c r="C96" s="319" t="n"/>
      <c r="D96" s="318" t="n"/>
      <c r="E96" s="320" t="n"/>
      <c r="F96" s="321" t="n"/>
      <c r="G96" s="327" t="n"/>
      <c r="H96" s="321" t="n"/>
      <c r="I96" s="327" t="n"/>
      <c r="J96" s="246">
        <f>IF(AND(L96="Закрыт",ISNUMBER(F96),ISNUMBER(H96)),ROUND(H96-F96,8),"")</f>
        <v/>
      </c>
      <c r="K96" s="247">
        <f>IF(AND(L96="Закрыт",ISNUMBER(G96),ISNUMBER(I96)),ROUND(I96-G96,8),"")</f>
        <v/>
      </c>
      <c r="L96" s="328" t="n"/>
      <c r="M96" s="321" t="n"/>
      <c r="N96" s="327" t="n"/>
    </row>
    <row r="97" ht="22" customHeight="1">
      <c r="B97" s="323" t="n"/>
      <c r="C97" s="314" t="n"/>
      <c r="D97" s="313" t="n"/>
      <c r="E97" s="315" t="n"/>
      <c r="F97" s="316" t="n"/>
      <c r="G97" s="324" t="n"/>
      <c r="H97" s="316" t="n"/>
      <c r="I97" s="324" t="n"/>
      <c r="J97" s="240">
        <f>IF(AND(L97="Закрыт",ISNUMBER(F97),ISNUMBER(H97)),ROUND(H97-F97,8),"")</f>
        <v/>
      </c>
      <c r="K97" s="241">
        <f>IF(AND(L97="Закрыт",ISNUMBER(G97),ISNUMBER(I97)),ROUND(I97-G97,8),"")</f>
        <v/>
      </c>
      <c r="L97" s="325" t="n"/>
      <c r="M97" s="316" t="n"/>
      <c r="N97" s="324" t="n"/>
    </row>
    <row r="98" ht="22" customHeight="1">
      <c r="B98" s="326" t="n"/>
      <c r="C98" s="319" t="n"/>
      <c r="D98" s="318" t="n"/>
      <c r="E98" s="320" t="n"/>
      <c r="F98" s="321" t="n"/>
      <c r="G98" s="327" t="n"/>
      <c r="H98" s="321" t="n"/>
      <c r="I98" s="327" t="n"/>
      <c r="J98" s="246">
        <f>IF(AND(L98="Закрыт",ISNUMBER(F98),ISNUMBER(H98)),ROUND(H98-F98,8),"")</f>
        <v/>
      </c>
      <c r="K98" s="247">
        <f>IF(AND(L98="Закрыт",ISNUMBER(G98),ISNUMBER(I98)),ROUND(I98-G98,8),"")</f>
        <v/>
      </c>
      <c r="L98" s="328" t="n"/>
      <c r="M98" s="321" t="n"/>
      <c r="N98" s="327" t="n"/>
    </row>
    <row r="99" ht="22" customHeight="1">
      <c r="B99" s="323" t="n"/>
      <c r="C99" s="314" t="n"/>
      <c r="D99" s="313" t="n"/>
      <c r="E99" s="315" t="n"/>
      <c r="F99" s="316" t="n"/>
      <c r="G99" s="324" t="n"/>
      <c r="H99" s="316" t="n"/>
      <c r="I99" s="324" t="n"/>
      <c r="J99" s="240">
        <f>IF(AND(L99="Закрыт",ISNUMBER(F99),ISNUMBER(H99)),ROUND(H99-F99,8),"")</f>
        <v/>
      </c>
      <c r="K99" s="241">
        <f>IF(AND(L99="Закрыт",ISNUMBER(G99),ISNUMBER(I99)),ROUND(I99-G99,8),"")</f>
        <v/>
      </c>
      <c r="L99" s="325" t="n"/>
      <c r="M99" s="316" t="n"/>
      <c r="N99" s="324" t="n"/>
    </row>
    <row r="100" ht="22" customHeight="1">
      <c r="B100" s="326" t="n"/>
      <c r="C100" s="319" t="n"/>
      <c r="D100" s="318" t="n"/>
      <c r="E100" s="320" t="n"/>
      <c r="F100" s="321" t="n"/>
      <c r="G100" s="327" t="n"/>
      <c r="H100" s="321" t="n"/>
      <c r="I100" s="327" t="n"/>
      <c r="J100" s="246">
        <f>IF(AND(L100="Закрыт",ISNUMBER(F100),ISNUMBER(H100)),ROUND(H100-F100,8),"")</f>
        <v/>
      </c>
      <c r="K100" s="247">
        <f>IF(AND(L100="Закрыт",ISNUMBER(G100),ISNUMBER(I100)),ROUND(I100-G100,8),"")</f>
        <v/>
      </c>
      <c r="L100" s="328" t="n"/>
      <c r="M100" s="321" t="n"/>
      <c r="N100" s="327" t="n"/>
    </row>
    <row r="101" ht="22" customHeight="1">
      <c r="B101" s="323" t="n"/>
      <c r="C101" s="314" t="n"/>
      <c r="D101" s="313" t="n"/>
      <c r="E101" s="315" t="n"/>
      <c r="F101" s="316" t="n"/>
      <c r="G101" s="324" t="n"/>
      <c r="H101" s="316" t="n"/>
      <c r="I101" s="324" t="n"/>
      <c r="J101" s="240">
        <f>IF(AND(L101="Закрыт",ISNUMBER(F101),ISNUMBER(H101)),ROUND(H101-F101,8),"")</f>
        <v/>
      </c>
      <c r="K101" s="241">
        <f>IF(AND(L101="Закрыт",ISNUMBER(G101),ISNUMBER(I101)),ROUND(I101-G101,8),"")</f>
        <v/>
      </c>
      <c r="L101" s="325" t="n"/>
      <c r="M101" s="316" t="n"/>
      <c r="N101" s="324" t="n"/>
    </row>
    <row r="102" ht="22" customHeight="1">
      <c r="B102" s="326" t="n"/>
      <c r="C102" s="319" t="n"/>
      <c r="D102" s="318" t="n"/>
      <c r="E102" s="320" t="n"/>
      <c r="F102" s="321" t="n"/>
      <c r="G102" s="327" t="n"/>
      <c r="H102" s="321" t="n"/>
      <c r="I102" s="327" t="n"/>
      <c r="J102" s="246">
        <f>IF(AND(L102="Закрыт",ISNUMBER(F102),ISNUMBER(H102)),ROUND(H102-F102,8),"")</f>
        <v/>
      </c>
      <c r="K102" s="247">
        <f>IF(AND(L102="Закрыт",ISNUMBER(G102),ISNUMBER(I102)),ROUND(I102-G102,8),"")</f>
        <v/>
      </c>
      <c r="L102" s="328" t="n"/>
      <c r="M102" s="321" t="n"/>
      <c r="N102" s="327" t="n"/>
    </row>
    <row r="103" ht="22" customHeight="1">
      <c r="B103" s="323" t="n"/>
      <c r="C103" s="314" t="n"/>
      <c r="D103" s="313" t="n"/>
      <c r="E103" s="315" t="n"/>
      <c r="F103" s="316" t="n"/>
      <c r="G103" s="324" t="n"/>
      <c r="H103" s="316" t="n"/>
      <c r="I103" s="324" t="n"/>
      <c r="J103" s="240">
        <f>IF(AND(L103="Закрыт",ISNUMBER(F103),ISNUMBER(H103)),ROUND(H103-F103,8),"")</f>
        <v/>
      </c>
      <c r="K103" s="241">
        <f>IF(AND(L103="Закрыт",ISNUMBER(G103),ISNUMBER(I103)),ROUND(I103-G103,8),"")</f>
        <v/>
      </c>
      <c r="L103" s="325" t="n"/>
      <c r="M103" s="316" t="n"/>
      <c r="N103" s="324" t="n"/>
    </row>
    <row r="104" ht="22" customHeight="1">
      <c r="B104" s="326" t="n"/>
      <c r="C104" s="319" t="n"/>
      <c r="D104" s="318" t="n"/>
      <c r="E104" s="320" t="n"/>
      <c r="F104" s="321" t="n"/>
      <c r="G104" s="327" t="n"/>
      <c r="H104" s="321" t="n"/>
      <c r="I104" s="327" t="n"/>
      <c r="J104" s="246">
        <f>IF(AND(L104="Закрыт",ISNUMBER(F104),ISNUMBER(H104)),ROUND(H104-F104,8),"")</f>
        <v/>
      </c>
      <c r="K104" s="247">
        <f>IF(AND(L104="Закрыт",ISNUMBER(G104),ISNUMBER(I104)),ROUND(I104-G104,8),"")</f>
        <v/>
      </c>
      <c r="L104" s="328" t="n"/>
      <c r="M104" s="321" t="n"/>
      <c r="N104" s="327" t="n"/>
    </row>
    <row r="105" ht="22" customHeight="1">
      <c r="B105" s="323" t="n"/>
      <c r="C105" s="314" t="n"/>
      <c r="D105" s="313" t="n"/>
      <c r="E105" s="315" t="n"/>
      <c r="F105" s="316" t="n"/>
      <c r="G105" s="324" t="n"/>
      <c r="H105" s="316" t="n"/>
      <c r="I105" s="324" t="n"/>
      <c r="J105" s="240">
        <f>IF(AND(L105="Закрыт",ISNUMBER(F105),ISNUMBER(H105)),ROUND(H105-F105,8),"")</f>
        <v/>
      </c>
      <c r="K105" s="241">
        <f>IF(AND(L105="Закрыт",ISNUMBER(G105),ISNUMBER(I105)),ROUND(I105-G105,8),"")</f>
        <v/>
      </c>
      <c r="L105" s="325" t="n"/>
      <c r="M105" s="316" t="n"/>
      <c r="N105" s="324" t="n"/>
    </row>
    <row r="106" ht="22" customHeight="1">
      <c r="B106" s="326" t="n"/>
      <c r="C106" s="319" t="n"/>
      <c r="D106" s="318" t="n"/>
      <c r="E106" s="320" t="n"/>
      <c r="F106" s="321" t="n"/>
      <c r="G106" s="327" t="n"/>
      <c r="H106" s="321" t="n"/>
      <c r="I106" s="327" t="n"/>
      <c r="J106" s="246">
        <f>IF(AND(L106="Закрыт",ISNUMBER(F106),ISNUMBER(H106)),ROUND(H106-F106,8),"")</f>
        <v/>
      </c>
      <c r="K106" s="247">
        <f>IF(AND(L106="Закрыт",ISNUMBER(G106),ISNUMBER(I106)),ROUND(I106-G106,8),"")</f>
        <v/>
      </c>
      <c r="L106" s="328" t="n"/>
      <c r="M106" s="321" t="n"/>
      <c r="N106" s="327" t="n"/>
    </row>
    <row r="107" ht="22" customHeight="1">
      <c r="B107" s="323" t="n"/>
      <c r="C107" s="314" t="n"/>
      <c r="D107" s="313" t="n"/>
      <c r="E107" s="315" t="n"/>
      <c r="F107" s="316" t="n"/>
      <c r="G107" s="324" t="n"/>
      <c r="H107" s="316" t="n"/>
      <c r="I107" s="324" t="n"/>
      <c r="J107" s="240">
        <f>IF(AND(L107="Закрыт",ISNUMBER(F107),ISNUMBER(H107)),ROUND(H107-F107,8),"")</f>
        <v/>
      </c>
      <c r="K107" s="241">
        <f>IF(AND(L107="Закрыт",ISNUMBER(G107),ISNUMBER(I107)),ROUND(I107-G107,8),"")</f>
        <v/>
      </c>
      <c r="L107" s="325" t="n"/>
      <c r="M107" s="316" t="n"/>
      <c r="N107" s="324" t="n"/>
    </row>
    <row r="108" ht="22" customHeight="1">
      <c r="B108" s="326" t="n"/>
      <c r="C108" s="319" t="n"/>
      <c r="D108" s="318" t="n"/>
      <c r="E108" s="320" t="n"/>
      <c r="F108" s="321" t="n"/>
      <c r="G108" s="327" t="n"/>
      <c r="H108" s="321" t="n"/>
      <c r="I108" s="327" t="n"/>
      <c r="J108" s="246">
        <f>IF(AND(L108="Закрыт",ISNUMBER(F108),ISNUMBER(H108)),ROUND(H108-F108,8),"")</f>
        <v/>
      </c>
      <c r="K108" s="247">
        <f>IF(AND(L108="Закрыт",ISNUMBER(G108),ISNUMBER(I108)),ROUND(I108-G108,8),"")</f>
        <v/>
      </c>
      <c r="L108" s="328" t="n"/>
      <c r="M108" s="321" t="n"/>
      <c r="N108" s="327" t="n"/>
    </row>
    <row r="109" ht="22" customHeight="1">
      <c r="B109" s="323" t="n"/>
      <c r="C109" s="314" t="n"/>
      <c r="D109" s="313" t="n"/>
      <c r="E109" s="315" t="n"/>
      <c r="F109" s="316" t="n"/>
      <c r="G109" s="324" t="n"/>
      <c r="H109" s="316" t="n"/>
      <c r="I109" s="324" t="n"/>
      <c r="J109" s="240">
        <f>IF(AND(L109="Закрыт",ISNUMBER(F109),ISNUMBER(H109)),ROUND(H109-F109,8),"")</f>
        <v/>
      </c>
      <c r="K109" s="241">
        <f>IF(AND(L109="Закрыт",ISNUMBER(G109),ISNUMBER(I109)),ROUND(I109-G109,8),"")</f>
        <v/>
      </c>
      <c r="L109" s="325" t="n"/>
      <c r="M109" s="316" t="n"/>
      <c r="N109" s="324" t="n"/>
    </row>
    <row r="110" ht="22" customHeight="1">
      <c r="B110" s="326" t="n"/>
      <c r="C110" s="319" t="n"/>
      <c r="D110" s="318" t="n"/>
      <c r="E110" s="320" t="n"/>
      <c r="F110" s="321" t="n"/>
      <c r="G110" s="327" t="n"/>
      <c r="H110" s="321" t="n"/>
      <c r="I110" s="327" t="n"/>
      <c r="J110" s="246">
        <f>IF(AND(L110="Закрыт",ISNUMBER(F110),ISNUMBER(H110)),ROUND(H110-F110,8),"")</f>
        <v/>
      </c>
      <c r="K110" s="247">
        <f>IF(AND(L110="Закрыт",ISNUMBER(G110),ISNUMBER(I110)),ROUND(I110-G110,8),"")</f>
        <v/>
      </c>
      <c r="L110" s="328" t="n"/>
      <c r="M110" s="321" t="n"/>
      <c r="N110" s="327" t="n"/>
    </row>
    <row r="111" ht="22" customHeight="1">
      <c r="B111" s="323" t="n"/>
      <c r="C111" s="314" t="n"/>
      <c r="D111" s="313" t="n"/>
      <c r="E111" s="315" t="n"/>
      <c r="F111" s="316" t="n"/>
      <c r="G111" s="324" t="n"/>
      <c r="H111" s="316" t="n"/>
      <c r="I111" s="324" t="n"/>
      <c r="J111" s="240">
        <f>IF(AND(L111="Закрыт",ISNUMBER(F111),ISNUMBER(H111)),ROUND(H111-F111,8),"")</f>
        <v/>
      </c>
      <c r="K111" s="241">
        <f>IF(AND(L111="Закрыт",ISNUMBER(G111),ISNUMBER(I111)),ROUND(I111-G111,8),"")</f>
        <v/>
      </c>
      <c r="L111" s="325" t="n"/>
      <c r="M111" s="316" t="n"/>
      <c r="N111" s="324" t="n"/>
    </row>
    <row r="112" ht="22" customHeight="1">
      <c r="B112" s="326" t="n"/>
      <c r="C112" s="319" t="n"/>
      <c r="D112" s="318" t="n"/>
      <c r="E112" s="320" t="n"/>
      <c r="F112" s="321" t="n"/>
      <c r="G112" s="327" t="n"/>
      <c r="H112" s="321" t="n"/>
      <c r="I112" s="327" t="n"/>
      <c r="J112" s="246">
        <f>IF(AND(L112="Закрыт",ISNUMBER(F112),ISNUMBER(H112)),ROUND(H112-F112,8),"")</f>
        <v/>
      </c>
      <c r="K112" s="247">
        <f>IF(AND(L112="Закрыт",ISNUMBER(G112),ISNUMBER(I112)),ROUND(I112-G112,8),"")</f>
        <v/>
      </c>
      <c r="L112" s="328" t="n"/>
      <c r="M112" s="321" t="n"/>
      <c r="N112" s="327" t="n"/>
    </row>
    <row r="113" ht="22" customHeight="1">
      <c r="B113" s="323" t="n"/>
      <c r="C113" s="314" t="n"/>
      <c r="D113" s="313" t="n"/>
      <c r="E113" s="315" t="n"/>
      <c r="F113" s="316" t="n"/>
      <c r="G113" s="324" t="n"/>
      <c r="H113" s="316" t="n"/>
      <c r="I113" s="324" t="n"/>
      <c r="J113" s="240">
        <f>IF(AND(L113="Закрыт",ISNUMBER(F113),ISNUMBER(H113)),ROUND(H113-F113,8),"")</f>
        <v/>
      </c>
      <c r="K113" s="241">
        <f>IF(AND(L113="Закрыт",ISNUMBER(G113),ISNUMBER(I113)),ROUND(I113-G113,8),"")</f>
        <v/>
      </c>
      <c r="L113" s="325" t="n"/>
      <c r="M113" s="316" t="n"/>
      <c r="N113" s="324" t="n"/>
    </row>
    <row r="114" ht="22" customHeight="1">
      <c r="B114" s="326" t="n"/>
      <c r="C114" s="319" t="n"/>
      <c r="D114" s="318" t="n"/>
      <c r="E114" s="320" t="n"/>
      <c r="F114" s="321" t="n"/>
      <c r="G114" s="327" t="n"/>
      <c r="H114" s="321" t="n"/>
      <c r="I114" s="327" t="n"/>
      <c r="J114" s="246">
        <f>IF(AND(L114="Закрыт",ISNUMBER(F114),ISNUMBER(H114)),ROUND(H114-F114,8),"")</f>
        <v/>
      </c>
      <c r="K114" s="247">
        <f>IF(AND(L114="Закрыт",ISNUMBER(G114),ISNUMBER(I114)),ROUND(I114-G114,8),"")</f>
        <v/>
      </c>
      <c r="L114" s="328" t="n"/>
      <c r="M114" s="321" t="n"/>
      <c r="N114" s="327" t="n"/>
    </row>
    <row r="115" ht="22" customHeight="1">
      <c r="B115" s="323" t="n"/>
      <c r="C115" s="314" t="n"/>
      <c r="D115" s="313" t="n"/>
      <c r="E115" s="315" t="n"/>
      <c r="F115" s="316" t="n"/>
      <c r="G115" s="324" t="n"/>
      <c r="H115" s="316" t="n"/>
      <c r="I115" s="324" t="n"/>
      <c r="J115" s="240">
        <f>IF(AND(L115="Закрыт",ISNUMBER(F115),ISNUMBER(H115)),ROUND(H115-F115,8),"")</f>
        <v/>
      </c>
      <c r="K115" s="241">
        <f>IF(AND(L115="Закрыт",ISNUMBER(G115),ISNUMBER(I115)),ROUND(I115-G115,8),"")</f>
        <v/>
      </c>
      <c r="L115" s="325" t="n"/>
      <c r="M115" s="316" t="n"/>
      <c r="N115" s="324" t="n"/>
    </row>
    <row r="116" ht="22" customHeight="1">
      <c r="B116" s="326" t="n"/>
      <c r="C116" s="319" t="n"/>
      <c r="D116" s="318" t="n"/>
      <c r="E116" s="320" t="n"/>
      <c r="F116" s="321" t="n"/>
      <c r="G116" s="327" t="n"/>
      <c r="H116" s="321" t="n"/>
      <c r="I116" s="327" t="n"/>
      <c r="J116" s="246">
        <f>IF(AND(L116="Закрыт",ISNUMBER(F116),ISNUMBER(H116)),ROUND(H116-F116,8),"")</f>
        <v/>
      </c>
      <c r="K116" s="247">
        <f>IF(AND(L116="Закрыт",ISNUMBER(G116),ISNUMBER(I116)),ROUND(I116-G116,8),"")</f>
        <v/>
      </c>
      <c r="L116" s="328" t="n"/>
      <c r="M116" s="321" t="n"/>
      <c r="N116" s="327" t="n"/>
    </row>
    <row r="117" ht="22" customHeight="1">
      <c r="B117" s="323" t="n"/>
      <c r="C117" s="314" t="n"/>
      <c r="D117" s="313" t="n"/>
      <c r="E117" s="315" t="n"/>
      <c r="F117" s="316" t="n"/>
      <c r="G117" s="324" t="n"/>
      <c r="H117" s="316" t="n"/>
      <c r="I117" s="324" t="n"/>
      <c r="J117" s="240">
        <f>IF(AND(L117="Закрыт",ISNUMBER(F117),ISNUMBER(H117)),ROUND(H117-F117,8),"")</f>
        <v/>
      </c>
      <c r="K117" s="241">
        <f>IF(AND(L117="Закрыт",ISNUMBER(G117),ISNUMBER(I117)),ROUND(I117-G117,8),"")</f>
        <v/>
      </c>
      <c r="L117" s="325" t="n"/>
      <c r="M117" s="316" t="n"/>
      <c r="N117" s="324" t="n"/>
    </row>
    <row r="118" ht="22" customHeight="1">
      <c r="B118" s="326" t="n"/>
      <c r="C118" s="319" t="n"/>
      <c r="D118" s="318" t="n"/>
      <c r="E118" s="320" t="n"/>
      <c r="F118" s="321" t="n"/>
      <c r="G118" s="327" t="n"/>
      <c r="H118" s="321" t="n"/>
      <c r="I118" s="327" t="n"/>
      <c r="J118" s="246">
        <f>IF(AND(L118="Закрыт",ISNUMBER(F118),ISNUMBER(H118)),ROUND(H118-F118,8),"")</f>
        <v/>
      </c>
      <c r="K118" s="247">
        <f>IF(AND(L118="Закрыт",ISNUMBER(G118),ISNUMBER(I118)),ROUND(I118-G118,8),"")</f>
        <v/>
      </c>
      <c r="L118" s="328" t="n"/>
      <c r="M118" s="321" t="n"/>
      <c r="N118" s="327" t="n"/>
    </row>
    <row r="119" ht="22" customHeight="1">
      <c r="B119" s="323" t="n"/>
      <c r="C119" s="314" t="n"/>
      <c r="D119" s="313" t="n"/>
      <c r="E119" s="315" t="n"/>
      <c r="F119" s="316" t="n"/>
      <c r="G119" s="324" t="n"/>
      <c r="H119" s="316" t="n"/>
      <c r="I119" s="324" t="n"/>
      <c r="J119" s="240">
        <f>IF(AND(L119="Закрыт",ISNUMBER(F119),ISNUMBER(H119)),ROUND(H119-F119,8),"")</f>
        <v/>
      </c>
      <c r="K119" s="241">
        <f>IF(AND(L119="Закрыт",ISNUMBER(G119),ISNUMBER(I119)),ROUND(I119-G119,8),"")</f>
        <v/>
      </c>
      <c r="L119" s="325" t="n"/>
      <c r="M119" s="316" t="n"/>
      <c r="N119" s="324" t="n"/>
    </row>
    <row r="120" ht="22" customHeight="1">
      <c r="B120" s="326" t="n"/>
      <c r="C120" s="319" t="n"/>
      <c r="D120" s="318" t="n"/>
      <c r="E120" s="320" t="n"/>
      <c r="F120" s="321" t="n"/>
      <c r="G120" s="327" t="n"/>
      <c r="H120" s="321" t="n"/>
      <c r="I120" s="327" t="n"/>
      <c r="J120" s="246">
        <f>IF(AND(L120="Закрыт",ISNUMBER(F120),ISNUMBER(H120)),ROUND(H120-F120,8),"")</f>
        <v/>
      </c>
      <c r="K120" s="247">
        <f>IF(AND(L120="Закрыт",ISNUMBER(G120),ISNUMBER(I120)),ROUND(I120-G120,8),"")</f>
        <v/>
      </c>
      <c r="L120" s="328" t="n"/>
      <c r="M120" s="321" t="n"/>
      <c r="N120" s="327" t="n"/>
    </row>
    <row r="121" ht="22" customHeight="1">
      <c r="B121" s="323" t="n"/>
      <c r="C121" s="314" t="n"/>
      <c r="D121" s="313" t="n"/>
      <c r="E121" s="315" t="n"/>
      <c r="F121" s="316" t="n"/>
      <c r="G121" s="324" t="n"/>
      <c r="H121" s="316" t="n"/>
      <c r="I121" s="324" t="n"/>
      <c r="J121" s="240">
        <f>IF(AND(L121="Закрыт",ISNUMBER(F121),ISNUMBER(H121)),ROUND(H121-F121,8),"")</f>
        <v/>
      </c>
      <c r="K121" s="241">
        <f>IF(AND(L121="Закрыт",ISNUMBER(G121),ISNUMBER(I121)),ROUND(I121-G121,8),"")</f>
        <v/>
      </c>
      <c r="L121" s="325" t="n"/>
      <c r="M121" s="316" t="n"/>
      <c r="N121" s="324" t="n"/>
    </row>
    <row r="122" ht="22" customHeight="1">
      <c r="B122" s="326" t="n"/>
      <c r="C122" s="319" t="n"/>
      <c r="D122" s="318" t="n"/>
      <c r="E122" s="320" t="n"/>
      <c r="F122" s="321" t="n"/>
      <c r="G122" s="327" t="n"/>
      <c r="H122" s="321" t="n"/>
      <c r="I122" s="327" t="n"/>
      <c r="J122" s="246">
        <f>IF(AND(L122="Закрыт",ISNUMBER(F122),ISNUMBER(H122)),ROUND(H122-F122,8),"")</f>
        <v/>
      </c>
      <c r="K122" s="247">
        <f>IF(AND(L122="Закрыт",ISNUMBER(G122),ISNUMBER(I122)),ROUND(I122-G122,8),"")</f>
        <v/>
      </c>
      <c r="L122" s="328" t="n"/>
      <c r="M122" s="321" t="n"/>
      <c r="N122" s="327" t="n"/>
    </row>
    <row r="123" ht="22" customHeight="1">
      <c r="B123" s="323" t="n"/>
      <c r="C123" s="314" t="n"/>
      <c r="D123" s="313" t="n"/>
      <c r="E123" s="315" t="n"/>
      <c r="F123" s="316" t="n"/>
      <c r="G123" s="324" t="n"/>
      <c r="H123" s="316" t="n"/>
      <c r="I123" s="324" t="n"/>
      <c r="J123" s="240">
        <f>IF(AND(L123="Закрыт",ISNUMBER(F123),ISNUMBER(H123)),ROUND(H123-F123,8),"")</f>
        <v/>
      </c>
      <c r="K123" s="241">
        <f>IF(AND(L123="Закрыт",ISNUMBER(G123),ISNUMBER(I123)),ROUND(I123-G123,8),"")</f>
        <v/>
      </c>
      <c r="L123" s="325" t="n"/>
      <c r="M123" s="316" t="n"/>
      <c r="N123" s="324" t="n"/>
    </row>
    <row r="124" ht="22" customHeight="1">
      <c r="B124" s="326" t="n"/>
      <c r="C124" s="319" t="n"/>
      <c r="D124" s="318" t="n"/>
      <c r="E124" s="320" t="n"/>
      <c r="F124" s="321" t="n"/>
      <c r="G124" s="327" t="n"/>
      <c r="H124" s="321" t="n"/>
      <c r="I124" s="327" t="n"/>
      <c r="J124" s="246">
        <f>IF(AND(L124="Закрыт",ISNUMBER(F124),ISNUMBER(H124)),ROUND(H124-F124,8),"")</f>
        <v/>
      </c>
      <c r="K124" s="247">
        <f>IF(AND(L124="Закрыт",ISNUMBER(G124),ISNUMBER(I124)),ROUND(I124-G124,8),"")</f>
        <v/>
      </c>
      <c r="L124" s="328" t="n"/>
      <c r="M124" s="321" t="n"/>
      <c r="N124" s="327" t="n"/>
    </row>
    <row r="125" ht="22" customHeight="1">
      <c r="B125" s="323" t="n"/>
      <c r="C125" s="314" t="n"/>
      <c r="D125" s="313" t="n"/>
      <c r="E125" s="315" t="n"/>
      <c r="F125" s="316" t="n"/>
      <c r="G125" s="324" t="n"/>
      <c r="H125" s="316" t="n"/>
      <c r="I125" s="324" t="n"/>
      <c r="J125" s="240">
        <f>IF(AND(L125="Закрыт",ISNUMBER(F125),ISNUMBER(H125)),ROUND(H125-F125,8),"")</f>
        <v/>
      </c>
      <c r="K125" s="241">
        <f>IF(AND(L125="Закрыт",ISNUMBER(G125),ISNUMBER(I125)),ROUND(I125-G125,8),"")</f>
        <v/>
      </c>
      <c r="L125" s="325" t="n"/>
      <c r="M125" s="316" t="n"/>
      <c r="N125" s="324" t="n"/>
    </row>
    <row r="126" ht="22" customHeight="1">
      <c r="B126" s="326" t="n"/>
      <c r="C126" s="319" t="n"/>
      <c r="D126" s="318" t="n"/>
      <c r="E126" s="320" t="n"/>
      <c r="F126" s="321" t="n"/>
      <c r="G126" s="327" t="n"/>
      <c r="H126" s="321" t="n"/>
      <c r="I126" s="327" t="n"/>
      <c r="J126" s="246">
        <f>IF(AND(L126="Закрыт",ISNUMBER(F126),ISNUMBER(H126)),ROUND(H126-F126,8),"")</f>
        <v/>
      </c>
      <c r="K126" s="247">
        <f>IF(AND(L126="Закрыт",ISNUMBER(G126),ISNUMBER(I126)),ROUND(I126-G126,8),"")</f>
        <v/>
      </c>
      <c r="L126" s="328" t="n"/>
      <c r="M126" s="321" t="n"/>
      <c r="N126" s="327" t="n"/>
    </row>
    <row r="127" ht="22" customHeight="1">
      <c r="B127" s="323" t="n"/>
      <c r="C127" s="314" t="n"/>
      <c r="D127" s="313" t="n"/>
      <c r="E127" s="315" t="n"/>
      <c r="F127" s="316" t="n"/>
      <c r="G127" s="324" t="n"/>
      <c r="H127" s="316" t="n"/>
      <c r="I127" s="324" t="n"/>
      <c r="J127" s="240">
        <f>IF(AND(L127="Закрыт",ISNUMBER(F127),ISNUMBER(H127)),ROUND(H127-F127,8),"")</f>
        <v/>
      </c>
      <c r="K127" s="241">
        <f>IF(AND(L127="Закрыт",ISNUMBER(G127),ISNUMBER(I127)),ROUND(I127-G127,8),"")</f>
        <v/>
      </c>
      <c r="L127" s="325" t="n"/>
      <c r="M127" s="316" t="n"/>
      <c r="N127" s="324" t="n"/>
    </row>
    <row r="128" ht="22" customHeight="1">
      <c r="B128" s="326" t="n"/>
      <c r="C128" s="319" t="n"/>
      <c r="D128" s="318" t="n"/>
      <c r="E128" s="320" t="n"/>
      <c r="F128" s="321" t="n"/>
      <c r="G128" s="327" t="n"/>
      <c r="H128" s="321" t="n"/>
      <c r="I128" s="327" t="n"/>
      <c r="J128" s="246">
        <f>IF(AND(L128="Закрыт",ISNUMBER(F128),ISNUMBER(H128)),ROUND(H128-F128,8),"")</f>
        <v/>
      </c>
      <c r="K128" s="247">
        <f>IF(AND(L128="Закрыт",ISNUMBER(G128),ISNUMBER(I128)),ROUND(I128-G128,8),"")</f>
        <v/>
      </c>
      <c r="L128" s="328" t="n"/>
      <c r="M128" s="321" t="n"/>
      <c r="N128" s="327" t="n"/>
    </row>
    <row r="129" ht="22" customHeight="1">
      <c r="B129" s="323" t="n"/>
      <c r="C129" s="314" t="n"/>
      <c r="D129" s="313" t="n"/>
      <c r="E129" s="315" t="n"/>
      <c r="F129" s="316" t="n"/>
      <c r="G129" s="324" t="n"/>
      <c r="H129" s="316" t="n"/>
      <c r="I129" s="324" t="n"/>
      <c r="J129" s="240">
        <f>IF(AND(L129="Закрыт",ISNUMBER(F129),ISNUMBER(H129)),ROUND(H129-F129,8),"")</f>
        <v/>
      </c>
      <c r="K129" s="241">
        <f>IF(AND(L129="Закрыт",ISNUMBER(G129),ISNUMBER(I129)),ROUND(I129-G129,8),"")</f>
        <v/>
      </c>
      <c r="L129" s="325" t="n"/>
      <c r="M129" s="316" t="n"/>
      <c r="N129" s="324" t="n"/>
    </row>
    <row r="130" ht="22" customHeight="1">
      <c r="B130" s="326" t="n"/>
      <c r="C130" s="319" t="n"/>
      <c r="D130" s="318" t="n"/>
      <c r="E130" s="320" t="n"/>
      <c r="F130" s="321" t="n"/>
      <c r="G130" s="327" t="n"/>
      <c r="H130" s="321" t="n"/>
      <c r="I130" s="327" t="n"/>
      <c r="J130" s="246">
        <f>IF(AND(L130="Закрыт",ISNUMBER(F130),ISNUMBER(H130)),ROUND(H130-F130,8),"")</f>
        <v/>
      </c>
      <c r="K130" s="247">
        <f>IF(AND(L130="Закрыт",ISNUMBER(G130),ISNUMBER(I130)),ROUND(I130-G130,8),"")</f>
        <v/>
      </c>
      <c r="L130" s="328" t="n"/>
      <c r="M130" s="321" t="n"/>
      <c r="N130" s="327" t="n"/>
    </row>
    <row r="131" ht="22" customHeight="1">
      <c r="B131" s="323" t="n"/>
      <c r="C131" s="314" t="n"/>
      <c r="D131" s="313" t="n"/>
      <c r="E131" s="315" t="n"/>
      <c r="F131" s="316" t="n"/>
      <c r="G131" s="324" t="n"/>
      <c r="H131" s="316" t="n"/>
      <c r="I131" s="324" t="n"/>
      <c r="J131" s="240">
        <f>IF(AND(L131="Закрыт",ISNUMBER(F131),ISNUMBER(H131)),ROUND(H131-F131,8),"")</f>
        <v/>
      </c>
      <c r="K131" s="241">
        <f>IF(AND(L131="Закрыт",ISNUMBER(G131),ISNUMBER(I131)),ROUND(I131-G131,8),"")</f>
        <v/>
      </c>
      <c r="L131" s="325" t="n"/>
      <c r="M131" s="316" t="n"/>
      <c r="N131" s="324" t="n"/>
    </row>
    <row r="132" ht="22" customHeight="1">
      <c r="B132" s="326" t="n"/>
      <c r="C132" s="319" t="n"/>
      <c r="D132" s="318" t="n"/>
      <c r="E132" s="320" t="n"/>
      <c r="F132" s="321" t="n"/>
      <c r="G132" s="327" t="n"/>
      <c r="H132" s="321" t="n"/>
      <c r="I132" s="327" t="n"/>
      <c r="J132" s="246">
        <f>IF(AND(L132="Закрыт",ISNUMBER(F132),ISNUMBER(H132)),ROUND(H132-F132,8),"")</f>
        <v/>
      </c>
      <c r="K132" s="247">
        <f>IF(AND(L132="Закрыт",ISNUMBER(G132),ISNUMBER(I132)),ROUND(I132-G132,8),"")</f>
        <v/>
      </c>
      <c r="L132" s="328" t="n"/>
      <c r="M132" s="321" t="n"/>
      <c r="N132" s="327" t="n"/>
    </row>
    <row r="133" ht="22" customHeight="1">
      <c r="B133" s="323" t="n"/>
      <c r="C133" s="314" t="n"/>
      <c r="D133" s="313" t="n"/>
      <c r="E133" s="315" t="n"/>
      <c r="F133" s="316" t="n"/>
      <c r="G133" s="324" t="n"/>
      <c r="H133" s="316" t="n"/>
      <c r="I133" s="324" t="n"/>
      <c r="J133" s="240">
        <f>IF(AND(L133="Закрыт",ISNUMBER(F133),ISNUMBER(H133)),ROUND(H133-F133,8),"")</f>
        <v/>
      </c>
      <c r="K133" s="241">
        <f>IF(AND(L133="Закрыт",ISNUMBER(G133),ISNUMBER(I133)),ROUND(I133-G133,8),"")</f>
        <v/>
      </c>
      <c r="L133" s="325" t="n"/>
      <c r="M133" s="316" t="n"/>
      <c r="N133" s="324" t="n"/>
    </row>
    <row r="134" ht="22" customHeight="1">
      <c r="B134" s="326" t="n"/>
      <c r="C134" s="319" t="n"/>
      <c r="D134" s="318" t="n"/>
      <c r="E134" s="320" t="n"/>
      <c r="F134" s="321" t="n"/>
      <c r="G134" s="327" t="n"/>
      <c r="H134" s="321" t="n"/>
      <c r="I134" s="327" t="n"/>
      <c r="J134" s="246">
        <f>IF(AND(L134="Закрыт",ISNUMBER(F134),ISNUMBER(H134)),ROUND(H134-F134,8),"")</f>
        <v/>
      </c>
      <c r="K134" s="247">
        <f>IF(AND(L134="Закрыт",ISNUMBER(G134),ISNUMBER(I134)),ROUND(I134-G134,8),"")</f>
        <v/>
      </c>
      <c r="L134" s="328" t="n"/>
      <c r="M134" s="321" t="n"/>
      <c r="N134" s="327" t="n"/>
    </row>
    <row r="135" ht="22" customHeight="1">
      <c r="B135" s="323" t="n"/>
      <c r="C135" s="314" t="n"/>
      <c r="D135" s="313" t="n"/>
      <c r="E135" s="315" t="n"/>
      <c r="F135" s="316" t="n"/>
      <c r="G135" s="324" t="n"/>
      <c r="H135" s="316" t="n"/>
      <c r="I135" s="324" t="n"/>
      <c r="J135" s="240">
        <f>IF(AND(L135="Закрыт",ISNUMBER(F135),ISNUMBER(H135)),ROUND(H135-F135,8),"")</f>
        <v/>
      </c>
      <c r="K135" s="241">
        <f>IF(AND(L135="Закрыт",ISNUMBER(G135),ISNUMBER(I135)),ROUND(I135-G135,8),"")</f>
        <v/>
      </c>
      <c r="L135" s="325" t="n"/>
      <c r="M135" s="316" t="n"/>
      <c r="N135" s="324" t="n"/>
    </row>
    <row r="136" ht="22" customHeight="1">
      <c r="B136" s="326" t="n"/>
      <c r="C136" s="319" t="n"/>
      <c r="D136" s="318" t="n"/>
      <c r="E136" s="320" t="n"/>
      <c r="F136" s="321" t="n"/>
      <c r="G136" s="327" t="n"/>
      <c r="H136" s="321" t="n"/>
      <c r="I136" s="327" t="n"/>
      <c r="J136" s="246">
        <f>IF(AND(L136="Закрыт",ISNUMBER(F136),ISNUMBER(H136)),ROUND(H136-F136,8),"")</f>
        <v/>
      </c>
      <c r="K136" s="247">
        <f>IF(AND(L136="Закрыт",ISNUMBER(G136),ISNUMBER(I136)),ROUND(I136-G136,8),"")</f>
        <v/>
      </c>
      <c r="L136" s="328" t="n"/>
      <c r="M136" s="321" t="n"/>
      <c r="N136" s="327" t="n"/>
    </row>
    <row r="137" ht="22" customHeight="1">
      <c r="B137" s="323" t="n"/>
      <c r="C137" s="314" t="n"/>
      <c r="D137" s="313" t="n"/>
      <c r="E137" s="315" t="n"/>
      <c r="F137" s="316" t="n"/>
      <c r="G137" s="324" t="n"/>
      <c r="H137" s="316" t="n"/>
      <c r="I137" s="324" t="n"/>
      <c r="J137" s="240">
        <f>IF(AND(L137="Закрыт",ISNUMBER(F137),ISNUMBER(H137)),ROUND(H137-F137,8),"")</f>
        <v/>
      </c>
      <c r="K137" s="241">
        <f>IF(AND(L137="Закрыт",ISNUMBER(G137),ISNUMBER(I137)),ROUND(I137-G137,8),"")</f>
        <v/>
      </c>
      <c r="L137" s="325" t="n"/>
      <c r="M137" s="316" t="n"/>
      <c r="N137" s="324" t="n"/>
    </row>
    <row r="138" ht="22" customHeight="1">
      <c r="B138" s="326" t="n"/>
      <c r="C138" s="319" t="n"/>
      <c r="D138" s="318" t="n"/>
      <c r="E138" s="320" t="n"/>
      <c r="F138" s="321" t="n"/>
      <c r="G138" s="327" t="n"/>
      <c r="H138" s="321" t="n"/>
      <c r="I138" s="327" t="n"/>
      <c r="J138" s="246">
        <f>IF(AND(L138="Закрыт",ISNUMBER(F138),ISNUMBER(H138)),ROUND(H138-F138,8),"")</f>
        <v/>
      </c>
      <c r="K138" s="247">
        <f>IF(AND(L138="Закрыт",ISNUMBER(G138),ISNUMBER(I138)),ROUND(I138-G138,8),"")</f>
        <v/>
      </c>
      <c r="L138" s="328" t="n"/>
      <c r="M138" s="321" t="n"/>
      <c r="N138" s="327" t="n"/>
    </row>
    <row r="139" ht="22" customHeight="1">
      <c r="B139" s="323" t="n"/>
      <c r="C139" s="314" t="n"/>
      <c r="D139" s="313" t="n"/>
      <c r="E139" s="315" t="n"/>
      <c r="F139" s="316" t="n"/>
      <c r="G139" s="324" t="n"/>
      <c r="H139" s="316" t="n"/>
      <c r="I139" s="324" t="n"/>
      <c r="J139" s="240">
        <f>IF(AND(L139="Закрыт",ISNUMBER(F139),ISNUMBER(H139)),ROUND(H139-F139,8),"")</f>
        <v/>
      </c>
      <c r="K139" s="241">
        <f>IF(AND(L139="Закрыт",ISNUMBER(G139),ISNUMBER(I139)),ROUND(I139-G139,8),"")</f>
        <v/>
      </c>
      <c r="L139" s="325" t="n"/>
      <c r="M139" s="316" t="n"/>
      <c r="N139" s="324" t="n"/>
    </row>
    <row r="140" ht="22" customHeight="1">
      <c r="B140" s="326" t="n"/>
      <c r="C140" s="319" t="n"/>
      <c r="D140" s="318" t="n"/>
      <c r="E140" s="320" t="n"/>
      <c r="F140" s="321" t="n"/>
      <c r="G140" s="327" t="n"/>
      <c r="H140" s="321" t="n"/>
      <c r="I140" s="327" t="n"/>
      <c r="J140" s="246">
        <f>IF(AND(L140="Закрыт",ISNUMBER(F140),ISNUMBER(H140)),ROUND(H140-F140,8),"")</f>
        <v/>
      </c>
      <c r="K140" s="247">
        <f>IF(AND(L140="Закрыт",ISNUMBER(G140),ISNUMBER(I140)),ROUND(I140-G140,8),"")</f>
        <v/>
      </c>
      <c r="L140" s="328" t="n"/>
      <c r="M140" s="321" t="n"/>
      <c r="N140" s="327" t="n"/>
    </row>
    <row r="141" ht="22" customHeight="1">
      <c r="B141" s="323" t="n"/>
      <c r="C141" s="314" t="n"/>
      <c r="D141" s="313" t="n"/>
      <c r="E141" s="315" t="n"/>
      <c r="F141" s="316" t="n"/>
      <c r="G141" s="324" t="n"/>
      <c r="H141" s="316" t="n"/>
      <c r="I141" s="324" t="n"/>
      <c r="J141" s="240">
        <f>IF(AND(L141="Закрыт",ISNUMBER(F141),ISNUMBER(H141)),ROUND(H141-F141,8),"")</f>
        <v/>
      </c>
      <c r="K141" s="241">
        <f>IF(AND(L141="Закрыт",ISNUMBER(G141),ISNUMBER(I141)),ROUND(I141-G141,8),"")</f>
        <v/>
      </c>
      <c r="L141" s="325" t="n"/>
      <c r="M141" s="316" t="n"/>
      <c r="N141" s="324" t="n"/>
    </row>
    <row r="142" ht="22" customHeight="1">
      <c r="B142" s="326" t="n"/>
      <c r="C142" s="319" t="n"/>
      <c r="D142" s="318" t="n"/>
      <c r="E142" s="320" t="n"/>
      <c r="F142" s="321" t="n"/>
      <c r="G142" s="327" t="n"/>
      <c r="H142" s="321" t="n"/>
      <c r="I142" s="327" t="n"/>
      <c r="J142" s="246">
        <f>IF(AND(L142="Закрыт",ISNUMBER(F142),ISNUMBER(H142)),ROUND(H142-F142,8),"")</f>
        <v/>
      </c>
      <c r="K142" s="247">
        <f>IF(AND(L142="Закрыт",ISNUMBER(G142),ISNUMBER(I142)),ROUND(I142-G142,8),"")</f>
        <v/>
      </c>
      <c r="L142" s="328" t="n"/>
      <c r="M142" s="321" t="n"/>
      <c r="N142" s="327" t="n"/>
    </row>
    <row r="143" ht="22" customHeight="1">
      <c r="B143" s="323" t="n"/>
      <c r="C143" s="314" t="n"/>
      <c r="D143" s="313" t="n"/>
      <c r="E143" s="315" t="n"/>
      <c r="F143" s="316" t="n"/>
      <c r="G143" s="324" t="n"/>
      <c r="H143" s="316" t="n"/>
      <c r="I143" s="324" t="n"/>
      <c r="J143" s="240">
        <f>IF(AND(L143="Закрыт",ISNUMBER(F143),ISNUMBER(H143)),ROUND(H143-F143,8),"")</f>
        <v/>
      </c>
      <c r="K143" s="241">
        <f>IF(AND(L143="Закрыт",ISNUMBER(G143),ISNUMBER(I143)),ROUND(I143-G143,8),"")</f>
        <v/>
      </c>
      <c r="L143" s="325" t="n"/>
      <c r="M143" s="316" t="n"/>
      <c r="N143" s="324" t="n"/>
    </row>
    <row r="144" ht="22" customHeight="1">
      <c r="B144" s="326" t="n"/>
      <c r="C144" s="319" t="n"/>
      <c r="D144" s="318" t="n"/>
      <c r="E144" s="320" t="n"/>
      <c r="F144" s="321" t="n"/>
      <c r="G144" s="327" t="n"/>
      <c r="H144" s="321" t="n"/>
      <c r="I144" s="327" t="n"/>
      <c r="J144" s="246">
        <f>IF(AND(L144="Закрыт",ISNUMBER(F144),ISNUMBER(H144)),ROUND(H144-F144,8),"")</f>
        <v/>
      </c>
      <c r="K144" s="247">
        <f>IF(AND(L144="Закрыт",ISNUMBER(G144),ISNUMBER(I144)),ROUND(I144-G144,8),"")</f>
        <v/>
      </c>
      <c r="L144" s="328" t="n"/>
      <c r="M144" s="321" t="n"/>
      <c r="N144" s="327" t="n"/>
    </row>
    <row r="145" ht="22" customHeight="1">
      <c r="B145" s="323" t="n"/>
      <c r="C145" s="314" t="n"/>
      <c r="D145" s="313" t="n"/>
      <c r="E145" s="315" t="n"/>
      <c r="F145" s="316" t="n"/>
      <c r="G145" s="324" t="n"/>
      <c r="H145" s="316" t="n"/>
      <c r="I145" s="324" t="n"/>
      <c r="J145" s="240">
        <f>IF(AND(L145="Закрыт",ISNUMBER(F145),ISNUMBER(H145)),ROUND(H145-F145,8),"")</f>
        <v/>
      </c>
      <c r="K145" s="241">
        <f>IF(AND(L145="Закрыт",ISNUMBER(G145),ISNUMBER(I145)),ROUND(I145-G145,8),"")</f>
        <v/>
      </c>
      <c r="L145" s="325" t="n"/>
      <c r="M145" s="316" t="n"/>
      <c r="N145" s="324" t="n"/>
    </row>
    <row r="146" ht="22" customHeight="1">
      <c r="B146" s="326" t="n"/>
      <c r="C146" s="319" t="n"/>
      <c r="D146" s="318" t="n"/>
      <c r="E146" s="320" t="n"/>
      <c r="F146" s="321" t="n"/>
      <c r="G146" s="327" t="n"/>
      <c r="H146" s="321" t="n"/>
      <c r="I146" s="327" t="n"/>
      <c r="J146" s="246">
        <f>IF(AND(L146="Закрыт",ISNUMBER(F146),ISNUMBER(H146)),ROUND(H146-F146,8),"")</f>
        <v/>
      </c>
      <c r="K146" s="247">
        <f>IF(AND(L146="Закрыт",ISNUMBER(G146),ISNUMBER(I146)),ROUND(I146-G146,8),"")</f>
        <v/>
      </c>
      <c r="L146" s="328" t="n"/>
      <c r="M146" s="321" t="n"/>
      <c r="N146" s="327" t="n"/>
    </row>
    <row r="147" ht="22" customHeight="1">
      <c r="B147" s="323" t="n"/>
      <c r="C147" s="314" t="n"/>
      <c r="D147" s="313" t="n"/>
      <c r="E147" s="315" t="n"/>
      <c r="F147" s="316" t="n"/>
      <c r="G147" s="324" t="n"/>
      <c r="H147" s="316" t="n"/>
      <c r="I147" s="324" t="n"/>
      <c r="J147" s="240">
        <f>IF(AND(L147="Закрыт",ISNUMBER(F147),ISNUMBER(H147)),ROUND(H147-F147,8),"")</f>
        <v/>
      </c>
      <c r="K147" s="241">
        <f>IF(AND(L147="Закрыт",ISNUMBER(G147),ISNUMBER(I147)),ROUND(I147-G147,8),"")</f>
        <v/>
      </c>
      <c r="L147" s="325" t="n"/>
      <c r="M147" s="316" t="n"/>
      <c r="N147" s="324" t="n"/>
    </row>
    <row r="148" ht="22" customHeight="1">
      <c r="B148" s="326" t="n"/>
      <c r="C148" s="319" t="n"/>
      <c r="D148" s="318" t="n"/>
      <c r="E148" s="320" t="n"/>
      <c r="F148" s="321" t="n"/>
      <c r="G148" s="327" t="n"/>
      <c r="H148" s="321" t="n"/>
      <c r="I148" s="327" t="n"/>
      <c r="J148" s="246">
        <f>IF(AND(L148="Закрыт",ISNUMBER(F148),ISNUMBER(H148)),ROUND(H148-F148,8),"")</f>
        <v/>
      </c>
      <c r="K148" s="247">
        <f>IF(AND(L148="Закрыт",ISNUMBER(G148),ISNUMBER(I148)),ROUND(I148-G148,8),"")</f>
        <v/>
      </c>
      <c r="L148" s="328" t="n"/>
      <c r="M148" s="321" t="n"/>
      <c r="N148" s="327" t="n"/>
    </row>
    <row r="149" ht="22" customHeight="1">
      <c r="B149" s="323" t="n"/>
      <c r="C149" s="314" t="n"/>
      <c r="D149" s="313" t="n"/>
      <c r="E149" s="315" t="n"/>
      <c r="F149" s="316" t="n"/>
      <c r="G149" s="324" t="n"/>
      <c r="H149" s="316" t="n"/>
      <c r="I149" s="324" t="n"/>
      <c r="J149" s="240">
        <f>IF(AND(L149="Закрыт",ISNUMBER(F149),ISNUMBER(H149)),ROUND(H149-F149,8),"")</f>
        <v/>
      </c>
      <c r="K149" s="241">
        <f>IF(AND(L149="Закрыт",ISNUMBER(G149),ISNUMBER(I149)),ROUND(I149-G149,8),"")</f>
        <v/>
      </c>
      <c r="L149" s="325" t="n"/>
      <c r="M149" s="316" t="n"/>
      <c r="N149" s="324" t="n"/>
    </row>
    <row r="150" ht="22" customHeight="1">
      <c r="B150" s="326" t="n"/>
      <c r="C150" s="319" t="n"/>
      <c r="D150" s="318" t="n"/>
      <c r="E150" s="320" t="n"/>
      <c r="F150" s="321" t="n"/>
      <c r="G150" s="327" t="n"/>
      <c r="H150" s="321" t="n"/>
      <c r="I150" s="327" t="n"/>
      <c r="J150" s="246">
        <f>IF(AND(L150="Закрыт",ISNUMBER(F150),ISNUMBER(H150)),ROUND(H150-F150,8),"")</f>
        <v/>
      </c>
      <c r="K150" s="247">
        <f>IF(AND(L150="Закрыт",ISNUMBER(G150),ISNUMBER(I150)),ROUND(I150-G150,8),"")</f>
        <v/>
      </c>
      <c r="L150" s="328" t="n"/>
      <c r="M150" s="321" t="n"/>
      <c r="N150" s="327" t="n"/>
    </row>
    <row r="151" ht="22" customHeight="1">
      <c r="B151" s="323" t="n"/>
      <c r="C151" s="314" t="n"/>
      <c r="D151" s="313" t="n"/>
      <c r="E151" s="315" t="n"/>
      <c r="F151" s="316" t="n"/>
      <c r="G151" s="324" t="n"/>
      <c r="H151" s="316" t="n"/>
      <c r="I151" s="324" t="n"/>
      <c r="J151" s="240">
        <f>IF(AND(L151="Закрыт",ISNUMBER(F151),ISNUMBER(H151)),ROUND(H151-F151,8),"")</f>
        <v/>
      </c>
      <c r="K151" s="241">
        <f>IF(AND(L151="Закрыт",ISNUMBER(G151),ISNUMBER(I151)),ROUND(I151-G151,8),"")</f>
        <v/>
      </c>
      <c r="L151" s="325" t="n"/>
      <c r="M151" s="316" t="n"/>
      <c r="N151" s="324" t="n"/>
    </row>
    <row r="152" ht="22" customHeight="1">
      <c r="B152" s="326" t="n"/>
      <c r="C152" s="319" t="n"/>
      <c r="D152" s="318" t="n"/>
      <c r="E152" s="320" t="n"/>
      <c r="F152" s="321" t="n"/>
      <c r="G152" s="327" t="n"/>
      <c r="H152" s="321" t="n"/>
      <c r="I152" s="327" t="n"/>
      <c r="J152" s="246">
        <f>IF(AND(L152="Закрыт",ISNUMBER(F152),ISNUMBER(H152)),ROUND(H152-F152,8),"")</f>
        <v/>
      </c>
      <c r="K152" s="247">
        <f>IF(AND(L152="Закрыт",ISNUMBER(G152),ISNUMBER(I152)),ROUND(I152-G152,8),"")</f>
        <v/>
      </c>
      <c r="L152" s="328" t="n"/>
      <c r="M152" s="321" t="n"/>
      <c r="N152" s="327" t="n"/>
    </row>
    <row r="153" ht="22" customHeight="1">
      <c r="B153" s="323" t="n"/>
      <c r="C153" s="314" t="n"/>
      <c r="D153" s="313" t="n"/>
      <c r="E153" s="315" t="n"/>
      <c r="F153" s="316" t="n"/>
      <c r="G153" s="324" t="n"/>
      <c r="H153" s="316" t="n"/>
      <c r="I153" s="324" t="n"/>
      <c r="J153" s="240">
        <f>IF(AND(L153="Закрыт",ISNUMBER(F153),ISNUMBER(H153)),ROUND(H153-F153,8),"")</f>
        <v/>
      </c>
      <c r="K153" s="241">
        <f>IF(AND(L153="Закрыт",ISNUMBER(G153),ISNUMBER(I153)),ROUND(I153-G153,8),"")</f>
        <v/>
      </c>
      <c r="L153" s="325" t="n"/>
      <c r="M153" s="316" t="n"/>
      <c r="N153" s="324" t="n"/>
    </row>
    <row r="154" ht="22" customHeight="1">
      <c r="B154" s="326" t="n"/>
      <c r="C154" s="319" t="n"/>
      <c r="D154" s="318" t="n"/>
      <c r="E154" s="320" t="n"/>
      <c r="F154" s="321" t="n"/>
      <c r="G154" s="327" t="n"/>
      <c r="H154" s="321" t="n"/>
      <c r="I154" s="327" t="n"/>
      <c r="J154" s="246">
        <f>IF(AND(L154="Закрыт",ISNUMBER(F154),ISNUMBER(H154)),ROUND(H154-F154,8),"")</f>
        <v/>
      </c>
      <c r="K154" s="247">
        <f>IF(AND(L154="Закрыт",ISNUMBER(G154),ISNUMBER(I154)),ROUND(I154-G154,8),"")</f>
        <v/>
      </c>
      <c r="L154" s="328" t="n"/>
      <c r="M154" s="321" t="n"/>
      <c r="N154" s="327" t="n"/>
    </row>
    <row r="155" ht="22" customHeight="1">
      <c r="B155" s="323" t="n"/>
      <c r="C155" s="314" t="n"/>
      <c r="D155" s="313" t="n"/>
      <c r="E155" s="315" t="n"/>
      <c r="F155" s="316" t="n"/>
      <c r="G155" s="324" t="n"/>
      <c r="H155" s="316" t="n"/>
      <c r="I155" s="324" t="n"/>
      <c r="J155" s="240">
        <f>IF(AND(L155="Закрыт",ISNUMBER(F155),ISNUMBER(H155)),ROUND(H155-F155,8),"")</f>
        <v/>
      </c>
      <c r="K155" s="241">
        <f>IF(AND(L155="Закрыт",ISNUMBER(G155),ISNUMBER(I155)),ROUND(I155-G155,8),"")</f>
        <v/>
      </c>
      <c r="L155" s="325" t="n"/>
      <c r="M155" s="316" t="n"/>
      <c r="N155" s="324" t="n"/>
    </row>
    <row r="156" ht="22" customHeight="1">
      <c r="B156" s="326" t="n"/>
      <c r="C156" s="319" t="n"/>
      <c r="D156" s="318" t="n"/>
      <c r="E156" s="320" t="n"/>
      <c r="F156" s="321" t="n"/>
      <c r="G156" s="327" t="n"/>
      <c r="H156" s="321" t="n"/>
      <c r="I156" s="327" t="n"/>
      <c r="J156" s="246">
        <f>IF(AND(L156="Закрыт",ISNUMBER(F156),ISNUMBER(H156)),ROUND(H156-F156,8),"")</f>
        <v/>
      </c>
      <c r="K156" s="247">
        <f>IF(AND(L156="Закрыт",ISNUMBER(G156),ISNUMBER(I156)),ROUND(I156-G156,8),"")</f>
        <v/>
      </c>
      <c r="L156" s="328" t="n"/>
      <c r="M156" s="321" t="n"/>
      <c r="N156" s="327" t="n"/>
    </row>
    <row r="157" ht="22" customHeight="1">
      <c r="B157" s="323" t="n"/>
      <c r="C157" s="314" t="n"/>
      <c r="D157" s="313" t="n"/>
      <c r="E157" s="315" t="n"/>
      <c r="F157" s="316" t="n"/>
      <c r="G157" s="324" t="n"/>
      <c r="H157" s="316" t="n"/>
      <c r="I157" s="324" t="n"/>
      <c r="J157" s="240">
        <f>IF(AND(L157="Закрыт",ISNUMBER(F157),ISNUMBER(H157)),ROUND(H157-F157,8),"")</f>
        <v/>
      </c>
      <c r="K157" s="241">
        <f>IF(AND(L157="Закрыт",ISNUMBER(G157),ISNUMBER(I157)),ROUND(I157-G157,8),"")</f>
        <v/>
      </c>
      <c r="L157" s="325" t="n"/>
      <c r="M157" s="316" t="n"/>
      <c r="N157" s="324" t="n"/>
    </row>
    <row r="158" ht="22" customHeight="1">
      <c r="B158" s="326" t="n"/>
      <c r="C158" s="319" t="n"/>
      <c r="D158" s="318" t="n"/>
      <c r="E158" s="320" t="n"/>
      <c r="F158" s="321" t="n"/>
      <c r="G158" s="327" t="n"/>
      <c r="H158" s="321" t="n"/>
      <c r="I158" s="327" t="n"/>
      <c r="J158" s="246">
        <f>IF(AND(L158="Закрыт",ISNUMBER(F158),ISNUMBER(H158)),ROUND(H158-F158,8),"")</f>
        <v/>
      </c>
      <c r="K158" s="247">
        <f>IF(AND(L158="Закрыт",ISNUMBER(G158),ISNUMBER(I158)),ROUND(I158-G158,8),"")</f>
        <v/>
      </c>
      <c r="L158" s="328" t="n"/>
      <c r="M158" s="321" t="n"/>
      <c r="N158" s="327" t="n"/>
    </row>
    <row r="159" ht="22" customHeight="1">
      <c r="B159" s="323" t="n"/>
      <c r="C159" s="314" t="n"/>
      <c r="D159" s="313" t="n"/>
      <c r="E159" s="315" t="n"/>
      <c r="F159" s="316" t="n"/>
      <c r="G159" s="324" t="n"/>
      <c r="H159" s="316" t="n"/>
      <c r="I159" s="324" t="n"/>
      <c r="J159" s="240">
        <f>IF(AND(L159="Закрыт",ISNUMBER(F159),ISNUMBER(H159)),ROUND(H159-F159,8),"")</f>
        <v/>
      </c>
      <c r="K159" s="241">
        <f>IF(AND(L159="Закрыт",ISNUMBER(G159),ISNUMBER(I159)),ROUND(I159-G159,8),"")</f>
        <v/>
      </c>
      <c r="L159" s="325" t="n"/>
      <c r="M159" s="316" t="n"/>
      <c r="N159" s="324" t="n"/>
    </row>
    <row r="160" ht="22" customHeight="1">
      <c r="B160" s="326" t="n"/>
      <c r="C160" s="319" t="n"/>
      <c r="D160" s="318" t="n"/>
      <c r="E160" s="320" t="n"/>
      <c r="F160" s="321" t="n"/>
      <c r="G160" s="327" t="n"/>
      <c r="H160" s="321" t="n"/>
      <c r="I160" s="327" t="n"/>
      <c r="J160" s="246">
        <f>IF(AND(L160="Закрыт",ISNUMBER(F160),ISNUMBER(H160)),ROUND(H160-F160,8),"")</f>
        <v/>
      </c>
      <c r="K160" s="247">
        <f>IF(AND(L160="Закрыт",ISNUMBER(G160),ISNUMBER(I160)),ROUND(I160-G160,8),"")</f>
        <v/>
      </c>
      <c r="L160" s="328" t="n"/>
      <c r="M160" s="321" t="n"/>
      <c r="N160" s="327" t="n"/>
    </row>
    <row r="161" ht="22" customHeight="1">
      <c r="B161" s="323" t="n"/>
      <c r="C161" s="314" t="n"/>
      <c r="D161" s="313" t="n"/>
      <c r="E161" s="315" t="n"/>
      <c r="F161" s="316" t="n"/>
      <c r="G161" s="324" t="n"/>
      <c r="H161" s="316" t="n"/>
      <c r="I161" s="324" t="n"/>
      <c r="J161" s="240">
        <f>IF(AND(L161="Закрыт",ISNUMBER(F161),ISNUMBER(H161)),ROUND(H161-F161,8),"")</f>
        <v/>
      </c>
      <c r="K161" s="241">
        <f>IF(AND(L161="Закрыт",ISNUMBER(G161),ISNUMBER(I161)),ROUND(I161-G161,8),"")</f>
        <v/>
      </c>
      <c r="L161" s="325" t="n"/>
      <c r="M161" s="316" t="n"/>
      <c r="N161" s="324" t="n"/>
    </row>
    <row r="162" ht="22" customHeight="1">
      <c r="B162" s="326" t="n"/>
      <c r="C162" s="319" t="n"/>
      <c r="D162" s="318" t="n"/>
      <c r="E162" s="320" t="n"/>
      <c r="F162" s="321" t="n"/>
      <c r="G162" s="327" t="n"/>
      <c r="H162" s="321" t="n"/>
      <c r="I162" s="327" t="n"/>
      <c r="J162" s="246">
        <f>IF(AND(L162="Закрыт",ISNUMBER(F162),ISNUMBER(H162)),ROUND(H162-F162,8),"")</f>
        <v/>
      </c>
      <c r="K162" s="247">
        <f>IF(AND(L162="Закрыт",ISNUMBER(G162),ISNUMBER(I162)),ROUND(I162-G162,8),"")</f>
        <v/>
      </c>
      <c r="L162" s="328" t="n"/>
      <c r="M162" s="321" t="n"/>
      <c r="N162" s="327" t="n"/>
    </row>
    <row r="163" ht="22" customHeight="1">
      <c r="B163" s="323" t="n"/>
      <c r="C163" s="314" t="n"/>
      <c r="D163" s="313" t="n"/>
      <c r="E163" s="315" t="n"/>
      <c r="F163" s="316" t="n"/>
      <c r="G163" s="324" t="n"/>
      <c r="H163" s="316" t="n"/>
      <c r="I163" s="324" t="n"/>
      <c r="J163" s="240">
        <f>IF(AND(L163="Закрыт",ISNUMBER(F163),ISNUMBER(H163)),ROUND(H163-F163,8),"")</f>
        <v/>
      </c>
      <c r="K163" s="241">
        <f>IF(AND(L163="Закрыт",ISNUMBER(G163),ISNUMBER(I163)),ROUND(I163-G163,8),"")</f>
        <v/>
      </c>
      <c r="L163" s="325" t="n"/>
      <c r="M163" s="316" t="n"/>
      <c r="N163" s="324" t="n"/>
    </row>
    <row r="164" ht="22" customHeight="1">
      <c r="B164" s="326" t="n"/>
      <c r="C164" s="319" t="n"/>
      <c r="D164" s="318" t="n"/>
      <c r="E164" s="320" t="n"/>
      <c r="F164" s="321" t="n"/>
      <c r="G164" s="327" t="n"/>
      <c r="H164" s="321" t="n"/>
      <c r="I164" s="327" t="n"/>
      <c r="J164" s="246">
        <f>IF(AND(L164="Закрыт",ISNUMBER(F164),ISNUMBER(H164)),ROUND(H164-F164,8),"")</f>
        <v/>
      </c>
      <c r="K164" s="247">
        <f>IF(AND(L164="Закрыт",ISNUMBER(G164),ISNUMBER(I164)),ROUND(I164-G164,8),"")</f>
        <v/>
      </c>
      <c r="L164" s="328" t="n"/>
      <c r="M164" s="321" t="n"/>
      <c r="N164" s="327" t="n"/>
    </row>
    <row r="165" ht="22" customHeight="1">
      <c r="B165" s="323" t="n"/>
      <c r="C165" s="314" t="n"/>
      <c r="D165" s="313" t="n"/>
      <c r="E165" s="315" t="n"/>
      <c r="F165" s="316" t="n"/>
      <c r="G165" s="324" t="n"/>
      <c r="H165" s="316" t="n"/>
      <c r="I165" s="324" t="n"/>
      <c r="J165" s="240">
        <f>IF(AND(L165="Закрыт",ISNUMBER(F165),ISNUMBER(H165)),ROUND(H165-F165,8),"")</f>
        <v/>
      </c>
      <c r="K165" s="241">
        <f>IF(AND(L165="Закрыт",ISNUMBER(G165),ISNUMBER(I165)),ROUND(I165-G165,8),"")</f>
        <v/>
      </c>
      <c r="L165" s="325" t="n"/>
      <c r="M165" s="316" t="n"/>
      <c r="N165" s="324" t="n"/>
    </row>
    <row r="166" ht="22" customHeight="1">
      <c r="B166" s="326" t="n"/>
      <c r="C166" s="319" t="n"/>
      <c r="D166" s="318" t="n"/>
      <c r="E166" s="320" t="n"/>
      <c r="F166" s="321" t="n"/>
      <c r="G166" s="327" t="n"/>
      <c r="H166" s="321" t="n"/>
      <c r="I166" s="327" t="n"/>
      <c r="J166" s="246">
        <f>IF(AND(L166="Закрыт",ISNUMBER(F166),ISNUMBER(H166)),ROUND(H166-F166,8),"")</f>
        <v/>
      </c>
      <c r="K166" s="247">
        <f>IF(AND(L166="Закрыт",ISNUMBER(G166),ISNUMBER(I166)),ROUND(I166-G166,8),"")</f>
        <v/>
      </c>
      <c r="L166" s="328" t="n"/>
      <c r="M166" s="321" t="n"/>
      <c r="N166" s="327" t="n"/>
    </row>
    <row r="167" ht="22" customHeight="1">
      <c r="B167" s="323" t="n"/>
      <c r="C167" s="314" t="n"/>
      <c r="D167" s="313" t="n"/>
      <c r="E167" s="315" t="n"/>
      <c r="F167" s="316" t="n"/>
      <c r="G167" s="324" t="n"/>
      <c r="H167" s="316" t="n"/>
      <c r="I167" s="324" t="n"/>
      <c r="J167" s="240">
        <f>IF(AND(L167="Закрыт",ISNUMBER(F167),ISNUMBER(H167)),ROUND(H167-F167,8),"")</f>
        <v/>
      </c>
      <c r="K167" s="241">
        <f>IF(AND(L167="Закрыт",ISNUMBER(G167),ISNUMBER(I167)),ROUND(I167-G167,8),"")</f>
        <v/>
      </c>
      <c r="L167" s="325" t="n"/>
      <c r="M167" s="316" t="n"/>
      <c r="N167" s="324" t="n"/>
    </row>
    <row r="168" ht="22" customHeight="1">
      <c r="B168" s="326" t="n"/>
      <c r="C168" s="319" t="n"/>
      <c r="D168" s="318" t="n"/>
      <c r="E168" s="320" t="n"/>
      <c r="F168" s="321" t="n"/>
      <c r="G168" s="327" t="n"/>
      <c r="H168" s="321" t="n"/>
      <c r="I168" s="327" t="n"/>
      <c r="J168" s="246">
        <f>IF(AND(L168="Закрыт",ISNUMBER(F168),ISNUMBER(H168)),ROUND(H168-F168,8),"")</f>
        <v/>
      </c>
      <c r="K168" s="247">
        <f>IF(AND(L168="Закрыт",ISNUMBER(G168),ISNUMBER(I168)),ROUND(I168-G168,8),"")</f>
        <v/>
      </c>
      <c r="L168" s="328" t="n"/>
      <c r="M168" s="321" t="n"/>
      <c r="N168" s="327" t="n"/>
    </row>
    <row r="169" ht="22" customHeight="1">
      <c r="B169" s="323" t="n"/>
      <c r="C169" s="314" t="n"/>
      <c r="D169" s="313" t="n"/>
      <c r="E169" s="315" t="n"/>
      <c r="F169" s="316" t="n"/>
      <c r="G169" s="324" t="n"/>
      <c r="H169" s="316" t="n"/>
      <c r="I169" s="324" t="n"/>
      <c r="J169" s="240">
        <f>IF(AND(L169="Закрыт",ISNUMBER(F169),ISNUMBER(H169)),ROUND(H169-F169,8),"")</f>
        <v/>
      </c>
      <c r="K169" s="241">
        <f>IF(AND(L169="Закрыт",ISNUMBER(G169),ISNUMBER(I169)),ROUND(I169-G169,8),"")</f>
        <v/>
      </c>
      <c r="L169" s="325" t="n"/>
      <c r="M169" s="316" t="n"/>
      <c r="N169" s="324" t="n"/>
    </row>
    <row r="170" ht="22" customHeight="1">
      <c r="B170" s="326" t="n"/>
      <c r="C170" s="319" t="n"/>
      <c r="D170" s="318" t="n"/>
      <c r="E170" s="320" t="n"/>
      <c r="F170" s="321" t="n"/>
      <c r="G170" s="327" t="n"/>
      <c r="H170" s="321" t="n"/>
      <c r="I170" s="327" t="n"/>
      <c r="J170" s="246">
        <f>IF(AND(L170="Закрыт",ISNUMBER(F170),ISNUMBER(H170)),ROUND(H170-F170,8),"")</f>
        <v/>
      </c>
      <c r="K170" s="247">
        <f>IF(AND(L170="Закрыт",ISNUMBER(G170),ISNUMBER(I170)),ROUND(I170-G170,8),"")</f>
        <v/>
      </c>
      <c r="L170" s="328" t="n"/>
      <c r="M170" s="321" t="n"/>
      <c r="N170" s="327" t="n"/>
    </row>
    <row r="171" ht="22" customHeight="1">
      <c r="B171" s="323" t="n"/>
      <c r="C171" s="314" t="n"/>
      <c r="D171" s="313" t="n"/>
      <c r="E171" s="315" t="n"/>
      <c r="F171" s="316" t="n"/>
      <c r="G171" s="324" t="n"/>
      <c r="H171" s="316" t="n"/>
      <c r="I171" s="324" t="n"/>
      <c r="J171" s="240">
        <f>IF(AND(L171="Закрыт",ISNUMBER(F171),ISNUMBER(H171)),ROUND(H171-F171,8),"")</f>
        <v/>
      </c>
      <c r="K171" s="241">
        <f>IF(AND(L171="Закрыт",ISNUMBER(G171),ISNUMBER(I171)),ROUND(I171-G171,8),"")</f>
        <v/>
      </c>
      <c r="L171" s="325" t="n"/>
      <c r="M171" s="316" t="n"/>
      <c r="N171" s="324" t="n"/>
    </row>
    <row r="172" ht="22" customHeight="1">
      <c r="B172" s="326" t="n"/>
      <c r="C172" s="319" t="n"/>
      <c r="D172" s="318" t="n"/>
      <c r="E172" s="320" t="n"/>
      <c r="F172" s="321" t="n"/>
      <c r="G172" s="327" t="n"/>
      <c r="H172" s="321" t="n"/>
      <c r="I172" s="327" t="n"/>
      <c r="J172" s="246">
        <f>IF(AND(L172="Закрыт",ISNUMBER(F172),ISNUMBER(H172)),ROUND(H172-F172,8),"")</f>
        <v/>
      </c>
      <c r="K172" s="247">
        <f>IF(AND(L172="Закрыт",ISNUMBER(G172),ISNUMBER(I172)),ROUND(I172-G172,8),"")</f>
        <v/>
      </c>
      <c r="L172" s="328" t="n"/>
      <c r="M172" s="321" t="n"/>
      <c r="N172" s="327" t="n"/>
    </row>
    <row r="173" ht="22" customHeight="1">
      <c r="B173" s="323" t="n"/>
      <c r="C173" s="314" t="n"/>
      <c r="D173" s="313" t="n"/>
      <c r="E173" s="315" t="n"/>
      <c r="F173" s="316" t="n"/>
      <c r="G173" s="324" t="n"/>
      <c r="H173" s="316" t="n"/>
      <c r="I173" s="324" t="n"/>
      <c r="J173" s="240">
        <f>IF(AND(L173="Закрыт",ISNUMBER(F173),ISNUMBER(H173)),ROUND(H173-F173,8),"")</f>
        <v/>
      </c>
      <c r="K173" s="241">
        <f>IF(AND(L173="Закрыт",ISNUMBER(G173),ISNUMBER(I173)),ROUND(I173-G173,8),"")</f>
        <v/>
      </c>
      <c r="L173" s="325" t="n"/>
      <c r="M173" s="316" t="n"/>
      <c r="N173" s="324" t="n"/>
    </row>
    <row r="174" ht="22" customHeight="1">
      <c r="B174" s="326" t="n"/>
      <c r="C174" s="319" t="n"/>
      <c r="D174" s="318" t="n"/>
      <c r="E174" s="320" t="n"/>
      <c r="F174" s="321" t="n"/>
      <c r="G174" s="327" t="n"/>
      <c r="H174" s="321" t="n"/>
      <c r="I174" s="327" t="n"/>
      <c r="J174" s="246">
        <f>IF(AND(L174="Закрыт",ISNUMBER(F174),ISNUMBER(H174)),ROUND(H174-F174,8),"")</f>
        <v/>
      </c>
      <c r="K174" s="247">
        <f>IF(AND(L174="Закрыт",ISNUMBER(G174),ISNUMBER(I174)),ROUND(I174-G174,8),"")</f>
        <v/>
      </c>
      <c r="L174" s="328" t="n"/>
      <c r="M174" s="321" t="n"/>
      <c r="N174" s="327" t="n"/>
    </row>
    <row r="175" ht="22" customHeight="1">
      <c r="B175" s="323" t="n"/>
      <c r="C175" s="314" t="n"/>
      <c r="D175" s="313" t="n"/>
      <c r="E175" s="315" t="n"/>
      <c r="F175" s="316" t="n"/>
      <c r="G175" s="324" t="n"/>
      <c r="H175" s="316" t="n"/>
      <c r="I175" s="324" t="n"/>
      <c r="J175" s="240">
        <f>IF(AND(L175="Закрыт",ISNUMBER(F175),ISNUMBER(H175)),ROUND(H175-F175,8),"")</f>
        <v/>
      </c>
      <c r="K175" s="241">
        <f>IF(AND(L175="Закрыт",ISNUMBER(G175),ISNUMBER(I175)),ROUND(I175-G175,8),"")</f>
        <v/>
      </c>
      <c r="L175" s="325" t="n"/>
      <c r="M175" s="316" t="n"/>
      <c r="N175" s="324" t="n"/>
    </row>
    <row r="176" ht="22" customHeight="1">
      <c r="B176" s="326" t="n"/>
      <c r="C176" s="319" t="n"/>
      <c r="D176" s="318" t="n"/>
      <c r="E176" s="320" t="n"/>
      <c r="F176" s="321" t="n"/>
      <c r="G176" s="327" t="n"/>
      <c r="H176" s="321" t="n"/>
      <c r="I176" s="327" t="n"/>
      <c r="J176" s="246">
        <f>IF(AND(L176="Закрыт",ISNUMBER(F176),ISNUMBER(H176)),ROUND(H176-F176,8),"")</f>
        <v/>
      </c>
      <c r="K176" s="247">
        <f>IF(AND(L176="Закрыт",ISNUMBER(G176),ISNUMBER(I176)),ROUND(I176-G176,8),"")</f>
        <v/>
      </c>
      <c r="L176" s="328" t="n"/>
      <c r="M176" s="321" t="n"/>
      <c r="N176" s="327" t="n"/>
    </row>
    <row r="177" ht="22" customHeight="1">
      <c r="B177" s="323" t="n"/>
      <c r="C177" s="314" t="n"/>
      <c r="D177" s="313" t="n"/>
      <c r="E177" s="315" t="n"/>
      <c r="F177" s="316" t="n"/>
      <c r="G177" s="324" t="n"/>
      <c r="H177" s="316" t="n"/>
      <c r="I177" s="324" t="n"/>
      <c r="J177" s="240">
        <f>IF(AND(L177="Закрыт",ISNUMBER(F177),ISNUMBER(H177)),ROUND(H177-F177,8),"")</f>
        <v/>
      </c>
      <c r="K177" s="241">
        <f>IF(AND(L177="Закрыт",ISNUMBER(G177),ISNUMBER(I177)),ROUND(I177-G177,8),"")</f>
        <v/>
      </c>
      <c r="L177" s="325" t="n"/>
      <c r="M177" s="316" t="n"/>
      <c r="N177" s="324" t="n"/>
    </row>
    <row r="178" ht="22" customHeight="1">
      <c r="B178" s="326" t="n"/>
      <c r="C178" s="319" t="n"/>
      <c r="D178" s="318" t="n"/>
      <c r="E178" s="320" t="n"/>
      <c r="F178" s="321" t="n"/>
      <c r="G178" s="327" t="n"/>
      <c r="H178" s="321" t="n"/>
      <c r="I178" s="327" t="n"/>
      <c r="J178" s="246">
        <f>IF(AND(L178="Закрыт",ISNUMBER(F178),ISNUMBER(H178)),ROUND(H178-F178,8),"")</f>
        <v/>
      </c>
      <c r="K178" s="247">
        <f>IF(AND(L178="Закрыт",ISNUMBER(G178),ISNUMBER(I178)),ROUND(I178-G178,8),"")</f>
        <v/>
      </c>
      <c r="L178" s="328" t="n"/>
      <c r="M178" s="321" t="n"/>
      <c r="N178" s="327" t="n"/>
    </row>
    <row r="179" ht="22" customHeight="1">
      <c r="B179" s="323" t="n"/>
      <c r="C179" s="314" t="n"/>
      <c r="D179" s="313" t="n"/>
      <c r="E179" s="315" t="n"/>
      <c r="F179" s="316" t="n"/>
      <c r="G179" s="324" t="n"/>
      <c r="H179" s="316" t="n"/>
      <c r="I179" s="324" t="n"/>
      <c r="J179" s="240">
        <f>IF(AND(L179="Закрыт",ISNUMBER(F179),ISNUMBER(H179)),ROUND(H179-F179,8),"")</f>
        <v/>
      </c>
      <c r="K179" s="241">
        <f>IF(AND(L179="Закрыт",ISNUMBER(G179),ISNUMBER(I179)),ROUND(I179-G179,8),"")</f>
        <v/>
      </c>
      <c r="L179" s="325" t="n"/>
      <c r="M179" s="316" t="n"/>
      <c r="N179" s="324" t="n"/>
    </row>
    <row r="180" ht="22" customHeight="1">
      <c r="B180" s="326" t="n"/>
      <c r="C180" s="319" t="n"/>
      <c r="D180" s="318" t="n"/>
      <c r="E180" s="320" t="n"/>
      <c r="F180" s="321" t="n"/>
      <c r="G180" s="327" t="n"/>
      <c r="H180" s="321" t="n"/>
      <c r="I180" s="327" t="n"/>
      <c r="J180" s="246">
        <f>IF(AND(L180="Закрыт",ISNUMBER(F180),ISNUMBER(H180)),ROUND(H180-F180,8),"")</f>
        <v/>
      </c>
      <c r="K180" s="247">
        <f>IF(AND(L180="Закрыт",ISNUMBER(G180),ISNUMBER(I180)),ROUND(I180-G180,8),"")</f>
        <v/>
      </c>
      <c r="L180" s="328" t="n"/>
      <c r="M180" s="321" t="n"/>
      <c r="N180" s="327" t="n"/>
    </row>
    <row r="181" ht="22" customHeight="1">
      <c r="B181" s="323" t="n"/>
      <c r="C181" s="314" t="n"/>
      <c r="D181" s="313" t="n"/>
      <c r="E181" s="315" t="n"/>
      <c r="F181" s="316" t="n"/>
      <c r="G181" s="324" t="n"/>
      <c r="H181" s="316" t="n"/>
      <c r="I181" s="324" t="n"/>
      <c r="J181" s="240">
        <f>IF(AND(L181="Закрыт",ISNUMBER(F181),ISNUMBER(H181)),ROUND(H181-F181,8),"")</f>
        <v/>
      </c>
      <c r="K181" s="241">
        <f>IF(AND(L181="Закрыт",ISNUMBER(G181),ISNUMBER(I181)),ROUND(I181-G181,8),"")</f>
        <v/>
      </c>
      <c r="L181" s="325" t="n"/>
      <c r="M181" s="316" t="n"/>
      <c r="N181" s="324" t="n"/>
    </row>
    <row r="182" ht="22" customHeight="1">
      <c r="B182" s="326" t="n"/>
      <c r="C182" s="319" t="n"/>
      <c r="D182" s="318" t="n"/>
      <c r="E182" s="320" t="n"/>
      <c r="F182" s="321" t="n"/>
      <c r="G182" s="327" t="n"/>
      <c r="H182" s="321" t="n"/>
      <c r="I182" s="327" t="n"/>
      <c r="J182" s="246">
        <f>IF(AND(L182="Закрыт",ISNUMBER(F182),ISNUMBER(H182)),ROUND(H182-F182,8),"")</f>
        <v/>
      </c>
      <c r="K182" s="247">
        <f>IF(AND(L182="Закрыт",ISNUMBER(G182),ISNUMBER(I182)),ROUND(I182-G182,8),"")</f>
        <v/>
      </c>
      <c r="L182" s="328" t="n"/>
      <c r="M182" s="321" t="n"/>
      <c r="N182" s="327" t="n"/>
    </row>
    <row r="183" ht="22" customHeight="1">
      <c r="B183" s="323" t="n"/>
      <c r="C183" s="314" t="n"/>
      <c r="D183" s="313" t="n"/>
      <c r="E183" s="315" t="n"/>
      <c r="F183" s="316" t="n"/>
      <c r="G183" s="324" t="n"/>
      <c r="H183" s="316" t="n"/>
      <c r="I183" s="324" t="n"/>
      <c r="J183" s="240">
        <f>IF(AND(L183="Закрыт",ISNUMBER(F183),ISNUMBER(H183)),ROUND(H183-F183,8),"")</f>
        <v/>
      </c>
      <c r="K183" s="241">
        <f>IF(AND(L183="Закрыт",ISNUMBER(G183),ISNUMBER(I183)),ROUND(I183-G183,8),"")</f>
        <v/>
      </c>
      <c r="L183" s="325" t="n"/>
      <c r="M183" s="316" t="n"/>
      <c r="N183" s="324" t="n"/>
    </row>
    <row r="184" ht="22" customHeight="1">
      <c r="B184" s="326" t="n"/>
      <c r="C184" s="319" t="n"/>
      <c r="D184" s="318" t="n"/>
      <c r="E184" s="320" t="n"/>
      <c r="F184" s="321" t="n"/>
      <c r="G184" s="327" t="n"/>
      <c r="H184" s="321" t="n"/>
      <c r="I184" s="327" t="n"/>
      <c r="J184" s="246">
        <f>IF(AND(L184="Закрыт",ISNUMBER(F184),ISNUMBER(H184)),ROUND(H184-F184,8),"")</f>
        <v/>
      </c>
      <c r="K184" s="247">
        <f>IF(AND(L184="Закрыт",ISNUMBER(G184),ISNUMBER(I184)),ROUND(I184-G184,8),"")</f>
        <v/>
      </c>
      <c r="L184" s="328" t="n"/>
      <c r="M184" s="321" t="n"/>
      <c r="N184" s="327" t="n"/>
    </row>
    <row r="185" ht="22" customHeight="1">
      <c r="B185" s="323" t="n"/>
      <c r="C185" s="314" t="n"/>
      <c r="D185" s="313" t="n"/>
      <c r="E185" s="315" t="n"/>
      <c r="F185" s="316" t="n"/>
      <c r="G185" s="324" t="n"/>
      <c r="H185" s="316" t="n"/>
      <c r="I185" s="324" t="n"/>
      <c r="J185" s="240">
        <f>IF(AND(L185="Закрыт",ISNUMBER(F185),ISNUMBER(H185)),ROUND(H185-F185,8),"")</f>
        <v/>
      </c>
      <c r="K185" s="241">
        <f>IF(AND(L185="Закрыт",ISNUMBER(G185),ISNUMBER(I185)),ROUND(I185-G185,8),"")</f>
        <v/>
      </c>
      <c r="L185" s="325" t="n"/>
      <c r="M185" s="316" t="n"/>
      <c r="N185" s="324" t="n"/>
    </row>
    <row r="186" ht="22" customHeight="1">
      <c r="B186" s="326" t="n"/>
      <c r="C186" s="319" t="n"/>
      <c r="D186" s="318" t="n"/>
      <c r="E186" s="320" t="n"/>
      <c r="F186" s="321" t="n"/>
      <c r="G186" s="327" t="n"/>
      <c r="H186" s="321" t="n"/>
      <c r="I186" s="327" t="n"/>
      <c r="J186" s="246">
        <f>IF(AND(L186="Закрыт",ISNUMBER(F186),ISNUMBER(H186)),ROUND(H186-F186,8),"")</f>
        <v/>
      </c>
      <c r="K186" s="247">
        <f>IF(AND(L186="Закрыт",ISNUMBER(G186),ISNUMBER(I186)),ROUND(I186-G186,8),"")</f>
        <v/>
      </c>
      <c r="L186" s="328" t="n"/>
      <c r="M186" s="321" t="n"/>
      <c r="N186" s="327" t="n"/>
    </row>
    <row r="187" ht="22" customHeight="1">
      <c r="B187" s="323" t="n"/>
      <c r="C187" s="314" t="n"/>
      <c r="D187" s="313" t="n"/>
      <c r="E187" s="315" t="n"/>
      <c r="F187" s="316" t="n"/>
      <c r="G187" s="324" t="n"/>
      <c r="H187" s="316" t="n"/>
      <c r="I187" s="324" t="n"/>
      <c r="J187" s="240">
        <f>IF(AND(L187="Закрыт",ISNUMBER(F187),ISNUMBER(H187)),ROUND(H187-F187,8),"")</f>
        <v/>
      </c>
      <c r="K187" s="241">
        <f>IF(AND(L187="Закрыт",ISNUMBER(G187),ISNUMBER(I187)),ROUND(I187-G187,8),"")</f>
        <v/>
      </c>
      <c r="L187" s="325" t="n"/>
      <c r="M187" s="316" t="n"/>
      <c r="N187" s="324" t="n"/>
    </row>
    <row r="188" ht="22" customHeight="1">
      <c r="B188" s="326" t="n"/>
      <c r="C188" s="319" t="n"/>
      <c r="D188" s="318" t="n"/>
      <c r="E188" s="320" t="n"/>
      <c r="F188" s="321" t="n"/>
      <c r="G188" s="327" t="n"/>
      <c r="H188" s="321" t="n"/>
      <c r="I188" s="327" t="n"/>
      <c r="J188" s="246">
        <f>IF(AND(L188="Закрыт",ISNUMBER(F188),ISNUMBER(H188)),ROUND(H188-F188,8),"")</f>
        <v/>
      </c>
      <c r="K188" s="247">
        <f>IF(AND(L188="Закрыт",ISNUMBER(G188),ISNUMBER(I188)),ROUND(I188-G188,8),"")</f>
        <v/>
      </c>
      <c r="L188" s="328" t="n"/>
      <c r="M188" s="321" t="n"/>
      <c r="N188" s="327" t="n"/>
    </row>
    <row r="189" ht="22" customHeight="1">
      <c r="B189" s="323" t="n"/>
      <c r="C189" s="314" t="n"/>
      <c r="D189" s="313" t="n"/>
      <c r="E189" s="315" t="n"/>
      <c r="F189" s="316" t="n"/>
      <c r="G189" s="324" t="n"/>
      <c r="H189" s="316" t="n"/>
      <c r="I189" s="324" t="n"/>
      <c r="J189" s="240">
        <f>IF(AND(L189="Закрыт",ISNUMBER(F189),ISNUMBER(H189)),ROUND(H189-F189,8),"")</f>
        <v/>
      </c>
      <c r="K189" s="241">
        <f>IF(AND(L189="Закрыт",ISNUMBER(G189),ISNUMBER(I189)),ROUND(I189-G189,8),"")</f>
        <v/>
      </c>
      <c r="L189" s="325" t="n"/>
      <c r="M189" s="316" t="n"/>
      <c r="N189" s="324" t="n"/>
    </row>
    <row r="190" ht="22" customHeight="1">
      <c r="B190" s="326" t="n"/>
      <c r="C190" s="319" t="n"/>
      <c r="D190" s="318" t="n"/>
      <c r="E190" s="320" t="n"/>
      <c r="F190" s="321" t="n"/>
      <c r="G190" s="327" t="n"/>
      <c r="H190" s="321" t="n"/>
      <c r="I190" s="327" t="n"/>
      <c r="J190" s="246">
        <f>IF(AND(L190="Закрыт",ISNUMBER(F190),ISNUMBER(H190)),ROUND(H190-F190,8),"")</f>
        <v/>
      </c>
      <c r="K190" s="247">
        <f>IF(AND(L190="Закрыт",ISNUMBER(G190),ISNUMBER(I190)),ROUND(I190-G190,8),"")</f>
        <v/>
      </c>
      <c r="L190" s="328" t="n"/>
      <c r="M190" s="321" t="n"/>
      <c r="N190" s="327" t="n"/>
    </row>
    <row r="191" ht="22" customHeight="1">
      <c r="B191" s="323" t="n"/>
      <c r="C191" s="314" t="n"/>
      <c r="D191" s="313" t="n"/>
      <c r="E191" s="315" t="n"/>
      <c r="F191" s="316" t="n"/>
      <c r="G191" s="324" t="n"/>
      <c r="H191" s="316" t="n"/>
      <c r="I191" s="324" t="n"/>
      <c r="J191" s="240">
        <f>IF(AND(L191="Закрыт",ISNUMBER(F191),ISNUMBER(H191)),ROUND(H191-F191,8),"")</f>
        <v/>
      </c>
      <c r="K191" s="241">
        <f>IF(AND(L191="Закрыт",ISNUMBER(G191),ISNUMBER(I191)),ROUND(I191-G191,8),"")</f>
        <v/>
      </c>
      <c r="L191" s="325" t="n"/>
      <c r="M191" s="316" t="n"/>
      <c r="N191" s="324" t="n"/>
    </row>
    <row r="192" ht="22" customHeight="1">
      <c r="B192" s="326" t="n"/>
      <c r="C192" s="319" t="n"/>
      <c r="D192" s="318" t="n"/>
      <c r="E192" s="320" t="n"/>
      <c r="F192" s="321" t="n"/>
      <c r="G192" s="327" t="n"/>
      <c r="H192" s="321" t="n"/>
      <c r="I192" s="327" t="n"/>
      <c r="J192" s="246">
        <f>IF(AND(L192="Закрыт",ISNUMBER(F192),ISNUMBER(H192)),ROUND(H192-F192,8),"")</f>
        <v/>
      </c>
      <c r="K192" s="247">
        <f>IF(AND(L192="Закрыт",ISNUMBER(G192),ISNUMBER(I192)),ROUND(I192-G192,8),"")</f>
        <v/>
      </c>
      <c r="L192" s="328" t="n"/>
      <c r="M192" s="321" t="n"/>
      <c r="N192" s="327" t="n"/>
    </row>
    <row r="193" ht="22" customHeight="1">
      <c r="B193" s="323" t="n"/>
      <c r="C193" s="314" t="n"/>
      <c r="D193" s="313" t="n"/>
      <c r="E193" s="315" t="n"/>
      <c r="F193" s="316" t="n"/>
      <c r="G193" s="324" t="n"/>
      <c r="H193" s="316" t="n"/>
      <c r="I193" s="324" t="n"/>
      <c r="J193" s="240">
        <f>IF(AND(L193="Закрыт",ISNUMBER(F193),ISNUMBER(H193)),ROUND(H193-F193,8),"")</f>
        <v/>
      </c>
      <c r="K193" s="241">
        <f>IF(AND(L193="Закрыт",ISNUMBER(G193),ISNUMBER(I193)),ROUND(I193-G193,8),"")</f>
        <v/>
      </c>
      <c r="L193" s="325" t="n"/>
      <c r="M193" s="316" t="n"/>
      <c r="N193" s="324" t="n"/>
    </row>
    <row r="194" ht="22" customHeight="1">
      <c r="B194" s="326" t="n"/>
      <c r="C194" s="319" t="n"/>
      <c r="D194" s="318" t="n"/>
      <c r="E194" s="320" t="n"/>
      <c r="F194" s="321" t="n"/>
      <c r="G194" s="327" t="n"/>
      <c r="H194" s="321" t="n"/>
      <c r="I194" s="327" t="n"/>
      <c r="J194" s="246">
        <f>IF(AND(L194="Закрыт",ISNUMBER(F194),ISNUMBER(H194)),ROUND(H194-F194,8),"")</f>
        <v/>
      </c>
      <c r="K194" s="247">
        <f>IF(AND(L194="Закрыт",ISNUMBER(G194),ISNUMBER(I194)),ROUND(I194-G194,8),"")</f>
        <v/>
      </c>
      <c r="L194" s="328" t="n"/>
      <c r="M194" s="321" t="n"/>
      <c r="N194" s="327" t="n"/>
    </row>
    <row r="195" ht="22" customHeight="1">
      <c r="B195" s="323" t="n"/>
      <c r="C195" s="314" t="n"/>
      <c r="D195" s="313" t="n"/>
      <c r="E195" s="315" t="n"/>
      <c r="F195" s="316" t="n"/>
      <c r="G195" s="324" t="n"/>
      <c r="H195" s="316" t="n"/>
      <c r="I195" s="324" t="n"/>
      <c r="J195" s="240">
        <f>IF(AND(L195="Закрыт",ISNUMBER(F195),ISNUMBER(H195)),ROUND(H195-F195,8),"")</f>
        <v/>
      </c>
      <c r="K195" s="241">
        <f>IF(AND(L195="Закрыт",ISNUMBER(G195),ISNUMBER(I195)),ROUND(I195-G195,8),"")</f>
        <v/>
      </c>
      <c r="L195" s="325" t="n"/>
      <c r="M195" s="316" t="n"/>
      <c r="N195" s="324" t="n"/>
    </row>
    <row r="196" ht="22" customHeight="1">
      <c r="B196" s="326" t="n"/>
      <c r="C196" s="319" t="n"/>
      <c r="D196" s="318" t="n"/>
      <c r="E196" s="320" t="n"/>
      <c r="F196" s="321" t="n"/>
      <c r="G196" s="327" t="n"/>
      <c r="H196" s="321" t="n"/>
      <c r="I196" s="327" t="n"/>
      <c r="J196" s="246">
        <f>IF(AND(L196="Закрыт",ISNUMBER(F196),ISNUMBER(H196)),ROUND(H196-F196,8),"")</f>
        <v/>
      </c>
      <c r="K196" s="247">
        <f>IF(AND(L196="Закрыт",ISNUMBER(G196),ISNUMBER(I196)),ROUND(I196-G196,8),"")</f>
        <v/>
      </c>
      <c r="L196" s="328" t="n"/>
      <c r="M196" s="321" t="n"/>
      <c r="N196" s="327" t="n"/>
    </row>
    <row r="197" ht="22" customHeight="1">
      <c r="B197" s="323" t="n"/>
      <c r="C197" s="314" t="n"/>
      <c r="D197" s="313" t="n"/>
      <c r="E197" s="315" t="n"/>
      <c r="F197" s="316" t="n"/>
      <c r="G197" s="324" t="n"/>
      <c r="H197" s="316" t="n"/>
      <c r="I197" s="324" t="n"/>
      <c r="J197" s="240">
        <f>IF(AND(L197="Закрыт",ISNUMBER(F197),ISNUMBER(H197)),ROUND(H197-F197,8),"")</f>
        <v/>
      </c>
      <c r="K197" s="241">
        <f>IF(AND(L197="Закрыт",ISNUMBER(G197),ISNUMBER(I197)),ROUND(I197-G197,8),"")</f>
        <v/>
      </c>
      <c r="L197" s="325" t="n"/>
      <c r="M197" s="316" t="n"/>
      <c r="N197" s="324" t="n"/>
    </row>
    <row r="198" ht="22" customHeight="1">
      <c r="B198" s="326" t="n"/>
      <c r="C198" s="319" t="n"/>
      <c r="D198" s="318" t="n"/>
      <c r="E198" s="320" t="n"/>
      <c r="F198" s="321" t="n"/>
      <c r="G198" s="327" t="n"/>
      <c r="H198" s="321" t="n"/>
      <c r="I198" s="327" t="n"/>
      <c r="J198" s="246">
        <f>IF(AND(L198="Закрыт",ISNUMBER(F198),ISNUMBER(H198)),ROUND(H198-F198,8),"")</f>
        <v/>
      </c>
      <c r="K198" s="247">
        <f>IF(AND(L198="Закрыт",ISNUMBER(G198),ISNUMBER(I198)),ROUND(I198-G198,8),"")</f>
        <v/>
      </c>
      <c r="L198" s="328" t="n"/>
      <c r="M198" s="321" t="n"/>
      <c r="N198" s="327" t="n"/>
    </row>
    <row r="199" ht="22" customHeight="1">
      <c r="B199" s="323" t="n"/>
      <c r="C199" s="314" t="n"/>
      <c r="D199" s="313" t="n"/>
      <c r="E199" s="315" t="n"/>
      <c r="F199" s="316" t="n"/>
      <c r="G199" s="324" t="n"/>
      <c r="H199" s="316" t="n"/>
      <c r="I199" s="324" t="n"/>
      <c r="J199" s="240">
        <f>IF(AND(L199="Закрыт",ISNUMBER(F199),ISNUMBER(H199)),ROUND(H199-F199,8),"")</f>
        <v/>
      </c>
      <c r="K199" s="241">
        <f>IF(AND(L199="Закрыт",ISNUMBER(G199),ISNUMBER(I199)),ROUND(I199-G199,8),"")</f>
        <v/>
      </c>
      <c r="L199" s="325" t="n"/>
      <c r="M199" s="316" t="n"/>
      <c r="N199" s="324" t="n"/>
    </row>
    <row r="200" ht="22" customHeight="1">
      <c r="B200" s="326" t="n"/>
      <c r="C200" s="319" t="n"/>
      <c r="D200" s="318" t="n"/>
      <c r="E200" s="320" t="n"/>
      <c r="F200" s="321" t="n"/>
      <c r="G200" s="327" t="n"/>
      <c r="H200" s="321" t="n"/>
      <c r="I200" s="327" t="n"/>
      <c r="J200" s="246">
        <f>IF(AND(L200="Закрыт",ISNUMBER(F200),ISNUMBER(H200)),ROUND(H200-F200,8),"")</f>
        <v/>
      </c>
      <c r="K200" s="247">
        <f>IF(AND(L200="Закрыт",ISNUMBER(G200),ISNUMBER(I200)),ROUND(I200-G200,8),"")</f>
        <v/>
      </c>
      <c r="L200" s="328" t="n"/>
      <c r="M200" s="321" t="n"/>
      <c r="N200" s="327" t="n"/>
    </row>
    <row r="201" ht="22" customHeight="1">
      <c r="B201" s="323" t="n"/>
      <c r="C201" s="314" t="n"/>
      <c r="D201" s="313" t="n"/>
      <c r="E201" s="315" t="n"/>
      <c r="F201" s="316" t="n"/>
      <c r="G201" s="324" t="n"/>
      <c r="H201" s="316" t="n"/>
      <c r="I201" s="324" t="n"/>
      <c r="J201" s="240">
        <f>IF(AND(L201="Закрыт",ISNUMBER(F201),ISNUMBER(H201)),ROUND(H201-F201,8),"")</f>
        <v/>
      </c>
      <c r="K201" s="241">
        <f>IF(AND(L201="Закрыт",ISNUMBER(G201),ISNUMBER(I201)),ROUND(I201-G201,8),"")</f>
        <v/>
      </c>
      <c r="L201" s="325" t="n"/>
      <c r="M201" s="316" t="n"/>
      <c r="N201" s="324" t="n"/>
    </row>
    <row r="202" ht="22" customHeight="1">
      <c r="B202" s="326" t="n"/>
      <c r="C202" s="319" t="n"/>
      <c r="D202" s="318" t="n"/>
      <c r="E202" s="320" t="n"/>
      <c r="F202" s="321" t="n"/>
      <c r="G202" s="327" t="n"/>
      <c r="H202" s="321" t="n"/>
      <c r="I202" s="327" t="n"/>
      <c r="J202" s="246">
        <f>IF(AND(L202="Закрыт",ISNUMBER(F202),ISNUMBER(H202)),ROUND(H202-F202,8),"")</f>
        <v/>
      </c>
      <c r="K202" s="247">
        <f>IF(AND(L202="Закрыт",ISNUMBER(G202),ISNUMBER(I202)),ROUND(I202-G202,8),"")</f>
        <v/>
      </c>
      <c r="L202" s="328" t="n"/>
      <c r="M202" s="321" t="n"/>
      <c r="N202" s="327" t="n"/>
    </row>
    <row r="203" ht="22" customHeight="1">
      <c r="B203" s="323" t="n"/>
      <c r="C203" s="314" t="n"/>
      <c r="D203" s="313" t="n"/>
      <c r="E203" s="315" t="n"/>
      <c r="F203" s="316" t="n"/>
      <c r="G203" s="324" t="n"/>
      <c r="H203" s="316" t="n"/>
      <c r="I203" s="324" t="n"/>
      <c r="J203" s="240">
        <f>IF(AND(L203="Закрыт",ISNUMBER(F203),ISNUMBER(H203)),ROUND(H203-F203,8),"")</f>
        <v/>
      </c>
      <c r="K203" s="241">
        <f>IF(AND(L203="Закрыт",ISNUMBER(G203),ISNUMBER(I203)),ROUND(I203-G203,8),"")</f>
        <v/>
      </c>
      <c r="L203" s="325" t="n"/>
      <c r="M203" s="316" t="n"/>
      <c r="N203" s="324" t="n"/>
    </row>
    <row r="204" ht="22" customHeight="1">
      <c r="B204" s="326" t="n"/>
      <c r="C204" s="319" t="n"/>
      <c r="D204" s="318" t="n"/>
      <c r="E204" s="320" t="n"/>
      <c r="F204" s="321" t="n"/>
      <c r="G204" s="327" t="n"/>
      <c r="H204" s="321" t="n"/>
      <c r="I204" s="327" t="n"/>
      <c r="J204" s="246">
        <f>IF(AND(L204="Закрыт",ISNUMBER(F204),ISNUMBER(H204)),ROUND(H204-F204,8),"")</f>
        <v/>
      </c>
      <c r="K204" s="247">
        <f>IF(AND(L204="Закрыт",ISNUMBER(G204),ISNUMBER(I204)),ROUND(I204-G204,8),"")</f>
        <v/>
      </c>
      <c r="L204" s="328" t="n"/>
      <c r="M204" s="321" t="n"/>
      <c r="N204" s="327" t="n"/>
    </row>
    <row r="205" ht="22" customHeight="1">
      <c r="B205" s="323" t="n"/>
      <c r="C205" s="314" t="n"/>
      <c r="D205" s="313" t="n"/>
      <c r="E205" s="315" t="n"/>
      <c r="F205" s="316" t="n"/>
      <c r="G205" s="324" t="n"/>
      <c r="H205" s="316" t="n"/>
      <c r="I205" s="324" t="n"/>
      <c r="J205" s="240">
        <f>IF(AND(L205="Закрыт",ISNUMBER(F205),ISNUMBER(H205)),ROUND(H205-F205,8),"")</f>
        <v/>
      </c>
      <c r="K205" s="241">
        <f>IF(AND(L205="Закрыт",ISNUMBER(G205),ISNUMBER(I205)),ROUND(I205-G205,8),"")</f>
        <v/>
      </c>
      <c r="L205" s="325" t="n"/>
      <c r="M205" s="316" t="n"/>
      <c r="N205" s="324" t="n"/>
    </row>
    <row r="206" ht="22" customHeight="1">
      <c r="B206" s="326" t="n"/>
      <c r="C206" s="319" t="n"/>
      <c r="D206" s="318" t="n"/>
      <c r="E206" s="320" t="n"/>
      <c r="F206" s="321" t="n"/>
      <c r="G206" s="327" t="n"/>
      <c r="H206" s="321" t="n"/>
      <c r="I206" s="327" t="n"/>
      <c r="J206" s="246">
        <f>IF(AND(L206="Закрыт",ISNUMBER(F206),ISNUMBER(H206)),ROUND(H206-F206,8),"")</f>
        <v/>
      </c>
      <c r="K206" s="247">
        <f>IF(AND(L206="Закрыт",ISNUMBER(G206),ISNUMBER(I206)),ROUND(I206-G206,8),"")</f>
        <v/>
      </c>
      <c r="L206" s="328" t="n"/>
      <c r="M206" s="321" t="n"/>
      <c r="N206" s="327" t="n"/>
    </row>
    <row r="207" ht="22" customHeight="1">
      <c r="B207" s="323" t="n"/>
      <c r="C207" s="314" t="n"/>
      <c r="D207" s="313" t="n"/>
      <c r="E207" s="315" t="n"/>
      <c r="F207" s="316" t="n"/>
      <c r="G207" s="324" t="n"/>
      <c r="H207" s="316" t="n"/>
      <c r="I207" s="324" t="n"/>
      <c r="J207" s="240">
        <f>IF(AND(L207="Закрыт",ISNUMBER(F207),ISNUMBER(H207)),ROUND(H207-F207,8),"")</f>
        <v/>
      </c>
      <c r="K207" s="241">
        <f>IF(AND(L207="Закрыт",ISNUMBER(G207),ISNUMBER(I207)),ROUND(I207-G207,8),"")</f>
        <v/>
      </c>
      <c r="L207" s="325" t="n"/>
      <c r="M207" s="316" t="n"/>
      <c r="N207" s="324" t="n"/>
    </row>
    <row r="208" ht="22" customHeight="1">
      <c r="B208" s="326" t="n"/>
      <c r="C208" s="319" t="n"/>
      <c r="D208" s="318" t="n"/>
      <c r="E208" s="320" t="n"/>
      <c r="F208" s="321" t="n"/>
      <c r="G208" s="327" t="n"/>
      <c r="H208" s="321" t="n"/>
      <c r="I208" s="327" t="n"/>
      <c r="J208" s="246">
        <f>IF(AND(L208="Закрыт",ISNUMBER(F208),ISNUMBER(H208)),ROUND(H208-F208,8),"")</f>
        <v/>
      </c>
      <c r="K208" s="247">
        <f>IF(AND(L208="Закрыт",ISNUMBER(G208),ISNUMBER(I208)),ROUND(I208-G208,8),"")</f>
        <v/>
      </c>
      <c r="L208" s="328" t="n"/>
      <c r="M208" s="321" t="n"/>
      <c r="N208" s="327" t="n"/>
    </row>
    <row r="209" ht="22" customHeight="1">
      <c r="B209" s="323" t="n"/>
      <c r="C209" s="314" t="n"/>
      <c r="D209" s="313" t="n"/>
      <c r="E209" s="315" t="n"/>
      <c r="F209" s="316" t="n"/>
      <c r="G209" s="324" t="n"/>
      <c r="H209" s="316" t="n"/>
      <c r="I209" s="324" t="n"/>
      <c r="J209" s="240">
        <f>IF(AND(L209="Закрыт",ISNUMBER(F209),ISNUMBER(H209)),ROUND(H209-F209,8),"")</f>
        <v/>
      </c>
      <c r="K209" s="241">
        <f>IF(AND(L209="Закрыт",ISNUMBER(G209),ISNUMBER(I209)),ROUND(I209-G209,8),"")</f>
        <v/>
      </c>
      <c r="L209" s="325" t="n"/>
      <c r="M209" s="316" t="n"/>
      <c r="N209" s="324" t="n"/>
    </row>
    <row r="210" ht="22" customHeight="1">
      <c r="B210" s="326" t="n"/>
      <c r="C210" s="319" t="n"/>
      <c r="D210" s="318" t="n"/>
      <c r="E210" s="320" t="n"/>
      <c r="F210" s="321" t="n"/>
      <c r="G210" s="327" t="n"/>
      <c r="H210" s="321" t="n"/>
      <c r="I210" s="327" t="n"/>
      <c r="J210" s="246">
        <f>IF(AND(L210="Закрыт",ISNUMBER(F210),ISNUMBER(H210)),ROUND(H210-F210,8),"")</f>
        <v/>
      </c>
      <c r="K210" s="247">
        <f>IF(AND(L210="Закрыт",ISNUMBER(G210),ISNUMBER(I210)),ROUND(I210-G210,8),"")</f>
        <v/>
      </c>
      <c r="L210" s="328" t="n"/>
      <c r="M210" s="321" t="n"/>
      <c r="N210" s="327" t="n"/>
    </row>
    <row r="211" ht="22" customHeight="1">
      <c r="B211" s="323" t="n"/>
      <c r="C211" s="314" t="n"/>
      <c r="D211" s="313" t="n"/>
      <c r="E211" s="315" t="n"/>
      <c r="F211" s="316" t="n"/>
      <c r="G211" s="324" t="n"/>
      <c r="H211" s="316" t="n"/>
      <c r="I211" s="324" t="n"/>
      <c r="J211" s="240">
        <f>IF(AND(L211="Закрыт",ISNUMBER(F211),ISNUMBER(H211)),ROUND(H211-F211,8),"")</f>
        <v/>
      </c>
      <c r="K211" s="241">
        <f>IF(AND(L211="Закрыт",ISNUMBER(G211),ISNUMBER(I211)),ROUND(I211-G211,8),"")</f>
        <v/>
      </c>
      <c r="L211" s="325" t="n"/>
      <c r="M211" s="316" t="n"/>
      <c r="N211" s="324" t="n"/>
    </row>
    <row r="212" ht="22" customHeight="1">
      <c r="B212" s="326" t="n"/>
      <c r="C212" s="319" t="n"/>
      <c r="D212" s="318" t="n"/>
      <c r="E212" s="320" t="n"/>
      <c r="F212" s="321" t="n"/>
      <c r="G212" s="327" t="n"/>
      <c r="H212" s="321" t="n"/>
      <c r="I212" s="327" t="n"/>
      <c r="J212" s="246">
        <f>IF(AND(L212="Закрыт",ISNUMBER(F212),ISNUMBER(H212)),ROUND(H212-F212,8),"")</f>
        <v/>
      </c>
      <c r="K212" s="247">
        <f>IF(AND(L212="Закрыт",ISNUMBER(G212),ISNUMBER(I212)),ROUND(I212-G212,8),"")</f>
        <v/>
      </c>
      <c r="L212" s="328" t="n"/>
      <c r="M212" s="321" t="n"/>
      <c r="N212" s="327" t="n"/>
    </row>
    <row r="213" ht="22" customHeight="1">
      <c r="B213" s="323" t="n"/>
      <c r="C213" s="314" t="n"/>
      <c r="D213" s="313" t="n"/>
      <c r="E213" s="315" t="n"/>
      <c r="F213" s="316" t="n"/>
      <c r="G213" s="324" t="n"/>
      <c r="H213" s="316" t="n"/>
      <c r="I213" s="324" t="n"/>
      <c r="J213" s="240">
        <f>IF(AND(L213="Закрыт",ISNUMBER(F213),ISNUMBER(H213)),ROUND(H213-F213,8),"")</f>
        <v/>
      </c>
      <c r="K213" s="241">
        <f>IF(AND(L213="Закрыт",ISNUMBER(G213),ISNUMBER(I213)),ROUND(I213-G213,8),"")</f>
        <v/>
      </c>
      <c r="L213" s="325" t="n"/>
      <c r="M213" s="316" t="n"/>
      <c r="N213" s="324" t="n"/>
    </row>
    <row r="214" ht="22" customHeight="1">
      <c r="B214" s="326" t="n"/>
      <c r="C214" s="319" t="n"/>
      <c r="D214" s="318" t="n"/>
      <c r="E214" s="320" t="n"/>
      <c r="F214" s="321" t="n"/>
      <c r="G214" s="327" t="n"/>
      <c r="H214" s="321" t="n"/>
      <c r="I214" s="327" t="n"/>
      <c r="J214" s="246">
        <f>IF(AND(L214="Закрыт",ISNUMBER(F214),ISNUMBER(H214)),ROUND(H214-F214,8),"")</f>
        <v/>
      </c>
      <c r="K214" s="247">
        <f>IF(AND(L214="Закрыт",ISNUMBER(G214),ISNUMBER(I214)),ROUND(I214-G214,8),"")</f>
        <v/>
      </c>
      <c r="L214" s="328" t="n"/>
      <c r="M214" s="321" t="n"/>
      <c r="N214" s="327" t="n"/>
    </row>
    <row r="215" ht="22" customHeight="1">
      <c r="B215" s="323" t="n"/>
      <c r="C215" s="314" t="n"/>
      <c r="D215" s="313" t="n"/>
      <c r="E215" s="315" t="n"/>
      <c r="F215" s="316" t="n"/>
      <c r="G215" s="324" t="n"/>
      <c r="H215" s="316" t="n"/>
      <c r="I215" s="324" t="n"/>
      <c r="J215" s="240">
        <f>IF(AND(L215="Закрыт",ISNUMBER(F215),ISNUMBER(H215)),ROUND(H215-F215,8),"")</f>
        <v/>
      </c>
      <c r="K215" s="241">
        <f>IF(AND(L215="Закрыт",ISNUMBER(G215),ISNUMBER(I215)),ROUND(I215-G215,8),"")</f>
        <v/>
      </c>
      <c r="L215" s="325" t="n"/>
      <c r="M215" s="316" t="n"/>
      <c r="N215" s="324" t="n"/>
    </row>
    <row r="216" ht="22" customHeight="1">
      <c r="B216" s="326" t="n"/>
      <c r="C216" s="319" t="n"/>
      <c r="D216" s="318" t="n"/>
      <c r="E216" s="320" t="n"/>
      <c r="F216" s="321" t="n"/>
      <c r="G216" s="327" t="n"/>
      <c r="H216" s="321" t="n"/>
      <c r="I216" s="327" t="n"/>
      <c r="J216" s="246">
        <f>IF(AND(L216="Закрыт",ISNUMBER(F216),ISNUMBER(H216)),ROUND(H216-F216,8),"")</f>
        <v/>
      </c>
      <c r="K216" s="247">
        <f>IF(AND(L216="Закрыт",ISNUMBER(G216),ISNUMBER(I216)),ROUND(I216-G216,8),"")</f>
        <v/>
      </c>
      <c r="L216" s="328" t="n"/>
      <c r="M216" s="321" t="n"/>
      <c r="N216" s="327" t="n"/>
    </row>
    <row r="217" ht="22" customHeight="1">
      <c r="B217" s="323" t="n"/>
      <c r="C217" s="314" t="n"/>
      <c r="D217" s="313" t="n"/>
      <c r="E217" s="315" t="n"/>
      <c r="F217" s="316" t="n"/>
      <c r="G217" s="324" t="n"/>
      <c r="H217" s="316" t="n"/>
      <c r="I217" s="324" t="n"/>
      <c r="J217" s="240">
        <f>IF(AND(L217="Закрыт",ISNUMBER(F217),ISNUMBER(H217)),ROUND(H217-F217,8),"")</f>
        <v/>
      </c>
      <c r="K217" s="241">
        <f>IF(AND(L217="Закрыт",ISNUMBER(G217),ISNUMBER(I217)),ROUND(I217-G217,8),"")</f>
        <v/>
      </c>
      <c r="L217" s="325" t="n"/>
      <c r="M217" s="316" t="n"/>
      <c r="N217" s="324" t="n"/>
    </row>
    <row r="218" ht="22" customHeight="1">
      <c r="B218" s="326" t="n"/>
      <c r="C218" s="319" t="n"/>
      <c r="D218" s="318" t="n"/>
      <c r="E218" s="320" t="n"/>
      <c r="F218" s="321" t="n"/>
      <c r="G218" s="327" t="n"/>
      <c r="H218" s="321" t="n"/>
      <c r="I218" s="327" t="n"/>
      <c r="J218" s="246">
        <f>IF(AND(L218="Закрыт",ISNUMBER(F218),ISNUMBER(H218)),ROUND(H218-F218,8),"")</f>
        <v/>
      </c>
      <c r="K218" s="247">
        <f>IF(AND(L218="Закрыт",ISNUMBER(G218),ISNUMBER(I218)),ROUND(I218-G218,8),"")</f>
        <v/>
      </c>
      <c r="L218" s="328" t="n"/>
      <c r="M218" s="321" t="n"/>
      <c r="N218" s="327" t="n"/>
    </row>
    <row r="219" ht="22" customHeight="1">
      <c r="B219" s="323" t="n"/>
      <c r="C219" s="314" t="n"/>
      <c r="D219" s="313" t="n"/>
      <c r="E219" s="315" t="n"/>
      <c r="F219" s="316" t="n"/>
      <c r="G219" s="324" t="n"/>
      <c r="H219" s="316" t="n"/>
      <c r="I219" s="324" t="n"/>
      <c r="J219" s="240">
        <f>IF(AND(L219="Закрыт",ISNUMBER(F219),ISNUMBER(H219)),ROUND(H219-F219,8),"")</f>
        <v/>
      </c>
      <c r="K219" s="241">
        <f>IF(AND(L219="Закрыт",ISNUMBER(G219),ISNUMBER(I219)),ROUND(I219-G219,8),"")</f>
        <v/>
      </c>
      <c r="L219" s="325" t="n"/>
      <c r="M219" s="316" t="n"/>
      <c r="N219" s="324" t="n"/>
    </row>
    <row r="220" ht="22" customHeight="1">
      <c r="B220" s="326" t="n"/>
      <c r="C220" s="319" t="n"/>
      <c r="D220" s="318" t="n"/>
      <c r="E220" s="320" t="n"/>
      <c r="F220" s="321" t="n"/>
      <c r="G220" s="327" t="n"/>
      <c r="H220" s="321" t="n"/>
      <c r="I220" s="327" t="n"/>
      <c r="J220" s="246">
        <f>IF(AND(L220="Закрыт",ISNUMBER(F220),ISNUMBER(H220)),ROUND(H220-F220,8),"")</f>
        <v/>
      </c>
      <c r="K220" s="247">
        <f>IF(AND(L220="Закрыт",ISNUMBER(G220),ISNUMBER(I220)),ROUND(I220-G220,8),"")</f>
        <v/>
      </c>
      <c r="L220" s="328" t="n"/>
      <c r="M220" s="321" t="n"/>
      <c r="N220" s="327" t="n"/>
    </row>
    <row r="221" ht="22" customHeight="1">
      <c r="B221" s="323" t="n"/>
      <c r="C221" s="314" t="n"/>
      <c r="D221" s="313" t="n"/>
      <c r="E221" s="315" t="n"/>
      <c r="F221" s="316" t="n"/>
      <c r="G221" s="324" t="n"/>
      <c r="H221" s="316" t="n"/>
      <c r="I221" s="324" t="n"/>
      <c r="J221" s="240">
        <f>IF(AND(L221="Закрыт",ISNUMBER(F221),ISNUMBER(H221)),ROUND(H221-F221,8),"")</f>
        <v/>
      </c>
      <c r="K221" s="241">
        <f>IF(AND(L221="Закрыт",ISNUMBER(G221),ISNUMBER(I221)),ROUND(I221-G221,8),"")</f>
        <v/>
      </c>
      <c r="L221" s="325" t="n"/>
      <c r="M221" s="316" t="n"/>
      <c r="N221" s="324" t="n"/>
    </row>
    <row r="222" ht="22" customHeight="1">
      <c r="B222" s="326" t="n"/>
      <c r="C222" s="319" t="n"/>
      <c r="D222" s="318" t="n"/>
      <c r="E222" s="320" t="n"/>
      <c r="F222" s="321" t="n"/>
      <c r="G222" s="327" t="n"/>
      <c r="H222" s="321" t="n"/>
      <c r="I222" s="327" t="n"/>
      <c r="J222" s="246">
        <f>IF(AND(L222="Закрыт",ISNUMBER(F222),ISNUMBER(H222)),ROUND(H222-F222,8),"")</f>
        <v/>
      </c>
      <c r="K222" s="247">
        <f>IF(AND(L222="Закрыт",ISNUMBER(G222),ISNUMBER(I222)),ROUND(I222-G222,8),"")</f>
        <v/>
      </c>
      <c r="L222" s="328" t="n"/>
      <c r="M222" s="321" t="n"/>
      <c r="N222" s="327" t="n"/>
    </row>
    <row r="223" ht="22" customHeight="1">
      <c r="B223" s="323" t="n"/>
      <c r="C223" s="314" t="n"/>
      <c r="D223" s="313" t="n"/>
      <c r="E223" s="315" t="n"/>
      <c r="F223" s="316" t="n"/>
      <c r="G223" s="324" t="n"/>
      <c r="H223" s="316" t="n"/>
      <c r="I223" s="324" t="n"/>
      <c r="J223" s="240">
        <f>IF(AND(L223="Закрыт",ISNUMBER(F223),ISNUMBER(H223)),ROUND(H223-F223,8),"")</f>
        <v/>
      </c>
      <c r="K223" s="241">
        <f>IF(AND(L223="Закрыт",ISNUMBER(G223),ISNUMBER(I223)),ROUND(I223-G223,8),"")</f>
        <v/>
      </c>
      <c r="L223" s="325" t="n"/>
      <c r="M223" s="316" t="n"/>
      <c r="N223" s="324" t="n"/>
    </row>
    <row r="224" ht="22" customHeight="1">
      <c r="B224" s="326" t="n"/>
      <c r="C224" s="319" t="n"/>
      <c r="D224" s="318" t="n"/>
      <c r="E224" s="320" t="n"/>
      <c r="F224" s="321" t="n"/>
      <c r="G224" s="327" t="n"/>
      <c r="H224" s="321" t="n"/>
      <c r="I224" s="327" t="n"/>
      <c r="J224" s="246">
        <f>IF(AND(L224="Закрыт",ISNUMBER(F224),ISNUMBER(H224)),ROUND(H224-F224,8),"")</f>
        <v/>
      </c>
      <c r="K224" s="247">
        <f>IF(AND(L224="Закрыт",ISNUMBER(G224),ISNUMBER(I224)),ROUND(I224-G224,8),"")</f>
        <v/>
      </c>
      <c r="L224" s="328" t="n"/>
      <c r="M224" s="321" t="n"/>
      <c r="N224" s="327" t="n"/>
    </row>
    <row r="225" ht="22" customHeight="1">
      <c r="B225" s="323" t="n"/>
      <c r="C225" s="314" t="n"/>
      <c r="D225" s="313" t="n"/>
      <c r="E225" s="315" t="n"/>
      <c r="F225" s="316" t="n"/>
      <c r="G225" s="324" t="n"/>
      <c r="H225" s="316" t="n"/>
      <c r="I225" s="324" t="n"/>
      <c r="J225" s="240">
        <f>IF(AND(L225="Закрыт",ISNUMBER(F225),ISNUMBER(H225)),ROUND(H225-F225,8),"")</f>
        <v/>
      </c>
      <c r="K225" s="241">
        <f>IF(AND(L225="Закрыт",ISNUMBER(G225),ISNUMBER(I225)),ROUND(I225-G225,8),"")</f>
        <v/>
      </c>
      <c r="L225" s="325" t="n"/>
      <c r="M225" s="316" t="n"/>
      <c r="N225" s="324" t="n"/>
    </row>
    <row r="226" ht="22" customHeight="1">
      <c r="B226" s="326" t="n"/>
      <c r="C226" s="319" t="n"/>
      <c r="D226" s="318" t="n"/>
      <c r="E226" s="320" t="n"/>
      <c r="F226" s="321" t="n"/>
      <c r="G226" s="327" t="n"/>
      <c r="H226" s="321" t="n"/>
      <c r="I226" s="327" t="n"/>
      <c r="J226" s="246">
        <f>IF(AND(L226="Закрыт",ISNUMBER(F226),ISNUMBER(H226)),ROUND(H226-F226,8),"")</f>
        <v/>
      </c>
      <c r="K226" s="247">
        <f>IF(AND(L226="Закрыт",ISNUMBER(G226),ISNUMBER(I226)),ROUND(I226-G226,8),"")</f>
        <v/>
      </c>
      <c r="L226" s="328" t="n"/>
      <c r="M226" s="321" t="n"/>
      <c r="N226" s="327" t="n"/>
    </row>
    <row r="227" ht="22" customHeight="1">
      <c r="B227" s="323" t="n"/>
      <c r="C227" s="314" t="n"/>
      <c r="D227" s="313" t="n"/>
      <c r="E227" s="315" t="n"/>
      <c r="F227" s="316" t="n"/>
      <c r="G227" s="324" t="n"/>
      <c r="H227" s="316" t="n"/>
      <c r="I227" s="324" t="n"/>
      <c r="J227" s="240">
        <f>IF(AND(L227="Закрыт",ISNUMBER(F227),ISNUMBER(H227)),ROUND(H227-F227,8),"")</f>
        <v/>
      </c>
      <c r="K227" s="241">
        <f>IF(AND(L227="Закрыт",ISNUMBER(G227),ISNUMBER(I227)),ROUND(I227-G227,8),"")</f>
        <v/>
      </c>
      <c r="L227" s="325" t="n"/>
      <c r="M227" s="316" t="n"/>
      <c r="N227" s="324" t="n"/>
    </row>
    <row r="228" ht="22" customHeight="1">
      <c r="B228" s="326" t="n"/>
      <c r="C228" s="319" t="n"/>
      <c r="D228" s="318" t="n"/>
      <c r="E228" s="320" t="n"/>
      <c r="F228" s="321" t="n"/>
      <c r="G228" s="327" t="n"/>
      <c r="H228" s="321" t="n"/>
      <c r="I228" s="327" t="n"/>
      <c r="J228" s="246">
        <f>IF(AND(L228="Закрыт",ISNUMBER(F228),ISNUMBER(H228)),ROUND(H228-F228,8),"")</f>
        <v/>
      </c>
      <c r="K228" s="247">
        <f>IF(AND(L228="Закрыт",ISNUMBER(G228),ISNUMBER(I228)),ROUND(I228-G228,8),"")</f>
        <v/>
      </c>
      <c r="L228" s="328" t="n"/>
      <c r="M228" s="321" t="n"/>
      <c r="N228" s="327" t="n"/>
    </row>
    <row r="229" ht="22" customHeight="1">
      <c r="B229" s="323" t="n"/>
      <c r="C229" s="314" t="n"/>
      <c r="D229" s="313" t="n"/>
      <c r="E229" s="315" t="n"/>
      <c r="F229" s="316" t="n"/>
      <c r="G229" s="324" t="n"/>
      <c r="H229" s="316" t="n"/>
      <c r="I229" s="324" t="n"/>
      <c r="J229" s="240">
        <f>IF(AND(L229="Закрыт",ISNUMBER(F229),ISNUMBER(H229)),ROUND(H229-F229,8),"")</f>
        <v/>
      </c>
      <c r="K229" s="241">
        <f>IF(AND(L229="Закрыт",ISNUMBER(G229),ISNUMBER(I229)),ROUND(I229-G229,8),"")</f>
        <v/>
      </c>
      <c r="L229" s="325" t="n"/>
      <c r="M229" s="316" t="n"/>
      <c r="N229" s="324" t="n"/>
    </row>
    <row r="230" ht="22" customHeight="1">
      <c r="B230" s="326" t="n"/>
      <c r="C230" s="319" t="n"/>
      <c r="D230" s="318" t="n"/>
      <c r="E230" s="320" t="n"/>
      <c r="F230" s="321" t="n"/>
      <c r="G230" s="327" t="n"/>
      <c r="H230" s="321" t="n"/>
      <c r="I230" s="327" t="n"/>
      <c r="J230" s="246">
        <f>IF(AND(L230="Закрыт",ISNUMBER(F230),ISNUMBER(H230)),ROUND(H230-F230,8),"")</f>
        <v/>
      </c>
      <c r="K230" s="247">
        <f>IF(AND(L230="Закрыт",ISNUMBER(G230),ISNUMBER(I230)),ROUND(I230-G230,8),"")</f>
        <v/>
      </c>
      <c r="L230" s="328" t="n"/>
      <c r="M230" s="321" t="n"/>
      <c r="N230" s="327" t="n"/>
    </row>
    <row r="231" ht="22" customHeight="1">
      <c r="B231" s="323" t="n"/>
      <c r="C231" s="314" t="n"/>
      <c r="D231" s="313" t="n"/>
      <c r="E231" s="315" t="n"/>
      <c r="F231" s="316" t="n"/>
      <c r="G231" s="324" t="n"/>
      <c r="H231" s="316" t="n"/>
      <c r="I231" s="324" t="n"/>
      <c r="J231" s="240">
        <f>IF(AND(L231="Закрыт",ISNUMBER(F231),ISNUMBER(H231)),ROUND(H231-F231,8),"")</f>
        <v/>
      </c>
      <c r="K231" s="241">
        <f>IF(AND(L231="Закрыт",ISNUMBER(G231),ISNUMBER(I231)),ROUND(I231-G231,8),"")</f>
        <v/>
      </c>
      <c r="L231" s="325" t="n"/>
      <c r="M231" s="316" t="n"/>
      <c r="N231" s="324" t="n"/>
    </row>
    <row r="232" ht="22" customHeight="1">
      <c r="B232" s="326" t="n"/>
      <c r="C232" s="319" t="n"/>
      <c r="D232" s="318" t="n"/>
      <c r="E232" s="320" t="n"/>
      <c r="F232" s="321" t="n"/>
      <c r="G232" s="327" t="n"/>
      <c r="H232" s="321" t="n"/>
      <c r="I232" s="327" t="n"/>
      <c r="J232" s="246">
        <f>IF(AND(L232="Закрыт",ISNUMBER(F232),ISNUMBER(H232)),ROUND(H232-F232,8),"")</f>
        <v/>
      </c>
      <c r="K232" s="247">
        <f>IF(AND(L232="Закрыт",ISNUMBER(G232),ISNUMBER(I232)),ROUND(I232-G232,8),"")</f>
        <v/>
      </c>
      <c r="L232" s="328" t="n"/>
      <c r="M232" s="321" t="n"/>
      <c r="N232" s="327" t="n"/>
    </row>
    <row r="233" ht="22" customHeight="1">
      <c r="B233" s="323" t="n"/>
      <c r="C233" s="314" t="n"/>
      <c r="D233" s="313" t="n"/>
      <c r="E233" s="315" t="n"/>
      <c r="F233" s="316" t="n"/>
      <c r="G233" s="324" t="n"/>
      <c r="H233" s="316" t="n"/>
      <c r="I233" s="324" t="n"/>
      <c r="J233" s="240">
        <f>IF(AND(L233="Закрыт",ISNUMBER(F233),ISNUMBER(H233)),ROUND(H233-F233,8),"")</f>
        <v/>
      </c>
      <c r="K233" s="241">
        <f>IF(AND(L233="Закрыт",ISNUMBER(G233),ISNUMBER(I233)),ROUND(I233-G233,8),"")</f>
        <v/>
      </c>
      <c r="L233" s="325" t="n"/>
      <c r="M233" s="316" t="n"/>
      <c r="N233" s="324" t="n"/>
    </row>
    <row r="234" ht="22" customHeight="1">
      <c r="B234" s="326" t="n"/>
      <c r="C234" s="319" t="n"/>
      <c r="D234" s="318" t="n"/>
      <c r="E234" s="320" t="n"/>
      <c r="F234" s="321" t="n"/>
      <c r="G234" s="327" t="n"/>
      <c r="H234" s="321" t="n"/>
      <c r="I234" s="327" t="n"/>
      <c r="J234" s="246">
        <f>IF(AND(L234="Закрыт",ISNUMBER(F234),ISNUMBER(H234)),ROUND(H234-F234,8),"")</f>
        <v/>
      </c>
      <c r="K234" s="247">
        <f>IF(AND(L234="Закрыт",ISNUMBER(G234),ISNUMBER(I234)),ROUND(I234-G234,8),"")</f>
        <v/>
      </c>
      <c r="L234" s="328" t="n"/>
      <c r="M234" s="321" t="n"/>
      <c r="N234" s="327" t="n"/>
    </row>
    <row r="235" ht="22" customHeight="1">
      <c r="B235" s="323" t="n"/>
      <c r="C235" s="314" t="n"/>
      <c r="D235" s="313" t="n"/>
      <c r="E235" s="315" t="n"/>
      <c r="F235" s="316" t="n"/>
      <c r="G235" s="324" t="n"/>
      <c r="H235" s="316" t="n"/>
      <c r="I235" s="324" t="n"/>
      <c r="J235" s="240">
        <f>IF(AND(L235="Закрыт",ISNUMBER(F235),ISNUMBER(H235)),ROUND(H235-F235,8),"")</f>
        <v/>
      </c>
      <c r="K235" s="241">
        <f>IF(AND(L235="Закрыт",ISNUMBER(G235),ISNUMBER(I235)),ROUND(I235-G235,8),"")</f>
        <v/>
      </c>
      <c r="L235" s="325" t="n"/>
      <c r="M235" s="316" t="n"/>
      <c r="N235" s="324" t="n"/>
    </row>
    <row r="236" ht="22" customHeight="1">
      <c r="B236" s="326" t="n"/>
      <c r="C236" s="319" t="n"/>
      <c r="D236" s="318" t="n"/>
      <c r="E236" s="320" t="n"/>
      <c r="F236" s="321" t="n"/>
      <c r="G236" s="327" t="n"/>
      <c r="H236" s="321" t="n"/>
      <c r="I236" s="327" t="n"/>
      <c r="J236" s="246">
        <f>IF(AND(L236="Закрыт",ISNUMBER(F236),ISNUMBER(H236)),ROUND(H236-F236,8),"")</f>
        <v/>
      </c>
      <c r="K236" s="247">
        <f>IF(AND(L236="Закрыт",ISNUMBER(G236),ISNUMBER(I236)),ROUND(I236-G236,8),"")</f>
        <v/>
      </c>
      <c r="L236" s="328" t="n"/>
      <c r="M236" s="321" t="n"/>
      <c r="N236" s="327" t="n"/>
    </row>
    <row r="237" ht="22" customHeight="1">
      <c r="B237" s="323" t="n"/>
      <c r="C237" s="314" t="n"/>
      <c r="D237" s="313" t="n"/>
      <c r="E237" s="315" t="n"/>
      <c r="F237" s="316" t="n"/>
      <c r="G237" s="324" t="n"/>
      <c r="H237" s="316" t="n"/>
      <c r="I237" s="324" t="n"/>
      <c r="J237" s="240">
        <f>IF(AND(L237="Закрыт",ISNUMBER(F237),ISNUMBER(H237)),ROUND(H237-F237,8),"")</f>
        <v/>
      </c>
      <c r="K237" s="241">
        <f>IF(AND(L237="Закрыт",ISNUMBER(G237),ISNUMBER(I237)),ROUND(I237-G237,8),"")</f>
        <v/>
      </c>
      <c r="L237" s="325" t="n"/>
      <c r="M237" s="316" t="n"/>
      <c r="N237" s="324" t="n"/>
    </row>
    <row r="238" ht="22" customHeight="1">
      <c r="B238" s="326" t="n"/>
      <c r="C238" s="319" t="n"/>
      <c r="D238" s="318" t="n"/>
      <c r="E238" s="320" t="n"/>
      <c r="F238" s="321" t="n"/>
      <c r="G238" s="327" t="n"/>
      <c r="H238" s="321" t="n"/>
      <c r="I238" s="327" t="n"/>
      <c r="J238" s="246">
        <f>IF(AND(L238="Закрыт",ISNUMBER(F238),ISNUMBER(H238)),ROUND(H238-F238,8),"")</f>
        <v/>
      </c>
      <c r="K238" s="247">
        <f>IF(AND(L238="Закрыт",ISNUMBER(G238),ISNUMBER(I238)),ROUND(I238-G238,8),"")</f>
        <v/>
      </c>
      <c r="L238" s="328" t="n"/>
      <c r="M238" s="321" t="n"/>
      <c r="N238" s="327" t="n"/>
    </row>
    <row r="239" ht="22" customHeight="1">
      <c r="B239" s="323" t="n"/>
      <c r="C239" s="314" t="n"/>
      <c r="D239" s="313" t="n"/>
      <c r="E239" s="315" t="n"/>
      <c r="F239" s="316" t="n"/>
      <c r="G239" s="324" t="n"/>
      <c r="H239" s="316" t="n"/>
      <c r="I239" s="324" t="n"/>
      <c r="J239" s="240">
        <f>IF(AND(L239="Закрыт",ISNUMBER(F239),ISNUMBER(H239)),ROUND(H239-F239,8),"")</f>
        <v/>
      </c>
      <c r="K239" s="241">
        <f>IF(AND(L239="Закрыт",ISNUMBER(G239),ISNUMBER(I239)),ROUND(I239-G239,8),"")</f>
        <v/>
      </c>
      <c r="L239" s="325" t="n"/>
      <c r="M239" s="316" t="n"/>
      <c r="N239" s="324" t="n"/>
    </row>
    <row r="240" ht="22" customHeight="1">
      <c r="B240" s="326" t="n"/>
      <c r="C240" s="319" t="n"/>
      <c r="D240" s="318" t="n"/>
      <c r="E240" s="320" t="n"/>
      <c r="F240" s="321" t="n"/>
      <c r="G240" s="327" t="n"/>
      <c r="H240" s="321" t="n"/>
      <c r="I240" s="327" t="n"/>
      <c r="J240" s="246">
        <f>IF(AND(L240="Закрыт",ISNUMBER(F240),ISNUMBER(H240)),ROUND(H240-F240,8),"")</f>
        <v/>
      </c>
      <c r="K240" s="247">
        <f>IF(AND(L240="Закрыт",ISNUMBER(G240),ISNUMBER(I240)),ROUND(I240-G240,8),"")</f>
        <v/>
      </c>
      <c r="L240" s="328" t="n"/>
      <c r="M240" s="321" t="n"/>
      <c r="N240" s="327" t="n"/>
    </row>
    <row r="241" ht="22" customHeight="1">
      <c r="B241" s="323" t="n"/>
      <c r="C241" s="314" t="n"/>
      <c r="D241" s="313" t="n"/>
      <c r="E241" s="315" t="n"/>
      <c r="F241" s="316" t="n"/>
      <c r="G241" s="324" t="n"/>
      <c r="H241" s="316" t="n"/>
      <c r="I241" s="324" t="n"/>
      <c r="J241" s="240">
        <f>IF(AND(L241="Закрыт",ISNUMBER(F241),ISNUMBER(H241)),ROUND(H241-F241,8),"")</f>
        <v/>
      </c>
      <c r="K241" s="241">
        <f>IF(AND(L241="Закрыт",ISNUMBER(G241),ISNUMBER(I241)),ROUND(I241-G241,8),"")</f>
        <v/>
      </c>
      <c r="L241" s="325" t="n"/>
      <c r="M241" s="316" t="n"/>
      <c r="N241" s="324" t="n"/>
    </row>
    <row r="242" ht="22" customHeight="1">
      <c r="B242" s="326" t="n"/>
      <c r="C242" s="319" t="n"/>
      <c r="D242" s="318" t="n"/>
      <c r="E242" s="320" t="n"/>
      <c r="F242" s="321" t="n"/>
      <c r="G242" s="327" t="n"/>
      <c r="H242" s="321" t="n"/>
      <c r="I242" s="327" t="n"/>
      <c r="J242" s="246">
        <f>IF(AND(L242="Закрыт",ISNUMBER(F242),ISNUMBER(H242)),ROUND(H242-F242,8),"")</f>
        <v/>
      </c>
      <c r="K242" s="247">
        <f>IF(AND(L242="Закрыт",ISNUMBER(G242),ISNUMBER(I242)),ROUND(I242-G242,8),"")</f>
        <v/>
      </c>
      <c r="L242" s="328" t="n"/>
      <c r="M242" s="321" t="n"/>
      <c r="N242" s="327" t="n"/>
    </row>
    <row r="243" ht="22" customHeight="1">
      <c r="B243" s="323" t="n"/>
      <c r="C243" s="314" t="n"/>
      <c r="D243" s="313" t="n"/>
      <c r="E243" s="315" t="n"/>
      <c r="F243" s="316" t="n"/>
      <c r="G243" s="324" t="n"/>
      <c r="H243" s="316" t="n"/>
      <c r="I243" s="324" t="n"/>
      <c r="J243" s="240">
        <f>IF(AND(L243="Закрыт",ISNUMBER(F243),ISNUMBER(H243)),ROUND(H243-F243,8),"")</f>
        <v/>
      </c>
      <c r="K243" s="241">
        <f>IF(AND(L243="Закрыт",ISNUMBER(G243),ISNUMBER(I243)),ROUND(I243-G243,8),"")</f>
        <v/>
      </c>
      <c r="L243" s="325" t="n"/>
      <c r="M243" s="316" t="n"/>
      <c r="N243" s="324" t="n"/>
    </row>
    <row r="244" ht="22" customHeight="1">
      <c r="B244" s="326" t="n"/>
      <c r="C244" s="319" t="n"/>
      <c r="D244" s="318" t="n"/>
      <c r="E244" s="320" t="n"/>
      <c r="F244" s="321" t="n"/>
      <c r="G244" s="327" t="n"/>
      <c r="H244" s="321" t="n"/>
      <c r="I244" s="327" t="n"/>
      <c r="J244" s="246">
        <f>IF(AND(L244="Закрыт",ISNUMBER(F244),ISNUMBER(H244)),ROUND(H244-F244,8),"")</f>
        <v/>
      </c>
      <c r="K244" s="247">
        <f>IF(AND(L244="Закрыт",ISNUMBER(G244),ISNUMBER(I244)),ROUND(I244-G244,8),"")</f>
        <v/>
      </c>
      <c r="L244" s="328" t="n"/>
      <c r="M244" s="321" t="n"/>
      <c r="N244" s="327" t="n"/>
    </row>
    <row r="245" ht="22" customHeight="1">
      <c r="B245" s="323" t="n"/>
      <c r="C245" s="314" t="n"/>
      <c r="D245" s="313" t="n"/>
      <c r="E245" s="315" t="n"/>
      <c r="F245" s="316" t="n"/>
      <c r="G245" s="324" t="n"/>
      <c r="H245" s="316" t="n"/>
      <c r="I245" s="324" t="n"/>
      <c r="J245" s="240">
        <f>IF(AND(L245="Закрыт",ISNUMBER(F245),ISNUMBER(H245)),ROUND(H245-F245,8),"")</f>
        <v/>
      </c>
      <c r="K245" s="241">
        <f>IF(AND(L245="Закрыт",ISNUMBER(G245),ISNUMBER(I245)),ROUND(I245-G245,8),"")</f>
        <v/>
      </c>
      <c r="L245" s="325" t="n"/>
      <c r="M245" s="316" t="n"/>
      <c r="N245" s="324" t="n"/>
    </row>
    <row r="246" ht="22" customHeight="1">
      <c r="B246" s="326" t="n"/>
      <c r="C246" s="319" t="n"/>
      <c r="D246" s="318" t="n"/>
      <c r="E246" s="320" t="n"/>
      <c r="F246" s="321" t="n"/>
      <c r="G246" s="327" t="n"/>
      <c r="H246" s="321" t="n"/>
      <c r="I246" s="327" t="n"/>
      <c r="J246" s="246">
        <f>IF(AND(L246="Закрыт",ISNUMBER(F246),ISNUMBER(H246)),ROUND(H246-F246,8),"")</f>
        <v/>
      </c>
      <c r="K246" s="247">
        <f>IF(AND(L246="Закрыт",ISNUMBER(G246),ISNUMBER(I246)),ROUND(I246-G246,8),"")</f>
        <v/>
      </c>
      <c r="L246" s="328" t="n"/>
      <c r="M246" s="321" t="n"/>
      <c r="N246" s="327" t="n"/>
    </row>
    <row r="247" ht="22" customHeight="1">
      <c r="B247" s="323" t="n"/>
      <c r="C247" s="314" t="n"/>
      <c r="D247" s="313" t="n"/>
      <c r="E247" s="315" t="n"/>
      <c r="F247" s="316" t="n"/>
      <c r="G247" s="324" t="n"/>
      <c r="H247" s="316" t="n"/>
      <c r="I247" s="324" t="n"/>
      <c r="J247" s="240">
        <f>IF(AND(L247="Закрыт",ISNUMBER(F247),ISNUMBER(H247)),ROUND(H247-F247,8),"")</f>
        <v/>
      </c>
      <c r="K247" s="241">
        <f>IF(AND(L247="Закрыт",ISNUMBER(G247),ISNUMBER(I247)),ROUND(I247-G247,8),"")</f>
        <v/>
      </c>
      <c r="L247" s="325" t="n"/>
      <c r="M247" s="316" t="n"/>
      <c r="N247" s="324" t="n"/>
    </row>
    <row r="248" ht="22" customHeight="1">
      <c r="B248" s="326" t="n"/>
      <c r="C248" s="319" t="n"/>
      <c r="D248" s="318" t="n"/>
      <c r="E248" s="320" t="n"/>
      <c r="F248" s="321" t="n"/>
      <c r="G248" s="327" t="n"/>
      <c r="H248" s="321" t="n"/>
      <c r="I248" s="327" t="n"/>
      <c r="J248" s="246">
        <f>IF(AND(L248="Закрыт",ISNUMBER(F248),ISNUMBER(H248)),ROUND(H248-F248,8),"")</f>
        <v/>
      </c>
      <c r="K248" s="247">
        <f>IF(AND(L248="Закрыт",ISNUMBER(G248),ISNUMBER(I248)),ROUND(I248-G248,8),"")</f>
        <v/>
      </c>
      <c r="L248" s="328" t="n"/>
      <c r="M248" s="321" t="n"/>
      <c r="N248" s="327" t="n"/>
    </row>
    <row r="249" ht="22" customHeight="1">
      <c r="B249" s="323" t="n"/>
      <c r="C249" s="314" t="n"/>
      <c r="D249" s="313" t="n"/>
      <c r="E249" s="315" t="n"/>
      <c r="F249" s="316" t="n"/>
      <c r="G249" s="324" t="n"/>
      <c r="H249" s="316" t="n"/>
      <c r="I249" s="324" t="n"/>
      <c r="J249" s="240">
        <f>IF(AND(L249="Закрыт",ISNUMBER(F249),ISNUMBER(H249)),ROUND(H249-F249,8),"")</f>
        <v/>
      </c>
      <c r="K249" s="241">
        <f>IF(AND(L249="Закрыт",ISNUMBER(G249),ISNUMBER(I249)),ROUND(I249-G249,8),"")</f>
        <v/>
      </c>
      <c r="L249" s="325" t="n"/>
      <c r="M249" s="316" t="n"/>
      <c r="N249" s="324" t="n"/>
    </row>
    <row r="250" ht="22" customHeight="1">
      <c r="B250" s="326" t="n"/>
      <c r="C250" s="319" t="n"/>
      <c r="D250" s="318" t="n"/>
      <c r="E250" s="320" t="n"/>
      <c r="F250" s="321" t="n"/>
      <c r="G250" s="327" t="n"/>
      <c r="H250" s="321" t="n"/>
      <c r="I250" s="327" t="n"/>
      <c r="J250" s="246">
        <f>IF(AND(L250="Закрыт",ISNUMBER(F250),ISNUMBER(H250)),ROUND(H250-F250,8),"")</f>
        <v/>
      </c>
      <c r="K250" s="247">
        <f>IF(AND(L250="Закрыт",ISNUMBER(G250),ISNUMBER(I250)),ROUND(I250-G250,8),"")</f>
        <v/>
      </c>
      <c r="L250" s="328" t="n"/>
      <c r="M250" s="321" t="n"/>
      <c r="N250" s="327" t="n"/>
    </row>
    <row r="251" ht="22" customHeight="1">
      <c r="B251" s="323" t="n"/>
      <c r="C251" s="314" t="n"/>
      <c r="D251" s="313" t="n"/>
      <c r="E251" s="315" t="n"/>
      <c r="F251" s="316" t="n"/>
      <c r="G251" s="324" t="n"/>
      <c r="H251" s="316" t="n"/>
      <c r="I251" s="324" t="n"/>
      <c r="J251" s="240">
        <f>IF(AND(L251="Закрыт",ISNUMBER(F251),ISNUMBER(H251)),ROUND(H251-F251,8),"")</f>
        <v/>
      </c>
      <c r="K251" s="241">
        <f>IF(AND(L251="Закрыт",ISNUMBER(G251),ISNUMBER(I251)),ROUND(I251-G251,8),"")</f>
        <v/>
      </c>
      <c r="L251" s="325" t="n"/>
      <c r="M251" s="316" t="n"/>
      <c r="N251" s="324" t="n"/>
    </row>
    <row r="252" ht="22" customHeight="1">
      <c r="B252" s="326" t="n"/>
      <c r="C252" s="319" t="n"/>
      <c r="D252" s="318" t="n"/>
      <c r="E252" s="320" t="n"/>
      <c r="F252" s="321" t="n"/>
      <c r="G252" s="327" t="n"/>
      <c r="H252" s="321" t="n"/>
      <c r="I252" s="327" t="n"/>
      <c r="J252" s="246">
        <f>IF(AND(L252="Закрыт",ISNUMBER(F252),ISNUMBER(H252)),ROUND(H252-F252,8),"")</f>
        <v/>
      </c>
      <c r="K252" s="247">
        <f>IF(AND(L252="Закрыт",ISNUMBER(G252),ISNUMBER(I252)),ROUND(I252-G252,8),"")</f>
        <v/>
      </c>
      <c r="L252" s="328" t="n"/>
      <c r="M252" s="321" t="n"/>
      <c r="N252" s="327" t="n"/>
    </row>
    <row r="253" ht="22" customHeight="1">
      <c r="B253" s="323" t="n"/>
      <c r="C253" s="314" t="n"/>
      <c r="D253" s="313" t="n"/>
      <c r="E253" s="315" t="n"/>
      <c r="F253" s="316" t="n"/>
      <c r="G253" s="324" t="n"/>
      <c r="H253" s="316" t="n"/>
      <c r="I253" s="324" t="n"/>
      <c r="J253" s="240">
        <f>IF(AND(L253="Закрыт",ISNUMBER(F253),ISNUMBER(H253)),ROUND(H253-F253,8),"")</f>
        <v/>
      </c>
      <c r="K253" s="241">
        <f>IF(AND(L253="Закрыт",ISNUMBER(G253),ISNUMBER(I253)),ROUND(I253-G253,8),"")</f>
        <v/>
      </c>
      <c r="L253" s="325" t="n"/>
      <c r="M253" s="316" t="n"/>
      <c r="N253" s="324" t="n"/>
    </row>
    <row r="254" ht="22" customHeight="1">
      <c r="B254" s="326" t="n"/>
      <c r="C254" s="319" t="n"/>
      <c r="D254" s="318" t="n"/>
      <c r="E254" s="320" t="n"/>
      <c r="F254" s="321" t="n"/>
      <c r="G254" s="327" t="n"/>
      <c r="H254" s="321" t="n"/>
      <c r="I254" s="327" t="n"/>
      <c r="J254" s="246">
        <f>IF(AND(L254="Закрыт",ISNUMBER(F254),ISNUMBER(H254)),ROUND(H254-F254,8),"")</f>
        <v/>
      </c>
      <c r="K254" s="247">
        <f>IF(AND(L254="Закрыт",ISNUMBER(G254),ISNUMBER(I254)),ROUND(I254-G254,8),"")</f>
        <v/>
      </c>
      <c r="L254" s="328" t="n"/>
      <c r="M254" s="321" t="n"/>
      <c r="N254" s="327" t="n"/>
    </row>
    <row r="255" ht="22" customHeight="1">
      <c r="B255" s="323" t="n"/>
      <c r="C255" s="314" t="n"/>
      <c r="D255" s="313" t="n"/>
      <c r="E255" s="315" t="n"/>
      <c r="F255" s="316" t="n"/>
      <c r="G255" s="324" t="n"/>
      <c r="H255" s="316" t="n"/>
      <c r="I255" s="324" t="n"/>
      <c r="J255" s="240">
        <f>IF(AND(L255="Закрыт",ISNUMBER(F255),ISNUMBER(H255)),ROUND(H255-F255,8),"")</f>
        <v/>
      </c>
      <c r="K255" s="241">
        <f>IF(AND(L255="Закрыт",ISNUMBER(G255),ISNUMBER(I255)),ROUND(I255-G255,8),"")</f>
        <v/>
      </c>
      <c r="L255" s="325" t="n"/>
      <c r="M255" s="316" t="n"/>
      <c r="N255" s="324" t="n"/>
    </row>
    <row r="256" ht="22" customHeight="1">
      <c r="B256" s="326" t="n"/>
      <c r="C256" s="319" t="n"/>
      <c r="D256" s="318" t="n"/>
      <c r="E256" s="320" t="n"/>
      <c r="F256" s="321" t="n"/>
      <c r="G256" s="327" t="n"/>
      <c r="H256" s="321" t="n"/>
      <c r="I256" s="327" t="n"/>
      <c r="J256" s="246">
        <f>IF(AND(L256="Закрыт",ISNUMBER(F256),ISNUMBER(H256)),ROUND(H256-F256,8),"")</f>
        <v/>
      </c>
      <c r="K256" s="247">
        <f>IF(AND(L256="Закрыт",ISNUMBER(G256),ISNUMBER(I256)),ROUND(I256-G256,8),"")</f>
        <v/>
      </c>
      <c r="L256" s="328" t="n"/>
      <c r="M256" s="321" t="n"/>
      <c r="N256" s="327" t="n"/>
    </row>
    <row r="257" ht="22" customHeight="1">
      <c r="B257" s="323" t="n"/>
      <c r="C257" s="314" t="n"/>
      <c r="D257" s="313" t="n"/>
      <c r="E257" s="315" t="n"/>
      <c r="F257" s="316" t="n"/>
      <c r="G257" s="324" t="n"/>
      <c r="H257" s="316" t="n"/>
      <c r="I257" s="324" t="n"/>
      <c r="J257" s="240">
        <f>IF(AND(L257="Закрыт",ISNUMBER(F257),ISNUMBER(H257)),ROUND(H257-F257,8),"")</f>
        <v/>
      </c>
      <c r="K257" s="241">
        <f>IF(AND(L257="Закрыт",ISNUMBER(G257),ISNUMBER(I257)),ROUND(I257-G257,8),"")</f>
        <v/>
      </c>
      <c r="L257" s="325" t="n"/>
      <c r="M257" s="316" t="n"/>
      <c r="N257" s="324" t="n"/>
    </row>
    <row r="258" ht="22" customHeight="1">
      <c r="B258" s="326" t="n"/>
      <c r="C258" s="319" t="n"/>
      <c r="D258" s="318" t="n"/>
      <c r="E258" s="320" t="n"/>
      <c r="F258" s="321" t="n"/>
      <c r="G258" s="327" t="n"/>
      <c r="H258" s="321" t="n"/>
      <c r="I258" s="327" t="n"/>
      <c r="J258" s="246">
        <f>IF(AND(L258="Закрыт",ISNUMBER(F258),ISNUMBER(H258)),ROUND(H258-F258,8),"")</f>
        <v/>
      </c>
      <c r="K258" s="247">
        <f>IF(AND(L258="Закрыт",ISNUMBER(G258),ISNUMBER(I258)),ROUND(I258-G258,8),"")</f>
        <v/>
      </c>
      <c r="L258" s="328" t="n"/>
      <c r="M258" s="321" t="n"/>
      <c r="N258" s="327" t="n"/>
    </row>
    <row r="259" ht="22" customHeight="1">
      <c r="B259" s="323" t="n"/>
      <c r="C259" s="314" t="n"/>
      <c r="D259" s="313" t="n"/>
      <c r="E259" s="315" t="n"/>
      <c r="F259" s="316" t="n"/>
      <c r="G259" s="324" t="n"/>
      <c r="H259" s="316" t="n"/>
      <c r="I259" s="324" t="n"/>
      <c r="J259" s="240">
        <f>IF(AND(L259="Закрыт",ISNUMBER(F259),ISNUMBER(H259)),ROUND(H259-F259,8),"")</f>
        <v/>
      </c>
      <c r="K259" s="241">
        <f>IF(AND(L259="Закрыт",ISNUMBER(G259),ISNUMBER(I259)),ROUND(I259-G259,8),"")</f>
        <v/>
      </c>
      <c r="L259" s="325" t="n"/>
      <c r="M259" s="316" t="n"/>
      <c r="N259" s="324" t="n"/>
    </row>
    <row r="260" ht="22" customHeight="1">
      <c r="B260" s="326" t="n"/>
      <c r="C260" s="319" t="n"/>
      <c r="D260" s="318" t="n"/>
      <c r="E260" s="320" t="n"/>
      <c r="F260" s="321" t="n"/>
      <c r="G260" s="327" t="n"/>
      <c r="H260" s="321" t="n"/>
      <c r="I260" s="327" t="n"/>
      <c r="J260" s="246">
        <f>IF(AND(L260="Закрыт",ISNUMBER(F260),ISNUMBER(H260)),ROUND(H260-F260,8),"")</f>
        <v/>
      </c>
      <c r="K260" s="247">
        <f>IF(AND(L260="Закрыт",ISNUMBER(G260),ISNUMBER(I260)),ROUND(I260-G260,8),"")</f>
        <v/>
      </c>
      <c r="L260" s="328" t="n"/>
      <c r="M260" s="321" t="n"/>
      <c r="N260" s="327" t="n"/>
    </row>
    <row r="261" ht="22" customHeight="1">
      <c r="B261" s="323" t="n"/>
      <c r="C261" s="314" t="n"/>
      <c r="D261" s="313" t="n"/>
      <c r="E261" s="315" t="n"/>
      <c r="F261" s="316" t="n"/>
      <c r="G261" s="324" t="n"/>
      <c r="H261" s="316" t="n"/>
      <c r="I261" s="324" t="n"/>
      <c r="J261" s="240">
        <f>IF(AND(L261="Закрыт",ISNUMBER(F261),ISNUMBER(H261)),ROUND(H261-F261,8),"")</f>
        <v/>
      </c>
      <c r="K261" s="241">
        <f>IF(AND(L261="Закрыт",ISNUMBER(G261),ISNUMBER(I261)),ROUND(I261-G261,8),"")</f>
        <v/>
      </c>
      <c r="L261" s="325" t="n"/>
      <c r="M261" s="316" t="n"/>
      <c r="N261" s="324" t="n"/>
    </row>
    <row r="262" ht="22" customHeight="1">
      <c r="B262" s="326" t="n"/>
      <c r="C262" s="319" t="n"/>
      <c r="D262" s="318" t="n"/>
      <c r="E262" s="320" t="n"/>
      <c r="F262" s="321" t="n"/>
      <c r="G262" s="327" t="n"/>
      <c r="H262" s="321" t="n"/>
      <c r="I262" s="327" t="n"/>
      <c r="J262" s="246">
        <f>IF(AND(L262="Закрыт",ISNUMBER(F262),ISNUMBER(H262)),ROUND(H262-F262,8),"")</f>
        <v/>
      </c>
      <c r="K262" s="247">
        <f>IF(AND(L262="Закрыт",ISNUMBER(G262),ISNUMBER(I262)),ROUND(I262-G262,8),"")</f>
        <v/>
      </c>
      <c r="L262" s="328" t="n"/>
      <c r="M262" s="321" t="n"/>
      <c r="N262" s="327" t="n"/>
    </row>
    <row r="263" ht="22" customHeight="1">
      <c r="B263" s="323" t="n"/>
      <c r="C263" s="314" t="n"/>
      <c r="D263" s="313" t="n"/>
      <c r="E263" s="315" t="n"/>
      <c r="F263" s="316" t="n"/>
      <c r="G263" s="324" t="n"/>
      <c r="H263" s="316" t="n"/>
      <c r="I263" s="324" t="n"/>
      <c r="J263" s="240">
        <f>IF(AND(L263="Закрыт",ISNUMBER(F263),ISNUMBER(H263)),ROUND(H263-F263,8),"")</f>
        <v/>
      </c>
      <c r="K263" s="241">
        <f>IF(AND(L263="Закрыт",ISNUMBER(G263),ISNUMBER(I263)),ROUND(I263-G263,8),"")</f>
        <v/>
      </c>
      <c r="L263" s="325" t="n"/>
      <c r="M263" s="316" t="n"/>
      <c r="N263" s="324" t="n"/>
    </row>
    <row r="264" ht="22" customHeight="1">
      <c r="B264" s="326" t="n"/>
      <c r="C264" s="319" t="n"/>
      <c r="D264" s="318" t="n"/>
      <c r="E264" s="320" t="n"/>
      <c r="F264" s="321" t="n"/>
      <c r="G264" s="327" t="n"/>
      <c r="H264" s="321" t="n"/>
      <c r="I264" s="327" t="n"/>
      <c r="J264" s="246">
        <f>IF(AND(L264="Закрыт",ISNUMBER(F264),ISNUMBER(H264)),ROUND(H264-F264,8),"")</f>
        <v/>
      </c>
      <c r="K264" s="247">
        <f>IF(AND(L264="Закрыт",ISNUMBER(G264),ISNUMBER(I264)),ROUND(I264-G264,8),"")</f>
        <v/>
      </c>
      <c r="L264" s="328" t="n"/>
      <c r="M264" s="321" t="n"/>
      <c r="N264" s="327" t="n"/>
    </row>
    <row r="265" ht="22" customHeight="1">
      <c r="B265" s="323" t="n"/>
      <c r="C265" s="314" t="n"/>
      <c r="D265" s="313" t="n"/>
      <c r="E265" s="315" t="n"/>
      <c r="F265" s="316" t="n"/>
      <c r="G265" s="324" t="n"/>
      <c r="H265" s="316" t="n"/>
      <c r="I265" s="324" t="n"/>
      <c r="J265" s="240">
        <f>IF(AND(L265="Закрыт",ISNUMBER(F265),ISNUMBER(H265)),ROUND(H265-F265,8),"")</f>
        <v/>
      </c>
      <c r="K265" s="241">
        <f>IF(AND(L265="Закрыт",ISNUMBER(G265),ISNUMBER(I265)),ROUND(I265-G265,8),"")</f>
        <v/>
      </c>
      <c r="L265" s="325" t="n"/>
      <c r="M265" s="316" t="n"/>
      <c r="N265" s="324" t="n"/>
    </row>
    <row r="266" ht="22" customHeight="1">
      <c r="B266" s="326" t="n"/>
      <c r="C266" s="319" t="n"/>
      <c r="D266" s="318" t="n"/>
      <c r="E266" s="320" t="n"/>
      <c r="F266" s="321" t="n"/>
      <c r="G266" s="327" t="n"/>
      <c r="H266" s="321" t="n"/>
      <c r="I266" s="327" t="n"/>
      <c r="J266" s="246">
        <f>IF(AND(L266="Закрыт",ISNUMBER(F266),ISNUMBER(H266)),ROUND(H266-F266,8),"")</f>
        <v/>
      </c>
      <c r="K266" s="247">
        <f>IF(AND(L266="Закрыт",ISNUMBER(G266),ISNUMBER(I266)),ROUND(I266-G266,8),"")</f>
        <v/>
      </c>
      <c r="L266" s="328" t="n"/>
      <c r="M266" s="321" t="n"/>
      <c r="N266" s="327" t="n"/>
    </row>
    <row r="267" ht="22" customHeight="1">
      <c r="B267" s="323" t="n"/>
      <c r="C267" s="314" t="n"/>
      <c r="D267" s="313" t="n"/>
      <c r="E267" s="315" t="n"/>
      <c r="F267" s="316" t="n"/>
      <c r="G267" s="324" t="n"/>
      <c r="H267" s="316" t="n"/>
      <c r="I267" s="324" t="n"/>
      <c r="J267" s="240">
        <f>IF(AND(L267="Закрыт",ISNUMBER(F267),ISNUMBER(H267)),ROUND(H267-F267,8),"")</f>
        <v/>
      </c>
      <c r="K267" s="241">
        <f>IF(AND(L267="Закрыт",ISNUMBER(G267),ISNUMBER(I267)),ROUND(I267-G267,8),"")</f>
        <v/>
      </c>
      <c r="L267" s="325" t="n"/>
      <c r="M267" s="316" t="n"/>
      <c r="N267" s="324" t="n"/>
    </row>
    <row r="268" ht="22" customHeight="1">
      <c r="B268" s="326" t="n"/>
      <c r="C268" s="319" t="n"/>
      <c r="D268" s="318" t="n"/>
      <c r="E268" s="320" t="n"/>
      <c r="F268" s="321" t="n"/>
      <c r="G268" s="327" t="n"/>
      <c r="H268" s="321" t="n"/>
      <c r="I268" s="327" t="n"/>
      <c r="J268" s="246">
        <f>IF(AND(L268="Закрыт",ISNUMBER(F268),ISNUMBER(H268)),ROUND(H268-F268,8),"")</f>
        <v/>
      </c>
      <c r="K268" s="247">
        <f>IF(AND(L268="Закрыт",ISNUMBER(G268),ISNUMBER(I268)),ROUND(I268-G268,8),"")</f>
        <v/>
      </c>
      <c r="L268" s="328" t="n"/>
      <c r="M268" s="321" t="n"/>
      <c r="N268" s="327" t="n"/>
    </row>
    <row r="269" ht="22" customHeight="1">
      <c r="B269" s="323" t="n"/>
      <c r="C269" s="314" t="n"/>
      <c r="D269" s="313" t="n"/>
      <c r="E269" s="315" t="n"/>
      <c r="F269" s="316" t="n"/>
      <c r="G269" s="324" t="n"/>
      <c r="H269" s="316" t="n"/>
      <c r="I269" s="324" t="n"/>
      <c r="J269" s="240">
        <f>IF(AND(L269="Закрыт",ISNUMBER(F269),ISNUMBER(H269)),ROUND(H269-F269,8),"")</f>
        <v/>
      </c>
      <c r="K269" s="241">
        <f>IF(AND(L269="Закрыт",ISNUMBER(G269),ISNUMBER(I269)),ROUND(I269-G269,8),"")</f>
        <v/>
      </c>
      <c r="L269" s="325" t="n"/>
      <c r="M269" s="316" t="n"/>
      <c r="N269" s="324" t="n"/>
    </row>
    <row r="270" ht="22" customHeight="1">
      <c r="B270" s="326" t="n"/>
      <c r="C270" s="319" t="n"/>
      <c r="D270" s="318" t="n"/>
      <c r="E270" s="320" t="n"/>
      <c r="F270" s="321" t="n"/>
      <c r="G270" s="327" t="n"/>
      <c r="H270" s="321" t="n"/>
      <c r="I270" s="327" t="n"/>
      <c r="J270" s="246">
        <f>IF(AND(L270="Закрыт",ISNUMBER(F270),ISNUMBER(H270)),ROUND(H270-F270,8),"")</f>
        <v/>
      </c>
      <c r="K270" s="247">
        <f>IF(AND(L270="Закрыт",ISNUMBER(G270),ISNUMBER(I270)),ROUND(I270-G270,8),"")</f>
        <v/>
      </c>
      <c r="L270" s="328" t="n"/>
      <c r="M270" s="321" t="n"/>
      <c r="N270" s="327" t="n"/>
    </row>
    <row r="271" ht="22" customHeight="1">
      <c r="B271" s="323" t="n"/>
      <c r="C271" s="314" t="n"/>
      <c r="D271" s="313" t="n"/>
      <c r="E271" s="315" t="n"/>
      <c r="F271" s="316" t="n"/>
      <c r="G271" s="324" t="n"/>
      <c r="H271" s="316" t="n"/>
      <c r="I271" s="324" t="n"/>
      <c r="J271" s="240">
        <f>IF(AND(L271="Закрыт",ISNUMBER(F271),ISNUMBER(H271)),ROUND(H271-F271,8),"")</f>
        <v/>
      </c>
      <c r="K271" s="241">
        <f>IF(AND(L271="Закрыт",ISNUMBER(G271),ISNUMBER(I271)),ROUND(I271-G271,8),"")</f>
        <v/>
      </c>
      <c r="L271" s="325" t="n"/>
      <c r="M271" s="316" t="n"/>
      <c r="N271" s="324" t="n"/>
    </row>
    <row r="272" ht="22" customHeight="1">
      <c r="B272" s="326" t="n"/>
      <c r="C272" s="319" t="n"/>
      <c r="D272" s="318" t="n"/>
      <c r="E272" s="320" t="n"/>
      <c r="F272" s="321" t="n"/>
      <c r="G272" s="327" t="n"/>
      <c r="H272" s="321" t="n"/>
      <c r="I272" s="327" t="n"/>
      <c r="J272" s="246">
        <f>IF(AND(L272="Закрыт",ISNUMBER(F272),ISNUMBER(H272)),ROUND(H272-F272,8),"")</f>
        <v/>
      </c>
      <c r="K272" s="247">
        <f>IF(AND(L272="Закрыт",ISNUMBER(G272),ISNUMBER(I272)),ROUND(I272-G272,8),"")</f>
        <v/>
      </c>
      <c r="L272" s="328" t="n"/>
      <c r="M272" s="321" t="n"/>
      <c r="N272" s="327" t="n"/>
    </row>
    <row r="273" ht="22" customHeight="1">
      <c r="B273" s="323" t="n"/>
      <c r="C273" s="314" t="n"/>
      <c r="D273" s="313" t="n"/>
      <c r="E273" s="315" t="n"/>
      <c r="F273" s="316" t="n"/>
      <c r="G273" s="324" t="n"/>
      <c r="H273" s="316" t="n"/>
      <c r="I273" s="324" t="n"/>
      <c r="J273" s="240">
        <f>IF(AND(L273="Закрыт",ISNUMBER(F273),ISNUMBER(H273)),ROUND(H273-F273,8),"")</f>
        <v/>
      </c>
      <c r="K273" s="241">
        <f>IF(AND(L273="Закрыт",ISNUMBER(G273),ISNUMBER(I273)),ROUND(I273-G273,8),"")</f>
        <v/>
      </c>
      <c r="L273" s="325" t="n"/>
      <c r="M273" s="316" t="n"/>
      <c r="N273" s="324" t="n"/>
    </row>
    <row r="274" ht="22" customHeight="1">
      <c r="B274" s="326" t="n"/>
      <c r="C274" s="319" t="n"/>
      <c r="D274" s="318" t="n"/>
      <c r="E274" s="320" t="n"/>
      <c r="F274" s="321" t="n"/>
      <c r="G274" s="327" t="n"/>
      <c r="H274" s="321" t="n"/>
      <c r="I274" s="327" t="n"/>
      <c r="J274" s="246">
        <f>IF(AND(L274="Закрыт",ISNUMBER(F274),ISNUMBER(H274)),ROUND(H274-F274,8),"")</f>
        <v/>
      </c>
      <c r="K274" s="247">
        <f>IF(AND(L274="Закрыт",ISNUMBER(G274),ISNUMBER(I274)),ROUND(I274-G274,8),"")</f>
        <v/>
      </c>
      <c r="L274" s="328" t="n"/>
      <c r="M274" s="321" t="n"/>
      <c r="N274" s="327" t="n"/>
    </row>
    <row r="275" ht="22" customHeight="1">
      <c r="B275" s="323" t="n"/>
      <c r="C275" s="314" t="n"/>
      <c r="D275" s="313" t="n"/>
      <c r="E275" s="315" t="n"/>
      <c r="F275" s="316" t="n"/>
      <c r="G275" s="324" t="n"/>
      <c r="H275" s="316" t="n"/>
      <c r="I275" s="324" t="n"/>
      <c r="J275" s="240">
        <f>IF(AND(L275="Закрыт",ISNUMBER(F275),ISNUMBER(H275)),ROUND(H275-F275,8),"")</f>
        <v/>
      </c>
      <c r="K275" s="241">
        <f>IF(AND(L275="Закрыт",ISNUMBER(G275),ISNUMBER(I275)),ROUND(I275-G275,8),"")</f>
        <v/>
      </c>
      <c r="L275" s="325" t="n"/>
      <c r="M275" s="316" t="n"/>
      <c r="N275" s="324" t="n"/>
    </row>
    <row r="276" ht="22" customHeight="1">
      <c r="B276" s="326" t="n"/>
      <c r="C276" s="319" t="n"/>
      <c r="D276" s="318" t="n"/>
      <c r="E276" s="320" t="n"/>
      <c r="F276" s="321" t="n"/>
      <c r="G276" s="327" t="n"/>
      <c r="H276" s="321" t="n"/>
      <c r="I276" s="327" t="n"/>
      <c r="J276" s="246">
        <f>IF(AND(L276="Закрыт",ISNUMBER(F276),ISNUMBER(H276)),ROUND(H276-F276,8),"")</f>
        <v/>
      </c>
      <c r="K276" s="247">
        <f>IF(AND(L276="Закрыт",ISNUMBER(G276),ISNUMBER(I276)),ROUND(I276-G276,8),"")</f>
        <v/>
      </c>
      <c r="L276" s="328" t="n"/>
      <c r="M276" s="321" t="n"/>
      <c r="N276" s="327" t="n"/>
    </row>
    <row r="277" ht="22" customHeight="1">
      <c r="B277" s="323" t="n"/>
      <c r="C277" s="314" t="n"/>
      <c r="D277" s="313" t="n"/>
      <c r="E277" s="315" t="n"/>
      <c r="F277" s="316" t="n"/>
      <c r="G277" s="324" t="n"/>
      <c r="H277" s="316" t="n"/>
      <c r="I277" s="324" t="n"/>
      <c r="J277" s="240">
        <f>IF(AND(L277="Закрыт",ISNUMBER(F277),ISNUMBER(H277)),ROUND(H277-F277,8),"")</f>
        <v/>
      </c>
      <c r="K277" s="241">
        <f>IF(AND(L277="Закрыт",ISNUMBER(G277),ISNUMBER(I277)),ROUND(I277-G277,8),"")</f>
        <v/>
      </c>
      <c r="L277" s="325" t="n"/>
      <c r="M277" s="316" t="n"/>
      <c r="N277" s="324" t="n"/>
    </row>
    <row r="278" ht="22" customHeight="1">
      <c r="B278" s="326" t="n"/>
      <c r="C278" s="319" t="n"/>
      <c r="D278" s="318" t="n"/>
      <c r="E278" s="320" t="n"/>
      <c r="F278" s="321" t="n"/>
      <c r="G278" s="327" t="n"/>
      <c r="H278" s="321" t="n"/>
      <c r="I278" s="327" t="n"/>
      <c r="J278" s="246">
        <f>IF(AND(L278="Закрыт",ISNUMBER(F278),ISNUMBER(H278)),ROUND(H278-F278,8),"")</f>
        <v/>
      </c>
      <c r="K278" s="247">
        <f>IF(AND(L278="Закрыт",ISNUMBER(G278),ISNUMBER(I278)),ROUND(I278-G278,8),"")</f>
        <v/>
      </c>
      <c r="L278" s="328" t="n"/>
      <c r="M278" s="321" t="n"/>
      <c r="N278" s="327" t="n"/>
    </row>
    <row r="279" ht="22" customHeight="1">
      <c r="B279" s="323" t="n"/>
      <c r="C279" s="314" t="n"/>
      <c r="D279" s="313" t="n"/>
      <c r="E279" s="315" t="n"/>
      <c r="F279" s="316" t="n"/>
      <c r="G279" s="324" t="n"/>
      <c r="H279" s="316" t="n"/>
      <c r="I279" s="324" t="n"/>
      <c r="J279" s="240">
        <f>IF(AND(L279="Закрыт",ISNUMBER(F279),ISNUMBER(H279)),ROUND(H279-F279,8),"")</f>
        <v/>
      </c>
      <c r="K279" s="241">
        <f>IF(AND(L279="Закрыт",ISNUMBER(G279),ISNUMBER(I279)),ROUND(I279-G279,8),"")</f>
        <v/>
      </c>
      <c r="L279" s="325" t="n"/>
      <c r="M279" s="316" t="n"/>
      <c r="N279" s="324" t="n"/>
    </row>
    <row r="280" ht="22" customHeight="1">
      <c r="B280" s="326" t="n"/>
      <c r="C280" s="319" t="n"/>
      <c r="D280" s="318" t="n"/>
      <c r="E280" s="320" t="n"/>
      <c r="F280" s="321" t="n"/>
      <c r="G280" s="327" t="n"/>
      <c r="H280" s="321" t="n"/>
      <c r="I280" s="327" t="n"/>
      <c r="J280" s="246">
        <f>IF(AND(L280="Закрыт",ISNUMBER(F280),ISNUMBER(H280)),ROUND(H280-F280,8),"")</f>
        <v/>
      </c>
      <c r="K280" s="247">
        <f>IF(AND(L280="Закрыт",ISNUMBER(G280),ISNUMBER(I280)),ROUND(I280-G280,8),"")</f>
        <v/>
      </c>
      <c r="L280" s="328" t="n"/>
      <c r="M280" s="321" t="n"/>
      <c r="N280" s="327" t="n"/>
    </row>
    <row r="281" ht="22" customHeight="1">
      <c r="B281" s="323" t="n"/>
      <c r="C281" s="314" t="n"/>
      <c r="D281" s="313" t="n"/>
      <c r="E281" s="315" t="n"/>
      <c r="F281" s="316" t="n"/>
      <c r="G281" s="324" t="n"/>
      <c r="H281" s="316" t="n"/>
      <c r="I281" s="324" t="n"/>
      <c r="J281" s="240">
        <f>IF(AND(L281="Закрыт",ISNUMBER(F281),ISNUMBER(H281)),ROUND(H281-F281,8),"")</f>
        <v/>
      </c>
      <c r="K281" s="241">
        <f>IF(AND(L281="Закрыт",ISNUMBER(G281),ISNUMBER(I281)),ROUND(I281-G281,8),"")</f>
        <v/>
      </c>
      <c r="L281" s="325" t="n"/>
      <c r="M281" s="316" t="n"/>
      <c r="N281" s="324" t="n"/>
    </row>
    <row r="282" ht="22" customHeight="1">
      <c r="B282" s="326" t="n"/>
      <c r="C282" s="319" t="n"/>
      <c r="D282" s="318" t="n"/>
      <c r="E282" s="320" t="n"/>
      <c r="F282" s="321" t="n"/>
      <c r="G282" s="327" t="n"/>
      <c r="H282" s="321" t="n"/>
      <c r="I282" s="327" t="n"/>
      <c r="J282" s="246">
        <f>IF(AND(L282="Закрыт",ISNUMBER(F282),ISNUMBER(H282)),ROUND(H282-F282,8),"")</f>
        <v/>
      </c>
      <c r="K282" s="247">
        <f>IF(AND(L282="Закрыт",ISNUMBER(G282),ISNUMBER(I282)),ROUND(I282-G282,8),"")</f>
        <v/>
      </c>
      <c r="L282" s="328" t="n"/>
      <c r="M282" s="321" t="n"/>
      <c r="N282" s="327" t="n"/>
    </row>
    <row r="283" ht="22" customHeight="1">
      <c r="B283" s="323" t="n"/>
      <c r="C283" s="314" t="n"/>
      <c r="D283" s="313" t="n"/>
      <c r="E283" s="315" t="n"/>
      <c r="F283" s="316" t="n"/>
      <c r="G283" s="324" t="n"/>
      <c r="H283" s="316" t="n"/>
      <c r="I283" s="324" t="n"/>
      <c r="J283" s="240">
        <f>IF(AND(L283="Закрыт",ISNUMBER(F283),ISNUMBER(H283)),ROUND(H283-F283,8),"")</f>
        <v/>
      </c>
      <c r="K283" s="241">
        <f>IF(AND(L283="Закрыт",ISNUMBER(G283),ISNUMBER(I283)),ROUND(I283-G283,8),"")</f>
        <v/>
      </c>
      <c r="L283" s="325" t="n"/>
      <c r="M283" s="316" t="n"/>
      <c r="N283" s="324" t="n"/>
    </row>
    <row r="284" ht="22" customHeight="1">
      <c r="B284" s="326" t="n"/>
      <c r="C284" s="319" t="n"/>
      <c r="D284" s="318" t="n"/>
      <c r="E284" s="320" t="n"/>
      <c r="F284" s="321" t="n"/>
      <c r="G284" s="327" t="n"/>
      <c r="H284" s="321" t="n"/>
      <c r="I284" s="327" t="n"/>
      <c r="J284" s="246">
        <f>IF(AND(L284="Закрыт",ISNUMBER(F284),ISNUMBER(H284)),ROUND(H284-F284,8),"")</f>
        <v/>
      </c>
      <c r="K284" s="247">
        <f>IF(AND(L284="Закрыт",ISNUMBER(G284),ISNUMBER(I284)),ROUND(I284-G284,8),"")</f>
        <v/>
      </c>
      <c r="L284" s="328" t="n"/>
      <c r="M284" s="321" t="n"/>
      <c r="N284" s="327" t="n"/>
    </row>
    <row r="285" ht="22" customHeight="1">
      <c r="B285" s="323" t="n"/>
      <c r="C285" s="314" t="n"/>
      <c r="D285" s="313" t="n"/>
      <c r="E285" s="315" t="n"/>
      <c r="F285" s="316" t="n"/>
      <c r="G285" s="324" t="n"/>
      <c r="H285" s="316" t="n"/>
      <c r="I285" s="324" t="n"/>
      <c r="J285" s="240">
        <f>IF(AND(L285="Закрыт",ISNUMBER(F285),ISNUMBER(H285)),ROUND(H285-F285,8),"")</f>
        <v/>
      </c>
      <c r="K285" s="241">
        <f>IF(AND(L285="Закрыт",ISNUMBER(G285),ISNUMBER(I285)),ROUND(I285-G285,8),"")</f>
        <v/>
      </c>
      <c r="L285" s="325" t="n"/>
      <c r="M285" s="316" t="n"/>
      <c r="N285" s="324" t="n"/>
    </row>
    <row r="286" ht="22" customHeight="1">
      <c r="B286" s="326" t="n"/>
      <c r="C286" s="319" t="n"/>
      <c r="D286" s="318" t="n"/>
      <c r="E286" s="320" t="n"/>
      <c r="F286" s="321" t="n"/>
      <c r="G286" s="327" t="n"/>
      <c r="H286" s="321" t="n"/>
      <c r="I286" s="327" t="n"/>
      <c r="J286" s="246">
        <f>IF(AND(L286="Закрыт",ISNUMBER(F286),ISNUMBER(H286)),ROUND(H286-F286,8),"")</f>
        <v/>
      </c>
      <c r="K286" s="247">
        <f>IF(AND(L286="Закрыт",ISNUMBER(G286),ISNUMBER(I286)),ROUND(I286-G286,8),"")</f>
        <v/>
      </c>
      <c r="L286" s="328" t="n"/>
      <c r="M286" s="321" t="n"/>
      <c r="N286" s="327" t="n"/>
    </row>
    <row r="287" ht="22" customHeight="1">
      <c r="B287" s="323" t="n"/>
      <c r="C287" s="314" t="n"/>
      <c r="D287" s="313" t="n"/>
      <c r="E287" s="315" t="n"/>
      <c r="F287" s="316" t="n"/>
      <c r="G287" s="324" t="n"/>
      <c r="H287" s="316" t="n"/>
      <c r="I287" s="324" t="n"/>
      <c r="J287" s="240">
        <f>IF(AND(L287="Закрыт",ISNUMBER(F287),ISNUMBER(H287)),ROUND(H287-F287,8),"")</f>
        <v/>
      </c>
      <c r="K287" s="241">
        <f>IF(AND(L287="Закрыт",ISNUMBER(G287),ISNUMBER(I287)),ROUND(I287-G287,8),"")</f>
        <v/>
      </c>
      <c r="L287" s="325" t="n"/>
      <c r="M287" s="316" t="n"/>
      <c r="N287" s="324" t="n"/>
    </row>
    <row r="288" ht="22" customHeight="1">
      <c r="B288" s="326" t="n"/>
      <c r="C288" s="319" t="n"/>
      <c r="D288" s="318" t="n"/>
      <c r="E288" s="320" t="n"/>
      <c r="F288" s="321" t="n"/>
      <c r="G288" s="327" t="n"/>
      <c r="H288" s="321" t="n"/>
      <c r="I288" s="327" t="n"/>
      <c r="J288" s="246">
        <f>IF(AND(L288="Закрыт",ISNUMBER(F288),ISNUMBER(H288)),ROUND(H288-F288,8),"")</f>
        <v/>
      </c>
      <c r="K288" s="247">
        <f>IF(AND(L288="Закрыт",ISNUMBER(G288),ISNUMBER(I288)),ROUND(I288-G288,8),"")</f>
        <v/>
      </c>
      <c r="L288" s="328" t="n"/>
      <c r="M288" s="321" t="n"/>
      <c r="N288" s="327" t="n"/>
    </row>
    <row r="289" ht="22" customHeight="1">
      <c r="B289" s="323" t="n"/>
      <c r="C289" s="314" t="n"/>
      <c r="D289" s="313" t="n"/>
      <c r="E289" s="315" t="n"/>
      <c r="F289" s="316" t="n"/>
      <c r="G289" s="324" t="n"/>
      <c r="H289" s="316" t="n"/>
      <c r="I289" s="324" t="n"/>
      <c r="J289" s="240">
        <f>IF(AND(L289="Закрыт",ISNUMBER(F289),ISNUMBER(H289)),ROUND(H289-F289,8),"")</f>
        <v/>
      </c>
      <c r="K289" s="241">
        <f>IF(AND(L289="Закрыт",ISNUMBER(G289),ISNUMBER(I289)),ROUND(I289-G289,8),"")</f>
        <v/>
      </c>
      <c r="L289" s="325" t="n"/>
      <c r="M289" s="316" t="n"/>
      <c r="N289" s="324" t="n"/>
    </row>
    <row r="290" ht="22" customHeight="1">
      <c r="B290" s="326" t="n"/>
      <c r="C290" s="319" t="n"/>
      <c r="D290" s="318" t="n"/>
      <c r="E290" s="320" t="n"/>
      <c r="F290" s="321" t="n"/>
      <c r="G290" s="327" t="n"/>
      <c r="H290" s="321" t="n"/>
      <c r="I290" s="327" t="n"/>
      <c r="J290" s="246">
        <f>IF(AND(L290="Закрыт",ISNUMBER(F290),ISNUMBER(H290)),ROUND(H290-F290,8),"")</f>
        <v/>
      </c>
      <c r="K290" s="247">
        <f>IF(AND(L290="Закрыт",ISNUMBER(G290),ISNUMBER(I290)),ROUND(I290-G290,8),"")</f>
        <v/>
      </c>
      <c r="L290" s="328" t="n"/>
      <c r="M290" s="321" t="n"/>
      <c r="N290" s="327" t="n"/>
    </row>
    <row r="291" ht="22" customHeight="1">
      <c r="B291" s="323" t="n"/>
      <c r="C291" s="314" t="n"/>
      <c r="D291" s="313" t="n"/>
      <c r="E291" s="315" t="n"/>
      <c r="F291" s="316" t="n"/>
      <c r="G291" s="324" t="n"/>
      <c r="H291" s="316" t="n"/>
      <c r="I291" s="324" t="n"/>
      <c r="J291" s="240">
        <f>IF(AND(L291="Закрыт",ISNUMBER(F291),ISNUMBER(H291)),ROUND(H291-F291,8),"")</f>
        <v/>
      </c>
      <c r="K291" s="241">
        <f>IF(AND(L291="Закрыт",ISNUMBER(G291),ISNUMBER(I291)),ROUND(I291-G291,8),"")</f>
        <v/>
      </c>
      <c r="L291" s="325" t="n"/>
      <c r="M291" s="316" t="n"/>
      <c r="N291" s="324" t="n"/>
    </row>
    <row r="292" ht="22" customHeight="1">
      <c r="B292" s="326" t="n"/>
      <c r="C292" s="319" t="n"/>
      <c r="D292" s="318" t="n"/>
      <c r="E292" s="320" t="n"/>
      <c r="F292" s="321" t="n"/>
      <c r="G292" s="327" t="n"/>
      <c r="H292" s="321" t="n"/>
      <c r="I292" s="327" t="n"/>
      <c r="J292" s="246">
        <f>IF(AND(L292="Закрыт",ISNUMBER(F292),ISNUMBER(H292)),ROUND(H292-F292,8),"")</f>
        <v/>
      </c>
      <c r="K292" s="247">
        <f>IF(AND(L292="Закрыт",ISNUMBER(G292),ISNUMBER(I292)),ROUND(I292-G292,8),"")</f>
        <v/>
      </c>
      <c r="L292" s="328" t="n"/>
      <c r="M292" s="321" t="n"/>
      <c r="N292" s="327" t="n"/>
    </row>
    <row r="293" ht="22" customHeight="1">
      <c r="B293" s="323" t="n"/>
      <c r="C293" s="314" t="n"/>
      <c r="D293" s="313" t="n"/>
      <c r="E293" s="315" t="n"/>
      <c r="F293" s="316" t="n"/>
      <c r="G293" s="324" t="n"/>
      <c r="H293" s="316" t="n"/>
      <c r="I293" s="324" t="n"/>
      <c r="J293" s="240">
        <f>IF(AND(L293="Закрыт",ISNUMBER(F293),ISNUMBER(H293)),ROUND(H293-F293,8),"")</f>
        <v/>
      </c>
      <c r="K293" s="241">
        <f>IF(AND(L293="Закрыт",ISNUMBER(G293),ISNUMBER(I293)),ROUND(I293-G293,8),"")</f>
        <v/>
      </c>
      <c r="L293" s="325" t="n"/>
      <c r="M293" s="316" t="n"/>
      <c r="N293" s="324" t="n"/>
    </row>
    <row r="294" ht="22" customHeight="1">
      <c r="B294" s="326" t="n"/>
      <c r="C294" s="319" t="n"/>
      <c r="D294" s="318" t="n"/>
      <c r="E294" s="320" t="n"/>
      <c r="F294" s="321" t="n"/>
      <c r="G294" s="327" t="n"/>
      <c r="H294" s="321" t="n"/>
      <c r="I294" s="327" t="n"/>
      <c r="J294" s="246">
        <f>IF(AND(L294="Закрыт",ISNUMBER(F294),ISNUMBER(H294)),ROUND(H294-F294,8),"")</f>
        <v/>
      </c>
      <c r="K294" s="247">
        <f>IF(AND(L294="Закрыт",ISNUMBER(G294),ISNUMBER(I294)),ROUND(I294-G294,8),"")</f>
        <v/>
      </c>
      <c r="L294" s="328" t="n"/>
      <c r="M294" s="321" t="n"/>
      <c r="N294" s="327" t="n"/>
    </row>
    <row r="295" ht="22" customHeight="1">
      <c r="B295" s="323" t="n"/>
      <c r="C295" s="314" t="n"/>
      <c r="D295" s="313" t="n"/>
      <c r="E295" s="315" t="n"/>
      <c r="F295" s="316" t="n"/>
      <c r="G295" s="324" t="n"/>
      <c r="H295" s="316" t="n"/>
      <c r="I295" s="324" t="n"/>
      <c r="J295" s="240">
        <f>IF(AND(L295="Закрыт",ISNUMBER(F295),ISNUMBER(H295)),ROUND(H295-F295,8),"")</f>
        <v/>
      </c>
      <c r="K295" s="241">
        <f>IF(AND(L295="Закрыт",ISNUMBER(G295),ISNUMBER(I295)),ROUND(I295-G295,8),"")</f>
        <v/>
      </c>
      <c r="L295" s="325" t="n"/>
      <c r="M295" s="316" t="n"/>
      <c r="N295" s="324" t="n"/>
    </row>
    <row r="296" ht="22" customHeight="1">
      <c r="B296" s="326" t="n"/>
      <c r="C296" s="319" t="n"/>
      <c r="D296" s="318" t="n"/>
      <c r="E296" s="320" t="n"/>
      <c r="F296" s="321" t="n"/>
      <c r="G296" s="327" t="n"/>
      <c r="H296" s="321" t="n"/>
      <c r="I296" s="327" t="n"/>
      <c r="J296" s="246">
        <f>IF(AND(L296="Закрыт",ISNUMBER(F296),ISNUMBER(H296)),ROUND(H296-F296,8),"")</f>
        <v/>
      </c>
      <c r="K296" s="247">
        <f>IF(AND(L296="Закрыт",ISNUMBER(G296),ISNUMBER(I296)),ROUND(I296-G296,8),"")</f>
        <v/>
      </c>
      <c r="L296" s="328" t="n"/>
      <c r="M296" s="321" t="n"/>
      <c r="N296" s="327" t="n"/>
    </row>
    <row r="297" ht="22" customHeight="1">
      <c r="B297" s="323" t="n"/>
      <c r="C297" s="314" t="n"/>
      <c r="D297" s="313" t="n"/>
      <c r="E297" s="315" t="n"/>
      <c r="F297" s="316" t="n"/>
      <c r="G297" s="324" t="n"/>
      <c r="H297" s="316" t="n"/>
      <c r="I297" s="324" t="n"/>
      <c r="J297" s="240">
        <f>IF(AND(L297="Закрыт",ISNUMBER(F297),ISNUMBER(H297)),ROUND(H297-F297,8),"")</f>
        <v/>
      </c>
      <c r="K297" s="241">
        <f>IF(AND(L297="Закрыт",ISNUMBER(G297),ISNUMBER(I297)),ROUND(I297-G297,8),"")</f>
        <v/>
      </c>
      <c r="L297" s="325" t="n"/>
      <c r="M297" s="316" t="n"/>
      <c r="N297" s="324" t="n"/>
    </row>
    <row r="298" ht="22" customHeight="1">
      <c r="B298" s="326" t="n"/>
      <c r="C298" s="319" t="n"/>
      <c r="D298" s="318" t="n"/>
      <c r="E298" s="320" t="n"/>
      <c r="F298" s="321" t="n"/>
      <c r="G298" s="327" t="n"/>
      <c r="H298" s="321" t="n"/>
      <c r="I298" s="327" t="n"/>
      <c r="J298" s="246">
        <f>IF(AND(L298="Закрыт",ISNUMBER(F298),ISNUMBER(H298)),ROUND(H298-F298,8),"")</f>
        <v/>
      </c>
      <c r="K298" s="247">
        <f>IF(AND(L298="Закрыт",ISNUMBER(G298),ISNUMBER(I298)),ROUND(I298-G298,8),"")</f>
        <v/>
      </c>
      <c r="L298" s="328" t="n"/>
      <c r="M298" s="321" t="n"/>
      <c r="N298" s="327" t="n"/>
    </row>
    <row r="299" ht="22" customHeight="1">
      <c r="B299" s="323" t="n"/>
      <c r="C299" s="314" t="n"/>
      <c r="D299" s="313" t="n"/>
      <c r="E299" s="315" t="n"/>
      <c r="F299" s="316" t="n"/>
      <c r="G299" s="324" t="n"/>
      <c r="H299" s="316" t="n"/>
      <c r="I299" s="324" t="n"/>
      <c r="J299" s="240">
        <f>IF(AND(L299="Закрыт",ISNUMBER(F299),ISNUMBER(H299)),ROUND(H299-F299,8),"")</f>
        <v/>
      </c>
      <c r="K299" s="241">
        <f>IF(AND(L299="Закрыт",ISNUMBER(G299),ISNUMBER(I299)),ROUND(I299-G299,8),"")</f>
        <v/>
      </c>
      <c r="L299" s="325" t="n"/>
      <c r="M299" s="316" t="n"/>
      <c r="N299" s="324" t="n"/>
    </row>
    <row r="300" ht="22" customHeight="1">
      <c r="B300" s="326" t="n"/>
      <c r="C300" s="319" t="n"/>
      <c r="D300" s="318" t="n"/>
      <c r="E300" s="320" t="n"/>
      <c r="F300" s="321" t="n"/>
      <c r="G300" s="327" t="n"/>
      <c r="H300" s="321" t="n"/>
      <c r="I300" s="327" t="n"/>
      <c r="J300" s="246">
        <f>IF(AND(L300="Закрыт",ISNUMBER(F300),ISNUMBER(H300)),ROUND(H300-F300,8),"")</f>
        <v/>
      </c>
      <c r="K300" s="247">
        <f>IF(AND(L300="Закрыт",ISNUMBER(G300),ISNUMBER(I300)),ROUND(I300-G300,8),"")</f>
        <v/>
      </c>
      <c r="L300" s="328" t="n"/>
      <c r="M300" s="321" t="n"/>
      <c r="N300" s="327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N300"/>
  <mergeCells count="1">
    <mergeCell ref="B1:N2"/>
  </mergeCells>
  <conditionalFormatting sqref="B5:N300">
    <cfRule type="expression" priority="1" dxfId="0">
      <formula>AND($B5&lt;&gt;"",$L5="Открыт",COUNT($H5,$I5)&gt;0)</formula>
    </cfRule>
    <cfRule type="expression" priority="2" dxfId="2">
      <formula>MOD(ROW(),2)=1</formula>
    </cfRule>
    <cfRule type="expression" priority="3" dxfId="3">
      <formula>MOD(ROW(),2)=0</formula>
    </cfRule>
  </conditionalFormatting>
  <dataValidations count="2">
    <dataValidation sqref="D5:D300" showDropDown="0" showInputMessage="0" showErrorMessage="1" allowBlank="1" errorTitle="Протокол" error="Выберите значение из списка." type="list">
      <formula1>Список_Протокол</formula1>
    </dataValidation>
    <dataValidation sqref="L5:L300" showDropDown="0" showInputMessage="0" showErrorMessage="1" allowBlank="1" errorTitle="Статус" error="Выберите Открыт или Закрыт." type="list">
      <formula1>"Открыт,Закрыт"</formula1>
    </dataValidation>
  </dataValidation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 codeName="Sheet7">
    <tabColor rgb="00722F37"/>
    <outlinePr summaryBelow="1" summaryRight="1"/>
    <pageSetUpPr fitToPage="1"/>
  </sheetPr>
  <dimension ref="B1:L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1" customWidth="1" min="10" max="10"/>
    <col width="13" customWidth="1" min="11" max="11"/>
    <col width="14" customWidth="1" min="12" max="12"/>
  </cols>
  <sheetData>
    <row r="1" ht="21" customHeight="1">
      <c r="B1" s="1" t="inlineStr">
        <is>
          <t>CRYPTO JOURNAL • ИТОГО ПУЛ</t>
        </is>
      </c>
    </row>
    <row r="2" ht="21" customHeight="1"/>
    <row r="3" ht="10" customHeight="1">
      <c r="B3" s="207" t="n"/>
      <c r="C3" s="207" t="n"/>
      <c r="D3" s="207" t="n"/>
      <c r="E3" s="207" t="n"/>
      <c r="F3" s="207" t="n"/>
      <c r="G3" s="207" t="n"/>
      <c r="H3" s="207" t="n"/>
      <c r="I3" s="207" t="n"/>
      <c r="J3" s="207" t="n"/>
      <c r="K3" s="207" t="n"/>
      <c r="L3" s="207" t="n"/>
    </row>
    <row r="4" ht="28" customHeight="1">
      <c r="B4" s="162" t="inlineStr">
        <is>
          <t>Пара</t>
        </is>
      </c>
      <c r="C4" s="254" t="inlineStr">
        <is>
          <t>Открыто</t>
        </is>
      </c>
      <c r="D4" s="255" t="inlineStr">
        <is>
          <t>Актив 2</t>
        </is>
      </c>
      <c r="E4" s="256" t="inlineStr">
        <is>
          <t>Закрыто</t>
        </is>
      </c>
      <c r="F4" s="257" t="inlineStr">
        <is>
          <t>Актив 2</t>
        </is>
      </c>
      <c r="G4" s="258" t="inlineStr">
        <is>
          <t>Дельта 1</t>
        </is>
      </c>
      <c r="H4" s="259" t="inlineStr">
        <is>
          <t>Дельта 2</t>
        </is>
      </c>
      <c r="I4" s="260" t="inlineStr">
        <is>
          <t>Действие</t>
        </is>
      </c>
      <c r="J4" s="261" t="inlineStr">
        <is>
          <t>Кол-во</t>
        </is>
      </c>
      <c r="K4" s="261" t="inlineStr">
        <is>
          <t>Курс</t>
        </is>
      </c>
      <c r="L4" s="262" t="inlineStr">
        <is>
          <t>Сумма</t>
        </is>
      </c>
    </row>
    <row r="5" ht="22" customHeight="1">
      <c r="B5" s="315" t="inlineStr">
        <is>
          <t>ARB/BTC</t>
        </is>
      </c>
      <c r="C5" s="240">
        <f>IF($B5="","",IF(COUNTIFS(Пул!$E$5:$E$300,$B5,Пул!$F$5:$F$300,"&lt;&gt;")=0,"",ROUND(SUMIFS(Пул!$F$5:$F$300,Пул!$E$5:$E$300,$B5),8)))</f>
        <v/>
      </c>
      <c r="D5" s="241">
        <f>IF($B5="","",IF(COUNTIFS(Пул!$E$5:$E$300,$B5,Пул!$G$5:$G$300,"&lt;&gt;")=0,"",ROUND(SUMIFS(Пул!$G$5:$G$300,Пул!$E$5:$E$300,$B5),8)))</f>
        <v/>
      </c>
      <c r="E5" s="240">
        <f>IF($B5="","",IF(COUNTIFS(Пул!$E$5:$E$300,$B5,Пул!$L$5:$L$300,"Закрыт")=0,"",ROUND(SUMIFS(Пул!$H$5:$H$300,Пул!$E$5:$E$300,$B5,Пул!$L$5:$L$300,"Закрыт"),8)))</f>
        <v/>
      </c>
      <c r="F5" s="241">
        <f>IF($B5="","",IF(COUNTIFS(Пул!$E$5:$E$300,$B5,Пул!$L$5:$L$300,"Закрыт")=0,"",ROUND(SUMIFS(Пул!$I$5:$I$300,Пул!$E$5:$E$300,$B5,Пул!$L$5:$L$300,"Закрыт"),8)))</f>
        <v/>
      </c>
      <c r="G5" s="240">
        <f>IF($B5="","",IF(COUNTIFS(Пул!$E$5:$E$300,$B5,Пул!$L$5:$L$300,"Закрыт")=0,"",ROUND(SUMIFS(Пул!$J$5:$J$300,Пул!$E$5:$E$300,$B5,Пул!$L$5:$L$300,"Закрыт"),8)))</f>
        <v/>
      </c>
      <c r="H5" s="241">
        <f>IF($B5="","",IF(COUNTIFS(Пул!$E$5:$E$300,$B5,Пул!$L$5:$L$300,"Закрыт")=0,"",ROUND(SUMIFS(Пул!$K$5:$K$300,Пул!$E$5:$E$300,$B5,Пул!$L$5:$L$300,"Закрыт"),8)))</f>
        <v/>
      </c>
      <c r="I5" s="236">
        <f>IF(AND(ISNUMBER(G5),ISNUMBER(H5)),IF(AND(G5&gt;0,H5&lt;0),"Buy",IF(AND(G5&lt;0,H5&gt;0),"Sell","")),"")</f>
        <v/>
      </c>
      <c r="J5" s="177">
        <f>IF(I5="Buy",G5,IF(I5="Sell",-G5,""))</f>
        <v/>
      </c>
      <c r="K5" s="177">
        <f>IF(AND(ISNUMBER(J5),ISNUMBER(L5),N(J5)&lt;&gt;0),ROUND(L5/J5,8),"")</f>
        <v/>
      </c>
      <c r="L5" s="177">
        <f>IF(I5="Buy",-H5,IF(I5="Sell",H5,""))</f>
        <v/>
      </c>
    </row>
    <row r="6" ht="22" customHeight="1">
      <c r="B6" s="320" t="inlineStr">
        <is>
          <t>ARB/ETH</t>
        </is>
      </c>
      <c r="C6" s="246">
        <f>IF($B6="","",IF(COUNTIFS(Пул!$E$5:$E$300,$B6,Пул!$F$5:$F$300,"&lt;&gt;")=0,"",ROUND(SUMIFS(Пул!$F$5:$F$300,Пул!$E$5:$E$300,$B6),8)))</f>
        <v/>
      </c>
      <c r="D6" s="247">
        <f>IF($B6="","",IF(COUNTIFS(Пул!$E$5:$E$300,$B6,Пул!$G$5:$G$300,"&lt;&gt;")=0,"",ROUND(SUMIFS(Пул!$G$5:$G$300,Пул!$E$5:$E$300,$B6),8)))</f>
        <v/>
      </c>
      <c r="E6" s="246">
        <f>IF($B6="","",IF(COUNTIFS(Пул!$E$5:$E$300,$B6,Пул!$L$5:$L$300,"Закрыт")=0,"",ROUND(SUMIFS(Пул!$H$5:$H$300,Пул!$E$5:$E$300,$B6,Пул!$L$5:$L$300,"Закрыт"),8)))</f>
        <v/>
      </c>
      <c r="F6" s="247">
        <f>IF($B6="","",IF(COUNTIFS(Пул!$E$5:$E$300,$B6,Пул!$L$5:$L$300,"Закрыт")=0,"",ROUND(SUMIFS(Пул!$I$5:$I$300,Пул!$E$5:$E$300,$B6,Пул!$L$5:$L$300,"Закрыт"),8)))</f>
        <v/>
      </c>
      <c r="G6" s="246">
        <f>IF($B6="","",IF(COUNTIFS(Пул!$E$5:$E$300,$B6,Пул!$L$5:$L$300,"Закрыт")=0,"",ROUND(SUMIFS(Пул!$J$5:$J$300,Пул!$E$5:$E$300,$B6,Пул!$L$5:$L$300,"Закрыт"),8)))</f>
        <v/>
      </c>
      <c r="H6" s="247">
        <f>IF($B6="","",IF(COUNTIFS(Пул!$E$5:$E$300,$B6,Пул!$L$5:$L$300,"Закрыт")=0,"",ROUND(SUMIFS(Пул!$K$5:$K$300,Пул!$E$5:$E$300,$B6,Пул!$L$5:$L$300,"Закрыт"),8)))</f>
        <v/>
      </c>
      <c r="I6" s="242">
        <f>IF(AND(ISNUMBER(G6),ISNUMBER(H6)),IF(AND(G6&gt;0,H6&lt;0),"Buy",IF(AND(G6&lt;0,H6&gt;0),"Sell","")),"")</f>
        <v/>
      </c>
      <c r="J6" s="183">
        <f>IF(I6="Buy",G6,IF(I6="Sell",-G6,""))</f>
        <v/>
      </c>
      <c r="K6" s="183">
        <f>IF(AND(ISNUMBER(J6),ISNUMBER(L6),N(J6)&lt;&gt;0),ROUND(L6/J6,8),"")</f>
        <v/>
      </c>
      <c r="L6" s="183">
        <f>IF(I6="Buy",-H6,IF(I6="Sell",H6,""))</f>
        <v/>
      </c>
    </row>
    <row r="7" ht="22" customHeight="1">
      <c r="B7" s="315" t="inlineStr">
        <is>
          <t>BNB/ETH</t>
        </is>
      </c>
      <c r="C7" s="240">
        <f>IF($B7="","",IF(COUNTIFS(Пул!$E$5:$E$300,$B7,Пул!$F$5:$F$300,"&lt;&gt;")=0,"",ROUND(SUMIFS(Пул!$F$5:$F$300,Пул!$E$5:$E$300,$B7),8)))</f>
        <v/>
      </c>
      <c r="D7" s="241">
        <f>IF($B7="","",IF(COUNTIFS(Пул!$E$5:$E$300,$B7,Пул!$G$5:$G$300,"&lt;&gt;")=0,"",ROUND(SUMIFS(Пул!$G$5:$G$300,Пул!$E$5:$E$300,$B7),8)))</f>
        <v/>
      </c>
      <c r="E7" s="240">
        <f>IF($B7="","",IF(COUNTIFS(Пул!$E$5:$E$300,$B7,Пул!$L$5:$L$300,"Закрыт")=0,"",ROUND(SUMIFS(Пул!$H$5:$H$300,Пул!$E$5:$E$300,$B7,Пул!$L$5:$L$300,"Закрыт"),8)))</f>
        <v/>
      </c>
      <c r="F7" s="241">
        <f>IF($B7="","",IF(COUNTIFS(Пул!$E$5:$E$300,$B7,Пул!$L$5:$L$300,"Закрыт")=0,"",ROUND(SUMIFS(Пул!$I$5:$I$300,Пул!$E$5:$E$300,$B7,Пул!$L$5:$L$300,"Закрыт"),8)))</f>
        <v/>
      </c>
      <c r="G7" s="240">
        <f>IF($B7="","",IF(COUNTIFS(Пул!$E$5:$E$300,$B7,Пул!$L$5:$L$300,"Закрыт")=0,"",ROUND(SUMIFS(Пул!$J$5:$J$300,Пул!$E$5:$E$300,$B7,Пул!$L$5:$L$300,"Закрыт"),8)))</f>
        <v/>
      </c>
      <c r="H7" s="241">
        <f>IF($B7="","",IF(COUNTIFS(Пул!$E$5:$E$300,$B7,Пул!$L$5:$L$300,"Закрыт")=0,"",ROUND(SUMIFS(Пул!$K$5:$K$300,Пул!$E$5:$E$300,$B7,Пул!$L$5:$L$300,"Закрыт"),8)))</f>
        <v/>
      </c>
      <c r="I7" s="236">
        <f>IF(AND(ISNUMBER(G7),ISNUMBER(H7)),IF(AND(G7&gt;0,H7&lt;0),"Buy",IF(AND(G7&lt;0,H7&gt;0),"Sell","")),"")</f>
        <v/>
      </c>
      <c r="J7" s="177">
        <f>IF(I7="Buy",G7,IF(I7="Sell",-G7,""))</f>
        <v/>
      </c>
      <c r="K7" s="177">
        <f>IF(AND(ISNUMBER(J7),ISNUMBER(L7),N(J7)&lt;&gt;0),ROUND(L7/J7,8),"")</f>
        <v/>
      </c>
      <c r="L7" s="177">
        <f>IF(I7="Buy",-H7,IF(I7="Sell",H7,""))</f>
        <v/>
      </c>
    </row>
    <row r="8" ht="22" customHeight="1">
      <c r="B8" s="320" t="inlineStr">
        <is>
          <t>BNB/USDT</t>
        </is>
      </c>
      <c r="C8" s="246">
        <f>IF($B8="","",IF(COUNTIFS(Пул!$E$5:$E$300,$B8,Пул!$F$5:$F$300,"&lt;&gt;")=0,"",ROUND(SUMIFS(Пул!$F$5:$F$300,Пул!$E$5:$E$300,$B8),8)))</f>
        <v/>
      </c>
      <c r="D8" s="247">
        <f>IF($B8="","",IF(COUNTIFS(Пул!$E$5:$E$300,$B8,Пул!$G$5:$G$300,"&lt;&gt;")=0,"",ROUND(SUMIFS(Пул!$G$5:$G$300,Пул!$E$5:$E$300,$B8),8)))</f>
        <v/>
      </c>
      <c r="E8" s="246">
        <f>IF($B8="","",IF(COUNTIFS(Пул!$E$5:$E$300,$B8,Пул!$L$5:$L$300,"Закрыт")=0,"",ROUND(SUMIFS(Пул!$H$5:$H$300,Пул!$E$5:$E$300,$B8,Пул!$L$5:$L$300,"Закрыт"),8)))</f>
        <v/>
      </c>
      <c r="F8" s="247">
        <f>IF($B8="","",IF(COUNTIFS(Пул!$E$5:$E$300,$B8,Пул!$L$5:$L$300,"Закрыт")=0,"",ROUND(SUMIFS(Пул!$I$5:$I$300,Пул!$E$5:$E$300,$B8,Пул!$L$5:$L$300,"Закрыт"),8)))</f>
        <v/>
      </c>
      <c r="G8" s="246">
        <f>IF($B8="","",IF(COUNTIFS(Пул!$E$5:$E$300,$B8,Пул!$L$5:$L$300,"Закрыт")=0,"",ROUND(SUMIFS(Пул!$J$5:$J$300,Пул!$E$5:$E$300,$B8,Пул!$L$5:$L$300,"Закрыт"),8)))</f>
        <v/>
      </c>
      <c r="H8" s="247">
        <f>IF($B8="","",IF(COUNTIFS(Пул!$E$5:$E$300,$B8,Пул!$L$5:$L$300,"Закрыт")=0,"",ROUND(SUMIFS(Пул!$K$5:$K$300,Пул!$E$5:$E$300,$B8,Пул!$L$5:$L$300,"Закрыт"),8)))</f>
        <v/>
      </c>
      <c r="I8" s="242">
        <f>IF(AND(ISNUMBER(G8),ISNUMBER(H8)),IF(AND(G8&gt;0,H8&lt;0),"Buy",IF(AND(G8&lt;0,H8&gt;0),"Sell","")),"")</f>
        <v/>
      </c>
      <c r="J8" s="183">
        <f>IF(I8="Buy",G8,IF(I8="Sell",-G8,""))</f>
        <v/>
      </c>
      <c r="K8" s="183">
        <f>IF(AND(ISNUMBER(J8),ISNUMBER(L8),N(J8)&lt;&gt;0),ROUND(L8/J8,8),"")</f>
        <v/>
      </c>
      <c r="L8" s="183">
        <f>IF(I8="Buy",-H8,IF(I8="Sell",H8,""))</f>
        <v/>
      </c>
    </row>
    <row r="9" ht="22" customHeight="1">
      <c r="B9" s="315" t="inlineStr">
        <is>
          <t>BTC/USDT</t>
        </is>
      </c>
      <c r="C9" s="240">
        <f>IF($B9="","",IF(COUNTIFS(Пул!$E$5:$E$300,$B9,Пул!$F$5:$F$300,"&lt;&gt;")=0,"",ROUND(SUMIFS(Пул!$F$5:$F$300,Пул!$E$5:$E$300,$B9),8)))</f>
        <v/>
      </c>
      <c r="D9" s="241">
        <f>IF($B9="","",IF(COUNTIFS(Пул!$E$5:$E$300,$B9,Пул!$G$5:$G$300,"&lt;&gt;")=0,"",ROUND(SUMIFS(Пул!$G$5:$G$300,Пул!$E$5:$E$300,$B9),8)))</f>
        <v/>
      </c>
      <c r="E9" s="240">
        <f>IF($B9="","",IF(COUNTIFS(Пул!$E$5:$E$300,$B9,Пул!$L$5:$L$300,"Закрыт")=0,"",ROUND(SUMIFS(Пул!$H$5:$H$300,Пул!$E$5:$E$300,$B9,Пул!$L$5:$L$300,"Закрыт"),8)))</f>
        <v/>
      </c>
      <c r="F9" s="241">
        <f>IF($B9="","",IF(COUNTIFS(Пул!$E$5:$E$300,$B9,Пул!$L$5:$L$300,"Закрыт")=0,"",ROUND(SUMIFS(Пул!$I$5:$I$300,Пул!$E$5:$E$300,$B9,Пул!$L$5:$L$300,"Закрыт"),8)))</f>
        <v/>
      </c>
      <c r="G9" s="240">
        <f>IF($B9="","",IF(COUNTIFS(Пул!$E$5:$E$300,$B9,Пул!$L$5:$L$300,"Закрыт")=0,"",ROUND(SUMIFS(Пул!$J$5:$J$300,Пул!$E$5:$E$300,$B9,Пул!$L$5:$L$300,"Закрыт"),8)))</f>
        <v/>
      </c>
      <c r="H9" s="241">
        <f>IF($B9="","",IF(COUNTIFS(Пул!$E$5:$E$300,$B9,Пул!$L$5:$L$300,"Закрыт")=0,"",ROUND(SUMIFS(Пул!$K$5:$K$300,Пул!$E$5:$E$300,$B9,Пул!$L$5:$L$300,"Закрыт"),8)))</f>
        <v/>
      </c>
      <c r="I9" s="236">
        <f>IF(AND(ISNUMBER(G9),ISNUMBER(H9)),IF(AND(G9&gt;0,H9&lt;0),"Buy",IF(AND(G9&lt;0,H9&gt;0),"Sell","")),"")</f>
        <v/>
      </c>
      <c r="J9" s="177">
        <f>IF(I9="Buy",G9,IF(I9="Sell",-G9,""))</f>
        <v/>
      </c>
      <c r="K9" s="177">
        <f>IF(AND(ISNUMBER(J9),ISNUMBER(L9),N(J9)&lt;&gt;0),ROUND(L9/J9,8),"")</f>
        <v/>
      </c>
      <c r="L9" s="177">
        <f>IF(I9="Buy",-H9,IF(I9="Sell",H9,""))</f>
        <v/>
      </c>
    </row>
    <row r="10" ht="22" customHeight="1">
      <c r="B10" s="320" t="inlineStr">
        <is>
          <t>CAKE/BNB</t>
        </is>
      </c>
      <c r="C10" s="246">
        <f>IF($B10="","",IF(COUNTIFS(Пул!$E$5:$E$300,$B10,Пул!$F$5:$F$300,"&lt;&gt;")=0,"",ROUND(SUMIFS(Пул!$F$5:$F$300,Пул!$E$5:$E$300,$B10),8)))</f>
        <v/>
      </c>
      <c r="D10" s="247">
        <f>IF($B10="","",IF(COUNTIFS(Пул!$E$5:$E$300,$B10,Пул!$G$5:$G$300,"&lt;&gt;")=0,"",ROUND(SUMIFS(Пул!$G$5:$G$300,Пул!$E$5:$E$300,$B10),8)))</f>
        <v/>
      </c>
      <c r="E10" s="246">
        <f>IF($B10="","",IF(COUNTIFS(Пул!$E$5:$E$300,$B10,Пул!$L$5:$L$300,"Закрыт")=0,"",ROUND(SUMIFS(Пул!$H$5:$H$300,Пул!$E$5:$E$300,$B10,Пул!$L$5:$L$300,"Закрыт"),8)))</f>
        <v/>
      </c>
      <c r="F10" s="247">
        <f>IF($B10="","",IF(COUNTIFS(Пул!$E$5:$E$300,$B10,Пул!$L$5:$L$300,"Закрыт")=0,"",ROUND(SUMIFS(Пул!$I$5:$I$300,Пул!$E$5:$E$300,$B10,Пул!$L$5:$L$300,"Закрыт"),8)))</f>
        <v/>
      </c>
      <c r="G10" s="246">
        <f>IF($B10="","",IF(COUNTIFS(Пул!$E$5:$E$300,$B10,Пул!$L$5:$L$300,"Закрыт")=0,"",ROUND(SUMIFS(Пул!$J$5:$J$300,Пул!$E$5:$E$300,$B10,Пул!$L$5:$L$300,"Закрыт"),8)))</f>
        <v/>
      </c>
      <c r="H10" s="247">
        <f>IF($B10="","",IF(COUNTIFS(Пул!$E$5:$E$300,$B10,Пул!$L$5:$L$300,"Закрыт")=0,"",ROUND(SUMIFS(Пул!$K$5:$K$300,Пул!$E$5:$E$300,$B10,Пул!$L$5:$L$300,"Закрыт"),8)))</f>
        <v/>
      </c>
      <c r="I10" s="242">
        <f>IF(AND(ISNUMBER(G10),ISNUMBER(H10)),IF(AND(G10&gt;0,H10&lt;0),"Buy",IF(AND(G10&lt;0,H10&gt;0),"Sell","")),"")</f>
        <v/>
      </c>
      <c r="J10" s="183">
        <f>IF(I10="Buy",G10,IF(I10="Sell",-G10,""))</f>
        <v/>
      </c>
      <c r="K10" s="183">
        <f>IF(AND(ISNUMBER(J10),ISNUMBER(L10),N(J10)&lt;&gt;0),ROUND(L10/J10,8),"")</f>
        <v/>
      </c>
      <c r="L10" s="183">
        <f>IF(I10="Buy",-H10,IF(I10="Sell",H10,""))</f>
        <v/>
      </c>
    </row>
    <row r="11" ht="22" customHeight="1">
      <c r="B11" s="315" t="inlineStr">
        <is>
          <t>CAKE/USDT</t>
        </is>
      </c>
      <c r="C11" s="240">
        <f>IF($B11="","",IF(COUNTIFS(Пул!$E$5:$E$300,$B11,Пул!$F$5:$F$300,"&lt;&gt;")=0,"",ROUND(SUMIFS(Пул!$F$5:$F$300,Пул!$E$5:$E$300,$B11),8)))</f>
        <v/>
      </c>
      <c r="D11" s="241">
        <f>IF($B11="","",IF(COUNTIFS(Пул!$E$5:$E$300,$B11,Пул!$G$5:$G$300,"&lt;&gt;")=0,"",ROUND(SUMIFS(Пул!$G$5:$G$300,Пул!$E$5:$E$300,$B11),8)))</f>
        <v/>
      </c>
      <c r="E11" s="240">
        <f>IF($B11="","",IF(COUNTIFS(Пул!$E$5:$E$300,$B11,Пул!$L$5:$L$300,"Закрыт")=0,"",ROUND(SUMIFS(Пул!$H$5:$H$300,Пул!$E$5:$E$300,$B11,Пул!$L$5:$L$300,"Закрыт"),8)))</f>
        <v/>
      </c>
      <c r="F11" s="241">
        <f>IF($B11="","",IF(COUNTIFS(Пул!$E$5:$E$300,$B11,Пул!$L$5:$L$300,"Закрыт")=0,"",ROUND(SUMIFS(Пул!$I$5:$I$300,Пул!$E$5:$E$300,$B11,Пул!$L$5:$L$300,"Закрыт"),8)))</f>
        <v/>
      </c>
      <c r="G11" s="240">
        <f>IF($B11="","",IF(COUNTIFS(Пул!$E$5:$E$300,$B11,Пул!$L$5:$L$300,"Закрыт")=0,"",ROUND(SUMIFS(Пул!$J$5:$J$300,Пул!$E$5:$E$300,$B11,Пул!$L$5:$L$300,"Закрыт"),8)))</f>
        <v/>
      </c>
      <c r="H11" s="241">
        <f>IF($B11="","",IF(COUNTIFS(Пул!$E$5:$E$300,$B11,Пул!$L$5:$L$300,"Закрыт")=0,"",ROUND(SUMIFS(Пул!$K$5:$K$300,Пул!$E$5:$E$300,$B11,Пул!$L$5:$L$300,"Закрыт"),8)))</f>
        <v/>
      </c>
      <c r="I11" s="236">
        <f>IF(AND(ISNUMBER(G11),ISNUMBER(H11)),IF(AND(G11&gt;0,H11&lt;0),"Buy",IF(AND(G11&lt;0,H11&gt;0),"Sell","")),"")</f>
        <v/>
      </c>
      <c r="J11" s="177">
        <f>IF(I11="Buy",G11,IF(I11="Sell",-G11,""))</f>
        <v/>
      </c>
      <c r="K11" s="177">
        <f>IF(AND(ISNUMBER(J11),ISNUMBER(L11),N(J11)&lt;&gt;0),ROUND(L11/J11,8),"")</f>
        <v/>
      </c>
      <c r="L11" s="177">
        <f>IF(I11="Buy",-H11,IF(I11="Sell",H11,""))</f>
        <v/>
      </c>
    </row>
    <row r="12" ht="22" customHeight="1">
      <c r="B12" s="320" t="inlineStr">
        <is>
          <t>ELIZAOS/SOL</t>
        </is>
      </c>
      <c r="C12" s="246">
        <f>IF($B12="","",IF(COUNTIFS(Пул!$E$5:$E$300,$B12,Пул!$F$5:$F$300,"&lt;&gt;")=0,"",ROUND(SUMIFS(Пул!$F$5:$F$300,Пул!$E$5:$E$300,$B12),8)))</f>
        <v/>
      </c>
      <c r="D12" s="247">
        <f>IF($B12="","",IF(COUNTIFS(Пул!$E$5:$E$300,$B12,Пул!$G$5:$G$300,"&lt;&gt;")=0,"",ROUND(SUMIFS(Пул!$G$5:$G$300,Пул!$E$5:$E$300,$B12),8)))</f>
        <v/>
      </c>
      <c r="E12" s="246">
        <f>IF($B12="","",IF(COUNTIFS(Пул!$E$5:$E$300,$B12,Пул!$L$5:$L$300,"Закрыт")=0,"",ROUND(SUMIFS(Пул!$H$5:$H$300,Пул!$E$5:$E$300,$B12,Пул!$L$5:$L$300,"Закрыт"),8)))</f>
        <v/>
      </c>
      <c r="F12" s="247">
        <f>IF($B12="","",IF(COUNTIFS(Пул!$E$5:$E$300,$B12,Пул!$L$5:$L$300,"Закрыт")=0,"",ROUND(SUMIFS(Пул!$I$5:$I$300,Пул!$E$5:$E$300,$B12,Пул!$L$5:$L$300,"Закрыт"),8)))</f>
        <v/>
      </c>
      <c r="G12" s="246">
        <f>IF($B12="","",IF(COUNTIFS(Пул!$E$5:$E$300,$B12,Пул!$L$5:$L$300,"Закрыт")=0,"",ROUND(SUMIFS(Пул!$J$5:$J$300,Пул!$E$5:$E$300,$B12,Пул!$L$5:$L$300,"Закрыт"),8)))</f>
        <v/>
      </c>
      <c r="H12" s="247">
        <f>IF($B12="","",IF(COUNTIFS(Пул!$E$5:$E$300,$B12,Пул!$L$5:$L$300,"Закрыт")=0,"",ROUND(SUMIFS(Пул!$K$5:$K$300,Пул!$E$5:$E$300,$B12,Пул!$L$5:$L$300,"Закрыт"),8)))</f>
        <v/>
      </c>
      <c r="I12" s="242">
        <f>IF(AND(ISNUMBER(G12),ISNUMBER(H12)),IF(AND(G12&gt;0,H12&lt;0),"Buy",IF(AND(G12&lt;0,H12&gt;0),"Sell","")),"")</f>
        <v/>
      </c>
      <c r="J12" s="183">
        <f>IF(I12="Buy",G12,IF(I12="Sell",-G12,""))</f>
        <v/>
      </c>
      <c r="K12" s="183">
        <f>IF(AND(ISNUMBER(J12),ISNUMBER(L12),N(J12)&lt;&gt;0),ROUND(L12/J12,8),"")</f>
        <v/>
      </c>
      <c r="L12" s="183">
        <f>IF(I12="Buy",-H12,IF(I12="Sell",H12,""))</f>
        <v/>
      </c>
    </row>
    <row r="13" ht="22" customHeight="1">
      <c r="B13" s="315" t="inlineStr">
        <is>
          <t>ETH/BTC</t>
        </is>
      </c>
      <c r="C13" s="240">
        <f>IF($B13="","",IF(COUNTIFS(Пул!$E$5:$E$300,$B13,Пул!$F$5:$F$300,"&lt;&gt;")=0,"",ROUND(SUMIFS(Пул!$F$5:$F$300,Пул!$E$5:$E$300,$B13),8)))</f>
        <v/>
      </c>
      <c r="D13" s="241">
        <f>IF($B13="","",IF(COUNTIFS(Пул!$E$5:$E$300,$B13,Пул!$G$5:$G$300,"&lt;&gt;")=0,"",ROUND(SUMIFS(Пул!$G$5:$G$300,Пул!$E$5:$E$300,$B13),8)))</f>
        <v/>
      </c>
      <c r="E13" s="240">
        <f>IF($B13="","",IF(COUNTIFS(Пул!$E$5:$E$300,$B13,Пул!$L$5:$L$300,"Закрыт")=0,"",ROUND(SUMIFS(Пул!$H$5:$H$300,Пул!$E$5:$E$300,$B13,Пул!$L$5:$L$300,"Закрыт"),8)))</f>
        <v/>
      </c>
      <c r="F13" s="241">
        <f>IF($B13="","",IF(COUNTIFS(Пул!$E$5:$E$300,$B13,Пул!$L$5:$L$300,"Закрыт")=0,"",ROUND(SUMIFS(Пул!$I$5:$I$300,Пул!$E$5:$E$300,$B13,Пул!$L$5:$L$300,"Закрыт"),8)))</f>
        <v/>
      </c>
      <c r="G13" s="240">
        <f>IF($B13="","",IF(COUNTIFS(Пул!$E$5:$E$300,$B13,Пул!$L$5:$L$300,"Закрыт")=0,"",ROUND(SUMIFS(Пул!$J$5:$J$300,Пул!$E$5:$E$300,$B13,Пул!$L$5:$L$300,"Закрыт"),8)))</f>
        <v/>
      </c>
      <c r="H13" s="241">
        <f>IF($B13="","",IF(COUNTIFS(Пул!$E$5:$E$300,$B13,Пул!$L$5:$L$300,"Закрыт")=0,"",ROUND(SUMIFS(Пул!$K$5:$K$300,Пул!$E$5:$E$300,$B13,Пул!$L$5:$L$300,"Закрыт"),8)))</f>
        <v/>
      </c>
      <c r="I13" s="236">
        <f>IF(AND(ISNUMBER(G13),ISNUMBER(H13)),IF(AND(G13&gt;0,H13&lt;0),"Buy",IF(AND(G13&lt;0,H13&gt;0),"Sell","")),"")</f>
        <v/>
      </c>
      <c r="J13" s="177">
        <f>IF(I13="Buy",G13,IF(I13="Sell",-G13,""))</f>
        <v/>
      </c>
      <c r="K13" s="177">
        <f>IF(AND(ISNUMBER(J13),ISNUMBER(L13),N(J13)&lt;&gt;0),ROUND(L13/J13,8),"")</f>
        <v/>
      </c>
      <c r="L13" s="177">
        <f>IF(I13="Buy",-H13,IF(I13="Sell",H13,""))</f>
        <v/>
      </c>
    </row>
    <row r="14" ht="22" customHeight="1">
      <c r="B14" s="320" t="inlineStr">
        <is>
          <t>ETH/USDT</t>
        </is>
      </c>
      <c r="C14" s="246">
        <f>IF($B14="","",IF(COUNTIFS(Пул!$E$5:$E$300,$B14,Пул!$F$5:$F$300,"&lt;&gt;")=0,"",ROUND(SUMIFS(Пул!$F$5:$F$300,Пул!$E$5:$E$300,$B14),8)))</f>
        <v/>
      </c>
      <c r="D14" s="247">
        <f>IF($B14="","",IF(COUNTIFS(Пул!$E$5:$E$300,$B14,Пул!$G$5:$G$300,"&lt;&gt;")=0,"",ROUND(SUMIFS(Пул!$G$5:$G$300,Пул!$E$5:$E$300,$B14),8)))</f>
        <v/>
      </c>
      <c r="E14" s="246">
        <f>IF($B14="","",IF(COUNTIFS(Пул!$E$5:$E$300,$B14,Пул!$L$5:$L$300,"Закрыт")=0,"",ROUND(SUMIFS(Пул!$H$5:$H$300,Пул!$E$5:$E$300,$B14,Пул!$L$5:$L$300,"Закрыт"),8)))</f>
        <v/>
      </c>
      <c r="F14" s="247">
        <f>IF($B14="","",IF(COUNTIFS(Пул!$E$5:$E$300,$B14,Пул!$L$5:$L$300,"Закрыт")=0,"",ROUND(SUMIFS(Пул!$I$5:$I$300,Пул!$E$5:$E$300,$B14,Пул!$L$5:$L$300,"Закрыт"),8)))</f>
        <v/>
      </c>
      <c r="G14" s="246">
        <f>IF($B14="","",IF(COUNTIFS(Пул!$E$5:$E$300,$B14,Пул!$L$5:$L$300,"Закрыт")=0,"",ROUND(SUMIFS(Пул!$J$5:$J$300,Пул!$E$5:$E$300,$B14,Пул!$L$5:$L$300,"Закрыт"),8)))</f>
        <v/>
      </c>
      <c r="H14" s="247">
        <f>IF($B14="","",IF(COUNTIFS(Пул!$E$5:$E$300,$B14,Пул!$L$5:$L$300,"Закрыт")=0,"",ROUND(SUMIFS(Пул!$K$5:$K$300,Пул!$E$5:$E$300,$B14,Пул!$L$5:$L$300,"Закрыт"),8)))</f>
        <v/>
      </c>
      <c r="I14" s="242">
        <f>IF(AND(ISNUMBER(G14),ISNUMBER(H14)),IF(AND(G14&gt;0,H14&lt;0),"Buy",IF(AND(G14&lt;0,H14&gt;0),"Sell","")),"")</f>
        <v/>
      </c>
      <c r="J14" s="183">
        <f>IF(I14="Buy",G14,IF(I14="Sell",-G14,""))</f>
        <v/>
      </c>
      <c r="K14" s="183">
        <f>IF(AND(ISNUMBER(J14),ISNUMBER(L14),N(J14)&lt;&gt;0),ROUND(L14/J14,8),"")</f>
        <v/>
      </c>
      <c r="L14" s="183">
        <f>IF(I14="Buy",-H14,IF(I14="Sell",H14,""))</f>
        <v/>
      </c>
    </row>
    <row r="15" ht="22" customHeight="1">
      <c r="B15" s="315" t="inlineStr">
        <is>
          <t>SOL/ETH</t>
        </is>
      </c>
      <c r="C15" s="240">
        <f>IF($B15="","",IF(COUNTIFS(Пул!$E$5:$E$300,$B15,Пул!$F$5:$F$300,"&lt;&gt;")=0,"",ROUND(SUMIFS(Пул!$F$5:$F$300,Пул!$E$5:$E$300,$B15),8)))</f>
        <v/>
      </c>
      <c r="D15" s="241">
        <f>IF($B15="","",IF(COUNTIFS(Пул!$E$5:$E$300,$B15,Пул!$G$5:$G$300,"&lt;&gt;")=0,"",ROUND(SUMIFS(Пул!$G$5:$G$300,Пул!$E$5:$E$300,$B15),8)))</f>
        <v/>
      </c>
      <c r="E15" s="240">
        <f>IF($B15="","",IF(COUNTIFS(Пул!$E$5:$E$300,$B15,Пул!$L$5:$L$300,"Закрыт")=0,"",ROUND(SUMIFS(Пул!$H$5:$H$300,Пул!$E$5:$E$300,$B15,Пул!$L$5:$L$300,"Закрыт"),8)))</f>
        <v/>
      </c>
      <c r="F15" s="241">
        <f>IF($B15="","",IF(COUNTIFS(Пул!$E$5:$E$300,$B15,Пул!$L$5:$L$300,"Закрыт")=0,"",ROUND(SUMIFS(Пул!$I$5:$I$300,Пул!$E$5:$E$300,$B15,Пул!$L$5:$L$300,"Закрыт"),8)))</f>
        <v/>
      </c>
      <c r="G15" s="240">
        <f>IF($B15="","",IF(COUNTIFS(Пул!$E$5:$E$300,$B15,Пул!$L$5:$L$300,"Закрыт")=0,"",ROUND(SUMIFS(Пул!$J$5:$J$300,Пул!$E$5:$E$300,$B15,Пул!$L$5:$L$300,"Закрыт"),8)))</f>
        <v/>
      </c>
      <c r="H15" s="241">
        <f>IF($B15="","",IF(COUNTIFS(Пул!$E$5:$E$300,$B15,Пул!$L$5:$L$300,"Закрыт")=0,"",ROUND(SUMIFS(Пул!$K$5:$K$300,Пул!$E$5:$E$300,$B15,Пул!$L$5:$L$300,"Закрыт"),8)))</f>
        <v/>
      </c>
      <c r="I15" s="236">
        <f>IF(AND(ISNUMBER(G15),ISNUMBER(H15)),IF(AND(G15&gt;0,H15&lt;0),"Buy",IF(AND(G15&lt;0,H15&gt;0),"Sell","")),"")</f>
        <v/>
      </c>
      <c r="J15" s="177">
        <f>IF(I15="Buy",G15,IF(I15="Sell",-G15,""))</f>
        <v/>
      </c>
      <c r="K15" s="177">
        <f>IF(AND(ISNUMBER(J15),ISNUMBER(L15),N(J15)&lt;&gt;0),ROUND(L15/J15,8),"")</f>
        <v/>
      </c>
      <c r="L15" s="177">
        <f>IF(I15="Buy",-H15,IF(I15="Sell",H15,""))</f>
        <v/>
      </c>
    </row>
    <row r="16" ht="22" customHeight="1">
      <c r="B16" s="320" t="inlineStr">
        <is>
          <t>SOL/USDT</t>
        </is>
      </c>
      <c r="C16" s="246">
        <f>IF($B16="","",IF(COUNTIFS(Пул!$E$5:$E$300,$B16,Пул!$F$5:$F$300,"&lt;&gt;")=0,"",ROUND(SUMIFS(Пул!$F$5:$F$300,Пул!$E$5:$E$300,$B16),8)))</f>
        <v/>
      </c>
      <c r="D16" s="247">
        <f>IF($B16="","",IF(COUNTIFS(Пул!$E$5:$E$300,$B16,Пул!$G$5:$G$300,"&lt;&gt;")=0,"",ROUND(SUMIFS(Пул!$G$5:$G$300,Пул!$E$5:$E$300,$B16),8)))</f>
        <v/>
      </c>
      <c r="E16" s="246">
        <f>IF($B16="","",IF(COUNTIFS(Пул!$E$5:$E$300,$B16,Пул!$L$5:$L$300,"Закрыт")=0,"",ROUND(SUMIFS(Пул!$H$5:$H$300,Пул!$E$5:$E$300,$B16,Пул!$L$5:$L$300,"Закрыт"),8)))</f>
        <v/>
      </c>
      <c r="F16" s="247">
        <f>IF($B16="","",IF(COUNTIFS(Пул!$E$5:$E$300,$B16,Пул!$L$5:$L$300,"Закрыт")=0,"",ROUND(SUMIFS(Пул!$I$5:$I$300,Пул!$E$5:$E$300,$B16,Пул!$L$5:$L$300,"Закрыт"),8)))</f>
        <v/>
      </c>
      <c r="G16" s="246">
        <f>IF($B16="","",IF(COUNTIFS(Пул!$E$5:$E$300,$B16,Пул!$L$5:$L$300,"Закрыт")=0,"",ROUND(SUMIFS(Пул!$J$5:$J$300,Пул!$E$5:$E$300,$B16,Пул!$L$5:$L$300,"Закрыт"),8)))</f>
        <v/>
      </c>
      <c r="H16" s="247">
        <f>IF($B16="","",IF(COUNTIFS(Пул!$E$5:$E$300,$B16,Пул!$L$5:$L$300,"Закрыт")=0,"",ROUND(SUMIFS(Пул!$K$5:$K$300,Пул!$E$5:$E$300,$B16,Пул!$L$5:$L$300,"Закрыт"),8)))</f>
        <v/>
      </c>
      <c r="I16" s="242">
        <f>IF(AND(ISNUMBER(G16),ISNUMBER(H16)),IF(AND(G16&gt;0,H16&lt;0),"Buy",IF(AND(G16&lt;0,H16&gt;0),"Sell","")),"")</f>
        <v/>
      </c>
      <c r="J16" s="183">
        <f>IF(I16="Buy",G16,IF(I16="Sell",-G16,""))</f>
        <v/>
      </c>
      <c r="K16" s="183">
        <f>IF(AND(ISNUMBER(J16),ISNUMBER(L16),N(J16)&lt;&gt;0),ROUND(L16/J16,8),"")</f>
        <v/>
      </c>
      <c r="L16" s="183">
        <f>IF(I16="Buy",-H16,IF(I16="Sell",H16,""))</f>
        <v/>
      </c>
    </row>
    <row r="17" ht="22" customHeight="1">
      <c r="B17" s="315" t="n"/>
      <c r="C17" s="240">
        <f>IF($B17="","",IF(COUNTIFS(Пул!$E$5:$E$300,$B17,Пул!$F$5:$F$300,"&lt;&gt;")=0,"",ROUND(SUMIFS(Пул!$F$5:$F$300,Пул!$E$5:$E$300,$B17),8)))</f>
        <v/>
      </c>
      <c r="D17" s="241">
        <f>IF($B17="","",IF(COUNTIFS(Пул!$E$5:$E$300,$B17,Пул!$G$5:$G$300,"&lt;&gt;")=0,"",ROUND(SUMIFS(Пул!$G$5:$G$300,Пул!$E$5:$E$300,$B17),8)))</f>
        <v/>
      </c>
      <c r="E17" s="240">
        <f>IF($B17="","",IF(COUNTIFS(Пул!$E$5:$E$300,$B17,Пул!$L$5:$L$300,"Закрыт")=0,"",ROUND(SUMIFS(Пул!$H$5:$H$300,Пул!$E$5:$E$300,$B17,Пул!$L$5:$L$300,"Закрыт"),8)))</f>
        <v/>
      </c>
      <c r="F17" s="241">
        <f>IF($B17="","",IF(COUNTIFS(Пул!$E$5:$E$300,$B17,Пул!$L$5:$L$300,"Закрыт")=0,"",ROUND(SUMIFS(Пул!$I$5:$I$300,Пул!$E$5:$E$300,$B17,Пул!$L$5:$L$300,"Закрыт"),8)))</f>
        <v/>
      </c>
      <c r="G17" s="240">
        <f>IF($B17="","",IF(COUNTIFS(Пул!$E$5:$E$300,$B17,Пул!$L$5:$L$300,"Закрыт")=0,"",ROUND(SUMIFS(Пул!$J$5:$J$300,Пул!$E$5:$E$300,$B17,Пул!$L$5:$L$300,"Закрыт"),8)))</f>
        <v/>
      </c>
      <c r="H17" s="241">
        <f>IF($B17="","",IF(COUNTIFS(Пул!$E$5:$E$300,$B17,Пул!$L$5:$L$300,"Закрыт")=0,"",ROUND(SUMIFS(Пул!$K$5:$K$300,Пул!$E$5:$E$300,$B17,Пул!$L$5:$L$300,"Закрыт"),8)))</f>
        <v/>
      </c>
      <c r="I17" s="236">
        <f>IF(AND(ISNUMBER(G17),ISNUMBER(H17)),IF(AND(G17&gt;0,H17&lt;0),"Buy",IF(AND(G17&lt;0,H17&gt;0),"Sell","")),"")</f>
        <v/>
      </c>
      <c r="J17" s="177">
        <f>IF(I17="Buy",G17,IF(I17="Sell",-G17,""))</f>
        <v/>
      </c>
      <c r="K17" s="177">
        <f>IF(AND(ISNUMBER(J17),ISNUMBER(L17),N(J17)&lt;&gt;0),ROUND(L17/J17,8),"")</f>
        <v/>
      </c>
      <c r="L17" s="177">
        <f>IF(I17="Buy",-H17,IF(I17="Sell",H17,""))</f>
        <v/>
      </c>
    </row>
    <row r="18" ht="22" customHeight="1">
      <c r="B18" s="320" t="n"/>
      <c r="C18" s="246">
        <f>IF($B18="","",IF(COUNTIFS(Пул!$E$5:$E$300,$B18,Пул!$F$5:$F$300,"&lt;&gt;")=0,"",ROUND(SUMIFS(Пул!$F$5:$F$300,Пул!$E$5:$E$300,$B18),8)))</f>
        <v/>
      </c>
      <c r="D18" s="247">
        <f>IF($B18="","",IF(COUNTIFS(Пул!$E$5:$E$300,$B18,Пул!$G$5:$G$300,"&lt;&gt;")=0,"",ROUND(SUMIFS(Пул!$G$5:$G$300,Пул!$E$5:$E$300,$B18),8)))</f>
        <v/>
      </c>
      <c r="E18" s="246">
        <f>IF($B18="","",IF(COUNTIFS(Пул!$E$5:$E$300,$B18,Пул!$L$5:$L$300,"Закрыт")=0,"",ROUND(SUMIFS(Пул!$H$5:$H$300,Пул!$E$5:$E$300,$B18,Пул!$L$5:$L$300,"Закрыт"),8)))</f>
        <v/>
      </c>
      <c r="F18" s="247">
        <f>IF($B18="","",IF(COUNTIFS(Пул!$E$5:$E$300,$B18,Пул!$L$5:$L$300,"Закрыт")=0,"",ROUND(SUMIFS(Пул!$I$5:$I$300,Пул!$E$5:$E$300,$B18,Пул!$L$5:$L$300,"Закрыт"),8)))</f>
        <v/>
      </c>
      <c r="G18" s="246">
        <f>IF($B18="","",IF(COUNTIFS(Пул!$E$5:$E$300,$B18,Пул!$L$5:$L$300,"Закрыт")=0,"",ROUND(SUMIFS(Пул!$J$5:$J$300,Пул!$E$5:$E$300,$B18,Пул!$L$5:$L$300,"Закрыт"),8)))</f>
        <v/>
      </c>
      <c r="H18" s="247">
        <f>IF($B18="","",IF(COUNTIFS(Пул!$E$5:$E$300,$B18,Пул!$L$5:$L$300,"Закрыт")=0,"",ROUND(SUMIFS(Пул!$K$5:$K$300,Пул!$E$5:$E$300,$B18,Пул!$L$5:$L$300,"Закрыт"),8)))</f>
        <v/>
      </c>
      <c r="I18" s="242">
        <f>IF(AND(ISNUMBER(G18),ISNUMBER(H18)),IF(AND(G18&gt;0,H18&lt;0),"Buy",IF(AND(G18&lt;0,H18&gt;0),"Sell","")),"")</f>
        <v/>
      </c>
      <c r="J18" s="183">
        <f>IF(I18="Buy",G18,IF(I18="Sell",-G18,""))</f>
        <v/>
      </c>
      <c r="K18" s="183">
        <f>IF(AND(ISNUMBER(J18),ISNUMBER(L18),N(J18)&lt;&gt;0),ROUND(L18/J18,8),"")</f>
        <v/>
      </c>
      <c r="L18" s="183">
        <f>IF(I18="Buy",-H18,IF(I18="Sell",H18,""))</f>
        <v/>
      </c>
    </row>
    <row r="19" ht="22" customHeight="1">
      <c r="B19" s="315" t="n"/>
      <c r="C19" s="240">
        <f>IF($B19="","",IF(COUNTIFS(Пул!$E$5:$E$300,$B19,Пул!$F$5:$F$300,"&lt;&gt;")=0,"",ROUND(SUMIFS(Пул!$F$5:$F$300,Пул!$E$5:$E$300,$B19),8)))</f>
        <v/>
      </c>
      <c r="D19" s="241">
        <f>IF($B19="","",IF(COUNTIFS(Пул!$E$5:$E$300,$B19,Пул!$G$5:$G$300,"&lt;&gt;")=0,"",ROUND(SUMIFS(Пул!$G$5:$G$300,Пул!$E$5:$E$300,$B19),8)))</f>
        <v/>
      </c>
      <c r="E19" s="240">
        <f>IF($B19="","",IF(COUNTIFS(Пул!$E$5:$E$300,$B19,Пул!$L$5:$L$300,"Закрыт")=0,"",ROUND(SUMIFS(Пул!$H$5:$H$300,Пул!$E$5:$E$300,$B19,Пул!$L$5:$L$300,"Закрыт"),8)))</f>
        <v/>
      </c>
      <c r="F19" s="241">
        <f>IF($B19="","",IF(COUNTIFS(Пул!$E$5:$E$300,$B19,Пул!$L$5:$L$300,"Закрыт")=0,"",ROUND(SUMIFS(Пул!$I$5:$I$300,Пул!$E$5:$E$300,$B19,Пул!$L$5:$L$300,"Закрыт"),8)))</f>
        <v/>
      </c>
      <c r="G19" s="240">
        <f>IF($B19="","",IF(COUNTIFS(Пул!$E$5:$E$300,$B19,Пул!$L$5:$L$300,"Закрыт")=0,"",ROUND(SUMIFS(Пул!$J$5:$J$300,Пул!$E$5:$E$300,$B19,Пул!$L$5:$L$300,"Закрыт"),8)))</f>
        <v/>
      </c>
      <c r="H19" s="241">
        <f>IF($B19="","",IF(COUNTIFS(Пул!$E$5:$E$300,$B19,Пул!$L$5:$L$300,"Закрыт")=0,"",ROUND(SUMIFS(Пул!$K$5:$K$300,Пул!$E$5:$E$300,$B19,Пул!$L$5:$L$300,"Закрыт"),8)))</f>
        <v/>
      </c>
      <c r="I19" s="236">
        <f>IF(AND(ISNUMBER(G19),ISNUMBER(H19)),IF(AND(G19&gt;0,H19&lt;0),"Buy",IF(AND(G19&lt;0,H19&gt;0),"Sell","")),"")</f>
        <v/>
      </c>
      <c r="J19" s="177">
        <f>IF(I19="Buy",G19,IF(I19="Sell",-G19,""))</f>
        <v/>
      </c>
      <c r="K19" s="177">
        <f>IF(AND(ISNUMBER(J19),ISNUMBER(L19),N(J19)&lt;&gt;0),ROUND(L19/J19,8),"")</f>
        <v/>
      </c>
      <c r="L19" s="177">
        <f>IF(I19="Buy",-H19,IF(I19="Sell",H19,""))</f>
        <v/>
      </c>
    </row>
    <row r="20" ht="22" customHeight="1">
      <c r="B20" s="320" t="n"/>
      <c r="C20" s="246">
        <f>IF($B20="","",IF(COUNTIFS(Пул!$E$5:$E$300,$B20,Пул!$F$5:$F$300,"&lt;&gt;")=0,"",ROUND(SUMIFS(Пул!$F$5:$F$300,Пул!$E$5:$E$300,$B20),8)))</f>
        <v/>
      </c>
      <c r="D20" s="247">
        <f>IF($B20="","",IF(COUNTIFS(Пул!$E$5:$E$300,$B20,Пул!$G$5:$G$300,"&lt;&gt;")=0,"",ROUND(SUMIFS(Пул!$G$5:$G$300,Пул!$E$5:$E$300,$B20),8)))</f>
        <v/>
      </c>
      <c r="E20" s="246">
        <f>IF($B20="","",IF(COUNTIFS(Пул!$E$5:$E$300,$B20,Пул!$L$5:$L$300,"Закрыт")=0,"",ROUND(SUMIFS(Пул!$H$5:$H$300,Пул!$E$5:$E$300,$B20,Пул!$L$5:$L$300,"Закрыт"),8)))</f>
        <v/>
      </c>
      <c r="F20" s="247">
        <f>IF($B20="","",IF(COUNTIFS(Пул!$E$5:$E$300,$B20,Пул!$L$5:$L$300,"Закрыт")=0,"",ROUND(SUMIFS(Пул!$I$5:$I$300,Пул!$E$5:$E$300,$B20,Пул!$L$5:$L$300,"Закрыт"),8)))</f>
        <v/>
      </c>
      <c r="G20" s="246">
        <f>IF($B20="","",IF(COUNTIFS(Пул!$E$5:$E$300,$B20,Пул!$L$5:$L$300,"Закрыт")=0,"",ROUND(SUMIFS(Пул!$J$5:$J$300,Пул!$E$5:$E$300,$B20,Пул!$L$5:$L$300,"Закрыт"),8)))</f>
        <v/>
      </c>
      <c r="H20" s="247">
        <f>IF($B20="","",IF(COUNTIFS(Пул!$E$5:$E$300,$B20,Пул!$L$5:$L$300,"Закрыт")=0,"",ROUND(SUMIFS(Пул!$K$5:$K$300,Пул!$E$5:$E$300,$B20,Пул!$L$5:$L$300,"Закрыт"),8)))</f>
        <v/>
      </c>
      <c r="I20" s="242">
        <f>IF(AND(ISNUMBER(G20),ISNUMBER(H20)),IF(AND(G20&gt;0,H20&lt;0),"Buy",IF(AND(G20&lt;0,H20&gt;0),"Sell","")),"")</f>
        <v/>
      </c>
      <c r="J20" s="183">
        <f>IF(I20="Buy",G20,IF(I20="Sell",-G20,""))</f>
        <v/>
      </c>
      <c r="K20" s="183">
        <f>IF(AND(ISNUMBER(J20),ISNUMBER(L20),N(J20)&lt;&gt;0),ROUND(L20/J20,8),"")</f>
        <v/>
      </c>
      <c r="L20" s="183">
        <f>IF(I20="Buy",-H20,IF(I20="Sell",H20,""))</f>
        <v/>
      </c>
    </row>
    <row r="21" ht="22" customHeight="1">
      <c r="B21" s="315" t="n"/>
      <c r="C21" s="240">
        <f>IF($B21="","",IF(COUNTIFS(Пул!$E$5:$E$300,$B21,Пул!$F$5:$F$300,"&lt;&gt;")=0,"",ROUND(SUMIFS(Пул!$F$5:$F$300,Пул!$E$5:$E$300,$B21),8)))</f>
        <v/>
      </c>
      <c r="D21" s="241">
        <f>IF($B21="","",IF(COUNTIFS(Пул!$E$5:$E$300,$B21,Пул!$G$5:$G$300,"&lt;&gt;")=0,"",ROUND(SUMIFS(Пул!$G$5:$G$300,Пул!$E$5:$E$300,$B21),8)))</f>
        <v/>
      </c>
      <c r="E21" s="240">
        <f>IF($B21="","",IF(COUNTIFS(Пул!$E$5:$E$300,$B21,Пул!$L$5:$L$300,"Закрыт")=0,"",ROUND(SUMIFS(Пул!$H$5:$H$300,Пул!$E$5:$E$300,$B21,Пул!$L$5:$L$300,"Закрыт"),8)))</f>
        <v/>
      </c>
      <c r="F21" s="241">
        <f>IF($B21="","",IF(COUNTIFS(Пул!$E$5:$E$300,$B21,Пул!$L$5:$L$300,"Закрыт")=0,"",ROUND(SUMIFS(Пул!$I$5:$I$300,Пул!$E$5:$E$300,$B21,Пул!$L$5:$L$300,"Закрыт"),8)))</f>
        <v/>
      </c>
      <c r="G21" s="240">
        <f>IF($B21="","",IF(COUNTIFS(Пул!$E$5:$E$300,$B21,Пул!$L$5:$L$300,"Закрыт")=0,"",ROUND(SUMIFS(Пул!$J$5:$J$300,Пул!$E$5:$E$300,$B21,Пул!$L$5:$L$300,"Закрыт"),8)))</f>
        <v/>
      </c>
      <c r="H21" s="241">
        <f>IF($B21="","",IF(COUNTIFS(Пул!$E$5:$E$300,$B21,Пул!$L$5:$L$300,"Закрыт")=0,"",ROUND(SUMIFS(Пул!$K$5:$K$300,Пул!$E$5:$E$300,$B21,Пул!$L$5:$L$300,"Закрыт"),8)))</f>
        <v/>
      </c>
      <c r="I21" s="236">
        <f>IF(AND(ISNUMBER(G21),ISNUMBER(H21)),IF(AND(G21&gt;0,H21&lt;0),"Buy",IF(AND(G21&lt;0,H21&gt;0),"Sell","")),"")</f>
        <v/>
      </c>
      <c r="J21" s="177">
        <f>IF(I21="Buy",G21,IF(I21="Sell",-G21,""))</f>
        <v/>
      </c>
      <c r="K21" s="177">
        <f>IF(AND(ISNUMBER(J21),ISNUMBER(L21),N(J21)&lt;&gt;0),ROUND(L21/J21,8),"")</f>
        <v/>
      </c>
      <c r="L21" s="177">
        <f>IF(I21="Buy",-H21,IF(I21="Sell",H21,""))</f>
        <v/>
      </c>
    </row>
    <row r="22" ht="22" customHeight="1">
      <c r="B22" s="320" t="n"/>
      <c r="C22" s="246">
        <f>IF($B22="","",IF(COUNTIFS(Пул!$E$5:$E$300,$B22,Пул!$F$5:$F$300,"&lt;&gt;")=0,"",ROUND(SUMIFS(Пул!$F$5:$F$300,Пул!$E$5:$E$300,$B22),8)))</f>
        <v/>
      </c>
      <c r="D22" s="247">
        <f>IF($B22="","",IF(COUNTIFS(Пул!$E$5:$E$300,$B22,Пул!$G$5:$G$300,"&lt;&gt;")=0,"",ROUND(SUMIFS(Пул!$G$5:$G$300,Пул!$E$5:$E$300,$B22),8)))</f>
        <v/>
      </c>
      <c r="E22" s="246">
        <f>IF($B22="","",IF(COUNTIFS(Пул!$E$5:$E$300,$B22,Пул!$L$5:$L$300,"Закрыт")=0,"",ROUND(SUMIFS(Пул!$H$5:$H$300,Пул!$E$5:$E$300,$B22,Пул!$L$5:$L$300,"Закрыт"),8)))</f>
        <v/>
      </c>
      <c r="F22" s="247">
        <f>IF($B22="","",IF(COUNTIFS(Пул!$E$5:$E$300,$B22,Пул!$L$5:$L$300,"Закрыт")=0,"",ROUND(SUMIFS(Пул!$I$5:$I$300,Пул!$E$5:$E$300,$B22,Пул!$L$5:$L$300,"Закрыт"),8)))</f>
        <v/>
      </c>
      <c r="G22" s="246">
        <f>IF($B22="","",IF(COUNTIFS(Пул!$E$5:$E$300,$B22,Пул!$L$5:$L$300,"Закрыт")=0,"",ROUND(SUMIFS(Пул!$J$5:$J$300,Пул!$E$5:$E$300,$B22,Пул!$L$5:$L$300,"Закрыт"),8)))</f>
        <v/>
      </c>
      <c r="H22" s="247">
        <f>IF($B22="","",IF(COUNTIFS(Пул!$E$5:$E$300,$B22,Пул!$L$5:$L$300,"Закрыт")=0,"",ROUND(SUMIFS(Пул!$K$5:$K$300,Пул!$E$5:$E$300,$B22,Пул!$L$5:$L$300,"Закрыт"),8)))</f>
        <v/>
      </c>
      <c r="I22" s="242">
        <f>IF(AND(ISNUMBER(G22),ISNUMBER(H22)),IF(AND(G22&gt;0,H22&lt;0),"Buy",IF(AND(G22&lt;0,H22&gt;0),"Sell","")),"")</f>
        <v/>
      </c>
      <c r="J22" s="183">
        <f>IF(I22="Buy",G22,IF(I22="Sell",-G22,""))</f>
        <v/>
      </c>
      <c r="K22" s="183">
        <f>IF(AND(ISNUMBER(J22),ISNUMBER(L22),N(J22)&lt;&gt;0),ROUND(L22/J22,8),"")</f>
        <v/>
      </c>
      <c r="L22" s="183">
        <f>IF(I22="Buy",-H22,IF(I22="Sell",H22,""))</f>
        <v/>
      </c>
    </row>
    <row r="23" ht="22" customHeight="1">
      <c r="B23" s="315" t="n"/>
      <c r="C23" s="240">
        <f>IF($B23="","",IF(COUNTIFS(Пул!$E$5:$E$300,$B23,Пул!$F$5:$F$300,"&lt;&gt;")=0,"",ROUND(SUMIFS(Пул!$F$5:$F$300,Пул!$E$5:$E$300,$B23),8)))</f>
        <v/>
      </c>
      <c r="D23" s="241">
        <f>IF($B23="","",IF(COUNTIFS(Пул!$E$5:$E$300,$B23,Пул!$G$5:$G$300,"&lt;&gt;")=0,"",ROUND(SUMIFS(Пул!$G$5:$G$300,Пул!$E$5:$E$300,$B23),8)))</f>
        <v/>
      </c>
      <c r="E23" s="240">
        <f>IF($B23="","",IF(COUNTIFS(Пул!$E$5:$E$300,$B23,Пул!$L$5:$L$300,"Закрыт")=0,"",ROUND(SUMIFS(Пул!$H$5:$H$300,Пул!$E$5:$E$300,$B23,Пул!$L$5:$L$300,"Закрыт"),8)))</f>
        <v/>
      </c>
      <c r="F23" s="241">
        <f>IF($B23="","",IF(COUNTIFS(Пул!$E$5:$E$300,$B23,Пул!$L$5:$L$300,"Закрыт")=0,"",ROUND(SUMIFS(Пул!$I$5:$I$300,Пул!$E$5:$E$300,$B23,Пул!$L$5:$L$300,"Закрыт"),8)))</f>
        <v/>
      </c>
      <c r="G23" s="240">
        <f>IF($B23="","",IF(COUNTIFS(Пул!$E$5:$E$300,$B23,Пул!$L$5:$L$300,"Закрыт")=0,"",ROUND(SUMIFS(Пул!$J$5:$J$300,Пул!$E$5:$E$300,$B23,Пул!$L$5:$L$300,"Закрыт"),8)))</f>
        <v/>
      </c>
      <c r="H23" s="241">
        <f>IF($B23="","",IF(COUNTIFS(Пул!$E$5:$E$300,$B23,Пул!$L$5:$L$300,"Закрыт")=0,"",ROUND(SUMIFS(Пул!$K$5:$K$300,Пул!$E$5:$E$300,$B23,Пул!$L$5:$L$300,"Закрыт"),8)))</f>
        <v/>
      </c>
      <c r="I23" s="236">
        <f>IF(AND(ISNUMBER(G23),ISNUMBER(H23)),IF(AND(G23&gt;0,H23&lt;0),"Buy",IF(AND(G23&lt;0,H23&gt;0),"Sell","")),"")</f>
        <v/>
      </c>
      <c r="J23" s="177">
        <f>IF(I23="Buy",G23,IF(I23="Sell",-G23,""))</f>
        <v/>
      </c>
      <c r="K23" s="177">
        <f>IF(AND(ISNUMBER(J23),ISNUMBER(L23),N(J23)&lt;&gt;0),ROUND(L23/J23,8),"")</f>
        <v/>
      </c>
      <c r="L23" s="177">
        <f>IF(I23="Buy",-H23,IF(I23="Sell",H23,""))</f>
        <v/>
      </c>
    </row>
    <row r="24" ht="22" customHeight="1">
      <c r="B24" s="320" t="n"/>
      <c r="C24" s="246">
        <f>IF($B24="","",IF(COUNTIFS(Пул!$E$5:$E$300,$B24,Пул!$F$5:$F$300,"&lt;&gt;")=0,"",ROUND(SUMIFS(Пул!$F$5:$F$300,Пул!$E$5:$E$300,$B24),8)))</f>
        <v/>
      </c>
      <c r="D24" s="247">
        <f>IF($B24="","",IF(COUNTIFS(Пул!$E$5:$E$300,$B24,Пул!$G$5:$G$300,"&lt;&gt;")=0,"",ROUND(SUMIFS(Пул!$G$5:$G$300,Пул!$E$5:$E$300,$B24),8)))</f>
        <v/>
      </c>
      <c r="E24" s="246">
        <f>IF($B24="","",IF(COUNTIFS(Пул!$E$5:$E$300,$B24,Пул!$L$5:$L$300,"Закрыт")=0,"",ROUND(SUMIFS(Пул!$H$5:$H$300,Пул!$E$5:$E$300,$B24,Пул!$L$5:$L$300,"Закрыт"),8)))</f>
        <v/>
      </c>
      <c r="F24" s="247">
        <f>IF($B24="","",IF(COUNTIFS(Пул!$E$5:$E$300,$B24,Пул!$L$5:$L$300,"Закрыт")=0,"",ROUND(SUMIFS(Пул!$I$5:$I$300,Пул!$E$5:$E$300,$B24,Пул!$L$5:$L$300,"Закрыт"),8)))</f>
        <v/>
      </c>
      <c r="G24" s="246">
        <f>IF($B24="","",IF(COUNTIFS(Пул!$E$5:$E$300,$B24,Пул!$L$5:$L$300,"Закрыт")=0,"",ROUND(SUMIFS(Пул!$J$5:$J$300,Пул!$E$5:$E$300,$B24,Пул!$L$5:$L$300,"Закрыт"),8)))</f>
        <v/>
      </c>
      <c r="H24" s="247">
        <f>IF($B24="","",IF(COUNTIFS(Пул!$E$5:$E$300,$B24,Пул!$L$5:$L$300,"Закрыт")=0,"",ROUND(SUMIFS(Пул!$K$5:$K$300,Пул!$E$5:$E$300,$B24,Пул!$L$5:$L$300,"Закрыт"),8)))</f>
        <v/>
      </c>
      <c r="I24" s="242">
        <f>IF(AND(ISNUMBER(G24),ISNUMBER(H24)),IF(AND(G24&gt;0,H24&lt;0),"Buy",IF(AND(G24&lt;0,H24&gt;0),"Sell","")),"")</f>
        <v/>
      </c>
      <c r="J24" s="183">
        <f>IF(I24="Buy",G24,IF(I24="Sell",-G24,""))</f>
        <v/>
      </c>
      <c r="K24" s="183">
        <f>IF(AND(ISNUMBER(J24),ISNUMBER(L24),N(J24)&lt;&gt;0),ROUND(L24/J24,8),"")</f>
        <v/>
      </c>
      <c r="L24" s="183">
        <f>IF(I24="Buy",-H24,IF(I24="Sell",H24,""))</f>
        <v/>
      </c>
    </row>
    <row r="25" ht="22" customHeight="1">
      <c r="B25" s="315" t="n"/>
      <c r="C25" s="240">
        <f>IF($B25="","",IF(COUNTIFS(Пул!$E$5:$E$300,$B25,Пул!$F$5:$F$300,"&lt;&gt;")=0,"",ROUND(SUMIFS(Пул!$F$5:$F$300,Пул!$E$5:$E$300,$B25),8)))</f>
        <v/>
      </c>
      <c r="D25" s="241">
        <f>IF($B25="","",IF(COUNTIFS(Пул!$E$5:$E$300,$B25,Пул!$G$5:$G$300,"&lt;&gt;")=0,"",ROUND(SUMIFS(Пул!$G$5:$G$300,Пул!$E$5:$E$300,$B25),8)))</f>
        <v/>
      </c>
      <c r="E25" s="240">
        <f>IF($B25="","",IF(COUNTIFS(Пул!$E$5:$E$300,$B25,Пул!$L$5:$L$300,"Закрыт")=0,"",ROUND(SUMIFS(Пул!$H$5:$H$300,Пул!$E$5:$E$300,$B25,Пул!$L$5:$L$300,"Закрыт"),8)))</f>
        <v/>
      </c>
      <c r="F25" s="241">
        <f>IF($B25="","",IF(COUNTIFS(Пул!$E$5:$E$300,$B25,Пул!$L$5:$L$300,"Закрыт")=0,"",ROUND(SUMIFS(Пул!$I$5:$I$300,Пул!$E$5:$E$300,$B25,Пул!$L$5:$L$300,"Закрыт"),8)))</f>
        <v/>
      </c>
      <c r="G25" s="240">
        <f>IF($B25="","",IF(COUNTIFS(Пул!$E$5:$E$300,$B25,Пул!$L$5:$L$300,"Закрыт")=0,"",ROUND(SUMIFS(Пул!$J$5:$J$300,Пул!$E$5:$E$300,$B25,Пул!$L$5:$L$300,"Закрыт"),8)))</f>
        <v/>
      </c>
      <c r="H25" s="241">
        <f>IF($B25="","",IF(COUNTIFS(Пул!$E$5:$E$300,$B25,Пул!$L$5:$L$300,"Закрыт")=0,"",ROUND(SUMIFS(Пул!$K$5:$K$300,Пул!$E$5:$E$300,$B25,Пул!$L$5:$L$300,"Закрыт"),8)))</f>
        <v/>
      </c>
      <c r="I25" s="236">
        <f>IF(AND(ISNUMBER(G25),ISNUMBER(H25)),IF(AND(G25&gt;0,H25&lt;0),"Buy",IF(AND(G25&lt;0,H25&gt;0),"Sell","")),"")</f>
        <v/>
      </c>
      <c r="J25" s="177">
        <f>IF(I25="Buy",G25,IF(I25="Sell",-G25,""))</f>
        <v/>
      </c>
      <c r="K25" s="177">
        <f>IF(AND(ISNUMBER(J25),ISNUMBER(L25),N(J25)&lt;&gt;0),ROUND(L25/J25,8),"")</f>
        <v/>
      </c>
      <c r="L25" s="177">
        <f>IF(I25="Buy",-H25,IF(I25="Sell",H25,""))</f>
        <v/>
      </c>
    </row>
    <row r="26" ht="22" customHeight="1">
      <c r="B26" s="320" t="n"/>
      <c r="C26" s="246">
        <f>IF($B26="","",IF(COUNTIFS(Пул!$E$5:$E$300,$B26,Пул!$F$5:$F$300,"&lt;&gt;")=0,"",ROUND(SUMIFS(Пул!$F$5:$F$300,Пул!$E$5:$E$300,$B26),8)))</f>
        <v/>
      </c>
      <c r="D26" s="247">
        <f>IF($B26="","",IF(COUNTIFS(Пул!$E$5:$E$300,$B26,Пул!$G$5:$G$300,"&lt;&gt;")=0,"",ROUND(SUMIFS(Пул!$G$5:$G$300,Пул!$E$5:$E$300,$B26),8)))</f>
        <v/>
      </c>
      <c r="E26" s="246">
        <f>IF($B26="","",IF(COUNTIFS(Пул!$E$5:$E$300,$B26,Пул!$L$5:$L$300,"Закрыт")=0,"",ROUND(SUMIFS(Пул!$H$5:$H$300,Пул!$E$5:$E$300,$B26,Пул!$L$5:$L$300,"Закрыт"),8)))</f>
        <v/>
      </c>
      <c r="F26" s="247">
        <f>IF($B26="","",IF(COUNTIFS(Пул!$E$5:$E$300,$B26,Пул!$L$5:$L$300,"Закрыт")=0,"",ROUND(SUMIFS(Пул!$I$5:$I$300,Пул!$E$5:$E$300,$B26,Пул!$L$5:$L$300,"Закрыт"),8)))</f>
        <v/>
      </c>
      <c r="G26" s="246">
        <f>IF($B26="","",IF(COUNTIFS(Пул!$E$5:$E$300,$B26,Пул!$L$5:$L$300,"Закрыт")=0,"",ROUND(SUMIFS(Пул!$J$5:$J$300,Пул!$E$5:$E$300,$B26,Пул!$L$5:$L$300,"Закрыт"),8)))</f>
        <v/>
      </c>
      <c r="H26" s="247">
        <f>IF($B26="","",IF(COUNTIFS(Пул!$E$5:$E$300,$B26,Пул!$L$5:$L$300,"Закрыт")=0,"",ROUND(SUMIFS(Пул!$K$5:$K$300,Пул!$E$5:$E$300,$B26,Пул!$L$5:$L$300,"Закрыт"),8)))</f>
        <v/>
      </c>
      <c r="I26" s="242">
        <f>IF(AND(ISNUMBER(G26),ISNUMBER(H26)),IF(AND(G26&gt;0,H26&lt;0),"Buy",IF(AND(G26&lt;0,H26&gt;0),"Sell","")),"")</f>
        <v/>
      </c>
      <c r="J26" s="183">
        <f>IF(I26="Buy",G26,IF(I26="Sell",-G26,""))</f>
        <v/>
      </c>
      <c r="K26" s="183">
        <f>IF(AND(ISNUMBER(J26),ISNUMBER(L26),N(J26)&lt;&gt;0),ROUND(L26/J26,8),"")</f>
        <v/>
      </c>
      <c r="L26" s="183">
        <f>IF(I26="Buy",-H26,IF(I26="Sell",H26,""))</f>
        <v/>
      </c>
    </row>
    <row r="27" ht="22" customHeight="1">
      <c r="B27" s="315" t="n"/>
      <c r="C27" s="240">
        <f>IF($B27="","",IF(COUNTIFS(Пул!$E$5:$E$300,$B27,Пул!$F$5:$F$300,"&lt;&gt;")=0,"",ROUND(SUMIFS(Пул!$F$5:$F$300,Пул!$E$5:$E$300,$B27),8)))</f>
        <v/>
      </c>
      <c r="D27" s="241">
        <f>IF($B27="","",IF(COUNTIFS(Пул!$E$5:$E$300,$B27,Пул!$G$5:$G$300,"&lt;&gt;")=0,"",ROUND(SUMIFS(Пул!$G$5:$G$300,Пул!$E$5:$E$300,$B27),8)))</f>
        <v/>
      </c>
      <c r="E27" s="240">
        <f>IF($B27="","",IF(COUNTIFS(Пул!$E$5:$E$300,$B27,Пул!$L$5:$L$300,"Закрыт")=0,"",ROUND(SUMIFS(Пул!$H$5:$H$300,Пул!$E$5:$E$300,$B27,Пул!$L$5:$L$300,"Закрыт"),8)))</f>
        <v/>
      </c>
      <c r="F27" s="241">
        <f>IF($B27="","",IF(COUNTIFS(Пул!$E$5:$E$300,$B27,Пул!$L$5:$L$300,"Закрыт")=0,"",ROUND(SUMIFS(Пул!$I$5:$I$300,Пул!$E$5:$E$300,$B27,Пул!$L$5:$L$300,"Закрыт"),8)))</f>
        <v/>
      </c>
      <c r="G27" s="240">
        <f>IF($B27="","",IF(COUNTIFS(Пул!$E$5:$E$300,$B27,Пул!$L$5:$L$300,"Закрыт")=0,"",ROUND(SUMIFS(Пул!$J$5:$J$300,Пул!$E$5:$E$300,$B27,Пул!$L$5:$L$300,"Закрыт"),8)))</f>
        <v/>
      </c>
      <c r="H27" s="241">
        <f>IF($B27="","",IF(COUNTIFS(Пул!$E$5:$E$300,$B27,Пул!$L$5:$L$300,"Закрыт")=0,"",ROUND(SUMIFS(Пул!$K$5:$K$300,Пул!$E$5:$E$300,$B27,Пул!$L$5:$L$300,"Закрыт"),8)))</f>
        <v/>
      </c>
      <c r="I27" s="236">
        <f>IF(AND(ISNUMBER(G27),ISNUMBER(H27)),IF(AND(G27&gt;0,H27&lt;0),"Buy",IF(AND(G27&lt;0,H27&gt;0),"Sell","")),"")</f>
        <v/>
      </c>
      <c r="J27" s="177">
        <f>IF(I27="Buy",G27,IF(I27="Sell",-G27,""))</f>
        <v/>
      </c>
      <c r="K27" s="177">
        <f>IF(AND(ISNUMBER(J27),ISNUMBER(L27),N(J27)&lt;&gt;0),ROUND(L27/J27,8),"")</f>
        <v/>
      </c>
      <c r="L27" s="177">
        <f>IF(I27="Buy",-H27,IF(I27="Sell",H27,""))</f>
        <v/>
      </c>
    </row>
    <row r="28" ht="22" customHeight="1">
      <c r="B28" s="320" t="n"/>
      <c r="C28" s="246">
        <f>IF($B28="","",IF(COUNTIFS(Пул!$E$5:$E$300,$B28,Пул!$F$5:$F$300,"&lt;&gt;")=0,"",ROUND(SUMIFS(Пул!$F$5:$F$300,Пул!$E$5:$E$300,$B28),8)))</f>
        <v/>
      </c>
      <c r="D28" s="247">
        <f>IF($B28="","",IF(COUNTIFS(Пул!$E$5:$E$300,$B28,Пул!$G$5:$G$300,"&lt;&gt;")=0,"",ROUND(SUMIFS(Пул!$G$5:$G$300,Пул!$E$5:$E$300,$B28),8)))</f>
        <v/>
      </c>
      <c r="E28" s="246">
        <f>IF($B28="","",IF(COUNTIFS(Пул!$E$5:$E$300,$B28,Пул!$L$5:$L$300,"Закрыт")=0,"",ROUND(SUMIFS(Пул!$H$5:$H$300,Пул!$E$5:$E$300,$B28,Пул!$L$5:$L$300,"Закрыт"),8)))</f>
        <v/>
      </c>
      <c r="F28" s="247">
        <f>IF($B28="","",IF(COUNTIFS(Пул!$E$5:$E$300,$B28,Пул!$L$5:$L$300,"Закрыт")=0,"",ROUND(SUMIFS(Пул!$I$5:$I$300,Пул!$E$5:$E$300,$B28,Пул!$L$5:$L$300,"Закрыт"),8)))</f>
        <v/>
      </c>
      <c r="G28" s="246">
        <f>IF($B28="","",IF(COUNTIFS(Пул!$E$5:$E$300,$B28,Пул!$L$5:$L$300,"Закрыт")=0,"",ROUND(SUMIFS(Пул!$J$5:$J$300,Пул!$E$5:$E$300,$B28,Пул!$L$5:$L$300,"Закрыт"),8)))</f>
        <v/>
      </c>
      <c r="H28" s="247">
        <f>IF($B28="","",IF(COUNTIFS(Пул!$E$5:$E$300,$B28,Пул!$L$5:$L$300,"Закрыт")=0,"",ROUND(SUMIFS(Пул!$K$5:$K$300,Пул!$E$5:$E$300,$B28,Пул!$L$5:$L$300,"Закрыт"),8)))</f>
        <v/>
      </c>
      <c r="I28" s="242">
        <f>IF(AND(ISNUMBER(G28),ISNUMBER(H28)),IF(AND(G28&gt;0,H28&lt;0),"Buy",IF(AND(G28&lt;0,H28&gt;0),"Sell","")),"")</f>
        <v/>
      </c>
      <c r="J28" s="183">
        <f>IF(I28="Buy",G28,IF(I28="Sell",-G28,""))</f>
        <v/>
      </c>
      <c r="K28" s="183">
        <f>IF(AND(ISNUMBER(J28),ISNUMBER(L28),N(J28)&lt;&gt;0),ROUND(L28/J28,8),"")</f>
        <v/>
      </c>
      <c r="L28" s="183">
        <f>IF(I28="Buy",-H28,IF(I28="Sell",H28,""))</f>
        <v/>
      </c>
    </row>
    <row r="29" ht="22" customHeight="1">
      <c r="B29" s="315" t="n"/>
      <c r="C29" s="240">
        <f>IF($B29="","",IF(COUNTIFS(Пул!$E$5:$E$300,$B29,Пул!$F$5:$F$300,"&lt;&gt;")=0,"",ROUND(SUMIFS(Пул!$F$5:$F$300,Пул!$E$5:$E$300,$B29),8)))</f>
        <v/>
      </c>
      <c r="D29" s="241">
        <f>IF($B29="","",IF(COUNTIFS(Пул!$E$5:$E$300,$B29,Пул!$G$5:$G$300,"&lt;&gt;")=0,"",ROUND(SUMIFS(Пул!$G$5:$G$300,Пул!$E$5:$E$300,$B29),8)))</f>
        <v/>
      </c>
      <c r="E29" s="240">
        <f>IF($B29="","",IF(COUNTIFS(Пул!$E$5:$E$300,$B29,Пул!$L$5:$L$300,"Закрыт")=0,"",ROUND(SUMIFS(Пул!$H$5:$H$300,Пул!$E$5:$E$300,$B29,Пул!$L$5:$L$300,"Закрыт"),8)))</f>
        <v/>
      </c>
      <c r="F29" s="241">
        <f>IF($B29="","",IF(COUNTIFS(Пул!$E$5:$E$300,$B29,Пул!$L$5:$L$300,"Закрыт")=0,"",ROUND(SUMIFS(Пул!$I$5:$I$300,Пул!$E$5:$E$300,$B29,Пул!$L$5:$L$300,"Закрыт"),8)))</f>
        <v/>
      </c>
      <c r="G29" s="240">
        <f>IF($B29="","",IF(COUNTIFS(Пул!$E$5:$E$300,$B29,Пул!$L$5:$L$300,"Закрыт")=0,"",ROUND(SUMIFS(Пул!$J$5:$J$300,Пул!$E$5:$E$300,$B29,Пул!$L$5:$L$300,"Закрыт"),8)))</f>
        <v/>
      </c>
      <c r="H29" s="241">
        <f>IF($B29="","",IF(COUNTIFS(Пул!$E$5:$E$300,$B29,Пул!$L$5:$L$300,"Закрыт")=0,"",ROUND(SUMIFS(Пул!$K$5:$K$300,Пул!$E$5:$E$300,$B29,Пул!$L$5:$L$300,"Закрыт"),8)))</f>
        <v/>
      </c>
      <c r="I29" s="236">
        <f>IF(AND(ISNUMBER(G29),ISNUMBER(H29)),IF(AND(G29&gt;0,H29&lt;0),"Buy",IF(AND(G29&lt;0,H29&gt;0),"Sell","")),"")</f>
        <v/>
      </c>
      <c r="J29" s="177">
        <f>IF(I29="Buy",G29,IF(I29="Sell",-G29,""))</f>
        <v/>
      </c>
      <c r="K29" s="177">
        <f>IF(AND(ISNUMBER(J29),ISNUMBER(L29),N(J29)&lt;&gt;0),ROUND(L29/J29,8),"")</f>
        <v/>
      </c>
      <c r="L29" s="177">
        <f>IF(I29="Buy",-H29,IF(I29="Sell",H29,""))</f>
        <v/>
      </c>
    </row>
    <row r="30" ht="22" customHeight="1">
      <c r="B30" s="320" t="n"/>
      <c r="C30" s="246">
        <f>IF($B30="","",IF(COUNTIFS(Пул!$E$5:$E$300,$B30,Пул!$F$5:$F$300,"&lt;&gt;")=0,"",ROUND(SUMIFS(Пул!$F$5:$F$300,Пул!$E$5:$E$300,$B30),8)))</f>
        <v/>
      </c>
      <c r="D30" s="247">
        <f>IF($B30="","",IF(COUNTIFS(Пул!$E$5:$E$300,$B30,Пул!$G$5:$G$300,"&lt;&gt;")=0,"",ROUND(SUMIFS(Пул!$G$5:$G$300,Пул!$E$5:$E$300,$B30),8)))</f>
        <v/>
      </c>
      <c r="E30" s="246">
        <f>IF($B30="","",IF(COUNTIFS(Пул!$E$5:$E$300,$B30,Пул!$L$5:$L$300,"Закрыт")=0,"",ROUND(SUMIFS(Пул!$H$5:$H$300,Пул!$E$5:$E$300,$B30,Пул!$L$5:$L$300,"Закрыт"),8)))</f>
        <v/>
      </c>
      <c r="F30" s="247">
        <f>IF($B30="","",IF(COUNTIFS(Пул!$E$5:$E$300,$B30,Пул!$L$5:$L$300,"Закрыт")=0,"",ROUND(SUMIFS(Пул!$I$5:$I$300,Пул!$E$5:$E$300,$B30,Пул!$L$5:$L$300,"Закрыт"),8)))</f>
        <v/>
      </c>
      <c r="G30" s="246">
        <f>IF($B30="","",IF(COUNTIFS(Пул!$E$5:$E$300,$B30,Пул!$L$5:$L$300,"Закрыт")=0,"",ROUND(SUMIFS(Пул!$J$5:$J$300,Пул!$E$5:$E$300,$B30,Пул!$L$5:$L$300,"Закрыт"),8)))</f>
        <v/>
      </c>
      <c r="H30" s="247">
        <f>IF($B30="","",IF(COUNTIFS(Пул!$E$5:$E$300,$B30,Пул!$L$5:$L$300,"Закрыт")=0,"",ROUND(SUMIFS(Пул!$K$5:$K$300,Пул!$E$5:$E$300,$B30,Пул!$L$5:$L$300,"Закрыт"),8)))</f>
        <v/>
      </c>
      <c r="I30" s="242">
        <f>IF(AND(ISNUMBER(G30),ISNUMBER(H30)),IF(AND(G30&gt;0,H30&lt;0),"Buy",IF(AND(G30&lt;0,H30&gt;0),"Sell","")),"")</f>
        <v/>
      </c>
      <c r="J30" s="183">
        <f>IF(I30="Buy",G30,IF(I30="Sell",-G30,""))</f>
        <v/>
      </c>
      <c r="K30" s="183">
        <f>IF(AND(ISNUMBER(J30),ISNUMBER(L30),N(J30)&lt;&gt;0),ROUND(L30/J30,8),"")</f>
        <v/>
      </c>
      <c r="L30" s="183">
        <f>IF(I30="Buy",-H30,IF(I30="Sell",H30,""))</f>
        <v/>
      </c>
    </row>
    <row r="31" ht="22" customHeight="1">
      <c r="B31" s="315" t="n"/>
      <c r="C31" s="240">
        <f>IF($B31="","",IF(COUNTIFS(Пул!$E$5:$E$300,$B31,Пул!$F$5:$F$300,"&lt;&gt;")=0,"",ROUND(SUMIFS(Пул!$F$5:$F$300,Пул!$E$5:$E$300,$B31),8)))</f>
        <v/>
      </c>
      <c r="D31" s="241">
        <f>IF($B31="","",IF(COUNTIFS(Пул!$E$5:$E$300,$B31,Пул!$G$5:$G$300,"&lt;&gt;")=0,"",ROUND(SUMIFS(Пул!$G$5:$G$300,Пул!$E$5:$E$300,$B31),8)))</f>
        <v/>
      </c>
      <c r="E31" s="240">
        <f>IF($B31="","",IF(COUNTIFS(Пул!$E$5:$E$300,$B31,Пул!$L$5:$L$300,"Закрыт")=0,"",ROUND(SUMIFS(Пул!$H$5:$H$300,Пул!$E$5:$E$300,$B31,Пул!$L$5:$L$300,"Закрыт"),8)))</f>
        <v/>
      </c>
      <c r="F31" s="241">
        <f>IF($B31="","",IF(COUNTIFS(Пул!$E$5:$E$300,$B31,Пул!$L$5:$L$300,"Закрыт")=0,"",ROUND(SUMIFS(Пул!$I$5:$I$300,Пул!$E$5:$E$300,$B31,Пул!$L$5:$L$300,"Закрыт"),8)))</f>
        <v/>
      </c>
      <c r="G31" s="240">
        <f>IF($B31="","",IF(COUNTIFS(Пул!$E$5:$E$300,$B31,Пул!$L$5:$L$300,"Закрыт")=0,"",ROUND(SUMIFS(Пул!$J$5:$J$300,Пул!$E$5:$E$300,$B31,Пул!$L$5:$L$300,"Закрыт"),8)))</f>
        <v/>
      </c>
      <c r="H31" s="241">
        <f>IF($B31="","",IF(COUNTIFS(Пул!$E$5:$E$300,$B31,Пул!$L$5:$L$300,"Закрыт")=0,"",ROUND(SUMIFS(Пул!$K$5:$K$300,Пул!$E$5:$E$300,$B31,Пул!$L$5:$L$300,"Закрыт"),8)))</f>
        <v/>
      </c>
      <c r="I31" s="236">
        <f>IF(AND(ISNUMBER(G31),ISNUMBER(H31)),IF(AND(G31&gt;0,H31&lt;0),"Buy",IF(AND(G31&lt;0,H31&gt;0),"Sell","")),"")</f>
        <v/>
      </c>
      <c r="J31" s="177">
        <f>IF(I31="Buy",G31,IF(I31="Sell",-G31,""))</f>
        <v/>
      </c>
      <c r="K31" s="177">
        <f>IF(AND(ISNUMBER(J31),ISNUMBER(L31),N(J31)&lt;&gt;0),ROUND(L31/J31,8),"")</f>
        <v/>
      </c>
      <c r="L31" s="177">
        <f>IF(I31="Buy",-H31,IF(I31="Sell",H31,""))</f>
        <v/>
      </c>
    </row>
    <row r="32" ht="22" customHeight="1">
      <c r="B32" s="320" t="n"/>
      <c r="C32" s="246">
        <f>IF($B32="","",IF(COUNTIFS(Пул!$E$5:$E$300,$B32,Пул!$F$5:$F$300,"&lt;&gt;")=0,"",ROUND(SUMIFS(Пул!$F$5:$F$300,Пул!$E$5:$E$300,$B32),8)))</f>
        <v/>
      </c>
      <c r="D32" s="247">
        <f>IF($B32="","",IF(COUNTIFS(Пул!$E$5:$E$300,$B32,Пул!$G$5:$G$300,"&lt;&gt;")=0,"",ROUND(SUMIFS(Пул!$G$5:$G$300,Пул!$E$5:$E$300,$B32),8)))</f>
        <v/>
      </c>
      <c r="E32" s="246">
        <f>IF($B32="","",IF(COUNTIFS(Пул!$E$5:$E$300,$B32,Пул!$L$5:$L$300,"Закрыт")=0,"",ROUND(SUMIFS(Пул!$H$5:$H$300,Пул!$E$5:$E$300,$B32,Пул!$L$5:$L$300,"Закрыт"),8)))</f>
        <v/>
      </c>
      <c r="F32" s="247">
        <f>IF($B32="","",IF(COUNTIFS(Пул!$E$5:$E$300,$B32,Пул!$L$5:$L$300,"Закрыт")=0,"",ROUND(SUMIFS(Пул!$I$5:$I$300,Пул!$E$5:$E$300,$B32,Пул!$L$5:$L$300,"Закрыт"),8)))</f>
        <v/>
      </c>
      <c r="G32" s="246">
        <f>IF($B32="","",IF(COUNTIFS(Пул!$E$5:$E$300,$B32,Пул!$L$5:$L$300,"Закрыт")=0,"",ROUND(SUMIFS(Пул!$J$5:$J$300,Пул!$E$5:$E$300,$B32,Пул!$L$5:$L$300,"Закрыт"),8)))</f>
        <v/>
      </c>
      <c r="H32" s="247">
        <f>IF($B32="","",IF(COUNTIFS(Пул!$E$5:$E$300,$B32,Пул!$L$5:$L$300,"Закрыт")=0,"",ROUND(SUMIFS(Пул!$K$5:$K$300,Пул!$E$5:$E$300,$B32,Пул!$L$5:$L$300,"Закрыт"),8)))</f>
        <v/>
      </c>
      <c r="I32" s="242">
        <f>IF(AND(ISNUMBER(G32),ISNUMBER(H32)),IF(AND(G32&gt;0,H32&lt;0),"Buy",IF(AND(G32&lt;0,H32&gt;0),"Sell","")),"")</f>
        <v/>
      </c>
      <c r="J32" s="183">
        <f>IF(I32="Buy",G32,IF(I32="Sell",-G32,""))</f>
        <v/>
      </c>
      <c r="K32" s="183">
        <f>IF(AND(ISNUMBER(J32),ISNUMBER(L32),N(J32)&lt;&gt;0),ROUND(L32/J32,8),"")</f>
        <v/>
      </c>
      <c r="L32" s="183">
        <f>IF(I32="Buy",-H32,IF(I32="Sell",H32,""))</f>
        <v/>
      </c>
    </row>
    <row r="33" ht="22" customHeight="1">
      <c r="B33" s="315" t="n"/>
      <c r="C33" s="240">
        <f>IF($B33="","",IF(COUNTIFS(Пул!$E$5:$E$300,$B33,Пул!$F$5:$F$300,"&lt;&gt;")=0,"",ROUND(SUMIFS(Пул!$F$5:$F$300,Пул!$E$5:$E$300,$B33),8)))</f>
        <v/>
      </c>
      <c r="D33" s="241">
        <f>IF($B33="","",IF(COUNTIFS(Пул!$E$5:$E$300,$B33,Пул!$G$5:$G$300,"&lt;&gt;")=0,"",ROUND(SUMIFS(Пул!$G$5:$G$300,Пул!$E$5:$E$300,$B33),8)))</f>
        <v/>
      </c>
      <c r="E33" s="240">
        <f>IF($B33="","",IF(COUNTIFS(Пул!$E$5:$E$300,$B33,Пул!$L$5:$L$300,"Закрыт")=0,"",ROUND(SUMIFS(Пул!$H$5:$H$300,Пул!$E$5:$E$300,$B33,Пул!$L$5:$L$300,"Закрыт"),8)))</f>
        <v/>
      </c>
      <c r="F33" s="241">
        <f>IF($B33="","",IF(COUNTIFS(Пул!$E$5:$E$300,$B33,Пул!$L$5:$L$300,"Закрыт")=0,"",ROUND(SUMIFS(Пул!$I$5:$I$300,Пул!$E$5:$E$300,$B33,Пул!$L$5:$L$300,"Закрыт"),8)))</f>
        <v/>
      </c>
      <c r="G33" s="240">
        <f>IF($B33="","",IF(COUNTIFS(Пул!$E$5:$E$300,$B33,Пул!$L$5:$L$300,"Закрыт")=0,"",ROUND(SUMIFS(Пул!$J$5:$J$300,Пул!$E$5:$E$300,$B33,Пул!$L$5:$L$300,"Закрыт"),8)))</f>
        <v/>
      </c>
      <c r="H33" s="241">
        <f>IF($B33="","",IF(COUNTIFS(Пул!$E$5:$E$300,$B33,Пул!$L$5:$L$300,"Закрыт")=0,"",ROUND(SUMIFS(Пул!$K$5:$K$300,Пул!$E$5:$E$300,$B33,Пул!$L$5:$L$300,"Закрыт"),8)))</f>
        <v/>
      </c>
      <c r="I33" s="236">
        <f>IF(AND(ISNUMBER(G33),ISNUMBER(H33)),IF(AND(G33&gt;0,H33&lt;0),"Buy",IF(AND(G33&lt;0,H33&gt;0),"Sell","")),"")</f>
        <v/>
      </c>
      <c r="J33" s="177">
        <f>IF(I33="Buy",G33,IF(I33="Sell",-G33,""))</f>
        <v/>
      </c>
      <c r="K33" s="177">
        <f>IF(AND(ISNUMBER(J33),ISNUMBER(L33),N(J33)&lt;&gt;0),ROUND(L33/J33,8),"")</f>
        <v/>
      </c>
      <c r="L33" s="177">
        <f>IF(I33="Buy",-H33,IF(I33="Sell",H33,""))</f>
        <v/>
      </c>
    </row>
    <row r="34" ht="22" customHeight="1">
      <c r="B34" s="320" t="n"/>
      <c r="C34" s="246">
        <f>IF($B34="","",IF(COUNTIFS(Пул!$E$5:$E$300,$B34,Пул!$F$5:$F$300,"&lt;&gt;")=0,"",ROUND(SUMIFS(Пул!$F$5:$F$300,Пул!$E$5:$E$300,$B34),8)))</f>
        <v/>
      </c>
      <c r="D34" s="247">
        <f>IF($B34="","",IF(COUNTIFS(Пул!$E$5:$E$300,$B34,Пул!$G$5:$G$300,"&lt;&gt;")=0,"",ROUND(SUMIFS(Пул!$G$5:$G$300,Пул!$E$5:$E$300,$B34),8)))</f>
        <v/>
      </c>
      <c r="E34" s="246">
        <f>IF($B34="","",IF(COUNTIFS(Пул!$E$5:$E$300,$B34,Пул!$L$5:$L$300,"Закрыт")=0,"",ROUND(SUMIFS(Пул!$H$5:$H$300,Пул!$E$5:$E$300,$B34,Пул!$L$5:$L$300,"Закрыт"),8)))</f>
        <v/>
      </c>
      <c r="F34" s="247">
        <f>IF($B34="","",IF(COUNTIFS(Пул!$E$5:$E$300,$B34,Пул!$L$5:$L$300,"Закрыт")=0,"",ROUND(SUMIFS(Пул!$I$5:$I$300,Пул!$E$5:$E$300,$B34,Пул!$L$5:$L$300,"Закрыт"),8)))</f>
        <v/>
      </c>
      <c r="G34" s="246">
        <f>IF($B34="","",IF(COUNTIFS(Пул!$E$5:$E$300,$B34,Пул!$L$5:$L$300,"Закрыт")=0,"",ROUND(SUMIFS(Пул!$J$5:$J$300,Пул!$E$5:$E$300,$B34,Пул!$L$5:$L$300,"Закрыт"),8)))</f>
        <v/>
      </c>
      <c r="H34" s="247">
        <f>IF($B34="","",IF(COUNTIFS(Пул!$E$5:$E$300,$B34,Пул!$L$5:$L$300,"Закрыт")=0,"",ROUND(SUMIFS(Пул!$K$5:$K$300,Пул!$E$5:$E$300,$B34,Пул!$L$5:$L$300,"Закрыт"),8)))</f>
        <v/>
      </c>
      <c r="I34" s="242">
        <f>IF(AND(ISNUMBER(G34),ISNUMBER(H34)),IF(AND(G34&gt;0,H34&lt;0),"Buy",IF(AND(G34&lt;0,H34&gt;0),"Sell","")),"")</f>
        <v/>
      </c>
      <c r="J34" s="183">
        <f>IF(I34="Buy",G34,IF(I34="Sell",-G34,""))</f>
        <v/>
      </c>
      <c r="K34" s="183">
        <f>IF(AND(ISNUMBER(J34),ISNUMBER(L34),N(J34)&lt;&gt;0),ROUND(L34/J34,8),"")</f>
        <v/>
      </c>
      <c r="L34" s="183">
        <f>IF(I34="Buy",-H34,IF(I34="Sell",H34,""))</f>
        <v/>
      </c>
    </row>
    <row r="35" ht="22" customHeight="1">
      <c r="B35" s="315" t="n"/>
      <c r="C35" s="240">
        <f>IF($B35="","",IF(COUNTIFS(Пул!$E$5:$E$300,$B35,Пул!$F$5:$F$300,"&lt;&gt;")=0,"",ROUND(SUMIFS(Пул!$F$5:$F$300,Пул!$E$5:$E$300,$B35),8)))</f>
        <v/>
      </c>
      <c r="D35" s="241">
        <f>IF($B35="","",IF(COUNTIFS(Пул!$E$5:$E$300,$B35,Пул!$G$5:$G$300,"&lt;&gt;")=0,"",ROUND(SUMIFS(Пул!$G$5:$G$300,Пул!$E$5:$E$300,$B35),8)))</f>
        <v/>
      </c>
      <c r="E35" s="240">
        <f>IF($B35="","",IF(COUNTIFS(Пул!$E$5:$E$300,$B35,Пул!$L$5:$L$300,"Закрыт")=0,"",ROUND(SUMIFS(Пул!$H$5:$H$300,Пул!$E$5:$E$300,$B35,Пул!$L$5:$L$300,"Закрыт"),8)))</f>
        <v/>
      </c>
      <c r="F35" s="241">
        <f>IF($B35="","",IF(COUNTIFS(Пул!$E$5:$E$300,$B35,Пул!$L$5:$L$300,"Закрыт")=0,"",ROUND(SUMIFS(Пул!$I$5:$I$300,Пул!$E$5:$E$300,$B35,Пул!$L$5:$L$300,"Закрыт"),8)))</f>
        <v/>
      </c>
      <c r="G35" s="240">
        <f>IF($B35="","",IF(COUNTIFS(Пул!$E$5:$E$300,$B35,Пул!$L$5:$L$300,"Закрыт")=0,"",ROUND(SUMIFS(Пул!$J$5:$J$300,Пул!$E$5:$E$300,$B35,Пул!$L$5:$L$300,"Закрыт"),8)))</f>
        <v/>
      </c>
      <c r="H35" s="241">
        <f>IF($B35="","",IF(COUNTIFS(Пул!$E$5:$E$300,$B35,Пул!$L$5:$L$300,"Закрыт")=0,"",ROUND(SUMIFS(Пул!$K$5:$K$300,Пул!$E$5:$E$300,$B35,Пул!$L$5:$L$300,"Закрыт"),8)))</f>
        <v/>
      </c>
      <c r="I35" s="236">
        <f>IF(AND(ISNUMBER(G35),ISNUMBER(H35)),IF(AND(G35&gt;0,H35&lt;0),"Buy",IF(AND(G35&lt;0,H35&gt;0),"Sell","")),"")</f>
        <v/>
      </c>
      <c r="J35" s="177">
        <f>IF(I35="Buy",G35,IF(I35="Sell",-G35,""))</f>
        <v/>
      </c>
      <c r="K35" s="177">
        <f>IF(AND(ISNUMBER(J35),ISNUMBER(L35),N(J35)&lt;&gt;0),ROUND(L35/J35,8),"")</f>
        <v/>
      </c>
      <c r="L35" s="177">
        <f>IF(I35="Buy",-H35,IF(I35="Sell",H35,""))</f>
        <v/>
      </c>
    </row>
    <row r="36" ht="22" customHeight="1">
      <c r="B36" s="320" t="n"/>
      <c r="C36" s="246">
        <f>IF($B36="","",IF(COUNTIFS(Пул!$E$5:$E$300,$B36,Пул!$F$5:$F$300,"&lt;&gt;")=0,"",ROUND(SUMIFS(Пул!$F$5:$F$300,Пул!$E$5:$E$300,$B36),8)))</f>
        <v/>
      </c>
      <c r="D36" s="247">
        <f>IF($B36="","",IF(COUNTIFS(Пул!$E$5:$E$300,$B36,Пул!$G$5:$G$300,"&lt;&gt;")=0,"",ROUND(SUMIFS(Пул!$G$5:$G$300,Пул!$E$5:$E$300,$B36),8)))</f>
        <v/>
      </c>
      <c r="E36" s="246">
        <f>IF($B36="","",IF(COUNTIFS(Пул!$E$5:$E$300,$B36,Пул!$L$5:$L$300,"Закрыт")=0,"",ROUND(SUMIFS(Пул!$H$5:$H$300,Пул!$E$5:$E$300,$B36,Пул!$L$5:$L$300,"Закрыт"),8)))</f>
        <v/>
      </c>
      <c r="F36" s="247">
        <f>IF($B36="","",IF(COUNTIFS(Пул!$E$5:$E$300,$B36,Пул!$L$5:$L$300,"Закрыт")=0,"",ROUND(SUMIFS(Пул!$I$5:$I$300,Пул!$E$5:$E$300,$B36,Пул!$L$5:$L$300,"Закрыт"),8)))</f>
        <v/>
      </c>
      <c r="G36" s="246">
        <f>IF($B36="","",IF(COUNTIFS(Пул!$E$5:$E$300,$B36,Пул!$L$5:$L$300,"Закрыт")=0,"",ROUND(SUMIFS(Пул!$J$5:$J$300,Пул!$E$5:$E$300,$B36,Пул!$L$5:$L$300,"Закрыт"),8)))</f>
        <v/>
      </c>
      <c r="H36" s="247">
        <f>IF($B36="","",IF(COUNTIFS(Пул!$E$5:$E$300,$B36,Пул!$L$5:$L$300,"Закрыт")=0,"",ROUND(SUMIFS(Пул!$K$5:$K$300,Пул!$E$5:$E$300,$B36,Пул!$L$5:$L$300,"Закрыт"),8)))</f>
        <v/>
      </c>
      <c r="I36" s="242">
        <f>IF(AND(ISNUMBER(G36),ISNUMBER(H36)),IF(AND(G36&gt;0,H36&lt;0),"Buy",IF(AND(G36&lt;0,H36&gt;0),"Sell","")),"")</f>
        <v/>
      </c>
      <c r="J36" s="183">
        <f>IF(I36="Buy",G36,IF(I36="Sell",-G36,""))</f>
        <v/>
      </c>
      <c r="K36" s="183">
        <f>IF(AND(ISNUMBER(J36),ISNUMBER(L36),N(J36)&lt;&gt;0),ROUND(L36/J36,8),"")</f>
        <v/>
      </c>
      <c r="L36" s="183">
        <f>IF(I36="Buy",-H36,IF(I36="Sell",H36,""))</f>
        <v/>
      </c>
    </row>
    <row r="37" ht="22" customHeight="1">
      <c r="B37" s="315" t="n"/>
      <c r="C37" s="240">
        <f>IF($B37="","",IF(COUNTIFS(Пул!$E$5:$E$300,$B37,Пул!$F$5:$F$300,"&lt;&gt;")=0,"",ROUND(SUMIFS(Пул!$F$5:$F$300,Пул!$E$5:$E$300,$B37),8)))</f>
        <v/>
      </c>
      <c r="D37" s="241">
        <f>IF($B37="","",IF(COUNTIFS(Пул!$E$5:$E$300,$B37,Пул!$G$5:$G$300,"&lt;&gt;")=0,"",ROUND(SUMIFS(Пул!$G$5:$G$300,Пул!$E$5:$E$300,$B37),8)))</f>
        <v/>
      </c>
      <c r="E37" s="240">
        <f>IF($B37="","",IF(COUNTIFS(Пул!$E$5:$E$300,$B37,Пул!$L$5:$L$300,"Закрыт")=0,"",ROUND(SUMIFS(Пул!$H$5:$H$300,Пул!$E$5:$E$300,$B37,Пул!$L$5:$L$300,"Закрыт"),8)))</f>
        <v/>
      </c>
      <c r="F37" s="241">
        <f>IF($B37="","",IF(COUNTIFS(Пул!$E$5:$E$300,$B37,Пул!$L$5:$L$300,"Закрыт")=0,"",ROUND(SUMIFS(Пул!$I$5:$I$300,Пул!$E$5:$E$300,$B37,Пул!$L$5:$L$300,"Закрыт"),8)))</f>
        <v/>
      </c>
      <c r="G37" s="240">
        <f>IF($B37="","",IF(COUNTIFS(Пул!$E$5:$E$300,$B37,Пул!$L$5:$L$300,"Закрыт")=0,"",ROUND(SUMIFS(Пул!$J$5:$J$300,Пул!$E$5:$E$300,$B37,Пул!$L$5:$L$300,"Закрыт"),8)))</f>
        <v/>
      </c>
      <c r="H37" s="241">
        <f>IF($B37="","",IF(COUNTIFS(Пул!$E$5:$E$300,$B37,Пул!$L$5:$L$300,"Закрыт")=0,"",ROUND(SUMIFS(Пул!$K$5:$K$300,Пул!$E$5:$E$300,$B37,Пул!$L$5:$L$300,"Закрыт"),8)))</f>
        <v/>
      </c>
      <c r="I37" s="236">
        <f>IF(AND(ISNUMBER(G37),ISNUMBER(H37)),IF(AND(G37&gt;0,H37&lt;0),"Buy",IF(AND(G37&lt;0,H37&gt;0),"Sell","")),"")</f>
        <v/>
      </c>
      <c r="J37" s="177">
        <f>IF(I37="Buy",G37,IF(I37="Sell",-G37,""))</f>
        <v/>
      </c>
      <c r="K37" s="177">
        <f>IF(AND(ISNUMBER(J37),ISNUMBER(L37),N(J37)&lt;&gt;0),ROUND(L37/J37,8),"")</f>
        <v/>
      </c>
      <c r="L37" s="177">
        <f>IF(I37="Buy",-H37,IF(I37="Sell",H37,""))</f>
        <v/>
      </c>
    </row>
    <row r="38" ht="22" customHeight="1">
      <c r="B38" s="320" t="n"/>
      <c r="C38" s="246">
        <f>IF($B38="","",IF(COUNTIFS(Пул!$E$5:$E$300,$B38,Пул!$F$5:$F$300,"&lt;&gt;")=0,"",ROUND(SUMIFS(Пул!$F$5:$F$300,Пул!$E$5:$E$300,$B38),8)))</f>
        <v/>
      </c>
      <c r="D38" s="247">
        <f>IF($B38="","",IF(COUNTIFS(Пул!$E$5:$E$300,$B38,Пул!$G$5:$G$300,"&lt;&gt;")=0,"",ROUND(SUMIFS(Пул!$G$5:$G$300,Пул!$E$5:$E$300,$B38),8)))</f>
        <v/>
      </c>
      <c r="E38" s="246">
        <f>IF($B38="","",IF(COUNTIFS(Пул!$E$5:$E$300,$B38,Пул!$L$5:$L$300,"Закрыт")=0,"",ROUND(SUMIFS(Пул!$H$5:$H$300,Пул!$E$5:$E$300,$B38,Пул!$L$5:$L$300,"Закрыт"),8)))</f>
        <v/>
      </c>
      <c r="F38" s="247">
        <f>IF($B38="","",IF(COUNTIFS(Пул!$E$5:$E$300,$B38,Пул!$L$5:$L$300,"Закрыт")=0,"",ROUND(SUMIFS(Пул!$I$5:$I$300,Пул!$E$5:$E$300,$B38,Пул!$L$5:$L$300,"Закрыт"),8)))</f>
        <v/>
      </c>
      <c r="G38" s="246">
        <f>IF($B38="","",IF(COUNTIFS(Пул!$E$5:$E$300,$B38,Пул!$L$5:$L$300,"Закрыт")=0,"",ROUND(SUMIFS(Пул!$J$5:$J$300,Пул!$E$5:$E$300,$B38,Пул!$L$5:$L$300,"Закрыт"),8)))</f>
        <v/>
      </c>
      <c r="H38" s="247">
        <f>IF($B38="","",IF(COUNTIFS(Пул!$E$5:$E$300,$B38,Пул!$L$5:$L$300,"Закрыт")=0,"",ROUND(SUMIFS(Пул!$K$5:$K$300,Пул!$E$5:$E$300,$B38,Пул!$L$5:$L$300,"Закрыт"),8)))</f>
        <v/>
      </c>
      <c r="I38" s="242">
        <f>IF(AND(ISNUMBER(G38),ISNUMBER(H38)),IF(AND(G38&gt;0,H38&lt;0),"Buy",IF(AND(G38&lt;0,H38&gt;0),"Sell","")),"")</f>
        <v/>
      </c>
      <c r="J38" s="183">
        <f>IF(I38="Buy",G38,IF(I38="Sell",-G38,""))</f>
        <v/>
      </c>
      <c r="K38" s="183">
        <f>IF(AND(ISNUMBER(J38),ISNUMBER(L38),N(J38)&lt;&gt;0),ROUND(L38/J38,8),"")</f>
        <v/>
      </c>
      <c r="L38" s="183">
        <f>IF(I38="Buy",-H38,IF(I38="Sell",H38,""))</f>
        <v/>
      </c>
    </row>
    <row r="39" ht="22" customHeight="1">
      <c r="B39" s="315" t="n"/>
      <c r="C39" s="240">
        <f>IF($B39="","",IF(COUNTIFS(Пул!$E$5:$E$300,$B39,Пул!$F$5:$F$300,"&lt;&gt;")=0,"",ROUND(SUMIFS(Пул!$F$5:$F$300,Пул!$E$5:$E$300,$B39),8)))</f>
        <v/>
      </c>
      <c r="D39" s="241">
        <f>IF($B39="","",IF(COUNTIFS(Пул!$E$5:$E$300,$B39,Пул!$G$5:$G$300,"&lt;&gt;")=0,"",ROUND(SUMIFS(Пул!$G$5:$G$300,Пул!$E$5:$E$300,$B39),8)))</f>
        <v/>
      </c>
      <c r="E39" s="240">
        <f>IF($B39="","",IF(COUNTIFS(Пул!$E$5:$E$300,$B39,Пул!$L$5:$L$300,"Закрыт")=0,"",ROUND(SUMIFS(Пул!$H$5:$H$300,Пул!$E$5:$E$300,$B39,Пул!$L$5:$L$300,"Закрыт"),8)))</f>
        <v/>
      </c>
      <c r="F39" s="241">
        <f>IF($B39="","",IF(COUNTIFS(Пул!$E$5:$E$300,$B39,Пул!$L$5:$L$300,"Закрыт")=0,"",ROUND(SUMIFS(Пул!$I$5:$I$300,Пул!$E$5:$E$300,$B39,Пул!$L$5:$L$300,"Закрыт"),8)))</f>
        <v/>
      </c>
      <c r="G39" s="240">
        <f>IF($B39="","",IF(COUNTIFS(Пул!$E$5:$E$300,$B39,Пул!$L$5:$L$300,"Закрыт")=0,"",ROUND(SUMIFS(Пул!$J$5:$J$300,Пул!$E$5:$E$300,$B39,Пул!$L$5:$L$300,"Закрыт"),8)))</f>
        <v/>
      </c>
      <c r="H39" s="241">
        <f>IF($B39="","",IF(COUNTIFS(Пул!$E$5:$E$300,$B39,Пул!$L$5:$L$300,"Закрыт")=0,"",ROUND(SUMIFS(Пул!$K$5:$K$300,Пул!$E$5:$E$300,$B39,Пул!$L$5:$L$300,"Закрыт"),8)))</f>
        <v/>
      </c>
      <c r="I39" s="236">
        <f>IF(AND(ISNUMBER(G39),ISNUMBER(H39)),IF(AND(G39&gt;0,H39&lt;0),"Buy",IF(AND(G39&lt;0,H39&gt;0),"Sell","")),"")</f>
        <v/>
      </c>
      <c r="J39" s="177">
        <f>IF(I39="Buy",G39,IF(I39="Sell",-G39,""))</f>
        <v/>
      </c>
      <c r="K39" s="177">
        <f>IF(AND(ISNUMBER(J39),ISNUMBER(L39),N(J39)&lt;&gt;0),ROUND(L39/J39,8),"")</f>
        <v/>
      </c>
      <c r="L39" s="177">
        <f>IF(I39="Buy",-H39,IF(I39="Sell",H39,""))</f>
        <v/>
      </c>
    </row>
    <row r="40" ht="22" customHeight="1">
      <c r="B40" s="320" t="n"/>
      <c r="C40" s="246">
        <f>IF($B40="","",IF(COUNTIFS(Пул!$E$5:$E$300,$B40,Пул!$F$5:$F$300,"&lt;&gt;")=0,"",ROUND(SUMIFS(Пул!$F$5:$F$300,Пул!$E$5:$E$300,$B40),8)))</f>
        <v/>
      </c>
      <c r="D40" s="247">
        <f>IF($B40="","",IF(COUNTIFS(Пул!$E$5:$E$300,$B40,Пул!$G$5:$G$300,"&lt;&gt;")=0,"",ROUND(SUMIFS(Пул!$G$5:$G$300,Пул!$E$5:$E$300,$B40),8)))</f>
        <v/>
      </c>
      <c r="E40" s="246">
        <f>IF($B40="","",IF(COUNTIFS(Пул!$E$5:$E$300,$B40,Пул!$L$5:$L$300,"Закрыт")=0,"",ROUND(SUMIFS(Пул!$H$5:$H$300,Пул!$E$5:$E$300,$B40,Пул!$L$5:$L$300,"Закрыт"),8)))</f>
        <v/>
      </c>
      <c r="F40" s="247">
        <f>IF($B40="","",IF(COUNTIFS(Пул!$E$5:$E$300,$B40,Пул!$L$5:$L$300,"Закрыт")=0,"",ROUND(SUMIFS(Пул!$I$5:$I$300,Пул!$E$5:$E$300,$B40,Пул!$L$5:$L$300,"Закрыт"),8)))</f>
        <v/>
      </c>
      <c r="G40" s="246">
        <f>IF($B40="","",IF(COUNTIFS(Пул!$E$5:$E$300,$B40,Пул!$L$5:$L$300,"Закрыт")=0,"",ROUND(SUMIFS(Пул!$J$5:$J$300,Пул!$E$5:$E$300,$B40,Пул!$L$5:$L$300,"Закрыт"),8)))</f>
        <v/>
      </c>
      <c r="H40" s="247">
        <f>IF($B40="","",IF(COUNTIFS(Пул!$E$5:$E$300,$B40,Пул!$L$5:$L$300,"Закрыт")=0,"",ROUND(SUMIFS(Пул!$K$5:$K$300,Пул!$E$5:$E$300,$B40,Пул!$L$5:$L$300,"Закрыт"),8)))</f>
        <v/>
      </c>
      <c r="I40" s="242">
        <f>IF(AND(ISNUMBER(G40),ISNUMBER(H40)),IF(AND(G40&gt;0,H40&lt;0),"Buy",IF(AND(G40&lt;0,H40&gt;0),"Sell","")),"")</f>
        <v/>
      </c>
      <c r="J40" s="183">
        <f>IF(I40="Buy",G40,IF(I40="Sell",-G40,""))</f>
        <v/>
      </c>
      <c r="K40" s="183">
        <f>IF(AND(ISNUMBER(J40),ISNUMBER(L40),N(J40)&lt;&gt;0),ROUND(L40/J40,8),"")</f>
        <v/>
      </c>
      <c r="L40" s="183">
        <f>IF(I40="Buy",-H40,IF(I40="Sell",H40,""))</f>
        <v/>
      </c>
    </row>
    <row r="41" ht="22" customHeight="1">
      <c r="B41" s="315" t="n"/>
      <c r="C41" s="240">
        <f>IF($B41="","",IF(COUNTIFS(Пул!$E$5:$E$300,$B41,Пул!$F$5:$F$300,"&lt;&gt;")=0,"",ROUND(SUMIFS(Пул!$F$5:$F$300,Пул!$E$5:$E$300,$B41),8)))</f>
        <v/>
      </c>
      <c r="D41" s="241">
        <f>IF($B41="","",IF(COUNTIFS(Пул!$E$5:$E$300,$B41,Пул!$G$5:$G$300,"&lt;&gt;")=0,"",ROUND(SUMIFS(Пул!$G$5:$G$300,Пул!$E$5:$E$300,$B41),8)))</f>
        <v/>
      </c>
      <c r="E41" s="240">
        <f>IF($B41="","",IF(COUNTIFS(Пул!$E$5:$E$300,$B41,Пул!$L$5:$L$300,"Закрыт")=0,"",ROUND(SUMIFS(Пул!$H$5:$H$300,Пул!$E$5:$E$300,$B41,Пул!$L$5:$L$300,"Закрыт"),8)))</f>
        <v/>
      </c>
      <c r="F41" s="241">
        <f>IF($B41="","",IF(COUNTIFS(Пул!$E$5:$E$300,$B41,Пул!$L$5:$L$300,"Закрыт")=0,"",ROUND(SUMIFS(Пул!$I$5:$I$300,Пул!$E$5:$E$300,$B41,Пул!$L$5:$L$300,"Закрыт"),8)))</f>
        <v/>
      </c>
      <c r="G41" s="240">
        <f>IF($B41="","",IF(COUNTIFS(Пул!$E$5:$E$300,$B41,Пул!$L$5:$L$300,"Закрыт")=0,"",ROUND(SUMIFS(Пул!$J$5:$J$300,Пул!$E$5:$E$300,$B41,Пул!$L$5:$L$300,"Закрыт"),8)))</f>
        <v/>
      </c>
      <c r="H41" s="241">
        <f>IF($B41="","",IF(COUNTIFS(Пул!$E$5:$E$300,$B41,Пул!$L$5:$L$300,"Закрыт")=0,"",ROUND(SUMIFS(Пул!$K$5:$K$300,Пул!$E$5:$E$300,$B41,Пул!$L$5:$L$300,"Закрыт"),8)))</f>
        <v/>
      </c>
      <c r="I41" s="236">
        <f>IF(AND(ISNUMBER(G41),ISNUMBER(H41)),IF(AND(G41&gt;0,H41&lt;0),"Buy",IF(AND(G41&lt;0,H41&gt;0),"Sell","")),"")</f>
        <v/>
      </c>
      <c r="J41" s="177">
        <f>IF(I41="Buy",G41,IF(I41="Sell",-G41,""))</f>
        <v/>
      </c>
      <c r="K41" s="177">
        <f>IF(AND(ISNUMBER(J41),ISNUMBER(L41),N(J41)&lt;&gt;0),ROUND(L41/J41,8),"")</f>
        <v/>
      </c>
      <c r="L41" s="177">
        <f>IF(I41="Buy",-H41,IF(I41="Sell",H41,""))</f>
        <v/>
      </c>
    </row>
    <row r="42" ht="22" customHeight="1">
      <c r="B42" s="320" t="n"/>
      <c r="C42" s="246">
        <f>IF($B42="","",IF(COUNTIFS(Пул!$E$5:$E$300,$B42,Пул!$F$5:$F$300,"&lt;&gt;")=0,"",ROUND(SUMIFS(Пул!$F$5:$F$300,Пул!$E$5:$E$300,$B42),8)))</f>
        <v/>
      </c>
      <c r="D42" s="247">
        <f>IF($B42="","",IF(COUNTIFS(Пул!$E$5:$E$300,$B42,Пул!$G$5:$G$300,"&lt;&gt;")=0,"",ROUND(SUMIFS(Пул!$G$5:$G$300,Пул!$E$5:$E$300,$B42),8)))</f>
        <v/>
      </c>
      <c r="E42" s="246">
        <f>IF($B42="","",IF(COUNTIFS(Пул!$E$5:$E$300,$B42,Пул!$L$5:$L$300,"Закрыт")=0,"",ROUND(SUMIFS(Пул!$H$5:$H$300,Пул!$E$5:$E$300,$B42,Пул!$L$5:$L$300,"Закрыт"),8)))</f>
        <v/>
      </c>
      <c r="F42" s="247">
        <f>IF($B42="","",IF(COUNTIFS(Пул!$E$5:$E$300,$B42,Пул!$L$5:$L$300,"Закрыт")=0,"",ROUND(SUMIFS(Пул!$I$5:$I$300,Пул!$E$5:$E$300,$B42,Пул!$L$5:$L$300,"Закрыт"),8)))</f>
        <v/>
      </c>
      <c r="G42" s="246">
        <f>IF($B42="","",IF(COUNTIFS(Пул!$E$5:$E$300,$B42,Пул!$L$5:$L$300,"Закрыт")=0,"",ROUND(SUMIFS(Пул!$J$5:$J$300,Пул!$E$5:$E$300,$B42,Пул!$L$5:$L$300,"Закрыт"),8)))</f>
        <v/>
      </c>
      <c r="H42" s="247">
        <f>IF($B42="","",IF(COUNTIFS(Пул!$E$5:$E$300,$B42,Пул!$L$5:$L$300,"Закрыт")=0,"",ROUND(SUMIFS(Пул!$K$5:$K$300,Пул!$E$5:$E$300,$B42,Пул!$L$5:$L$300,"Закрыт"),8)))</f>
        <v/>
      </c>
      <c r="I42" s="242">
        <f>IF(AND(ISNUMBER(G42),ISNUMBER(H42)),IF(AND(G42&gt;0,H42&lt;0),"Buy",IF(AND(G42&lt;0,H42&gt;0),"Sell","")),"")</f>
        <v/>
      </c>
      <c r="J42" s="183">
        <f>IF(I42="Buy",G42,IF(I42="Sell",-G42,""))</f>
        <v/>
      </c>
      <c r="K42" s="183">
        <f>IF(AND(ISNUMBER(J42),ISNUMBER(L42),N(J42)&lt;&gt;0),ROUND(L42/J42,8),"")</f>
        <v/>
      </c>
      <c r="L42" s="183">
        <f>IF(I42="Buy",-H42,IF(I42="Sell",H42,""))</f>
        <v/>
      </c>
    </row>
    <row r="43" ht="22" customHeight="1">
      <c r="B43" s="315" t="n"/>
      <c r="C43" s="240">
        <f>IF($B43="","",IF(COUNTIFS(Пул!$E$5:$E$300,$B43,Пул!$F$5:$F$300,"&lt;&gt;")=0,"",ROUND(SUMIFS(Пул!$F$5:$F$300,Пул!$E$5:$E$300,$B43),8)))</f>
        <v/>
      </c>
      <c r="D43" s="241">
        <f>IF($B43="","",IF(COUNTIFS(Пул!$E$5:$E$300,$B43,Пул!$G$5:$G$300,"&lt;&gt;")=0,"",ROUND(SUMIFS(Пул!$G$5:$G$300,Пул!$E$5:$E$300,$B43),8)))</f>
        <v/>
      </c>
      <c r="E43" s="240">
        <f>IF($B43="","",IF(COUNTIFS(Пул!$E$5:$E$300,$B43,Пул!$L$5:$L$300,"Закрыт")=0,"",ROUND(SUMIFS(Пул!$H$5:$H$300,Пул!$E$5:$E$300,$B43,Пул!$L$5:$L$300,"Закрыт"),8)))</f>
        <v/>
      </c>
      <c r="F43" s="241">
        <f>IF($B43="","",IF(COUNTIFS(Пул!$E$5:$E$300,$B43,Пул!$L$5:$L$300,"Закрыт")=0,"",ROUND(SUMIFS(Пул!$I$5:$I$300,Пул!$E$5:$E$300,$B43,Пул!$L$5:$L$300,"Закрыт"),8)))</f>
        <v/>
      </c>
      <c r="G43" s="240">
        <f>IF($B43="","",IF(COUNTIFS(Пул!$E$5:$E$300,$B43,Пул!$L$5:$L$300,"Закрыт")=0,"",ROUND(SUMIFS(Пул!$J$5:$J$300,Пул!$E$5:$E$300,$B43,Пул!$L$5:$L$300,"Закрыт"),8)))</f>
        <v/>
      </c>
      <c r="H43" s="241">
        <f>IF($B43="","",IF(COUNTIFS(Пул!$E$5:$E$300,$B43,Пул!$L$5:$L$300,"Закрыт")=0,"",ROUND(SUMIFS(Пул!$K$5:$K$300,Пул!$E$5:$E$300,$B43,Пул!$L$5:$L$300,"Закрыт"),8)))</f>
        <v/>
      </c>
      <c r="I43" s="236">
        <f>IF(AND(ISNUMBER(G43),ISNUMBER(H43)),IF(AND(G43&gt;0,H43&lt;0),"Buy",IF(AND(G43&lt;0,H43&gt;0),"Sell","")),"")</f>
        <v/>
      </c>
      <c r="J43" s="177">
        <f>IF(I43="Buy",G43,IF(I43="Sell",-G43,""))</f>
        <v/>
      </c>
      <c r="K43" s="177">
        <f>IF(AND(ISNUMBER(J43),ISNUMBER(L43),N(J43)&lt;&gt;0),ROUND(L43/J43,8),"")</f>
        <v/>
      </c>
      <c r="L43" s="177">
        <f>IF(I43="Buy",-H43,IF(I43="Sell",H43,""))</f>
        <v/>
      </c>
    </row>
    <row r="44" ht="22" customHeight="1">
      <c r="B44" s="320" t="n"/>
      <c r="C44" s="246">
        <f>IF($B44="","",IF(COUNTIFS(Пул!$E$5:$E$300,$B44,Пул!$F$5:$F$300,"&lt;&gt;")=0,"",ROUND(SUMIFS(Пул!$F$5:$F$300,Пул!$E$5:$E$300,$B44),8)))</f>
        <v/>
      </c>
      <c r="D44" s="247">
        <f>IF($B44="","",IF(COUNTIFS(Пул!$E$5:$E$300,$B44,Пул!$G$5:$G$300,"&lt;&gt;")=0,"",ROUND(SUMIFS(Пул!$G$5:$G$300,Пул!$E$5:$E$300,$B44),8)))</f>
        <v/>
      </c>
      <c r="E44" s="246">
        <f>IF($B44="","",IF(COUNTIFS(Пул!$E$5:$E$300,$B44,Пул!$L$5:$L$300,"Закрыт")=0,"",ROUND(SUMIFS(Пул!$H$5:$H$300,Пул!$E$5:$E$300,$B44,Пул!$L$5:$L$300,"Закрыт"),8)))</f>
        <v/>
      </c>
      <c r="F44" s="247">
        <f>IF($B44="","",IF(COUNTIFS(Пул!$E$5:$E$300,$B44,Пул!$L$5:$L$300,"Закрыт")=0,"",ROUND(SUMIFS(Пул!$I$5:$I$300,Пул!$E$5:$E$300,$B44,Пул!$L$5:$L$300,"Закрыт"),8)))</f>
        <v/>
      </c>
      <c r="G44" s="246">
        <f>IF($B44="","",IF(COUNTIFS(Пул!$E$5:$E$300,$B44,Пул!$L$5:$L$300,"Закрыт")=0,"",ROUND(SUMIFS(Пул!$J$5:$J$300,Пул!$E$5:$E$300,$B44,Пул!$L$5:$L$300,"Закрыт"),8)))</f>
        <v/>
      </c>
      <c r="H44" s="247">
        <f>IF($B44="","",IF(COUNTIFS(Пул!$E$5:$E$300,$B44,Пул!$L$5:$L$300,"Закрыт")=0,"",ROUND(SUMIFS(Пул!$K$5:$K$300,Пул!$E$5:$E$300,$B44,Пул!$L$5:$L$300,"Закрыт"),8)))</f>
        <v/>
      </c>
      <c r="I44" s="242">
        <f>IF(AND(ISNUMBER(G44),ISNUMBER(H44)),IF(AND(G44&gt;0,H44&lt;0),"Buy",IF(AND(G44&lt;0,H44&gt;0),"Sell","")),"")</f>
        <v/>
      </c>
      <c r="J44" s="183">
        <f>IF(I44="Buy",G44,IF(I44="Sell",-G44,""))</f>
        <v/>
      </c>
      <c r="K44" s="183">
        <f>IF(AND(ISNUMBER(J44),ISNUMBER(L44),N(J44)&lt;&gt;0),ROUND(L44/J44,8),"")</f>
        <v/>
      </c>
      <c r="L44" s="183">
        <f>IF(I44="Buy",-H44,IF(I44="Sell",H44,""))</f>
        <v/>
      </c>
    </row>
    <row r="45" ht="22" customHeight="1">
      <c r="B45" s="315" t="n"/>
      <c r="C45" s="240">
        <f>IF($B45="","",IF(COUNTIFS(Пул!$E$5:$E$300,$B45,Пул!$F$5:$F$300,"&lt;&gt;")=0,"",ROUND(SUMIFS(Пул!$F$5:$F$300,Пул!$E$5:$E$300,$B45),8)))</f>
        <v/>
      </c>
      <c r="D45" s="241">
        <f>IF($B45="","",IF(COUNTIFS(Пул!$E$5:$E$300,$B45,Пул!$G$5:$G$300,"&lt;&gt;")=0,"",ROUND(SUMIFS(Пул!$G$5:$G$300,Пул!$E$5:$E$300,$B45),8)))</f>
        <v/>
      </c>
      <c r="E45" s="240">
        <f>IF($B45="","",IF(COUNTIFS(Пул!$E$5:$E$300,$B45,Пул!$L$5:$L$300,"Закрыт")=0,"",ROUND(SUMIFS(Пул!$H$5:$H$300,Пул!$E$5:$E$300,$B45,Пул!$L$5:$L$300,"Закрыт"),8)))</f>
        <v/>
      </c>
      <c r="F45" s="241">
        <f>IF($B45="","",IF(COUNTIFS(Пул!$E$5:$E$300,$B45,Пул!$L$5:$L$300,"Закрыт")=0,"",ROUND(SUMIFS(Пул!$I$5:$I$300,Пул!$E$5:$E$300,$B45,Пул!$L$5:$L$300,"Закрыт"),8)))</f>
        <v/>
      </c>
      <c r="G45" s="240">
        <f>IF($B45="","",IF(COUNTIFS(Пул!$E$5:$E$300,$B45,Пул!$L$5:$L$300,"Закрыт")=0,"",ROUND(SUMIFS(Пул!$J$5:$J$300,Пул!$E$5:$E$300,$B45,Пул!$L$5:$L$300,"Закрыт"),8)))</f>
        <v/>
      </c>
      <c r="H45" s="241">
        <f>IF($B45="","",IF(COUNTIFS(Пул!$E$5:$E$300,$B45,Пул!$L$5:$L$300,"Закрыт")=0,"",ROUND(SUMIFS(Пул!$K$5:$K$300,Пул!$E$5:$E$300,$B45,Пул!$L$5:$L$300,"Закрыт"),8)))</f>
        <v/>
      </c>
      <c r="I45" s="236">
        <f>IF(AND(ISNUMBER(G45),ISNUMBER(H45)),IF(AND(G45&gt;0,H45&lt;0),"Buy",IF(AND(G45&lt;0,H45&gt;0),"Sell","")),"")</f>
        <v/>
      </c>
      <c r="J45" s="177">
        <f>IF(I45="Buy",G45,IF(I45="Sell",-G45,""))</f>
        <v/>
      </c>
      <c r="K45" s="177">
        <f>IF(AND(ISNUMBER(J45),ISNUMBER(L45),N(J45)&lt;&gt;0),ROUND(L45/J45,8),"")</f>
        <v/>
      </c>
      <c r="L45" s="177">
        <f>IF(I45="Buy",-H45,IF(I45="Sell",H45,""))</f>
        <v/>
      </c>
    </row>
    <row r="46" ht="22" customHeight="1">
      <c r="B46" s="320" t="n"/>
      <c r="C46" s="246">
        <f>IF($B46="","",IF(COUNTIFS(Пул!$E$5:$E$300,$B46,Пул!$F$5:$F$300,"&lt;&gt;")=0,"",ROUND(SUMIFS(Пул!$F$5:$F$300,Пул!$E$5:$E$300,$B46),8)))</f>
        <v/>
      </c>
      <c r="D46" s="247">
        <f>IF($B46="","",IF(COUNTIFS(Пул!$E$5:$E$300,$B46,Пул!$G$5:$G$300,"&lt;&gt;")=0,"",ROUND(SUMIFS(Пул!$G$5:$G$300,Пул!$E$5:$E$300,$B46),8)))</f>
        <v/>
      </c>
      <c r="E46" s="246">
        <f>IF($B46="","",IF(COUNTIFS(Пул!$E$5:$E$300,$B46,Пул!$L$5:$L$300,"Закрыт")=0,"",ROUND(SUMIFS(Пул!$H$5:$H$300,Пул!$E$5:$E$300,$B46,Пул!$L$5:$L$300,"Закрыт"),8)))</f>
        <v/>
      </c>
      <c r="F46" s="247">
        <f>IF($B46="","",IF(COUNTIFS(Пул!$E$5:$E$300,$B46,Пул!$L$5:$L$300,"Закрыт")=0,"",ROUND(SUMIFS(Пул!$I$5:$I$300,Пул!$E$5:$E$300,$B46,Пул!$L$5:$L$300,"Закрыт"),8)))</f>
        <v/>
      </c>
      <c r="G46" s="246">
        <f>IF($B46="","",IF(COUNTIFS(Пул!$E$5:$E$300,$B46,Пул!$L$5:$L$300,"Закрыт")=0,"",ROUND(SUMIFS(Пул!$J$5:$J$300,Пул!$E$5:$E$300,$B46,Пул!$L$5:$L$300,"Закрыт"),8)))</f>
        <v/>
      </c>
      <c r="H46" s="247">
        <f>IF($B46="","",IF(COUNTIFS(Пул!$E$5:$E$300,$B46,Пул!$L$5:$L$300,"Закрыт")=0,"",ROUND(SUMIFS(Пул!$K$5:$K$300,Пул!$E$5:$E$300,$B46,Пул!$L$5:$L$300,"Закрыт"),8)))</f>
        <v/>
      </c>
      <c r="I46" s="242">
        <f>IF(AND(ISNUMBER(G46),ISNUMBER(H46)),IF(AND(G46&gt;0,H46&lt;0),"Buy",IF(AND(G46&lt;0,H46&gt;0),"Sell","")),"")</f>
        <v/>
      </c>
      <c r="J46" s="183">
        <f>IF(I46="Buy",G46,IF(I46="Sell",-G46,""))</f>
        <v/>
      </c>
      <c r="K46" s="183">
        <f>IF(AND(ISNUMBER(J46),ISNUMBER(L46),N(J46)&lt;&gt;0),ROUND(L46/J46,8),"")</f>
        <v/>
      </c>
      <c r="L46" s="183">
        <f>IF(I46="Buy",-H46,IF(I46="Sell",H46,""))</f>
        <v/>
      </c>
    </row>
    <row r="47" ht="22" customHeight="1">
      <c r="B47" s="315" t="n"/>
      <c r="C47" s="240">
        <f>IF($B47="","",IF(COUNTIFS(Пул!$E$5:$E$300,$B47,Пул!$F$5:$F$300,"&lt;&gt;")=0,"",ROUND(SUMIFS(Пул!$F$5:$F$300,Пул!$E$5:$E$300,$B47),8)))</f>
        <v/>
      </c>
      <c r="D47" s="241">
        <f>IF($B47="","",IF(COUNTIFS(Пул!$E$5:$E$300,$B47,Пул!$G$5:$G$300,"&lt;&gt;")=0,"",ROUND(SUMIFS(Пул!$G$5:$G$300,Пул!$E$5:$E$300,$B47),8)))</f>
        <v/>
      </c>
      <c r="E47" s="240">
        <f>IF($B47="","",IF(COUNTIFS(Пул!$E$5:$E$300,$B47,Пул!$L$5:$L$300,"Закрыт")=0,"",ROUND(SUMIFS(Пул!$H$5:$H$300,Пул!$E$5:$E$300,$B47,Пул!$L$5:$L$300,"Закрыт"),8)))</f>
        <v/>
      </c>
      <c r="F47" s="241">
        <f>IF($B47="","",IF(COUNTIFS(Пул!$E$5:$E$300,$B47,Пул!$L$5:$L$300,"Закрыт")=0,"",ROUND(SUMIFS(Пул!$I$5:$I$300,Пул!$E$5:$E$300,$B47,Пул!$L$5:$L$300,"Закрыт"),8)))</f>
        <v/>
      </c>
      <c r="G47" s="240">
        <f>IF($B47="","",IF(COUNTIFS(Пул!$E$5:$E$300,$B47,Пул!$L$5:$L$300,"Закрыт")=0,"",ROUND(SUMIFS(Пул!$J$5:$J$300,Пул!$E$5:$E$300,$B47,Пул!$L$5:$L$300,"Закрыт"),8)))</f>
        <v/>
      </c>
      <c r="H47" s="241">
        <f>IF($B47="","",IF(COUNTIFS(Пул!$E$5:$E$300,$B47,Пул!$L$5:$L$300,"Закрыт")=0,"",ROUND(SUMIFS(Пул!$K$5:$K$300,Пул!$E$5:$E$300,$B47,Пул!$L$5:$L$300,"Закрыт"),8)))</f>
        <v/>
      </c>
      <c r="I47" s="236">
        <f>IF(AND(ISNUMBER(G47),ISNUMBER(H47)),IF(AND(G47&gt;0,H47&lt;0),"Buy",IF(AND(G47&lt;0,H47&gt;0),"Sell","")),"")</f>
        <v/>
      </c>
      <c r="J47" s="177">
        <f>IF(I47="Buy",G47,IF(I47="Sell",-G47,""))</f>
        <v/>
      </c>
      <c r="K47" s="177">
        <f>IF(AND(ISNUMBER(J47),ISNUMBER(L47),N(J47)&lt;&gt;0),ROUND(L47/J47,8),"")</f>
        <v/>
      </c>
      <c r="L47" s="177">
        <f>IF(I47="Buy",-H47,IF(I47="Sell",H47,""))</f>
        <v/>
      </c>
    </row>
    <row r="48" ht="22" customHeight="1">
      <c r="B48" s="320" t="n"/>
      <c r="C48" s="246">
        <f>IF($B48="","",IF(COUNTIFS(Пул!$E$5:$E$300,$B48,Пул!$F$5:$F$300,"&lt;&gt;")=0,"",ROUND(SUMIFS(Пул!$F$5:$F$300,Пул!$E$5:$E$300,$B48),8)))</f>
        <v/>
      </c>
      <c r="D48" s="247">
        <f>IF($B48="","",IF(COUNTIFS(Пул!$E$5:$E$300,$B48,Пул!$G$5:$G$300,"&lt;&gt;")=0,"",ROUND(SUMIFS(Пул!$G$5:$G$300,Пул!$E$5:$E$300,$B48),8)))</f>
        <v/>
      </c>
      <c r="E48" s="246">
        <f>IF($B48="","",IF(COUNTIFS(Пул!$E$5:$E$300,$B48,Пул!$L$5:$L$300,"Закрыт")=0,"",ROUND(SUMIFS(Пул!$H$5:$H$300,Пул!$E$5:$E$300,$B48,Пул!$L$5:$L$300,"Закрыт"),8)))</f>
        <v/>
      </c>
      <c r="F48" s="247">
        <f>IF($B48="","",IF(COUNTIFS(Пул!$E$5:$E$300,$B48,Пул!$L$5:$L$300,"Закрыт")=0,"",ROUND(SUMIFS(Пул!$I$5:$I$300,Пул!$E$5:$E$300,$B48,Пул!$L$5:$L$300,"Закрыт"),8)))</f>
        <v/>
      </c>
      <c r="G48" s="246">
        <f>IF($B48="","",IF(COUNTIFS(Пул!$E$5:$E$300,$B48,Пул!$L$5:$L$300,"Закрыт")=0,"",ROUND(SUMIFS(Пул!$J$5:$J$300,Пул!$E$5:$E$300,$B48,Пул!$L$5:$L$300,"Закрыт"),8)))</f>
        <v/>
      </c>
      <c r="H48" s="247">
        <f>IF($B48="","",IF(COUNTIFS(Пул!$E$5:$E$300,$B48,Пул!$L$5:$L$300,"Закрыт")=0,"",ROUND(SUMIFS(Пул!$K$5:$K$300,Пул!$E$5:$E$300,$B48,Пул!$L$5:$L$300,"Закрыт"),8)))</f>
        <v/>
      </c>
      <c r="I48" s="242">
        <f>IF(AND(ISNUMBER(G48),ISNUMBER(H48)),IF(AND(G48&gt;0,H48&lt;0),"Buy",IF(AND(G48&lt;0,H48&gt;0),"Sell","")),"")</f>
        <v/>
      </c>
      <c r="J48" s="183">
        <f>IF(I48="Buy",G48,IF(I48="Sell",-G48,""))</f>
        <v/>
      </c>
      <c r="K48" s="183">
        <f>IF(AND(ISNUMBER(J48),ISNUMBER(L48),N(J48)&lt;&gt;0),ROUND(L48/J48,8),"")</f>
        <v/>
      </c>
      <c r="L48" s="183">
        <f>IF(I48="Buy",-H48,IF(I48="Sell",H48,""))</f>
        <v/>
      </c>
    </row>
    <row r="49" ht="22" customHeight="1">
      <c r="B49" s="315" t="n"/>
      <c r="C49" s="240">
        <f>IF($B49="","",IF(COUNTIFS(Пул!$E$5:$E$300,$B49,Пул!$F$5:$F$300,"&lt;&gt;")=0,"",ROUND(SUMIFS(Пул!$F$5:$F$300,Пул!$E$5:$E$300,$B49),8)))</f>
        <v/>
      </c>
      <c r="D49" s="241">
        <f>IF($B49="","",IF(COUNTIFS(Пул!$E$5:$E$300,$B49,Пул!$G$5:$G$300,"&lt;&gt;")=0,"",ROUND(SUMIFS(Пул!$G$5:$G$300,Пул!$E$5:$E$300,$B49),8)))</f>
        <v/>
      </c>
      <c r="E49" s="240">
        <f>IF($B49="","",IF(COUNTIFS(Пул!$E$5:$E$300,$B49,Пул!$L$5:$L$300,"Закрыт")=0,"",ROUND(SUMIFS(Пул!$H$5:$H$300,Пул!$E$5:$E$300,$B49,Пул!$L$5:$L$300,"Закрыт"),8)))</f>
        <v/>
      </c>
      <c r="F49" s="241">
        <f>IF($B49="","",IF(COUNTIFS(Пул!$E$5:$E$300,$B49,Пул!$L$5:$L$300,"Закрыт")=0,"",ROUND(SUMIFS(Пул!$I$5:$I$300,Пул!$E$5:$E$300,$B49,Пул!$L$5:$L$300,"Закрыт"),8)))</f>
        <v/>
      </c>
      <c r="G49" s="240">
        <f>IF($B49="","",IF(COUNTIFS(Пул!$E$5:$E$300,$B49,Пул!$L$5:$L$300,"Закрыт")=0,"",ROUND(SUMIFS(Пул!$J$5:$J$300,Пул!$E$5:$E$300,$B49,Пул!$L$5:$L$300,"Закрыт"),8)))</f>
        <v/>
      </c>
      <c r="H49" s="241">
        <f>IF($B49="","",IF(COUNTIFS(Пул!$E$5:$E$300,$B49,Пул!$L$5:$L$300,"Закрыт")=0,"",ROUND(SUMIFS(Пул!$K$5:$K$300,Пул!$E$5:$E$300,$B49,Пул!$L$5:$L$300,"Закрыт"),8)))</f>
        <v/>
      </c>
      <c r="I49" s="236">
        <f>IF(AND(ISNUMBER(G49),ISNUMBER(H49)),IF(AND(G49&gt;0,H49&lt;0),"Buy",IF(AND(G49&lt;0,H49&gt;0),"Sell","")),"")</f>
        <v/>
      </c>
      <c r="J49" s="177">
        <f>IF(I49="Buy",G49,IF(I49="Sell",-G49,""))</f>
        <v/>
      </c>
      <c r="K49" s="177">
        <f>IF(AND(ISNUMBER(J49),ISNUMBER(L49),N(J49)&lt;&gt;0),ROUND(L49/J49,8),"")</f>
        <v/>
      </c>
      <c r="L49" s="177">
        <f>IF(I49="Buy",-H49,IF(I49="Sell",H49,""))</f>
        <v/>
      </c>
    </row>
    <row r="50" ht="22" customHeight="1">
      <c r="B50" s="320" t="n"/>
      <c r="C50" s="246">
        <f>IF($B50="","",IF(COUNTIFS(Пул!$E$5:$E$300,$B50,Пул!$F$5:$F$300,"&lt;&gt;")=0,"",ROUND(SUMIFS(Пул!$F$5:$F$300,Пул!$E$5:$E$300,$B50),8)))</f>
        <v/>
      </c>
      <c r="D50" s="247">
        <f>IF($B50="","",IF(COUNTIFS(Пул!$E$5:$E$300,$B50,Пул!$G$5:$G$300,"&lt;&gt;")=0,"",ROUND(SUMIFS(Пул!$G$5:$G$300,Пул!$E$5:$E$300,$B50),8)))</f>
        <v/>
      </c>
      <c r="E50" s="246">
        <f>IF($B50="","",IF(COUNTIFS(Пул!$E$5:$E$300,$B50,Пул!$L$5:$L$300,"Закрыт")=0,"",ROUND(SUMIFS(Пул!$H$5:$H$300,Пул!$E$5:$E$300,$B50,Пул!$L$5:$L$300,"Закрыт"),8)))</f>
        <v/>
      </c>
      <c r="F50" s="247">
        <f>IF($B50="","",IF(COUNTIFS(Пул!$E$5:$E$300,$B50,Пул!$L$5:$L$300,"Закрыт")=0,"",ROUND(SUMIFS(Пул!$I$5:$I$300,Пул!$E$5:$E$300,$B50,Пул!$L$5:$L$300,"Закрыт"),8)))</f>
        <v/>
      </c>
      <c r="G50" s="246">
        <f>IF($B50="","",IF(COUNTIFS(Пул!$E$5:$E$300,$B50,Пул!$L$5:$L$300,"Закрыт")=0,"",ROUND(SUMIFS(Пул!$J$5:$J$300,Пул!$E$5:$E$300,$B50,Пул!$L$5:$L$300,"Закрыт"),8)))</f>
        <v/>
      </c>
      <c r="H50" s="247">
        <f>IF($B50="","",IF(COUNTIFS(Пул!$E$5:$E$300,$B50,Пул!$L$5:$L$300,"Закрыт")=0,"",ROUND(SUMIFS(Пул!$K$5:$K$300,Пул!$E$5:$E$300,$B50,Пул!$L$5:$L$300,"Закрыт"),8)))</f>
        <v/>
      </c>
      <c r="I50" s="242">
        <f>IF(AND(ISNUMBER(G50),ISNUMBER(H50)),IF(AND(G50&gt;0,H50&lt;0),"Buy",IF(AND(G50&lt;0,H50&gt;0),"Sell","")),"")</f>
        <v/>
      </c>
      <c r="J50" s="183">
        <f>IF(I50="Buy",G50,IF(I50="Sell",-G50,""))</f>
        <v/>
      </c>
      <c r="K50" s="183">
        <f>IF(AND(ISNUMBER(J50),ISNUMBER(L50),N(J50)&lt;&gt;0),ROUND(L50/J50,8),"")</f>
        <v/>
      </c>
      <c r="L50" s="183">
        <f>IF(I50="Buy",-H50,IF(I50="Sell",H50,""))</f>
        <v/>
      </c>
    </row>
    <row r="51" ht="22" customHeight="1">
      <c r="B51" s="315" t="n"/>
      <c r="C51" s="240">
        <f>IF($B51="","",IF(COUNTIFS(Пул!$E$5:$E$300,$B51,Пул!$F$5:$F$300,"&lt;&gt;")=0,"",ROUND(SUMIFS(Пул!$F$5:$F$300,Пул!$E$5:$E$300,$B51),8)))</f>
        <v/>
      </c>
      <c r="D51" s="241">
        <f>IF($B51="","",IF(COUNTIFS(Пул!$E$5:$E$300,$B51,Пул!$G$5:$G$300,"&lt;&gt;")=0,"",ROUND(SUMIFS(Пул!$G$5:$G$300,Пул!$E$5:$E$300,$B51),8)))</f>
        <v/>
      </c>
      <c r="E51" s="240">
        <f>IF($B51="","",IF(COUNTIFS(Пул!$E$5:$E$300,$B51,Пул!$L$5:$L$300,"Закрыт")=0,"",ROUND(SUMIFS(Пул!$H$5:$H$300,Пул!$E$5:$E$300,$B51,Пул!$L$5:$L$300,"Закрыт"),8)))</f>
        <v/>
      </c>
      <c r="F51" s="241">
        <f>IF($B51="","",IF(COUNTIFS(Пул!$E$5:$E$300,$B51,Пул!$L$5:$L$300,"Закрыт")=0,"",ROUND(SUMIFS(Пул!$I$5:$I$300,Пул!$E$5:$E$300,$B51,Пул!$L$5:$L$300,"Закрыт"),8)))</f>
        <v/>
      </c>
      <c r="G51" s="240">
        <f>IF($B51="","",IF(COUNTIFS(Пул!$E$5:$E$300,$B51,Пул!$L$5:$L$300,"Закрыт")=0,"",ROUND(SUMIFS(Пул!$J$5:$J$300,Пул!$E$5:$E$300,$B51,Пул!$L$5:$L$300,"Закрыт"),8)))</f>
        <v/>
      </c>
      <c r="H51" s="241">
        <f>IF($B51="","",IF(COUNTIFS(Пул!$E$5:$E$300,$B51,Пул!$L$5:$L$300,"Закрыт")=0,"",ROUND(SUMIFS(Пул!$K$5:$K$300,Пул!$E$5:$E$300,$B51,Пул!$L$5:$L$300,"Закрыт"),8)))</f>
        <v/>
      </c>
      <c r="I51" s="236">
        <f>IF(AND(ISNUMBER(G51),ISNUMBER(H51)),IF(AND(G51&gt;0,H51&lt;0),"Buy",IF(AND(G51&lt;0,H51&gt;0),"Sell","")),"")</f>
        <v/>
      </c>
      <c r="J51" s="177">
        <f>IF(I51="Buy",G51,IF(I51="Sell",-G51,""))</f>
        <v/>
      </c>
      <c r="K51" s="177">
        <f>IF(AND(ISNUMBER(J51),ISNUMBER(L51),N(J51)&lt;&gt;0),ROUND(L51/J51,8),"")</f>
        <v/>
      </c>
      <c r="L51" s="177">
        <f>IF(I51="Buy",-H51,IF(I51="Sell",H51,""))</f>
        <v/>
      </c>
    </row>
    <row r="52" ht="22" customHeight="1">
      <c r="B52" s="320" t="n"/>
      <c r="C52" s="246">
        <f>IF($B52="","",IF(COUNTIFS(Пул!$E$5:$E$300,$B52,Пул!$F$5:$F$300,"&lt;&gt;")=0,"",ROUND(SUMIFS(Пул!$F$5:$F$300,Пул!$E$5:$E$300,$B52),8)))</f>
        <v/>
      </c>
      <c r="D52" s="247">
        <f>IF($B52="","",IF(COUNTIFS(Пул!$E$5:$E$300,$B52,Пул!$G$5:$G$300,"&lt;&gt;")=0,"",ROUND(SUMIFS(Пул!$G$5:$G$300,Пул!$E$5:$E$300,$B52),8)))</f>
        <v/>
      </c>
      <c r="E52" s="246">
        <f>IF($B52="","",IF(COUNTIFS(Пул!$E$5:$E$300,$B52,Пул!$L$5:$L$300,"Закрыт")=0,"",ROUND(SUMIFS(Пул!$H$5:$H$300,Пул!$E$5:$E$300,$B52,Пул!$L$5:$L$300,"Закрыт"),8)))</f>
        <v/>
      </c>
      <c r="F52" s="247">
        <f>IF($B52="","",IF(COUNTIFS(Пул!$E$5:$E$300,$B52,Пул!$L$5:$L$300,"Закрыт")=0,"",ROUND(SUMIFS(Пул!$I$5:$I$300,Пул!$E$5:$E$300,$B52,Пул!$L$5:$L$300,"Закрыт"),8)))</f>
        <v/>
      </c>
      <c r="G52" s="246">
        <f>IF($B52="","",IF(COUNTIFS(Пул!$E$5:$E$300,$B52,Пул!$L$5:$L$300,"Закрыт")=0,"",ROUND(SUMIFS(Пул!$J$5:$J$300,Пул!$E$5:$E$300,$B52,Пул!$L$5:$L$300,"Закрыт"),8)))</f>
        <v/>
      </c>
      <c r="H52" s="247">
        <f>IF($B52="","",IF(COUNTIFS(Пул!$E$5:$E$300,$B52,Пул!$L$5:$L$300,"Закрыт")=0,"",ROUND(SUMIFS(Пул!$K$5:$K$300,Пул!$E$5:$E$300,$B52,Пул!$L$5:$L$300,"Закрыт"),8)))</f>
        <v/>
      </c>
      <c r="I52" s="242">
        <f>IF(AND(ISNUMBER(G52),ISNUMBER(H52)),IF(AND(G52&gt;0,H52&lt;0),"Buy",IF(AND(G52&lt;0,H52&gt;0),"Sell","")),"")</f>
        <v/>
      </c>
      <c r="J52" s="183">
        <f>IF(I52="Buy",G52,IF(I52="Sell",-G52,""))</f>
        <v/>
      </c>
      <c r="K52" s="183">
        <f>IF(AND(ISNUMBER(J52),ISNUMBER(L52),N(J52)&lt;&gt;0),ROUND(L52/J52,8),"")</f>
        <v/>
      </c>
      <c r="L52" s="183">
        <f>IF(I52="Buy",-H52,IF(I52="Sell",H52,""))</f>
        <v/>
      </c>
    </row>
    <row r="53" ht="22" customHeight="1">
      <c r="B53" s="315" t="n"/>
      <c r="C53" s="240">
        <f>IF($B53="","",IF(COUNTIFS(Пул!$E$5:$E$300,$B53,Пул!$F$5:$F$300,"&lt;&gt;")=0,"",ROUND(SUMIFS(Пул!$F$5:$F$300,Пул!$E$5:$E$300,$B53),8)))</f>
        <v/>
      </c>
      <c r="D53" s="241">
        <f>IF($B53="","",IF(COUNTIFS(Пул!$E$5:$E$300,$B53,Пул!$G$5:$G$300,"&lt;&gt;")=0,"",ROUND(SUMIFS(Пул!$G$5:$G$300,Пул!$E$5:$E$300,$B53),8)))</f>
        <v/>
      </c>
      <c r="E53" s="240">
        <f>IF($B53="","",IF(COUNTIFS(Пул!$E$5:$E$300,$B53,Пул!$L$5:$L$300,"Закрыт")=0,"",ROUND(SUMIFS(Пул!$H$5:$H$300,Пул!$E$5:$E$300,$B53,Пул!$L$5:$L$300,"Закрыт"),8)))</f>
        <v/>
      </c>
      <c r="F53" s="241">
        <f>IF($B53="","",IF(COUNTIFS(Пул!$E$5:$E$300,$B53,Пул!$L$5:$L$300,"Закрыт")=0,"",ROUND(SUMIFS(Пул!$I$5:$I$300,Пул!$E$5:$E$300,$B53,Пул!$L$5:$L$300,"Закрыт"),8)))</f>
        <v/>
      </c>
      <c r="G53" s="240">
        <f>IF($B53="","",IF(COUNTIFS(Пул!$E$5:$E$300,$B53,Пул!$L$5:$L$300,"Закрыт")=0,"",ROUND(SUMIFS(Пул!$J$5:$J$300,Пул!$E$5:$E$300,$B53,Пул!$L$5:$L$300,"Закрыт"),8)))</f>
        <v/>
      </c>
      <c r="H53" s="241">
        <f>IF($B53="","",IF(COUNTIFS(Пул!$E$5:$E$300,$B53,Пул!$L$5:$L$300,"Закрыт")=0,"",ROUND(SUMIFS(Пул!$K$5:$K$300,Пул!$E$5:$E$300,$B53,Пул!$L$5:$L$300,"Закрыт"),8)))</f>
        <v/>
      </c>
      <c r="I53" s="236">
        <f>IF(AND(ISNUMBER(G53),ISNUMBER(H53)),IF(AND(G53&gt;0,H53&lt;0),"Buy",IF(AND(G53&lt;0,H53&gt;0),"Sell","")),"")</f>
        <v/>
      </c>
      <c r="J53" s="177">
        <f>IF(I53="Buy",G53,IF(I53="Sell",-G53,""))</f>
        <v/>
      </c>
      <c r="K53" s="177">
        <f>IF(AND(ISNUMBER(J53),ISNUMBER(L53),N(J53)&lt;&gt;0),ROUND(L53/J53,8),"")</f>
        <v/>
      </c>
      <c r="L53" s="177">
        <f>IF(I53="Buy",-H53,IF(I53="Sell",H53,""))</f>
        <v/>
      </c>
    </row>
    <row r="54" ht="22" customHeight="1">
      <c r="B54" s="320" t="n"/>
      <c r="C54" s="246">
        <f>IF($B54="","",IF(COUNTIFS(Пул!$E$5:$E$300,$B54,Пул!$F$5:$F$300,"&lt;&gt;")=0,"",ROUND(SUMIFS(Пул!$F$5:$F$300,Пул!$E$5:$E$300,$B54),8)))</f>
        <v/>
      </c>
      <c r="D54" s="247">
        <f>IF($B54="","",IF(COUNTIFS(Пул!$E$5:$E$300,$B54,Пул!$G$5:$G$300,"&lt;&gt;")=0,"",ROUND(SUMIFS(Пул!$G$5:$G$300,Пул!$E$5:$E$300,$B54),8)))</f>
        <v/>
      </c>
      <c r="E54" s="246">
        <f>IF($B54="","",IF(COUNTIFS(Пул!$E$5:$E$300,$B54,Пул!$L$5:$L$300,"Закрыт")=0,"",ROUND(SUMIFS(Пул!$H$5:$H$300,Пул!$E$5:$E$300,$B54,Пул!$L$5:$L$300,"Закрыт"),8)))</f>
        <v/>
      </c>
      <c r="F54" s="247">
        <f>IF($B54="","",IF(COUNTIFS(Пул!$E$5:$E$300,$B54,Пул!$L$5:$L$300,"Закрыт")=0,"",ROUND(SUMIFS(Пул!$I$5:$I$300,Пул!$E$5:$E$300,$B54,Пул!$L$5:$L$300,"Закрыт"),8)))</f>
        <v/>
      </c>
      <c r="G54" s="246">
        <f>IF($B54="","",IF(COUNTIFS(Пул!$E$5:$E$300,$B54,Пул!$L$5:$L$300,"Закрыт")=0,"",ROUND(SUMIFS(Пул!$J$5:$J$300,Пул!$E$5:$E$300,$B54,Пул!$L$5:$L$300,"Закрыт"),8)))</f>
        <v/>
      </c>
      <c r="H54" s="247">
        <f>IF($B54="","",IF(COUNTIFS(Пул!$E$5:$E$300,$B54,Пул!$L$5:$L$300,"Закрыт")=0,"",ROUND(SUMIFS(Пул!$K$5:$K$300,Пул!$E$5:$E$300,$B54,Пул!$L$5:$L$300,"Закрыт"),8)))</f>
        <v/>
      </c>
      <c r="I54" s="242">
        <f>IF(AND(ISNUMBER(G54),ISNUMBER(H54)),IF(AND(G54&gt;0,H54&lt;0),"Buy",IF(AND(G54&lt;0,H54&gt;0),"Sell","")),"")</f>
        <v/>
      </c>
      <c r="J54" s="183">
        <f>IF(I54="Buy",G54,IF(I54="Sell",-G54,""))</f>
        <v/>
      </c>
      <c r="K54" s="183">
        <f>IF(AND(ISNUMBER(J54),ISNUMBER(L54),N(J54)&lt;&gt;0),ROUND(L54/J54,8),"")</f>
        <v/>
      </c>
      <c r="L54" s="183">
        <f>IF(I54="Buy",-H54,IF(I54="Sell",H54,""))</f>
        <v/>
      </c>
    </row>
    <row r="55" ht="22" customHeight="1">
      <c r="B55" s="315" t="n"/>
      <c r="C55" s="240">
        <f>IF($B55="","",IF(COUNTIFS(Пул!$E$5:$E$300,$B55,Пул!$F$5:$F$300,"&lt;&gt;")=0,"",ROUND(SUMIFS(Пул!$F$5:$F$300,Пул!$E$5:$E$300,$B55),8)))</f>
        <v/>
      </c>
      <c r="D55" s="241">
        <f>IF($B55="","",IF(COUNTIFS(Пул!$E$5:$E$300,$B55,Пул!$G$5:$G$300,"&lt;&gt;")=0,"",ROUND(SUMIFS(Пул!$G$5:$G$300,Пул!$E$5:$E$300,$B55),8)))</f>
        <v/>
      </c>
      <c r="E55" s="240">
        <f>IF($B55="","",IF(COUNTIFS(Пул!$E$5:$E$300,$B55,Пул!$L$5:$L$300,"Закрыт")=0,"",ROUND(SUMIFS(Пул!$H$5:$H$300,Пул!$E$5:$E$300,$B55,Пул!$L$5:$L$300,"Закрыт"),8)))</f>
        <v/>
      </c>
      <c r="F55" s="241">
        <f>IF($B55="","",IF(COUNTIFS(Пул!$E$5:$E$300,$B55,Пул!$L$5:$L$300,"Закрыт")=0,"",ROUND(SUMIFS(Пул!$I$5:$I$300,Пул!$E$5:$E$300,$B55,Пул!$L$5:$L$300,"Закрыт"),8)))</f>
        <v/>
      </c>
      <c r="G55" s="240">
        <f>IF($B55="","",IF(COUNTIFS(Пул!$E$5:$E$300,$B55,Пул!$L$5:$L$300,"Закрыт")=0,"",ROUND(SUMIFS(Пул!$J$5:$J$300,Пул!$E$5:$E$300,$B55,Пул!$L$5:$L$300,"Закрыт"),8)))</f>
        <v/>
      </c>
      <c r="H55" s="241">
        <f>IF($B55="","",IF(COUNTIFS(Пул!$E$5:$E$300,$B55,Пул!$L$5:$L$300,"Закрыт")=0,"",ROUND(SUMIFS(Пул!$K$5:$K$300,Пул!$E$5:$E$300,$B55,Пул!$L$5:$L$300,"Закрыт"),8)))</f>
        <v/>
      </c>
      <c r="I55" s="236">
        <f>IF(AND(ISNUMBER(G55),ISNUMBER(H55)),IF(AND(G55&gt;0,H55&lt;0),"Buy",IF(AND(G55&lt;0,H55&gt;0),"Sell","")),"")</f>
        <v/>
      </c>
      <c r="J55" s="177">
        <f>IF(I55="Buy",G55,IF(I55="Sell",-G55,""))</f>
        <v/>
      </c>
      <c r="K55" s="177">
        <f>IF(AND(ISNUMBER(J55),ISNUMBER(L55),N(J55)&lt;&gt;0),ROUND(L55/J55,8),"")</f>
        <v/>
      </c>
      <c r="L55" s="177">
        <f>IF(I55="Buy",-H55,IF(I55="Sell",H55,""))</f>
        <v/>
      </c>
    </row>
    <row r="56" ht="22" customHeight="1">
      <c r="B56" s="320" t="n"/>
      <c r="C56" s="246">
        <f>IF($B56="","",IF(COUNTIFS(Пул!$E$5:$E$300,$B56,Пул!$F$5:$F$300,"&lt;&gt;")=0,"",ROUND(SUMIFS(Пул!$F$5:$F$300,Пул!$E$5:$E$300,$B56),8)))</f>
        <v/>
      </c>
      <c r="D56" s="247">
        <f>IF($B56="","",IF(COUNTIFS(Пул!$E$5:$E$300,$B56,Пул!$G$5:$G$300,"&lt;&gt;")=0,"",ROUND(SUMIFS(Пул!$G$5:$G$300,Пул!$E$5:$E$300,$B56),8)))</f>
        <v/>
      </c>
      <c r="E56" s="246">
        <f>IF($B56="","",IF(COUNTIFS(Пул!$E$5:$E$300,$B56,Пул!$L$5:$L$300,"Закрыт")=0,"",ROUND(SUMIFS(Пул!$H$5:$H$300,Пул!$E$5:$E$300,$B56,Пул!$L$5:$L$300,"Закрыт"),8)))</f>
        <v/>
      </c>
      <c r="F56" s="247">
        <f>IF($B56="","",IF(COUNTIFS(Пул!$E$5:$E$300,$B56,Пул!$L$5:$L$300,"Закрыт")=0,"",ROUND(SUMIFS(Пул!$I$5:$I$300,Пул!$E$5:$E$300,$B56,Пул!$L$5:$L$300,"Закрыт"),8)))</f>
        <v/>
      </c>
      <c r="G56" s="246">
        <f>IF($B56="","",IF(COUNTIFS(Пул!$E$5:$E$300,$B56,Пул!$L$5:$L$300,"Закрыт")=0,"",ROUND(SUMIFS(Пул!$J$5:$J$300,Пул!$E$5:$E$300,$B56,Пул!$L$5:$L$300,"Закрыт"),8)))</f>
        <v/>
      </c>
      <c r="H56" s="247">
        <f>IF($B56="","",IF(COUNTIFS(Пул!$E$5:$E$300,$B56,Пул!$L$5:$L$300,"Закрыт")=0,"",ROUND(SUMIFS(Пул!$K$5:$K$300,Пул!$E$5:$E$300,$B56,Пул!$L$5:$L$300,"Закрыт"),8)))</f>
        <v/>
      </c>
      <c r="I56" s="242">
        <f>IF(AND(ISNUMBER(G56),ISNUMBER(H56)),IF(AND(G56&gt;0,H56&lt;0),"Buy",IF(AND(G56&lt;0,H56&gt;0),"Sell","")),"")</f>
        <v/>
      </c>
      <c r="J56" s="183">
        <f>IF(I56="Buy",G56,IF(I56="Sell",-G56,""))</f>
        <v/>
      </c>
      <c r="K56" s="183">
        <f>IF(AND(ISNUMBER(J56),ISNUMBER(L56),N(J56)&lt;&gt;0),ROUND(L56/J56,8),"")</f>
        <v/>
      </c>
      <c r="L56" s="183">
        <f>IF(I56="Buy",-H56,IF(I56="Sell",H56,""))</f>
        <v/>
      </c>
    </row>
    <row r="57" ht="22" customHeight="1">
      <c r="B57" s="315" t="n"/>
      <c r="C57" s="240">
        <f>IF($B57="","",IF(COUNTIFS(Пул!$E$5:$E$300,$B57,Пул!$F$5:$F$300,"&lt;&gt;")=0,"",ROUND(SUMIFS(Пул!$F$5:$F$300,Пул!$E$5:$E$300,$B57),8)))</f>
        <v/>
      </c>
      <c r="D57" s="241">
        <f>IF($B57="","",IF(COUNTIFS(Пул!$E$5:$E$300,$B57,Пул!$G$5:$G$300,"&lt;&gt;")=0,"",ROUND(SUMIFS(Пул!$G$5:$G$300,Пул!$E$5:$E$300,$B57),8)))</f>
        <v/>
      </c>
      <c r="E57" s="240">
        <f>IF($B57="","",IF(COUNTIFS(Пул!$E$5:$E$300,$B57,Пул!$L$5:$L$300,"Закрыт")=0,"",ROUND(SUMIFS(Пул!$H$5:$H$300,Пул!$E$5:$E$300,$B57,Пул!$L$5:$L$300,"Закрыт"),8)))</f>
        <v/>
      </c>
      <c r="F57" s="241">
        <f>IF($B57="","",IF(COUNTIFS(Пул!$E$5:$E$300,$B57,Пул!$L$5:$L$300,"Закрыт")=0,"",ROUND(SUMIFS(Пул!$I$5:$I$300,Пул!$E$5:$E$300,$B57,Пул!$L$5:$L$300,"Закрыт"),8)))</f>
        <v/>
      </c>
      <c r="G57" s="240">
        <f>IF($B57="","",IF(COUNTIFS(Пул!$E$5:$E$300,$B57,Пул!$L$5:$L$300,"Закрыт")=0,"",ROUND(SUMIFS(Пул!$J$5:$J$300,Пул!$E$5:$E$300,$B57,Пул!$L$5:$L$300,"Закрыт"),8)))</f>
        <v/>
      </c>
      <c r="H57" s="241">
        <f>IF($B57="","",IF(COUNTIFS(Пул!$E$5:$E$300,$B57,Пул!$L$5:$L$300,"Закрыт")=0,"",ROUND(SUMIFS(Пул!$K$5:$K$300,Пул!$E$5:$E$300,$B57,Пул!$L$5:$L$300,"Закрыт"),8)))</f>
        <v/>
      </c>
      <c r="I57" s="236">
        <f>IF(AND(ISNUMBER(G57),ISNUMBER(H57)),IF(AND(G57&gt;0,H57&lt;0),"Buy",IF(AND(G57&lt;0,H57&gt;0),"Sell","")),"")</f>
        <v/>
      </c>
      <c r="J57" s="177">
        <f>IF(I57="Buy",G57,IF(I57="Sell",-G57,""))</f>
        <v/>
      </c>
      <c r="K57" s="177">
        <f>IF(AND(ISNUMBER(J57),ISNUMBER(L57),N(J57)&lt;&gt;0),ROUND(L57/J57,8),"")</f>
        <v/>
      </c>
      <c r="L57" s="177">
        <f>IF(I57="Buy",-H57,IF(I57="Sell",H57,""))</f>
        <v/>
      </c>
    </row>
    <row r="58" ht="22" customHeight="1">
      <c r="B58" s="320" t="n"/>
      <c r="C58" s="246">
        <f>IF($B58="","",IF(COUNTIFS(Пул!$E$5:$E$300,$B58,Пул!$F$5:$F$300,"&lt;&gt;")=0,"",ROUND(SUMIFS(Пул!$F$5:$F$300,Пул!$E$5:$E$300,$B58),8)))</f>
        <v/>
      </c>
      <c r="D58" s="247">
        <f>IF($B58="","",IF(COUNTIFS(Пул!$E$5:$E$300,$B58,Пул!$G$5:$G$300,"&lt;&gt;")=0,"",ROUND(SUMIFS(Пул!$G$5:$G$300,Пул!$E$5:$E$300,$B58),8)))</f>
        <v/>
      </c>
      <c r="E58" s="246">
        <f>IF($B58="","",IF(COUNTIFS(Пул!$E$5:$E$300,$B58,Пул!$L$5:$L$300,"Закрыт")=0,"",ROUND(SUMIFS(Пул!$H$5:$H$300,Пул!$E$5:$E$300,$B58,Пул!$L$5:$L$300,"Закрыт"),8)))</f>
        <v/>
      </c>
      <c r="F58" s="247">
        <f>IF($B58="","",IF(COUNTIFS(Пул!$E$5:$E$300,$B58,Пул!$L$5:$L$300,"Закрыт")=0,"",ROUND(SUMIFS(Пул!$I$5:$I$300,Пул!$E$5:$E$300,$B58,Пул!$L$5:$L$300,"Закрыт"),8)))</f>
        <v/>
      </c>
      <c r="G58" s="246">
        <f>IF($B58="","",IF(COUNTIFS(Пул!$E$5:$E$300,$B58,Пул!$L$5:$L$300,"Закрыт")=0,"",ROUND(SUMIFS(Пул!$J$5:$J$300,Пул!$E$5:$E$300,$B58,Пул!$L$5:$L$300,"Закрыт"),8)))</f>
        <v/>
      </c>
      <c r="H58" s="247">
        <f>IF($B58="","",IF(COUNTIFS(Пул!$E$5:$E$300,$B58,Пул!$L$5:$L$300,"Закрыт")=0,"",ROUND(SUMIFS(Пул!$K$5:$K$300,Пул!$E$5:$E$300,$B58,Пул!$L$5:$L$300,"Закрыт"),8)))</f>
        <v/>
      </c>
      <c r="I58" s="242">
        <f>IF(AND(ISNUMBER(G58),ISNUMBER(H58)),IF(AND(G58&gt;0,H58&lt;0),"Buy",IF(AND(G58&lt;0,H58&gt;0),"Sell","")),"")</f>
        <v/>
      </c>
      <c r="J58" s="183">
        <f>IF(I58="Buy",G58,IF(I58="Sell",-G58,""))</f>
        <v/>
      </c>
      <c r="K58" s="183">
        <f>IF(AND(ISNUMBER(J58),ISNUMBER(L58),N(J58)&lt;&gt;0),ROUND(L58/J58,8),"")</f>
        <v/>
      </c>
      <c r="L58" s="183">
        <f>IF(I58="Buy",-H58,IF(I58="Sell",H58,""))</f>
        <v/>
      </c>
    </row>
    <row r="59" ht="22" customHeight="1">
      <c r="B59" s="315" t="n"/>
      <c r="C59" s="240">
        <f>IF($B59="","",IF(COUNTIFS(Пул!$E$5:$E$300,$B59,Пул!$F$5:$F$300,"&lt;&gt;")=0,"",ROUND(SUMIFS(Пул!$F$5:$F$300,Пул!$E$5:$E$300,$B59),8)))</f>
        <v/>
      </c>
      <c r="D59" s="241">
        <f>IF($B59="","",IF(COUNTIFS(Пул!$E$5:$E$300,$B59,Пул!$G$5:$G$300,"&lt;&gt;")=0,"",ROUND(SUMIFS(Пул!$G$5:$G$300,Пул!$E$5:$E$300,$B59),8)))</f>
        <v/>
      </c>
      <c r="E59" s="240">
        <f>IF($B59="","",IF(COUNTIFS(Пул!$E$5:$E$300,$B59,Пул!$L$5:$L$300,"Закрыт")=0,"",ROUND(SUMIFS(Пул!$H$5:$H$300,Пул!$E$5:$E$300,$B59,Пул!$L$5:$L$300,"Закрыт"),8)))</f>
        <v/>
      </c>
      <c r="F59" s="241">
        <f>IF($B59="","",IF(COUNTIFS(Пул!$E$5:$E$300,$B59,Пул!$L$5:$L$300,"Закрыт")=0,"",ROUND(SUMIFS(Пул!$I$5:$I$300,Пул!$E$5:$E$300,$B59,Пул!$L$5:$L$300,"Закрыт"),8)))</f>
        <v/>
      </c>
      <c r="G59" s="240">
        <f>IF($B59="","",IF(COUNTIFS(Пул!$E$5:$E$300,$B59,Пул!$L$5:$L$300,"Закрыт")=0,"",ROUND(SUMIFS(Пул!$J$5:$J$300,Пул!$E$5:$E$300,$B59,Пул!$L$5:$L$300,"Закрыт"),8)))</f>
        <v/>
      </c>
      <c r="H59" s="241">
        <f>IF($B59="","",IF(COUNTIFS(Пул!$E$5:$E$300,$B59,Пул!$L$5:$L$300,"Закрыт")=0,"",ROUND(SUMIFS(Пул!$K$5:$K$300,Пул!$E$5:$E$300,$B59,Пул!$L$5:$L$300,"Закрыт"),8)))</f>
        <v/>
      </c>
      <c r="I59" s="236">
        <f>IF(AND(ISNUMBER(G59),ISNUMBER(H59)),IF(AND(G59&gt;0,H59&lt;0),"Buy",IF(AND(G59&lt;0,H59&gt;0),"Sell","")),"")</f>
        <v/>
      </c>
      <c r="J59" s="177">
        <f>IF(I59="Buy",G59,IF(I59="Sell",-G59,""))</f>
        <v/>
      </c>
      <c r="K59" s="177">
        <f>IF(AND(ISNUMBER(J59),ISNUMBER(L59),N(J59)&lt;&gt;0),ROUND(L59/J59,8),"")</f>
        <v/>
      </c>
      <c r="L59" s="177">
        <f>IF(I59="Buy",-H59,IF(I59="Sell",H59,""))</f>
        <v/>
      </c>
    </row>
    <row r="60" ht="22" customHeight="1">
      <c r="B60" s="320" t="n"/>
      <c r="C60" s="246">
        <f>IF($B60="","",IF(COUNTIFS(Пул!$E$5:$E$300,$B60,Пул!$F$5:$F$300,"&lt;&gt;")=0,"",ROUND(SUMIFS(Пул!$F$5:$F$300,Пул!$E$5:$E$300,$B60),8)))</f>
        <v/>
      </c>
      <c r="D60" s="247">
        <f>IF($B60="","",IF(COUNTIFS(Пул!$E$5:$E$300,$B60,Пул!$G$5:$G$300,"&lt;&gt;")=0,"",ROUND(SUMIFS(Пул!$G$5:$G$300,Пул!$E$5:$E$300,$B60),8)))</f>
        <v/>
      </c>
      <c r="E60" s="246">
        <f>IF($B60="","",IF(COUNTIFS(Пул!$E$5:$E$300,$B60,Пул!$L$5:$L$300,"Закрыт")=0,"",ROUND(SUMIFS(Пул!$H$5:$H$300,Пул!$E$5:$E$300,$B60,Пул!$L$5:$L$300,"Закрыт"),8)))</f>
        <v/>
      </c>
      <c r="F60" s="247">
        <f>IF($B60="","",IF(COUNTIFS(Пул!$E$5:$E$300,$B60,Пул!$L$5:$L$300,"Закрыт")=0,"",ROUND(SUMIFS(Пул!$I$5:$I$300,Пул!$E$5:$E$300,$B60,Пул!$L$5:$L$300,"Закрыт"),8)))</f>
        <v/>
      </c>
      <c r="G60" s="246">
        <f>IF($B60="","",IF(COUNTIFS(Пул!$E$5:$E$300,$B60,Пул!$L$5:$L$300,"Закрыт")=0,"",ROUND(SUMIFS(Пул!$J$5:$J$300,Пул!$E$5:$E$300,$B60,Пул!$L$5:$L$300,"Закрыт"),8)))</f>
        <v/>
      </c>
      <c r="H60" s="247">
        <f>IF($B60="","",IF(COUNTIFS(Пул!$E$5:$E$300,$B60,Пул!$L$5:$L$300,"Закрыт")=0,"",ROUND(SUMIFS(Пул!$K$5:$K$300,Пул!$E$5:$E$300,$B60,Пул!$L$5:$L$300,"Закрыт"),8)))</f>
        <v/>
      </c>
      <c r="I60" s="242">
        <f>IF(AND(ISNUMBER(G60),ISNUMBER(H60)),IF(AND(G60&gt;0,H60&lt;0),"Buy",IF(AND(G60&lt;0,H60&gt;0),"Sell","")),"")</f>
        <v/>
      </c>
      <c r="J60" s="183">
        <f>IF(I60="Buy",G60,IF(I60="Sell",-G60,""))</f>
        <v/>
      </c>
      <c r="K60" s="183">
        <f>IF(AND(ISNUMBER(J60),ISNUMBER(L60),N(J60)&lt;&gt;0),ROUND(L60/J60,8),"")</f>
        <v/>
      </c>
      <c r="L60" s="183">
        <f>IF(I60="Buy",-H60,IF(I60="Sell",H60,""))</f>
        <v/>
      </c>
    </row>
    <row r="61" ht="22" customHeight="1">
      <c r="B61" s="315" t="n"/>
      <c r="C61" s="240">
        <f>IF($B61="","",IF(COUNTIFS(Пул!$E$5:$E$300,$B61,Пул!$F$5:$F$300,"&lt;&gt;")=0,"",ROUND(SUMIFS(Пул!$F$5:$F$300,Пул!$E$5:$E$300,$B61),8)))</f>
        <v/>
      </c>
      <c r="D61" s="241">
        <f>IF($B61="","",IF(COUNTIFS(Пул!$E$5:$E$300,$B61,Пул!$G$5:$G$300,"&lt;&gt;")=0,"",ROUND(SUMIFS(Пул!$G$5:$G$300,Пул!$E$5:$E$300,$B61),8)))</f>
        <v/>
      </c>
      <c r="E61" s="240">
        <f>IF($B61="","",IF(COUNTIFS(Пул!$E$5:$E$300,$B61,Пул!$L$5:$L$300,"Закрыт")=0,"",ROUND(SUMIFS(Пул!$H$5:$H$300,Пул!$E$5:$E$300,$B61,Пул!$L$5:$L$300,"Закрыт"),8)))</f>
        <v/>
      </c>
      <c r="F61" s="241">
        <f>IF($B61="","",IF(COUNTIFS(Пул!$E$5:$E$300,$B61,Пул!$L$5:$L$300,"Закрыт")=0,"",ROUND(SUMIFS(Пул!$I$5:$I$300,Пул!$E$5:$E$300,$B61,Пул!$L$5:$L$300,"Закрыт"),8)))</f>
        <v/>
      </c>
      <c r="G61" s="240">
        <f>IF($B61="","",IF(COUNTIFS(Пул!$E$5:$E$300,$B61,Пул!$L$5:$L$300,"Закрыт")=0,"",ROUND(SUMIFS(Пул!$J$5:$J$300,Пул!$E$5:$E$300,$B61,Пул!$L$5:$L$300,"Закрыт"),8)))</f>
        <v/>
      </c>
      <c r="H61" s="241">
        <f>IF($B61="","",IF(COUNTIFS(Пул!$E$5:$E$300,$B61,Пул!$L$5:$L$300,"Закрыт")=0,"",ROUND(SUMIFS(Пул!$K$5:$K$300,Пул!$E$5:$E$300,$B61,Пул!$L$5:$L$300,"Закрыт"),8)))</f>
        <v/>
      </c>
      <c r="I61" s="236">
        <f>IF(AND(ISNUMBER(G61),ISNUMBER(H61)),IF(AND(G61&gt;0,H61&lt;0),"Buy",IF(AND(G61&lt;0,H61&gt;0),"Sell","")),"")</f>
        <v/>
      </c>
      <c r="J61" s="177">
        <f>IF(I61="Buy",G61,IF(I61="Sell",-G61,""))</f>
        <v/>
      </c>
      <c r="K61" s="177">
        <f>IF(AND(ISNUMBER(J61),ISNUMBER(L61),N(J61)&lt;&gt;0),ROUND(L61/J61,8),"")</f>
        <v/>
      </c>
      <c r="L61" s="177">
        <f>IF(I61="Buy",-H61,IF(I61="Sell",H61,""))</f>
        <v/>
      </c>
    </row>
    <row r="62" ht="22" customHeight="1">
      <c r="B62" s="320" t="n"/>
      <c r="C62" s="246">
        <f>IF($B62="","",IF(COUNTIFS(Пул!$E$5:$E$300,$B62,Пул!$F$5:$F$300,"&lt;&gt;")=0,"",ROUND(SUMIFS(Пул!$F$5:$F$300,Пул!$E$5:$E$300,$B62),8)))</f>
        <v/>
      </c>
      <c r="D62" s="247">
        <f>IF($B62="","",IF(COUNTIFS(Пул!$E$5:$E$300,$B62,Пул!$G$5:$G$300,"&lt;&gt;")=0,"",ROUND(SUMIFS(Пул!$G$5:$G$300,Пул!$E$5:$E$300,$B62),8)))</f>
        <v/>
      </c>
      <c r="E62" s="246">
        <f>IF($B62="","",IF(COUNTIFS(Пул!$E$5:$E$300,$B62,Пул!$L$5:$L$300,"Закрыт")=0,"",ROUND(SUMIFS(Пул!$H$5:$H$300,Пул!$E$5:$E$300,$B62,Пул!$L$5:$L$300,"Закрыт"),8)))</f>
        <v/>
      </c>
      <c r="F62" s="247">
        <f>IF($B62="","",IF(COUNTIFS(Пул!$E$5:$E$300,$B62,Пул!$L$5:$L$300,"Закрыт")=0,"",ROUND(SUMIFS(Пул!$I$5:$I$300,Пул!$E$5:$E$300,$B62,Пул!$L$5:$L$300,"Закрыт"),8)))</f>
        <v/>
      </c>
      <c r="G62" s="246">
        <f>IF($B62="","",IF(COUNTIFS(Пул!$E$5:$E$300,$B62,Пул!$L$5:$L$300,"Закрыт")=0,"",ROUND(SUMIFS(Пул!$J$5:$J$300,Пул!$E$5:$E$300,$B62,Пул!$L$5:$L$300,"Закрыт"),8)))</f>
        <v/>
      </c>
      <c r="H62" s="247">
        <f>IF($B62="","",IF(COUNTIFS(Пул!$E$5:$E$300,$B62,Пул!$L$5:$L$300,"Закрыт")=0,"",ROUND(SUMIFS(Пул!$K$5:$K$300,Пул!$E$5:$E$300,$B62,Пул!$L$5:$L$300,"Закрыт"),8)))</f>
        <v/>
      </c>
      <c r="I62" s="242">
        <f>IF(AND(ISNUMBER(G62),ISNUMBER(H62)),IF(AND(G62&gt;0,H62&lt;0),"Buy",IF(AND(G62&lt;0,H62&gt;0),"Sell","")),"")</f>
        <v/>
      </c>
      <c r="J62" s="183">
        <f>IF(I62="Buy",G62,IF(I62="Sell",-G62,""))</f>
        <v/>
      </c>
      <c r="K62" s="183">
        <f>IF(AND(ISNUMBER(J62),ISNUMBER(L62),N(J62)&lt;&gt;0),ROUND(L62/J62,8),"")</f>
        <v/>
      </c>
      <c r="L62" s="183">
        <f>IF(I62="Buy",-H62,IF(I62="Sell",H62,""))</f>
        <v/>
      </c>
    </row>
    <row r="63" ht="22" customHeight="1">
      <c r="B63" s="315" t="n"/>
      <c r="C63" s="240">
        <f>IF($B63="","",IF(COUNTIFS(Пул!$E$5:$E$300,$B63,Пул!$F$5:$F$300,"&lt;&gt;")=0,"",ROUND(SUMIFS(Пул!$F$5:$F$300,Пул!$E$5:$E$300,$B63),8)))</f>
        <v/>
      </c>
      <c r="D63" s="241">
        <f>IF($B63="","",IF(COUNTIFS(Пул!$E$5:$E$300,$B63,Пул!$G$5:$G$300,"&lt;&gt;")=0,"",ROUND(SUMIFS(Пул!$G$5:$G$300,Пул!$E$5:$E$300,$B63),8)))</f>
        <v/>
      </c>
      <c r="E63" s="240">
        <f>IF($B63="","",IF(COUNTIFS(Пул!$E$5:$E$300,$B63,Пул!$L$5:$L$300,"Закрыт")=0,"",ROUND(SUMIFS(Пул!$H$5:$H$300,Пул!$E$5:$E$300,$B63,Пул!$L$5:$L$300,"Закрыт"),8)))</f>
        <v/>
      </c>
      <c r="F63" s="241">
        <f>IF($B63="","",IF(COUNTIFS(Пул!$E$5:$E$300,$B63,Пул!$L$5:$L$300,"Закрыт")=0,"",ROUND(SUMIFS(Пул!$I$5:$I$300,Пул!$E$5:$E$300,$B63,Пул!$L$5:$L$300,"Закрыт"),8)))</f>
        <v/>
      </c>
      <c r="G63" s="240">
        <f>IF($B63="","",IF(COUNTIFS(Пул!$E$5:$E$300,$B63,Пул!$L$5:$L$300,"Закрыт")=0,"",ROUND(SUMIFS(Пул!$J$5:$J$300,Пул!$E$5:$E$300,$B63,Пул!$L$5:$L$300,"Закрыт"),8)))</f>
        <v/>
      </c>
      <c r="H63" s="241">
        <f>IF($B63="","",IF(COUNTIFS(Пул!$E$5:$E$300,$B63,Пул!$L$5:$L$300,"Закрыт")=0,"",ROUND(SUMIFS(Пул!$K$5:$K$300,Пул!$E$5:$E$300,$B63,Пул!$L$5:$L$300,"Закрыт"),8)))</f>
        <v/>
      </c>
      <c r="I63" s="236">
        <f>IF(AND(ISNUMBER(G63),ISNUMBER(H63)),IF(AND(G63&gt;0,H63&lt;0),"Buy",IF(AND(G63&lt;0,H63&gt;0),"Sell","")),"")</f>
        <v/>
      </c>
      <c r="J63" s="177">
        <f>IF(I63="Buy",G63,IF(I63="Sell",-G63,""))</f>
        <v/>
      </c>
      <c r="K63" s="177">
        <f>IF(AND(ISNUMBER(J63),ISNUMBER(L63),N(J63)&lt;&gt;0),ROUND(L63/J63,8),"")</f>
        <v/>
      </c>
      <c r="L63" s="177">
        <f>IF(I63="Buy",-H63,IF(I63="Sell",H63,""))</f>
        <v/>
      </c>
    </row>
    <row r="64" ht="22" customHeight="1">
      <c r="B64" s="320" t="n"/>
      <c r="C64" s="246">
        <f>IF($B64="","",IF(COUNTIFS(Пул!$E$5:$E$300,$B64,Пул!$F$5:$F$300,"&lt;&gt;")=0,"",ROUND(SUMIFS(Пул!$F$5:$F$300,Пул!$E$5:$E$300,$B64),8)))</f>
        <v/>
      </c>
      <c r="D64" s="247">
        <f>IF($B64="","",IF(COUNTIFS(Пул!$E$5:$E$300,$B64,Пул!$G$5:$G$300,"&lt;&gt;")=0,"",ROUND(SUMIFS(Пул!$G$5:$G$300,Пул!$E$5:$E$300,$B64),8)))</f>
        <v/>
      </c>
      <c r="E64" s="246">
        <f>IF($B64="","",IF(COUNTIFS(Пул!$E$5:$E$300,$B64,Пул!$L$5:$L$300,"Закрыт")=0,"",ROUND(SUMIFS(Пул!$H$5:$H$300,Пул!$E$5:$E$300,$B64,Пул!$L$5:$L$300,"Закрыт"),8)))</f>
        <v/>
      </c>
      <c r="F64" s="247">
        <f>IF($B64="","",IF(COUNTIFS(Пул!$E$5:$E$300,$B64,Пул!$L$5:$L$300,"Закрыт")=0,"",ROUND(SUMIFS(Пул!$I$5:$I$300,Пул!$E$5:$E$300,$B64,Пул!$L$5:$L$300,"Закрыт"),8)))</f>
        <v/>
      </c>
      <c r="G64" s="246">
        <f>IF($B64="","",IF(COUNTIFS(Пул!$E$5:$E$300,$B64,Пул!$L$5:$L$300,"Закрыт")=0,"",ROUND(SUMIFS(Пул!$J$5:$J$300,Пул!$E$5:$E$300,$B64,Пул!$L$5:$L$300,"Закрыт"),8)))</f>
        <v/>
      </c>
      <c r="H64" s="247">
        <f>IF($B64="","",IF(COUNTIFS(Пул!$E$5:$E$300,$B64,Пул!$L$5:$L$300,"Закрыт")=0,"",ROUND(SUMIFS(Пул!$K$5:$K$300,Пул!$E$5:$E$300,$B64,Пул!$L$5:$L$300,"Закрыт"),8)))</f>
        <v/>
      </c>
      <c r="I64" s="242">
        <f>IF(AND(ISNUMBER(G64),ISNUMBER(H64)),IF(AND(G64&gt;0,H64&lt;0),"Buy",IF(AND(G64&lt;0,H64&gt;0),"Sell","")),"")</f>
        <v/>
      </c>
      <c r="J64" s="183">
        <f>IF(I64="Buy",G64,IF(I64="Sell",-G64,""))</f>
        <v/>
      </c>
      <c r="K64" s="183">
        <f>IF(AND(ISNUMBER(J64),ISNUMBER(L64),N(J64)&lt;&gt;0),ROUND(L64/J64,8),"")</f>
        <v/>
      </c>
      <c r="L64" s="183">
        <f>IF(I64="Buy",-H64,IF(I64="Sell",H64,""))</f>
        <v/>
      </c>
    </row>
    <row r="65" ht="22" customHeight="1">
      <c r="B65" s="315" t="n"/>
      <c r="C65" s="240">
        <f>IF($B65="","",IF(COUNTIFS(Пул!$E$5:$E$300,$B65,Пул!$F$5:$F$300,"&lt;&gt;")=0,"",ROUND(SUMIFS(Пул!$F$5:$F$300,Пул!$E$5:$E$300,$B65),8)))</f>
        <v/>
      </c>
      <c r="D65" s="241">
        <f>IF($B65="","",IF(COUNTIFS(Пул!$E$5:$E$300,$B65,Пул!$G$5:$G$300,"&lt;&gt;")=0,"",ROUND(SUMIFS(Пул!$G$5:$G$300,Пул!$E$5:$E$300,$B65),8)))</f>
        <v/>
      </c>
      <c r="E65" s="240">
        <f>IF($B65="","",IF(COUNTIFS(Пул!$E$5:$E$300,$B65,Пул!$L$5:$L$300,"Закрыт")=0,"",ROUND(SUMIFS(Пул!$H$5:$H$300,Пул!$E$5:$E$300,$B65,Пул!$L$5:$L$300,"Закрыт"),8)))</f>
        <v/>
      </c>
      <c r="F65" s="241">
        <f>IF($B65="","",IF(COUNTIFS(Пул!$E$5:$E$300,$B65,Пул!$L$5:$L$300,"Закрыт")=0,"",ROUND(SUMIFS(Пул!$I$5:$I$300,Пул!$E$5:$E$300,$B65,Пул!$L$5:$L$300,"Закрыт"),8)))</f>
        <v/>
      </c>
      <c r="G65" s="240">
        <f>IF($B65="","",IF(COUNTIFS(Пул!$E$5:$E$300,$B65,Пул!$L$5:$L$300,"Закрыт")=0,"",ROUND(SUMIFS(Пул!$J$5:$J$300,Пул!$E$5:$E$300,$B65,Пул!$L$5:$L$300,"Закрыт"),8)))</f>
        <v/>
      </c>
      <c r="H65" s="241">
        <f>IF($B65="","",IF(COUNTIFS(Пул!$E$5:$E$300,$B65,Пул!$L$5:$L$300,"Закрыт")=0,"",ROUND(SUMIFS(Пул!$K$5:$K$300,Пул!$E$5:$E$300,$B65,Пул!$L$5:$L$300,"Закрыт"),8)))</f>
        <v/>
      </c>
      <c r="I65" s="236">
        <f>IF(AND(ISNUMBER(G65),ISNUMBER(H65)),IF(AND(G65&gt;0,H65&lt;0),"Buy",IF(AND(G65&lt;0,H65&gt;0),"Sell","")),"")</f>
        <v/>
      </c>
      <c r="J65" s="177">
        <f>IF(I65="Buy",G65,IF(I65="Sell",-G65,""))</f>
        <v/>
      </c>
      <c r="K65" s="177">
        <f>IF(AND(ISNUMBER(J65),ISNUMBER(L65),N(J65)&lt;&gt;0),ROUND(L65/J65,8),"")</f>
        <v/>
      </c>
      <c r="L65" s="177">
        <f>IF(I65="Buy",-H65,IF(I65="Sell",H65,""))</f>
        <v/>
      </c>
    </row>
    <row r="66" ht="22" customHeight="1">
      <c r="B66" s="320" t="n"/>
      <c r="C66" s="246">
        <f>IF($B66="","",IF(COUNTIFS(Пул!$E$5:$E$300,$B66,Пул!$F$5:$F$300,"&lt;&gt;")=0,"",ROUND(SUMIFS(Пул!$F$5:$F$300,Пул!$E$5:$E$300,$B66),8)))</f>
        <v/>
      </c>
      <c r="D66" s="247">
        <f>IF($B66="","",IF(COUNTIFS(Пул!$E$5:$E$300,$B66,Пул!$G$5:$G$300,"&lt;&gt;")=0,"",ROUND(SUMIFS(Пул!$G$5:$G$300,Пул!$E$5:$E$300,$B66),8)))</f>
        <v/>
      </c>
      <c r="E66" s="246">
        <f>IF($B66="","",IF(COUNTIFS(Пул!$E$5:$E$300,$B66,Пул!$L$5:$L$300,"Закрыт")=0,"",ROUND(SUMIFS(Пул!$H$5:$H$300,Пул!$E$5:$E$300,$B66,Пул!$L$5:$L$300,"Закрыт"),8)))</f>
        <v/>
      </c>
      <c r="F66" s="247">
        <f>IF($B66="","",IF(COUNTIFS(Пул!$E$5:$E$300,$B66,Пул!$L$5:$L$300,"Закрыт")=0,"",ROUND(SUMIFS(Пул!$I$5:$I$300,Пул!$E$5:$E$300,$B66,Пул!$L$5:$L$300,"Закрыт"),8)))</f>
        <v/>
      </c>
      <c r="G66" s="246">
        <f>IF($B66="","",IF(COUNTIFS(Пул!$E$5:$E$300,$B66,Пул!$L$5:$L$300,"Закрыт")=0,"",ROUND(SUMIFS(Пул!$J$5:$J$300,Пул!$E$5:$E$300,$B66,Пул!$L$5:$L$300,"Закрыт"),8)))</f>
        <v/>
      </c>
      <c r="H66" s="247">
        <f>IF($B66="","",IF(COUNTIFS(Пул!$E$5:$E$300,$B66,Пул!$L$5:$L$300,"Закрыт")=0,"",ROUND(SUMIFS(Пул!$K$5:$K$300,Пул!$E$5:$E$300,$B66,Пул!$L$5:$L$300,"Закрыт"),8)))</f>
        <v/>
      </c>
      <c r="I66" s="242">
        <f>IF(AND(ISNUMBER(G66),ISNUMBER(H66)),IF(AND(G66&gt;0,H66&lt;0),"Buy",IF(AND(G66&lt;0,H66&gt;0),"Sell","")),"")</f>
        <v/>
      </c>
      <c r="J66" s="183">
        <f>IF(I66="Buy",G66,IF(I66="Sell",-G66,""))</f>
        <v/>
      </c>
      <c r="K66" s="183">
        <f>IF(AND(ISNUMBER(J66),ISNUMBER(L66),N(J66)&lt;&gt;0),ROUND(L66/J66,8),"")</f>
        <v/>
      </c>
      <c r="L66" s="183">
        <f>IF(I66="Buy",-H66,IF(I66="Sell",H66,""))</f>
        <v/>
      </c>
    </row>
    <row r="67" ht="22" customHeight="1">
      <c r="B67" s="315" t="n"/>
      <c r="C67" s="240">
        <f>IF($B67="","",IF(COUNTIFS(Пул!$E$5:$E$300,$B67,Пул!$F$5:$F$300,"&lt;&gt;")=0,"",ROUND(SUMIFS(Пул!$F$5:$F$300,Пул!$E$5:$E$300,$B67),8)))</f>
        <v/>
      </c>
      <c r="D67" s="241">
        <f>IF($B67="","",IF(COUNTIFS(Пул!$E$5:$E$300,$B67,Пул!$G$5:$G$300,"&lt;&gt;")=0,"",ROUND(SUMIFS(Пул!$G$5:$G$300,Пул!$E$5:$E$300,$B67),8)))</f>
        <v/>
      </c>
      <c r="E67" s="240">
        <f>IF($B67="","",IF(COUNTIFS(Пул!$E$5:$E$300,$B67,Пул!$L$5:$L$300,"Закрыт")=0,"",ROUND(SUMIFS(Пул!$H$5:$H$300,Пул!$E$5:$E$300,$B67,Пул!$L$5:$L$300,"Закрыт"),8)))</f>
        <v/>
      </c>
      <c r="F67" s="241">
        <f>IF($B67="","",IF(COUNTIFS(Пул!$E$5:$E$300,$B67,Пул!$L$5:$L$300,"Закрыт")=0,"",ROUND(SUMIFS(Пул!$I$5:$I$300,Пул!$E$5:$E$300,$B67,Пул!$L$5:$L$300,"Закрыт"),8)))</f>
        <v/>
      </c>
      <c r="G67" s="240">
        <f>IF($B67="","",IF(COUNTIFS(Пул!$E$5:$E$300,$B67,Пул!$L$5:$L$300,"Закрыт")=0,"",ROUND(SUMIFS(Пул!$J$5:$J$300,Пул!$E$5:$E$300,$B67,Пул!$L$5:$L$300,"Закрыт"),8)))</f>
        <v/>
      </c>
      <c r="H67" s="241">
        <f>IF($B67="","",IF(COUNTIFS(Пул!$E$5:$E$300,$B67,Пул!$L$5:$L$300,"Закрыт")=0,"",ROUND(SUMIFS(Пул!$K$5:$K$300,Пул!$E$5:$E$300,$B67,Пул!$L$5:$L$300,"Закрыт"),8)))</f>
        <v/>
      </c>
      <c r="I67" s="236">
        <f>IF(AND(ISNUMBER(G67),ISNUMBER(H67)),IF(AND(G67&gt;0,H67&lt;0),"Buy",IF(AND(G67&lt;0,H67&gt;0),"Sell","")),"")</f>
        <v/>
      </c>
      <c r="J67" s="177">
        <f>IF(I67="Buy",G67,IF(I67="Sell",-G67,""))</f>
        <v/>
      </c>
      <c r="K67" s="177">
        <f>IF(AND(ISNUMBER(J67),ISNUMBER(L67),N(J67)&lt;&gt;0),ROUND(L67/J67,8),"")</f>
        <v/>
      </c>
      <c r="L67" s="177">
        <f>IF(I67="Buy",-H67,IF(I67="Sell",H67,""))</f>
        <v/>
      </c>
    </row>
    <row r="68" ht="22" customHeight="1">
      <c r="B68" s="320" t="n"/>
      <c r="C68" s="246">
        <f>IF($B68="","",IF(COUNTIFS(Пул!$E$5:$E$300,$B68,Пул!$F$5:$F$300,"&lt;&gt;")=0,"",ROUND(SUMIFS(Пул!$F$5:$F$300,Пул!$E$5:$E$300,$B68),8)))</f>
        <v/>
      </c>
      <c r="D68" s="247">
        <f>IF($B68="","",IF(COUNTIFS(Пул!$E$5:$E$300,$B68,Пул!$G$5:$G$300,"&lt;&gt;")=0,"",ROUND(SUMIFS(Пул!$G$5:$G$300,Пул!$E$5:$E$300,$B68),8)))</f>
        <v/>
      </c>
      <c r="E68" s="246">
        <f>IF($B68="","",IF(COUNTIFS(Пул!$E$5:$E$300,$B68,Пул!$L$5:$L$300,"Закрыт")=0,"",ROUND(SUMIFS(Пул!$H$5:$H$300,Пул!$E$5:$E$300,$B68,Пул!$L$5:$L$300,"Закрыт"),8)))</f>
        <v/>
      </c>
      <c r="F68" s="247">
        <f>IF($B68="","",IF(COUNTIFS(Пул!$E$5:$E$300,$B68,Пул!$L$5:$L$300,"Закрыт")=0,"",ROUND(SUMIFS(Пул!$I$5:$I$300,Пул!$E$5:$E$300,$B68,Пул!$L$5:$L$300,"Закрыт"),8)))</f>
        <v/>
      </c>
      <c r="G68" s="246">
        <f>IF($B68="","",IF(COUNTIFS(Пул!$E$5:$E$300,$B68,Пул!$L$5:$L$300,"Закрыт")=0,"",ROUND(SUMIFS(Пул!$J$5:$J$300,Пул!$E$5:$E$300,$B68,Пул!$L$5:$L$300,"Закрыт"),8)))</f>
        <v/>
      </c>
      <c r="H68" s="247">
        <f>IF($B68="","",IF(COUNTIFS(Пул!$E$5:$E$300,$B68,Пул!$L$5:$L$300,"Закрыт")=0,"",ROUND(SUMIFS(Пул!$K$5:$K$300,Пул!$E$5:$E$300,$B68,Пул!$L$5:$L$300,"Закрыт"),8)))</f>
        <v/>
      </c>
      <c r="I68" s="242">
        <f>IF(AND(ISNUMBER(G68),ISNUMBER(H68)),IF(AND(G68&gt;0,H68&lt;0),"Buy",IF(AND(G68&lt;0,H68&gt;0),"Sell","")),"")</f>
        <v/>
      </c>
      <c r="J68" s="183">
        <f>IF(I68="Buy",G68,IF(I68="Sell",-G68,""))</f>
        <v/>
      </c>
      <c r="K68" s="183">
        <f>IF(AND(ISNUMBER(J68),ISNUMBER(L68),N(J68)&lt;&gt;0),ROUND(L68/J68,8),"")</f>
        <v/>
      </c>
      <c r="L68" s="183">
        <f>IF(I68="Buy",-H68,IF(I68="Sell",H68,""))</f>
        <v/>
      </c>
    </row>
    <row r="69" ht="22" customHeight="1">
      <c r="B69" s="315" t="n"/>
      <c r="C69" s="240">
        <f>IF($B69="","",IF(COUNTIFS(Пул!$E$5:$E$300,$B69,Пул!$F$5:$F$300,"&lt;&gt;")=0,"",ROUND(SUMIFS(Пул!$F$5:$F$300,Пул!$E$5:$E$300,$B69),8)))</f>
        <v/>
      </c>
      <c r="D69" s="241">
        <f>IF($B69="","",IF(COUNTIFS(Пул!$E$5:$E$300,$B69,Пул!$G$5:$G$300,"&lt;&gt;")=0,"",ROUND(SUMIFS(Пул!$G$5:$G$300,Пул!$E$5:$E$300,$B69),8)))</f>
        <v/>
      </c>
      <c r="E69" s="240">
        <f>IF($B69="","",IF(COUNTIFS(Пул!$E$5:$E$300,$B69,Пул!$L$5:$L$300,"Закрыт")=0,"",ROUND(SUMIFS(Пул!$H$5:$H$300,Пул!$E$5:$E$300,$B69,Пул!$L$5:$L$300,"Закрыт"),8)))</f>
        <v/>
      </c>
      <c r="F69" s="241">
        <f>IF($B69="","",IF(COUNTIFS(Пул!$E$5:$E$300,$B69,Пул!$L$5:$L$300,"Закрыт")=0,"",ROUND(SUMIFS(Пул!$I$5:$I$300,Пул!$E$5:$E$300,$B69,Пул!$L$5:$L$300,"Закрыт"),8)))</f>
        <v/>
      </c>
      <c r="G69" s="240">
        <f>IF($B69="","",IF(COUNTIFS(Пул!$E$5:$E$300,$B69,Пул!$L$5:$L$300,"Закрыт")=0,"",ROUND(SUMIFS(Пул!$J$5:$J$300,Пул!$E$5:$E$300,$B69,Пул!$L$5:$L$300,"Закрыт"),8)))</f>
        <v/>
      </c>
      <c r="H69" s="241">
        <f>IF($B69="","",IF(COUNTIFS(Пул!$E$5:$E$300,$B69,Пул!$L$5:$L$300,"Закрыт")=0,"",ROUND(SUMIFS(Пул!$K$5:$K$300,Пул!$E$5:$E$300,$B69,Пул!$L$5:$L$300,"Закрыт"),8)))</f>
        <v/>
      </c>
      <c r="I69" s="236">
        <f>IF(AND(ISNUMBER(G69),ISNUMBER(H69)),IF(AND(G69&gt;0,H69&lt;0),"Buy",IF(AND(G69&lt;0,H69&gt;0),"Sell","")),"")</f>
        <v/>
      </c>
      <c r="J69" s="177">
        <f>IF(I69="Buy",G69,IF(I69="Sell",-G69,""))</f>
        <v/>
      </c>
      <c r="K69" s="177">
        <f>IF(AND(ISNUMBER(J69),ISNUMBER(L69),N(J69)&lt;&gt;0),ROUND(L69/J69,8),"")</f>
        <v/>
      </c>
      <c r="L69" s="177">
        <f>IF(I69="Buy",-H69,IF(I69="Sell",H69,""))</f>
        <v/>
      </c>
    </row>
    <row r="70" ht="22" customHeight="1">
      <c r="B70" s="320" t="n"/>
      <c r="C70" s="246">
        <f>IF($B70="","",IF(COUNTIFS(Пул!$E$5:$E$300,$B70,Пул!$F$5:$F$300,"&lt;&gt;")=0,"",ROUND(SUMIFS(Пул!$F$5:$F$300,Пул!$E$5:$E$300,$B70),8)))</f>
        <v/>
      </c>
      <c r="D70" s="247">
        <f>IF($B70="","",IF(COUNTIFS(Пул!$E$5:$E$300,$B70,Пул!$G$5:$G$300,"&lt;&gt;")=0,"",ROUND(SUMIFS(Пул!$G$5:$G$300,Пул!$E$5:$E$300,$B70),8)))</f>
        <v/>
      </c>
      <c r="E70" s="246">
        <f>IF($B70="","",IF(COUNTIFS(Пул!$E$5:$E$300,$B70,Пул!$L$5:$L$300,"Закрыт")=0,"",ROUND(SUMIFS(Пул!$H$5:$H$300,Пул!$E$5:$E$300,$B70,Пул!$L$5:$L$300,"Закрыт"),8)))</f>
        <v/>
      </c>
      <c r="F70" s="247">
        <f>IF($B70="","",IF(COUNTIFS(Пул!$E$5:$E$300,$B70,Пул!$L$5:$L$300,"Закрыт")=0,"",ROUND(SUMIFS(Пул!$I$5:$I$300,Пул!$E$5:$E$300,$B70,Пул!$L$5:$L$300,"Закрыт"),8)))</f>
        <v/>
      </c>
      <c r="G70" s="246">
        <f>IF($B70="","",IF(COUNTIFS(Пул!$E$5:$E$300,$B70,Пул!$L$5:$L$300,"Закрыт")=0,"",ROUND(SUMIFS(Пул!$J$5:$J$300,Пул!$E$5:$E$300,$B70,Пул!$L$5:$L$300,"Закрыт"),8)))</f>
        <v/>
      </c>
      <c r="H70" s="247">
        <f>IF($B70="","",IF(COUNTIFS(Пул!$E$5:$E$300,$B70,Пул!$L$5:$L$300,"Закрыт")=0,"",ROUND(SUMIFS(Пул!$K$5:$K$300,Пул!$E$5:$E$300,$B70,Пул!$L$5:$L$300,"Закрыт"),8)))</f>
        <v/>
      </c>
      <c r="I70" s="242">
        <f>IF(AND(ISNUMBER(G70),ISNUMBER(H70)),IF(AND(G70&gt;0,H70&lt;0),"Buy",IF(AND(G70&lt;0,H70&gt;0),"Sell","")),"")</f>
        <v/>
      </c>
      <c r="J70" s="183">
        <f>IF(I70="Buy",G70,IF(I70="Sell",-G70,""))</f>
        <v/>
      </c>
      <c r="K70" s="183">
        <f>IF(AND(ISNUMBER(J70),ISNUMBER(L70),N(J70)&lt;&gt;0),ROUND(L70/J70,8),"")</f>
        <v/>
      </c>
      <c r="L70" s="183">
        <f>IF(I70="Buy",-H70,IF(I70="Sell",H70,""))</f>
        <v/>
      </c>
    </row>
    <row r="71" ht="22" customHeight="1">
      <c r="B71" s="315" t="n"/>
      <c r="C71" s="240">
        <f>IF($B71="","",IF(COUNTIFS(Пул!$E$5:$E$300,$B71,Пул!$F$5:$F$300,"&lt;&gt;")=0,"",ROUND(SUMIFS(Пул!$F$5:$F$300,Пул!$E$5:$E$300,$B71),8)))</f>
        <v/>
      </c>
      <c r="D71" s="241">
        <f>IF($B71="","",IF(COUNTIFS(Пул!$E$5:$E$300,$B71,Пул!$G$5:$G$300,"&lt;&gt;")=0,"",ROUND(SUMIFS(Пул!$G$5:$G$300,Пул!$E$5:$E$300,$B71),8)))</f>
        <v/>
      </c>
      <c r="E71" s="240">
        <f>IF($B71="","",IF(COUNTIFS(Пул!$E$5:$E$300,$B71,Пул!$L$5:$L$300,"Закрыт")=0,"",ROUND(SUMIFS(Пул!$H$5:$H$300,Пул!$E$5:$E$300,$B71,Пул!$L$5:$L$300,"Закрыт"),8)))</f>
        <v/>
      </c>
      <c r="F71" s="241">
        <f>IF($B71="","",IF(COUNTIFS(Пул!$E$5:$E$300,$B71,Пул!$L$5:$L$300,"Закрыт")=0,"",ROUND(SUMIFS(Пул!$I$5:$I$300,Пул!$E$5:$E$300,$B71,Пул!$L$5:$L$300,"Закрыт"),8)))</f>
        <v/>
      </c>
      <c r="G71" s="240">
        <f>IF($B71="","",IF(COUNTIFS(Пул!$E$5:$E$300,$B71,Пул!$L$5:$L$300,"Закрыт")=0,"",ROUND(SUMIFS(Пул!$J$5:$J$300,Пул!$E$5:$E$300,$B71,Пул!$L$5:$L$300,"Закрыт"),8)))</f>
        <v/>
      </c>
      <c r="H71" s="241">
        <f>IF($B71="","",IF(COUNTIFS(Пул!$E$5:$E$300,$B71,Пул!$L$5:$L$300,"Закрыт")=0,"",ROUND(SUMIFS(Пул!$K$5:$K$300,Пул!$E$5:$E$300,$B71,Пул!$L$5:$L$300,"Закрыт"),8)))</f>
        <v/>
      </c>
      <c r="I71" s="236">
        <f>IF(AND(ISNUMBER(G71),ISNUMBER(H71)),IF(AND(G71&gt;0,H71&lt;0),"Buy",IF(AND(G71&lt;0,H71&gt;0),"Sell","")),"")</f>
        <v/>
      </c>
      <c r="J71" s="177">
        <f>IF(I71="Buy",G71,IF(I71="Sell",-G71,""))</f>
        <v/>
      </c>
      <c r="K71" s="177">
        <f>IF(AND(ISNUMBER(J71),ISNUMBER(L71),N(J71)&lt;&gt;0),ROUND(L71/J71,8),"")</f>
        <v/>
      </c>
      <c r="L71" s="177">
        <f>IF(I71="Buy",-H71,IF(I71="Sell",H71,""))</f>
        <v/>
      </c>
    </row>
    <row r="72" ht="22" customHeight="1">
      <c r="B72" s="320" t="n"/>
      <c r="C72" s="246">
        <f>IF($B72="","",IF(COUNTIFS(Пул!$E$5:$E$300,$B72,Пул!$F$5:$F$300,"&lt;&gt;")=0,"",ROUND(SUMIFS(Пул!$F$5:$F$300,Пул!$E$5:$E$300,$B72),8)))</f>
        <v/>
      </c>
      <c r="D72" s="247">
        <f>IF($B72="","",IF(COUNTIFS(Пул!$E$5:$E$300,$B72,Пул!$G$5:$G$300,"&lt;&gt;")=0,"",ROUND(SUMIFS(Пул!$G$5:$G$300,Пул!$E$5:$E$300,$B72),8)))</f>
        <v/>
      </c>
      <c r="E72" s="246">
        <f>IF($B72="","",IF(COUNTIFS(Пул!$E$5:$E$300,$B72,Пул!$L$5:$L$300,"Закрыт")=0,"",ROUND(SUMIFS(Пул!$H$5:$H$300,Пул!$E$5:$E$300,$B72,Пул!$L$5:$L$300,"Закрыт"),8)))</f>
        <v/>
      </c>
      <c r="F72" s="247">
        <f>IF($B72="","",IF(COUNTIFS(Пул!$E$5:$E$300,$B72,Пул!$L$5:$L$300,"Закрыт")=0,"",ROUND(SUMIFS(Пул!$I$5:$I$300,Пул!$E$5:$E$300,$B72,Пул!$L$5:$L$300,"Закрыт"),8)))</f>
        <v/>
      </c>
      <c r="G72" s="246">
        <f>IF($B72="","",IF(COUNTIFS(Пул!$E$5:$E$300,$B72,Пул!$L$5:$L$300,"Закрыт")=0,"",ROUND(SUMIFS(Пул!$J$5:$J$300,Пул!$E$5:$E$300,$B72,Пул!$L$5:$L$300,"Закрыт"),8)))</f>
        <v/>
      </c>
      <c r="H72" s="247">
        <f>IF($B72="","",IF(COUNTIFS(Пул!$E$5:$E$300,$B72,Пул!$L$5:$L$300,"Закрыт")=0,"",ROUND(SUMIFS(Пул!$K$5:$K$300,Пул!$E$5:$E$300,$B72,Пул!$L$5:$L$300,"Закрыт"),8)))</f>
        <v/>
      </c>
      <c r="I72" s="242">
        <f>IF(AND(ISNUMBER(G72),ISNUMBER(H72)),IF(AND(G72&gt;0,H72&lt;0),"Buy",IF(AND(G72&lt;0,H72&gt;0),"Sell","")),"")</f>
        <v/>
      </c>
      <c r="J72" s="183">
        <f>IF(I72="Buy",G72,IF(I72="Sell",-G72,""))</f>
        <v/>
      </c>
      <c r="K72" s="183">
        <f>IF(AND(ISNUMBER(J72),ISNUMBER(L72),N(J72)&lt;&gt;0),ROUND(L72/J72,8),"")</f>
        <v/>
      </c>
      <c r="L72" s="183">
        <f>IF(I72="Buy",-H72,IF(I72="Sell",H72,""))</f>
        <v/>
      </c>
    </row>
    <row r="73" ht="22" customHeight="1">
      <c r="B73" s="315" t="n"/>
      <c r="C73" s="240">
        <f>IF($B73="","",IF(COUNTIFS(Пул!$E$5:$E$300,$B73,Пул!$F$5:$F$300,"&lt;&gt;")=0,"",ROUND(SUMIFS(Пул!$F$5:$F$300,Пул!$E$5:$E$300,$B73),8)))</f>
        <v/>
      </c>
      <c r="D73" s="241">
        <f>IF($B73="","",IF(COUNTIFS(Пул!$E$5:$E$300,$B73,Пул!$G$5:$G$300,"&lt;&gt;")=0,"",ROUND(SUMIFS(Пул!$G$5:$G$300,Пул!$E$5:$E$300,$B73),8)))</f>
        <v/>
      </c>
      <c r="E73" s="240">
        <f>IF($B73="","",IF(COUNTIFS(Пул!$E$5:$E$300,$B73,Пул!$L$5:$L$300,"Закрыт")=0,"",ROUND(SUMIFS(Пул!$H$5:$H$300,Пул!$E$5:$E$300,$B73,Пул!$L$5:$L$300,"Закрыт"),8)))</f>
        <v/>
      </c>
      <c r="F73" s="241">
        <f>IF($B73="","",IF(COUNTIFS(Пул!$E$5:$E$300,$B73,Пул!$L$5:$L$300,"Закрыт")=0,"",ROUND(SUMIFS(Пул!$I$5:$I$300,Пул!$E$5:$E$300,$B73,Пул!$L$5:$L$300,"Закрыт"),8)))</f>
        <v/>
      </c>
      <c r="G73" s="240">
        <f>IF($B73="","",IF(COUNTIFS(Пул!$E$5:$E$300,$B73,Пул!$L$5:$L$300,"Закрыт")=0,"",ROUND(SUMIFS(Пул!$J$5:$J$300,Пул!$E$5:$E$300,$B73,Пул!$L$5:$L$300,"Закрыт"),8)))</f>
        <v/>
      </c>
      <c r="H73" s="241">
        <f>IF($B73="","",IF(COUNTIFS(Пул!$E$5:$E$300,$B73,Пул!$L$5:$L$300,"Закрыт")=0,"",ROUND(SUMIFS(Пул!$K$5:$K$300,Пул!$E$5:$E$300,$B73,Пул!$L$5:$L$300,"Закрыт"),8)))</f>
        <v/>
      </c>
      <c r="I73" s="236">
        <f>IF(AND(ISNUMBER(G73),ISNUMBER(H73)),IF(AND(G73&gt;0,H73&lt;0),"Buy",IF(AND(G73&lt;0,H73&gt;0),"Sell","")),"")</f>
        <v/>
      </c>
      <c r="J73" s="177">
        <f>IF(I73="Buy",G73,IF(I73="Sell",-G73,""))</f>
        <v/>
      </c>
      <c r="K73" s="177">
        <f>IF(AND(ISNUMBER(J73),ISNUMBER(L73),N(J73)&lt;&gt;0),ROUND(L73/J73,8),"")</f>
        <v/>
      </c>
      <c r="L73" s="177">
        <f>IF(I73="Buy",-H73,IF(I73="Sell",H73,""))</f>
        <v/>
      </c>
    </row>
    <row r="74" ht="22" customHeight="1">
      <c r="B74" s="320" t="n"/>
      <c r="C74" s="246">
        <f>IF($B74="","",IF(COUNTIFS(Пул!$E$5:$E$300,$B74,Пул!$F$5:$F$300,"&lt;&gt;")=0,"",ROUND(SUMIFS(Пул!$F$5:$F$300,Пул!$E$5:$E$300,$B74),8)))</f>
        <v/>
      </c>
      <c r="D74" s="247">
        <f>IF($B74="","",IF(COUNTIFS(Пул!$E$5:$E$300,$B74,Пул!$G$5:$G$300,"&lt;&gt;")=0,"",ROUND(SUMIFS(Пул!$G$5:$G$300,Пул!$E$5:$E$300,$B74),8)))</f>
        <v/>
      </c>
      <c r="E74" s="246">
        <f>IF($B74="","",IF(COUNTIFS(Пул!$E$5:$E$300,$B74,Пул!$L$5:$L$300,"Закрыт")=0,"",ROUND(SUMIFS(Пул!$H$5:$H$300,Пул!$E$5:$E$300,$B74,Пул!$L$5:$L$300,"Закрыт"),8)))</f>
        <v/>
      </c>
      <c r="F74" s="247">
        <f>IF($B74="","",IF(COUNTIFS(Пул!$E$5:$E$300,$B74,Пул!$L$5:$L$300,"Закрыт")=0,"",ROUND(SUMIFS(Пул!$I$5:$I$300,Пул!$E$5:$E$300,$B74,Пул!$L$5:$L$300,"Закрыт"),8)))</f>
        <v/>
      </c>
      <c r="G74" s="246">
        <f>IF($B74="","",IF(COUNTIFS(Пул!$E$5:$E$300,$B74,Пул!$L$5:$L$300,"Закрыт")=0,"",ROUND(SUMIFS(Пул!$J$5:$J$300,Пул!$E$5:$E$300,$B74,Пул!$L$5:$L$300,"Закрыт"),8)))</f>
        <v/>
      </c>
      <c r="H74" s="247">
        <f>IF($B74="","",IF(COUNTIFS(Пул!$E$5:$E$300,$B74,Пул!$L$5:$L$300,"Закрыт")=0,"",ROUND(SUMIFS(Пул!$K$5:$K$300,Пул!$E$5:$E$300,$B74,Пул!$L$5:$L$300,"Закрыт"),8)))</f>
        <v/>
      </c>
      <c r="I74" s="242">
        <f>IF(AND(ISNUMBER(G74),ISNUMBER(H74)),IF(AND(G74&gt;0,H74&lt;0),"Buy",IF(AND(G74&lt;0,H74&gt;0),"Sell","")),"")</f>
        <v/>
      </c>
      <c r="J74" s="183">
        <f>IF(I74="Buy",G74,IF(I74="Sell",-G74,""))</f>
        <v/>
      </c>
      <c r="K74" s="183">
        <f>IF(AND(ISNUMBER(J74),ISNUMBER(L74),N(J74)&lt;&gt;0),ROUND(L74/J74,8),"")</f>
        <v/>
      </c>
      <c r="L74" s="183">
        <f>IF(I74="Buy",-H74,IF(I74="Sell",H74,""))</f>
        <v/>
      </c>
    </row>
    <row r="75" ht="22" customHeight="1">
      <c r="B75" s="315" t="n"/>
      <c r="C75" s="240">
        <f>IF($B75="","",IF(COUNTIFS(Пул!$E$5:$E$300,$B75,Пул!$F$5:$F$300,"&lt;&gt;")=0,"",ROUND(SUMIFS(Пул!$F$5:$F$300,Пул!$E$5:$E$300,$B75),8)))</f>
        <v/>
      </c>
      <c r="D75" s="241">
        <f>IF($B75="","",IF(COUNTIFS(Пул!$E$5:$E$300,$B75,Пул!$G$5:$G$300,"&lt;&gt;")=0,"",ROUND(SUMIFS(Пул!$G$5:$G$300,Пул!$E$5:$E$300,$B75),8)))</f>
        <v/>
      </c>
      <c r="E75" s="240">
        <f>IF($B75="","",IF(COUNTIFS(Пул!$E$5:$E$300,$B75,Пул!$L$5:$L$300,"Закрыт")=0,"",ROUND(SUMIFS(Пул!$H$5:$H$300,Пул!$E$5:$E$300,$B75,Пул!$L$5:$L$300,"Закрыт"),8)))</f>
        <v/>
      </c>
      <c r="F75" s="241">
        <f>IF($B75="","",IF(COUNTIFS(Пул!$E$5:$E$300,$B75,Пул!$L$5:$L$300,"Закрыт")=0,"",ROUND(SUMIFS(Пул!$I$5:$I$300,Пул!$E$5:$E$300,$B75,Пул!$L$5:$L$300,"Закрыт"),8)))</f>
        <v/>
      </c>
      <c r="G75" s="240">
        <f>IF($B75="","",IF(COUNTIFS(Пул!$E$5:$E$300,$B75,Пул!$L$5:$L$300,"Закрыт")=0,"",ROUND(SUMIFS(Пул!$J$5:$J$300,Пул!$E$5:$E$300,$B75,Пул!$L$5:$L$300,"Закрыт"),8)))</f>
        <v/>
      </c>
      <c r="H75" s="241">
        <f>IF($B75="","",IF(COUNTIFS(Пул!$E$5:$E$300,$B75,Пул!$L$5:$L$300,"Закрыт")=0,"",ROUND(SUMIFS(Пул!$K$5:$K$300,Пул!$E$5:$E$300,$B75,Пул!$L$5:$L$300,"Закрыт"),8)))</f>
        <v/>
      </c>
      <c r="I75" s="236">
        <f>IF(AND(ISNUMBER(G75),ISNUMBER(H75)),IF(AND(G75&gt;0,H75&lt;0),"Buy",IF(AND(G75&lt;0,H75&gt;0),"Sell","")),"")</f>
        <v/>
      </c>
      <c r="J75" s="177">
        <f>IF(I75="Buy",G75,IF(I75="Sell",-G75,""))</f>
        <v/>
      </c>
      <c r="K75" s="177">
        <f>IF(AND(ISNUMBER(J75),ISNUMBER(L75),N(J75)&lt;&gt;0),ROUND(L75/J75,8),"")</f>
        <v/>
      </c>
      <c r="L75" s="177">
        <f>IF(I75="Buy",-H75,IF(I75="Sell",H75,""))</f>
        <v/>
      </c>
    </row>
    <row r="76" ht="22" customHeight="1">
      <c r="B76" s="320" t="n"/>
      <c r="C76" s="246">
        <f>IF($B76="","",IF(COUNTIFS(Пул!$E$5:$E$300,$B76,Пул!$F$5:$F$300,"&lt;&gt;")=0,"",ROUND(SUMIFS(Пул!$F$5:$F$300,Пул!$E$5:$E$300,$B76),8)))</f>
        <v/>
      </c>
      <c r="D76" s="247">
        <f>IF($B76="","",IF(COUNTIFS(Пул!$E$5:$E$300,$B76,Пул!$G$5:$G$300,"&lt;&gt;")=0,"",ROUND(SUMIFS(Пул!$G$5:$G$300,Пул!$E$5:$E$300,$B76),8)))</f>
        <v/>
      </c>
      <c r="E76" s="246">
        <f>IF($B76="","",IF(COUNTIFS(Пул!$E$5:$E$300,$B76,Пул!$L$5:$L$300,"Закрыт")=0,"",ROUND(SUMIFS(Пул!$H$5:$H$300,Пул!$E$5:$E$300,$B76,Пул!$L$5:$L$300,"Закрыт"),8)))</f>
        <v/>
      </c>
      <c r="F76" s="247">
        <f>IF($B76="","",IF(COUNTIFS(Пул!$E$5:$E$300,$B76,Пул!$L$5:$L$300,"Закрыт")=0,"",ROUND(SUMIFS(Пул!$I$5:$I$300,Пул!$E$5:$E$300,$B76,Пул!$L$5:$L$300,"Закрыт"),8)))</f>
        <v/>
      </c>
      <c r="G76" s="246">
        <f>IF($B76="","",IF(COUNTIFS(Пул!$E$5:$E$300,$B76,Пул!$L$5:$L$300,"Закрыт")=0,"",ROUND(SUMIFS(Пул!$J$5:$J$300,Пул!$E$5:$E$300,$B76,Пул!$L$5:$L$300,"Закрыт"),8)))</f>
        <v/>
      </c>
      <c r="H76" s="247">
        <f>IF($B76="","",IF(COUNTIFS(Пул!$E$5:$E$300,$B76,Пул!$L$5:$L$300,"Закрыт")=0,"",ROUND(SUMIFS(Пул!$K$5:$K$300,Пул!$E$5:$E$300,$B76,Пул!$L$5:$L$300,"Закрыт"),8)))</f>
        <v/>
      </c>
      <c r="I76" s="242">
        <f>IF(AND(ISNUMBER(G76),ISNUMBER(H76)),IF(AND(G76&gt;0,H76&lt;0),"Buy",IF(AND(G76&lt;0,H76&gt;0),"Sell","")),"")</f>
        <v/>
      </c>
      <c r="J76" s="183">
        <f>IF(I76="Buy",G76,IF(I76="Sell",-G76,""))</f>
        <v/>
      </c>
      <c r="K76" s="183">
        <f>IF(AND(ISNUMBER(J76),ISNUMBER(L76),N(J76)&lt;&gt;0),ROUND(L76/J76,8),"")</f>
        <v/>
      </c>
      <c r="L76" s="183">
        <f>IF(I76="Buy",-H76,IF(I76="Sell",H76,""))</f>
        <v/>
      </c>
    </row>
    <row r="77" ht="22" customHeight="1">
      <c r="B77" s="315" t="n"/>
      <c r="C77" s="240">
        <f>IF($B77="","",IF(COUNTIFS(Пул!$E$5:$E$300,$B77,Пул!$F$5:$F$300,"&lt;&gt;")=0,"",ROUND(SUMIFS(Пул!$F$5:$F$300,Пул!$E$5:$E$300,$B77),8)))</f>
        <v/>
      </c>
      <c r="D77" s="241">
        <f>IF($B77="","",IF(COUNTIFS(Пул!$E$5:$E$300,$B77,Пул!$G$5:$G$300,"&lt;&gt;")=0,"",ROUND(SUMIFS(Пул!$G$5:$G$300,Пул!$E$5:$E$300,$B77),8)))</f>
        <v/>
      </c>
      <c r="E77" s="240">
        <f>IF($B77="","",IF(COUNTIFS(Пул!$E$5:$E$300,$B77,Пул!$L$5:$L$300,"Закрыт")=0,"",ROUND(SUMIFS(Пул!$H$5:$H$300,Пул!$E$5:$E$300,$B77,Пул!$L$5:$L$300,"Закрыт"),8)))</f>
        <v/>
      </c>
      <c r="F77" s="241">
        <f>IF($B77="","",IF(COUNTIFS(Пул!$E$5:$E$300,$B77,Пул!$L$5:$L$300,"Закрыт")=0,"",ROUND(SUMIFS(Пул!$I$5:$I$300,Пул!$E$5:$E$300,$B77,Пул!$L$5:$L$300,"Закрыт"),8)))</f>
        <v/>
      </c>
      <c r="G77" s="240">
        <f>IF($B77="","",IF(COUNTIFS(Пул!$E$5:$E$300,$B77,Пул!$L$5:$L$300,"Закрыт")=0,"",ROUND(SUMIFS(Пул!$J$5:$J$300,Пул!$E$5:$E$300,$B77,Пул!$L$5:$L$300,"Закрыт"),8)))</f>
        <v/>
      </c>
      <c r="H77" s="241">
        <f>IF($B77="","",IF(COUNTIFS(Пул!$E$5:$E$300,$B77,Пул!$L$5:$L$300,"Закрыт")=0,"",ROUND(SUMIFS(Пул!$K$5:$K$300,Пул!$E$5:$E$300,$B77,Пул!$L$5:$L$300,"Закрыт"),8)))</f>
        <v/>
      </c>
      <c r="I77" s="236">
        <f>IF(AND(ISNUMBER(G77),ISNUMBER(H77)),IF(AND(G77&gt;0,H77&lt;0),"Buy",IF(AND(G77&lt;0,H77&gt;0),"Sell","")),"")</f>
        <v/>
      </c>
      <c r="J77" s="177">
        <f>IF(I77="Buy",G77,IF(I77="Sell",-G77,""))</f>
        <v/>
      </c>
      <c r="K77" s="177">
        <f>IF(AND(ISNUMBER(J77),ISNUMBER(L77),N(J77)&lt;&gt;0),ROUND(L77/J77,8),"")</f>
        <v/>
      </c>
      <c r="L77" s="177">
        <f>IF(I77="Buy",-H77,IF(I77="Sell",H77,""))</f>
        <v/>
      </c>
    </row>
    <row r="78" ht="22" customHeight="1">
      <c r="B78" s="320" t="n"/>
      <c r="C78" s="246">
        <f>IF($B78="","",IF(COUNTIFS(Пул!$E$5:$E$300,$B78,Пул!$F$5:$F$300,"&lt;&gt;")=0,"",ROUND(SUMIFS(Пул!$F$5:$F$300,Пул!$E$5:$E$300,$B78),8)))</f>
        <v/>
      </c>
      <c r="D78" s="247">
        <f>IF($B78="","",IF(COUNTIFS(Пул!$E$5:$E$300,$B78,Пул!$G$5:$G$300,"&lt;&gt;")=0,"",ROUND(SUMIFS(Пул!$G$5:$G$300,Пул!$E$5:$E$300,$B78),8)))</f>
        <v/>
      </c>
      <c r="E78" s="246">
        <f>IF($B78="","",IF(COUNTIFS(Пул!$E$5:$E$300,$B78,Пул!$L$5:$L$300,"Закрыт")=0,"",ROUND(SUMIFS(Пул!$H$5:$H$300,Пул!$E$5:$E$300,$B78,Пул!$L$5:$L$300,"Закрыт"),8)))</f>
        <v/>
      </c>
      <c r="F78" s="247">
        <f>IF($B78="","",IF(COUNTIFS(Пул!$E$5:$E$300,$B78,Пул!$L$5:$L$300,"Закрыт")=0,"",ROUND(SUMIFS(Пул!$I$5:$I$300,Пул!$E$5:$E$300,$B78,Пул!$L$5:$L$300,"Закрыт"),8)))</f>
        <v/>
      </c>
      <c r="G78" s="246">
        <f>IF($B78="","",IF(COUNTIFS(Пул!$E$5:$E$300,$B78,Пул!$L$5:$L$300,"Закрыт")=0,"",ROUND(SUMIFS(Пул!$J$5:$J$300,Пул!$E$5:$E$300,$B78,Пул!$L$5:$L$300,"Закрыт"),8)))</f>
        <v/>
      </c>
      <c r="H78" s="247">
        <f>IF($B78="","",IF(COUNTIFS(Пул!$E$5:$E$300,$B78,Пул!$L$5:$L$300,"Закрыт")=0,"",ROUND(SUMIFS(Пул!$K$5:$K$300,Пул!$E$5:$E$300,$B78,Пул!$L$5:$L$300,"Закрыт"),8)))</f>
        <v/>
      </c>
      <c r="I78" s="242">
        <f>IF(AND(ISNUMBER(G78),ISNUMBER(H78)),IF(AND(G78&gt;0,H78&lt;0),"Buy",IF(AND(G78&lt;0,H78&gt;0),"Sell","")),"")</f>
        <v/>
      </c>
      <c r="J78" s="183">
        <f>IF(I78="Buy",G78,IF(I78="Sell",-G78,""))</f>
        <v/>
      </c>
      <c r="K78" s="183">
        <f>IF(AND(ISNUMBER(J78),ISNUMBER(L78),N(J78)&lt;&gt;0),ROUND(L78/J78,8),"")</f>
        <v/>
      </c>
      <c r="L78" s="183">
        <f>IF(I78="Buy",-H78,IF(I78="Sell",H78,""))</f>
        <v/>
      </c>
    </row>
    <row r="79" ht="22" customHeight="1">
      <c r="B79" s="315" t="n"/>
      <c r="C79" s="240">
        <f>IF($B79="","",IF(COUNTIFS(Пул!$E$5:$E$300,$B79,Пул!$F$5:$F$300,"&lt;&gt;")=0,"",ROUND(SUMIFS(Пул!$F$5:$F$300,Пул!$E$5:$E$300,$B79),8)))</f>
        <v/>
      </c>
      <c r="D79" s="241">
        <f>IF($B79="","",IF(COUNTIFS(Пул!$E$5:$E$300,$B79,Пул!$G$5:$G$300,"&lt;&gt;")=0,"",ROUND(SUMIFS(Пул!$G$5:$G$300,Пул!$E$5:$E$300,$B79),8)))</f>
        <v/>
      </c>
      <c r="E79" s="240">
        <f>IF($B79="","",IF(COUNTIFS(Пул!$E$5:$E$300,$B79,Пул!$L$5:$L$300,"Закрыт")=0,"",ROUND(SUMIFS(Пул!$H$5:$H$300,Пул!$E$5:$E$300,$B79,Пул!$L$5:$L$300,"Закрыт"),8)))</f>
        <v/>
      </c>
      <c r="F79" s="241">
        <f>IF($B79="","",IF(COUNTIFS(Пул!$E$5:$E$300,$B79,Пул!$L$5:$L$300,"Закрыт")=0,"",ROUND(SUMIFS(Пул!$I$5:$I$300,Пул!$E$5:$E$300,$B79,Пул!$L$5:$L$300,"Закрыт"),8)))</f>
        <v/>
      </c>
      <c r="G79" s="240">
        <f>IF($B79="","",IF(COUNTIFS(Пул!$E$5:$E$300,$B79,Пул!$L$5:$L$300,"Закрыт")=0,"",ROUND(SUMIFS(Пул!$J$5:$J$300,Пул!$E$5:$E$300,$B79,Пул!$L$5:$L$300,"Закрыт"),8)))</f>
        <v/>
      </c>
      <c r="H79" s="241">
        <f>IF($B79="","",IF(COUNTIFS(Пул!$E$5:$E$300,$B79,Пул!$L$5:$L$300,"Закрыт")=0,"",ROUND(SUMIFS(Пул!$K$5:$K$300,Пул!$E$5:$E$300,$B79,Пул!$L$5:$L$300,"Закрыт"),8)))</f>
        <v/>
      </c>
      <c r="I79" s="236">
        <f>IF(AND(ISNUMBER(G79),ISNUMBER(H79)),IF(AND(G79&gt;0,H79&lt;0),"Buy",IF(AND(G79&lt;0,H79&gt;0),"Sell","")),"")</f>
        <v/>
      </c>
      <c r="J79" s="177">
        <f>IF(I79="Buy",G79,IF(I79="Sell",-G79,""))</f>
        <v/>
      </c>
      <c r="K79" s="177">
        <f>IF(AND(ISNUMBER(J79),ISNUMBER(L79),N(J79)&lt;&gt;0),ROUND(L79/J79,8),"")</f>
        <v/>
      </c>
      <c r="L79" s="177">
        <f>IF(I79="Buy",-H79,IF(I79="Sell",H79,""))</f>
        <v/>
      </c>
    </row>
    <row r="80" ht="22" customHeight="1">
      <c r="B80" s="320" t="n"/>
      <c r="C80" s="246">
        <f>IF($B80="","",IF(COUNTIFS(Пул!$E$5:$E$300,$B80,Пул!$F$5:$F$300,"&lt;&gt;")=0,"",ROUND(SUMIFS(Пул!$F$5:$F$300,Пул!$E$5:$E$300,$B80),8)))</f>
        <v/>
      </c>
      <c r="D80" s="247">
        <f>IF($B80="","",IF(COUNTIFS(Пул!$E$5:$E$300,$B80,Пул!$G$5:$G$300,"&lt;&gt;")=0,"",ROUND(SUMIFS(Пул!$G$5:$G$300,Пул!$E$5:$E$300,$B80),8)))</f>
        <v/>
      </c>
      <c r="E80" s="246">
        <f>IF($B80="","",IF(COUNTIFS(Пул!$E$5:$E$300,$B80,Пул!$L$5:$L$300,"Закрыт")=0,"",ROUND(SUMIFS(Пул!$H$5:$H$300,Пул!$E$5:$E$300,$B80,Пул!$L$5:$L$300,"Закрыт"),8)))</f>
        <v/>
      </c>
      <c r="F80" s="247">
        <f>IF($B80="","",IF(COUNTIFS(Пул!$E$5:$E$300,$B80,Пул!$L$5:$L$300,"Закрыт")=0,"",ROUND(SUMIFS(Пул!$I$5:$I$300,Пул!$E$5:$E$300,$B80,Пул!$L$5:$L$300,"Закрыт"),8)))</f>
        <v/>
      </c>
      <c r="G80" s="246">
        <f>IF($B80="","",IF(COUNTIFS(Пул!$E$5:$E$300,$B80,Пул!$L$5:$L$300,"Закрыт")=0,"",ROUND(SUMIFS(Пул!$J$5:$J$300,Пул!$E$5:$E$300,$B80,Пул!$L$5:$L$300,"Закрыт"),8)))</f>
        <v/>
      </c>
      <c r="H80" s="247">
        <f>IF($B80="","",IF(COUNTIFS(Пул!$E$5:$E$300,$B80,Пул!$L$5:$L$300,"Закрыт")=0,"",ROUND(SUMIFS(Пул!$K$5:$K$300,Пул!$E$5:$E$300,$B80,Пул!$L$5:$L$300,"Закрыт"),8)))</f>
        <v/>
      </c>
      <c r="I80" s="242">
        <f>IF(AND(ISNUMBER(G80),ISNUMBER(H80)),IF(AND(G80&gt;0,H80&lt;0),"Buy",IF(AND(G80&lt;0,H80&gt;0),"Sell","")),"")</f>
        <v/>
      </c>
      <c r="J80" s="183">
        <f>IF(I80="Buy",G80,IF(I80="Sell",-G80,""))</f>
        <v/>
      </c>
      <c r="K80" s="183">
        <f>IF(AND(ISNUMBER(J80),ISNUMBER(L80),N(J80)&lt;&gt;0),ROUND(L80/J80,8),"")</f>
        <v/>
      </c>
      <c r="L80" s="183">
        <f>IF(I80="Buy",-H80,IF(I80="Sell",H80,""))</f>
        <v/>
      </c>
    </row>
    <row r="81" ht="22" customHeight="1">
      <c r="B81" s="315" t="n"/>
      <c r="C81" s="240">
        <f>IF($B81="","",IF(COUNTIFS(Пул!$E$5:$E$300,$B81,Пул!$F$5:$F$300,"&lt;&gt;")=0,"",ROUND(SUMIFS(Пул!$F$5:$F$300,Пул!$E$5:$E$300,$B81),8)))</f>
        <v/>
      </c>
      <c r="D81" s="241">
        <f>IF($B81="","",IF(COUNTIFS(Пул!$E$5:$E$300,$B81,Пул!$G$5:$G$300,"&lt;&gt;")=0,"",ROUND(SUMIFS(Пул!$G$5:$G$300,Пул!$E$5:$E$300,$B81),8)))</f>
        <v/>
      </c>
      <c r="E81" s="240">
        <f>IF($B81="","",IF(COUNTIFS(Пул!$E$5:$E$300,$B81,Пул!$L$5:$L$300,"Закрыт")=0,"",ROUND(SUMIFS(Пул!$H$5:$H$300,Пул!$E$5:$E$300,$B81,Пул!$L$5:$L$300,"Закрыт"),8)))</f>
        <v/>
      </c>
      <c r="F81" s="241">
        <f>IF($B81="","",IF(COUNTIFS(Пул!$E$5:$E$300,$B81,Пул!$L$5:$L$300,"Закрыт")=0,"",ROUND(SUMIFS(Пул!$I$5:$I$300,Пул!$E$5:$E$300,$B81,Пул!$L$5:$L$300,"Закрыт"),8)))</f>
        <v/>
      </c>
      <c r="G81" s="240">
        <f>IF($B81="","",IF(COUNTIFS(Пул!$E$5:$E$300,$B81,Пул!$L$5:$L$300,"Закрыт")=0,"",ROUND(SUMIFS(Пул!$J$5:$J$300,Пул!$E$5:$E$300,$B81,Пул!$L$5:$L$300,"Закрыт"),8)))</f>
        <v/>
      </c>
      <c r="H81" s="241">
        <f>IF($B81="","",IF(COUNTIFS(Пул!$E$5:$E$300,$B81,Пул!$L$5:$L$300,"Закрыт")=0,"",ROUND(SUMIFS(Пул!$K$5:$K$300,Пул!$E$5:$E$300,$B81,Пул!$L$5:$L$300,"Закрыт"),8)))</f>
        <v/>
      </c>
      <c r="I81" s="236">
        <f>IF(AND(ISNUMBER(G81),ISNUMBER(H81)),IF(AND(G81&gt;0,H81&lt;0),"Buy",IF(AND(G81&lt;0,H81&gt;0),"Sell","")),"")</f>
        <v/>
      </c>
      <c r="J81" s="177">
        <f>IF(I81="Buy",G81,IF(I81="Sell",-G81,""))</f>
        <v/>
      </c>
      <c r="K81" s="177">
        <f>IF(AND(ISNUMBER(J81),ISNUMBER(L81),N(J81)&lt;&gt;0),ROUND(L81/J81,8),"")</f>
        <v/>
      </c>
      <c r="L81" s="177">
        <f>IF(I81="Buy",-H81,IF(I81="Sell",H81,""))</f>
        <v/>
      </c>
    </row>
    <row r="82" ht="22" customHeight="1">
      <c r="B82" s="320" t="n"/>
      <c r="C82" s="246">
        <f>IF($B82="","",IF(COUNTIFS(Пул!$E$5:$E$300,$B82,Пул!$F$5:$F$300,"&lt;&gt;")=0,"",ROUND(SUMIFS(Пул!$F$5:$F$300,Пул!$E$5:$E$300,$B82),8)))</f>
        <v/>
      </c>
      <c r="D82" s="247">
        <f>IF($B82="","",IF(COUNTIFS(Пул!$E$5:$E$300,$B82,Пул!$G$5:$G$300,"&lt;&gt;")=0,"",ROUND(SUMIFS(Пул!$G$5:$G$300,Пул!$E$5:$E$300,$B82),8)))</f>
        <v/>
      </c>
      <c r="E82" s="246">
        <f>IF($B82="","",IF(COUNTIFS(Пул!$E$5:$E$300,$B82,Пул!$L$5:$L$300,"Закрыт")=0,"",ROUND(SUMIFS(Пул!$H$5:$H$300,Пул!$E$5:$E$300,$B82,Пул!$L$5:$L$300,"Закрыт"),8)))</f>
        <v/>
      </c>
      <c r="F82" s="247">
        <f>IF($B82="","",IF(COUNTIFS(Пул!$E$5:$E$300,$B82,Пул!$L$5:$L$300,"Закрыт")=0,"",ROUND(SUMIFS(Пул!$I$5:$I$300,Пул!$E$5:$E$300,$B82,Пул!$L$5:$L$300,"Закрыт"),8)))</f>
        <v/>
      </c>
      <c r="G82" s="246">
        <f>IF($B82="","",IF(COUNTIFS(Пул!$E$5:$E$300,$B82,Пул!$L$5:$L$300,"Закрыт")=0,"",ROUND(SUMIFS(Пул!$J$5:$J$300,Пул!$E$5:$E$300,$B82,Пул!$L$5:$L$300,"Закрыт"),8)))</f>
        <v/>
      </c>
      <c r="H82" s="247">
        <f>IF($B82="","",IF(COUNTIFS(Пул!$E$5:$E$300,$B82,Пул!$L$5:$L$300,"Закрыт")=0,"",ROUND(SUMIFS(Пул!$K$5:$K$300,Пул!$E$5:$E$300,$B82,Пул!$L$5:$L$300,"Закрыт"),8)))</f>
        <v/>
      </c>
      <c r="I82" s="242">
        <f>IF(AND(ISNUMBER(G82),ISNUMBER(H82)),IF(AND(G82&gt;0,H82&lt;0),"Buy",IF(AND(G82&lt;0,H82&gt;0),"Sell","")),"")</f>
        <v/>
      </c>
      <c r="J82" s="183">
        <f>IF(I82="Buy",G82,IF(I82="Sell",-G82,""))</f>
        <v/>
      </c>
      <c r="K82" s="183">
        <f>IF(AND(ISNUMBER(J82),ISNUMBER(L82),N(J82)&lt;&gt;0),ROUND(L82/J82,8),"")</f>
        <v/>
      </c>
      <c r="L82" s="183">
        <f>IF(I82="Buy",-H82,IF(I82="Sell",H82,""))</f>
        <v/>
      </c>
    </row>
    <row r="83" ht="22" customHeight="1">
      <c r="B83" s="315" t="n"/>
      <c r="C83" s="240">
        <f>IF($B83="","",IF(COUNTIFS(Пул!$E$5:$E$300,$B83,Пул!$F$5:$F$300,"&lt;&gt;")=0,"",ROUND(SUMIFS(Пул!$F$5:$F$300,Пул!$E$5:$E$300,$B83),8)))</f>
        <v/>
      </c>
      <c r="D83" s="241">
        <f>IF($B83="","",IF(COUNTIFS(Пул!$E$5:$E$300,$B83,Пул!$G$5:$G$300,"&lt;&gt;")=0,"",ROUND(SUMIFS(Пул!$G$5:$G$300,Пул!$E$5:$E$300,$B83),8)))</f>
        <v/>
      </c>
      <c r="E83" s="240">
        <f>IF($B83="","",IF(COUNTIFS(Пул!$E$5:$E$300,$B83,Пул!$L$5:$L$300,"Закрыт")=0,"",ROUND(SUMIFS(Пул!$H$5:$H$300,Пул!$E$5:$E$300,$B83,Пул!$L$5:$L$300,"Закрыт"),8)))</f>
        <v/>
      </c>
      <c r="F83" s="241">
        <f>IF($B83="","",IF(COUNTIFS(Пул!$E$5:$E$300,$B83,Пул!$L$5:$L$300,"Закрыт")=0,"",ROUND(SUMIFS(Пул!$I$5:$I$300,Пул!$E$5:$E$300,$B83,Пул!$L$5:$L$300,"Закрыт"),8)))</f>
        <v/>
      </c>
      <c r="G83" s="240">
        <f>IF($B83="","",IF(COUNTIFS(Пул!$E$5:$E$300,$B83,Пул!$L$5:$L$300,"Закрыт")=0,"",ROUND(SUMIFS(Пул!$J$5:$J$300,Пул!$E$5:$E$300,$B83,Пул!$L$5:$L$300,"Закрыт"),8)))</f>
        <v/>
      </c>
      <c r="H83" s="241">
        <f>IF($B83="","",IF(COUNTIFS(Пул!$E$5:$E$300,$B83,Пул!$L$5:$L$300,"Закрыт")=0,"",ROUND(SUMIFS(Пул!$K$5:$K$300,Пул!$E$5:$E$300,$B83,Пул!$L$5:$L$300,"Закрыт"),8)))</f>
        <v/>
      </c>
      <c r="I83" s="236">
        <f>IF(AND(ISNUMBER(G83),ISNUMBER(H83)),IF(AND(G83&gt;0,H83&lt;0),"Buy",IF(AND(G83&lt;0,H83&gt;0),"Sell","")),"")</f>
        <v/>
      </c>
      <c r="J83" s="177">
        <f>IF(I83="Buy",G83,IF(I83="Sell",-G83,""))</f>
        <v/>
      </c>
      <c r="K83" s="177">
        <f>IF(AND(ISNUMBER(J83),ISNUMBER(L83),N(J83)&lt;&gt;0),ROUND(L83/J83,8),"")</f>
        <v/>
      </c>
      <c r="L83" s="177">
        <f>IF(I83="Buy",-H83,IF(I83="Sell",H83,""))</f>
        <v/>
      </c>
    </row>
    <row r="84" ht="22" customHeight="1">
      <c r="B84" s="320" t="n"/>
      <c r="C84" s="246">
        <f>IF($B84="","",IF(COUNTIFS(Пул!$E$5:$E$300,$B84,Пул!$F$5:$F$300,"&lt;&gt;")=0,"",ROUND(SUMIFS(Пул!$F$5:$F$300,Пул!$E$5:$E$300,$B84),8)))</f>
        <v/>
      </c>
      <c r="D84" s="247">
        <f>IF($B84="","",IF(COUNTIFS(Пул!$E$5:$E$300,$B84,Пул!$G$5:$G$300,"&lt;&gt;")=0,"",ROUND(SUMIFS(Пул!$G$5:$G$300,Пул!$E$5:$E$300,$B84),8)))</f>
        <v/>
      </c>
      <c r="E84" s="246">
        <f>IF($B84="","",IF(COUNTIFS(Пул!$E$5:$E$300,$B84,Пул!$L$5:$L$300,"Закрыт")=0,"",ROUND(SUMIFS(Пул!$H$5:$H$300,Пул!$E$5:$E$300,$B84,Пул!$L$5:$L$300,"Закрыт"),8)))</f>
        <v/>
      </c>
      <c r="F84" s="247">
        <f>IF($B84="","",IF(COUNTIFS(Пул!$E$5:$E$300,$B84,Пул!$L$5:$L$300,"Закрыт")=0,"",ROUND(SUMIFS(Пул!$I$5:$I$300,Пул!$E$5:$E$300,$B84,Пул!$L$5:$L$300,"Закрыт"),8)))</f>
        <v/>
      </c>
      <c r="G84" s="246">
        <f>IF($B84="","",IF(COUNTIFS(Пул!$E$5:$E$300,$B84,Пул!$L$5:$L$300,"Закрыт")=0,"",ROUND(SUMIFS(Пул!$J$5:$J$300,Пул!$E$5:$E$300,$B84,Пул!$L$5:$L$300,"Закрыт"),8)))</f>
        <v/>
      </c>
      <c r="H84" s="247">
        <f>IF($B84="","",IF(COUNTIFS(Пул!$E$5:$E$300,$B84,Пул!$L$5:$L$300,"Закрыт")=0,"",ROUND(SUMIFS(Пул!$K$5:$K$300,Пул!$E$5:$E$300,$B84,Пул!$L$5:$L$300,"Закрыт"),8)))</f>
        <v/>
      </c>
      <c r="I84" s="242">
        <f>IF(AND(ISNUMBER(G84),ISNUMBER(H84)),IF(AND(G84&gt;0,H84&lt;0),"Buy",IF(AND(G84&lt;0,H84&gt;0),"Sell","")),"")</f>
        <v/>
      </c>
      <c r="J84" s="183">
        <f>IF(I84="Buy",G84,IF(I84="Sell",-G84,""))</f>
        <v/>
      </c>
      <c r="K84" s="183">
        <f>IF(AND(ISNUMBER(J84),ISNUMBER(L84),N(J84)&lt;&gt;0),ROUND(L84/J84,8),"")</f>
        <v/>
      </c>
      <c r="L84" s="183">
        <f>IF(I84="Buy",-H84,IF(I84="Sell",H84,""))</f>
        <v/>
      </c>
    </row>
    <row r="85" ht="22" customHeight="1">
      <c r="B85" s="315" t="n"/>
      <c r="C85" s="240">
        <f>IF($B85="","",IF(COUNTIFS(Пул!$E$5:$E$300,$B85,Пул!$F$5:$F$300,"&lt;&gt;")=0,"",ROUND(SUMIFS(Пул!$F$5:$F$300,Пул!$E$5:$E$300,$B85),8)))</f>
        <v/>
      </c>
      <c r="D85" s="241">
        <f>IF($B85="","",IF(COUNTIFS(Пул!$E$5:$E$300,$B85,Пул!$G$5:$G$300,"&lt;&gt;")=0,"",ROUND(SUMIFS(Пул!$G$5:$G$300,Пул!$E$5:$E$300,$B85),8)))</f>
        <v/>
      </c>
      <c r="E85" s="240">
        <f>IF($B85="","",IF(COUNTIFS(Пул!$E$5:$E$300,$B85,Пул!$L$5:$L$300,"Закрыт")=0,"",ROUND(SUMIFS(Пул!$H$5:$H$300,Пул!$E$5:$E$300,$B85,Пул!$L$5:$L$300,"Закрыт"),8)))</f>
        <v/>
      </c>
      <c r="F85" s="241">
        <f>IF($B85="","",IF(COUNTIFS(Пул!$E$5:$E$300,$B85,Пул!$L$5:$L$300,"Закрыт")=0,"",ROUND(SUMIFS(Пул!$I$5:$I$300,Пул!$E$5:$E$300,$B85,Пул!$L$5:$L$300,"Закрыт"),8)))</f>
        <v/>
      </c>
      <c r="G85" s="240">
        <f>IF($B85="","",IF(COUNTIFS(Пул!$E$5:$E$300,$B85,Пул!$L$5:$L$300,"Закрыт")=0,"",ROUND(SUMIFS(Пул!$J$5:$J$300,Пул!$E$5:$E$300,$B85,Пул!$L$5:$L$300,"Закрыт"),8)))</f>
        <v/>
      </c>
      <c r="H85" s="241">
        <f>IF($B85="","",IF(COUNTIFS(Пул!$E$5:$E$300,$B85,Пул!$L$5:$L$300,"Закрыт")=0,"",ROUND(SUMIFS(Пул!$K$5:$K$300,Пул!$E$5:$E$300,$B85,Пул!$L$5:$L$300,"Закрыт"),8)))</f>
        <v/>
      </c>
      <c r="I85" s="236">
        <f>IF(AND(ISNUMBER(G85),ISNUMBER(H85)),IF(AND(G85&gt;0,H85&lt;0),"Buy",IF(AND(G85&lt;0,H85&gt;0),"Sell","")),"")</f>
        <v/>
      </c>
      <c r="J85" s="177">
        <f>IF(I85="Buy",G85,IF(I85="Sell",-G85,""))</f>
        <v/>
      </c>
      <c r="K85" s="177">
        <f>IF(AND(ISNUMBER(J85),ISNUMBER(L85),N(J85)&lt;&gt;0),ROUND(L85/J85,8),"")</f>
        <v/>
      </c>
      <c r="L85" s="177">
        <f>IF(I85="Buy",-H85,IF(I85="Sell",H85,""))</f>
        <v/>
      </c>
    </row>
    <row r="86" ht="22" customHeight="1">
      <c r="B86" s="320" t="n"/>
      <c r="C86" s="246">
        <f>IF($B86="","",IF(COUNTIFS(Пул!$E$5:$E$300,$B86,Пул!$F$5:$F$300,"&lt;&gt;")=0,"",ROUND(SUMIFS(Пул!$F$5:$F$300,Пул!$E$5:$E$300,$B86),8)))</f>
        <v/>
      </c>
      <c r="D86" s="247">
        <f>IF($B86="","",IF(COUNTIFS(Пул!$E$5:$E$300,$B86,Пул!$G$5:$G$300,"&lt;&gt;")=0,"",ROUND(SUMIFS(Пул!$G$5:$G$300,Пул!$E$5:$E$300,$B86),8)))</f>
        <v/>
      </c>
      <c r="E86" s="246">
        <f>IF($B86="","",IF(COUNTIFS(Пул!$E$5:$E$300,$B86,Пул!$L$5:$L$300,"Закрыт")=0,"",ROUND(SUMIFS(Пул!$H$5:$H$300,Пул!$E$5:$E$300,$B86,Пул!$L$5:$L$300,"Закрыт"),8)))</f>
        <v/>
      </c>
      <c r="F86" s="247">
        <f>IF($B86="","",IF(COUNTIFS(Пул!$E$5:$E$300,$B86,Пул!$L$5:$L$300,"Закрыт")=0,"",ROUND(SUMIFS(Пул!$I$5:$I$300,Пул!$E$5:$E$300,$B86,Пул!$L$5:$L$300,"Закрыт"),8)))</f>
        <v/>
      </c>
      <c r="G86" s="246">
        <f>IF($B86="","",IF(COUNTIFS(Пул!$E$5:$E$300,$B86,Пул!$L$5:$L$300,"Закрыт")=0,"",ROUND(SUMIFS(Пул!$J$5:$J$300,Пул!$E$5:$E$300,$B86,Пул!$L$5:$L$300,"Закрыт"),8)))</f>
        <v/>
      </c>
      <c r="H86" s="247">
        <f>IF($B86="","",IF(COUNTIFS(Пул!$E$5:$E$300,$B86,Пул!$L$5:$L$300,"Закрыт")=0,"",ROUND(SUMIFS(Пул!$K$5:$K$300,Пул!$E$5:$E$300,$B86,Пул!$L$5:$L$300,"Закрыт"),8)))</f>
        <v/>
      </c>
      <c r="I86" s="242">
        <f>IF(AND(ISNUMBER(G86),ISNUMBER(H86)),IF(AND(G86&gt;0,H86&lt;0),"Buy",IF(AND(G86&lt;0,H86&gt;0),"Sell","")),"")</f>
        <v/>
      </c>
      <c r="J86" s="183">
        <f>IF(I86="Buy",G86,IF(I86="Sell",-G86,""))</f>
        <v/>
      </c>
      <c r="K86" s="183">
        <f>IF(AND(ISNUMBER(J86),ISNUMBER(L86),N(J86)&lt;&gt;0),ROUND(L86/J86,8),"")</f>
        <v/>
      </c>
      <c r="L86" s="183">
        <f>IF(I86="Buy",-H86,IF(I86="Sell",H86,""))</f>
        <v/>
      </c>
    </row>
    <row r="87" ht="22" customHeight="1">
      <c r="B87" s="315" t="n"/>
      <c r="C87" s="240">
        <f>IF($B87="","",IF(COUNTIFS(Пул!$E$5:$E$300,$B87,Пул!$F$5:$F$300,"&lt;&gt;")=0,"",ROUND(SUMIFS(Пул!$F$5:$F$300,Пул!$E$5:$E$300,$B87),8)))</f>
        <v/>
      </c>
      <c r="D87" s="241">
        <f>IF($B87="","",IF(COUNTIFS(Пул!$E$5:$E$300,$B87,Пул!$G$5:$G$300,"&lt;&gt;")=0,"",ROUND(SUMIFS(Пул!$G$5:$G$300,Пул!$E$5:$E$300,$B87),8)))</f>
        <v/>
      </c>
      <c r="E87" s="240">
        <f>IF($B87="","",IF(COUNTIFS(Пул!$E$5:$E$300,$B87,Пул!$L$5:$L$300,"Закрыт")=0,"",ROUND(SUMIFS(Пул!$H$5:$H$300,Пул!$E$5:$E$300,$B87,Пул!$L$5:$L$300,"Закрыт"),8)))</f>
        <v/>
      </c>
      <c r="F87" s="241">
        <f>IF($B87="","",IF(COUNTIFS(Пул!$E$5:$E$300,$B87,Пул!$L$5:$L$300,"Закрыт")=0,"",ROUND(SUMIFS(Пул!$I$5:$I$300,Пул!$E$5:$E$300,$B87,Пул!$L$5:$L$300,"Закрыт"),8)))</f>
        <v/>
      </c>
      <c r="G87" s="240">
        <f>IF($B87="","",IF(COUNTIFS(Пул!$E$5:$E$300,$B87,Пул!$L$5:$L$300,"Закрыт")=0,"",ROUND(SUMIFS(Пул!$J$5:$J$300,Пул!$E$5:$E$300,$B87,Пул!$L$5:$L$300,"Закрыт"),8)))</f>
        <v/>
      </c>
      <c r="H87" s="241">
        <f>IF($B87="","",IF(COUNTIFS(Пул!$E$5:$E$300,$B87,Пул!$L$5:$L$300,"Закрыт")=0,"",ROUND(SUMIFS(Пул!$K$5:$K$300,Пул!$E$5:$E$300,$B87,Пул!$L$5:$L$300,"Закрыт"),8)))</f>
        <v/>
      </c>
      <c r="I87" s="236">
        <f>IF(AND(ISNUMBER(G87),ISNUMBER(H87)),IF(AND(G87&gt;0,H87&lt;0),"Buy",IF(AND(G87&lt;0,H87&gt;0),"Sell","")),"")</f>
        <v/>
      </c>
      <c r="J87" s="177">
        <f>IF(I87="Buy",G87,IF(I87="Sell",-G87,""))</f>
        <v/>
      </c>
      <c r="K87" s="177">
        <f>IF(AND(ISNUMBER(J87),ISNUMBER(L87),N(J87)&lt;&gt;0),ROUND(L87/J87,8),"")</f>
        <v/>
      </c>
      <c r="L87" s="177">
        <f>IF(I87="Buy",-H87,IF(I87="Sell",H87,""))</f>
        <v/>
      </c>
    </row>
    <row r="88" ht="22" customHeight="1">
      <c r="B88" s="320" t="n"/>
      <c r="C88" s="246">
        <f>IF($B88="","",IF(COUNTIFS(Пул!$E$5:$E$300,$B88,Пул!$F$5:$F$300,"&lt;&gt;")=0,"",ROUND(SUMIFS(Пул!$F$5:$F$300,Пул!$E$5:$E$300,$B88),8)))</f>
        <v/>
      </c>
      <c r="D88" s="247">
        <f>IF($B88="","",IF(COUNTIFS(Пул!$E$5:$E$300,$B88,Пул!$G$5:$G$300,"&lt;&gt;")=0,"",ROUND(SUMIFS(Пул!$G$5:$G$300,Пул!$E$5:$E$300,$B88),8)))</f>
        <v/>
      </c>
      <c r="E88" s="246">
        <f>IF($B88="","",IF(COUNTIFS(Пул!$E$5:$E$300,$B88,Пул!$L$5:$L$300,"Закрыт")=0,"",ROUND(SUMIFS(Пул!$H$5:$H$300,Пул!$E$5:$E$300,$B88,Пул!$L$5:$L$300,"Закрыт"),8)))</f>
        <v/>
      </c>
      <c r="F88" s="247">
        <f>IF($B88="","",IF(COUNTIFS(Пул!$E$5:$E$300,$B88,Пул!$L$5:$L$300,"Закрыт")=0,"",ROUND(SUMIFS(Пул!$I$5:$I$300,Пул!$E$5:$E$300,$B88,Пул!$L$5:$L$300,"Закрыт"),8)))</f>
        <v/>
      </c>
      <c r="G88" s="246">
        <f>IF($B88="","",IF(COUNTIFS(Пул!$E$5:$E$300,$B88,Пул!$L$5:$L$300,"Закрыт")=0,"",ROUND(SUMIFS(Пул!$J$5:$J$300,Пул!$E$5:$E$300,$B88,Пул!$L$5:$L$300,"Закрыт"),8)))</f>
        <v/>
      </c>
      <c r="H88" s="247">
        <f>IF($B88="","",IF(COUNTIFS(Пул!$E$5:$E$300,$B88,Пул!$L$5:$L$300,"Закрыт")=0,"",ROUND(SUMIFS(Пул!$K$5:$K$300,Пул!$E$5:$E$300,$B88,Пул!$L$5:$L$300,"Закрыт"),8)))</f>
        <v/>
      </c>
      <c r="I88" s="242">
        <f>IF(AND(ISNUMBER(G88),ISNUMBER(H88)),IF(AND(G88&gt;0,H88&lt;0),"Buy",IF(AND(G88&lt;0,H88&gt;0),"Sell","")),"")</f>
        <v/>
      </c>
      <c r="J88" s="183">
        <f>IF(I88="Buy",G88,IF(I88="Sell",-G88,""))</f>
        <v/>
      </c>
      <c r="K88" s="183">
        <f>IF(AND(ISNUMBER(J88),ISNUMBER(L88),N(J88)&lt;&gt;0),ROUND(L88/J88,8),"")</f>
        <v/>
      </c>
      <c r="L88" s="183">
        <f>IF(I88="Buy",-H88,IF(I88="Sell",H88,""))</f>
        <v/>
      </c>
    </row>
    <row r="89" ht="22" customHeight="1">
      <c r="B89" s="315" t="n"/>
      <c r="C89" s="240">
        <f>IF($B89="","",IF(COUNTIFS(Пул!$E$5:$E$300,$B89,Пул!$F$5:$F$300,"&lt;&gt;")=0,"",ROUND(SUMIFS(Пул!$F$5:$F$300,Пул!$E$5:$E$300,$B89),8)))</f>
        <v/>
      </c>
      <c r="D89" s="241">
        <f>IF($B89="","",IF(COUNTIFS(Пул!$E$5:$E$300,$B89,Пул!$G$5:$G$300,"&lt;&gt;")=0,"",ROUND(SUMIFS(Пул!$G$5:$G$300,Пул!$E$5:$E$300,$B89),8)))</f>
        <v/>
      </c>
      <c r="E89" s="240">
        <f>IF($B89="","",IF(COUNTIFS(Пул!$E$5:$E$300,$B89,Пул!$L$5:$L$300,"Закрыт")=0,"",ROUND(SUMIFS(Пул!$H$5:$H$300,Пул!$E$5:$E$300,$B89,Пул!$L$5:$L$300,"Закрыт"),8)))</f>
        <v/>
      </c>
      <c r="F89" s="241">
        <f>IF($B89="","",IF(COUNTIFS(Пул!$E$5:$E$300,$B89,Пул!$L$5:$L$300,"Закрыт")=0,"",ROUND(SUMIFS(Пул!$I$5:$I$300,Пул!$E$5:$E$300,$B89,Пул!$L$5:$L$300,"Закрыт"),8)))</f>
        <v/>
      </c>
      <c r="G89" s="240">
        <f>IF($B89="","",IF(COUNTIFS(Пул!$E$5:$E$300,$B89,Пул!$L$5:$L$300,"Закрыт")=0,"",ROUND(SUMIFS(Пул!$J$5:$J$300,Пул!$E$5:$E$300,$B89,Пул!$L$5:$L$300,"Закрыт"),8)))</f>
        <v/>
      </c>
      <c r="H89" s="241">
        <f>IF($B89="","",IF(COUNTIFS(Пул!$E$5:$E$300,$B89,Пул!$L$5:$L$300,"Закрыт")=0,"",ROUND(SUMIFS(Пул!$K$5:$K$300,Пул!$E$5:$E$300,$B89,Пул!$L$5:$L$300,"Закрыт"),8)))</f>
        <v/>
      </c>
      <c r="I89" s="236">
        <f>IF(AND(ISNUMBER(G89),ISNUMBER(H89)),IF(AND(G89&gt;0,H89&lt;0),"Buy",IF(AND(G89&lt;0,H89&gt;0),"Sell","")),"")</f>
        <v/>
      </c>
      <c r="J89" s="177">
        <f>IF(I89="Buy",G89,IF(I89="Sell",-G89,""))</f>
        <v/>
      </c>
      <c r="K89" s="177">
        <f>IF(AND(ISNUMBER(J89),ISNUMBER(L89),N(J89)&lt;&gt;0),ROUND(L89/J89,8),"")</f>
        <v/>
      </c>
      <c r="L89" s="177">
        <f>IF(I89="Buy",-H89,IF(I89="Sell",H89,""))</f>
        <v/>
      </c>
    </row>
    <row r="90" ht="22" customHeight="1">
      <c r="B90" s="320" t="n"/>
      <c r="C90" s="246">
        <f>IF($B90="","",IF(COUNTIFS(Пул!$E$5:$E$300,$B90,Пул!$F$5:$F$300,"&lt;&gt;")=0,"",ROUND(SUMIFS(Пул!$F$5:$F$300,Пул!$E$5:$E$300,$B90),8)))</f>
        <v/>
      </c>
      <c r="D90" s="247">
        <f>IF($B90="","",IF(COUNTIFS(Пул!$E$5:$E$300,$B90,Пул!$G$5:$G$300,"&lt;&gt;")=0,"",ROUND(SUMIFS(Пул!$G$5:$G$300,Пул!$E$5:$E$300,$B90),8)))</f>
        <v/>
      </c>
      <c r="E90" s="246">
        <f>IF($B90="","",IF(COUNTIFS(Пул!$E$5:$E$300,$B90,Пул!$L$5:$L$300,"Закрыт")=0,"",ROUND(SUMIFS(Пул!$H$5:$H$300,Пул!$E$5:$E$300,$B90,Пул!$L$5:$L$300,"Закрыт"),8)))</f>
        <v/>
      </c>
      <c r="F90" s="247">
        <f>IF($B90="","",IF(COUNTIFS(Пул!$E$5:$E$300,$B90,Пул!$L$5:$L$300,"Закрыт")=0,"",ROUND(SUMIFS(Пул!$I$5:$I$300,Пул!$E$5:$E$300,$B90,Пул!$L$5:$L$300,"Закрыт"),8)))</f>
        <v/>
      </c>
      <c r="G90" s="246">
        <f>IF($B90="","",IF(COUNTIFS(Пул!$E$5:$E$300,$B90,Пул!$L$5:$L$300,"Закрыт")=0,"",ROUND(SUMIFS(Пул!$J$5:$J$300,Пул!$E$5:$E$300,$B90,Пул!$L$5:$L$300,"Закрыт"),8)))</f>
        <v/>
      </c>
      <c r="H90" s="247">
        <f>IF($B90="","",IF(COUNTIFS(Пул!$E$5:$E$300,$B90,Пул!$L$5:$L$300,"Закрыт")=0,"",ROUND(SUMIFS(Пул!$K$5:$K$300,Пул!$E$5:$E$300,$B90,Пул!$L$5:$L$300,"Закрыт"),8)))</f>
        <v/>
      </c>
      <c r="I90" s="242">
        <f>IF(AND(ISNUMBER(G90),ISNUMBER(H90)),IF(AND(G90&gt;0,H90&lt;0),"Buy",IF(AND(G90&lt;0,H90&gt;0),"Sell","")),"")</f>
        <v/>
      </c>
      <c r="J90" s="183">
        <f>IF(I90="Buy",G90,IF(I90="Sell",-G90,""))</f>
        <v/>
      </c>
      <c r="K90" s="183">
        <f>IF(AND(ISNUMBER(J90),ISNUMBER(L90),N(J90)&lt;&gt;0),ROUND(L90/J90,8),"")</f>
        <v/>
      </c>
      <c r="L90" s="183">
        <f>IF(I90="Buy",-H90,IF(I90="Sell",H90,""))</f>
        <v/>
      </c>
    </row>
    <row r="91" ht="22" customHeight="1">
      <c r="B91" s="315" t="n"/>
      <c r="C91" s="240">
        <f>IF($B91="","",IF(COUNTIFS(Пул!$E$5:$E$300,$B91,Пул!$F$5:$F$300,"&lt;&gt;")=0,"",ROUND(SUMIFS(Пул!$F$5:$F$300,Пул!$E$5:$E$300,$B91),8)))</f>
        <v/>
      </c>
      <c r="D91" s="241">
        <f>IF($B91="","",IF(COUNTIFS(Пул!$E$5:$E$300,$B91,Пул!$G$5:$G$300,"&lt;&gt;")=0,"",ROUND(SUMIFS(Пул!$G$5:$G$300,Пул!$E$5:$E$300,$B91),8)))</f>
        <v/>
      </c>
      <c r="E91" s="240">
        <f>IF($B91="","",IF(COUNTIFS(Пул!$E$5:$E$300,$B91,Пул!$L$5:$L$300,"Закрыт")=0,"",ROUND(SUMIFS(Пул!$H$5:$H$300,Пул!$E$5:$E$300,$B91,Пул!$L$5:$L$300,"Закрыт"),8)))</f>
        <v/>
      </c>
      <c r="F91" s="241">
        <f>IF($B91="","",IF(COUNTIFS(Пул!$E$5:$E$300,$B91,Пул!$L$5:$L$300,"Закрыт")=0,"",ROUND(SUMIFS(Пул!$I$5:$I$300,Пул!$E$5:$E$300,$B91,Пул!$L$5:$L$300,"Закрыт"),8)))</f>
        <v/>
      </c>
      <c r="G91" s="240">
        <f>IF($B91="","",IF(COUNTIFS(Пул!$E$5:$E$300,$B91,Пул!$L$5:$L$300,"Закрыт")=0,"",ROUND(SUMIFS(Пул!$J$5:$J$300,Пул!$E$5:$E$300,$B91,Пул!$L$5:$L$300,"Закрыт"),8)))</f>
        <v/>
      </c>
      <c r="H91" s="241">
        <f>IF($B91="","",IF(COUNTIFS(Пул!$E$5:$E$300,$B91,Пул!$L$5:$L$300,"Закрыт")=0,"",ROUND(SUMIFS(Пул!$K$5:$K$300,Пул!$E$5:$E$300,$B91,Пул!$L$5:$L$300,"Закрыт"),8)))</f>
        <v/>
      </c>
      <c r="I91" s="236">
        <f>IF(AND(ISNUMBER(G91),ISNUMBER(H91)),IF(AND(G91&gt;0,H91&lt;0),"Buy",IF(AND(G91&lt;0,H91&gt;0),"Sell","")),"")</f>
        <v/>
      </c>
      <c r="J91" s="177">
        <f>IF(I91="Buy",G91,IF(I91="Sell",-G91,""))</f>
        <v/>
      </c>
      <c r="K91" s="177">
        <f>IF(AND(ISNUMBER(J91),ISNUMBER(L91),N(J91)&lt;&gt;0),ROUND(L91/J91,8),"")</f>
        <v/>
      </c>
      <c r="L91" s="177">
        <f>IF(I91="Buy",-H91,IF(I91="Sell",H91,""))</f>
        <v/>
      </c>
    </row>
    <row r="92" ht="22" customHeight="1">
      <c r="B92" s="320" t="n"/>
      <c r="C92" s="246">
        <f>IF($B92="","",IF(COUNTIFS(Пул!$E$5:$E$300,$B92,Пул!$F$5:$F$300,"&lt;&gt;")=0,"",ROUND(SUMIFS(Пул!$F$5:$F$300,Пул!$E$5:$E$300,$B92),8)))</f>
        <v/>
      </c>
      <c r="D92" s="247">
        <f>IF($B92="","",IF(COUNTIFS(Пул!$E$5:$E$300,$B92,Пул!$G$5:$G$300,"&lt;&gt;")=0,"",ROUND(SUMIFS(Пул!$G$5:$G$300,Пул!$E$5:$E$300,$B92),8)))</f>
        <v/>
      </c>
      <c r="E92" s="246">
        <f>IF($B92="","",IF(COUNTIFS(Пул!$E$5:$E$300,$B92,Пул!$L$5:$L$300,"Закрыт")=0,"",ROUND(SUMIFS(Пул!$H$5:$H$300,Пул!$E$5:$E$300,$B92,Пул!$L$5:$L$300,"Закрыт"),8)))</f>
        <v/>
      </c>
      <c r="F92" s="247">
        <f>IF($B92="","",IF(COUNTIFS(Пул!$E$5:$E$300,$B92,Пул!$L$5:$L$300,"Закрыт")=0,"",ROUND(SUMIFS(Пул!$I$5:$I$300,Пул!$E$5:$E$300,$B92,Пул!$L$5:$L$300,"Закрыт"),8)))</f>
        <v/>
      </c>
      <c r="G92" s="246">
        <f>IF($B92="","",IF(COUNTIFS(Пул!$E$5:$E$300,$B92,Пул!$L$5:$L$300,"Закрыт")=0,"",ROUND(SUMIFS(Пул!$J$5:$J$300,Пул!$E$5:$E$300,$B92,Пул!$L$5:$L$300,"Закрыт"),8)))</f>
        <v/>
      </c>
      <c r="H92" s="247">
        <f>IF($B92="","",IF(COUNTIFS(Пул!$E$5:$E$300,$B92,Пул!$L$5:$L$300,"Закрыт")=0,"",ROUND(SUMIFS(Пул!$K$5:$K$300,Пул!$E$5:$E$300,$B92,Пул!$L$5:$L$300,"Закрыт"),8)))</f>
        <v/>
      </c>
      <c r="I92" s="242">
        <f>IF(AND(ISNUMBER(G92),ISNUMBER(H92)),IF(AND(G92&gt;0,H92&lt;0),"Buy",IF(AND(G92&lt;0,H92&gt;0),"Sell","")),"")</f>
        <v/>
      </c>
      <c r="J92" s="183">
        <f>IF(I92="Buy",G92,IF(I92="Sell",-G92,""))</f>
        <v/>
      </c>
      <c r="K92" s="183">
        <f>IF(AND(ISNUMBER(J92),ISNUMBER(L92),N(J92)&lt;&gt;0),ROUND(L92/J92,8),"")</f>
        <v/>
      </c>
      <c r="L92" s="183">
        <f>IF(I92="Buy",-H92,IF(I92="Sell",H92,""))</f>
        <v/>
      </c>
    </row>
    <row r="93" ht="22" customHeight="1">
      <c r="B93" s="315" t="n"/>
      <c r="C93" s="240">
        <f>IF($B93="","",IF(COUNTIFS(Пул!$E$5:$E$300,$B93,Пул!$F$5:$F$300,"&lt;&gt;")=0,"",ROUND(SUMIFS(Пул!$F$5:$F$300,Пул!$E$5:$E$300,$B93),8)))</f>
        <v/>
      </c>
      <c r="D93" s="241">
        <f>IF($B93="","",IF(COUNTIFS(Пул!$E$5:$E$300,$B93,Пул!$G$5:$G$300,"&lt;&gt;")=0,"",ROUND(SUMIFS(Пул!$G$5:$G$300,Пул!$E$5:$E$300,$B93),8)))</f>
        <v/>
      </c>
      <c r="E93" s="240">
        <f>IF($B93="","",IF(COUNTIFS(Пул!$E$5:$E$300,$B93,Пул!$L$5:$L$300,"Закрыт")=0,"",ROUND(SUMIFS(Пул!$H$5:$H$300,Пул!$E$5:$E$300,$B93,Пул!$L$5:$L$300,"Закрыт"),8)))</f>
        <v/>
      </c>
      <c r="F93" s="241">
        <f>IF($B93="","",IF(COUNTIFS(Пул!$E$5:$E$300,$B93,Пул!$L$5:$L$300,"Закрыт")=0,"",ROUND(SUMIFS(Пул!$I$5:$I$300,Пул!$E$5:$E$300,$B93,Пул!$L$5:$L$300,"Закрыт"),8)))</f>
        <v/>
      </c>
      <c r="G93" s="240">
        <f>IF($B93="","",IF(COUNTIFS(Пул!$E$5:$E$300,$B93,Пул!$L$5:$L$300,"Закрыт")=0,"",ROUND(SUMIFS(Пул!$J$5:$J$300,Пул!$E$5:$E$300,$B93,Пул!$L$5:$L$300,"Закрыт"),8)))</f>
        <v/>
      </c>
      <c r="H93" s="241">
        <f>IF($B93="","",IF(COUNTIFS(Пул!$E$5:$E$300,$B93,Пул!$L$5:$L$300,"Закрыт")=0,"",ROUND(SUMIFS(Пул!$K$5:$K$300,Пул!$E$5:$E$300,$B93,Пул!$L$5:$L$300,"Закрыт"),8)))</f>
        <v/>
      </c>
      <c r="I93" s="236">
        <f>IF(AND(ISNUMBER(G93),ISNUMBER(H93)),IF(AND(G93&gt;0,H93&lt;0),"Buy",IF(AND(G93&lt;0,H93&gt;0),"Sell","")),"")</f>
        <v/>
      </c>
      <c r="J93" s="177">
        <f>IF(I93="Buy",G93,IF(I93="Sell",-G93,""))</f>
        <v/>
      </c>
      <c r="K93" s="177">
        <f>IF(AND(ISNUMBER(J93),ISNUMBER(L93),N(J93)&lt;&gt;0),ROUND(L93/J93,8),"")</f>
        <v/>
      </c>
      <c r="L93" s="177">
        <f>IF(I93="Buy",-H93,IF(I93="Sell",H93,""))</f>
        <v/>
      </c>
    </row>
    <row r="94" ht="22" customHeight="1">
      <c r="B94" s="320" t="n"/>
      <c r="C94" s="246">
        <f>IF($B94="","",IF(COUNTIFS(Пул!$E$5:$E$300,$B94,Пул!$F$5:$F$300,"&lt;&gt;")=0,"",ROUND(SUMIFS(Пул!$F$5:$F$300,Пул!$E$5:$E$300,$B94),8)))</f>
        <v/>
      </c>
      <c r="D94" s="247">
        <f>IF($B94="","",IF(COUNTIFS(Пул!$E$5:$E$300,$B94,Пул!$G$5:$G$300,"&lt;&gt;")=0,"",ROUND(SUMIFS(Пул!$G$5:$G$300,Пул!$E$5:$E$300,$B94),8)))</f>
        <v/>
      </c>
      <c r="E94" s="246">
        <f>IF($B94="","",IF(COUNTIFS(Пул!$E$5:$E$300,$B94,Пул!$L$5:$L$300,"Закрыт")=0,"",ROUND(SUMIFS(Пул!$H$5:$H$300,Пул!$E$5:$E$300,$B94,Пул!$L$5:$L$300,"Закрыт"),8)))</f>
        <v/>
      </c>
      <c r="F94" s="247">
        <f>IF($B94="","",IF(COUNTIFS(Пул!$E$5:$E$300,$B94,Пул!$L$5:$L$300,"Закрыт")=0,"",ROUND(SUMIFS(Пул!$I$5:$I$300,Пул!$E$5:$E$300,$B94,Пул!$L$5:$L$300,"Закрыт"),8)))</f>
        <v/>
      </c>
      <c r="G94" s="246">
        <f>IF($B94="","",IF(COUNTIFS(Пул!$E$5:$E$300,$B94,Пул!$L$5:$L$300,"Закрыт")=0,"",ROUND(SUMIFS(Пул!$J$5:$J$300,Пул!$E$5:$E$300,$B94,Пул!$L$5:$L$300,"Закрыт"),8)))</f>
        <v/>
      </c>
      <c r="H94" s="247">
        <f>IF($B94="","",IF(COUNTIFS(Пул!$E$5:$E$300,$B94,Пул!$L$5:$L$300,"Закрыт")=0,"",ROUND(SUMIFS(Пул!$K$5:$K$300,Пул!$E$5:$E$300,$B94,Пул!$L$5:$L$300,"Закрыт"),8)))</f>
        <v/>
      </c>
      <c r="I94" s="242">
        <f>IF(AND(ISNUMBER(G94),ISNUMBER(H94)),IF(AND(G94&gt;0,H94&lt;0),"Buy",IF(AND(G94&lt;0,H94&gt;0),"Sell","")),"")</f>
        <v/>
      </c>
      <c r="J94" s="183">
        <f>IF(I94="Buy",G94,IF(I94="Sell",-G94,""))</f>
        <v/>
      </c>
      <c r="K94" s="183">
        <f>IF(AND(ISNUMBER(J94),ISNUMBER(L94),N(J94)&lt;&gt;0),ROUND(L94/J94,8),"")</f>
        <v/>
      </c>
      <c r="L94" s="183">
        <f>IF(I94="Buy",-H94,IF(I94="Sell",H94,""))</f>
        <v/>
      </c>
    </row>
    <row r="95" ht="22" customHeight="1">
      <c r="B95" s="315" t="n"/>
      <c r="C95" s="240">
        <f>IF($B95="","",IF(COUNTIFS(Пул!$E$5:$E$300,$B95,Пул!$F$5:$F$300,"&lt;&gt;")=0,"",ROUND(SUMIFS(Пул!$F$5:$F$300,Пул!$E$5:$E$300,$B95),8)))</f>
        <v/>
      </c>
      <c r="D95" s="241">
        <f>IF($B95="","",IF(COUNTIFS(Пул!$E$5:$E$300,$B95,Пул!$G$5:$G$300,"&lt;&gt;")=0,"",ROUND(SUMIFS(Пул!$G$5:$G$300,Пул!$E$5:$E$300,$B95),8)))</f>
        <v/>
      </c>
      <c r="E95" s="240">
        <f>IF($B95="","",IF(COUNTIFS(Пул!$E$5:$E$300,$B95,Пул!$L$5:$L$300,"Закрыт")=0,"",ROUND(SUMIFS(Пул!$H$5:$H$300,Пул!$E$5:$E$300,$B95,Пул!$L$5:$L$300,"Закрыт"),8)))</f>
        <v/>
      </c>
      <c r="F95" s="241">
        <f>IF($B95="","",IF(COUNTIFS(Пул!$E$5:$E$300,$B95,Пул!$L$5:$L$300,"Закрыт")=0,"",ROUND(SUMIFS(Пул!$I$5:$I$300,Пул!$E$5:$E$300,$B95,Пул!$L$5:$L$300,"Закрыт"),8)))</f>
        <v/>
      </c>
      <c r="G95" s="240">
        <f>IF($B95="","",IF(COUNTIFS(Пул!$E$5:$E$300,$B95,Пул!$L$5:$L$300,"Закрыт")=0,"",ROUND(SUMIFS(Пул!$J$5:$J$300,Пул!$E$5:$E$300,$B95,Пул!$L$5:$L$300,"Закрыт"),8)))</f>
        <v/>
      </c>
      <c r="H95" s="241">
        <f>IF($B95="","",IF(COUNTIFS(Пул!$E$5:$E$300,$B95,Пул!$L$5:$L$300,"Закрыт")=0,"",ROUND(SUMIFS(Пул!$K$5:$K$300,Пул!$E$5:$E$300,$B95,Пул!$L$5:$L$300,"Закрыт"),8)))</f>
        <v/>
      </c>
      <c r="I95" s="236">
        <f>IF(AND(ISNUMBER(G95),ISNUMBER(H95)),IF(AND(G95&gt;0,H95&lt;0),"Buy",IF(AND(G95&lt;0,H95&gt;0),"Sell","")),"")</f>
        <v/>
      </c>
      <c r="J95" s="177">
        <f>IF(I95="Buy",G95,IF(I95="Sell",-G95,""))</f>
        <v/>
      </c>
      <c r="K95" s="177">
        <f>IF(AND(ISNUMBER(J95),ISNUMBER(L95),N(J95)&lt;&gt;0),ROUND(L95/J95,8),"")</f>
        <v/>
      </c>
      <c r="L95" s="177">
        <f>IF(I95="Buy",-H95,IF(I95="Sell",H95,""))</f>
        <v/>
      </c>
    </row>
    <row r="96" ht="22" customHeight="1">
      <c r="B96" s="320" t="n"/>
      <c r="C96" s="246">
        <f>IF($B96="","",IF(COUNTIFS(Пул!$E$5:$E$300,$B96,Пул!$F$5:$F$300,"&lt;&gt;")=0,"",ROUND(SUMIFS(Пул!$F$5:$F$300,Пул!$E$5:$E$300,$B96),8)))</f>
        <v/>
      </c>
      <c r="D96" s="247">
        <f>IF($B96="","",IF(COUNTIFS(Пул!$E$5:$E$300,$B96,Пул!$G$5:$G$300,"&lt;&gt;")=0,"",ROUND(SUMIFS(Пул!$G$5:$G$300,Пул!$E$5:$E$300,$B96),8)))</f>
        <v/>
      </c>
      <c r="E96" s="246">
        <f>IF($B96="","",IF(COUNTIFS(Пул!$E$5:$E$300,$B96,Пул!$L$5:$L$300,"Закрыт")=0,"",ROUND(SUMIFS(Пул!$H$5:$H$300,Пул!$E$5:$E$300,$B96,Пул!$L$5:$L$300,"Закрыт"),8)))</f>
        <v/>
      </c>
      <c r="F96" s="247">
        <f>IF($B96="","",IF(COUNTIFS(Пул!$E$5:$E$300,$B96,Пул!$L$5:$L$300,"Закрыт")=0,"",ROUND(SUMIFS(Пул!$I$5:$I$300,Пул!$E$5:$E$300,$B96,Пул!$L$5:$L$300,"Закрыт"),8)))</f>
        <v/>
      </c>
      <c r="G96" s="246">
        <f>IF($B96="","",IF(COUNTIFS(Пул!$E$5:$E$300,$B96,Пул!$L$5:$L$300,"Закрыт")=0,"",ROUND(SUMIFS(Пул!$J$5:$J$300,Пул!$E$5:$E$300,$B96,Пул!$L$5:$L$300,"Закрыт"),8)))</f>
        <v/>
      </c>
      <c r="H96" s="247">
        <f>IF($B96="","",IF(COUNTIFS(Пул!$E$5:$E$300,$B96,Пул!$L$5:$L$300,"Закрыт")=0,"",ROUND(SUMIFS(Пул!$K$5:$K$300,Пул!$E$5:$E$300,$B96,Пул!$L$5:$L$300,"Закрыт"),8)))</f>
        <v/>
      </c>
      <c r="I96" s="242">
        <f>IF(AND(ISNUMBER(G96),ISNUMBER(H96)),IF(AND(G96&gt;0,H96&lt;0),"Buy",IF(AND(G96&lt;0,H96&gt;0),"Sell","")),"")</f>
        <v/>
      </c>
      <c r="J96" s="183">
        <f>IF(I96="Buy",G96,IF(I96="Sell",-G96,""))</f>
        <v/>
      </c>
      <c r="K96" s="183">
        <f>IF(AND(ISNUMBER(J96),ISNUMBER(L96),N(J96)&lt;&gt;0),ROUND(L96/J96,8),"")</f>
        <v/>
      </c>
      <c r="L96" s="183">
        <f>IF(I96="Buy",-H96,IF(I96="Sell",H96,""))</f>
        <v/>
      </c>
    </row>
    <row r="97" ht="22" customHeight="1">
      <c r="B97" s="315" t="n"/>
      <c r="C97" s="240">
        <f>IF($B97="","",IF(COUNTIFS(Пул!$E$5:$E$300,$B97,Пул!$F$5:$F$300,"&lt;&gt;")=0,"",ROUND(SUMIFS(Пул!$F$5:$F$300,Пул!$E$5:$E$300,$B97),8)))</f>
        <v/>
      </c>
      <c r="D97" s="241">
        <f>IF($B97="","",IF(COUNTIFS(Пул!$E$5:$E$300,$B97,Пул!$G$5:$G$300,"&lt;&gt;")=0,"",ROUND(SUMIFS(Пул!$G$5:$G$300,Пул!$E$5:$E$300,$B97),8)))</f>
        <v/>
      </c>
      <c r="E97" s="240">
        <f>IF($B97="","",IF(COUNTIFS(Пул!$E$5:$E$300,$B97,Пул!$L$5:$L$300,"Закрыт")=0,"",ROUND(SUMIFS(Пул!$H$5:$H$300,Пул!$E$5:$E$300,$B97,Пул!$L$5:$L$300,"Закрыт"),8)))</f>
        <v/>
      </c>
      <c r="F97" s="241">
        <f>IF($B97="","",IF(COUNTIFS(Пул!$E$5:$E$300,$B97,Пул!$L$5:$L$300,"Закрыт")=0,"",ROUND(SUMIFS(Пул!$I$5:$I$300,Пул!$E$5:$E$300,$B97,Пул!$L$5:$L$300,"Закрыт"),8)))</f>
        <v/>
      </c>
      <c r="G97" s="240">
        <f>IF($B97="","",IF(COUNTIFS(Пул!$E$5:$E$300,$B97,Пул!$L$5:$L$300,"Закрыт")=0,"",ROUND(SUMIFS(Пул!$J$5:$J$300,Пул!$E$5:$E$300,$B97,Пул!$L$5:$L$300,"Закрыт"),8)))</f>
        <v/>
      </c>
      <c r="H97" s="241">
        <f>IF($B97="","",IF(COUNTIFS(Пул!$E$5:$E$300,$B97,Пул!$L$5:$L$300,"Закрыт")=0,"",ROUND(SUMIFS(Пул!$K$5:$K$300,Пул!$E$5:$E$300,$B97,Пул!$L$5:$L$300,"Закрыт"),8)))</f>
        <v/>
      </c>
      <c r="I97" s="236">
        <f>IF(AND(ISNUMBER(G97),ISNUMBER(H97)),IF(AND(G97&gt;0,H97&lt;0),"Buy",IF(AND(G97&lt;0,H97&gt;0),"Sell","")),"")</f>
        <v/>
      </c>
      <c r="J97" s="177">
        <f>IF(I97="Buy",G97,IF(I97="Sell",-G97,""))</f>
        <v/>
      </c>
      <c r="K97" s="177">
        <f>IF(AND(ISNUMBER(J97),ISNUMBER(L97),N(J97)&lt;&gt;0),ROUND(L97/J97,8),"")</f>
        <v/>
      </c>
      <c r="L97" s="177">
        <f>IF(I97="Buy",-H97,IF(I97="Sell",H97,""))</f>
        <v/>
      </c>
    </row>
    <row r="98" ht="22" customHeight="1">
      <c r="B98" s="320" t="n"/>
      <c r="C98" s="246">
        <f>IF($B98="","",IF(COUNTIFS(Пул!$E$5:$E$300,$B98,Пул!$F$5:$F$300,"&lt;&gt;")=0,"",ROUND(SUMIFS(Пул!$F$5:$F$300,Пул!$E$5:$E$300,$B98),8)))</f>
        <v/>
      </c>
      <c r="D98" s="247">
        <f>IF($B98="","",IF(COUNTIFS(Пул!$E$5:$E$300,$B98,Пул!$G$5:$G$300,"&lt;&gt;")=0,"",ROUND(SUMIFS(Пул!$G$5:$G$300,Пул!$E$5:$E$300,$B98),8)))</f>
        <v/>
      </c>
      <c r="E98" s="246">
        <f>IF($B98="","",IF(COUNTIFS(Пул!$E$5:$E$300,$B98,Пул!$L$5:$L$300,"Закрыт")=0,"",ROUND(SUMIFS(Пул!$H$5:$H$300,Пул!$E$5:$E$300,$B98,Пул!$L$5:$L$300,"Закрыт"),8)))</f>
        <v/>
      </c>
      <c r="F98" s="247">
        <f>IF($B98="","",IF(COUNTIFS(Пул!$E$5:$E$300,$B98,Пул!$L$5:$L$300,"Закрыт")=0,"",ROUND(SUMIFS(Пул!$I$5:$I$300,Пул!$E$5:$E$300,$B98,Пул!$L$5:$L$300,"Закрыт"),8)))</f>
        <v/>
      </c>
      <c r="G98" s="246">
        <f>IF($B98="","",IF(COUNTIFS(Пул!$E$5:$E$300,$B98,Пул!$L$5:$L$300,"Закрыт")=0,"",ROUND(SUMIFS(Пул!$J$5:$J$300,Пул!$E$5:$E$300,$B98,Пул!$L$5:$L$300,"Закрыт"),8)))</f>
        <v/>
      </c>
      <c r="H98" s="247">
        <f>IF($B98="","",IF(COUNTIFS(Пул!$E$5:$E$300,$B98,Пул!$L$5:$L$300,"Закрыт")=0,"",ROUND(SUMIFS(Пул!$K$5:$K$300,Пул!$E$5:$E$300,$B98,Пул!$L$5:$L$300,"Закрыт"),8)))</f>
        <v/>
      </c>
      <c r="I98" s="242">
        <f>IF(AND(ISNUMBER(G98),ISNUMBER(H98)),IF(AND(G98&gt;0,H98&lt;0),"Buy",IF(AND(G98&lt;0,H98&gt;0),"Sell","")),"")</f>
        <v/>
      </c>
      <c r="J98" s="183">
        <f>IF(I98="Buy",G98,IF(I98="Sell",-G98,""))</f>
        <v/>
      </c>
      <c r="K98" s="183">
        <f>IF(AND(ISNUMBER(J98),ISNUMBER(L98),N(J98)&lt;&gt;0),ROUND(L98/J98,8),"")</f>
        <v/>
      </c>
      <c r="L98" s="183">
        <f>IF(I98="Buy",-H98,IF(I98="Sell",H98,""))</f>
        <v/>
      </c>
    </row>
    <row r="99" ht="22" customHeight="1">
      <c r="B99" s="315" t="n"/>
      <c r="C99" s="240">
        <f>IF($B99="","",IF(COUNTIFS(Пул!$E$5:$E$300,$B99,Пул!$F$5:$F$300,"&lt;&gt;")=0,"",ROUND(SUMIFS(Пул!$F$5:$F$300,Пул!$E$5:$E$300,$B99),8)))</f>
        <v/>
      </c>
      <c r="D99" s="241">
        <f>IF($B99="","",IF(COUNTIFS(Пул!$E$5:$E$300,$B99,Пул!$G$5:$G$300,"&lt;&gt;")=0,"",ROUND(SUMIFS(Пул!$G$5:$G$300,Пул!$E$5:$E$300,$B99),8)))</f>
        <v/>
      </c>
      <c r="E99" s="240">
        <f>IF($B99="","",IF(COUNTIFS(Пул!$E$5:$E$300,$B99,Пул!$L$5:$L$300,"Закрыт")=0,"",ROUND(SUMIFS(Пул!$H$5:$H$300,Пул!$E$5:$E$300,$B99,Пул!$L$5:$L$300,"Закрыт"),8)))</f>
        <v/>
      </c>
      <c r="F99" s="241">
        <f>IF($B99="","",IF(COUNTIFS(Пул!$E$5:$E$300,$B99,Пул!$L$5:$L$300,"Закрыт")=0,"",ROUND(SUMIFS(Пул!$I$5:$I$300,Пул!$E$5:$E$300,$B99,Пул!$L$5:$L$300,"Закрыт"),8)))</f>
        <v/>
      </c>
      <c r="G99" s="240">
        <f>IF($B99="","",IF(COUNTIFS(Пул!$E$5:$E$300,$B99,Пул!$L$5:$L$300,"Закрыт")=0,"",ROUND(SUMIFS(Пул!$J$5:$J$300,Пул!$E$5:$E$300,$B99,Пул!$L$5:$L$300,"Закрыт"),8)))</f>
        <v/>
      </c>
      <c r="H99" s="241">
        <f>IF($B99="","",IF(COUNTIFS(Пул!$E$5:$E$300,$B99,Пул!$L$5:$L$300,"Закрыт")=0,"",ROUND(SUMIFS(Пул!$K$5:$K$300,Пул!$E$5:$E$300,$B99,Пул!$L$5:$L$300,"Закрыт"),8)))</f>
        <v/>
      </c>
      <c r="I99" s="236">
        <f>IF(AND(ISNUMBER(G99),ISNUMBER(H99)),IF(AND(G99&gt;0,H99&lt;0),"Buy",IF(AND(G99&lt;0,H99&gt;0),"Sell","")),"")</f>
        <v/>
      </c>
      <c r="J99" s="177">
        <f>IF(I99="Buy",G99,IF(I99="Sell",-G99,""))</f>
        <v/>
      </c>
      <c r="K99" s="177">
        <f>IF(AND(ISNUMBER(J99),ISNUMBER(L99),N(J99)&lt;&gt;0),ROUND(L99/J99,8),"")</f>
        <v/>
      </c>
      <c r="L99" s="177">
        <f>IF(I99="Buy",-H99,IF(I99="Sell",H99,""))</f>
        <v/>
      </c>
    </row>
    <row r="100" ht="22" customHeight="1">
      <c r="B100" s="320" t="n"/>
      <c r="C100" s="246">
        <f>IF($B100="","",IF(COUNTIFS(Пул!$E$5:$E$300,$B100,Пул!$F$5:$F$300,"&lt;&gt;")=0,"",ROUND(SUMIFS(Пул!$F$5:$F$300,Пул!$E$5:$E$300,$B100),8)))</f>
        <v/>
      </c>
      <c r="D100" s="247">
        <f>IF($B100="","",IF(COUNTIFS(Пул!$E$5:$E$300,$B100,Пул!$G$5:$G$300,"&lt;&gt;")=0,"",ROUND(SUMIFS(Пул!$G$5:$G$300,Пул!$E$5:$E$300,$B100),8)))</f>
        <v/>
      </c>
      <c r="E100" s="246">
        <f>IF($B100="","",IF(COUNTIFS(Пул!$E$5:$E$300,$B100,Пул!$L$5:$L$300,"Закрыт")=0,"",ROUND(SUMIFS(Пул!$H$5:$H$300,Пул!$E$5:$E$300,$B100,Пул!$L$5:$L$300,"Закрыт"),8)))</f>
        <v/>
      </c>
      <c r="F100" s="247">
        <f>IF($B100="","",IF(COUNTIFS(Пул!$E$5:$E$300,$B100,Пул!$L$5:$L$300,"Закрыт")=0,"",ROUND(SUMIFS(Пул!$I$5:$I$300,Пул!$E$5:$E$300,$B100,Пул!$L$5:$L$300,"Закрыт"),8)))</f>
        <v/>
      </c>
      <c r="G100" s="246">
        <f>IF($B100="","",IF(COUNTIFS(Пул!$E$5:$E$300,$B100,Пул!$L$5:$L$300,"Закрыт")=0,"",ROUND(SUMIFS(Пул!$J$5:$J$300,Пул!$E$5:$E$300,$B100,Пул!$L$5:$L$300,"Закрыт"),8)))</f>
        <v/>
      </c>
      <c r="H100" s="247">
        <f>IF($B100="","",IF(COUNTIFS(Пул!$E$5:$E$300,$B100,Пул!$L$5:$L$300,"Закрыт")=0,"",ROUND(SUMIFS(Пул!$K$5:$K$300,Пул!$E$5:$E$300,$B100,Пул!$L$5:$L$300,"Закрыт"),8)))</f>
        <v/>
      </c>
      <c r="I100" s="242">
        <f>IF(AND(ISNUMBER(G100),ISNUMBER(H100)),IF(AND(G100&gt;0,H100&lt;0),"Buy",IF(AND(G100&lt;0,H100&gt;0),"Sell","")),"")</f>
        <v/>
      </c>
      <c r="J100" s="183">
        <f>IF(I100="Buy",G100,IF(I100="Sell",-G100,""))</f>
        <v/>
      </c>
      <c r="K100" s="183">
        <f>IF(AND(ISNUMBER(J100),ISNUMBER(L100),N(J100)&lt;&gt;0),ROUND(L100/J100,8),"")</f>
        <v/>
      </c>
      <c r="L100" s="183">
        <f>IF(I100="Buy",-H100,IF(I100="Sell",H100,""))</f>
        <v/>
      </c>
    </row>
    <row r="101" ht="22" customHeight="1">
      <c r="B101" s="315" t="n"/>
      <c r="C101" s="240">
        <f>IF($B101="","",IF(COUNTIFS(Пул!$E$5:$E$300,$B101,Пул!$F$5:$F$300,"&lt;&gt;")=0,"",ROUND(SUMIFS(Пул!$F$5:$F$300,Пул!$E$5:$E$300,$B101),8)))</f>
        <v/>
      </c>
      <c r="D101" s="241">
        <f>IF($B101="","",IF(COUNTIFS(Пул!$E$5:$E$300,$B101,Пул!$G$5:$G$300,"&lt;&gt;")=0,"",ROUND(SUMIFS(Пул!$G$5:$G$300,Пул!$E$5:$E$300,$B101),8)))</f>
        <v/>
      </c>
      <c r="E101" s="240">
        <f>IF($B101="","",IF(COUNTIFS(Пул!$E$5:$E$300,$B101,Пул!$L$5:$L$300,"Закрыт")=0,"",ROUND(SUMIFS(Пул!$H$5:$H$300,Пул!$E$5:$E$300,$B101,Пул!$L$5:$L$300,"Закрыт"),8)))</f>
        <v/>
      </c>
      <c r="F101" s="241">
        <f>IF($B101="","",IF(COUNTIFS(Пул!$E$5:$E$300,$B101,Пул!$L$5:$L$300,"Закрыт")=0,"",ROUND(SUMIFS(Пул!$I$5:$I$300,Пул!$E$5:$E$300,$B101,Пул!$L$5:$L$300,"Закрыт"),8)))</f>
        <v/>
      </c>
      <c r="G101" s="240">
        <f>IF($B101="","",IF(COUNTIFS(Пул!$E$5:$E$300,$B101,Пул!$L$5:$L$300,"Закрыт")=0,"",ROUND(SUMIFS(Пул!$J$5:$J$300,Пул!$E$5:$E$300,$B101,Пул!$L$5:$L$300,"Закрыт"),8)))</f>
        <v/>
      </c>
      <c r="H101" s="241">
        <f>IF($B101="","",IF(COUNTIFS(Пул!$E$5:$E$300,$B101,Пул!$L$5:$L$300,"Закрыт")=0,"",ROUND(SUMIFS(Пул!$K$5:$K$300,Пул!$E$5:$E$300,$B101,Пул!$L$5:$L$300,"Закрыт"),8)))</f>
        <v/>
      </c>
      <c r="I101" s="236">
        <f>IF(AND(ISNUMBER(G101),ISNUMBER(H101)),IF(AND(G101&gt;0,H101&lt;0),"Buy",IF(AND(G101&lt;0,H101&gt;0),"Sell","")),"")</f>
        <v/>
      </c>
      <c r="J101" s="177">
        <f>IF(I101="Buy",G101,IF(I101="Sell",-G101,""))</f>
        <v/>
      </c>
      <c r="K101" s="177">
        <f>IF(AND(ISNUMBER(J101),ISNUMBER(L101),N(J101)&lt;&gt;0),ROUND(L101/J101,8),"")</f>
        <v/>
      </c>
      <c r="L101" s="177">
        <f>IF(I101="Buy",-H101,IF(I101="Sell",H101,""))</f>
        <v/>
      </c>
    </row>
    <row r="102" ht="22" customHeight="1">
      <c r="B102" s="320" t="n"/>
      <c r="C102" s="246">
        <f>IF($B102="","",IF(COUNTIFS(Пул!$E$5:$E$300,$B102,Пул!$F$5:$F$300,"&lt;&gt;")=0,"",ROUND(SUMIFS(Пул!$F$5:$F$300,Пул!$E$5:$E$300,$B102),8)))</f>
        <v/>
      </c>
      <c r="D102" s="247">
        <f>IF($B102="","",IF(COUNTIFS(Пул!$E$5:$E$300,$B102,Пул!$G$5:$G$300,"&lt;&gt;")=0,"",ROUND(SUMIFS(Пул!$G$5:$G$300,Пул!$E$5:$E$300,$B102),8)))</f>
        <v/>
      </c>
      <c r="E102" s="246">
        <f>IF($B102="","",IF(COUNTIFS(Пул!$E$5:$E$300,$B102,Пул!$L$5:$L$300,"Закрыт")=0,"",ROUND(SUMIFS(Пул!$H$5:$H$300,Пул!$E$5:$E$300,$B102,Пул!$L$5:$L$300,"Закрыт"),8)))</f>
        <v/>
      </c>
      <c r="F102" s="247">
        <f>IF($B102="","",IF(COUNTIFS(Пул!$E$5:$E$300,$B102,Пул!$L$5:$L$300,"Закрыт")=0,"",ROUND(SUMIFS(Пул!$I$5:$I$300,Пул!$E$5:$E$300,$B102,Пул!$L$5:$L$300,"Закрыт"),8)))</f>
        <v/>
      </c>
      <c r="G102" s="246">
        <f>IF($B102="","",IF(COUNTIFS(Пул!$E$5:$E$300,$B102,Пул!$L$5:$L$300,"Закрыт")=0,"",ROUND(SUMIFS(Пул!$J$5:$J$300,Пул!$E$5:$E$300,$B102,Пул!$L$5:$L$300,"Закрыт"),8)))</f>
        <v/>
      </c>
      <c r="H102" s="247">
        <f>IF($B102="","",IF(COUNTIFS(Пул!$E$5:$E$300,$B102,Пул!$L$5:$L$300,"Закрыт")=0,"",ROUND(SUMIFS(Пул!$K$5:$K$300,Пул!$E$5:$E$300,$B102,Пул!$L$5:$L$300,"Закрыт"),8)))</f>
        <v/>
      </c>
      <c r="I102" s="242">
        <f>IF(AND(ISNUMBER(G102),ISNUMBER(H102)),IF(AND(G102&gt;0,H102&lt;0),"Buy",IF(AND(G102&lt;0,H102&gt;0),"Sell","")),"")</f>
        <v/>
      </c>
      <c r="J102" s="183">
        <f>IF(I102="Buy",G102,IF(I102="Sell",-G102,""))</f>
        <v/>
      </c>
      <c r="K102" s="183">
        <f>IF(AND(ISNUMBER(J102),ISNUMBER(L102),N(J102)&lt;&gt;0),ROUND(L102/J102,8),"")</f>
        <v/>
      </c>
      <c r="L102" s="183">
        <f>IF(I102="Buy",-H102,IF(I102="Sell",H102,""))</f>
        <v/>
      </c>
    </row>
    <row r="103" ht="22" customHeight="1">
      <c r="B103" s="315" t="n"/>
      <c r="C103" s="240">
        <f>IF($B103="","",IF(COUNTIFS(Пул!$E$5:$E$300,$B103,Пул!$F$5:$F$300,"&lt;&gt;")=0,"",ROUND(SUMIFS(Пул!$F$5:$F$300,Пул!$E$5:$E$300,$B103),8)))</f>
        <v/>
      </c>
      <c r="D103" s="241">
        <f>IF($B103="","",IF(COUNTIFS(Пул!$E$5:$E$300,$B103,Пул!$G$5:$G$300,"&lt;&gt;")=0,"",ROUND(SUMIFS(Пул!$G$5:$G$300,Пул!$E$5:$E$300,$B103),8)))</f>
        <v/>
      </c>
      <c r="E103" s="240">
        <f>IF($B103="","",IF(COUNTIFS(Пул!$E$5:$E$300,$B103,Пул!$L$5:$L$300,"Закрыт")=0,"",ROUND(SUMIFS(Пул!$H$5:$H$300,Пул!$E$5:$E$300,$B103,Пул!$L$5:$L$300,"Закрыт"),8)))</f>
        <v/>
      </c>
      <c r="F103" s="241">
        <f>IF($B103="","",IF(COUNTIFS(Пул!$E$5:$E$300,$B103,Пул!$L$5:$L$300,"Закрыт")=0,"",ROUND(SUMIFS(Пул!$I$5:$I$300,Пул!$E$5:$E$300,$B103,Пул!$L$5:$L$300,"Закрыт"),8)))</f>
        <v/>
      </c>
      <c r="G103" s="240">
        <f>IF($B103="","",IF(COUNTIFS(Пул!$E$5:$E$300,$B103,Пул!$L$5:$L$300,"Закрыт")=0,"",ROUND(SUMIFS(Пул!$J$5:$J$300,Пул!$E$5:$E$300,$B103,Пул!$L$5:$L$300,"Закрыт"),8)))</f>
        <v/>
      </c>
      <c r="H103" s="241">
        <f>IF($B103="","",IF(COUNTIFS(Пул!$E$5:$E$300,$B103,Пул!$L$5:$L$300,"Закрыт")=0,"",ROUND(SUMIFS(Пул!$K$5:$K$300,Пул!$E$5:$E$300,$B103,Пул!$L$5:$L$300,"Закрыт"),8)))</f>
        <v/>
      </c>
      <c r="I103" s="236">
        <f>IF(AND(ISNUMBER(G103),ISNUMBER(H103)),IF(AND(G103&gt;0,H103&lt;0),"Buy",IF(AND(G103&lt;0,H103&gt;0),"Sell","")),"")</f>
        <v/>
      </c>
      <c r="J103" s="177">
        <f>IF(I103="Buy",G103,IF(I103="Sell",-G103,""))</f>
        <v/>
      </c>
      <c r="K103" s="177">
        <f>IF(AND(ISNUMBER(J103),ISNUMBER(L103),N(J103)&lt;&gt;0),ROUND(L103/J103,8),"")</f>
        <v/>
      </c>
      <c r="L103" s="177">
        <f>IF(I103="Buy",-H103,IF(I103="Sell",H103,""))</f>
        <v/>
      </c>
    </row>
    <row r="104" ht="22" customHeight="1">
      <c r="B104" s="320" t="n"/>
      <c r="C104" s="246">
        <f>IF($B104="","",IF(COUNTIFS(Пул!$E$5:$E$300,$B104,Пул!$F$5:$F$300,"&lt;&gt;")=0,"",ROUND(SUMIFS(Пул!$F$5:$F$300,Пул!$E$5:$E$300,$B104),8)))</f>
        <v/>
      </c>
      <c r="D104" s="247">
        <f>IF($B104="","",IF(COUNTIFS(Пул!$E$5:$E$300,$B104,Пул!$G$5:$G$300,"&lt;&gt;")=0,"",ROUND(SUMIFS(Пул!$G$5:$G$300,Пул!$E$5:$E$300,$B104),8)))</f>
        <v/>
      </c>
      <c r="E104" s="246">
        <f>IF($B104="","",IF(COUNTIFS(Пул!$E$5:$E$300,$B104,Пул!$L$5:$L$300,"Закрыт")=0,"",ROUND(SUMIFS(Пул!$H$5:$H$300,Пул!$E$5:$E$300,$B104,Пул!$L$5:$L$300,"Закрыт"),8)))</f>
        <v/>
      </c>
      <c r="F104" s="247">
        <f>IF($B104="","",IF(COUNTIFS(Пул!$E$5:$E$300,$B104,Пул!$L$5:$L$300,"Закрыт")=0,"",ROUND(SUMIFS(Пул!$I$5:$I$300,Пул!$E$5:$E$300,$B104,Пул!$L$5:$L$300,"Закрыт"),8)))</f>
        <v/>
      </c>
      <c r="G104" s="246">
        <f>IF($B104="","",IF(COUNTIFS(Пул!$E$5:$E$300,$B104,Пул!$L$5:$L$300,"Закрыт")=0,"",ROUND(SUMIFS(Пул!$J$5:$J$300,Пул!$E$5:$E$300,$B104,Пул!$L$5:$L$300,"Закрыт"),8)))</f>
        <v/>
      </c>
      <c r="H104" s="247">
        <f>IF($B104="","",IF(COUNTIFS(Пул!$E$5:$E$300,$B104,Пул!$L$5:$L$300,"Закрыт")=0,"",ROUND(SUMIFS(Пул!$K$5:$K$300,Пул!$E$5:$E$300,$B104,Пул!$L$5:$L$300,"Закрыт"),8)))</f>
        <v/>
      </c>
      <c r="I104" s="242">
        <f>IF(AND(ISNUMBER(G104),ISNUMBER(H104)),IF(AND(G104&gt;0,H104&lt;0),"Buy",IF(AND(G104&lt;0,H104&gt;0),"Sell","")),"")</f>
        <v/>
      </c>
      <c r="J104" s="183">
        <f>IF(I104="Buy",G104,IF(I104="Sell",-G104,""))</f>
        <v/>
      </c>
      <c r="K104" s="183">
        <f>IF(AND(ISNUMBER(J104),ISNUMBER(L104),N(J104)&lt;&gt;0),ROUND(L104/J104,8),"")</f>
        <v/>
      </c>
      <c r="L104" s="183">
        <f>IF(I104="Buy",-H104,IF(I104="Sell",H104,""))</f>
        <v/>
      </c>
    </row>
    <row r="105" ht="22" customHeight="1">
      <c r="B105" s="315" t="n"/>
      <c r="C105" s="240">
        <f>IF($B105="","",IF(COUNTIFS(Пул!$E$5:$E$300,$B105,Пул!$F$5:$F$300,"&lt;&gt;")=0,"",ROUND(SUMIFS(Пул!$F$5:$F$300,Пул!$E$5:$E$300,$B105),8)))</f>
        <v/>
      </c>
      <c r="D105" s="241">
        <f>IF($B105="","",IF(COUNTIFS(Пул!$E$5:$E$300,$B105,Пул!$G$5:$G$300,"&lt;&gt;")=0,"",ROUND(SUMIFS(Пул!$G$5:$G$300,Пул!$E$5:$E$300,$B105),8)))</f>
        <v/>
      </c>
      <c r="E105" s="240">
        <f>IF($B105="","",IF(COUNTIFS(Пул!$E$5:$E$300,$B105,Пул!$L$5:$L$300,"Закрыт")=0,"",ROUND(SUMIFS(Пул!$H$5:$H$300,Пул!$E$5:$E$300,$B105,Пул!$L$5:$L$300,"Закрыт"),8)))</f>
        <v/>
      </c>
      <c r="F105" s="241">
        <f>IF($B105="","",IF(COUNTIFS(Пул!$E$5:$E$300,$B105,Пул!$L$5:$L$300,"Закрыт")=0,"",ROUND(SUMIFS(Пул!$I$5:$I$300,Пул!$E$5:$E$300,$B105,Пул!$L$5:$L$300,"Закрыт"),8)))</f>
        <v/>
      </c>
      <c r="G105" s="240">
        <f>IF($B105="","",IF(COUNTIFS(Пул!$E$5:$E$300,$B105,Пул!$L$5:$L$300,"Закрыт")=0,"",ROUND(SUMIFS(Пул!$J$5:$J$300,Пул!$E$5:$E$300,$B105,Пул!$L$5:$L$300,"Закрыт"),8)))</f>
        <v/>
      </c>
      <c r="H105" s="241">
        <f>IF($B105="","",IF(COUNTIFS(Пул!$E$5:$E$300,$B105,Пул!$L$5:$L$300,"Закрыт")=0,"",ROUND(SUMIFS(Пул!$K$5:$K$300,Пул!$E$5:$E$300,$B105,Пул!$L$5:$L$300,"Закрыт"),8)))</f>
        <v/>
      </c>
      <c r="I105" s="236">
        <f>IF(AND(ISNUMBER(G105),ISNUMBER(H105)),IF(AND(G105&gt;0,H105&lt;0),"Buy",IF(AND(G105&lt;0,H105&gt;0),"Sell","")),"")</f>
        <v/>
      </c>
      <c r="J105" s="177">
        <f>IF(I105="Buy",G105,IF(I105="Sell",-G105,""))</f>
        <v/>
      </c>
      <c r="K105" s="177">
        <f>IF(AND(ISNUMBER(J105),ISNUMBER(L105),N(J105)&lt;&gt;0),ROUND(L105/J105,8),"")</f>
        <v/>
      </c>
      <c r="L105" s="177">
        <f>IF(I105="Buy",-H105,IF(I105="Sell",H105,""))</f>
        <v/>
      </c>
    </row>
    <row r="106" ht="22" customHeight="1">
      <c r="B106" s="320" t="n"/>
      <c r="C106" s="246">
        <f>IF($B106="","",IF(COUNTIFS(Пул!$E$5:$E$300,$B106,Пул!$F$5:$F$300,"&lt;&gt;")=0,"",ROUND(SUMIFS(Пул!$F$5:$F$300,Пул!$E$5:$E$300,$B106),8)))</f>
        <v/>
      </c>
      <c r="D106" s="247">
        <f>IF($B106="","",IF(COUNTIFS(Пул!$E$5:$E$300,$B106,Пул!$G$5:$G$300,"&lt;&gt;")=0,"",ROUND(SUMIFS(Пул!$G$5:$G$300,Пул!$E$5:$E$300,$B106),8)))</f>
        <v/>
      </c>
      <c r="E106" s="246">
        <f>IF($B106="","",IF(COUNTIFS(Пул!$E$5:$E$300,$B106,Пул!$L$5:$L$300,"Закрыт")=0,"",ROUND(SUMIFS(Пул!$H$5:$H$300,Пул!$E$5:$E$300,$B106,Пул!$L$5:$L$300,"Закрыт"),8)))</f>
        <v/>
      </c>
      <c r="F106" s="247">
        <f>IF($B106="","",IF(COUNTIFS(Пул!$E$5:$E$300,$B106,Пул!$L$5:$L$300,"Закрыт")=0,"",ROUND(SUMIFS(Пул!$I$5:$I$300,Пул!$E$5:$E$300,$B106,Пул!$L$5:$L$300,"Закрыт"),8)))</f>
        <v/>
      </c>
      <c r="G106" s="246">
        <f>IF($B106="","",IF(COUNTIFS(Пул!$E$5:$E$300,$B106,Пул!$L$5:$L$300,"Закрыт")=0,"",ROUND(SUMIFS(Пул!$J$5:$J$300,Пул!$E$5:$E$300,$B106,Пул!$L$5:$L$300,"Закрыт"),8)))</f>
        <v/>
      </c>
      <c r="H106" s="247">
        <f>IF($B106="","",IF(COUNTIFS(Пул!$E$5:$E$300,$B106,Пул!$L$5:$L$300,"Закрыт")=0,"",ROUND(SUMIFS(Пул!$K$5:$K$300,Пул!$E$5:$E$300,$B106,Пул!$L$5:$L$300,"Закрыт"),8)))</f>
        <v/>
      </c>
      <c r="I106" s="242">
        <f>IF(AND(ISNUMBER(G106),ISNUMBER(H106)),IF(AND(G106&gt;0,H106&lt;0),"Buy",IF(AND(G106&lt;0,H106&gt;0),"Sell","")),"")</f>
        <v/>
      </c>
      <c r="J106" s="183">
        <f>IF(I106="Buy",G106,IF(I106="Sell",-G106,""))</f>
        <v/>
      </c>
      <c r="K106" s="183">
        <f>IF(AND(ISNUMBER(J106),ISNUMBER(L106),N(J106)&lt;&gt;0),ROUND(L106/J106,8),"")</f>
        <v/>
      </c>
      <c r="L106" s="183">
        <f>IF(I106="Buy",-H106,IF(I106="Sell",H106,""))</f>
        <v/>
      </c>
    </row>
    <row r="107" ht="22" customHeight="1">
      <c r="B107" s="315" t="n"/>
      <c r="C107" s="240">
        <f>IF($B107="","",IF(COUNTIFS(Пул!$E$5:$E$300,$B107,Пул!$F$5:$F$300,"&lt;&gt;")=0,"",ROUND(SUMIFS(Пул!$F$5:$F$300,Пул!$E$5:$E$300,$B107),8)))</f>
        <v/>
      </c>
      <c r="D107" s="241">
        <f>IF($B107="","",IF(COUNTIFS(Пул!$E$5:$E$300,$B107,Пул!$G$5:$G$300,"&lt;&gt;")=0,"",ROUND(SUMIFS(Пул!$G$5:$G$300,Пул!$E$5:$E$300,$B107),8)))</f>
        <v/>
      </c>
      <c r="E107" s="240">
        <f>IF($B107="","",IF(COUNTIFS(Пул!$E$5:$E$300,$B107,Пул!$L$5:$L$300,"Закрыт")=0,"",ROUND(SUMIFS(Пул!$H$5:$H$300,Пул!$E$5:$E$300,$B107,Пул!$L$5:$L$300,"Закрыт"),8)))</f>
        <v/>
      </c>
      <c r="F107" s="241">
        <f>IF($B107="","",IF(COUNTIFS(Пул!$E$5:$E$300,$B107,Пул!$L$5:$L$300,"Закрыт")=0,"",ROUND(SUMIFS(Пул!$I$5:$I$300,Пул!$E$5:$E$300,$B107,Пул!$L$5:$L$300,"Закрыт"),8)))</f>
        <v/>
      </c>
      <c r="G107" s="240">
        <f>IF($B107="","",IF(COUNTIFS(Пул!$E$5:$E$300,$B107,Пул!$L$5:$L$300,"Закрыт")=0,"",ROUND(SUMIFS(Пул!$J$5:$J$300,Пул!$E$5:$E$300,$B107,Пул!$L$5:$L$300,"Закрыт"),8)))</f>
        <v/>
      </c>
      <c r="H107" s="241">
        <f>IF($B107="","",IF(COUNTIFS(Пул!$E$5:$E$300,$B107,Пул!$L$5:$L$300,"Закрыт")=0,"",ROUND(SUMIFS(Пул!$K$5:$K$300,Пул!$E$5:$E$300,$B107,Пул!$L$5:$L$300,"Закрыт"),8)))</f>
        <v/>
      </c>
      <c r="I107" s="236">
        <f>IF(AND(ISNUMBER(G107),ISNUMBER(H107)),IF(AND(G107&gt;0,H107&lt;0),"Buy",IF(AND(G107&lt;0,H107&gt;0),"Sell","")),"")</f>
        <v/>
      </c>
      <c r="J107" s="177">
        <f>IF(I107="Buy",G107,IF(I107="Sell",-G107,""))</f>
        <v/>
      </c>
      <c r="K107" s="177">
        <f>IF(AND(ISNUMBER(J107),ISNUMBER(L107),N(J107)&lt;&gt;0),ROUND(L107/J107,8),"")</f>
        <v/>
      </c>
      <c r="L107" s="177">
        <f>IF(I107="Buy",-H107,IF(I107="Sell",H107,""))</f>
        <v/>
      </c>
    </row>
    <row r="108" ht="22" customHeight="1">
      <c r="B108" s="320" t="n"/>
      <c r="C108" s="246">
        <f>IF($B108="","",IF(COUNTIFS(Пул!$E$5:$E$300,$B108,Пул!$F$5:$F$300,"&lt;&gt;")=0,"",ROUND(SUMIFS(Пул!$F$5:$F$300,Пул!$E$5:$E$300,$B108),8)))</f>
        <v/>
      </c>
      <c r="D108" s="247">
        <f>IF($B108="","",IF(COUNTIFS(Пул!$E$5:$E$300,$B108,Пул!$G$5:$G$300,"&lt;&gt;")=0,"",ROUND(SUMIFS(Пул!$G$5:$G$300,Пул!$E$5:$E$300,$B108),8)))</f>
        <v/>
      </c>
      <c r="E108" s="246">
        <f>IF($B108="","",IF(COUNTIFS(Пул!$E$5:$E$300,$B108,Пул!$L$5:$L$300,"Закрыт")=0,"",ROUND(SUMIFS(Пул!$H$5:$H$300,Пул!$E$5:$E$300,$B108,Пул!$L$5:$L$300,"Закрыт"),8)))</f>
        <v/>
      </c>
      <c r="F108" s="247">
        <f>IF($B108="","",IF(COUNTIFS(Пул!$E$5:$E$300,$B108,Пул!$L$5:$L$300,"Закрыт")=0,"",ROUND(SUMIFS(Пул!$I$5:$I$300,Пул!$E$5:$E$300,$B108,Пул!$L$5:$L$300,"Закрыт"),8)))</f>
        <v/>
      </c>
      <c r="G108" s="246">
        <f>IF($B108="","",IF(COUNTIFS(Пул!$E$5:$E$300,$B108,Пул!$L$5:$L$300,"Закрыт")=0,"",ROUND(SUMIFS(Пул!$J$5:$J$300,Пул!$E$5:$E$300,$B108,Пул!$L$5:$L$300,"Закрыт"),8)))</f>
        <v/>
      </c>
      <c r="H108" s="247">
        <f>IF($B108="","",IF(COUNTIFS(Пул!$E$5:$E$300,$B108,Пул!$L$5:$L$300,"Закрыт")=0,"",ROUND(SUMIFS(Пул!$K$5:$K$300,Пул!$E$5:$E$300,$B108,Пул!$L$5:$L$300,"Закрыт"),8)))</f>
        <v/>
      </c>
      <c r="I108" s="242">
        <f>IF(AND(ISNUMBER(G108),ISNUMBER(H108)),IF(AND(G108&gt;0,H108&lt;0),"Buy",IF(AND(G108&lt;0,H108&gt;0),"Sell","")),"")</f>
        <v/>
      </c>
      <c r="J108" s="183">
        <f>IF(I108="Buy",G108,IF(I108="Sell",-G108,""))</f>
        <v/>
      </c>
      <c r="K108" s="183">
        <f>IF(AND(ISNUMBER(J108),ISNUMBER(L108),N(J108)&lt;&gt;0),ROUND(L108/J108,8),"")</f>
        <v/>
      </c>
      <c r="L108" s="183">
        <f>IF(I108="Buy",-H108,IF(I108="Sell",H108,""))</f>
        <v/>
      </c>
    </row>
    <row r="109" ht="22" customHeight="1">
      <c r="B109" s="315" t="n"/>
      <c r="C109" s="240">
        <f>IF($B109="","",IF(COUNTIFS(Пул!$E$5:$E$300,$B109,Пул!$F$5:$F$300,"&lt;&gt;")=0,"",ROUND(SUMIFS(Пул!$F$5:$F$300,Пул!$E$5:$E$300,$B109),8)))</f>
        <v/>
      </c>
      <c r="D109" s="241">
        <f>IF($B109="","",IF(COUNTIFS(Пул!$E$5:$E$300,$B109,Пул!$G$5:$G$300,"&lt;&gt;")=0,"",ROUND(SUMIFS(Пул!$G$5:$G$300,Пул!$E$5:$E$300,$B109),8)))</f>
        <v/>
      </c>
      <c r="E109" s="240">
        <f>IF($B109="","",IF(COUNTIFS(Пул!$E$5:$E$300,$B109,Пул!$L$5:$L$300,"Закрыт")=0,"",ROUND(SUMIFS(Пул!$H$5:$H$300,Пул!$E$5:$E$300,$B109,Пул!$L$5:$L$300,"Закрыт"),8)))</f>
        <v/>
      </c>
      <c r="F109" s="241">
        <f>IF($B109="","",IF(COUNTIFS(Пул!$E$5:$E$300,$B109,Пул!$L$5:$L$300,"Закрыт")=0,"",ROUND(SUMIFS(Пул!$I$5:$I$300,Пул!$E$5:$E$300,$B109,Пул!$L$5:$L$300,"Закрыт"),8)))</f>
        <v/>
      </c>
      <c r="G109" s="240">
        <f>IF($B109="","",IF(COUNTIFS(Пул!$E$5:$E$300,$B109,Пул!$L$5:$L$300,"Закрыт")=0,"",ROUND(SUMIFS(Пул!$J$5:$J$300,Пул!$E$5:$E$300,$B109,Пул!$L$5:$L$300,"Закрыт"),8)))</f>
        <v/>
      </c>
      <c r="H109" s="241">
        <f>IF($B109="","",IF(COUNTIFS(Пул!$E$5:$E$300,$B109,Пул!$L$5:$L$300,"Закрыт")=0,"",ROUND(SUMIFS(Пул!$K$5:$K$300,Пул!$E$5:$E$300,$B109,Пул!$L$5:$L$300,"Закрыт"),8)))</f>
        <v/>
      </c>
      <c r="I109" s="236">
        <f>IF(AND(ISNUMBER(G109),ISNUMBER(H109)),IF(AND(G109&gt;0,H109&lt;0),"Buy",IF(AND(G109&lt;0,H109&gt;0),"Sell","")),"")</f>
        <v/>
      </c>
      <c r="J109" s="177">
        <f>IF(I109="Buy",G109,IF(I109="Sell",-G109,""))</f>
        <v/>
      </c>
      <c r="K109" s="177">
        <f>IF(AND(ISNUMBER(J109),ISNUMBER(L109),N(J109)&lt;&gt;0),ROUND(L109/J109,8),"")</f>
        <v/>
      </c>
      <c r="L109" s="177">
        <f>IF(I109="Buy",-H109,IF(I109="Sell",H109,""))</f>
        <v/>
      </c>
    </row>
    <row r="110" ht="22" customHeight="1">
      <c r="B110" s="320" t="n"/>
      <c r="C110" s="246">
        <f>IF($B110="","",IF(COUNTIFS(Пул!$E$5:$E$300,$B110,Пул!$F$5:$F$300,"&lt;&gt;")=0,"",ROUND(SUMIFS(Пул!$F$5:$F$300,Пул!$E$5:$E$300,$B110),8)))</f>
        <v/>
      </c>
      <c r="D110" s="247">
        <f>IF($B110="","",IF(COUNTIFS(Пул!$E$5:$E$300,$B110,Пул!$G$5:$G$300,"&lt;&gt;")=0,"",ROUND(SUMIFS(Пул!$G$5:$G$300,Пул!$E$5:$E$300,$B110),8)))</f>
        <v/>
      </c>
      <c r="E110" s="246">
        <f>IF($B110="","",IF(COUNTIFS(Пул!$E$5:$E$300,$B110,Пул!$L$5:$L$300,"Закрыт")=0,"",ROUND(SUMIFS(Пул!$H$5:$H$300,Пул!$E$5:$E$300,$B110,Пул!$L$5:$L$300,"Закрыт"),8)))</f>
        <v/>
      </c>
      <c r="F110" s="247">
        <f>IF($B110="","",IF(COUNTIFS(Пул!$E$5:$E$300,$B110,Пул!$L$5:$L$300,"Закрыт")=0,"",ROUND(SUMIFS(Пул!$I$5:$I$300,Пул!$E$5:$E$300,$B110,Пул!$L$5:$L$300,"Закрыт"),8)))</f>
        <v/>
      </c>
      <c r="G110" s="246">
        <f>IF($B110="","",IF(COUNTIFS(Пул!$E$5:$E$300,$B110,Пул!$L$5:$L$300,"Закрыт")=0,"",ROUND(SUMIFS(Пул!$J$5:$J$300,Пул!$E$5:$E$300,$B110,Пул!$L$5:$L$300,"Закрыт"),8)))</f>
        <v/>
      </c>
      <c r="H110" s="247">
        <f>IF($B110="","",IF(COUNTIFS(Пул!$E$5:$E$300,$B110,Пул!$L$5:$L$300,"Закрыт")=0,"",ROUND(SUMIFS(Пул!$K$5:$K$300,Пул!$E$5:$E$300,$B110,Пул!$L$5:$L$300,"Закрыт"),8)))</f>
        <v/>
      </c>
      <c r="I110" s="242">
        <f>IF(AND(ISNUMBER(G110),ISNUMBER(H110)),IF(AND(G110&gt;0,H110&lt;0),"Buy",IF(AND(G110&lt;0,H110&gt;0),"Sell","")),"")</f>
        <v/>
      </c>
      <c r="J110" s="183">
        <f>IF(I110="Buy",G110,IF(I110="Sell",-G110,""))</f>
        <v/>
      </c>
      <c r="K110" s="183">
        <f>IF(AND(ISNUMBER(J110),ISNUMBER(L110),N(J110)&lt;&gt;0),ROUND(L110/J110,8),"")</f>
        <v/>
      </c>
      <c r="L110" s="183">
        <f>IF(I110="Buy",-H110,IF(I110="Sell",H110,""))</f>
        <v/>
      </c>
    </row>
    <row r="111" ht="22" customHeight="1">
      <c r="B111" s="315" t="n"/>
      <c r="C111" s="240">
        <f>IF($B111="","",IF(COUNTIFS(Пул!$E$5:$E$300,$B111,Пул!$F$5:$F$300,"&lt;&gt;")=0,"",ROUND(SUMIFS(Пул!$F$5:$F$300,Пул!$E$5:$E$300,$B111),8)))</f>
        <v/>
      </c>
      <c r="D111" s="241">
        <f>IF($B111="","",IF(COUNTIFS(Пул!$E$5:$E$300,$B111,Пул!$G$5:$G$300,"&lt;&gt;")=0,"",ROUND(SUMIFS(Пул!$G$5:$G$300,Пул!$E$5:$E$300,$B111),8)))</f>
        <v/>
      </c>
      <c r="E111" s="240">
        <f>IF($B111="","",IF(COUNTIFS(Пул!$E$5:$E$300,$B111,Пул!$L$5:$L$300,"Закрыт")=0,"",ROUND(SUMIFS(Пул!$H$5:$H$300,Пул!$E$5:$E$300,$B111,Пул!$L$5:$L$300,"Закрыт"),8)))</f>
        <v/>
      </c>
      <c r="F111" s="241">
        <f>IF($B111="","",IF(COUNTIFS(Пул!$E$5:$E$300,$B111,Пул!$L$5:$L$300,"Закрыт")=0,"",ROUND(SUMIFS(Пул!$I$5:$I$300,Пул!$E$5:$E$300,$B111,Пул!$L$5:$L$300,"Закрыт"),8)))</f>
        <v/>
      </c>
      <c r="G111" s="240">
        <f>IF($B111="","",IF(COUNTIFS(Пул!$E$5:$E$300,$B111,Пул!$L$5:$L$300,"Закрыт")=0,"",ROUND(SUMIFS(Пул!$J$5:$J$300,Пул!$E$5:$E$300,$B111,Пул!$L$5:$L$300,"Закрыт"),8)))</f>
        <v/>
      </c>
      <c r="H111" s="241">
        <f>IF($B111="","",IF(COUNTIFS(Пул!$E$5:$E$300,$B111,Пул!$L$5:$L$300,"Закрыт")=0,"",ROUND(SUMIFS(Пул!$K$5:$K$300,Пул!$E$5:$E$300,$B111,Пул!$L$5:$L$300,"Закрыт"),8)))</f>
        <v/>
      </c>
      <c r="I111" s="236">
        <f>IF(AND(ISNUMBER(G111),ISNUMBER(H111)),IF(AND(G111&gt;0,H111&lt;0),"Buy",IF(AND(G111&lt;0,H111&gt;0),"Sell","")),"")</f>
        <v/>
      </c>
      <c r="J111" s="177">
        <f>IF(I111="Buy",G111,IF(I111="Sell",-G111,""))</f>
        <v/>
      </c>
      <c r="K111" s="177">
        <f>IF(AND(ISNUMBER(J111),ISNUMBER(L111),N(J111)&lt;&gt;0),ROUND(L111/J111,8),"")</f>
        <v/>
      </c>
      <c r="L111" s="177">
        <f>IF(I111="Buy",-H111,IF(I111="Sell",H111,""))</f>
        <v/>
      </c>
    </row>
    <row r="112" ht="22" customHeight="1">
      <c r="B112" s="320" t="n"/>
      <c r="C112" s="246">
        <f>IF($B112="","",IF(COUNTIFS(Пул!$E$5:$E$300,$B112,Пул!$F$5:$F$300,"&lt;&gt;")=0,"",ROUND(SUMIFS(Пул!$F$5:$F$300,Пул!$E$5:$E$300,$B112),8)))</f>
        <v/>
      </c>
      <c r="D112" s="247">
        <f>IF($B112="","",IF(COUNTIFS(Пул!$E$5:$E$300,$B112,Пул!$G$5:$G$300,"&lt;&gt;")=0,"",ROUND(SUMIFS(Пул!$G$5:$G$300,Пул!$E$5:$E$300,$B112),8)))</f>
        <v/>
      </c>
      <c r="E112" s="246">
        <f>IF($B112="","",IF(COUNTIFS(Пул!$E$5:$E$300,$B112,Пул!$L$5:$L$300,"Закрыт")=0,"",ROUND(SUMIFS(Пул!$H$5:$H$300,Пул!$E$5:$E$300,$B112,Пул!$L$5:$L$300,"Закрыт"),8)))</f>
        <v/>
      </c>
      <c r="F112" s="247">
        <f>IF($B112="","",IF(COUNTIFS(Пул!$E$5:$E$300,$B112,Пул!$L$5:$L$300,"Закрыт")=0,"",ROUND(SUMIFS(Пул!$I$5:$I$300,Пул!$E$5:$E$300,$B112,Пул!$L$5:$L$300,"Закрыт"),8)))</f>
        <v/>
      </c>
      <c r="G112" s="246">
        <f>IF($B112="","",IF(COUNTIFS(Пул!$E$5:$E$300,$B112,Пул!$L$5:$L$300,"Закрыт")=0,"",ROUND(SUMIFS(Пул!$J$5:$J$300,Пул!$E$5:$E$300,$B112,Пул!$L$5:$L$300,"Закрыт"),8)))</f>
        <v/>
      </c>
      <c r="H112" s="247">
        <f>IF($B112="","",IF(COUNTIFS(Пул!$E$5:$E$300,$B112,Пул!$L$5:$L$300,"Закрыт")=0,"",ROUND(SUMIFS(Пул!$K$5:$K$300,Пул!$E$5:$E$300,$B112,Пул!$L$5:$L$300,"Закрыт"),8)))</f>
        <v/>
      </c>
      <c r="I112" s="242">
        <f>IF(AND(ISNUMBER(G112),ISNUMBER(H112)),IF(AND(G112&gt;0,H112&lt;0),"Buy",IF(AND(G112&lt;0,H112&gt;0),"Sell","")),"")</f>
        <v/>
      </c>
      <c r="J112" s="183">
        <f>IF(I112="Buy",G112,IF(I112="Sell",-G112,""))</f>
        <v/>
      </c>
      <c r="K112" s="183">
        <f>IF(AND(ISNUMBER(J112),ISNUMBER(L112),N(J112)&lt;&gt;0),ROUND(L112/J112,8),"")</f>
        <v/>
      </c>
      <c r="L112" s="183">
        <f>IF(I112="Buy",-H112,IF(I112="Sell",H112,""))</f>
        <v/>
      </c>
    </row>
    <row r="113" ht="22" customHeight="1">
      <c r="B113" s="315" t="n"/>
      <c r="C113" s="240">
        <f>IF($B113="","",IF(COUNTIFS(Пул!$E$5:$E$300,$B113,Пул!$F$5:$F$300,"&lt;&gt;")=0,"",ROUND(SUMIFS(Пул!$F$5:$F$300,Пул!$E$5:$E$300,$B113),8)))</f>
        <v/>
      </c>
      <c r="D113" s="241">
        <f>IF($B113="","",IF(COUNTIFS(Пул!$E$5:$E$300,$B113,Пул!$G$5:$G$300,"&lt;&gt;")=0,"",ROUND(SUMIFS(Пул!$G$5:$G$300,Пул!$E$5:$E$300,$B113),8)))</f>
        <v/>
      </c>
      <c r="E113" s="240">
        <f>IF($B113="","",IF(COUNTIFS(Пул!$E$5:$E$300,$B113,Пул!$L$5:$L$300,"Закрыт")=0,"",ROUND(SUMIFS(Пул!$H$5:$H$300,Пул!$E$5:$E$300,$B113,Пул!$L$5:$L$300,"Закрыт"),8)))</f>
        <v/>
      </c>
      <c r="F113" s="241">
        <f>IF($B113="","",IF(COUNTIFS(Пул!$E$5:$E$300,$B113,Пул!$L$5:$L$300,"Закрыт")=0,"",ROUND(SUMIFS(Пул!$I$5:$I$300,Пул!$E$5:$E$300,$B113,Пул!$L$5:$L$300,"Закрыт"),8)))</f>
        <v/>
      </c>
      <c r="G113" s="240">
        <f>IF($B113="","",IF(COUNTIFS(Пул!$E$5:$E$300,$B113,Пул!$L$5:$L$300,"Закрыт")=0,"",ROUND(SUMIFS(Пул!$J$5:$J$300,Пул!$E$5:$E$300,$B113,Пул!$L$5:$L$300,"Закрыт"),8)))</f>
        <v/>
      </c>
      <c r="H113" s="241">
        <f>IF($B113="","",IF(COUNTIFS(Пул!$E$5:$E$300,$B113,Пул!$L$5:$L$300,"Закрыт")=0,"",ROUND(SUMIFS(Пул!$K$5:$K$300,Пул!$E$5:$E$300,$B113,Пул!$L$5:$L$300,"Закрыт"),8)))</f>
        <v/>
      </c>
      <c r="I113" s="236">
        <f>IF(AND(ISNUMBER(G113),ISNUMBER(H113)),IF(AND(G113&gt;0,H113&lt;0),"Buy",IF(AND(G113&lt;0,H113&gt;0),"Sell","")),"")</f>
        <v/>
      </c>
      <c r="J113" s="177">
        <f>IF(I113="Buy",G113,IF(I113="Sell",-G113,""))</f>
        <v/>
      </c>
      <c r="K113" s="177">
        <f>IF(AND(ISNUMBER(J113),ISNUMBER(L113),N(J113)&lt;&gt;0),ROUND(L113/J113,8),"")</f>
        <v/>
      </c>
      <c r="L113" s="177">
        <f>IF(I113="Buy",-H113,IF(I113="Sell",H113,""))</f>
        <v/>
      </c>
    </row>
    <row r="114" ht="22" customHeight="1">
      <c r="B114" s="320" t="n"/>
      <c r="C114" s="246">
        <f>IF($B114="","",IF(COUNTIFS(Пул!$E$5:$E$300,$B114,Пул!$F$5:$F$300,"&lt;&gt;")=0,"",ROUND(SUMIFS(Пул!$F$5:$F$300,Пул!$E$5:$E$300,$B114),8)))</f>
        <v/>
      </c>
      <c r="D114" s="247">
        <f>IF($B114="","",IF(COUNTIFS(Пул!$E$5:$E$300,$B114,Пул!$G$5:$G$300,"&lt;&gt;")=0,"",ROUND(SUMIFS(Пул!$G$5:$G$300,Пул!$E$5:$E$300,$B114),8)))</f>
        <v/>
      </c>
      <c r="E114" s="246">
        <f>IF($B114="","",IF(COUNTIFS(Пул!$E$5:$E$300,$B114,Пул!$L$5:$L$300,"Закрыт")=0,"",ROUND(SUMIFS(Пул!$H$5:$H$300,Пул!$E$5:$E$300,$B114,Пул!$L$5:$L$300,"Закрыт"),8)))</f>
        <v/>
      </c>
      <c r="F114" s="247">
        <f>IF($B114="","",IF(COUNTIFS(Пул!$E$5:$E$300,$B114,Пул!$L$5:$L$300,"Закрыт")=0,"",ROUND(SUMIFS(Пул!$I$5:$I$300,Пул!$E$5:$E$300,$B114,Пул!$L$5:$L$300,"Закрыт"),8)))</f>
        <v/>
      </c>
      <c r="G114" s="246">
        <f>IF($B114="","",IF(COUNTIFS(Пул!$E$5:$E$300,$B114,Пул!$L$5:$L$300,"Закрыт")=0,"",ROUND(SUMIFS(Пул!$J$5:$J$300,Пул!$E$5:$E$300,$B114,Пул!$L$5:$L$300,"Закрыт"),8)))</f>
        <v/>
      </c>
      <c r="H114" s="247">
        <f>IF($B114="","",IF(COUNTIFS(Пул!$E$5:$E$300,$B114,Пул!$L$5:$L$300,"Закрыт")=0,"",ROUND(SUMIFS(Пул!$K$5:$K$300,Пул!$E$5:$E$300,$B114,Пул!$L$5:$L$300,"Закрыт"),8)))</f>
        <v/>
      </c>
      <c r="I114" s="242">
        <f>IF(AND(ISNUMBER(G114),ISNUMBER(H114)),IF(AND(G114&gt;0,H114&lt;0),"Buy",IF(AND(G114&lt;0,H114&gt;0),"Sell","")),"")</f>
        <v/>
      </c>
      <c r="J114" s="183">
        <f>IF(I114="Buy",G114,IF(I114="Sell",-G114,""))</f>
        <v/>
      </c>
      <c r="K114" s="183">
        <f>IF(AND(ISNUMBER(J114),ISNUMBER(L114),N(J114)&lt;&gt;0),ROUND(L114/J114,8),"")</f>
        <v/>
      </c>
      <c r="L114" s="183">
        <f>IF(I114="Buy",-H114,IF(I114="Sell",H114,""))</f>
        <v/>
      </c>
    </row>
    <row r="115" ht="22" customHeight="1">
      <c r="B115" s="315" t="n"/>
      <c r="C115" s="240">
        <f>IF($B115="","",IF(COUNTIFS(Пул!$E$5:$E$300,$B115,Пул!$F$5:$F$300,"&lt;&gt;")=0,"",ROUND(SUMIFS(Пул!$F$5:$F$300,Пул!$E$5:$E$300,$B115),8)))</f>
        <v/>
      </c>
      <c r="D115" s="241">
        <f>IF($B115="","",IF(COUNTIFS(Пул!$E$5:$E$300,$B115,Пул!$G$5:$G$300,"&lt;&gt;")=0,"",ROUND(SUMIFS(Пул!$G$5:$G$300,Пул!$E$5:$E$300,$B115),8)))</f>
        <v/>
      </c>
      <c r="E115" s="240">
        <f>IF($B115="","",IF(COUNTIFS(Пул!$E$5:$E$300,$B115,Пул!$L$5:$L$300,"Закрыт")=0,"",ROUND(SUMIFS(Пул!$H$5:$H$300,Пул!$E$5:$E$300,$B115,Пул!$L$5:$L$300,"Закрыт"),8)))</f>
        <v/>
      </c>
      <c r="F115" s="241">
        <f>IF($B115="","",IF(COUNTIFS(Пул!$E$5:$E$300,$B115,Пул!$L$5:$L$300,"Закрыт")=0,"",ROUND(SUMIFS(Пул!$I$5:$I$300,Пул!$E$5:$E$300,$B115,Пул!$L$5:$L$300,"Закрыт"),8)))</f>
        <v/>
      </c>
      <c r="G115" s="240">
        <f>IF($B115="","",IF(COUNTIFS(Пул!$E$5:$E$300,$B115,Пул!$L$5:$L$300,"Закрыт")=0,"",ROUND(SUMIFS(Пул!$J$5:$J$300,Пул!$E$5:$E$300,$B115,Пул!$L$5:$L$300,"Закрыт"),8)))</f>
        <v/>
      </c>
      <c r="H115" s="241">
        <f>IF($B115="","",IF(COUNTIFS(Пул!$E$5:$E$300,$B115,Пул!$L$5:$L$300,"Закрыт")=0,"",ROUND(SUMIFS(Пул!$K$5:$K$300,Пул!$E$5:$E$300,$B115,Пул!$L$5:$L$300,"Закрыт"),8)))</f>
        <v/>
      </c>
      <c r="I115" s="236">
        <f>IF(AND(ISNUMBER(G115),ISNUMBER(H115)),IF(AND(G115&gt;0,H115&lt;0),"Buy",IF(AND(G115&lt;0,H115&gt;0),"Sell","")),"")</f>
        <v/>
      </c>
      <c r="J115" s="177">
        <f>IF(I115="Buy",G115,IF(I115="Sell",-G115,""))</f>
        <v/>
      </c>
      <c r="K115" s="177">
        <f>IF(AND(ISNUMBER(J115),ISNUMBER(L115),N(J115)&lt;&gt;0),ROUND(L115/J115,8),"")</f>
        <v/>
      </c>
      <c r="L115" s="177">
        <f>IF(I115="Buy",-H115,IF(I115="Sell",H115,""))</f>
        <v/>
      </c>
    </row>
    <row r="116" ht="22" customHeight="1">
      <c r="B116" s="320" t="n"/>
      <c r="C116" s="246">
        <f>IF($B116="","",IF(COUNTIFS(Пул!$E$5:$E$300,$B116,Пул!$F$5:$F$300,"&lt;&gt;")=0,"",ROUND(SUMIFS(Пул!$F$5:$F$300,Пул!$E$5:$E$300,$B116),8)))</f>
        <v/>
      </c>
      <c r="D116" s="247">
        <f>IF($B116="","",IF(COUNTIFS(Пул!$E$5:$E$300,$B116,Пул!$G$5:$G$300,"&lt;&gt;")=0,"",ROUND(SUMIFS(Пул!$G$5:$G$300,Пул!$E$5:$E$300,$B116),8)))</f>
        <v/>
      </c>
      <c r="E116" s="246">
        <f>IF($B116="","",IF(COUNTIFS(Пул!$E$5:$E$300,$B116,Пул!$L$5:$L$300,"Закрыт")=0,"",ROUND(SUMIFS(Пул!$H$5:$H$300,Пул!$E$5:$E$300,$B116,Пул!$L$5:$L$300,"Закрыт"),8)))</f>
        <v/>
      </c>
      <c r="F116" s="247">
        <f>IF($B116="","",IF(COUNTIFS(Пул!$E$5:$E$300,$B116,Пул!$L$5:$L$300,"Закрыт")=0,"",ROUND(SUMIFS(Пул!$I$5:$I$300,Пул!$E$5:$E$300,$B116,Пул!$L$5:$L$300,"Закрыт"),8)))</f>
        <v/>
      </c>
      <c r="G116" s="246">
        <f>IF($B116="","",IF(COUNTIFS(Пул!$E$5:$E$300,$B116,Пул!$L$5:$L$300,"Закрыт")=0,"",ROUND(SUMIFS(Пул!$J$5:$J$300,Пул!$E$5:$E$300,$B116,Пул!$L$5:$L$300,"Закрыт"),8)))</f>
        <v/>
      </c>
      <c r="H116" s="247">
        <f>IF($B116="","",IF(COUNTIFS(Пул!$E$5:$E$300,$B116,Пул!$L$5:$L$300,"Закрыт")=0,"",ROUND(SUMIFS(Пул!$K$5:$K$300,Пул!$E$5:$E$300,$B116,Пул!$L$5:$L$300,"Закрыт"),8)))</f>
        <v/>
      </c>
      <c r="I116" s="242">
        <f>IF(AND(ISNUMBER(G116),ISNUMBER(H116)),IF(AND(G116&gt;0,H116&lt;0),"Buy",IF(AND(G116&lt;0,H116&gt;0),"Sell","")),"")</f>
        <v/>
      </c>
      <c r="J116" s="183">
        <f>IF(I116="Buy",G116,IF(I116="Sell",-G116,""))</f>
        <v/>
      </c>
      <c r="K116" s="183">
        <f>IF(AND(ISNUMBER(J116),ISNUMBER(L116),N(J116)&lt;&gt;0),ROUND(L116/J116,8),"")</f>
        <v/>
      </c>
      <c r="L116" s="183">
        <f>IF(I116="Buy",-H116,IF(I116="Sell",H116,""))</f>
        <v/>
      </c>
    </row>
    <row r="117" ht="22" customHeight="1">
      <c r="B117" s="315" t="n"/>
      <c r="C117" s="240">
        <f>IF($B117="","",IF(COUNTIFS(Пул!$E$5:$E$300,$B117,Пул!$F$5:$F$300,"&lt;&gt;")=0,"",ROUND(SUMIFS(Пул!$F$5:$F$300,Пул!$E$5:$E$300,$B117),8)))</f>
        <v/>
      </c>
      <c r="D117" s="241">
        <f>IF($B117="","",IF(COUNTIFS(Пул!$E$5:$E$300,$B117,Пул!$G$5:$G$300,"&lt;&gt;")=0,"",ROUND(SUMIFS(Пул!$G$5:$G$300,Пул!$E$5:$E$300,$B117),8)))</f>
        <v/>
      </c>
      <c r="E117" s="240">
        <f>IF($B117="","",IF(COUNTIFS(Пул!$E$5:$E$300,$B117,Пул!$L$5:$L$300,"Закрыт")=0,"",ROUND(SUMIFS(Пул!$H$5:$H$300,Пул!$E$5:$E$300,$B117,Пул!$L$5:$L$300,"Закрыт"),8)))</f>
        <v/>
      </c>
      <c r="F117" s="241">
        <f>IF($B117="","",IF(COUNTIFS(Пул!$E$5:$E$300,$B117,Пул!$L$5:$L$300,"Закрыт")=0,"",ROUND(SUMIFS(Пул!$I$5:$I$300,Пул!$E$5:$E$300,$B117,Пул!$L$5:$L$300,"Закрыт"),8)))</f>
        <v/>
      </c>
      <c r="G117" s="240">
        <f>IF($B117="","",IF(COUNTIFS(Пул!$E$5:$E$300,$B117,Пул!$L$5:$L$300,"Закрыт")=0,"",ROUND(SUMIFS(Пул!$J$5:$J$300,Пул!$E$5:$E$300,$B117,Пул!$L$5:$L$300,"Закрыт"),8)))</f>
        <v/>
      </c>
      <c r="H117" s="241">
        <f>IF($B117="","",IF(COUNTIFS(Пул!$E$5:$E$300,$B117,Пул!$L$5:$L$300,"Закрыт")=0,"",ROUND(SUMIFS(Пул!$K$5:$K$300,Пул!$E$5:$E$300,$B117,Пул!$L$5:$L$300,"Закрыт"),8)))</f>
        <v/>
      </c>
      <c r="I117" s="236">
        <f>IF(AND(ISNUMBER(G117),ISNUMBER(H117)),IF(AND(G117&gt;0,H117&lt;0),"Buy",IF(AND(G117&lt;0,H117&gt;0),"Sell","")),"")</f>
        <v/>
      </c>
      <c r="J117" s="177">
        <f>IF(I117="Buy",G117,IF(I117="Sell",-G117,""))</f>
        <v/>
      </c>
      <c r="K117" s="177">
        <f>IF(AND(ISNUMBER(J117),ISNUMBER(L117),N(J117)&lt;&gt;0),ROUND(L117/J117,8),"")</f>
        <v/>
      </c>
      <c r="L117" s="177">
        <f>IF(I117="Buy",-H117,IF(I117="Sell",H117,""))</f>
        <v/>
      </c>
    </row>
    <row r="118" ht="22" customHeight="1">
      <c r="B118" s="320" t="n"/>
      <c r="C118" s="246">
        <f>IF($B118="","",IF(COUNTIFS(Пул!$E$5:$E$300,$B118,Пул!$F$5:$F$300,"&lt;&gt;")=0,"",ROUND(SUMIFS(Пул!$F$5:$F$300,Пул!$E$5:$E$300,$B118),8)))</f>
        <v/>
      </c>
      <c r="D118" s="247">
        <f>IF($B118="","",IF(COUNTIFS(Пул!$E$5:$E$300,$B118,Пул!$G$5:$G$300,"&lt;&gt;")=0,"",ROUND(SUMIFS(Пул!$G$5:$G$300,Пул!$E$5:$E$300,$B118),8)))</f>
        <v/>
      </c>
      <c r="E118" s="246">
        <f>IF($B118="","",IF(COUNTIFS(Пул!$E$5:$E$300,$B118,Пул!$L$5:$L$300,"Закрыт")=0,"",ROUND(SUMIFS(Пул!$H$5:$H$300,Пул!$E$5:$E$300,$B118,Пул!$L$5:$L$300,"Закрыт"),8)))</f>
        <v/>
      </c>
      <c r="F118" s="247">
        <f>IF($B118="","",IF(COUNTIFS(Пул!$E$5:$E$300,$B118,Пул!$L$5:$L$300,"Закрыт")=0,"",ROUND(SUMIFS(Пул!$I$5:$I$300,Пул!$E$5:$E$300,$B118,Пул!$L$5:$L$300,"Закрыт"),8)))</f>
        <v/>
      </c>
      <c r="G118" s="246">
        <f>IF($B118="","",IF(COUNTIFS(Пул!$E$5:$E$300,$B118,Пул!$L$5:$L$300,"Закрыт")=0,"",ROUND(SUMIFS(Пул!$J$5:$J$300,Пул!$E$5:$E$300,$B118,Пул!$L$5:$L$300,"Закрыт"),8)))</f>
        <v/>
      </c>
      <c r="H118" s="247">
        <f>IF($B118="","",IF(COUNTIFS(Пул!$E$5:$E$300,$B118,Пул!$L$5:$L$300,"Закрыт")=0,"",ROUND(SUMIFS(Пул!$K$5:$K$300,Пул!$E$5:$E$300,$B118,Пул!$L$5:$L$300,"Закрыт"),8)))</f>
        <v/>
      </c>
      <c r="I118" s="242">
        <f>IF(AND(ISNUMBER(G118),ISNUMBER(H118)),IF(AND(G118&gt;0,H118&lt;0),"Buy",IF(AND(G118&lt;0,H118&gt;0),"Sell","")),"")</f>
        <v/>
      </c>
      <c r="J118" s="183">
        <f>IF(I118="Buy",G118,IF(I118="Sell",-G118,""))</f>
        <v/>
      </c>
      <c r="K118" s="183">
        <f>IF(AND(ISNUMBER(J118),ISNUMBER(L118),N(J118)&lt;&gt;0),ROUND(L118/J118,8),"")</f>
        <v/>
      </c>
      <c r="L118" s="183">
        <f>IF(I118="Buy",-H118,IF(I118="Sell",H118,""))</f>
        <v/>
      </c>
    </row>
    <row r="119" ht="22" customHeight="1">
      <c r="B119" s="315" t="n"/>
      <c r="C119" s="240">
        <f>IF($B119="","",IF(COUNTIFS(Пул!$E$5:$E$300,$B119,Пул!$F$5:$F$300,"&lt;&gt;")=0,"",ROUND(SUMIFS(Пул!$F$5:$F$300,Пул!$E$5:$E$300,$B119),8)))</f>
        <v/>
      </c>
      <c r="D119" s="241">
        <f>IF($B119="","",IF(COUNTIFS(Пул!$E$5:$E$300,$B119,Пул!$G$5:$G$300,"&lt;&gt;")=0,"",ROUND(SUMIFS(Пул!$G$5:$G$300,Пул!$E$5:$E$300,$B119),8)))</f>
        <v/>
      </c>
      <c r="E119" s="240">
        <f>IF($B119="","",IF(COUNTIFS(Пул!$E$5:$E$300,$B119,Пул!$L$5:$L$300,"Закрыт")=0,"",ROUND(SUMIFS(Пул!$H$5:$H$300,Пул!$E$5:$E$300,$B119,Пул!$L$5:$L$300,"Закрыт"),8)))</f>
        <v/>
      </c>
      <c r="F119" s="241">
        <f>IF($B119="","",IF(COUNTIFS(Пул!$E$5:$E$300,$B119,Пул!$L$5:$L$300,"Закрыт")=0,"",ROUND(SUMIFS(Пул!$I$5:$I$300,Пул!$E$5:$E$300,$B119,Пул!$L$5:$L$300,"Закрыт"),8)))</f>
        <v/>
      </c>
      <c r="G119" s="240">
        <f>IF($B119="","",IF(COUNTIFS(Пул!$E$5:$E$300,$B119,Пул!$L$5:$L$300,"Закрыт")=0,"",ROUND(SUMIFS(Пул!$J$5:$J$300,Пул!$E$5:$E$300,$B119,Пул!$L$5:$L$300,"Закрыт"),8)))</f>
        <v/>
      </c>
      <c r="H119" s="241">
        <f>IF($B119="","",IF(COUNTIFS(Пул!$E$5:$E$300,$B119,Пул!$L$5:$L$300,"Закрыт")=0,"",ROUND(SUMIFS(Пул!$K$5:$K$300,Пул!$E$5:$E$300,$B119,Пул!$L$5:$L$300,"Закрыт"),8)))</f>
        <v/>
      </c>
      <c r="I119" s="236">
        <f>IF(AND(ISNUMBER(G119),ISNUMBER(H119)),IF(AND(G119&gt;0,H119&lt;0),"Buy",IF(AND(G119&lt;0,H119&gt;0),"Sell","")),"")</f>
        <v/>
      </c>
      <c r="J119" s="177">
        <f>IF(I119="Buy",G119,IF(I119="Sell",-G119,""))</f>
        <v/>
      </c>
      <c r="K119" s="177">
        <f>IF(AND(ISNUMBER(J119),ISNUMBER(L119),N(J119)&lt;&gt;0),ROUND(L119/J119,8),"")</f>
        <v/>
      </c>
      <c r="L119" s="177">
        <f>IF(I119="Buy",-H119,IF(I119="Sell",H119,""))</f>
        <v/>
      </c>
    </row>
    <row r="120" ht="22" customHeight="1">
      <c r="B120" s="320" t="n"/>
      <c r="C120" s="246">
        <f>IF($B120="","",IF(COUNTIFS(Пул!$E$5:$E$300,$B120,Пул!$F$5:$F$300,"&lt;&gt;")=0,"",ROUND(SUMIFS(Пул!$F$5:$F$300,Пул!$E$5:$E$300,$B120),8)))</f>
        <v/>
      </c>
      <c r="D120" s="247">
        <f>IF($B120="","",IF(COUNTIFS(Пул!$E$5:$E$300,$B120,Пул!$G$5:$G$300,"&lt;&gt;")=0,"",ROUND(SUMIFS(Пул!$G$5:$G$300,Пул!$E$5:$E$300,$B120),8)))</f>
        <v/>
      </c>
      <c r="E120" s="246">
        <f>IF($B120="","",IF(COUNTIFS(Пул!$E$5:$E$300,$B120,Пул!$L$5:$L$300,"Закрыт")=0,"",ROUND(SUMIFS(Пул!$H$5:$H$300,Пул!$E$5:$E$300,$B120,Пул!$L$5:$L$300,"Закрыт"),8)))</f>
        <v/>
      </c>
      <c r="F120" s="247">
        <f>IF($B120="","",IF(COUNTIFS(Пул!$E$5:$E$300,$B120,Пул!$L$5:$L$300,"Закрыт")=0,"",ROUND(SUMIFS(Пул!$I$5:$I$300,Пул!$E$5:$E$300,$B120,Пул!$L$5:$L$300,"Закрыт"),8)))</f>
        <v/>
      </c>
      <c r="G120" s="246">
        <f>IF($B120="","",IF(COUNTIFS(Пул!$E$5:$E$300,$B120,Пул!$L$5:$L$300,"Закрыт")=0,"",ROUND(SUMIFS(Пул!$J$5:$J$300,Пул!$E$5:$E$300,$B120,Пул!$L$5:$L$300,"Закрыт"),8)))</f>
        <v/>
      </c>
      <c r="H120" s="247">
        <f>IF($B120="","",IF(COUNTIFS(Пул!$E$5:$E$300,$B120,Пул!$L$5:$L$300,"Закрыт")=0,"",ROUND(SUMIFS(Пул!$K$5:$K$300,Пул!$E$5:$E$300,$B120,Пул!$L$5:$L$300,"Закрыт"),8)))</f>
        <v/>
      </c>
      <c r="I120" s="242">
        <f>IF(AND(ISNUMBER(G120),ISNUMBER(H120)),IF(AND(G120&gt;0,H120&lt;0),"Buy",IF(AND(G120&lt;0,H120&gt;0),"Sell","")),"")</f>
        <v/>
      </c>
      <c r="J120" s="183">
        <f>IF(I120="Buy",G120,IF(I120="Sell",-G120,""))</f>
        <v/>
      </c>
      <c r="K120" s="183">
        <f>IF(AND(ISNUMBER(J120),ISNUMBER(L120),N(J120)&lt;&gt;0),ROUND(L120/J120,8),"")</f>
        <v/>
      </c>
      <c r="L120" s="183">
        <f>IF(I120="Buy",-H120,IF(I120="Sell",H120,""))</f>
        <v/>
      </c>
    </row>
    <row r="121" ht="22" customHeight="1">
      <c r="B121" s="315" t="n"/>
      <c r="C121" s="240">
        <f>IF($B121="","",IF(COUNTIFS(Пул!$E$5:$E$300,$B121,Пул!$F$5:$F$300,"&lt;&gt;")=0,"",ROUND(SUMIFS(Пул!$F$5:$F$300,Пул!$E$5:$E$300,$B121),8)))</f>
        <v/>
      </c>
      <c r="D121" s="241">
        <f>IF($B121="","",IF(COUNTIFS(Пул!$E$5:$E$300,$B121,Пул!$G$5:$G$300,"&lt;&gt;")=0,"",ROUND(SUMIFS(Пул!$G$5:$G$300,Пул!$E$5:$E$300,$B121),8)))</f>
        <v/>
      </c>
      <c r="E121" s="240">
        <f>IF($B121="","",IF(COUNTIFS(Пул!$E$5:$E$300,$B121,Пул!$L$5:$L$300,"Закрыт")=0,"",ROUND(SUMIFS(Пул!$H$5:$H$300,Пул!$E$5:$E$300,$B121,Пул!$L$5:$L$300,"Закрыт"),8)))</f>
        <v/>
      </c>
      <c r="F121" s="241">
        <f>IF($B121="","",IF(COUNTIFS(Пул!$E$5:$E$300,$B121,Пул!$L$5:$L$300,"Закрыт")=0,"",ROUND(SUMIFS(Пул!$I$5:$I$300,Пул!$E$5:$E$300,$B121,Пул!$L$5:$L$300,"Закрыт"),8)))</f>
        <v/>
      </c>
      <c r="G121" s="240">
        <f>IF($B121="","",IF(COUNTIFS(Пул!$E$5:$E$300,$B121,Пул!$L$5:$L$300,"Закрыт")=0,"",ROUND(SUMIFS(Пул!$J$5:$J$300,Пул!$E$5:$E$300,$B121,Пул!$L$5:$L$300,"Закрыт"),8)))</f>
        <v/>
      </c>
      <c r="H121" s="241">
        <f>IF($B121="","",IF(COUNTIFS(Пул!$E$5:$E$300,$B121,Пул!$L$5:$L$300,"Закрыт")=0,"",ROUND(SUMIFS(Пул!$K$5:$K$300,Пул!$E$5:$E$300,$B121,Пул!$L$5:$L$300,"Закрыт"),8)))</f>
        <v/>
      </c>
      <c r="I121" s="236">
        <f>IF(AND(ISNUMBER(G121),ISNUMBER(H121)),IF(AND(G121&gt;0,H121&lt;0),"Buy",IF(AND(G121&lt;0,H121&gt;0),"Sell","")),"")</f>
        <v/>
      </c>
      <c r="J121" s="177">
        <f>IF(I121="Buy",G121,IF(I121="Sell",-G121,""))</f>
        <v/>
      </c>
      <c r="K121" s="177">
        <f>IF(AND(ISNUMBER(J121),ISNUMBER(L121),N(J121)&lt;&gt;0),ROUND(L121/J121,8),"")</f>
        <v/>
      </c>
      <c r="L121" s="177">
        <f>IF(I121="Buy",-H121,IF(I121="Sell",H121,""))</f>
        <v/>
      </c>
    </row>
    <row r="122" ht="22" customHeight="1">
      <c r="B122" s="320" t="n"/>
      <c r="C122" s="246">
        <f>IF($B122="","",IF(COUNTIFS(Пул!$E$5:$E$300,$B122,Пул!$F$5:$F$300,"&lt;&gt;")=0,"",ROUND(SUMIFS(Пул!$F$5:$F$300,Пул!$E$5:$E$300,$B122),8)))</f>
        <v/>
      </c>
      <c r="D122" s="247">
        <f>IF($B122="","",IF(COUNTIFS(Пул!$E$5:$E$300,$B122,Пул!$G$5:$G$300,"&lt;&gt;")=0,"",ROUND(SUMIFS(Пул!$G$5:$G$300,Пул!$E$5:$E$300,$B122),8)))</f>
        <v/>
      </c>
      <c r="E122" s="246">
        <f>IF($B122="","",IF(COUNTIFS(Пул!$E$5:$E$300,$B122,Пул!$L$5:$L$300,"Закрыт")=0,"",ROUND(SUMIFS(Пул!$H$5:$H$300,Пул!$E$5:$E$300,$B122,Пул!$L$5:$L$300,"Закрыт"),8)))</f>
        <v/>
      </c>
      <c r="F122" s="247">
        <f>IF($B122="","",IF(COUNTIFS(Пул!$E$5:$E$300,$B122,Пул!$L$5:$L$300,"Закрыт")=0,"",ROUND(SUMIFS(Пул!$I$5:$I$300,Пул!$E$5:$E$300,$B122,Пул!$L$5:$L$300,"Закрыт"),8)))</f>
        <v/>
      </c>
      <c r="G122" s="246">
        <f>IF($B122="","",IF(COUNTIFS(Пул!$E$5:$E$300,$B122,Пул!$L$5:$L$300,"Закрыт")=0,"",ROUND(SUMIFS(Пул!$J$5:$J$300,Пул!$E$5:$E$300,$B122,Пул!$L$5:$L$300,"Закрыт"),8)))</f>
        <v/>
      </c>
      <c r="H122" s="247">
        <f>IF($B122="","",IF(COUNTIFS(Пул!$E$5:$E$300,$B122,Пул!$L$5:$L$300,"Закрыт")=0,"",ROUND(SUMIFS(Пул!$K$5:$K$300,Пул!$E$5:$E$300,$B122,Пул!$L$5:$L$300,"Закрыт"),8)))</f>
        <v/>
      </c>
      <c r="I122" s="242">
        <f>IF(AND(ISNUMBER(G122),ISNUMBER(H122)),IF(AND(G122&gt;0,H122&lt;0),"Buy",IF(AND(G122&lt;0,H122&gt;0),"Sell","")),"")</f>
        <v/>
      </c>
      <c r="J122" s="183">
        <f>IF(I122="Buy",G122,IF(I122="Sell",-G122,""))</f>
        <v/>
      </c>
      <c r="K122" s="183">
        <f>IF(AND(ISNUMBER(J122),ISNUMBER(L122),N(J122)&lt;&gt;0),ROUND(L122/J122,8),"")</f>
        <v/>
      </c>
      <c r="L122" s="183">
        <f>IF(I122="Buy",-H122,IF(I122="Sell",H122,""))</f>
        <v/>
      </c>
    </row>
    <row r="123" ht="22" customHeight="1">
      <c r="B123" s="315" t="n"/>
      <c r="C123" s="240">
        <f>IF($B123="","",IF(COUNTIFS(Пул!$E$5:$E$300,$B123,Пул!$F$5:$F$300,"&lt;&gt;")=0,"",ROUND(SUMIFS(Пул!$F$5:$F$300,Пул!$E$5:$E$300,$B123),8)))</f>
        <v/>
      </c>
      <c r="D123" s="241">
        <f>IF($B123="","",IF(COUNTIFS(Пул!$E$5:$E$300,$B123,Пул!$G$5:$G$300,"&lt;&gt;")=0,"",ROUND(SUMIFS(Пул!$G$5:$G$300,Пул!$E$5:$E$300,$B123),8)))</f>
        <v/>
      </c>
      <c r="E123" s="240">
        <f>IF($B123="","",IF(COUNTIFS(Пул!$E$5:$E$300,$B123,Пул!$L$5:$L$300,"Закрыт")=0,"",ROUND(SUMIFS(Пул!$H$5:$H$300,Пул!$E$5:$E$300,$B123,Пул!$L$5:$L$300,"Закрыт"),8)))</f>
        <v/>
      </c>
      <c r="F123" s="241">
        <f>IF($B123="","",IF(COUNTIFS(Пул!$E$5:$E$300,$B123,Пул!$L$5:$L$300,"Закрыт")=0,"",ROUND(SUMIFS(Пул!$I$5:$I$300,Пул!$E$5:$E$300,$B123,Пул!$L$5:$L$300,"Закрыт"),8)))</f>
        <v/>
      </c>
      <c r="G123" s="240">
        <f>IF($B123="","",IF(COUNTIFS(Пул!$E$5:$E$300,$B123,Пул!$L$5:$L$300,"Закрыт")=0,"",ROUND(SUMIFS(Пул!$J$5:$J$300,Пул!$E$5:$E$300,$B123,Пул!$L$5:$L$300,"Закрыт"),8)))</f>
        <v/>
      </c>
      <c r="H123" s="241">
        <f>IF($B123="","",IF(COUNTIFS(Пул!$E$5:$E$300,$B123,Пул!$L$5:$L$300,"Закрыт")=0,"",ROUND(SUMIFS(Пул!$K$5:$K$300,Пул!$E$5:$E$300,$B123,Пул!$L$5:$L$300,"Закрыт"),8)))</f>
        <v/>
      </c>
      <c r="I123" s="236">
        <f>IF(AND(ISNUMBER(G123),ISNUMBER(H123)),IF(AND(G123&gt;0,H123&lt;0),"Buy",IF(AND(G123&lt;0,H123&gt;0),"Sell","")),"")</f>
        <v/>
      </c>
      <c r="J123" s="177">
        <f>IF(I123="Buy",G123,IF(I123="Sell",-G123,""))</f>
        <v/>
      </c>
      <c r="K123" s="177">
        <f>IF(AND(ISNUMBER(J123),ISNUMBER(L123),N(J123)&lt;&gt;0),ROUND(L123/J123,8),"")</f>
        <v/>
      </c>
      <c r="L123" s="177">
        <f>IF(I123="Buy",-H123,IF(I123="Sell",H123,""))</f>
        <v/>
      </c>
    </row>
    <row r="124" ht="22" customHeight="1">
      <c r="B124" s="320" t="n"/>
      <c r="C124" s="246">
        <f>IF($B124="","",IF(COUNTIFS(Пул!$E$5:$E$300,$B124,Пул!$F$5:$F$300,"&lt;&gt;")=0,"",ROUND(SUMIFS(Пул!$F$5:$F$300,Пул!$E$5:$E$300,$B124),8)))</f>
        <v/>
      </c>
      <c r="D124" s="247">
        <f>IF($B124="","",IF(COUNTIFS(Пул!$E$5:$E$300,$B124,Пул!$G$5:$G$300,"&lt;&gt;")=0,"",ROUND(SUMIFS(Пул!$G$5:$G$300,Пул!$E$5:$E$300,$B124),8)))</f>
        <v/>
      </c>
      <c r="E124" s="246">
        <f>IF($B124="","",IF(COUNTIFS(Пул!$E$5:$E$300,$B124,Пул!$L$5:$L$300,"Закрыт")=0,"",ROUND(SUMIFS(Пул!$H$5:$H$300,Пул!$E$5:$E$300,$B124,Пул!$L$5:$L$300,"Закрыт"),8)))</f>
        <v/>
      </c>
      <c r="F124" s="247">
        <f>IF($B124="","",IF(COUNTIFS(Пул!$E$5:$E$300,$B124,Пул!$L$5:$L$300,"Закрыт")=0,"",ROUND(SUMIFS(Пул!$I$5:$I$300,Пул!$E$5:$E$300,$B124,Пул!$L$5:$L$300,"Закрыт"),8)))</f>
        <v/>
      </c>
      <c r="G124" s="246">
        <f>IF($B124="","",IF(COUNTIFS(Пул!$E$5:$E$300,$B124,Пул!$L$5:$L$300,"Закрыт")=0,"",ROUND(SUMIFS(Пул!$J$5:$J$300,Пул!$E$5:$E$300,$B124,Пул!$L$5:$L$300,"Закрыт"),8)))</f>
        <v/>
      </c>
      <c r="H124" s="247">
        <f>IF($B124="","",IF(COUNTIFS(Пул!$E$5:$E$300,$B124,Пул!$L$5:$L$300,"Закрыт")=0,"",ROUND(SUMIFS(Пул!$K$5:$K$300,Пул!$E$5:$E$300,$B124,Пул!$L$5:$L$300,"Закрыт"),8)))</f>
        <v/>
      </c>
      <c r="I124" s="242">
        <f>IF(AND(ISNUMBER(G124),ISNUMBER(H124)),IF(AND(G124&gt;0,H124&lt;0),"Buy",IF(AND(G124&lt;0,H124&gt;0),"Sell","")),"")</f>
        <v/>
      </c>
      <c r="J124" s="183">
        <f>IF(I124="Buy",G124,IF(I124="Sell",-G124,""))</f>
        <v/>
      </c>
      <c r="K124" s="183">
        <f>IF(AND(ISNUMBER(J124),ISNUMBER(L124),N(J124)&lt;&gt;0),ROUND(L124/J124,8),"")</f>
        <v/>
      </c>
      <c r="L124" s="183">
        <f>IF(I124="Buy",-H124,IF(I124="Sell",H124,""))</f>
        <v/>
      </c>
    </row>
    <row r="125" ht="22" customHeight="1">
      <c r="B125" s="315" t="n"/>
      <c r="C125" s="240">
        <f>IF($B125="","",IF(COUNTIFS(Пул!$E$5:$E$300,$B125,Пул!$F$5:$F$300,"&lt;&gt;")=0,"",ROUND(SUMIFS(Пул!$F$5:$F$300,Пул!$E$5:$E$300,$B125),8)))</f>
        <v/>
      </c>
      <c r="D125" s="241">
        <f>IF($B125="","",IF(COUNTIFS(Пул!$E$5:$E$300,$B125,Пул!$G$5:$G$300,"&lt;&gt;")=0,"",ROUND(SUMIFS(Пул!$G$5:$G$300,Пул!$E$5:$E$300,$B125),8)))</f>
        <v/>
      </c>
      <c r="E125" s="240">
        <f>IF($B125="","",IF(COUNTIFS(Пул!$E$5:$E$300,$B125,Пул!$L$5:$L$300,"Закрыт")=0,"",ROUND(SUMIFS(Пул!$H$5:$H$300,Пул!$E$5:$E$300,$B125,Пул!$L$5:$L$300,"Закрыт"),8)))</f>
        <v/>
      </c>
      <c r="F125" s="241">
        <f>IF($B125="","",IF(COUNTIFS(Пул!$E$5:$E$300,$B125,Пул!$L$5:$L$300,"Закрыт")=0,"",ROUND(SUMIFS(Пул!$I$5:$I$300,Пул!$E$5:$E$300,$B125,Пул!$L$5:$L$300,"Закрыт"),8)))</f>
        <v/>
      </c>
      <c r="G125" s="240">
        <f>IF($B125="","",IF(COUNTIFS(Пул!$E$5:$E$300,$B125,Пул!$L$5:$L$300,"Закрыт")=0,"",ROUND(SUMIFS(Пул!$J$5:$J$300,Пул!$E$5:$E$300,$B125,Пул!$L$5:$L$300,"Закрыт"),8)))</f>
        <v/>
      </c>
      <c r="H125" s="241">
        <f>IF($B125="","",IF(COUNTIFS(Пул!$E$5:$E$300,$B125,Пул!$L$5:$L$300,"Закрыт")=0,"",ROUND(SUMIFS(Пул!$K$5:$K$300,Пул!$E$5:$E$300,$B125,Пул!$L$5:$L$300,"Закрыт"),8)))</f>
        <v/>
      </c>
      <c r="I125" s="236">
        <f>IF(AND(ISNUMBER(G125),ISNUMBER(H125)),IF(AND(G125&gt;0,H125&lt;0),"Buy",IF(AND(G125&lt;0,H125&gt;0),"Sell","")),"")</f>
        <v/>
      </c>
      <c r="J125" s="177">
        <f>IF(I125="Buy",G125,IF(I125="Sell",-G125,""))</f>
        <v/>
      </c>
      <c r="K125" s="177">
        <f>IF(AND(ISNUMBER(J125),ISNUMBER(L125),N(J125)&lt;&gt;0),ROUND(L125/J125,8),"")</f>
        <v/>
      </c>
      <c r="L125" s="177">
        <f>IF(I125="Buy",-H125,IF(I125="Sell",H125,""))</f>
        <v/>
      </c>
    </row>
    <row r="126" ht="22" customHeight="1">
      <c r="B126" s="320" t="n"/>
      <c r="C126" s="246">
        <f>IF($B126="","",IF(COUNTIFS(Пул!$E$5:$E$300,$B126,Пул!$F$5:$F$300,"&lt;&gt;")=0,"",ROUND(SUMIFS(Пул!$F$5:$F$300,Пул!$E$5:$E$300,$B126),8)))</f>
        <v/>
      </c>
      <c r="D126" s="247">
        <f>IF($B126="","",IF(COUNTIFS(Пул!$E$5:$E$300,$B126,Пул!$G$5:$G$300,"&lt;&gt;")=0,"",ROUND(SUMIFS(Пул!$G$5:$G$300,Пул!$E$5:$E$300,$B126),8)))</f>
        <v/>
      </c>
      <c r="E126" s="246">
        <f>IF($B126="","",IF(COUNTIFS(Пул!$E$5:$E$300,$B126,Пул!$L$5:$L$300,"Закрыт")=0,"",ROUND(SUMIFS(Пул!$H$5:$H$300,Пул!$E$5:$E$300,$B126,Пул!$L$5:$L$300,"Закрыт"),8)))</f>
        <v/>
      </c>
      <c r="F126" s="247">
        <f>IF($B126="","",IF(COUNTIFS(Пул!$E$5:$E$300,$B126,Пул!$L$5:$L$300,"Закрыт")=0,"",ROUND(SUMIFS(Пул!$I$5:$I$300,Пул!$E$5:$E$300,$B126,Пул!$L$5:$L$300,"Закрыт"),8)))</f>
        <v/>
      </c>
      <c r="G126" s="246">
        <f>IF($B126="","",IF(COUNTIFS(Пул!$E$5:$E$300,$B126,Пул!$L$5:$L$300,"Закрыт")=0,"",ROUND(SUMIFS(Пул!$J$5:$J$300,Пул!$E$5:$E$300,$B126,Пул!$L$5:$L$300,"Закрыт"),8)))</f>
        <v/>
      </c>
      <c r="H126" s="247">
        <f>IF($B126="","",IF(COUNTIFS(Пул!$E$5:$E$300,$B126,Пул!$L$5:$L$300,"Закрыт")=0,"",ROUND(SUMIFS(Пул!$K$5:$K$300,Пул!$E$5:$E$300,$B126,Пул!$L$5:$L$300,"Закрыт"),8)))</f>
        <v/>
      </c>
      <c r="I126" s="242">
        <f>IF(AND(ISNUMBER(G126),ISNUMBER(H126)),IF(AND(G126&gt;0,H126&lt;0),"Buy",IF(AND(G126&lt;0,H126&gt;0),"Sell","")),"")</f>
        <v/>
      </c>
      <c r="J126" s="183">
        <f>IF(I126="Buy",G126,IF(I126="Sell",-G126,""))</f>
        <v/>
      </c>
      <c r="K126" s="183">
        <f>IF(AND(ISNUMBER(J126),ISNUMBER(L126),N(J126)&lt;&gt;0),ROUND(L126/J126,8),"")</f>
        <v/>
      </c>
      <c r="L126" s="183">
        <f>IF(I126="Buy",-H126,IF(I126="Sell",H126,""))</f>
        <v/>
      </c>
    </row>
    <row r="127" ht="22" customHeight="1">
      <c r="B127" s="315" t="n"/>
      <c r="C127" s="240">
        <f>IF($B127="","",IF(COUNTIFS(Пул!$E$5:$E$300,$B127,Пул!$F$5:$F$300,"&lt;&gt;")=0,"",ROUND(SUMIFS(Пул!$F$5:$F$300,Пул!$E$5:$E$300,$B127),8)))</f>
        <v/>
      </c>
      <c r="D127" s="241">
        <f>IF($B127="","",IF(COUNTIFS(Пул!$E$5:$E$300,$B127,Пул!$G$5:$G$300,"&lt;&gt;")=0,"",ROUND(SUMIFS(Пул!$G$5:$G$300,Пул!$E$5:$E$300,$B127),8)))</f>
        <v/>
      </c>
      <c r="E127" s="240">
        <f>IF($B127="","",IF(COUNTIFS(Пул!$E$5:$E$300,$B127,Пул!$L$5:$L$300,"Закрыт")=0,"",ROUND(SUMIFS(Пул!$H$5:$H$300,Пул!$E$5:$E$300,$B127,Пул!$L$5:$L$300,"Закрыт"),8)))</f>
        <v/>
      </c>
      <c r="F127" s="241">
        <f>IF($B127="","",IF(COUNTIFS(Пул!$E$5:$E$300,$B127,Пул!$L$5:$L$300,"Закрыт")=0,"",ROUND(SUMIFS(Пул!$I$5:$I$300,Пул!$E$5:$E$300,$B127,Пул!$L$5:$L$300,"Закрыт"),8)))</f>
        <v/>
      </c>
      <c r="G127" s="240">
        <f>IF($B127="","",IF(COUNTIFS(Пул!$E$5:$E$300,$B127,Пул!$L$5:$L$300,"Закрыт")=0,"",ROUND(SUMIFS(Пул!$J$5:$J$300,Пул!$E$5:$E$300,$B127,Пул!$L$5:$L$300,"Закрыт"),8)))</f>
        <v/>
      </c>
      <c r="H127" s="241">
        <f>IF($B127="","",IF(COUNTIFS(Пул!$E$5:$E$300,$B127,Пул!$L$5:$L$300,"Закрыт")=0,"",ROUND(SUMIFS(Пул!$K$5:$K$300,Пул!$E$5:$E$300,$B127,Пул!$L$5:$L$300,"Закрыт"),8)))</f>
        <v/>
      </c>
      <c r="I127" s="236">
        <f>IF(AND(ISNUMBER(G127),ISNUMBER(H127)),IF(AND(G127&gt;0,H127&lt;0),"Buy",IF(AND(G127&lt;0,H127&gt;0),"Sell","")),"")</f>
        <v/>
      </c>
      <c r="J127" s="177">
        <f>IF(I127="Buy",G127,IF(I127="Sell",-G127,""))</f>
        <v/>
      </c>
      <c r="K127" s="177">
        <f>IF(AND(ISNUMBER(J127),ISNUMBER(L127),N(J127)&lt;&gt;0),ROUND(L127/J127,8),"")</f>
        <v/>
      </c>
      <c r="L127" s="177">
        <f>IF(I127="Buy",-H127,IF(I127="Sell",H127,""))</f>
        <v/>
      </c>
    </row>
    <row r="128" ht="22" customHeight="1">
      <c r="B128" s="320" t="n"/>
      <c r="C128" s="246">
        <f>IF($B128="","",IF(COUNTIFS(Пул!$E$5:$E$300,$B128,Пул!$F$5:$F$300,"&lt;&gt;")=0,"",ROUND(SUMIFS(Пул!$F$5:$F$300,Пул!$E$5:$E$300,$B128),8)))</f>
        <v/>
      </c>
      <c r="D128" s="247">
        <f>IF($B128="","",IF(COUNTIFS(Пул!$E$5:$E$300,$B128,Пул!$G$5:$G$300,"&lt;&gt;")=0,"",ROUND(SUMIFS(Пул!$G$5:$G$300,Пул!$E$5:$E$300,$B128),8)))</f>
        <v/>
      </c>
      <c r="E128" s="246">
        <f>IF($B128="","",IF(COUNTIFS(Пул!$E$5:$E$300,$B128,Пул!$L$5:$L$300,"Закрыт")=0,"",ROUND(SUMIFS(Пул!$H$5:$H$300,Пул!$E$5:$E$300,$B128,Пул!$L$5:$L$300,"Закрыт"),8)))</f>
        <v/>
      </c>
      <c r="F128" s="247">
        <f>IF($B128="","",IF(COUNTIFS(Пул!$E$5:$E$300,$B128,Пул!$L$5:$L$300,"Закрыт")=0,"",ROUND(SUMIFS(Пул!$I$5:$I$300,Пул!$E$5:$E$300,$B128,Пул!$L$5:$L$300,"Закрыт"),8)))</f>
        <v/>
      </c>
      <c r="G128" s="246">
        <f>IF($B128="","",IF(COUNTIFS(Пул!$E$5:$E$300,$B128,Пул!$L$5:$L$300,"Закрыт")=0,"",ROUND(SUMIFS(Пул!$J$5:$J$300,Пул!$E$5:$E$300,$B128,Пул!$L$5:$L$300,"Закрыт"),8)))</f>
        <v/>
      </c>
      <c r="H128" s="247">
        <f>IF($B128="","",IF(COUNTIFS(Пул!$E$5:$E$300,$B128,Пул!$L$5:$L$300,"Закрыт")=0,"",ROUND(SUMIFS(Пул!$K$5:$K$300,Пул!$E$5:$E$300,$B128,Пул!$L$5:$L$300,"Закрыт"),8)))</f>
        <v/>
      </c>
      <c r="I128" s="242">
        <f>IF(AND(ISNUMBER(G128),ISNUMBER(H128)),IF(AND(G128&gt;0,H128&lt;0),"Buy",IF(AND(G128&lt;0,H128&gt;0),"Sell","")),"")</f>
        <v/>
      </c>
      <c r="J128" s="183">
        <f>IF(I128="Buy",G128,IF(I128="Sell",-G128,""))</f>
        <v/>
      </c>
      <c r="K128" s="183">
        <f>IF(AND(ISNUMBER(J128),ISNUMBER(L128),N(J128)&lt;&gt;0),ROUND(L128/J128,8),"")</f>
        <v/>
      </c>
      <c r="L128" s="183">
        <f>IF(I128="Buy",-H128,IF(I128="Sell",H128,""))</f>
        <v/>
      </c>
    </row>
    <row r="129" ht="22" customHeight="1">
      <c r="B129" s="315" t="n"/>
      <c r="C129" s="240">
        <f>IF($B129="","",IF(COUNTIFS(Пул!$E$5:$E$300,$B129,Пул!$F$5:$F$300,"&lt;&gt;")=0,"",ROUND(SUMIFS(Пул!$F$5:$F$300,Пул!$E$5:$E$300,$B129),8)))</f>
        <v/>
      </c>
      <c r="D129" s="241">
        <f>IF($B129="","",IF(COUNTIFS(Пул!$E$5:$E$300,$B129,Пул!$G$5:$G$300,"&lt;&gt;")=0,"",ROUND(SUMIFS(Пул!$G$5:$G$300,Пул!$E$5:$E$300,$B129),8)))</f>
        <v/>
      </c>
      <c r="E129" s="240">
        <f>IF($B129="","",IF(COUNTIFS(Пул!$E$5:$E$300,$B129,Пул!$L$5:$L$300,"Закрыт")=0,"",ROUND(SUMIFS(Пул!$H$5:$H$300,Пул!$E$5:$E$300,$B129,Пул!$L$5:$L$300,"Закрыт"),8)))</f>
        <v/>
      </c>
      <c r="F129" s="241">
        <f>IF($B129="","",IF(COUNTIFS(Пул!$E$5:$E$300,$B129,Пул!$L$5:$L$300,"Закрыт")=0,"",ROUND(SUMIFS(Пул!$I$5:$I$300,Пул!$E$5:$E$300,$B129,Пул!$L$5:$L$300,"Закрыт"),8)))</f>
        <v/>
      </c>
      <c r="G129" s="240">
        <f>IF($B129="","",IF(COUNTIFS(Пул!$E$5:$E$300,$B129,Пул!$L$5:$L$300,"Закрыт")=0,"",ROUND(SUMIFS(Пул!$J$5:$J$300,Пул!$E$5:$E$300,$B129,Пул!$L$5:$L$300,"Закрыт"),8)))</f>
        <v/>
      </c>
      <c r="H129" s="241">
        <f>IF($B129="","",IF(COUNTIFS(Пул!$E$5:$E$300,$B129,Пул!$L$5:$L$300,"Закрыт")=0,"",ROUND(SUMIFS(Пул!$K$5:$K$300,Пул!$E$5:$E$300,$B129,Пул!$L$5:$L$300,"Закрыт"),8)))</f>
        <v/>
      </c>
      <c r="I129" s="236">
        <f>IF(AND(ISNUMBER(G129),ISNUMBER(H129)),IF(AND(G129&gt;0,H129&lt;0),"Buy",IF(AND(G129&lt;0,H129&gt;0),"Sell","")),"")</f>
        <v/>
      </c>
      <c r="J129" s="177">
        <f>IF(I129="Buy",G129,IF(I129="Sell",-G129,""))</f>
        <v/>
      </c>
      <c r="K129" s="177">
        <f>IF(AND(ISNUMBER(J129),ISNUMBER(L129),N(J129)&lt;&gt;0),ROUND(L129/J129,8),"")</f>
        <v/>
      </c>
      <c r="L129" s="177">
        <f>IF(I129="Buy",-H129,IF(I129="Sell",H129,""))</f>
        <v/>
      </c>
    </row>
    <row r="130" ht="22" customHeight="1">
      <c r="B130" s="320" t="n"/>
      <c r="C130" s="246">
        <f>IF($B130="","",IF(COUNTIFS(Пул!$E$5:$E$300,$B130,Пул!$F$5:$F$300,"&lt;&gt;")=0,"",ROUND(SUMIFS(Пул!$F$5:$F$300,Пул!$E$5:$E$300,$B130),8)))</f>
        <v/>
      </c>
      <c r="D130" s="247">
        <f>IF($B130="","",IF(COUNTIFS(Пул!$E$5:$E$300,$B130,Пул!$G$5:$G$300,"&lt;&gt;")=0,"",ROUND(SUMIFS(Пул!$G$5:$G$300,Пул!$E$5:$E$300,$B130),8)))</f>
        <v/>
      </c>
      <c r="E130" s="246">
        <f>IF($B130="","",IF(COUNTIFS(Пул!$E$5:$E$300,$B130,Пул!$L$5:$L$300,"Закрыт")=0,"",ROUND(SUMIFS(Пул!$H$5:$H$300,Пул!$E$5:$E$300,$B130,Пул!$L$5:$L$300,"Закрыт"),8)))</f>
        <v/>
      </c>
      <c r="F130" s="247">
        <f>IF($B130="","",IF(COUNTIFS(Пул!$E$5:$E$300,$B130,Пул!$L$5:$L$300,"Закрыт")=0,"",ROUND(SUMIFS(Пул!$I$5:$I$300,Пул!$E$5:$E$300,$B130,Пул!$L$5:$L$300,"Закрыт"),8)))</f>
        <v/>
      </c>
      <c r="G130" s="246">
        <f>IF($B130="","",IF(COUNTIFS(Пул!$E$5:$E$300,$B130,Пул!$L$5:$L$300,"Закрыт")=0,"",ROUND(SUMIFS(Пул!$J$5:$J$300,Пул!$E$5:$E$300,$B130,Пул!$L$5:$L$300,"Закрыт"),8)))</f>
        <v/>
      </c>
      <c r="H130" s="247">
        <f>IF($B130="","",IF(COUNTIFS(Пул!$E$5:$E$300,$B130,Пул!$L$5:$L$300,"Закрыт")=0,"",ROUND(SUMIFS(Пул!$K$5:$K$300,Пул!$E$5:$E$300,$B130,Пул!$L$5:$L$300,"Закрыт"),8)))</f>
        <v/>
      </c>
      <c r="I130" s="242">
        <f>IF(AND(ISNUMBER(G130),ISNUMBER(H130)),IF(AND(G130&gt;0,H130&lt;0),"Buy",IF(AND(G130&lt;0,H130&gt;0),"Sell","")),"")</f>
        <v/>
      </c>
      <c r="J130" s="183">
        <f>IF(I130="Buy",G130,IF(I130="Sell",-G130,""))</f>
        <v/>
      </c>
      <c r="K130" s="183">
        <f>IF(AND(ISNUMBER(J130),ISNUMBER(L130),N(J130)&lt;&gt;0),ROUND(L130/J130,8),"")</f>
        <v/>
      </c>
      <c r="L130" s="183">
        <f>IF(I130="Buy",-H130,IF(I130="Sell",H130,""))</f>
        <v/>
      </c>
    </row>
    <row r="131" ht="22" customHeight="1">
      <c r="B131" s="315" t="n"/>
      <c r="C131" s="240">
        <f>IF($B131="","",IF(COUNTIFS(Пул!$E$5:$E$300,$B131,Пул!$F$5:$F$300,"&lt;&gt;")=0,"",ROUND(SUMIFS(Пул!$F$5:$F$300,Пул!$E$5:$E$300,$B131),8)))</f>
        <v/>
      </c>
      <c r="D131" s="241">
        <f>IF($B131="","",IF(COUNTIFS(Пул!$E$5:$E$300,$B131,Пул!$G$5:$G$300,"&lt;&gt;")=0,"",ROUND(SUMIFS(Пул!$G$5:$G$300,Пул!$E$5:$E$300,$B131),8)))</f>
        <v/>
      </c>
      <c r="E131" s="240">
        <f>IF($B131="","",IF(COUNTIFS(Пул!$E$5:$E$300,$B131,Пул!$L$5:$L$300,"Закрыт")=0,"",ROUND(SUMIFS(Пул!$H$5:$H$300,Пул!$E$5:$E$300,$B131,Пул!$L$5:$L$300,"Закрыт"),8)))</f>
        <v/>
      </c>
      <c r="F131" s="241">
        <f>IF($B131="","",IF(COUNTIFS(Пул!$E$5:$E$300,$B131,Пул!$L$5:$L$300,"Закрыт")=0,"",ROUND(SUMIFS(Пул!$I$5:$I$300,Пул!$E$5:$E$300,$B131,Пул!$L$5:$L$300,"Закрыт"),8)))</f>
        <v/>
      </c>
      <c r="G131" s="240">
        <f>IF($B131="","",IF(COUNTIFS(Пул!$E$5:$E$300,$B131,Пул!$L$5:$L$300,"Закрыт")=0,"",ROUND(SUMIFS(Пул!$J$5:$J$300,Пул!$E$5:$E$300,$B131,Пул!$L$5:$L$300,"Закрыт"),8)))</f>
        <v/>
      </c>
      <c r="H131" s="241">
        <f>IF($B131="","",IF(COUNTIFS(Пул!$E$5:$E$300,$B131,Пул!$L$5:$L$300,"Закрыт")=0,"",ROUND(SUMIFS(Пул!$K$5:$K$300,Пул!$E$5:$E$300,$B131,Пул!$L$5:$L$300,"Закрыт"),8)))</f>
        <v/>
      </c>
      <c r="I131" s="236">
        <f>IF(AND(ISNUMBER(G131),ISNUMBER(H131)),IF(AND(G131&gt;0,H131&lt;0),"Buy",IF(AND(G131&lt;0,H131&gt;0),"Sell","")),"")</f>
        <v/>
      </c>
      <c r="J131" s="177">
        <f>IF(I131="Buy",G131,IF(I131="Sell",-G131,""))</f>
        <v/>
      </c>
      <c r="K131" s="177">
        <f>IF(AND(ISNUMBER(J131),ISNUMBER(L131),N(J131)&lt;&gt;0),ROUND(L131/J131,8),"")</f>
        <v/>
      </c>
      <c r="L131" s="177">
        <f>IF(I131="Buy",-H131,IF(I131="Sell",H131,""))</f>
        <v/>
      </c>
    </row>
    <row r="132" ht="22" customHeight="1">
      <c r="B132" s="320" t="n"/>
      <c r="C132" s="246">
        <f>IF($B132="","",IF(COUNTIFS(Пул!$E$5:$E$300,$B132,Пул!$F$5:$F$300,"&lt;&gt;")=0,"",ROUND(SUMIFS(Пул!$F$5:$F$300,Пул!$E$5:$E$300,$B132),8)))</f>
        <v/>
      </c>
      <c r="D132" s="247">
        <f>IF($B132="","",IF(COUNTIFS(Пул!$E$5:$E$300,$B132,Пул!$G$5:$G$300,"&lt;&gt;")=0,"",ROUND(SUMIFS(Пул!$G$5:$G$300,Пул!$E$5:$E$300,$B132),8)))</f>
        <v/>
      </c>
      <c r="E132" s="246">
        <f>IF($B132="","",IF(COUNTIFS(Пул!$E$5:$E$300,$B132,Пул!$L$5:$L$300,"Закрыт")=0,"",ROUND(SUMIFS(Пул!$H$5:$H$300,Пул!$E$5:$E$300,$B132,Пул!$L$5:$L$300,"Закрыт"),8)))</f>
        <v/>
      </c>
      <c r="F132" s="247">
        <f>IF($B132="","",IF(COUNTIFS(Пул!$E$5:$E$300,$B132,Пул!$L$5:$L$300,"Закрыт")=0,"",ROUND(SUMIFS(Пул!$I$5:$I$300,Пул!$E$5:$E$300,$B132,Пул!$L$5:$L$300,"Закрыт"),8)))</f>
        <v/>
      </c>
      <c r="G132" s="246">
        <f>IF($B132="","",IF(COUNTIFS(Пул!$E$5:$E$300,$B132,Пул!$L$5:$L$300,"Закрыт")=0,"",ROUND(SUMIFS(Пул!$J$5:$J$300,Пул!$E$5:$E$300,$B132,Пул!$L$5:$L$300,"Закрыт"),8)))</f>
        <v/>
      </c>
      <c r="H132" s="247">
        <f>IF($B132="","",IF(COUNTIFS(Пул!$E$5:$E$300,$B132,Пул!$L$5:$L$300,"Закрыт")=0,"",ROUND(SUMIFS(Пул!$K$5:$K$300,Пул!$E$5:$E$300,$B132,Пул!$L$5:$L$300,"Закрыт"),8)))</f>
        <v/>
      </c>
      <c r="I132" s="242">
        <f>IF(AND(ISNUMBER(G132),ISNUMBER(H132)),IF(AND(G132&gt;0,H132&lt;0),"Buy",IF(AND(G132&lt;0,H132&gt;0),"Sell","")),"")</f>
        <v/>
      </c>
      <c r="J132" s="183">
        <f>IF(I132="Buy",G132,IF(I132="Sell",-G132,""))</f>
        <v/>
      </c>
      <c r="K132" s="183">
        <f>IF(AND(ISNUMBER(J132),ISNUMBER(L132),N(J132)&lt;&gt;0),ROUND(L132/J132,8),"")</f>
        <v/>
      </c>
      <c r="L132" s="183">
        <f>IF(I132="Buy",-H132,IF(I132="Sell",H132,""))</f>
        <v/>
      </c>
    </row>
    <row r="133" ht="22" customHeight="1">
      <c r="B133" s="315" t="n"/>
      <c r="C133" s="240">
        <f>IF($B133="","",IF(COUNTIFS(Пул!$E$5:$E$300,$B133,Пул!$F$5:$F$300,"&lt;&gt;")=0,"",ROUND(SUMIFS(Пул!$F$5:$F$300,Пул!$E$5:$E$300,$B133),8)))</f>
        <v/>
      </c>
      <c r="D133" s="241">
        <f>IF($B133="","",IF(COUNTIFS(Пул!$E$5:$E$300,$B133,Пул!$G$5:$G$300,"&lt;&gt;")=0,"",ROUND(SUMIFS(Пул!$G$5:$G$300,Пул!$E$5:$E$300,$B133),8)))</f>
        <v/>
      </c>
      <c r="E133" s="240">
        <f>IF($B133="","",IF(COUNTIFS(Пул!$E$5:$E$300,$B133,Пул!$L$5:$L$300,"Закрыт")=0,"",ROUND(SUMIFS(Пул!$H$5:$H$300,Пул!$E$5:$E$300,$B133,Пул!$L$5:$L$300,"Закрыт"),8)))</f>
        <v/>
      </c>
      <c r="F133" s="241">
        <f>IF($B133="","",IF(COUNTIFS(Пул!$E$5:$E$300,$B133,Пул!$L$5:$L$300,"Закрыт")=0,"",ROUND(SUMIFS(Пул!$I$5:$I$300,Пул!$E$5:$E$300,$B133,Пул!$L$5:$L$300,"Закрыт"),8)))</f>
        <v/>
      </c>
      <c r="G133" s="240">
        <f>IF($B133="","",IF(COUNTIFS(Пул!$E$5:$E$300,$B133,Пул!$L$5:$L$300,"Закрыт")=0,"",ROUND(SUMIFS(Пул!$J$5:$J$300,Пул!$E$5:$E$300,$B133,Пул!$L$5:$L$300,"Закрыт"),8)))</f>
        <v/>
      </c>
      <c r="H133" s="241">
        <f>IF($B133="","",IF(COUNTIFS(Пул!$E$5:$E$300,$B133,Пул!$L$5:$L$300,"Закрыт")=0,"",ROUND(SUMIFS(Пул!$K$5:$K$300,Пул!$E$5:$E$300,$B133,Пул!$L$5:$L$300,"Закрыт"),8)))</f>
        <v/>
      </c>
      <c r="I133" s="236">
        <f>IF(AND(ISNUMBER(G133),ISNUMBER(H133)),IF(AND(G133&gt;0,H133&lt;0),"Buy",IF(AND(G133&lt;0,H133&gt;0),"Sell","")),"")</f>
        <v/>
      </c>
      <c r="J133" s="177">
        <f>IF(I133="Buy",G133,IF(I133="Sell",-G133,""))</f>
        <v/>
      </c>
      <c r="K133" s="177">
        <f>IF(AND(ISNUMBER(J133),ISNUMBER(L133),N(J133)&lt;&gt;0),ROUND(L133/J133,8),"")</f>
        <v/>
      </c>
      <c r="L133" s="177">
        <f>IF(I133="Buy",-H133,IF(I133="Sell",H133,""))</f>
        <v/>
      </c>
    </row>
    <row r="134" ht="22" customHeight="1">
      <c r="B134" s="320" t="n"/>
      <c r="C134" s="246">
        <f>IF($B134="","",IF(COUNTIFS(Пул!$E$5:$E$300,$B134,Пул!$F$5:$F$300,"&lt;&gt;")=0,"",ROUND(SUMIFS(Пул!$F$5:$F$300,Пул!$E$5:$E$300,$B134),8)))</f>
        <v/>
      </c>
      <c r="D134" s="247">
        <f>IF($B134="","",IF(COUNTIFS(Пул!$E$5:$E$300,$B134,Пул!$G$5:$G$300,"&lt;&gt;")=0,"",ROUND(SUMIFS(Пул!$G$5:$G$300,Пул!$E$5:$E$300,$B134),8)))</f>
        <v/>
      </c>
      <c r="E134" s="246">
        <f>IF($B134="","",IF(COUNTIFS(Пул!$E$5:$E$300,$B134,Пул!$L$5:$L$300,"Закрыт")=0,"",ROUND(SUMIFS(Пул!$H$5:$H$300,Пул!$E$5:$E$300,$B134,Пул!$L$5:$L$300,"Закрыт"),8)))</f>
        <v/>
      </c>
      <c r="F134" s="247">
        <f>IF($B134="","",IF(COUNTIFS(Пул!$E$5:$E$300,$B134,Пул!$L$5:$L$300,"Закрыт")=0,"",ROUND(SUMIFS(Пул!$I$5:$I$300,Пул!$E$5:$E$300,$B134,Пул!$L$5:$L$300,"Закрыт"),8)))</f>
        <v/>
      </c>
      <c r="G134" s="246">
        <f>IF($B134="","",IF(COUNTIFS(Пул!$E$5:$E$300,$B134,Пул!$L$5:$L$300,"Закрыт")=0,"",ROUND(SUMIFS(Пул!$J$5:$J$300,Пул!$E$5:$E$300,$B134,Пул!$L$5:$L$300,"Закрыт"),8)))</f>
        <v/>
      </c>
      <c r="H134" s="247">
        <f>IF($B134="","",IF(COUNTIFS(Пул!$E$5:$E$300,$B134,Пул!$L$5:$L$300,"Закрыт")=0,"",ROUND(SUMIFS(Пул!$K$5:$K$300,Пул!$E$5:$E$300,$B134,Пул!$L$5:$L$300,"Закрыт"),8)))</f>
        <v/>
      </c>
      <c r="I134" s="242">
        <f>IF(AND(ISNUMBER(G134),ISNUMBER(H134)),IF(AND(G134&gt;0,H134&lt;0),"Buy",IF(AND(G134&lt;0,H134&gt;0),"Sell","")),"")</f>
        <v/>
      </c>
      <c r="J134" s="183">
        <f>IF(I134="Buy",G134,IF(I134="Sell",-G134,""))</f>
        <v/>
      </c>
      <c r="K134" s="183">
        <f>IF(AND(ISNUMBER(J134),ISNUMBER(L134),N(J134)&lt;&gt;0),ROUND(L134/J134,8),"")</f>
        <v/>
      </c>
      <c r="L134" s="183">
        <f>IF(I134="Buy",-H134,IF(I134="Sell",H134,""))</f>
        <v/>
      </c>
    </row>
    <row r="135" ht="22" customHeight="1">
      <c r="B135" s="315" t="n"/>
      <c r="C135" s="240">
        <f>IF($B135="","",IF(COUNTIFS(Пул!$E$5:$E$300,$B135,Пул!$F$5:$F$300,"&lt;&gt;")=0,"",ROUND(SUMIFS(Пул!$F$5:$F$300,Пул!$E$5:$E$300,$B135),8)))</f>
        <v/>
      </c>
      <c r="D135" s="241">
        <f>IF($B135="","",IF(COUNTIFS(Пул!$E$5:$E$300,$B135,Пул!$G$5:$G$300,"&lt;&gt;")=0,"",ROUND(SUMIFS(Пул!$G$5:$G$300,Пул!$E$5:$E$300,$B135),8)))</f>
        <v/>
      </c>
      <c r="E135" s="240">
        <f>IF($B135="","",IF(COUNTIFS(Пул!$E$5:$E$300,$B135,Пул!$L$5:$L$300,"Закрыт")=0,"",ROUND(SUMIFS(Пул!$H$5:$H$300,Пул!$E$5:$E$300,$B135,Пул!$L$5:$L$300,"Закрыт"),8)))</f>
        <v/>
      </c>
      <c r="F135" s="241">
        <f>IF($B135="","",IF(COUNTIFS(Пул!$E$5:$E$300,$B135,Пул!$L$5:$L$300,"Закрыт")=0,"",ROUND(SUMIFS(Пул!$I$5:$I$300,Пул!$E$5:$E$300,$B135,Пул!$L$5:$L$300,"Закрыт"),8)))</f>
        <v/>
      </c>
      <c r="G135" s="240">
        <f>IF($B135="","",IF(COUNTIFS(Пул!$E$5:$E$300,$B135,Пул!$L$5:$L$300,"Закрыт")=0,"",ROUND(SUMIFS(Пул!$J$5:$J$300,Пул!$E$5:$E$300,$B135,Пул!$L$5:$L$300,"Закрыт"),8)))</f>
        <v/>
      </c>
      <c r="H135" s="241">
        <f>IF($B135="","",IF(COUNTIFS(Пул!$E$5:$E$300,$B135,Пул!$L$5:$L$300,"Закрыт")=0,"",ROUND(SUMIFS(Пул!$K$5:$K$300,Пул!$E$5:$E$300,$B135,Пул!$L$5:$L$300,"Закрыт"),8)))</f>
        <v/>
      </c>
      <c r="I135" s="236">
        <f>IF(AND(ISNUMBER(G135),ISNUMBER(H135)),IF(AND(G135&gt;0,H135&lt;0),"Buy",IF(AND(G135&lt;0,H135&gt;0),"Sell","")),"")</f>
        <v/>
      </c>
      <c r="J135" s="177">
        <f>IF(I135="Buy",G135,IF(I135="Sell",-G135,""))</f>
        <v/>
      </c>
      <c r="K135" s="177">
        <f>IF(AND(ISNUMBER(J135),ISNUMBER(L135),N(J135)&lt;&gt;0),ROUND(L135/J135,8),"")</f>
        <v/>
      </c>
      <c r="L135" s="177">
        <f>IF(I135="Buy",-H135,IF(I135="Sell",H135,""))</f>
        <v/>
      </c>
    </row>
    <row r="136" ht="22" customHeight="1">
      <c r="B136" s="320" t="n"/>
      <c r="C136" s="246">
        <f>IF($B136="","",IF(COUNTIFS(Пул!$E$5:$E$300,$B136,Пул!$F$5:$F$300,"&lt;&gt;")=0,"",ROUND(SUMIFS(Пул!$F$5:$F$300,Пул!$E$5:$E$300,$B136),8)))</f>
        <v/>
      </c>
      <c r="D136" s="247">
        <f>IF($B136="","",IF(COUNTIFS(Пул!$E$5:$E$300,$B136,Пул!$G$5:$G$300,"&lt;&gt;")=0,"",ROUND(SUMIFS(Пул!$G$5:$G$300,Пул!$E$5:$E$300,$B136),8)))</f>
        <v/>
      </c>
      <c r="E136" s="246">
        <f>IF($B136="","",IF(COUNTIFS(Пул!$E$5:$E$300,$B136,Пул!$L$5:$L$300,"Закрыт")=0,"",ROUND(SUMIFS(Пул!$H$5:$H$300,Пул!$E$5:$E$300,$B136,Пул!$L$5:$L$300,"Закрыт"),8)))</f>
        <v/>
      </c>
      <c r="F136" s="247">
        <f>IF($B136="","",IF(COUNTIFS(Пул!$E$5:$E$300,$B136,Пул!$L$5:$L$300,"Закрыт")=0,"",ROUND(SUMIFS(Пул!$I$5:$I$300,Пул!$E$5:$E$300,$B136,Пул!$L$5:$L$300,"Закрыт"),8)))</f>
        <v/>
      </c>
      <c r="G136" s="246">
        <f>IF($B136="","",IF(COUNTIFS(Пул!$E$5:$E$300,$B136,Пул!$L$5:$L$300,"Закрыт")=0,"",ROUND(SUMIFS(Пул!$J$5:$J$300,Пул!$E$5:$E$300,$B136,Пул!$L$5:$L$300,"Закрыт"),8)))</f>
        <v/>
      </c>
      <c r="H136" s="247">
        <f>IF($B136="","",IF(COUNTIFS(Пул!$E$5:$E$300,$B136,Пул!$L$5:$L$300,"Закрыт")=0,"",ROUND(SUMIFS(Пул!$K$5:$K$300,Пул!$E$5:$E$300,$B136,Пул!$L$5:$L$300,"Закрыт"),8)))</f>
        <v/>
      </c>
      <c r="I136" s="242">
        <f>IF(AND(ISNUMBER(G136),ISNUMBER(H136)),IF(AND(G136&gt;0,H136&lt;0),"Buy",IF(AND(G136&lt;0,H136&gt;0),"Sell","")),"")</f>
        <v/>
      </c>
      <c r="J136" s="183">
        <f>IF(I136="Buy",G136,IF(I136="Sell",-G136,""))</f>
        <v/>
      </c>
      <c r="K136" s="183">
        <f>IF(AND(ISNUMBER(J136),ISNUMBER(L136),N(J136)&lt;&gt;0),ROUND(L136/J136,8),"")</f>
        <v/>
      </c>
      <c r="L136" s="183">
        <f>IF(I136="Buy",-H136,IF(I136="Sell",H136,""))</f>
        <v/>
      </c>
    </row>
    <row r="137" ht="22" customHeight="1">
      <c r="B137" s="315" t="n"/>
      <c r="C137" s="240">
        <f>IF($B137="","",IF(COUNTIFS(Пул!$E$5:$E$300,$B137,Пул!$F$5:$F$300,"&lt;&gt;")=0,"",ROUND(SUMIFS(Пул!$F$5:$F$300,Пул!$E$5:$E$300,$B137),8)))</f>
        <v/>
      </c>
      <c r="D137" s="241">
        <f>IF($B137="","",IF(COUNTIFS(Пул!$E$5:$E$300,$B137,Пул!$G$5:$G$300,"&lt;&gt;")=0,"",ROUND(SUMIFS(Пул!$G$5:$G$300,Пул!$E$5:$E$300,$B137),8)))</f>
        <v/>
      </c>
      <c r="E137" s="240">
        <f>IF($B137="","",IF(COUNTIFS(Пул!$E$5:$E$300,$B137,Пул!$L$5:$L$300,"Закрыт")=0,"",ROUND(SUMIFS(Пул!$H$5:$H$300,Пул!$E$5:$E$300,$B137,Пул!$L$5:$L$300,"Закрыт"),8)))</f>
        <v/>
      </c>
      <c r="F137" s="241">
        <f>IF($B137="","",IF(COUNTIFS(Пул!$E$5:$E$300,$B137,Пул!$L$5:$L$300,"Закрыт")=0,"",ROUND(SUMIFS(Пул!$I$5:$I$300,Пул!$E$5:$E$300,$B137,Пул!$L$5:$L$300,"Закрыт"),8)))</f>
        <v/>
      </c>
      <c r="G137" s="240">
        <f>IF($B137="","",IF(COUNTIFS(Пул!$E$5:$E$300,$B137,Пул!$L$5:$L$300,"Закрыт")=0,"",ROUND(SUMIFS(Пул!$J$5:$J$300,Пул!$E$5:$E$300,$B137,Пул!$L$5:$L$300,"Закрыт"),8)))</f>
        <v/>
      </c>
      <c r="H137" s="241">
        <f>IF($B137="","",IF(COUNTIFS(Пул!$E$5:$E$300,$B137,Пул!$L$5:$L$300,"Закрыт")=0,"",ROUND(SUMIFS(Пул!$K$5:$K$300,Пул!$E$5:$E$300,$B137,Пул!$L$5:$L$300,"Закрыт"),8)))</f>
        <v/>
      </c>
      <c r="I137" s="236">
        <f>IF(AND(ISNUMBER(G137),ISNUMBER(H137)),IF(AND(G137&gt;0,H137&lt;0),"Buy",IF(AND(G137&lt;0,H137&gt;0),"Sell","")),"")</f>
        <v/>
      </c>
      <c r="J137" s="177">
        <f>IF(I137="Buy",G137,IF(I137="Sell",-G137,""))</f>
        <v/>
      </c>
      <c r="K137" s="177">
        <f>IF(AND(ISNUMBER(J137),ISNUMBER(L137),N(J137)&lt;&gt;0),ROUND(L137/J137,8),"")</f>
        <v/>
      </c>
      <c r="L137" s="177">
        <f>IF(I137="Buy",-H137,IF(I137="Sell",H137,""))</f>
        <v/>
      </c>
    </row>
    <row r="138" ht="22" customHeight="1">
      <c r="B138" s="320" t="n"/>
      <c r="C138" s="246">
        <f>IF($B138="","",IF(COUNTIFS(Пул!$E$5:$E$300,$B138,Пул!$F$5:$F$300,"&lt;&gt;")=0,"",ROUND(SUMIFS(Пул!$F$5:$F$300,Пул!$E$5:$E$300,$B138),8)))</f>
        <v/>
      </c>
      <c r="D138" s="247">
        <f>IF($B138="","",IF(COUNTIFS(Пул!$E$5:$E$300,$B138,Пул!$G$5:$G$300,"&lt;&gt;")=0,"",ROUND(SUMIFS(Пул!$G$5:$G$300,Пул!$E$5:$E$300,$B138),8)))</f>
        <v/>
      </c>
      <c r="E138" s="246">
        <f>IF($B138="","",IF(COUNTIFS(Пул!$E$5:$E$300,$B138,Пул!$L$5:$L$300,"Закрыт")=0,"",ROUND(SUMIFS(Пул!$H$5:$H$300,Пул!$E$5:$E$300,$B138,Пул!$L$5:$L$300,"Закрыт"),8)))</f>
        <v/>
      </c>
      <c r="F138" s="247">
        <f>IF($B138="","",IF(COUNTIFS(Пул!$E$5:$E$300,$B138,Пул!$L$5:$L$300,"Закрыт")=0,"",ROUND(SUMIFS(Пул!$I$5:$I$300,Пул!$E$5:$E$300,$B138,Пул!$L$5:$L$300,"Закрыт"),8)))</f>
        <v/>
      </c>
      <c r="G138" s="246">
        <f>IF($B138="","",IF(COUNTIFS(Пул!$E$5:$E$300,$B138,Пул!$L$5:$L$300,"Закрыт")=0,"",ROUND(SUMIFS(Пул!$J$5:$J$300,Пул!$E$5:$E$300,$B138,Пул!$L$5:$L$300,"Закрыт"),8)))</f>
        <v/>
      </c>
      <c r="H138" s="247">
        <f>IF($B138="","",IF(COUNTIFS(Пул!$E$5:$E$300,$B138,Пул!$L$5:$L$300,"Закрыт")=0,"",ROUND(SUMIFS(Пул!$K$5:$K$300,Пул!$E$5:$E$300,$B138,Пул!$L$5:$L$300,"Закрыт"),8)))</f>
        <v/>
      </c>
      <c r="I138" s="242">
        <f>IF(AND(ISNUMBER(G138),ISNUMBER(H138)),IF(AND(G138&gt;0,H138&lt;0),"Buy",IF(AND(G138&lt;0,H138&gt;0),"Sell","")),"")</f>
        <v/>
      </c>
      <c r="J138" s="183">
        <f>IF(I138="Buy",G138,IF(I138="Sell",-G138,""))</f>
        <v/>
      </c>
      <c r="K138" s="183">
        <f>IF(AND(ISNUMBER(J138),ISNUMBER(L138),N(J138)&lt;&gt;0),ROUND(L138/J138,8),"")</f>
        <v/>
      </c>
      <c r="L138" s="183">
        <f>IF(I138="Buy",-H138,IF(I138="Sell",H138,""))</f>
        <v/>
      </c>
    </row>
    <row r="139" ht="22" customHeight="1">
      <c r="B139" s="315" t="n"/>
      <c r="C139" s="240">
        <f>IF($B139="","",IF(COUNTIFS(Пул!$E$5:$E$300,$B139,Пул!$F$5:$F$300,"&lt;&gt;")=0,"",ROUND(SUMIFS(Пул!$F$5:$F$300,Пул!$E$5:$E$300,$B139),8)))</f>
        <v/>
      </c>
      <c r="D139" s="241">
        <f>IF($B139="","",IF(COUNTIFS(Пул!$E$5:$E$300,$B139,Пул!$G$5:$G$300,"&lt;&gt;")=0,"",ROUND(SUMIFS(Пул!$G$5:$G$300,Пул!$E$5:$E$300,$B139),8)))</f>
        <v/>
      </c>
      <c r="E139" s="240">
        <f>IF($B139="","",IF(COUNTIFS(Пул!$E$5:$E$300,$B139,Пул!$L$5:$L$300,"Закрыт")=0,"",ROUND(SUMIFS(Пул!$H$5:$H$300,Пул!$E$5:$E$300,$B139,Пул!$L$5:$L$300,"Закрыт"),8)))</f>
        <v/>
      </c>
      <c r="F139" s="241">
        <f>IF($B139="","",IF(COUNTIFS(Пул!$E$5:$E$300,$B139,Пул!$L$5:$L$300,"Закрыт")=0,"",ROUND(SUMIFS(Пул!$I$5:$I$300,Пул!$E$5:$E$300,$B139,Пул!$L$5:$L$300,"Закрыт"),8)))</f>
        <v/>
      </c>
      <c r="G139" s="240">
        <f>IF($B139="","",IF(COUNTIFS(Пул!$E$5:$E$300,$B139,Пул!$L$5:$L$300,"Закрыт")=0,"",ROUND(SUMIFS(Пул!$J$5:$J$300,Пул!$E$5:$E$300,$B139,Пул!$L$5:$L$300,"Закрыт"),8)))</f>
        <v/>
      </c>
      <c r="H139" s="241">
        <f>IF($B139="","",IF(COUNTIFS(Пул!$E$5:$E$300,$B139,Пул!$L$5:$L$300,"Закрыт")=0,"",ROUND(SUMIFS(Пул!$K$5:$K$300,Пул!$E$5:$E$300,$B139,Пул!$L$5:$L$300,"Закрыт"),8)))</f>
        <v/>
      </c>
      <c r="I139" s="236">
        <f>IF(AND(ISNUMBER(G139),ISNUMBER(H139)),IF(AND(G139&gt;0,H139&lt;0),"Buy",IF(AND(G139&lt;0,H139&gt;0),"Sell","")),"")</f>
        <v/>
      </c>
      <c r="J139" s="177">
        <f>IF(I139="Buy",G139,IF(I139="Sell",-G139,""))</f>
        <v/>
      </c>
      <c r="K139" s="177">
        <f>IF(AND(ISNUMBER(J139),ISNUMBER(L139),N(J139)&lt;&gt;0),ROUND(L139/J139,8),"")</f>
        <v/>
      </c>
      <c r="L139" s="177">
        <f>IF(I139="Buy",-H139,IF(I139="Sell",H139,""))</f>
        <v/>
      </c>
    </row>
    <row r="140" ht="22" customHeight="1">
      <c r="B140" s="320" t="n"/>
      <c r="C140" s="246">
        <f>IF($B140="","",IF(COUNTIFS(Пул!$E$5:$E$300,$B140,Пул!$F$5:$F$300,"&lt;&gt;")=0,"",ROUND(SUMIFS(Пул!$F$5:$F$300,Пул!$E$5:$E$300,$B140),8)))</f>
        <v/>
      </c>
      <c r="D140" s="247">
        <f>IF($B140="","",IF(COUNTIFS(Пул!$E$5:$E$300,$B140,Пул!$G$5:$G$300,"&lt;&gt;")=0,"",ROUND(SUMIFS(Пул!$G$5:$G$300,Пул!$E$5:$E$300,$B140),8)))</f>
        <v/>
      </c>
      <c r="E140" s="246">
        <f>IF($B140="","",IF(COUNTIFS(Пул!$E$5:$E$300,$B140,Пул!$L$5:$L$300,"Закрыт")=0,"",ROUND(SUMIFS(Пул!$H$5:$H$300,Пул!$E$5:$E$300,$B140,Пул!$L$5:$L$300,"Закрыт"),8)))</f>
        <v/>
      </c>
      <c r="F140" s="247">
        <f>IF($B140="","",IF(COUNTIFS(Пул!$E$5:$E$300,$B140,Пул!$L$5:$L$300,"Закрыт")=0,"",ROUND(SUMIFS(Пул!$I$5:$I$300,Пул!$E$5:$E$300,$B140,Пул!$L$5:$L$300,"Закрыт"),8)))</f>
        <v/>
      </c>
      <c r="G140" s="246">
        <f>IF($B140="","",IF(COUNTIFS(Пул!$E$5:$E$300,$B140,Пул!$L$5:$L$300,"Закрыт")=0,"",ROUND(SUMIFS(Пул!$J$5:$J$300,Пул!$E$5:$E$300,$B140,Пул!$L$5:$L$300,"Закрыт"),8)))</f>
        <v/>
      </c>
      <c r="H140" s="247">
        <f>IF($B140="","",IF(COUNTIFS(Пул!$E$5:$E$300,$B140,Пул!$L$5:$L$300,"Закрыт")=0,"",ROUND(SUMIFS(Пул!$K$5:$K$300,Пул!$E$5:$E$300,$B140,Пул!$L$5:$L$300,"Закрыт"),8)))</f>
        <v/>
      </c>
      <c r="I140" s="242">
        <f>IF(AND(ISNUMBER(G140),ISNUMBER(H140)),IF(AND(G140&gt;0,H140&lt;0),"Buy",IF(AND(G140&lt;0,H140&gt;0),"Sell","")),"")</f>
        <v/>
      </c>
      <c r="J140" s="183">
        <f>IF(I140="Buy",G140,IF(I140="Sell",-G140,""))</f>
        <v/>
      </c>
      <c r="K140" s="183">
        <f>IF(AND(ISNUMBER(J140),ISNUMBER(L140),N(J140)&lt;&gt;0),ROUND(L140/J140,8),"")</f>
        <v/>
      </c>
      <c r="L140" s="183">
        <f>IF(I140="Buy",-H140,IF(I140="Sell",H140,""))</f>
        <v/>
      </c>
    </row>
    <row r="141" ht="22" customHeight="1">
      <c r="B141" s="315" t="n"/>
      <c r="C141" s="240">
        <f>IF($B141="","",IF(COUNTIFS(Пул!$E$5:$E$300,$B141,Пул!$F$5:$F$300,"&lt;&gt;")=0,"",ROUND(SUMIFS(Пул!$F$5:$F$300,Пул!$E$5:$E$300,$B141),8)))</f>
        <v/>
      </c>
      <c r="D141" s="241">
        <f>IF($B141="","",IF(COUNTIFS(Пул!$E$5:$E$300,$B141,Пул!$G$5:$G$300,"&lt;&gt;")=0,"",ROUND(SUMIFS(Пул!$G$5:$G$300,Пул!$E$5:$E$300,$B141),8)))</f>
        <v/>
      </c>
      <c r="E141" s="240">
        <f>IF($B141="","",IF(COUNTIFS(Пул!$E$5:$E$300,$B141,Пул!$L$5:$L$300,"Закрыт")=0,"",ROUND(SUMIFS(Пул!$H$5:$H$300,Пул!$E$5:$E$300,$B141,Пул!$L$5:$L$300,"Закрыт"),8)))</f>
        <v/>
      </c>
      <c r="F141" s="241">
        <f>IF($B141="","",IF(COUNTIFS(Пул!$E$5:$E$300,$B141,Пул!$L$5:$L$300,"Закрыт")=0,"",ROUND(SUMIFS(Пул!$I$5:$I$300,Пул!$E$5:$E$300,$B141,Пул!$L$5:$L$300,"Закрыт"),8)))</f>
        <v/>
      </c>
      <c r="G141" s="240">
        <f>IF($B141="","",IF(COUNTIFS(Пул!$E$5:$E$300,$B141,Пул!$L$5:$L$300,"Закрыт")=0,"",ROUND(SUMIFS(Пул!$J$5:$J$300,Пул!$E$5:$E$300,$B141,Пул!$L$5:$L$300,"Закрыт"),8)))</f>
        <v/>
      </c>
      <c r="H141" s="241">
        <f>IF($B141="","",IF(COUNTIFS(Пул!$E$5:$E$300,$B141,Пул!$L$5:$L$300,"Закрыт")=0,"",ROUND(SUMIFS(Пул!$K$5:$K$300,Пул!$E$5:$E$300,$B141,Пул!$L$5:$L$300,"Закрыт"),8)))</f>
        <v/>
      </c>
      <c r="I141" s="236">
        <f>IF(AND(ISNUMBER(G141),ISNUMBER(H141)),IF(AND(G141&gt;0,H141&lt;0),"Buy",IF(AND(G141&lt;0,H141&gt;0),"Sell","")),"")</f>
        <v/>
      </c>
      <c r="J141" s="177">
        <f>IF(I141="Buy",G141,IF(I141="Sell",-G141,""))</f>
        <v/>
      </c>
      <c r="K141" s="177">
        <f>IF(AND(ISNUMBER(J141),ISNUMBER(L141),N(J141)&lt;&gt;0),ROUND(L141/J141,8),"")</f>
        <v/>
      </c>
      <c r="L141" s="177">
        <f>IF(I141="Buy",-H141,IF(I141="Sell",H141,""))</f>
        <v/>
      </c>
    </row>
    <row r="142" ht="22" customHeight="1">
      <c r="B142" s="320" t="n"/>
      <c r="C142" s="246">
        <f>IF($B142="","",IF(COUNTIFS(Пул!$E$5:$E$300,$B142,Пул!$F$5:$F$300,"&lt;&gt;")=0,"",ROUND(SUMIFS(Пул!$F$5:$F$300,Пул!$E$5:$E$300,$B142),8)))</f>
        <v/>
      </c>
      <c r="D142" s="247">
        <f>IF($B142="","",IF(COUNTIFS(Пул!$E$5:$E$300,$B142,Пул!$G$5:$G$300,"&lt;&gt;")=0,"",ROUND(SUMIFS(Пул!$G$5:$G$300,Пул!$E$5:$E$300,$B142),8)))</f>
        <v/>
      </c>
      <c r="E142" s="246">
        <f>IF($B142="","",IF(COUNTIFS(Пул!$E$5:$E$300,$B142,Пул!$L$5:$L$300,"Закрыт")=0,"",ROUND(SUMIFS(Пул!$H$5:$H$300,Пул!$E$5:$E$300,$B142,Пул!$L$5:$L$300,"Закрыт"),8)))</f>
        <v/>
      </c>
      <c r="F142" s="247">
        <f>IF($B142="","",IF(COUNTIFS(Пул!$E$5:$E$300,$B142,Пул!$L$5:$L$300,"Закрыт")=0,"",ROUND(SUMIFS(Пул!$I$5:$I$300,Пул!$E$5:$E$300,$B142,Пул!$L$5:$L$300,"Закрыт"),8)))</f>
        <v/>
      </c>
      <c r="G142" s="246">
        <f>IF($B142="","",IF(COUNTIFS(Пул!$E$5:$E$300,$B142,Пул!$L$5:$L$300,"Закрыт")=0,"",ROUND(SUMIFS(Пул!$J$5:$J$300,Пул!$E$5:$E$300,$B142,Пул!$L$5:$L$300,"Закрыт"),8)))</f>
        <v/>
      </c>
      <c r="H142" s="247">
        <f>IF($B142="","",IF(COUNTIFS(Пул!$E$5:$E$300,$B142,Пул!$L$5:$L$300,"Закрыт")=0,"",ROUND(SUMIFS(Пул!$K$5:$K$300,Пул!$E$5:$E$300,$B142,Пул!$L$5:$L$300,"Закрыт"),8)))</f>
        <v/>
      </c>
      <c r="I142" s="242">
        <f>IF(AND(ISNUMBER(G142),ISNUMBER(H142)),IF(AND(G142&gt;0,H142&lt;0),"Buy",IF(AND(G142&lt;0,H142&gt;0),"Sell","")),"")</f>
        <v/>
      </c>
      <c r="J142" s="183">
        <f>IF(I142="Buy",G142,IF(I142="Sell",-G142,""))</f>
        <v/>
      </c>
      <c r="K142" s="183">
        <f>IF(AND(ISNUMBER(J142),ISNUMBER(L142),N(J142)&lt;&gt;0),ROUND(L142/J142,8),"")</f>
        <v/>
      </c>
      <c r="L142" s="183">
        <f>IF(I142="Buy",-H142,IF(I142="Sell",H142,""))</f>
        <v/>
      </c>
    </row>
    <row r="143" ht="22" customHeight="1">
      <c r="B143" s="315" t="n"/>
      <c r="C143" s="240">
        <f>IF($B143="","",IF(COUNTIFS(Пул!$E$5:$E$300,$B143,Пул!$F$5:$F$300,"&lt;&gt;")=0,"",ROUND(SUMIFS(Пул!$F$5:$F$300,Пул!$E$5:$E$300,$B143),8)))</f>
        <v/>
      </c>
      <c r="D143" s="241">
        <f>IF($B143="","",IF(COUNTIFS(Пул!$E$5:$E$300,$B143,Пул!$G$5:$G$300,"&lt;&gt;")=0,"",ROUND(SUMIFS(Пул!$G$5:$G$300,Пул!$E$5:$E$300,$B143),8)))</f>
        <v/>
      </c>
      <c r="E143" s="240">
        <f>IF($B143="","",IF(COUNTIFS(Пул!$E$5:$E$300,$B143,Пул!$L$5:$L$300,"Закрыт")=0,"",ROUND(SUMIFS(Пул!$H$5:$H$300,Пул!$E$5:$E$300,$B143,Пул!$L$5:$L$300,"Закрыт"),8)))</f>
        <v/>
      </c>
      <c r="F143" s="241">
        <f>IF($B143="","",IF(COUNTIFS(Пул!$E$5:$E$300,$B143,Пул!$L$5:$L$300,"Закрыт")=0,"",ROUND(SUMIFS(Пул!$I$5:$I$300,Пул!$E$5:$E$300,$B143,Пул!$L$5:$L$300,"Закрыт"),8)))</f>
        <v/>
      </c>
      <c r="G143" s="240">
        <f>IF($B143="","",IF(COUNTIFS(Пул!$E$5:$E$300,$B143,Пул!$L$5:$L$300,"Закрыт")=0,"",ROUND(SUMIFS(Пул!$J$5:$J$300,Пул!$E$5:$E$300,$B143,Пул!$L$5:$L$300,"Закрыт"),8)))</f>
        <v/>
      </c>
      <c r="H143" s="241">
        <f>IF($B143="","",IF(COUNTIFS(Пул!$E$5:$E$300,$B143,Пул!$L$5:$L$300,"Закрыт")=0,"",ROUND(SUMIFS(Пул!$K$5:$K$300,Пул!$E$5:$E$300,$B143,Пул!$L$5:$L$300,"Закрыт"),8)))</f>
        <v/>
      </c>
      <c r="I143" s="236">
        <f>IF(AND(ISNUMBER(G143),ISNUMBER(H143)),IF(AND(G143&gt;0,H143&lt;0),"Buy",IF(AND(G143&lt;0,H143&gt;0),"Sell","")),"")</f>
        <v/>
      </c>
      <c r="J143" s="177">
        <f>IF(I143="Buy",G143,IF(I143="Sell",-G143,""))</f>
        <v/>
      </c>
      <c r="K143" s="177">
        <f>IF(AND(ISNUMBER(J143),ISNUMBER(L143),N(J143)&lt;&gt;0),ROUND(L143/J143,8),"")</f>
        <v/>
      </c>
      <c r="L143" s="177">
        <f>IF(I143="Buy",-H143,IF(I143="Sell",H143,""))</f>
        <v/>
      </c>
    </row>
    <row r="144" ht="22" customHeight="1">
      <c r="B144" s="320" t="n"/>
      <c r="C144" s="246">
        <f>IF($B144="","",IF(COUNTIFS(Пул!$E$5:$E$300,$B144,Пул!$F$5:$F$300,"&lt;&gt;")=0,"",ROUND(SUMIFS(Пул!$F$5:$F$300,Пул!$E$5:$E$300,$B144),8)))</f>
        <v/>
      </c>
      <c r="D144" s="247">
        <f>IF($B144="","",IF(COUNTIFS(Пул!$E$5:$E$300,$B144,Пул!$G$5:$G$300,"&lt;&gt;")=0,"",ROUND(SUMIFS(Пул!$G$5:$G$300,Пул!$E$5:$E$300,$B144),8)))</f>
        <v/>
      </c>
      <c r="E144" s="246">
        <f>IF($B144="","",IF(COUNTIFS(Пул!$E$5:$E$300,$B144,Пул!$L$5:$L$300,"Закрыт")=0,"",ROUND(SUMIFS(Пул!$H$5:$H$300,Пул!$E$5:$E$300,$B144,Пул!$L$5:$L$300,"Закрыт"),8)))</f>
        <v/>
      </c>
      <c r="F144" s="247">
        <f>IF($B144="","",IF(COUNTIFS(Пул!$E$5:$E$300,$B144,Пул!$L$5:$L$300,"Закрыт")=0,"",ROUND(SUMIFS(Пул!$I$5:$I$300,Пул!$E$5:$E$300,$B144,Пул!$L$5:$L$300,"Закрыт"),8)))</f>
        <v/>
      </c>
      <c r="G144" s="246">
        <f>IF($B144="","",IF(COUNTIFS(Пул!$E$5:$E$300,$B144,Пул!$L$5:$L$300,"Закрыт")=0,"",ROUND(SUMIFS(Пул!$J$5:$J$300,Пул!$E$5:$E$300,$B144,Пул!$L$5:$L$300,"Закрыт"),8)))</f>
        <v/>
      </c>
      <c r="H144" s="247">
        <f>IF($B144="","",IF(COUNTIFS(Пул!$E$5:$E$300,$B144,Пул!$L$5:$L$300,"Закрыт")=0,"",ROUND(SUMIFS(Пул!$K$5:$K$300,Пул!$E$5:$E$300,$B144,Пул!$L$5:$L$300,"Закрыт"),8)))</f>
        <v/>
      </c>
      <c r="I144" s="242">
        <f>IF(AND(ISNUMBER(G144),ISNUMBER(H144)),IF(AND(G144&gt;0,H144&lt;0),"Buy",IF(AND(G144&lt;0,H144&gt;0),"Sell","")),"")</f>
        <v/>
      </c>
      <c r="J144" s="183">
        <f>IF(I144="Buy",G144,IF(I144="Sell",-G144,""))</f>
        <v/>
      </c>
      <c r="K144" s="183">
        <f>IF(AND(ISNUMBER(J144),ISNUMBER(L144),N(J144)&lt;&gt;0),ROUND(L144/J144,8),"")</f>
        <v/>
      </c>
      <c r="L144" s="183">
        <f>IF(I144="Buy",-H144,IF(I144="Sell",H144,""))</f>
        <v/>
      </c>
    </row>
    <row r="145" ht="22" customHeight="1">
      <c r="B145" s="315" t="n"/>
      <c r="C145" s="240">
        <f>IF($B145="","",IF(COUNTIFS(Пул!$E$5:$E$300,$B145,Пул!$F$5:$F$300,"&lt;&gt;")=0,"",ROUND(SUMIFS(Пул!$F$5:$F$300,Пул!$E$5:$E$300,$B145),8)))</f>
        <v/>
      </c>
      <c r="D145" s="241">
        <f>IF($B145="","",IF(COUNTIFS(Пул!$E$5:$E$300,$B145,Пул!$G$5:$G$300,"&lt;&gt;")=0,"",ROUND(SUMIFS(Пул!$G$5:$G$300,Пул!$E$5:$E$300,$B145),8)))</f>
        <v/>
      </c>
      <c r="E145" s="240">
        <f>IF($B145="","",IF(COUNTIFS(Пул!$E$5:$E$300,$B145,Пул!$L$5:$L$300,"Закрыт")=0,"",ROUND(SUMIFS(Пул!$H$5:$H$300,Пул!$E$5:$E$300,$B145,Пул!$L$5:$L$300,"Закрыт"),8)))</f>
        <v/>
      </c>
      <c r="F145" s="241">
        <f>IF($B145="","",IF(COUNTIFS(Пул!$E$5:$E$300,$B145,Пул!$L$5:$L$300,"Закрыт")=0,"",ROUND(SUMIFS(Пул!$I$5:$I$300,Пул!$E$5:$E$300,$B145,Пул!$L$5:$L$300,"Закрыт"),8)))</f>
        <v/>
      </c>
      <c r="G145" s="240">
        <f>IF($B145="","",IF(COUNTIFS(Пул!$E$5:$E$300,$B145,Пул!$L$5:$L$300,"Закрыт")=0,"",ROUND(SUMIFS(Пул!$J$5:$J$300,Пул!$E$5:$E$300,$B145,Пул!$L$5:$L$300,"Закрыт"),8)))</f>
        <v/>
      </c>
      <c r="H145" s="241">
        <f>IF($B145="","",IF(COUNTIFS(Пул!$E$5:$E$300,$B145,Пул!$L$5:$L$300,"Закрыт")=0,"",ROUND(SUMIFS(Пул!$K$5:$K$300,Пул!$E$5:$E$300,$B145,Пул!$L$5:$L$300,"Закрыт"),8)))</f>
        <v/>
      </c>
      <c r="I145" s="236">
        <f>IF(AND(ISNUMBER(G145),ISNUMBER(H145)),IF(AND(G145&gt;0,H145&lt;0),"Buy",IF(AND(G145&lt;0,H145&gt;0),"Sell","")),"")</f>
        <v/>
      </c>
      <c r="J145" s="177">
        <f>IF(I145="Buy",G145,IF(I145="Sell",-G145,""))</f>
        <v/>
      </c>
      <c r="K145" s="177">
        <f>IF(AND(ISNUMBER(J145),ISNUMBER(L145),N(J145)&lt;&gt;0),ROUND(L145/J145,8),"")</f>
        <v/>
      </c>
      <c r="L145" s="177">
        <f>IF(I145="Buy",-H145,IF(I145="Sell",H145,""))</f>
        <v/>
      </c>
    </row>
    <row r="146" ht="22" customHeight="1">
      <c r="B146" s="320" t="n"/>
      <c r="C146" s="246">
        <f>IF($B146="","",IF(COUNTIFS(Пул!$E$5:$E$300,$B146,Пул!$F$5:$F$300,"&lt;&gt;")=0,"",ROUND(SUMIFS(Пул!$F$5:$F$300,Пул!$E$5:$E$300,$B146),8)))</f>
        <v/>
      </c>
      <c r="D146" s="247">
        <f>IF($B146="","",IF(COUNTIFS(Пул!$E$5:$E$300,$B146,Пул!$G$5:$G$300,"&lt;&gt;")=0,"",ROUND(SUMIFS(Пул!$G$5:$G$300,Пул!$E$5:$E$300,$B146),8)))</f>
        <v/>
      </c>
      <c r="E146" s="246">
        <f>IF($B146="","",IF(COUNTIFS(Пул!$E$5:$E$300,$B146,Пул!$L$5:$L$300,"Закрыт")=0,"",ROUND(SUMIFS(Пул!$H$5:$H$300,Пул!$E$5:$E$300,$B146,Пул!$L$5:$L$300,"Закрыт"),8)))</f>
        <v/>
      </c>
      <c r="F146" s="247">
        <f>IF($B146="","",IF(COUNTIFS(Пул!$E$5:$E$300,$B146,Пул!$L$5:$L$300,"Закрыт")=0,"",ROUND(SUMIFS(Пул!$I$5:$I$300,Пул!$E$5:$E$300,$B146,Пул!$L$5:$L$300,"Закрыт"),8)))</f>
        <v/>
      </c>
      <c r="G146" s="246">
        <f>IF($B146="","",IF(COUNTIFS(Пул!$E$5:$E$300,$B146,Пул!$L$5:$L$300,"Закрыт")=0,"",ROUND(SUMIFS(Пул!$J$5:$J$300,Пул!$E$5:$E$300,$B146,Пул!$L$5:$L$300,"Закрыт"),8)))</f>
        <v/>
      </c>
      <c r="H146" s="247">
        <f>IF($B146="","",IF(COUNTIFS(Пул!$E$5:$E$300,$B146,Пул!$L$5:$L$300,"Закрыт")=0,"",ROUND(SUMIFS(Пул!$K$5:$K$300,Пул!$E$5:$E$300,$B146,Пул!$L$5:$L$300,"Закрыт"),8)))</f>
        <v/>
      </c>
      <c r="I146" s="242">
        <f>IF(AND(ISNUMBER(G146),ISNUMBER(H146)),IF(AND(G146&gt;0,H146&lt;0),"Buy",IF(AND(G146&lt;0,H146&gt;0),"Sell","")),"")</f>
        <v/>
      </c>
      <c r="J146" s="183">
        <f>IF(I146="Buy",G146,IF(I146="Sell",-G146,""))</f>
        <v/>
      </c>
      <c r="K146" s="183">
        <f>IF(AND(ISNUMBER(J146),ISNUMBER(L146),N(J146)&lt;&gt;0),ROUND(L146/J146,8),"")</f>
        <v/>
      </c>
      <c r="L146" s="183">
        <f>IF(I146="Buy",-H146,IF(I146="Sell",H146,""))</f>
        <v/>
      </c>
    </row>
    <row r="147" ht="22" customHeight="1">
      <c r="B147" s="315" t="n"/>
      <c r="C147" s="240">
        <f>IF($B147="","",IF(COUNTIFS(Пул!$E$5:$E$300,$B147,Пул!$F$5:$F$300,"&lt;&gt;")=0,"",ROUND(SUMIFS(Пул!$F$5:$F$300,Пул!$E$5:$E$300,$B147),8)))</f>
        <v/>
      </c>
      <c r="D147" s="241">
        <f>IF($B147="","",IF(COUNTIFS(Пул!$E$5:$E$300,$B147,Пул!$G$5:$G$300,"&lt;&gt;")=0,"",ROUND(SUMIFS(Пул!$G$5:$G$300,Пул!$E$5:$E$300,$B147),8)))</f>
        <v/>
      </c>
      <c r="E147" s="240">
        <f>IF($B147="","",IF(COUNTIFS(Пул!$E$5:$E$300,$B147,Пул!$L$5:$L$300,"Закрыт")=0,"",ROUND(SUMIFS(Пул!$H$5:$H$300,Пул!$E$5:$E$300,$B147,Пул!$L$5:$L$300,"Закрыт"),8)))</f>
        <v/>
      </c>
      <c r="F147" s="241">
        <f>IF($B147="","",IF(COUNTIFS(Пул!$E$5:$E$300,$B147,Пул!$L$5:$L$300,"Закрыт")=0,"",ROUND(SUMIFS(Пул!$I$5:$I$300,Пул!$E$5:$E$300,$B147,Пул!$L$5:$L$300,"Закрыт"),8)))</f>
        <v/>
      </c>
      <c r="G147" s="240">
        <f>IF($B147="","",IF(COUNTIFS(Пул!$E$5:$E$300,$B147,Пул!$L$5:$L$300,"Закрыт")=0,"",ROUND(SUMIFS(Пул!$J$5:$J$300,Пул!$E$5:$E$300,$B147,Пул!$L$5:$L$300,"Закрыт"),8)))</f>
        <v/>
      </c>
      <c r="H147" s="241">
        <f>IF($B147="","",IF(COUNTIFS(Пул!$E$5:$E$300,$B147,Пул!$L$5:$L$300,"Закрыт")=0,"",ROUND(SUMIFS(Пул!$K$5:$K$300,Пул!$E$5:$E$300,$B147,Пул!$L$5:$L$300,"Закрыт"),8)))</f>
        <v/>
      </c>
      <c r="I147" s="236">
        <f>IF(AND(ISNUMBER(G147),ISNUMBER(H147)),IF(AND(G147&gt;0,H147&lt;0),"Buy",IF(AND(G147&lt;0,H147&gt;0),"Sell","")),"")</f>
        <v/>
      </c>
      <c r="J147" s="177">
        <f>IF(I147="Buy",G147,IF(I147="Sell",-G147,""))</f>
        <v/>
      </c>
      <c r="K147" s="177">
        <f>IF(AND(ISNUMBER(J147),ISNUMBER(L147),N(J147)&lt;&gt;0),ROUND(L147/J147,8),"")</f>
        <v/>
      </c>
      <c r="L147" s="177">
        <f>IF(I147="Buy",-H147,IF(I147="Sell",H147,""))</f>
        <v/>
      </c>
    </row>
    <row r="148" ht="22" customHeight="1">
      <c r="B148" s="320" t="n"/>
      <c r="C148" s="246">
        <f>IF($B148="","",IF(COUNTIFS(Пул!$E$5:$E$300,$B148,Пул!$F$5:$F$300,"&lt;&gt;")=0,"",ROUND(SUMIFS(Пул!$F$5:$F$300,Пул!$E$5:$E$300,$B148),8)))</f>
        <v/>
      </c>
      <c r="D148" s="247">
        <f>IF($B148="","",IF(COUNTIFS(Пул!$E$5:$E$300,$B148,Пул!$G$5:$G$300,"&lt;&gt;")=0,"",ROUND(SUMIFS(Пул!$G$5:$G$300,Пул!$E$5:$E$300,$B148),8)))</f>
        <v/>
      </c>
      <c r="E148" s="246">
        <f>IF($B148="","",IF(COUNTIFS(Пул!$E$5:$E$300,$B148,Пул!$L$5:$L$300,"Закрыт")=0,"",ROUND(SUMIFS(Пул!$H$5:$H$300,Пул!$E$5:$E$300,$B148,Пул!$L$5:$L$300,"Закрыт"),8)))</f>
        <v/>
      </c>
      <c r="F148" s="247">
        <f>IF($B148="","",IF(COUNTIFS(Пул!$E$5:$E$300,$B148,Пул!$L$5:$L$300,"Закрыт")=0,"",ROUND(SUMIFS(Пул!$I$5:$I$300,Пул!$E$5:$E$300,$B148,Пул!$L$5:$L$300,"Закрыт"),8)))</f>
        <v/>
      </c>
      <c r="G148" s="246">
        <f>IF($B148="","",IF(COUNTIFS(Пул!$E$5:$E$300,$B148,Пул!$L$5:$L$300,"Закрыт")=0,"",ROUND(SUMIFS(Пул!$J$5:$J$300,Пул!$E$5:$E$300,$B148,Пул!$L$5:$L$300,"Закрыт"),8)))</f>
        <v/>
      </c>
      <c r="H148" s="247">
        <f>IF($B148="","",IF(COUNTIFS(Пул!$E$5:$E$300,$B148,Пул!$L$5:$L$300,"Закрыт")=0,"",ROUND(SUMIFS(Пул!$K$5:$K$300,Пул!$E$5:$E$300,$B148,Пул!$L$5:$L$300,"Закрыт"),8)))</f>
        <v/>
      </c>
      <c r="I148" s="242">
        <f>IF(AND(ISNUMBER(G148),ISNUMBER(H148)),IF(AND(G148&gt;0,H148&lt;0),"Buy",IF(AND(G148&lt;0,H148&gt;0),"Sell","")),"")</f>
        <v/>
      </c>
      <c r="J148" s="183">
        <f>IF(I148="Buy",G148,IF(I148="Sell",-G148,""))</f>
        <v/>
      </c>
      <c r="K148" s="183">
        <f>IF(AND(ISNUMBER(J148),ISNUMBER(L148),N(J148)&lt;&gt;0),ROUND(L148/J148,8),"")</f>
        <v/>
      </c>
      <c r="L148" s="183">
        <f>IF(I148="Buy",-H148,IF(I148="Sell",H148,""))</f>
        <v/>
      </c>
    </row>
    <row r="149" ht="22" customHeight="1">
      <c r="B149" s="315" t="n"/>
      <c r="C149" s="240">
        <f>IF($B149="","",IF(COUNTIFS(Пул!$E$5:$E$300,$B149,Пул!$F$5:$F$300,"&lt;&gt;")=0,"",ROUND(SUMIFS(Пул!$F$5:$F$300,Пул!$E$5:$E$300,$B149),8)))</f>
        <v/>
      </c>
      <c r="D149" s="241">
        <f>IF($B149="","",IF(COUNTIFS(Пул!$E$5:$E$300,$B149,Пул!$G$5:$G$300,"&lt;&gt;")=0,"",ROUND(SUMIFS(Пул!$G$5:$G$300,Пул!$E$5:$E$300,$B149),8)))</f>
        <v/>
      </c>
      <c r="E149" s="240">
        <f>IF($B149="","",IF(COUNTIFS(Пул!$E$5:$E$300,$B149,Пул!$L$5:$L$300,"Закрыт")=0,"",ROUND(SUMIFS(Пул!$H$5:$H$300,Пул!$E$5:$E$300,$B149,Пул!$L$5:$L$300,"Закрыт"),8)))</f>
        <v/>
      </c>
      <c r="F149" s="241">
        <f>IF($B149="","",IF(COUNTIFS(Пул!$E$5:$E$300,$B149,Пул!$L$5:$L$300,"Закрыт")=0,"",ROUND(SUMIFS(Пул!$I$5:$I$300,Пул!$E$5:$E$300,$B149,Пул!$L$5:$L$300,"Закрыт"),8)))</f>
        <v/>
      </c>
      <c r="G149" s="240">
        <f>IF($B149="","",IF(COUNTIFS(Пул!$E$5:$E$300,$B149,Пул!$L$5:$L$300,"Закрыт")=0,"",ROUND(SUMIFS(Пул!$J$5:$J$300,Пул!$E$5:$E$300,$B149,Пул!$L$5:$L$300,"Закрыт"),8)))</f>
        <v/>
      </c>
      <c r="H149" s="241">
        <f>IF($B149="","",IF(COUNTIFS(Пул!$E$5:$E$300,$B149,Пул!$L$5:$L$300,"Закрыт")=0,"",ROUND(SUMIFS(Пул!$K$5:$K$300,Пул!$E$5:$E$300,$B149,Пул!$L$5:$L$300,"Закрыт"),8)))</f>
        <v/>
      </c>
      <c r="I149" s="236">
        <f>IF(AND(ISNUMBER(G149),ISNUMBER(H149)),IF(AND(G149&gt;0,H149&lt;0),"Buy",IF(AND(G149&lt;0,H149&gt;0),"Sell","")),"")</f>
        <v/>
      </c>
      <c r="J149" s="177">
        <f>IF(I149="Buy",G149,IF(I149="Sell",-G149,""))</f>
        <v/>
      </c>
      <c r="K149" s="177">
        <f>IF(AND(ISNUMBER(J149),ISNUMBER(L149),N(J149)&lt;&gt;0),ROUND(L149/J149,8),"")</f>
        <v/>
      </c>
      <c r="L149" s="177">
        <f>IF(I149="Buy",-H149,IF(I149="Sell",H149,""))</f>
        <v/>
      </c>
    </row>
    <row r="150" ht="22" customHeight="1">
      <c r="B150" s="320" t="n"/>
      <c r="C150" s="246">
        <f>IF($B150="","",IF(COUNTIFS(Пул!$E$5:$E$300,$B150,Пул!$F$5:$F$300,"&lt;&gt;")=0,"",ROUND(SUMIFS(Пул!$F$5:$F$300,Пул!$E$5:$E$300,$B150),8)))</f>
        <v/>
      </c>
      <c r="D150" s="247">
        <f>IF($B150="","",IF(COUNTIFS(Пул!$E$5:$E$300,$B150,Пул!$G$5:$G$300,"&lt;&gt;")=0,"",ROUND(SUMIFS(Пул!$G$5:$G$300,Пул!$E$5:$E$300,$B150),8)))</f>
        <v/>
      </c>
      <c r="E150" s="246">
        <f>IF($B150="","",IF(COUNTIFS(Пул!$E$5:$E$300,$B150,Пул!$L$5:$L$300,"Закрыт")=0,"",ROUND(SUMIFS(Пул!$H$5:$H$300,Пул!$E$5:$E$300,$B150,Пул!$L$5:$L$300,"Закрыт"),8)))</f>
        <v/>
      </c>
      <c r="F150" s="247">
        <f>IF($B150="","",IF(COUNTIFS(Пул!$E$5:$E$300,$B150,Пул!$L$5:$L$300,"Закрыт")=0,"",ROUND(SUMIFS(Пул!$I$5:$I$300,Пул!$E$5:$E$300,$B150,Пул!$L$5:$L$300,"Закрыт"),8)))</f>
        <v/>
      </c>
      <c r="G150" s="246">
        <f>IF($B150="","",IF(COUNTIFS(Пул!$E$5:$E$300,$B150,Пул!$L$5:$L$300,"Закрыт")=0,"",ROUND(SUMIFS(Пул!$J$5:$J$300,Пул!$E$5:$E$300,$B150,Пул!$L$5:$L$300,"Закрыт"),8)))</f>
        <v/>
      </c>
      <c r="H150" s="247">
        <f>IF($B150="","",IF(COUNTIFS(Пул!$E$5:$E$300,$B150,Пул!$L$5:$L$300,"Закрыт")=0,"",ROUND(SUMIFS(Пул!$K$5:$K$300,Пул!$E$5:$E$300,$B150,Пул!$L$5:$L$300,"Закрыт"),8)))</f>
        <v/>
      </c>
      <c r="I150" s="242">
        <f>IF(AND(ISNUMBER(G150),ISNUMBER(H150)),IF(AND(G150&gt;0,H150&lt;0),"Buy",IF(AND(G150&lt;0,H150&gt;0),"Sell","")),"")</f>
        <v/>
      </c>
      <c r="J150" s="183">
        <f>IF(I150="Buy",G150,IF(I150="Sell",-G150,""))</f>
        <v/>
      </c>
      <c r="K150" s="183">
        <f>IF(AND(ISNUMBER(J150),ISNUMBER(L150),N(J150)&lt;&gt;0),ROUND(L150/J150,8),"")</f>
        <v/>
      </c>
      <c r="L150" s="183">
        <f>IF(I150="Buy",-H150,IF(I150="Sell",H150,""))</f>
        <v/>
      </c>
    </row>
    <row r="151" ht="22" customHeight="1">
      <c r="B151" s="315" t="n"/>
      <c r="C151" s="240">
        <f>IF($B151="","",IF(COUNTIFS(Пул!$E$5:$E$300,$B151,Пул!$F$5:$F$300,"&lt;&gt;")=0,"",ROUND(SUMIFS(Пул!$F$5:$F$300,Пул!$E$5:$E$300,$B151),8)))</f>
        <v/>
      </c>
      <c r="D151" s="241">
        <f>IF($B151="","",IF(COUNTIFS(Пул!$E$5:$E$300,$B151,Пул!$G$5:$G$300,"&lt;&gt;")=0,"",ROUND(SUMIFS(Пул!$G$5:$G$300,Пул!$E$5:$E$300,$B151),8)))</f>
        <v/>
      </c>
      <c r="E151" s="240">
        <f>IF($B151="","",IF(COUNTIFS(Пул!$E$5:$E$300,$B151,Пул!$L$5:$L$300,"Закрыт")=0,"",ROUND(SUMIFS(Пул!$H$5:$H$300,Пул!$E$5:$E$300,$B151,Пул!$L$5:$L$300,"Закрыт"),8)))</f>
        <v/>
      </c>
      <c r="F151" s="241">
        <f>IF($B151="","",IF(COUNTIFS(Пул!$E$5:$E$300,$B151,Пул!$L$5:$L$300,"Закрыт")=0,"",ROUND(SUMIFS(Пул!$I$5:$I$300,Пул!$E$5:$E$300,$B151,Пул!$L$5:$L$300,"Закрыт"),8)))</f>
        <v/>
      </c>
      <c r="G151" s="240">
        <f>IF($B151="","",IF(COUNTIFS(Пул!$E$5:$E$300,$B151,Пул!$L$5:$L$300,"Закрыт")=0,"",ROUND(SUMIFS(Пул!$J$5:$J$300,Пул!$E$5:$E$300,$B151,Пул!$L$5:$L$300,"Закрыт"),8)))</f>
        <v/>
      </c>
      <c r="H151" s="241">
        <f>IF($B151="","",IF(COUNTIFS(Пул!$E$5:$E$300,$B151,Пул!$L$5:$L$300,"Закрыт")=0,"",ROUND(SUMIFS(Пул!$K$5:$K$300,Пул!$E$5:$E$300,$B151,Пул!$L$5:$L$300,"Закрыт"),8)))</f>
        <v/>
      </c>
      <c r="I151" s="236">
        <f>IF(AND(ISNUMBER(G151),ISNUMBER(H151)),IF(AND(G151&gt;0,H151&lt;0),"Buy",IF(AND(G151&lt;0,H151&gt;0),"Sell","")),"")</f>
        <v/>
      </c>
      <c r="J151" s="177">
        <f>IF(I151="Buy",G151,IF(I151="Sell",-G151,""))</f>
        <v/>
      </c>
      <c r="K151" s="177">
        <f>IF(AND(ISNUMBER(J151),ISNUMBER(L151),N(J151)&lt;&gt;0),ROUND(L151/J151,8),"")</f>
        <v/>
      </c>
      <c r="L151" s="177">
        <f>IF(I151="Buy",-H151,IF(I151="Sell",H151,""))</f>
        <v/>
      </c>
    </row>
    <row r="152" ht="22" customHeight="1">
      <c r="B152" s="320" t="n"/>
      <c r="C152" s="246">
        <f>IF($B152="","",IF(COUNTIFS(Пул!$E$5:$E$300,$B152,Пул!$F$5:$F$300,"&lt;&gt;")=0,"",ROUND(SUMIFS(Пул!$F$5:$F$300,Пул!$E$5:$E$300,$B152),8)))</f>
        <v/>
      </c>
      <c r="D152" s="247">
        <f>IF($B152="","",IF(COUNTIFS(Пул!$E$5:$E$300,$B152,Пул!$G$5:$G$300,"&lt;&gt;")=0,"",ROUND(SUMIFS(Пул!$G$5:$G$300,Пул!$E$5:$E$300,$B152),8)))</f>
        <v/>
      </c>
      <c r="E152" s="246">
        <f>IF($B152="","",IF(COUNTIFS(Пул!$E$5:$E$300,$B152,Пул!$L$5:$L$300,"Закрыт")=0,"",ROUND(SUMIFS(Пул!$H$5:$H$300,Пул!$E$5:$E$300,$B152,Пул!$L$5:$L$300,"Закрыт"),8)))</f>
        <v/>
      </c>
      <c r="F152" s="247">
        <f>IF($B152="","",IF(COUNTIFS(Пул!$E$5:$E$300,$B152,Пул!$L$5:$L$300,"Закрыт")=0,"",ROUND(SUMIFS(Пул!$I$5:$I$300,Пул!$E$5:$E$300,$B152,Пул!$L$5:$L$300,"Закрыт"),8)))</f>
        <v/>
      </c>
      <c r="G152" s="246">
        <f>IF($B152="","",IF(COUNTIFS(Пул!$E$5:$E$300,$B152,Пул!$L$5:$L$300,"Закрыт")=0,"",ROUND(SUMIFS(Пул!$J$5:$J$300,Пул!$E$5:$E$300,$B152,Пул!$L$5:$L$300,"Закрыт"),8)))</f>
        <v/>
      </c>
      <c r="H152" s="247">
        <f>IF($B152="","",IF(COUNTIFS(Пул!$E$5:$E$300,$B152,Пул!$L$5:$L$300,"Закрыт")=0,"",ROUND(SUMIFS(Пул!$K$5:$K$300,Пул!$E$5:$E$300,$B152,Пул!$L$5:$L$300,"Закрыт"),8)))</f>
        <v/>
      </c>
      <c r="I152" s="242">
        <f>IF(AND(ISNUMBER(G152),ISNUMBER(H152)),IF(AND(G152&gt;0,H152&lt;0),"Buy",IF(AND(G152&lt;0,H152&gt;0),"Sell","")),"")</f>
        <v/>
      </c>
      <c r="J152" s="183">
        <f>IF(I152="Buy",G152,IF(I152="Sell",-G152,""))</f>
        <v/>
      </c>
      <c r="K152" s="183">
        <f>IF(AND(ISNUMBER(J152),ISNUMBER(L152),N(J152)&lt;&gt;0),ROUND(L152/J152,8),"")</f>
        <v/>
      </c>
      <c r="L152" s="183">
        <f>IF(I152="Buy",-H152,IF(I152="Sell",H152,""))</f>
        <v/>
      </c>
    </row>
    <row r="153" ht="22" customHeight="1">
      <c r="B153" s="315" t="n"/>
      <c r="C153" s="240">
        <f>IF($B153="","",IF(COUNTIFS(Пул!$E$5:$E$300,$B153,Пул!$F$5:$F$300,"&lt;&gt;")=0,"",ROUND(SUMIFS(Пул!$F$5:$F$300,Пул!$E$5:$E$300,$B153),8)))</f>
        <v/>
      </c>
      <c r="D153" s="241">
        <f>IF($B153="","",IF(COUNTIFS(Пул!$E$5:$E$300,$B153,Пул!$G$5:$G$300,"&lt;&gt;")=0,"",ROUND(SUMIFS(Пул!$G$5:$G$300,Пул!$E$5:$E$300,$B153),8)))</f>
        <v/>
      </c>
      <c r="E153" s="240">
        <f>IF($B153="","",IF(COUNTIFS(Пул!$E$5:$E$300,$B153,Пул!$L$5:$L$300,"Закрыт")=0,"",ROUND(SUMIFS(Пул!$H$5:$H$300,Пул!$E$5:$E$300,$B153,Пул!$L$5:$L$300,"Закрыт"),8)))</f>
        <v/>
      </c>
      <c r="F153" s="241">
        <f>IF($B153="","",IF(COUNTIFS(Пул!$E$5:$E$300,$B153,Пул!$L$5:$L$300,"Закрыт")=0,"",ROUND(SUMIFS(Пул!$I$5:$I$300,Пул!$E$5:$E$300,$B153,Пул!$L$5:$L$300,"Закрыт"),8)))</f>
        <v/>
      </c>
      <c r="G153" s="240">
        <f>IF($B153="","",IF(COUNTIFS(Пул!$E$5:$E$300,$B153,Пул!$L$5:$L$300,"Закрыт")=0,"",ROUND(SUMIFS(Пул!$J$5:$J$300,Пул!$E$5:$E$300,$B153,Пул!$L$5:$L$300,"Закрыт"),8)))</f>
        <v/>
      </c>
      <c r="H153" s="241">
        <f>IF($B153="","",IF(COUNTIFS(Пул!$E$5:$E$300,$B153,Пул!$L$5:$L$300,"Закрыт")=0,"",ROUND(SUMIFS(Пул!$K$5:$K$300,Пул!$E$5:$E$300,$B153,Пул!$L$5:$L$300,"Закрыт"),8)))</f>
        <v/>
      </c>
      <c r="I153" s="236">
        <f>IF(AND(ISNUMBER(G153),ISNUMBER(H153)),IF(AND(G153&gt;0,H153&lt;0),"Buy",IF(AND(G153&lt;0,H153&gt;0),"Sell","")),"")</f>
        <v/>
      </c>
      <c r="J153" s="177">
        <f>IF(I153="Buy",G153,IF(I153="Sell",-G153,""))</f>
        <v/>
      </c>
      <c r="K153" s="177">
        <f>IF(AND(ISNUMBER(J153),ISNUMBER(L153),N(J153)&lt;&gt;0),ROUND(L153/J153,8),"")</f>
        <v/>
      </c>
      <c r="L153" s="177">
        <f>IF(I153="Buy",-H153,IF(I153="Sell",H153,""))</f>
        <v/>
      </c>
    </row>
    <row r="154" ht="22" customHeight="1">
      <c r="B154" s="320" t="n"/>
      <c r="C154" s="246">
        <f>IF($B154="","",IF(COUNTIFS(Пул!$E$5:$E$300,$B154,Пул!$F$5:$F$300,"&lt;&gt;")=0,"",ROUND(SUMIFS(Пул!$F$5:$F$300,Пул!$E$5:$E$300,$B154),8)))</f>
        <v/>
      </c>
      <c r="D154" s="247">
        <f>IF($B154="","",IF(COUNTIFS(Пул!$E$5:$E$300,$B154,Пул!$G$5:$G$300,"&lt;&gt;")=0,"",ROUND(SUMIFS(Пул!$G$5:$G$300,Пул!$E$5:$E$300,$B154),8)))</f>
        <v/>
      </c>
      <c r="E154" s="246">
        <f>IF($B154="","",IF(COUNTIFS(Пул!$E$5:$E$300,$B154,Пул!$L$5:$L$300,"Закрыт")=0,"",ROUND(SUMIFS(Пул!$H$5:$H$300,Пул!$E$5:$E$300,$B154,Пул!$L$5:$L$300,"Закрыт"),8)))</f>
        <v/>
      </c>
      <c r="F154" s="247">
        <f>IF($B154="","",IF(COUNTIFS(Пул!$E$5:$E$300,$B154,Пул!$L$5:$L$300,"Закрыт")=0,"",ROUND(SUMIFS(Пул!$I$5:$I$300,Пул!$E$5:$E$300,$B154,Пул!$L$5:$L$300,"Закрыт"),8)))</f>
        <v/>
      </c>
      <c r="G154" s="246">
        <f>IF($B154="","",IF(COUNTIFS(Пул!$E$5:$E$300,$B154,Пул!$L$5:$L$300,"Закрыт")=0,"",ROUND(SUMIFS(Пул!$J$5:$J$300,Пул!$E$5:$E$300,$B154,Пул!$L$5:$L$300,"Закрыт"),8)))</f>
        <v/>
      </c>
      <c r="H154" s="247">
        <f>IF($B154="","",IF(COUNTIFS(Пул!$E$5:$E$300,$B154,Пул!$L$5:$L$300,"Закрыт")=0,"",ROUND(SUMIFS(Пул!$K$5:$K$300,Пул!$E$5:$E$300,$B154,Пул!$L$5:$L$300,"Закрыт"),8)))</f>
        <v/>
      </c>
      <c r="I154" s="242">
        <f>IF(AND(ISNUMBER(G154),ISNUMBER(H154)),IF(AND(G154&gt;0,H154&lt;0),"Buy",IF(AND(G154&lt;0,H154&gt;0),"Sell","")),"")</f>
        <v/>
      </c>
      <c r="J154" s="183">
        <f>IF(I154="Buy",G154,IF(I154="Sell",-G154,""))</f>
        <v/>
      </c>
      <c r="K154" s="183">
        <f>IF(AND(ISNUMBER(J154),ISNUMBER(L154),N(J154)&lt;&gt;0),ROUND(L154/J154,8),"")</f>
        <v/>
      </c>
      <c r="L154" s="183">
        <f>IF(I154="Buy",-H154,IF(I154="Sell",H154,""))</f>
        <v/>
      </c>
    </row>
    <row r="155" ht="22" customHeight="1">
      <c r="B155" s="315" t="n"/>
      <c r="C155" s="240">
        <f>IF($B155="","",IF(COUNTIFS(Пул!$E$5:$E$300,$B155,Пул!$F$5:$F$300,"&lt;&gt;")=0,"",ROUND(SUMIFS(Пул!$F$5:$F$300,Пул!$E$5:$E$300,$B155),8)))</f>
        <v/>
      </c>
      <c r="D155" s="241">
        <f>IF($B155="","",IF(COUNTIFS(Пул!$E$5:$E$300,$B155,Пул!$G$5:$G$300,"&lt;&gt;")=0,"",ROUND(SUMIFS(Пул!$G$5:$G$300,Пул!$E$5:$E$300,$B155),8)))</f>
        <v/>
      </c>
      <c r="E155" s="240">
        <f>IF($B155="","",IF(COUNTIFS(Пул!$E$5:$E$300,$B155,Пул!$L$5:$L$300,"Закрыт")=0,"",ROUND(SUMIFS(Пул!$H$5:$H$300,Пул!$E$5:$E$300,$B155,Пул!$L$5:$L$300,"Закрыт"),8)))</f>
        <v/>
      </c>
      <c r="F155" s="241">
        <f>IF($B155="","",IF(COUNTIFS(Пул!$E$5:$E$300,$B155,Пул!$L$5:$L$300,"Закрыт")=0,"",ROUND(SUMIFS(Пул!$I$5:$I$300,Пул!$E$5:$E$300,$B155,Пул!$L$5:$L$300,"Закрыт"),8)))</f>
        <v/>
      </c>
      <c r="G155" s="240">
        <f>IF($B155="","",IF(COUNTIFS(Пул!$E$5:$E$300,$B155,Пул!$L$5:$L$300,"Закрыт")=0,"",ROUND(SUMIFS(Пул!$J$5:$J$300,Пул!$E$5:$E$300,$B155,Пул!$L$5:$L$300,"Закрыт"),8)))</f>
        <v/>
      </c>
      <c r="H155" s="241">
        <f>IF($B155="","",IF(COUNTIFS(Пул!$E$5:$E$300,$B155,Пул!$L$5:$L$300,"Закрыт")=0,"",ROUND(SUMIFS(Пул!$K$5:$K$300,Пул!$E$5:$E$300,$B155,Пул!$L$5:$L$300,"Закрыт"),8)))</f>
        <v/>
      </c>
      <c r="I155" s="236">
        <f>IF(AND(ISNUMBER(G155),ISNUMBER(H155)),IF(AND(G155&gt;0,H155&lt;0),"Buy",IF(AND(G155&lt;0,H155&gt;0),"Sell","")),"")</f>
        <v/>
      </c>
      <c r="J155" s="177">
        <f>IF(I155="Buy",G155,IF(I155="Sell",-G155,""))</f>
        <v/>
      </c>
      <c r="K155" s="177">
        <f>IF(AND(ISNUMBER(J155),ISNUMBER(L155),N(J155)&lt;&gt;0),ROUND(L155/J155,8),"")</f>
        <v/>
      </c>
      <c r="L155" s="177">
        <f>IF(I155="Buy",-H155,IF(I155="Sell",H155,""))</f>
        <v/>
      </c>
    </row>
    <row r="156" ht="22" customHeight="1">
      <c r="B156" s="320" t="n"/>
      <c r="C156" s="246">
        <f>IF($B156="","",IF(COUNTIFS(Пул!$E$5:$E$300,$B156,Пул!$F$5:$F$300,"&lt;&gt;")=0,"",ROUND(SUMIFS(Пул!$F$5:$F$300,Пул!$E$5:$E$300,$B156),8)))</f>
        <v/>
      </c>
      <c r="D156" s="247">
        <f>IF($B156="","",IF(COUNTIFS(Пул!$E$5:$E$300,$B156,Пул!$G$5:$G$300,"&lt;&gt;")=0,"",ROUND(SUMIFS(Пул!$G$5:$G$300,Пул!$E$5:$E$300,$B156),8)))</f>
        <v/>
      </c>
      <c r="E156" s="246">
        <f>IF($B156="","",IF(COUNTIFS(Пул!$E$5:$E$300,$B156,Пул!$L$5:$L$300,"Закрыт")=0,"",ROUND(SUMIFS(Пул!$H$5:$H$300,Пул!$E$5:$E$300,$B156,Пул!$L$5:$L$300,"Закрыт"),8)))</f>
        <v/>
      </c>
      <c r="F156" s="247">
        <f>IF($B156="","",IF(COUNTIFS(Пул!$E$5:$E$300,$B156,Пул!$L$5:$L$300,"Закрыт")=0,"",ROUND(SUMIFS(Пул!$I$5:$I$300,Пул!$E$5:$E$300,$B156,Пул!$L$5:$L$300,"Закрыт"),8)))</f>
        <v/>
      </c>
      <c r="G156" s="246">
        <f>IF($B156="","",IF(COUNTIFS(Пул!$E$5:$E$300,$B156,Пул!$L$5:$L$300,"Закрыт")=0,"",ROUND(SUMIFS(Пул!$J$5:$J$300,Пул!$E$5:$E$300,$B156,Пул!$L$5:$L$300,"Закрыт"),8)))</f>
        <v/>
      </c>
      <c r="H156" s="247">
        <f>IF($B156="","",IF(COUNTIFS(Пул!$E$5:$E$300,$B156,Пул!$L$5:$L$300,"Закрыт")=0,"",ROUND(SUMIFS(Пул!$K$5:$K$300,Пул!$E$5:$E$300,$B156,Пул!$L$5:$L$300,"Закрыт"),8)))</f>
        <v/>
      </c>
      <c r="I156" s="242">
        <f>IF(AND(ISNUMBER(G156),ISNUMBER(H156)),IF(AND(G156&gt;0,H156&lt;0),"Buy",IF(AND(G156&lt;0,H156&gt;0),"Sell","")),"")</f>
        <v/>
      </c>
      <c r="J156" s="183">
        <f>IF(I156="Buy",G156,IF(I156="Sell",-G156,""))</f>
        <v/>
      </c>
      <c r="K156" s="183">
        <f>IF(AND(ISNUMBER(J156),ISNUMBER(L156),N(J156)&lt;&gt;0),ROUND(L156/J156,8),"")</f>
        <v/>
      </c>
      <c r="L156" s="183">
        <f>IF(I156="Buy",-H156,IF(I156="Sell",H156,""))</f>
        <v/>
      </c>
    </row>
    <row r="157" ht="22" customHeight="1">
      <c r="B157" s="315" t="n"/>
      <c r="C157" s="240">
        <f>IF($B157="","",IF(COUNTIFS(Пул!$E$5:$E$300,$B157,Пул!$F$5:$F$300,"&lt;&gt;")=0,"",ROUND(SUMIFS(Пул!$F$5:$F$300,Пул!$E$5:$E$300,$B157),8)))</f>
        <v/>
      </c>
      <c r="D157" s="241">
        <f>IF($B157="","",IF(COUNTIFS(Пул!$E$5:$E$300,$B157,Пул!$G$5:$G$300,"&lt;&gt;")=0,"",ROUND(SUMIFS(Пул!$G$5:$G$300,Пул!$E$5:$E$300,$B157),8)))</f>
        <v/>
      </c>
      <c r="E157" s="240">
        <f>IF($B157="","",IF(COUNTIFS(Пул!$E$5:$E$300,$B157,Пул!$L$5:$L$300,"Закрыт")=0,"",ROUND(SUMIFS(Пул!$H$5:$H$300,Пул!$E$5:$E$300,$B157,Пул!$L$5:$L$300,"Закрыт"),8)))</f>
        <v/>
      </c>
      <c r="F157" s="241">
        <f>IF($B157="","",IF(COUNTIFS(Пул!$E$5:$E$300,$B157,Пул!$L$5:$L$300,"Закрыт")=0,"",ROUND(SUMIFS(Пул!$I$5:$I$300,Пул!$E$5:$E$300,$B157,Пул!$L$5:$L$300,"Закрыт"),8)))</f>
        <v/>
      </c>
      <c r="G157" s="240">
        <f>IF($B157="","",IF(COUNTIFS(Пул!$E$5:$E$300,$B157,Пул!$L$5:$L$300,"Закрыт")=0,"",ROUND(SUMIFS(Пул!$J$5:$J$300,Пул!$E$5:$E$300,$B157,Пул!$L$5:$L$300,"Закрыт"),8)))</f>
        <v/>
      </c>
      <c r="H157" s="241">
        <f>IF($B157="","",IF(COUNTIFS(Пул!$E$5:$E$300,$B157,Пул!$L$5:$L$300,"Закрыт")=0,"",ROUND(SUMIFS(Пул!$K$5:$K$300,Пул!$E$5:$E$300,$B157,Пул!$L$5:$L$300,"Закрыт"),8)))</f>
        <v/>
      </c>
      <c r="I157" s="236">
        <f>IF(AND(ISNUMBER(G157),ISNUMBER(H157)),IF(AND(G157&gt;0,H157&lt;0),"Buy",IF(AND(G157&lt;0,H157&gt;0),"Sell","")),"")</f>
        <v/>
      </c>
      <c r="J157" s="177">
        <f>IF(I157="Buy",G157,IF(I157="Sell",-G157,""))</f>
        <v/>
      </c>
      <c r="K157" s="177">
        <f>IF(AND(ISNUMBER(J157),ISNUMBER(L157),N(J157)&lt;&gt;0),ROUND(L157/J157,8),"")</f>
        <v/>
      </c>
      <c r="L157" s="177">
        <f>IF(I157="Buy",-H157,IF(I157="Sell",H157,""))</f>
        <v/>
      </c>
    </row>
    <row r="158" ht="22" customHeight="1">
      <c r="B158" s="320" t="n"/>
      <c r="C158" s="246">
        <f>IF($B158="","",IF(COUNTIFS(Пул!$E$5:$E$300,$B158,Пул!$F$5:$F$300,"&lt;&gt;")=0,"",ROUND(SUMIFS(Пул!$F$5:$F$300,Пул!$E$5:$E$300,$B158),8)))</f>
        <v/>
      </c>
      <c r="D158" s="247">
        <f>IF($B158="","",IF(COUNTIFS(Пул!$E$5:$E$300,$B158,Пул!$G$5:$G$300,"&lt;&gt;")=0,"",ROUND(SUMIFS(Пул!$G$5:$G$300,Пул!$E$5:$E$300,$B158),8)))</f>
        <v/>
      </c>
      <c r="E158" s="246">
        <f>IF($B158="","",IF(COUNTIFS(Пул!$E$5:$E$300,$B158,Пул!$L$5:$L$300,"Закрыт")=0,"",ROUND(SUMIFS(Пул!$H$5:$H$300,Пул!$E$5:$E$300,$B158,Пул!$L$5:$L$300,"Закрыт"),8)))</f>
        <v/>
      </c>
      <c r="F158" s="247">
        <f>IF($B158="","",IF(COUNTIFS(Пул!$E$5:$E$300,$B158,Пул!$L$5:$L$300,"Закрыт")=0,"",ROUND(SUMIFS(Пул!$I$5:$I$300,Пул!$E$5:$E$300,$B158,Пул!$L$5:$L$300,"Закрыт"),8)))</f>
        <v/>
      </c>
      <c r="G158" s="246">
        <f>IF($B158="","",IF(COUNTIFS(Пул!$E$5:$E$300,$B158,Пул!$L$5:$L$300,"Закрыт")=0,"",ROUND(SUMIFS(Пул!$J$5:$J$300,Пул!$E$5:$E$300,$B158,Пул!$L$5:$L$300,"Закрыт"),8)))</f>
        <v/>
      </c>
      <c r="H158" s="247">
        <f>IF($B158="","",IF(COUNTIFS(Пул!$E$5:$E$300,$B158,Пул!$L$5:$L$300,"Закрыт")=0,"",ROUND(SUMIFS(Пул!$K$5:$K$300,Пул!$E$5:$E$300,$B158,Пул!$L$5:$L$300,"Закрыт"),8)))</f>
        <v/>
      </c>
      <c r="I158" s="242">
        <f>IF(AND(ISNUMBER(G158),ISNUMBER(H158)),IF(AND(G158&gt;0,H158&lt;0),"Buy",IF(AND(G158&lt;0,H158&gt;0),"Sell","")),"")</f>
        <v/>
      </c>
      <c r="J158" s="183">
        <f>IF(I158="Buy",G158,IF(I158="Sell",-G158,""))</f>
        <v/>
      </c>
      <c r="K158" s="183">
        <f>IF(AND(ISNUMBER(J158),ISNUMBER(L158),N(J158)&lt;&gt;0),ROUND(L158/J158,8),"")</f>
        <v/>
      </c>
      <c r="L158" s="183">
        <f>IF(I158="Buy",-H158,IF(I158="Sell",H158,""))</f>
        <v/>
      </c>
    </row>
    <row r="159" ht="22" customHeight="1">
      <c r="B159" s="315" t="n"/>
      <c r="C159" s="240">
        <f>IF($B159="","",IF(COUNTIFS(Пул!$E$5:$E$300,$B159,Пул!$F$5:$F$300,"&lt;&gt;")=0,"",ROUND(SUMIFS(Пул!$F$5:$F$300,Пул!$E$5:$E$300,$B159),8)))</f>
        <v/>
      </c>
      <c r="D159" s="241">
        <f>IF($B159="","",IF(COUNTIFS(Пул!$E$5:$E$300,$B159,Пул!$G$5:$G$300,"&lt;&gt;")=0,"",ROUND(SUMIFS(Пул!$G$5:$G$300,Пул!$E$5:$E$300,$B159),8)))</f>
        <v/>
      </c>
      <c r="E159" s="240">
        <f>IF($B159="","",IF(COUNTIFS(Пул!$E$5:$E$300,$B159,Пул!$L$5:$L$300,"Закрыт")=0,"",ROUND(SUMIFS(Пул!$H$5:$H$300,Пул!$E$5:$E$300,$B159,Пул!$L$5:$L$300,"Закрыт"),8)))</f>
        <v/>
      </c>
      <c r="F159" s="241">
        <f>IF($B159="","",IF(COUNTIFS(Пул!$E$5:$E$300,$B159,Пул!$L$5:$L$300,"Закрыт")=0,"",ROUND(SUMIFS(Пул!$I$5:$I$300,Пул!$E$5:$E$300,$B159,Пул!$L$5:$L$300,"Закрыт"),8)))</f>
        <v/>
      </c>
      <c r="G159" s="240">
        <f>IF($B159="","",IF(COUNTIFS(Пул!$E$5:$E$300,$B159,Пул!$L$5:$L$300,"Закрыт")=0,"",ROUND(SUMIFS(Пул!$J$5:$J$300,Пул!$E$5:$E$300,$B159,Пул!$L$5:$L$300,"Закрыт"),8)))</f>
        <v/>
      </c>
      <c r="H159" s="241">
        <f>IF($B159="","",IF(COUNTIFS(Пул!$E$5:$E$300,$B159,Пул!$L$5:$L$300,"Закрыт")=0,"",ROUND(SUMIFS(Пул!$K$5:$K$300,Пул!$E$5:$E$300,$B159,Пул!$L$5:$L$300,"Закрыт"),8)))</f>
        <v/>
      </c>
      <c r="I159" s="236">
        <f>IF(AND(ISNUMBER(G159),ISNUMBER(H159)),IF(AND(G159&gt;0,H159&lt;0),"Buy",IF(AND(G159&lt;0,H159&gt;0),"Sell","")),"")</f>
        <v/>
      </c>
      <c r="J159" s="177">
        <f>IF(I159="Buy",G159,IF(I159="Sell",-G159,""))</f>
        <v/>
      </c>
      <c r="K159" s="177">
        <f>IF(AND(ISNUMBER(J159),ISNUMBER(L159),N(J159)&lt;&gt;0),ROUND(L159/J159,8),"")</f>
        <v/>
      </c>
      <c r="L159" s="177">
        <f>IF(I159="Buy",-H159,IF(I159="Sell",H159,""))</f>
        <v/>
      </c>
    </row>
    <row r="160" ht="22" customHeight="1">
      <c r="B160" s="320" t="n"/>
      <c r="C160" s="246">
        <f>IF($B160="","",IF(COUNTIFS(Пул!$E$5:$E$300,$B160,Пул!$F$5:$F$300,"&lt;&gt;")=0,"",ROUND(SUMIFS(Пул!$F$5:$F$300,Пул!$E$5:$E$300,$B160),8)))</f>
        <v/>
      </c>
      <c r="D160" s="247">
        <f>IF($B160="","",IF(COUNTIFS(Пул!$E$5:$E$300,$B160,Пул!$G$5:$G$300,"&lt;&gt;")=0,"",ROUND(SUMIFS(Пул!$G$5:$G$300,Пул!$E$5:$E$300,$B160),8)))</f>
        <v/>
      </c>
      <c r="E160" s="246">
        <f>IF($B160="","",IF(COUNTIFS(Пул!$E$5:$E$300,$B160,Пул!$L$5:$L$300,"Закрыт")=0,"",ROUND(SUMIFS(Пул!$H$5:$H$300,Пул!$E$5:$E$300,$B160,Пул!$L$5:$L$300,"Закрыт"),8)))</f>
        <v/>
      </c>
      <c r="F160" s="247">
        <f>IF($B160="","",IF(COUNTIFS(Пул!$E$5:$E$300,$B160,Пул!$L$5:$L$300,"Закрыт")=0,"",ROUND(SUMIFS(Пул!$I$5:$I$300,Пул!$E$5:$E$300,$B160,Пул!$L$5:$L$300,"Закрыт"),8)))</f>
        <v/>
      </c>
      <c r="G160" s="246">
        <f>IF($B160="","",IF(COUNTIFS(Пул!$E$5:$E$300,$B160,Пул!$L$5:$L$300,"Закрыт")=0,"",ROUND(SUMIFS(Пул!$J$5:$J$300,Пул!$E$5:$E$300,$B160,Пул!$L$5:$L$300,"Закрыт"),8)))</f>
        <v/>
      </c>
      <c r="H160" s="247">
        <f>IF($B160="","",IF(COUNTIFS(Пул!$E$5:$E$300,$B160,Пул!$L$5:$L$300,"Закрыт")=0,"",ROUND(SUMIFS(Пул!$K$5:$K$300,Пул!$E$5:$E$300,$B160,Пул!$L$5:$L$300,"Закрыт"),8)))</f>
        <v/>
      </c>
      <c r="I160" s="242">
        <f>IF(AND(ISNUMBER(G160),ISNUMBER(H160)),IF(AND(G160&gt;0,H160&lt;0),"Buy",IF(AND(G160&lt;0,H160&gt;0),"Sell","")),"")</f>
        <v/>
      </c>
      <c r="J160" s="183">
        <f>IF(I160="Buy",G160,IF(I160="Sell",-G160,""))</f>
        <v/>
      </c>
      <c r="K160" s="183">
        <f>IF(AND(ISNUMBER(J160),ISNUMBER(L160),N(J160)&lt;&gt;0),ROUND(L160/J160,8),"")</f>
        <v/>
      </c>
      <c r="L160" s="183">
        <f>IF(I160="Buy",-H160,IF(I160="Sell",H160,""))</f>
        <v/>
      </c>
    </row>
    <row r="161" ht="22" customHeight="1">
      <c r="B161" s="315" t="n"/>
      <c r="C161" s="240">
        <f>IF($B161="","",IF(COUNTIFS(Пул!$E$5:$E$300,$B161,Пул!$F$5:$F$300,"&lt;&gt;")=0,"",ROUND(SUMIFS(Пул!$F$5:$F$300,Пул!$E$5:$E$300,$B161),8)))</f>
        <v/>
      </c>
      <c r="D161" s="241">
        <f>IF($B161="","",IF(COUNTIFS(Пул!$E$5:$E$300,$B161,Пул!$G$5:$G$300,"&lt;&gt;")=0,"",ROUND(SUMIFS(Пул!$G$5:$G$300,Пул!$E$5:$E$300,$B161),8)))</f>
        <v/>
      </c>
      <c r="E161" s="240">
        <f>IF($B161="","",IF(COUNTIFS(Пул!$E$5:$E$300,$B161,Пул!$L$5:$L$300,"Закрыт")=0,"",ROUND(SUMIFS(Пул!$H$5:$H$300,Пул!$E$5:$E$300,$B161,Пул!$L$5:$L$300,"Закрыт"),8)))</f>
        <v/>
      </c>
      <c r="F161" s="241">
        <f>IF($B161="","",IF(COUNTIFS(Пул!$E$5:$E$300,$B161,Пул!$L$5:$L$300,"Закрыт")=0,"",ROUND(SUMIFS(Пул!$I$5:$I$300,Пул!$E$5:$E$300,$B161,Пул!$L$5:$L$300,"Закрыт"),8)))</f>
        <v/>
      </c>
      <c r="G161" s="240">
        <f>IF($B161="","",IF(COUNTIFS(Пул!$E$5:$E$300,$B161,Пул!$L$5:$L$300,"Закрыт")=0,"",ROUND(SUMIFS(Пул!$J$5:$J$300,Пул!$E$5:$E$300,$B161,Пул!$L$5:$L$300,"Закрыт"),8)))</f>
        <v/>
      </c>
      <c r="H161" s="241">
        <f>IF($B161="","",IF(COUNTIFS(Пул!$E$5:$E$300,$B161,Пул!$L$5:$L$300,"Закрыт")=0,"",ROUND(SUMIFS(Пул!$K$5:$K$300,Пул!$E$5:$E$300,$B161,Пул!$L$5:$L$300,"Закрыт"),8)))</f>
        <v/>
      </c>
      <c r="I161" s="236">
        <f>IF(AND(ISNUMBER(G161),ISNUMBER(H161)),IF(AND(G161&gt;0,H161&lt;0),"Buy",IF(AND(G161&lt;0,H161&gt;0),"Sell","")),"")</f>
        <v/>
      </c>
      <c r="J161" s="177">
        <f>IF(I161="Buy",G161,IF(I161="Sell",-G161,""))</f>
        <v/>
      </c>
      <c r="K161" s="177">
        <f>IF(AND(ISNUMBER(J161),ISNUMBER(L161),N(J161)&lt;&gt;0),ROUND(L161/J161,8),"")</f>
        <v/>
      </c>
      <c r="L161" s="177">
        <f>IF(I161="Buy",-H161,IF(I161="Sell",H161,""))</f>
        <v/>
      </c>
    </row>
    <row r="162" ht="22" customHeight="1">
      <c r="B162" s="320" t="n"/>
      <c r="C162" s="246">
        <f>IF($B162="","",IF(COUNTIFS(Пул!$E$5:$E$300,$B162,Пул!$F$5:$F$300,"&lt;&gt;")=0,"",ROUND(SUMIFS(Пул!$F$5:$F$300,Пул!$E$5:$E$300,$B162),8)))</f>
        <v/>
      </c>
      <c r="D162" s="247">
        <f>IF($B162="","",IF(COUNTIFS(Пул!$E$5:$E$300,$B162,Пул!$G$5:$G$300,"&lt;&gt;")=0,"",ROUND(SUMIFS(Пул!$G$5:$G$300,Пул!$E$5:$E$300,$B162),8)))</f>
        <v/>
      </c>
      <c r="E162" s="246">
        <f>IF($B162="","",IF(COUNTIFS(Пул!$E$5:$E$300,$B162,Пул!$L$5:$L$300,"Закрыт")=0,"",ROUND(SUMIFS(Пул!$H$5:$H$300,Пул!$E$5:$E$300,$B162,Пул!$L$5:$L$300,"Закрыт"),8)))</f>
        <v/>
      </c>
      <c r="F162" s="247">
        <f>IF($B162="","",IF(COUNTIFS(Пул!$E$5:$E$300,$B162,Пул!$L$5:$L$300,"Закрыт")=0,"",ROUND(SUMIFS(Пул!$I$5:$I$300,Пул!$E$5:$E$300,$B162,Пул!$L$5:$L$300,"Закрыт"),8)))</f>
        <v/>
      </c>
      <c r="G162" s="246">
        <f>IF($B162="","",IF(COUNTIFS(Пул!$E$5:$E$300,$B162,Пул!$L$5:$L$300,"Закрыт")=0,"",ROUND(SUMIFS(Пул!$J$5:$J$300,Пул!$E$5:$E$300,$B162,Пул!$L$5:$L$300,"Закрыт"),8)))</f>
        <v/>
      </c>
      <c r="H162" s="247">
        <f>IF($B162="","",IF(COUNTIFS(Пул!$E$5:$E$300,$B162,Пул!$L$5:$L$300,"Закрыт")=0,"",ROUND(SUMIFS(Пул!$K$5:$K$300,Пул!$E$5:$E$300,$B162,Пул!$L$5:$L$300,"Закрыт"),8)))</f>
        <v/>
      </c>
      <c r="I162" s="242">
        <f>IF(AND(ISNUMBER(G162),ISNUMBER(H162)),IF(AND(G162&gt;0,H162&lt;0),"Buy",IF(AND(G162&lt;0,H162&gt;0),"Sell","")),"")</f>
        <v/>
      </c>
      <c r="J162" s="183">
        <f>IF(I162="Buy",G162,IF(I162="Sell",-G162,""))</f>
        <v/>
      </c>
      <c r="K162" s="183">
        <f>IF(AND(ISNUMBER(J162),ISNUMBER(L162),N(J162)&lt;&gt;0),ROUND(L162/J162,8),"")</f>
        <v/>
      </c>
      <c r="L162" s="183">
        <f>IF(I162="Buy",-H162,IF(I162="Sell",H162,""))</f>
        <v/>
      </c>
    </row>
    <row r="163" ht="22" customHeight="1">
      <c r="B163" s="315" t="n"/>
      <c r="C163" s="240">
        <f>IF($B163="","",IF(COUNTIFS(Пул!$E$5:$E$300,$B163,Пул!$F$5:$F$300,"&lt;&gt;")=0,"",ROUND(SUMIFS(Пул!$F$5:$F$300,Пул!$E$5:$E$300,$B163),8)))</f>
        <v/>
      </c>
      <c r="D163" s="241">
        <f>IF($B163="","",IF(COUNTIFS(Пул!$E$5:$E$300,$B163,Пул!$G$5:$G$300,"&lt;&gt;")=0,"",ROUND(SUMIFS(Пул!$G$5:$G$300,Пул!$E$5:$E$300,$B163),8)))</f>
        <v/>
      </c>
      <c r="E163" s="240">
        <f>IF($B163="","",IF(COUNTIFS(Пул!$E$5:$E$300,$B163,Пул!$L$5:$L$300,"Закрыт")=0,"",ROUND(SUMIFS(Пул!$H$5:$H$300,Пул!$E$5:$E$300,$B163,Пул!$L$5:$L$300,"Закрыт"),8)))</f>
        <v/>
      </c>
      <c r="F163" s="241">
        <f>IF($B163="","",IF(COUNTIFS(Пул!$E$5:$E$300,$B163,Пул!$L$5:$L$300,"Закрыт")=0,"",ROUND(SUMIFS(Пул!$I$5:$I$300,Пул!$E$5:$E$300,$B163,Пул!$L$5:$L$300,"Закрыт"),8)))</f>
        <v/>
      </c>
      <c r="G163" s="240">
        <f>IF($B163="","",IF(COUNTIFS(Пул!$E$5:$E$300,$B163,Пул!$L$5:$L$300,"Закрыт")=0,"",ROUND(SUMIFS(Пул!$J$5:$J$300,Пул!$E$5:$E$300,$B163,Пул!$L$5:$L$300,"Закрыт"),8)))</f>
        <v/>
      </c>
      <c r="H163" s="241">
        <f>IF($B163="","",IF(COUNTIFS(Пул!$E$5:$E$300,$B163,Пул!$L$5:$L$300,"Закрыт")=0,"",ROUND(SUMIFS(Пул!$K$5:$K$300,Пул!$E$5:$E$300,$B163,Пул!$L$5:$L$300,"Закрыт"),8)))</f>
        <v/>
      </c>
      <c r="I163" s="236">
        <f>IF(AND(ISNUMBER(G163),ISNUMBER(H163)),IF(AND(G163&gt;0,H163&lt;0),"Buy",IF(AND(G163&lt;0,H163&gt;0),"Sell","")),"")</f>
        <v/>
      </c>
      <c r="J163" s="177">
        <f>IF(I163="Buy",G163,IF(I163="Sell",-G163,""))</f>
        <v/>
      </c>
      <c r="K163" s="177">
        <f>IF(AND(ISNUMBER(J163),ISNUMBER(L163),N(J163)&lt;&gt;0),ROUND(L163/J163,8),"")</f>
        <v/>
      </c>
      <c r="L163" s="177">
        <f>IF(I163="Buy",-H163,IF(I163="Sell",H163,""))</f>
        <v/>
      </c>
    </row>
    <row r="164" ht="22" customHeight="1">
      <c r="B164" s="320" t="n"/>
      <c r="C164" s="246">
        <f>IF($B164="","",IF(COUNTIFS(Пул!$E$5:$E$300,$B164,Пул!$F$5:$F$300,"&lt;&gt;")=0,"",ROUND(SUMIFS(Пул!$F$5:$F$300,Пул!$E$5:$E$300,$B164),8)))</f>
        <v/>
      </c>
      <c r="D164" s="247">
        <f>IF($B164="","",IF(COUNTIFS(Пул!$E$5:$E$300,$B164,Пул!$G$5:$G$300,"&lt;&gt;")=0,"",ROUND(SUMIFS(Пул!$G$5:$G$300,Пул!$E$5:$E$300,$B164),8)))</f>
        <v/>
      </c>
      <c r="E164" s="246">
        <f>IF($B164="","",IF(COUNTIFS(Пул!$E$5:$E$300,$B164,Пул!$L$5:$L$300,"Закрыт")=0,"",ROUND(SUMIFS(Пул!$H$5:$H$300,Пул!$E$5:$E$300,$B164,Пул!$L$5:$L$300,"Закрыт"),8)))</f>
        <v/>
      </c>
      <c r="F164" s="247">
        <f>IF($B164="","",IF(COUNTIFS(Пул!$E$5:$E$300,$B164,Пул!$L$5:$L$300,"Закрыт")=0,"",ROUND(SUMIFS(Пул!$I$5:$I$300,Пул!$E$5:$E$300,$B164,Пул!$L$5:$L$300,"Закрыт"),8)))</f>
        <v/>
      </c>
      <c r="G164" s="246">
        <f>IF($B164="","",IF(COUNTIFS(Пул!$E$5:$E$300,$B164,Пул!$L$5:$L$300,"Закрыт")=0,"",ROUND(SUMIFS(Пул!$J$5:$J$300,Пул!$E$5:$E$300,$B164,Пул!$L$5:$L$300,"Закрыт"),8)))</f>
        <v/>
      </c>
      <c r="H164" s="247">
        <f>IF($B164="","",IF(COUNTIFS(Пул!$E$5:$E$300,$B164,Пул!$L$5:$L$300,"Закрыт")=0,"",ROUND(SUMIFS(Пул!$K$5:$K$300,Пул!$E$5:$E$300,$B164,Пул!$L$5:$L$300,"Закрыт"),8)))</f>
        <v/>
      </c>
      <c r="I164" s="242">
        <f>IF(AND(ISNUMBER(G164),ISNUMBER(H164)),IF(AND(G164&gt;0,H164&lt;0),"Buy",IF(AND(G164&lt;0,H164&gt;0),"Sell","")),"")</f>
        <v/>
      </c>
      <c r="J164" s="183">
        <f>IF(I164="Buy",G164,IF(I164="Sell",-G164,""))</f>
        <v/>
      </c>
      <c r="K164" s="183">
        <f>IF(AND(ISNUMBER(J164),ISNUMBER(L164),N(J164)&lt;&gt;0),ROUND(L164/J164,8),"")</f>
        <v/>
      </c>
      <c r="L164" s="183">
        <f>IF(I164="Buy",-H164,IF(I164="Sell",H164,""))</f>
        <v/>
      </c>
    </row>
    <row r="165" ht="22" customHeight="1">
      <c r="B165" s="315" t="n"/>
      <c r="C165" s="240">
        <f>IF($B165="","",IF(COUNTIFS(Пул!$E$5:$E$300,$B165,Пул!$F$5:$F$300,"&lt;&gt;")=0,"",ROUND(SUMIFS(Пул!$F$5:$F$300,Пул!$E$5:$E$300,$B165),8)))</f>
        <v/>
      </c>
      <c r="D165" s="241">
        <f>IF($B165="","",IF(COUNTIFS(Пул!$E$5:$E$300,$B165,Пул!$G$5:$G$300,"&lt;&gt;")=0,"",ROUND(SUMIFS(Пул!$G$5:$G$300,Пул!$E$5:$E$300,$B165),8)))</f>
        <v/>
      </c>
      <c r="E165" s="240">
        <f>IF($B165="","",IF(COUNTIFS(Пул!$E$5:$E$300,$B165,Пул!$L$5:$L$300,"Закрыт")=0,"",ROUND(SUMIFS(Пул!$H$5:$H$300,Пул!$E$5:$E$300,$B165,Пул!$L$5:$L$300,"Закрыт"),8)))</f>
        <v/>
      </c>
      <c r="F165" s="241">
        <f>IF($B165="","",IF(COUNTIFS(Пул!$E$5:$E$300,$B165,Пул!$L$5:$L$300,"Закрыт")=0,"",ROUND(SUMIFS(Пул!$I$5:$I$300,Пул!$E$5:$E$300,$B165,Пул!$L$5:$L$300,"Закрыт"),8)))</f>
        <v/>
      </c>
      <c r="G165" s="240">
        <f>IF($B165="","",IF(COUNTIFS(Пул!$E$5:$E$300,$B165,Пул!$L$5:$L$300,"Закрыт")=0,"",ROUND(SUMIFS(Пул!$J$5:$J$300,Пул!$E$5:$E$300,$B165,Пул!$L$5:$L$300,"Закрыт"),8)))</f>
        <v/>
      </c>
      <c r="H165" s="241">
        <f>IF($B165="","",IF(COUNTIFS(Пул!$E$5:$E$300,$B165,Пул!$L$5:$L$300,"Закрыт")=0,"",ROUND(SUMIFS(Пул!$K$5:$K$300,Пул!$E$5:$E$300,$B165,Пул!$L$5:$L$300,"Закрыт"),8)))</f>
        <v/>
      </c>
      <c r="I165" s="236">
        <f>IF(AND(ISNUMBER(G165),ISNUMBER(H165)),IF(AND(G165&gt;0,H165&lt;0),"Buy",IF(AND(G165&lt;0,H165&gt;0),"Sell","")),"")</f>
        <v/>
      </c>
      <c r="J165" s="177">
        <f>IF(I165="Buy",G165,IF(I165="Sell",-G165,""))</f>
        <v/>
      </c>
      <c r="K165" s="177">
        <f>IF(AND(ISNUMBER(J165),ISNUMBER(L165),N(J165)&lt;&gt;0),ROUND(L165/J165,8),"")</f>
        <v/>
      </c>
      <c r="L165" s="177">
        <f>IF(I165="Buy",-H165,IF(I165="Sell",H165,""))</f>
        <v/>
      </c>
    </row>
    <row r="166" ht="22" customHeight="1">
      <c r="B166" s="320" t="n"/>
      <c r="C166" s="246">
        <f>IF($B166="","",IF(COUNTIFS(Пул!$E$5:$E$300,$B166,Пул!$F$5:$F$300,"&lt;&gt;")=0,"",ROUND(SUMIFS(Пул!$F$5:$F$300,Пул!$E$5:$E$300,$B166),8)))</f>
        <v/>
      </c>
      <c r="D166" s="247">
        <f>IF($B166="","",IF(COUNTIFS(Пул!$E$5:$E$300,$B166,Пул!$G$5:$G$300,"&lt;&gt;")=0,"",ROUND(SUMIFS(Пул!$G$5:$G$300,Пул!$E$5:$E$300,$B166),8)))</f>
        <v/>
      </c>
      <c r="E166" s="246">
        <f>IF($B166="","",IF(COUNTIFS(Пул!$E$5:$E$300,$B166,Пул!$L$5:$L$300,"Закрыт")=0,"",ROUND(SUMIFS(Пул!$H$5:$H$300,Пул!$E$5:$E$300,$B166,Пул!$L$5:$L$300,"Закрыт"),8)))</f>
        <v/>
      </c>
      <c r="F166" s="247">
        <f>IF($B166="","",IF(COUNTIFS(Пул!$E$5:$E$300,$B166,Пул!$L$5:$L$300,"Закрыт")=0,"",ROUND(SUMIFS(Пул!$I$5:$I$300,Пул!$E$5:$E$300,$B166,Пул!$L$5:$L$300,"Закрыт"),8)))</f>
        <v/>
      </c>
      <c r="G166" s="246">
        <f>IF($B166="","",IF(COUNTIFS(Пул!$E$5:$E$300,$B166,Пул!$L$5:$L$300,"Закрыт")=0,"",ROUND(SUMIFS(Пул!$J$5:$J$300,Пул!$E$5:$E$300,$B166,Пул!$L$5:$L$300,"Закрыт"),8)))</f>
        <v/>
      </c>
      <c r="H166" s="247">
        <f>IF($B166="","",IF(COUNTIFS(Пул!$E$5:$E$300,$B166,Пул!$L$5:$L$300,"Закрыт")=0,"",ROUND(SUMIFS(Пул!$K$5:$K$300,Пул!$E$5:$E$300,$B166,Пул!$L$5:$L$300,"Закрыт"),8)))</f>
        <v/>
      </c>
      <c r="I166" s="242">
        <f>IF(AND(ISNUMBER(G166),ISNUMBER(H166)),IF(AND(G166&gt;0,H166&lt;0),"Buy",IF(AND(G166&lt;0,H166&gt;0),"Sell","")),"")</f>
        <v/>
      </c>
      <c r="J166" s="183">
        <f>IF(I166="Buy",G166,IF(I166="Sell",-G166,""))</f>
        <v/>
      </c>
      <c r="K166" s="183">
        <f>IF(AND(ISNUMBER(J166),ISNUMBER(L166),N(J166)&lt;&gt;0),ROUND(L166/J166,8),"")</f>
        <v/>
      </c>
      <c r="L166" s="183">
        <f>IF(I166="Buy",-H166,IF(I166="Sell",H166,""))</f>
        <v/>
      </c>
    </row>
    <row r="167" ht="22" customHeight="1">
      <c r="B167" s="315" t="n"/>
      <c r="C167" s="240">
        <f>IF($B167="","",IF(COUNTIFS(Пул!$E$5:$E$300,$B167,Пул!$F$5:$F$300,"&lt;&gt;")=0,"",ROUND(SUMIFS(Пул!$F$5:$F$300,Пул!$E$5:$E$300,$B167),8)))</f>
        <v/>
      </c>
      <c r="D167" s="241">
        <f>IF($B167="","",IF(COUNTIFS(Пул!$E$5:$E$300,$B167,Пул!$G$5:$G$300,"&lt;&gt;")=0,"",ROUND(SUMIFS(Пул!$G$5:$G$300,Пул!$E$5:$E$300,$B167),8)))</f>
        <v/>
      </c>
      <c r="E167" s="240">
        <f>IF($B167="","",IF(COUNTIFS(Пул!$E$5:$E$300,$B167,Пул!$L$5:$L$300,"Закрыт")=0,"",ROUND(SUMIFS(Пул!$H$5:$H$300,Пул!$E$5:$E$300,$B167,Пул!$L$5:$L$300,"Закрыт"),8)))</f>
        <v/>
      </c>
      <c r="F167" s="241">
        <f>IF($B167="","",IF(COUNTIFS(Пул!$E$5:$E$300,$B167,Пул!$L$5:$L$300,"Закрыт")=0,"",ROUND(SUMIFS(Пул!$I$5:$I$300,Пул!$E$5:$E$300,$B167,Пул!$L$5:$L$300,"Закрыт"),8)))</f>
        <v/>
      </c>
      <c r="G167" s="240">
        <f>IF($B167="","",IF(COUNTIFS(Пул!$E$5:$E$300,$B167,Пул!$L$5:$L$300,"Закрыт")=0,"",ROUND(SUMIFS(Пул!$J$5:$J$300,Пул!$E$5:$E$300,$B167,Пул!$L$5:$L$300,"Закрыт"),8)))</f>
        <v/>
      </c>
      <c r="H167" s="241">
        <f>IF($B167="","",IF(COUNTIFS(Пул!$E$5:$E$300,$B167,Пул!$L$5:$L$300,"Закрыт")=0,"",ROUND(SUMIFS(Пул!$K$5:$K$300,Пул!$E$5:$E$300,$B167,Пул!$L$5:$L$300,"Закрыт"),8)))</f>
        <v/>
      </c>
      <c r="I167" s="236">
        <f>IF(AND(ISNUMBER(G167),ISNUMBER(H167)),IF(AND(G167&gt;0,H167&lt;0),"Buy",IF(AND(G167&lt;0,H167&gt;0),"Sell","")),"")</f>
        <v/>
      </c>
      <c r="J167" s="177">
        <f>IF(I167="Buy",G167,IF(I167="Sell",-G167,""))</f>
        <v/>
      </c>
      <c r="K167" s="177">
        <f>IF(AND(ISNUMBER(J167),ISNUMBER(L167),N(J167)&lt;&gt;0),ROUND(L167/J167,8),"")</f>
        <v/>
      </c>
      <c r="L167" s="177">
        <f>IF(I167="Buy",-H167,IF(I167="Sell",H167,""))</f>
        <v/>
      </c>
    </row>
    <row r="168" ht="22" customHeight="1">
      <c r="B168" s="320" t="n"/>
      <c r="C168" s="246">
        <f>IF($B168="","",IF(COUNTIFS(Пул!$E$5:$E$300,$B168,Пул!$F$5:$F$300,"&lt;&gt;")=0,"",ROUND(SUMIFS(Пул!$F$5:$F$300,Пул!$E$5:$E$300,$B168),8)))</f>
        <v/>
      </c>
      <c r="D168" s="247">
        <f>IF($B168="","",IF(COUNTIFS(Пул!$E$5:$E$300,$B168,Пул!$G$5:$G$300,"&lt;&gt;")=0,"",ROUND(SUMIFS(Пул!$G$5:$G$300,Пул!$E$5:$E$300,$B168),8)))</f>
        <v/>
      </c>
      <c r="E168" s="246">
        <f>IF($B168="","",IF(COUNTIFS(Пул!$E$5:$E$300,$B168,Пул!$L$5:$L$300,"Закрыт")=0,"",ROUND(SUMIFS(Пул!$H$5:$H$300,Пул!$E$5:$E$300,$B168,Пул!$L$5:$L$300,"Закрыт"),8)))</f>
        <v/>
      </c>
      <c r="F168" s="247">
        <f>IF($B168="","",IF(COUNTIFS(Пул!$E$5:$E$300,$B168,Пул!$L$5:$L$300,"Закрыт")=0,"",ROUND(SUMIFS(Пул!$I$5:$I$300,Пул!$E$5:$E$300,$B168,Пул!$L$5:$L$300,"Закрыт"),8)))</f>
        <v/>
      </c>
      <c r="G168" s="246">
        <f>IF($B168="","",IF(COUNTIFS(Пул!$E$5:$E$300,$B168,Пул!$L$5:$L$300,"Закрыт")=0,"",ROUND(SUMIFS(Пул!$J$5:$J$300,Пул!$E$5:$E$300,$B168,Пул!$L$5:$L$300,"Закрыт"),8)))</f>
        <v/>
      </c>
      <c r="H168" s="247">
        <f>IF($B168="","",IF(COUNTIFS(Пул!$E$5:$E$300,$B168,Пул!$L$5:$L$300,"Закрыт")=0,"",ROUND(SUMIFS(Пул!$K$5:$K$300,Пул!$E$5:$E$300,$B168,Пул!$L$5:$L$300,"Закрыт"),8)))</f>
        <v/>
      </c>
      <c r="I168" s="242">
        <f>IF(AND(ISNUMBER(G168),ISNUMBER(H168)),IF(AND(G168&gt;0,H168&lt;0),"Buy",IF(AND(G168&lt;0,H168&gt;0),"Sell","")),"")</f>
        <v/>
      </c>
      <c r="J168" s="183">
        <f>IF(I168="Buy",G168,IF(I168="Sell",-G168,""))</f>
        <v/>
      </c>
      <c r="K168" s="183">
        <f>IF(AND(ISNUMBER(J168),ISNUMBER(L168),N(J168)&lt;&gt;0),ROUND(L168/J168,8),"")</f>
        <v/>
      </c>
      <c r="L168" s="183">
        <f>IF(I168="Buy",-H168,IF(I168="Sell",H168,""))</f>
        <v/>
      </c>
    </row>
    <row r="169" ht="22" customHeight="1">
      <c r="B169" s="315" t="n"/>
      <c r="C169" s="240">
        <f>IF($B169="","",IF(COUNTIFS(Пул!$E$5:$E$300,$B169,Пул!$F$5:$F$300,"&lt;&gt;")=0,"",ROUND(SUMIFS(Пул!$F$5:$F$300,Пул!$E$5:$E$300,$B169),8)))</f>
        <v/>
      </c>
      <c r="D169" s="241">
        <f>IF($B169="","",IF(COUNTIFS(Пул!$E$5:$E$300,$B169,Пул!$G$5:$G$300,"&lt;&gt;")=0,"",ROUND(SUMIFS(Пул!$G$5:$G$300,Пул!$E$5:$E$300,$B169),8)))</f>
        <v/>
      </c>
      <c r="E169" s="240">
        <f>IF($B169="","",IF(COUNTIFS(Пул!$E$5:$E$300,$B169,Пул!$L$5:$L$300,"Закрыт")=0,"",ROUND(SUMIFS(Пул!$H$5:$H$300,Пул!$E$5:$E$300,$B169,Пул!$L$5:$L$300,"Закрыт"),8)))</f>
        <v/>
      </c>
      <c r="F169" s="241">
        <f>IF($B169="","",IF(COUNTIFS(Пул!$E$5:$E$300,$B169,Пул!$L$5:$L$300,"Закрыт")=0,"",ROUND(SUMIFS(Пул!$I$5:$I$300,Пул!$E$5:$E$300,$B169,Пул!$L$5:$L$300,"Закрыт"),8)))</f>
        <v/>
      </c>
      <c r="G169" s="240">
        <f>IF($B169="","",IF(COUNTIFS(Пул!$E$5:$E$300,$B169,Пул!$L$5:$L$300,"Закрыт")=0,"",ROUND(SUMIFS(Пул!$J$5:$J$300,Пул!$E$5:$E$300,$B169,Пул!$L$5:$L$300,"Закрыт"),8)))</f>
        <v/>
      </c>
      <c r="H169" s="241">
        <f>IF($B169="","",IF(COUNTIFS(Пул!$E$5:$E$300,$B169,Пул!$L$5:$L$300,"Закрыт")=0,"",ROUND(SUMIFS(Пул!$K$5:$K$300,Пул!$E$5:$E$300,$B169,Пул!$L$5:$L$300,"Закрыт"),8)))</f>
        <v/>
      </c>
      <c r="I169" s="236">
        <f>IF(AND(ISNUMBER(G169),ISNUMBER(H169)),IF(AND(G169&gt;0,H169&lt;0),"Buy",IF(AND(G169&lt;0,H169&gt;0),"Sell","")),"")</f>
        <v/>
      </c>
      <c r="J169" s="177">
        <f>IF(I169="Buy",G169,IF(I169="Sell",-G169,""))</f>
        <v/>
      </c>
      <c r="K169" s="177">
        <f>IF(AND(ISNUMBER(J169),ISNUMBER(L169),N(J169)&lt;&gt;0),ROUND(L169/J169,8),"")</f>
        <v/>
      </c>
      <c r="L169" s="177">
        <f>IF(I169="Buy",-H169,IF(I169="Sell",H169,""))</f>
        <v/>
      </c>
    </row>
    <row r="170" ht="22" customHeight="1">
      <c r="B170" s="320" t="n"/>
      <c r="C170" s="246">
        <f>IF($B170="","",IF(COUNTIFS(Пул!$E$5:$E$300,$B170,Пул!$F$5:$F$300,"&lt;&gt;")=0,"",ROUND(SUMIFS(Пул!$F$5:$F$300,Пул!$E$5:$E$300,$B170),8)))</f>
        <v/>
      </c>
      <c r="D170" s="247">
        <f>IF($B170="","",IF(COUNTIFS(Пул!$E$5:$E$300,$B170,Пул!$G$5:$G$300,"&lt;&gt;")=0,"",ROUND(SUMIFS(Пул!$G$5:$G$300,Пул!$E$5:$E$300,$B170),8)))</f>
        <v/>
      </c>
      <c r="E170" s="246">
        <f>IF($B170="","",IF(COUNTIFS(Пул!$E$5:$E$300,$B170,Пул!$L$5:$L$300,"Закрыт")=0,"",ROUND(SUMIFS(Пул!$H$5:$H$300,Пул!$E$5:$E$300,$B170,Пул!$L$5:$L$300,"Закрыт"),8)))</f>
        <v/>
      </c>
      <c r="F170" s="247">
        <f>IF($B170="","",IF(COUNTIFS(Пул!$E$5:$E$300,$B170,Пул!$L$5:$L$300,"Закрыт")=0,"",ROUND(SUMIFS(Пул!$I$5:$I$300,Пул!$E$5:$E$300,$B170,Пул!$L$5:$L$300,"Закрыт"),8)))</f>
        <v/>
      </c>
      <c r="G170" s="246">
        <f>IF($B170="","",IF(COUNTIFS(Пул!$E$5:$E$300,$B170,Пул!$L$5:$L$300,"Закрыт")=0,"",ROUND(SUMIFS(Пул!$J$5:$J$300,Пул!$E$5:$E$300,$B170,Пул!$L$5:$L$300,"Закрыт"),8)))</f>
        <v/>
      </c>
      <c r="H170" s="247">
        <f>IF($B170="","",IF(COUNTIFS(Пул!$E$5:$E$300,$B170,Пул!$L$5:$L$300,"Закрыт")=0,"",ROUND(SUMIFS(Пул!$K$5:$K$300,Пул!$E$5:$E$300,$B170,Пул!$L$5:$L$300,"Закрыт"),8)))</f>
        <v/>
      </c>
      <c r="I170" s="242">
        <f>IF(AND(ISNUMBER(G170),ISNUMBER(H170)),IF(AND(G170&gt;0,H170&lt;0),"Buy",IF(AND(G170&lt;0,H170&gt;0),"Sell","")),"")</f>
        <v/>
      </c>
      <c r="J170" s="183">
        <f>IF(I170="Buy",G170,IF(I170="Sell",-G170,""))</f>
        <v/>
      </c>
      <c r="K170" s="183">
        <f>IF(AND(ISNUMBER(J170),ISNUMBER(L170),N(J170)&lt;&gt;0),ROUND(L170/J170,8),"")</f>
        <v/>
      </c>
      <c r="L170" s="183">
        <f>IF(I170="Buy",-H170,IF(I170="Sell",H170,""))</f>
        <v/>
      </c>
    </row>
    <row r="171" ht="22" customHeight="1">
      <c r="B171" s="315" t="n"/>
      <c r="C171" s="240">
        <f>IF($B171="","",IF(COUNTIFS(Пул!$E$5:$E$300,$B171,Пул!$F$5:$F$300,"&lt;&gt;")=0,"",ROUND(SUMIFS(Пул!$F$5:$F$300,Пул!$E$5:$E$300,$B171),8)))</f>
        <v/>
      </c>
      <c r="D171" s="241">
        <f>IF($B171="","",IF(COUNTIFS(Пул!$E$5:$E$300,$B171,Пул!$G$5:$G$300,"&lt;&gt;")=0,"",ROUND(SUMIFS(Пул!$G$5:$G$300,Пул!$E$5:$E$300,$B171),8)))</f>
        <v/>
      </c>
      <c r="E171" s="240">
        <f>IF($B171="","",IF(COUNTIFS(Пул!$E$5:$E$300,$B171,Пул!$L$5:$L$300,"Закрыт")=0,"",ROUND(SUMIFS(Пул!$H$5:$H$300,Пул!$E$5:$E$300,$B171,Пул!$L$5:$L$300,"Закрыт"),8)))</f>
        <v/>
      </c>
      <c r="F171" s="241">
        <f>IF($B171="","",IF(COUNTIFS(Пул!$E$5:$E$300,$B171,Пул!$L$5:$L$300,"Закрыт")=0,"",ROUND(SUMIFS(Пул!$I$5:$I$300,Пул!$E$5:$E$300,$B171,Пул!$L$5:$L$300,"Закрыт"),8)))</f>
        <v/>
      </c>
      <c r="G171" s="240">
        <f>IF($B171="","",IF(COUNTIFS(Пул!$E$5:$E$300,$B171,Пул!$L$5:$L$300,"Закрыт")=0,"",ROUND(SUMIFS(Пул!$J$5:$J$300,Пул!$E$5:$E$300,$B171,Пул!$L$5:$L$300,"Закрыт"),8)))</f>
        <v/>
      </c>
      <c r="H171" s="241">
        <f>IF($B171="","",IF(COUNTIFS(Пул!$E$5:$E$300,$B171,Пул!$L$5:$L$300,"Закрыт")=0,"",ROUND(SUMIFS(Пул!$K$5:$K$300,Пул!$E$5:$E$300,$B171,Пул!$L$5:$L$300,"Закрыт"),8)))</f>
        <v/>
      </c>
      <c r="I171" s="236">
        <f>IF(AND(ISNUMBER(G171),ISNUMBER(H171)),IF(AND(G171&gt;0,H171&lt;0),"Buy",IF(AND(G171&lt;0,H171&gt;0),"Sell","")),"")</f>
        <v/>
      </c>
      <c r="J171" s="177">
        <f>IF(I171="Buy",G171,IF(I171="Sell",-G171,""))</f>
        <v/>
      </c>
      <c r="K171" s="177">
        <f>IF(AND(ISNUMBER(J171),ISNUMBER(L171),N(J171)&lt;&gt;0),ROUND(L171/J171,8),"")</f>
        <v/>
      </c>
      <c r="L171" s="177">
        <f>IF(I171="Buy",-H171,IF(I171="Sell",H171,""))</f>
        <v/>
      </c>
    </row>
    <row r="172" ht="22" customHeight="1">
      <c r="B172" s="320" t="n"/>
      <c r="C172" s="246">
        <f>IF($B172="","",IF(COUNTIFS(Пул!$E$5:$E$300,$B172,Пул!$F$5:$F$300,"&lt;&gt;")=0,"",ROUND(SUMIFS(Пул!$F$5:$F$300,Пул!$E$5:$E$300,$B172),8)))</f>
        <v/>
      </c>
      <c r="D172" s="247">
        <f>IF($B172="","",IF(COUNTIFS(Пул!$E$5:$E$300,$B172,Пул!$G$5:$G$300,"&lt;&gt;")=0,"",ROUND(SUMIFS(Пул!$G$5:$G$300,Пул!$E$5:$E$300,$B172),8)))</f>
        <v/>
      </c>
      <c r="E172" s="246">
        <f>IF($B172="","",IF(COUNTIFS(Пул!$E$5:$E$300,$B172,Пул!$L$5:$L$300,"Закрыт")=0,"",ROUND(SUMIFS(Пул!$H$5:$H$300,Пул!$E$5:$E$300,$B172,Пул!$L$5:$L$300,"Закрыт"),8)))</f>
        <v/>
      </c>
      <c r="F172" s="247">
        <f>IF($B172="","",IF(COUNTIFS(Пул!$E$5:$E$300,$B172,Пул!$L$5:$L$300,"Закрыт")=0,"",ROUND(SUMIFS(Пул!$I$5:$I$300,Пул!$E$5:$E$300,$B172,Пул!$L$5:$L$300,"Закрыт"),8)))</f>
        <v/>
      </c>
      <c r="G172" s="246">
        <f>IF($B172="","",IF(COUNTIFS(Пул!$E$5:$E$300,$B172,Пул!$L$5:$L$300,"Закрыт")=0,"",ROUND(SUMIFS(Пул!$J$5:$J$300,Пул!$E$5:$E$300,$B172,Пул!$L$5:$L$300,"Закрыт"),8)))</f>
        <v/>
      </c>
      <c r="H172" s="247">
        <f>IF($B172="","",IF(COUNTIFS(Пул!$E$5:$E$300,$B172,Пул!$L$5:$L$300,"Закрыт")=0,"",ROUND(SUMIFS(Пул!$K$5:$K$300,Пул!$E$5:$E$300,$B172,Пул!$L$5:$L$300,"Закрыт"),8)))</f>
        <v/>
      </c>
      <c r="I172" s="242">
        <f>IF(AND(ISNUMBER(G172),ISNUMBER(H172)),IF(AND(G172&gt;0,H172&lt;0),"Buy",IF(AND(G172&lt;0,H172&gt;0),"Sell","")),"")</f>
        <v/>
      </c>
      <c r="J172" s="183">
        <f>IF(I172="Buy",G172,IF(I172="Sell",-G172,""))</f>
        <v/>
      </c>
      <c r="K172" s="183">
        <f>IF(AND(ISNUMBER(J172),ISNUMBER(L172),N(J172)&lt;&gt;0),ROUND(L172/J172,8),"")</f>
        <v/>
      </c>
      <c r="L172" s="183">
        <f>IF(I172="Buy",-H172,IF(I172="Sell",H172,""))</f>
        <v/>
      </c>
    </row>
    <row r="173" ht="22" customHeight="1">
      <c r="B173" s="315" t="n"/>
      <c r="C173" s="240">
        <f>IF($B173="","",IF(COUNTIFS(Пул!$E$5:$E$300,$B173,Пул!$F$5:$F$300,"&lt;&gt;")=0,"",ROUND(SUMIFS(Пул!$F$5:$F$300,Пул!$E$5:$E$300,$B173),8)))</f>
        <v/>
      </c>
      <c r="D173" s="241">
        <f>IF($B173="","",IF(COUNTIFS(Пул!$E$5:$E$300,$B173,Пул!$G$5:$G$300,"&lt;&gt;")=0,"",ROUND(SUMIFS(Пул!$G$5:$G$300,Пул!$E$5:$E$300,$B173),8)))</f>
        <v/>
      </c>
      <c r="E173" s="240">
        <f>IF($B173="","",IF(COUNTIFS(Пул!$E$5:$E$300,$B173,Пул!$L$5:$L$300,"Закрыт")=0,"",ROUND(SUMIFS(Пул!$H$5:$H$300,Пул!$E$5:$E$300,$B173,Пул!$L$5:$L$300,"Закрыт"),8)))</f>
        <v/>
      </c>
      <c r="F173" s="241">
        <f>IF($B173="","",IF(COUNTIFS(Пул!$E$5:$E$300,$B173,Пул!$L$5:$L$300,"Закрыт")=0,"",ROUND(SUMIFS(Пул!$I$5:$I$300,Пул!$E$5:$E$300,$B173,Пул!$L$5:$L$300,"Закрыт"),8)))</f>
        <v/>
      </c>
      <c r="G173" s="240">
        <f>IF($B173="","",IF(COUNTIFS(Пул!$E$5:$E$300,$B173,Пул!$L$5:$L$300,"Закрыт")=0,"",ROUND(SUMIFS(Пул!$J$5:$J$300,Пул!$E$5:$E$300,$B173,Пул!$L$5:$L$300,"Закрыт"),8)))</f>
        <v/>
      </c>
      <c r="H173" s="241">
        <f>IF($B173="","",IF(COUNTIFS(Пул!$E$5:$E$300,$B173,Пул!$L$5:$L$300,"Закрыт")=0,"",ROUND(SUMIFS(Пул!$K$5:$K$300,Пул!$E$5:$E$300,$B173,Пул!$L$5:$L$300,"Закрыт"),8)))</f>
        <v/>
      </c>
      <c r="I173" s="236">
        <f>IF(AND(ISNUMBER(G173),ISNUMBER(H173)),IF(AND(G173&gt;0,H173&lt;0),"Buy",IF(AND(G173&lt;0,H173&gt;0),"Sell","")),"")</f>
        <v/>
      </c>
      <c r="J173" s="177">
        <f>IF(I173="Buy",G173,IF(I173="Sell",-G173,""))</f>
        <v/>
      </c>
      <c r="K173" s="177">
        <f>IF(AND(ISNUMBER(J173),ISNUMBER(L173),N(J173)&lt;&gt;0),ROUND(L173/J173,8),"")</f>
        <v/>
      </c>
      <c r="L173" s="177">
        <f>IF(I173="Buy",-H173,IF(I173="Sell",H173,""))</f>
        <v/>
      </c>
    </row>
    <row r="174" ht="22" customHeight="1">
      <c r="B174" s="320" t="n"/>
      <c r="C174" s="246">
        <f>IF($B174="","",IF(COUNTIFS(Пул!$E$5:$E$300,$B174,Пул!$F$5:$F$300,"&lt;&gt;")=0,"",ROUND(SUMIFS(Пул!$F$5:$F$300,Пул!$E$5:$E$300,$B174),8)))</f>
        <v/>
      </c>
      <c r="D174" s="247">
        <f>IF($B174="","",IF(COUNTIFS(Пул!$E$5:$E$300,$B174,Пул!$G$5:$G$300,"&lt;&gt;")=0,"",ROUND(SUMIFS(Пул!$G$5:$G$300,Пул!$E$5:$E$300,$B174),8)))</f>
        <v/>
      </c>
      <c r="E174" s="246">
        <f>IF($B174="","",IF(COUNTIFS(Пул!$E$5:$E$300,$B174,Пул!$L$5:$L$300,"Закрыт")=0,"",ROUND(SUMIFS(Пул!$H$5:$H$300,Пул!$E$5:$E$300,$B174,Пул!$L$5:$L$300,"Закрыт"),8)))</f>
        <v/>
      </c>
      <c r="F174" s="247">
        <f>IF($B174="","",IF(COUNTIFS(Пул!$E$5:$E$300,$B174,Пул!$L$5:$L$300,"Закрыт")=0,"",ROUND(SUMIFS(Пул!$I$5:$I$300,Пул!$E$5:$E$300,$B174,Пул!$L$5:$L$300,"Закрыт"),8)))</f>
        <v/>
      </c>
      <c r="G174" s="246">
        <f>IF($B174="","",IF(COUNTIFS(Пул!$E$5:$E$300,$B174,Пул!$L$5:$L$300,"Закрыт")=0,"",ROUND(SUMIFS(Пул!$J$5:$J$300,Пул!$E$5:$E$300,$B174,Пул!$L$5:$L$300,"Закрыт"),8)))</f>
        <v/>
      </c>
      <c r="H174" s="247">
        <f>IF($B174="","",IF(COUNTIFS(Пул!$E$5:$E$300,$B174,Пул!$L$5:$L$300,"Закрыт")=0,"",ROUND(SUMIFS(Пул!$K$5:$K$300,Пул!$E$5:$E$300,$B174,Пул!$L$5:$L$300,"Закрыт"),8)))</f>
        <v/>
      </c>
      <c r="I174" s="242">
        <f>IF(AND(ISNUMBER(G174),ISNUMBER(H174)),IF(AND(G174&gt;0,H174&lt;0),"Buy",IF(AND(G174&lt;0,H174&gt;0),"Sell","")),"")</f>
        <v/>
      </c>
      <c r="J174" s="183">
        <f>IF(I174="Buy",G174,IF(I174="Sell",-G174,""))</f>
        <v/>
      </c>
      <c r="K174" s="183">
        <f>IF(AND(ISNUMBER(J174),ISNUMBER(L174),N(J174)&lt;&gt;0),ROUND(L174/J174,8),"")</f>
        <v/>
      </c>
      <c r="L174" s="183">
        <f>IF(I174="Buy",-H174,IF(I174="Sell",H174,""))</f>
        <v/>
      </c>
    </row>
    <row r="175" ht="22" customHeight="1">
      <c r="B175" s="315" t="n"/>
      <c r="C175" s="240">
        <f>IF($B175="","",IF(COUNTIFS(Пул!$E$5:$E$300,$B175,Пул!$F$5:$F$300,"&lt;&gt;")=0,"",ROUND(SUMIFS(Пул!$F$5:$F$300,Пул!$E$5:$E$300,$B175),8)))</f>
        <v/>
      </c>
      <c r="D175" s="241">
        <f>IF($B175="","",IF(COUNTIFS(Пул!$E$5:$E$300,$B175,Пул!$G$5:$G$300,"&lt;&gt;")=0,"",ROUND(SUMIFS(Пул!$G$5:$G$300,Пул!$E$5:$E$300,$B175),8)))</f>
        <v/>
      </c>
      <c r="E175" s="240">
        <f>IF($B175="","",IF(COUNTIFS(Пул!$E$5:$E$300,$B175,Пул!$L$5:$L$300,"Закрыт")=0,"",ROUND(SUMIFS(Пул!$H$5:$H$300,Пул!$E$5:$E$300,$B175,Пул!$L$5:$L$300,"Закрыт"),8)))</f>
        <v/>
      </c>
      <c r="F175" s="241">
        <f>IF($B175="","",IF(COUNTIFS(Пул!$E$5:$E$300,$B175,Пул!$L$5:$L$300,"Закрыт")=0,"",ROUND(SUMIFS(Пул!$I$5:$I$300,Пул!$E$5:$E$300,$B175,Пул!$L$5:$L$300,"Закрыт"),8)))</f>
        <v/>
      </c>
      <c r="G175" s="240">
        <f>IF($B175="","",IF(COUNTIFS(Пул!$E$5:$E$300,$B175,Пул!$L$5:$L$300,"Закрыт")=0,"",ROUND(SUMIFS(Пул!$J$5:$J$300,Пул!$E$5:$E$300,$B175,Пул!$L$5:$L$300,"Закрыт"),8)))</f>
        <v/>
      </c>
      <c r="H175" s="241">
        <f>IF($B175="","",IF(COUNTIFS(Пул!$E$5:$E$300,$B175,Пул!$L$5:$L$300,"Закрыт")=0,"",ROUND(SUMIFS(Пул!$K$5:$K$300,Пул!$E$5:$E$300,$B175,Пул!$L$5:$L$300,"Закрыт"),8)))</f>
        <v/>
      </c>
      <c r="I175" s="236">
        <f>IF(AND(ISNUMBER(G175),ISNUMBER(H175)),IF(AND(G175&gt;0,H175&lt;0),"Buy",IF(AND(G175&lt;0,H175&gt;0),"Sell","")),"")</f>
        <v/>
      </c>
      <c r="J175" s="177">
        <f>IF(I175="Buy",G175,IF(I175="Sell",-G175,""))</f>
        <v/>
      </c>
      <c r="K175" s="177">
        <f>IF(AND(ISNUMBER(J175),ISNUMBER(L175),N(J175)&lt;&gt;0),ROUND(L175/J175,8),"")</f>
        <v/>
      </c>
      <c r="L175" s="177">
        <f>IF(I175="Buy",-H175,IF(I175="Sell",H175,""))</f>
        <v/>
      </c>
    </row>
    <row r="176" ht="22" customHeight="1">
      <c r="B176" s="320" t="n"/>
      <c r="C176" s="246">
        <f>IF($B176="","",IF(COUNTIFS(Пул!$E$5:$E$300,$B176,Пул!$F$5:$F$300,"&lt;&gt;")=0,"",ROUND(SUMIFS(Пул!$F$5:$F$300,Пул!$E$5:$E$300,$B176),8)))</f>
        <v/>
      </c>
      <c r="D176" s="247">
        <f>IF($B176="","",IF(COUNTIFS(Пул!$E$5:$E$300,$B176,Пул!$G$5:$G$300,"&lt;&gt;")=0,"",ROUND(SUMIFS(Пул!$G$5:$G$300,Пул!$E$5:$E$300,$B176),8)))</f>
        <v/>
      </c>
      <c r="E176" s="246">
        <f>IF($B176="","",IF(COUNTIFS(Пул!$E$5:$E$300,$B176,Пул!$L$5:$L$300,"Закрыт")=0,"",ROUND(SUMIFS(Пул!$H$5:$H$300,Пул!$E$5:$E$300,$B176,Пул!$L$5:$L$300,"Закрыт"),8)))</f>
        <v/>
      </c>
      <c r="F176" s="247">
        <f>IF($B176="","",IF(COUNTIFS(Пул!$E$5:$E$300,$B176,Пул!$L$5:$L$300,"Закрыт")=0,"",ROUND(SUMIFS(Пул!$I$5:$I$300,Пул!$E$5:$E$300,$B176,Пул!$L$5:$L$300,"Закрыт"),8)))</f>
        <v/>
      </c>
      <c r="G176" s="246">
        <f>IF($B176="","",IF(COUNTIFS(Пул!$E$5:$E$300,$B176,Пул!$L$5:$L$300,"Закрыт")=0,"",ROUND(SUMIFS(Пул!$J$5:$J$300,Пул!$E$5:$E$300,$B176,Пул!$L$5:$L$300,"Закрыт"),8)))</f>
        <v/>
      </c>
      <c r="H176" s="247">
        <f>IF($B176="","",IF(COUNTIFS(Пул!$E$5:$E$300,$B176,Пул!$L$5:$L$300,"Закрыт")=0,"",ROUND(SUMIFS(Пул!$K$5:$K$300,Пул!$E$5:$E$300,$B176,Пул!$L$5:$L$300,"Закрыт"),8)))</f>
        <v/>
      </c>
      <c r="I176" s="242">
        <f>IF(AND(ISNUMBER(G176),ISNUMBER(H176)),IF(AND(G176&gt;0,H176&lt;0),"Buy",IF(AND(G176&lt;0,H176&gt;0),"Sell","")),"")</f>
        <v/>
      </c>
      <c r="J176" s="183">
        <f>IF(I176="Buy",G176,IF(I176="Sell",-G176,""))</f>
        <v/>
      </c>
      <c r="K176" s="183">
        <f>IF(AND(ISNUMBER(J176),ISNUMBER(L176),N(J176)&lt;&gt;0),ROUND(L176/J176,8),"")</f>
        <v/>
      </c>
      <c r="L176" s="183">
        <f>IF(I176="Buy",-H176,IF(I176="Sell",H176,""))</f>
        <v/>
      </c>
    </row>
    <row r="177" ht="22" customHeight="1">
      <c r="B177" s="315" t="n"/>
      <c r="C177" s="240">
        <f>IF($B177="","",IF(COUNTIFS(Пул!$E$5:$E$300,$B177,Пул!$F$5:$F$300,"&lt;&gt;")=0,"",ROUND(SUMIFS(Пул!$F$5:$F$300,Пул!$E$5:$E$300,$B177),8)))</f>
        <v/>
      </c>
      <c r="D177" s="241">
        <f>IF($B177="","",IF(COUNTIFS(Пул!$E$5:$E$300,$B177,Пул!$G$5:$G$300,"&lt;&gt;")=0,"",ROUND(SUMIFS(Пул!$G$5:$G$300,Пул!$E$5:$E$300,$B177),8)))</f>
        <v/>
      </c>
      <c r="E177" s="240">
        <f>IF($B177="","",IF(COUNTIFS(Пул!$E$5:$E$300,$B177,Пул!$L$5:$L$300,"Закрыт")=0,"",ROUND(SUMIFS(Пул!$H$5:$H$300,Пул!$E$5:$E$300,$B177,Пул!$L$5:$L$300,"Закрыт"),8)))</f>
        <v/>
      </c>
      <c r="F177" s="241">
        <f>IF($B177="","",IF(COUNTIFS(Пул!$E$5:$E$300,$B177,Пул!$L$5:$L$300,"Закрыт")=0,"",ROUND(SUMIFS(Пул!$I$5:$I$300,Пул!$E$5:$E$300,$B177,Пул!$L$5:$L$300,"Закрыт"),8)))</f>
        <v/>
      </c>
      <c r="G177" s="240">
        <f>IF($B177="","",IF(COUNTIFS(Пул!$E$5:$E$300,$B177,Пул!$L$5:$L$300,"Закрыт")=0,"",ROUND(SUMIFS(Пул!$J$5:$J$300,Пул!$E$5:$E$300,$B177,Пул!$L$5:$L$300,"Закрыт"),8)))</f>
        <v/>
      </c>
      <c r="H177" s="241">
        <f>IF($B177="","",IF(COUNTIFS(Пул!$E$5:$E$300,$B177,Пул!$L$5:$L$300,"Закрыт")=0,"",ROUND(SUMIFS(Пул!$K$5:$K$300,Пул!$E$5:$E$300,$B177,Пул!$L$5:$L$300,"Закрыт"),8)))</f>
        <v/>
      </c>
      <c r="I177" s="236">
        <f>IF(AND(ISNUMBER(G177),ISNUMBER(H177)),IF(AND(G177&gt;0,H177&lt;0),"Buy",IF(AND(G177&lt;0,H177&gt;0),"Sell","")),"")</f>
        <v/>
      </c>
      <c r="J177" s="177">
        <f>IF(I177="Buy",G177,IF(I177="Sell",-G177,""))</f>
        <v/>
      </c>
      <c r="K177" s="177">
        <f>IF(AND(ISNUMBER(J177),ISNUMBER(L177),N(J177)&lt;&gt;0),ROUND(L177/J177,8),"")</f>
        <v/>
      </c>
      <c r="L177" s="177">
        <f>IF(I177="Buy",-H177,IF(I177="Sell",H177,""))</f>
        <v/>
      </c>
    </row>
    <row r="178" ht="22" customHeight="1">
      <c r="B178" s="320" t="n"/>
      <c r="C178" s="246">
        <f>IF($B178="","",IF(COUNTIFS(Пул!$E$5:$E$300,$B178,Пул!$F$5:$F$300,"&lt;&gt;")=0,"",ROUND(SUMIFS(Пул!$F$5:$F$300,Пул!$E$5:$E$300,$B178),8)))</f>
        <v/>
      </c>
      <c r="D178" s="247">
        <f>IF($B178="","",IF(COUNTIFS(Пул!$E$5:$E$300,$B178,Пул!$G$5:$G$300,"&lt;&gt;")=0,"",ROUND(SUMIFS(Пул!$G$5:$G$300,Пул!$E$5:$E$300,$B178),8)))</f>
        <v/>
      </c>
      <c r="E178" s="246">
        <f>IF($B178="","",IF(COUNTIFS(Пул!$E$5:$E$300,$B178,Пул!$L$5:$L$300,"Закрыт")=0,"",ROUND(SUMIFS(Пул!$H$5:$H$300,Пул!$E$5:$E$300,$B178,Пул!$L$5:$L$300,"Закрыт"),8)))</f>
        <v/>
      </c>
      <c r="F178" s="247">
        <f>IF($B178="","",IF(COUNTIFS(Пул!$E$5:$E$300,$B178,Пул!$L$5:$L$300,"Закрыт")=0,"",ROUND(SUMIFS(Пул!$I$5:$I$300,Пул!$E$5:$E$300,$B178,Пул!$L$5:$L$300,"Закрыт"),8)))</f>
        <v/>
      </c>
      <c r="G178" s="246">
        <f>IF($B178="","",IF(COUNTIFS(Пул!$E$5:$E$300,$B178,Пул!$L$5:$L$300,"Закрыт")=0,"",ROUND(SUMIFS(Пул!$J$5:$J$300,Пул!$E$5:$E$300,$B178,Пул!$L$5:$L$300,"Закрыт"),8)))</f>
        <v/>
      </c>
      <c r="H178" s="247">
        <f>IF($B178="","",IF(COUNTIFS(Пул!$E$5:$E$300,$B178,Пул!$L$5:$L$300,"Закрыт")=0,"",ROUND(SUMIFS(Пул!$K$5:$K$300,Пул!$E$5:$E$300,$B178,Пул!$L$5:$L$300,"Закрыт"),8)))</f>
        <v/>
      </c>
      <c r="I178" s="242">
        <f>IF(AND(ISNUMBER(G178),ISNUMBER(H178)),IF(AND(G178&gt;0,H178&lt;0),"Buy",IF(AND(G178&lt;0,H178&gt;0),"Sell","")),"")</f>
        <v/>
      </c>
      <c r="J178" s="183">
        <f>IF(I178="Buy",G178,IF(I178="Sell",-G178,""))</f>
        <v/>
      </c>
      <c r="K178" s="183">
        <f>IF(AND(ISNUMBER(J178),ISNUMBER(L178),N(J178)&lt;&gt;0),ROUND(L178/J178,8),"")</f>
        <v/>
      </c>
      <c r="L178" s="183">
        <f>IF(I178="Buy",-H178,IF(I178="Sell",H178,""))</f>
        <v/>
      </c>
    </row>
    <row r="179" ht="22" customHeight="1">
      <c r="B179" s="315" t="n"/>
      <c r="C179" s="240">
        <f>IF($B179="","",IF(COUNTIFS(Пул!$E$5:$E$300,$B179,Пул!$F$5:$F$300,"&lt;&gt;")=0,"",ROUND(SUMIFS(Пул!$F$5:$F$300,Пул!$E$5:$E$300,$B179),8)))</f>
        <v/>
      </c>
      <c r="D179" s="241">
        <f>IF($B179="","",IF(COUNTIFS(Пул!$E$5:$E$300,$B179,Пул!$G$5:$G$300,"&lt;&gt;")=0,"",ROUND(SUMIFS(Пул!$G$5:$G$300,Пул!$E$5:$E$300,$B179),8)))</f>
        <v/>
      </c>
      <c r="E179" s="240">
        <f>IF($B179="","",IF(COUNTIFS(Пул!$E$5:$E$300,$B179,Пул!$L$5:$L$300,"Закрыт")=0,"",ROUND(SUMIFS(Пул!$H$5:$H$300,Пул!$E$5:$E$300,$B179,Пул!$L$5:$L$300,"Закрыт"),8)))</f>
        <v/>
      </c>
      <c r="F179" s="241">
        <f>IF($B179="","",IF(COUNTIFS(Пул!$E$5:$E$300,$B179,Пул!$L$5:$L$300,"Закрыт")=0,"",ROUND(SUMIFS(Пул!$I$5:$I$300,Пул!$E$5:$E$300,$B179,Пул!$L$5:$L$300,"Закрыт"),8)))</f>
        <v/>
      </c>
      <c r="G179" s="240">
        <f>IF($B179="","",IF(COUNTIFS(Пул!$E$5:$E$300,$B179,Пул!$L$5:$L$300,"Закрыт")=0,"",ROUND(SUMIFS(Пул!$J$5:$J$300,Пул!$E$5:$E$300,$B179,Пул!$L$5:$L$300,"Закрыт"),8)))</f>
        <v/>
      </c>
      <c r="H179" s="241">
        <f>IF($B179="","",IF(COUNTIFS(Пул!$E$5:$E$300,$B179,Пул!$L$5:$L$300,"Закрыт")=0,"",ROUND(SUMIFS(Пул!$K$5:$K$300,Пул!$E$5:$E$300,$B179,Пул!$L$5:$L$300,"Закрыт"),8)))</f>
        <v/>
      </c>
      <c r="I179" s="236">
        <f>IF(AND(ISNUMBER(G179),ISNUMBER(H179)),IF(AND(G179&gt;0,H179&lt;0),"Buy",IF(AND(G179&lt;0,H179&gt;0),"Sell","")),"")</f>
        <v/>
      </c>
      <c r="J179" s="177">
        <f>IF(I179="Buy",G179,IF(I179="Sell",-G179,""))</f>
        <v/>
      </c>
      <c r="K179" s="177">
        <f>IF(AND(ISNUMBER(J179),ISNUMBER(L179),N(J179)&lt;&gt;0),ROUND(L179/J179,8),"")</f>
        <v/>
      </c>
      <c r="L179" s="177">
        <f>IF(I179="Buy",-H179,IF(I179="Sell",H179,""))</f>
        <v/>
      </c>
    </row>
    <row r="180" ht="22" customHeight="1">
      <c r="B180" s="320" t="n"/>
      <c r="C180" s="246">
        <f>IF($B180="","",IF(COUNTIFS(Пул!$E$5:$E$300,$B180,Пул!$F$5:$F$300,"&lt;&gt;")=0,"",ROUND(SUMIFS(Пул!$F$5:$F$300,Пул!$E$5:$E$300,$B180),8)))</f>
        <v/>
      </c>
      <c r="D180" s="247">
        <f>IF($B180="","",IF(COUNTIFS(Пул!$E$5:$E$300,$B180,Пул!$G$5:$G$300,"&lt;&gt;")=0,"",ROUND(SUMIFS(Пул!$G$5:$G$300,Пул!$E$5:$E$300,$B180),8)))</f>
        <v/>
      </c>
      <c r="E180" s="246">
        <f>IF($B180="","",IF(COUNTIFS(Пул!$E$5:$E$300,$B180,Пул!$L$5:$L$300,"Закрыт")=0,"",ROUND(SUMIFS(Пул!$H$5:$H$300,Пул!$E$5:$E$300,$B180,Пул!$L$5:$L$300,"Закрыт"),8)))</f>
        <v/>
      </c>
      <c r="F180" s="247">
        <f>IF($B180="","",IF(COUNTIFS(Пул!$E$5:$E$300,$B180,Пул!$L$5:$L$300,"Закрыт")=0,"",ROUND(SUMIFS(Пул!$I$5:$I$300,Пул!$E$5:$E$300,$B180,Пул!$L$5:$L$300,"Закрыт"),8)))</f>
        <v/>
      </c>
      <c r="G180" s="246">
        <f>IF($B180="","",IF(COUNTIFS(Пул!$E$5:$E$300,$B180,Пул!$L$5:$L$300,"Закрыт")=0,"",ROUND(SUMIFS(Пул!$J$5:$J$300,Пул!$E$5:$E$300,$B180,Пул!$L$5:$L$300,"Закрыт"),8)))</f>
        <v/>
      </c>
      <c r="H180" s="247">
        <f>IF($B180="","",IF(COUNTIFS(Пул!$E$5:$E$300,$B180,Пул!$L$5:$L$300,"Закрыт")=0,"",ROUND(SUMIFS(Пул!$K$5:$K$300,Пул!$E$5:$E$300,$B180,Пул!$L$5:$L$300,"Закрыт"),8)))</f>
        <v/>
      </c>
      <c r="I180" s="242">
        <f>IF(AND(ISNUMBER(G180),ISNUMBER(H180)),IF(AND(G180&gt;0,H180&lt;0),"Buy",IF(AND(G180&lt;0,H180&gt;0),"Sell","")),"")</f>
        <v/>
      </c>
      <c r="J180" s="183">
        <f>IF(I180="Buy",G180,IF(I180="Sell",-G180,""))</f>
        <v/>
      </c>
      <c r="K180" s="183">
        <f>IF(AND(ISNUMBER(J180),ISNUMBER(L180),N(J180)&lt;&gt;0),ROUND(L180/J180,8),"")</f>
        <v/>
      </c>
      <c r="L180" s="183">
        <f>IF(I180="Buy",-H180,IF(I180="Sell",H180,""))</f>
        <v/>
      </c>
    </row>
    <row r="181" ht="22" customHeight="1">
      <c r="B181" s="315" t="n"/>
      <c r="C181" s="240">
        <f>IF($B181="","",IF(COUNTIFS(Пул!$E$5:$E$300,$B181,Пул!$F$5:$F$300,"&lt;&gt;")=0,"",ROUND(SUMIFS(Пул!$F$5:$F$300,Пул!$E$5:$E$300,$B181),8)))</f>
        <v/>
      </c>
      <c r="D181" s="241">
        <f>IF($B181="","",IF(COUNTIFS(Пул!$E$5:$E$300,$B181,Пул!$G$5:$G$300,"&lt;&gt;")=0,"",ROUND(SUMIFS(Пул!$G$5:$G$300,Пул!$E$5:$E$300,$B181),8)))</f>
        <v/>
      </c>
      <c r="E181" s="240">
        <f>IF($B181="","",IF(COUNTIFS(Пул!$E$5:$E$300,$B181,Пул!$L$5:$L$300,"Закрыт")=0,"",ROUND(SUMIFS(Пул!$H$5:$H$300,Пул!$E$5:$E$300,$B181,Пул!$L$5:$L$300,"Закрыт"),8)))</f>
        <v/>
      </c>
      <c r="F181" s="241">
        <f>IF($B181="","",IF(COUNTIFS(Пул!$E$5:$E$300,$B181,Пул!$L$5:$L$300,"Закрыт")=0,"",ROUND(SUMIFS(Пул!$I$5:$I$300,Пул!$E$5:$E$300,$B181,Пул!$L$5:$L$300,"Закрыт"),8)))</f>
        <v/>
      </c>
      <c r="G181" s="240">
        <f>IF($B181="","",IF(COUNTIFS(Пул!$E$5:$E$300,$B181,Пул!$L$5:$L$300,"Закрыт")=0,"",ROUND(SUMIFS(Пул!$J$5:$J$300,Пул!$E$5:$E$300,$B181,Пул!$L$5:$L$300,"Закрыт"),8)))</f>
        <v/>
      </c>
      <c r="H181" s="241">
        <f>IF($B181="","",IF(COUNTIFS(Пул!$E$5:$E$300,$B181,Пул!$L$5:$L$300,"Закрыт")=0,"",ROUND(SUMIFS(Пул!$K$5:$K$300,Пул!$E$5:$E$300,$B181,Пул!$L$5:$L$300,"Закрыт"),8)))</f>
        <v/>
      </c>
      <c r="I181" s="236">
        <f>IF(AND(ISNUMBER(G181),ISNUMBER(H181)),IF(AND(G181&gt;0,H181&lt;0),"Buy",IF(AND(G181&lt;0,H181&gt;0),"Sell","")),"")</f>
        <v/>
      </c>
      <c r="J181" s="177">
        <f>IF(I181="Buy",G181,IF(I181="Sell",-G181,""))</f>
        <v/>
      </c>
      <c r="K181" s="177">
        <f>IF(AND(ISNUMBER(J181),ISNUMBER(L181),N(J181)&lt;&gt;0),ROUND(L181/J181,8),"")</f>
        <v/>
      </c>
      <c r="L181" s="177">
        <f>IF(I181="Buy",-H181,IF(I181="Sell",H181,""))</f>
        <v/>
      </c>
    </row>
    <row r="182" ht="22" customHeight="1">
      <c r="B182" s="320" t="n"/>
      <c r="C182" s="246">
        <f>IF($B182="","",IF(COUNTIFS(Пул!$E$5:$E$300,$B182,Пул!$F$5:$F$300,"&lt;&gt;")=0,"",ROUND(SUMIFS(Пул!$F$5:$F$300,Пул!$E$5:$E$300,$B182),8)))</f>
        <v/>
      </c>
      <c r="D182" s="247">
        <f>IF($B182="","",IF(COUNTIFS(Пул!$E$5:$E$300,$B182,Пул!$G$5:$G$300,"&lt;&gt;")=0,"",ROUND(SUMIFS(Пул!$G$5:$G$300,Пул!$E$5:$E$300,$B182),8)))</f>
        <v/>
      </c>
      <c r="E182" s="246">
        <f>IF($B182="","",IF(COUNTIFS(Пул!$E$5:$E$300,$B182,Пул!$L$5:$L$300,"Закрыт")=0,"",ROUND(SUMIFS(Пул!$H$5:$H$300,Пул!$E$5:$E$300,$B182,Пул!$L$5:$L$300,"Закрыт"),8)))</f>
        <v/>
      </c>
      <c r="F182" s="247">
        <f>IF($B182="","",IF(COUNTIFS(Пул!$E$5:$E$300,$B182,Пул!$L$5:$L$300,"Закрыт")=0,"",ROUND(SUMIFS(Пул!$I$5:$I$300,Пул!$E$5:$E$300,$B182,Пул!$L$5:$L$300,"Закрыт"),8)))</f>
        <v/>
      </c>
      <c r="G182" s="246">
        <f>IF($B182="","",IF(COUNTIFS(Пул!$E$5:$E$300,$B182,Пул!$L$5:$L$300,"Закрыт")=0,"",ROUND(SUMIFS(Пул!$J$5:$J$300,Пул!$E$5:$E$300,$B182,Пул!$L$5:$L$300,"Закрыт"),8)))</f>
        <v/>
      </c>
      <c r="H182" s="247">
        <f>IF($B182="","",IF(COUNTIFS(Пул!$E$5:$E$300,$B182,Пул!$L$5:$L$300,"Закрыт")=0,"",ROUND(SUMIFS(Пул!$K$5:$K$300,Пул!$E$5:$E$300,$B182,Пул!$L$5:$L$300,"Закрыт"),8)))</f>
        <v/>
      </c>
      <c r="I182" s="242">
        <f>IF(AND(ISNUMBER(G182),ISNUMBER(H182)),IF(AND(G182&gt;0,H182&lt;0),"Buy",IF(AND(G182&lt;0,H182&gt;0),"Sell","")),"")</f>
        <v/>
      </c>
      <c r="J182" s="183">
        <f>IF(I182="Buy",G182,IF(I182="Sell",-G182,""))</f>
        <v/>
      </c>
      <c r="K182" s="183">
        <f>IF(AND(ISNUMBER(J182),ISNUMBER(L182),N(J182)&lt;&gt;0),ROUND(L182/J182,8),"")</f>
        <v/>
      </c>
      <c r="L182" s="183">
        <f>IF(I182="Buy",-H182,IF(I182="Sell",H182,""))</f>
        <v/>
      </c>
    </row>
    <row r="183" ht="22" customHeight="1">
      <c r="B183" s="315" t="n"/>
      <c r="C183" s="240">
        <f>IF($B183="","",IF(COUNTIFS(Пул!$E$5:$E$300,$B183,Пул!$F$5:$F$300,"&lt;&gt;")=0,"",ROUND(SUMIFS(Пул!$F$5:$F$300,Пул!$E$5:$E$300,$B183),8)))</f>
        <v/>
      </c>
      <c r="D183" s="241">
        <f>IF($B183="","",IF(COUNTIFS(Пул!$E$5:$E$300,$B183,Пул!$G$5:$G$300,"&lt;&gt;")=0,"",ROUND(SUMIFS(Пул!$G$5:$G$300,Пул!$E$5:$E$300,$B183),8)))</f>
        <v/>
      </c>
      <c r="E183" s="240">
        <f>IF($B183="","",IF(COUNTIFS(Пул!$E$5:$E$300,$B183,Пул!$L$5:$L$300,"Закрыт")=0,"",ROUND(SUMIFS(Пул!$H$5:$H$300,Пул!$E$5:$E$300,$B183,Пул!$L$5:$L$300,"Закрыт"),8)))</f>
        <v/>
      </c>
      <c r="F183" s="241">
        <f>IF($B183="","",IF(COUNTIFS(Пул!$E$5:$E$300,$B183,Пул!$L$5:$L$300,"Закрыт")=0,"",ROUND(SUMIFS(Пул!$I$5:$I$300,Пул!$E$5:$E$300,$B183,Пул!$L$5:$L$300,"Закрыт"),8)))</f>
        <v/>
      </c>
      <c r="G183" s="240">
        <f>IF($B183="","",IF(COUNTIFS(Пул!$E$5:$E$300,$B183,Пул!$L$5:$L$300,"Закрыт")=0,"",ROUND(SUMIFS(Пул!$J$5:$J$300,Пул!$E$5:$E$300,$B183,Пул!$L$5:$L$300,"Закрыт"),8)))</f>
        <v/>
      </c>
      <c r="H183" s="241">
        <f>IF($B183="","",IF(COUNTIFS(Пул!$E$5:$E$300,$B183,Пул!$L$5:$L$300,"Закрыт")=0,"",ROUND(SUMIFS(Пул!$K$5:$K$300,Пул!$E$5:$E$300,$B183,Пул!$L$5:$L$300,"Закрыт"),8)))</f>
        <v/>
      </c>
      <c r="I183" s="236">
        <f>IF(AND(ISNUMBER(G183),ISNUMBER(H183)),IF(AND(G183&gt;0,H183&lt;0),"Buy",IF(AND(G183&lt;0,H183&gt;0),"Sell","")),"")</f>
        <v/>
      </c>
      <c r="J183" s="177">
        <f>IF(I183="Buy",G183,IF(I183="Sell",-G183,""))</f>
        <v/>
      </c>
      <c r="K183" s="177">
        <f>IF(AND(ISNUMBER(J183),ISNUMBER(L183),N(J183)&lt;&gt;0),ROUND(L183/J183,8),"")</f>
        <v/>
      </c>
      <c r="L183" s="177">
        <f>IF(I183="Buy",-H183,IF(I183="Sell",H183,""))</f>
        <v/>
      </c>
    </row>
    <row r="184" ht="22" customHeight="1">
      <c r="B184" s="320" t="n"/>
      <c r="C184" s="246">
        <f>IF($B184="","",IF(COUNTIFS(Пул!$E$5:$E$300,$B184,Пул!$F$5:$F$300,"&lt;&gt;")=0,"",ROUND(SUMIFS(Пул!$F$5:$F$300,Пул!$E$5:$E$300,$B184),8)))</f>
        <v/>
      </c>
      <c r="D184" s="247">
        <f>IF($B184="","",IF(COUNTIFS(Пул!$E$5:$E$300,$B184,Пул!$G$5:$G$300,"&lt;&gt;")=0,"",ROUND(SUMIFS(Пул!$G$5:$G$300,Пул!$E$5:$E$300,$B184),8)))</f>
        <v/>
      </c>
      <c r="E184" s="246">
        <f>IF($B184="","",IF(COUNTIFS(Пул!$E$5:$E$300,$B184,Пул!$L$5:$L$300,"Закрыт")=0,"",ROUND(SUMIFS(Пул!$H$5:$H$300,Пул!$E$5:$E$300,$B184,Пул!$L$5:$L$300,"Закрыт"),8)))</f>
        <v/>
      </c>
      <c r="F184" s="247">
        <f>IF($B184="","",IF(COUNTIFS(Пул!$E$5:$E$300,$B184,Пул!$L$5:$L$300,"Закрыт")=0,"",ROUND(SUMIFS(Пул!$I$5:$I$300,Пул!$E$5:$E$300,$B184,Пул!$L$5:$L$300,"Закрыт"),8)))</f>
        <v/>
      </c>
      <c r="G184" s="246">
        <f>IF($B184="","",IF(COUNTIFS(Пул!$E$5:$E$300,$B184,Пул!$L$5:$L$300,"Закрыт")=0,"",ROUND(SUMIFS(Пул!$J$5:$J$300,Пул!$E$5:$E$300,$B184,Пул!$L$5:$L$300,"Закрыт"),8)))</f>
        <v/>
      </c>
      <c r="H184" s="247">
        <f>IF($B184="","",IF(COUNTIFS(Пул!$E$5:$E$300,$B184,Пул!$L$5:$L$300,"Закрыт")=0,"",ROUND(SUMIFS(Пул!$K$5:$K$300,Пул!$E$5:$E$300,$B184,Пул!$L$5:$L$300,"Закрыт"),8)))</f>
        <v/>
      </c>
      <c r="I184" s="242">
        <f>IF(AND(ISNUMBER(G184),ISNUMBER(H184)),IF(AND(G184&gt;0,H184&lt;0),"Buy",IF(AND(G184&lt;0,H184&gt;0),"Sell","")),"")</f>
        <v/>
      </c>
      <c r="J184" s="183">
        <f>IF(I184="Buy",G184,IF(I184="Sell",-G184,""))</f>
        <v/>
      </c>
      <c r="K184" s="183">
        <f>IF(AND(ISNUMBER(J184),ISNUMBER(L184),N(J184)&lt;&gt;0),ROUND(L184/J184,8),"")</f>
        <v/>
      </c>
      <c r="L184" s="183">
        <f>IF(I184="Buy",-H184,IF(I184="Sell",H184,""))</f>
        <v/>
      </c>
    </row>
    <row r="185" ht="22" customHeight="1">
      <c r="B185" s="315" t="n"/>
      <c r="C185" s="240">
        <f>IF($B185="","",IF(COUNTIFS(Пул!$E$5:$E$300,$B185,Пул!$F$5:$F$300,"&lt;&gt;")=0,"",ROUND(SUMIFS(Пул!$F$5:$F$300,Пул!$E$5:$E$300,$B185),8)))</f>
        <v/>
      </c>
      <c r="D185" s="241">
        <f>IF($B185="","",IF(COUNTIFS(Пул!$E$5:$E$300,$B185,Пул!$G$5:$G$300,"&lt;&gt;")=0,"",ROUND(SUMIFS(Пул!$G$5:$G$300,Пул!$E$5:$E$300,$B185),8)))</f>
        <v/>
      </c>
      <c r="E185" s="240">
        <f>IF($B185="","",IF(COUNTIFS(Пул!$E$5:$E$300,$B185,Пул!$L$5:$L$300,"Закрыт")=0,"",ROUND(SUMIFS(Пул!$H$5:$H$300,Пул!$E$5:$E$300,$B185,Пул!$L$5:$L$300,"Закрыт"),8)))</f>
        <v/>
      </c>
      <c r="F185" s="241">
        <f>IF($B185="","",IF(COUNTIFS(Пул!$E$5:$E$300,$B185,Пул!$L$5:$L$300,"Закрыт")=0,"",ROUND(SUMIFS(Пул!$I$5:$I$300,Пул!$E$5:$E$300,$B185,Пул!$L$5:$L$300,"Закрыт"),8)))</f>
        <v/>
      </c>
      <c r="G185" s="240">
        <f>IF($B185="","",IF(COUNTIFS(Пул!$E$5:$E$300,$B185,Пул!$L$5:$L$300,"Закрыт")=0,"",ROUND(SUMIFS(Пул!$J$5:$J$300,Пул!$E$5:$E$300,$B185,Пул!$L$5:$L$300,"Закрыт"),8)))</f>
        <v/>
      </c>
      <c r="H185" s="241">
        <f>IF($B185="","",IF(COUNTIFS(Пул!$E$5:$E$300,$B185,Пул!$L$5:$L$300,"Закрыт")=0,"",ROUND(SUMIFS(Пул!$K$5:$K$300,Пул!$E$5:$E$300,$B185,Пул!$L$5:$L$300,"Закрыт"),8)))</f>
        <v/>
      </c>
      <c r="I185" s="236">
        <f>IF(AND(ISNUMBER(G185),ISNUMBER(H185)),IF(AND(G185&gt;0,H185&lt;0),"Buy",IF(AND(G185&lt;0,H185&gt;0),"Sell","")),"")</f>
        <v/>
      </c>
      <c r="J185" s="177">
        <f>IF(I185="Buy",G185,IF(I185="Sell",-G185,""))</f>
        <v/>
      </c>
      <c r="K185" s="177">
        <f>IF(AND(ISNUMBER(J185),ISNUMBER(L185),N(J185)&lt;&gt;0),ROUND(L185/J185,8),"")</f>
        <v/>
      </c>
      <c r="L185" s="177">
        <f>IF(I185="Buy",-H185,IF(I185="Sell",H185,""))</f>
        <v/>
      </c>
    </row>
    <row r="186" ht="22" customHeight="1">
      <c r="B186" s="320" t="n"/>
      <c r="C186" s="246">
        <f>IF($B186="","",IF(COUNTIFS(Пул!$E$5:$E$300,$B186,Пул!$F$5:$F$300,"&lt;&gt;")=0,"",ROUND(SUMIFS(Пул!$F$5:$F$300,Пул!$E$5:$E$300,$B186),8)))</f>
        <v/>
      </c>
      <c r="D186" s="247">
        <f>IF($B186="","",IF(COUNTIFS(Пул!$E$5:$E$300,$B186,Пул!$G$5:$G$300,"&lt;&gt;")=0,"",ROUND(SUMIFS(Пул!$G$5:$G$300,Пул!$E$5:$E$300,$B186),8)))</f>
        <v/>
      </c>
      <c r="E186" s="246">
        <f>IF($B186="","",IF(COUNTIFS(Пул!$E$5:$E$300,$B186,Пул!$L$5:$L$300,"Закрыт")=0,"",ROUND(SUMIFS(Пул!$H$5:$H$300,Пул!$E$5:$E$300,$B186,Пул!$L$5:$L$300,"Закрыт"),8)))</f>
        <v/>
      </c>
      <c r="F186" s="247">
        <f>IF($B186="","",IF(COUNTIFS(Пул!$E$5:$E$300,$B186,Пул!$L$5:$L$300,"Закрыт")=0,"",ROUND(SUMIFS(Пул!$I$5:$I$300,Пул!$E$5:$E$300,$B186,Пул!$L$5:$L$300,"Закрыт"),8)))</f>
        <v/>
      </c>
      <c r="G186" s="246">
        <f>IF($B186="","",IF(COUNTIFS(Пул!$E$5:$E$300,$B186,Пул!$L$5:$L$300,"Закрыт")=0,"",ROUND(SUMIFS(Пул!$J$5:$J$300,Пул!$E$5:$E$300,$B186,Пул!$L$5:$L$300,"Закрыт"),8)))</f>
        <v/>
      </c>
      <c r="H186" s="247">
        <f>IF($B186="","",IF(COUNTIFS(Пул!$E$5:$E$300,$B186,Пул!$L$5:$L$300,"Закрыт")=0,"",ROUND(SUMIFS(Пул!$K$5:$K$300,Пул!$E$5:$E$300,$B186,Пул!$L$5:$L$300,"Закрыт"),8)))</f>
        <v/>
      </c>
      <c r="I186" s="242">
        <f>IF(AND(ISNUMBER(G186),ISNUMBER(H186)),IF(AND(G186&gt;0,H186&lt;0),"Buy",IF(AND(G186&lt;0,H186&gt;0),"Sell","")),"")</f>
        <v/>
      </c>
      <c r="J186" s="183">
        <f>IF(I186="Buy",G186,IF(I186="Sell",-G186,""))</f>
        <v/>
      </c>
      <c r="K186" s="183">
        <f>IF(AND(ISNUMBER(J186),ISNUMBER(L186),N(J186)&lt;&gt;0),ROUND(L186/J186,8),"")</f>
        <v/>
      </c>
      <c r="L186" s="183">
        <f>IF(I186="Buy",-H186,IF(I186="Sell",H186,""))</f>
        <v/>
      </c>
    </row>
    <row r="187" ht="22" customHeight="1">
      <c r="B187" s="315" t="n"/>
      <c r="C187" s="240">
        <f>IF($B187="","",IF(COUNTIFS(Пул!$E$5:$E$300,$B187,Пул!$F$5:$F$300,"&lt;&gt;")=0,"",ROUND(SUMIFS(Пул!$F$5:$F$300,Пул!$E$5:$E$300,$B187),8)))</f>
        <v/>
      </c>
      <c r="D187" s="241">
        <f>IF($B187="","",IF(COUNTIFS(Пул!$E$5:$E$300,$B187,Пул!$G$5:$G$300,"&lt;&gt;")=0,"",ROUND(SUMIFS(Пул!$G$5:$G$300,Пул!$E$5:$E$300,$B187),8)))</f>
        <v/>
      </c>
      <c r="E187" s="240">
        <f>IF($B187="","",IF(COUNTIFS(Пул!$E$5:$E$300,$B187,Пул!$L$5:$L$300,"Закрыт")=0,"",ROUND(SUMIFS(Пул!$H$5:$H$300,Пул!$E$5:$E$300,$B187,Пул!$L$5:$L$300,"Закрыт"),8)))</f>
        <v/>
      </c>
      <c r="F187" s="241">
        <f>IF($B187="","",IF(COUNTIFS(Пул!$E$5:$E$300,$B187,Пул!$L$5:$L$300,"Закрыт")=0,"",ROUND(SUMIFS(Пул!$I$5:$I$300,Пул!$E$5:$E$300,$B187,Пул!$L$5:$L$300,"Закрыт"),8)))</f>
        <v/>
      </c>
      <c r="G187" s="240">
        <f>IF($B187="","",IF(COUNTIFS(Пул!$E$5:$E$300,$B187,Пул!$L$5:$L$300,"Закрыт")=0,"",ROUND(SUMIFS(Пул!$J$5:$J$300,Пул!$E$5:$E$300,$B187,Пул!$L$5:$L$300,"Закрыт"),8)))</f>
        <v/>
      </c>
      <c r="H187" s="241">
        <f>IF($B187="","",IF(COUNTIFS(Пул!$E$5:$E$300,$B187,Пул!$L$5:$L$300,"Закрыт")=0,"",ROUND(SUMIFS(Пул!$K$5:$K$300,Пул!$E$5:$E$300,$B187,Пул!$L$5:$L$300,"Закрыт"),8)))</f>
        <v/>
      </c>
      <c r="I187" s="236">
        <f>IF(AND(ISNUMBER(G187),ISNUMBER(H187)),IF(AND(G187&gt;0,H187&lt;0),"Buy",IF(AND(G187&lt;0,H187&gt;0),"Sell","")),"")</f>
        <v/>
      </c>
      <c r="J187" s="177">
        <f>IF(I187="Buy",G187,IF(I187="Sell",-G187,""))</f>
        <v/>
      </c>
      <c r="K187" s="177">
        <f>IF(AND(ISNUMBER(J187),ISNUMBER(L187),N(J187)&lt;&gt;0),ROUND(L187/J187,8),"")</f>
        <v/>
      </c>
      <c r="L187" s="177">
        <f>IF(I187="Buy",-H187,IF(I187="Sell",H187,""))</f>
        <v/>
      </c>
    </row>
    <row r="188" ht="22" customHeight="1">
      <c r="B188" s="320" t="n"/>
      <c r="C188" s="246">
        <f>IF($B188="","",IF(COUNTIFS(Пул!$E$5:$E$300,$B188,Пул!$F$5:$F$300,"&lt;&gt;")=0,"",ROUND(SUMIFS(Пул!$F$5:$F$300,Пул!$E$5:$E$300,$B188),8)))</f>
        <v/>
      </c>
      <c r="D188" s="247">
        <f>IF($B188="","",IF(COUNTIFS(Пул!$E$5:$E$300,$B188,Пул!$G$5:$G$300,"&lt;&gt;")=0,"",ROUND(SUMIFS(Пул!$G$5:$G$300,Пул!$E$5:$E$300,$B188),8)))</f>
        <v/>
      </c>
      <c r="E188" s="246">
        <f>IF($B188="","",IF(COUNTIFS(Пул!$E$5:$E$300,$B188,Пул!$L$5:$L$300,"Закрыт")=0,"",ROUND(SUMIFS(Пул!$H$5:$H$300,Пул!$E$5:$E$300,$B188,Пул!$L$5:$L$300,"Закрыт"),8)))</f>
        <v/>
      </c>
      <c r="F188" s="247">
        <f>IF($B188="","",IF(COUNTIFS(Пул!$E$5:$E$300,$B188,Пул!$L$5:$L$300,"Закрыт")=0,"",ROUND(SUMIFS(Пул!$I$5:$I$300,Пул!$E$5:$E$300,$B188,Пул!$L$5:$L$300,"Закрыт"),8)))</f>
        <v/>
      </c>
      <c r="G188" s="246">
        <f>IF($B188="","",IF(COUNTIFS(Пул!$E$5:$E$300,$B188,Пул!$L$5:$L$300,"Закрыт")=0,"",ROUND(SUMIFS(Пул!$J$5:$J$300,Пул!$E$5:$E$300,$B188,Пул!$L$5:$L$300,"Закрыт"),8)))</f>
        <v/>
      </c>
      <c r="H188" s="247">
        <f>IF($B188="","",IF(COUNTIFS(Пул!$E$5:$E$300,$B188,Пул!$L$5:$L$300,"Закрыт")=0,"",ROUND(SUMIFS(Пул!$K$5:$K$300,Пул!$E$5:$E$300,$B188,Пул!$L$5:$L$300,"Закрыт"),8)))</f>
        <v/>
      </c>
      <c r="I188" s="242">
        <f>IF(AND(ISNUMBER(G188),ISNUMBER(H188)),IF(AND(G188&gt;0,H188&lt;0),"Buy",IF(AND(G188&lt;0,H188&gt;0),"Sell","")),"")</f>
        <v/>
      </c>
      <c r="J188" s="183">
        <f>IF(I188="Buy",G188,IF(I188="Sell",-G188,""))</f>
        <v/>
      </c>
      <c r="K188" s="183">
        <f>IF(AND(ISNUMBER(J188),ISNUMBER(L188),N(J188)&lt;&gt;0),ROUND(L188/J188,8),"")</f>
        <v/>
      </c>
      <c r="L188" s="183">
        <f>IF(I188="Buy",-H188,IF(I188="Sell",H188,""))</f>
        <v/>
      </c>
    </row>
    <row r="189" ht="22" customHeight="1">
      <c r="B189" s="315" t="n"/>
      <c r="C189" s="240">
        <f>IF($B189="","",IF(COUNTIFS(Пул!$E$5:$E$300,$B189,Пул!$F$5:$F$300,"&lt;&gt;")=0,"",ROUND(SUMIFS(Пул!$F$5:$F$300,Пул!$E$5:$E$300,$B189),8)))</f>
        <v/>
      </c>
      <c r="D189" s="241">
        <f>IF($B189="","",IF(COUNTIFS(Пул!$E$5:$E$300,$B189,Пул!$G$5:$G$300,"&lt;&gt;")=0,"",ROUND(SUMIFS(Пул!$G$5:$G$300,Пул!$E$5:$E$300,$B189),8)))</f>
        <v/>
      </c>
      <c r="E189" s="240">
        <f>IF($B189="","",IF(COUNTIFS(Пул!$E$5:$E$300,$B189,Пул!$L$5:$L$300,"Закрыт")=0,"",ROUND(SUMIFS(Пул!$H$5:$H$300,Пул!$E$5:$E$300,$B189,Пул!$L$5:$L$300,"Закрыт"),8)))</f>
        <v/>
      </c>
      <c r="F189" s="241">
        <f>IF($B189="","",IF(COUNTIFS(Пул!$E$5:$E$300,$B189,Пул!$L$5:$L$300,"Закрыт")=0,"",ROUND(SUMIFS(Пул!$I$5:$I$300,Пул!$E$5:$E$300,$B189,Пул!$L$5:$L$300,"Закрыт"),8)))</f>
        <v/>
      </c>
      <c r="G189" s="240">
        <f>IF($B189="","",IF(COUNTIFS(Пул!$E$5:$E$300,$B189,Пул!$L$5:$L$300,"Закрыт")=0,"",ROUND(SUMIFS(Пул!$J$5:$J$300,Пул!$E$5:$E$300,$B189,Пул!$L$5:$L$300,"Закрыт"),8)))</f>
        <v/>
      </c>
      <c r="H189" s="241">
        <f>IF($B189="","",IF(COUNTIFS(Пул!$E$5:$E$300,$B189,Пул!$L$5:$L$300,"Закрыт")=0,"",ROUND(SUMIFS(Пул!$K$5:$K$300,Пул!$E$5:$E$300,$B189,Пул!$L$5:$L$300,"Закрыт"),8)))</f>
        <v/>
      </c>
      <c r="I189" s="236">
        <f>IF(AND(ISNUMBER(G189),ISNUMBER(H189)),IF(AND(G189&gt;0,H189&lt;0),"Buy",IF(AND(G189&lt;0,H189&gt;0),"Sell","")),"")</f>
        <v/>
      </c>
      <c r="J189" s="177">
        <f>IF(I189="Buy",G189,IF(I189="Sell",-G189,""))</f>
        <v/>
      </c>
      <c r="K189" s="177">
        <f>IF(AND(ISNUMBER(J189),ISNUMBER(L189),N(J189)&lt;&gt;0),ROUND(L189/J189,8),"")</f>
        <v/>
      </c>
      <c r="L189" s="177">
        <f>IF(I189="Buy",-H189,IF(I189="Sell",H189,""))</f>
        <v/>
      </c>
    </row>
    <row r="190" ht="22" customHeight="1">
      <c r="B190" s="320" t="n"/>
      <c r="C190" s="246">
        <f>IF($B190="","",IF(COUNTIFS(Пул!$E$5:$E$300,$B190,Пул!$F$5:$F$300,"&lt;&gt;")=0,"",ROUND(SUMIFS(Пул!$F$5:$F$300,Пул!$E$5:$E$300,$B190),8)))</f>
        <v/>
      </c>
      <c r="D190" s="247">
        <f>IF($B190="","",IF(COUNTIFS(Пул!$E$5:$E$300,$B190,Пул!$G$5:$G$300,"&lt;&gt;")=0,"",ROUND(SUMIFS(Пул!$G$5:$G$300,Пул!$E$5:$E$300,$B190),8)))</f>
        <v/>
      </c>
      <c r="E190" s="246">
        <f>IF($B190="","",IF(COUNTIFS(Пул!$E$5:$E$300,$B190,Пул!$L$5:$L$300,"Закрыт")=0,"",ROUND(SUMIFS(Пул!$H$5:$H$300,Пул!$E$5:$E$300,$B190,Пул!$L$5:$L$300,"Закрыт"),8)))</f>
        <v/>
      </c>
      <c r="F190" s="247">
        <f>IF($B190="","",IF(COUNTIFS(Пул!$E$5:$E$300,$B190,Пул!$L$5:$L$300,"Закрыт")=0,"",ROUND(SUMIFS(Пул!$I$5:$I$300,Пул!$E$5:$E$300,$B190,Пул!$L$5:$L$300,"Закрыт"),8)))</f>
        <v/>
      </c>
      <c r="G190" s="246">
        <f>IF($B190="","",IF(COUNTIFS(Пул!$E$5:$E$300,$B190,Пул!$L$5:$L$300,"Закрыт")=0,"",ROUND(SUMIFS(Пул!$J$5:$J$300,Пул!$E$5:$E$300,$B190,Пул!$L$5:$L$300,"Закрыт"),8)))</f>
        <v/>
      </c>
      <c r="H190" s="247">
        <f>IF($B190="","",IF(COUNTIFS(Пул!$E$5:$E$300,$B190,Пул!$L$5:$L$300,"Закрыт")=0,"",ROUND(SUMIFS(Пул!$K$5:$K$300,Пул!$E$5:$E$300,$B190,Пул!$L$5:$L$300,"Закрыт"),8)))</f>
        <v/>
      </c>
      <c r="I190" s="242">
        <f>IF(AND(ISNUMBER(G190),ISNUMBER(H190)),IF(AND(G190&gt;0,H190&lt;0),"Buy",IF(AND(G190&lt;0,H190&gt;0),"Sell","")),"")</f>
        <v/>
      </c>
      <c r="J190" s="183">
        <f>IF(I190="Buy",G190,IF(I190="Sell",-G190,""))</f>
        <v/>
      </c>
      <c r="K190" s="183">
        <f>IF(AND(ISNUMBER(J190),ISNUMBER(L190),N(J190)&lt;&gt;0),ROUND(L190/J190,8),"")</f>
        <v/>
      </c>
      <c r="L190" s="183">
        <f>IF(I190="Buy",-H190,IF(I190="Sell",H190,""))</f>
        <v/>
      </c>
    </row>
    <row r="191" ht="22" customHeight="1">
      <c r="B191" s="315" t="n"/>
      <c r="C191" s="240">
        <f>IF($B191="","",IF(COUNTIFS(Пул!$E$5:$E$300,$B191,Пул!$F$5:$F$300,"&lt;&gt;")=0,"",ROUND(SUMIFS(Пул!$F$5:$F$300,Пул!$E$5:$E$300,$B191),8)))</f>
        <v/>
      </c>
      <c r="D191" s="241">
        <f>IF($B191="","",IF(COUNTIFS(Пул!$E$5:$E$300,$B191,Пул!$G$5:$G$300,"&lt;&gt;")=0,"",ROUND(SUMIFS(Пул!$G$5:$G$300,Пул!$E$5:$E$300,$B191),8)))</f>
        <v/>
      </c>
      <c r="E191" s="240">
        <f>IF($B191="","",IF(COUNTIFS(Пул!$E$5:$E$300,$B191,Пул!$L$5:$L$300,"Закрыт")=0,"",ROUND(SUMIFS(Пул!$H$5:$H$300,Пул!$E$5:$E$300,$B191,Пул!$L$5:$L$300,"Закрыт"),8)))</f>
        <v/>
      </c>
      <c r="F191" s="241">
        <f>IF($B191="","",IF(COUNTIFS(Пул!$E$5:$E$300,$B191,Пул!$L$5:$L$300,"Закрыт")=0,"",ROUND(SUMIFS(Пул!$I$5:$I$300,Пул!$E$5:$E$300,$B191,Пул!$L$5:$L$300,"Закрыт"),8)))</f>
        <v/>
      </c>
      <c r="G191" s="240">
        <f>IF($B191="","",IF(COUNTIFS(Пул!$E$5:$E$300,$B191,Пул!$L$5:$L$300,"Закрыт")=0,"",ROUND(SUMIFS(Пул!$J$5:$J$300,Пул!$E$5:$E$300,$B191,Пул!$L$5:$L$300,"Закрыт"),8)))</f>
        <v/>
      </c>
      <c r="H191" s="241">
        <f>IF($B191="","",IF(COUNTIFS(Пул!$E$5:$E$300,$B191,Пул!$L$5:$L$300,"Закрыт")=0,"",ROUND(SUMIFS(Пул!$K$5:$K$300,Пул!$E$5:$E$300,$B191,Пул!$L$5:$L$300,"Закрыт"),8)))</f>
        <v/>
      </c>
      <c r="I191" s="236">
        <f>IF(AND(ISNUMBER(G191),ISNUMBER(H191)),IF(AND(G191&gt;0,H191&lt;0),"Buy",IF(AND(G191&lt;0,H191&gt;0),"Sell","")),"")</f>
        <v/>
      </c>
      <c r="J191" s="177">
        <f>IF(I191="Buy",G191,IF(I191="Sell",-G191,""))</f>
        <v/>
      </c>
      <c r="K191" s="177">
        <f>IF(AND(ISNUMBER(J191),ISNUMBER(L191),N(J191)&lt;&gt;0),ROUND(L191/J191,8),"")</f>
        <v/>
      </c>
      <c r="L191" s="177">
        <f>IF(I191="Buy",-H191,IF(I191="Sell",H191,""))</f>
        <v/>
      </c>
    </row>
    <row r="192" ht="22" customHeight="1">
      <c r="B192" s="320" t="n"/>
      <c r="C192" s="246">
        <f>IF($B192="","",IF(COUNTIFS(Пул!$E$5:$E$300,$B192,Пул!$F$5:$F$300,"&lt;&gt;")=0,"",ROUND(SUMIFS(Пул!$F$5:$F$300,Пул!$E$5:$E$300,$B192),8)))</f>
        <v/>
      </c>
      <c r="D192" s="247">
        <f>IF($B192="","",IF(COUNTIFS(Пул!$E$5:$E$300,$B192,Пул!$G$5:$G$300,"&lt;&gt;")=0,"",ROUND(SUMIFS(Пул!$G$5:$G$300,Пул!$E$5:$E$300,$B192),8)))</f>
        <v/>
      </c>
      <c r="E192" s="246">
        <f>IF($B192="","",IF(COUNTIFS(Пул!$E$5:$E$300,$B192,Пул!$L$5:$L$300,"Закрыт")=0,"",ROUND(SUMIFS(Пул!$H$5:$H$300,Пул!$E$5:$E$300,$B192,Пул!$L$5:$L$300,"Закрыт"),8)))</f>
        <v/>
      </c>
      <c r="F192" s="247">
        <f>IF($B192="","",IF(COUNTIFS(Пул!$E$5:$E$300,$B192,Пул!$L$5:$L$300,"Закрыт")=0,"",ROUND(SUMIFS(Пул!$I$5:$I$300,Пул!$E$5:$E$300,$B192,Пул!$L$5:$L$300,"Закрыт"),8)))</f>
        <v/>
      </c>
      <c r="G192" s="246">
        <f>IF($B192="","",IF(COUNTIFS(Пул!$E$5:$E$300,$B192,Пул!$L$5:$L$300,"Закрыт")=0,"",ROUND(SUMIFS(Пул!$J$5:$J$300,Пул!$E$5:$E$300,$B192,Пул!$L$5:$L$300,"Закрыт"),8)))</f>
        <v/>
      </c>
      <c r="H192" s="247">
        <f>IF($B192="","",IF(COUNTIFS(Пул!$E$5:$E$300,$B192,Пул!$L$5:$L$300,"Закрыт")=0,"",ROUND(SUMIFS(Пул!$K$5:$K$300,Пул!$E$5:$E$300,$B192,Пул!$L$5:$L$300,"Закрыт"),8)))</f>
        <v/>
      </c>
      <c r="I192" s="242">
        <f>IF(AND(ISNUMBER(G192),ISNUMBER(H192)),IF(AND(G192&gt;0,H192&lt;0),"Buy",IF(AND(G192&lt;0,H192&gt;0),"Sell","")),"")</f>
        <v/>
      </c>
      <c r="J192" s="183">
        <f>IF(I192="Buy",G192,IF(I192="Sell",-G192,""))</f>
        <v/>
      </c>
      <c r="K192" s="183">
        <f>IF(AND(ISNUMBER(J192),ISNUMBER(L192),N(J192)&lt;&gt;0),ROUND(L192/J192,8),"")</f>
        <v/>
      </c>
      <c r="L192" s="183">
        <f>IF(I192="Buy",-H192,IF(I192="Sell",H192,""))</f>
        <v/>
      </c>
    </row>
    <row r="193" ht="22" customHeight="1">
      <c r="B193" s="315" t="n"/>
      <c r="C193" s="240">
        <f>IF($B193="","",IF(COUNTIFS(Пул!$E$5:$E$300,$B193,Пул!$F$5:$F$300,"&lt;&gt;")=0,"",ROUND(SUMIFS(Пул!$F$5:$F$300,Пул!$E$5:$E$300,$B193),8)))</f>
        <v/>
      </c>
      <c r="D193" s="241">
        <f>IF($B193="","",IF(COUNTIFS(Пул!$E$5:$E$300,$B193,Пул!$G$5:$G$300,"&lt;&gt;")=0,"",ROUND(SUMIFS(Пул!$G$5:$G$300,Пул!$E$5:$E$300,$B193),8)))</f>
        <v/>
      </c>
      <c r="E193" s="240">
        <f>IF($B193="","",IF(COUNTIFS(Пул!$E$5:$E$300,$B193,Пул!$L$5:$L$300,"Закрыт")=0,"",ROUND(SUMIFS(Пул!$H$5:$H$300,Пул!$E$5:$E$300,$B193,Пул!$L$5:$L$300,"Закрыт"),8)))</f>
        <v/>
      </c>
      <c r="F193" s="241">
        <f>IF($B193="","",IF(COUNTIFS(Пул!$E$5:$E$300,$B193,Пул!$L$5:$L$300,"Закрыт")=0,"",ROUND(SUMIFS(Пул!$I$5:$I$300,Пул!$E$5:$E$300,$B193,Пул!$L$5:$L$300,"Закрыт"),8)))</f>
        <v/>
      </c>
      <c r="G193" s="240">
        <f>IF($B193="","",IF(COUNTIFS(Пул!$E$5:$E$300,$B193,Пул!$L$5:$L$300,"Закрыт")=0,"",ROUND(SUMIFS(Пул!$J$5:$J$300,Пул!$E$5:$E$300,$B193,Пул!$L$5:$L$300,"Закрыт"),8)))</f>
        <v/>
      </c>
      <c r="H193" s="241">
        <f>IF($B193="","",IF(COUNTIFS(Пул!$E$5:$E$300,$B193,Пул!$L$5:$L$300,"Закрыт")=0,"",ROUND(SUMIFS(Пул!$K$5:$K$300,Пул!$E$5:$E$300,$B193,Пул!$L$5:$L$300,"Закрыт"),8)))</f>
        <v/>
      </c>
      <c r="I193" s="236">
        <f>IF(AND(ISNUMBER(G193),ISNUMBER(H193)),IF(AND(G193&gt;0,H193&lt;0),"Buy",IF(AND(G193&lt;0,H193&gt;0),"Sell","")),"")</f>
        <v/>
      </c>
      <c r="J193" s="177">
        <f>IF(I193="Buy",G193,IF(I193="Sell",-G193,""))</f>
        <v/>
      </c>
      <c r="K193" s="177">
        <f>IF(AND(ISNUMBER(J193),ISNUMBER(L193),N(J193)&lt;&gt;0),ROUND(L193/J193,8),"")</f>
        <v/>
      </c>
      <c r="L193" s="177">
        <f>IF(I193="Buy",-H193,IF(I193="Sell",H193,""))</f>
        <v/>
      </c>
    </row>
    <row r="194" ht="22" customHeight="1">
      <c r="B194" s="320" t="n"/>
      <c r="C194" s="246">
        <f>IF($B194="","",IF(COUNTIFS(Пул!$E$5:$E$300,$B194,Пул!$F$5:$F$300,"&lt;&gt;")=0,"",ROUND(SUMIFS(Пул!$F$5:$F$300,Пул!$E$5:$E$300,$B194),8)))</f>
        <v/>
      </c>
      <c r="D194" s="247">
        <f>IF($B194="","",IF(COUNTIFS(Пул!$E$5:$E$300,$B194,Пул!$G$5:$G$300,"&lt;&gt;")=0,"",ROUND(SUMIFS(Пул!$G$5:$G$300,Пул!$E$5:$E$300,$B194),8)))</f>
        <v/>
      </c>
      <c r="E194" s="246">
        <f>IF($B194="","",IF(COUNTIFS(Пул!$E$5:$E$300,$B194,Пул!$L$5:$L$300,"Закрыт")=0,"",ROUND(SUMIFS(Пул!$H$5:$H$300,Пул!$E$5:$E$300,$B194,Пул!$L$5:$L$300,"Закрыт"),8)))</f>
        <v/>
      </c>
      <c r="F194" s="247">
        <f>IF($B194="","",IF(COUNTIFS(Пул!$E$5:$E$300,$B194,Пул!$L$5:$L$300,"Закрыт")=0,"",ROUND(SUMIFS(Пул!$I$5:$I$300,Пул!$E$5:$E$300,$B194,Пул!$L$5:$L$300,"Закрыт"),8)))</f>
        <v/>
      </c>
      <c r="G194" s="246">
        <f>IF($B194="","",IF(COUNTIFS(Пул!$E$5:$E$300,$B194,Пул!$L$5:$L$300,"Закрыт")=0,"",ROUND(SUMIFS(Пул!$J$5:$J$300,Пул!$E$5:$E$300,$B194,Пул!$L$5:$L$300,"Закрыт"),8)))</f>
        <v/>
      </c>
      <c r="H194" s="247">
        <f>IF($B194="","",IF(COUNTIFS(Пул!$E$5:$E$300,$B194,Пул!$L$5:$L$300,"Закрыт")=0,"",ROUND(SUMIFS(Пул!$K$5:$K$300,Пул!$E$5:$E$300,$B194,Пул!$L$5:$L$300,"Закрыт"),8)))</f>
        <v/>
      </c>
      <c r="I194" s="242">
        <f>IF(AND(ISNUMBER(G194),ISNUMBER(H194)),IF(AND(G194&gt;0,H194&lt;0),"Buy",IF(AND(G194&lt;0,H194&gt;0),"Sell","")),"")</f>
        <v/>
      </c>
      <c r="J194" s="183">
        <f>IF(I194="Buy",G194,IF(I194="Sell",-G194,""))</f>
        <v/>
      </c>
      <c r="K194" s="183">
        <f>IF(AND(ISNUMBER(J194),ISNUMBER(L194),N(J194)&lt;&gt;0),ROUND(L194/J194,8),"")</f>
        <v/>
      </c>
      <c r="L194" s="183">
        <f>IF(I194="Buy",-H194,IF(I194="Sell",H194,""))</f>
        <v/>
      </c>
    </row>
    <row r="195" ht="22" customHeight="1">
      <c r="B195" s="315" t="n"/>
      <c r="C195" s="240">
        <f>IF($B195="","",IF(COUNTIFS(Пул!$E$5:$E$300,$B195,Пул!$F$5:$F$300,"&lt;&gt;")=0,"",ROUND(SUMIFS(Пул!$F$5:$F$300,Пул!$E$5:$E$300,$B195),8)))</f>
        <v/>
      </c>
      <c r="D195" s="241">
        <f>IF($B195="","",IF(COUNTIFS(Пул!$E$5:$E$300,$B195,Пул!$G$5:$G$300,"&lt;&gt;")=0,"",ROUND(SUMIFS(Пул!$G$5:$G$300,Пул!$E$5:$E$300,$B195),8)))</f>
        <v/>
      </c>
      <c r="E195" s="240">
        <f>IF($B195="","",IF(COUNTIFS(Пул!$E$5:$E$300,$B195,Пул!$L$5:$L$300,"Закрыт")=0,"",ROUND(SUMIFS(Пул!$H$5:$H$300,Пул!$E$5:$E$300,$B195,Пул!$L$5:$L$300,"Закрыт"),8)))</f>
        <v/>
      </c>
      <c r="F195" s="241">
        <f>IF($B195="","",IF(COUNTIFS(Пул!$E$5:$E$300,$B195,Пул!$L$5:$L$300,"Закрыт")=0,"",ROUND(SUMIFS(Пул!$I$5:$I$300,Пул!$E$5:$E$300,$B195,Пул!$L$5:$L$300,"Закрыт"),8)))</f>
        <v/>
      </c>
      <c r="G195" s="240">
        <f>IF($B195="","",IF(COUNTIFS(Пул!$E$5:$E$300,$B195,Пул!$L$5:$L$300,"Закрыт")=0,"",ROUND(SUMIFS(Пул!$J$5:$J$300,Пул!$E$5:$E$300,$B195,Пул!$L$5:$L$300,"Закрыт"),8)))</f>
        <v/>
      </c>
      <c r="H195" s="241">
        <f>IF($B195="","",IF(COUNTIFS(Пул!$E$5:$E$300,$B195,Пул!$L$5:$L$300,"Закрыт")=0,"",ROUND(SUMIFS(Пул!$K$5:$K$300,Пул!$E$5:$E$300,$B195,Пул!$L$5:$L$300,"Закрыт"),8)))</f>
        <v/>
      </c>
      <c r="I195" s="236">
        <f>IF(AND(ISNUMBER(G195),ISNUMBER(H195)),IF(AND(G195&gt;0,H195&lt;0),"Buy",IF(AND(G195&lt;0,H195&gt;0),"Sell","")),"")</f>
        <v/>
      </c>
      <c r="J195" s="177">
        <f>IF(I195="Buy",G195,IF(I195="Sell",-G195,""))</f>
        <v/>
      </c>
      <c r="K195" s="177">
        <f>IF(AND(ISNUMBER(J195),ISNUMBER(L195),N(J195)&lt;&gt;0),ROUND(L195/J195,8),"")</f>
        <v/>
      </c>
      <c r="L195" s="177">
        <f>IF(I195="Buy",-H195,IF(I195="Sell",H195,""))</f>
        <v/>
      </c>
    </row>
    <row r="196" ht="22" customHeight="1">
      <c r="B196" s="320" t="n"/>
      <c r="C196" s="246">
        <f>IF($B196="","",IF(COUNTIFS(Пул!$E$5:$E$300,$B196,Пул!$F$5:$F$300,"&lt;&gt;")=0,"",ROUND(SUMIFS(Пул!$F$5:$F$300,Пул!$E$5:$E$300,$B196),8)))</f>
        <v/>
      </c>
      <c r="D196" s="247">
        <f>IF($B196="","",IF(COUNTIFS(Пул!$E$5:$E$300,$B196,Пул!$G$5:$G$300,"&lt;&gt;")=0,"",ROUND(SUMIFS(Пул!$G$5:$G$300,Пул!$E$5:$E$300,$B196),8)))</f>
        <v/>
      </c>
      <c r="E196" s="246">
        <f>IF($B196="","",IF(COUNTIFS(Пул!$E$5:$E$300,$B196,Пул!$L$5:$L$300,"Закрыт")=0,"",ROUND(SUMIFS(Пул!$H$5:$H$300,Пул!$E$5:$E$300,$B196,Пул!$L$5:$L$300,"Закрыт"),8)))</f>
        <v/>
      </c>
      <c r="F196" s="247">
        <f>IF($B196="","",IF(COUNTIFS(Пул!$E$5:$E$300,$B196,Пул!$L$5:$L$300,"Закрыт")=0,"",ROUND(SUMIFS(Пул!$I$5:$I$300,Пул!$E$5:$E$300,$B196,Пул!$L$5:$L$300,"Закрыт"),8)))</f>
        <v/>
      </c>
      <c r="G196" s="246">
        <f>IF($B196="","",IF(COUNTIFS(Пул!$E$5:$E$300,$B196,Пул!$L$5:$L$300,"Закрыт")=0,"",ROUND(SUMIFS(Пул!$J$5:$J$300,Пул!$E$5:$E$300,$B196,Пул!$L$5:$L$300,"Закрыт"),8)))</f>
        <v/>
      </c>
      <c r="H196" s="247">
        <f>IF($B196="","",IF(COUNTIFS(Пул!$E$5:$E$300,$B196,Пул!$L$5:$L$300,"Закрыт")=0,"",ROUND(SUMIFS(Пул!$K$5:$K$300,Пул!$E$5:$E$300,$B196,Пул!$L$5:$L$300,"Закрыт"),8)))</f>
        <v/>
      </c>
      <c r="I196" s="242">
        <f>IF(AND(ISNUMBER(G196),ISNUMBER(H196)),IF(AND(G196&gt;0,H196&lt;0),"Buy",IF(AND(G196&lt;0,H196&gt;0),"Sell","")),"")</f>
        <v/>
      </c>
      <c r="J196" s="183">
        <f>IF(I196="Buy",G196,IF(I196="Sell",-G196,""))</f>
        <v/>
      </c>
      <c r="K196" s="183">
        <f>IF(AND(ISNUMBER(J196),ISNUMBER(L196),N(J196)&lt;&gt;0),ROUND(L196/J196,8),"")</f>
        <v/>
      </c>
      <c r="L196" s="183">
        <f>IF(I196="Buy",-H196,IF(I196="Sell",H196,""))</f>
        <v/>
      </c>
    </row>
    <row r="197" ht="22" customHeight="1">
      <c r="B197" s="315" t="n"/>
      <c r="C197" s="240">
        <f>IF($B197="","",IF(COUNTIFS(Пул!$E$5:$E$300,$B197,Пул!$F$5:$F$300,"&lt;&gt;")=0,"",ROUND(SUMIFS(Пул!$F$5:$F$300,Пул!$E$5:$E$300,$B197),8)))</f>
        <v/>
      </c>
      <c r="D197" s="241">
        <f>IF($B197="","",IF(COUNTIFS(Пул!$E$5:$E$300,$B197,Пул!$G$5:$G$300,"&lt;&gt;")=0,"",ROUND(SUMIFS(Пул!$G$5:$G$300,Пул!$E$5:$E$300,$B197),8)))</f>
        <v/>
      </c>
      <c r="E197" s="240">
        <f>IF($B197="","",IF(COUNTIFS(Пул!$E$5:$E$300,$B197,Пул!$L$5:$L$300,"Закрыт")=0,"",ROUND(SUMIFS(Пул!$H$5:$H$300,Пул!$E$5:$E$300,$B197,Пул!$L$5:$L$300,"Закрыт"),8)))</f>
        <v/>
      </c>
      <c r="F197" s="241">
        <f>IF($B197="","",IF(COUNTIFS(Пул!$E$5:$E$300,$B197,Пул!$L$5:$L$300,"Закрыт")=0,"",ROUND(SUMIFS(Пул!$I$5:$I$300,Пул!$E$5:$E$300,$B197,Пул!$L$5:$L$300,"Закрыт"),8)))</f>
        <v/>
      </c>
      <c r="G197" s="240">
        <f>IF($B197="","",IF(COUNTIFS(Пул!$E$5:$E$300,$B197,Пул!$L$5:$L$300,"Закрыт")=0,"",ROUND(SUMIFS(Пул!$J$5:$J$300,Пул!$E$5:$E$300,$B197,Пул!$L$5:$L$300,"Закрыт"),8)))</f>
        <v/>
      </c>
      <c r="H197" s="241">
        <f>IF($B197="","",IF(COUNTIFS(Пул!$E$5:$E$300,$B197,Пул!$L$5:$L$300,"Закрыт")=0,"",ROUND(SUMIFS(Пул!$K$5:$K$300,Пул!$E$5:$E$300,$B197,Пул!$L$5:$L$300,"Закрыт"),8)))</f>
        <v/>
      </c>
      <c r="I197" s="236">
        <f>IF(AND(ISNUMBER(G197),ISNUMBER(H197)),IF(AND(G197&gt;0,H197&lt;0),"Buy",IF(AND(G197&lt;0,H197&gt;0),"Sell","")),"")</f>
        <v/>
      </c>
      <c r="J197" s="177">
        <f>IF(I197="Buy",G197,IF(I197="Sell",-G197,""))</f>
        <v/>
      </c>
      <c r="K197" s="177">
        <f>IF(AND(ISNUMBER(J197),ISNUMBER(L197),N(J197)&lt;&gt;0),ROUND(L197/J197,8),"")</f>
        <v/>
      </c>
      <c r="L197" s="177">
        <f>IF(I197="Buy",-H197,IF(I197="Sell",H197,""))</f>
        <v/>
      </c>
    </row>
    <row r="198" ht="22" customHeight="1">
      <c r="B198" s="320" t="n"/>
      <c r="C198" s="246">
        <f>IF($B198="","",IF(COUNTIFS(Пул!$E$5:$E$300,$B198,Пул!$F$5:$F$300,"&lt;&gt;")=0,"",ROUND(SUMIFS(Пул!$F$5:$F$300,Пул!$E$5:$E$300,$B198),8)))</f>
        <v/>
      </c>
      <c r="D198" s="247">
        <f>IF($B198="","",IF(COUNTIFS(Пул!$E$5:$E$300,$B198,Пул!$G$5:$G$300,"&lt;&gt;")=0,"",ROUND(SUMIFS(Пул!$G$5:$G$300,Пул!$E$5:$E$300,$B198),8)))</f>
        <v/>
      </c>
      <c r="E198" s="246">
        <f>IF($B198="","",IF(COUNTIFS(Пул!$E$5:$E$300,$B198,Пул!$L$5:$L$300,"Закрыт")=0,"",ROUND(SUMIFS(Пул!$H$5:$H$300,Пул!$E$5:$E$300,$B198,Пул!$L$5:$L$300,"Закрыт"),8)))</f>
        <v/>
      </c>
      <c r="F198" s="247">
        <f>IF($B198="","",IF(COUNTIFS(Пул!$E$5:$E$300,$B198,Пул!$L$5:$L$300,"Закрыт")=0,"",ROUND(SUMIFS(Пул!$I$5:$I$300,Пул!$E$5:$E$300,$B198,Пул!$L$5:$L$300,"Закрыт"),8)))</f>
        <v/>
      </c>
      <c r="G198" s="246">
        <f>IF($B198="","",IF(COUNTIFS(Пул!$E$5:$E$300,$B198,Пул!$L$5:$L$300,"Закрыт")=0,"",ROUND(SUMIFS(Пул!$J$5:$J$300,Пул!$E$5:$E$300,$B198,Пул!$L$5:$L$300,"Закрыт"),8)))</f>
        <v/>
      </c>
      <c r="H198" s="247">
        <f>IF($B198="","",IF(COUNTIFS(Пул!$E$5:$E$300,$B198,Пул!$L$5:$L$300,"Закрыт")=0,"",ROUND(SUMIFS(Пул!$K$5:$K$300,Пул!$E$5:$E$300,$B198,Пул!$L$5:$L$300,"Закрыт"),8)))</f>
        <v/>
      </c>
      <c r="I198" s="242">
        <f>IF(AND(ISNUMBER(G198),ISNUMBER(H198)),IF(AND(G198&gt;0,H198&lt;0),"Buy",IF(AND(G198&lt;0,H198&gt;0),"Sell","")),"")</f>
        <v/>
      </c>
      <c r="J198" s="183">
        <f>IF(I198="Buy",G198,IF(I198="Sell",-G198,""))</f>
        <v/>
      </c>
      <c r="K198" s="183">
        <f>IF(AND(ISNUMBER(J198),ISNUMBER(L198),N(J198)&lt;&gt;0),ROUND(L198/J198,8),"")</f>
        <v/>
      </c>
      <c r="L198" s="183">
        <f>IF(I198="Buy",-H198,IF(I198="Sell",H198,""))</f>
        <v/>
      </c>
    </row>
    <row r="199" ht="22" customHeight="1">
      <c r="B199" s="315" t="n"/>
      <c r="C199" s="240">
        <f>IF($B199="","",IF(COUNTIFS(Пул!$E$5:$E$300,$B199,Пул!$F$5:$F$300,"&lt;&gt;")=0,"",ROUND(SUMIFS(Пул!$F$5:$F$300,Пул!$E$5:$E$300,$B199),8)))</f>
        <v/>
      </c>
      <c r="D199" s="241">
        <f>IF($B199="","",IF(COUNTIFS(Пул!$E$5:$E$300,$B199,Пул!$G$5:$G$300,"&lt;&gt;")=0,"",ROUND(SUMIFS(Пул!$G$5:$G$300,Пул!$E$5:$E$300,$B199),8)))</f>
        <v/>
      </c>
      <c r="E199" s="240">
        <f>IF($B199="","",IF(COUNTIFS(Пул!$E$5:$E$300,$B199,Пул!$L$5:$L$300,"Закрыт")=0,"",ROUND(SUMIFS(Пул!$H$5:$H$300,Пул!$E$5:$E$300,$B199,Пул!$L$5:$L$300,"Закрыт"),8)))</f>
        <v/>
      </c>
      <c r="F199" s="241">
        <f>IF($B199="","",IF(COUNTIFS(Пул!$E$5:$E$300,$B199,Пул!$L$5:$L$300,"Закрыт")=0,"",ROUND(SUMIFS(Пул!$I$5:$I$300,Пул!$E$5:$E$300,$B199,Пул!$L$5:$L$300,"Закрыт"),8)))</f>
        <v/>
      </c>
      <c r="G199" s="240">
        <f>IF($B199="","",IF(COUNTIFS(Пул!$E$5:$E$300,$B199,Пул!$L$5:$L$300,"Закрыт")=0,"",ROUND(SUMIFS(Пул!$J$5:$J$300,Пул!$E$5:$E$300,$B199,Пул!$L$5:$L$300,"Закрыт"),8)))</f>
        <v/>
      </c>
      <c r="H199" s="241">
        <f>IF($B199="","",IF(COUNTIFS(Пул!$E$5:$E$300,$B199,Пул!$L$5:$L$300,"Закрыт")=0,"",ROUND(SUMIFS(Пул!$K$5:$K$300,Пул!$E$5:$E$300,$B199,Пул!$L$5:$L$300,"Закрыт"),8)))</f>
        <v/>
      </c>
      <c r="I199" s="236">
        <f>IF(AND(ISNUMBER(G199),ISNUMBER(H199)),IF(AND(G199&gt;0,H199&lt;0),"Buy",IF(AND(G199&lt;0,H199&gt;0),"Sell","")),"")</f>
        <v/>
      </c>
      <c r="J199" s="177">
        <f>IF(I199="Buy",G199,IF(I199="Sell",-G199,""))</f>
        <v/>
      </c>
      <c r="K199" s="177">
        <f>IF(AND(ISNUMBER(J199),ISNUMBER(L199),N(J199)&lt;&gt;0),ROUND(L199/J199,8),"")</f>
        <v/>
      </c>
      <c r="L199" s="177">
        <f>IF(I199="Buy",-H199,IF(I199="Sell",H199,""))</f>
        <v/>
      </c>
    </row>
    <row r="200" ht="22" customHeight="1">
      <c r="B200" s="320" t="n"/>
      <c r="C200" s="246">
        <f>IF($B200="","",IF(COUNTIFS(Пул!$E$5:$E$300,$B200,Пул!$F$5:$F$300,"&lt;&gt;")=0,"",ROUND(SUMIFS(Пул!$F$5:$F$300,Пул!$E$5:$E$300,$B200),8)))</f>
        <v/>
      </c>
      <c r="D200" s="247">
        <f>IF($B200="","",IF(COUNTIFS(Пул!$E$5:$E$300,$B200,Пул!$G$5:$G$300,"&lt;&gt;")=0,"",ROUND(SUMIFS(Пул!$G$5:$G$300,Пул!$E$5:$E$300,$B200),8)))</f>
        <v/>
      </c>
      <c r="E200" s="246">
        <f>IF($B200="","",IF(COUNTIFS(Пул!$E$5:$E$300,$B200,Пул!$L$5:$L$300,"Закрыт")=0,"",ROUND(SUMIFS(Пул!$H$5:$H$300,Пул!$E$5:$E$300,$B200,Пул!$L$5:$L$300,"Закрыт"),8)))</f>
        <v/>
      </c>
      <c r="F200" s="247">
        <f>IF($B200="","",IF(COUNTIFS(Пул!$E$5:$E$300,$B200,Пул!$L$5:$L$300,"Закрыт")=0,"",ROUND(SUMIFS(Пул!$I$5:$I$300,Пул!$E$5:$E$300,$B200,Пул!$L$5:$L$300,"Закрыт"),8)))</f>
        <v/>
      </c>
      <c r="G200" s="246">
        <f>IF($B200="","",IF(COUNTIFS(Пул!$E$5:$E$300,$B200,Пул!$L$5:$L$300,"Закрыт")=0,"",ROUND(SUMIFS(Пул!$J$5:$J$300,Пул!$E$5:$E$300,$B200,Пул!$L$5:$L$300,"Закрыт"),8)))</f>
        <v/>
      </c>
      <c r="H200" s="247">
        <f>IF($B200="","",IF(COUNTIFS(Пул!$E$5:$E$300,$B200,Пул!$L$5:$L$300,"Закрыт")=0,"",ROUND(SUMIFS(Пул!$K$5:$K$300,Пул!$E$5:$E$300,$B200,Пул!$L$5:$L$300,"Закрыт"),8)))</f>
        <v/>
      </c>
      <c r="I200" s="242">
        <f>IF(AND(ISNUMBER(G200),ISNUMBER(H200)),IF(AND(G200&gt;0,H200&lt;0),"Buy",IF(AND(G200&lt;0,H200&gt;0),"Sell","")),"")</f>
        <v/>
      </c>
      <c r="J200" s="183">
        <f>IF(I200="Buy",G200,IF(I200="Sell",-G200,""))</f>
        <v/>
      </c>
      <c r="K200" s="183">
        <f>IF(AND(ISNUMBER(J200),ISNUMBER(L200),N(J200)&lt;&gt;0),ROUND(L200/J200,8),"")</f>
        <v/>
      </c>
      <c r="L200" s="183">
        <f>IF(I200="Buy",-H200,IF(I200="Sell",H200,""))</f>
        <v/>
      </c>
    </row>
    <row r="201" ht="22" customHeight="1">
      <c r="B201" s="315" t="n"/>
      <c r="C201" s="240">
        <f>IF($B201="","",IF(COUNTIFS(Пул!$E$5:$E$300,$B201,Пул!$F$5:$F$300,"&lt;&gt;")=0,"",ROUND(SUMIFS(Пул!$F$5:$F$300,Пул!$E$5:$E$300,$B201),8)))</f>
        <v/>
      </c>
      <c r="D201" s="241">
        <f>IF($B201="","",IF(COUNTIFS(Пул!$E$5:$E$300,$B201,Пул!$G$5:$G$300,"&lt;&gt;")=0,"",ROUND(SUMIFS(Пул!$G$5:$G$300,Пул!$E$5:$E$300,$B201),8)))</f>
        <v/>
      </c>
      <c r="E201" s="240">
        <f>IF($B201="","",IF(COUNTIFS(Пул!$E$5:$E$300,$B201,Пул!$L$5:$L$300,"Закрыт")=0,"",ROUND(SUMIFS(Пул!$H$5:$H$300,Пул!$E$5:$E$300,$B201,Пул!$L$5:$L$300,"Закрыт"),8)))</f>
        <v/>
      </c>
      <c r="F201" s="241">
        <f>IF($B201="","",IF(COUNTIFS(Пул!$E$5:$E$300,$B201,Пул!$L$5:$L$300,"Закрыт")=0,"",ROUND(SUMIFS(Пул!$I$5:$I$300,Пул!$E$5:$E$300,$B201,Пул!$L$5:$L$300,"Закрыт"),8)))</f>
        <v/>
      </c>
      <c r="G201" s="240">
        <f>IF($B201="","",IF(COUNTIFS(Пул!$E$5:$E$300,$B201,Пул!$L$5:$L$300,"Закрыт")=0,"",ROUND(SUMIFS(Пул!$J$5:$J$300,Пул!$E$5:$E$300,$B201,Пул!$L$5:$L$300,"Закрыт"),8)))</f>
        <v/>
      </c>
      <c r="H201" s="241">
        <f>IF($B201="","",IF(COUNTIFS(Пул!$E$5:$E$300,$B201,Пул!$L$5:$L$300,"Закрыт")=0,"",ROUND(SUMIFS(Пул!$K$5:$K$300,Пул!$E$5:$E$300,$B201,Пул!$L$5:$L$300,"Закрыт"),8)))</f>
        <v/>
      </c>
      <c r="I201" s="236">
        <f>IF(AND(ISNUMBER(G201),ISNUMBER(H201)),IF(AND(G201&gt;0,H201&lt;0),"Buy",IF(AND(G201&lt;0,H201&gt;0),"Sell","")),"")</f>
        <v/>
      </c>
      <c r="J201" s="177">
        <f>IF(I201="Buy",G201,IF(I201="Sell",-G201,""))</f>
        <v/>
      </c>
      <c r="K201" s="177">
        <f>IF(AND(ISNUMBER(J201),ISNUMBER(L201),N(J201)&lt;&gt;0),ROUND(L201/J201,8),"")</f>
        <v/>
      </c>
      <c r="L201" s="177">
        <f>IF(I201="Buy",-H201,IF(I201="Sell",H201,""))</f>
        <v/>
      </c>
    </row>
    <row r="202" ht="22" customHeight="1">
      <c r="B202" s="320" t="n"/>
      <c r="C202" s="246">
        <f>IF($B202="","",IF(COUNTIFS(Пул!$E$5:$E$300,$B202,Пул!$F$5:$F$300,"&lt;&gt;")=0,"",ROUND(SUMIFS(Пул!$F$5:$F$300,Пул!$E$5:$E$300,$B202),8)))</f>
        <v/>
      </c>
      <c r="D202" s="247">
        <f>IF($B202="","",IF(COUNTIFS(Пул!$E$5:$E$300,$B202,Пул!$G$5:$G$300,"&lt;&gt;")=0,"",ROUND(SUMIFS(Пул!$G$5:$G$300,Пул!$E$5:$E$300,$B202),8)))</f>
        <v/>
      </c>
      <c r="E202" s="246">
        <f>IF($B202="","",IF(COUNTIFS(Пул!$E$5:$E$300,$B202,Пул!$L$5:$L$300,"Закрыт")=0,"",ROUND(SUMIFS(Пул!$H$5:$H$300,Пул!$E$5:$E$300,$B202,Пул!$L$5:$L$300,"Закрыт"),8)))</f>
        <v/>
      </c>
      <c r="F202" s="247">
        <f>IF($B202="","",IF(COUNTIFS(Пул!$E$5:$E$300,$B202,Пул!$L$5:$L$300,"Закрыт")=0,"",ROUND(SUMIFS(Пул!$I$5:$I$300,Пул!$E$5:$E$300,$B202,Пул!$L$5:$L$300,"Закрыт"),8)))</f>
        <v/>
      </c>
      <c r="G202" s="246">
        <f>IF($B202="","",IF(COUNTIFS(Пул!$E$5:$E$300,$B202,Пул!$L$5:$L$300,"Закрыт")=0,"",ROUND(SUMIFS(Пул!$J$5:$J$300,Пул!$E$5:$E$300,$B202,Пул!$L$5:$L$300,"Закрыт"),8)))</f>
        <v/>
      </c>
      <c r="H202" s="247">
        <f>IF($B202="","",IF(COUNTIFS(Пул!$E$5:$E$300,$B202,Пул!$L$5:$L$300,"Закрыт")=0,"",ROUND(SUMIFS(Пул!$K$5:$K$300,Пул!$E$5:$E$300,$B202,Пул!$L$5:$L$300,"Закрыт"),8)))</f>
        <v/>
      </c>
      <c r="I202" s="242">
        <f>IF(AND(ISNUMBER(G202),ISNUMBER(H202)),IF(AND(G202&gt;0,H202&lt;0),"Buy",IF(AND(G202&lt;0,H202&gt;0),"Sell","")),"")</f>
        <v/>
      </c>
      <c r="J202" s="183">
        <f>IF(I202="Buy",G202,IF(I202="Sell",-G202,""))</f>
        <v/>
      </c>
      <c r="K202" s="183">
        <f>IF(AND(ISNUMBER(J202),ISNUMBER(L202),N(J202)&lt;&gt;0),ROUND(L202/J202,8),"")</f>
        <v/>
      </c>
      <c r="L202" s="183">
        <f>IF(I202="Buy",-H202,IF(I202="Sell",H202,""))</f>
        <v/>
      </c>
    </row>
    <row r="203" ht="22" customHeight="1">
      <c r="B203" s="315" t="n"/>
      <c r="C203" s="240">
        <f>IF($B203="","",IF(COUNTIFS(Пул!$E$5:$E$300,$B203,Пул!$F$5:$F$300,"&lt;&gt;")=0,"",ROUND(SUMIFS(Пул!$F$5:$F$300,Пул!$E$5:$E$300,$B203),8)))</f>
        <v/>
      </c>
      <c r="D203" s="241">
        <f>IF($B203="","",IF(COUNTIFS(Пул!$E$5:$E$300,$B203,Пул!$G$5:$G$300,"&lt;&gt;")=0,"",ROUND(SUMIFS(Пул!$G$5:$G$300,Пул!$E$5:$E$300,$B203),8)))</f>
        <v/>
      </c>
      <c r="E203" s="240">
        <f>IF($B203="","",IF(COUNTIFS(Пул!$E$5:$E$300,$B203,Пул!$L$5:$L$300,"Закрыт")=0,"",ROUND(SUMIFS(Пул!$H$5:$H$300,Пул!$E$5:$E$300,$B203,Пул!$L$5:$L$300,"Закрыт"),8)))</f>
        <v/>
      </c>
      <c r="F203" s="241">
        <f>IF($B203="","",IF(COUNTIFS(Пул!$E$5:$E$300,$B203,Пул!$L$5:$L$300,"Закрыт")=0,"",ROUND(SUMIFS(Пул!$I$5:$I$300,Пул!$E$5:$E$300,$B203,Пул!$L$5:$L$300,"Закрыт"),8)))</f>
        <v/>
      </c>
      <c r="G203" s="240">
        <f>IF($B203="","",IF(COUNTIFS(Пул!$E$5:$E$300,$B203,Пул!$L$5:$L$300,"Закрыт")=0,"",ROUND(SUMIFS(Пул!$J$5:$J$300,Пул!$E$5:$E$300,$B203,Пул!$L$5:$L$300,"Закрыт"),8)))</f>
        <v/>
      </c>
      <c r="H203" s="241">
        <f>IF($B203="","",IF(COUNTIFS(Пул!$E$5:$E$300,$B203,Пул!$L$5:$L$300,"Закрыт")=0,"",ROUND(SUMIFS(Пул!$K$5:$K$300,Пул!$E$5:$E$300,$B203,Пул!$L$5:$L$300,"Закрыт"),8)))</f>
        <v/>
      </c>
      <c r="I203" s="236">
        <f>IF(AND(ISNUMBER(G203),ISNUMBER(H203)),IF(AND(G203&gt;0,H203&lt;0),"Buy",IF(AND(G203&lt;0,H203&gt;0),"Sell","")),"")</f>
        <v/>
      </c>
      <c r="J203" s="177">
        <f>IF(I203="Buy",G203,IF(I203="Sell",-G203,""))</f>
        <v/>
      </c>
      <c r="K203" s="177">
        <f>IF(AND(ISNUMBER(J203),ISNUMBER(L203),N(J203)&lt;&gt;0),ROUND(L203/J203,8),"")</f>
        <v/>
      </c>
      <c r="L203" s="177">
        <f>IF(I203="Buy",-H203,IF(I203="Sell",H203,""))</f>
        <v/>
      </c>
    </row>
    <row r="204" ht="22" customHeight="1">
      <c r="B204" s="320" t="n"/>
      <c r="C204" s="246">
        <f>IF($B204="","",IF(COUNTIFS(Пул!$E$5:$E$300,$B204,Пул!$F$5:$F$300,"&lt;&gt;")=0,"",ROUND(SUMIFS(Пул!$F$5:$F$300,Пул!$E$5:$E$300,$B204),8)))</f>
        <v/>
      </c>
      <c r="D204" s="247">
        <f>IF($B204="","",IF(COUNTIFS(Пул!$E$5:$E$300,$B204,Пул!$G$5:$G$300,"&lt;&gt;")=0,"",ROUND(SUMIFS(Пул!$G$5:$G$300,Пул!$E$5:$E$300,$B204),8)))</f>
        <v/>
      </c>
      <c r="E204" s="246">
        <f>IF($B204="","",IF(COUNTIFS(Пул!$E$5:$E$300,$B204,Пул!$L$5:$L$300,"Закрыт")=0,"",ROUND(SUMIFS(Пул!$H$5:$H$300,Пул!$E$5:$E$300,$B204,Пул!$L$5:$L$300,"Закрыт"),8)))</f>
        <v/>
      </c>
      <c r="F204" s="247">
        <f>IF($B204="","",IF(COUNTIFS(Пул!$E$5:$E$300,$B204,Пул!$L$5:$L$300,"Закрыт")=0,"",ROUND(SUMIFS(Пул!$I$5:$I$300,Пул!$E$5:$E$300,$B204,Пул!$L$5:$L$300,"Закрыт"),8)))</f>
        <v/>
      </c>
      <c r="G204" s="246">
        <f>IF($B204="","",IF(COUNTIFS(Пул!$E$5:$E$300,$B204,Пул!$L$5:$L$300,"Закрыт")=0,"",ROUND(SUMIFS(Пул!$J$5:$J$300,Пул!$E$5:$E$300,$B204,Пул!$L$5:$L$300,"Закрыт"),8)))</f>
        <v/>
      </c>
      <c r="H204" s="247">
        <f>IF($B204="","",IF(COUNTIFS(Пул!$E$5:$E$300,$B204,Пул!$L$5:$L$300,"Закрыт")=0,"",ROUND(SUMIFS(Пул!$K$5:$K$300,Пул!$E$5:$E$300,$B204,Пул!$L$5:$L$300,"Закрыт"),8)))</f>
        <v/>
      </c>
      <c r="I204" s="242">
        <f>IF(AND(ISNUMBER(G204),ISNUMBER(H204)),IF(AND(G204&gt;0,H204&lt;0),"Buy",IF(AND(G204&lt;0,H204&gt;0),"Sell","")),"")</f>
        <v/>
      </c>
      <c r="J204" s="183">
        <f>IF(I204="Buy",G204,IF(I204="Sell",-G204,""))</f>
        <v/>
      </c>
      <c r="K204" s="183">
        <f>IF(AND(ISNUMBER(J204),ISNUMBER(L204),N(J204)&lt;&gt;0),ROUND(L204/J204,8),"")</f>
        <v/>
      </c>
      <c r="L204" s="183">
        <f>IF(I204="Buy",-H204,IF(I204="Sell",H204,""))</f>
        <v/>
      </c>
    </row>
    <row r="205" ht="22" customHeight="1">
      <c r="B205" s="315" t="n"/>
      <c r="C205" s="240">
        <f>IF($B205="","",IF(COUNTIFS(Пул!$E$5:$E$300,$B205,Пул!$F$5:$F$300,"&lt;&gt;")=0,"",ROUND(SUMIFS(Пул!$F$5:$F$300,Пул!$E$5:$E$300,$B205),8)))</f>
        <v/>
      </c>
      <c r="D205" s="241">
        <f>IF($B205="","",IF(COUNTIFS(Пул!$E$5:$E$300,$B205,Пул!$G$5:$G$300,"&lt;&gt;")=0,"",ROUND(SUMIFS(Пул!$G$5:$G$300,Пул!$E$5:$E$300,$B205),8)))</f>
        <v/>
      </c>
      <c r="E205" s="240">
        <f>IF($B205="","",IF(COUNTIFS(Пул!$E$5:$E$300,$B205,Пул!$L$5:$L$300,"Закрыт")=0,"",ROUND(SUMIFS(Пул!$H$5:$H$300,Пул!$E$5:$E$300,$B205,Пул!$L$5:$L$300,"Закрыт"),8)))</f>
        <v/>
      </c>
      <c r="F205" s="241">
        <f>IF($B205="","",IF(COUNTIFS(Пул!$E$5:$E$300,$B205,Пул!$L$5:$L$300,"Закрыт")=0,"",ROUND(SUMIFS(Пул!$I$5:$I$300,Пул!$E$5:$E$300,$B205,Пул!$L$5:$L$300,"Закрыт"),8)))</f>
        <v/>
      </c>
      <c r="G205" s="240">
        <f>IF($B205="","",IF(COUNTIFS(Пул!$E$5:$E$300,$B205,Пул!$L$5:$L$300,"Закрыт")=0,"",ROUND(SUMIFS(Пул!$J$5:$J$300,Пул!$E$5:$E$300,$B205,Пул!$L$5:$L$300,"Закрыт"),8)))</f>
        <v/>
      </c>
      <c r="H205" s="241">
        <f>IF($B205="","",IF(COUNTIFS(Пул!$E$5:$E$300,$B205,Пул!$L$5:$L$300,"Закрыт")=0,"",ROUND(SUMIFS(Пул!$K$5:$K$300,Пул!$E$5:$E$300,$B205,Пул!$L$5:$L$300,"Закрыт"),8)))</f>
        <v/>
      </c>
      <c r="I205" s="236">
        <f>IF(AND(ISNUMBER(G205),ISNUMBER(H205)),IF(AND(G205&gt;0,H205&lt;0),"Buy",IF(AND(G205&lt;0,H205&gt;0),"Sell","")),"")</f>
        <v/>
      </c>
      <c r="J205" s="177">
        <f>IF(I205="Buy",G205,IF(I205="Sell",-G205,""))</f>
        <v/>
      </c>
      <c r="K205" s="177">
        <f>IF(AND(ISNUMBER(J205),ISNUMBER(L205),N(J205)&lt;&gt;0),ROUND(L205/J205,8),"")</f>
        <v/>
      </c>
      <c r="L205" s="177">
        <f>IF(I205="Buy",-H205,IF(I205="Sell",H205,""))</f>
        <v/>
      </c>
    </row>
    <row r="206" ht="22" customHeight="1">
      <c r="B206" s="320" t="n"/>
      <c r="C206" s="246">
        <f>IF($B206="","",IF(COUNTIFS(Пул!$E$5:$E$300,$B206,Пул!$F$5:$F$300,"&lt;&gt;")=0,"",ROUND(SUMIFS(Пул!$F$5:$F$300,Пул!$E$5:$E$300,$B206),8)))</f>
        <v/>
      </c>
      <c r="D206" s="247">
        <f>IF($B206="","",IF(COUNTIFS(Пул!$E$5:$E$300,$B206,Пул!$G$5:$G$300,"&lt;&gt;")=0,"",ROUND(SUMIFS(Пул!$G$5:$G$300,Пул!$E$5:$E$300,$B206),8)))</f>
        <v/>
      </c>
      <c r="E206" s="246">
        <f>IF($B206="","",IF(COUNTIFS(Пул!$E$5:$E$300,$B206,Пул!$L$5:$L$300,"Закрыт")=0,"",ROUND(SUMIFS(Пул!$H$5:$H$300,Пул!$E$5:$E$300,$B206,Пул!$L$5:$L$300,"Закрыт"),8)))</f>
        <v/>
      </c>
      <c r="F206" s="247">
        <f>IF($B206="","",IF(COUNTIFS(Пул!$E$5:$E$300,$B206,Пул!$L$5:$L$300,"Закрыт")=0,"",ROUND(SUMIFS(Пул!$I$5:$I$300,Пул!$E$5:$E$300,$B206,Пул!$L$5:$L$300,"Закрыт"),8)))</f>
        <v/>
      </c>
      <c r="G206" s="246">
        <f>IF($B206="","",IF(COUNTIFS(Пул!$E$5:$E$300,$B206,Пул!$L$5:$L$300,"Закрыт")=0,"",ROUND(SUMIFS(Пул!$J$5:$J$300,Пул!$E$5:$E$300,$B206,Пул!$L$5:$L$300,"Закрыт"),8)))</f>
        <v/>
      </c>
      <c r="H206" s="247">
        <f>IF($B206="","",IF(COUNTIFS(Пул!$E$5:$E$300,$B206,Пул!$L$5:$L$300,"Закрыт")=0,"",ROUND(SUMIFS(Пул!$K$5:$K$300,Пул!$E$5:$E$300,$B206,Пул!$L$5:$L$300,"Закрыт"),8)))</f>
        <v/>
      </c>
      <c r="I206" s="242">
        <f>IF(AND(ISNUMBER(G206),ISNUMBER(H206)),IF(AND(G206&gt;0,H206&lt;0),"Buy",IF(AND(G206&lt;0,H206&gt;0),"Sell","")),"")</f>
        <v/>
      </c>
      <c r="J206" s="183">
        <f>IF(I206="Buy",G206,IF(I206="Sell",-G206,""))</f>
        <v/>
      </c>
      <c r="K206" s="183">
        <f>IF(AND(ISNUMBER(J206),ISNUMBER(L206),N(J206)&lt;&gt;0),ROUND(L206/J206,8),"")</f>
        <v/>
      </c>
      <c r="L206" s="183">
        <f>IF(I206="Buy",-H206,IF(I206="Sell",H206,""))</f>
        <v/>
      </c>
    </row>
    <row r="207" ht="22" customHeight="1">
      <c r="B207" s="315" t="n"/>
      <c r="C207" s="240">
        <f>IF($B207="","",IF(COUNTIFS(Пул!$E$5:$E$300,$B207,Пул!$F$5:$F$300,"&lt;&gt;")=0,"",ROUND(SUMIFS(Пул!$F$5:$F$300,Пул!$E$5:$E$300,$B207),8)))</f>
        <v/>
      </c>
      <c r="D207" s="241">
        <f>IF($B207="","",IF(COUNTIFS(Пул!$E$5:$E$300,$B207,Пул!$G$5:$G$300,"&lt;&gt;")=0,"",ROUND(SUMIFS(Пул!$G$5:$G$300,Пул!$E$5:$E$300,$B207),8)))</f>
        <v/>
      </c>
      <c r="E207" s="240">
        <f>IF($B207="","",IF(COUNTIFS(Пул!$E$5:$E$300,$B207,Пул!$L$5:$L$300,"Закрыт")=0,"",ROUND(SUMIFS(Пул!$H$5:$H$300,Пул!$E$5:$E$300,$B207,Пул!$L$5:$L$300,"Закрыт"),8)))</f>
        <v/>
      </c>
      <c r="F207" s="241">
        <f>IF($B207="","",IF(COUNTIFS(Пул!$E$5:$E$300,$B207,Пул!$L$5:$L$300,"Закрыт")=0,"",ROUND(SUMIFS(Пул!$I$5:$I$300,Пул!$E$5:$E$300,$B207,Пул!$L$5:$L$300,"Закрыт"),8)))</f>
        <v/>
      </c>
      <c r="G207" s="240">
        <f>IF($B207="","",IF(COUNTIFS(Пул!$E$5:$E$300,$B207,Пул!$L$5:$L$300,"Закрыт")=0,"",ROUND(SUMIFS(Пул!$J$5:$J$300,Пул!$E$5:$E$300,$B207,Пул!$L$5:$L$300,"Закрыт"),8)))</f>
        <v/>
      </c>
      <c r="H207" s="241">
        <f>IF($B207="","",IF(COUNTIFS(Пул!$E$5:$E$300,$B207,Пул!$L$5:$L$300,"Закрыт")=0,"",ROUND(SUMIFS(Пул!$K$5:$K$300,Пул!$E$5:$E$300,$B207,Пул!$L$5:$L$300,"Закрыт"),8)))</f>
        <v/>
      </c>
      <c r="I207" s="236">
        <f>IF(AND(ISNUMBER(G207),ISNUMBER(H207)),IF(AND(G207&gt;0,H207&lt;0),"Buy",IF(AND(G207&lt;0,H207&gt;0),"Sell","")),"")</f>
        <v/>
      </c>
      <c r="J207" s="177">
        <f>IF(I207="Buy",G207,IF(I207="Sell",-G207,""))</f>
        <v/>
      </c>
      <c r="K207" s="177">
        <f>IF(AND(ISNUMBER(J207),ISNUMBER(L207),N(J207)&lt;&gt;0),ROUND(L207/J207,8),"")</f>
        <v/>
      </c>
      <c r="L207" s="177">
        <f>IF(I207="Buy",-H207,IF(I207="Sell",H207,""))</f>
        <v/>
      </c>
    </row>
    <row r="208" ht="22" customHeight="1">
      <c r="B208" s="320" t="n"/>
      <c r="C208" s="246">
        <f>IF($B208="","",IF(COUNTIFS(Пул!$E$5:$E$300,$B208,Пул!$F$5:$F$300,"&lt;&gt;")=0,"",ROUND(SUMIFS(Пул!$F$5:$F$300,Пул!$E$5:$E$300,$B208),8)))</f>
        <v/>
      </c>
      <c r="D208" s="247">
        <f>IF($B208="","",IF(COUNTIFS(Пул!$E$5:$E$300,$B208,Пул!$G$5:$G$300,"&lt;&gt;")=0,"",ROUND(SUMIFS(Пул!$G$5:$G$300,Пул!$E$5:$E$300,$B208),8)))</f>
        <v/>
      </c>
      <c r="E208" s="246">
        <f>IF($B208="","",IF(COUNTIFS(Пул!$E$5:$E$300,$B208,Пул!$L$5:$L$300,"Закрыт")=0,"",ROUND(SUMIFS(Пул!$H$5:$H$300,Пул!$E$5:$E$300,$B208,Пул!$L$5:$L$300,"Закрыт"),8)))</f>
        <v/>
      </c>
      <c r="F208" s="247">
        <f>IF($B208="","",IF(COUNTIFS(Пул!$E$5:$E$300,$B208,Пул!$L$5:$L$300,"Закрыт")=0,"",ROUND(SUMIFS(Пул!$I$5:$I$300,Пул!$E$5:$E$300,$B208,Пул!$L$5:$L$300,"Закрыт"),8)))</f>
        <v/>
      </c>
      <c r="G208" s="246">
        <f>IF($B208="","",IF(COUNTIFS(Пул!$E$5:$E$300,$B208,Пул!$L$5:$L$300,"Закрыт")=0,"",ROUND(SUMIFS(Пул!$J$5:$J$300,Пул!$E$5:$E$300,$B208,Пул!$L$5:$L$300,"Закрыт"),8)))</f>
        <v/>
      </c>
      <c r="H208" s="247">
        <f>IF($B208="","",IF(COUNTIFS(Пул!$E$5:$E$300,$B208,Пул!$L$5:$L$300,"Закрыт")=0,"",ROUND(SUMIFS(Пул!$K$5:$K$300,Пул!$E$5:$E$300,$B208,Пул!$L$5:$L$300,"Закрыт"),8)))</f>
        <v/>
      </c>
      <c r="I208" s="242">
        <f>IF(AND(ISNUMBER(G208),ISNUMBER(H208)),IF(AND(G208&gt;0,H208&lt;0),"Buy",IF(AND(G208&lt;0,H208&gt;0),"Sell","")),"")</f>
        <v/>
      </c>
      <c r="J208" s="183">
        <f>IF(I208="Buy",G208,IF(I208="Sell",-G208,""))</f>
        <v/>
      </c>
      <c r="K208" s="183">
        <f>IF(AND(ISNUMBER(J208),ISNUMBER(L208),N(J208)&lt;&gt;0),ROUND(L208/J208,8),"")</f>
        <v/>
      </c>
      <c r="L208" s="183">
        <f>IF(I208="Buy",-H208,IF(I208="Sell",H208,""))</f>
        <v/>
      </c>
    </row>
    <row r="209" ht="22" customHeight="1">
      <c r="B209" s="315" t="n"/>
      <c r="C209" s="240">
        <f>IF($B209="","",IF(COUNTIFS(Пул!$E$5:$E$300,$B209,Пул!$F$5:$F$300,"&lt;&gt;")=0,"",ROUND(SUMIFS(Пул!$F$5:$F$300,Пул!$E$5:$E$300,$B209),8)))</f>
        <v/>
      </c>
      <c r="D209" s="241">
        <f>IF($B209="","",IF(COUNTIFS(Пул!$E$5:$E$300,$B209,Пул!$G$5:$G$300,"&lt;&gt;")=0,"",ROUND(SUMIFS(Пул!$G$5:$G$300,Пул!$E$5:$E$300,$B209),8)))</f>
        <v/>
      </c>
      <c r="E209" s="240">
        <f>IF($B209="","",IF(COUNTIFS(Пул!$E$5:$E$300,$B209,Пул!$L$5:$L$300,"Закрыт")=0,"",ROUND(SUMIFS(Пул!$H$5:$H$300,Пул!$E$5:$E$300,$B209,Пул!$L$5:$L$300,"Закрыт"),8)))</f>
        <v/>
      </c>
      <c r="F209" s="241">
        <f>IF($B209="","",IF(COUNTIFS(Пул!$E$5:$E$300,$B209,Пул!$L$5:$L$300,"Закрыт")=0,"",ROUND(SUMIFS(Пул!$I$5:$I$300,Пул!$E$5:$E$300,$B209,Пул!$L$5:$L$300,"Закрыт"),8)))</f>
        <v/>
      </c>
      <c r="G209" s="240">
        <f>IF($B209="","",IF(COUNTIFS(Пул!$E$5:$E$300,$B209,Пул!$L$5:$L$300,"Закрыт")=0,"",ROUND(SUMIFS(Пул!$J$5:$J$300,Пул!$E$5:$E$300,$B209,Пул!$L$5:$L$300,"Закрыт"),8)))</f>
        <v/>
      </c>
      <c r="H209" s="241">
        <f>IF($B209="","",IF(COUNTIFS(Пул!$E$5:$E$300,$B209,Пул!$L$5:$L$300,"Закрыт")=0,"",ROUND(SUMIFS(Пул!$K$5:$K$300,Пул!$E$5:$E$300,$B209,Пул!$L$5:$L$300,"Закрыт"),8)))</f>
        <v/>
      </c>
      <c r="I209" s="236">
        <f>IF(AND(ISNUMBER(G209),ISNUMBER(H209)),IF(AND(G209&gt;0,H209&lt;0),"Buy",IF(AND(G209&lt;0,H209&gt;0),"Sell","")),"")</f>
        <v/>
      </c>
      <c r="J209" s="177">
        <f>IF(I209="Buy",G209,IF(I209="Sell",-G209,""))</f>
        <v/>
      </c>
      <c r="K209" s="177">
        <f>IF(AND(ISNUMBER(J209),ISNUMBER(L209),N(J209)&lt;&gt;0),ROUND(L209/J209,8),"")</f>
        <v/>
      </c>
      <c r="L209" s="177">
        <f>IF(I209="Buy",-H209,IF(I209="Sell",H209,""))</f>
        <v/>
      </c>
    </row>
    <row r="210" ht="22" customHeight="1">
      <c r="B210" s="320" t="n"/>
      <c r="C210" s="246">
        <f>IF($B210="","",IF(COUNTIFS(Пул!$E$5:$E$300,$B210,Пул!$F$5:$F$300,"&lt;&gt;")=0,"",ROUND(SUMIFS(Пул!$F$5:$F$300,Пул!$E$5:$E$300,$B210),8)))</f>
        <v/>
      </c>
      <c r="D210" s="247">
        <f>IF($B210="","",IF(COUNTIFS(Пул!$E$5:$E$300,$B210,Пул!$G$5:$G$300,"&lt;&gt;")=0,"",ROUND(SUMIFS(Пул!$G$5:$G$300,Пул!$E$5:$E$300,$B210),8)))</f>
        <v/>
      </c>
      <c r="E210" s="246">
        <f>IF($B210="","",IF(COUNTIFS(Пул!$E$5:$E$300,$B210,Пул!$L$5:$L$300,"Закрыт")=0,"",ROUND(SUMIFS(Пул!$H$5:$H$300,Пул!$E$5:$E$300,$B210,Пул!$L$5:$L$300,"Закрыт"),8)))</f>
        <v/>
      </c>
      <c r="F210" s="247">
        <f>IF($B210="","",IF(COUNTIFS(Пул!$E$5:$E$300,$B210,Пул!$L$5:$L$300,"Закрыт")=0,"",ROUND(SUMIFS(Пул!$I$5:$I$300,Пул!$E$5:$E$300,$B210,Пул!$L$5:$L$300,"Закрыт"),8)))</f>
        <v/>
      </c>
      <c r="G210" s="246">
        <f>IF($B210="","",IF(COUNTIFS(Пул!$E$5:$E$300,$B210,Пул!$L$5:$L$300,"Закрыт")=0,"",ROUND(SUMIFS(Пул!$J$5:$J$300,Пул!$E$5:$E$300,$B210,Пул!$L$5:$L$300,"Закрыт"),8)))</f>
        <v/>
      </c>
      <c r="H210" s="247">
        <f>IF($B210="","",IF(COUNTIFS(Пул!$E$5:$E$300,$B210,Пул!$L$5:$L$300,"Закрыт")=0,"",ROUND(SUMIFS(Пул!$K$5:$K$300,Пул!$E$5:$E$300,$B210,Пул!$L$5:$L$300,"Закрыт"),8)))</f>
        <v/>
      </c>
      <c r="I210" s="242">
        <f>IF(AND(ISNUMBER(G210),ISNUMBER(H210)),IF(AND(G210&gt;0,H210&lt;0),"Buy",IF(AND(G210&lt;0,H210&gt;0),"Sell","")),"")</f>
        <v/>
      </c>
      <c r="J210" s="183">
        <f>IF(I210="Buy",G210,IF(I210="Sell",-G210,""))</f>
        <v/>
      </c>
      <c r="K210" s="183">
        <f>IF(AND(ISNUMBER(J210),ISNUMBER(L210),N(J210)&lt;&gt;0),ROUND(L210/J210,8),"")</f>
        <v/>
      </c>
      <c r="L210" s="183">
        <f>IF(I210="Buy",-H210,IF(I210="Sell",H210,""))</f>
        <v/>
      </c>
    </row>
    <row r="211" ht="22" customHeight="1">
      <c r="B211" s="315" t="n"/>
      <c r="C211" s="240">
        <f>IF($B211="","",IF(COUNTIFS(Пул!$E$5:$E$300,$B211,Пул!$F$5:$F$300,"&lt;&gt;")=0,"",ROUND(SUMIFS(Пул!$F$5:$F$300,Пул!$E$5:$E$300,$B211),8)))</f>
        <v/>
      </c>
      <c r="D211" s="241">
        <f>IF($B211="","",IF(COUNTIFS(Пул!$E$5:$E$300,$B211,Пул!$G$5:$G$300,"&lt;&gt;")=0,"",ROUND(SUMIFS(Пул!$G$5:$G$300,Пул!$E$5:$E$300,$B211),8)))</f>
        <v/>
      </c>
      <c r="E211" s="240">
        <f>IF($B211="","",IF(COUNTIFS(Пул!$E$5:$E$300,$B211,Пул!$L$5:$L$300,"Закрыт")=0,"",ROUND(SUMIFS(Пул!$H$5:$H$300,Пул!$E$5:$E$300,$B211,Пул!$L$5:$L$300,"Закрыт"),8)))</f>
        <v/>
      </c>
      <c r="F211" s="241">
        <f>IF($B211="","",IF(COUNTIFS(Пул!$E$5:$E$300,$B211,Пул!$L$5:$L$300,"Закрыт")=0,"",ROUND(SUMIFS(Пул!$I$5:$I$300,Пул!$E$5:$E$300,$B211,Пул!$L$5:$L$300,"Закрыт"),8)))</f>
        <v/>
      </c>
      <c r="G211" s="240">
        <f>IF($B211="","",IF(COUNTIFS(Пул!$E$5:$E$300,$B211,Пул!$L$5:$L$300,"Закрыт")=0,"",ROUND(SUMIFS(Пул!$J$5:$J$300,Пул!$E$5:$E$300,$B211,Пул!$L$5:$L$300,"Закрыт"),8)))</f>
        <v/>
      </c>
      <c r="H211" s="241">
        <f>IF($B211="","",IF(COUNTIFS(Пул!$E$5:$E$300,$B211,Пул!$L$5:$L$300,"Закрыт")=0,"",ROUND(SUMIFS(Пул!$K$5:$K$300,Пул!$E$5:$E$300,$B211,Пул!$L$5:$L$300,"Закрыт"),8)))</f>
        <v/>
      </c>
      <c r="I211" s="236">
        <f>IF(AND(ISNUMBER(G211),ISNUMBER(H211)),IF(AND(G211&gt;0,H211&lt;0),"Buy",IF(AND(G211&lt;0,H211&gt;0),"Sell","")),"")</f>
        <v/>
      </c>
      <c r="J211" s="177">
        <f>IF(I211="Buy",G211,IF(I211="Sell",-G211,""))</f>
        <v/>
      </c>
      <c r="K211" s="177">
        <f>IF(AND(ISNUMBER(J211),ISNUMBER(L211),N(J211)&lt;&gt;0),ROUND(L211/J211,8),"")</f>
        <v/>
      </c>
      <c r="L211" s="177">
        <f>IF(I211="Buy",-H211,IF(I211="Sell",H211,""))</f>
        <v/>
      </c>
    </row>
    <row r="212" ht="22" customHeight="1">
      <c r="B212" s="320" t="n"/>
      <c r="C212" s="246">
        <f>IF($B212="","",IF(COUNTIFS(Пул!$E$5:$E$300,$B212,Пул!$F$5:$F$300,"&lt;&gt;")=0,"",ROUND(SUMIFS(Пул!$F$5:$F$300,Пул!$E$5:$E$300,$B212),8)))</f>
        <v/>
      </c>
      <c r="D212" s="247">
        <f>IF($B212="","",IF(COUNTIFS(Пул!$E$5:$E$300,$B212,Пул!$G$5:$G$300,"&lt;&gt;")=0,"",ROUND(SUMIFS(Пул!$G$5:$G$300,Пул!$E$5:$E$300,$B212),8)))</f>
        <v/>
      </c>
      <c r="E212" s="246">
        <f>IF($B212="","",IF(COUNTIFS(Пул!$E$5:$E$300,$B212,Пул!$L$5:$L$300,"Закрыт")=0,"",ROUND(SUMIFS(Пул!$H$5:$H$300,Пул!$E$5:$E$300,$B212,Пул!$L$5:$L$300,"Закрыт"),8)))</f>
        <v/>
      </c>
      <c r="F212" s="247">
        <f>IF($B212="","",IF(COUNTIFS(Пул!$E$5:$E$300,$B212,Пул!$L$5:$L$300,"Закрыт")=0,"",ROUND(SUMIFS(Пул!$I$5:$I$300,Пул!$E$5:$E$300,$B212,Пул!$L$5:$L$300,"Закрыт"),8)))</f>
        <v/>
      </c>
      <c r="G212" s="246">
        <f>IF($B212="","",IF(COUNTIFS(Пул!$E$5:$E$300,$B212,Пул!$L$5:$L$300,"Закрыт")=0,"",ROUND(SUMIFS(Пул!$J$5:$J$300,Пул!$E$5:$E$300,$B212,Пул!$L$5:$L$300,"Закрыт"),8)))</f>
        <v/>
      </c>
      <c r="H212" s="247">
        <f>IF($B212="","",IF(COUNTIFS(Пул!$E$5:$E$300,$B212,Пул!$L$5:$L$300,"Закрыт")=0,"",ROUND(SUMIFS(Пул!$K$5:$K$300,Пул!$E$5:$E$300,$B212,Пул!$L$5:$L$300,"Закрыт"),8)))</f>
        <v/>
      </c>
      <c r="I212" s="242">
        <f>IF(AND(ISNUMBER(G212),ISNUMBER(H212)),IF(AND(G212&gt;0,H212&lt;0),"Buy",IF(AND(G212&lt;0,H212&gt;0),"Sell","")),"")</f>
        <v/>
      </c>
      <c r="J212" s="183">
        <f>IF(I212="Buy",G212,IF(I212="Sell",-G212,""))</f>
        <v/>
      </c>
      <c r="K212" s="183">
        <f>IF(AND(ISNUMBER(J212),ISNUMBER(L212),N(J212)&lt;&gt;0),ROUND(L212/J212,8),"")</f>
        <v/>
      </c>
      <c r="L212" s="183">
        <f>IF(I212="Buy",-H212,IF(I212="Sell",H212,""))</f>
        <v/>
      </c>
    </row>
    <row r="213" ht="22" customHeight="1">
      <c r="B213" s="315" t="n"/>
      <c r="C213" s="240">
        <f>IF($B213="","",IF(COUNTIFS(Пул!$E$5:$E$300,$B213,Пул!$F$5:$F$300,"&lt;&gt;")=0,"",ROUND(SUMIFS(Пул!$F$5:$F$300,Пул!$E$5:$E$300,$B213),8)))</f>
        <v/>
      </c>
      <c r="D213" s="241">
        <f>IF($B213="","",IF(COUNTIFS(Пул!$E$5:$E$300,$B213,Пул!$G$5:$G$300,"&lt;&gt;")=0,"",ROUND(SUMIFS(Пул!$G$5:$G$300,Пул!$E$5:$E$300,$B213),8)))</f>
        <v/>
      </c>
      <c r="E213" s="240">
        <f>IF($B213="","",IF(COUNTIFS(Пул!$E$5:$E$300,$B213,Пул!$L$5:$L$300,"Закрыт")=0,"",ROUND(SUMIFS(Пул!$H$5:$H$300,Пул!$E$5:$E$300,$B213,Пул!$L$5:$L$300,"Закрыт"),8)))</f>
        <v/>
      </c>
      <c r="F213" s="241">
        <f>IF($B213="","",IF(COUNTIFS(Пул!$E$5:$E$300,$B213,Пул!$L$5:$L$300,"Закрыт")=0,"",ROUND(SUMIFS(Пул!$I$5:$I$300,Пул!$E$5:$E$300,$B213,Пул!$L$5:$L$300,"Закрыт"),8)))</f>
        <v/>
      </c>
      <c r="G213" s="240">
        <f>IF($B213="","",IF(COUNTIFS(Пул!$E$5:$E$300,$B213,Пул!$L$5:$L$300,"Закрыт")=0,"",ROUND(SUMIFS(Пул!$J$5:$J$300,Пул!$E$5:$E$300,$B213,Пул!$L$5:$L$300,"Закрыт"),8)))</f>
        <v/>
      </c>
      <c r="H213" s="241">
        <f>IF($B213="","",IF(COUNTIFS(Пул!$E$5:$E$300,$B213,Пул!$L$5:$L$300,"Закрыт")=0,"",ROUND(SUMIFS(Пул!$K$5:$K$300,Пул!$E$5:$E$300,$B213,Пул!$L$5:$L$300,"Закрыт"),8)))</f>
        <v/>
      </c>
      <c r="I213" s="236">
        <f>IF(AND(ISNUMBER(G213),ISNUMBER(H213)),IF(AND(G213&gt;0,H213&lt;0),"Buy",IF(AND(G213&lt;0,H213&gt;0),"Sell","")),"")</f>
        <v/>
      </c>
      <c r="J213" s="177">
        <f>IF(I213="Buy",G213,IF(I213="Sell",-G213,""))</f>
        <v/>
      </c>
      <c r="K213" s="177">
        <f>IF(AND(ISNUMBER(J213),ISNUMBER(L213),N(J213)&lt;&gt;0),ROUND(L213/J213,8),"")</f>
        <v/>
      </c>
      <c r="L213" s="177">
        <f>IF(I213="Buy",-H213,IF(I213="Sell",H213,""))</f>
        <v/>
      </c>
    </row>
    <row r="214" ht="22" customHeight="1">
      <c r="B214" s="320" t="n"/>
      <c r="C214" s="246">
        <f>IF($B214="","",IF(COUNTIFS(Пул!$E$5:$E$300,$B214,Пул!$F$5:$F$300,"&lt;&gt;")=0,"",ROUND(SUMIFS(Пул!$F$5:$F$300,Пул!$E$5:$E$300,$B214),8)))</f>
        <v/>
      </c>
      <c r="D214" s="247">
        <f>IF($B214="","",IF(COUNTIFS(Пул!$E$5:$E$300,$B214,Пул!$G$5:$G$300,"&lt;&gt;")=0,"",ROUND(SUMIFS(Пул!$G$5:$G$300,Пул!$E$5:$E$300,$B214),8)))</f>
        <v/>
      </c>
      <c r="E214" s="246">
        <f>IF($B214="","",IF(COUNTIFS(Пул!$E$5:$E$300,$B214,Пул!$L$5:$L$300,"Закрыт")=0,"",ROUND(SUMIFS(Пул!$H$5:$H$300,Пул!$E$5:$E$300,$B214,Пул!$L$5:$L$300,"Закрыт"),8)))</f>
        <v/>
      </c>
      <c r="F214" s="247">
        <f>IF($B214="","",IF(COUNTIFS(Пул!$E$5:$E$300,$B214,Пул!$L$5:$L$300,"Закрыт")=0,"",ROUND(SUMIFS(Пул!$I$5:$I$300,Пул!$E$5:$E$300,$B214,Пул!$L$5:$L$300,"Закрыт"),8)))</f>
        <v/>
      </c>
      <c r="G214" s="246">
        <f>IF($B214="","",IF(COUNTIFS(Пул!$E$5:$E$300,$B214,Пул!$L$5:$L$300,"Закрыт")=0,"",ROUND(SUMIFS(Пул!$J$5:$J$300,Пул!$E$5:$E$300,$B214,Пул!$L$5:$L$300,"Закрыт"),8)))</f>
        <v/>
      </c>
      <c r="H214" s="247">
        <f>IF($B214="","",IF(COUNTIFS(Пул!$E$5:$E$300,$B214,Пул!$L$5:$L$300,"Закрыт")=0,"",ROUND(SUMIFS(Пул!$K$5:$K$300,Пул!$E$5:$E$300,$B214,Пул!$L$5:$L$300,"Закрыт"),8)))</f>
        <v/>
      </c>
      <c r="I214" s="242">
        <f>IF(AND(ISNUMBER(G214),ISNUMBER(H214)),IF(AND(G214&gt;0,H214&lt;0),"Buy",IF(AND(G214&lt;0,H214&gt;0),"Sell","")),"")</f>
        <v/>
      </c>
      <c r="J214" s="183">
        <f>IF(I214="Buy",G214,IF(I214="Sell",-G214,""))</f>
        <v/>
      </c>
      <c r="K214" s="183">
        <f>IF(AND(ISNUMBER(J214),ISNUMBER(L214),N(J214)&lt;&gt;0),ROUND(L214/J214,8),"")</f>
        <v/>
      </c>
      <c r="L214" s="183">
        <f>IF(I214="Buy",-H214,IF(I214="Sell",H214,""))</f>
        <v/>
      </c>
    </row>
    <row r="215" ht="22" customHeight="1">
      <c r="B215" s="315" t="n"/>
      <c r="C215" s="240">
        <f>IF($B215="","",IF(COUNTIFS(Пул!$E$5:$E$300,$B215,Пул!$F$5:$F$300,"&lt;&gt;")=0,"",ROUND(SUMIFS(Пул!$F$5:$F$300,Пул!$E$5:$E$300,$B215),8)))</f>
        <v/>
      </c>
      <c r="D215" s="241">
        <f>IF($B215="","",IF(COUNTIFS(Пул!$E$5:$E$300,$B215,Пул!$G$5:$G$300,"&lt;&gt;")=0,"",ROUND(SUMIFS(Пул!$G$5:$G$300,Пул!$E$5:$E$300,$B215),8)))</f>
        <v/>
      </c>
      <c r="E215" s="240">
        <f>IF($B215="","",IF(COUNTIFS(Пул!$E$5:$E$300,$B215,Пул!$L$5:$L$300,"Закрыт")=0,"",ROUND(SUMIFS(Пул!$H$5:$H$300,Пул!$E$5:$E$300,$B215,Пул!$L$5:$L$300,"Закрыт"),8)))</f>
        <v/>
      </c>
      <c r="F215" s="241">
        <f>IF($B215="","",IF(COUNTIFS(Пул!$E$5:$E$300,$B215,Пул!$L$5:$L$300,"Закрыт")=0,"",ROUND(SUMIFS(Пул!$I$5:$I$300,Пул!$E$5:$E$300,$B215,Пул!$L$5:$L$300,"Закрыт"),8)))</f>
        <v/>
      </c>
      <c r="G215" s="240">
        <f>IF($B215="","",IF(COUNTIFS(Пул!$E$5:$E$300,$B215,Пул!$L$5:$L$300,"Закрыт")=0,"",ROUND(SUMIFS(Пул!$J$5:$J$300,Пул!$E$5:$E$300,$B215,Пул!$L$5:$L$300,"Закрыт"),8)))</f>
        <v/>
      </c>
      <c r="H215" s="241">
        <f>IF($B215="","",IF(COUNTIFS(Пул!$E$5:$E$300,$B215,Пул!$L$5:$L$300,"Закрыт")=0,"",ROUND(SUMIFS(Пул!$K$5:$K$300,Пул!$E$5:$E$300,$B215,Пул!$L$5:$L$300,"Закрыт"),8)))</f>
        <v/>
      </c>
      <c r="I215" s="236">
        <f>IF(AND(ISNUMBER(G215),ISNUMBER(H215)),IF(AND(G215&gt;0,H215&lt;0),"Buy",IF(AND(G215&lt;0,H215&gt;0),"Sell","")),"")</f>
        <v/>
      </c>
      <c r="J215" s="177">
        <f>IF(I215="Buy",G215,IF(I215="Sell",-G215,""))</f>
        <v/>
      </c>
      <c r="K215" s="177">
        <f>IF(AND(ISNUMBER(J215),ISNUMBER(L215),N(J215)&lt;&gt;0),ROUND(L215/J215,8),"")</f>
        <v/>
      </c>
      <c r="L215" s="177">
        <f>IF(I215="Buy",-H215,IF(I215="Sell",H215,""))</f>
        <v/>
      </c>
    </row>
    <row r="216" ht="22" customHeight="1">
      <c r="B216" s="320" t="n"/>
      <c r="C216" s="246">
        <f>IF($B216="","",IF(COUNTIFS(Пул!$E$5:$E$300,$B216,Пул!$F$5:$F$300,"&lt;&gt;")=0,"",ROUND(SUMIFS(Пул!$F$5:$F$300,Пул!$E$5:$E$300,$B216),8)))</f>
        <v/>
      </c>
      <c r="D216" s="247">
        <f>IF($B216="","",IF(COUNTIFS(Пул!$E$5:$E$300,$B216,Пул!$G$5:$G$300,"&lt;&gt;")=0,"",ROUND(SUMIFS(Пул!$G$5:$G$300,Пул!$E$5:$E$300,$B216),8)))</f>
        <v/>
      </c>
      <c r="E216" s="246">
        <f>IF($B216="","",IF(COUNTIFS(Пул!$E$5:$E$300,$B216,Пул!$L$5:$L$300,"Закрыт")=0,"",ROUND(SUMIFS(Пул!$H$5:$H$300,Пул!$E$5:$E$300,$B216,Пул!$L$5:$L$300,"Закрыт"),8)))</f>
        <v/>
      </c>
      <c r="F216" s="247">
        <f>IF($B216="","",IF(COUNTIFS(Пул!$E$5:$E$300,$B216,Пул!$L$5:$L$300,"Закрыт")=0,"",ROUND(SUMIFS(Пул!$I$5:$I$300,Пул!$E$5:$E$300,$B216,Пул!$L$5:$L$300,"Закрыт"),8)))</f>
        <v/>
      </c>
      <c r="G216" s="246">
        <f>IF($B216="","",IF(COUNTIFS(Пул!$E$5:$E$300,$B216,Пул!$L$5:$L$300,"Закрыт")=0,"",ROUND(SUMIFS(Пул!$J$5:$J$300,Пул!$E$5:$E$300,$B216,Пул!$L$5:$L$300,"Закрыт"),8)))</f>
        <v/>
      </c>
      <c r="H216" s="247">
        <f>IF($B216="","",IF(COUNTIFS(Пул!$E$5:$E$300,$B216,Пул!$L$5:$L$300,"Закрыт")=0,"",ROUND(SUMIFS(Пул!$K$5:$K$300,Пул!$E$5:$E$300,$B216,Пул!$L$5:$L$300,"Закрыт"),8)))</f>
        <v/>
      </c>
      <c r="I216" s="242">
        <f>IF(AND(ISNUMBER(G216),ISNUMBER(H216)),IF(AND(G216&gt;0,H216&lt;0),"Buy",IF(AND(G216&lt;0,H216&gt;0),"Sell","")),"")</f>
        <v/>
      </c>
      <c r="J216" s="183">
        <f>IF(I216="Buy",G216,IF(I216="Sell",-G216,""))</f>
        <v/>
      </c>
      <c r="K216" s="183">
        <f>IF(AND(ISNUMBER(J216),ISNUMBER(L216),N(J216)&lt;&gt;0),ROUND(L216/J216,8),"")</f>
        <v/>
      </c>
      <c r="L216" s="183">
        <f>IF(I216="Buy",-H216,IF(I216="Sell",H216,""))</f>
        <v/>
      </c>
    </row>
    <row r="217" ht="22" customHeight="1">
      <c r="B217" s="315" t="n"/>
      <c r="C217" s="240">
        <f>IF($B217="","",IF(COUNTIFS(Пул!$E$5:$E$300,$B217,Пул!$F$5:$F$300,"&lt;&gt;")=0,"",ROUND(SUMIFS(Пул!$F$5:$F$300,Пул!$E$5:$E$300,$B217),8)))</f>
        <v/>
      </c>
      <c r="D217" s="241">
        <f>IF($B217="","",IF(COUNTIFS(Пул!$E$5:$E$300,$B217,Пул!$G$5:$G$300,"&lt;&gt;")=0,"",ROUND(SUMIFS(Пул!$G$5:$G$300,Пул!$E$5:$E$300,$B217),8)))</f>
        <v/>
      </c>
      <c r="E217" s="240">
        <f>IF($B217="","",IF(COUNTIFS(Пул!$E$5:$E$300,$B217,Пул!$L$5:$L$300,"Закрыт")=0,"",ROUND(SUMIFS(Пул!$H$5:$H$300,Пул!$E$5:$E$300,$B217,Пул!$L$5:$L$300,"Закрыт"),8)))</f>
        <v/>
      </c>
      <c r="F217" s="241">
        <f>IF($B217="","",IF(COUNTIFS(Пул!$E$5:$E$300,$B217,Пул!$L$5:$L$300,"Закрыт")=0,"",ROUND(SUMIFS(Пул!$I$5:$I$300,Пул!$E$5:$E$300,$B217,Пул!$L$5:$L$300,"Закрыт"),8)))</f>
        <v/>
      </c>
      <c r="G217" s="240">
        <f>IF($B217="","",IF(COUNTIFS(Пул!$E$5:$E$300,$B217,Пул!$L$5:$L$300,"Закрыт")=0,"",ROUND(SUMIFS(Пул!$J$5:$J$300,Пул!$E$5:$E$300,$B217,Пул!$L$5:$L$300,"Закрыт"),8)))</f>
        <v/>
      </c>
      <c r="H217" s="241">
        <f>IF($B217="","",IF(COUNTIFS(Пул!$E$5:$E$300,$B217,Пул!$L$5:$L$300,"Закрыт")=0,"",ROUND(SUMIFS(Пул!$K$5:$K$300,Пул!$E$5:$E$300,$B217,Пул!$L$5:$L$300,"Закрыт"),8)))</f>
        <v/>
      </c>
      <c r="I217" s="236">
        <f>IF(AND(ISNUMBER(G217),ISNUMBER(H217)),IF(AND(G217&gt;0,H217&lt;0),"Buy",IF(AND(G217&lt;0,H217&gt;0),"Sell","")),"")</f>
        <v/>
      </c>
      <c r="J217" s="177">
        <f>IF(I217="Buy",G217,IF(I217="Sell",-G217,""))</f>
        <v/>
      </c>
      <c r="K217" s="177">
        <f>IF(AND(ISNUMBER(J217),ISNUMBER(L217),N(J217)&lt;&gt;0),ROUND(L217/J217,8),"")</f>
        <v/>
      </c>
      <c r="L217" s="177">
        <f>IF(I217="Buy",-H217,IF(I217="Sell",H217,""))</f>
        <v/>
      </c>
    </row>
    <row r="218" ht="22" customHeight="1">
      <c r="B218" s="320" t="n"/>
      <c r="C218" s="246">
        <f>IF($B218="","",IF(COUNTIFS(Пул!$E$5:$E$300,$B218,Пул!$F$5:$F$300,"&lt;&gt;")=0,"",ROUND(SUMIFS(Пул!$F$5:$F$300,Пул!$E$5:$E$300,$B218),8)))</f>
        <v/>
      </c>
      <c r="D218" s="247">
        <f>IF($B218="","",IF(COUNTIFS(Пул!$E$5:$E$300,$B218,Пул!$G$5:$G$300,"&lt;&gt;")=0,"",ROUND(SUMIFS(Пул!$G$5:$G$300,Пул!$E$5:$E$300,$B218),8)))</f>
        <v/>
      </c>
      <c r="E218" s="246">
        <f>IF($B218="","",IF(COUNTIFS(Пул!$E$5:$E$300,$B218,Пул!$L$5:$L$300,"Закрыт")=0,"",ROUND(SUMIFS(Пул!$H$5:$H$300,Пул!$E$5:$E$300,$B218,Пул!$L$5:$L$300,"Закрыт"),8)))</f>
        <v/>
      </c>
      <c r="F218" s="247">
        <f>IF($B218="","",IF(COUNTIFS(Пул!$E$5:$E$300,$B218,Пул!$L$5:$L$300,"Закрыт")=0,"",ROUND(SUMIFS(Пул!$I$5:$I$300,Пул!$E$5:$E$300,$B218,Пул!$L$5:$L$300,"Закрыт"),8)))</f>
        <v/>
      </c>
      <c r="G218" s="246">
        <f>IF($B218="","",IF(COUNTIFS(Пул!$E$5:$E$300,$B218,Пул!$L$5:$L$300,"Закрыт")=0,"",ROUND(SUMIFS(Пул!$J$5:$J$300,Пул!$E$5:$E$300,$B218,Пул!$L$5:$L$300,"Закрыт"),8)))</f>
        <v/>
      </c>
      <c r="H218" s="247">
        <f>IF($B218="","",IF(COUNTIFS(Пул!$E$5:$E$300,$B218,Пул!$L$5:$L$300,"Закрыт")=0,"",ROUND(SUMIFS(Пул!$K$5:$K$300,Пул!$E$5:$E$300,$B218,Пул!$L$5:$L$300,"Закрыт"),8)))</f>
        <v/>
      </c>
      <c r="I218" s="242">
        <f>IF(AND(ISNUMBER(G218),ISNUMBER(H218)),IF(AND(G218&gt;0,H218&lt;0),"Buy",IF(AND(G218&lt;0,H218&gt;0),"Sell","")),"")</f>
        <v/>
      </c>
      <c r="J218" s="183">
        <f>IF(I218="Buy",G218,IF(I218="Sell",-G218,""))</f>
        <v/>
      </c>
      <c r="K218" s="183">
        <f>IF(AND(ISNUMBER(J218),ISNUMBER(L218),N(J218)&lt;&gt;0),ROUND(L218/J218,8),"")</f>
        <v/>
      </c>
      <c r="L218" s="183">
        <f>IF(I218="Buy",-H218,IF(I218="Sell",H218,""))</f>
        <v/>
      </c>
    </row>
    <row r="219" ht="22" customHeight="1">
      <c r="B219" s="315" t="n"/>
      <c r="C219" s="240">
        <f>IF($B219="","",IF(COUNTIFS(Пул!$E$5:$E$300,$B219,Пул!$F$5:$F$300,"&lt;&gt;")=0,"",ROUND(SUMIFS(Пул!$F$5:$F$300,Пул!$E$5:$E$300,$B219),8)))</f>
        <v/>
      </c>
      <c r="D219" s="241">
        <f>IF($B219="","",IF(COUNTIFS(Пул!$E$5:$E$300,$B219,Пул!$G$5:$G$300,"&lt;&gt;")=0,"",ROUND(SUMIFS(Пул!$G$5:$G$300,Пул!$E$5:$E$300,$B219),8)))</f>
        <v/>
      </c>
      <c r="E219" s="240">
        <f>IF($B219="","",IF(COUNTIFS(Пул!$E$5:$E$300,$B219,Пул!$L$5:$L$300,"Закрыт")=0,"",ROUND(SUMIFS(Пул!$H$5:$H$300,Пул!$E$5:$E$300,$B219,Пул!$L$5:$L$300,"Закрыт"),8)))</f>
        <v/>
      </c>
      <c r="F219" s="241">
        <f>IF($B219="","",IF(COUNTIFS(Пул!$E$5:$E$300,$B219,Пул!$L$5:$L$300,"Закрыт")=0,"",ROUND(SUMIFS(Пул!$I$5:$I$300,Пул!$E$5:$E$300,$B219,Пул!$L$5:$L$300,"Закрыт"),8)))</f>
        <v/>
      </c>
      <c r="G219" s="240">
        <f>IF($B219="","",IF(COUNTIFS(Пул!$E$5:$E$300,$B219,Пул!$L$5:$L$300,"Закрыт")=0,"",ROUND(SUMIFS(Пул!$J$5:$J$300,Пул!$E$5:$E$300,$B219,Пул!$L$5:$L$300,"Закрыт"),8)))</f>
        <v/>
      </c>
      <c r="H219" s="241">
        <f>IF($B219="","",IF(COUNTIFS(Пул!$E$5:$E$300,$B219,Пул!$L$5:$L$300,"Закрыт")=0,"",ROUND(SUMIFS(Пул!$K$5:$K$300,Пул!$E$5:$E$300,$B219,Пул!$L$5:$L$300,"Закрыт"),8)))</f>
        <v/>
      </c>
      <c r="I219" s="236">
        <f>IF(AND(ISNUMBER(G219),ISNUMBER(H219)),IF(AND(G219&gt;0,H219&lt;0),"Buy",IF(AND(G219&lt;0,H219&gt;0),"Sell","")),"")</f>
        <v/>
      </c>
      <c r="J219" s="177">
        <f>IF(I219="Buy",G219,IF(I219="Sell",-G219,""))</f>
        <v/>
      </c>
      <c r="K219" s="177">
        <f>IF(AND(ISNUMBER(J219),ISNUMBER(L219),N(J219)&lt;&gt;0),ROUND(L219/J219,8),"")</f>
        <v/>
      </c>
      <c r="L219" s="177">
        <f>IF(I219="Buy",-H219,IF(I219="Sell",H219,""))</f>
        <v/>
      </c>
    </row>
    <row r="220" ht="22" customHeight="1">
      <c r="B220" s="320" t="n"/>
      <c r="C220" s="246">
        <f>IF($B220="","",IF(COUNTIFS(Пул!$E$5:$E$300,$B220,Пул!$F$5:$F$300,"&lt;&gt;")=0,"",ROUND(SUMIFS(Пул!$F$5:$F$300,Пул!$E$5:$E$300,$B220),8)))</f>
        <v/>
      </c>
      <c r="D220" s="247">
        <f>IF($B220="","",IF(COUNTIFS(Пул!$E$5:$E$300,$B220,Пул!$G$5:$G$300,"&lt;&gt;")=0,"",ROUND(SUMIFS(Пул!$G$5:$G$300,Пул!$E$5:$E$300,$B220),8)))</f>
        <v/>
      </c>
      <c r="E220" s="246">
        <f>IF($B220="","",IF(COUNTIFS(Пул!$E$5:$E$300,$B220,Пул!$L$5:$L$300,"Закрыт")=0,"",ROUND(SUMIFS(Пул!$H$5:$H$300,Пул!$E$5:$E$300,$B220,Пул!$L$5:$L$300,"Закрыт"),8)))</f>
        <v/>
      </c>
      <c r="F220" s="247">
        <f>IF($B220="","",IF(COUNTIFS(Пул!$E$5:$E$300,$B220,Пул!$L$5:$L$300,"Закрыт")=0,"",ROUND(SUMIFS(Пул!$I$5:$I$300,Пул!$E$5:$E$300,$B220,Пул!$L$5:$L$300,"Закрыт"),8)))</f>
        <v/>
      </c>
      <c r="G220" s="246">
        <f>IF($B220="","",IF(COUNTIFS(Пул!$E$5:$E$300,$B220,Пул!$L$5:$L$300,"Закрыт")=0,"",ROUND(SUMIFS(Пул!$J$5:$J$300,Пул!$E$5:$E$300,$B220,Пул!$L$5:$L$300,"Закрыт"),8)))</f>
        <v/>
      </c>
      <c r="H220" s="247">
        <f>IF($B220="","",IF(COUNTIFS(Пул!$E$5:$E$300,$B220,Пул!$L$5:$L$300,"Закрыт")=0,"",ROUND(SUMIFS(Пул!$K$5:$K$300,Пул!$E$5:$E$300,$B220,Пул!$L$5:$L$300,"Закрыт"),8)))</f>
        <v/>
      </c>
      <c r="I220" s="242">
        <f>IF(AND(ISNUMBER(G220),ISNUMBER(H220)),IF(AND(G220&gt;0,H220&lt;0),"Buy",IF(AND(G220&lt;0,H220&gt;0),"Sell","")),"")</f>
        <v/>
      </c>
      <c r="J220" s="183">
        <f>IF(I220="Buy",G220,IF(I220="Sell",-G220,""))</f>
        <v/>
      </c>
      <c r="K220" s="183">
        <f>IF(AND(ISNUMBER(J220),ISNUMBER(L220),N(J220)&lt;&gt;0),ROUND(L220/J220,8),"")</f>
        <v/>
      </c>
      <c r="L220" s="183">
        <f>IF(I220="Buy",-H220,IF(I220="Sell",H220,""))</f>
        <v/>
      </c>
    </row>
    <row r="221" ht="22" customHeight="1">
      <c r="B221" s="315" t="n"/>
      <c r="C221" s="240">
        <f>IF($B221="","",IF(COUNTIFS(Пул!$E$5:$E$300,$B221,Пул!$F$5:$F$300,"&lt;&gt;")=0,"",ROUND(SUMIFS(Пул!$F$5:$F$300,Пул!$E$5:$E$300,$B221),8)))</f>
        <v/>
      </c>
      <c r="D221" s="241">
        <f>IF($B221="","",IF(COUNTIFS(Пул!$E$5:$E$300,$B221,Пул!$G$5:$G$300,"&lt;&gt;")=0,"",ROUND(SUMIFS(Пул!$G$5:$G$300,Пул!$E$5:$E$300,$B221),8)))</f>
        <v/>
      </c>
      <c r="E221" s="240">
        <f>IF($B221="","",IF(COUNTIFS(Пул!$E$5:$E$300,$B221,Пул!$L$5:$L$300,"Закрыт")=0,"",ROUND(SUMIFS(Пул!$H$5:$H$300,Пул!$E$5:$E$300,$B221,Пул!$L$5:$L$300,"Закрыт"),8)))</f>
        <v/>
      </c>
      <c r="F221" s="241">
        <f>IF($B221="","",IF(COUNTIFS(Пул!$E$5:$E$300,$B221,Пул!$L$5:$L$300,"Закрыт")=0,"",ROUND(SUMIFS(Пул!$I$5:$I$300,Пул!$E$5:$E$300,$B221,Пул!$L$5:$L$300,"Закрыт"),8)))</f>
        <v/>
      </c>
      <c r="G221" s="240">
        <f>IF($B221="","",IF(COUNTIFS(Пул!$E$5:$E$300,$B221,Пул!$L$5:$L$300,"Закрыт")=0,"",ROUND(SUMIFS(Пул!$J$5:$J$300,Пул!$E$5:$E$300,$B221,Пул!$L$5:$L$300,"Закрыт"),8)))</f>
        <v/>
      </c>
      <c r="H221" s="241">
        <f>IF($B221="","",IF(COUNTIFS(Пул!$E$5:$E$300,$B221,Пул!$L$5:$L$300,"Закрыт")=0,"",ROUND(SUMIFS(Пул!$K$5:$K$300,Пул!$E$5:$E$300,$B221,Пул!$L$5:$L$300,"Закрыт"),8)))</f>
        <v/>
      </c>
      <c r="I221" s="236">
        <f>IF(AND(ISNUMBER(G221),ISNUMBER(H221)),IF(AND(G221&gt;0,H221&lt;0),"Buy",IF(AND(G221&lt;0,H221&gt;0),"Sell","")),"")</f>
        <v/>
      </c>
      <c r="J221" s="177">
        <f>IF(I221="Buy",G221,IF(I221="Sell",-G221,""))</f>
        <v/>
      </c>
      <c r="K221" s="177">
        <f>IF(AND(ISNUMBER(J221),ISNUMBER(L221),N(J221)&lt;&gt;0),ROUND(L221/J221,8),"")</f>
        <v/>
      </c>
      <c r="L221" s="177">
        <f>IF(I221="Buy",-H221,IF(I221="Sell",H221,""))</f>
        <v/>
      </c>
    </row>
    <row r="222" ht="22" customHeight="1">
      <c r="B222" s="320" t="n"/>
      <c r="C222" s="246">
        <f>IF($B222="","",IF(COUNTIFS(Пул!$E$5:$E$300,$B222,Пул!$F$5:$F$300,"&lt;&gt;")=0,"",ROUND(SUMIFS(Пул!$F$5:$F$300,Пул!$E$5:$E$300,$B222),8)))</f>
        <v/>
      </c>
      <c r="D222" s="247">
        <f>IF($B222="","",IF(COUNTIFS(Пул!$E$5:$E$300,$B222,Пул!$G$5:$G$300,"&lt;&gt;")=0,"",ROUND(SUMIFS(Пул!$G$5:$G$300,Пул!$E$5:$E$300,$B222),8)))</f>
        <v/>
      </c>
      <c r="E222" s="246">
        <f>IF($B222="","",IF(COUNTIFS(Пул!$E$5:$E$300,$B222,Пул!$L$5:$L$300,"Закрыт")=0,"",ROUND(SUMIFS(Пул!$H$5:$H$300,Пул!$E$5:$E$300,$B222,Пул!$L$5:$L$300,"Закрыт"),8)))</f>
        <v/>
      </c>
      <c r="F222" s="247">
        <f>IF($B222="","",IF(COUNTIFS(Пул!$E$5:$E$300,$B222,Пул!$L$5:$L$300,"Закрыт")=0,"",ROUND(SUMIFS(Пул!$I$5:$I$300,Пул!$E$5:$E$300,$B222,Пул!$L$5:$L$300,"Закрыт"),8)))</f>
        <v/>
      </c>
      <c r="G222" s="246">
        <f>IF($B222="","",IF(COUNTIFS(Пул!$E$5:$E$300,$B222,Пул!$L$5:$L$300,"Закрыт")=0,"",ROUND(SUMIFS(Пул!$J$5:$J$300,Пул!$E$5:$E$300,$B222,Пул!$L$5:$L$300,"Закрыт"),8)))</f>
        <v/>
      </c>
      <c r="H222" s="247">
        <f>IF($B222="","",IF(COUNTIFS(Пул!$E$5:$E$300,$B222,Пул!$L$5:$L$300,"Закрыт")=0,"",ROUND(SUMIFS(Пул!$K$5:$K$300,Пул!$E$5:$E$300,$B222,Пул!$L$5:$L$300,"Закрыт"),8)))</f>
        <v/>
      </c>
      <c r="I222" s="242">
        <f>IF(AND(ISNUMBER(G222),ISNUMBER(H222)),IF(AND(G222&gt;0,H222&lt;0),"Buy",IF(AND(G222&lt;0,H222&gt;0),"Sell","")),"")</f>
        <v/>
      </c>
      <c r="J222" s="183">
        <f>IF(I222="Buy",G222,IF(I222="Sell",-G222,""))</f>
        <v/>
      </c>
      <c r="K222" s="183">
        <f>IF(AND(ISNUMBER(J222),ISNUMBER(L222),N(J222)&lt;&gt;0),ROUND(L222/J222,8),"")</f>
        <v/>
      </c>
      <c r="L222" s="183">
        <f>IF(I222="Buy",-H222,IF(I222="Sell",H222,""))</f>
        <v/>
      </c>
    </row>
    <row r="223" ht="22" customHeight="1">
      <c r="B223" s="315" t="n"/>
      <c r="C223" s="240">
        <f>IF($B223="","",IF(COUNTIFS(Пул!$E$5:$E$300,$B223,Пул!$F$5:$F$300,"&lt;&gt;")=0,"",ROUND(SUMIFS(Пул!$F$5:$F$300,Пул!$E$5:$E$300,$B223),8)))</f>
        <v/>
      </c>
      <c r="D223" s="241">
        <f>IF($B223="","",IF(COUNTIFS(Пул!$E$5:$E$300,$B223,Пул!$G$5:$G$300,"&lt;&gt;")=0,"",ROUND(SUMIFS(Пул!$G$5:$G$300,Пул!$E$5:$E$300,$B223),8)))</f>
        <v/>
      </c>
      <c r="E223" s="240">
        <f>IF($B223="","",IF(COUNTIFS(Пул!$E$5:$E$300,$B223,Пул!$L$5:$L$300,"Закрыт")=0,"",ROUND(SUMIFS(Пул!$H$5:$H$300,Пул!$E$5:$E$300,$B223,Пул!$L$5:$L$300,"Закрыт"),8)))</f>
        <v/>
      </c>
      <c r="F223" s="241">
        <f>IF($B223="","",IF(COUNTIFS(Пул!$E$5:$E$300,$B223,Пул!$L$5:$L$300,"Закрыт")=0,"",ROUND(SUMIFS(Пул!$I$5:$I$300,Пул!$E$5:$E$300,$B223,Пул!$L$5:$L$300,"Закрыт"),8)))</f>
        <v/>
      </c>
      <c r="G223" s="240">
        <f>IF($B223="","",IF(COUNTIFS(Пул!$E$5:$E$300,$B223,Пул!$L$5:$L$300,"Закрыт")=0,"",ROUND(SUMIFS(Пул!$J$5:$J$300,Пул!$E$5:$E$300,$B223,Пул!$L$5:$L$300,"Закрыт"),8)))</f>
        <v/>
      </c>
      <c r="H223" s="241">
        <f>IF($B223="","",IF(COUNTIFS(Пул!$E$5:$E$300,$B223,Пул!$L$5:$L$300,"Закрыт")=0,"",ROUND(SUMIFS(Пул!$K$5:$K$300,Пул!$E$5:$E$300,$B223,Пул!$L$5:$L$300,"Закрыт"),8)))</f>
        <v/>
      </c>
      <c r="I223" s="236">
        <f>IF(AND(ISNUMBER(G223),ISNUMBER(H223)),IF(AND(G223&gt;0,H223&lt;0),"Buy",IF(AND(G223&lt;0,H223&gt;0),"Sell","")),"")</f>
        <v/>
      </c>
      <c r="J223" s="177">
        <f>IF(I223="Buy",G223,IF(I223="Sell",-G223,""))</f>
        <v/>
      </c>
      <c r="K223" s="177">
        <f>IF(AND(ISNUMBER(J223),ISNUMBER(L223),N(J223)&lt;&gt;0),ROUND(L223/J223,8),"")</f>
        <v/>
      </c>
      <c r="L223" s="177">
        <f>IF(I223="Buy",-H223,IF(I223="Sell",H223,""))</f>
        <v/>
      </c>
    </row>
    <row r="224" ht="22" customHeight="1">
      <c r="B224" s="320" t="n"/>
      <c r="C224" s="246">
        <f>IF($B224="","",IF(COUNTIFS(Пул!$E$5:$E$300,$B224,Пул!$F$5:$F$300,"&lt;&gt;")=0,"",ROUND(SUMIFS(Пул!$F$5:$F$300,Пул!$E$5:$E$300,$B224),8)))</f>
        <v/>
      </c>
      <c r="D224" s="247">
        <f>IF($B224="","",IF(COUNTIFS(Пул!$E$5:$E$300,$B224,Пул!$G$5:$G$300,"&lt;&gt;")=0,"",ROUND(SUMIFS(Пул!$G$5:$G$300,Пул!$E$5:$E$300,$B224),8)))</f>
        <v/>
      </c>
      <c r="E224" s="246">
        <f>IF($B224="","",IF(COUNTIFS(Пул!$E$5:$E$300,$B224,Пул!$L$5:$L$300,"Закрыт")=0,"",ROUND(SUMIFS(Пул!$H$5:$H$300,Пул!$E$5:$E$300,$B224,Пул!$L$5:$L$300,"Закрыт"),8)))</f>
        <v/>
      </c>
      <c r="F224" s="247">
        <f>IF($B224="","",IF(COUNTIFS(Пул!$E$5:$E$300,$B224,Пул!$L$5:$L$300,"Закрыт")=0,"",ROUND(SUMIFS(Пул!$I$5:$I$300,Пул!$E$5:$E$300,$B224,Пул!$L$5:$L$300,"Закрыт"),8)))</f>
        <v/>
      </c>
      <c r="G224" s="246">
        <f>IF($B224="","",IF(COUNTIFS(Пул!$E$5:$E$300,$B224,Пул!$L$5:$L$300,"Закрыт")=0,"",ROUND(SUMIFS(Пул!$J$5:$J$300,Пул!$E$5:$E$300,$B224,Пул!$L$5:$L$300,"Закрыт"),8)))</f>
        <v/>
      </c>
      <c r="H224" s="247">
        <f>IF($B224="","",IF(COUNTIFS(Пул!$E$5:$E$300,$B224,Пул!$L$5:$L$300,"Закрыт")=0,"",ROUND(SUMIFS(Пул!$K$5:$K$300,Пул!$E$5:$E$300,$B224,Пул!$L$5:$L$300,"Закрыт"),8)))</f>
        <v/>
      </c>
      <c r="I224" s="242">
        <f>IF(AND(ISNUMBER(G224),ISNUMBER(H224)),IF(AND(G224&gt;0,H224&lt;0),"Buy",IF(AND(G224&lt;0,H224&gt;0),"Sell","")),"")</f>
        <v/>
      </c>
      <c r="J224" s="183">
        <f>IF(I224="Buy",G224,IF(I224="Sell",-G224,""))</f>
        <v/>
      </c>
      <c r="K224" s="183">
        <f>IF(AND(ISNUMBER(J224),ISNUMBER(L224),N(J224)&lt;&gt;0),ROUND(L224/J224,8),"")</f>
        <v/>
      </c>
      <c r="L224" s="183">
        <f>IF(I224="Buy",-H224,IF(I224="Sell",H224,""))</f>
        <v/>
      </c>
    </row>
    <row r="225" ht="22" customHeight="1">
      <c r="B225" s="315" t="n"/>
      <c r="C225" s="240">
        <f>IF($B225="","",IF(COUNTIFS(Пул!$E$5:$E$300,$B225,Пул!$F$5:$F$300,"&lt;&gt;")=0,"",ROUND(SUMIFS(Пул!$F$5:$F$300,Пул!$E$5:$E$300,$B225),8)))</f>
        <v/>
      </c>
      <c r="D225" s="241">
        <f>IF($B225="","",IF(COUNTIFS(Пул!$E$5:$E$300,$B225,Пул!$G$5:$G$300,"&lt;&gt;")=0,"",ROUND(SUMIFS(Пул!$G$5:$G$300,Пул!$E$5:$E$300,$B225),8)))</f>
        <v/>
      </c>
      <c r="E225" s="240">
        <f>IF($B225="","",IF(COUNTIFS(Пул!$E$5:$E$300,$B225,Пул!$L$5:$L$300,"Закрыт")=0,"",ROUND(SUMIFS(Пул!$H$5:$H$300,Пул!$E$5:$E$300,$B225,Пул!$L$5:$L$300,"Закрыт"),8)))</f>
        <v/>
      </c>
      <c r="F225" s="241">
        <f>IF($B225="","",IF(COUNTIFS(Пул!$E$5:$E$300,$B225,Пул!$L$5:$L$300,"Закрыт")=0,"",ROUND(SUMIFS(Пул!$I$5:$I$300,Пул!$E$5:$E$300,$B225,Пул!$L$5:$L$300,"Закрыт"),8)))</f>
        <v/>
      </c>
      <c r="G225" s="240">
        <f>IF($B225="","",IF(COUNTIFS(Пул!$E$5:$E$300,$B225,Пул!$L$5:$L$300,"Закрыт")=0,"",ROUND(SUMIFS(Пул!$J$5:$J$300,Пул!$E$5:$E$300,$B225,Пул!$L$5:$L$300,"Закрыт"),8)))</f>
        <v/>
      </c>
      <c r="H225" s="241">
        <f>IF($B225="","",IF(COUNTIFS(Пул!$E$5:$E$300,$B225,Пул!$L$5:$L$300,"Закрыт")=0,"",ROUND(SUMIFS(Пул!$K$5:$K$300,Пул!$E$5:$E$300,$B225,Пул!$L$5:$L$300,"Закрыт"),8)))</f>
        <v/>
      </c>
      <c r="I225" s="236">
        <f>IF(AND(ISNUMBER(G225),ISNUMBER(H225)),IF(AND(G225&gt;0,H225&lt;0),"Buy",IF(AND(G225&lt;0,H225&gt;0),"Sell","")),"")</f>
        <v/>
      </c>
      <c r="J225" s="177">
        <f>IF(I225="Buy",G225,IF(I225="Sell",-G225,""))</f>
        <v/>
      </c>
      <c r="K225" s="177">
        <f>IF(AND(ISNUMBER(J225),ISNUMBER(L225),N(J225)&lt;&gt;0),ROUND(L225/J225,8),"")</f>
        <v/>
      </c>
      <c r="L225" s="177">
        <f>IF(I225="Buy",-H225,IF(I225="Sell",H225,""))</f>
        <v/>
      </c>
    </row>
    <row r="226" ht="22" customHeight="1">
      <c r="B226" s="320" t="n"/>
      <c r="C226" s="246">
        <f>IF($B226="","",IF(COUNTIFS(Пул!$E$5:$E$300,$B226,Пул!$F$5:$F$300,"&lt;&gt;")=0,"",ROUND(SUMIFS(Пул!$F$5:$F$300,Пул!$E$5:$E$300,$B226),8)))</f>
        <v/>
      </c>
      <c r="D226" s="247">
        <f>IF($B226="","",IF(COUNTIFS(Пул!$E$5:$E$300,$B226,Пул!$G$5:$G$300,"&lt;&gt;")=0,"",ROUND(SUMIFS(Пул!$G$5:$G$300,Пул!$E$5:$E$300,$B226),8)))</f>
        <v/>
      </c>
      <c r="E226" s="246">
        <f>IF($B226="","",IF(COUNTIFS(Пул!$E$5:$E$300,$B226,Пул!$L$5:$L$300,"Закрыт")=0,"",ROUND(SUMIFS(Пул!$H$5:$H$300,Пул!$E$5:$E$300,$B226,Пул!$L$5:$L$300,"Закрыт"),8)))</f>
        <v/>
      </c>
      <c r="F226" s="247">
        <f>IF($B226="","",IF(COUNTIFS(Пул!$E$5:$E$300,$B226,Пул!$L$5:$L$300,"Закрыт")=0,"",ROUND(SUMIFS(Пул!$I$5:$I$300,Пул!$E$5:$E$300,$B226,Пул!$L$5:$L$300,"Закрыт"),8)))</f>
        <v/>
      </c>
      <c r="G226" s="246">
        <f>IF($B226="","",IF(COUNTIFS(Пул!$E$5:$E$300,$B226,Пул!$L$5:$L$300,"Закрыт")=0,"",ROUND(SUMIFS(Пул!$J$5:$J$300,Пул!$E$5:$E$300,$B226,Пул!$L$5:$L$300,"Закрыт"),8)))</f>
        <v/>
      </c>
      <c r="H226" s="247">
        <f>IF($B226="","",IF(COUNTIFS(Пул!$E$5:$E$300,$B226,Пул!$L$5:$L$300,"Закрыт")=0,"",ROUND(SUMIFS(Пул!$K$5:$K$300,Пул!$E$5:$E$300,$B226,Пул!$L$5:$L$300,"Закрыт"),8)))</f>
        <v/>
      </c>
      <c r="I226" s="242">
        <f>IF(AND(ISNUMBER(G226),ISNUMBER(H226)),IF(AND(G226&gt;0,H226&lt;0),"Buy",IF(AND(G226&lt;0,H226&gt;0),"Sell","")),"")</f>
        <v/>
      </c>
      <c r="J226" s="183">
        <f>IF(I226="Buy",G226,IF(I226="Sell",-G226,""))</f>
        <v/>
      </c>
      <c r="K226" s="183">
        <f>IF(AND(ISNUMBER(J226),ISNUMBER(L226),N(J226)&lt;&gt;0),ROUND(L226/J226,8),"")</f>
        <v/>
      </c>
      <c r="L226" s="183">
        <f>IF(I226="Buy",-H226,IF(I226="Sell",H226,""))</f>
        <v/>
      </c>
    </row>
    <row r="227" ht="22" customHeight="1">
      <c r="B227" s="315" t="n"/>
      <c r="C227" s="240">
        <f>IF($B227="","",IF(COUNTIFS(Пул!$E$5:$E$300,$B227,Пул!$F$5:$F$300,"&lt;&gt;")=0,"",ROUND(SUMIFS(Пул!$F$5:$F$300,Пул!$E$5:$E$300,$B227),8)))</f>
        <v/>
      </c>
      <c r="D227" s="241">
        <f>IF($B227="","",IF(COUNTIFS(Пул!$E$5:$E$300,$B227,Пул!$G$5:$G$300,"&lt;&gt;")=0,"",ROUND(SUMIFS(Пул!$G$5:$G$300,Пул!$E$5:$E$300,$B227),8)))</f>
        <v/>
      </c>
      <c r="E227" s="240">
        <f>IF($B227="","",IF(COUNTIFS(Пул!$E$5:$E$300,$B227,Пул!$L$5:$L$300,"Закрыт")=0,"",ROUND(SUMIFS(Пул!$H$5:$H$300,Пул!$E$5:$E$300,$B227,Пул!$L$5:$L$300,"Закрыт"),8)))</f>
        <v/>
      </c>
      <c r="F227" s="241">
        <f>IF($B227="","",IF(COUNTIFS(Пул!$E$5:$E$300,$B227,Пул!$L$5:$L$300,"Закрыт")=0,"",ROUND(SUMIFS(Пул!$I$5:$I$300,Пул!$E$5:$E$300,$B227,Пул!$L$5:$L$300,"Закрыт"),8)))</f>
        <v/>
      </c>
      <c r="G227" s="240">
        <f>IF($B227="","",IF(COUNTIFS(Пул!$E$5:$E$300,$B227,Пул!$L$5:$L$300,"Закрыт")=0,"",ROUND(SUMIFS(Пул!$J$5:$J$300,Пул!$E$5:$E$300,$B227,Пул!$L$5:$L$300,"Закрыт"),8)))</f>
        <v/>
      </c>
      <c r="H227" s="241">
        <f>IF($B227="","",IF(COUNTIFS(Пул!$E$5:$E$300,$B227,Пул!$L$5:$L$300,"Закрыт")=0,"",ROUND(SUMIFS(Пул!$K$5:$K$300,Пул!$E$5:$E$300,$B227,Пул!$L$5:$L$300,"Закрыт"),8)))</f>
        <v/>
      </c>
      <c r="I227" s="236">
        <f>IF(AND(ISNUMBER(G227),ISNUMBER(H227)),IF(AND(G227&gt;0,H227&lt;0),"Buy",IF(AND(G227&lt;0,H227&gt;0),"Sell","")),"")</f>
        <v/>
      </c>
      <c r="J227" s="177">
        <f>IF(I227="Buy",G227,IF(I227="Sell",-G227,""))</f>
        <v/>
      </c>
      <c r="K227" s="177">
        <f>IF(AND(ISNUMBER(J227),ISNUMBER(L227),N(J227)&lt;&gt;0),ROUND(L227/J227,8),"")</f>
        <v/>
      </c>
      <c r="L227" s="177">
        <f>IF(I227="Buy",-H227,IF(I227="Sell",H227,""))</f>
        <v/>
      </c>
    </row>
    <row r="228" ht="22" customHeight="1">
      <c r="B228" s="320" t="n"/>
      <c r="C228" s="246">
        <f>IF($B228="","",IF(COUNTIFS(Пул!$E$5:$E$300,$B228,Пул!$F$5:$F$300,"&lt;&gt;")=0,"",ROUND(SUMIFS(Пул!$F$5:$F$300,Пул!$E$5:$E$300,$B228),8)))</f>
        <v/>
      </c>
      <c r="D228" s="247">
        <f>IF($B228="","",IF(COUNTIFS(Пул!$E$5:$E$300,$B228,Пул!$G$5:$G$300,"&lt;&gt;")=0,"",ROUND(SUMIFS(Пул!$G$5:$G$300,Пул!$E$5:$E$300,$B228),8)))</f>
        <v/>
      </c>
      <c r="E228" s="246">
        <f>IF($B228="","",IF(COUNTIFS(Пул!$E$5:$E$300,$B228,Пул!$L$5:$L$300,"Закрыт")=0,"",ROUND(SUMIFS(Пул!$H$5:$H$300,Пул!$E$5:$E$300,$B228,Пул!$L$5:$L$300,"Закрыт"),8)))</f>
        <v/>
      </c>
      <c r="F228" s="247">
        <f>IF($B228="","",IF(COUNTIFS(Пул!$E$5:$E$300,$B228,Пул!$L$5:$L$300,"Закрыт")=0,"",ROUND(SUMIFS(Пул!$I$5:$I$300,Пул!$E$5:$E$300,$B228,Пул!$L$5:$L$300,"Закрыт"),8)))</f>
        <v/>
      </c>
      <c r="G228" s="246">
        <f>IF($B228="","",IF(COUNTIFS(Пул!$E$5:$E$300,$B228,Пул!$L$5:$L$300,"Закрыт")=0,"",ROUND(SUMIFS(Пул!$J$5:$J$300,Пул!$E$5:$E$300,$B228,Пул!$L$5:$L$300,"Закрыт"),8)))</f>
        <v/>
      </c>
      <c r="H228" s="247">
        <f>IF($B228="","",IF(COUNTIFS(Пул!$E$5:$E$300,$B228,Пул!$L$5:$L$300,"Закрыт")=0,"",ROUND(SUMIFS(Пул!$K$5:$K$300,Пул!$E$5:$E$300,$B228,Пул!$L$5:$L$300,"Закрыт"),8)))</f>
        <v/>
      </c>
      <c r="I228" s="242">
        <f>IF(AND(ISNUMBER(G228),ISNUMBER(H228)),IF(AND(G228&gt;0,H228&lt;0),"Buy",IF(AND(G228&lt;0,H228&gt;0),"Sell","")),"")</f>
        <v/>
      </c>
      <c r="J228" s="183">
        <f>IF(I228="Buy",G228,IF(I228="Sell",-G228,""))</f>
        <v/>
      </c>
      <c r="K228" s="183">
        <f>IF(AND(ISNUMBER(J228),ISNUMBER(L228),N(J228)&lt;&gt;0),ROUND(L228/J228,8),"")</f>
        <v/>
      </c>
      <c r="L228" s="183">
        <f>IF(I228="Buy",-H228,IF(I228="Sell",H228,""))</f>
        <v/>
      </c>
    </row>
    <row r="229" ht="22" customHeight="1">
      <c r="B229" s="315" t="n"/>
      <c r="C229" s="240">
        <f>IF($B229="","",IF(COUNTIFS(Пул!$E$5:$E$300,$B229,Пул!$F$5:$F$300,"&lt;&gt;")=0,"",ROUND(SUMIFS(Пул!$F$5:$F$300,Пул!$E$5:$E$300,$B229),8)))</f>
        <v/>
      </c>
      <c r="D229" s="241">
        <f>IF($B229="","",IF(COUNTIFS(Пул!$E$5:$E$300,$B229,Пул!$G$5:$G$300,"&lt;&gt;")=0,"",ROUND(SUMIFS(Пул!$G$5:$G$300,Пул!$E$5:$E$300,$B229),8)))</f>
        <v/>
      </c>
      <c r="E229" s="240">
        <f>IF($B229="","",IF(COUNTIFS(Пул!$E$5:$E$300,$B229,Пул!$L$5:$L$300,"Закрыт")=0,"",ROUND(SUMIFS(Пул!$H$5:$H$300,Пул!$E$5:$E$300,$B229,Пул!$L$5:$L$300,"Закрыт"),8)))</f>
        <v/>
      </c>
      <c r="F229" s="241">
        <f>IF($B229="","",IF(COUNTIFS(Пул!$E$5:$E$300,$B229,Пул!$L$5:$L$300,"Закрыт")=0,"",ROUND(SUMIFS(Пул!$I$5:$I$300,Пул!$E$5:$E$300,$B229,Пул!$L$5:$L$300,"Закрыт"),8)))</f>
        <v/>
      </c>
      <c r="G229" s="240">
        <f>IF($B229="","",IF(COUNTIFS(Пул!$E$5:$E$300,$B229,Пул!$L$5:$L$300,"Закрыт")=0,"",ROUND(SUMIFS(Пул!$J$5:$J$300,Пул!$E$5:$E$300,$B229,Пул!$L$5:$L$300,"Закрыт"),8)))</f>
        <v/>
      </c>
      <c r="H229" s="241">
        <f>IF($B229="","",IF(COUNTIFS(Пул!$E$5:$E$300,$B229,Пул!$L$5:$L$300,"Закрыт")=0,"",ROUND(SUMIFS(Пул!$K$5:$K$300,Пул!$E$5:$E$300,$B229,Пул!$L$5:$L$300,"Закрыт"),8)))</f>
        <v/>
      </c>
      <c r="I229" s="236">
        <f>IF(AND(ISNUMBER(G229),ISNUMBER(H229)),IF(AND(G229&gt;0,H229&lt;0),"Buy",IF(AND(G229&lt;0,H229&gt;0),"Sell","")),"")</f>
        <v/>
      </c>
      <c r="J229" s="177">
        <f>IF(I229="Buy",G229,IF(I229="Sell",-G229,""))</f>
        <v/>
      </c>
      <c r="K229" s="177">
        <f>IF(AND(ISNUMBER(J229),ISNUMBER(L229),N(J229)&lt;&gt;0),ROUND(L229/J229,8),"")</f>
        <v/>
      </c>
      <c r="L229" s="177">
        <f>IF(I229="Buy",-H229,IF(I229="Sell",H229,""))</f>
        <v/>
      </c>
    </row>
    <row r="230" ht="22" customHeight="1">
      <c r="B230" s="320" t="n"/>
      <c r="C230" s="246">
        <f>IF($B230="","",IF(COUNTIFS(Пул!$E$5:$E$300,$B230,Пул!$F$5:$F$300,"&lt;&gt;")=0,"",ROUND(SUMIFS(Пул!$F$5:$F$300,Пул!$E$5:$E$300,$B230),8)))</f>
        <v/>
      </c>
      <c r="D230" s="247">
        <f>IF($B230="","",IF(COUNTIFS(Пул!$E$5:$E$300,$B230,Пул!$G$5:$G$300,"&lt;&gt;")=0,"",ROUND(SUMIFS(Пул!$G$5:$G$300,Пул!$E$5:$E$300,$B230),8)))</f>
        <v/>
      </c>
      <c r="E230" s="246">
        <f>IF($B230="","",IF(COUNTIFS(Пул!$E$5:$E$300,$B230,Пул!$L$5:$L$300,"Закрыт")=0,"",ROUND(SUMIFS(Пул!$H$5:$H$300,Пул!$E$5:$E$300,$B230,Пул!$L$5:$L$300,"Закрыт"),8)))</f>
        <v/>
      </c>
      <c r="F230" s="247">
        <f>IF($B230="","",IF(COUNTIFS(Пул!$E$5:$E$300,$B230,Пул!$L$5:$L$300,"Закрыт")=0,"",ROUND(SUMIFS(Пул!$I$5:$I$300,Пул!$E$5:$E$300,$B230,Пул!$L$5:$L$300,"Закрыт"),8)))</f>
        <v/>
      </c>
      <c r="G230" s="246">
        <f>IF($B230="","",IF(COUNTIFS(Пул!$E$5:$E$300,$B230,Пул!$L$5:$L$300,"Закрыт")=0,"",ROUND(SUMIFS(Пул!$J$5:$J$300,Пул!$E$5:$E$300,$B230,Пул!$L$5:$L$300,"Закрыт"),8)))</f>
        <v/>
      </c>
      <c r="H230" s="247">
        <f>IF($B230="","",IF(COUNTIFS(Пул!$E$5:$E$300,$B230,Пул!$L$5:$L$300,"Закрыт")=0,"",ROUND(SUMIFS(Пул!$K$5:$K$300,Пул!$E$5:$E$300,$B230,Пул!$L$5:$L$300,"Закрыт"),8)))</f>
        <v/>
      </c>
      <c r="I230" s="242">
        <f>IF(AND(ISNUMBER(G230),ISNUMBER(H230)),IF(AND(G230&gt;0,H230&lt;0),"Buy",IF(AND(G230&lt;0,H230&gt;0),"Sell","")),"")</f>
        <v/>
      </c>
      <c r="J230" s="183">
        <f>IF(I230="Buy",G230,IF(I230="Sell",-G230,""))</f>
        <v/>
      </c>
      <c r="K230" s="183">
        <f>IF(AND(ISNUMBER(J230),ISNUMBER(L230),N(J230)&lt;&gt;0),ROUND(L230/J230,8),"")</f>
        <v/>
      </c>
      <c r="L230" s="183">
        <f>IF(I230="Buy",-H230,IF(I230="Sell",H230,""))</f>
        <v/>
      </c>
    </row>
    <row r="231" ht="22" customHeight="1">
      <c r="B231" s="315" t="n"/>
      <c r="C231" s="240">
        <f>IF($B231="","",IF(COUNTIFS(Пул!$E$5:$E$300,$B231,Пул!$F$5:$F$300,"&lt;&gt;")=0,"",ROUND(SUMIFS(Пул!$F$5:$F$300,Пул!$E$5:$E$300,$B231),8)))</f>
        <v/>
      </c>
      <c r="D231" s="241">
        <f>IF($B231="","",IF(COUNTIFS(Пул!$E$5:$E$300,$B231,Пул!$G$5:$G$300,"&lt;&gt;")=0,"",ROUND(SUMIFS(Пул!$G$5:$G$300,Пул!$E$5:$E$300,$B231),8)))</f>
        <v/>
      </c>
      <c r="E231" s="240">
        <f>IF($B231="","",IF(COUNTIFS(Пул!$E$5:$E$300,$B231,Пул!$L$5:$L$300,"Закрыт")=0,"",ROUND(SUMIFS(Пул!$H$5:$H$300,Пул!$E$5:$E$300,$B231,Пул!$L$5:$L$300,"Закрыт"),8)))</f>
        <v/>
      </c>
      <c r="F231" s="241">
        <f>IF($B231="","",IF(COUNTIFS(Пул!$E$5:$E$300,$B231,Пул!$L$5:$L$300,"Закрыт")=0,"",ROUND(SUMIFS(Пул!$I$5:$I$300,Пул!$E$5:$E$300,$B231,Пул!$L$5:$L$300,"Закрыт"),8)))</f>
        <v/>
      </c>
      <c r="G231" s="240">
        <f>IF($B231="","",IF(COUNTIFS(Пул!$E$5:$E$300,$B231,Пул!$L$5:$L$300,"Закрыт")=0,"",ROUND(SUMIFS(Пул!$J$5:$J$300,Пул!$E$5:$E$300,$B231,Пул!$L$5:$L$300,"Закрыт"),8)))</f>
        <v/>
      </c>
      <c r="H231" s="241">
        <f>IF($B231="","",IF(COUNTIFS(Пул!$E$5:$E$300,$B231,Пул!$L$5:$L$300,"Закрыт")=0,"",ROUND(SUMIFS(Пул!$K$5:$K$300,Пул!$E$5:$E$300,$B231,Пул!$L$5:$L$300,"Закрыт"),8)))</f>
        <v/>
      </c>
      <c r="I231" s="236">
        <f>IF(AND(ISNUMBER(G231),ISNUMBER(H231)),IF(AND(G231&gt;0,H231&lt;0),"Buy",IF(AND(G231&lt;0,H231&gt;0),"Sell","")),"")</f>
        <v/>
      </c>
      <c r="J231" s="177">
        <f>IF(I231="Buy",G231,IF(I231="Sell",-G231,""))</f>
        <v/>
      </c>
      <c r="K231" s="177">
        <f>IF(AND(ISNUMBER(J231),ISNUMBER(L231),N(J231)&lt;&gt;0),ROUND(L231/J231,8),"")</f>
        <v/>
      </c>
      <c r="L231" s="177">
        <f>IF(I231="Buy",-H231,IF(I231="Sell",H231,""))</f>
        <v/>
      </c>
    </row>
    <row r="232" ht="22" customHeight="1">
      <c r="B232" s="320" t="n"/>
      <c r="C232" s="246">
        <f>IF($B232="","",IF(COUNTIFS(Пул!$E$5:$E$300,$B232,Пул!$F$5:$F$300,"&lt;&gt;")=0,"",ROUND(SUMIFS(Пул!$F$5:$F$300,Пул!$E$5:$E$300,$B232),8)))</f>
        <v/>
      </c>
      <c r="D232" s="247">
        <f>IF($B232="","",IF(COUNTIFS(Пул!$E$5:$E$300,$B232,Пул!$G$5:$G$300,"&lt;&gt;")=0,"",ROUND(SUMIFS(Пул!$G$5:$G$300,Пул!$E$5:$E$300,$B232),8)))</f>
        <v/>
      </c>
      <c r="E232" s="246">
        <f>IF($B232="","",IF(COUNTIFS(Пул!$E$5:$E$300,$B232,Пул!$L$5:$L$300,"Закрыт")=0,"",ROUND(SUMIFS(Пул!$H$5:$H$300,Пул!$E$5:$E$300,$B232,Пул!$L$5:$L$300,"Закрыт"),8)))</f>
        <v/>
      </c>
      <c r="F232" s="247">
        <f>IF($B232="","",IF(COUNTIFS(Пул!$E$5:$E$300,$B232,Пул!$L$5:$L$300,"Закрыт")=0,"",ROUND(SUMIFS(Пул!$I$5:$I$300,Пул!$E$5:$E$300,$B232,Пул!$L$5:$L$300,"Закрыт"),8)))</f>
        <v/>
      </c>
      <c r="G232" s="246">
        <f>IF($B232="","",IF(COUNTIFS(Пул!$E$5:$E$300,$B232,Пул!$L$5:$L$300,"Закрыт")=0,"",ROUND(SUMIFS(Пул!$J$5:$J$300,Пул!$E$5:$E$300,$B232,Пул!$L$5:$L$300,"Закрыт"),8)))</f>
        <v/>
      </c>
      <c r="H232" s="247">
        <f>IF($B232="","",IF(COUNTIFS(Пул!$E$5:$E$300,$B232,Пул!$L$5:$L$300,"Закрыт")=0,"",ROUND(SUMIFS(Пул!$K$5:$K$300,Пул!$E$5:$E$300,$B232,Пул!$L$5:$L$300,"Закрыт"),8)))</f>
        <v/>
      </c>
      <c r="I232" s="242">
        <f>IF(AND(ISNUMBER(G232),ISNUMBER(H232)),IF(AND(G232&gt;0,H232&lt;0),"Buy",IF(AND(G232&lt;0,H232&gt;0),"Sell","")),"")</f>
        <v/>
      </c>
      <c r="J232" s="183">
        <f>IF(I232="Buy",G232,IF(I232="Sell",-G232,""))</f>
        <v/>
      </c>
      <c r="K232" s="183">
        <f>IF(AND(ISNUMBER(J232),ISNUMBER(L232),N(J232)&lt;&gt;0),ROUND(L232/J232,8),"")</f>
        <v/>
      </c>
      <c r="L232" s="183">
        <f>IF(I232="Buy",-H232,IF(I232="Sell",H232,""))</f>
        <v/>
      </c>
    </row>
    <row r="233" ht="22" customHeight="1">
      <c r="B233" s="315" t="n"/>
      <c r="C233" s="240">
        <f>IF($B233="","",IF(COUNTIFS(Пул!$E$5:$E$300,$B233,Пул!$F$5:$F$300,"&lt;&gt;")=0,"",ROUND(SUMIFS(Пул!$F$5:$F$300,Пул!$E$5:$E$300,$B233),8)))</f>
        <v/>
      </c>
      <c r="D233" s="241">
        <f>IF($B233="","",IF(COUNTIFS(Пул!$E$5:$E$300,$B233,Пул!$G$5:$G$300,"&lt;&gt;")=0,"",ROUND(SUMIFS(Пул!$G$5:$G$300,Пул!$E$5:$E$300,$B233),8)))</f>
        <v/>
      </c>
      <c r="E233" s="240">
        <f>IF($B233="","",IF(COUNTIFS(Пул!$E$5:$E$300,$B233,Пул!$L$5:$L$300,"Закрыт")=0,"",ROUND(SUMIFS(Пул!$H$5:$H$300,Пул!$E$5:$E$300,$B233,Пул!$L$5:$L$300,"Закрыт"),8)))</f>
        <v/>
      </c>
      <c r="F233" s="241">
        <f>IF($B233="","",IF(COUNTIFS(Пул!$E$5:$E$300,$B233,Пул!$L$5:$L$300,"Закрыт")=0,"",ROUND(SUMIFS(Пул!$I$5:$I$300,Пул!$E$5:$E$300,$B233,Пул!$L$5:$L$300,"Закрыт"),8)))</f>
        <v/>
      </c>
      <c r="G233" s="240">
        <f>IF($B233="","",IF(COUNTIFS(Пул!$E$5:$E$300,$B233,Пул!$L$5:$L$300,"Закрыт")=0,"",ROUND(SUMIFS(Пул!$J$5:$J$300,Пул!$E$5:$E$300,$B233,Пул!$L$5:$L$300,"Закрыт"),8)))</f>
        <v/>
      </c>
      <c r="H233" s="241">
        <f>IF($B233="","",IF(COUNTIFS(Пул!$E$5:$E$300,$B233,Пул!$L$5:$L$300,"Закрыт")=0,"",ROUND(SUMIFS(Пул!$K$5:$K$300,Пул!$E$5:$E$300,$B233,Пул!$L$5:$L$300,"Закрыт"),8)))</f>
        <v/>
      </c>
      <c r="I233" s="236">
        <f>IF(AND(ISNUMBER(G233),ISNUMBER(H233)),IF(AND(G233&gt;0,H233&lt;0),"Buy",IF(AND(G233&lt;0,H233&gt;0),"Sell","")),"")</f>
        <v/>
      </c>
      <c r="J233" s="177">
        <f>IF(I233="Buy",G233,IF(I233="Sell",-G233,""))</f>
        <v/>
      </c>
      <c r="K233" s="177">
        <f>IF(AND(ISNUMBER(J233),ISNUMBER(L233),N(J233)&lt;&gt;0),ROUND(L233/J233,8),"")</f>
        <v/>
      </c>
      <c r="L233" s="177">
        <f>IF(I233="Buy",-H233,IF(I233="Sell",H233,""))</f>
        <v/>
      </c>
    </row>
    <row r="234" ht="22" customHeight="1">
      <c r="B234" s="320" t="n"/>
      <c r="C234" s="246">
        <f>IF($B234="","",IF(COUNTIFS(Пул!$E$5:$E$300,$B234,Пул!$F$5:$F$300,"&lt;&gt;")=0,"",ROUND(SUMIFS(Пул!$F$5:$F$300,Пул!$E$5:$E$300,$B234),8)))</f>
        <v/>
      </c>
      <c r="D234" s="247">
        <f>IF($B234="","",IF(COUNTIFS(Пул!$E$5:$E$300,$B234,Пул!$G$5:$G$300,"&lt;&gt;")=0,"",ROUND(SUMIFS(Пул!$G$5:$G$300,Пул!$E$5:$E$300,$B234),8)))</f>
        <v/>
      </c>
      <c r="E234" s="246">
        <f>IF($B234="","",IF(COUNTIFS(Пул!$E$5:$E$300,$B234,Пул!$L$5:$L$300,"Закрыт")=0,"",ROUND(SUMIFS(Пул!$H$5:$H$300,Пул!$E$5:$E$300,$B234,Пул!$L$5:$L$300,"Закрыт"),8)))</f>
        <v/>
      </c>
      <c r="F234" s="247">
        <f>IF($B234="","",IF(COUNTIFS(Пул!$E$5:$E$300,$B234,Пул!$L$5:$L$300,"Закрыт")=0,"",ROUND(SUMIFS(Пул!$I$5:$I$300,Пул!$E$5:$E$300,$B234,Пул!$L$5:$L$300,"Закрыт"),8)))</f>
        <v/>
      </c>
      <c r="G234" s="246">
        <f>IF($B234="","",IF(COUNTIFS(Пул!$E$5:$E$300,$B234,Пул!$L$5:$L$300,"Закрыт")=0,"",ROUND(SUMIFS(Пул!$J$5:$J$300,Пул!$E$5:$E$300,$B234,Пул!$L$5:$L$300,"Закрыт"),8)))</f>
        <v/>
      </c>
      <c r="H234" s="247">
        <f>IF($B234="","",IF(COUNTIFS(Пул!$E$5:$E$300,$B234,Пул!$L$5:$L$300,"Закрыт")=0,"",ROUND(SUMIFS(Пул!$K$5:$K$300,Пул!$E$5:$E$300,$B234,Пул!$L$5:$L$300,"Закрыт"),8)))</f>
        <v/>
      </c>
      <c r="I234" s="242">
        <f>IF(AND(ISNUMBER(G234),ISNUMBER(H234)),IF(AND(G234&gt;0,H234&lt;0),"Buy",IF(AND(G234&lt;0,H234&gt;0),"Sell","")),"")</f>
        <v/>
      </c>
      <c r="J234" s="183">
        <f>IF(I234="Buy",G234,IF(I234="Sell",-G234,""))</f>
        <v/>
      </c>
      <c r="K234" s="183">
        <f>IF(AND(ISNUMBER(J234),ISNUMBER(L234),N(J234)&lt;&gt;0),ROUND(L234/J234,8),"")</f>
        <v/>
      </c>
      <c r="L234" s="183">
        <f>IF(I234="Buy",-H234,IF(I234="Sell",H234,""))</f>
        <v/>
      </c>
    </row>
    <row r="235" ht="22" customHeight="1">
      <c r="B235" s="315" t="n"/>
      <c r="C235" s="240">
        <f>IF($B235="","",IF(COUNTIFS(Пул!$E$5:$E$300,$B235,Пул!$F$5:$F$300,"&lt;&gt;")=0,"",ROUND(SUMIFS(Пул!$F$5:$F$300,Пул!$E$5:$E$300,$B235),8)))</f>
        <v/>
      </c>
      <c r="D235" s="241">
        <f>IF($B235="","",IF(COUNTIFS(Пул!$E$5:$E$300,$B235,Пул!$G$5:$G$300,"&lt;&gt;")=0,"",ROUND(SUMIFS(Пул!$G$5:$G$300,Пул!$E$5:$E$300,$B235),8)))</f>
        <v/>
      </c>
      <c r="E235" s="240">
        <f>IF($B235="","",IF(COUNTIFS(Пул!$E$5:$E$300,$B235,Пул!$L$5:$L$300,"Закрыт")=0,"",ROUND(SUMIFS(Пул!$H$5:$H$300,Пул!$E$5:$E$300,$B235,Пул!$L$5:$L$300,"Закрыт"),8)))</f>
        <v/>
      </c>
      <c r="F235" s="241">
        <f>IF($B235="","",IF(COUNTIFS(Пул!$E$5:$E$300,$B235,Пул!$L$5:$L$300,"Закрыт")=0,"",ROUND(SUMIFS(Пул!$I$5:$I$300,Пул!$E$5:$E$300,$B235,Пул!$L$5:$L$300,"Закрыт"),8)))</f>
        <v/>
      </c>
      <c r="G235" s="240">
        <f>IF($B235="","",IF(COUNTIFS(Пул!$E$5:$E$300,$B235,Пул!$L$5:$L$300,"Закрыт")=0,"",ROUND(SUMIFS(Пул!$J$5:$J$300,Пул!$E$5:$E$300,$B235,Пул!$L$5:$L$300,"Закрыт"),8)))</f>
        <v/>
      </c>
      <c r="H235" s="241">
        <f>IF($B235="","",IF(COUNTIFS(Пул!$E$5:$E$300,$B235,Пул!$L$5:$L$300,"Закрыт")=0,"",ROUND(SUMIFS(Пул!$K$5:$K$300,Пул!$E$5:$E$300,$B235,Пул!$L$5:$L$300,"Закрыт"),8)))</f>
        <v/>
      </c>
      <c r="I235" s="236">
        <f>IF(AND(ISNUMBER(G235),ISNUMBER(H235)),IF(AND(G235&gt;0,H235&lt;0),"Buy",IF(AND(G235&lt;0,H235&gt;0),"Sell","")),"")</f>
        <v/>
      </c>
      <c r="J235" s="177">
        <f>IF(I235="Buy",G235,IF(I235="Sell",-G235,""))</f>
        <v/>
      </c>
      <c r="K235" s="177">
        <f>IF(AND(ISNUMBER(J235),ISNUMBER(L235),N(J235)&lt;&gt;0),ROUND(L235/J235,8),"")</f>
        <v/>
      </c>
      <c r="L235" s="177">
        <f>IF(I235="Buy",-H235,IF(I235="Sell",H235,""))</f>
        <v/>
      </c>
    </row>
    <row r="236" ht="22" customHeight="1">
      <c r="B236" s="320" t="n"/>
      <c r="C236" s="246">
        <f>IF($B236="","",IF(COUNTIFS(Пул!$E$5:$E$300,$B236,Пул!$F$5:$F$300,"&lt;&gt;")=0,"",ROUND(SUMIFS(Пул!$F$5:$F$300,Пул!$E$5:$E$300,$B236),8)))</f>
        <v/>
      </c>
      <c r="D236" s="247">
        <f>IF($B236="","",IF(COUNTIFS(Пул!$E$5:$E$300,$B236,Пул!$G$5:$G$300,"&lt;&gt;")=0,"",ROUND(SUMIFS(Пул!$G$5:$G$300,Пул!$E$5:$E$300,$B236),8)))</f>
        <v/>
      </c>
      <c r="E236" s="246">
        <f>IF($B236="","",IF(COUNTIFS(Пул!$E$5:$E$300,$B236,Пул!$L$5:$L$300,"Закрыт")=0,"",ROUND(SUMIFS(Пул!$H$5:$H$300,Пул!$E$5:$E$300,$B236,Пул!$L$5:$L$300,"Закрыт"),8)))</f>
        <v/>
      </c>
      <c r="F236" s="247">
        <f>IF($B236="","",IF(COUNTIFS(Пул!$E$5:$E$300,$B236,Пул!$L$5:$L$300,"Закрыт")=0,"",ROUND(SUMIFS(Пул!$I$5:$I$300,Пул!$E$5:$E$300,$B236,Пул!$L$5:$L$300,"Закрыт"),8)))</f>
        <v/>
      </c>
      <c r="G236" s="246">
        <f>IF($B236="","",IF(COUNTIFS(Пул!$E$5:$E$300,$B236,Пул!$L$5:$L$300,"Закрыт")=0,"",ROUND(SUMIFS(Пул!$J$5:$J$300,Пул!$E$5:$E$300,$B236,Пул!$L$5:$L$300,"Закрыт"),8)))</f>
        <v/>
      </c>
      <c r="H236" s="247">
        <f>IF($B236="","",IF(COUNTIFS(Пул!$E$5:$E$300,$B236,Пул!$L$5:$L$300,"Закрыт")=0,"",ROUND(SUMIFS(Пул!$K$5:$K$300,Пул!$E$5:$E$300,$B236,Пул!$L$5:$L$300,"Закрыт"),8)))</f>
        <v/>
      </c>
      <c r="I236" s="242">
        <f>IF(AND(ISNUMBER(G236),ISNUMBER(H236)),IF(AND(G236&gt;0,H236&lt;0),"Buy",IF(AND(G236&lt;0,H236&gt;0),"Sell","")),"")</f>
        <v/>
      </c>
      <c r="J236" s="183">
        <f>IF(I236="Buy",G236,IF(I236="Sell",-G236,""))</f>
        <v/>
      </c>
      <c r="K236" s="183">
        <f>IF(AND(ISNUMBER(J236),ISNUMBER(L236),N(J236)&lt;&gt;0),ROUND(L236/J236,8),"")</f>
        <v/>
      </c>
      <c r="L236" s="183">
        <f>IF(I236="Buy",-H236,IF(I236="Sell",H236,""))</f>
        <v/>
      </c>
    </row>
    <row r="237" ht="22" customHeight="1">
      <c r="B237" s="315" t="n"/>
      <c r="C237" s="240">
        <f>IF($B237="","",IF(COUNTIFS(Пул!$E$5:$E$300,$B237,Пул!$F$5:$F$300,"&lt;&gt;")=0,"",ROUND(SUMIFS(Пул!$F$5:$F$300,Пул!$E$5:$E$300,$B237),8)))</f>
        <v/>
      </c>
      <c r="D237" s="241">
        <f>IF($B237="","",IF(COUNTIFS(Пул!$E$5:$E$300,$B237,Пул!$G$5:$G$300,"&lt;&gt;")=0,"",ROUND(SUMIFS(Пул!$G$5:$G$300,Пул!$E$5:$E$300,$B237),8)))</f>
        <v/>
      </c>
      <c r="E237" s="240">
        <f>IF($B237="","",IF(COUNTIFS(Пул!$E$5:$E$300,$B237,Пул!$L$5:$L$300,"Закрыт")=0,"",ROUND(SUMIFS(Пул!$H$5:$H$300,Пул!$E$5:$E$300,$B237,Пул!$L$5:$L$300,"Закрыт"),8)))</f>
        <v/>
      </c>
      <c r="F237" s="241">
        <f>IF($B237="","",IF(COUNTIFS(Пул!$E$5:$E$300,$B237,Пул!$L$5:$L$300,"Закрыт")=0,"",ROUND(SUMIFS(Пул!$I$5:$I$300,Пул!$E$5:$E$300,$B237,Пул!$L$5:$L$300,"Закрыт"),8)))</f>
        <v/>
      </c>
      <c r="G237" s="240">
        <f>IF($B237="","",IF(COUNTIFS(Пул!$E$5:$E$300,$B237,Пул!$L$5:$L$300,"Закрыт")=0,"",ROUND(SUMIFS(Пул!$J$5:$J$300,Пул!$E$5:$E$300,$B237,Пул!$L$5:$L$300,"Закрыт"),8)))</f>
        <v/>
      </c>
      <c r="H237" s="241">
        <f>IF($B237="","",IF(COUNTIFS(Пул!$E$5:$E$300,$B237,Пул!$L$5:$L$300,"Закрыт")=0,"",ROUND(SUMIFS(Пул!$K$5:$K$300,Пул!$E$5:$E$300,$B237,Пул!$L$5:$L$300,"Закрыт"),8)))</f>
        <v/>
      </c>
      <c r="I237" s="236">
        <f>IF(AND(ISNUMBER(G237),ISNUMBER(H237)),IF(AND(G237&gt;0,H237&lt;0),"Buy",IF(AND(G237&lt;0,H237&gt;0),"Sell","")),"")</f>
        <v/>
      </c>
      <c r="J237" s="177">
        <f>IF(I237="Buy",G237,IF(I237="Sell",-G237,""))</f>
        <v/>
      </c>
      <c r="K237" s="177">
        <f>IF(AND(ISNUMBER(J237),ISNUMBER(L237),N(J237)&lt;&gt;0),ROUND(L237/J237,8),"")</f>
        <v/>
      </c>
      <c r="L237" s="177">
        <f>IF(I237="Buy",-H237,IF(I237="Sell",H237,""))</f>
        <v/>
      </c>
    </row>
    <row r="238" ht="22" customHeight="1">
      <c r="B238" s="320" t="n"/>
      <c r="C238" s="246">
        <f>IF($B238="","",IF(COUNTIFS(Пул!$E$5:$E$300,$B238,Пул!$F$5:$F$300,"&lt;&gt;")=0,"",ROUND(SUMIFS(Пул!$F$5:$F$300,Пул!$E$5:$E$300,$B238),8)))</f>
        <v/>
      </c>
      <c r="D238" s="247">
        <f>IF($B238="","",IF(COUNTIFS(Пул!$E$5:$E$300,$B238,Пул!$G$5:$G$300,"&lt;&gt;")=0,"",ROUND(SUMIFS(Пул!$G$5:$G$300,Пул!$E$5:$E$300,$B238),8)))</f>
        <v/>
      </c>
      <c r="E238" s="246">
        <f>IF($B238="","",IF(COUNTIFS(Пул!$E$5:$E$300,$B238,Пул!$L$5:$L$300,"Закрыт")=0,"",ROUND(SUMIFS(Пул!$H$5:$H$300,Пул!$E$5:$E$300,$B238,Пул!$L$5:$L$300,"Закрыт"),8)))</f>
        <v/>
      </c>
      <c r="F238" s="247">
        <f>IF($B238="","",IF(COUNTIFS(Пул!$E$5:$E$300,$B238,Пул!$L$5:$L$300,"Закрыт")=0,"",ROUND(SUMIFS(Пул!$I$5:$I$300,Пул!$E$5:$E$300,$B238,Пул!$L$5:$L$300,"Закрыт"),8)))</f>
        <v/>
      </c>
      <c r="G238" s="246">
        <f>IF($B238="","",IF(COUNTIFS(Пул!$E$5:$E$300,$B238,Пул!$L$5:$L$300,"Закрыт")=0,"",ROUND(SUMIFS(Пул!$J$5:$J$300,Пул!$E$5:$E$300,$B238,Пул!$L$5:$L$300,"Закрыт"),8)))</f>
        <v/>
      </c>
      <c r="H238" s="247">
        <f>IF($B238="","",IF(COUNTIFS(Пул!$E$5:$E$300,$B238,Пул!$L$5:$L$300,"Закрыт")=0,"",ROUND(SUMIFS(Пул!$K$5:$K$300,Пул!$E$5:$E$300,$B238,Пул!$L$5:$L$300,"Закрыт"),8)))</f>
        <v/>
      </c>
      <c r="I238" s="242">
        <f>IF(AND(ISNUMBER(G238),ISNUMBER(H238)),IF(AND(G238&gt;0,H238&lt;0),"Buy",IF(AND(G238&lt;0,H238&gt;0),"Sell","")),"")</f>
        <v/>
      </c>
      <c r="J238" s="183">
        <f>IF(I238="Buy",G238,IF(I238="Sell",-G238,""))</f>
        <v/>
      </c>
      <c r="K238" s="183">
        <f>IF(AND(ISNUMBER(J238),ISNUMBER(L238),N(J238)&lt;&gt;0),ROUND(L238/J238,8),"")</f>
        <v/>
      </c>
      <c r="L238" s="183">
        <f>IF(I238="Buy",-H238,IF(I238="Sell",H238,""))</f>
        <v/>
      </c>
    </row>
    <row r="239" ht="22" customHeight="1">
      <c r="B239" s="315" t="n"/>
      <c r="C239" s="240">
        <f>IF($B239="","",IF(COUNTIFS(Пул!$E$5:$E$300,$B239,Пул!$F$5:$F$300,"&lt;&gt;")=0,"",ROUND(SUMIFS(Пул!$F$5:$F$300,Пул!$E$5:$E$300,$B239),8)))</f>
        <v/>
      </c>
      <c r="D239" s="241">
        <f>IF($B239="","",IF(COUNTIFS(Пул!$E$5:$E$300,$B239,Пул!$G$5:$G$300,"&lt;&gt;")=0,"",ROUND(SUMIFS(Пул!$G$5:$G$300,Пул!$E$5:$E$300,$B239),8)))</f>
        <v/>
      </c>
      <c r="E239" s="240">
        <f>IF($B239="","",IF(COUNTIFS(Пул!$E$5:$E$300,$B239,Пул!$L$5:$L$300,"Закрыт")=0,"",ROUND(SUMIFS(Пул!$H$5:$H$300,Пул!$E$5:$E$300,$B239,Пул!$L$5:$L$300,"Закрыт"),8)))</f>
        <v/>
      </c>
      <c r="F239" s="241">
        <f>IF($B239="","",IF(COUNTIFS(Пул!$E$5:$E$300,$B239,Пул!$L$5:$L$300,"Закрыт")=0,"",ROUND(SUMIFS(Пул!$I$5:$I$300,Пул!$E$5:$E$300,$B239,Пул!$L$5:$L$300,"Закрыт"),8)))</f>
        <v/>
      </c>
      <c r="G239" s="240">
        <f>IF($B239="","",IF(COUNTIFS(Пул!$E$5:$E$300,$B239,Пул!$L$5:$L$300,"Закрыт")=0,"",ROUND(SUMIFS(Пул!$J$5:$J$300,Пул!$E$5:$E$300,$B239,Пул!$L$5:$L$300,"Закрыт"),8)))</f>
        <v/>
      </c>
      <c r="H239" s="241">
        <f>IF($B239="","",IF(COUNTIFS(Пул!$E$5:$E$300,$B239,Пул!$L$5:$L$300,"Закрыт")=0,"",ROUND(SUMIFS(Пул!$K$5:$K$300,Пул!$E$5:$E$300,$B239,Пул!$L$5:$L$300,"Закрыт"),8)))</f>
        <v/>
      </c>
      <c r="I239" s="236">
        <f>IF(AND(ISNUMBER(G239),ISNUMBER(H239)),IF(AND(G239&gt;0,H239&lt;0),"Buy",IF(AND(G239&lt;0,H239&gt;0),"Sell","")),"")</f>
        <v/>
      </c>
      <c r="J239" s="177">
        <f>IF(I239="Buy",G239,IF(I239="Sell",-G239,""))</f>
        <v/>
      </c>
      <c r="K239" s="177">
        <f>IF(AND(ISNUMBER(J239),ISNUMBER(L239),N(J239)&lt;&gt;0),ROUND(L239/J239,8),"")</f>
        <v/>
      </c>
      <c r="L239" s="177">
        <f>IF(I239="Buy",-H239,IF(I239="Sell",H239,""))</f>
        <v/>
      </c>
    </row>
    <row r="240" ht="22" customHeight="1">
      <c r="B240" s="320" t="n"/>
      <c r="C240" s="246">
        <f>IF($B240="","",IF(COUNTIFS(Пул!$E$5:$E$300,$B240,Пул!$F$5:$F$300,"&lt;&gt;")=0,"",ROUND(SUMIFS(Пул!$F$5:$F$300,Пул!$E$5:$E$300,$B240),8)))</f>
        <v/>
      </c>
      <c r="D240" s="247">
        <f>IF($B240="","",IF(COUNTIFS(Пул!$E$5:$E$300,$B240,Пул!$G$5:$G$300,"&lt;&gt;")=0,"",ROUND(SUMIFS(Пул!$G$5:$G$300,Пул!$E$5:$E$300,$B240),8)))</f>
        <v/>
      </c>
      <c r="E240" s="246">
        <f>IF($B240="","",IF(COUNTIFS(Пул!$E$5:$E$300,$B240,Пул!$L$5:$L$300,"Закрыт")=0,"",ROUND(SUMIFS(Пул!$H$5:$H$300,Пул!$E$5:$E$300,$B240,Пул!$L$5:$L$300,"Закрыт"),8)))</f>
        <v/>
      </c>
      <c r="F240" s="247">
        <f>IF($B240="","",IF(COUNTIFS(Пул!$E$5:$E$300,$B240,Пул!$L$5:$L$300,"Закрыт")=0,"",ROUND(SUMIFS(Пул!$I$5:$I$300,Пул!$E$5:$E$300,$B240,Пул!$L$5:$L$300,"Закрыт"),8)))</f>
        <v/>
      </c>
      <c r="G240" s="246">
        <f>IF($B240="","",IF(COUNTIFS(Пул!$E$5:$E$300,$B240,Пул!$L$5:$L$300,"Закрыт")=0,"",ROUND(SUMIFS(Пул!$J$5:$J$300,Пул!$E$5:$E$300,$B240,Пул!$L$5:$L$300,"Закрыт"),8)))</f>
        <v/>
      </c>
      <c r="H240" s="247">
        <f>IF($B240="","",IF(COUNTIFS(Пул!$E$5:$E$300,$B240,Пул!$L$5:$L$300,"Закрыт")=0,"",ROUND(SUMIFS(Пул!$K$5:$K$300,Пул!$E$5:$E$300,$B240,Пул!$L$5:$L$300,"Закрыт"),8)))</f>
        <v/>
      </c>
      <c r="I240" s="242">
        <f>IF(AND(ISNUMBER(G240),ISNUMBER(H240)),IF(AND(G240&gt;0,H240&lt;0),"Buy",IF(AND(G240&lt;0,H240&gt;0),"Sell","")),"")</f>
        <v/>
      </c>
      <c r="J240" s="183">
        <f>IF(I240="Buy",G240,IF(I240="Sell",-G240,""))</f>
        <v/>
      </c>
      <c r="K240" s="183">
        <f>IF(AND(ISNUMBER(J240),ISNUMBER(L240),N(J240)&lt;&gt;0),ROUND(L240/J240,8),"")</f>
        <v/>
      </c>
      <c r="L240" s="183">
        <f>IF(I240="Buy",-H240,IF(I240="Sell",H240,""))</f>
        <v/>
      </c>
    </row>
    <row r="241" ht="22" customHeight="1">
      <c r="B241" s="315" t="n"/>
      <c r="C241" s="240">
        <f>IF($B241="","",IF(COUNTIFS(Пул!$E$5:$E$300,$B241,Пул!$F$5:$F$300,"&lt;&gt;")=0,"",ROUND(SUMIFS(Пул!$F$5:$F$300,Пул!$E$5:$E$300,$B241),8)))</f>
        <v/>
      </c>
      <c r="D241" s="241">
        <f>IF($B241="","",IF(COUNTIFS(Пул!$E$5:$E$300,$B241,Пул!$G$5:$G$300,"&lt;&gt;")=0,"",ROUND(SUMIFS(Пул!$G$5:$G$300,Пул!$E$5:$E$300,$B241),8)))</f>
        <v/>
      </c>
      <c r="E241" s="240">
        <f>IF($B241="","",IF(COUNTIFS(Пул!$E$5:$E$300,$B241,Пул!$L$5:$L$300,"Закрыт")=0,"",ROUND(SUMIFS(Пул!$H$5:$H$300,Пул!$E$5:$E$300,$B241,Пул!$L$5:$L$300,"Закрыт"),8)))</f>
        <v/>
      </c>
      <c r="F241" s="241">
        <f>IF($B241="","",IF(COUNTIFS(Пул!$E$5:$E$300,$B241,Пул!$L$5:$L$300,"Закрыт")=0,"",ROUND(SUMIFS(Пул!$I$5:$I$300,Пул!$E$5:$E$300,$B241,Пул!$L$5:$L$300,"Закрыт"),8)))</f>
        <v/>
      </c>
      <c r="G241" s="240">
        <f>IF($B241="","",IF(COUNTIFS(Пул!$E$5:$E$300,$B241,Пул!$L$5:$L$300,"Закрыт")=0,"",ROUND(SUMIFS(Пул!$J$5:$J$300,Пул!$E$5:$E$300,$B241,Пул!$L$5:$L$300,"Закрыт"),8)))</f>
        <v/>
      </c>
      <c r="H241" s="241">
        <f>IF($B241="","",IF(COUNTIFS(Пул!$E$5:$E$300,$B241,Пул!$L$5:$L$300,"Закрыт")=0,"",ROUND(SUMIFS(Пул!$K$5:$K$300,Пул!$E$5:$E$300,$B241,Пул!$L$5:$L$300,"Закрыт"),8)))</f>
        <v/>
      </c>
      <c r="I241" s="236">
        <f>IF(AND(ISNUMBER(G241),ISNUMBER(H241)),IF(AND(G241&gt;0,H241&lt;0),"Buy",IF(AND(G241&lt;0,H241&gt;0),"Sell","")),"")</f>
        <v/>
      </c>
      <c r="J241" s="177">
        <f>IF(I241="Buy",G241,IF(I241="Sell",-G241,""))</f>
        <v/>
      </c>
      <c r="K241" s="177">
        <f>IF(AND(ISNUMBER(J241),ISNUMBER(L241),N(J241)&lt;&gt;0),ROUND(L241/J241,8),"")</f>
        <v/>
      </c>
      <c r="L241" s="177">
        <f>IF(I241="Buy",-H241,IF(I241="Sell",H241,""))</f>
        <v/>
      </c>
    </row>
    <row r="242" ht="22" customHeight="1">
      <c r="B242" s="320" t="n"/>
      <c r="C242" s="246">
        <f>IF($B242="","",IF(COUNTIFS(Пул!$E$5:$E$300,$B242,Пул!$F$5:$F$300,"&lt;&gt;")=0,"",ROUND(SUMIFS(Пул!$F$5:$F$300,Пул!$E$5:$E$300,$B242),8)))</f>
        <v/>
      </c>
      <c r="D242" s="247">
        <f>IF($B242="","",IF(COUNTIFS(Пул!$E$5:$E$300,$B242,Пул!$G$5:$G$300,"&lt;&gt;")=0,"",ROUND(SUMIFS(Пул!$G$5:$G$300,Пул!$E$5:$E$300,$B242),8)))</f>
        <v/>
      </c>
      <c r="E242" s="246">
        <f>IF($B242="","",IF(COUNTIFS(Пул!$E$5:$E$300,$B242,Пул!$L$5:$L$300,"Закрыт")=0,"",ROUND(SUMIFS(Пул!$H$5:$H$300,Пул!$E$5:$E$300,$B242,Пул!$L$5:$L$300,"Закрыт"),8)))</f>
        <v/>
      </c>
      <c r="F242" s="247">
        <f>IF($B242="","",IF(COUNTIFS(Пул!$E$5:$E$300,$B242,Пул!$L$5:$L$300,"Закрыт")=0,"",ROUND(SUMIFS(Пул!$I$5:$I$300,Пул!$E$5:$E$300,$B242,Пул!$L$5:$L$300,"Закрыт"),8)))</f>
        <v/>
      </c>
      <c r="G242" s="246">
        <f>IF($B242="","",IF(COUNTIFS(Пул!$E$5:$E$300,$B242,Пул!$L$5:$L$300,"Закрыт")=0,"",ROUND(SUMIFS(Пул!$J$5:$J$300,Пул!$E$5:$E$300,$B242,Пул!$L$5:$L$300,"Закрыт"),8)))</f>
        <v/>
      </c>
      <c r="H242" s="247">
        <f>IF($B242="","",IF(COUNTIFS(Пул!$E$5:$E$300,$B242,Пул!$L$5:$L$300,"Закрыт")=0,"",ROUND(SUMIFS(Пул!$K$5:$K$300,Пул!$E$5:$E$300,$B242,Пул!$L$5:$L$300,"Закрыт"),8)))</f>
        <v/>
      </c>
      <c r="I242" s="242">
        <f>IF(AND(ISNUMBER(G242),ISNUMBER(H242)),IF(AND(G242&gt;0,H242&lt;0),"Buy",IF(AND(G242&lt;0,H242&gt;0),"Sell","")),"")</f>
        <v/>
      </c>
      <c r="J242" s="183">
        <f>IF(I242="Buy",G242,IF(I242="Sell",-G242,""))</f>
        <v/>
      </c>
      <c r="K242" s="183">
        <f>IF(AND(ISNUMBER(J242),ISNUMBER(L242),N(J242)&lt;&gt;0),ROUND(L242/J242,8),"")</f>
        <v/>
      </c>
      <c r="L242" s="183">
        <f>IF(I242="Buy",-H242,IF(I242="Sell",H242,""))</f>
        <v/>
      </c>
    </row>
    <row r="243" ht="22" customHeight="1">
      <c r="B243" s="315" t="n"/>
      <c r="C243" s="240">
        <f>IF($B243="","",IF(COUNTIFS(Пул!$E$5:$E$300,$B243,Пул!$F$5:$F$300,"&lt;&gt;")=0,"",ROUND(SUMIFS(Пул!$F$5:$F$300,Пул!$E$5:$E$300,$B243),8)))</f>
        <v/>
      </c>
      <c r="D243" s="241">
        <f>IF($B243="","",IF(COUNTIFS(Пул!$E$5:$E$300,$B243,Пул!$G$5:$G$300,"&lt;&gt;")=0,"",ROUND(SUMIFS(Пул!$G$5:$G$300,Пул!$E$5:$E$300,$B243),8)))</f>
        <v/>
      </c>
      <c r="E243" s="240">
        <f>IF($B243="","",IF(COUNTIFS(Пул!$E$5:$E$300,$B243,Пул!$L$5:$L$300,"Закрыт")=0,"",ROUND(SUMIFS(Пул!$H$5:$H$300,Пул!$E$5:$E$300,$B243,Пул!$L$5:$L$300,"Закрыт"),8)))</f>
        <v/>
      </c>
      <c r="F243" s="241">
        <f>IF($B243="","",IF(COUNTIFS(Пул!$E$5:$E$300,$B243,Пул!$L$5:$L$300,"Закрыт")=0,"",ROUND(SUMIFS(Пул!$I$5:$I$300,Пул!$E$5:$E$300,$B243,Пул!$L$5:$L$300,"Закрыт"),8)))</f>
        <v/>
      </c>
      <c r="G243" s="240">
        <f>IF($B243="","",IF(COUNTIFS(Пул!$E$5:$E$300,$B243,Пул!$L$5:$L$300,"Закрыт")=0,"",ROUND(SUMIFS(Пул!$J$5:$J$300,Пул!$E$5:$E$300,$B243,Пул!$L$5:$L$300,"Закрыт"),8)))</f>
        <v/>
      </c>
      <c r="H243" s="241">
        <f>IF($B243="","",IF(COUNTIFS(Пул!$E$5:$E$300,$B243,Пул!$L$5:$L$300,"Закрыт")=0,"",ROUND(SUMIFS(Пул!$K$5:$K$300,Пул!$E$5:$E$300,$B243,Пул!$L$5:$L$300,"Закрыт"),8)))</f>
        <v/>
      </c>
      <c r="I243" s="236">
        <f>IF(AND(ISNUMBER(G243),ISNUMBER(H243)),IF(AND(G243&gt;0,H243&lt;0),"Buy",IF(AND(G243&lt;0,H243&gt;0),"Sell","")),"")</f>
        <v/>
      </c>
      <c r="J243" s="177">
        <f>IF(I243="Buy",G243,IF(I243="Sell",-G243,""))</f>
        <v/>
      </c>
      <c r="K243" s="177">
        <f>IF(AND(ISNUMBER(J243),ISNUMBER(L243),N(J243)&lt;&gt;0),ROUND(L243/J243,8),"")</f>
        <v/>
      </c>
      <c r="L243" s="177">
        <f>IF(I243="Buy",-H243,IF(I243="Sell",H243,""))</f>
        <v/>
      </c>
    </row>
    <row r="244" ht="22" customHeight="1">
      <c r="B244" s="320" t="n"/>
      <c r="C244" s="246">
        <f>IF($B244="","",IF(COUNTIFS(Пул!$E$5:$E$300,$B244,Пул!$F$5:$F$300,"&lt;&gt;")=0,"",ROUND(SUMIFS(Пул!$F$5:$F$300,Пул!$E$5:$E$300,$B244),8)))</f>
        <v/>
      </c>
      <c r="D244" s="247">
        <f>IF($B244="","",IF(COUNTIFS(Пул!$E$5:$E$300,$B244,Пул!$G$5:$G$300,"&lt;&gt;")=0,"",ROUND(SUMIFS(Пул!$G$5:$G$300,Пул!$E$5:$E$300,$B244),8)))</f>
        <v/>
      </c>
      <c r="E244" s="246">
        <f>IF($B244="","",IF(COUNTIFS(Пул!$E$5:$E$300,$B244,Пул!$L$5:$L$300,"Закрыт")=0,"",ROUND(SUMIFS(Пул!$H$5:$H$300,Пул!$E$5:$E$300,$B244,Пул!$L$5:$L$300,"Закрыт"),8)))</f>
        <v/>
      </c>
      <c r="F244" s="247">
        <f>IF($B244="","",IF(COUNTIFS(Пул!$E$5:$E$300,$B244,Пул!$L$5:$L$300,"Закрыт")=0,"",ROUND(SUMIFS(Пул!$I$5:$I$300,Пул!$E$5:$E$300,$B244,Пул!$L$5:$L$300,"Закрыт"),8)))</f>
        <v/>
      </c>
      <c r="G244" s="246">
        <f>IF($B244="","",IF(COUNTIFS(Пул!$E$5:$E$300,$B244,Пул!$L$5:$L$300,"Закрыт")=0,"",ROUND(SUMIFS(Пул!$J$5:$J$300,Пул!$E$5:$E$300,$B244,Пул!$L$5:$L$300,"Закрыт"),8)))</f>
        <v/>
      </c>
      <c r="H244" s="247">
        <f>IF($B244="","",IF(COUNTIFS(Пул!$E$5:$E$300,$B244,Пул!$L$5:$L$300,"Закрыт")=0,"",ROUND(SUMIFS(Пул!$K$5:$K$300,Пул!$E$5:$E$300,$B244,Пул!$L$5:$L$300,"Закрыт"),8)))</f>
        <v/>
      </c>
      <c r="I244" s="242">
        <f>IF(AND(ISNUMBER(G244),ISNUMBER(H244)),IF(AND(G244&gt;0,H244&lt;0),"Buy",IF(AND(G244&lt;0,H244&gt;0),"Sell","")),"")</f>
        <v/>
      </c>
      <c r="J244" s="183">
        <f>IF(I244="Buy",G244,IF(I244="Sell",-G244,""))</f>
        <v/>
      </c>
      <c r="K244" s="183">
        <f>IF(AND(ISNUMBER(J244),ISNUMBER(L244),N(J244)&lt;&gt;0),ROUND(L244/J244,8),"")</f>
        <v/>
      </c>
      <c r="L244" s="183">
        <f>IF(I244="Buy",-H244,IF(I244="Sell",H244,""))</f>
        <v/>
      </c>
    </row>
    <row r="245" ht="22" customHeight="1">
      <c r="B245" s="315" t="n"/>
      <c r="C245" s="240">
        <f>IF($B245="","",IF(COUNTIFS(Пул!$E$5:$E$300,$B245,Пул!$F$5:$F$300,"&lt;&gt;")=0,"",ROUND(SUMIFS(Пул!$F$5:$F$300,Пул!$E$5:$E$300,$B245),8)))</f>
        <v/>
      </c>
      <c r="D245" s="241">
        <f>IF($B245="","",IF(COUNTIFS(Пул!$E$5:$E$300,$B245,Пул!$G$5:$G$300,"&lt;&gt;")=0,"",ROUND(SUMIFS(Пул!$G$5:$G$300,Пул!$E$5:$E$300,$B245),8)))</f>
        <v/>
      </c>
      <c r="E245" s="240">
        <f>IF($B245="","",IF(COUNTIFS(Пул!$E$5:$E$300,$B245,Пул!$L$5:$L$300,"Закрыт")=0,"",ROUND(SUMIFS(Пул!$H$5:$H$300,Пул!$E$5:$E$300,$B245,Пул!$L$5:$L$300,"Закрыт"),8)))</f>
        <v/>
      </c>
      <c r="F245" s="241">
        <f>IF($B245="","",IF(COUNTIFS(Пул!$E$5:$E$300,$B245,Пул!$L$5:$L$300,"Закрыт")=0,"",ROUND(SUMIFS(Пул!$I$5:$I$300,Пул!$E$5:$E$300,$B245,Пул!$L$5:$L$300,"Закрыт"),8)))</f>
        <v/>
      </c>
      <c r="G245" s="240">
        <f>IF($B245="","",IF(COUNTIFS(Пул!$E$5:$E$300,$B245,Пул!$L$5:$L$300,"Закрыт")=0,"",ROUND(SUMIFS(Пул!$J$5:$J$300,Пул!$E$5:$E$300,$B245,Пул!$L$5:$L$300,"Закрыт"),8)))</f>
        <v/>
      </c>
      <c r="H245" s="241">
        <f>IF($B245="","",IF(COUNTIFS(Пул!$E$5:$E$300,$B245,Пул!$L$5:$L$300,"Закрыт")=0,"",ROUND(SUMIFS(Пул!$K$5:$K$300,Пул!$E$5:$E$300,$B245,Пул!$L$5:$L$300,"Закрыт"),8)))</f>
        <v/>
      </c>
      <c r="I245" s="236">
        <f>IF(AND(ISNUMBER(G245),ISNUMBER(H245)),IF(AND(G245&gt;0,H245&lt;0),"Buy",IF(AND(G245&lt;0,H245&gt;0),"Sell","")),"")</f>
        <v/>
      </c>
      <c r="J245" s="177">
        <f>IF(I245="Buy",G245,IF(I245="Sell",-G245,""))</f>
        <v/>
      </c>
      <c r="K245" s="177">
        <f>IF(AND(ISNUMBER(J245),ISNUMBER(L245),N(J245)&lt;&gt;0),ROUND(L245/J245,8),"")</f>
        <v/>
      </c>
      <c r="L245" s="177">
        <f>IF(I245="Buy",-H245,IF(I245="Sell",H245,""))</f>
        <v/>
      </c>
    </row>
    <row r="246" ht="22" customHeight="1">
      <c r="B246" s="320" t="n"/>
      <c r="C246" s="246">
        <f>IF($B246="","",IF(COUNTIFS(Пул!$E$5:$E$300,$B246,Пул!$F$5:$F$300,"&lt;&gt;")=0,"",ROUND(SUMIFS(Пул!$F$5:$F$300,Пул!$E$5:$E$300,$B246),8)))</f>
        <v/>
      </c>
      <c r="D246" s="247">
        <f>IF($B246="","",IF(COUNTIFS(Пул!$E$5:$E$300,$B246,Пул!$G$5:$G$300,"&lt;&gt;")=0,"",ROUND(SUMIFS(Пул!$G$5:$G$300,Пул!$E$5:$E$300,$B246),8)))</f>
        <v/>
      </c>
      <c r="E246" s="246">
        <f>IF($B246="","",IF(COUNTIFS(Пул!$E$5:$E$300,$B246,Пул!$L$5:$L$300,"Закрыт")=0,"",ROUND(SUMIFS(Пул!$H$5:$H$300,Пул!$E$5:$E$300,$B246,Пул!$L$5:$L$300,"Закрыт"),8)))</f>
        <v/>
      </c>
      <c r="F246" s="247">
        <f>IF($B246="","",IF(COUNTIFS(Пул!$E$5:$E$300,$B246,Пул!$L$5:$L$300,"Закрыт")=0,"",ROUND(SUMIFS(Пул!$I$5:$I$300,Пул!$E$5:$E$300,$B246,Пул!$L$5:$L$300,"Закрыт"),8)))</f>
        <v/>
      </c>
      <c r="G246" s="246">
        <f>IF($B246="","",IF(COUNTIFS(Пул!$E$5:$E$300,$B246,Пул!$L$5:$L$300,"Закрыт")=0,"",ROUND(SUMIFS(Пул!$J$5:$J$300,Пул!$E$5:$E$300,$B246,Пул!$L$5:$L$300,"Закрыт"),8)))</f>
        <v/>
      </c>
      <c r="H246" s="247">
        <f>IF($B246="","",IF(COUNTIFS(Пул!$E$5:$E$300,$B246,Пул!$L$5:$L$300,"Закрыт")=0,"",ROUND(SUMIFS(Пул!$K$5:$K$300,Пул!$E$5:$E$300,$B246,Пул!$L$5:$L$300,"Закрыт"),8)))</f>
        <v/>
      </c>
      <c r="I246" s="242">
        <f>IF(AND(ISNUMBER(G246),ISNUMBER(H246)),IF(AND(G246&gt;0,H246&lt;0),"Buy",IF(AND(G246&lt;0,H246&gt;0),"Sell","")),"")</f>
        <v/>
      </c>
      <c r="J246" s="183">
        <f>IF(I246="Buy",G246,IF(I246="Sell",-G246,""))</f>
        <v/>
      </c>
      <c r="K246" s="183">
        <f>IF(AND(ISNUMBER(J246),ISNUMBER(L246),N(J246)&lt;&gt;0),ROUND(L246/J246,8),"")</f>
        <v/>
      </c>
      <c r="L246" s="183">
        <f>IF(I246="Buy",-H246,IF(I246="Sell",H246,""))</f>
        <v/>
      </c>
    </row>
    <row r="247" ht="22" customHeight="1">
      <c r="B247" s="315" t="n"/>
      <c r="C247" s="240">
        <f>IF($B247="","",IF(COUNTIFS(Пул!$E$5:$E$300,$B247,Пул!$F$5:$F$300,"&lt;&gt;")=0,"",ROUND(SUMIFS(Пул!$F$5:$F$300,Пул!$E$5:$E$300,$B247),8)))</f>
        <v/>
      </c>
      <c r="D247" s="241">
        <f>IF($B247="","",IF(COUNTIFS(Пул!$E$5:$E$300,$B247,Пул!$G$5:$G$300,"&lt;&gt;")=0,"",ROUND(SUMIFS(Пул!$G$5:$G$300,Пул!$E$5:$E$300,$B247),8)))</f>
        <v/>
      </c>
      <c r="E247" s="240">
        <f>IF($B247="","",IF(COUNTIFS(Пул!$E$5:$E$300,$B247,Пул!$L$5:$L$300,"Закрыт")=0,"",ROUND(SUMIFS(Пул!$H$5:$H$300,Пул!$E$5:$E$300,$B247,Пул!$L$5:$L$300,"Закрыт"),8)))</f>
        <v/>
      </c>
      <c r="F247" s="241">
        <f>IF($B247="","",IF(COUNTIFS(Пул!$E$5:$E$300,$B247,Пул!$L$5:$L$300,"Закрыт")=0,"",ROUND(SUMIFS(Пул!$I$5:$I$300,Пул!$E$5:$E$300,$B247,Пул!$L$5:$L$300,"Закрыт"),8)))</f>
        <v/>
      </c>
      <c r="G247" s="240">
        <f>IF($B247="","",IF(COUNTIFS(Пул!$E$5:$E$300,$B247,Пул!$L$5:$L$300,"Закрыт")=0,"",ROUND(SUMIFS(Пул!$J$5:$J$300,Пул!$E$5:$E$300,$B247,Пул!$L$5:$L$300,"Закрыт"),8)))</f>
        <v/>
      </c>
      <c r="H247" s="241">
        <f>IF($B247="","",IF(COUNTIFS(Пул!$E$5:$E$300,$B247,Пул!$L$5:$L$300,"Закрыт")=0,"",ROUND(SUMIFS(Пул!$K$5:$K$300,Пул!$E$5:$E$300,$B247,Пул!$L$5:$L$300,"Закрыт"),8)))</f>
        <v/>
      </c>
      <c r="I247" s="236">
        <f>IF(AND(ISNUMBER(G247),ISNUMBER(H247)),IF(AND(G247&gt;0,H247&lt;0),"Buy",IF(AND(G247&lt;0,H247&gt;0),"Sell","")),"")</f>
        <v/>
      </c>
      <c r="J247" s="177">
        <f>IF(I247="Buy",G247,IF(I247="Sell",-G247,""))</f>
        <v/>
      </c>
      <c r="K247" s="177">
        <f>IF(AND(ISNUMBER(J247),ISNUMBER(L247),N(J247)&lt;&gt;0),ROUND(L247/J247,8),"")</f>
        <v/>
      </c>
      <c r="L247" s="177">
        <f>IF(I247="Buy",-H247,IF(I247="Sell",H247,""))</f>
        <v/>
      </c>
    </row>
    <row r="248" ht="22" customHeight="1">
      <c r="B248" s="320" t="n"/>
      <c r="C248" s="246">
        <f>IF($B248="","",IF(COUNTIFS(Пул!$E$5:$E$300,$B248,Пул!$F$5:$F$300,"&lt;&gt;")=0,"",ROUND(SUMIFS(Пул!$F$5:$F$300,Пул!$E$5:$E$300,$B248),8)))</f>
        <v/>
      </c>
      <c r="D248" s="247">
        <f>IF($B248="","",IF(COUNTIFS(Пул!$E$5:$E$300,$B248,Пул!$G$5:$G$300,"&lt;&gt;")=0,"",ROUND(SUMIFS(Пул!$G$5:$G$300,Пул!$E$5:$E$300,$B248),8)))</f>
        <v/>
      </c>
      <c r="E248" s="246">
        <f>IF($B248="","",IF(COUNTIFS(Пул!$E$5:$E$300,$B248,Пул!$L$5:$L$300,"Закрыт")=0,"",ROUND(SUMIFS(Пул!$H$5:$H$300,Пул!$E$5:$E$300,$B248,Пул!$L$5:$L$300,"Закрыт"),8)))</f>
        <v/>
      </c>
      <c r="F248" s="247">
        <f>IF($B248="","",IF(COUNTIFS(Пул!$E$5:$E$300,$B248,Пул!$L$5:$L$300,"Закрыт")=0,"",ROUND(SUMIFS(Пул!$I$5:$I$300,Пул!$E$5:$E$300,$B248,Пул!$L$5:$L$300,"Закрыт"),8)))</f>
        <v/>
      </c>
      <c r="G248" s="246">
        <f>IF($B248="","",IF(COUNTIFS(Пул!$E$5:$E$300,$B248,Пул!$L$5:$L$300,"Закрыт")=0,"",ROUND(SUMIFS(Пул!$J$5:$J$300,Пул!$E$5:$E$300,$B248,Пул!$L$5:$L$300,"Закрыт"),8)))</f>
        <v/>
      </c>
      <c r="H248" s="247">
        <f>IF($B248="","",IF(COUNTIFS(Пул!$E$5:$E$300,$B248,Пул!$L$5:$L$300,"Закрыт")=0,"",ROUND(SUMIFS(Пул!$K$5:$K$300,Пул!$E$5:$E$300,$B248,Пул!$L$5:$L$300,"Закрыт"),8)))</f>
        <v/>
      </c>
      <c r="I248" s="242">
        <f>IF(AND(ISNUMBER(G248),ISNUMBER(H248)),IF(AND(G248&gt;0,H248&lt;0),"Buy",IF(AND(G248&lt;0,H248&gt;0),"Sell","")),"")</f>
        <v/>
      </c>
      <c r="J248" s="183">
        <f>IF(I248="Buy",G248,IF(I248="Sell",-G248,""))</f>
        <v/>
      </c>
      <c r="K248" s="183">
        <f>IF(AND(ISNUMBER(J248),ISNUMBER(L248),N(J248)&lt;&gt;0),ROUND(L248/J248,8),"")</f>
        <v/>
      </c>
      <c r="L248" s="183">
        <f>IF(I248="Buy",-H248,IF(I248="Sell",H248,""))</f>
        <v/>
      </c>
    </row>
    <row r="249" ht="22" customHeight="1">
      <c r="B249" s="315" t="n"/>
      <c r="C249" s="240">
        <f>IF($B249="","",IF(COUNTIFS(Пул!$E$5:$E$300,$B249,Пул!$F$5:$F$300,"&lt;&gt;")=0,"",ROUND(SUMIFS(Пул!$F$5:$F$300,Пул!$E$5:$E$300,$B249),8)))</f>
        <v/>
      </c>
      <c r="D249" s="241">
        <f>IF($B249="","",IF(COUNTIFS(Пул!$E$5:$E$300,$B249,Пул!$G$5:$G$300,"&lt;&gt;")=0,"",ROUND(SUMIFS(Пул!$G$5:$G$300,Пул!$E$5:$E$300,$B249),8)))</f>
        <v/>
      </c>
      <c r="E249" s="240">
        <f>IF($B249="","",IF(COUNTIFS(Пул!$E$5:$E$300,$B249,Пул!$L$5:$L$300,"Закрыт")=0,"",ROUND(SUMIFS(Пул!$H$5:$H$300,Пул!$E$5:$E$300,$B249,Пул!$L$5:$L$300,"Закрыт"),8)))</f>
        <v/>
      </c>
      <c r="F249" s="241">
        <f>IF($B249="","",IF(COUNTIFS(Пул!$E$5:$E$300,$B249,Пул!$L$5:$L$300,"Закрыт")=0,"",ROUND(SUMIFS(Пул!$I$5:$I$300,Пул!$E$5:$E$300,$B249,Пул!$L$5:$L$300,"Закрыт"),8)))</f>
        <v/>
      </c>
      <c r="G249" s="240">
        <f>IF($B249="","",IF(COUNTIFS(Пул!$E$5:$E$300,$B249,Пул!$L$5:$L$300,"Закрыт")=0,"",ROUND(SUMIFS(Пул!$J$5:$J$300,Пул!$E$5:$E$300,$B249,Пул!$L$5:$L$300,"Закрыт"),8)))</f>
        <v/>
      </c>
      <c r="H249" s="241">
        <f>IF($B249="","",IF(COUNTIFS(Пул!$E$5:$E$300,$B249,Пул!$L$5:$L$300,"Закрыт")=0,"",ROUND(SUMIFS(Пул!$K$5:$K$300,Пул!$E$5:$E$300,$B249,Пул!$L$5:$L$300,"Закрыт"),8)))</f>
        <v/>
      </c>
      <c r="I249" s="236">
        <f>IF(AND(ISNUMBER(G249),ISNUMBER(H249)),IF(AND(G249&gt;0,H249&lt;0),"Buy",IF(AND(G249&lt;0,H249&gt;0),"Sell","")),"")</f>
        <v/>
      </c>
      <c r="J249" s="177">
        <f>IF(I249="Buy",G249,IF(I249="Sell",-G249,""))</f>
        <v/>
      </c>
      <c r="K249" s="177">
        <f>IF(AND(ISNUMBER(J249),ISNUMBER(L249),N(J249)&lt;&gt;0),ROUND(L249/J249,8),"")</f>
        <v/>
      </c>
      <c r="L249" s="177">
        <f>IF(I249="Buy",-H249,IF(I249="Sell",H249,""))</f>
        <v/>
      </c>
    </row>
    <row r="250" ht="22" customHeight="1">
      <c r="B250" s="320" t="n"/>
      <c r="C250" s="246">
        <f>IF($B250="","",IF(COUNTIFS(Пул!$E$5:$E$300,$B250,Пул!$F$5:$F$300,"&lt;&gt;")=0,"",ROUND(SUMIFS(Пул!$F$5:$F$300,Пул!$E$5:$E$300,$B250),8)))</f>
        <v/>
      </c>
      <c r="D250" s="247">
        <f>IF($B250="","",IF(COUNTIFS(Пул!$E$5:$E$300,$B250,Пул!$G$5:$G$300,"&lt;&gt;")=0,"",ROUND(SUMIFS(Пул!$G$5:$G$300,Пул!$E$5:$E$300,$B250),8)))</f>
        <v/>
      </c>
      <c r="E250" s="246">
        <f>IF($B250="","",IF(COUNTIFS(Пул!$E$5:$E$300,$B250,Пул!$L$5:$L$300,"Закрыт")=0,"",ROUND(SUMIFS(Пул!$H$5:$H$300,Пул!$E$5:$E$300,$B250,Пул!$L$5:$L$300,"Закрыт"),8)))</f>
        <v/>
      </c>
      <c r="F250" s="247">
        <f>IF($B250="","",IF(COUNTIFS(Пул!$E$5:$E$300,$B250,Пул!$L$5:$L$300,"Закрыт")=0,"",ROUND(SUMIFS(Пул!$I$5:$I$300,Пул!$E$5:$E$300,$B250,Пул!$L$5:$L$300,"Закрыт"),8)))</f>
        <v/>
      </c>
      <c r="G250" s="246">
        <f>IF($B250="","",IF(COUNTIFS(Пул!$E$5:$E$300,$B250,Пул!$L$5:$L$300,"Закрыт")=0,"",ROUND(SUMIFS(Пул!$J$5:$J$300,Пул!$E$5:$E$300,$B250,Пул!$L$5:$L$300,"Закрыт"),8)))</f>
        <v/>
      </c>
      <c r="H250" s="247">
        <f>IF($B250="","",IF(COUNTIFS(Пул!$E$5:$E$300,$B250,Пул!$L$5:$L$300,"Закрыт")=0,"",ROUND(SUMIFS(Пул!$K$5:$K$300,Пул!$E$5:$E$300,$B250,Пул!$L$5:$L$300,"Закрыт"),8)))</f>
        <v/>
      </c>
      <c r="I250" s="242">
        <f>IF(AND(ISNUMBER(G250),ISNUMBER(H250)),IF(AND(G250&gt;0,H250&lt;0),"Buy",IF(AND(G250&lt;0,H250&gt;0),"Sell","")),"")</f>
        <v/>
      </c>
      <c r="J250" s="183">
        <f>IF(I250="Buy",G250,IF(I250="Sell",-G250,""))</f>
        <v/>
      </c>
      <c r="K250" s="183">
        <f>IF(AND(ISNUMBER(J250),ISNUMBER(L250),N(J250)&lt;&gt;0),ROUND(L250/J250,8),"")</f>
        <v/>
      </c>
      <c r="L250" s="183">
        <f>IF(I250="Buy",-H250,IF(I250="Sell",H250,""))</f>
        <v/>
      </c>
    </row>
    <row r="251" ht="22" customHeight="1">
      <c r="B251" s="315" t="n"/>
      <c r="C251" s="240">
        <f>IF($B251="","",IF(COUNTIFS(Пул!$E$5:$E$300,$B251,Пул!$F$5:$F$300,"&lt;&gt;")=0,"",ROUND(SUMIFS(Пул!$F$5:$F$300,Пул!$E$5:$E$300,$B251),8)))</f>
        <v/>
      </c>
      <c r="D251" s="241">
        <f>IF($B251="","",IF(COUNTIFS(Пул!$E$5:$E$300,$B251,Пул!$G$5:$G$300,"&lt;&gt;")=0,"",ROUND(SUMIFS(Пул!$G$5:$G$300,Пул!$E$5:$E$300,$B251),8)))</f>
        <v/>
      </c>
      <c r="E251" s="240">
        <f>IF($B251="","",IF(COUNTIFS(Пул!$E$5:$E$300,$B251,Пул!$L$5:$L$300,"Закрыт")=0,"",ROUND(SUMIFS(Пул!$H$5:$H$300,Пул!$E$5:$E$300,$B251,Пул!$L$5:$L$300,"Закрыт"),8)))</f>
        <v/>
      </c>
      <c r="F251" s="241">
        <f>IF($B251="","",IF(COUNTIFS(Пул!$E$5:$E$300,$B251,Пул!$L$5:$L$300,"Закрыт")=0,"",ROUND(SUMIFS(Пул!$I$5:$I$300,Пул!$E$5:$E$300,$B251,Пул!$L$5:$L$300,"Закрыт"),8)))</f>
        <v/>
      </c>
      <c r="G251" s="240">
        <f>IF($B251="","",IF(COUNTIFS(Пул!$E$5:$E$300,$B251,Пул!$L$5:$L$300,"Закрыт")=0,"",ROUND(SUMIFS(Пул!$J$5:$J$300,Пул!$E$5:$E$300,$B251,Пул!$L$5:$L$300,"Закрыт"),8)))</f>
        <v/>
      </c>
      <c r="H251" s="241">
        <f>IF($B251="","",IF(COUNTIFS(Пул!$E$5:$E$300,$B251,Пул!$L$5:$L$300,"Закрыт")=0,"",ROUND(SUMIFS(Пул!$K$5:$K$300,Пул!$E$5:$E$300,$B251,Пул!$L$5:$L$300,"Закрыт"),8)))</f>
        <v/>
      </c>
      <c r="I251" s="236">
        <f>IF(AND(ISNUMBER(G251),ISNUMBER(H251)),IF(AND(G251&gt;0,H251&lt;0),"Buy",IF(AND(G251&lt;0,H251&gt;0),"Sell","")),"")</f>
        <v/>
      </c>
      <c r="J251" s="177">
        <f>IF(I251="Buy",G251,IF(I251="Sell",-G251,""))</f>
        <v/>
      </c>
      <c r="K251" s="177">
        <f>IF(AND(ISNUMBER(J251),ISNUMBER(L251),N(J251)&lt;&gt;0),ROUND(L251/J251,8),"")</f>
        <v/>
      </c>
      <c r="L251" s="177">
        <f>IF(I251="Buy",-H251,IF(I251="Sell",H251,""))</f>
        <v/>
      </c>
    </row>
    <row r="252" ht="22" customHeight="1">
      <c r="B252" s="320" t="n"/>
      <c r="C252" s="246">
        <f>IF($B252="","",IF(COUNTIFS(Пул!$E$5:$E$300,$B252,Пул!$F$5:$F$300,"&lt;&gt;")=0,"",ROUND(SUMIFS(Пул!$F$5:$F$300,Пул!$E$5:$E$300,$B252),8)))</f>
        <v/>
      </c>
      <c r="D252" s="247">
        <f>IF($B252="","",IF(COUNTIFS(Пул!$E$5:$E$300,$B252,Пул!$G$5:$G$300,"&lt;&gt;")=0,"",ROUND(SUMIFS(Пул!$G$5:$G$300,Пул!$E$5:$E$300,$B252),8)))</f>
        <v/>
      </c>
      <c r="E252" s="246">
        <f>IF($B252="","",IF(COUNTIFS(Пул!$E$5:$E$300,$B252,Пул!$L$5:$L$300,"Закрыт")=0,"",ROUND(SUMIFS(Пул!$H$5:$H$300,Пул!$E$5:$E$300,$B252,Пул!$L$5:$L$300,"Закрыт"),8)))</f>
        <v/>
      </c>
      <c r="F252" s="247">
        <f>IF($B252="","",IF(COUNTIFS(Пул!$E$5:$E$300,$B252,Пул!$L$5:$L$300,"Закрыт")=0,"",ROUND(SUMIFS(Пул!$I$5:$I$300,Пул!$E$5:$E$300,$B252,Пул!$L$5:$L$300,"Закрыт"),8)))</f>
        <v/>
      </c>
      <c r="G252" s="246">
        <f>IF($B252="","",IF(COUNTIFS(Пул!$E$5:$E$300,$B252,Пул!$L$5:$L$300,"Закрыт")=0,"",ROUND(SUMIFS(Пул!$J$5:$J$300,Пул!$E$5:$E$300,$B252,Пул!$L$5:$L$300,"Закрыт"),8)))</f>
        <v/>
      </c>
      <c r="H252" s="247">
        <f>IF($B252="","",IF(COUNTIFS(Пул!$E$5:$E$300,$B252,Пул!$L$5:$L$300,"Закрыт")=0,"",ROUND(SUMIFS(Пул!$K$5:$K$300,Пул!$E$5:$E$300,$B252,Пул!$L$5:$L$300,"Закрыт"),8)))</f>
        <v/>
      </c>
      <c r="I252" s="242">
        <f>IF(AND(ISNUMBER(G252),ISNUMBER(H252)),IF(AND(G252&gt;0,H252&lt;0),"Buy",IF(AND(G252&lt;0,H252&gt;0),"Sell","")),"")</f>
        <v/>
      </c>
      <c r="J252" s="183">
        <f>IF(I252="Buy",G252,IF(I252="Sell",-G252,""))</f>
        <v/>
      </c>
      <c r="K252" s="183">
        <f>IF(AND(ISNUMBER(J252),ISNUMBER(L252),N(J252)&lt;&gt;0),ROUND(L252/J252,8),"")</f>
        <v/>
      </c>
      <c r="L252" s="183">
        <f>IF(I252="Buy",-H252,IF(I252="Sell",H252,""))</f>
        <v/>
      </c>
    </row>
    <row r="253" ht="22" customHeight="1">
      <c r="B253" s="315" t="n"/>
      <c r="C253" s="240">
        <f>IF($B253="","",IF(COUNTIFS(Пул!$E$5:$E$300,$B253,Пул!$F$5:$F$300,"&lt;&gt;")=0,"",ROUND(SUMIFS(Пул!$F$5:$F$300,Пул!$E$5:$E$300,$B253),8)))</f>
        <v/>
      </c>
      <c r="D253" s="241">
        <f>IF($B253="","",IF(COUNTIFS(Пул!$E$5:$E$300,$B253,Пул!$G$5:$G$300,"&lt;&gt;")=0,"",ROUND(SUMIFS(Пул!$G$5:$G$300,Пул!$E$5:$E$300,$B253),8)))</f>
        <v/>
      </c>
      <c r="E253" s="240">
        <f>IF($B253="","",IF(COUNTIFS(Пул!$E$5:$E$300,$B253,Пул!$L$5:$L$300,"Закрыт")=0,"",ROUND(SUMIFS(Пул!$H$5:$H$300,Пул!$E$5:$E$300,$B253,Пул!$L$5:$L$300,"Закрыт"),8)))</f>
        <v/>
      </c>
      <c r="F253" s="241">
        <f>IF($B253="","",IF(COUNTIFS(Пул!$E$5:$E$300,$B253,Пул!$L$5:$L$300,"Закрыт")=0,"",ROUND(SUMIFS(Пул!$I$5:$I$300,Пул!$E$5:$E$300,$B253,Пул!$L$5:$L$300,"Закрыт"),8)))</f>
        <v/>
      </c>
      <c r="G253" s="240">
        <f>IF($B253="","",IF(COUNTIFS(Пул!$E$5:$E$300,$B253,Пул!$L$5:$L$300,"Закрыт")=0,"",ROUND(SUMIFS(Пул!$J$5:$J$300,Пул!$E$5:$E$300,$B253,Пул!$L$5:$L$300,"Закрыт"),8)))</f>
        <v/>
      </c>
      <c r="H253" s="241">
        <f>IF($B253="","",IF(COUNTIFS(Пул!$E$5:$E$300,$B253,Пул!$L$5:$L$300,"Закрыт")=0,"",ROUND(SUMIFS(Пул!$K$5:$K$300,Пул!$E$5:$E$300,$B253,Пул!$L$5:$L$300,"Закрыт"),8)))</f>
        <v/>
      </c>
      <c r="I253" s="236">
        <f>IF(AND(ISNUMBER(G253),ISNUMBER(H253)),IF(AND(G253&gt;0,H253&lt;0),"Buy",IF(AND(G253&lt;0,H253&gt;0),"Sell","")),"")</f>
        <v/>
      </c>
      <c r="J253" s="177">
        <f>IF(I253="Buy",G253,IF(I253="Sell",-G253,""))</f>
        <v/>
      </c>
      <c r="K253" s="177">
        <f>IF(AND(ISNUMBER(J253),ISNUMBER(L253),N(J253)&lt;&gt;0),ROUND(L253/J253,8),"")</f>
        <v/>
      </c>
      <c r="L253" s="177">
        <f>IF(I253="Buy",-H253,IF(I253="Sell",H253,""))</f>
        <v/>
      </c>
    </row>
    <row r="254" ht="22" customHeight="1">
      <c r="B254" s="320" t="n"/>
      <c r="C254" s="246">
        <f>IF($B254="","",IF(COUNTIFS(Пул!$E$5:$E$300,$B254,Пул!$F$5:$F$300,"&lt;&gt;")=0,"",ROUND(SUMIFS(Пул!$F$5:$F$300,Пул!$E$5:$E$300,$B254),8)))</f>
        <v/>
      </c>
      <c r="D254" s="247">
        <f>IF($B254="","",IF(COUNTIFS(Пул!$E$5:$E$300,$B254,Пул!$G$5:$G$300,"&lt;&gt;")=0,"",ROUND(SUMIFS(Пул!$G$5:$G$300,Пул!$E$5:$E$300,$B254),8)))</f>
        <v/>
      </c>
      <c r="E254" s="246">
        <f>IF($B254="","",IF(COUNTIFS(Пул!$E$5:$E$300,$B254,Пул!$L$5:$L$300,"Закрыт")=0,"",ROUND(SUMIFS(Пул!$H$5:$H$300,Пул!$E$5:$E$300,$B254,Пул!$L$5:$L$300,"Закрыт"),8)))</f>
        <v/>
      </c>
      <c r="F254" s="247">
        <f>IF($B254="","",IF(COUNTIFS(Пул!$E$5:$E$300,$B254,Пул!$L$5:$L$300,"Закрыт")=0,"",ROUND(SUMIFS(Пул!$I$5:$I$300,Пул!$E$5:$E$300,$B254,Пул!$L$5:$L$300,"Закрыт"),8)))</f>
        <v/>
      </c>
      <c r="G254" s="246">
        <f>IF($B254="","",IF(COUNTIFS(Пул!$E$5:$E$300,$B254,Пул!$L$5:$L$300,"Закрыт")=0,"",ROUND(SUMIFS(Пул!$J$5:$J$300,Пул!$E$5:$E$300,$B254,Пул!$L$5:$L$300,"Закрыт"),8)))</f>
        <v/>
      </c>
      <c r="H254" s="247">
        <f>IF($B254="","",IF(COUNTIFS(Пул!$E$5:$E$300,$B254,Пул!$L$5:$L$300,"Закрыт")=0,"",ROUND(SUMIFS(Пул!$K$5:$K$300,Пул!$E$5:$E$300,$B254,Пул!$L$5:$L$300,"Закрыт"),8)))</f>
        <v/>
      </c>
      <c r="I254" s="242">
        <f>IF(AND(ISNUMBER(G254),ISNUMBER(H254)),IF(AND(G254&gt;0,H254&lt;0),"Buy",IF(AND(G254&lt;0,H254&gt;0),"Sell","")),"")</f>
        <v/>
      </c>
      <c r="J254" s="183">
        <f>IF(I254="Buy",G254,IF(I254="Sell",-G254,""))</f>
        <v/>
      </c>
      <c r="K254" s="183">
        <f>IF(AND(ISNUMBER(J254),ISNUMBER(L254),N(J254)&lt;&gt;0),ROUND(L254/J254,8),"")</f>
        <v/>
      </c>
      <c r="L254" s="183">
        <f>IF(I254="Buy",-H254,IF(I254="Sell",H254,""))</f>
        <v/>
      </c>
    </row>
    <row r="255" ht="22" customHeight="1">
      <c r="B255" s="315" t="n"/>
      <c r="C255" s="240">
        <f>IF($B255="","",IF(COUNTIFS(Пул!$E$5:$E$300,$B255,Пул!$F$5:$F$300,"&lt;&gt;")=0,"",ROUND(SUMIFS(Пул!$F$5:$F$300,Пул!$E$5:$E$300,$B255),8)))</f>
        <v/>
      </c>
      <c r="D255" s="241">
        <f>IF($B255="","",IF(COUNTIFS(Пул!$E$5:$E$300,$B255,Пул!$G$5:$G$300,"&lt;&gt;")=0,"",ROUND(SUMIFS(Пул!$G$5:$G$300,Пул!$E$5:$E$300,$B255),8)))</f>
        <v/>
      </c>
      <c r="E255" s="240">
        <f>IF($B255="","",IF(COUNTIFS(Пул!$E$5:$E$300,$B255,Пул!$L$5:$L$300,"Закрыт")=0,"",ROUND(SUMIFS(Пул!$H$5:$H$300,Пул!$E$5:$E$300,$B255,Пул!$L$5:$L$300,"Закрыт"),8)))</f>
        <v/>
      </c>
      <c r="F255" s="241">
        <f>IF($B255="","",IF(COUNTIFS(Пул!$E$5:$E$300,$B255,Пул!$L$5:$L$300,"Закрыт")=0,"",ROUND(SUMIFS(Пул!$I$5:$I$300,Пул!$E$5:$E$300,$B255,Пул!$L$5:$L$300,"Закрыт"),8)))</f>
        <v/>
      </c>
      <c r="G255" s="240">
        <f>IF($B255="","",IF(COUNTIFS(Пул!$E$5:$E$300,$B255,Пул!$L$5:$L$300,"Закрыт")=0,"",ROUND(SUMIFS(Пул!$J$5:$J$300,Пул!$E$5:$E$300,$B255,Пул!$L$5:$L$300,"Закрыт"),8)))</f>
        <v/>
      </c>
      <c r="H255" s="241">
        <f>IF($B255="","",IF(COUNTIFS(Пул!$E$5:$E$300,$B255,Пул!$L$5:$L$300,"Закрыт")=0,"",ROUND(SUMIFS(Пул!$K$5:$K$300,Пул!$E$5:$E$300,$B255,Пул!$L$5:$L$300,"Закрыт"),8)))</f>
        <v/>
      </c>
      <c r="I255" s="236">
        <f>IF(AND(ISNUMBER(G255),ISNUMBER(H255)),IF(AND(G255&gt;0,H255&lt;0),"Buy",IF(AND(G255&lt;0,H255&gt;0),"Sell","")),"")</f>
        <v/>
      </c>
      <c r="J255" s="177">
        <f>IF(I255="Buy",G255,IF(I255="Sell",-G255,""))</f>
        <v/>
      </c>
      <c r="K255" s="177">
        <f>IF(AND(ISNUMBER(J255),ISNUMBER(L255),N(J255)&lt;&gt;0),ROUND(L255/J255,8),"")</f>
        <v/>
      </c>
      <c r="L255" s="177">
        <f>IF(I255="Buy",-H255,IF(I255="Sell",H255,""))</f>
        <v/>
      </c>
    </row>
    <row r="256" ht="22" customHeight="1">
      <c r="B256" s="320" t="n"/>
      <c r="C256" s="246">
        <f>IF($B256="","",IF(COUNTIFS(Пул!$E$5:$E$300,$B256,Пул!$F$5:$F$300,"&lt;&gt;")=0,"",ROUND(SUMIFS(Пул!$F$5:$F$300,Пул!$E$5:$E$300,$B256),8)))</f>
        <v/>
      </c>
      <c r="D256" s="247">
        <f>IF($B256="","",IF(COUNTIFS(Пул!$E$5:$E$300,$B256,Пул!$G$5:$G$300,"&lt;&gt;")=0,"",ROUND(SUMIFS(Пул!$G$5:$G$300,Пул!$E$5:$E$300,$B256),8)))</f>
        <v/>
      </c>
      <c r="E256" s="246">
        <f>IF($B256="","",IF(COUNTIFS(Пул!$E$5:$E$300,$B256,Пул!$L$5:$L$300,"Закрыт")=0,"",ROUND(SUMIFS(Пул!$H$5:$H$300,Пул!$E$5:$E$300,$B256,Пул!$L$5:$L$300,"Закрыт"),8)))</f>
        <v/>
      </c>
      <c r="F256" s="247">
        <f>IF($B256="","",IF(COUNTIFS(Пул!$E$5:$E$300,$B256,Пул!$L$5:$L$300,"Закрыт")=0,"",ROUND(SUMIFS(Пул!$I$5:$I$300,Пул!$E$5:$E$300,$B256,Пул!$L$5:$L$300,"Закрыт"),8)))</f>
        <v/>
      </c>
      <c r="G256" s="246">
        <f>IF($B256="","",IF(COUNTIFS(Пул!$E$5:$E$300,$B256,Пул!$L$5:$L$300,"Закрыт")=0,"",ROUND(SUMIFS(Пул!$J$5:$J$300,Пул!$E$5:$E$300,$B256,Пул!$L$5:$L$300,"Закрыт"),8)))</f>
        <v/>
      </c>
      <c r="H256" s="247">
        <f>IF($B256="","",IF(COUNTIFS(Пул!$E$5:$E$300,$B256,Пул!$L$5:$L$300,"Закрыт")=0,"",ROUND(SUMIFS(Пул!$K$5:$K$300,Пул!$E$5:$E$300,$B256,Пул!$L$5:$L$300,"Закрыт"),8)))</f>
        <v/>
      </c>
      <c r="I256" s="242">
        <f>IF(AND(ISNUMBER(G256),ISNUMBER(H256)),IF(AND(G256&gt;0,H256&lt;0),"Buy",IF(AND(G256&lt;0,H256&gt;0),"Sell","")),"")</f>
        <v/>
      </c>
      <c r="J256" s="183">
        <f>IF(I256="Buy",G256,IF(I256="Sell",-G256,""))</f>
        <v/>
      </c>
      <c r="K256" s="183">
        <f>IF(AND(ISNUMBER(J256),ISNUMBER(L256),N(J256)&lt;&gt;0),ROUND(L256/J256,8),"")</f>
        <v/>
      </c>
      <c r="L256" s="183">
        <f>IF(I256="Buy",-H256,IF(I256="Sell",H256,""))</f>
        <v/>
      </c>
    </row>
    <row r="257" ht="22" customHeight="1">
      <c r="B257" s="315" t="n"/>
      <c r="C257" s="240">
        <f>IF($B257="","",IF(COUNTIFS(Пул!$E$5:$E$300,$B257,Пул!$F$5:$F$300,"&lt;&gt;")=0,"",ROUND(SUMIFS(Пул!$F$5:$F$300,Пул!$E$5:$E$300,$B257),8)))</f>
        <v/>
      </c>
      <c r="D257" s="241">
        <f>IF($B257="","",IF(COUNTIFS(Пул!$E$5:$E$300,$B257,Пул!$G$5:$G$300,"&lt;&gt;")=0,"",ROUND(SUMIFS(Пул!$G$5:$G$300,Пул!$E$5:$E$300,$B257),8)))</f>
        <v/>
      </c>
      <c r="E257" s="240">
        <f>IF($B257="","",IF(COUNTIFS(Пул!$E$5:$E$300,$B257,Пул!$L$5:$L$300,"Закрыт")=0,"",ROUND(SUMIFS(Пул!$H$5:$H$300,Пул!$E$5:$E$300,$B257,Пул!$L$5:$L$300,"Закрыт"),8)))</f>
        <v/>
      </c>
      <c r="F257" s="241">
        <f>IF($B257="","",IF(COUNTIFS(Пул!$E$5:$E$300,$B257,Пул!$L$5:$L$300,"Закрыт")=0,"",ROUND(SUMIFS(Пул!$I$5:$I$300,Пул!$E$5:$E$300,$B257,Пул!$L$5:$L$300,"Закрыт"),8)))</f>
        <v/>
      </c>
      <c r="G257" s="240">
        <f>IF($B257="","",IF(COUNTIFS(Пул!$E$5:$E$300,$B257,Пул!$L$5:$L$300,"Закрыт")=0,"",ROUND(SUMIFS(Пул!$J$5:$J$300,Пул!$E$5:$E$300,$B257,Пул!$L$5:$L$300,"Закрыт"),8)))</f>
        <v/>
      </c>
      <c r="H257" s="241">
        <f>IF($B257="","",IF(COUNTIFS(Пул!$E$5:$E$300,$B257,Пул!$L$5:$L$300,"Закрыт")=0,"",ROUND(SUMIFS(Пул!$K$5:$K$300,Пул!$E$5:$E$300,$B257,Пул!$L$5:$L$300,"Закрыт"),8)))</f>
        <v/>
      </c>
      <c r="I257" s="236">
        <f>IF(AND(ISNUMBER(G257),ISNUMBER(H257)),IF(AND(G257&gt;0,H257&lt;0),"Buy",IF(AND(G257&lt;0,H257&gt;0),"Sell","")),"")</f>
        <v/>
      </c>
      <c r="J257" s="177">
        <f>IF(I257="Buy",G257,IF(I257="Sell",-G257,""))</f>
        <v/>
      </c>
      <c r="K257" s="177">
        <f>IF(AND(ISNUMBER(J257),ISNUMBER(L257),N(J257)&lt;&gt;0),ROUND(L257/J257,8),"")</f>
        <v/>
      </c>
      <c r="L257" s="177">
        <f>IF(I257="Buy",-H257,IF(I257="Sell",H257,""))</f>
        <v/>
      </c>
    </row>
    <row r="258" ht="22" customHeight="1">
      <c r="B258" s="320" t="n"/>
      <c r="C258" s="246">
        <f>IF($B258="","",IF(COUNTIFS(Пул!$E$5:$E$300,$B258,Пул!$F$5:$F$300,"&lt;&gt;")=0,"",ROUND(SUMIFS(Пул!$F$5:$F$300,Пул!$E$5:$E$300,$B258),8)))</f>
        <v/>
      </c>
      <c r="D258" s="247">
        <f>IF($B258="","",IF(COUNTIFS(Пул!$E$5:$E$300,$B258,Пул!$G$5:$G$300,"&lt;&gt;")=0,"",ROUND(SUMIFS(Пул!$G$5:$G$300,Пул!$E$5:$E$300,$B258),8)))</f>
        <v/>
      </c>
      <c r="E258" s="246">
        <f>IF($B258="","",IF(COUNTIFS(Пул!$E$5:$E$300,$B258,Пул!$L$5:$L$300,"Закрыт")=0,"",ROUND(SUMIFS(Пул!$H$5:$H$300,Пул!$E$5:$E$300,$B258,Пул!$L$5:$L$300,"Закрыт"),8)))</f>
        <v/>
      </c>
      <c r="F258" s="247">
        <f>IF($B258="","",IF(COUNTIFS(Пул!$E$5:$E$300,$B258,Пул!$L$5:$L$300,"Закрыт")=0,"",ROUND(SUMIFS(Пул!$I$5:$I$300,Пул!$E$5:$E$300,$B258,Пул!$L$5:$L$300,"Закрыт"),8)))</f>
        <v/>
      </c>
      <c r="G258" s="246">
        <f>IF($B258="","",IF(COUNTIFS(Пул!$E$5:$E$300,$B258,Пул!$L$5:$L$300,"Закрыт")=0,"",ROUND(SUMIFS(Пул!$J$5:$J$300,Пул!$E$5:$E$300,$B258,Пул!$L$5:$L$300,"Закрыт"),8)))</f>
        <v/>
      </c>
      <c r="H258" s="247">
        <f>IF($B258="","",IF(COUNTIFS(Пул!$E$5:$E$300,$B258,Пул!$L$5:$L$300,"Закрыт")=0,"",ROUND(SUMIFS(Пул!$K$5:$K$300,Пул!$E$5:$E$300,$B258,Пул!$L$5:$L$300,"Закрыт"),8)))</f>
        <v/>
      </c>
      <c r="I258" s="242">
        <f>IF(AND(ISNUMBER(G258),ISNUMBER(H258)),IF(AND(G258&gt;0,H258&lt;0),"Buy",IF(AND(G258&lt;0,H258&gt;0),"Sell","")),"")</f>
        <v/>
      </c>
      <c r="J258" s="183">
        <f>IF(I258="Buy",G258,IF(I258="Sell",-G258,""))</f>
        <v/>
      </c>
      <c r="K258" s="183">
        <f>IF(AND(ISNUMBER(J258),ISNUMBER(L258),N(J258)&lt;&gt;0),ROUND(L258/J258,8),"")</f>
        <v/>
      </c>
      <c r="L258" s="183">
        <f>IF(I258="Buy",-H258,IF(I258="Sell",H258,""))</f>
        <v/>
      </c>
    </row>
    <row r="259" ht="22" customHeight="1">
      <c r="B259" s="315" t="n"/>
      <c r="C259" s="240">
        <f>IF($B259="","",IF(COUNTIFS(Пул!$E$5:$E$300,$B259,Пул!$F$5:$F$300,"&lt;&gt;")=0,"",ROUND(SUMIFS(Пул!$F$5:$F$300,Пул!$E$5:$E$300,$B259),8)))</f>
        <v/>
      </c>
      <c r="D259" s="241">
        <f>IF($B259="","",IF(COUNTIFS(Пул!$E$5:$E$300,$B259,Пул!$G$5:$G$300,"&lt;&gt;")=0,"",ROUND(SUMIFS(Пул!$G$5:$G$300,Пул!$E$5:$E$300,$B259),8)))</f>
        <v/>
      </c>
      <c r="E259" s="240">
        <f>IF($B259="","",IF(COUNTIFS(Пул!$E$5:$E$300,$B259,Пул!$L$5:$L$300,"Закрыт")=0,"",ROUND(SUMIFS(Пул!$H$5:$H$300,Пул!$E$5:$E$300,$B259,Пул!$L$5:$L$300,"Закрыт"),8)))</f>
        <v/>
      </c>
      <c r="F259" s="241">
        <f>IF($B259="","",IF(COUNTIFS(Пул!$E$5:$E$300,$B259,Пул!$L$5:$L$300,"Закрыт")=0,"",ROUND(SUMIFS(Пул!$I$5:$I$300,Пул!$E$5:$E$300,$B259,Пул!$L$5:$L$300,"Закрыт"),8)))</f>
        <v/>
      </c>
      <c r="G259" s="240">
        <f>IF($B259="","",IF(COUNTIFS(Пул!$E$5:$E$300,$B259,Пул!$L$5:$L$300,"Закрыт")=0,"",ROUND(SUMIFS(Пул!$J$5:$J$300,Пул!$E$5:$E$300,$B259,Пул!$L$5:$L$300,"Закрыт"),8)))</f>
        <v/>
      </c>
      <c r="H259" s="241">
        <f>IF($B259="","",IF(COUNTIFS(Пул!$E$5:$E$300,$B259,Пул!$L$5:$L$300,"Закрыт")=0,"",ROUND(SUMIFS(Пул!$K$5:$K$300,Пул!$E$5:$E$300,$B259,Пул!$L$5:$L$300,"Закрыт"),8)))</f>
        <v/>
      </c>
      <c r="I259" s="236">
        <f>IF(AND(ISNUMBER(G259),ISNUMBER(H259)),IF(AND(G259&gt;0,H259&lt;0),"Buy",IF(AND(G259&lt;0,H259&gt;0),"Sell","")),"")</f>
        <v/>
      </c>
      <c r="J259" s="177">
        <f>IF(I259="Buy",G259,IF(I259="Sell",-G259,""))</f>
        <v/>
      </c>
      <c r="K259" s="177">
        <f>IF(AND(ISNUMBER(J259),ISNUMBER(L259),N(J259)&lt;&gt;0),ROUND(L259/J259,8),"")</f>
        <v/>
      </c>
      <c r="L259" s="177">
        <f>IF(I259="Buy",-H259,IF(I259="Sell",H259,""))</f>
        <v/>
      </c>
    </row>
    <row r="260" ht="22" customHeight="1">
      <c r="B260" s="320" t="n"/>
      <c r="C260" s="246">
        <f>IF($B260="","",IF(COUNTIFS(Пул!$E$5:$E$300,$B260,Пул!$F$5:$F$300,"&lt;&gt;")=0,"",ROUND(SUMIFS(Пул!$F$5:$F$300,Пул!$E$5:$E$300,$B260),8)))</f>
        <v/>
      </c>
      <c r="D260" s="247">
        <f>IF($B260="","",IF(COUNTIFS(Пул!$E$5:$E$300,$B260,Пул!$G$5:$G$300,"&lt;&gt;")=0,"",ROUND(SUMIFS(Пул!$G$5:$G$300,Пул!$E$5:$E$300,$B260),8)))</f>
        <v/>
      </c>
      <c r="E260" s="246">
        <f>IF($B260="","",IF(COUNTIFS(Пул!$E$5:$E$300,$B260,Пул!$L$5:$L$300,"Закрыт")=0,"",ROUND(SUMIFS(Пул!$H$5:$H$300,Пул!$E$5:$E$300,$B260,Пул!$L$5:$L$300,"Закрыт"),8)))</f>
        <v/>
      </c>
      <c r="F260" s="247">
        <f>IF($B260="","",IF(COUNTIFS(Пул!$E$5:$E$300,$B260,Пул!$L$5:$L$300,"Закрыт")=0,"",ROUND(SUMIFS(Пул!$I$5:$I$300,Пул!$E$5:$E$300,$B260,Пул!$L$5:$L$300,"Закрыт"),8)))</f>
        <v/>
      </c>
      <c r="G260" s="246">
        <f>IF($B260="","",IF(COUNTIFS(Пул!$E$5:$E$300,$B260,Пул!$L$5:$L$300,"Закрыт")=0,"",ROUND(SUMIFS(Пул!$J$5:$J$300,Пул!$E$5:$E$300,$B260,Пул!$L$5:$L$300,"Закрыт"),8)))</f>
        <v/>
      </c>
      <c r="H260" s="247">
        <f>IF($B260="","",IF(COUNTIFS(Пул!$E$5:$E$300,$B260,Пул!$L$5:$L$300,"Закрыт")=0,"",ROUND(SUMIFS(Пул!$K$5:$K$300,Пул!$E$5:$E$300,$B260,Пул!$L$5:$L$300,"Закрыт"),8)))</f>
        <v/>
      </c>
      <c r="I260" s="242">
        <f>IF(AND(ISNUMBER(G260),ISNUMBER(H260)),IF(AND(G260&gt;0,H260&lt;0),"Buy",IF(AND(G260&lt;0,H260&gt;0),"Sell","")),"")</f>
        <v/>
      </c>
      <c r="J260" s="183">
        <f>IF(I260="Buy",G260,IF(I260="Sell",-G260,""))</f>
        <v/>
      </c>
      <c r="K260" s="183">
        <f>IF(AND(ISNUMBER(J260),ISNUMBER(L260),N(J260)&lt;&gt;0),ROUND(L260/J260,8),"")</f>
        <v/>
      </c>
      <c r="L260" s="183">
        <f>IF(I260="Buy",-H260,IF(I260="Sell",H260,""))</f>
        <v/>
      </c>
    </row>
    <row r="261" ht="22" customHeight="1">
      <c r="B261" s="315" t="n"/>
      <c r="C261" s="240">
        <f>IF($B261="","",IF(COUNTIFS(Пул!$E$5:$E$300,$B261,Пул!$F$5:$F$300,"&lt;&gt;")=0,"",ROUND(SUMIFS(Пул!$F$5:$F$300,Пул!$E$5:$E$300,$B261),8)))</f>
        <v/>
      </c>
      <c r="D261" s="241">
        <f>IF($B261="","",IF(COUNTIFS(Пул!$E$5:$E$300,$B261,Пул!$G$5:$G$300,"&lt;&gt;")=0,"",ROUND(SUMIFS(Пул!$G$5:$G$300,Пул!$E$5:$E$300,$B261),8)))</f>
        <v/>
      </c>
      <c r="E261" s="240">
        <f>IF($B261="","",IF(COUNTIFS(Пул!$E$5:$E$300,$B261,Пул!$L$5:$L$300,"Закрыт")=0,"",ROUND(SUMIFS(Пул!$H$5:$H$300,Пул!$E$5:$E$300,$B261,Пул!$L$5:$L$300,"Закрыт"),8)))</f>
        <v/>
      </c>
      <c r="F261" s="241">
        <f>IF($B261="","",IF(COUNTIFS(Пул!$E$5:$E$300,$B261,Пул!$L$5:$L$300,"Закрыт")=0,"",ROUND(SUMIFS(Пул!$I$5:$I$300,Пул!$E$5:$E$300,$B261,Пул!$L$5:$L$300,"Закрыт"),8)))</f>
        <v/>
      </c>
      <c r="G261" s="240">
        <f>IF($B261="","",IF(COUNTIFS(Пул!$E$5:$E$300,$B261,Пул!$L$5:$L$300,"Закрыт")=0,"",ROUND(SUMIFS(Пул!$J$5:$J$300,Пул!$E$5:$E$300,$B261,Пул!$L$5:$L$300,"Закрыт"),8)))</f>
        <v/>
      </c>
      <c r="H261" s="241">
        <f>IF($B261="","",IF(COUNTIFS(Пул!$E$5:$E$300,$B261,Пул!$L$5:$L$300,"Закрыт")=0,"",ROUND(SUMIFS(Пул!$K$5:$K$300,Пул!$E$5:$E$300,$B261,Пул!$L$5:$L$300,"Закрыт"),8)))</f>
        <v/>
      </c>
      <c r="I261" s="236">
        <f>IF(AND(ISNUMBER(G261),ISNUMBER(H261)),IF(AND(G261&gt;0,H261&lt;0),"Buy",IF(AND(G261&lt;0,H261&gt;0),"Sell","")),"")</f>
        <v/>
      </c>
      <c r="J261" s="177">
        <f>IF(I261="Buy",G261,IF(I261="Sell",-G261,""))</f>
        <v/>
      </c>
      <c r="K261" s="177">
        <f>IF(AND(ISNUMBER(J261),ISNUMBER(L261),N(J261)&lt;&gt;0),ROUND(L261/J261,8),"")</f>
        <v/>
      </c>
      <c r="L261" s="177">
        <f>IF(I261="Buy",-H261,IF(I261="Sell",H261,""))</f>
        <v/>
      </c>
    </row>
    <row r="262" ht="22" customHeight="1">
      <c r="B262" s="320" t="n"/>
      <c r="C262" s="246">
        <f>IF($B262="","",IF(COUNTIFS(Пул!$E$5:$E$300,$B262,Пул!$F$5:$F$300,"&lt;&gt;")=0,"",ROUND(SUMIFS(Пул!$F$5:$F$300,Пул!$E$5:$E$300,$B262),8)))</f>
        <v/>
      </c>
      <c r="D262" s="247">
        <f>IF($B262="","",IF(COUNTIFS(Пул!$E$5:$E$300,$B262,Пул!$G$5:$G$300,"&lt;&gt;")=0,"",ROUND(SUMIFS(Пул!$G$5:$G$300,Пул!$E$5:$E$300,$B262),8)))</f>
        <v/>
      </c>
      <c r="E262" s="246">
        <f>IF($B262="","",IF(COUNTIFS(Пул!$E$5:$E$300,$B262,Пул!$L$5:$L$300,"Закрыт")=0,"",ROUND(SUMIFS(Пул!$H$5:$H$300,Пул!$E$5:$E$300,$B262,Пул!$L$5:$L$300,"Закрыт"),8)))</f>
        <v/>
      </c>
      <c r="F262" s="247">
        <f>IF($B262="","",IF(COUNTIFS(Пул!$E$5:$E$300,$B262,Пул!$L$5:$L$300,"Закрыт")=0,"",ROUND(SUMIFS(Пул!$I$5:$I$300,Пул!$E$5:$E$300,$B262,Пул!$L$5:$L$300,"Закрыт"),8)))</f>
        <v/>
      </c>
      <c r="G262" s="246">
        <f>IF($B262="","",IF(COUNTIFS(Пул!$E$5:$E$300,$B262,Пул!$L$5:$L$300,"Закрыт")=0,"",ROUND(SUMIFS(Пул!$J$5:$J$300,Пул!$E$5:$E$300,$B262,Пул!$L$5:$L$300,"Закрыт"),8)))</f>
        <v/>
      </c>
      <c r="H262" s="247">
        <f>IF($B262="","",IF(COUNTIFS(Пул!$E$5:$E$300,$B262,Пул!$L$5:$L$300,"Закрыт")=0,"",ROUND(SUMIFS(Пул!$K$5:$K$300,Пул!$E$5:$E$300,$B262,Пул!$L$5:$L$300,"Закрыт"),8)))</f>
        <v/>
      </c>
      <c r="I262" s="242">
        <f>IF(AND(ISNUMBER(G262),ISNUMBER(H262)),IF(AND(G262&gt;0,H262&lt;0),"Buy",IF(AND(G262&lt;0,H262&gt;0),"Sell","")),"")</f>
        <v/>
      </c>
      <c r="J262" s="183">
        <f>IF(I262="Buy",G262,IF(I262="Sell",-G262,""))</f>
        <v/>
      </c>
      <c r="K262" s="183">
        <f>IF(AND(ISNUMBER(J262),ISNUMBER(L262),N(J262)&lt;&gt;0),ROUND(L262/J262,8),"")</f>
        <v/>
      </c>
      <c r="L262" s="183">
        <f>IF(I262="Buy",-H262,IF(I262="Sell",H262,""))</f>
        <v/>
      </c>
    </row>
    <row r="263" ht="22" customHeight="1">
      <c r="B263" s="315" t="n"/>
      <c r="C263" s="240">
        <f>IF($B263="","",IF(COUNTIFS(Пул!$E$5:$E$300,$B263,Пул!$F$5:$F$300,"&lt;&gt;")=0,"",ROUND(SUMIFS(Пул!$F$5:$F$300,Пул!$E$5:$E$300,$B263),8)))</f>
        <v/>
      </c>
      <c r="D263" s="241">
        <f>IF($B263="","",IF(COUNTIFS(Пул!$E$5:$E$300,$B263,Пул!$G$5:$G$300,"&lt;&gt;")=0,"",ROUND(SUMIFS(Пул!$G$5:$G$300,Пул!$E$5:$E$300,$B263),8)))</f>
        <v/>
      </c>
      <c r="E263" s="240">
        <f>IF($B263="","",IF(COUNTIFS(Пул!$E$5:$E$300,$B263,Пул!$L$5:$L$300,"Закрыт")=0,"",ROUND(SUMIFS(Пул!$H$5:$H$300,Пул!$E$5:$E$300,$B263,Пул!$L$5:$L$300,"Закрыт"),8)))</f>
        <v/>
      </c>
      <c r="F263" s="241">
        <f>IF($B263="","",IF(COUNTIFS(Пул!$E$5:$E$300,$B263,Пул!$L$5:$L$300,"Закрыт")=0,"",ROUND(SUMIFS(Пул!$I$5:$I$300,Пул!$E$5:$E$300,$B263,Пул!$L$5:$L$300,"Закрыт"),8)))</f>
        <v/>
      </c>
      <c r="G263" s="240">
        <f>IF($B263="","",IF(COUNTIFS(Пул!$E$5:$E$300,$B263,Пул!$L$5:$L$300,"Закрыт")=0,"",ROUND(SUMIFS(Пул!$J$5:$J$300,Пул!$E$5:$E$300,$B263,Пул!$L$5:$L$300,"Закрыт"),8)))</f>
        <v/>
      </c>
      <c r="H263" s="241">
        <f>IF($B263="","",IF(COUNTIFS(Пул!$E$5:$E$300,$B263,Пул!$L$5:$L$300,"Закрыт")=0,"",ROUND(SUMIFS(Пул!$K$5:$K$300,Пул!$E$5:$E$300,$B263,Пул!$L$5:$L$300,"Закрыт"),8)))</f>
        <v/>
      </c>
      <c r="I263" s="236">
        <f>IF(AND(ISNUMBER(G263),ISNUMBER(H263)),IF(AND(G263&gt;0,H263&lt;0),"Buy",IF(AND(G263&lt;0,H263&gt;0),"Sell","")),"")</f>
        <v/>
      </c>
      <c r="J263" s="177">
        <f>IF(I263="Buy",G263,IF(I263="Sell",-G263,""))</f>
        <v/>
      </c>
      <c r="K263" s="177">
        <f>IF(AND(ISNUMBER(J263),ISNUMBER(L263),N(J263)&lt;&gt;0),ROUND(L263/J263,8),"")</f>
        <v/>
      </c>
      <c r="L263" s="177">
        <f>IF(I263="Buy",-H263,IF(I263="Sell",H263,""))</f>
        <v/>
      </c>
    </row>
    <row r="264" ht="22" customHeight="1">
      <c r="B264" s="320" t="n"/>
      <c r="C264" s="246">
        <f>IF($B264="","",IF(COUNTIFS(Пул!$E$5:$E$300,$B264,Пул!$F$5:$F$300,"&lt;&gt;")=0,"",ROUND(SUMIFS(Пул!$F$5:$F$300,Пул!$E$5:$E$300,$B264),8)))</f>
        <v/>
      </c>
      <c r="D264" s="247">
        <f>IF($B264="","",IF(COUNTIFS(Пул!$E$5:$E$300,$B264,Пул!$G$5:$G$300,"&lt;&gt;")=0,"",ROUND(SUMIFS(Пул!$G$5:$G$300,Пул!$E$5:$E$300,$B264),8)))</f>
        <v/>
      </c>
      <c r="E264" s="246">
        <f>IF($B264="","",IF(COUNTIFS(Пул!$E$5:$E$300,$B264,Пул!$L$5:$L$300,"Закрыт")=0,"",ROUND(SUMIFS(Пул!$H$5:$H$300,Пул!$E$5:$E$300,$B264,Пул!$L$5:$L$300,"Закрыт"),8)))</f>
        <v/>
      </c>
      <c r="F264" s="247">
        <f>IF($B264="","",IF(COUNTIFS(Пул!$E$5:$E$300,$B264,Пул!$L$5:$L$300,"Закрыт")=0,"",ROUND(SUMIFS(Пул!$I$5:$I$300,Пул!$E$5:$E$300,$B264,Пул!$L$5:$L$300,"Закрыт"),8)))</f>
        <v/>
      </c>
      <c r="G264" s="246">
        <f>IF($B264="","",IF(COUNTIFS(Пул!$E$5:$E$300,$B264,Пул!$L$5:$L$300,"Закрыт")=0,"",ROUND(SUMIFS(Пул!$J$5:$J$300,Пул!$E$5:$E$300,$B264,Пул!$L$5:$L$300,"Закрыт"),8)))</f>
        <v/>
      </c>
      <c r="H264" s="247">
        <f>IF($B264="","",IF(COUNTIFS(Пул!$E$5:$E$300,$B264,Пул!$L$5:$L$300,"Закрыт")=0,"",ROUND(SUMIFS(Пул!$K$5:$K$300,Пул!$E$5:$E$300,$B264,Пул!$L$5:$L$300,"Закрыт"),8)))</f>
        <v/>
      </c>
      <c r="I264" s="242">
        <f>IF(AND(ISNUMBER(G264),ISNUMBER(H264)),IF(AND(G264&gt;0,H264&lt;0),"Buy",IF(AND(G264&lt;0,H264&gt;0),"Sell","")),"")</f>
        <v/>
      </c>
      <c r="J264" s="183">
        <f>IF(I264="Buy",G264,IF(I264="Sell",-G264,""))</f>
        <v/>
      </c>
      <c r="K264" s="183">
        <f>IF(AND(ISNUMBER(J264),ISNUMBER(L264),N(J264)&lt;&gt;0),ROUND(L264/J264,8),"")</f>
        <v/>
      </c>
      <c r="L264" s="183">
        <f>IF(I264="Buy",-H264,IF(I264="Sell",H264,""))</f>
        <v/>
      </c>
    </row>
    <row r="265" ht="22" customHeight="1">
      <c r="B265" s="315" t="n"/>
      <c r="C265" s="240">
        <f>IF($B265="","",IF(COUNTIFS(Пул!$E$5:$E$300,$B265,Пул!$F$5:$F$300,"&lt;&gt;")=0,"",ROUND(SUMIFS(Пул!$F$5:$F$300,Пул!$E$5:$E$300,$B265),8)))</f>
        <v/>
      </c>
      <c r="D265" s="241">
        <f>IF($B265="","",IF(COUNTIFS(Пул!$E$5:$E$300,$B265,Пул!$G$5:$G$300,"&lt;&gt;")=0,"",ROUND(SUMIFS(Пул!$G$5:$G$300,Пул!$E$5:$E$300,$B265),8)))</f>
        <v/>
      </c>
      <c r="E265" s="240">
        <f>IF($B265="","",IF(COUNTIFS(Пул!$E$5:$E$300,$B265,Пул!$L$5:$L$300,"Закрыт")=0,"",ROUND(SUMIFS(Пул!$H$5:$H$300,Пул!$E$5:$E$300,$B265,Пул!$L$5:$L$300,"Закрыт"),8)))</f>
        <v/>
      </c>
      <c r="F265" s="241">
        <f>IF($B265="","",IF(COUNTIFS(Пул!$E$5:$E$300,$B265,Пул!$L$5:$L$300,"Закрыт")=0,"",ROUND(SUMIFS(Пул!$I$5:$I$300,Пул!$E$5:$E$300,$B265,Пул!$L$5:$L$300,"Закрыт"),8)))</f>
        <v/>
      </c>
      <c r="G265" s="240">
        <f>IF($B265="","",IF(COUNTIFS(Пул!$E$5:$E$300,$B265,Пул!$L$5:$L$300,"Закрыт")=0,"",ROUND(SUMIFS(Пул!$J$5:$J$300,Пул!$E$5:$E$300,$B265,Пул!$L$5:$L$300,"Закрыт"),8)))</f>
        <v/>
      </c>
      <c r="H265" s="241">
        <f>IF($B265="","",IF(COUNTIFS(Пул!$E$5:$E$300,$B265,Пул!$L$5:$L$300,"Закрыт")=0,"",ROUND(SUMIFS(Пул!$K$5:$K$300,Пул!$E$5:$E$300,$B265,Пул!$L$5:$L$300,"Закрыт"),8)))</f>
        <v/>
      </c>
      <c r="I265" s="236">
        <f>IF(AND(ISNUMBER(G265),ISNUMBER(H265)),IF(AND(G265&gt;0,H265&lt;0),"Buy",IF(AND(G265&lt;0,H265&gt;0),"Sell","")),"")</f>
        <v/>
      </c>
      <c r="J265" s="177">
        <f>IF(I265="Buy",G265,IF(I265="Sell",-G265,""))</f>
        <v/>
      </c>
      <c r="K265" s="177">
        <f>IF(AND(ISNUMBER(J265),ISNUMBER(L265),N(J265)&lt;&gt;0),ROUND(L265/J265,8),"")</f>
        <v/>
      </c>
      <c r="L265" s="177">
        <f>IF(I265="Buy",-H265,IF(I265="Sell",H265,""))</f>
        <v/>
      </c>
    </row>
    <row r="266" ht="22" customHeight="1">
      <c r="B266" s="320" t="n"/>
      <c r="C266" s="246">
        <f>IF($B266="","",IF(COUNTIFS(Пул!$E$5:$E$300,$B266,Пул!$F$5:$F$300,"&lt;&gt;")=0,"",ROUND(SUMIFS(Пул!$F$5:$F$300,Пул!$E$5:$E$300,$B266),8)))</f>
        <v/>
      </c>
      <c r="D266" s="247">
        <f>IF($B266="","",IF(COUNTIFS(Пул!$E$5:$E$300,$B266,Пул!$G$5:$G$300,"&lt;&gt;")=0,"",ROUND(SUMIFS(Пул!$G$5:$G$300,Пул!$E$5:$E$300,$B266),8)))</f>
        <v/>
      </c>
      <c r="E266" s="246">
        <f>IF($B266="","",IF(COUNTIFS(Пул!$E$5:$E$300,$B266,Пул!$L$5:$L$300,"Закрыт")=0,"",ROUND(SUMIFS(Пул!$H$5:$H$300,Пул!$E$5:$E$300,$B266,Пул!$L$5:$L$300,"Закрыт"),8)))</f>
        <v/>
      </c>
      <c r="F266" s="247">
        <f>IF($B266="","",IF(COUNTIFS(Пул!$E$5:$E$300,$B266,Пул!$L$5:$L$300,"Закрыт")=0,"",ROUND(SUMIFS(Пул!$I$5:$I$300,Пул!$E$5:$E$300,$B266,Пул!$L$5:$L$300,"Закрыт"),8)))</f>
        <v/>
      </c>
      <c r="G266" s="246">
        <f>IF($B266="","",IF(COUNTIFS(Пул!$E$5:$E$300,$B266,Пул!$L$5:$L$300,"Закрыт")=0,"",ROUND(SUMIFS(Пул!$J$5:$J$300,Пул!$E$5:$E$300,$B266,Пул!$L$5:$L$300,"Закрыт"),8)))</f>
        <v/>
      </c>
      <c r="H266" s="247">
        <f>IF($B266="","",IF(COUNTIFS(Пул!$E$5:$E$300,$B266,Пул!$L$5:$L$300,"Закрыт")=0,"",ROUND(SUMIFS(Пул!$K$5:$K$300,Пул!$E$5:$E$300,$B266,Пул!$L$5:$L$300,"Закрыт"),8)))</f>
        <v/>
      </c>
      <c r="I266" s="242">
        <f>IF(AND(ISNUMBER(G266),ISNUMBER(H266)),IF(AND(G266&gt;0,H266&lt;0),"Buy",IF(AND(G266&lt;0,H266&gt;0),"Sell","")),"")</f>
        <v/>
      </c>
      <c r="J266" s="183">
        <f>IF(I266="Buy",G266,IF(I266="Sell",-G266,""))</f>
        <v/>
      </c>
      <c r="K266" s="183">
        <f>IF(AND(ISNUMBER(J266),ISNUMBER(L266),N(J266)&lt;&gt;0),ROUND(L266/J266,8),"")</f>
        <v/>
      </c>
      <c r="L266" s="183">
        <f>IF(I266="Buy",-H266,IF(I266="Sell",H266,""))</f>
        <v/>
      </c>
    </row>
    <row r="267" ht="22" customHeight="1">
      <c r="B267" s="315" t="n"/>
      <c r="C267" s="240">
        <f>IF($B267="","",IF(COUNTIFS(Пул!$E$5:$E$300,$B267,Пул!$F$5:$F$300,"&lt;&gt;")=0,"",ROUND(SUMIFS(Пул!$F$5:$F$300,Пул!$E$5:$E$300,$B267),8)))</f>
        <v/>
      </c>
      <c r="D267" s="241">
        <f>IF($B267="","",IF(COUNTIFS(Пул!$E$5:$E$300,$B267,Пул!$G$5:$G$300,"&lt;&gt;")=0,"",ROUND(SUMIFS(Пул!$G$5:$G$300,Пул!$E$5:$E$300,$B267),8)))</f>
        <v/>
      </c>
      <c r="E267" s="240">
        <f>IF($B267="","",IF(COUNTIFS(Пул!$E$5:$E$300,$B267,Пул!$L$5:$L$300,"Закрыт")=0,"",ROUND(SUMIFS(Пул!$H$5:$H$300,Пул!$E$5:$E$300,$B267,Пул!$L$5:$L$300,"Закрыт"),8)))</f>
        <v/>
      </c>
      <c r="F267" s="241">
        <f>IF($B267="","",IF(COUNTIFS(Пул!$E$5:$E$300,$B267,Пул!$L$5:$L$300,"Закрыт")=0,"",ROUND(SUMIFS(Пул!$I$5:$I$300,Пул!$E$5:$E$300,$B267,Пул!$L$5:$L$300,"Закрыт"),8)))</f>
        <v/>
      </c>
      <c r="G267" s="240">
        <f>IF($B267="","",IF(COUNTIFS(Пул!$E$5:$E$300,$B267,Пул!$L$5:$L$300,"Закрыт")=0,"",ROUND(SUMIFS(Пул!$J$5:$J$300,Пул!$E$5:$E$300,$B267,Пул!$L$5:$L$300,"Закрыт"),8)))</f>
        <v/>
      </c>
      <c r="H267" s="241">
        <f>IF($B267="","",IF(COUNTIFS(Пул!$E$5:$E$300,$B267,Пул!$L$5:$L$300,"Закрыт")=0,"",ROUND(SUMIFS(Пул!$K$5:$K$300,Пул!$E$5:$E$300,$B267,Пул!$L$5:$L$300,"Закрыт"),8)))</f>
        <v/>
      </c>
      <c r="I267" s="236">
        <f>IF(AND(ISNUMBER(G267),ISNUMBER(H267)),IF(AND(G267&gt;0,H267&lt;0),"Buy",IF(AND(G267&lt;0,H267&gt;0),"Sell","")),"")</f>
        <v/>
      </c>
      <c r="J267" s="177">
        <f>IF(I267="Buy",G267,IF(I267="Sell",-G267,""))</f>
        <v/>
      </c>
      <c r="K267" s="177">
        <f>IF(AND(ISNUMBER(J267),ISNUMBER(L267),N(J267)&lt;&gt;0),ROUND(L267/J267,8),"")</f>
        <v/>
      </c>
      <c r="L267" s="177">
        <f>IF(I267="Buy",-H267,IF(I267="Sell",H267,""))</f>
        <v/>
      </c>
    </row>
    <row r="268" ht="22" customHeight="1">
      <c r="B268" s="320" t="n"/>
      <c r="C268" s="246">
        <f>IF($B268="","",IF(COUNTIFS(Пул!$E$5:$E$300,$B268,Пул!$F$5:$F$300,"&lt;&gt;")=0,"",ROUND(SUMIFS(Пул!$F$5:$F$300,Пул!$E$5:$E$300,$B268),8)))</f>
        <v/>
      </c>
      <c r="D268" s="247">
        <f>IF($B268="","",IF(COUNTIFS(Пул!$E$5:$E$300,$B268,Пул!$G$5:$G$300,"&lt;&gt;")=0,"",ROUND(SUMIFS(Пул!$G$5:$G$300,Пул!$E$5:$E$300,$B268),8)))</f>
        <v/>
      </c>
      <c r="E268" s="246">
        <f>IF($B268="","",IF(COUNTIFS(Пул!$E$5:$E$300,$B268,Пул!$L$5:$L$300,"Закрыт")=0,"",ROUND(SUMIFS(Пул!$H$5:$H$300,Пул!$E$5:$E$300,$B268,Пул!$L$5:$L$300,"Закрыт"),8)))</f>
        <v/>
      </c>
      <c r="F268" s="247">
        <f>IF($B268="","",IF(COUNTIFS(Пул!$E$5:$E$300,$B268,Пул!$L$5:$L$300,"Закрыт")=0,"",ROUND(SUMIFS(Пул!$I$5:$I$300,Пул!$E$5:$E$300,$B268,Пул!$L$5:$L$300,"Закрыт"),8)))</f>
        <v/>
      </c>
      <c r="G268" s="246">
        <f>IF($B268="","",IF(COUNTIFS(Пул!$E$5:$E$300,$B268,Пул!$L$5:$L$300,"Закрыт")=0,"",ROUND(SUMIFS(Пул!$J$5:$J$300,Пул!$E$5:$E$300,$B268,Пул!$L$5:$L$300,"Закрыт"),8)))</f>
        <v/>
      </c>
      <c r="H268" s="247">
        <f>IF($B268="","",IF(COUNTIFS(Пул!$E$5:$E$300,$B268,Пул!$L$5:$L$300,"Закрыт")=0,"",ROUND(SUMIFS(Пул!$K$5:$K$300,Пул!$E$5:$E$300,$B268,Пул!$L$5:$L$300,"Закрыт"),8)))</f>
        <v/>
      </c>
      <c r="I268" s="242">
        <f>IF(AND(ISNUMBER(G268),ISNUMBER(H268)),IF(AND(G268&gt;0,H268&lt;0),"Buy",IF(AND(G268&lt;0,H268&gt;0),"Sell","")),"")</f>
        <v/>
      </c>
      <c r="J268" s="183">
        <f>IF(I268="Buy",G268,IF(I268="Sell",-G268,""))</f>
        <v/>
      </c>
      <c r="K268" s="183">
        <f>IF(AND(ISNUMBER(J268),ISNUMBER(L268),N(J268)&lt;&gt;0),ROUND(L268/J268,8),"")</f>
        <v/>
      </c>
      <c r="L268" s="183">
        <f>IF(I268="Buy",-H268,IF(I268="Sell",H268,""))</f>
        <v/>
      </c>
    </row>
    <row r="269" ht="22" customHeight="1">
      <c r="B269" s="315" t="n"/>
      <c r="C269" s="240">
        <f>IF($B269="","",IF(COUNTIFS(Пул!$E$5:$E$300,$B269,Пул!$F$5:$F$300,"&lt;&gt;")=0,"",ROUND(SUMIFS(Пул!$F$5:$F$300,Пул!$E$5:$E$300,$B269),8)))</f>
        <v/>
      </c>
      <c r="D269" s="241">
        <f>IF($B269="","",IF(COUNTIFS(Пул!$E$5:$E$300,$B269,Пул!$G$5:$G$300,"&lt;&gt;")=0,"",ROUND(SUMIFS(Пул!$G$5:$G$300,Пул!$E$5:$E$300,$B269),8)))</f>
        <v/>
      </c>
      <c r="E269" s="240">
        <f>IF($B269="","",IF(COUNTIFS(Пул!$E$5:$E$300,$B269,Пул!$L$5:$L$300,"Закрыт")=0,"",ROUND(SUMIFS(Пул!$H$5:$H$300,Пул!$E$5:$E$300,$B269,Пул!$L$5:$L$300,"Закрыт"),8)))</f>
        <v/>
      </c>
      <c r="F269" s="241">
        <f>IF($B269="","",IF(COUNTIFS(Пул!$E$5:$E$300,$B269,Пул!$L$5:$L$300,"Закрыт")=0,"",ROUND(SUMIFS(Пул!$I$5:$I$300,Пул!$E$5:$E$300,$B269,Пул!$L$5:$L$300,"Закрыт"),8)))</f>
        <v/>
      </c>
      <c r="G269" s="240">
        <f>IF($B269="","",IF(COUNTIFS(Пул!$E$5:$E$300,$B269,Пул!$L$5:$L$300,"Закрыт")=0,"",ROUND(SUMIFS(Пул!$J$5:$J$300,Пул!$E$5:$E$300,$B269,Пул!$L$5:$L$300,"Закрыт"),8)))</f>
        <v/>
      </c>
      <c r="H269" s="241">
        <f>IF($B269="","",IF(COUNTIFS(Пул!$E$5:$E$300,$B269,Пул!$L$5:$L$300,"Закрыт")=0,"",ROUND(SUMIFS(Пул!$K$5:$K$300,Пул!$E$5:$E$300,$B269,Пул!$L$5:$L$300,"Закрыт"),8)))</f>
        <v/>
      </c>
      <c r="I269" s="236">
        <f>IF(AND(ISNUMBER(G269),ISNUMBER(H269)),IF(AND(G269&gt;0,H269&lt;0),"Buy",IF(AND(G269&lt;0,H269&gt;0),"Sell","")),"")</f>
        <v/>
      </c>
      <c r="J269" s="177">
        <f>IF(I269="Buy",G269,IF(I269="Sell",-G269,""))</f>
        <v/>
      </c>
      <c r="K269" s="177">
        <f>IF(AND(ISNUMBER(J269),ISNUMBER(L269),N(J269)&lt;&gt;0),ROUND(L269/J269,8),"")</f>
        <v/>
      </c>
      <c r="L269" s="177">
        <f>IF(I269="Buy",-H269,IF(I269="Sell",H269,""))</f>
        <v/>
      </c>
    </row>
    <row r="270" ht="22" customHeight="1">
      <c r="B270" s="320" t="n"/>
      <c r="C270" s="246">
        <f>IF($B270="","",IF(COUNTIFS(Пул!$E$5:$E$300,$B270,Пул!$F$5:$F$300,"&lt;&gt;")=0,"",ROUND(SUMIFS(Пул!$F$5:$F$300,Пул!$E$5:$E$300,$B270),8)))</f>
        <v/>
      </c>
      <c r="D270" s="247">
        <f>IF($B270="","",IF(COUNTIFS(Пул!$E$5:$E$300,$B270,Пул!$G$5:$G$300,"&lt;&gt;")=0,"",ROUND(SUMIFS(Пул!$G$5:$G$300,Пул!$E$5:$E$300,$B270),8)))</f>
        <v/>
      </c>
      <c r="E270" s="246">
        <f>IF($B270="","",IF(COUNTIFS(Пул!$E$5:$E$300,$B270,Пул!$L$5:$L$300,"Закрыт")=0,"",ROUND(SUMIFS(Пул!$H$5:$H$300,Пул!$E$5:$E$300,$B270,Пул!$L$5:$L$300,"Закрыт"),8)))</f>
        <v/>
      </c>
      <c r="F270" s="247">
        <f>IF($B270="","",IF(COUNTIFS(Пул!$E$5:$E$300,$B270,Пул!$L$5:$L$300,"Закрыт")=0,"",ROUND(SUMIFS(Пул!$I$5:$I$300,Пул!$E$5:$E$300,$B270,Пул!$L$5:$L$300,"Закрыт"),8)))</f>
        <v/>
      </c>
      <c r="G270" s="246">
        <f>IF($B270="","",IF(COUNTIFS(Пул!$E$5:$E$300,$B270,Пул!$L$5:$L$300,"Закрыт")=0,"",ROUND(SUMIFS(Пул!$J$5:$J$300,Пул!$E$5:$E$300,$B270,Пул!$L$5:$L$300,"Закрыт"),8)))</f>
        <v/>
      </c>
      <c r="H270" s="247">
        <f>IF($B270="","",IF(COUNTIFS(Пул!$E$5:$E$300,$B270,Пул!$L$5:$L$300,"Закрыт")=0,"",ROUND(SUMIFS(Пул!$K$5:$K$300,Пул!$E$5:$E$300,$B270,Пул!$L$5:$L$300,"Закрыт"),8)))</f>
        <v/>
      </c>
      <c r="I270" s="242">
        <f>IF(AND(ISNUMBER(G270),ISNUMBER(H270)),IF(AND(G270&gt;0,H270&lt;0),"Buy",IF(AND(G270&lt;0,H270&gt;0),"Sell","")),"")</f>
        <v/>
      </c>
      <c r="J270" s="183">
        <f>IF(I270="Buy",G270,IF(I270="Sell",-G270,""))</f>
        <v/>
      </c>
      <c r="K270" s="183">
        <f>IF(AND(ISNUMBER(J270),ISNUMBER(L270),N(J270)&lt;&gt;0),ROUND(L270/J270,8),"")</f>
        <v/>
      </c>
      <c r="L270" s="183">
        <f>IF(I270="Buy",-H270,IF(I270="Sell",H270,""))</f>
        <v/>
      </c>
    </row>
    <row r="271" ht="22" customHeight="1">
      <c r="B271" s="315" t="n"/>
      <c r="C271" s="240">
        <f>IF($B271="","",IF(COUNTIFS(Пул!$E$5:$E$300,$B271,Пул!$F$5:$F$300,"&lt;&gt;")=0,"",ROUND(SUMIFS(Пул!$F$5:$F$300,Пул!$E$5:$E$300,$B271),8)))</f>
        <v/>
      </c>
      <c r="D271" s="241">
        <f>IF($B271="","",IF(COUNTIFS(Пул!$E$5:$E$300,$B271,Пул!$G$5:$G$300,"&lt;&gt;")=0,"",ROUND(SUMIFS(Пул!$G$5:$G$300,Пул!$E$5:$E$300,$B271),8)))</f>
        <v/>
      </c>
      <c r="E271" s="240">
        <f>IF($B271="","",IF(COUNTIFS(Пул!$E$5:$E$300,$B271,Пул!$L$5:$L$300,"Закрыт")=0,"",ROUND(SUMIFS(Пул!$H$5:$H$300,Пул!$E$5:$E$300,$B271,Пул!$L$5:$L$300,"Закрыт"),8)))</f>
        <v/>
      </c>
      <c r="F271" s="241">
        <f>IF($B271="","",IF(COUNTIFS(Пул!$E$5:$E$300,$B271,Пул!$L$5:$L$300,"Закрыт")=0,"",ROUND(SUMIFS(Пул!$I$5:$I$300,Пул!$E$5:$E$300,$B271,Пул!$L$5:$L$300,"Закрыт"),8)))</f>
        <v/>
      </c>
      <c r="G271" s="240">
        <f>IF($B271="","",IF(COUNTIFS(Пул!$E$5:$E$300,$B271,Пул!$L$5:$L$300,"Закрыт")=0,"",ROUND(SUMIFS(Пул!$J$5:$J$300,Пул!$E$5:$E$300,$B271,Пул!$L$5:$L$300,"Закрыт"),8)))</f>
        <v/>
      </c>
      <c r="H271" s="241">
        <f>IF($B271="","",IF(COUNTIFS(Пул!$E$5:$E$300,$B271,Пул!$L$5:$L$300,"Закрыт")=0,"",ROUND(SUMIFS(Пул!$K$5:$K$300,Пул!$E$5:$E$300,$B271,Пул!$L$5:$L$300,"Закрыт"),8)))</f>
        <v/>
      </c>
      <c r="I271" s="236">
        <f>IF(AND(ISNUMBER(G271),ISNUMBER(H271)),IF(AND(G271&gt;0,H271&lt;0),"Buy",IF(AND(G271&lt;0,H271&gt;0),"Sell","")),"")</f>
        <v/>
      </c>
      <c r="J271" s="177">
        <f>IF(I271="Buy",G271,IF(I271="Sell",-G271,""))</f>
        <v/>
      </c>
      <c r="K271" s="177">
        <f>IF(AND(ISNUMBER(J271),ISNUMBER(L271),N(J271)&lt;&gt;0),ROUND(L271/J271,8),"")</f>
        <v/>
      </c>
      <c r="L271" s="177">
        <f>IF(I271="Buy",-H271,IF(I271="Sell",H271,""))</f>
        <v/>
      </c>
    </row>
    <row r="272" ht="22" customHeight="1">
      <c r="B272" s="320" t="n"/>
      <c r="C272" s="246">
        <f>IF($B272="","",IF(COUNTIFS(Пул!$E$5:$E$300,$B272,Пул!$F$5:$F$300,"&lt;&gt;")=0,"",ROUND(SUMIFS(Пул!$F$5:$F$300,Пул!$E$5:$E$300,$B272),8)))</f>
        <v/>
      </c>
      <c r="D272" s="247">
        <f>IF($B272="","",IF(COUNTIFS(Пул!$E$5:$E$300,$B272,Пул!$G$5:$G$300,"&lt;&gt;")=0,"",ROUND(SUMIFS(Пул!$G$5:$G$300,Пул!$E$5:$E$300,$B272),8)))</f>
        <v/>
      </c>
      <c r="E272" s="246">
        <f>IF($B272="","",IF(COUNTIFS(Пул!$E$5:$E$300,$B272,Пул!$L$5:$L$300,"Закрыт")=0,"",ROUND(SUMIFS(Пул!$H$5:$H$300,Пул!$E$5:$E$300,$B272,Пул!$L$5:$L$300,"Закрыт"),8)))</f>
        <v/>
      </c>
      <c r="F272" s="247">
        <f>IF($B272="","",IF(COUNTIFS(Пул!$E$5:$E$300,$B272,Пул!$L$5:$L$300,"Закрыт")=0,"",ROUND(SUMIFS(Пул!$I$5:$I$300,Пул!$E$5:$E$300,$B272,Пул!$L$5:$L$300,"Закрыт"),8)))</f>
        <v/>
      </c>
      <c r="G272" s="246">
        <f>IF($B272="","",IF(COUNTIFS(Пул!$E$5:$E$300,$B272,Пул!$L$5:$L$300,"Закрыт")=0,"",ROUND(SUMIFS(Пул!$J$5:$J$300,Пул!$E$5:$E$300,$B272,Пул!$L$5:$L$300,"Закрыт"),8)))</f>
        <v/>
      </c>
      <c r="H272" s="247">
        <f>IF($B272="","",IF(COUNTIFS(Пул!$E$5:$E$300,$B272,Пул!$L$5:$L$300,"Закрыт")=0,"",ROUND(SUMIFS(Пул!$K$5:$K$300,Пул!$E$5:$E$300,$B272,Пул!$L$5:$L$300,"Закрыт"),8)))</f>
        <v/>
      </c>
      <c r="I272" s="242">
        <f>IF(AND(ISNUMBER(G272),ISNUMBER(H272)),IF(AND(G272&gt;0,H272&lt;0),"Buy",IF(AND(G272&lt;0,H272&gt;0),"Sell","")),"")</f>
        <v/>
      </c>
      <c r="J272" s="183">
        <f>IF(I272="Buy",G272,IF(I272="Sell",-G272,""))</f>
        <v/>
      </c>
      <c r="K272" s="183">
        <f>IF(AND(ISNUMBER(J272),ISNUMBER(L272),N(J272)&lt;&gt;0),ROUND(L272/J272,8),"")</f>
        <v/>
      </c>
      <c r="L272" s="183">
        <f>IF(I272="Buy",-H272,IF(I272="Sell",H272,""))</f>
        <v/>
      </c>
    </row>
    <row r="273" ht="22" customHeight="1">
      <c r="B273" s="315" t="n"/>
      <c r="C273" s="240">
        <f>IF($B273="","",IF(COUNTIFS(Пул!$E$5:$E$300,$B273,Пул!$F$5:$F$300,"&lt;&gt;")=0,"",ROUND(SUMIFS(Пул!$F$5:$F$300,Пул!$E$5:$E$300,$B273),8)))</f>
        <v/>
      </c>
      <c r="D273" s="241">
        <f>IF($B273="","",IF(COUNTIFS(Пул!$E$5:$E$300,$B273,Пул!$G$5:$G$300,"&lt;&gt;")=0,"",ROUND(SUMIFS(Пул!$G$5:$G$300,Пул!$E$5:$E$300,$B273),8)))</f>
        <v/>
      </c>
      <c r="E273" s="240">
        <f>IF($B273="","",IF(COUNTIFS(Пул!$E$5:$E$300,$B273,Пул!$L$5:$L$300,"Закрыт")=0,"",ROUND(SUMIFS(Пул!$H$5:$H$300,Пул!$E$5:$E$300,$B273,Пул!$L$5:$L$300,"Закрыт"),8)))</f>
        <v/>
      </c>
      <c r="F273" s="241">
        <f>IF($B273="","",IF(COUNTIFS(Пул!$E$5:$E$300,$B273,Пул!$L$5:$L$300,"Закрыт")=0,"",ROUND(SUMIFS(Пул!$I$5:$I$300,Пул!$E$5:$E$300,$B273,Пул!$L$5:$L$300,"Закрыт"),8)))</f>
        <v/>
      </c>
      <c r="G273" s="240">
        <f>IF($B273="","",IF(COUNTIFS(Пул!$E$5:$E$300,$B273,Пул!$L$5:$L$300,"Закрыт")=0,"",ROUND(SUMIFS(Пул!$J$5:$J$300,Пул!$E$5:$E$300,$B273,Пул!$L$5:$L$300,"Закрыт"),8)))</f>
        <v/>
      </c>
      <c r="H273" s="241">
        <f>IF($B273="","",IF(COUNTIFS(Пул!$E$5:$E$300,$B273,Пул!$L$5:$L$300,"Закрыт")=0,"",ROUND(SUMIFS(Пул!$K$5:$K$300,Пул!$E$5:$E$300,$B273,Пул!$L$5:$L$300,"Закрыт"),8)))</f>
        <v/>
      </c>
      <c r="I273" s="236">
        <f>IF(AND(ISNUMBER(G273),ISNUMBER(H273)),IF(AND(G273&gt;0,H273&lt;0),"Buy",IF(AND(G273&lt;0,H273&gt;0),"Sell","")),"")</f>
        <v/>
      </c>
      <c r="J273" s="177">
        <f>IF(I273="Buy",G273,IF(I273="Sell",-G273,""))</f>
        <v/>
      </c>
      <c r="K273" s="177">
        <f>IF(AND(ISNUMBER(J273),ISNUMBER(L273),N(J273)&lt;&gt;0),ROUND(L273/J273,8),"")</f>
        <v/>
      </c>
      <c r="L273" s="177">
        <f>IF(I273="Buy",-H273,IF(I273="Sell",H273,""))</f>
        <v/>
      </c>
    </row>
    <row r="274" ht="22" customHeight="1">
      <c r="B274" s="320" t="n"/>
      <c r="C274" s="246">
        <f>IF($B274="","",IF(COUNTIFS(Пул!$E$5:$E$300,$B274,Пул!$F$5:$F$300,"&lt;&gt;")=0,"",ROUND(SUMIFS(Пул!$F$5:$F$300,Пул!$E$5:$E$300,$B274),8)))</f>
        <v/>
      </c>
      <c r="D274" s="247">
        <f>IF($B274="","",IF(COUNTIFS(Пул!$E$5:$E$300,$B274,Пул!$G$5:$G$300,"&lt;&gt;")=0,"",ROUND(SUMIFS(Пул!$G$5:$G$300,Пул!$E$5:$E$300,$B274),8)))</f>
        <v/>
      </c>
      <c r="E274" s="246">
        <f>IF($B274="","",IF(COUNTIFS(Пул!$E$5:$E$300,$B274,Пул!$L$5:$L$300,"Закрыт")=0,"",ROUND(SUMIFS(Пул!$H$5:$H$300,Пул!$E$5:$E$300,$B274,Пул!$L$5:$L$300,"Закрыт"),8)))</f>
        <v/>
      </c>
      <c r="F274" s="247">
        <f>IF($B274="","",IF(COUNTIFS(Пул!$E$5:$E$300,$B274,Пул!$L$5:$L$300,"Закрыт")=0,"",ROUND(SUMIFS(Пул!$I$5:$I$300,Пул!$E$5:$E$300,$B274,Пул!$L$5:$L$300,"Закрыт"),8)))</f>
        <v/>
      </c>
      <c r="G274" s="246">
        <f>IF($B274="","",IF(COUNTIFS(Пул!$E$5:$E$300,$B274,Пул!$L$5:$L$300,"Закрыт")=0,"",ROUND(SUMIFS(Пул!$J$5:$J$300,Пул!$E$5:$E$300,$B274,Пул!$L$5:$L$300,"Закрыт"),8)))</f>
        <v/>
      </c>
      <c r="H274" s="247">
        <f>IF($B274="","",IF(COUNTIFS(Пул!$E$5:$E$300,$B274,Пул!$L$5:$L$300,"Закрыт")=0,"",ROUND(SUMIFS(Пул!$K$5:$K$300,Пул!$E$5:$E$300,$B274,Пул!$L$5:$L$300,"Закрыт"),8)))</f>
        <v/>
      </c>
      <c r="I274" s="242">
        <f>IF(AND(ISNUMBER(G274),ISNUMBER(H274)),IF(AND(G274&gt;0,H274&lt;0),"Buy",IF(AND(G274&lt;0,H274&gt;0),"Sell","")),"")</f>
        <v/>
      </c>
      <c r="J274" s="183">
        <f>IF(I274="Buy",G274,IF(I274="Sell",-G274,""))</f>
        <v/>
      </c>
      <c r="K274" s="183">
        <f>IF(AND(ISNUMBER(J274),ISNUMBER(L274),N(J274)&lt;&gt;0),ROUND(L274/J274,8),"")</f>
        <v/>
      </c>
      <c r="L274" s="183">
        <f>IF(I274="Buy",-H274,IF(I274="Sell",H274,""))</f>
        <v/>
      </c>
    </row>
    <row r="275" ht="22" customHeight="1">
      <c r="B275" s="315" t="n"/>
      <c r="C275" s="240">
        <f>IF($B275="","",IF(COUNTIFS(Пул!$E$5:$E$300,$B275,Пул!$F$5:$F$300,"&lt;&gt;")=0,"",ROUND(SUMIFS(Пул!$F$5:$F$300,Пул!$E$5:$E$300,$B275),8)))</f>
        <v/>
      </c>
      <c r="D275" s="241">
        <f>IF($B275="","",IF(COUNTIFS(Пул!$E$5:$E$300,$B275,Пул!$G$5:$G$300,"&lt;&gt;")=0,"",ROUND(SUMIFS(Пул!$G$5:$G$300,Пул!$E$5:$E$300,$B275),8)))</f>
        <v/>
      </c>
      <c r="E275" s="240">
        <f>IF($B275="","",IF(COUNTIFS(Пул!$E$5:$E$300,$B275,Пул!$L$5:$L$300,"Закрыт")=0,"",ROUND(SUMIFS(Пул!$H$5:$H$300,Пул!$E$5:$E$300,$B275,Пул!$L$5:$L$300,"Закрыт"),8)))</f>
        <v/>
      </c>
      <c r="F275" s="241">
        <f>IF($B275="","",IF(COUNTIFS(Пул!$E$5:$E$300,$B275,Пул!$L$5:$L$300,"Закрыт")=0,"",ROUND(SUMIFS(Пул!$I$5:$I$300,Пул!$E$5:$E$300,$B275,Пул!$L$5:$L$300,"Закрыт"),8)))</f>
        <v/>
      </c>
      <c r="G275" s="240">
        <f>IF($B275="","",IF(COUNTIFS(Пул!$E$5:$E$300,$B275,Пул!$L$5:$L$300,"Закрыт")=0,"",ROUND(SUMIFS(Пул!$J$5:$J$300,Пул!$E$5:$E$300,$B275,Пул!$L$5:$L$300,"Закрыт"),8)))</f>
        <v/>
      </c>
      <c r="H275" s="241">
        <f>IF($B275="","",IF(COUNTIFS(Пул!$E$5:$E$300,$B275,Пул!$L$5:$L$300,"Закрыт")=0,"",ROUND(SUMIFS(Пул!$K$5:$K$300,Пул!$E$5:$E$300,$B275,Пул!$L$5:$L$300,"Закрыт"),8)))</f>
        <v/>
      </c>
      <c r="I275" s="236">
        <f>IF(AND(ISNUMBER(G275),ISNUMBER(H275)),IF(AND(G275&gt;0,H275&lt;0),"Buy",IF(AND(G275&lt;0,H275&gt;0),"Sell","")),"")</f>
        <v/>
      </c>
      <c r="J275" s="177">
        <f>IF(I275="Buy",G275,IF(I275="Sell",-G275,""))</f>
        <v/>
      </c>
      <c r="K275" s="177">
        <f>IF(AND(ISNUMBER(J275),ISNUMBER(L275),N(J275)&lt;&gt;0),ROUND(L275/J275,8),"")</f>
        <v/>
      </c>
      <c r="L275" s="177">
        <f>IF(I275="Buy",-H275,IF(I275="Sell",H275,""))</f>
        <v/>
      </c>
    </row>
    <row r="276" ht="22" customHeight="1">
      <c r="B276" s="320" t="n"/>
      <c r="C276" s="246">
        <f>IF($B276="","",IF(COUNTIFS(Пул!$E$5:$E$300,$B276,Пул!$F$5:$F$300,"&lt;&gt;")=0,"",ROUND(SUMIFS(Пул!$F$5:$F$300,Пул!$E$5:$E$300,$B276),8)))</f>
        <v/>
      </c>
      <c r="D276" s="247">
        <f>IF($B276="","",IF(COUNTIFS(Пул!$E$5:$E$300,$B276,Пул!$G$5:$G$300,"&lt;&gt;")=0,"",ROUND(SUMIFS(Пул!$G$5:$G$300,Пул!$E$5:$E$300,$B276),8)))</f>
        <v/>
      </c>
      <c r="E276" s="246">
        <f>IF($B276="","",IF(COUNTIFS(Пул!$E$5:$E$300,$B276,Пул!$L$5:$L$300,"Закрыт")=0,"",ROUND(SUMIFS(Пул!$H$5:$H$300,Пул!$E$5:$E$300,$B276,Пул!$L$5:$L$300,"Закрыт"),8)))</f>
        <v/>
      </c>
      <c r="F276" s="247">
        <f>IF($B276="","",IF(COUNTIFS(Пул!$E$5:$E$300,$B276,Пул!$L$5:$L$300,"Закрыт")=0,"",ROUND(SUMIFS(Пул!$I$5:$I$300,Пул!$E$5:$E$300,$B276,Пул!$L$5:$L$300,"Закрыт"),8)))</f>
        <v/>
      </c>
      <c r="G276" s="246">
        <f>IF($B276="","",IF(COUNTIFS(Пул!$E$5:$E$300,$B276,Пул!$L$5:$L$300,"Закрыт")=0,"",ROUND(SUMIFS(Пул!$J$5:$J$300,Пул!$E$5:$E$300,$B276,Пул!$L$5:$L$300,"Закрыт"),8)))</f>
        <v/>
      </c>
      <c r="H276" s="247">
        <f>IF($B276="","",IF(COUNTIFS(Пул!$E$5:$E$300,$B276,Пул!$L$5:$L$300,"Закрыт")=0,"",ROUND(SUMIFS(Пул!$K$5:$K$300,Пул!$E$5:$E$300,$B276,Пул!$L$5:$L$300,"Закрыт"),8)))</f>
        <v/>
      </c>
      <c r="I276" s="242">
        <f>IF(AND(ISNUMBER(G276),ISNUMBER(H276)),IF(AND(G276&gt;0,H276&lt;0),"Buy",IF(AND(G276&lt;0,H276&gt;0),"Sell","")),"")</f>
        <v/>
      </c>
      <c r="J276" s="183">
        <f>IF(I276="Buy",G276,IF(I276="Sell",-G276,""))</f>
        <v/>
      </c>
      <c r="K276" s="183">
        <f>IF(AND(ISNUMBER(J276),ISNUMBER(L276),N(J276)&lt;&gt;0),ROUND(L276/J276,8),"")</f>
        <v/>
      </c>
      <c r="L276" s="183">
        <f>IF(I276="Buy",-H276,IF(I276="Sell",H276,""))</f>
        <v/>
      </c>
    </row>
    <row r="277" ht="22" customHeight="1">
      <c r="B277" s="315" t="n"/>
      <c r="C277" s="240">
        <f>IF($B277="","",IF(COUNTIFS(Пул!$E$5:$E$300,$B277,Пул!$F$5:$F$300,"&lt;&gt;")=0,"",ROUND(SUMIFS(Пул!$F$5:$F$300,Пул!$E$5:$E$300,$B277),8)))</f>
        <v/>
      </c>
      <c r="D277" s="241">
        <f>IF($B277="","",IF(COUNTIFS(Пул!$E$5:$E$300,$B277,Пул!$G$5:$G$300,"&lt;&gt;")=0,"",ROUND(SUMIFS(Пул!$G$5:$G$300,Пул!$E$5:$E$300,$B277),8)))</f>
        <v/>
      </c>
      <c r="E277" s="240">
        <f>IF($B277="","",IF(COUNTIFS(Пул!$E$5:$E$300,$B277,Пул!$L$5:$L$300,"Закрыт")=0,"",ROUND(SUMIFS(Пул!$H$5:$H$300,Пул!$E$5:$E$300,$B277,Пул!$L$5:$L$300,"Закрыт"),8)))</f>
        <v/>
      </c>
      <c r="F277" s="241">
        <f>IF($B277="","",IF(COUNTIFS(Пул!$E$5:$E$300,$B277,Пул!$L$5:$L$300,"Закрыт")=0,"",ROUND(SUMIFS(Пул!$I$5:$I$300,Пул!$E$5:$E$300,$B277,Пул!$L$5:$L$300,"Закрыт"),8)))</f>
        <v/>
      </c>
      <c r="G277" s="240">
        <f>IF($B277="","",IF(COUNTIFS(Пул!$E$5:$E$300,$B277,Пул!$L$5:$L$300,"Закрыт")=0,"",ROUND(SUMIFS(Пул!$J$5:$J$300,Пул!$E$5:$E$300,$B277,Пул!$L$5:$L$300,"Закрыт"),8)))</f>
        <v/>
      </c>
      <c r="H277" s="241">
        <f>IF($B277="","",IF(COUNTIFS(Пул!$E$5:$E$300,$B277,Пул!$L$5:$L$300,"Закрыт")=0,"",ROUND(SUMIFS(Пул!$K$5:$K$300,Пул!$E$5:$E$300,$B277,Пул!$L$5:$L$300,"Закрыт"),8)))</f>
        <v/>
      </c>
      <c r="I277" s="236">
        <f>IF(AND(ISNUMBER(G277),ISNUMBER(H277)),IF(AND(G277&gt;0,H277&lt;0),"Buy",IF(AND(G277&lt;0,H277&gt;0),"Sell","")),"")</f>
        <v/>
      </c>
      <c r="J277" s="177">
        <f>IF(I277="Buy",G277,IF(I277="Sell",-G277,""))</f>
        <v/>
      </c>
      <c r="K277" s="177">
        <f>IF(AND(ISNUMBER(J277),ISNUMBER(L277),N(J277)&lt;&gt;0),ROUND(L277/J277,8),"")</f>
        <v/>
      </c>
      <c r="L277" s="177">
        <f>IF(I277="Buy",-H277,IF(I277="Sell",H277,""))</f>
        <v/>
      </c>
    </row>
    <row r="278" ht="22" customHeight="1">
      <c r="B278" s="320" t="n"/>
      <c r="C278" s="246">
        <f>IF($B278="","",IF(COUNTIFS(Пул!$E$5:$E$300,$B278,Пул!$F$5:$F$300,"&lt;&gt;")=0,"",ROUND(SUMIFS(Пул!$F$5:$F$300,Пул!$E$5:$E$300,$B278),8)))</f>
        <v/>
      </c>
      <c r="D278" s="247">
        <f>IF($B278="","",IF(COUNTIFS(Пул!$E$5:$E$300,$B278,Пул!$G$5:$G$300,"&lt;&gt;")=0,"",ROUND(SUMIFS(Пул!$G$5:$G$300,Пул!$E$5:$E$300,$B278),8)))</f>
        <v/>
      </c>
      <c r="E278" s="246">
        <f>IF($B278="","",IF(COUNTIFS(Пул!$E$5:$E$300,$B278,Пул!$L$5:$L$300,"Закрыт")=0,"",ROUND(SUMIFS(Пул!$H$5:$H$300,Пул!$E$5:$E$300,$B278,Пул!$L$5:$L$300,"Закрыт"),8)))</f>
        <v/>
      </c>
      <c r="F278" s="247">
        <f>IF($B278="","",IF(COUNTIFS(Пул!$E$5:$E$300,$B278,Пул!$L$5:$L$300,"Закрыт")=0,"",ROUND(SUMIFS(Пул!$I$5:$I$300,Пул!$E$5:$E$300,$B278,Пул!$L$5:$L$300,"Закрыт"),8)))</f>
        <v/>
      </c>
      <c r="G278" s="246">
        <f>IF($B278="","",IF(COUNTIFS(Пул!$E$5:$E$300,$B278,Пул!$L$5:$L$300,"Закрыт")=0,"",ROUND(SUMIFS(Пул!$J$5:$J$300,Пул!$E$5:$E$300,$B278,Пул!$L$5:$L$300,"Закрыт"),8)))</f>
        <v/>
      </c>
      <c r="H278" s="247">
        <f>IF($B278="","",IF(COUNTIFS(Пул!$E$5:$E$300,$B278,Пул!$L$5:$L$300,"Закрыт")=0,"",ROUND(SUMIFS(Пул!$K$5:$K$300,Пул!$E$5:$E$300,$B278,Пул!$L$5:$L$300,"Закрыт"),8)))</f>
        <v/>
      </c>
      <c r="I278" s="242">
        <f>IF(AND(ISNUMBER(G278),ISNUMBER(H278)),IF(AND(G278&gt;0,H278&lt;0),"Buy",IF(AND(G278&lt;0,H278&gt;0),"Sell","")),"")</f>
        <v/>
      </c>
      <c r="J278" s="183">
        <f>IF(I278="Buy",G278,IF(I278="Sell",-G278,""))</f>
        <v/>
      </c>
      <c r="K278" s="183">
        <f>IF(AND(ISNUMBER(J278),ISNUMBER(L278),N(J278)&lt;&gt;0),ROUND(L278/J278,8),"")</f>
        <v/>
      </c>
      <c r="L278" s="183">
        <f>IF(I278="Buy",-H278,IF(I278="Sell",H278,""))</f>
        <v/>
      </c>
    </row>
    <row r="279" ht="22" customHeight="1">
      <c r="B279" s="315" t="n"/>
      <c r="C279" s="240">
        <f>IF($B279="","",IF(COUNTIFS(Пул!$E$5:$E$300,$B279,Пул!$F$5:$F$300,"&lt;&gt;")=0,"",ROUND(SUMIFS(Пул!$F$5:$F$300,Пул!$E$5:$E$300,$B279),8)))</f>
        <v/>
      </c>
      <c r="D279" s="241">
        <f>IF($B279="","",IF(COUNTIFS(Пул!$E$5:$E$300,$B279,Пул!$G$5:$G$300,"&lt;&gt;")=0,"",ROUND(SUMIFS(Пул!$G$5:$G$300,Пул!$E$5:$E$300,$B279),8)))</f>
        <v/>
      </c>
      <c r="E279" s="240">
        <f>IF($B279="","",IF(COUNTIFS(Пул!$E$5:$E$300,$B279,Пул!$L$5:$L$300,"Закрыт")=0,"",ROUND(SUMIFS(Пул!$H$5:$H$300,Пул!$E$5:$E$300,$B279,Пул!$L$5:$L$300,"Закрыт"),8)))</f>
        <v/>
      </c>
      <c r="F279" s="241">
        <f>IF($B279="","",IF(COUNTIFS(Пул!$E$5:$E$300,$B279,Пул!$L$5:$L$300,"Закрыт")=0,"",ROUND(SUMIFS(Пул!$I$5:$I$300,Пул!$E$5:$E$300,$B279,Пул!$L$5:$L$300,"Закрыт"),8)))</f>
        <v/>
      </c>
      <c r="G279" s="240">
        <f>IF($B279="","",IF(COUNTIFS(Пул!$E$5:$E$300,$B279,Пул!$L$5:$L$300,"Закрыт")=0,"",ROUND(SUMIFS(Пул!$J$5:$J$300,Пул!$E$5:$E$300,$B279,Пул!$L$5:$L$300,"Закрыт"),8)))</f>
        <v/>
      </c>
      <c r="H279" s="241">
        <f>IF($B279="","",IF(COUNTIFS(Пул!$E$5:$E$300,$B279,Пул!$L$5:$L$300,"Закрыт")=0,"",ROUND(SUMIFS(Пул!$K$5:$K$300,Пул!$E$5:$E$300,$B279,Пул!$L$5:$L$300,"Закрыт"),8)))</f>
        <v/>
      </c>
      <c r="I279" s="236">
        <f>IF(AND(ISNUMBER(G279),ISNUMBER(H279)),IF(AND(G279&gt;0,H279&lt;0),"Buy",IF(AND(G279&lt;0,H279&gt;0),"Sell","")),"")</f>
        <v/>
      </c>
      <c r="J279" s="177">
        <f>IF(I279="Buy",G279,IF(I279="Sell",-G279,""))</f>
        <v/>
      </c>
      <c r="K279" s="177">
        <f>IF(AND(ISNUMBER(J279),ISNUMBER(L279),N(J279)&lt;&gt;0),ROUND(L279/J279,8),"")</f>
        <v/>
      </c>
      <c r="L279" s="177">
        <f>IF(I279="Buy",-H279,IF(I279="Sell",H279,""))</f>
        <v/>
      </c>
    </row>
    <row r="280" ht="22" customHeight="1">
      <c r="B280" s="320" t="n"/>
      <c r="C280" s="246">
        <f>IF($B280="","",IF(COUNTIFS(Пул!$E$5:$E$300,$B280,Пул!$F$5:$F$300,"&lt;&gt;")=0,"",ROUND(SUMIFS(Пул!$F$5:$F$300,Пул!$E$5:$E$300,$B280),8)))</f>
        <v/>
      </c>
      <c r="D280" s="247">
        <f>IF($B280="","",IF(COUNTIFS(Пул!$E$5:$E$300,$B280,Пул!$G$5:$G$300,"&lt;&gt;")=0,"",ROUND(SUMIFS(Пул!$G$5:$G$300,Пул!$E$5:$E$300,$B280),8)))</f>
        <v/>
      </c>
      <c r="E280" s="246">
        <f>IF($B280="","",IF(COUNTIFS(Пул!$E$5:$E$300,$B280,Пул!$L$5:$L$300,"Закрыт")=0,"",ROUND(SUMIFS(Пул!$H$5:$H$300,Пул!$E$5:$E$300,$B280,Пул!$L$5:$L$300,"Закрыт"),8)))</f>
        <v/>
      </c>
      <c r="F280" s="247">
        <f>IF($B280="","",IF(COUNTIFS(Пул!$E$5:$E$300,$B280,Пул!$L$5:$L$300,"Закрыт")=0,"",ROUND(SUMIFS(Пул!$I$5:$I$300,Пул!$E$5:$E$300,$B280,Пул!$L$5:$L$300,"Закрыт"),8)))</f>
        <v/>
      </c>
      <c r="G280" s="246">
        <f>IF($B280="","",IF(COUNTIFS(Пул!$E$5:$E$300,$B280,Пул!$L$5:$L$300,"Закрыт")=0,"",ROUND(SUMIFS(Пул!$J$5:$J$300,Пул!$E$5:$E$300,$B280,Пул!$L$5:$L$300,"Закрыт"),8)))</f>
        <v/>
      </c>
      <c r="H280" s="247">
        <f>IF($B280="","",IF(COUNTIFS(Пул!$E$5:$E$300,$B280,Пул!$L$5:$L$300,"Закрыт")=0,"",ROUND(SUMIFS(Пул!$K$5:$K$300,Пул!$E$5:$E$300,$B280,Пул!$L$5:$L$300,"Закрыт"),8)))</f>
        <v/>
      </c>
      <c r="I280" s="242">
        <f>IF(AND(ISNUMBER(G280),ISNUMBER(H280)),IF(AND(G280&gt;0,H280&lt;0),"Buy",IF(AND(G280&lt;0,H280&gt;0),"Sell","")),"")</f>
        <v/>
      </c>
      <c r="J280" s="183">
        <f>IF(I280="Buy",G280,IF(I280="Sell",-G280,""))</f>
        <v/>
      </c>
      <c r="K280" s="183">
        <f>IF(AND(ISNUMBER(J280),ISNUMBER(L280),N(J280)&lt;&gt;0),ROUND(L280/J280,8),"")</f>
        <v/>
      </c>
      <c r="L280" s="183">
        <f>IF(I280="Buy",-H280,IF(I280="Sell",H280,""))</f>
        <v/>
      </c>
    </row>
    <row r="281" ht="22" customHeight="1">
      <c r="B281" s="315" t="n"/>
      <c r="C281" s="240">
        <f>IF($B281="","",IF(COUNTIFS(Пул!$E$5:$E$300,$B281,Пул!$F$5:$F$300,"&lt;&gt;")=0,"",ROUND(SUMIFS(Пул!$F$5:$F$300,Пул!$E$5:$E$300,$B281),8)))</f>
        <v/>
      </c>
      <c r="D281" s="241">
        <f>IF($B281="","",IF(COUNTIFS(Пул!$E$5:$E$300,$B281,Пул!$G$5:$G$300,"&lt;&gt;")=0,"",ROUND(SUMIFS(Пул!$G$5:$G$300,Пул!$E$5:$E$300,$B281),8)))</f>
        <v/>
      </c>
      <c r="E281" s="240">
        <f>IF($B281="","",IF(COUNTIFS(Пул!$E$5:$E$300,$B281,Пул!$L$5:$L$300,"Закрыт")=0,"",ROUND(SUMIFS(Пул!$H$5:$H$300,Пул!$E$5:$E$300,$B281,Пул!$L$5:$L$300,"Закрыт"),8)))</f>
        <v/>
      </c>
      <c r="F281" s="241">
        <f>IF($B281="","",IF(COUNTIFS(Пул!$E$5:$E$300,$B281,Пул!$L$5:$L$300,"Закрыт")=0,"",ROUND(SUMIFS(Пул!$I$5:$I$300,Пул!$E$5:$E$300,$B281,Пул!$L$5:$L$300,"Закрыт"),8)))</f>
        <v/>
      </c>
      <c r="G281" s="240">
        <f>IF($B281="","",IF(COUNTIFS(Пул!$E$5:$E$300,$B281,Пул!$L$5:$L$300,"Закрыт")=0,"",ROUND(SUMIFS(Пул!$J$5:$J$300,Пул!$E$5:$E$300,$B281,Пул!$L$5:$L$300,"Закрыт"),8)))</f>
        <v/>
      </c>
      <c r="H281" s="241">
        <f>IF($B281="","",IF(COUNTIFS(Пул!$E$5:$E$300,$B281,Пул!$L$5:$L$300,"Закрыт")=0,"",ROUND(SUMIFS(Пул!$K$5:$K$300,Пул!$E$5:$E$300,$B281,Пул!$L$5:$L$300,"Закрыт"),8)))</f>
        <v/>
      </c>
      <c r="I281" s="236">
        <f>IF(AND(ISNUMBER(G281),ISNUMBER(H281)),IF(AND(G281&gt;0,H281&lt;0),"Buy",IF(AND(G281&lt;0,H281&gt;0),"Sell","")),"")</f>
        <v/>
      </c>
      <c r="J281" s="177">
        <f>IF(I281="Buy",G281,IF(I281="Sell",-G281,""))</f>
        <v/>
      </c>
      <c r="K281" s="177">
        <f>IF(AND(ISNUMBER(J281),ISNUMBER(L281),N(J281)&lt;&gt;0),ROUND(L281/J281,8),"")</f>
        <v/>
      </c>
      <c r="L281" s="177">
        <f>IF(I281="Buy",-H281,IF(I281="Sell",H281,""))</f>
        <v/>
      </c>
    </row>
    <row r="282" ht="22" customHeight="1">
      <c r="B282" s="320" t="n"/>
      <c r="C282" s="246">
        <f>IF($B282="","",IF(COUNTIFS(Пул!$E$5:$E$300,$B282,Пул!$F$5:$F$300,"&lt;&gt;")=0,"",ROUND(SUMIFS(Пул!$F$5:$F$300,Пул!$E$5:$E$300,$B282),8)))</f>
        <v/>
      </c>
      <c r="D282" s="247">
        <f>IF($B282="","",IF(COUNTIFS(Пул!$E$5:$E$300,$B282,Пул!$G$5:$G$300,"&lt;&gt;")=0,"",ROUND(SUMIFS(Пул!$G$5:$G$300,Пул!$E$5:$E$300,$B282),8)))</f>
        <v/>
      </c>
      <c r="E282" s="246">
        <f>IF($B282="","",IF(COUNTIFS(Пул!$E$5:$E$300,$B282,Пул!$L$5:$L$300,"Закрыт")=0,"",ROUND(SUMIFS(Пул!$H$5:$H$300,Пул!$E$5:$E$300,$B282,Пул!$L$5:$L$300,"Закрыт"),8)))</f>
        <v/>
      </c>
      <c r="F282" s="247">
        <f>IF($B282="","",IF(COUNTIFS(Пул!$E$5:$E$300,$B282,Пул!$L$5:$L$300,"Закрыт")=0,"",ROUND(SUMIFS(Пул!$I$5:$I$300,Пул!$E$5:$E$300,$B282,Пул!$L$5:$L$300,"Закрыт"),8)))</f>
        <v/>
      </c>
      <c r="G282" s="246">
        <f>IF($B282="","",IF(COUNTIFS(Пул!$E$5:$E$300,$B282,Пул!$L$5:$L$300,"Закрыт")=0,"",ROUND(SUMIFS(Пул!$J$5:$J$300,Пул!$E$5:$E$300,$B282,Пул!$L$5:$L$300,"Закрыт"),8)))</f>
        <v/>
      </c>
      <c r="H282" s="247">
        <f>IF($B282="","",IF(COUNTIFS(Пул!$E$5:$E$300,$B282,Пул!$L$5:$L$300,"Закрыт")=0,"",ROUND(SUMIFS(Пул!$K$5:$K$300,Пул!$E$5:$E$300,$B282,Пул!$L$5:$L$300,"Закрыт"),8)))</f>
        <v/>
      </c>
      <c r="I282" s="242">
        <f>IF(AND(ISNUMBER(G282),ISNUMBER(H282)),IF(AND(G282&gt;0,H282&lt;0),"Buy",IF(AND(G282&lt;0,H282&gt;0),"Sell","")),"")</f>
        <v/>
      </c>
      <c r="J282" s="183">
        <f>IF(I282="Buy",G282,IF(I282="Sell",-G282,""))</f>
        <v/>
      </c>
      <c r="K282" s="183">
        <f>IF(AND(ISNUMBER(J282),ISNUMBER(L282),N(J282)&lt;&gt;0),ROUND(L282/J282,8),"")</f>
        <v/>
      </c>
      <c r="L282" s="183">
        <f>IF(I282="Buy",-H282,IF(I282="Sell",H282,""))</f>
        <v/>
      </c>
    </row>
    <row r="283" ht="22" customHeight="1">
      <c r="B283" s="315" t="n"/>
      <c r="C283" s="240">
        <f>IF($B283="","",IF(COUNTIFS(Пул!$E$5:$E$300,$B283,Пул!$F$5:$F$300,"&lt;&gt;")=0,"",ROUND(SUMIFS(Пул!$F$5:$F$300,Пул!$E$5:$E$300,$B283),8)))</f>
        <v/>
      </c>
      <c r="D283" s="241">
        <f>IF($B283="","",IF(COUNTIFS(Пул!$E$5:$E$300,$B283,Пул!$G$5:$G$300,"&lt;&gt;")=0,"",ROUND(SUMIFS(Пул!$G$5:$G$300,Пул!$E$5:$E$300,$B283),8)))</f>
        <v/>
      </c>
      <c r="E283" s="240">
        <f>IF($B283="","",IF(COUNTIFS(Пул!$E$5:$E$300,$B283,Пул!$L$5:$L$300,"Закрыт")=0,"",ROUND(SUMIFS(Пул!$H$5:$H$300,Пул!$E$5:$E$300,$B283,Пул!$L$5:$L$300,"Закрыт"),8)))</f>
        <v/>
      </c>
      <c r="F283" s="241">
        <f>IF($B283="","",IF(COUNTIFS(Пул!$E$5:$E$300,$B283,Пул!$L$5:$L$300,"Закрыт")=0,"",ROUND(SUMIFS(Пул!$I$5:$I$300,Пул!$E$5:$E$300,$B283,Пул!$L$5:$L$300,"Закрыт"),8)))</f>
        <v/>
      </c>
      <c r="G283" s="240">
        <f>IF($B283="","",IF(COUNTIFS(Пул!$E$5:$E$300,$B283,Пул!$L$5:$L$300,"Закрыт")=0,"",ROUND(SUMIFS(Пул!$J$5:$J$300,Пул!$E$5:$E$300,$B283,Пул!$L$5:$L$300,"Закрыт"),8)))</f>
        <v/>
      </c>
      <c r="H283" s="241">
        <f>IF($B283="","",IF(COUNTIFS(Пул!$E$5:$E$300,$B283,Пул!$L$5:$L$300,"Закрыт")=0,"",ROUND(SUMIFS(Пул!$K$5:$K$300,Пул!$E$5:$E$300,$B283,Пул!$L$5:$L$300,"Закрыт"),8)))</f>
        <v/>
      </c>
      <c r="I283" s="236">
        <f>IF(AND(ISNUMBER(G283),ISNUMBER(H283)),IF(AND(G283&gt;0,H283&lt;0),"Buy",IF(AND(G283&lt;0,H283&gt;0),"Sell","")),"")</f>
        <v/>
      </c>
      <c r="J283" s="177">
        <f>IF(I283="Buy",G283,IF(I283="Sell",-G283,""))</f>
        <v/>
      </c>
      <c r="K283" s="177">
        <f>IF(AND(ISNUMBER(J283),ISNUMBER(L283),N(J283)&lt;&gt;0),ROUND(L283/J283,8),"")</f>
        <v/>
      </c>
      <c r="L283" s="177">
        <f>IF(I283="Buy",-H283,IF(I283="Sell",H283,""))</f>
        <v/>
      </c>
    </row>
    <row r="284" ht="22" customHeight="1">
      <c r="B284" s="320" t="n"/>
      <c r="C284" s="246">
        <f>IF($B284="","",IF(COUNTIFS(Пул!$E$5:$E$300,$B284,Пул!$F$5:$F$300,"&lt;&gt;")=0,"",ROUND(SUMIFS(Пул!$F$5:$F$300,Пул!$E$5:$E$300,$B284),8)))</f>
        <v/>
      </c>
      <c r="D284" s="247">
        <f>IF($B284="","",IF(COUNTIFS(Пул!$E$5:$E$300,$B284,Пул!$G$5:$G$300,"&lt;&gt;")=0,"",ROUND(SUMIFS(Пул!$G$5:$G$300,Пул!$E$5:$E$300,$B284),8)))</f>
        <v/>
      </c>
      <c r="E284" s="246">
        <f>IF($B284="","",IF(COUNTIFS(Пул!$E$5:$E$300,$B284,Пул!$L$5:$L$300,"Закрыт")=0,"",ROUND(SUMIFS(Пул!$H$5:$H$300,Пул!$E$5:$E$300,$B284,Пул!$L$5:$L$300,"Закрыт"),8)))</f>
        <v/>
      </c>
      <c r="F284" s="247">
        <f>IF($B284="","",IF(COUNTIFS(Пул!$E$5:$E$300,$B284,Пул!$L$5:$L$300,"Закрыт")=0,"",ROUND(SUMIFS(Пул!$I$5:$I$300,Пул!$E$5:$E$300,$B284,Пул!$L$5:$L$300,"Закрыт"),8)))</f>
        <v/>
      </c>
      <c r="G284" s="246">
        <f>IF($B284="","",IF(COUNTIFS(Пул!$E$5:$E$300,$B284,Пул!$L$5:$L$300,"Закрыт")=0,"",ROUND(SUMIFS(Пул!$J$5:$J$300,Пул!$E$5:$E$300,$B284,Пул!$L$5:$L$300,"Закрыт"),8)))</f>
        <v/>
      </c>
      <c r="H284" s="247">
        <f>IF($B284="","",IF(COUNTIFS(Пул!$E$5:$E$300,$B284,Пул!$L$5:$L$300,"Закрыт")=0,"",ROUND(SUMIFS(Пул!$K$5:$K$300,Пул!$E$5:$E$300,$B284,Пул!$L$5:$L$300,"Закрыт"),8)))</f>
        <v/>
      </c>
      <c r="I284" s="242">
        <f>IF(AND(ISNUMBER(G284),ISNUMBER(H284)),IF(AND(G284&gt;0,H284&lt;0),"Buy",IF(AND(G284&lt;0,H284&gt;0),"Sell","")),"")</f>
        <v/>
      </c>
      <c r="J284" s="183">
        <f>IF(I284="Buy",G284,IF(I284="Sell",-G284,""))</f>
        <v/>
      </c>
      <c r="K284" s="183">
        <f>IF(AND(ISNUMBER(J284),ISNUMBER(L284),N(J284)&lt;&gt;0),ROUND(L284/J284,8),"")</f>
        <v/>
      </c>
      <c r="L284" s="183">
        <f>IF(I284="Buy",-H284,IF(I284="Sell",H284,""))</f>
        <v/>
      </c>
    </row>
    <row r="285" ht="22" customHeight="1">
      <c r="B285" s="315" t="n"/>
      <c r="C285" s="240">
        <f>IF($B285="","",IF(COUNTIFS(Пул!$E$5:$E$300,$B285,Пул!$F$5:$F$300,"&lt;&gt;")=0,"",ROUND(SUMIFS(Пул!$F$5:$F$300,Пул!$E$5:$E$300,$B285),8)))</f>
        <v/>
      </c>
      <c r="D285" s="241">
        <f>IF($B285="","",IF(COUNTIFS(Пул!$E$5:$E$300,$B285,Пул!$G$5:$G$300,"&lt;&gt;")=0,"",ROUND(SUMIFS(Пул!$G$5:$G$300,Пул!$E$5:$E$300,$B285),8)))</f>
        <v/>
      </c>
      <c r="E285" s="240">
        <f>IF($B285="","",IF(COUNTIFS(Пул!$E$5:$E$300,$B285,Пул!$L$5:$L$300,"Закрыт")=0,"",ROUND(SUMIFS(Пул!$H$5:$H$300,Пул!$E$5:$E$300,$B285,Пул!$L$5:$L$300,"Закрыт"),8)))</f>
        <v/>
      </c>
      <c r="F285" s="241">
        <f>IF($B285="","",IF(COUNTIFS(Пул!$E$5:$E$300,$B285,Пул!$L$5:$L$300,"Закрыт")=0,"",ROUND(SUMIFS(Пул!$I$5:$I$300,Пул!$E$5:$E$300,$B285,Пул!$L$5:$L$300,"Закрыт"),8)))</f>
        <v/>
      </c>
      <c r="G285" s="240">
        <f>IF($B285="","",IF(COUNTIFS(Пул!$E$5:$E$300,$B285,Пул!$L$5:$L$300,"Закрыт")=0,"",ROUND(SUMIFS(Пул!$J$5:$J$300,Пул!$E$5:$E$300,$B285,Пул!$L$5:$L$300,"Закрыт"),8)))</f>
        <v/>
      </c>
      <c r="H285" s="241">
        <f>IF($B285="","",IF(COUNTIFS(Пул!$E$5:$E$300,$B285,Пул!$L$5:$L$300,"Закрыт")=0,"",ROUND(SUMIFS(Пул!$K$5:$K$300,Пул!$E$5:$E$300,$B285,Пул!$L$5:$L$300,"Закрыт"),8)))</f>
        <v/>
      </c>
      <c r="I285" s="236">
        <f>IF(AND(ISNUMBER(G285),ISNUMBER(H285)),IF(AND(G285&gt;0,H285&lt;0),"Buy",IF(AND(G285&lt;0,H285&gt;0),"Sell","")),"")</f>
        <v/>
      </c>
      <c r="J285" s="177">
        <f>IF(I285="Buy",G285,IF(I285="Sell",-G285,""))</f>
        <v/>
      </c>
      <c r="K285" s="177">
        <f>IF(AND(ISNUMBER(J285),ISNUMBER(L285),N(J285)&lt;&gt;0),ROUND(L285/J285,8),"")</f>
        <v/>
      </c>
      <c r="L285" s="177">
        <f>IF(I285="Buy",-H285,IF(I285="Sell",H285,""))</f>
        <v/>
      </c>
    </row>
    <row r="286" ht="22" customHeight="1">
      <c r="B286" s="320" t="n"/>
      <c r="C286" s="246">
        <f>IF($B286="","",IF(COUNTIFS(Пул!$E$5:$E$300,$B286,Пул!$F$5:$F$300,"&lt;&gt;")=0,"",ROUND(SUMIFS(Пул!$F$5:$F$300,Пул!$E$5:$E$300,$B286),8)))</f>
        <v/>
      </c>
      <c r="D286" s="247">
        <f>IF($B286="","",IF(COUNTIFS(Пул!$E$5:$E$300,$B286,Пул!$G$5:$G$300,"&lt;&gt;")=0,"",ROUND(SUMIFS(Пул!$G$5:$G$300,Пул!$E$5:$E$300,$B286),8)))</f>
        <v/>
      </c>
      <c r="E286" s="246">
        <f>IF($B286="","",IF(COUNTIFS(Пул!$E$5:$E$300,$B286,Пул!$L$5:$L$300,"Закрыт")=0,"",ROUND(SUMIFS(Пул!$H$5:$H$300,Пул!$E$5:$E$300,$B286,Пул!$L$5:$L$300,"Закрыт"),8)))</f>
        <v/>
      </c>
      <c r="F286" s="247">
        <f>IF($B286="","",IF(COUNTIFS(Пул!$E$5:$E$300,$B286,Пул!$L$5:$L$300,"Закрыт")=0,"",ROUND(SUMIFS(Пул!$I$5:$I$300,Пул!$E$5:$E$300,$B286,Пул!$L$5:$L$300,"Закрыт"),8)))</f>
        <v/>
      </c>
      <c r="G286" s="246">
        <f>IF($B286="","",IF(COUNTIFS(Пул!$E$5:$E$300,$B286,Пул!$L$5:$L$300,"Закрыт")=0,"",ROUND(SUMIFS(Пул!$J$5:$J$300,Пул!$E$5:$E$300,$B286,Пул!$L$5:$L$300,"Закрыт"),8)))</f>
        <v/>
      </c>
      <c r="H286" s="247">
        <f>IF($B286="","",IF(COUNTIFS(Пул!$E$5:$E$300,$B286,Пул!$L$5:$L$300,"Закрыт")=0,"",ROUND(SUMIFS(Пул!$K$5:$K$300,Пул!$E$5:$E$300,$B286,Пул!$L$5:$L$300,"Закрыт"),8)))</f>
        <v/>
      </c>
      <c r="I286" s="242">
        <f>IF(AND(ISNUMBER(G286),ISNUMBER(H286)),IF(AND(G286&gt;0,H286&lt;0),"Buy",IF(AND(G286&lt;0,H286&gt;0),"Sell","")),"")</f>
        <v/>
      </c>
      <c r="J286" s="183">
        <f>IF(I286="Buy",G286,IF(I286="Sell",-G286,""))</f>
        <v/>
      </c>
      <c r="K286" s="183">
        <f>IF(AND(ISNUMBER(J286),ISNUMBER(L286),N(J286)&lt;&gt;0),ROUND(L286/J286,8),"")</f>
        <v/>
      </c>
      <c r="L286" s="183">
        <f>IF(I286="Buy",-H286,IF(I286="Sell",H286,""))</f>
        <v/>
      </c>
    </row>
    <row r="287" ht="22" customHeight="1">
      <c r="B287" s="315" t="n"/>
      <c r="C287" s="240">
        <f>IF($B287="","",IF(COUNTIFS(Пул!$E$5:$E$300,$B287,Пул!$F$5:$F$300,"&lt;&gt;")=0,"",ROUND(SUMIFS(Пул!$F$5:$F$300,Пул!$E$5:$E$300,$B287),8)))</f>
        <v/>
      </c>
      <c r="D287" s="241">
        <f>IF($B287="","",IF(COUNTIFS(Пул!$E$5:$E$300,$B287,Пул!$G$5:$G$300,"&lt;&gt;")=0,"",ROUND(SUMIFS(Пул!$G$5:$G$300,Пул!$E$5:$E$300,$B287),8)))</f>
        <v/>
      </c>
      <c r="E287" s="240">
        <f>IF($B287="","",IF(COUNTIFS(Пул!$E$5:$E$300,$B287,Пул!$L$5:$L$300,"Закрыт")=0,"",ROUND(SUMIFS(Пул!$H$5:$H$300,Пул!$E$5:$E$300,$B287,Пул!$L$5:$L$300,"Закрыт"),8)))</f>
        <v/>
      </c>
      <c r="F287" s="241">
        <f>IF($B287="","",IF(COUNTIFS(Пул!$E$5:$E$300,$B287,Пул!$L$5:$L$300,"Закрыт")=0,"",ROUND(SUMIFS(Пул!$I$5:$I$300,Пул!$E$5:$E$300,$B287,Пул!$L$5:$L$300,"Закрыт"),8)))</f>
        <v/>
      </c>
      <c r="G287" s="240">
        <f>IF($B287="","",IF(COUNTIFS(Пул!$E$5:$E$300,$B287,Пул!$L$5:$L$300,"Закрыт")=0,"",ROUND(SUMIFS(Пул!$J$5:$J$300,Пул!$E$5:$E$300,$B287,Пул!$L$5:$L$300,"Закрыт"),8)))</f>
        <v/>
      </c>
      <c r="H287" s="241">
        <f>IF($B287="","",IF(COUNTIFS(Пул!$E$5:$E$300,$B287,Пул!$L$5:$L$300,"Закрыт")=0,"",ROUND(SUMIFS(Пул!$K$5:$K$300,Пул!$E$5:$E$300,$B287,Пул!$L$5:$L$300,"Закрыт"),8)))</f>
        <v/>
      </c>
      <c r="I287" s="236">
        <f>IF(AND(ISNUMBER(G287),ISNUMBER(H287)),IF(AND(G287&gt;0,H287&lt;0),"Buy",IF(AND(G287&lt;0,H287&gt;0),"Sell","")),"")</f>
        <v/>
      </c>
      <c r="J287" s="177">
        <f>IF(I287="Buy",G287,IF(I287="Sell",-G287,""))</f>
        <v/>
      </c>
      <c r="K287" s="177">
        <f>IF(AND(ISNUMBER(J287),ISNUMBER(L287),N(J287)&lt;&gt;0),ROUND(L287/J287,8),"")</f>
        <v/>
      </c>
      <c r="L287" s="177">
        <f>IF(I287="Buy",-H287,IF(I287="Sell",H287,""))</f>
        <v/>
      </c>
    </row>
    <row r="288" ht="22" customHeight="1">
      <c r="B288" s="320" t="n"/>
      <c r="C288" s="246">
        <f>IF($B288="","",IF(COUNTIFS(Пул!$E$5:$E$300,$B288,Пул!$F$5:$F$300,"&lt;&gt;")=0,"",ROUND(SUMIFS(Пул!$F$5:$F$300,Пул!$E$5:$E$300,$B288),8)))</f>
        <v/>
      </c>
      <c r="D288" s="247">
        <f>IF($B288="","",IF(COUNTIFS(Пул!$E$5:$E$300,$B288,Пул!$G$5:$G$300,"&lt;&gt;")=0,"",ROUND(SUMIFS(Пул!$G$5:$G$300,Пул!$E$5:$E$300,$B288),8)))</f>
        <v/>
      </c>
      <c r="E288" s="246">
        <f>IF($B288="","",IF(COUNTIFS(Пул!$E$5:$E$300,$B288,Пул!$L$5:$L$300,"Закрыт")=0,"",ROUND(SUMIFS(Пул!$H$5:$H$300,Пул!$E$5:$E$300,$B288,Пул!$L$5:$L$300,"Закрыт"),8)))</f>
        <v/>
      </c>
      <c r="F288" s="247">
        <f>IF($B288="","",IF(COUNTIFS(Пул!$E$5:$E$300,$B288,Пул!$L$5:$L$300,"Закрыт")=0,"",ROUND(SUMIFS(Пул!$I$5:$I$300,Пул!$E$5:$E$300,$B288,Пул!$L$5:$L$300,"Закрыт"),8)))</f>
        <v/>
      </c>
      <c r="G288" s="246">
        <f>IF($B288="","",IF(COUNTIFS(Пул!$E$5:$E$300,$B288,Пул!$L$5:$L$300,"Закрыт")=0,"",ROUND(SUMIFS(Пул!$J$5:$J$300,Пул!$E$5:$E$300,$B288,Пул!$L$5:$L$300,"Закрыт"),8)))</f>
        <v/>
      </c>
      <c r="H288" s="247">
        <f>IF($B288="","",IF(COUNTIFS(Пул!$E$5:$E$300,$B288,Пул!$L$5:$L$300,"Закрыт")=0,"",ROUND(SUMIFS(Пул!$K$5:$K$300,Пул!$E$5:$E$300,$B288,Пул!$L$5:$L$300,"Закрыт"),8)))</f>
        <v/>
      </c>
      <c r="I288" s="242">
        <f>IF(AND(ISNUMBER(G288),ISNUMBER(H288)),IF(AND(G288&gt;0,H288&lt;0),"Buy",IF(AND(G288&lt;0,H288&gt;0),"Sell","")),"")</f>
        <v/>
      </c>
      <c r="J288" s="183">
        <f>IF(I288="Buy",G288,IF(I288="Sell",-G288,""))</f>
        <v/>
      </c>
      <c r="K288" s="183">
        <f>IF(AND(ISNUMBER(J288),ISNUMBER(L288),N(J288)&lt;&gt;0),ROUND(L288/J288,8),"")</f>
        <v/>
      </c>
      <c r="L288" s="183">
        <f>IF(I288="Buy",-H288,IF(I288="Sell",H288,""))</f>
        <v/>
      </c>
    </row>
    <row r="289" ht="22" customHeight="1">
      <c r="B289" s="315" t="n"/>
      <c r="C289" s="240">
        <f>IF($B289="","",IF(COUNTIFS(Пул!$E$5:$E$300,$B289,Пул!$F$5:$F$300,"&lt;&gt;")=0,"",ROUND(SUMIFS(Пул!$F$5:$F$300,Пул!$E$5:$E$300,$B289),8)))</f>
        <v/>
      </c>
      <c r="D289" s="241">
        <f>IF($B289="","",IF(COUNTIFS(Пул!$E$5:$E$300,$B289,Пул!$G$5:$G$300,"&lt;&gt;")=0,"",ROUND(SUMIFS(Пул!$G$5:$G$300,Пул!$E$5:$E$300,$B289),8)))</f>
        <v/>
      </c>
      <c r="E289" s="240">
        <f>IF($B289="","",IF(COUNTIFS(Пул!$E$5:$E$300,$B289,Пул!$L$5:$L$300,"Закрыт")=0,"",ROUND(SUMIFS(Пул!$H$5:$H$300,Пул!$E$5:$E$300,$B289,Пул!$L$5:$L$300,"Закрыт"),8)))</f>
        <v/>
      </c>
      <c r="F289" s="241">
        <f>IF($B289="","",IF(COUNTIFS(Пул!$E$5:$E$300,$B289,Пул!$L$5:$L$300,"Закрыт")=0,"",ROUND(SUMIFS(Пул!$I$5:$I$300,Пул!$E$5:$E$300,$B289,Пул!$L$5:$L$300,"Закрыт"),8)))</f>
        <v/>
      </c>
      <c r="G289" s="240">
        <f>IF($B289="","",IF(COUNTIFS(Пул!$E$5:$E$300,$B289,Пул!$L$5:$L$300,"Закрыт")=0,"",ROUND(SUMIFS(Пул!$J$5:$J$300,Пул!$E$5:$E$300,$B289,Пул!$L$5:$L$300,"Закрыт"),8)))</f>
        <v/>
      </c>
      <c r="H289" s="241">
        <f>IF($B289="","",IF(COUNTIFS(Пул!$E$5:$E$300,$B289,Пул!$L$5:$L$300,"Закрыт")=0,"",ROUND(SUMIFS(Пул!$K$5:$K$300,Пул!$E$5:$E$300,$B289,Пул!$L$5:$L$300,"Закрыт"),8)))</f>
        <v/>
      </c>
      <c r="I289" s="236">
        <f>IF(AND(ISNUMBER(G289),ISNUMBER(H289)),IF(AND(G289&gt;0,H289&lt;0),"Buy",IF(AND(G289&lt;0,H289&gt;0),"Sell","")),"")</f>
        <v/>
      </c>
      <c r="J289" s="177">
        <f>IF(I289="Buy",G289,IF(I289="Sell",-G289,""))</f>
        <v/>
      </c>
      <c r="K289" s="177">
        <f>IF(AND(ISNUMBER(J289),ISNUMBER(L289),N(J289)&lt;&gt;0),ROUND(L289/J289,8),"")</f>
        <v/>
      </c>
      <c r="L289" s="177">
        <f>IF(I289="Buy",-H289,IF(I289="Sell",H289,""))</f>
        <v/>
      </c>
    </row>
    <row r="290" ht="22" customHeight="1">
      <c r="B290" s="320" t="n"/>
      <c r="C290" s="246">
        <f>IF($B290="","",IF(COUNTIFS(Пул!$E$5:$E$300,$B290,Пул!$F$5:$F$300,"&lt;&gt;")=0,"",ROUND(SUMIFS(Пул!$F$5:$F$300,Пул!$E$5:$E$300,$B290),8)))</f>
        <v/>
      </c>
      <c r="D290" s="247">
        <f>IF($B290="","",IF(COUNTIFS(Пул!$E$5:$E$300,$B290,Пул!$G$5:$G$300,"&lt;&gt;")=0,"",ROUND(SUMIFS(Пул!$G$5:$G$300,Пул!$E$5:$E$300,$B290),8)))</f>
        <v/>
      </c>
      <c r="E290" s="246">
        <f>IF($B290="","",IF(COUNTIFS(Пул!$E$5:$E$300,$B290,Пул!$L$5:$L$300,"Закрыт")=0,"",ROUND(SUMIFS(Пул!$H$5:$H$300,Пул!$E$5:$E$300,$B290,Пул!$L$5:$L$300,"Закрыт"),8)))</f>
        <v/>
      </c>
      <c r="F290" s="247">
        <f>IF($B290="","",IF(COUNTIFS(Пул!$E$5:$E$300,$B290,Пул!$L$5:$L$300,"Закрыт")=0,"",ROUND(SUMIFS(Пул!$I$5:$I$300,Пул!$E$5:$E$300,$B290,Пул!$L$5:$L$300,"Закрыт"),8)))</f>
        <v/>
      </c>
      <c r="G290" s="246">
        <f>IF($B290="","",IF(COUNTIFS(Пул!$E$5:$E$300,$B290,Пул!$L$5:$L$300,"Закрыт")=0,"",ROUND(SUMIFS(Пул!$J$5:$J$300,Пул!$E$5:$E$300,$B290,Пул!$L$5:$L$300,"Закрыт"),8)))</f>
        <v/>
      </c>
      <c r="H290" s="247">
        <f>IF($B290="","",IF(COUNTIFS(Пул!$E$5:$E$300,$B290,Пул!$L$5:$L$300,"Закрыт")=0,"",ROUND(SUMIFS(Пул!$K$5:$K$300,Пул!$E$5:$E$300,$B290,Пул!$L$5:$L$300,"Закрыт"),8)))</f>
        <v/>
      </c>
      <c r="I290" s="242">
        <f>IF(AND(ISNUMBER(G290),ISNUMBER(H290)),IF(AND(G290&gt;0,H290&lt;0),"Buy",IF(AND(G290&lt;0,H290&gt;0),"Sell","")),"")</f>
        <v/>
      </c>
      <c r="J290" s="183">
        <f>IF(I290="Buy",G290,IF(I290="Sell",-G290,""))</f>
        <v/>
      </c>
      <c r="K290" s="183">
        <f>IF(AND(ISNUMBER(J290),ISNUMBER(L290),N(J290)&lt;&gt;0),ROUND(L290/J290,8),"")</f>
        <v/>
      </c>
      <c r="L290" s="183">
        <f>IF(I290="Buy",-H290,IF(I290="Sell",H290,""))</f>
        <v/>
      </c>
    </row>
    <row r="291" ht="22" customHeight="1">
      <c r="B291" s="315" t="n"/>
      <c r="C291" s="240">
        <f>IF($B291="","",IF(COUNTIFS(Пул!$E$5:$E$300,$B291,Пул!$F$5:$F$300,"&lt;&gt;")=0,"",ROUND(SUMIFS(Пул!$F$5:$F$300,Пул!$E$5:$E$300,$B291),8)))</f>
        <v/>
      </c>
      <c r="D291" s="241">
        <f>IF($B291="","",IF(COUNTIFS(Пул!$E$5:$E$300,$B291,Пул!$G$5:$G$300,"&lt;&gt;")=0,"",ROUND(SUMIFS(Пул!$G$5:$G$300,Пул!$E$5:$E$300,$B291),8)))</f>
        <v/>
      </c>
      <c r="E291" s="240">
        <f>IF($B291="","",IF(COUNTIFS(Пул!$E$5:$E$300,$B291,Пул!$L$5:$L$300,"Закрыт")=0,"",ROUND(SUMIFS(Пул!$H$5:$H$300,Пул!$E$5:$E$300,$B291,Пул!$L$5:$L$300,"Закрыт"),8)))</f>
        <v/>
      </c>
      <c r="F291" s="241">
        <f>IF($B291="","",IF(COUNTIFS(Пул!$E$5:$E$300,$B291,Пул!$L$5:$L$300,"Закрыт")=0,"",ROUND(SUMIFS(Пул!$I$5:$I$300,Пул!$E$5:$E$300,$B291,Пул!$L$5:$L$300,"Закрыт"),8)))</f>
        <v/>
      </c>
      <c r="G291" s="240">
        <f>IF($B291="","",IF(COUNTIFS(Пул!$E$5:$E$300,$B291,Пул!$L$5:$L$300,"Закрыт")=0,"",ROUND(SUMIFS(Пул!$J$5:$J$300,Пул!$E$5:$E$300,$B291,Пул!$L$5:$L$300,"Закрыт"),8)))</f>
        <v/>
      </c>
      <c r="H291" s="241">
        <f>IF($B291="","",IF(COUNTIFS(Пул!$E$5:$E$300,$B291,Пул!$L$5:$L$300,"Закрыт")=0,"",ROUND(SUMIFS(Пул!$K$5:$K$300,Пул!$E$5:$E$300,$B291,Пул!$L$5:$L$300,"Закрыт"),8)))</f>
        <v/>
      </c>
      <c r="I291" s="236">
        <f>IF(AND(ISNUMBER(G291),ISNUMBER(H291)),IF(AND(G291&gt;0,H291&lt;0),"Buy",IF(AND(G291&lt;0,H291&gt;0),"Sell","")),"")</f>
        <v/>
      </c>
      <c r="J291" s="177">
        <f>IF(I291="Buy",G291,IF(I291="Sell",-G291,""))</f>
        <v/>
      </c>
      <c r="K291" s="177">
        <f>IF(AND(ISNUMBER(J291),ISNUMBER(L291),N(J291)&lt;&gt;0),ROUND(L291/J291,8),"")</f>
        <v/>
      </c>
      <c r="L291" s="177">
        <f>IF(I291="Buy",-H291,IF(I291="Sell",H291,""))</f>
        <v/>
      </c>
    </row>
    <row r="292" ht="22" customHeight="1">
      <c r="B292" s="320" t="n"/>
      <c r="C292" s="246">
        <f>IF($B292="","",IF(COUNTIFS(Пул!$E$5:$E$300,$B292,Пул!$F$5:$F$300,"&lt;&gt;")=0,"",ROUND(SUMIFS(Пул!$F$5:$F$300,Пул!$E$5:$E$300,$B292),8)))</f>
        <v/>
      </c>
      <c r="D292" s="247">
        <f>IF($B292="","",IF(COUNTIFS(Пул!$E$5:$E$300,$B292,Пул!$G$5:$G$300,"&lt;&gt;")=0,"",ROUND(SUMIFS(Пул!$G$5:$G$300,Пул!$E$5:$E$300,$B292),8)))</f>
        <v/>
      </c>
      <c r="E292" s="246">
        <f>IF($B292="","",IF(COUNTIFS(Пул!$E$5:$E$300,$B292,Пул!$L$5:$L$300,"Закрыт")=0,"",ROUND(SUMIFS(Пул!$H$5:$H$300,Пул!$E$5:$E$300,$B292,Пул!$L$5:$L$300,"Закрыт"),8)))</f>
        <v/>
      </c>
      <c r="F292" s="247">
        <f>IF($B292="","",IF(COUNTIFS(Пул!$E$5:$E$300,$B292,Пул!$L$5:$L$300,"Закрыт")=0,"",ROUND(SUMIFS(Пул!$I$5:$I$300,Пул!$E$5:$E$300,$B292,Пул!$L$5:$L$300,"Закрыт"),8)))</f>
        <v/>
      </c>
      <c r="G292" s="246">
        <f>IF($B292="","",IF(COUNTIFS(Пул!$E$5:$E$300,$B292,Пул!$L$5:$L$300,"Закрыт")=0,"",ROUND(SUMIFS(Пул!$J$5:$J$300,Пул!$E$5:$E$300,$B292,Пул!$L$5:$L$300,"Закрыт"),8)))</f>
        <v/>
      </c>
      <c r="H292" s="247">
        <f>IF($B292="","",IF(COUNTIFS(Пул!$E$5:$E$300,$B292,Пул!$L$5:$L$300,"Закрыт")=0,"",ROUND(SUMIFS(Пул!$K$5:$K$300,Пул!$E$5:$E$300,$B292,Пул!$L$5:$L$300,"Закрыт"),8)))</f>
        <v/>
      </c>
      <c r="I292" s="242">
        <f>IF(AND(ISNUMBER(G292),ISNUMBER(H292)),IF(AND(G292&gt;0,H292&lt;0),"Buy",IF(AND(G292&lt;0,H292&gt;0),"Sell","")),"")</f>
        <v/>
      </c>
      <c r="J292" s="183">
        <f>IF(I292="Buy",G292,IF(I292="Sell",-G292,""))</f>
        <v/>
      </c>
      <c r="K292" s="183">
        <f>IF(AND(ISNUMBER(J292),ISNUMBER(L292),N(J292)&lt;&gt;0),ROUND(L292/J292,8),"")</f>
        <v/>
      </c>
      <c r="L292" s="183">
        <f>IF(I292="Buy",-H292,IF(I292="Sell",H292,""))</f>
        <v/>
      </c>
    </row>
    <row r="293" ht="22" customHeight="1">
      <c r="B293" s="315" t="n"/>
      <c r="C293" s="240">
        <f>IF($B293="","",IF(COUNTIFS(Пул!$E$5:$E$300,$B293,Пул!$F$5:$F$300,"&lt;&gt;")=0,"",ROUND(SUMIFS(Пул!$F$5:$F$300,Пул!$E$5:$E$300,$B293),8)))</f>
        <v/>
      </c>
      <c r="D293" s="241">
        <f>IF($B293="","",IF(COUNTIFS(Пул!$E$5:$E$300,$B293,Пул!$G$5:$G$300,"&lt;&gt;")=0,"",ROUND(SUMIFS(Пул!$G$5:$G$300,Пул!$E$5:$E$300,$B293),8)))</f>
        <v/>
      </c>
      <c r="E293" s="240">
        <f>IF($B293="","",IF(COUNTIFS(Пул!$E$5:$E$300,$B293,Пул!$L$5:$L$300,"Закрыт")=0,"",ROUND(SUMIFS(Пул!$H$5:$H$300,Пул!$E$5:$E$300,$B293,Пул!$L$5:$L$300,"Закрыт"),8)))</f>
        <v/>
      </c>
      <c r="F293" s="241">
        <f>IF($B293="","",IF(COUNTIFS(Пул!$E$5:$E$300,$B293,Пул!$L$5:$L$300,"Закрыт")=0,"",ROUND(SUMIFS(Пул!$I$5:$I$300,Пул!$E$5:$E$300,$B293,Пул!$L$5:$L$300,"Закрыт"),8)))</f>
        <v/>
      </c>
      <c r="G293" s="240">
        <f>IF($B293="","",IF(COUNTIFS(Пул!$E$5:$E$300,$B293,Пул!$L$5:$L$300,"Закрыт")=0,"",ROUND(SUMIFS(Пул!$J$5:$J$300,Пул!$E$5:$E$300,$B293,Пул!$L$5:$L$300,"Закрыт"),8)))</f>
        <v/>
      </c>
      <c r="H293" s="241">
        <f>IF($B293="","",IF(COUNTIFS(Пул!$E$5:$E$300,$B293,Пул!$L$5:$L$300,"Закрыт")=0,"",ROUND(SUMIFS(Пул!$K$5:$K$300,Пул!$E$5:$E$300,$B293,Пул!$L$5:$L$300,"Закрыт"),8)))</f>
        <v/>
      </c>
      <c r="I293" s="236">
        <f>IF(AND(ISNUMBER(G293),ISNUMBER(H293)),IF(AND(G293&gt;0,H293&lt;0),"Buy",IF(AND(G293&lt;0,H293&gt;0),"Sell","")),"")</f>
        <v/>
      </c>
      <c r="J293" s="177">
        <f>IF(I293="Buy",G293,IF(I293="Sell",-G293,""))</f>
        <v/>
      </c>
      <c r="K293" s="177">
        <f>IF(AND(ISNUMBER(J293),ISNUMBER(L293),N(J293)&lt;&gt;0),ROUND(L293/J293,8),"")</f>
        <v/>
      </c>
      <c r="L293" s="177">
        <f>IF(I293="Buy",-H293,IF(I293="Sell",H293,""))</f>
        <v/>
      </c>
    </row>
    <row r="294" ht="22" customHeight="1">
      <c r="B294" s="320" t="n"/>
      <c r="C294" s="246">
        <f>IF($B294="","",IF(COUNTIFS(Пул!$E$5:$E$300,$B294,Пул!$F$5:$F$300,"&lt;&gt;")=0,"",ROUND(SUMIFS(Пул!$F$5:$F$300,Пул!$E$5:$E$300,$B294),8)))</f>
        <v/>
      </c>
      <c r="D294" s="247">
        <f>IF($B294="","",IF(COUNTIFS(Пул!$E$5:$E$300,$B294,Пул!$G$5:$G$300,"&lt;&gt;")=0,"",ROUND(SUMIFS(Пул!$G$5:$G$300,Пул!$E$5:$E$300,$B294),8)))</f>
        <v/>
      </c>
      <c r="E294" s="246">
        <f>IF($B294="","",IF(COUNTIFS(Пул!$E$5:$E$300,$B294,Пул!$L$5:$L$300,"Закрыт")=0,"",ROUND(SUMIFS(Пул!$H$5:$H$300,Пул!$E$5:$E$300,$B294,Пул!$L$5:$L$300,"Закрыт"),8)))</f>
        <v/>
      </c>
      <c r="F294" s="247">
        <f>IF($B294="","",IF(COUNTIFS(Пул!$E$5:$E$300,$B294,Пул!$L$5:$L$300,"Закрыт")=0,"",ROUND(SUMIFS(Пул!$I$5:$I$300,Пул!$E$5:$E$300,$B294,Пул!$L$5:$L$300,"Закрыт"),8)))</f>
        <v/>
      </c>
      <c r="G294" s="246">
        <f>IF($B294="","",IF(COUNTIFS(Пул!$E$5:$E$300,$B294,Пул!$L$5:$L$300,"Закрыт")=0,"",ROUND(SUMIFS(Пул!$J$5:$J$300,Пул!$E$5:$E$300,$B294,Пул!$L$5:$L$300,"Закрыт"),8)))</f>
        <v/>
      </c>
      <c r="H294" s="247">
        <f>IF($B294="","",IF(COUNTIFS(Пул!$E$5:$E$300,$B294,Пул!$L$5:$L$300,"Закрыт")=0,"",ROUND(SUMIFS(Пул!$K$5:$K$300,Пул!$E$5:$E$300,$B294,Пул!$L$5:$L$300,"Закрыт"),8)))</f>
        <v/>
      </c>
      <c r="I294" s="242">
        <f>IF(AND(ISNUMBER(G294),ISNUMBER(H294)),IF(AND(G294&gt;0,H294&lt;0),"Buy",IF(AND(G294&lt;0,H294&gt;0),"Sell","")),"")</f>
        <v/>
      </c>
      <c r="J294" s="183">
        <f>IF(I294="Buy",G294,IF(I294="Sell",-G294,""))</f>
        <v/>
      </c>
      <c r="K294" s="183">
        <f>IF(AND(ISNUMBER(J294),ISNUMBER(L294),N(J294)&lt;&gt;0),ROUND(L294/J294,8),"")</f>
        <v/>
      </c>
      <c r="L294" s="183">
        <f>IF(I294="Buy",-H294,IF(I294="Sell",H294,""))</f>
        <v/>
      </c>
    </row>
    <row r="295" ht="22" customHeight="1">
      <c r="B295" s="315" t="n"/>
      <c r="C295" s="240">
        <f>IF($B295="","",IF(COUNTIFS(Пул!$E$5:$E$300,$B295,Пул!$F$5:$F$300,"&lt;&gt;")=0,"",ROUND(SUMIFS(Пул!$F$5:$F$300,Пул!$E$5:$E$300,$B295),8)))</f>
        <v/>
      </c>
      <c r="D295" s="241">
        <f>IF($B295="","",IF(COUNTIFS(Пул!$E$5:$E$300,$B295,Пул!$G$5:$G$300,"&lt;&gt;")=0,"",ROUND(SUMIFS(Пул!$G$5:$G$300,Пул!$E$5:$E$300,$B295),8)))</f>
        <v/>
      </c>
      <c r="E295" s="240">
        <f>IF($B295="","",IF(COUNTIFS(Пул!$E$5:$E$300,$B295,Пул!$L$5:$L$300,"Закрыт")=0,"",ROUND(SUMIFS(Пул!$H$5:$H$300,Пул!$E$5:$E$300,$B295,Пул!$L$5:$L$300,"Закрыт"),8)))</f>
        <v/>
      </c>
      <c r="F295" s="241">
        <f>IF($B295="","",IF(COUNTIFS(Пул!$E$5:$E$300,$B295,Пул!$L$5:$L$300,"Закрыт")=0,"",ROUND(SUMIFS(Пул!$I$5:$I$300,Пул!$E$5:$E$300,$B295,Пул!$L$5:$L$300,"Закрыт"),8)))</f>
        <v/>
      </c>
      <c r="G295" s="240">
        <f>IF($B295="","",IF(COUNTIFS(Пул!$E$5:$E$300,$B295,Пул!$L$5:$L$300,"Закрыт")=0,"",ROUND(SUMIFS(Пул!$J$5:$J$300,Пул!$E$5:$E$300,$B295,Пул!$L$5:$L$300,"Закрыт"),8)))</f>
        <v/>
      </c>
      <c r="H295" s="241">
        <f>IF($B295="","",IF(COUNTIFS(Пул!$E$5:$E$300,$B295,Пул!$L$5:$L$300,"Закрыт")=0,"",ROUND(SUMIFS(Пул!$K$5:$K$300,Пул!$E$5:$E$300,$B295,Пул!$L$5:$L$300,"Закрыт"),8)))</f>
        <v/>
      </c>
      <c r="I295" s="236">
        <f>IF(AND(ISNUMBER(G295),ISNUMBER(H295)),IF(AND(G295&gt;0,H295&lt;0),"Buy",IF(AND(G295&lt;0,H295&gt;0),"Sell","")),"")</f>
        <v/>
      </c>
      <c r="J295" s="177">
        <f>IF(I295="Buy",G295,IF(I295="Sell",-G295,""))</f>
        <v/>
      </c>
      <c r="K295" s="177">
        <f>IF(AND(ISNUMBER(J295),ISNUMBER(L295),N(J295)&lt;&gt;0),ROUND(L295/J295,8),"")</f>
        <v/>
      </c>
      <c r="L295" s="177">
        <f>IF(I295="Buy",-H295,IF(I295="Sell",H295,""))</f>
        <v/>
      </c>
    </row>
    <row r="296" ht="22" customHeight="1">
      <c r="B296" s="320" t="n"/>
      <c r="C296" s="246">
        <f>IF($B296="","",IF(COUNTIFS(Пул!$E$5:$E$300,$B296,Пул!$F$5:$F$300,"&lt;&gt;")=0,"",ROUND(SUMIFS(Пул!$F$5:$F$300,Пул!$E$5:$E$300,$B296),8)))</f>
        <v/>
      </c>
      <c r="D296" s="247">
        <f>IF($B296="","",IF(COUNTIFS(Пул!$E$5:$E$300,$B296,Пул!$G$5:$G$300,"&lt;&gt;")=0,"",ROUND(SUMIFS(Пул!$G$5:$G$300,Пул!$E$5:$E$300,$B296),8)))</f>
        <v/>
      </c>
      <c r="E296" s="246">
        <f>IF($B296="","",IF(COUNTIFS(Пул!$E$5:$E$300,$B296,Пул!$L$5:$L$300,"Закрыт")=0,"",ROUND(SUMIFS(Пул!$H$5:$H$300,Пул!$E$5:$E$300,$B296,Пул!$L$5:$L$300,"Закрыт"),8)))</f>
        <v/>
      </c>
      <c r="F296" s="247">
        <f>IF($B296="","",IF(COUNTIFS(Пул!$E$5:$E$300,$B296,Пул!$L$5:$L$300,"Закрыт")=0,"",ROUND(SUMIFS(Пул!$I$5:$I$300,Пул!$E$5:$E$300,$B296,Пул!$L$5:$L$300,"Закрыт"),8)))</f>
        <v/>
      </c>
      <c r="G296" s="246">
        <f>IF($B296="","",IF(COUNTIFS(Пул!$E$5:$E$300,$B296,Пул!$L$5:$L$300,"Закрыт")=0,"",ROUND(SUMIFS(Пул!$J$5:$J$300,Пул!$E$5:$E$300,$B296,Пул!$L$5:$L$300,"Закрыт"),8)))</f>
        <v/>
      </c>
      <c r="H296" s="247">
        <f>IF($B296="","",IF(COUNTIFS(Пул!$E$5:$E$300,$B296,Пул!$L$5:$L$300,"Закрыт")=0,"",ROUND(SUMIFS(Пул!$K$5:$K$300,Пул!$E$5:$E$300,$B296,Пул!$L$5:$L$300,"Закрыт"),8)))</f>
        <v/>
      </c>
      <c r="I296" s="242">
        <f>IF(AND(ISNUMBER(G296),ISNUMBER(H296)),IF(AND(G296&gt;0,H296&lt;0),"Buy",IF(AND(G296&lt;0,H296&gt;0),"Sell","")),"")</f>
        <v/>
      </c>
      <c r="J296" s="183">
        <f>IF(I296="Buy",G296,IF(I296="Sell",-G296,""))</f>
        <v/>
      </c>
      <c r="K296" s="183">
        <f>IF(AND(ISNUMBER(J296),ISNUMBER(L296),N(J296)&lt;&gt;0),ROUND(L296/J296,8),"")</f>
        <v/>
      </c>
      <c r="L296" s="183">
        <f>IF(I296="Buy",-H296,IF(I296="Sell",H296,""))</f>
        <v/>
      </c>
    </row>
    <row r="297" ht="22" customHeight="1">
      <c r="B297" s="315" t="n"/>
      <c r="C297" s="240">
        <f>IF($B297="","",IF(COUNTIFS(Пул!$E$5:$E$300,$B297,Пул!$F$5:$F$300,"&lt;&gt;")=0,"",ROUND(SUMIFS(Пул!$F$5:$F$300,Пул!$E$5:$E$300,$B297),8)))</f>
        <v/>
      </c>
      <c r="D297" s="241">
        <f>IF($B297="","",IF(COUNTIFS(Пул!$E$5:$E$300,$B297,Пул!$G$5:$G$300,"&lt;&gt;")=0,"",ROUND(SUMIFS(Пул!$G$5:$G$300,Пул!$E$5:$E$300,$B297),8)))</f>
        <v/>
      </c>
      <c r="E297" s="240">
        <f>IF($B297="","",IF(COUNTIFS(Пул!$E$5:$E$300,$B297,Пул!$L$5:$L$300,"Закрыт")=0,"",ROUND(SUMIFS(Пул!$H$5:$H$300,Пул!$E$5:$E$300,$B297,Пул!$L$5:$L$300,"Закрыт"),8)))</f>
        <v/>
      </c>
      <c r="F297" s="241">
        <f>IF($B297="","",IF(COUNTIFS(Пул!$E$5:$E$300,$B297,Пул!$L$5:$L$300,"Закрыт")=0,"",ROUND(SUMIFS(Пул!$I$5:$I$300,Пул!$E$5:$E$300,$B297,Пул!$L$5:$L$300,"Закрыт"),8)))</f>
        <v/>
      </c>
      <c r="G297" s="240">
        <f>IF($B297="","",IF(COUNTIFS(Пул!$E$5:$E$300,$B297,Пул!$L$5:$L$300,"Закрыт")=0,"",ROUND(SUMIFS(Пул!$J$5:$J$300,Пул!$E$5:$E$300,$B297,Пул!$L$5:$L$300,"Закрыт"),8)))</f>
        <v/>
      </c>
      <c r="H297" s="241">
        <f>IF($B297="","",IF(COUNTIFS(Пул!$E$5:$E$300,$B297,Пул!$L$5:$L$300,"Закрыт")=0,"",ROUND(SUMIFS(Пул!$K$5:$K$300,Пул!$E$5:$E$300,$B297,Пул!$L$5:$L$300,"Закрыт"),8)))</f>
        <v/>
      </c>
      <c r="I297" s="236">
        <f>IF(AND(ISNUMBER(G297),ISNUMBER(H297)),IF(AND(G297&gt;0,H297&lt;0),"Buy",IF(AND(G297&lt;0,H297&gt;0),"Sell","")),"")</f>
        <v/>
      </c>
      <c r="J297" s="177">
        <f>IF(I297="Buy",G297,IF(I297="Sell",-G297,""))</f>
        <v/>
      </c>
      <c r="K297" s="177">
        <f>IF(AND(ISNUMBER(J297),ISNUMBER(L297),N(J297)&lt;&gt;0),ROUND(L297/J297,8),"")</f>
        <v/>
      </c>
      <c r="L297" s="177">
        <f>IF(I297="Buy",-H297,IF(I297="Sell",H297,""))</f>
        <v/>
      </c>
    </row>
    <row r="298" ht="22" customHeight="1">
      <c r="B298" s="320" t="n"/>
      <c r="C298" s="246">
        <f>IF($B298="","",IF(COUNTIFS(Пул!$E$5:$E$300,$B298,Пул!$F$5:$F$300,"&lt;&gt;")=0,"",ROUND(SUMIFS(Пул!$F$5:$F$300,Пул!$E$5:$E$300,$B298),8)))</f>
        <v/>
      </c>
      <c r="D298" s="247">
        <f>IF($B298="","",IF(COUNTIFS(Пул!$E$5:$E$300,$B298,Пул!$G$5:$G$300,"&lt;&gt;")=0,"",ROUND(SUMIFS(Пул!$G$5:$G$300,Пул!$E$5:$E$300,$B298),8)))</f>
        <v/>
      </c>
      <c r="E298" s="246">
        <f>IF($B298="","",IF(COUNTIFS(Пул!$E$5:$E$300,$B298,Пул!$L$5:$L$300,"Закрыт")=0,"",ROUND(SUMIFS(Пул!$H$5:$H$300,Пул!$E$5:$E$300,$B298,Пул!$L$5:$L$300,"Закрыт"),8)))</f>
        <v/>
      </c>
      <c r="F298" s="247">
        <f>IF($B298="","",IF(COUNTIFS(Пул!$E$5:$E$300,$B298,Пул!$L$5:$L$300,"Закрыт")=0,"",ROUND(SUMIFS(Пул!$I$5:$I$300,Пул!$E$5:$E$300,$B298,Пул!$L$5:$L$300,"Закрыт"),8)))</f>
        <v/>
      </c>
      <c r="G298" s="246">
        <f>IF($B298="","",IF(COUNTIFS(Пул!$E$5:$E$300,$B298,Пул!$L$5:$L$300,"Закрыт")=0,"",ROUND(SUMIFS(Пул!$J$5:$J$300,Пул!$E$5:$E$300,$B298,Пул!$L$5:$L$300,"Закрыт"),8)))</f>
        <v/>
      </c>
      <c r="H298" s="247">
        <f>IF($B298="","",IF(COUNTIFS(Пул!$E$5:$E$300,$B298,Пул!$L$5:$L$300,"Закрыт")=0,"",ROUND(SUMIFS(Пул!$K$5:$K$300,Пул!$E$5:$E$300,$B298,Пул!$L$5:$L$300,"Закрыт"),8)))</f>
        <v/>
      </c>
      <c r="I298" s="242">
        <f>IF(AND(ISNUMBER(G298),ISNUMBER(H298)),IF(AND(G298&gt;0,H298&lt;0),"Buy",IF(AND(G298&lt;0,H298&gt;0),"Sell","")),"")</f>
        <v/>
      </c>
      <c r="J298" s="183">
        <f>IF(I298="Buy",G298,IF(I298="Sell",-G298,""))</f>
        <v/>
      </c>
      <c r="K298" s="183">
        <f>IF(AND(ISNUMBER(J298),ISNUMBER(L298),N(J298)&lt;&gt;0),ROUND(L298/J298,8),"")</f>
        <v/>
      </c>
      <c r="L298" s="183">
        <f>IF(I298="Buy",-H298,IF(I298="Sell",H298,""))</f>
        <v/>
      </c>
    </row>
    <row r="299" ht="22" customHeight="1">
      <c r="B299" s="315" t="n"/>
      <c r="C299" s="240">
        <f>IF($B299="","",IF(COUNTIFS(Пул!$E$5:$E$300,$B299,Пул!$F$5:$F$300,"&lt;&gt;")=0,"",ROUND(SUMIFS(Пул!$F$5:$F$300,Пул!$E$5:$E$300,$B299),8)))</f>
        <v/>
      </c>
      <c r="D299" s="241">
        <f>IF($B299="","",IF(COUNTIFS(Пул!$E$5:$E$300,$B299,Пул!$G$5:$G$300,"&lt;&gt;")=0,"",ROUND(SUMIFS(Пул!$G$5:$G$300,Пул!$E$5:$E$300,$B299),8)))</f>
        <v/>
      </c>
      <c r="E299" s="240">
        <f>IF($B299="","",IF(COUNTIFS(Пул!$E$5:$E$300,$B299,Пул!$L$5:$L$300,"Закрыт")=0,"",ROUND(SUMIFS(Пул!$H$5:$H$300,Пул!$E$5:$E$300,$B299,Пул!$L$5:$L$300,"Закрыт"),8)))</f>
        <v/>
      </c>
      <c r="F299" s="241">
        <f>IF($B299="","",IF(COUNTIFS(Пул!$E$5:$E$300,$B299,Пул!$L$5:$L$300,"Закрыт")=0,"",ROUND(SUMIFS(Пул!$I$5:$I$300,Пул!$E$5:$E$300,$B299,Пул!$L$5:$L$300,"Закрыт"),8)))</f>
        <v/>
      </c>
      <c r="G299" s="240">
        <f>IF($B299="","",IF(COUNTIFS(Пул!$E$5:$E$300,$B299,Пул!$L$5:$L$300,"Закрыт")=0,"",ROUND(SUMIFS(Пул!$J$5:$J$300,Пул!$E$5:$E$300,$B299,Пул!$L$5:$L$300,"Закрыт"),8)))</f>
        <v/>
      </c>
      <c r="H299" s="241">
        <f>IF($B299="","",IF(COUNTIFS(Пул!$E$5:$E$300,$B299,Пул!$L$5:$L$300,"Закрыт")=0,"",ROUND(SUMIFS(Пул!$K$5:$K$300,Пул!$E$5:$E$300,$B299,Пул!$L$5:$L$300,"Закрыт"),8)))</f>
        <v/>
      </c>
      <c r="I299" s="236">
        <f>IF(AND(ISNUMBER(G299),ISNUMBER(H299)),IF(AND(G299&gt;0,H299&lt;0),"Buy",IF(AND(G299&lt;0,H299&gt;0),"Sell","")),"")</f>
        <v/>
      </c>
      <c r="J299" s="177">
        <f>IF(I299="Buy",G299,IF(I299="Sell",-G299,""))</f>
        <v/>
      </c>
      <c r="K299" s="177">
        <f>IF(AND(ISNUMBER(J299),ISNUMBER(L299),N(J299)&lt;&gt;0),ROUND(L299/J299,8),"")</f>
        <v/>
      </c>
      <c r="L299" s="177">
        <f>IF(I299="Buy",-H299,IF(I299="Sell",H299,""))</f>
        <v/>
      </c>
    </row>
    <row r="300" ht="22" customHeight="1">
      <c r="B300" s="320" t="n"/>
      <c r="C300" s="246">
        <f>IF($B300="","",IF(COUNTIFS(Пул!$E$5:$E$300,$B300,Пул!$F$5:$F$300,"&lt;&gt;")=0,"",ROUND(SUMIFS(Пул!$F$5:$F$300,Пул!$E$5:$E$300,$B300),8)))</f>
        <v/>
      </c>
      <c r="D300" s="247">
        <f>IF($B300="","",IF(COUNTIFS(Пул!$E$5:$E$300,$B300,Пул!$G$5:$G$300,"&lt;&gt;")=0,"",ROUND(SUMIFS(Пул!$G$5:$G$300,Пул!$E$5:$E$300,$B300),8)))</f>
        <v/>
      </c>
      <c r="E300" s="246">
        <f>IF($B300="","",IF(COUNTIFS(Пул!$E$5:$E$300,$B300,Пул!$L$5:$L$300,"Закрыт")=0,"",ROUND(SUMIFS(Пул!$H$5:$H$300,Пул!$E$5:$E$300,$B300,Пул!$L$5:$L$300,"Закрыт"),8)))</f>
        <v/>
      </c>
      <c r="F300" s="247">
        <f>IF($B300="","",IF(COUNTIFS(Пул!$E$5:$E$300,$B300,Пул!$L$5:$L$300,"Закрыт")=0,"",ROUND(SUMIFS(Пул!$I$5:$I$300,Пул!$E$5:$E$300,$B300,Пул!$L$5:$L$300,"Закрыт"),8)))</f>
        <v/>
      </c>
      <c r="G300" s="246">
        <f>IF($B300="","",IF(COUNTIFS(Пул!$E$5:$E$300,$B300,Пул!$L$5:$L$300,"Закрыт")=0,"",ROUND(SUMIFS(Пул!$J$5:$J$300,Пул!$E$5:$E$300,$B300,Пул!$L$5:$L$300,"Закрыт"),8)))</f>
        <v/>
      </c>
      <c r="H300" s="247">
        <f>IF($B300="","",IF(COUNTIFS(Пул!$E$5:$E$300,$B300,Пул!$L$5:$L$300,"Закрыт")=0,"",ROUND(SUMIFS(Пул!$K$5:$K$300,Пул!$E$5:$E$300,$B300,Пул!$L$5:$L$300,"Закрыт"),8)))</f>
        <v/>
      </c>
      <c r="I300" s="242">
        <f>IF(AND(ISNUMBER(G300),ISNUMBER(H300)),IF(AND(G300&gt;0,H300&lt;0),"Buy",IF(AND(G300&lt;0,H300&gt;0),"Sell","")),"")</f>
        <v/>
      </c>
      <c r="J300" s="183">
        <f>IF(I300="Buy",G300,IF(I300="Sell",-G300,""))</f>
        <v/>
      </c>
      <c r="K300" s="183">
        <f>IF(AND(ISNUMBER(J300),ISNUMBER(L300),N(J300)&lt;&gt;0),ROUND(L300/J300,8),"")</f>
        <v/>
      </c>
      <c r="L300" s="183">
        <f>IF(I300="Buy",-H300,IF(I300="Sell",H300,""))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L300"/>
  <mergeCells count="1">
    <mergeCell ref="B1:L2"/>
  </mergeCells>
  <conditionalFormatting sqref="B5:L300">
    <cfRule type="expression" priority="1" dxfId="2">
      <formula>MOD(ROW(),2)=1</formula>
    </cfRule>
    <cfRule type="expression" priority="2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 codeName="Sheet8">
    <tabColor rgb="00244E62"/>
    <outlinePr summaryBelow="1" summaryRight="1"/>
    <pageSetUpPr fitToPage="1"/>
  </sheetPr>
  <dimension ref="B1:Q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3" customWidth="1" min="14" max="14"/>
    <col width="12" customWidth="1" min="15" max="15"/>
    <col width="8.43" customWidth="1" min="16" max="16"/>
    <col width="8.43" customWidth="1" min="17" max="17"/>
  </cols>
  <sheetData>
    <row r="1" ht="21" customHeight="1">
      <c r="B1" s="1" t="inlineStr">
        <is>
          <t>CRYPTO JOURNAL • ЗАКРЫТЫЕ</t>
        </is>
      </c>
      <c r="P1" s="207" t="n"/>
      <c r="Q1" s="207" t="n"/>
    </row>
    <row r="2" ht="21" customHeight="1">
      <c r="P2" s="207" t="n"/>
      <c r="Q2" s="207" t="n"/>
    </row>
    <row r="3" ht="10" customHeight="1">
      <c r="P3" s="207" t="n"/>
      <c r="Q3" s="207" t="n"/>
    </row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3" t="inlineStr">
        <is>
          <t>Кол-во</t>
        </is>
      </c>
      <c r="G4" s="185" t="inlineStr">
        <is>
          <t>Курс</t>
        </is>
      </c>
      <c r="H4" s="165" t="inlineStr">
        <is>
          <t>Сумма</t>
        </is>
      </c>
      <c r="I4" s="166" t="inlineStr">
        <is>
          <t>Кол-во</t>
        </is>
      </c>
      <c r="J4" s="167" t="inlineStr">
        <is>
          <t>Курс</t>
        </is>
      </c>
      <c r="K4" s="168" t="inlineStr">
        <is>
          <t>Сумма</t>
        </is>
      </c>
      <c r="L4" s="169" t="inlineStr">
        <is>
          <t>Дельта 1</t>
        </is>
      </c>
      <c r="M4" s="170" t="inlineStr">
        <is>
          <t>Дельта 2</t>
        </is>
      </c>
      <c r="N4" s="171" t="inlineStr">
        <is>
          <t>P&amp;L</t>
        </is>
      </c>
      <c r="O4" s="172" t="inlineStr">
        <is>
          <t>P&amp;L%</t>
        </is>
      </c>
      <c r="P4" s="207" t="n"/>
      <c r="Q4" s="207" t="n"/>
    </row>
    <row r="5" ht="22" customHeight="1">
      <c r="B5" s="313" t="inlineStr">
        <is>
          <t>T-0005</t>
        </is>
      </c>
      <c r="C5" s="314" t="n">
        <v>46299</v>
      </c>
      <c r="D5" s="313" t="inlineStr">
        <is>
          <t>Bybit</t>
        </is>
      </c>
      <c r="E5" s="315" t="inlineStr">
        <is>
          <t>BNB/USDT</t>
        </is>
      </c>
      <c r="F5" s="316" t="n">
        <v>2</v>
      </c>
      <c r="G5" s="317" t="n">
        <v>586.17</v>
      </c>
      <c r="H5" s="271">
        <f>IF(AND(ISNUMBER(F5),ISNUMBER(G5)),F5*G5,"")</f>
        <v/>
      </c>
      <c r="I5" s="316" t="n">
        <v>2</v>
      </c>
      <c r="J5" s="317" t="n">
        <v>598.8</v>
      </c>
      <c r="K5" s="271">
        <f>IF(AND(ISNUMBER(I5),ISNUMBER(J5)),I5*J5,"")</f>
        <v/>
      </c>
      <c r="L5" s="240">
        <f>IF(COUNT(F5,I5)=0,"",N(F5)-N(I5))</f>
        <v/>
      </c>
      <c r="M5" s="241">
        <f>IF(COUNT(H5,K5)=0,"",N(K5)-N(H5))</f>
        <v/>
      </c>
      <c r="N5" s="240">
        <f>IF(AND(ISNUMBER(F5),ISNUMBER(I5),ISNUMBER(H5),ISNUMBER(K5),F5&gt;0,I5&gt;0,H5&lt;&gt;0),IF(OR(COUNTIF(Торговля!$B$5:$B$300,$B5)+COUNTIF(Лэндинг!$B$5:$B$300,$B5)&gt;0,COUNTIF($B6:$B$301,$B5)&gt;0),0,ROUND(SUMPRODUCT(($B$5:$B$300=$B5)*(($F$5:$F$300+$I$5:$I$300-ABS($F$5:$F$300-$I$5:$I$300))/2)*($J$5:$J$300-$G$5:$G$300)),8)),"")</f>
        <v/>
      </c>
      <c r="O5" s="177">
        <f>IF(ISNUMBER(N5),IF(OR(COUNTIF(Торговля!$B$5:$B$300,$B5)+COUNTIF(Лэндинг!$B$5:$B$300,$B5)&gt;0,COUNTIF($B6:$B$301,$B5)&gt;0),0,IF(SUMPRODUCT(($B$5:$B$300=$B5)*(($F$5:$F$300+$I$5:$I$300-ABS($F$5:$F$300-$I$5:$I$300))/2)*$G$5:$G$300)&lt;=0,"",ROUND(N5/SUMPRODUCT(($B$5:$B$300=$B5)*(($F$5:$F$300+$I$5:$I$300-ABS($F$5:$F$300-$I$5:$I$300))/2)*$G$5:$G$300)*100,2))),"")</f>
        <v/>
      </c>
      <c r="P5" s="207" t="n"/>
      <c r="Q5" s="207" t="n"/>
    </row>
    <row r="6" ht="22" customHeight="1">
      <c r="B6" s="318" t="inlineStr">
        <is>
          <t>T-0006</t>
        </is>
      </c>
      <c r="C6" s="319" t="n">
        <v>46299</v>
      </c>
      <c r="D6" s="318" t="inlineStr">
        <is>
          <t>OKX</t>
        </is>
      </c>
      <c r="E6" s="320" t="inlineStr">
        <is>
          <t>BTC/USDT</t>
        </is>
      </c>
      <c r="F6" s="321" t="n">
        <v>0.05</v>
      </c>
      <c r="G6" s="322" t="n">
        <v>62324.4</v>
      </c>
      <c r="H6" s="271">
        <f>IF(AND(ISNUMBER(F6),ISNUMBER(G6)),F6*G6,"")</f>
        <v/>
      </c>
      <c r="I6" s="321" t="n">
        <v>0.05</v>
      </c>
      <c r="J6" s="322" t="n">
        <v>62874</v>
      </c>
      <c r="K6" s="271">
        <f>IF(AND(ISNUMBER(I6),ISNUMBER(J6)),I6*J6,"")</f>
        <v/>
      </c>
      <c r="L6" s="246">
        <f>IF(COUNT(F6,I6)=0,"",N(F6)-N(I6))</f>
        <v/>
      </c>
      <c r="M6" s="247">
        <f>IF(COUNT(H6,K6)=0,"",N(K6)-N(H6))</f>
        <v/>
      </c>
      <c r="N6" s="246">
        <f>IF(AND(ISNUMBER(F6),ISNUMBER(I6),ISNUMBER(H6),ISNUMBER(K6),F6&gt;0,I6&gt;0,H6&lt;&gt;0),IF(OR(COUNTIF(Торговля!$B$5:$B$300,$B6)+COUNTIF(Лэндинг!$B$5:$B$300,$B6)&gt;0,COUNTIF($B7:$B$301,$B6)&gt;0),0,ROUND(SUMPRODUCT(($B$5:$B$300=$B6)*(($F$5:$F$300+$I$5:$I$300-ABS($F$5:$F$300-$I$5:$I$300))/2)*($J$5:$J$300-$G$5:$G$300)),8)),"")</f>
        <v/>
      </c>
      <c r="O6" s="183">
        <f>IF(ISNUMBER(N6),IF(OR(COUNTIF(Торговля!$B$5:$B$300,$B6)+COUNTIF(Лэндинг!$B$5:$B$300,$B6)&gt;0,COUNTIF($B7:$B$301,$B6)&gt;0),0,IF(SUMPRODUCT(($B$5:$B$300=$B6)*(($F$5:$F$300+$I$5:$I$300-ABS($F$5:$F$300-$I$5:$I$300))/2)*$G$5:$G$300)&lt;=0,"",ROUND(N6/SUMPRODUCT(($B$5:$B$300=$B6)*(($F$5:$F$300+$I$5:$I$300-ABS($F$5:$F$300-$I$5:$I$300))/2)*$G$5:$G$300)*100,2))),"")</f>
        <v/>
      </c>
      <c r="P6" s="207" t="n"/>
      <c r="Q6" s="207" t="n"/>
    </row>
    <row r="7" ht="22" customHeight="1">
      <c r="B7" s="313" t="inlineStr">
        <is>
          <t>T-0002</t>
        </is>
      </c>
      <c r="C7" s="314" t="n">
        <v>46297</v>
      </c>
      <c r="D7" s="313" t="inlineStr">
        <is>
          <t>Bybit</t>
        </is>
      </c>
      <c r="E7" s="315" t="inlineStr">
        <is>
          <t>ETH/USDT</t>
        </is>
      </c>
      <c r="F7" s="316" t="n">
        <v>1</v>
      </c>
      <c r="G7" s="317" t="n">
        <v>3206.4</v>
      </c>
      <c r="H7" s="271">
        <f>IF(AND(ISNUMBER(F7),ISNUMBER(G7)),F7*G7,"")</f>
        <v/>
      </c>
      <c r="I7" s="316" t="n">
        <v>1</v>
      </c>
      <c r="J7" s="317" t="n">
        <v>3343.3</v>
      </c>
      <c r="K7" s="271">
        <f>IF(AND(ISNUMBER(I7),ISNUMBER(J7)),I7*J7,"")</f>
        <v/>
      </c>
      <c r="L7" s="240">
        <f>IF(COUNT(F7,I7)=0,"",N(F7)-N(I7))</f>
        <v/>
      </c>
      <c r="M7" s="241">
        <f>IF(COUNT(H7,K7)=0,"",N(K7)-N(H7))</f>
        <v/>
      </c>
      <c r="N7" s="240">
        <f>IF(AND(ISNUMBER(F7),ISNUMBER(I7),ISNUMBER(H7),ISNUMBER(K7),F7&gt;0,I7&gt;0,H7&lt;&gt;0),IF(OR(COUNTIF(Торговля!$B$5:$B$300,$B7)+COUNTIF(Лэндинг!$B$5:$B$300,$B7)&gt;0,COUNTIF($B8:$B$301,$B7)&gt;0),0,ROUND(SUMPRODUCT(($B$5:$B$300=$B7)*(($F$5:$F$300+$I$5:$I$300-ABS($F$5:$F$300-$I$5:$I$300))/2)*($J$5:$J$300-$G$5:$G$300)),8)),"")</f>
        <v/>
      </c>
      <c r="O7" s="177">
        <f>IF(ISNUMBER(N7),IF(OR(COUNTIF(Торговля!$B$5:$B$300,$B7)+COUNTIF(Лэндинг!$B$5:$B$300,$B7)&gt;0,COUNTIF($B8:$B$301,$B7)&gt;0),0,IF(SUMPRODUCT(($B$5:$B$300=$B7)*(($F$5:$F$300+$I$5:$I$300-ABS($F$5:$F$300-$I$5:$I$300))/2)*$G$5:$G$300)&lt;=0,"",ROUND(N7/SUMPRODUCT(($B$5:$B$300=$B7)*(($F$5:$F$300+$I$5:$I$300-ABS($F$5:$F$300-$I$5:$I$300))/2)*$G$5:$G$300)*100,2))),"")</f>
        <v/>
      </c>
      <c r="P7" s="207" t="n"/>
      <c r="Q7" s="207" t="n"/>
    </row>
    <row r="8" ht="22" customHeight="1">
      <c r="B8" s="318" t="inlineStr">
        <is>
          <t>T-0003</t>
        </is>
      </c>
      <c r="C8" s="319" t="n">
        <v>46298</v>
      </c>
      <c r="D8" s="318" t="inlineStr">
        <is>
          <t>OKX</t>
        </is>
      </c>
      <c r="E8" s="320" t="inlineStr">
        <is>
          <t>SOL/USDT</t>
        </is>
      </c>
      <c r="F8" s="321" t="n">
        <v>20</v>
      </c>
      <c r="G8" s="322" t="n">
        <v>145.29</v>
      </c>
      <c r="H8" s="271">
        <f>IF(AND(ISNUMBER(F8),ISNUMBER(G8)),F8*G8,"")</f>
        <v/>
      </c>
      <c r="I8" s="321" t="n">
        <v>20</v>
      </c>
      <c r="J8" s="322" t="n">
        <v>151.696</v>
      </c>
      <c r="K8" s="271">
        <f>IF(AND(ISNUMBER(I8),ISNUMBER(J8)),I8*J8,"")</f>
        <v/>
      </c>
      <c r="L8" s="246">
        <f>IF(COUNT(F8,I8)=0,"",N(F8)-N(I8))</f>
        <v/>
      </c>
      <c r="M8" s="247">
        <f>IF(COUNT(H8,K8)=0,"",N(K8)-N(H8))</f>
        <v/>
      </c>
      <c r="N8" s="246">
        <f>IF(AND(ISNUMBER(F8),ISNUMBER(I8),ISNUMBER(H8),ISNUMBER(K8),F8&gt;0,I8&gt;0,H8&lt;&gt;0),IF(OR(COUNTIF(Торговля!$B$5:$B$300,$B8)+COUNTIF(Лэндинг!$B$5:$B$300,$B8)&gt;0,COUNTIF($B9:$B$301,$B8)&gt;0),0,ROUND(SUMPRODUCT(($B$5:$B$300=$B8)*(($F$5:$F$300+$I$5:$I$300-ABS($F$5:$F$300-$I$5:$I$300))/2)*($J$5:$J$300-$G$5:$G$300)),8)),"")</f>
        <v/>
      </c>
      <c r="O8" s="183">
        <f>IF(ISNUMBER(N8),IF(OR(COUNTIF(Торговля!$B$5:$B$300,$B8)+COUNTIF(Лэндинг!$B$5:$B$300,$B8)&gt;0,COUNTIF($B9:$B$301,$B8)&gt;0),0,IF(SUMPRODUCT(($B$5:$B$300=$B8)*(($F$5:$F$300+$I$5:$I$300-ABS($F$5:$F$300-$I$5:$I$300))/2)*$G$5:$G$300)&lt;=0,"",ROUND(N8/SUMPRODUCT(($B$5:$B$300=$B8)*(($F$5:$F$300+$I$5:$I$300-ABS($F$5:$F$300-$I$5:$I$300))/2)*$G$5:$G$300)*100,2))),"")</f>
        <v/>
      </c>
      <c r="P8" s="207" t="n"/>
      <c r="Q8" s="207" t="n"/>
    </row>
    <row r="9" ht="22" customHeight="1">
      <c r="B9" s="313" t="inlineStr">
        <is>
          <t>L-0013</t>
        </is>
      </c>
      <c r="C9" s="314" t="n">
        <v>46299</v>
      </c>
      <c r="D9" s="313" t="inlineStr">
        <is>
          <t>Binance</t>
        </is>
      </c>
      <c r="E9" s="315" t="inlineStr">
        <is>
          <t>BNB/USDT</t>
        </is>
      </c>
      <c r="F9" s="316" t="n">
        <v>1.5</v>
      </c>
      <c r="G9" s="317" t="n">
        <v>585</v>
      </c>
      <c r="H9" s="271">
        <f>IF(AND(ISNUMBER(F9),ISNUMBER(G9)),F9*G9,"")</f>
        <v/>
      </c>
      <c r="I9" s="316" t="n">
        <v>1.5</v>
      </c>
      <c r="J9" s="317" t="n">
        <v>597</v>
      </c>
      <c r="K9" s="271">
        <f>IF(AND(ISNUMBER(I9),ISNUMBER(J9)),I9*J9,"")</f>
        <v/>
      </c>
      <c r="L9" s="240">
        <f>IF(COUNT(F9,I9)=0,"",N(F9)-N(I9))</f>
        <v/>
      </c>
      <c r="M9" s="241">
        <f>IF(COUNT(H9,K9)=0,"",N(K9)-N(H9))</f>
        <v/>
      </c>
      <c r="N9" s="240">
        <f>IF(AND(ISNUMBER(F9),ISNUMBER(I9),ISNUMBER(H9),ISNUMBER(K9),F9&gt;0,I9&gt;0,H9&lt;&gt;0),IF(OR(COUNTIF(Торговля!$B$5:$B$300,$B9)+COUNTIF(Лэндинг!$B$5:$B$300,$B9)&gt;0,COUNTIF($B10:$B$301,$B9)&gt;0),0,ROUND(SUMPRODUCT(($B$5:$B$300=$B9)*(($F$5:$F$300+$I$5:$I$300-ABS($F$5:$F$300-$I$5:$I$300))/2)*($J$5:$J$300-$G$5:$G$300)),8)),"")</f>
        <v/>
      </c>
      <c r="O9" s="177">
        <f>IF(ISNUMBER(N9),IF(OR(COUNTIF(Торговля!$B$5:$B$300,$B9)+COUNTIF(Лэндинг!$B$5:$B$300,$B9)&gt;0,COUNTIF($B10:$B$301,$B9)&gt;0),0,IF(SUMPRODUCT(($B$5:$B$300=$B9)*(($F$5:$F$300+$I$5:$I$300-ABS($F$5:$F$300-$I$5:$I$300))/2)*$G$5:$G$300)&lt;=0,"",ROUND(N9/SUMPRODUCT(($B$5:$B$300=$B9)*(($F$5:$F$300+$I$5:$I$300-ABS($F$5:$F$300-$I$5:$I$300))/2)*$G$5:$G$300)*100,2))),"")</f>
        <v/>
      </c>
      <c r="P9" s="207" t="n"/>
      <c r="Q9" s="207" t="n"/>
    </row>
    <row r="10" ht="22" customHeight="1">
      <c r="B10" s="318" t="inlineStr">
        <is>
          <t>L-0014</t>
        </is>
      </c>
      <c r="C10" s="319" t="n">
        <v>46298</v>
      </c>
      <c r="D10" s="318" t="inlineStr">
        <is>
          <t>OKX</t>
        </is>
      </c>
      <c r="E10" s="320" t="inlineStr">
        <is>
          <t>ETH/USDT</t>
        </is>
      </c>
      <c r="F10" s="321" t="n">
        <v>0.5</v>
      </c>
      <c r="G10" s="322" t="n">
        <v>3210</v>
      </c>
      <c r="H10" s="271">
        <f>IF(AND(ISNUMBER(F10),ISNUMBER(G10)),F10*G10,"")</f>
        <v/>
      </c>
      <c r="I10" s="321" t="n">
        <v>0.5</v>
      </c>
      <c r="J10" s="322" t="n">
        <v>3340</v>
      </c>
      <c r="K10" s="271">
        <f>IF(AND(ISNUMBER(I10),ISNUMBER(J10)),I10*J10,"")</f>
        <v/>
      </c>
      <c r="L10" s="246">
        <f>IF(COUNT(F10,I10)=0,"",N(F10)-N(I10))</f>
        <v/>
      </c>
      <c r="M10" s="247">
        <f>IF(COUNT(H10,K10)=0,"",N(K10)-N(H10))</f>
        <v/>
      </c>
      <c r="N10" s="246">
        <f>IF(AND(ISNUMBER(F10),ISNUMBER(I10),ISNUMBER(H10),ISNUMBER(K10),F10&gt;0,I10&gt;0,H10&lt;&gt;0),IF(OR(COUNTIF(Торговля!$B$5:$B$300,$B10)+COUNTIF(Лэндинг!$B$5:$B$300,$B10)&gt;0,COUNTIF($B11:$B$301,$B10)&gt;0),0,ROUND(SUMPRODUCT(($B$5:$B$300=$B10)*(($F$5:$F$300+$I$5:$I$300-ABS($F$5:$F$300-$I$5:$I$300))/2)*($J$5:$J$300-$G$5:$G$300)),8)),"")</f>
        <v/>
      </c>
      <c r="O10" s="183">
        <f>IF(ISNUMBER(N10),IF(OR(COUNTIF(Торговля!$B$5:$B$300,$B10)+COUNTIF(Лэндинг!$B$5:$B$300,$B10)&gt;0,COUNTIF($B11:$B$301,$B10)&gt;0),0,IF(SUMPRODUCT(($B$5:$B$300=$B10)*(($F$5:$F$300+$I$5:$I$300-ABS($F$5:$F$300-$I$5:$I$300))/2)*$G$5:$G$300)&lt;=0,"",ROUND(N10/SUMPRODUCT(($B$5:$B$300=$B10)*(($F$5:$F$300+$I$5:$I$300-ABS($F$5:$F$300-$I$5:$I$300))/2)*$G$5:$G$300)*100,2))),"")</f>
        <v/>
      </c>
      <c r="P10" s="207" t="n"/>
      <c r="Q10" s="207" t="n"/>
    </row>
    <row r="11" ht="22" customHeight="1">
      <c r="B11" s="313" t="inlineStr">
        <is>
          <t>L-0015</t>
        </is>
      </c>
      <c r="C11" s="314" t="n">
        <v>46297</v>
      </c>
      <c r="D11" s="313" t="inlineStr">
        <is>
          <t>Bybit</t>
        </is>
      </c>
      <c r="E11" s="315" t="inlineStr">
        <is>
          <t>SOL/USDT</t>
        </is>
      </c>
      <c r="F11" s="316" t="n">
        <v>10</v>
      </c>
      <c r="G11" s="317" t="n">
        <v>145</v>
      </c>
      <c r="H11" s="271">
        <f>IF(AND(ISNUMBER(F11),ISNUMBER(G11)),F11*G11,"")</f>
        <v/>
      </c>
      <c r="I11" s="316" t="n">
        <v>10</v>
      </c>
      <c r="J11" s="317" t="n">
        <v>150.5</v>
      </c>
      <c r="K11" s="271">
        <f>IF(AND(ISNUMBER(I11),ISNUMBER(J11)),I11*J11,"")</f>
        <v/>
      </c>
      <c r="L11" s="240">
        <f>IF(COUNT(F11,I11)=0,"",N(F11)-N(I11))</f>
        <v/>
      </c>
      <c r="M11" s="241">
        <f>IF(COUNT(H11,K11)=0,"",N(K11)-N(H11))</f>
        <v/>
      </c>
      <c r="N11" s="240">
        <f>IF(AND(ISNUMBER(F11),ISNUMBER(I11),ISNUMBER(H11),ISNUMBER(K11),F11&gt;0,I11&gt;0,H11&lt;&gt;0),IF(OR(COUNTIF(Торговля!$B$5:$B$300,$B11)+COUNTIF(Лэндинг!$B$5:$B$300,$B11)&gt;0,COUNTIF($B12:$B$301,$B11)&gt;0),0,ROUND(SUMPRODUCT(($B$5:$B$300=$B11)*(($F$5:$F$300+$I$5:$I$300-ABS($F$5:$F$300-$I$5:$I$300))/2)*($J$5:$J$300-$G$5:$G$300)),8)),"")</f>
        <v/>
      </c>
      <c r="O11" s="177">
        <f>IF(ISNUMBER(N11),IF(OR(COUNTIF(Торговля!$B$5:$B$300,$B11)+COUNTIF(Лэндинг!$B$5:$B$300,$B11)&gt;0,COUNTIF($B12:$B$301,$B11)&gt;0),0,IF(SUMPRODUCT(($B$5:$B$300=$B11)*(($F$5:$F$300+$I$5:$I$300-ABS($F$5:$F$300-$I$5:$I$300))/2)*$G$5:$G$300)&lt;=0,"",ROUND(N11/SUMPRODUCT(($B$5:$B$300=$B11)*(($F$5:$F$300+$I$5:$I$300-ABS($F$5:$F$300-$I$5:$I$300))/2)*$G$5:$G$300)*100,2))),"")</f>
        <v/>
      </c>
      <c r="P11" s="207" t="n"/>
      <c r="Q11" s="207" t="n"/>
    </row>
    <row r="12" ht="22" customHeight="1">
      <c r="B12" s="318" t="inlineStr">
        <is>
          <t>T-0018</t>
        </is>
      </c>
      <c r="C12" s="319" t="n">
        <v>46303</v>
      </c>
      <c r="D12" s="318" t="inlineStr">
        <is>
          <t>Binance</t>
        </is>
      </c>
      <c r="E12" s="320" t="inlineStr">
        <is>
          <t>BTC/USDT</t>
        </is>
      </c>
      <c r="F12" s="321" t="n">
        <v>0.2</v>
      </c>
      <c r="G12" s="322" t="n">
        <v>61923.6</v>
      </c>
      <c r="H12" s="271">
        <f>IF(AND(ISNUMBER(F12),ISNUMBER(G12)),F12*G12,"")</f>
        <v/>
      </c>
      <c r="I12" s="321" t="n">
        <v>0.2</v>
      </c>
      <c r="J12" s="322" t="n">
        <v>62375</v>
      </c>
      <c r="K12" s="271">
        <f>IF(AND(ISNUMBER(I12),ISNUMBER(J12)),I12*J12,"")</f>
        <v/>
      </c>
      <c r="L12" s="246">
        <f>IF(COUNT(F12,I12)=0,"",N(F12)-N(I12))</f>
        <v/>
      </c>
      <c r="M12" s="247">
        <f>IF(COUNT(H12,K12)=0,"",N(K12)-N(H12))</f>
        <v/>
      </c>
      <c r="N12" s="246">
        <f>IF(AND(ISNUMBER(F12),ISNUMBER(I12),ISNUMBER(H12),ISNUMBER(K12),F12&gt;0,I12&gt;0,H12&lt;&gt;0),IF(OR(COUNTIF(Торговля!$B$5:$B$300,$B12)+COUNTIF(Лэндинг!$B$5:$B$300,$B12)&gt;0,COUNTIF($B13:$B$301,$B12)&gt;0),0,ROUND(SUMPRODUCT(($B$5:$B$300=$B12)*(($F$5:$F$300+$I$5:$I$300-ABS($F$5:$F$300-$I$5:$I$300))/2)*($J$5:$J$300-$G$5:$G$300)),8)),"")</f>
        <v/>
      </c>
      <c r="O12" s="183">
        <f>IF(ISNUMBER(N12),IF(OR(COUNTIF(Торговля!$B$5:$B$300,$B12)+COUNTIF(Лэндинг!$B$5:$B$300,$B12)&gt;0,COUNTIF($B13:$B$301,$B12)&gt;0),0,IF(SUMPRODUCT(($B$5:$B$300=$B12)*(($F$5:$F$300+$I$5:$I$300-ABS($F$5:$F$300-$I$5:$I$300))/2)*$G$5:$G$300)&lt;=0,"",ROUND(N12/SUMPRODUCT(($B$5:$B$300=$B12)*(($F$5:$F$300+$I$5:$I$300-ABS($F$5:$F$300-$I$5:$I$300))/2)*$G$5:$G$300)*100,2))),"")</f>
        <v/>
      </c>
      <c r="P12" s="207" t="n"/>
      <c r="Q12" s="207" t="n"/>
    </row>
    <row r="13" ht="22" customHeight="1">
      <c r="B13" s="313" t="inlineStr">
        <is>
          <t>T-0019</t>
        </is>
      </c>
      <c r="C13" s="314" t="n">
        <v>46304</v>
      </c>
      <c r="D13" s="313" t="inlineStr">
        <is>
          <t>Bybit</t>
        </is>
      </c>
      <c r="E13" s="315" t="inlineStr">
        <is>
          <t>ETH/BTC</t>
        </is>
      </c>
      <c r="F13" s="316" t="n">
        <v>2</v>
      </c>
      <c r="G13" s="317" t="n">
        <v>0.0510018</v>
      </c>
      <c r="H13" s="271">
        <f>IF(AND(ISNUMBER(F13),ISNUMBER(G13)),F13*G13,"")</f>
        <v/>
      </c>
      <c r="I13" s="316" t="n">
        <v>2</v>
      </c>
      <c r="J13" s="317" t="n">
        <v>0.0514968</v>
      </c>
      <c r="K13" s="271">
        <f>IF(AND(ISNUMBER(I13),ISNUMBER(J13)),I13*J13,"")</f>
        <v/>
      </c>
      <c r="L13" s="240">
        <f>IF(COUNT(F13,I13)=0,"",N(F13)-N(I13))</f>
        <v/>
      </c>
      <c r="M13" s="241">
        <f>IF(COUNT(H13,K13)=0,"",N(K13)-N(H13))</f>
        <v/>
      </c>
      <c r="N13" s="240">
        <f>IF(AND(ISNUMBER(F13),ISNUMBER(I13),ISNUMBER(H13),ISNUMBER(K13),F13&gt;0,I13&gt;0,H13&lt;&gt;0),IF(OR(COUNTIF(Торговля!$B$5:$B$300,$B13)+COUNTIF(Лэндинг!$B$5:$B$300,$B13)&gt;0,COUNTIF($B14:$B$301,$B13)&gt;0),0,ROUND(SUMPRODUCT(($B$5:$B$300=$B13)*(($F$5:$F$300+$I$5:$I$300-ABS($F$5:$F$300-$I$5:$I$300))/2)*($J$5:$J$300-$G$5:$G$300)),8)),"")</f>
        <v/>
      </c>
      <c r="O13" s="177">
        <f>IF(ISNUMBER(N13),IF(OR(COUNTIF(Торговля!$B$5:$B$300,$B13)+COUNTIF(Лэндинг!$B$5:$B$300,$B13)&gt;0,COUNTIF($B14:$B$301,$B13)&gt;0),0,IF(SUMPRODUCT(($B$5:$B$300=$B13)*(($F$5:$F$300+$I$5:$I$300-ABS($F$5:$F$300-$I$5:$I$300))/2)*$G$5:$G$300)&lt;=0,"",ROUND(N13/SUMPRODUCT(($B$5:$B$300=$B13)*(($F$5:$F$300+$I$5:$I$300-ABS($F$5:$F$300-$I$5:$I$300))/2)*$G$5:$G$300)*100,2))),"")</f>
        <v/>
      </c>
    </row>
    <row r="14" ht="22" customHeight="1">
      <c r="B14" s="318" t="inlineStr">
        <is>
          <t>T-0020</t>
        </is>
      </c>
      <c r="C14" s="319" t="n">
        <v>46304</v>
      </c>
      <c r="D14" s="318" t="inlineStr">
        <is>
          <t>OKX</t>
        </is>
      </c>
      <c r="E14" s="320" t="inlineStr">
        <is>
          <t>XRP/USDT</t>
        </is>
      </c>
      <c r="F14" s="321" t="n">
        <v>1500</v>
      </c>
      <c r="G14" s="322" t="n">
        <v>2.1543</v>
      </c>
      <c r="H14" s="271">
        <f>IF(AND(ISNUMBER(F14),ISNUMBER(G14)),F14*G14,"")</f>
        <v/>
      </c>
      <c r="I14" s="321" t="n">
        <v>1500</v>
      </c>
      <c r="J14" s="322" t="n">
        <v>2.27544</v>
      </c>
      <c r="K14" s="271">
        <f>IF(AND(ISNUMBER(I14),ISNUMBER(J14)),I14*J14,"")</f>
        <v/>
      </c>
      <c r="L14" s="246">
        <f>IF(COUNT(F14,I14)=0,"",N(F14)-N(I14))</f>
        <v/>
      </c>
      <c r="M14" s="247">
        <f>IF(COUNT(H14,K14)=0,"",N(K14)-N(H14))</f>
        <v/>
      </c>
      <c r="N14" s="246">
        <f>IF(AND(ISNUMBER(F14),ISNUMBER(I14),ISNUMBER(H14),ISNUMBER(K14),F14&gt;0,I14&gt;0,H14&lt;&gt;0),IF(OR(COUNTIF(Торговля!$B$5:$B$300,$B14)+COUNTIF(Лэндинг!$B$5:$B$300,$B14)&gt;0,COUNTIF($B15:$B$301,$B14)&gt;0),0,ROUND(SUMPRODUCT(($B$5:$B$300=$B14)*(($F$5:$F$300+$I$5:$I$300-ABS($F$5:$F$300-$I$5:$I$300))/2)*($J$5:$J$300-$G$5:$G$300)),8)),"")</f>
        <v/>
      </c>
      <c r="O14" s="183">
        <f>IF(ISNUMBER(N14),IF(OR(COUNTIF(Торговля!$B$5:$B$300,$B14)+COUNTIF(Лэндинг!$B$5:$B$300,$B14)&gt;0,COUNTIF($B15:$B$301,$B14)&gt;0),0,IF(SUMPRODUCT(($B$5:$B$300=$B14)*(($F$5:$F$300+$I$5:$I$300-ABS($F$5:$F$300-$I$5:$I$300))/2)*$G$5:$G$300)&lt;=0,"",ROUND(N14/SUMPRODUCT(($B$5:$B$300=$B14)*(($F$5:$F$300+$I$5:$I$300-ABS($F$5:$F$300-$I$5:$I$300))/2)*$G$5:$G$300)*100,2))),"")</f>
        <v/>
      </c>
    </row>
    <row r="15" ht="22" customHeight="1">
      <c r="B15" s="313" t="inlineStr">
        <is>
          <t>T-0021</t>
        </is>
      </c>
      <c r="C15" s="314" t="n">
        <v>46304</v>
      </c>
      <c r="D15" s="313" t="inlineStr">
        <is>
          <t>Binance</t>
        </is>
      </c>
      <c r="E15" s="315" t="inlineStr">
        <is>
          <t>DOGE/USDT</t>
        </is>
      </c>
      <c r="F15" s="316" t="n">
        <v>20000</v>
      </c>
      <c r="G15" s="317" t="n">
        <v>0.178356</v>
      </c>
      <c r="H15" s="271">
        <f>IF(AND(ISNUMBER(F15),ISNUMBER(G15)),F15*G15,"")</f>
        <v/>
      </c>
      <c r="I15" s="316" t="n">
        <v>20000</v>
      </c>
      <c r="J15" s="317" t="n">
        <v>0.18463</v>
      </c>
      <c r="K15" s="271">
        <f>IF(AND(ISNUMBER(I15),ISNUMBER(J15)),I15*J15,"")</f>
        <v/>
      </c>
      <c r="L15" s="240">
        <f>IF(COUNT(F15,I15)=0,"",N(F15)-N(I15))</f>
        <v/>
      </c>
      <c r="M15" s="241">
        <f>IF(COUNT(H15,K15)=0,"",N(K15)-N(H15))</f>
        <v/>
      </c>
      <c r="N15" s="240">
        <f>IF(AND(ISNUMBER(F15),ISNUMBER(I15),ISNUMBER(H15),ISNUMBER(K15),F15&gt;0,I15&gt;0,H15&lt;&gt;0),IF(OR(COUNTIF(Торговля!$B$5:$B$300,$B15)+COUNTIF(Лэндинг!$B$5:$B$300,$B15)&gt;0,COUNTIF($B16:$B$301,$B15)&gt;0),0,ROUND(SUMPRODUCT(($B$5:$B$300=$B15)*(($F$5:$F$300+$I$5:$I$300-ABS($F$5:$F$300-$I$5:$I$300))/2)*($J$5:$J$300-$G$5:$G$300)),8)),"")</f>
        <v/>
      </c>
      <c r="O15" s="177">
        <f>IF(ISNUMBER(N15),IF(OR(COUNTIF(Торговля!$B$5:$B$300,$B15)+COUNTIF(Лэндинг!$B$5:$B$300,$B15)&gt;0,COUNTIF($B16:$B$301,$B15)&gt;0),0,IF(SUMPRODUCT(($B$5:$B$300=$B15)*(($F$5:$F$300+$I$5:$I$300-ABS($F$5:$F$300-$I$5:$I$300))/2)*$G$5:$G$300)&lt;=0,"",ROUND(N15/SUMPRODUCT(($B$5:$B$300=$B15)*(($F$5:$F$300+$I$5:$I$300-ABS($F$5:$F$300-$I$5:$I$300))/2)*$G$5:$G$300)*100,2))),"")</f>
        <v/>
      </c>
    </row>
    <row r="16" ht="22" customHeight="1">
      <c r="B16" s="318" t="inlineStr">
        <is>
          <t>T-0022</t>
        </is>
      </c>
      <c r="C16" s="319" t="n">
        <v>46304</v>
      </c>
      <c r="D16" s="318" t="inlineStr">
        <is>
          <t>Bybit</t>
        </is>
      </c>
      <c r="E16" s="320" t="inlineStr">
        <is>
          <t>LINK/ETH</t>
        </is>
      </c>
      <c r="F16" s="321" t="n">
        <v>100</v>
      </c>
      <c r="G16" s="322" t="n">
        <v>0.0043587</v>
      </c>
      <c r="H16" s="271">
        <f>IF(AND(ISNUMBER(F16),ISNUMBER(G16)),F16*G16,"")</f>
        <v/>
      </c>
      <c r="I16" s="321" t="n">
        <v>100</v>
      </c>
      <c r="J16" s="322" t="n">
        <v>0.00447104</v>
      </c>
      <c r="K16" s="271">
        <f>IF(AND(ISNUMBER(I16),ISNUMBER(J16)),I16*J16,"")</f>
        <v/>
      </c>
      <c r="L16" s="246">
        <f>IF(COUNT(F16,I16)=0,"",N(F16)-N(I16))</f>
        <v/>
      </c>
      <c r="M16" s="247">
        <f>IF(COUNT(H16,K16)=0,"",N(K16)-N(H16))</f>
        <v/>
      </c>
      <c r="N16" s="246">
        <f>IF(AND(ISNUMBER(F16),ISNUMBER(I16),ISNUMBER(H16),ISNUMBER(K16),F16&gt;0,I16&gt;0,H16&lt;&gt;0),IF(OR(COUNTIF(Торговля!$B$5:$B$300,$B16)+COUNTIF(Лэндинг!$B$5:$B$300,$B16)&gt;0,COUNTIF($B17:$B$301,$B16)&gt;0),0,ROUND(SUMPRODUCT(($B$5:$B$300=$B16)*(($F$5:$F$300+$I$5:$I$300-ABS($F$5:$F$300-$I$5:$I$300))/2)*($J$5:$J$300-$G$5:$G$300)),8)),"")</f>
        <v/>
      </c>
      <c r="O16" s="183">
        <f>IF(ISNUMBER(N16),IF(OR(COUNTIF(Торговля!$B$5:$B$300,$B16)+COUNTIF(Лэндинг!$B$5:$B$300,$B16)&gt;0,COUNTIF($B17:$B$301,$B16)&gt;0),0,IF(SUMPRODUCT(($B$5:$B$300=$B16)*(($F$5:$F$300+$I$5:$I$300-ABS($F$5:$F$300-$I$5:$I$300))/2)*$G$5:$G$300)&lt;=0,"",ROUND(N16/SUMPRODUCT(($B$5:$B$300=$B16)*(($F$5:$F$300+$I$5:$I$300-ABS($F$5:$F$300-$I$5:$I$300))/2)*$G$5:$G$300)*100,2))),"")</f>
        <v/>
      </c>
    </row>
    <row r="17" ht="22" customHeight="1">
      <c r="B17" s="313" t="inlineStr">
        <is>
          <t>T-0023</t>
        </is>
      </c>
      <c r="C17" s="314" t="n">
        <v>46304</v>
      </c>
      <c r="D17" s="313" t="inlineStr">
        <is>
          <t>Binance</t>
        </is>
      </c>
      <c r="E17" s="315" t="inlineStr">
        <is>
          <t>BNB/ETH</t>
        </is>
      </c>
      <c r="F17" s="316" t="n">
        <v>4</v>
      </c>
      <c r="G17" s="317" t="n">
        <v>0.187875</v>
      </c>
      <c r="H17" s="271">
        <f>IF(AND(ISNUMBER(F17),ISNUMBER(G17)),F17*G17,"")</f>
        <v/>
      </c>
      <c r="I17" s="316" t="n">
        <v>4</v>
      </c>
      <c r="J17" s="317" t="n">
        <v>0.191616</v>
      </c>
      <c r="K17" s="271">
        <f>IF(AND(ISNUMBER(I17),ISNUMBER(J17)),I17*J17,"")</f>
        <v/>
      </c>
      <c r="L17" s="240">
        <f>IF(COUNT(F17,I17)=0,"",N(F17)-N(I17))</f>
        <v/>
      </c>
      <c r="M17" s="241">
        <f>IF(COUNT(H17,K17)=0,"",N(K17)-N(H17))</f>
        <v/>
      </c>
      <c r="N17" s="240">
        <f>IF(AND(ISNUMBER(F17),ISNUMBER(I17),ISNUMBER(H17),ISNUMBER(K17),F17&gt;0,I17&gt;0,H17&lt;&gt;0),IF(OR(COUNTIF(Торговля!$B$5:$B$300,$B17)+COUNTIF(Лэндинг!$B$5:$B$300,$B17)&gt;0,COUNTIF($B18:$B$301,$B17)&gt;0),0,ROUND(SUMPRODUCT(($B$5:$B$300=$B17)*(($F$5:$F$300+$I$5:$I$300-ABS($F$5:$F$300-$I$5:$I$300))/2)*($J$5:$J$300-$G$5:$G$300)),8)),"")</f>
        <v/>
      </c>
      <c r="O17" s="177">
        <f>IF(ISNUMBER(N17),IF(OR(COUNTIF(Торговля!$B$5:$B$300,$B17)+COUNTIF(Лэндинг!$B$5:$B$300,$B17)&gt;0,COUNTIF($B18:$B$301,$B17)&gt;0),0,IF(SUMPRODUCT(($B$5:$B$300=$B17)*(($F$5:$F$300+$I$5:$I$300-ABS($F$5:$F$300-$I$5:$I$300))/2)*$G$5:$G$300)&lt;=0,"",ROUND(N17/SUMPRODUCT(($B$5:$B$300=$B17)*(($F$5:$F$300+$I$5:$I$300-ABS($F$5:$F$300-$I$5:$I$300))/2)*$G$5:$G$300)*100,2))),"")</f>
        <v/>
      </c>
    </row>
    <row r="18" ht="22" customHeight="1">
      <c r="B18" s="318" t="inlineStr">
        <is>
          <t>T-0024</t>
        </is>
      </c>
      <c r="C18" s="319" t="n">
        <v>46304</v>
      </c>
      <c r="D18" s="318" t="inlineStr">
        <is>
          <t>Bybit</t>
        </is>
      </c>
      <c r="E18" s="320" t="inlineStr">
        <is>
          <t>BNB/BTC</t>
        </is>
      </c>
      <c r="F18" s="321" t="n">
        <v>3</v>
      </c>
      <c r="G18" s="322" t="n">
        <v>0.009569100000000001</v>
      </c>
      <c r="H18" s="271">
        <f>IF(AND(ISNUMBER(F18),ISNUMBER(G18)),F18*G18,"")</f>
        <v/>
      </c>
      <c r="I18" s="321" t="n">
        <v>3</v>
      </c>
      <c r="J18" s="322" t="n">
        <v>0.00966064</v>
      </c>
      <c r="K18" s="271">
        <f>IF(AND(ISNUMBER(I18),ISNUMBER(J18)),I18*J18,"")</f>
        <v/>
      </c>
      <c r="L18" s="246">
        <f>IF(COUNT(F18,I18)=0,"",N(F18)-N(I18))</f>
        <v/>
      </c>
      <c r="M18" s="247">
        <f>IF(COUNT(H18,K18)=0,"",N(K18)-N(H18))</f>
        <v/>
      </c>
      <c r="N18" s="246">
        <f>IF(AND(ISNUMBER(F18),ISNUMBER(I18),ISNUMBER(H18),ISNUMBER(K18),F18&gt;0,I18&gt;0,H18&lt;&gt;0),IF(OR(COUNTIF(Торговля!$B$5:$B$300,$B18)+COUNTIF(Лэндинг!$B$5:$B$300,$B18)&gt;0,COUNTIF($B19:$B$301,$B18)&gt;0),0,ROUND(SUMPRODUCT(($B$5:$B$300=$B18)*(($F$5:$F$300+$I$5:$I$300-ABS($F$5:$F$300-$I$5:$I$300))/2)*($J$5:$J$300-$G$5:$G$300)),8)),"")</f>
        <v/>
      </c>
      <c r="O18" s="183">
        <f>IF(ISNUMBER(N18),IF(OR(COUNTIF(Торговля!$B$5:$B$300,$B18)+COUNTIF(Лэндинг!$B$5:$B$300,$B18)&gt;0,COUNTIF($B19:$B$301,$B18)&gt;0),0,IF(SUMPRODUCT(($B$5:$B$300=$B18)*(($F$5:$F$300+$I$5:$I$300-ABS($F$5:$F$300-$I$5:$I$300))/2)*$G$5:$G$300)&lt;=0,"",ROUND(N18/SUMPRODUCT(($B$5:$B$300=$B18)*(($F$5:$F$300+$I$5:$I$300-ABS($F$5:$F$300-$I$5:$I$300))/2)*$G$5:$G$300)*100,2))),"")</f>
        <v/>
      </c>
    </row>
    <row r="19" ht="22" customHeight="1">
      <c r="B19" s="313" t="inlineStr">
        <is>
          <t>T-0025</t>
        </is>
      </c>
      <c r="C19" s="314" t="n">
        <v>46304</v>
      </c>
      <c r="D19" s="313" t="inlineStr">
        <is>
          <t>OKX</t>
        </is>
      </c>
      <c r="E19" s="315" t="inlineStr">
        <is>
          <t>CAKE/ETH</t>
        </is>
      </c>
      <c r="F19" s="316" t="n">
        <v>250</v>
      </c>
      <c r="G19" s="317" t="n">
        <v>0.0007515</v>
      </c>
      <c r="H19" s="271">
        <f>IF(AND(ISNUMBER(F19),ISNUMBER(G19)),F19*G19,"")</f>
        <v/>
      </c>
      <c r="I19" s="316" t="n">
        <v>250</v>
      </c>
      <c r="J19" s="317" t="n">
        <v>0.00078842</v>
      </c>
      <c r="K19" s="271">
        <f>IF(AND(ISNUMBER(I19),ISNUMBER(J19)),I19*J19,"")</f>
        <v/>
      </c>
      <c r="L19" s="240">
        <f>IF(COUNT(F19,I19)=0,"",N(F19)-N(I19))</f>
        <v/>
      </c>
      <c r="M19" s="241">
        <f>IF(COUNT(H19,K19)=0,"",N(K19)-N(H19))</f>
        <v/>
      </c>
      <c r="N19" s="240">
        <f>IF(AND(ISNUMBER(F19),ISNUMBER(I19),ISNUMBER(H19),ISNUMBER(K19),F19&gt;0,I19&gt;0,H19&lt;&gt;0),IF(OR(COUNTIF(Торговля!$B$5:$B$300,$B19)+COUNTIF(Лэндинг!$B$5:$B$300,$B19)&gt;0,COUNTIF($B20:$B$301,$B19)&gt;0),0,ROUND(SUMPRODUCT(($B$5:$B$300=$B19)*(($F$5:$F$300+$I$5:$I$300-ABS($F$5:$F$300-$I$5:$I$300))/2)*($J$5:$J$300-$G$5:$G$300)),8)),"")</f>
        <v/>
      </c>
      <c r="O19" s="177">
        <f>IF(ISNUMBER(N19),IF(OR(COUNTIF(Торговля!$B$5:$B$300,$B19)+COUNTIF(Лэндинг!$B$5:$B$300,$B19)&gt;0,COUNTIF($B20:$B$301,$B19)&gt;0),0,IF(SUMPRODUCT(($B$5:$B$300=$B19)*(($F$5:$F$300+$I$5:$I$300-ABS($F$5:$F$300-$I$5:$I$300))/2)*$G$5:$G$300)&lt;=0,"",ROUND(N19/SUMPRODUCT(($B$5:$B$300=$B19)*(($F$5:$F$300+$I$5:$I$300-ABS($F$5:$F$300-$I$5:$I$300))/2)*$G$5:$G$300)*100,2))),"")</f>
        <v/>
      </c>
    </row>
    <row r="20" ht="22" customHeight="1">
      <c r="B20" s="318" t="inlineStr">
        <is>
          <t>T-0026</t>
        </is>
      </c>
      <c r="C20" s="319" t="n">
        <v>46304</v>
      </c>
      <c r="D20" s="318" t="inlineStr">
        <is>
          <t>Binance</t>
        </is>
      </c>
      <c r="E20" s="320" t="inlineStr">
        <is>
          <t>DASH/BTC</t>
        </is>
      </c>
      <c r="F20" s="321" t="n">
        <v>12</v>
      </c>
      <c r="G20" s="322" t="n">
        <v>0.00061423</v>
      </c>
      <c r="H20" s="271">
        <f>IF(AND(ISNUMBER(F20),ISNUMBER(G20)),F20*G20,"")</f>
        <v/>
      </c>
      <c r="I20" s="321" t="n">
        <v>12</v>
      </c>
      <c r="J20" s="322" t="n">
        <v>0.00063872</v>
      </c>
      <c r="K20" s="271">
        <f>IF(AND(ISNUMBER(I20),ISNUMBER(J20)),I20*J20,"")</f>
        <v/>
      </c>
      <c r="L20" s="246">
        <f>IF(COUNT(F20,I20)=0,"",N(F20)-N(I20))</f>
        <v/>
      </c>
      <c r="M20" s="247">
        <f>IF(COUNT(H20,K20)=0,"",N(K20)-N(H20))</f>
        <v/>
      </c>
      <c r="N20" s="246">
        <f>IF(AND(ISNUMBER(F20),ISNUMBER(I20),ISNUMBER(H20),ISNUMBER(K20),F20&gt;0,I20&gt;0,H20&lt;&gt;0),IF(OR(COUNTIF(Торговля!$B$5:$B$300,$B20)+COUNTIF(Лэндинг!$B$5:$B$300,$B20)&gt;0,COUNTIF($B21:$B$301,$B20)&gt;0),0,ROUND(SUMPRODUCT(($B$5:$B$300=$B20)*(($F$5:$F$300+$I$5:$I$300-ABS($F$5:$F$300-$I$5:$I$300))/2)*($J$5:$J$300-$G$5:$G$300)),8)),"")</f>
        <v/>
      </c>
      <c r="O20" s="183">
        <f>IF(ISNUMBER(N20),IF(OR(COUNTIF(Торговля!$B$5:$B$300,$B20)+COUNTIF(Лэндинг!$B$5:$B$300,$B20)&gt;0,COUNTIF($B21:$B$301,$B20)&gt;0),0,IF(SUMPRODUCT(($B$5:$B$300=$B20)*(($F$5:$F$300+$I$5:$I$300-ABS($F$5:$F$300-$I$5:$I$300))/2)*$G$5:$G$300)&lt;=0,"",ROUND(N20/SUMPRODUCT(($B$5:$B$300=$B20)*(($F$5:$F$300+$I$5:$I$300-ABS($F$5:$F$300-$I$5:$I$300))/2)*$G$5:$G$300)*100,2))),"")</f>
        <v/>
      </c>
    </row>
    <row r="21" ht="22" customHeight="1">
      <c r="B21" s="313" t="inlineStr">
        <is>
          <t>T-0027</t>
        </is>
      </c>
      <c r="C21" s="314" t="n">
        <v>46304</v>
      </c>
      <c r="D21" s="313" t="inlineStr">
        <is>
          <t>Bybit</t>
        </is>
      </c>
      <c r="E21" s="315" t="inlineStr">
        <is>
          <t>DASH/LTC</t>
        </is>
      </c>
      <c r="F21" s="316" t="n">
        <v>20</v>
      </c>
      <c r="G21" s="317" t="n">
        <v>0.41082</v>
      </c>
      <c r="H21" s="271">
        <f>IF(AND(ISNUMBER(F21),ISNUMBER(G21)),F21*G21,"")</f>
        <v/>
      </c>
      <c r="I21" s="316" t="n">
        <v>20</v>
      </c>
      <c r="J21" s="317" t="n">
        <v>0.4213556</v>
      </c>
      <c r="K21" s="271">
        <f>IF(AND(ISNUMBER(I21),ISNUMBER(J21)),I21*J21,"")</f>
        <v/>
      </c>
      <c r="L21" s="240">
        <f>IF(COUNT(F21,I21)=0,"",N(F21)-N(I21))</f>
        <v/>
      </c>
      <c r="M21" s="241">
        <f>IF(COUNT(H21,K21)=0,"",N(K21)-N(H21))</f>
        <v/>
      </c>
      <c r="N21" s="240">
        <f>IF(AND(ISNUMBER(F21),ISNUMBER(I21),ISNUMBER(H21),ISNUMBER(K21),F21&gt;0,I21&gt;0,H21&lt;&gt;0),IF(OR(COUNTIF(Торговля!$B$5:$B$300,$B21)+COUNTIF(Лэндинг!$B$5:$B$300,$B21)&gt;0,COUNTIF($B22:$B$301,$B21)&gt;0),0,ROUND(SUMPRODUCT(($B$5:$B$300=$B21)*(($F$5:$F$300+$I$5:$I$300-ABS($F$5:$F$300-$I$5:$I$300))/2)*($J$5:$J$300-$G$5:$G$300)),8)),"")</f>
        <v/>
      </c>
      <c r="O21" s="177">
        <f>IF(ISNUMBER(N21),IF(OR(COUNTIF(Торговля!$B$5:$B$300,$B21)+COUNTIF(Лэндинг!$B$5:$B$300,$B21)&gt;0,COUNTIF($B22:$B$301,$B21)&gt;0),0,IF(SUMPRODUCT(($B$5:$B$300=$B21)*(($F$5:$F$300+$I$5:$I$300-ABS($F$5:$F$300-$I$5:$I$300))/2)*$G$5:$G$300)&lt;=0,"",ROUND(N21/SUMPRODUCT(($B$5:$B$300=$B21)*(($F$5:$F$300+$I$5:$I$300-ABS($F$5:$F$300-$I$5:$I$300))/2)*$G$5:$G$300)*100,2))),"")</f>
        <v/>
      </c>
    </row>
    <row r="22" ht="22" customHeight="1">
      <c r="B22" s="318" t="inlineStr">
        <is>
          <t>L-0021</t>
        </is>
      </c>
      <c r="C22" s="319" t="n">
        <v>46303</v>
      </c>
      <c r="D22" s="318" t="inlineStr">
        <is>
          <t>Binance</t>
        </is>
      </c>
      <c r="E22" s="320" t="inlineStr">
        <is>
          <t>SOL/USDT</t>
        </is>
      </c>
      <c r="F22" s="321" t="n">
        <v>30</v>
      </c>
      <c r="G22" s="322" t="n">
        <v>148.296</v>
      </c>
      <c r="H22" s="271">
        <f>IF(AND(ISNUMBER(F22),ISNUMBER(G22)),F22*G22,"")</f>
        <v/>
      </c>
      <c r="I22" s="321" t="n">
        <v>30</v>
      </c>
      <c r="J22" s="322" t="n">
        <v>154.69</v>
      </c>
      <c r="K22" s="271">
        <f>IF(AND(ISNUMBER(I22),ISNUMBER(J22)),I22*J22,"")</f>
        <v/>
      </c>
      <c r="L22" s="246">
        <f>IF(COUNT(F22,I22)=0,"",N(F22)-N(I22))</f>
        <v/>
      </c>
      <c r="M22" s="247">
        <f>IF(COUNT(H22,K22)=0,"",N(K22)-N(H22))</f>
        <v/>
      </c>
      <c r="N22" s="246">
        <f>IF(AND(ISNUMBER(F22),ISNUMBER(I22),ISNUMBER(H22),ISNUMBER(K22),F22&gt;0,I22&gt;0,H22&lt;&gt;0),IF(OR(COUNTIF(Торговля!$B$5:$B$300,$B22)+COUNTIF(Лэндинг!$B$5:$B$300,$B22)&gt;0,COUNTIF($B23:$B$301,$B22)&gt;0),0,ROUND(SUMPRODUCT(($B$5:$B$300=$B22)*(($F$5:$F$300+$I$5:$I$300-ABS($F$5:$F$300-$I$5:$I$300))/2)*($J$5:$J$300-$G$5:$G$300)),8)),"")</f>
        <v/>
      </c>
      <c r="O22" s="183">
        <f>IF(ISNUMBER(N22),IF(OR(COUNTIF(Торговля!$B$5:$B$300,$B22)+COUNTIF(Лэндинг!$B$5:$B$300,$B22)&gt;0,COUNTIF($B23:$B$301,$B22)&gt;0),0,IF(SUMPRODUCT(($B$5:$B$300=$B22)*(($F$5:$F$300+$I$5:$I$300-ABS($F$5:$F$300-$I$5:$I$300))/2)*$G$5:$G$300)&lt;=0,"",ROUND(N22/SUMPRODUCT(($B$5:$B$300=$B22)*(($F$5:$F$300+$I$5:$I$300-ABS($F$5:$F$300-$I$5:$I$300))/2)*$G$5:$G$300)*100,2))),"")</f>
        <v/>
      </c>
    </row>
    <row r="23" ht="22" customHeight="1">
      <c r="B23" s="313" t="inlineStr">
        <is>
          <t>L-0022</t>
        </is>
      </c>
      <c r="C23" s="314" t="n">
        <v>46304</v>
      </c>
      <c r="D23" s="313" t="inlineStr">
        <is>
          <t>Bybit</t>
        </is>
      </c>
      <c r="E23" s="315" t="inlineStr">
        <is>
          <t>BNB/USDT</t>
        </is>
      </c>
      <c r="F23" s="316" t="n">
        <v>5</v>
      </c>
      <c r="G23" s="317" t="n">
        <v>597.192</v>
      </c>
      <c r="H23" s="271">
        <f>IF(AND(ISNUMBER(F23),ISNUMBER(G23)),F23*G23,"")</f>
        <v/>
      </c>
      <c r="I23" s="316" t="n">
        <v>5</v>
      </c>
      <c r="J23" s="317" t="n">
        <v>602.792</v>
      </c>
      <c r="K23" s="271">
        <f>IF(AND(ISNUMBER(I23),ISNUMBER(J23)),I23*J23,"")</f>
        <v/>
      </c>
      <c r="L23" s="240">
        <f>IF(COUNT(F23,I23)=0,"",N(F23)-N(I23))</f>
        <v/>
      </c>
      <c r="M23" s="241">
        <f>IF(COUNT(H23,K23)=0,"",N(K23)-N(H23))</f>
        <v/>
      </c>
      <c r="N23" s="240">
        <f>IF(AND(ISNUMBER(F23),ISNUMBER(I23),ISNUMBER(H23),ISNUMBER(K23),F23&gt;0,I23&gt;0,H23&lt;&gt;0),IF(OR(COUNTIF(Торговля!$B$5:$B$300,$B23)+COUNTIF(Лэндинг!$B$5:$B$300,$B23)&gt;0,COUNTIF($B24:$B$301,$B23)&gt;0),0,ROUND(SUMPRODUCT(($B$5:$B$300=$B23)*(($F$5:$F$300+$I$5:$I$300-ABS($F$5:$F$300-$I$5:$I$300))/2)*($J$5:$J$300-$G$5:$G$300)),8)),"")</f>
        <v/>
      </c>
      <c r="O23" s="177">
        <f>IF(ISNUMBER(N23),IF(OR(COUNTIF(Торговля!$B$5:$B$300,$B23)+COUNTIF(Лэндинг!$B$5:$B$300,$B23)&gt;0,COUNTIF($B24:$B$301,$B23)&gt;0),0,IF(SUMPRODUCT(($B$5:$B$300=$B23)*(($F$5:$F$300+$I$5:$I$300-ABS($F$5:$F$300-$I$5:$I$300))/2)*$G$5:$G$300)&lt;=0,"",ROUND(N23/SUMPRODUCT(($B$5:$B$300=$B23)*(($F$5:$F$300+$I$5:$I$300-ABS($F$5:$F$300-$I$5:$I$300))/2)*$G$5:$G$300)*100,2))),"")</f>
        <v/>
      </c>
    </row>
    <row r="24" ht="22" customHeight="1">
      <c r="B24" s="318" t="inlineStr">
        <is>
          <t>L-0023</t>
        </is>
      </c>
      <c r="C24" s="319" t="n">
        <v>46304</v>
      </c>
      <c r="D24" s="318" t="inlineStr">
        <is>
          <t>AAVE</t>
        </is>
      </c>
      <c r="E24" s="320" t="inlineStr">
        <is>
          <t>AAVE/USDT</t>
        </is>
      </c>
      <c r="F24" s="321" t="n">
        <v>12</v>
      </c>
      <c r="G24" s="322" t="n">
        <v>198.396</v>
      </c>
      <c r="H24" s="271">
        <f>IF(AND(ISNUMBER(F24),ISNUMBER(G24)),F24*G24,"")</f>
        <v/>
      </c>
      <c r="I24" s="321" t="n">
        <v>12</v>
      </c>
      <c r="J24" s="322" t="n">
        <v>205.588</v>
      </c>
      <c r="K24" s="271">
        <f>IF(AND(ISNUMBER(I24),ISNUMBER(J24)),I24*J24,"")</f>
        <v/>
      </c>
      <c r="L24" s="246">
        <f>IF(COUNT(F24,I24)=0,"",N(F24)-N(I24))</f>
        <v/>
      </c>
      <c r="M24" s="247">
        <f>IF(COUNT(H24,K24)=0,"",N(K24)-N(H24))</f>
        <v/>
      </c>
      <c r="N24" s="246">
        <f>IF(AND(ISNUMBER(F24),ISNUMBER(I24),ISNUMBER(H24),ISNUMBER(K24),F24&gt;0,I24&gt;0,H24&lt;&gt;0),IF(OR(COUNTIF(Торговля!$B$5:$B$300,$B24)+COUNTIF(Лэндинг!$B$5:$B$300,$B24)&gt;0,COUNTIF($B25:$B$301,$B24)&gt;0),0,ROUND(SUMPRODUCT(($B$5:$B$300=$B24)*(($F$5:$F$300+$I$5:$I$300-ABS($F$5:$F$300-$I$5:$I$300))/2)*($J$5:$J$300-$G$5:$G$300)),8)),"")</f>
        <v/>
      </c>
      <c r="O24" s="183">
        <f>IF(ISNUMBER(N24),IF(OR(COUNTIF(Торговля!$B$5:$B$300,$B24)+COUNTIF(Лэндинг!$B$5:$B$300,$B24)&gt;0,COUNTIF($B25:$B$301,$B24)&gt;0),0,IF(SUMPRODUCT(($B$5:$B$300=$B24)*(($F$5:$F$300+$I$5:$I$300-ABS($F$5:$F$300-$I$5:$I$300))/2)*$G$5:$G$300)&lt;=0,"",ROUND(N24/SUMPRODUCT(($B$5:$B$300=$B24)*(($F$5:$F$300+$I$5:$I$300-ABS($F$5:$F$300-$I$5:$I$300))/2)*$G$5:$G$300)*100,2))),"")</f>
        <v/>
      </c>
    </row>
    <row r="25" ht="22" customHeight="1">
      <c r="B25" s="313" t="inlineStr">
        <is>
          <t>L-0024</t>
        </is>
      </c>
      <c r="C25" s="314" t="n">
        <v>46304</v>
      </c>
      <c r="D25" s="313" t="inlineStr">
        <is>
          <t>OKX</t>
        </is>
      </c>
      <c r="E25" s="315" t="inlineStr">
        <is>
          <t>ETH/USDT</t>
        </is>
      </c>
      <c r="F25" s="316" t="n">
        <v>1.5</v>
      </c>
      <c r="G25" s="317" t="n">
        <v>3196.38</v>
      </c>
      <c r="H25" s="271">
        <f>IF(AND(ISNUMBER(F25),ISNUMBER(G25)),F25*G25,"")</f>
        <v/>
      </c>
      <c r="I25" s="316" t="n">
        <v>1.5</v>
      </c>
      <c r="J25" s="317" t="n">
        <v>3258.47</v>
      </c>
      <c r="K25" s="271">
        <f>IF(AND(ISNUMBER(I25),ISNUMBER(J25)),I25*J25,"")</f>
        <v/>
      </c>
      <c r="L25" s="240">
        <f>IF(COUNT(F25,I25)=0,"",N(F25)-N(I25))</f>
        <v/>
      </c>
      <c r="M25" s="241">
        <f>IF(COUNT(H25,K25)=0,"",N(K25)-N(H25))</f>
        <v/>
      </c>
      <c r="N25" s="240">
        <f>IF(AND(ISNUMBER(F25),ISNUMBER(I25),ISNUMBER(H25),ISNUMBER(K25),F25&gt;0,I25&gt;0,H25&lt;&gt;0),IF(OR(COUNTIF(Торговля!$B$5:$B$300,$B25)+COUNTIF(Лэндинг!$B$5:$B$300,$B25)&gt;0,COUNTIF($B26:$B$301,$B25)&gt;0),0,ROUND(SUMPRODUCT(($B$5:$B$300=$B25)*(($F$5:$F$300+$I$5:$I$300-ABS($F$5:$F$300-$I$5:$I$300))/2)*($J$5:$J$300-$G$5:$G$300)),8)),"")</f>
        <v/>
      </c>
      <c r="O25" s="177">
        <f>IF(ISNUMBER(N25),IF(OR(COUNTIF(Торговля!$B$5:$B$300,$B25)+COUNTIF(Лэндинг!$B$5:$B$300,$B25)&gt;0,COUNTIF($B26:$B$301,$B25)&gt;0),0,IF(SUMPRODUCT(($B$5:$B$300=$B25)*(($F$5:$F$300+$I$5:$I$300-ABS($F$5:$F$300-$I$5:$I$300))/2)*$G$5:$G$300)&lt;=0,"",ROUND(N25/SUMPRODUCT(($B$5:$B$300=$B25)*(($F$5:$F$300+$I$5:$I$300-ABS($F$5:$F$300-$I$5:$I$300))/2)*$G$5:$G$300)*100,2))),"")</f>
        <v/>
      </c>
    </row>
    <row r="26" ht="22" customHeight="1">
      <c r="B26" s="318" t="inlineStr">
        <is>
          <t>L-0025</t>
        </is>
      </c>
      <c r="C26" s="319" t="n">
        <v>46304</v>
      </c>
      <c r="D26" s="318" t="inlineStr">
        <is>
          <t>Binance</t>
        </is>
      </c>
      <c r="E26" s="320" t="inlineStr">
        <is>
          <t>LTC/USDT</t>
        </is>
      </c>
      <c r="F26" s="321" t="n">
        <v>40</v>
      </c>
      <c r="G26" s="322" t="n">
        <v>88.176</v>
      </c>
      <c r="H26" s="271">
        <f>IF(AND(ISNUMBER(F26),ISNUMBER(G26)),F26*G26,"")</f>
        <v/>
      </c>
      <c r="I26" s="321" t="n">
        <v>40</v>
      </c>
      <c r="J26" s="322" t="n">
        <v>90.818</v>
      </c>
      <c r="K26" s="271">
        <f>IF(AND(ISNUMBER(I26),ISNUMBER(J26)),I26*J26,"")</f>
        <v/>
      </c>
      <c r="L26" s="246">
        <f>IF(COUNT(F26,I26)=0,"",N(F26)-N(I26))</f>
        <v/>
      </c>
      <c r="M26" s="247">
        <f>IF(COUNT(H26,K26)=0,"",N(K26)-N(H26))</f>
        <v/>
      </c>
      <c r="N26" s="246">
        <f>IF(AND(ISNUMBER(F26),ISNUMBER(I26),ISNUMBER(H26),ISNUMBER(K26),F26&gt;0,I26&gt;0,H26&lt;&gt;0),IF(OR(COUNTIF(Торговля!$B$5:$B$300,$B26)+COUNTIF(Лэндинг!$B$5:$B$300,$B26)&gt;0,COUNTIF($B27:$B$301,$B26)&gt;0),0,ROUND(SUMPRODUCT(($B$5:$B$300=$B26)*(($F$5:$F$300+$I$5:$I$300-ABS($F$5:$F$300-$I$5:$I$300))/2)*($J$5:$J$300-$G$5:$G$300)),8)),"")</f>
        <v/>
      </c>
      <c r="O26" s="183">
        <f>IF(ISNUMBER(N26),IF(OR(COUNTIF(Торговля!$B$5:$B$300,$B26)+COUNTIF(Лэндинг!$B$5:$B$300,$B26)&gt;0,COUNTIF($B27:$B$301,$B26)&gt;0),0,IF(SUMPRODUCT(($B$5:$B$300=$B26)*(($F$5:$F$300+$I$5:$I$300-ABS($F$5:$F$300-$I$5:$I$300))/2)*$G$5:$G$300)&lt;=0,"",ROUND(N26/SUMPRODUCT(($B$5:$B$300=$B26)*(($F$5:$F$300+$I$5:$I$300-ABS($F$5:$F$300-$I$5:$I$300))/2)*$G$5:$G$300)*100,2))),"")</f>
        <v/>
      </c>
    </row>
    <row r="27" ht="22" customHeight="1">
      <c r="B27" s="313" t="inlineStr">
        <is>
          <t>L-0026</t>
        </is>
      </c>
      <c r="C27" s="314" t="n">
        <v>46304</v>
      </c>
      <c r="D27" s="313" t="inlineStr">
        <is>
          <t>Binance</t>
        </is>
      </c>
      <c r="E27" s="315" t="inlineStr">
        <is>
          <t>BNB/ETH</t>
        </is>
      </c>
      <c r="F27" s="316" t="n">
        <v>5</v>
      </c>
      <c r="G27" s="317" t="n">
        <v>0.186372</v>
      </c>
      <c r="H27" s="271">
        <f>IF(AND(ISNUMBER(F27),ISNUMBER(G27)),F27*G27,"")</f>
        <v/>
      </c>
      <c r="I27" s="316" t="n">
        <v>5</v>
      </c>
      <c r="J27" s="317" t="n">
        <v>0.188622</v>
      </c>
      <c r="K27" s="271">
        <f>IF(AND(ISNUMBER(I27),ISNUMBER(J27)),I27*J27,"")</f>
        <v/>
      </c>
      <c r="L27" s="240">
        <f>IF(COUNT(F27,I27)=0,"",N(F27)-N(I27))</f>
        <v/>
      </c>
      <c r="M27" s="241">
        <f>IF(COUNT(H27,K27)=0,"",N(K27)-N(H27))</f>
        <v/>
      </c>
      <c r="N27" s="240">
        <f>IF(AND(ISNUMBER(F27),ISNUMBER(I27),ISNUMBER(H27),ISNUMBER(K27),F27&gt;0,I27&gt;0,H27&lt;&gt;0),IF(OR(COUNTIF(Торговля!$B$5:$B$300,$B27)+COUNTIF(Лэндинг!$B$5:$B$300,$B27)&gt;0,COUNTIF($B28:$B$301,$B27)&gt;0),0,ROUND(SUMPRODUCT(($B$5:$B$300=$B27)*(($F$5:$F$300+$I$5:$I$300-ABS($F$5:$F$300-$I$5:$I$300))/2)*($J$5:$J$300-$G$5:$G$300)),8)),"")</f>
        <v/>
      </c>
      <c r="O27" s="177">
        <f>IF(ISNUMBER(N27),IF(OR(COUNTIF(Торговля!$B$5:$B$300,$B27)+COUNTIF(Лэндинг!$B$5:$B$300,$B27)&gt;0,COUNTIF($B28:$B$301,$B27)&gt;0),0,IF(SUMPRODUCT(($B$5:$B$300=$B27)*(($F$5:$F$300+$I$5:$I$300-ABS($F$5:$F$300-$I$5:$I$300))/2)*$G$5:$G$300)&lt;=0,"",ROUND(N27/SUMPRODUCT(($B$5:$B$300=$B27)*(($F$5:$F$300+$I$5:$I$300-ABS($F$5:$F$300-$I$5:$I$300))/2)*$G$5:$G$300)*100,2))),"")</f>
        <v/>
      </c>
    </row>
    <row r="28" ht="22" customHeight="1">
      <c r="B28" s="318" t="inlineStr">
        <is>
          <t>L-0027</t>
        </is>
      </c>
      <c r="C28" s="319" t="n">
        <v>46304</v>
      </c>
      <c r="D28" s="318" t="inlineStr">
        <is>
          <t>Bybit</t>
        </is>
      </c>
      <c r="E28" s="320" t="inlineStr">
        <is>
          <t>CAKE/BTC</t>
        </is>
      </c>
      <c r="F28" s="321" t="n">
        <v>300</v>
      </c>
      <c r="G28" s="322" t="n">
        <v>3.858e-05</v>
      </c>
      <c r="H28" s="271">
        <f>IF(AND(ISNUMBER(F28),ISNUMBER(G28)),F28*G28,"")</f>
        <v/>
      </c>
      <c r="I28" s="321" t="n">
        <v>300</v>
      </c>
      <c r="J28" s="322" t="n">
        <v>3.942e-05</v>
      </c>
      <c r="K28" s="271">
        <f>IF(AND(ISNUMBER(I28),ISNUMBER(J28)),I28*J28,"")</f>
        <v/>
      </c>
      <c r="L28" s="246">
        <f>IF(COUNT(F28,I28)=0,"",N(F28)-N(I28))</f>
        <v/>
      </c>
      <c r="M28" s="247">
        <f>IF(COUNT(H28,K28)=0,"",N(K28)-N(H28))</f>
        <v/>
      </c>
      <c r="N28" s="246">
        <f>IF(AND(ISNUMBER(F28),ISNUMBER(I28),ISNUMBER(H28),ISNUMBER(K28),F28&gt;0,I28&gt;0,H28&lt;&gt;0),IF(OR(COUNTIF(Торговля!$B$5:$B$300,$B28)+COUNTIF(Лэндинг!$B$5:$B$300,$B28)&gt;0,COUNTIF($B29:$B$301,$B28)&gt;0),0,ROUND(SUMPRODUCT(($B$5:$B$300=$B28)*(($F$5:$F$300+$I$5:$I$300-ABS($F$5:$F$300-$I$5:$I$300))/2)*($J$5:$J$300-$G$5:$G$300)),8)),"")</f>
        <v/>
      </c>
      <c r="O28" s="183">
        <f>IF(ISNUMBER(N28),IF(OR(COUNTIF(Торговля!$B$5:$B$300,$B28)+COUNTIF(Лэндинг!$B$5:$B$300,$B28)&gt;0,COUNTIF($B29:$B$301,$B28)&gt;0),0,IF(SUMPRODUCT(($B$5:$B$300=$B28)*(($F$5:$F$300+$I$5:$I$300-ABS($F$5:$F$300-$I$5:$I$300))/2)*$G$5:$G$300)&lt;=0,"",ROUND(N28/SUMPRODUCT(($B$5:$B$300=$B28)*(($F$5:$F$300+$I$5:$I$300-ABS($F$5:$F$300-$I$5:$I$300))/2)*$G$5:$G$300)*100,2))),"")</f>
        <v/>
      </c>
    </row>
    <row r="29" ht="22" customHeight="1">
      <c r="B29" s="313" t="inlineStr">
        <is>
          <t>L-0028</t>
        </is>
      </c>
      <c r="C29" s="314" t="n">
        <v>46304</v>
      </c>
      <c r="D29" s="313" t="inlineStr">
        <is>
          <t>AAVE</t>
        </is>
      </c>
      <c r="E29" s="315" t="inlineStr">
        <is>
          <t>ETH/BTC</t>
        </is>
      </c>
      <c r="F29" s="316" t="n">
        <v>1.5</v>
      </c>
      <c r="G29" s="317" t="n">
        <v>0.0513024</v>
      </c>
      <c r="H29" s="271">
        <f>IF(AND(ISNUMBER(F29),ISNUMBER(G29)),F29*G29,"")</f>
        <v/>
      </c>
      <c r="I29" s="316" t="n">
        <v>1.5</v>
      </c>
      <c r="J29" s="317" t="n">
        <v>0.0516964</v>
      </c>
      <c r="K29" s="271">
        <f>IF(AND(ISNUMBER(I29),ISNUMBER(J29)),I29*J29,"")</f>
        <v/>
      </c>
      <c r="L29" s="240">
        <f>IF(COUNT(F29,I29)=0,"",N(F29)-N(I29))</f>
        <v/>
      </c>
      <c r="M29" s="241">
        <f>IF(COUNT(H29,K29)=0,"",N(K29)-N(H29))</f>
        <v/>
      </c>
      <c r="N29" s="240">
        <f>IF(AND(ISNUMBER(F29),ISNUMBER(I29),ISNUMBER(H29),ISNUMBER(K29),F29&gt;0,I29&gt;0,H29&lt;&gt;0),IF(OR(COUNTIF(Торговля!$B$5:$B$300,$B29)+COUNTIF(Лэндинг!$B$5:$B$300,$B29)&gt;0,COUNTIF($B30:$B$301,$B29)&gt;0),0,ROUND(SUMPRODUCT(($B$5:$B$300=$B29)*(($F$5:$F$300+$I$5:$I$300-ABS($F$5:$F$300-$I$5:$I$300))/2)*($J$5:$J$300-$G$5:$G$300)),8)),"")</f>
        <v/>
      </c>
      <c r="O29" s="177">
        <f>IF(ISNUMBER(N29),IF(OR(COUNTIF(Торговля!$B$5:$B$300,$B29)+COUNTIF(Лэндинг!$B$5:$B$300,$B29)&gt;0,COUNTIF($B30:$B$301,$B29)&gt;0),0,IF(SUMPRODUCT(($B$5:$B$300=$B29)*(($F$5:$F$300+$I$5:$I$300-ABS($F$5:$F$300-$I$5:$I$300))/2)*$G$5:$G$300)&lt;=0,"",ROUND(N29/SUMPRODUCT(($B$5:$B$300=$B29)*(($F$5:$F$300+$I$5:$I$300-ABS($F$5:$F$300-$I$5:$I$300))/2)*$G$5:$G$300)*100,2))),"")</f>
        <v/>
      </c>
    </row>
    <row r="30" ht="22" customHeight="1">
      <c r="B30" s="318" t="inlineStr">
        <is>
          <t>L-0029</t>
        </is>
      </c>
      <c r="C30" s="319" t="n">
        <v>46304</v>
      </c>
      <c r="D30" s="318" t="inlineStr">
        <is>
          <t>OKX</t>
        </is>
      </c>
      <c r="E30" s="320" t="inlineStr">
        <is>
          <t>BNB/ETH</t>
        </is>
      </c>
      <c r="F30" s="321" t="n">
        <v>4</v>
      </c>
      <c r="G30" s="322" t="n">
        <v>0.187374</v>
      </c>
      <c r="H30" s="271">
        <f>IF(AND(ISNUMBER(F30),ISNUMBER(G30)),F30*G30,"")</f>
        <v/>
      </c>
      <c r="I30" s="321" t="n">
        <v>4</v>
      </c>
      <c r="J30" s="322" t="n">
        <v>0.190119</v>
      </c>
      <c r="K30" s="271">
        <f>IF(AND(ISNUMBER(I30),ISNUMBER(J30)),I30*J30,"")</f>
        <v/>
      </c>
      <c r="L30" s="246">
        <f>IF(COUNT(F30,I30)=0,"",N(F30)-N(I30))</f>
        <v/>
      </c>
      <c r="M30" s="247">
        <f>IF(COUNT(H30,K30)=0,"",N(K30)-N(H30))</f>
        <v/>
      </c>
      <c r="N30" s="246">
        <f>IF(AND(ISNUMBER(F30),ISNUMBER(I30),ISNUMBER(H30),ISNUMBER(K30),F30&gt;0,I30&gt;0,H30&lt;&gt;0),IF(OR(COUNTIF(Торговля!$B$5:$B$300,$B30)+COUNTIF(Лэндинг!$B$5:$B$300,$B30)&gt;0,COUNTIF($B31:$B$301,$B30)&gt;0),0,ROUND(SUMPRODUCT(($B$5:$B$300=$B30)*(($F$5:$F$300+$I$5:$I$300-ABS($F$5:$F$300-$I$5:$I$300))/2)*($J$5:$J$300-$G$5:$G$300)),8)),"")</f>
        <v/>
      </c>
      <c r="O30" s="183">
        <f>IF(ISNUMBER(N30),IF(OR(COUNTIF(Торговля!$B$5:$B$300,$B30)+COUNTIF(Лэндинг!$B$5:$B$300,$B30)&gt;0,COUNTIF($B31:$B$301,$B30)&gt;0),0,IF(SUMPRODUCT(($B$5:$B$300=$B30)*(($F$5:$F$300+$I$5:$I$300-ABS($F$5:$F$300-$I$5:$I$300))/2)*$G$5:$G$300)&lt;=0,"",ROUND(N30/SUMPRODUCT(($B$5:$B$300=$B30)*(($F$5:$F$300+$I$5:$I$300-ABS($F$5:$F$300-$I$5:$I$300))/2)*$G$5:$G$300)*100,2))),"")</f>
        <v/>
      </c>
    </row>
    <row r="31" ht="22" customHeight="1">
      <c r="B31" s="313" t="inlineStr">
        <is>
          <t>L-0030</t>
        </is>
      </c>
      <c r="C31" s="314" t="n">
        <v>46304</v>
      </c>
      <c r="D31" s="313" t="inlineStr">
        <is>
          <t>Binance</t>
        </is>
      </c>
      <c r="E31" s="315" t="inlineStr">
        <is>
          <t>BTC/USDT</t>
        </is>
      </c>
      <c r="F31" s="316" t="n">
        <v>0.06</v>
      </c>
      <c r="G31" s="317" t="n">
        <v>62023.8</v>
      </c>
      <c r="H31" s="271">
        <f>IF(AND(ISNUMBER(F31),ISNUMBER(G31)),F31*G31,"")</f>
        <v/>
      </c>
      <c r="I31" s="316" t="n">
        <v>0.06</v>
      </c>
      <c r="J31" s="317" t="n">
        <v>62574.6</v>
      </c>
      <c r="K31" s="271">
        <f>IF(AND(ISNUMBER(I31),ISNUMBER(J31)),I31*J31,"")</f>
        <v/>
      </c>
      <c r="L31" s="240">
        <f>IF(COUNT(F31,I31)=0,"",N(F31)-N(I31))</f>
        <v/>
      </c>
      <c r="M31" s="241">
        <f>IF(COUNT(H31,K31)=0,"",N(K31)-N(H31))</f>
        <v/>
      </c>
      <c r="N31" s="240">
        <f>IF(AND(ISNUMBER(F31),ISNUMBER(I31),ISNUMBER(H31),ISNUMBER(K31),F31&gt;0,I31&gt;0,H31&lt;&gt;0),IF(OR(COUNTIF(Торговля!$B$5:$B$300,$B31)+COUNTIF(Лэндинг!$B$5:$B$300,$B31)&gt;0,COUNTIF($B32:$B$301,$B31)&gt;0),0,ROUND(SUMPRODUCT(($B$5:$B$300=$B31)*(($F$5:$F$300+$I$5:$I$300-ABS($F$5:$F$300-$I$5:$I$300))/2)*($J$5:$J$300-$G$5:$G$300)),8)),"")</f>
        <v/>
      </c>
      <c r="O31" s="177">
        <f>IF(ISNUMBER(N31),IF(OR(COUNTIF(Торговля!$B$5:$B$300,$B31)+COUNTIF(Лэндинг!$B$5:$B$300,$B31)&gt;0,COUNTIF($B32:$B$301,$B31)&gt;0),0,IF(SUMPRODUCT(($B$5:$B$300=$B31)*(($F$5:$F$300+$I$5:$I$300-ABS($F$5:$F$300-$I$5:$I$300))/2)*$G$5:$G$300)&lt;=0,"",ROUND(N31/SUMPRODUCT(($B$5:$B$300=$B31)*(($F$5:$F$300+$I$5:$I$300-ABS($F$5:$F$300-$I$5:$I$300))/2)*$G$5:$G$300)*100,2))),"")</f>
        <v/>
      </c>
    </row>
    <row r="32" ht="22" customHeight="1">
      <c r="B32" s="318" t="inlineStr">
        <is>
          <t>T-0028</t>
        </is>
      </c>
      <c r="C32" s="319" t="n">
        <v>46303</v>
      </c>
      <c r="D32" s="318" t="inlineStr">
        <is>
          <t>Binance</t>
        </is>
      </c>
      <c r="E32" s="320" t="inlineStr">
        <is>
          <t>ADA/USDT</t>
        </is>
      </c>
      <c r="F32" s="321" t="n">
        <v>40</v>
      </c>
      <c r="G32" s="322" t="n">
        <v>0.6012</v>
      </c>
      <c r="H32" s="271">
        <f>IF(AND(ISNUMBER(F32),ISNUMBER(G32)),F32*G32,"")</f>
        <v/>
      </c>
      <c r="I32" s="321" t="n">
        <v>40</v>
      </c>
      <c r="J32" s="322" t="n">
        <v>0.65868</v>
      </c>
      <c r="K32" s="271">
        <f>IF(AND(ISNUMBER(I32),ISNUMBER(J32)),I32*J32,"")</f>
        <v/>
      </c>
      <c r="L32" s="246">
        <f>IF(COUNT(F32,I32)=0,"",N(F32)-N(I32))</f>
        <v/>
      </c>
      <c r="M32" s="247">
        <f>IF(COUNT(H32,K32)=0,"",N(K32)-N(H32))</f>
        <v/>
      </c>
      <c r="N32" s="246">
        <f>IF(AND(ISNUMBER(F32),ISNUMBER(I32),ISNUMBER(H32),ISNUMBER(K32),F32&gt;0,I32&gt;0,H32&lt;&gt;0),IF(OR(COUNTIF(Торговля!$B$5:$B$300,$B32)+COUNTIF(Лэндинг!$B$5:$B$300,$B32)&gt;0,COUNTIF($B33:$B$301,$B32)&gt;0),0,ROUND(SUMPRODUCT(($B$5:$B$300=$B32)*(($F$5:$F$300+$I$5:$I$300-ABS($F$5:$F$300-$I$5:$I$300))/2)*($J$5:$J$300-$G$5:$G$300)),8)),"")</f>
        <v/>
      </c>
      <c r="O32" s="183">
        <f>IF(ISNUMBER(N32),IF(OR(COUNTIF(Торговля!$B$5:$B$300,$B32)+COUNTIF(Лэндинг!$B$5:$B$300,$B32)&gt;0,COUNTIF($B33:$B$301,$B32)&gt;0),0,IF(SUMPRODUCT(($B$5:$B$300=$B32)*(($F$5:$F$300+$I$5:$I$300-ABS($F$5:$F$300-$I$5:$I$300))/2)*$G$5:$G$300)&lt;=0,"",ROUND(N32/SUMPRODUCT(($B$5:$B$300=$B32)*(($F$5:$F$300+$I$5:$I$300-ABS($F$5:$F$300-$I$5:$I$300))/2)*$G$5:$G$300)*100,2))),"")</f>
        <v/>
      </c>
    </row>
    <row r="33" ht="22" customHeight="1">
      <c r="B33" s="313" t="inlineStr">
        <is>
          <t>T-0029</t>
        </is>
      </c>
      <c r="C33" s="314" t="n">
        <v>46303</v>
      </c>
      <c r="D33" s="313" t="inlineStr">
        <is>
          <t>Bybit</t>
        </is>
      </c>
      <c r="E33" s="315" t="inlineStr">
        <is>
          <t>SOL/USDT</t>
        </is>
      </c>
      <c r="F33" s="316" t="n">
        <v>10</v>
      </c>
      <c r="G33" s="317" t="n">
        <v>150.3</v>
      </c>
      <c r="H33" s="271">
        <f>IF(AND(ISNUMBER(F33),ISNUMBER(G33)),F33*G33,"")</f>
        <v/>
      </c>
      <c r="I33" s="316" t="n">
        <v>10</v>
      </c>
      <c r="J33" s="317" t="n">
        <v>154.69</v>
      </c>
      <c r="K33" s="271">
        <f>IF(AND(ISNUMBER(I33),ISNUMBER(J33)),I33*J33,"")</f>
        <v/>
      </c>
      <c r="L33" s="240">
        <f>IF(COUNT(F33,I33)=0,"",N(F33)-N(I33))</f>
        <v/>
      </c>
      <c r="M33" s="241">
        <f>IF(COUNT(H33,K33)=0,"",N(K33)-N(H33))</f>
        <v/>
      </c>
      <c r="N33" s="240">
        <f>IF(AND(ISNUMBER(F33),ISNUMBER(I33),ISNUMBER(H33),ISNUMBER(K33),F33&gt;0,I33&gt;0,H33&lt;&gt;0),IF(OR(COUNTIF(Торговля!$B$5:$B$300,$B33)+COUNTIF(Лэндинг!$B$5:$B$300,$B33)&gt;0,COUNTIF($B34:$B$301,$B33)&gt;0),0,ROUND(SUMPRODUCT(($B$5:$B$300=$B33)*(($F$5:$F$300+$I$5:$I$300-ABS($F$5:$F$300-$I$5:$I$300))/2)*($J$5:$J$300-$G$5:$G$300)),8)),"")</f>
        <v/>
      </c>
      <c r="O33" s="177">
        <f>IF(ISNUMBER(N33),IF(OR(COUNTIF(Торговля!$B$5:$B$300,$B33)+COUNTIF(Лэндинг!$B$5:$B$300,$B33)&gt;0,COUNTIF($B34:$B$301,$B33)&gt;0),0,IF(SUMPRODUCT(($B$5:$B$300=$B33)*(($F$5:$F$300+$I$5:$I$300-ABS($F$5:$F$300-$I$5:$I$300))/2)*$G$5:$G$300)&lt;=0,"",ROUND(N33/SUMPRODUCT(($B$5:$B$300=$B33)*(($F$5:$F$300+$I$5:$I$300-ABS($F$5:$F$300-$I$5:$I$300))/2)*$G$5:$G$300)*100,2))),"")</f>
        <v/>
      </c>
    </row>
    <row r="34" ht="22" customHeight="1">
      <c r="B34" s="318" t="inlineStr">
        <is>
          <t>T-0029</t>
        </is>
      </c>
      <c r="C34" s="319" t="n">
        <v>46304</v>
      </c>
      <c r="D34" s="318" t="inlineStr">
        <is>
          <t>Bybit</t>
        </is>
      </c>
      <c r="E34" s="320" t="inlineStr">
        <is>
          <t>SOL/USDT</t>
        </is>
      </c>
      <c r="F34" s="321" t="n">
        <v>8</v>
      </c>
      <c r="G34" s="322" t="n">
        <v>150.3</v>
      </c>
      <c r="H34" s="271">
        <f>IF(AND(ISNUMBER(F34),ISNUMBER(G34)),F34*G34,"")</f>
        <v/>
      </c>
      <c r="I34" s="321" t="n">
        <v>8</v>
      </c>
      <c r="J34" s="322" t="n">
        <v>157.684</v>
      </c>
      <c r="K34" s="271">
        <f>IF(AND(ISNUMBER(I34),ISNUMBER(J34)),I34*J34,"")</f>
        <v/>
      </c>
      <c r="L34" s="246">
        <f>IF(COUNT(F34,I34)=0,"",N(F34)-N(I34))</f>
        <v/>
      </c>
      <c r="M34" s="247">
        <f>IF(COUNT(H34,K34)=0,"",N(K34)-N(H34))</f>
        <v/>
      </c>
      <c r="N34" s="246">
        <f>IF(AND(ISNUMBER(F34),ISNUMBER(I34),ISNUMBER(H34),ISNUMBER(K34),F34&gt;0,I34&gt;0,H34&lt;&gt;0),IF(OR(COUNTIF(Торговля!$B$5:$B$300,$B34)+COUNTIF(Лэндинг!$B$5:$B$300,$B34)&gt;0,COUNTIF($B35:$B$301,$B34)&gt;0),0,ROUND(SUMPRODUCT(($B$5:$B$300=$B34)*(($F$5:$F$300+$I$5:$I$300-ABS($F$5:$F$300-$I$5:$I$300))/2)*($J$5:$J$300-$G$5:$G$300)),8)),"")</f>
        <v/>
      </c>
      <c r="O34" s="183">
        <f>IF(ISNUMBER(N34),IF(OR(COUNTIF(Торговля!$B$5:$B$300,$B34)+COUNTIF(Лэндинг!$B$5:$B$300,$B34)&gt;0,COUNTIF($B35:$B$301,$B34)&gt;0),0,IF(SUMPRODUCT(($B$5:$B$300=$B34)*(($F$5:$F$300+$I$5:$I$300-ABS($F$5:$F$300-$I$5:$I$300))/2)*$G$5:$G$300)&lt;=0,"",ROUND(N34/SUMPRODUCT(($B$5:$B$300=$B34)*(($F$5:$F$300+$I$5:$I$300-ABS($F$5:$F$300-$I$5:$I$300))/2)*$G$5:$G$300)*100,2))),"")</f>
        <v/>
      </c>
    </row>
    <row r="35" ht="22" customHeight="1">
      <c r="B35" s="313" t="inlineStr">
        <is>
          <t>T-0028</t>
        </is>
      </c>
      <c r="C35" s="314" t="n">
        <v>46304</v>
      </c>
      <c r="D35" s="313" t="inlineStr">
        <is>
          <t>Binance</t>
        </is>
      </c>
      <c r="E35" s="315" t="inlineStr">
        <is>
          <t>ADA/USDT</t>
        </is>
      </c>
      <c r="F35" s="316" t="n">
        <v>110</v>
      </c>
      <c r="G35" s="317" t="n">
        <v>0.61941818</v>
      </c>
      <c r="H35" s="271">
        <f>IF(AND(ISNUMBER(F35),ISNUMBER(G35)),F35*G35,"")</f>
        <v/>
      </c>
      <c r="I35" s="316" t="n">
        <v>110</v>
      </c>
      <c r="J35" s="317" t="n">
        <v>0.6986</v>
      </c>
      <c r="K35" s="271">
        <f>IF(AND(ISNUMBER(I35),ISNUMBER(J35)),I35*J35,"")</f>
        <v/>
      </c>
      <c r="L35" s="240">
        <f>IF(COUNT(F35,I35)=0,"",N(F35)-N(I35))</f>
        <v/>
      </c>
      <c r="M35" s="241">
        <f>IF(COUNT(H35,K35)=0,"",N(K35)-N(H35))</f>
        <v/>
      </c>
      <c r="N35" s="240">
        <f>IF(AND(ISNUMBER(F35),ISNUMBER(I35),ISNUMBER(H35),ISNUMBER(K35),F35&gt;0,I35&gt;0,H35&lt;&gt;0),IF(OR(COUNTIF(Торговля!$B$5:$B$300,$B35)+COUNTIF(Лэндинг!$B$5:$B$300,$B35)&gt;0,COUNTIF($B36:$B$301,$B35)&gt;0),0,ROUND(SUMPRODUCT(($B$5:$B$300=$B35)*(($F$5:$F$300+$I$5:$I$300-ABS($F$5:$F$300-$I$5:$I$300))/2)*($J$5:$J$300-$G$5:$G$300)),8)),"")</f>
        <v/>
      </c>
      <c r="O35" s="177">
        <f>IF(ISNUMBER(N35),IF(OR(COUNTIF(Торговля!$B$5:$B$300,$B35)+COUNTIF(Лэндинг!$B$5:$B$300,$B35)&gt;0,COUNTIF($B36:$B$301,$B35)&gt;0),0,IF(SUMPRODUCT(($B$5:$B$300=$B35)*(($F$5:$F$300+$I$5:$I$300-ABS($F$5:$F$300-$I$5:$I$300))/2)*$G$5:$G$300)&lt;=0,"",ROUND(N35/SUMPRODUCT(($B$5:$B$300=$B35)*(($F$5:$F$300+$I$5:$I$300-ABS($F$5:$F$300-$I$5:$I$300))/2)*$G$5:$G$300)*100,2))),"")</f>
        <v/>
      </c>
    </row>
    <row r="36" ht="22" customHeight="1">
      <c r="B36" s="318" t="n"/>
      <c r="C36" s="319" t="n"/>
      <c r="D36" s="318" t="n"/>
      <c r="E36" s="320" t="n"/>
      <c r="F36" s="321" t="n"/>
      <c r="G36" s="322" t="n"/>
      <c r="H36" s="271">
        <f>IF(AND(ISNUMBER(F36),ISNUMBER(G36)),F36*G36,"")</f>
        <v/>
      </c>
      <c r="I36" s="321" t="n"/>
      <c r="J36" s="322" t="n"/>
      <c r="K36" s="271">
        <f>IF(AND(ISNUMBER(I36),ISNUMBER(J36)),I36*J36,"")</f>
        <v/>
      </c>
      <c r="L36" s="246">
        <f>IF(COUNT(F36,I36)=0,"",N(F36)-N(I36))</f>
        <v/>
      </c>
      <c r="M36" s="247">
        <f>IF(COUNT(H36,K36)=0,"",N(K36)-N(H36))</f>
        <v/>
      </c>
      <c r="N36" s="246">
        <f>IF(AND(ISNUMBER(F36),ISNUMBER(I36),ISNUMBER(H36),ISNUMBER(K36),F36&gt;0,I36&gt;0,H36&lt;&gt;0),IF(OR(COUNTIF(Торговля!$B$5:$B$300,$B36)+COUNTIF(Лэндинг!$B$5:$B$300,$B36)&gt;0,COUNTIF($B37:$B$301,$B36)&gt;0),0,ROUND(SUMPRODUCT(($B$5:$B$300=$B36)*(($F$5:$F$300+$I$5:$I$300-ABS($F$5:$F$300-$I$5:$I$300))/2)*($J$5:$J$300-$G$5:$G$300)),8)),"")</f>
        <v/>
      </c>
      <c r="O36" s="183">
        <f>IF(ISNUMBER(N36),IF(OR(COUNTIF(Торговля!$B$5:$B$300,$B36)+COUNTIF(Лэндинг!$B$5:$B$300,$B36)&gt;0,COUNTIF($B37:$B$301,$B36)&gt;0),0,IF(SUMPRODUCT(($B$5:$B$300=$B36)*(($F$5:$F$300+$I$5:$I$300-ABS($F$5:$F$300-$I$5:$I$300))/2)*$G$5:$G$300)&lt;=0,"",ROUND(N36/SUMPRODUCT(($B$5:$B$300=$B36)*(($F$5:$F$300+$I$5:$I$300-ABS($F$5:$F$300-$I$5:$I$300))/2)*$G$5:$G$300)*100,2))),"")</f>
        <v/>
      </c>
    </row>
    <row r="37" ht="22" customHeight="1">
      <c r="B37" s="313" t="n"/>
      <c r="C37" s="314" t="n"/>
      <c r="D37" s="313" t="n"/>
      <c r="E37" s="315" t="n"/>
      <c r="F37" s="316" t="n"/>
      <c r="G37" s="317" t="n"/>
      <c r="H37" s="271">
        <f>IF(AND(ISNUMBER(F37),ISNUMBER(G37)),F37*G37,"")</f>
        <v/>
      </c>
      <c r="I37" s="316" t="n"/>
      <c r="J37" s="317" t="n"/>
      <c r="K37" s="271">
        <f>IF(AND(ISNUMBER(I37),ISNUMBER(J37)),I37*J37,"")</f>
        <v/>
      </c>
      <c r="L37" s="240">
        <f>IF(COUNT(F37,I37)=0,"",N(F37)-N(I37))</f>
        <v/>
      </c>
      <c r="M37" s="241">
        <f>IF(COUNT(H37,K37)=0,"",N(K37)-N(H37))</f>
        <v/>
      </c>
      <c r="N37" s="240">
        <f>IF(AND(ISNUMBER(F37),ISNUMBER(I37),ISNUMBER(H37),ISNUMBER(K37),F37&gt;0,I37&gt;0,H37&lt;&gt;0),IF(OR(COUNTIF(Торговля!$B$5:$B$300,$B37)+COUNTIF(Лэндинг!$B$5:$B$300,$B37)&gt;0,COUNTIF($B38:$B$301,$B37)&gt;0),0,ROUND(SUMPRODUCT(($B$5:$B$300=$B37)*(($F$5:$F$300+$I$5:$I$300-ABS($F$5:$F$300-$I$5:$I$300))/2)*($J$5:$J$300-$G$5:$G$300)),8)),"")</f>
        <v/>
      </c>
      <c r="O37" s="177">
        <f>IF(ISNUMBER(N37),IF(OR(COUNTIF(Торговля!$B$5:$B$300,$B37)+COUNTIF(Лэндинг!$B$5:$B$300,$B37)&gt;0,COUNTIF($B38:$B$301,$B37)&gt;0),0,IF(SUMPRODUCT(($B$5:$B$300=$B37)*(($F$5:$F$300+$I$5:$I$300-ABS($F$5:$F$300-$I$5:$I$300))/2)*$G$5:$G$300)&lt;=0,"",ROUND(N37/SUMPRODUCT(($B$5:$B$300=$B37)*(($F$5:$F$300+$I$5:$I$300-ABS($F$5:$F$300-$I$5:$I$300))/2)*$G$5:$G$300)*100,2))),"")</f>
        <v/>
      </c>
    </row>
    <row r="38" ht="22" customHeight="1">
      <c r="B38" s="318" t="n"/>
      <c r="C38" s="319" t="n"/>
      <c r="D38" s="318" t="n"/>
      <c r="E38" s="320" t="n"/>
      <c r="F38" s="321" t="n"/>
      <c r="G38" s="322" t="n"/>
      <c r="H38" s="271">
        <f>IF(AND(ISNUMBER(F38),ISNUMBER(G38)),F38*G38,"")</f>
        <v/>
      </c>
      <c r="I38" s="321" t="n"/>
      <c r="J38" s="322" t="n"/>
      <c r="K38" s="271">
        <f>IF(AND(ISNUMBER(I38),ISNUMBER(J38)),I38*J38,"")</f>
        <v/>
      </c>
      <c r="L38" s="246">
        <f>IF(COUNT(F38,I38)=0,"",N(F38)-N(I38))</f>
        <v/>
      </c>
      <c r="M38" s="247">
        <f>IF(COUNT(H38,K38)=0,"",N(K38)-N(H38))</f>
        <v/>
      </c>
      <c r="N38" s="246">
        <f>IF(AND(ISNUMBER(F38),ISNUMBER(I38),ISNUMBER(H38),ISNUMBER(K38),F38&gt;0,I38&gt;0,H38&lt;&gt;0),IF(OR(COUNTIF(Торговля!$B$5:$B$300,$B38)+COUNTIF(Лэндинг!$B$5:$B$300,$B38)&gt;0,COUNTIF($B39:$B$301,$B38)&gt;0),0,ROUND(SUMPRODUCT(($B$5:$B$300=$B38)*(($F$5:$F$300+$I$5:$I$300-ABS($F$5:$F$300-$I$5:$I$300))/2)*($J$5:$J$300-$G$5:$G$300)),8)),"")</f>
        <v/>
      </c>
      <c r="O38" s="183">
        <f>IF(ISNUMBER(N38),IF(OR(COUNTIF(Торговля!$B$5:$B$300,$B38)+COUNTIF(Лэндинг!$B$5:$B$300,$B38)&gt;0,COUNTIF($B39:$B$301,$B38)&gt;0),0,IF(SUMPRODUCT(($B$5:$B$300=$B38)*(($F$5:$F$300+$I$5:$I$300-ABS($F$5:$F$300-$I$5:$I$300))/2)*$G$5:$G$300)&lt;=0,"",ROUND(N38/SUMPRODUCT(($B$5:$B$300=$B38)*(($F$5:$F$300+$I$5:$I$300-ABS($F$5:$F$300-$I$5:$I$300))/2)*$G$5:$G$300)*100,2))),"")</f>
        <v/>
      </c>
    </row>
    <row r="39" ht="22" customHeight="1">
      <c r="B39" s="313" t="n"/>
      <c r="C39" s="314" t="n"/>
      <c r="D39" s="313" t="n"/>
      <c r="E39" s="315" t="n"/>
      <c r="F39" s="316" t="n"/>
      <c r="G39" s="317" t="n"/>
      <c r="H39" s="271">
        <f>IF(AND(ISNUMBER(F39),ISNUMBER(G39)),F39*G39,"")</f>
        <v/>
      </c>
      <c r="I39" s="316" t="n"/>
      <c r="J39" s="317" t="n"/>
      <c r="K39" s="271">
        <f>IF(AND(ISNUMBER(I39),ISNUMBER(J39)),I39*J39,"")</f>
        <v/>
      </c>
      <c r="L39" s="240">
        <f>IF(COUNT(F39,I39)=0,"",N(F39)-N(I39))</f>
        <v/>
      </c>
      <c r="M39" s="241">
        <f>IF(COUNT(H39,K39)=0,"",N(K39)-N(H39))</f>
        <v/>
      </c>
      <c r="N39" s="240">
        <f>IF(AND(ISNUMBER(F39),ISNUMBER(I39),ISNUMBER(H39),ISNUMBER(K39),F39&gt;0,I39&gt;0,H39&lt;&gt;0),IF(OR(COUNTIF(Торговля!$B$5:$B$300,$B39)+COUNTIF(Лэндинг!$B$5:$B$300,$B39)&gt;0,COUNTIF($B40:$B$301,$B39)&gt;0),0,ROUND(SUMPRODUCT(($B$5:$B$300=$B39)*(($F$5:$F$300+$I$5:$I$300-ABS($F$5:$F$300-$I$5:$I$300))/2)*($J$5:$J$300-$G$5:$G$300)),8)),"")</f>
        <v/>
      </c>
      <c r="O39" s="177">
        <f>IF(ISNUMBER(N39),IF(OR(COUNTIF(Торговля!$B$5:$B$300,$B39)+COUNTIF(Лэндинг!$B$5:$B$300,$B39)&gt;0,COUNTIF($B40:$B$301,$B39)&gt;0),0,IF(SUMPRODUCT(($B$5:$B$300=$B39)*(($F$5:$F$300+$I$5:$I$300-ABS($F$5:$F$300-$I$5:$I$300))/2)*$G$5:$G$300)&lt;=0,"",ROUND(N39/SUMPRODUCT(($B$5:$B$300=$B39)*(($F$5:$F$300+$I$5:$I$300-ABS($F$5:$F$300-$I$5:$I$300))/2)*$G$5:$G$300)*100,2))),"")</f>
        <v/>
      </c>
    </row>
    <row r="40" ht="22" customHeight="1">
      <c r="B40" s="318" t="n"/>
      <c r="C40" s="319" t="n"/>
      <c r="D40" s="318" t="n"/>
      <c r="E40" s="320" t="n"/>
      <c r="F40" s="321" t="n"/>
      <c r="G40" s="322" t="n"/>
      <c r="H40" s="271">
        <f>IF(AND(ISNUMBER(F40),ISNUMBER(G40)),F40*G40,"")</f>
        <v/>
      </c>
      <c r="I40" s="321" t="n"/>
      <c r="J40" s="322" t="n"/>
      <c r="K40" s="271">
        <f>IF(AND(ISNUMBER(I40),ISNUMBER(J40)),I40*J40,"")</f>
        <v/>
      </c>
      <c r="L40" s="246">
        <f>IF(COUNT(F40,I40)=0,"",N(F40)-N(I40))</f>
        <v/>
      </c>
      <c r="M40" s="247">
        <f>IF(COUNT(H40,K40)=0,"",N(K40)-N(H40))</f>
        <v/>
      </c>
      <c r="N40" s="246">
        <f>IF(AND(ISNUMBER(F40),ISNUMBER(I40),ISNUMBER(H40),ISNUMBER(K40),F40&gt;0,I40&gt;0,H40&lt;&gt;0),IF(OR(COUNTIF(Торговля!$B$5:$B$300,$B40)+COUNTIF(Лэндинг!$B$5:$B$300,$B40)&gt;0,COUNTIF($B41:$B$301,$B40)&gt;0),0,ROUND(SUMPRODUCT(($B$5:$B$300=$B40)*(($F$5:$F$300+$I$5:$I$300-ABS($F$5:$F$300-$I$5:$I$300))/2)*($J$5:$J$300-$G$5:$G$300)),8)),"")</f>
        <v/>
      </c>
      <c r="O40" s="183">
        <f>IF(ISNUMBER(N40),IF(OR(COUNTIF(Торговля!$B$5:$B$300,$B40)+COUNTIF(Лэндинг!$B$5:$B$300,$B40)&gt;0,COUNTIF($B41:$B$301,$B40)&gt;0),0,IF(SUMPRODUCT(($B$5:$B$300=$B40)*(($F$5:$F$300+$I$5:$I$300-ABS($F$5:$F$300-$I$5:$I$300))/2)*$G$5:$G$300)&lt;=0,"",ROUND(N40/SUMPRODUCT(($B$5:$B$300=$B40)*(($F$5:$F$300+$I$5:$I$300-ABS($F$5:$F$300-$I$5:$I$300))/2)*$G$5:$G$300)*100,2))),"")</f>
        <v/>
      </c>
    </row>
    <row r="41" ht="22" customHeight="1">
      <c r="B41" s="313" t="n"/>
      <c r="C41" s="314" t="n"/>
      <c r="D41" s="313" t="n"/>
      <c r="E41" s="315" t="n"/>
      <c r="F41" s="316" t="n"/>
      <c r="G41" s="317" t="n"/>
      <c r="H41" s="271">
        <f>IF(AND(ISNUMBER(F41),ISNUMBER(G41)),F41*G41,"")</f>
        <v/>
      </c>
      <c r="I41" s="316" t="n"/>
      <c r="J41" s="317" t="n"/>
      <c r="K41" s="271">
        <f>IF(AND(ISNUMBER(I41),ISNUMBER(J41)),I41*J41,"")</f>
        <v/>
      </c>
      <c r="L41" s="240">
        <f>IF(COUNT(F41,I41)=0,"",N(F41)-N(I41))</f>
        <v/>
      </c>
      <c r="M41" s="241">
        <f>IF(COUNT(H41,K41)=0,"",N(K41)-N(H41))</f>
        <v/>
      </c>
      <c r="N41" s="240">
        <f>IF(AND(ISNUMBER(F41),ISNUMBER(I41),ISNUMBER(H41),ISNUMBER(K41),F41&gt;0,I41&gt;0,H41&lt;&gt;0),IF(OR(COUNTIF(Торговля!$B$5:$B$300,$B41)+COUNTIF(Лэндинг!$B$5:$B$300,$B41)&gt;0,COUNTIF($B42:$B$301,$B41)&gt;0),0,ROUND(SUMPRODUCT(($B$5:$B$300=$B41)*(($F$5:$F$300+$I$5:$I$300-ABS($F$5:$F$300-$I$5:$I$300))/2)*($J$5:$J$300-$G$5:$G$300)),8)),"")</f>
        <v/>
      </c>
      <c r="O41" s="177">
        <f>IF(ISNUMBER(N41),IF(OR(COUNTIF(Торговля!$B$5:$B$300,$B41)+COUNTIF(Лэндинг!$B$5:$B$300,$B41)&gt;0,COUNTIF($B42:$B$301,$B41)&gt;0),0,IF(SUMPRODUCT(($B$5:$B$300=$B41)*(($F$5:$F$300+$I$5:$I$300-ABS($F$5:$F$300-$I$5:$I$300))/2)*$G$5:$G$300)&lt;=0,"",ROUND(N41/SUMPRODUCT(($B$5:$B$300=$B41)*(($F$5:$F$300+$I$5:$I$300-ABS($F$5:$F$300-$I$5:$I$300))/2)*$G$5:$G$300)*100,2))),"")</f>
        <v/>
      </c>
    </row>
    <row r="42" ht="22" customHeight="1">
      <c r="B42" s="318" t="n"/>
      <c r="C42" s="319" t="n"/>
      <c r="D42" s="318" t="n"/>
      <c r="E42" s="320" t="n"/>
      <c r="F42" s="321" t="n"/>
      <c r="G42" s="322" t="n"/>
      <c r="H42" s="271">
        <f>IF(AND(ISNUMBER(F42),ISNUMBER(G42)),F42*G42,"")</f>
        <v/>
      </c>
      <c r="I42" s="321" t="n"/>
      <c r="J42" s="322" t="n"/>
      <c r="K42" s="271">
        <f>IF(AND(ISNUMBER(I42),ISNUMBER(J42)),I42*J42,"")</f>
        <v/>
      </c>
      <c r="L42" s="246">
        <f>IF(COUNT(F42,I42)=0,"",N(F42)-N(I42))</f>
        <v/>
      </c>
      <c r="M42" s="247">
        <f>IF(COUNT(H42,K42)=0,"",N(K42)-N(H42))</f>
        <v/>
      </c>
      <c r="N42" s="246">
        <f>IF(AND(ISNUMBER(F42),ISNUMBER(I42),ISNUMBER(H42),ISNUMBER(K42),F42&gt;0,I42&gt;0,H42&lt;&gt;0),IF(OR(COUNTIF(Торговля!$B$5:$B$300,$B42)+COUNTIF(Лэндинг!$B$5:$B$300,$B42)&gt;0,COUNTIF($B43:$B$301,$B42)&gt;0),0,ROUND(SUMPRODUCT(($B$5:$B$300=$B42)*(($F$5:$F$300+$I$5:$I$300-ABS($F$5:$F$300-$I$5:$I$300))/2)*($J$5:$J$300-$G$5:$G$300)),8)),"")</f>
        <v/>
      </c>
      <c r="O42" s="183">
        <f>IF(ISNUMBER(N42),IF(OR(COUNTIF(Торговля!$B$5:$B$300,$B42)+COUNTIF(Лэндинг!$B$5:$B$300,$B42)&gt;0,COUNTIF($B43:$B$301,$B42)&gt;0),0,IF(SUMPRODUCT(($B$5:$B$300=$B42)*(($F$5:$F$300+$I$5:$I$300-ABS($F$5:$F$300-$I$5:$I$300))/2)*$G$5:$G$300)&lt;=0,"",ROUND(N42/SUMPRODUCT(($B$5:$B$300=$B42)*(($F$5:$F$300+$I$5:$I$300-ABS($F$5:$F$300-$I$5:$I$300))/2)*$G$5:$G$300)*100,2))),"")</f>
        <v/>
      </c>
    </row>
    <row r="43" ht="22" customHeight="1">
      <c r="B43" s="313" t="n"/>
      <c r="C43" s="314" t="n"/>
      <c r="D43" s="313" t="n"/>
      <c r="E43" s="315" t="n"/>
      <c r="F43" s="316" t="n"/>
      <c r="G43" s="317" t="n"/>
      <c r="H43" s="271">
        <f>IF(AND(ISNUMBER(F43),ISNUMBER(G43)),F43*G43,"")</f>
        <v/>
      </c>
      <c r="I43" s="316" t="n"/>
      <c r="J43" s="317" t="n"/>
      <c r="K43" s="271">
        <f>IF(AND(ISNUMBER(I43),ISNUMBER(J43)),I43*J43,"")</f>
        <v/>
      </c>
      <c r="L43" s="240">
        <f>IF(COUNT(F43,I43)=0,"",N(F43)-N(I43))</f>
        <v/>
      </c>
      <c r="M43" s="241">
        <f>IF(COUNT(H43,K43)=0,"",N(K43)-N(H43))</f>
        <v/>
      </c>
      <c r="N43" s="240">
        <f>IF(AND(ISNUMBER(F43),ISNUMBER(I43),ISNUMBER(H43),ISNUMBER(K43),F43&gt;0,I43&gt;0,H43&lt;&gt;0),IF(OR(COUNTIF(Торговля!$B$5:$B$300,$B43)+COUNTIF(Лэндинг!$B$5:$B$300,$B43)&gt;0,COUNTIF($B44:$B$301,$B43)&gt;0),0,ROUND(SUMPRODUCT(($B$5:$B$300=$B43)*(($F$5:$F$300+$I$5:$I$300-ABS($F$5:$F$300-$I$5:$I$300))/2)*($J$5:$J$300-$G$5:$G$300)),8)),"")</f>
        <v/>
      </c>
      <c r="O43" s="177">
        <f>IF(ISNUMBER(N43),IF(OR(COUNTIF(Торговля!$B$5:$B$300,$B43)+COUNTIF(Лэндинг!$B$5:$B$300,$B43)&gt;0,COUNTIF($B44:$B$301,$B43)&gt;0),0,IF(SUMPRODUCT(($B$5:$B$300=$B43)*(($F$5:$F$300+$I$5:$I$300-ABS($F$5:$F$300-$I$5:$I$300))/2)*$G$5:$G$300)&lt;=0,"",ROUND(N43/SUMPRODUCT(($B$5:$B$300=$B43)*(($F$5:$F$300+$I$5:$I$300-ABS($F$5:$F$300-$I$5:$I$300))/2)*$G$5:$G$300)*100,2))),"")</f>
        <v/>
      </c>
    </row>
    <row r="44" ht="22" customHeight="1">
      <c r="B44" s="318" t="n"/>
      <c r="C44" s="319" t="n"/>
      <c r="D44" s="318" t="n"/>
      <c r="E44" s="320" t="n"/>
      <c r="F44" s="321" t="n"/>
      <c r="G44" s="322" t="n"/>
      <c r="H44" s="271">
        <f>IF(AND(ISNUMBER(F44),ISNUMBER(G44)),F44*G44,"")</f>
        <v/>
      </c>
      <c r="I44" s="321" t="n"/>
      <c r="J44" s="322" t="n"/>
      <c r="K44" s="271">
        <f>IF(AND(ISNUMBER(I44),ISNUMBER(J44)),I44*J44,"")</f>
        <v/>
      </c>
      <c r="L44" s="246">
        <f>IF(COUNT(F44,I44)=0,"",N(F44)-N(I44))</f>
        <v/>
      </c>
      <c r="M44" s="247">
        <f>IF(COUNT(H44,K44)=0,"",N(K44)-N(H44))</f>
        <v/>
      </c>
      <c r="N44" s="246">
        <f>IF(AND(ISNUMBER(F44),ISNUMBER(I44),ISNUMBER(H44),ISNUMBER(K44),F44&gt;0,I44&gt;0,H44&lt;&gt;0),IF(OR(COUNTIF(Торговля!$B$5:$B$300,$B44)+COUNTIF(Лэндинг!$B$5:$B$300,$B44)&gt;0,COUNTIF($B45:$B$301,$B44)&gt;0),0,ROUND(SUMPRODUCT(($B$5:$B$300=$B44)*(($F$5:$F$300+$I$5:$I$300-ABS($F$5:$F$300-$I$5:$I$300))/2)*($J$5:$J$300-$G$5:$G$300)),8)),"")</f>
        <v/>
      </c>
      <c r="O44" s="183">
        <f>IF(ISNUMBER(N44),IF(OR(COUNTIF(Торговля!$B$5:$B$300,$B44)+COUNTIF(Лэндинг!$B$5:$B$300,$B44)&gt;0,COUNTIF($B45:$B$301,$B44)&gt;0),0,IF(SUMPRODUCT(($B$5:$B$300=$B44)*(($F$5:$F$300+$I$5:$I$300-ABS($F$5:$F$300-$I$5:$I$300))/2)*$G$5:$G$300)&lt;=0,"",ROUND(N44/SUMPRODUCT(($B$5:$B$300=$B44)*(($F$5:$F$300+$I$5:$I$300-ABS($F$5:$F$300-$I$5:$I$300))/2)*$G$5:$G$300)*100,2))),"")</f>
        <v/>
      </c>
    </row>
    <row r="45" ht="22" customHeight="1">
      <c r="B45" s="313" t="n"/>
      <c r="C45" s="314" t="n"/>
      <c r="D45" s="313" t="n"/>
      <c r="E45" s="315" t="n"/>
      <c r="F45" s="316" t="n"/>
      <c r="G45" s="317" t="n"/>
      <c r="H45" s="271">
        <f>IF(AND(ISNUMBER(F45),ISNUMBER(G45)),F45*G45,"")</f>
        <v/>
      </c>
      <c r="I45" s="316" t="n"/>
      <c r="J45" s="317" t="n"/>
      <c r="K45" s="271">
        <f>IF(AND(ISNUMBER(I45),ISNUMBER(J45)),I45*J45,"")</f>
        <v/>
      </c>
      <c r="L45" s="240">
        <f>IF(COUNT(F45,I45)=0,"",N(F45)-N(I45))</f>
        <v/>
      </c>
      <c r="M45" s="241">
        <f>IF(COUNT(H45,K45)=0,"",N(K45)-N(H45))</f>
        <v/>
      </c>
      <c r="N45" s="240">
        <f>IF(AND(ISNUMBER(F45),ISNUMBER(I45),ISNUMBER(H45),ISNUMBER(K45),F45&gt;0,I45&gt;0,H45&lt;&gt;0),IF(OR(COUNTIF(Торговля!$B$5:$B$300,$B45)+COUNTIF(Лэндинг!$B$5:$B$300,$B45)&gt;0,COUNTIF($B46:$B$301,$B45)&gt;0),0,ROUND(SUMPRODUCT(($B$5:$B$300=$B45)*(($F$5:$F$300+$I$5:$I$300-ABS($F$5:$F$300-$I$5:$I$300))/2)*($J$5:$J$300-$G$5:$G$300)),8)),"")</f>
        <v/>
      </c>
      <c r="O45" s="177">
        <f>IF(ISNUMBER(N45),IF(OR(COUNTIF(Торговля!$B$5:$B$300,$B45)+COUNTIF(Лэндинг!$B$5:$B$300,$B45)&gt;0,COUNTIF($B46:$B$301,$B45)&gt;0),0,IF(SUMPRODUCT(($B$5:$B$300=$B45)*(($F$5:$F$300+$I$5:$I$300-ABS($F$5:$F$300-$I$5:$I$300))/2)*$G$5:$G$300)&lt;=0,"",ROUND(N45/SUMPRODUCT(($B$5:$B$300=$B45)*(($F$5:$F$300+$I$5:$I$300-ABS($F$5:$F$300-$I$5:$I$300))/2)*$G$5:$G$300)*100,2))),"")</f>
        <v/>
      </c>
    </row>
    <row r="46" ht="22" customHeight="1">
      <c r="B46" s="318" t="n"/>
      <c r="C46" s="319" t="n"/>
      <c r="D46" s="318" t="n"/>
      <c r="E46" s="320" t="n"/>
      <c r="F46" s="321" t="n"/>
      <c r="G46" s="322" t="n"/>
      <c r="H46" s="271">
        <f>IF(AND(ISNUMBER(F46),ISNUMBER(G46)),F46*G46,"")</f>
        <v/>
      </c>
      <c r="I46" s="321" t="n"/>
      <c r="J46" s="322" t="n"/>
      <c r="K46" s="271">
        <f>IF(AND(ISNUMBER(I46),ISNUMBER(J46)),I46*J46,"")</f>
        <v/>
      </c>
      <c r="L46" s="246">
        <f>IF(COUNT(F46,I46)=0,"",N(F46)-N(I46))</f>
        <v/>
      </c>
      <c r="M46" s="247">
        <f>IF(COUNT(H46,K46)=0,"",N(K46)-N(H46))</f>
        <v/>
      </c>
      <c r="N46" s="246">
        <f>IF(AND(ISNUMBER(F46),ISNUMBER(I46),ISNUMBER(H46),ISNUMBER(K46),F46&gt;0,I46&gt;0,H46&lt;&gt;0),IF(OR(COUNTIF(Торговля!$B$5:$B$300,$B46)+COUNTIF(Лэндинг!$B$5:$B$300,$B46)&gt;0,COUNTIF($B47:$B$301,$B46)&gt;0),0,ROUND(SUMPRODUCT(($B$5:$B$300=$B46)*(($F$5:$F$300+$I$5:$I$300-ABS($F$5:$F$300-$I$5:$I$300))/2)*($J$5:$J$300-$G$5:$G$300)),8)),"")</f>
        <v/>
      </c>
      <c r="O46" s="183">
        <f>IF(ISNUMBER(N46),IF(OR(COUNTIF(Торговля!$B$5:$B$300,$B46)+COUNTIF(Лэндинг!$B$5:$B$300,$B46)&gt;0,COUNTIF($B47:$B$301,$B46)&gt;0),0,IF(SUMPRODUCT(($B$5:$B$300=$B46)*(($F$5:$F$300+$I$5:$I$300-ABS($F$5:$F$300-$I$5:$I$300))/2)*$G$5:$G$300)&lt;=0,"",ROUND(N46/SUMPRODUCT(($B$5:$B$300=$B46)*(($F$5:$F$300+$I$5:$I$300-ABS($F$5:$F$300-$I$5:$I$300))/2)*$G$5:$G$300)*100,2))),"")</f>
        <v/>
      </c>
    </row>
    <row r="47" ht="22" customHeight="1">
      <c r="B47" s="313" t="n"/>
      <c r="C47" s="314" t="n"/>
      <c r="D47" s="313" t="n"/>
      <c r="E47" s="315" t="n"/>
      <c r="F47" s="316" t="n"/>
      <c r="G47" s="317" t="n"/>
      <c r="H47" s="271">
        <f>IF(AND(ISNUMBER(F47),ISNUMBER(G47)),F47*G47,"")</f>
        <v/>
      </c>
      <c r="I47" s="316" t="n"/>
      <c r="J47" s="317" t="n"/>
      <c r="K47" s="271">
        <f>IF(AND(ISNUMBER(I47),ISNUMBER(J47)),I47*J47,"")</f>
        <v/>
      </c>
      <c r="L47" s="240">
        <f>IF(COUNT(F47,I47)=0,"",N(F47)-N(I47))</f>
        <v/>
      </c>
      <c r="M47" s="241">
        <f>IF(COUNT(H47,K47)=0,"",N(K47)-N(H47))</f>
        <v/>
      </c>
      <c r="N47" s="240">
        <f>IF(AND(ISNUMBER(F47),ISNUMBER(I47),ISNUMBER(H47),ISNUMBER(K47),F47&gt;0,I47&gt;0,H47&lt;&gt;0),IF(OR(COUNTIF(Торговля!$B$5:$B$300,$B47)+COUNTIF(Лэндинг!$B$5:$B$300,$B47)&gt;0,COUNTIF($B48:$B$301,$B47)&gt;0),0,ROUND(SUMPRODUCT(($B$5:$B$300=$B47)*(($F$5:$F$300+$I$5:$I$300-ABS($F$5:$F$300-$I$5:$I$300))/2)*($J$5:$J$300-$G$5:$G$300)),8)),"")</f>
        <v/>
      </c>
      <c r="O47" s="177">
        <f>IF(ISNUMBER(N47),IF(OR(COUNTIF(Торговля!$B$5:$B$300,$B47)+COUNTIF(Лэндинг!$B$5:$B$300,$B47)&gt;0,COUNTIF($B48:$B$301,$B47)&gt;0),0,IF(SUMPRODUCT(($B$5:$B$300=$B47)*(($F$5:$F$300+$I$5:$I$300-ABS($F$5:$F$300-$I$5:$I$300))/2)*$G$5:$G$300)&lt;=0,"",ROUND(N47/SUMPRODUCT(($B$5:$B$300=$B47)*(($F$5:$F$300+$I$5:$I$300-ABS($F$5:$F$300-$I$5:$I$300))/2)*$G$5:$G$300)*100,2))),"")</f>
        <v/>
      </c>
    </row>
    <row r="48" ht="22" customHeight="1">
      <c r="B48" s="318" t="n"/>
      <c r="C48" s="319" t="n"/>
      <c r="D48" s="318" t="n"/>
      <c r="E48" s="320" t="n"/>
      <c r="F48" s="321" t="n"/>
      <c r="G48" s="322" t="n"/>
      <c r="H48" s="271">
        <f>IF(AND(ISNUMBER(F48),ISNUMBER(G48)),F48*G48,"")</f>
        <v/>
      </c>
      <c r="I48" s="321" t="n"/>
      <c r="J48" s="322" t="n"/>
      <c r="K48" s="271">
        <f>IF(AND(ISNUMBER(I48),ISNUMBER(J48)),I48*J48,"")</f>
        <v/>
      </c>
      <c r="L48" s="246">
        <f>IF(COUNT(F48,I48)=0,"",N(F48)-N(I48))</f>
        <v/>
      </c>
      <c r="M48" s="247">
        <f>IF(COUNT(H48,K48)=0,"",N(K48)-N(H48))</f>
        <v/>
      </c>
      <c r="N48" s="246">
        <f>IF(AND(ISNUMBER(F48),ISNUMBER(I48),ISNUMBER(H48),ISNUMBER(K48),F48&gt;0,I48&gt;0,H48&lt;&gt;0),IF(OR(COUNTIF(Торговля!$B$5:$B$300,$B48)+COUNTIF(Лэндинг!$B$5:$B$300,$B48)&gt;0,COUNTIF($B49:$B$301,$B48)&gt;0),0,ROUND(SUMPRODUCT(($B$5:$B$300=$B48)*(($F$5:$F$300+$I$5:$I$300-ABS($F$5:$F$300-$I$5:$I$300))/2)*($J$5:$J$300-$G$5:$G$300)),8)),"")</f>
        <v/>
      </c>
      <c r="O48" s="183">
        <f>IF(ISNUMBER(N48),IF(OR(COUNTIF(Торговля!$B$5:$B$300,$B48)+COUNTIF(Лэндинг!$B$5:$B$300,$B48)&gt;0,COUNTIF($B49:$B$301,$B48)&gt;0),0,IF(SUMPRODUCT(($B$5:$B$300=$B48)*(($F$5:$F$300+$I$5:$I$300-ABS($F$5:$F$300-$I$5:$I$300))/2)*$G$5:$G$300)&lt;=0,"",ROUND(N48/SUMPRODUCT(($B$5:$B$300=$B48)*(($F$5:$F$300+$I$5:$I$300-ABS($F$5:$F$300-$I$5:$I$300))/2)*$G$5:$G$300)*100,2))),"")</f>
        <v/>
      </c>
    </row>
    <row r="49" ht="22" customHeight="1">
      <c r="B49" s="313" t="n"/>
      <c r="C49" s="314" t="n"/>
      <c r="D49" s="313" t="n"/>
      <c r="E49" s="315" t="n"/>
      <c r="F49" s="316" t="n"/>
      <c r="G49" s="317" t="n"/>
      <c r="H49" s="271">
        <f>IF(AND(ISNUMBER(F49),ISNUMBER(G49)),F49*G49,"")</f>
        <v/>
      </c>
      <c r="I49" s="316" t="n"/>
      <c r="J49" s="317" t="n"/>
      <c r="K49" s="271">
        <f>IF(AND(ISNUMBER(I49),ISNUMBER(J49)),I49*J49,"")</f>
        <v/>
      </c>
      <c r="L49" s="240">
        <f>IF(COUNT(F49,I49)=0,"",N(F49)-N(I49))</f>
        <v/>
      </c>
      <c r="M49" s="241">
        <f>IF(COUNT(H49,K49)=0,"",N(K49)-N(H49))</f>
        <v/>
      </c>
      <c r="N49" s="240">
        <f>IF(AND(ISNUMBER(F49),ISNUMBER(I49),ISNUMBER(H49),ISNUMBER(K49),F49&gt;0,I49&gt;0,H49&lt;&gt;0),IF(OR(COUNTIF(Торговля!$B$5:$B$300,$B49)+COUNTIF(Лэндинг!$B$5:$B$300,$B49)&gt;0,COUNTIF($B50:$B$301,$B49)&gt;0),0,ROUND(SUMPRODUCT(($B$5:$B$300=$B49)*(($F$5:$F$300+$I$5:$I$300-ABS($F$5:$F$300-$I$5:$I$300))/2)*($J$5:$J$300-$G$5:$G$300)),8)),"")</f>
        <v/>
      </c>
      <c r="O49" s="177">
        <f>IF(ISNUMBER(N49),IF(OR(COUNTIF(Торговля!$B$5:$B$300,$B49)+COUNTIF(Лэндинг!$B$5:$B$300,$B49)&gt;0,COUNTIF($B50:$B$301,$B49)&gt;0),0,IF(SUMPRODUCT(($B$5:$B$300=$B49)*(($F$5:$F$300+$I$5:$I$300-ABS($F$5:$F$300-$I$5:$I$300))/2)*$G$5:$G$300)&lt;=0,"",ROUND(N49/SUMPRODUCT(($B$5:$B$300=$B49)*(($F$5:$F$300+$I$5:$I$300-ABS($F$5:$F$300-$I$5:$I$300))/2)*$G$5:$G$300)*100,2))),"")</f>
        <v/>
      </c>
    </row>
    <row r="50" ht="22" customHeight="1">
      <c r="B50" s="318" t="n"/>
      <c r="C50" s="319" t="n"/>
      <c r="D50" s="318" t="n"/>
      <c r="E50" s="320" t="n"/>
      <c r="F50" s="321" t="n"/>
      <c r="G50" s="322" t="n"/>
      <c r="H50" s="271">
        <f>IF(AND(ISNUMBER(F50),ISNUMBER(G50)),F50*G50,"")</f>
        <v/>
      </c>
      <c r="I50" s="321" t="n"/>
      <c r="J50" s="322" t="n"/>
      <c r="K50" s="271">
        <f>IF(AND(ISNUMBER(I50),ISNUMBER(J50)),I50*J50,"")</f>
        <v/>
      </c>
      <c r="L50" s="246">
        <f>IF(COUNT(F50,I50)=0,"",N(F50)-N(I50))</f>
        <v/>
      </c>
      <c r="M50" s="247">
        <f>IF(COUNT(H50,K50)=0,"",N(K50)-N(H50))</f>
        <v/>
      </c>
      <c r="N50" s="246">
        <f>IF(AND(ISNUMBER(F50),ISNUMBER(I50),ISNUMBER(H50),ISNUMBER(K50),F50&gt;0,I50&gt;0,H50&lt;&gt;0),IF(OR(COUNTIF(Торговля!$B$5:$B$300,$B50)+COUNTIF(Лэндинг!$B$5:$B$300,$B50)&gt;0,COUNTIF($B51:$B$301,$B50)&gt;0),0,ROUND(SUMPRODUCT(($B$5:$B$300=$B50)*(($F$5:$F$300+$I$5:$I$300-ABS($F$5:$F$300-$I$5:$I$300))/2)*($J$5:$J$300-$G$5:$G$300)),8)),"")</f>
        <v/>
      </c>
      <c r="O50" s="183">
        <f>IF(ISNUMBER(N50),IF(OR(COUNTIF(Торговля!$B$5:$B$300,$B50)+COUNTIF(Лэндинг!$B$5:$B$300,$B50)&gt;0,COUNTIF($B51:$B$301,$B50)&gt;0),0,IF(SUMPRODUCT(($B$5:$B$300=$B50)*(($F$5:$F$300+$I$5:$I$300-ABS($F$5:$F$300-$I$5:$I$300))/2)*$G$5:$G$300)&lt;=0,"",ROUND(N50/SUMPRODUCT(($B$5:$B$300=$B50)*(($F$5:$F$300+$I$5:$I$300-ABS($F$5:$F$300-$I$5:$I$300))/2)*$G$5:$G$300)*100,2))),"")</f>
        <v/>
      </c>
    </row>
    <row r="51" ht="22" customHeight="1">
      <c r="B51" s="313" t="n"/>
      <c r="C51" s="314" t="n"/>
      <c r="D51" s="313" t="n"/>
      <c r="E51" s="315" t="n"/>
      <c r="F51" s="316" t="n"/>
      <c r="G51" s="317" t="n"/>
      <c r="H51" s="271">
        <f>IF(AND(ISNUMBER(F51),ISNUMBER(G51)),F51*G51,"")</f>
        <v/>
      </c>
      <c r="I51" s="316" t="n"/>
      <c r="J51" s="317" t="n"/>
      <c r="K51" s="271">
        <f>IF(AND(ISNUMBER(I51),ISNUMBER(J51)),I51*J51,"")</f>
        <v/>
      </c>
      <c r="L51" s="240">
        <f>IF(COUNT(F51,I51)=0,"",N(F51)-N(I51))</f>
        <v/>
      </c>
      <c r="M51" s="241">
        <f>IF(COUNT(H51,K51)=0,"",N(K51)-N(H51))</f>
        <v/>
      </c>
      <c r="N51" s="240">
        <f>IF(AND(ISNUMBER(F51),ISNUMBER(I51),ISNUMBER(H51),ISNUMBER(K51),F51&gt;0,I51&gt;0,H51&lt;&gt;0),IF(OR(COUNTIF(Торговля!$B$5:$B$300,$B51)+COUNTIF(Лэндинг!$B$5:$B$300,$B51)&gt;0,COUNTIF($B52:$B$301,$B51)&gt;0),0,ROUND(SUMPRODUCT(($B$5:$B$300=$B51)*(($F$5:$F$300+$I$5:$I$300-ABS($F$5:$F$300-$I$5:$I$300))/2)*($J$5:$J$300-$G$5:$G$300)),8)),"")</f>
        <v/>
      </c>
      <c r="O51" s="177">
        <f>IF(ISNUMBER(N51),IF(OR(COUNTIF(Торговля!$B$5:$B$300,$B51)+COUNTIF(Лэндинг!$B$5:$B$300,$B51)&gt;0,COUNTIF($B52:$B$301,$B51)&gt;0),0,IF(SUMPRODUCT(($B$5:$B$300=$B51)*(($F$5:$F$300+$I$5:$I$300-ABS($F$5:$F$300-$I$5:$I$300))/2)*$G$5:$G$300)&lt;=0,"",ROUND(N51/SUMPRODUCT(($B$5:$B$300=$B51)*(($F$5:$F$300+$I$5:$I$300-ABS($F$5:$F$300-$I$5:$I$300))/2)*$G$5:$G$300)*100,2))),"")</f>
        <v/>
      </c>
    </row>
    <row r="52" ht="22" customHeight="1">
      <c r="B52" s="318" t="n"/>
      <c r="C52" s="319" t="n"/>
      <c r="D52" s="318" t="n"/>
      <c r="E52" s="320" t="n"/>
      <c r="F52" s="321" t="n"/>
      <c r="G52" s="322" t="n"/>
      <c r="H52" s="271">
        <f>IF(AND(ISNUMBER(F52),ISNUMBER(G52)),F52*G52,"")</f>
        <v/>
      </c>
      <c r="I52" s="321" t="n"/>
      <c r="J52" s="322" t="n"/>
      <c r="K52" s="271">
        <f>IF(AND(ISNUMBER(I52),ISNUMBER(J52)),I52*J52,"")</f>
        <v/>
      </c>
      <c r="L52" s="246">
        <f>IF(COUNT(F52,I52)=0,"",N(F52)-N(I52))</f>
        <v/>
      </c>
      <c r="M52" s="247">
        <f>IF(COUNT(H52,K52)=0,"",N(K52)-N(H52))</f>
        <v/>
      </c>
      <c r="N52" s="246">
        <f>IF(AND(ISNUMBER(F52),ISNUMBER(I52),ISNUMBER(H52),ISNUMBER(K52),F52&gt;0,I52&gt;0,H52&lt;&gt;0),IF(OR(COUNTIF(Торговля!$B$5:$B$300,$B52)+COUNTIF(Лэндинг!$B$5:$B$300,$B52)&gt;0,COUNTIF($B53:$B$301,$B52)&gt;0),0,ROUND(SUMPRODUCT(($B$5:$B$300=$B52)*(($F$5:$F$300+$I$5:$I$300-ABS($F$5:$F$300-$I$5:$I$300))/2)*($J$5:$J$300-$G$5:$G$300)),8)),"")</f>
        <v/>
      </c>
      <c r="O52" s="183">
        <f>IF(ISNUMBER(N52),IF(OR(COUNTIF(Торговля!$B$5:$B$300,$B52)+COUNTIF(Лэндинг!$B$5:$B$300,$B52)&gt;0,COUNTIF($B53:$B$301,$B52)&gt;0),0,IF(SUMPRODUCT(($B$5:$B$300=$B52)*(($F$5:$F$300+$I$5:$I$300-ABS($F$5:$F$300-$I$5:$I$300))/2)*$G$5:$G$300)&lt;=0,"",ROUND(N52/SUMPRODUCT(($B$5:$B$300=$B52)*(($F$5:$F$300+$I$5:$I$300-ABS($F$5:$F$300-$I$5:$I$300))/2)*$G$5:$G$300)*100,2))),"")</f>
        <v/>
      </c>
    </row>
    <row r="53" ht="22" customHeight="1">
      <c r="B53" s="313" t="n"/>
      <c r="C53" s="314" t="n"/>
      <c r="D53" s="313" t="n"/>
      <c r="E53" s="315" t="n"/>
      <c r="F53" s="316" t="n"/>
      <c r="G53" s="317" t="n"/>
      <c r="H53" s="271">
        <f>IF(AND(ISNUMBER(F53),ISNUMBER(G53)),F53*G53,"")</f>
        <v/>
      </c>
      <c r="I53" s="316" t="n"/>
      <c r="J53" s="317" t="n"/>
      <c r="K53" s="271">
        <f>IF(AND(ISNUMBER(I53),ISNUMBER(J53)),I53*J53,"")</f>
        <v/>
      </c>
      <c r="L53" s="240">
        <f>IF(COUNT(F53,I53)=0,"",N(F53)-N(I53))</f>
        <v/>
      </c>
      <c r="M53" s="241">
        <f>IF(COUNT(H53,K53)=0,"",N(K53)-N(H53))</f>
        <v/>
      </c>
      <c r="N53" s="240">
        <f>IF(AND(ISNUMBER(F53),ISNUMBER(I53),ISNUMBER(H53),ISNUMBER(K53),F53&gt;0,I53&gt;0,H53&lt;&gt;0),IF(OR(COUNTIF(Торговля!$B$5:$B$300,$B53)+COUNTIF(Лэндинг!$B$5:$B$300,$B53)&gt;0,COUNTIF($B54:$B$301,$B53)&gt;0),0,ROUND(SUMPRODUCT(($B$5:$B$300=$B53)*(($F$5:$F$300+$I$5:$I$300-ABS($F$5:$F$300-$I$5:$I$300))/2)*($J$5:$J$300-$G$5:$G$300)),8)),"")</f>
        <v/>
      </c>
      <c r="O53" s="177">
        <f>IF(ISNUMBER(N53),IF(OR(COUNTIF(Торговля!$B$5:$B$300,$B53)+COUNTIF(Лэндинг!$B$5:$B$300,$B53)&gt;0,COUNTIF($B54:$B$301,$B53)&gt;0),0,IF(SUMPRODUCT(($B$5:$B$300=$B53)*(($F$5:$F$300+$I$5:$I$300-ABS($F$5:$F$300-$I$5:$I$300))/2)*$G$5:$G$300)&lt;=0,"",ROUND(N53/SUMPRODUCT(($B$5:$B$300=$B53)*(($F$5:$F$300+$I$5:$I$300-ABS($F$5:$F$300-$I$5:$I$300))/2)*$G$5:$G$300)*100,2))),"")</f>
        <v/>
      </c>
    </row>
    <row r="54" ht="22" customHeight="1">
      <c r="B54" s="318" t="n"/>
      <c r="C54" s="319" t="n"/>
      <c r="D54" s="318" t="n"/>
      <c r="E54" s="320" t="n"/>
      <c r="F54" s="321" t="n"/>
      <c r="G54" s="322" t="n"/>
      <c r="H54" s="271">
        <f>IF(AND(ISNUMBER(F54),ISNUMBER(G54)),F54*G54,"")</f>
        <v/>
      </c>
      <c r="I54" s="321" t="n"/>
      <c r="J54" s="322" t="n"/>
      <c r="K54" s="271">
        <f>IF(AND(ISNUMBER(I54),ISNUMBER(J54)),I54*J54,"")</f>
        <v/>
      </c>
      <c r="L54" s="246">
        <f>IF(COUNT(F54,I54)=0,"",N(F54)-N(I54))</f>
        <v/>
      </c>
      <c r="M54" s="247">
        <f>IF(COUNT(H54,K54)=0,"",N(K54)-N(H54))</f>
        <v/>
      </c>
      <c r="N54" s="246">
        <f>IF(AND(ISNUMBER(F54),ISNUMBER(I54),ISNUMBER(H54),ISNUMBER(K54),F54&gt;0,I54&gt;0,H54&lt;&gt;0),IF(OR(COUNTIF(Торговля!$B$5:$B$300,$B54)+COUNTIF(Лэндинг!$B$5:$B$300,$B54)&gt;0,COUNTIF($B55:$B$301,$B54)&gt;0),0,ROUND(SUMPRODUCT(($B$5:$B$300=$B54)*(($F$5:$F$300+$I$5:$I$300-ABS($F$5:$F$300-$I$5:$I$300))/2)*($J$5:$J$300-$G$5:$G$300)),8)),"")</f>
        <v/>
      </c>
      <c r="O54" s="183">
        <f>IF(ISNUMBER(N54),IF(OR(COUNTIF(Торговля!$B$5:$B$300,$B54)+COUNTIF(Лэндинг!$B$5:$B$300,$B54)&gt;0,COUNTIF($B55:$B$301,$B54)&gt;0),0,IF(SUMPRODUCT(($B$5:$B$300=$B54)*(($F$5:$F$300+$I$5:$I$300-ABS($F$5:$F$300-$I$5:$I$300))/2)*$G$5:$G$300)&lt;=0,"",ROUND(N54/SUMPRODUCT(($B$5:$B$300=$B54)*(($F$5:$F$300+$I$5:$I$300-ABS($F$5:$F$300-$I$5:$I$300))/2)*$G$5:$G$300)*100,2))),"")</f>
        <v/>
      </c>
    </row>
    <row r="55" ht="22" customHeight="1">
      <c r="B55" s="313" t="n"/>
      <c r="C55" s="314" t="n"/>
      <c r="D55" s="313" t="n"/>
      <c r="E55" s="315" t="n"/>
      <c r="F55" s="316" t="n"/>
      <c r="G55" s="317" t="n"/>
      <c r="H55" s="271">
        <f>IF(AND(ISNUMBER(F55),ISNUMBER(G55)),F55*G55,"")</f>
        <v/>
      </c>
      <c r="I55" s="316" t="n"/>
      <c r="J55" s="317" t="n"/>
      <c r="K55" s="271">
        <f>IF(AND(ISNUMBER(I55),ISNUMBER(J55)),I55*J55,"")</f>
        <v/>
      </c>
      <c r="L55" s="240">
        <f>IF(COUNT(F55,I55)=0,"",N(F55)-N(I55))</f>
        <v/>
      </c>
      <c r="M55" s="241">
        <f>IF(COUNT(H55,K55)=0,"",N(K55)-N(H55))</f>
        <v/>
      </c>
      <c r="N55" s="240">
        <f>IF(AND(ISNUMBER(F55),ISNUMBER(I55),ISNUMBER(H55),ISNUMBER(K55),F55&gt;0,I55&gt;0,H55&lt;&gt;0),IF(OR(COUNTIF(Торговля!$B$5:$B$300,$B55)+COUNTIF(Лэндинг!$B$5:$B$300,$B55)&gt;0,COUNTIF($B56:$B$301,$B55)&gt;0),0,ROUND(SUMPRODUCT(($B$5:$B$300=$B55)*(($F$5:$F$300+$I$5:$I$300-ABS($F$5:$F$300-$I$5:$I$300))/2)*($J$5:$J$300-$G$5:$G$300)),8)),"")</f>
        <v/>
      </c>
      <c r="O55" s="177">
        <f>IF(ISNUMBER(N55),IF(OR(COUNTIF(Торговля!$B$5:$B$300,$B55)+COUNTIF(Лэндинг!$B$5:$B$300,$B55)&gt;0,COUNTIF($B56:$B$301,$B55)&gt;0),0,IF(SUMPRODUCT(($B$5:$B$300=$B55)*(($F$5:$F$300+$I$5:$I$300-ABS($F$5:$F$300-$I$5:$I$300))/2)*$G$5:$G$300)&lt;=0,"",ROUND(N55/SUMPRODUCT(($B$5:$B$300=$B55)*(($F$5:$F$300+$I$5:$I$300-ABS($F$5:$F$300-$I$5:$I$300))/2)*$G$5:$G$300)*100,2))),"")</f>
        <v/>
      </c>
    </row>
    <row r="56" ht="22" customHeight="1">
      <c r="B56" s="318" t="n"/>
      <c r="C56" s="319" t="n"/>
      <c r="D56" s="318" t="n"/>
      <c r="E56" s="320" t="n"/>
      <c r="F56" s="321" t="n"/>
      <c r="G56" s="322" t="n"/>
      <c r="H56" s="271">
        <f>IF(AND(ISNUMBER(F56),ISNUMBER(G56)),F56*G56,"")</f>
        <v/>
      </c>
      <c r="I56" s="321" t="n"/>
      <c r="J56" s="322" t="n"/>
      <c r="K56" s="271">
        <f>IF(AND(ISNUMBER(I56),ISNUMBER(J56)),I56*J56,"")</f>
        <v/>
      </c>
      <c r="L56" s="246">
        <f>IF(COUNT(F56,I56)=0,"",N(F56)-N(I56))</f>
        <v/>
      </c>
      <c r="M56" s="247">
        <f>IF(COUNT(H56,K56)=0,"",N(K56)-N(H56))</f>
        <v/>
      </c>
      <c r="N56" s="246">
        <f>IF(AND(ISNUMBER(F56),ISNUMBER(I56),ISNUMBER(H56),ISNUMBER(K56),F56&gt;0,I56&gt;0,H56&lt;&gt;0),IF(OR(COUNTIF(Торговля!$B$5:$B$300,$B56)+COUNTIF(Лэндинг!$B$5:$B$300,$B56)&gt;0,COUNTIF($B57:$B$301,$B56)&gt;0),0,ROUND(SUMPRODUCT(($B$5:$B$300=$B56)*(($F$5:$F$300+$I$5:$I$300-ABS($F$5:$F$300-$I$5:$I$300))/2)*($J$5:$J$300-$G$5:$G$300)),8)),"")</f>
        <v/>
      </c>
      <c r="O56" s="183">
        <f>IF(ISNUMBER(N56),IF(OR(COUNTIF(Торговля!$B$5:$B$300,$B56)+COUNTIF(Лэндинг!$B$5:$B$300,$B56)&gt;0,COUNTIF($B57:$B$301,$B56)&gt;0),0,IF(SUMPRODUCT(($B$5:$B$300=$B56)*(($F$5:$F$300+$I$5:$I$300-ABS($F$5:$F$300-$I$5:$I$300))/2)*$G$5:$G$300)&lt;=0,"",ROUND(N56/SUMPRODUCT(($B$5:$B$300=$B56)*(($F$5:$F$300+$I$5:$I$300-ABS($F$5:$F$300-$I$5:$I$300))/2)*$G$5:$G$300)*100,2))),"")</f>
        <v/>
      </c>
    </row>
    <row r="57" ht="22" customHeight="1">
      <c r="B57" s="313" t="n"/>
      <c r="C57" s="314" t="n"/>
      <c r="D57" s="313" t="n"/>
      <c r="E57" s="315" t="n"/>
      <c r="F57" s="316" t="n"/>
      <c r="G57" s="317" t="n"/>
      <c r="H57" s="271">
        <f>IF(AND(ISNUMBER(F57),ISNUMBER(G57)),F57*G57,"")</f>
        <v/>
      </c>
      <c r="I57" s="316" t="n"/>
      <c r="J57" s="317" t="n"/>
      <c r="K57" s="271">
        <f>IF(AND(ISNUMBER(I57),ISNUMBER(J57)),I57*J57,"")</f>
        <v/>
      </c>
      <c r="L57" s="240">
        <f>IF(COUNT(F57,I57)=0,"",N(F57)-N(I57))</f>
        <v/>
      </c>
      <c r="M57" s="241">
        <f>IF(COUNT(H57,K57)=0,"",N(K57)-N(H57))</f>
        <v/>
      </c>
      <c r="N57" s="240">
        <f>IF(AND(ISNUMBER(F57),ISNUMBER(I57),ISNUMBER(H57),ISNUMBER(K57),F57&gt;0,I57&gt;0,H57&lt;&gt;0),IF(OR(COUNTIF(Торговля!$B$5:$B$300,$B57)+COUNTIF(Лэндинг!$B$5:$B$300,$B57)&gt;0,COUNTIF($B58:$B$301,$B57)&gt;0),0,ROUND(SUMPRODUCT(($B$5:$B$300=$B57)*(($F$5:$F$300+$I$5:$I$300-ABS($F$5:$F$300-$I$5:$I$300))/2)*($J$5:$J$300-$G$5:$G$300)),8)),"")</f>
        <v/>
      </c>
      <c r="O57" s="177">
        <f>IF(ISNUMBER(N57),IF(OR(COUNTIF(Торговля!$B$5:$B$300,$B57)+COUNTIF(Лэндинг!$B$5:$B$300,$B57)&gt;0,COUNTIF($B58:$B$301,$B57)&gt;0),0,IF(SUMPRODUCT(($B$5:$B$300=$B57)*(($F$5:$F$300+$I$5:$I$300-ABS($F$5:$F$300-$I$5:$I$300))/2)*$G$5:$G$300)&lt;=0,"",ROUND(N57/SUMPRODUCT(($B$5:$B$300=$B57)*(($F$5:$F$300+$I$5:$I$300-ABS($F$5:$F$300-$I$5:$I$300))/2)*$G$5:$G$300)*100,2))),"")</f>
        <v/>
      </c>
    </row>
    <row r="58" ht="22" customHeight="1">
      <c r="B58" s="318" t="n"/>
      <c r="C58" s="319" t="n"/>
      <c r="D58" s="318" t="n"/>
      <c r="E58" s="320" t="n"/>
      <c r="F58" s="321" t="n"/>
      <c r="G58" s="322" t="n"/>
      <c r="H58" s="271">
        <f>IF(AND(ISNUMBER(F58),ISNUMBER(G58)),F58*G58,"")</f>
        <v/>
      </c>
      <c r="I58" s="321" t="n"/>
      <c r="J58" s="322" t="n"/>
      <c r="K58" s="271">
        <f>IF(AND(ISNUMBER(I58),ISNUMBER(J58)),I58*J58,"")</f>
        <v/>
      </c>
      <c r="L58" s="246">
        <f>IF(COUNT(F58,I58)=0,"",N(F58)-N(I58))</f>
        <v/>
      </c>
      <c r="M58" s="247">
        <f>IF(COUNT(H58,K58)=0,"",N(K58)-N(H58))</f>
        <v/>
      </c>
      <c r="N58" s="246">
        <f>IF(AND(ISNUMBER(F58),ISNUMBER(I58),ISNUMBER(H58),ISNUMBER(K58),F58&gt;0,I58&gt;0,H58&lt;&gt;0),IF(OR(COUNTIF(Торговля!$B$5:$B$300,$B58)+COUNTIF(Лэндинг!$B$5:$B$300,$B58)&gt;0,COUNTIF($B59:$B$301,$B58)&gt;0),0,ROUND(SUMPRODUCT(($B$5:$B$300=$B58)*(($F$5:$F$300+$I$5:$I$300-ABS($F$5:$F$300-$I$5:$I$300))/2)*($J$5:$J$300-$G$5:$G$300)),8)),"")</f>
        <v/>
      </c>
      <c r="O58" s="183">
        <f>IF(ISNUMBER(N58),IF(OR(COUNTIF(Торговля!$B$5:$B$300,$B58)+COUNTIF(Лэндинг!$B$5:$B$300,$B58)&gt;0,COUNTIF($B59:$B$301,$B58)&gt;0),0,IF(SUMPRODUCT(($B$5:$B$300=$B58)*(($F$5:$F$300+$I$5:$I$300-ABS($F$5:$F$300-$I$5:$I$300))/2)*$G$5:$G$300)&lt;=0,"",ROUND(N58/SUMPRODUCT(($B$5:$B$300=$B58)*(($F$5:$F$300+$I$5:$I$300-ABS($F$5:$F$300-$I$5:$I$300))/2)*$G$5:$G$300)*100,2))),"")</f>
        <v/>
      </c>
    </row>
    <row r="59" ht="22" customHeight="1">
      <c r="B59" s="313" t="n"/>
      <c r="C59" s="314" t="n"/>
      <c r="D59" s="313" t="n"/>
      <c r="E59" s="315" t="n"/>
      <c r="F59" s="316" t="n"/>
      <c r="G59" s="317" t="n"/>
      <c r="H59" s="271">
        <f>IF(AND(ISNUMBER(F59),ISNUMBER(G59)),F59*G59,"")</f>
        <v/>
      </c>
      <c r="I59" s="316" t="n"/>
      <c r="J59" s="317" t="n"/>
      <c r="K59" s="271">
        <f>IF(AND(ISNUMBER(I59),ISNUMBER(J59)),I59*J59,"")</f>
        <v/>
      </c>
      <c r="L59" s="240">
        <f>IF(COUNT(F59,I59)=0,"",N(F59)-N(I59))</f>
        <v/>
      </c>
      <c r="M59" s="241">
        <f>IF(COUNT(H59,K59)=0,"",N(K59)-N(H59))</f>
        <v/>
      </c>
      <c r="N59" s="240">
        <f>IF(AND(ISNUMBER(F59),ISNUMBER(I59),ISNUMBER(H59),ISNUMBER(K59),F59&gt;0,I59&gt;0,H59&lt;&gt;0),IF(OR(COUNTIF(Торговля!$B$5:$B$300,$B59)+COUNTIF(Лэндинг!$B$5:$B$300,$B59)&gt;0,COUNTIF($B60:$B$301,$B59)&gt;0),0,ROUND(SUMPRODUCT(($B$5:$B$300=$B59)*(($F$5:$F$300+$I$5:$I$300-ABS($F$5:$F$300-$I$5:$I$300))/2)*($J$5:$J$300-$G$5:$G$300)),8)),"")</f>
        <v/>
      </c>
      <c r="O59" s="177">
        <f>IF(ISNUMBER(N59),IF(OR(COUNTIF(Торговля!$B$5:$B$300,$B59)+COUNTIF(Лэндинг!$B$5:$B$300,$B59)&gt;0,COUNTIF($B60:$B$301,$B59)&gt;0),0,IF(SUMPRODUCT(($B$5:$B$300=$B59)*(($F$5:$F$300+$I$5:$I$300-ABS($F$5:$F$300-$I$5:$I$300))/2)*$G$5:$G$300)&lt;=0,"",ROUND(N59/SUMPRODUCT(($B$5:$B$300=$B59)*(($F$5:$F$300+$I$5:$I$300-ABS($F$5:$F$300-$I$5:$I$300))/2)*$G$5:$G$300)*100,2))),"")</f>
        <v/>
      </c>
    </row>
    <row r="60" ht="22" customHeight="1">
      <c r="B60" s="318" t="n"/>
      <c r="C60" s="319" t="n"/>
      <c r="D60" s="318" t="n"/>
      <c r="E60" s="320" t="n"/>
      <c r="F60" s="321" t="n"/>
      <c r="G60" s="322" t="n"/>
      <c r="H60" s="271">
        <f>IF(AND(ISNUMBER(F60),ISNUMBER(G60)),F60*G60,"")</f>
        <v/>
      </c>
      <c r="I60" s="321" t="n"/>
      <c r="J60" s="322" t="n"/>
      <c r="K60" s="271">
        <f>IF(AND(ISNUMBER(I60),ISNUMBER(J60)),I60*J60,"")</f>
        <v/>
      </c>
      <c r="L60" s="246">
        <f>IF(COUNT(F60,I60)=0,"",N(F60)-N(I60))</f>
        <v/>
      </c>
      <c r="M60" s="247">
        <f>IF(COUNT(H60,K60)=0,"",N(K60)-N(H60))</f>
        <v/>
      </c>
      <c r="N60" s="246">
        <f>IF(AND(ISNUMBER(F60),ISNUMBER(I60),ISNUMBER(H60),ISNUMBER(K60),F60&gt;0,I60&gt;0,H60&lt;&gt;0),IF(OR(COUNTIF(Торговля!$B$5:$B$300,$B60)+COUNTIF(Лэндинг!$B$5:$B$300,$B60)&gt;0,COUNTIF($B61:$B$301,$B60)&gt;0),0,ROUND(SUMPRODUCT(($B$5:$B$300=$B60)*(($F$5:$F$300+$I$5:$I$300-ABS($F$5:$F$300-$I$5:$I$300))/2)*($J$5:$J$300-$G$5:$G$300)),8)),"")</f>
        <v/>
      </c>
      <c r="O60" s="183">
        <f>IF(ISNUMBER(N60),IF(OR(COUNTIF(Торговля!$B$5:$B$300,$B60)+COUNTIF(Лэндинг!$B$5:$B$300,$B60)&gt;0,COUNTIF($B61:$B$301,$B60)&gt;0),0,IF(SUMPRODUCT(($B$5:$B$300=$B60)*(($F$5:$F$300+$I$5:$I$300-ABS($F$5:$F$300-$I$5:$I$300))/2)*$G$5:$G$300)&lt;=0,"",ROUND(N60/SUMPRODUCT(($B$5:$B$300=$B60)*(($F$5:$F$300+$I$5:$I$300-ABS($F$5:$F$300-$I$5:$I$300))/2)*$G$5:$G$300)*100,2))),"")</f>
        <v/>
      </c>
    </row>
    <row r="61" ht="22" customHeight="1">
      <c r="B61" s="313" t="n"/>
      <c r="C61" s="314" t="n"/>
      <c r="D61" s="313" t="n"/>
      <c r="E61" s="315" t="n"/>
      <c r="F61" s="316" t="n"/>
      <c r="G61" s="317" t="n"/>
      <c r="H61" s="271">
        <f>IF(AND(ISNUMBER(F61),ISNUMBER(G61)),F61*G61,"")</f>
        <v/>
      </c>
      <c r="I61" s="316" t="n"/>
      <c r="J61" s="317" t="n"/>
      <c r="K61" s="271">
        <f>IF(AND(ISNUMBER(I61),ISNUMBER(J61)),I61*J61,"")</f>
        <v/>
      </c>
      <c r="L61" s="240">
        <f>IF(COUNT(F61,I61)=0,"",N(F61)-N(I61))</f>
        <v/>
      </c>
      <c r="M61" s="241">
        <f>IF(COUNT(H61,K61)=0,"",N(K61)-N(H61))</f>
        <v/>
      </c>
      <c r="N61" s="240">
        <f>IF(AND(ISNUMBER(F61),ISNUMBER(I61),ISNUMBER(H61),ISNUMBER(K61),F61&gt;0,I61&gt;0,H61&lt;&gt;0),IF(OR(COUNTIF(Торговля!$B$5:$B$300,$B61)+COUNTIF(Лэндинг!$B$5:$B$300,$B61)&gt;0,COUNTIF($B62:$B$301,$B61)&gt;0),0,ROUND(SUMPRODUCT(($B$5:$B$300=$B61)*(($F$5:$F$300+$I$5:$I$300-ABS($F$5:$F$300-$I$5:$I$300))/2)*($J$5:$J$300-$G$5:$G$300)),8)),"")</f>
        <v/>
      </c>
      <c r="O61" s="177">
        <f>IF(ISNUMBER(N61),IF(OR(COUNTIF(Торговля!$B$5:$B$300,$B61)+COUNTIF(Лэндинг!$B$5:$B$300,$B61)&gt;0,COUNTIF($B62:$B$301,$B61)&gt;0),0,IF(SUMPRODUCT(($B$5:$B$300=$B61)*(($F$5:$F$300+$I$5:$I$300-ABS($F$5:$F$300-$I$5:$I$300))/2)*$G$5:$G$300)&lt;=0,"",ROUND(N61/SUMPRODUCT(($B$5:$B$300=$B61)*(($F$5:$F$300+$I$5:$I$300-ABS($F$5:$F$300-$I$5:$I$300))/2)*$G$5:$G$300)*100,2))),"")</f>
        <v/>
      </c>
    </row>
    <row r="62" ht="22" customHeight="1">
      <c r="B62" s="318" t="n"/>
      <c r="C62" s="319" t="n"/>
      <c r="D62" s="318" t="n"/>
      <c r="E62" s="320" t="n"/>
      <c r="F62" s="321" t="n"/>
      <c r="G62" s="322" t="n"/>
      <c r="H62" s="271">
        <f>IF(AND(ISNUMBER(F62),ISNUMBER(G62)),F62*G62,"")</f>
        <v/>
      </c>
      <c r="I62" s="321" t="n"/>
      <c r="J62" s="322" t="n"/>
      <c r="K62" s="271">
        <f>IF(AND(ISNUMBER(I62),ISNUMBER(J62)),I62*J62,"")</f>
        <v/>
      </c>
      <c r="L62" s="246">
        <f>IF(COUNT(F62,I62)=0,"",N(F62)-N(I62))</f>
        <v/>
      </c>
      <c r="M62" s="247">
        <f>IF(COUNT(H62,K62)=0,"",N(K62)-N(H62))</f>
        <v/>
      </c>
      <c r="N62" s="246">
        <f>IF(AND(ISNUMBER(F62),ISNUMBER(I62),ISNUMBER(H62),ISNUMBER(K62),F62&gt;0,I62&gt;0,H62&lt;&gt;0),IF(OR(COUNTIF(Торговля!$B$5:$B$300,$B62)+COUNTIF(Лэндинг!$B$5:$B$300,$B62)&gt;0,COUNTIF($B63:$B$301,$B62)&gt;0),0,ROUND(SUMPRODUCT(($B$5:$B$300=$B62)*(($F$5:$F$300+$I$5:$I$300-ABS($F$5:$F$300-$I$5:$I$300))/2)*($J$5:$J$300-$G$5:$G$300)),8)),"")</f>
        <v/>
      </c>
      <c r="O62" s="183">
        <f>IF(ISNUMBER(N62),IF(OR(COUNTIF(Торговля!$B$5:$B$300,$B62)+COUNTIF(Лэндинг!$B$5:$B$300,$B62)&gt;0,COUNTIF($B63:$B$301,$B62)&gt;0),0,IF(SUMPRODUCT(($B$5:$B$300=$B62)*(($F$5:$F$300+$I$5:$I$300-ABS($F$5:$F$300-$I$5:$I$300))/2)*$G$5:$G$300)&lt;=0,"",ROUND(N62/SUMPRODUCT(($B$5:$B$300=$B62)*(($F$5:$F$300+$I$5:$I$300-ABS($F$5:$F$300-$I$5:$I$300))/2)*$G$5:$G$300)*100,2))),"")</f>
        <v/>
      </c>
    </row>
    <row r="63" ht="22" customHeight="1">
      <c r="B63" s="313" t="n"/>
      <c r="C63" s="314" t="n"/>
      <c r="D63" s="313" t="n"/>
      <c r="E63" s="315" t="n"/>
      <c r="F63" s="316" t="n"/>
      <c r="G63" s="317" t="n"/>
      <c r="H63" s="271">
        <f>IF(AND(ISNUMBER(F63),ISNUMBER(G63)),F63*G63,"")</f>
        <v/>
      </c>
      <c r="I63" s="316" t="n"/>
      <c r="J63" s="317" t="n"/>
      <c r="K63" s="271">
        <f>IF(AND(ISNUMBER(I63),ISNUMBER(J63)),I63*J63,"")</f>
        <v/>
      </c>
      <c r="L63" s="240">
        <f>IF(COUNT(F63,I63)=0,"",N(F63)-N(I63))</f>
        <v/>
      </c>
      <c r="M63" s="241">
        <f>IF(COUNT(H63,K63)=0,"",N(K63)-N(H63))</f>
        <v/>
      </c>
      <c r="N63" s="240">
        <f>IF(AND(ISNUMBER(F63),ISNUMBER(I63),ISNUMBER(H63),ISNUMBER(K63),F63&gt;0,I63&gt;0,H63&lt;&gt;0),IF(OR(COUNTIF(Торговля!$B$5:$B$300,$B63)+COUNTIF(Лэндинг!$B$5:$B$300,$B63)&gt;0,COUNTIF($B64:$B$301,$B63)&gt;0),0,ROUND(SUMPRODUCT(($B$5:$B$300=$B63)*(($F$5:$F$300+$I$5:$I$300-ABS($F$5:$F$300-$I$5:$I$300))/2)*($J$5:$J$300-$G$5:$G$300)),8)),"")</f>
        <v/>
      </c>
      <c r="O63" s="177">
        <f>IF(ISNUMBER(N63),IF(OR(COUNTIF(Торговля!$B$5:$B$300,$B63)+COUNTIF(Лэндинг!$B$5:$B$300,$B63)&gt;0,COUNTIF($B64:$B$301,$B63)&gt;0),0,IF(SUMPRODUCT(($B$5:$B$300=$B63)*(($F$5:$F$300+$I$5:$I$300-ABS($F$5:$F$300-$I$5:$I$300))/2)*$G$5:$G$300)&lt;=0,"",ROUND(N63/SUMPRODUCT(($B$5:$B$300=$B63)*(($F$5:$F$300+$I$5:$I$300-ABS($F$5:$F$300-$I$5:$I$300))/2)*$G$5:$G$300)*100,2))),"")</f>
        <v/>
      </c>
    </row>
    <row r="64" ht="22" customHeight="1">
      <c r="B64" s="318" t="n"/>
      <c r="C64" s="319" t="n"/>
      <c r="D64" s="318" t="n"/>
      <c r="E64" s="320" t="n"/>
      <c r="F64" s="321" t="n"/>
      <c r="G64" s="322" t="n"/>
      <c r="H64" s="271">
        <f>IF(AND(ISNUMBER(F64),ISNUMBER(G64)),F64*G64,"")</f>
        <v/>
      </c>
      <c r="I64" s="321" t="n"/>
      <c r="J64" s="322" t="n"/>
      <c r="K64" s="271">
        <f>IF(AND(ISNUMBER(I64),ISNUMBER(J64)),I64*J64,"")</f>
        <v/>
      </c>
      <c r="L64" s="246">
        <f>IF(COUNT(F64,I64)=0,"",N(F64)-N(I64))</f>
        <v/>
      </c>
      <c r="M64" s="247">
        <f>IF(COUNT(H64,K64)=0,"",N(K64)-N(H64))</f>
        <v/>
      </c>
      <c r="N64" s="246">
        <f>IF(AND(ISNUMBER(F64),ISNUMBER(I64),ISNUMBER(H64),ISNUMBER(K64),F64&gt;0,I64&gt;0,H64&lt;&gt;0),IF(OR(COUNTIF(Торговля!$B$5:$B$300,$B64)+COUNTIF(Лэндинг!$B$5:$B$300,$B64)&gt;0,COUNTIF($B65:$B$301,$B64)&gt;0),0,ROUND(SUMPRODUCT(($B$5:$B$300=$B64)*(($F$5:$F$300+$I$5:$I$300-ABS($F$5:$F$300-$I$5:$I$300))/2)*($J$5:$J$300-$G$5:$G$300)),8)),"")</f>
        <v/>
      </c>
      <c r="O64" s="183">
        <f>IF(ISNUMBER(N64),IF(OR(COUNTIF(Торговля!$B$5:$B$300,$B64)+COUNTIF(Лэндинг!$B$5:$B$300,$B64)&gt;0,COUNTIF($B65:$B$301,$B64)&gt;0),0,IF(SUMPRODUCT(($B$5:$B$300=$B64)*(($F$5:$F$300+$I$5:$I$300-ABS($F$5:$F$300-$I$5:$I$300))/2)*$G$5:$G$300)&lt;=0,"",ROUND(N64/SUMPRODUCT(($B$5:$B$300=$B64)*(($F$5:$F$300+$I$5:$I$300-ABS($F$5:$F$300-$I$5:$I$300))/2)*$G$5:$G$300)*100,2))),"")</f>
        <v/>
      </c>
    </row>
    <row r="65" ht="22" customHeight="1">
      <c r="B65" s="313" t="n"/>
      <c r="C65" s="314" t="n"/>
      <c r="D65" s="313" t="n"/>
      <c r="E65" s="315" t="n"/>
      <c r="F65" s="316" t="n"/>
      <c r="G65" s="317" t="n"/>
      <c r="H65" s="271">
        <f>IF(AND(ISNUMBER(F65),ISNUMBER(G65)),F65*G65,"")</f>
        <v/>
      </c>
      <c r="I65" s="316" t="n"/>
      <c r="J65" s="317" t="n"/>
      <c r="K65" s="271">
        <f>IF(AND(ISNUMBER(I65),ISNUMBER(J65)),I65*J65,"")</f>
        <v/>
      </c>
      <c r="L65" s="240">
        <f>IF(COUNT(F65,I65)=0,"",N(F65)-N(I65))</f>
        <v/>
      </c>
      <c r="M65" s="241">
        <f>IF(COUNT(H65,K65)=0,"",N(K65)-N(H65))</f>
        <v/>
      </c>
      <c r="N65" s="240">
        <f>IF(AND(ISNUMBER(F65),ISNUMBER(I65),ISNUMBER(H65),ISNUMBER(K65),F65&gt;0,I65&gt;0,H65&lt;&gt;0),IF(OR(COUNTIF(Торговля!$B$5:$B$300,$B65)+COUNTIF(Лэндинг!$B$5:$B$300,$B65)&gt;0,COUNTIF($B66:$B$301,$B65)&gt;0),0,ROUND(SUMPRODUCT(($B$5:$B$300=$B65)*(($F$5:$F$300+$I$5:$I$300-ABS($F$5:$F$300-$I$5:$I$300))/2)*($J$5:$J$300-$G$5:$G$300)),8)),"")</f>
        <v/>
      </c>
      <c r="O65" s="177">
        <f>IF(ISNUMBER(N65),IF(OR(COUNTIF(Торговля!$B$5:$B$300,$B65)+COUNTIF(Лэндинг!$B$5:$B$300,$B65)&gt;0,COUNTIF($B66:$B$301,$B65)&gt;0),0,IF(SUMPRODUCT(($B$5:$B$300=$B65)*(($F$5:$F$300+$I$5:$I$300-ABS($F$5:$F$300-$I$5:$I$300))/2)*$G$5:$G$300)&lt;=0,"",ROUND(N65/SUMPRODUCT(($B$5:$B$300=$B65)*(($F$5:$F$300+$I$5:$I$300-ABS($F$5:$F$300-$I$5:$I$300))/2)*$G$5:$G$300)*100,2))),"")</f>
        <v/>
      </c>
    </row>
    <row r="66" ht="22" customHeight="1">
      <c r="B66" s="318" t="n"/>
      <c r="C66" s="319" t="n"/>
      <c r="D66" s="318" t="n"/>
      <c r="E66" s="320" t="n"/>
      <c r="F66" s="321" t="n"/>
      <c r="G66" s="322" t="n"/>
      <c r="H66" s="271">
        <f>IF(AND(ISNUMBER(F66),ISNUMBER(G66)),F66*G66,"")</f>
        <v/>
      </c>
      <c r="I66" s="321" t="n"/>
      <c r="J66" s="322" t="n"/>
      <c r="K66" s="271">
        <f>IF(AND(ISNUMBER(I66),ISNUMBER(J66)),I66*J66,"")</f>
        <v/>
      </c>
      <c r="L66" s="246">
        <f>IF(COUNT(F66,I66)=0,"",N(F66)-N(I66))</f>
        <v/>
      </c>
      <c r="M66" s="247">
        <f>IF(COUNT(H66,K66)=0,"",N(K66)-N(H66))</f>
        <v/>
      </c>
      <c r="N66" s="246">
        <f>IF(AND(ISNUMBER(F66),ISNUMBER(I66),ISNUMBER(H66),ISNUMBER(K66),F66&gt;0,I66&gt;0,H66&lt;&gt;0),IF(OR(COUNTIF(Торговля!$B$5:$B$300,$B66)+COUNTIF(Лэндинг!$B$5:$B$300,$B66)&gt;0,COUNTIF($B67:$B$301,$B66)&gt;0),0,ROUND(SUMPRODUCT(($B$5:$B$300=$B66)*(($F$5:$F$300+$I$5:$I$300-ABS($F$5:$F$300-$I$5:$I$300))/2)*($J$5:$J$300-$G$5:$G$300)),8)),"")</f>
        <v/>
      </c>
      <c r="O66" s="183">
        <f>IF(ISNUMBER(N66),IF(OR(COUNTIF(Торговля!$B$5:$B$300,$B66)+COUNTIF(Лэндинг!$B$5:$B$300,$B66)&gt;0,COUNTIF($B67:$B$301,$B66)&gt;0),0,IF(SUMPRODUCT(($B$5:$B$300=$B66)*(($F$5:$F$300+$I$5:$I$300-ABS($F$5:$F$300-$I$5:$I$300))/2)*$G$5:$G$300)&lt;=0,"",ROUND(N66/SUMPRODUCT(($B$5:$B$300=$B66)*(($F$5:$F$300+$I$5:$I$300-ABS($F$5:$F$300-$I$5:$I$300))/2)*$G$5:$G$300)*100,2))),"")</f>
        <v/>
      </c>
    </row>
    <row r="67" ht="22" customHeight="1">
      <c r="B67" s="313" t="n"/>
      <c r="C67" s="314" t="n"/>
      <c r="D67" s="313" t="n"/>
      <c r="E67" s="315" t="n"/>
      <c r="F67" s="316" t="n"/>
      <c r="G67" s="317" t="n"/>
      <c r="H67" s="271">
        <f>IF(AND(ISNUMBER(F67),ISNUMBER(G67)),F67*G67,"")</f>
        <v/>
      </c>
      <c r="I67" s="316" t="n"/>
      <c r="J67" s="317" t="n"/>
      <c r="K67" s="271">
        <f>IF(AND(ISNUMBER(I67),ISNUMBER(J67)),I67*J67,"")</f>
        <v/>
      </c>
      <c r="L67" s="240">
        <f>IF(COUNT(F67,I67)=0,"",N(F67)-N(I67))</f>
        <v/>
      </c>
      <c r="M67" s="241">
        <f>IF(COUNT(H67,K67)=0,"",N(K67)-N(H67))</f>
        <v/>
      </c>
      <c r="N67" s="240">
        <f>IF(AND(ISNUMBER(F67),ISNUMBER(I67),ISNUMBER(H67),ISNUMBER(K67),F67&gt;0,I67&gt;0,H67&lt;&gt;0),IF(OR(COUNTIF(Торговля!$B$5:$B$300,$B67)+COUNTIF(Лэндинг!$B$5:$B$300,$B67)&gt;0,COUNTIF($B68:$B$301,$B67)&gt;0),0,ROUND(SUMPRODUCT(($B$5:$B$300=$B67)*(($F$5:$F$300+$I$5:$I$300-ABS($F$5:$F$300-$I$5:$I$300))/2)*($J$5:$J$300-$G$5:$G$300)),8)),"")</f>
        <v/>
      </c>
      <c r="O67" s="177">
        <f>IF(ISNUMBER(N67),IF(OR(COUNTIF(Торговля!$B$5:$B$300,$B67)+COUNTIF(Лэндинг!$B$5:$B$300,$B67)&gt;0,COUNTIF($B68:$B$301,$B67)&gt;0),0,IF(SUMPRODUCT(($B$5:$B$300=$B67)*(($F$5:$F$300+$I$5:$I$300-ABS($F$5:$F$300-$I$5:$I$300))/2)*$G$5:$G$300)&lt;=0,"",ROUND(N67/SUMPRODUCT(($B$5:$B$300=$B67)*(($F$5:$F$300+$I$5:$I$300-ABS($F$5:$F$300-$I$5:$I$300))/2)*$G$5:$G$300)*100,2))),"")</f>
        <v/>
      </c>
    </row>
    <row r="68" ht="22" customHeight="1">
      <c r="B68" s="318" t="n"/>
      <c r="C68" s="319" t="n"/>
      <c r="D68" s="318" t="n"/>
      <c r="E68" s="320" t="n"/>
      <c r="F68" s="321" t="n"/>
      <c r="G68" s="322" t="n"/>
      <c r="H68" s="271">
        <f>IF(AND(ISNUMBER(F68),ISNUMBER(G68)),F68*G68,"")</f>
        <v/>
      </c>
      <c r="I68" s="321" t="n"/>
      <c r="J68" s="322" t="n"/>
      <c r="K68" s="271">
        <f>IF(AND(ISNUMBER(I68),ISNUMBER(J68)),I68*J68,"")</f>
        <v/>
      </c>
      <c r="L68" s="246">
        <f>IF(COUNT(F68,I68)=0,"",N(F68)-N(I68))</f>
        <v/>
      </c>
      <c r="M68" s="247">
        <f>IF(COUNT(H68,K68)=0,"",N(K68)-N(H68))</f>
        <v/>
      </c>
      <c r="N68" s="246">
        <f>IF(AND(ISNUMBER(F68),ISNUMBER(I68),ISNUMBER(H68),ISNUMBER(K68),F68&gt;0,I68&gt;0,H68&lt;&gt;0),IF(OR(COUNTIF(Торговля!$B$5:$B$300,$B68)+COUNTIF(Лэндинг!$B$5:$B$300,$B68)&gt;0,COUNTIF($B69:$B$301,$B68)&gt;0),0,ROUND(SUMPRODUCT(($B$5:$B$300=$B68)*(($F$5:$F$300+$I$5:$I$300-ABS($F$5:$F$300-$I$5:$I$300))/2)*($J$5:$J$300-$G$5:$G$300)),8)),"")</f>
        <v/>
      </c>
      <c r="O68" s="183">
        <f>IF(ISNUMBER(N68),IF(OR(COUNTIF(Торговля!$B$5:$B$300,$B68)+COUNTIF(Лэндинг!$B$5:$B$300,$B68)&gt;0,COUNTIF($B69:$B$301,$B68)&gt;0),0,IF(SUMPRODUCT(($B$5:$B$300=$B68)*(($F$5:$F$300+$I$5:$I$300-ABS($F$5:$F$300-$I$5:$I$300))/2)*$G$5:$G$300)&lt;=0,"",ROUND(N68/SUMPRODUCT(($B$5:$B$300=$B68)*(($F$5:$F$300+$I$5:$I$300-ABS($F$5:$F$300-$I$5:$I$300))/2)*$G$5:$G$300)*100,2))),"")</f>
        <v/>
      </c>
    </row>
    <row r="69" ht="22" customHeight="1">
      <c r="B69" s="313" t="n"/>
      <c r="C69" s="314" t="n"/>
      <c r="D69" s="313" t="n"/>
      <c r="E69" s="315" t="n"/>
      <c r="F69" s="316" t="n"/>
      <c r="G69" s="317" t="n"/>
      <c r="H69" s="271">
        <f>IF(AND(ISNUMBER(F69),ISNUMBER(G69)),F69*G69,"")</f>
        <v/>
      </c>
      <c r="I69" s="316" t="n"/>
      <c r="J69" s="317" t="n"/>
      <c r="K69" s="271">
        <f>IF(AND(ISNUMBER(I69),ISNUMBER(J69)),I69*J69,"")</f>
        <v/>
      </c>
      <c r="L69" s="240">
        <f>IF(COUNT(F69,I69)=0,"",N(F69)-N(I69))</f>
        <v/>
      </c>
      <c r="M69" s="241">
        <f>IF(COUNT(H69,K69)=0,"",N(K69)-N(H69))</f>
        <v/>
      </c>
      <c r="N69" s="240">
        <f>IF(AND(ISNUMBER(F69),ISNUMBER(I69),ISNUMBER(H69),ISNUMBER(K69),F69&gt;0,I69&gt;0,H69&lt;&gt;0),IF(OR(COUNTIF(Торговля!$B$5:$B$300,$B69)+COUNTIF(Лэндинг!$B$5:$B$300,$B69)&gt;0,COUNTIF($B70:$B$301,$B69)&gt;0),0,ROUND(SUMPRODUCT(($B$5:$B$300=$B69)*(($F$5:$F$300+$I$5:$I$300-ABS($F$5:$F$300-$I$5:$I$300))/2)*($J$5:$J$300-$G$5:$G$300)),8)),"")</f>
        <v/>
      </c>
      <c r="O69" s="177">
        <f>IF(ISNUMBER(N69),IF(OR(COUNTIF(Торговля!$B$5:$B$300,$B69)+COUNTIF(Лэндинг!$B$5:$B$300,$B69)&gt;0,COUNTIF($B70:$B$301,$B69)&gt;0),0,IF(SUMPRODUCT(($B$5:$B$300=$B69)*(($F$5:$F$300+$I$5:$I$300-ABS($F$5:$F$300-$I$5:$I$300))/2)*$G$5:$G$300)&lt;=0,"",ROUND(N69/SUMPRODUCT(($B$5:$B$300=$B69)*(($F$5:$F$300+$I$5:$I$300-ABS($F$5:$F$300-$I$5:$I$300))/2)*$G$5:$G$300)*100,2))),"")</f>
        <v/>
      </c>
    </row>
    <row r="70" ht="22" customHeight="1">
      <c r="B70" s="318" t="n"/>
      <c r="C70" s="319" t="n"/>
      <c r="D70" s="318" t="n"/>
      <c r="E70" s="320" t="n"/>
      <c r="F70" s="321" t="n"/>
      <c r="G70" s="322" t="n"/>
      <c r="H70" s="271">
        <f>IF(AND(ISNUMBER(F70),ISNUMBER(G70)),F70*G70,"")</f>
        <v/>
      </c>
      <c r="I70" s="321" t="n"/>
      <c r="J70" s="322" t="n"/>
      <c r="K70" s="271">
        <f>IF(AND(ISNUMBER(I70),ISNUMBER(J70)),I70*J70,"")</f>
        <v/>
      </c>
      <c r="L70" s="246">
        <f>IF(COUNT(F70,I70)=0,"",N(F70)-N(I70))</f>
        <v/>
      </c>
      <c r="M70" s="247">
        <f>IF(COUNT(H70,K70)=0,"",N(K70)-N(H70))</f>
        <v/>
      </c>
      <c r="N70" s="246">
        <f>IF(AND(ISNUMBER(F70),ISNUMBER(I70),ISNUMBER(H70),ISNUMBER(K70),F70&gt;0,I70&gt;0,H70&lt;&gt;0),IF(OR(COUNTIF(Торговля!$B$5:$B$300,$B70)+COUNTIF(Лэндинг!$B$5:$B$300,$B70)&gt;0,COUNTIF($B71:$B$301,$B70)&gt;0),0,ROUND(SUMPRODUCT(($B$5:$B$300=$B70)*(($F$5:$F$300+$I$5:$I$300-ABS($F$5:$F$300-$I$5:$I$300))/2)*($J$5:$J$300-$G$5:$G$300)),8)),"")</f>
        <v/>
      </c>
      <c r="O70" s="183">
        <f>IF(ISNUMBER(N70),IF(OR(COUNTIF(Торговля!$B$5:$B$300,$B70)+COUNTIF(Лэндинг!$B$5:$B$300,$B70)&gt;0,COUNTIF($B71:$B$301,$B70)&gt;0),0,IF(SUMPRODUCT(($B$5:$B$300=$B70)*(($F$5:$F$300+$I$5:$I$300-ABS($F$5:$F$300-$I$5:$I$300))/2)*$G$5:$G$300)&lt;=0,"",ROUND(N70/SUMPRODUCT(($B$5:$B$300=$B70)*(($F$5:$F$300+$I$5:$I$300-ABS($F$5:$F$300-$I$5:$I$300))/2)*$G$5:$G$300)*100,2))),"")</f>
        <v/>
      </c>
    </row>
    <row r="71" ht="22" customHeight="1">
      <c r="B71" s="313" t="n"/>
      <c r="C71" s="314" t="n"/>
      <c r="D71" s="313" t="n"/>
      <c r="E71" s="315" t="n"/>
      <c r="F71" s="316" t="n"/>
      <c r="G71" s="317" t="n"/>
      <c r="H71" s="271">
        <f>IF(AND(ISNUMBER(F71),ISNUMBER(G71)),F71*G71,"")</f>
        <v/>
      </c>
      <c r="I71" s="316" t="n"/>
      <c r="J71" s="317" t="n"/>
      <c r="K71" s="271">
        <f>IF(AND(ISNUMBER(I71),ISNUMBER(J71)),I71*J71,"")</f>
        <v/>
      </c>
      <c r="L71" s="240">
        <f>IF(COUNT(F71,I71)=0,"",N(F71)-N(I71))</f>
        <v/>
      </c>
      <c r="M71" s="241">
        <f>IF(COUNT(H71,K71)=0,"",N(K71)-N(H71))</f>
        <v/>
      </c>
      <c r="N71" s="240">
        <f>IF(AND(ISNUMBER(F71),ISNUMBER(I71),ISNUMBER(H71),ISNUMBER(K71),F71&gt;0,I71&gt;0,H71&lt;&gt;0),IF(OR(COUNTIF(Торговля!$B$5:$B$300,$B71)+COUNTIF(Лэндинг!$B$5:$B$300,$B71)&gt;0,COUNTIF($B72:$B$301,$B71)&gt;0),0,ROUND(SUMPRODUCT(($B$5:$B$300=$B71)*(($F$5:$F$300+$I$5:$I$300-ABS($F$5:$F$300-$I$5:$I$300))/2)*($J$5:$J$300-$G$5:$G$300)),8)),"")</f>
        <v/>
      </c>
      <c r="O71" s="177">
        <f>IF(ISNUMBER(N71),IF(OR(COUNTIF(Торговля!$B$5:$B$300,$B71)+COUNTIF(Лэндинг!$B$5:$B$300,$B71)&gt;0,COUNTIF($B72:$B$301,$B71)&gt;0),0,IF(SUMPRODUCT(($B$5:$B$300=$B71)*(($F$5:$F$300+$I$5:$I$300-ABS($F$5:$F$300-$I$5:$I$300))/2)*$G$5:$G$300)&lt;=0,"",ROUND(N71/SUMPRODUCT(($B$5:$B$300=$B71)*(($F$5:$F$300+$I$5:$I$300-ABS($F$5:$F$300-$I$5:$I$300))/2)*$G$5:$G$300)*100,2))),"")</f>
        <v/>
      </c>
    </row>
    <row r="72" ht="22" customHeight="1">
      <c r="B72" s="318" t="n"/>
      <c r="C72" s="319" t="n"/>
      <c r="D72" s="318" t="n"/>
      <c r="E72" s="320" t="n"/>
      <c r="F72" s="321" t="n"/>
      <c r="G72" s="322" t="n"/>
      <c r="H72" s="271">
        <f>IF(AND(ISNUMBER(F72),ISNUMBER(G72)),F72*G72,"")</f>
        <v/>
      </c>
      <c r="I72" s="321" t="n"/>
      <c r="J72" s="322" t="n"/>
      <c r="K72" s="271">
        <f>IF(AND(ISNUMBER(I72),ISNUMBER(J72)),I72*J72,"")</f>
        <v/>
      </c>
      <c r="L72" s="246">
        <f>IF(COUNT(F72,I72)=0,"",N(F72)-N(I72))</f>
        <v/>
      </c>
      <c r="M72" s="247">
        <f>IF(COUNT(H72,K72)=0,"",N(K72)-N(H72))</f>
        <v/>
      </c>
      <c r="N72" s="246">
        <f>IF(AND(ISNUMBER(F72),ISNUMBER(I72),ISNUMBER(H72),ISNUMBER(K72),F72&gt;0,I72&gt;0,H72&lt;&gt;0),IF(OR(COUNTIF(Торговля!$B$5:$B$300,$B72)+COUNTIF(Лэндинг!$B$5:$B$300,$B72)&gt;0,COUNTIF($B73:$B$301,$B72)&gt;0),0,ROUND(SUMPRODUCT(($B$5:$B$300=$B72)*(($F$5:$F$300+$I$5:$I$300-ABS($F$5:$F$300-$I$5:$I$300))/2)*($J$5:$J$300-$G$5:$G$300)),8)),"")</f>
        <v/>
      </c>
      <c r="O72" s="183">
        <f>IF(ISNUMBER(N72),IF(OR(COUNTIF(Торговля!$B$5:$B$300,$B72)+COUNTIF(Лэндинг!$B$5:$B$300,$B72)&gt;0,COUNTIF($B73:$B$301,$B72)&gt;0),0,IF(SUMPRODUCT(($B$5:$B$300=$B72)*(($F$5:$F$300+$I$5:$I$300-ABS($F$5:$F$300-$I$5:$I$300))/2)*$G$5:$G$300)&lt;=0,"",ROUND(N72/SUMPRODUCT(($B$5:$B$300=$B72)*(($F$5:$F$300+$I$5:$I$300-ABS($F$5:$F$300-$I$5:$I$300))/2)*$G$5:$G$300)*100,2))),"")</f>
        <v/>
      </c>
    </row>
    <row r="73" ht="22" customHeight="1">
      <c r="B73" s="313" t="n"/>
      <c r="C73" s="314" t="n"/>
      <c r="D73" s="313" t="n"/>
      <c r="E73" s="315" t="n"/>
      <c r="F73" s="316" t="n"/>
      <c r="G73" s="317" t="n"/>
      <c r="H73" s="271">
        <f>IF(AND(ISNUMBER(F73),ISNUMBER(G73)),F73*G73,"")</f>
        <v/>
      </c>
      <c r="I73" s="316" t="n"/>
      <c r="J73" s="317" t="n"/>
      <c r="K73" s="271">
        <f>IF(AND(ISNUMBER(I73),ISNUMBER(J73)),I73*J73,"")</f>
        <v/>
      </c>
      <c r="L73" s="240">
        <f>IF(COUNT(F73,I73)=0,"",N(F73)-N(I73))</f>
        <v/>
      </c>
      <c r="M73" s="241">
        <f>IF(COUNT(H73,K73)=0,"",N(K73)-N(H73))</f>
        <v/>
      </c>
      <c r="N73" s="240">
        <f>IF(AND(ISNUMBER(F73),ISNUMBER(I73),ISNUMBER(H73),ISNUMBER(K73),F73&gt;0,I73&gt;0,H73&lt;&gt;0),IF(OR(COUNTIF(Торговля!$B$5:$B$300,$B73)+COUNTIF(Лэндинг!$B$5:$B$300,$B73)&gt;0,COUNTIF($B74:$B$301,$B73)&gt;0),0,ROUND(SUMPRODUCT(($B$5:$B$300=$B73)*(($F$5:$F$300+$I$5:$I$300-ABS($F$5:$F$300-$I$5:$I$300))/2)*($J$5:$J$300-$G$5:$G$300)),8)),"")</f>
        <v/>
      </c>
      <c r="O73" s="177">
        <f>IF(ISNUMBER(N73),IF(OR(COUNTIF(Торговля!$B$5:$B$300,$B73)+COUNTIF(Лэндинг!$B$5:$B$300,$B73)&gt;0,COUNTIF($B74:$B$301,$B73)&gt;0),0,IF(SUMPRODUCT(($B$5:$B$300=$B73)*(($F$5:$F$300+$I$5:$I$300-ABS($F$5:$F$300-$I$5:$I$300))/2)*$G$5:$G$300)&lt;=0,"",ROUND(N73/SUMPRODUCT(($B$5:$B$300=$B73)*(($F$5:$F$300+$I$5:$I$300-ABS($F$5:$F$300-$I$5:$I$300))/2)*$G$5:$G$300)*100,2))),"")</f>
        <v/>
      </c>
    </row>
    <row r="74" ht="22" customHeight="1">
      <c r="B74" s="318" t="n"/>
      <c r="C74" s="319" t="n"/>
      <c r="D74" s="318" t="n"/>
      <c r="E74" s="320" t="n"/>
      <c r="F74" s="321" t="n"/>
      <c r="G74" s="322" t="n"/>
      <c r="H74" s="271">
        <f>IF(AND(ISNUMBER(F74),ISNUMBER(G74)),F74*G74,"")</f>
        <v/>
      </c>
      <c r="I74" s="321" t="n"/>
      <c r="J74" s="322" t="n"/>
      <c r="K74" s="271">
        <f>IF(AND(ISNUMBER(I74),ISNUMBER(J74)),I74*J74,"")</f>
        <v/>
      </c>
      <c r="L74" s="246">
        <f>IF(COUNT(F74,I74)=0,"",N(F74)-N(I74))</f>
        <v/>
      </c>
      <c r="M74" s="247">
        <f>IF(COUNT(H74,K74)=0,"",N(K74)-N(H74))</f>
        <v/>
      </c>
      <c r="N74" s="246">
        <f>IF(AND(ISNUMBER(F74),ISNUMBER(I74),ISNUMBER(H74),ISNUMBER(K74),F74&gt;0,I74&gt;0,H74&lt;&gt;0),IF(OR(COUNTIF(Торговля!$B$5:$B$300,$B74)+COUNTIF(Лэндинг!$B$5:$B$300,$B74)&gt;0,COUNTIF($B75:$B$301,$B74)&gt;0),0,ROUND(SUMPRODUCT(($B$5:$B$300=$B74)*(($F$5:$F$300+$I$5:$I$300-ABS($F$5:$F$300-$I$5:$I$300))/2)*($J$5:$J$300-$G$5:$G$300)),8)),"")</f>
        <v/>
      </c>
      <c r="O74" s="183">
        <f>IF(ISNUMBER(N74),IF(OR(COUNTIF(Торговля!$B$5:$B$300,$B74)+COUNTIF(Лэндинг!$B$5:$B$300,$B74)&gt;0,COUNTIF($B75:$B$301,$B74)&gt;0),0,IF(SUMPRODUCT(($B$5:$B$300=$B74)*(($F$5:$F$300+$I$5:$I$300-ABS($F$5:$F$300-$I$5:$I$300))/2)*$G$5:$G$300)&lt;=0,"",ROUND(N74/SUMPRODUCT(($B$5:$B$300=$B74)*(($F$5:$F$300+$I$5:$I$300-ABS($F$5:$F$300-$I$5:$I$300))/2)*$G$5:$G$300)*100,2))),"")</f>
        <v/>
      </c>
    </row>
    <row r="75" ht="22" customHeight="1">
      <c r="B75" s="313" t="n"/>
      <c r="C75" s="314" t="n"/>
      <c r="D75" s="313" t="n"/>
      <c r="E75" s="315" t="n"/>
      <c r="F75" s="316" t="n"/>
      <c r="G75" s="317" t="n"/>
      <c r="H75" s="271">
        <f>IF(AND(ISNUMBER(F75),ISNUMBER(G75)),F75*G75,"")</f>
        <v/>
      </c>
      <c r="I75" s="316" t="n"/>
      <c r="J75" s="317" t="n"/>
      <c r="K75" s="271">
        <f>IF(AND(ISNUMBER(I75),ISNUMBER(J75)),I75*J75,"")</f>
        <v/>
      </c>
      <c r="L75" s="240">
        <f>IF(COUNT(F75,I75)=0,"",N(F75)-N(I75))</f>
        <v/>
      </c>
      <c r="M75" s="241">
        <f>IF(COUNT(H75,K75)=0,"",N(K75)-N(H75))</f>
        <v/>
      </c>
      <c r="N75" s="240">
        <f>IF(AND(ISNUMBER(F75),ISNUMBER(I75),ISNUMBER(H75),ISNUMBER(K75),F75&gt;0,I75&gt;0,H75&lt;&gt;0),IF(OR(COUNTIF(Торговля!$B$5:$B$300,$B75)+COUNTIF(Лэндинг!$B$5:$B$300,$B75)&gt;0,COUNTIF($B76:$B$301,$B75)&gt;0),0,ROUND(SUMPRODUCT(($B$5:$B$300=$B75)*(($F$5:$F$300+$I$5:$I$300-ABS($F$5:$F$300-$I$5:$I$300))/2)*($J$5:$J$300-$G$5:$G$300)),8)),"")</f>
        <v/>
      </c>
      <c r="O75" s="177">
        <f>IF(ISNUMBER(N75),IF(OR(COUNTIF(Торговля!$B$5:$B$300,$B75)+COUNTIF(Лэндинг!$B$5:$B$300,$B75)&gt;0,COUNTIF($B76:$B$301,$B75)&gt;0),0,IF(SUMPRODUCT(($B$5:$B$300=$B75)*(($F$5:$F$300+$I$5:$I$300-ABS($F$5:$F$300-$I$5:$I$300))/2)*$G$5:$G$300)&lt;=0,"",ROUND(N75/SUMPRODUCT(($B$5:$B$300=$B75)*(($F$5:$F$300+$I$5:$I$300-ABS($F$5:$F$300-$I$5:$I$300))/2)*$G$5:$G$300)*100,2))),"")</f>
        <v/>
      </c>
    </row>
    <row r="76" ht="22" customHeight="1">
      <c r="B76" s="318" t="n"/>
      <c r="C76" s="319" t="n"/>
      <c r="D76" s="318" t="n"/>
      <c r="E76" s="320" t="n"/>
      <c r="F76" s="321" t="n"/>
      <c r="G76" s="322" t="n"/>
      <c r="H76" s="271">
        <f>IF(AND(ISNUMBER(F76),ISNUMBER(G76)),F76*G76,"")</f>
        <v/>
      </c>
      <c r="I76" s="321" t="n"/>
      <c r="J76" s="322" t="n"/>
      <c r="K76" s="271">
        <f>IF(AND(ISNUMBER(I76),ISNUMBER(J76)),I76*J76,"")</f>
        <v/>
      </c>
      <c r="L76" s="246">
        <f>IF(COUNT(F76,I76)=0,"",N(F76)-N(I76))</f>
        <v/>
      </c>
      <c r="M76" s="247">
        <f>IF(COUNT(H76,K76)=0,"",N(K76)-N(H76))</f>
        <v/>
      </c>
      <c r="N76" s="246">
        <f>IF(AND(ISNUMBER(F76),ISNUMBER(I76),ISNUMBER(H76),ISNUMBER(K76),F76&gt;0,I76&gt;0,H76&lt;&gt;0),IF(OR(COUNTIF(Торговля!$B$5:$B$300,$B76)+COUNTIF(Лэндинг!$B$5:$B$300,$B76)&gt;0,COUNTIF($B77:$B$301,$B76)&gt;0),0,ROUND(SUMPRODUCT(($B$5:$B$300=$B76)*(($F$5:$F$300+$I$5:$I$300-ABS($F$5:$F$300-$I$5:$I$300))/2)*($J$5:$J$300-$G$5:$G$300)),8)),"")</f>
        <v/>
      </c>
      <c r="O76" s="183">
        <f>IF(ISNUMBER(N76),IF(OR(COUNTIF(Торговля!$B$5:$B$300,$B76)+COUNTIF(Лэндинг!$B$5:$B$300,$B76)&gt;0,COUNTIF($B77:$B$301,$B76)&gt;0),0,IF(SUMPRODUCT(($B$5:$B$300=$B76)*(($F$5:$F$300+$I$5:$I$300-ABS($F$5:$F$300-$I$5:$I$300))/2)*$G$5:$G$300)&lt;=0,"",ROUND(N76/SUMPRODUCT(($B$5:$B$300=$B76)*(($F$5:$F$300+$I$5:$I$300-ABS($F$5:$F$300-$I$5:$I$300))/2)*$G$5:$G$300)*100,2))),"")</f>
        <v/>
      </c>
    </row>
    <row r="77" ht="22" customHeight="1">
      <c r="B77" s="313" t="n"/>
      <c r="C77" s="314" t="n"/>
      <c r="D77" s="313" t="n"/>
      <c r="E77" s="315" t="n"/>
      <c r="F77" s="316" t="n"/>
      <c r="G77" s="317" t="n"/>
      <c r="H77" s="271">
        <f>IF(AND(ISNUMBER(F77),ISNUMBER(G77)),F77*G77,"")</f>
        <v/>
      </c>
      <c r="I77" s="316" t="n"/>
      <c r="J77" s="317" t="n"/>
      <c r="K77" s="271">
        <f>IF(AND(ISNUMBER(I77),ISNUMBER(J77)),I77*J77,"")</f>
        <v/>
      </c>
      <c r="L77" s="240">
        <f>IF(COUNT(F77,I77)=0,"",N(F77)-N(I77))</f>
        <v/>
      </c>
      <c r="M77" s="241">
        <f>IF(COUNT(H77,K77)=0,"",N(K77)-N(H77))</f>
        <v/>
      </c>
      <c r="N77" s="240">
        <f>IF(AND(ISNUMBER(F77),ISNUMBER(I77),ISNUMBER(H77),ISNUMBER(K77),F77&gt;0,I77&gt;0,H77&lt;&gt;0),IF(OR(COUNTIF(Торговля!$B$5:$B$300,$B77)+COUNTIF(Лэндинг!$B$5:$B$300,$B77)&gt;0,COUNTIF($B78:$B$301,$B77)&gt;0),0,ROUND(SUMPRODUCT(($B$5:$B$300=$B77)*(($F$5:$F$300+$I$5:$I$300-ABS($F$5:$F$300-$I$5:$I$300))/2)*($J$5:$J$300-$G$5:$G$300)),8)),"")</f>
        <v/>
      </c>
      <c r="O77" s="177">
        <f>IF(ISNUMBER(N77),IF(OR(COUNTIF(Торговля!$B$5:$B$300,$B77)+COUNTIF(Лэндинг!$B$5:$B$300,$B77)&gt;0,COUNTIF($B78:$B$301,$B77)&gt;0),0,IF(SUMPRODUCT(($B$5:$B$300=$B77)*(($F$5:$F$300+$I$5:$I$300-ABS($F$5:$F$300-$I$5:$I$300))/2)*$G$5:$G$300)&lt;=0,"",ROUND(N77/SUMPRODUCT(($B$5:$B$300=$B77)*(($F$5:$F$300+$I$5:$I$300-ABS($F$5:$F$300-$I$5:$I$300))/2)*$G$5:$G$300)*100,2))),"")</f>
        <v/>
      </c>
    </row>
    <row r="78" ht="22" customHeight="1">
      <c r="B78" s="318" t="n"/>
      <c r="C78" s="319" t="n"/>
      <c r="D78" s="318" t="n"/>
      <c r="E78" s="320" t="n"/>
      <c r="F78" s="321" t="n"/>
      <c r="G78" s="322" t="n"/>
      <c r="H78" s="271">
        <f>IF(AND(ISNUMBER(F78),ISNUMBER(G78)),F78*G78,"")</f>
        <v/>
      </c>
      <c r="I78" s="321" t="n"/>
      <c r="J78" s="322" t="n"/>
      <c r="K78" s="271">
        <f>IF(AND(ISNUMBER(I78),ISNUMBER(J78)),I78*J78,"")</f>
        <v/>
      </c>
      <c r="L78" s="246">
        <f>IF(COUNT(F78,I78)=0,"",N(F78)-N(I78))</f>
        <v/>
      </c>
      <c r="M78" s="247">
        <f>IF(COUNT(H78,K78)=0,"",N(K78)-N(H78))</f>
        <v/>
      </c>
      <c r="N78" s="246">
        <f>IF(AND(ISNUMBER(F78),ISNUMBER(I78),ISNUMBER(H78),ISNUMBER(K78),F78&gt;0,I78&gt;0,H78&lt;&gt;0),IF(OR(COUNTIF(Торговля!$B$5:$B$300,$B78)+COUNTIF(Лэндинг!$B$5:$B$300,$B78)&gt;0,COUNTIF($B79:$B$301,$B78)&gt;0),0,ROUND(SUMPRODUCT(($B$5:$B$300=$B78)*(($F$5:$F$300+$I$5:$I$300-ABS($F$5:$F$300-$I$5:$I$300))/2)*($J$5:$J$300-$G$5:$G$300)),8)),"")</f>
        <v/>
      </c>
      <c r="O78" s="183">
        <f>IF(ISNUMBER(N78),IF(OR(COUNTIF(Торговля!$B$5:$B$300,$B78)+COUNTIF(Лэндинг!$B$5:$B$300,$B78)&gt;0,COUNTIF($B79:$B$301,$B78)&gt;0),0,IF(SUMPRODUCT(($B$5:$B$300=$B78)*(($F$5:$F$300+$I$5:$I$300-ABS($F$5:$F$300-$I$5:$I$300))/2)*$G$5:$G$300)&lt;=0,"",ROUND(N78/SUMPRODUCT(($B$5:$B$300=$B78)*(($F$5:$F$300+$I$5:$I$300-ABS($F$5:$F$300-$I$5:$I$300))/2)*$G$5:$G$300)*100,2))),"")</f>
        <v/>
      </c>
    </row>
    <row r="79" ht="22" customHeight="1">
      <c r="B79" s="313" t="n"/>
      <c r="C79" s="314" t="n"/>
      <c r="D79" s="313" t="n"/>
      <c r="E79" s="315" t="n"/>
      <c r="F79" s="316" t="n"/>
      <c r="G79" s="317" t="n"/>
      <c r="H79" s="271">
        <f>IF(AND(ISNUMBER(F79),ISNUMBER(G79)),F79*G79,"")</f>
        <v/>
      </c>
      <c r="I79" s="316" t="n"/>
      <c r="J79" s="317" t="n"/>
      <c r="K79" s="271">
        <f>IF(AND(ISNUMBER(I79),ISNUMBER(J79)),I79*J79,"")</f>
        <v/>
      </c>
      <c r="L79" s="240">
        <f>IF(COUNT(F79,I79)=0,"",N(F79)-N(I79))</f>
        <v/>
      </c>
      <c r="M79" s="241">
        <f>IF(COUNT(H79,K79)=0,"",N(K79)-N(H79))</f>
        <v/>
      </c>
      <c r="N79" s="240">
        <f>IF(AND(ISNUMBER(F79),ISNUMBER(I79),ISNUMBER(H79),ISNUMBER(K79),F79&gt;0,I79&gt;0,H79&lt;&gt;0),IF(OR(COUNTIF(Торговля!$B$5:$B$300,$B79)+COUNTIF(Лэндинг!$B$5:$B$300,$B79)&gt;0,COUNTIF($B80:$B$301,$B79)&gt;0),0,ROUND(SUMPRODUCT(($B$5:$B$300=$B79)*(($F$5:$F$300+$I$5:$I$300-ABS($F$5:$F$300-$I$5:$I$300))/2)*($J$5:$J$300-$G$5:$G$300)),8)),"")</f>
        <v/>
      </c>
      <c r="O79" s="177">
        <f>IF(ISNUMBER(N79),IF(OR(COUNTIF(Торговля!$B$5:$B$300,$B79)+COUNTIF(Лэндинг!$B$5:$B$300,$B79)&gt;0,COUNTIF($B80:$B$301,$B79)&gt;0),0,IF(SUMPRODUCT(($B$5:$B$300=$B79)*(($F$5:$F$300+$I$5:$I$300-ABS($F$5:$F$300-$I$5:$I$300))/2)*$G$5:$G$300)&lt;=0,"",ROUND(N79/SUMPRODUCT(($B$5:$B$300=$B79)*(($F$5:$F$300+$I$5:$I$300-ABS($F$5:$F$300-$I$5:$I$300))/2)*$G$5:$G$300)*100,2))),"")</f>
        <v/>
      </c>
    </row>
    <row r="80" ht="22" customHeight="1">
      <c r="B80" s="318" t="n"/>
      <c r="C80" s="319" t="n"/>
      <c r="D80" s="318" t="n"/>
      <c r="E80" s="320" t="n"/>
      <c r="F80" s="321" t="n"/>
      <c r="G80" s="322" t="n"/>
      <c r="H80" s="271">
        <f>IF(AND(ISNUMBER(F80),ISNUMBER(G80)),F80*G80,"")</f>
        <v/>
      </c>
      <c r="I80" s="321" t="n"/>
      <c r="J80" s="322" t="n"/>
      <c r="K80" s="271">
        <f>IF(AND(ISNUMBER(I80),ISNUMBER(J80)),I80*J80,"")</f>
        <v/>
      </c>
      <c r="L80" s="246">
        <f>IF(COUNT(F80,I80)=0,"",N(F80)-N(I80))</f>
        <v/>
      </c>
      <c r="M80" s="247">
        <f>IF(COUNT(H80,K80)=0,"",N(K80)-N(H80))</f>
        <v/>
      </c>
      <c r="N80" s="246">
        <f>IF(AND(ISNUMBER(F80),ISNUMBER(I80),ISNUMBER(H80),ISNUMBER(K80),F80&gt;0,I80&gt;0,H80&lt;&gt;0),IF(OR(COUNTIF(Торговля!$B$5:$B$300,$B80)+COUNTIF(Лэндинг!$B$5:$B$300,$B80)&gt;0,COUNTIF($B81:$B$301,$B80)&gt;0),0,ROUND(SUMPRODUCT(($B$5:$B$300=$B80)*(($F$5:$F$300+$I$5:$I$300-ABS($F$5:$F$300-$I$5:$I$300))/2)*($J$5:$J$300-$G$5:$G$300)),8)),"")</f>
        <v/>
      </c>
      <c r="O80" s="183">
        <f>IF(ISNUMBER(N80),IF(OR(COUNTIF(Торговля!$B$5:$B$300,$B80)+COUNTIF(Лэндинг!$B$5:$B$300,$B80)&gt;0,COUNTIF($B81:$B$301,$B80)&gt;0),0,IF(SUMPRODUCT(($B$5:$B$300=$B80)*(($F$5:$F$300+$I$5:$I$300-ABS($F$5:$F$300-$I$5:$I$300))/2)*$G$5:$G$300)&lt;=0,"",ROUND(N80/SUMPRODUCT(($B$5:$B$300=$B80)*(($F$5:$F$300+$I$5:$I$300-ABS($F$5:$F$300-$I$5:$I$300))/2)*$G$5:$G$300)*100,2))),"")</f>
        <v/>
      </c>
    </row>
    <row r="81" ht="22" customHeight="1">
      <c r="B81" s="313" t="n"/>
      <c r="C81" s="314" t="n"/>
      <c r="D81" s="313" t="n"/>
      <c r="E81" s="315" t="n"/>
      <c r="F81" s="316" t="n"/>
      <c r="G81" s="317" t="n"/>
      <c r="H81" s="271">
        <f>IF(AND(ISNUMBER(F81),ISNUMBER(G81)),F81*G81,"")</f>
        <v/>
      </c>
      <c r="I81" s="316" t="n"/>
      <c r="J81" s="317" t="n"/>
      <c r="K81" s="271">
        <f>IF(AND(ISNUMBER(I81),ISNUMBER(J81)),I81*J81,"")</f>
        <v/>
      </c>
      <c r="L81" s="240">
        <f>IF(COUNT(F81,I81)=0,"",N(F81)-N(I81))</f>
        <v/>
      </c>
      <c r="M81" s="241">
        <f>IF(COUNT(H81,K81)=0,"",N(K81)-N(H81))</f>
        <v/>
      </c>
      <c r="N81" s="240">
        <f>IF(AND(ISNUMBER(F81),ISNUMBER(I81),ISNUMBER(H81),ISNUMBER(K81),F81&gt;0,I81&gt;0,H81&lt;&gt;0),IF(OR(COUNTIF(Торговля!$B$5:$B$300,$B81)+COUNTIF(Лэндинг!$B$5:$B$300,$B81)&gt;0,COUNTIF($B82:$B$301,$B81)&gt;0),0,ROUND(SUMPRODUCT(($B$5:$B$300=$B81)*(($F$5:$F$300+$I$5:$I$300-ABS($F$5:$F$300-$I$5:$I$300))/2)*($J$5:$J$300-$G$5:$G$300)),8)),"")</f>
        <v/>
      </c>
      <c r="O81" s="177">
        <f>IF(ISNUMBER(N81),IF(OR(COUNTIF(Торговля!$B$5:$B$300,$B81)+COUNTIF(Лэндинг!$B$5:$B$300,$B81)&gt;0,COUNTIF($B82:$B$301,$B81)&gt;0),0,IF(SUMPRODUCT(($B$5:$B$300=$B81)*(($F$5:$F$300+$I$5:$I$300-ABS($F$5:$F$300-$I$5:$I$300))/2)*$G$5:$G$300)&lt;=0,"",ROUND(N81/SUMPRODUCT(($B$5:$B$300=$B81)*(($F$5:$F$300+$I$5:$I$300-ABS($F$5:$F$300-$I$5:$I$300))/2)*$G$5:$G$300)*100,2))),"")</f>
        <v/>
      </c>
    </row>
    <row r="82" ht="22" customHeight="1">
      <c r="B82" s="318" t="n"/>
      <c r="C82" s="319" t="n"/>
      <c r="D82" s="318" t="n"/>
      <c r="E82" s="320" t="n"/>
      <c r="F82" s="321" t="n"/>
      <c r="G82" s="322" t="n"/>
      <c r="H82" s="271">
        <f>IF(AND(ISNUMBER(F82),ISNUMBER(G82)),F82*G82,"")</f>
        <v/>
      </c>
      <c r="I82" s="321" t="n"/>
      <c r="J82" s="322" t="n"/>
      <c r="K82" s="271">
        <f>IF(AND(ISNUMBER(I82),ISNUMBER(J82)),I82*J82,"")</f>
        <v/>
      </c>
      <c r="L82" s="246">
        <f>IF(COUNT(F82,I82)=0,"",N(F82)-N(I82))</f>
        <v/>
      </c>
      <c r="M82" s="247">
        <f>IF(COUNT(H82,K82)=0,"",N(K82)-N(H82))</f>
        <v/>
      </c>
      <c r="N82" s="246">
        <f>IF(AND(ISNUMBER(F82),ISNUMBER(I82),ISNUMBER(H82),ISNUMBER(K82),F82&gt;0,I82&gt;0,H82&lt;&gt;0),IF(OR(COUNTIF(Торговля!$B$5:$B$300,$B82)+COUNTIF(Лэндинг!$B$5:$B$300,$B82)&gt;0,COUNTIF($B83:$B$301,$B82)&gt;0),0,ROUND(SUMPRODUCT(($B$5:$B$300=$B82)*(($F$5:$F$300+$I$5:$I$300-ABS($F$5:$F$300-$I$5:$I$300))/2)*($J$5:$J$300-$G$5:$G$300)),8)),"")</f>
        <v/>
      </c>
      <c r="O82" s="183">
        <f>IF(ISNUMBER(N82),IF(OR(COUNTIF(Торговля!$B$5:$B$300,$B82)+COUNTIF(Лэндинг!$B$5:$B$300,$B82)&gt;0,COUNTIF($B83:$B$301,$B82)&gt;0),0,IF(SUMPRODUCT(($B$5:$B$300=$B82)*(($F$5:$F$300+$I$5:$I$300-ABS($F$5:$F$300-$I$5:$I$300))/2)*$G$5:$G$300)&lt;=0,"",ROUND(N82/SUMPRODUCT(($B$5:$B$300=$B82)*(($F$5:$F$300+$I$5:$I$300-ABS($F$5:$F$300-$I$5:$I$300))/2)*$G$5:$G$300)*100,2))),"")</f>
        <v/>
      </c>
    </row>
    <row r="83" ht="22" customHeight="1">
      <c r="B83" s="313" t="n"/>
      <c r="C83" s="314" t="n"/>
      <c r="D83" s="313" t="n"/>
      <c r="E83" s="315" t="n"/>
      <c r="F83" s="316" t="n"/>
      <c r="G83" s="317" t="n"/>
      <c r="H83" s="271">
        <f>IF(AND(ISNUMBER(F83),ISNUMBER(G83)),F83*G83,"")</f>
        <v/>
      </c>
      <c r="I83" s="316" t="n"/>
      <c r="J83" s="317" t="n"/>
      <c r="K83" s="271">
        <f>IF(AND(ISNUMBER(I83),ISNUMBER(J83)),I83*J83,"")</f>
        <v/>
      </c>
      <c r="L83" s="240">
        <f>IF(COUNT(F83,I83)=0,"",N(F83)-N(I83))</f>
        <v/>
      </c>
      <c r="M83" s="241">
        <f>IF(COUNT(H83,K83)=0,"",N(K83)-N(H83))</f>
        <v/>
      </c>
      <c r="N83" s="240">
        <f>IF(AND(ISNUMBER(F83),ISNUMBER(I83),ISNUMBER(H83),ISNUMBER(K83),F83&gt;0,I83&gt;0,H83&lt;&gt;0),IF(OR(COUNTIF(Торговля!$B$5:$B$300,$B83)+COUNTIF(Лэндинг!$B$5:$B$300,$B83)&gt;0,COUNTIF($B84:$B$301,$B83)&gt;0),0,ROUND(SUMPRODUCT(($B$5:$B$300=$B83)*(($F$5:$F$300+$I$5:$I$300-ABS($F$5:$F$300-$I$5:$I$300))/2)*($J$5:$J$300-$G$5:$G$300)),8)),"")</f>
        <v/>
      </c>
      <c r="O83" s="177">
        <f>IF(ISNUMBER(N83),IF(OR(COUNTIF(Торговля!$B$5:$B$300,$B83)+COUNTIF(Лэндинг!$B$5:$B$300,$B83)&gt;0,COUNTIF($B84:$B$301,$B83)&gt;0),0,IF(SUMPRODUCT(($B$5:$B$300=$B83)*(($F$5:$F$300+$I$5:$I$300-ABS($F$5:$F$300-$I$5:$I$300))/2)*$G$5:$G$300)&lt;=0,"",ROUND(N83/SUMPRODUCT(($B$5:$B$300=$B83)*(($F$5:$F$300+$I$5:$I$300-ABS($F$5:$F$300-$I$5:$I$300))/2)*$G$5:$G$300)*100,2))),"")</f>
        <v/>
      </c>
    </row>
    <row r="84" ht="22" customHeight="1">
      <c r="B84" s="318" t="n"/>
      <c r="C84" s="319" t="n"/>
      <c r="D84" s="318" t="n"/>
      <c r="E84" s="320" t="n"/>
      <c r="F84" s="321" t="n"/>
      <c r="G84" s="322" t="n"/>
      <c r="H84" s="271">
        <f>IF(AND(ISNUMBER(F84),ISNUMBER(G84)),F84*G84,"")</f>
        <v/>
      </c>
      <c r="I84" s="321" t="n"/>
      <c r="J84" s="322" t="n"/>
      <c r="K84" s="271">
        <f>IF(AND(ISNUMBER(I84),ISNUMBER(J84)),I84*J84,"")</f>
        <v/>
      </c>
      <c r="L84" s="246">
        <f>IF(COUNT(F84,I84)=0,"",N(F84)-N(I84))</f>
        <v/>
      </c>
      <c r="M84" s="247">
        <f>IF(COUNT(H84,K84)=0,"",N(K84)-N(H84))</f>
        <v/>
      </c>
      <c r="N84" s="246">
        <f>IF(AND(ISNUMBER(F84),ISNUMBER(I84),ISNUMBER(H84),ISNUMBER(K84),F84&gt;0,I84&gt;0,H84&lt;&gt;0),IF(OR(COUNTIF(Торговля!$B$5:$B$300,$B84)+COUNTIF(Лэндинг!$B$5:$B$300,$B84)&gt;0,COUNTIF($B85:$B$301,$B84)&gt;0),0,ROUND(SUMPRODUCT(($B$5:$B$300=$B84)*(($F$5:$F$300+$I$5:$I$300-ABS($F$5:$F$300-$I$5:$I$300))/2)*($J$5:$J$300-$G$5:$G$300)),8)),"")</f>
        <v/>
      </c>
      <c r="O84" s="183">
        <f>IF(ISNUMBER(N84),IF(OR(COUNTIF(Торговля!$B$5:$B$300,$B84)+COUNTIF(Лэндинг!$B$5:$B$300,$B84)&gt;0,COUNTIF($B85:$B$301,$B84)&gt;0),0,IF(SUMPRODUCT(($B$5:$B$300=$B84)*(($F$5:$F$300+$I$5:$I$300-ABS($F$5:$F$300-$I$5:$I$300))/2)*$G$5:$G$300)&lt;=0,"",ROUND(N84/SUMPRODUCT(($B$5:$B$300=$B84)*(($F$5:$F$300+$I$5:$I$300-ABS($F$5:$F$300-$I$5:$I$300))/2)*$G$5:$G$300)*100,2))),"")</f>
        <v/>
      </c>
    </row>
    <row r="85" ht="22" customHeight="1">
      <c r="B85" s="313" t="n"/>
      <c r="C85" s="314" t="n"/>
      <c r="D85" s="313" t="n"/>
      <c r="E85" s="315" t="n"/>
      <c r="F85" s="316" t="n"/>
      <c r="G85" s="317" t="n"/>
      <c r="H85" s="271">
        <f>IF(AND(ISNUMBER(F85),ISNUMBER(G85)),F85*G85,"")</f>
        <v/>
      </c>
      <c r="I85" s="316" t="n"/>
      <c r="J85" s="317" t="n"/>
      <c r="K85" s="271">
        <f>IF(AND(ISNUMBER(I85),ISNUMBER(J85)),I85*J85,"")</f>
        <v/>
      </c>
      <c r="L85" s="240">
        <f>IF(COUNT(F85,I85)=0,"",N(F85)-N(I85))</f>
        <v/>
      </c>
      <c r="M85" s="241">
        <f>IF(COUNT(H85,K85)=0,"",N(K85)-N(H85))</f>
        <v/>
      </c>
      <c r="N85" s="240">
        <f>IF(AND(ISNUMBER(F85),ISNUMBER(I85),ISNUMBER(H85),ISNUMBER(K85),F85&gt;0,I85&gt;0,H85&lt;&gt;0),IF(OR(COUNTIF(Торговля!$B$5:$B$300,$B85)+COUNTIF(Лэндинг!$B$5:$B$300,$B85)&gt;0,COUNTIF($B86:$B$301,$B85)&gt;0),0,ROUND(SUMPRODUCT(($B$5:$B$300=$B85)*(($F$5:$F$300+$I$5:$I$300-ABS($F$5:$F$300-$I$5:$I$300))/2)*($J$5:$J$300-$G$5:$G$300)),8)),"")</f>
        <v/>
      </c>
      <c r="O85" s="177">
        <f>IF(ISNUMBER(N85),IF(OR(COUNTIF(Торговля!$B$5:$B$300,$B85)+COUNTIF(Лэндинг!$B$5:$B$300,$B85)&gt;0,COUNTIF($B86:$B$301,$B85)&gt;0),0,IF(SUMPRODUCT(($B$5:$B$300=$B85)*(($F$5:$F$300+$I$5:$I$300-ABS($F$5:$F$300-$I$5:$I$300))/2)*$G$5:$G$300)&lt;=0,"",ROUND(N85/SUMPRODUCT(($B$5:$B$300=$B85)*(($F$5:$F$300+$I$5:$I$300-ABS($F$5:$F$300-$I$5:$I$300))/2)*$G$5:$G$300)*100,2))),"")</f>
        <v/>
      </c>
    </row>
    <row r="86" ht="22" customHeight="1">
      <c r="B86" s="318" t="n"/>
      <c r="C86" s="319" t="n"/>
      <c r="D86" s="318" t="n"/>
      <c r="E86" s="320" t="n"/>
      <c r="F86" s="321" t="n"/>
      <c r="G86" s="322" t="n"/>
      <c r="H86" s="271">
        <f>IF(AND(ISNUMBER(F86),ISNUMBER(G86)),F86*G86,"")</f>
        <v/>
      </c>
      <c r="I86" s="321" t="n"/>
      <c r="J86" s="322" t="n"/>
      <c r="K86" s="271">
        <f>IF(AND(ISNUMBER(I86),ISNUMBER(J86)),I86*J86,"")</f>
        <v/>
      </c>
      <c r="L86" s="246">
        <f>IF(COUNT(F86,I86)=0,"",N(F86)-N(I86))</f>
        <v/>
      </c>
      <c r="M86" s="247">
        <f>IF(COUNT(H86,K86)=0,"",N(K86)-N(H86))</f>
        <v/>
      </c>
      <c r="N86" s="246">
        <f>IF(AND(ISNUMBER(F86),ISNUMBER(I86),ISNUMBER(H86),ISNUMBER(K86),F86&gt;0,I86&gt;0,H86&lt;&gt;0),IF(OR(COUNTIF(Торговля!$B$5:$B$300,$B86)+COUNTIF(Лэндинг!$B$5:$B$300,$B86)&gt;0,COUNTIF($B87:$B$301,$B86)&gt;0),0,ROUND(SUMPRODUCT(($B$5:$B$300=$B86)*(($F$5:$F$300+$I$5:$I$300-ABS($F$5:$F$300-$I$5:$I$300))/2)*($J$5:$J$300-$G$5:$G$300)),8)),"")</f>
        <v/>
      </c>
      <c r="O86" s="183">
        <f>IF(ISNUMBER(N86),IF(OR(COUNTIF(Торговля!$B$5:$B$300,$B86)+COUNTIF(Лэндинг!$B$5:$B$300,$B86)&gt;0,COUNTIF($B87:$B$301,$B86)&gt;0),0,IF(SUMPRODUCT(($B$5:$B$300=$B86)*(($F$5:$F$300+$I$5:$I$300-ABS($F$5:$F$300-$I$5:$I$300))/2)*$G$5:$G$300)&lt;=0,"",ROUND(N86/SUMPRODUCT(($B$5:$B$300=$B86)*(($F$5:$F$300+$I$5:$I$300-ABS($F$5:$F$300-$I$5:$I$300))/2)*$G$5:$G$300)*100,2))),"")</f>
        <v/>
      </c>
    </row>
    <row r="87" ht="22" customHeight="1">
      <c r="B87" s="313" t="n"/>
      <c r="C87" s="314" t="n"/>
      <c r="D87" s="313" t="n"/>
      <c r="E87" s="315" t="n"/>
      <c r="F87" s="316" t="n"/>
      <c r="G87" s="317" t="n"/>
      <c r="H87" s="271">
        <f>IF(AND(ISNUMBER(F87),ISNUMBER(G87)),F87*G87,"")</f>
        <v/>
      </c>
      <c r="I87" s="316" t="n"/>
      <c r="J87" s="317" t="n"/>
      <c r="K87" s="271">
        <f>IF(AND(ISNUMBER(I87),ISNUMBER(J87)),I87*J87,"")</f>
        <v/>
      </c>
      <c r="L87" s="240">
        <f>IF(COUNT(F87,I87)=0,"",N(F87)-N(I87))</f>
        <v/>
      </c>
      <c r="M87" s="241">
        <f>IF(COUNT(H87,K87)=0,"",N(K87)-N(H87))</f>
        <v/>
      </c>
      <c r="N87" s="240">
        <f>IF(AND(ISNUMBER(F87),ISNUMBER(I87),ISNUMBER(H87),ISNUMBER(K87),F87&gt;0,I87&gt;0,H87&lt;&gt;0),IF(OR(COUNTIF(Торговля!$B$5:$B$300,$B87)+COUNTIF(Лэндинг!$B$5:$B$300,$B87)&gt;0,COUNTIF($B88:$B$301,$B87)&gt;0),0,ROUND(SUMPRODUCT(($B$5:$B$300=$B87)*(($F$5:$F$300+$I$5:$I$300-ABS($F$5:$F$300-$I$5:$I$300))/2)*($J$5:$J$300-$G$5:$G$300)),8)),"")</f>
        <v/>
      </c>
      <c r="O87" s="177">
        <f>IF(ISNUMBER(N87),IF(OR(COUNTIF(Торговля!$B$5:$B$300,$B87)+COUNTIF(Лэндинг!$B$5:$B$300,$B87)&gt;0,COUNTIF($B88:$B$301,$B87)&gt;0),0,IF(SUMPRODUCT(($B$5:$B$300=$B87)*(($F$5:$F$300+$I$5:$I$300-ABS($F$5:$F$300-$I$5:$I$300))/2)*$G$5:$G$300)&lt;=0,"",ROUND(N87/SUMPRODUCT(($B$5:$B$300=$B87)*(($F$5:$F$300+$I$5:$I$300-ABS($F$5:$F$300-$I$5:$I$300))/2)*$G$5:$G$300)*100,2))),"")</f>
        <v/>
      </c>
    </row>
    <row r="88" ht="22" customHeight="1">
      <c r="B88" s="318" t="n"/>
      <c r="C88" s="319" t="n"/>
      <c r="D88" s="318" t="n"/>
      <c r="E88" s="320" t="n"/>
      <c r="F88" s="321" t="n"/>
      <c r="G88" s="322" t="n"/>
      <c r="H88" s="271">
        <f>IF(AND(ISNUMBER(F88),ISNUMBER(G88)),F88*G88,"")</f>
        <v/>
      </c>
      <c r="I88" s="321" t="n"/>
      <c r="J88" s="322" t="n"/>
      <c r="K88" s="271">
        <f>IF(AND(ISNUMBER(I88),ISNUMBER(J88)),I88*J88,"")</f>
        <v/>
      </c>
      <c r="L88" s="246">
        <f>IF(COUNT(F88,I88)=0,"",N(F88)-N(I88))</f>
        <v/>
      </c>
      <c r="M88" s="247">
        <f>IF(COUNT(H88,K88)=0,"",N(K88)-N(H88))</f>
        <v/>
      </c>
      <c r="N88" s="246">
        <f>IF(AND(ISNUMBER(F88),ISNUMBER(I88),ISNUMBER(H88),ISNUMBER(K88),F88&gt;0,I88&gt;0,H88&lt;&gt;0),IF(OR(COUNTIF(Торговля!$B$5:$B$300,$B88)+COUNTIF(Лэндинг!$B$5:$B$300,$B88)&gt;0,COUNTIF($B89:$B$301,$B88)&gt;0),0,ROUND(SUMPRODUCT(($B$5:$B$300=$B88)*(($F$5:$F$300+$I$5:$I$300-ABS($F$5:$F$300-$I$5:$I$300))/2)*($J$5:$J$300-$G$5:$G$300)),8)),"")</f>
        <v/>
      </c>
      <c r="O88" s="183">
        <f>IF(ISNUMBER(N88),IF(OR(COUNTIF(Торговля!$B$5:$B$300,$B88)+COUNTIF(Лэндинг!$B$5:$B$300,$B88)&gt;0,COUNTIF($B89:$B$301,$B88)&gt;0),0,IF(SUMPRODUCT(($B$5:$B$300=$B88)*(($F$5:$F$300+$I$5:$I$300-ABS($F$5:$F$300-$I$5:$I$300))/2)*$G$5:$G$300)&lt;=0,"",ROUND(N88/SUMPRODUCT(($B$5:$B$300=$B88)*(($F$5:$F$300+$I$5:$I$300-ABS($F$5:$F$300-$I$5:$I$300))/2)*$G$5:$G$300)*100,2))),"")</f>
        <v/>
      </c>
    </row>
    <row r="89" ht="22" customHeight="1">
      <c r="B89" s="313" t="n"/>
      <c r="C89" s="314" t="n"/>
      <c r="D89" s="313" t="n"/>
      <c r="E89" s="315" t="n"/>
      <c r="F89" s="316" t="n"/>
      <c r="G89" s="317" t="n"/>
      <c r="H89" s="271">
        <f>IF(AND(ISNUMBER(F89),ISNUMBER(G89)),F89*G89,"")</f>
        <v/>
      </c>
      <c r="I89" s="316" t="n"/>
      <c r="J89" s="317" t="n"/>
      <c r="K89" s="271">
        <f>IF(AND(ISNUMBER(I89),ISNUMBER(J89)),I89*J89,"")</f>
        <v/>
      </c>
      <c r="L89" s="240">
        <f>IF(COUNT(F89,I89)=0,"",N(F89)-N(I89))</f>
        <v/>
      </c>
      <c r="M89" s="241">
        <f>IF(COUNT(H89,K89)=0,"",N(K89)-N(H89))</f>
        <v/>
      </c>
      <c r="N89" s="240">
        <f>IF(AND(ISNUMBER(F89),ISNUMBER(I89),ISNUMBER(H89),ISNUMBER(K89),F89&gt;0,I89&gt;0,H89&lt;&gt;0),IF(OR(COUNTIF(Торговля!$B$5:$B$300,$B89)+COUNTIF(Лэндинг!$B$5:$B$300,$B89)&gt;0,COUNTIF($B90:$B$301,$B89)&gt;0),0,ROUND(SUMPRODUCT(($B$5:$B$300=$B89)*(($F$5:$F$300+$I$5:$I$300-ABS($F$5:$F$300-$I$5:$I$300))/2)*($J$5:$J$300-$G$5:$G$300)),8)),"")</f>
        <v/>
      </c>
      <c r="O89" s="177">
        <f>IF(ISNUMBER(N89),IF(OR(COUNTIF(Торговля!$B$5:$B$300,$B89)+COUNTIF(Лэндинг!$B$5:$B$300,$B89)&gt;0,COUNTIF($B90:$B$301,$B89)&gt;0),0,IF(SUMPRODUCT(($B$5:$B$300=$B89)*(($F$5:$F$300+$I$5:$I$300-ABS($F$5:$F$300-$I$5:$I$300))/2)*$G$5:$G$300)&lt;=0,"",ROUND(N89/SUMPRODUCT(($B$5:$B$300=$B89)*(($F$5:$F$300+$I$5:$I$300-ABS($F$5:$F$300-$I$5:$I$300))/2)*$G$5:$G$300)*100,2))),"")</f>
        <v/>
      </c>
    </row>
    <row r="90" ht="22" customHeight="1">
      <c r="B90" s="318" t="n"/>
      <c r="C90" s="319" t="n"/>
      <c r="D90" s="318" t="n"/>
      <c r="E90" s="320" t="n"/>
      <c r="F90" s="321" t="n"/>
      <c r="G90" s="322" t="n"/>
      <c r="H90" s="271">
        <f>IF(AND(ISNUMBER(F90),ISNUMBER(G90)),F90*G90,"")</f>
        <v/>
      </c>
      <c r="I90" s="321" t="n"/>
      <c r="J90" s="322" t="n"/>
      <c r="K90" s="271">
        <f>IF(AND(ISNUMBER(I90),ISNUMBER(J90)),I90*J90,"")</f>
        <v/>
      </c>
      <c r="L90" s="246">
        <f>IF(COUNT(F90,I90)=0,"",N(F90)-N(I90))</f>
        <v/>
      </c>
      <c r="M90" s="247">
        <f>IF(COUNT(H90,K90)=0,"",N(K90)-N(H90))</f>
        <v/>
      </c>
      <c r="N90" s="246">
        <f>IF(AND(ISNUMBER(F90),ISNUMBER(I90),ISNUMBER(H90),ISNUMBER(K90),F90&gt;0,I90&gt;0,H90&lt;&gt;0),IF(OR(COUNTIF(Торговля!$B$5:$B$300,$B90)+COUNTIF(Лэндинг!$B$5:$B$300,$B90)&gt;0,COUNTIF($B91:$B$301,$B90)&gt;0),0,ROUND(SUMPRODUCT(($B$5:$B$300=$B90)*(($F$5:$F$300+$I$5:$I$300-ABS($F$5:$F$300-$I$5:$I$300))/2)*($J$5:$J$300-$G$5:$G$300)),8)),"")</f>
        <v/>
      </c>
      <c r="O90" s="183">
        <f>IF(ISNUMBER(N90),IF(OR(COUNTIF(Торговля!$B$5:$B$300,$B90)+COUNTIF(Лэндинг!$B$5:$B$300,$B90)&gt;0,COUNTIF($B91:$B$301,$B90)&gt;0),0,IF(SUMPRODUCT(($B$5:$B$300=$B90)*(($F$5:$F$300+$I$5:$I$300-ABS($F$5:$F$300-$I$5:$I$300))/2)*$G$5:$G$300)&lt;=0,"",ROUND(N90/SUMPRODUCT(($B$5:$B$300=$B90)*(($F$5:$F$300+$I$5:$I$300-ABS($F$5:$F$300-$I$5:$I$300))/2)*$G$5:$G$300)*100,2))),"")</f>
        <v/>
      </c>
    </row>
    <row r="91" ht="22" customHeight="1">
      <c r="B91" s="313" t="n"/>
      <c r="C91" s="314" t="n"/>
      <c r="D91" s="313" t="n"/>
      <c r="E91" s="315" t="n"/>
      <c r="F91" s="316" t="n"/>
      <c r="G91" s="317" t="n"/>
      <c r="H91" s="271">
        <f>IF(AND(ISNUMBER(F91),ISNUMBER(G91)),F91*G91,"")</f>
        <v/>
      </c>
      <c r="I91" s="316" t="n"/>
      <c r="J91" s="317" t="n"/>
      <c r="K91" s="271">
        <f>IF(AND(ISNUMBER(I91),ISNUMBER(J91)),I91*J91,"")</f>
        <v/>
      </c>
      <c r="L91" s="240">
        <f>IF(COUNT(F91,I91)=0,"",N(F91)-N(I91))</f>
        <v/>
      </c>
      <c r="M91" s="241">
        <f>IF(COUNT(H91,K91)=0,"",N(K91)-N(H91))</f>
        <v/>
      </c>
      <c r="N91" s="240">
        <f>IF(AND(ISNUMBER(F91),ISNUMBER(I91),ISNUMBER(H91),ISNUMBER(K91),F91&gt;0,I91&gt;0,H91&lt;&gt;0),IF(OR(COUNTIF(Торговля!$B$5:$B$300,$B91)+COUNTIF(Лэндинг!$B$5:$B$300,$B91)&gt;0,COUNTIF($B92:$B$301,$B91)&gt;0),0,ROUND(SUMPRODUCT(($B$5:$B$300=$B91)*(($F$5:$F$300+$I$5:$I$300-ABS($F$5:$F$300-$I$5:$I$300))/2)*($J$5:$J$300-$G$5:$G$300)),8)),"")</f>
        <v/>
      </c>
      <c r="O91" s="177">
        <f>IF(ISNUMBER(N91),IF(OR(COUNTIF(Торговля!$B$5:$B$300,$B91)+COUNTIF(Лэндинг!$B$5:$B$300,$B91)&gt;0,COUNTIF($B92:$B$301,$B91)&gt;0),0,IF(SUMPRODUCT(($B$5:$B$300=$B91)*(($F$5:$F$300+$I$5:$I$300-ABS($F$5:$F$300-$I$5:$I$300))/2)*$G$5:$G$300)&lt;=0,"",ROUND(N91/SUMPRODUCT(($B$5:$B$300=$B91)*(($F$5:$F$300+$I$5:$I$300-ABS($F$5:$F$300-$I$5:$I$300))/2)*$G$5:$G$300)*100,2))),"")</f>
        <v/>
      </c>
    </row>
    <row r="92" ht="22" customHeight="1">
      <c r="B92" s="318" t="n"/>
      <c r="C92" s="319" t="n"/>
      <c r="D92" s="318" t="n"/>
      <c r="E92" s="320" t="n"/>
      <c r="F92" s="321" t="n"/>
      <c r="G92" s="322" t="n"/>
      <c r="H92" s="271">
        <f>IF(AND(ISNUMBER(F92),ISNUMBER(G92)),F92*G92,"")</f>
        <v/>
      </c>
      <c r="I92" s="321" t="n"/>
      <c r="J92" s="322" t="n"/>
      <c r="K92" s="271">
        <f>IF(AND(ISNUMBER(I92),ISNUMBER(J92)),I92*J92,"")</f>
        <v/>
      </c>
      <c r="L92" s="246">
        <f>IF(COUNT(F92,I92)=0,"",N(F92)-N(I92))</f>
        <v/>
      </c>
      <c r="M92" s="247">
        <f>IF(COUNT(H92,K92)=0,"",N(K92)-N(H92))</f>
        <v/>
      </c>
      <c r="N92" s="246">
        <f>IF(AND(ISNUMBER(F92),ISNUMBER(I92),ISNUMBER(H92),ISNUMBER(K92),F92&gt;0,I92&gt;0,H92&lt;&gt;0),IF(OR(COUNTIF(Торговля!$B$5:$B$300,$B92)+COUNTIF(Лэндинг!$B$5:$B$300,$B92)&gt;0,COUNTIF($B93:$B$301,$B92)&gt;0),0,ROUND(SUMPRODUCT(($B$5:$B$300=$B92)*(($F$5:$F$300+$I$5:$I$300-ABS($F$5:$F$300-$I$5:$I$300))/2)*($J$5:$J$300-$G$5:$G$300)),8)),"")</f>
        <v/>
      </c>
      <c r="O92" s="183">
        <f>IF(ISNUMBER(N92),IF(OR(COUNTIF(Торговля!$B$5:$B$300,$B92)+COUNTIF(Лэндинг!$B$5:$B$300,$B92)&gt;0,COUNTIF($B93:$B$301,$B92)&gt;0),0,IF(SUMPRODUCT(($B$5:$B$300=$B92)*(($F$5:$F$300+$I$5:$I$300-ABS($F$5:$F$300-$I$5:$I$300))/2)*$G$5:$G$300)&lt;=0,"",ROUND(N92/SUMPRODUCT(($B$5:$B$300=$B92)*(($F$5:$F$300+$I$5:$I$300-ABS($F$5:$F$300-$I$5:$I$300))/2)*$G$5:$G$300)*100,2))),"")</f>
        <v/>
      </c>
    </row>
    <row r="93" ht="22" customHeight="1">
      <c r="B93" s="313" t="n"/>
      <c r="C93" s="314" t="n"/>
      <c r="D93" s="313" t="n"/>
      <c r="E93" s="315" t="n"/>
      <c r="F93" s="316" t="n"/>
      <c r="G93" s="317" t="n"/>
      <c r="H93" s="271">
        <f>IF(AND(ISNUMBER(F93),ISNUMBER(G93)),F93*G93,"")</f>
        <v/>
      </c>
      <c r="I93" s="316" t="n"/>
      <c r="J93" s="317" t="n"/>
      <c r="K93" s="271">
        <f>IF(AND(ISNUMBER(I93),ISNUMBER(J93)),I93*J93,"")</f>
        <v/>
      </c>
      <c r="L93" s="240">
        <f>IF(COUNT(F93,I93)=0,"",N(F93)-N(I93))</f>
        <v/>
      </c>
      <c r="M93" s="241">
        <f>IF(COUNT(H93,K93)=0,"",N(K93)-N(H93))</f>
        <v/>
      </c>
      <c r="N93" s="240">
        <f>IF(AND(ISNUMBER(F93),ISNUMBER(I93),ISNUMBER(H93),ISNUMBER(K93),F93&gt;0,I93&gt;0,H93&lt;&gt;0),IF(OR(COUNTIF(Торговля!$B$5:$B$300,$B93)+COUNTIF(Лэндинг!$B$5:$B$300,$B93)&gt;0,COUNTIF($B94:$B$301,$B93)&gt;0),0,ROUND(SUMPRODUCT(($B$5:$B$300=$B93)*(($F$5:$F$300+$I$5:$I$300-ABS($F$5:$F$300-$I$5:$I$300))/2)*($J$5:$J$300-$G$5:$G$300)),8)),"")</f>
        <v/>
      </c>
      <c r="O93" s="177">
        <f>IF(ISNUMBER(N93),IF(OR(COUNTIF(Торговля!$B$5:$B$300,$B93)+COUNTIF(Лэндинг!$B$5:$B$300,$B93)&gt;0,COUNTIF($B94:$B$301,$B93)&gt;0),0,IF(SUMPRODUCT(($B$5:$B$300=$B93)*(($F$5:$F$300+$I$5:$I$300-ABS($F$5:$F$300-$I$5:$I$300))/2)*$G$5:$G$300)&lt;=0,"",ROUND(N93/SUMPRODUCT(($B$5:$B$300=$B93)*(($F$5:$F$300+$I$5:$I$300-ABS($F$5:$F$300-$I$5:$I$300))/2)*$G$5:$G$300)*100,2))),"")</f>
        <v/>
      </c>
    </row>
    <row r="94" ht="22" customHeight="1">
      <c r="B94" s="318" t="n"/>
      <c r="C94" s="319" t="n"/>
      <c r="D94" s="318" t="n"/>
      <c r="E94" s="320" t="n"/>
      <c r="F94" s="321" t="n"/>
      <c r="G94" s="322" t="n"/>
      <c r="H94" s="271">
        <f>IF(AND(ISNUMBER(F94),ISNUMBER(G94)),F94*G94,"")</f>
        <v/>
      </c>
      <c r="I94" s="321" t="n"/>
      <c r="J94" s="322" t="n"/>
      <c r="K94" s="271">
        <f>IF(AND(ISNUMBER(I94),ISNUMBER(J94)),I94*J94,"")</f>
        <v/>
      </c>
      <c r="L94" s="246">
        <f>IF(COUNT(F94,I94)=0,"",N(F94)-N(I94))</f>
        <v/>
      </c>
      <c r="M94" s="247">
        <f>IF(COUNT(H94,K94)=0,"",N(K94)-N(H94))</f>
        <v/>
      </c>
      <c r="N94" s="246">
        <f>IF(AND(ISNUMBER(F94),ISNUMBER(I94),ISNUMBER(H94),ISNUMBER(K94),F94&gt;0,I94&gt;0,H94&lt;&gt;0),IF(OR(COUNTIF(Торговля!$B$5:$B$300,$B94)+COUNTIF(Лэндинг!$B$5:$B$300,$B94)&gt;0,COUNTIF($B95:$B$301,$B94)&gt;0),0,ROUND(SUMPRODUCT(($B$5:$B$300=$B94)*(($F$5:$F$300+$I$5:$I$300-ABS($F$5:$F$300-$I$5:$I$300))/2)*($J$5:$J$300-$G$5:$G$300)),8)),"")</f>
        <v/>
      </c>
      <c r="O94" s="183">
        <f>IF(ISNUMBER(N94),IF(OR(COUNTIF(Торговля!$B$5:$B$300,$B94)+COUNTIF(Лэндинг!$B$5:$B$300,$B94)&gt;0,COUNTIF($B95:$B$301,$B94)&gt;0),0,IF(SUMPRODUCT(($B$5:$B$300=$B94)*(($F$5:$F$300+$I$5:$I$300-ABS($F$5:$F$300-$I$5:$I$300))/2)*$G$5:$G$300)&lt;=0,"",ROUND(N94/SUMPRODUCT(($B$5:$B$300=$B94)*(($F$5:$F$300+$I$5:$I$300-ABS($F$5:$F$300-$I$5:$I$300))/2)*$G$5:$G$300)*100,2))),"")</f>
        <v/>
      </c>
    </row>
    <row r="95" ht="22" customHeight="1">
      <c r="B95" s="313" t="n"/>
      <c r="C95" s="314" t="n"/>
      <c r="D95" s="313" t="n"/>
      <c r="E95" s="315" t="n"/>
      <c r="F95" s="316" t="n"/>
      <c r="G95" s="317" t="n"/>
      <c r="H95" s="271">
        <f>IF(AND(ISNUMBER(F95),ISNUMBER(G95)),F95*G95,"")</f>
        <v/>
      </c>
      <c r="I95" s="316" t="n"/>
      <c r="J95" s="317" t="n"/>
      <c r="K95" s="271">
        <f>IF(AND(ISNUMBER(I95),ISNUMBER(J95)),I95*J95,"")</f>
        <v/>
      </c>
      <c r="L95" s="240">
        <f>IF(COUNT(F95,I95)=0,"",N(F95)-N(I95))</f>
        <v/>
      </c>
      <c r="M95" s="241">
        <f>IF(COUNT(H95,K95)=0,"",N(K95)-N(H95))</f>
        <v/>
      </c>
      <c r="N95" s="240">
        <f>IF(AND(ISNUMBER(F95),ISNUMBER(I95),ISNUMBER(H95),ISNUMBER(K95),F95&gt;0,I95&gt;0,H95&lt;&gt;0),IF(OR(COUNTIF(Торговля!$B$5:$B$300,$B95)+COUNTIF(Лэндинг!$B$5:$B$300,$B95)&gt;0,COUNTIF($B96:$B$301,$B95)&gt;0),0,ROUND(SUMPRODUCT(($B$5:$B$300=$B95)*(($F$5:$F$300+$I$5:$I$300-ABS($F$5:$F$300-$I$5:$I$300))/2)*($J$5:$J$300-$G$5:$G$300)),8)),"")</f>
        <v/>
      </c>
      <c r="O95" s="177">
        <f>IF(ISNUMBER(N95),IF(OR(COUNTIF(Торговля!$B$5:$B$300,$B95)+COUNTIF(Лэндинг!$B$5:$B$300,$B95)&gt;0,COUNTIF($B96:$B$301,$B95)&gt;0),0,IF(SUMPRODUCT(($B$5:$B$300=$B95)*(($F$5:$F$300+$I$5:$I$300-ABS($F$5:$F$300-$I$5:$I$300))/2)*$G$5:$G$300)&lt;=0,"",ROUND(N95/SUMPRODUCT(($B$5:$B$300=$B95)*(($F$5:$F$300+$I$5:$I$300-ABS($F$5:$F$300-$I$5:$I$300))/2)*$G$5:$G$300)*100,2))),"")</f>
        <v/>
      </c>
    </row>
    <row r="96" ht="22" customHeight="1">
      <c r="B96" s="318" t="n"/>
      <c r="C96" s="319" t="n"/>
      <c r="D96" s="318" t="n"/>
      <c r="E96" s="320" t="n"/>
      <c r="F96" s="321" t="n"/>
      <c r="G96" s="322" t="n"/>
      <c r="H96" s="271">
        <f>IF(AND(ISNUMBER(F96),ISNUMBER(G96)),F96*G96,"")</f>
        <v/>
      </c>
      <c r="I96" s="321" t="n"/>
      <c r="J96" s="322" t="n"/>
      <c r="K96" s="271">
        <f>IF(AND(ISNUMBER(I96),ISNUMBER(J96)),I96*J96,"")</f>
        <v/>
      </c>
      <c r="L96" s="246">
        <f>IF(COUNT(F96,I96)=0,"",N(F96)-N(I96))</f>
        <v/>
      </c>
      <c r="M96" s="247">
        <f>IF(COUNT(H96,K96)=0,"",N(K96)-N(H96))</f>
        <v/>
      </c>
      <c r="N96" s="246">
        <f>IF(AND(ISNUMBER(F96),ISNUMBER(I96),ISNUMBER(H96),ISNUMBER(K96),F96&gt;0,I96&gt;0,H96&lt;&gt;0),IF(OR(COUNTIF(Торговля!$B$5:$B$300,$B96)+COUNTIF(Лэндинг!$B$5:$B$300,$B96)&gt;0,COUNTIF($B97:$B$301,$B96)&gt;0),0,ROUND(SUMPRODUCT(($B$5:$B$300=$B96)*(($F$5:$F$300+$I$5:$I$300-ABS($F$5:$F$300-$I$5:$I$300))/2)*($J$5:$J$300-$G$5:$G$300)),8)),"")</f>
        <v/>
      </c>
      <c r="O96" s="183">
        <f>IF(ISNUMBER(N96),IF(OR(COUNTIF(Торговля!$B$5:$B$300,$B96)+COUNTIF(Лэндинг!$B$5:$B$300,$B96)&gt;0,COUNTIF($B97:$B$301,$B96)&gt;0),0,IF(SUMPRODUCT(($B$5:$B$300=$B96)*(($F$5:$F$300+$I$5:$I$300-ABS($F$5:$F$300-$I$5:$I$300))/2)*$G$5:$G$300)&lt;=0,"",ROUND(N96/SUMPRODUCT(($B$5:$B$300=$B96)*(($F$5:$F$300+$I$5:$I$300-ABS($F$5:$F$300-$I$5:$I$300))/2)*$G$5:$G$300)*100,2))),"")</f>
        <v/>
      </c>
    </row>
    <row r="97" ht="22" customHeight="1">
      <c r="B97" s="313" t="n"/>
      <c r="C97" s="314" t="n"/>
      <c r="D97" s="313" t="n"/>
      <c r="E97" s="315" t="n"/>
      <c r="F97" s="316" t="n"/>
      <c r="G97" s="317" t="n"/>
      <c r="H97" s="271">
        <f>IF(AND(ISNUMBER(F97),ISNUMBER(G97)),F97*G97,"")</f>
        <v/>
      </c>
      <c r="I97" s="316" t="n"/>
      <c r="J97" s="317" t="n"/>
      <c r="K97" s="271">
        <f>IF(AND(ISNUMBER(I97),ISNUMBER(J97)),I97*J97,"")</f>
        <v/>
      </c>
      <c r="L97" s="240">
        <f>IF(COUNT(F97,I97)=0,"",N(F97)-N(I97))</f>
        <v/>
      </c>
      <c r="M97" s="241">
        <f>IF(COUNT(H97,K97)=0,"",N(K97)-N(H97))</f>
        <v/>
      </c>
      <c r="N97" s="240">
        <f>IF(AND(ISNUMBER(F97),ISNUMBER(I97),ISNUMBER(H97),ISNUMBER(K97),F97&gt;0,I97&gt;0,H97&lt;&gt;0),IF(OR(COUNTIF(Торговля!$B$5:$B$300,$B97)+COUNTIF(Лэндинг!$B$5:$B$300,$B97)&gt;0,COUNTIF($B98:$B$301,$B97)&gt;0),0,ROUND(SUMPRODUCT(($B$5:$B$300=$B97)*(($F$5:$F$300+$I$5:$I$300-ABS($F$5:$F$300-$I$5:$I$300))/2)*($J$5:$J$300-$G$5:$G$300)),8)),"")</f>
        <v/>
      </c>
      <c r="O97" s="177">
        <f>IF(ISNUMBER(N97),IF(OR(COUNTIF(Торговля!$B$5:$B$300,$B97)+COUNTIF(Лэндинг!$B$5:$B$300,$B97)&gt;0,COUNTIF($B98:$B$301,$B97)&gt;0),0,IF(SUMPRODUCT(($B$5:$B$300=$B97)*(($F$5:$F$300+$I$5:$I$300-ABS($F$5:$F$300-$I$5:$I$300))/2)*$G$5:$G$300)&lt;=0,"",ROUND(N97/SUMPRODUCT(($B$5:$B$300=$B97)*(($F$5:$F$300+$I$5:$I$300-ABS($F$5:$F$300-$I$5:$I$300))/2)*$G$5:$G$300)*100,2))),"")</f>
        <v/>
      </c>
    </row>
    <row r="98" ht="22" customHeight="1">
      <c r="B98" s="318" t="n"/>
      <c r="C98" s="319" t="n"/>
      <c r="D98" s="318" t="n"/>
      <c r="E98" s="320" t="n"/>
      <c r="F98" s="321" t="n"/>
      <c r="G98" s="322" t="n"/>
      <c r="H98" s="271">
        <f>IF(AND(ISNUMBER(F98),ISNUMBER(G98)),F98*G98,"")</f>
        <v/>
      </c>
      <c r="I98" s="321" t="n"/>
      <c r="J98" s="322" t="n"/>
      <c r="K98" s="271">
        <f>IF(AND(ISNUMBER(I98),ISNUMBER(J98)),I98*J98,"")</f>
        <v/>
      </c>
      <c r="L98" s="246">
        <f>IF(COUNT(F98,I98)=0,"",N(F98)-N(I98))</f>
        <v/>
      </c>
      <c r="M98" s="247">
        <f>IF(COUNT(H98,K98)=0,"",N(K98)-N(H98))</f>
        <v/>
      </c>
      <c r="N98" s="246">
        <f>IF(AND(ISNUMBER(F98),ISNUMBER(I98),ISNUMBER(H98),ISNUMBER(K98),F98&gt;0,I98&gt;0,H98&lt;&gt;0),IF(OR(COUNTIF(Торговля!$B$5:$B$300,$B98)+COUNTIF(Лэндинг!$B$5:$B$300,$B98)&gt;0,COUNTIF($B99:$B$301,$B98)&gt;0),0,ROUND(SUMPRODUCT(($B$5:$B$300=$B98)*(($F$5:$F$300+$I$5:$I$300-ABS($F$5:$F$300-$I$5:$I$300))/2)*($J$5:$J$300-$G$5:$G$300)),8)),"")</f>
        <v/>
      </c>
      <c r="O98" s="183">
        <f>IF(ISNUMBER(N98),IF(OR(COUNTIF(Торговля!$B$5:$B$300,$B98)+COUNTIF(Лэндинг!$B$5:$B$300,$B98)&gt;0,COUNTIF($B99:$B$301,$B98)&gt;0),0,IF(SUMPRODUCT(($B$5:$B$300=$B98)*(($F$5:$F$300+$I$5:$I$300-ABS($F$5:$F$300-$I$5:$I$300))/2)*$G$5:$G$300)&lt;=0,"",ROUND(N98/SUMPRODUCT(($B$5:$B$300=$B98)*(($F$5:$F$300+$I$5:$I$300-ABS($F$5:$F$300-$I$5:$I$300))/2)*$G$5:$G$300)*100,2))),"")</f>
        <v/>
      </c>
    </row>
    <row r="99" ht="22" customHeight="1">
      <c r="B99" s="313" t="n"/>
      <c r="C99" s="314" t="n"/>
      <c r="D99" s="313" t="n"/>
      <c r="E99" s="315" t="n"/>
      <c r="F99" s="316" t="n"/>
      <c r="G99" s="317" t="n"/>
      <c r="H99" s="271">
        <f>IF(AND(ISNUMBER(F99),ISNUMBER(G99)),F99*G99,"")</f>
        <v/>
      </c>
      <c r="I99" s="316" t="n"/>
      <c r="J99" s="317" t="n"/>
      <c r="K99" s="271">
        <f>IF(AND(ISNUMBER(I99),ISNUMBER(J99)),I99*J99,"")</f>
        <v/>
      </c>
      <c r="L99" s="240">
        <f>IF(COUNT(F99,I99)=0,"",N(F99)-N(I99))</f>
        <v/>
      </c>
      <c r="M99" s="241">
        <f>IF(COUNT(H99,K99)=0,"",N(K99)-N(H99))</f>
        <v/>
      </c>
      <c r="N99" s="240">
        <f>IF(AND(ISNUMBER(F99),ISNUMBER(I99),ISNUMBER(H99),ISNUMBER(K99),F99&gt;0,I99&gt;0,H99&lt;&gt;0),IF(OR(COUNTIF(Торговля!$B$5:$B$300,$B99)+COUNTIF(Лэндинг!$B$5:$B$300,$B99)&gt;0,COUNTIF($B100:$B$301,$B99)&gt;0),0,ROUND(SUMPRODUCT(($B$5:$B$300=$B99)*(($F$5:$F$300+$I$5:$I$300-ABS($F$5:$F$300-$I$5:$I$300))/2)*($J$5:$J$300-$G$5:$G$300)),8)),"")</f>
        <v/>
      </c>
      <c r="O99" s="177">
        <f>IF(ISNUMBER(N99),IF(OR(COUNTIF(Торговля!$B$5:$B$300,$B99)+COUNTIF(Лэндинг!$B$5:$B$300,$B99)&gt;0,COUNTIF($B100:$B$301,$B99)&gt;0),0,IF(SUMPRODUCT(($B$5:$B$300=$B99)*(($F$5:$F$300+$I$5:$I$300-ABS($F$5:$F$300-$I$5:$I$300))/2)*$G$5:$G$300)&lt;=0,"",ROUND(N99/SUMPRODUCT(($B$5:$B$300=$B99)*(($F$5:$F$300+$I$5:$I$300-ABS($F$5:$F$300-$I$5:$I$300))/2)*$G$5:$G$300)*100,2))),"")</f>
        <v/>
      </c>
    </row>
    <row r="100" ht="22" customHeight="1">
      <c r="B100" s="318" t="n"/>
      <c r="C100" s="319" t="n"/>
      <c r="D100" s="318" t="n"/>
      <c r="E100" s="320" t="n"/>
      <c r="F100" s="321" t="n"/>
      <c r="G100" s="322" t="n"/>
      <c r="H100" s="271">
        <f>IF(AND(ISNUMBER(F100),ISNUMBER(G100)),F100*G100,"")</f>
        <v/>
      </c>
      <c r="I100" s="321" t="n"/>
      <c r="J100" s="322" t="n"/>
      <c r="K100" s="271">
        <f>IF(AND(ISNUMBER(I100),ISNUMBER(J100)),I100*J100,"")</f>
        <v/>
      </c>
      <c r="L100" s="246">
        <f>IF(COUNT(F100,I100)=0,"",N(F100)-N(I100))</f>
        <v/>
      </c>
      <c r="M100" s="247">
        <f>IF(COUNT(H100,K100)=0,"",N(K100)-N(H100))</f>
        <v/>
      </c>
      <c r="N100" s="246">
        <f>IF(AND(ISNUMBER(F100),ISNUMBER(I100),ISNUMBER(H100),ISNUMBER(K100),F100&gt;0,I100&gt;0,H100&lt;&gt;0),IF(OR(COUNTIF(Торговля!$B$5:$B$300,$B100)+COUNTIF(Лэндинг!$B$5:$B$300,$B100)&gt;0,COUNTIF($B101:$B$301,$B100)&gt;0),0,ROUND(SUMPRODUCT(($B$5:$B$300=$B100)*(($F$5:$F$300+$I$5:$I$300-ABS($F$5:$F$300-$I$5:$I$300))/2)*($J$5:$J$300-$G$5:$G$300)),8)),"")</f>
        <v/>
      </c>
      <c r="O100" s="183">
        <f>IF(ISNUMBER(N100),IF(OR(COUNTIF(Торговля!$B$5:$B$300,$B100)+COUNTIF(Лэндинг!$B$5:$B$300,$B100)&gt;0,COUNTIF($B101:$B$301,$B100)&gt;0),0,IF(SUMPRODUCT(($B$5:$B$300=$B100)*(($F$5:$F$300+$I$5:$I$300-ABS($F$5:$F$300-$I$5:$I$300))/2)*$G$5:$G$300)&lt;=0,"",ROUND(N100/SUMPRODUCT(($B$5:$B$300=$B100)*(($F$5:$F$300+$I$5:$I$300-ABS($F$5:$F$300-$I$5:$I$300))/2)*$G$5:$G$300)*100,2))),"")</f>
        <v/>
      </c>
    </row>
    <row r="101" ht="22" customHeight="1">
      <c r="B101" s="313" t="n"/>
      <c r="C101" s="314" t="n"/>
      <c r="D101" s="313" t="n"/>
      <c r="E101" s="315" t="n"/>
      <c r="F101" s="316" t="n"/>
      <c r="G101" s="317" t="n"/>
      <c r="H101" s="271">
        <f>IF(AND(ISNUMBER(F101),ISNUMBER(G101)),F101*G101,"")</f>
        <v/>
      </c>
      <c r="I101" s="316" t="n"/>
      <c r="J101" s="317" t="n"/>
      <c r="K101" s="271">
        <f>IF(AND(ISNUMBER(I101),ISNUMBER(J101)),I101*J101,"")</f>
        <v/>
      </c>
      <c r="L101" s="240">
        <f>IF(COUNT(F101,I101)=0,"",N(F101)-N(I101))</f>
        <v/>
      </c>
      <c r="M101" s="241">
        <f>IF(COUNT(H101,K101)=0,"",N(K101)-N(H101))</f>
        <v/>
      </c>
      <c r="N101" s="240">
        <f>IF(AND(ISNUMBER(F101),ISNUMBER(I101),ISNUMBER(H101),ISNUMBER(K101),F101&gt;0,I101&gt;0,H101&lt;&gt;0),IF(OR(COUNTIF(Торговля!$B$5:$B$300,$B101)+COUNTIF(Лэндинг!$B$5:$B$300,$B101)&gt;0,COUNTIF($B102:$B$301,$B101)&gt;0),0,ROUND(SUMPRODUCT(($B$5:$B$300=$B101)*(($F$5:$F$300+$I$5:$I$300-ABS($F$5:$F$300-$I$5:$I$300))/2)*($J$5:$J$300-$G$5:$G$300)),8)),"")</f>
        <v/>
      </c>
      <c r="O101" s="177">
        <f>IF(ISNUMBER(N101),IF(OR(COUNTIF(Торговля!$B$5:$B$300,$B101)+COUNTIF(Лэндинг!$B$5:$B$300,$B101)&gt;0,COUNTIF($B102:$B$301,$B101)&gt;0),0,IF(SUMPRODUCT(($B$5:$B$300=$B101)*(($F$5:$F$300+$I$5:$I$300-ABS($F$5:$F$300-$I$5:$I$300))/2)*$G$5:$G$300)&lt;=0,"",ROUND(N101/SUMPRODUCT(($B$5:$B$300=$B101)*(($F$5:$F$300+$I$5:$I$300-ABS($F$5:$F$300-$I$5:$I$300))/2)*$G$5:$G$300)*100,2))),"")</f>
        <v/>
      </c>
    </row>
    <row r="102" ht="22" customHeight="1">
      <c r="B102" s="318" t="n"/>
      <c r="C102" s="319" t="n"/>
      <c r="D102" s="318" t="n"/>
      <c r="E102" s="320" t="n"/>
      <c r="F102" s="321" t="n"/>
      <c r="G102" s="322" t="n"/>
      <c r="H102" s="271">
        <f>IF(AND(ISNUMBER(F102),ISNUMBER(G102)),F102*G102,"")</f>
        <v/>
      </c>
      <c r="I102" s="321" t="n"/>
      <c r="J102" s="322" t="n"/>
      <c r="K102" s="271">
        <f>IF(AND(ISNUMBER(I102),ISNUMBER(J102)),I102*J102,"")</f>
        <v/>
      </c>
      <c r="L102" s="246">
        <f>IF(COUNT(F102,I102)=0,"",N(F102)-N(I102))</f>
        <v/>
      </c>
      <c r="M102" s="247">
        <f>IF(COUNT(H102,K102)=0,"",N(K102)-N(H102))</f>
        <v/>
      </c>
      <c r="N102" s="246">
        <f>IF(AND(ISNUMBER(F102),ISNUMBER(I102),ISNUMBER(H102),ISNUMBER(K102),F102&gt;0,I102&gt;0,H102&lt;&gt;0),IF(OR(COUNTIF(Торговля!$B$5:$B$300,$B102)+COUNTIF(Лэндинг!$B$5:$B$300,$B102)&gt;0,COUNTIF($B103:$B$301,$B102)&gt;0),0,ROUND(SUMPRODUCT(($B$5:$B$300=$B102)*(($F$5:$F$300+$I$5:$I$300-ABS($F$5:$F$300-$I$5:$I$300))/2)*($J$5:$J$300-$G$5:$G$300)),8)),"")</f>
        <v/>
      </c>
      <c r="O102" s="183">
        <f>IF(ISNUMBER(N102),IF(OR(COUNTIF(Торговля!$B$5:$B$300,$B102)+COUNTIF(Лэндинг!$B$5:$B$300,$B102)&gt;0,COUNTIF($B103:$B$301,$B102)&gt;0),0,IF(SUMPRODUCT(($B$5:$B$300=$B102)*(($F$5:$F$300+$I$5:$I$300-ABS($F$5:$F$300-$I$5:$I$300))/2)*$G$5:$G$300)&lt;=0,"",ROUND(N102/SUMPRODUCT(($B$5:$B$300=$B102)*(($F$5:$F$300+$I$5:$I$300-ABS($F$5:$F$300-$I$5:$I$300))/2)*$G$5:$G$300)*100,2))),"")</f>
        <v/>
      </c>
    </row>
    <row r="103" ht="22" customHeight="1">
      <c r="B103" s="313" t="n"/>
      <c r="C103" s="314" t="n"/>
      <c r="D103" s="313" t="n"/>
      <c r="E103" s="315" t="n"/>
      <c r="F103" s="316" t="n"/>
      <c r="G103" s="317" t="n"/>
      <c r="H103" s="271">
        <f>IF(AND(ISNUMBER(F103),ISNUMBER(G103)),F103*G103,"")</f>
        <v/>
      </c>
      <c r="I103" s="316" t="n"/>
      <c r="J103" s="317" t="n"/>
      <c r="K103" s="271">
        <f>IF(AND(ISNUMBER(I103),ISNUMBER(J103)),I103*J103,"")</f>
        <v/>
      </c>
      <c r="L103" s="240">
        <f>IF(COUNT(F103,I103)=0,"",N(F103)-N(I103))</f>
        <v/>
      </c>
      <c r="M103" s="241">
        <f>IF(COUNT(H103,K103)=0,"",N(K103)-N(H103))</f>
        <v/>
      </c>
      <c r="N103" s="240">
        <f>IF(AND(ISNUMBER(F103),ISNUMBER(I103),ISNUMBER(H103),ISNUMBER(K103),F103&gt;0,I103&gt;0,H103&lt;&gt;0),IF(OR(COUNTIF(Торговля!$B$5:$B$300,$B103)+COUNTIF(Лэндинг!$B$5:$B$300,$B103)&gt;0,COUNTIF($B104:$B$301,$B103)&gt;0),0,ROUND(SUMPRODUCT(($B$5:$B$300=$B103)*(($F$5:$F$300+$I$5:$I$300-ABS($F$5:$F$300-$I$5:$I$300))/2)*($J$5:$J$300-$G$5:$G$300)),8)),"")</f>
        <v/>
      </c>
      <c r="O103" s="177">
        <f>IF(ISNUMBER(N103),IF(OR(COUNTIF(Торговля!$B$5:$B$300,$B103)+COUNTIF(Лэндинг!$B$5:$B$300,$B103)&gt;0,COUNTIF($B104:$B$301,$B103)&gt;0),0,IF(SUMPRODUCT(($B$5:$B$300=$B103)*(($F$5:$F$300+$I$5:$I$300-ABS($F$5:$F$300-$I$5:$I$300))/2)*$G$5:$G$300)&lt;=0,"",ROUND(N103/SUMPRODUCT(($B$5:$B$300=$B103)*(($F$5:$F$300+$I$5:$I$300-ABS($F$5:$F$300-$I$5:$I$300))/2)*$G$5:$G$300)*100,2))),"")</f>
        <v/>
      </c>
    </row>
    <row r="104" ht="22" customHeight="1">
      <c r="B104" s="318" t="n"/>
      <c r="C104" s="319" t="n"/>
      <c r="D104" s="318" t="n"/>
      <c r="E104" s="320" t="n"/>
      <c r="F104" s="321" t="n"/>
      <c r="G104" s="322" t="n"/>
      <c r="H104" s="271">
        <f>IF(AND(ISNUMBER(F104),ISNUMBER(G104)),F104*G104,"")</f>
        <v/>
      </c>
      <c r="I104" s="321" t="n"/>
      <c r="J104" s="322" t="n"/>
      <c r="K104" s="271">
        <f>IF(AND(ISNUMBER(I104),ISNUMBER(J104)),I104*J104,"")</f>
        <v/>
      </c>
      <c r="L104" s="246">
        <f>IF(COUNT(F104,I104)=0,"",N(F104)-N(I104))</f>
        <v/>
      </c>
      <c r="M104" s="247">
        <f>IF(COUNT(H104,K104)=0,"",N(K104)-N(H104))</f>
        <v/>
      </c>
      <c r="N104" s="246">
        <f>IF(AND(ISNUMBER(F104),ISNUMBER(I104),ISNUMBER(H104),ISNUMBER(K104),F104&gt;0,I104&gt;0,H104&lt;&gt;0),IF(OR(COUNTIF(Торговля!$B$5:$B$300,$B104)+COUNTIF(Лэндинг!$B$5:$B$300,$B104)&gt;0,COUNTIF($B105:$B$301,$B104)&gt;0),0,ROUND(SUMPRODUCT(($B$5:$B$300=$B104)*(($F$5:$F$300+$I$5:$I$300-ABS($F$5:$F$300-$I$5:$I$300))/2)*($J$5:$J$300-$G$5:$G$300)),8)),"")</f>
        <v/>
      </c>
      <c r="O104" s="183">
        <f>IF(ISNUMBER(N104),IF(OR(COUNTIF(Торговля!$B$5:$B$300,$B104)+COUNTIF(Лэндинг!$B$5:$B$300,$B104)&gt;0,COUNTIF($B105:$B$301,$B104)&gt;0),0,IF(SUMPRODUCT(($B$5:$B$300=$B104)*(($F$5:$F$300+$I$5:$I$300-ABS($F$5:$F$300-$I$5:$I$300))/2)*$G$5:$G$300)&lt;=0,"",ROUND(N104/SUMPRODUCT(($B$5:$B$300=$B104)*(($F$5:$F$300+$I$5:$I$300-ABS($F$5:$F$300-$I$5:$I$300))/2)*$G$5:$G$300)*100,2))),"")</f>
        <v/>
      </c>
    </row>
    <row r="105" ht="22" customHeight="1">
      <c r="B105" s="313" t="n"/>
      <c r="C105" s="314" t="n"/>
      <c r="D105" s="313" t="n"/>
      <c r="E105" s="315" t="n"/>
      <c r="F105" s="316" t="n"/>
      <c r="G105" s="317" t="n"/>
      <c r="H105" s="271">
        <f>IF(AND(ISNUMBER(F105),ISNUMBER(G105)),F105*G105,"")</f>
        <v/>
      </c>
      <c r="I105" s="316" t="n"/>
      <c r="J105" s="317" t="n"/>
      <c r="K105" s="271">
        <f>IF(AND(ISNUMBER(I105),ISNUMBER(J105)),I105*J105,"")</f>
        <v/>
      </c>
      <c r="L105" s="240">
        <f>IF(COUNT(F105,I105)=0,"",N(F105)-N(I105))</f>
        <v/>
      </c>
      <c r="M105" s="241">
        <f>IF(COUNT(H105,K105)=0,"",N(K105)-N(H105))</f>
        <v/>
      </c>
      <c r="N105" s="240">
        <f>IF(AND(ISNUMBER(F105),ISNUMBER(I105),ISNUMBER(H105),ISNUMBER(K105),F105&gt;0,I105&gt;0,H105&lt;&gt;0),IF(OR(COUNTIF(Торговля!$B$5:$B$300,$B105)+COUNTIF(Лэндинг!$B$5:$B$300,$B105)&gt;0,COUNTIF($B106:$B$301,$B105)&gt;0),0,ROUND(SUMPRODUCT(($B$5:$B$300=$B105)*(($F$5:$F$300+$I$5:$I$300-ABS($F$5:$F$300-$I$5:$I$300))/2)*($J$5:$J$300-$G$5:$G$300)),8)),"")</f>
        <v/>
      </c>
      <c r="O105" s="177">
        <f>IF(ISNUMBER(N105),IF(OR(COUNTIF(Торговля!$B$5:$B$300,$B105)+COUNTIF(Лэндинг!$B$5:$B$300,$B105)&gt;0,COUNTIF($B106:$B$301,$B105)&gt;0),0,IF(SUMPRODUCT(($B$5:$B$300=$B105)*(($F$5:$F$300+$I$5:$I$300-ABS($F$5:$F$300-$I$5:$I$300))/2)*$G$5:$G$300)&lt;=0,"",ROUND(N105/SUMPRODUCT(($B$5:$B$300=$B105)*(($F$5:$F$300+$I$5:$I$300-ABS($F$5:$F$300-$I$5:$I$300))/2)*$G$5:$G$300)*100,2))),"")</f>
        <v/>
      </c>
    </row>
    <row r="106" ht="22" customHeight="1">
      <c r="B106" s="318" t="n"/>
      <c r="C106" s="319" t="n"/>
      <c r="D106" s="318" t="n"/>
      <c r="E106" s="320" t="n"/>
      <c r="F106" s="321" t="n"/>
      <c r="G106" s="322" t="n"/>
      <c r="H106" s="271">
        <f>IF(AND(ISNUMBER(F106),ISNUMBER(G106)),F106*G106,"")</f>
        <v/>
      </c>
      <c r="I106" s="321" t="n"/>
      <c r="J106" s="322" t="n"/>
      <c r="K106" s="271">
        <f>IF(AND(ISNUMBER(I106),ISNUMBER(J106)),I106*J106,"")</f>
        <v/>
      </c>
      <c r="L106" s="246">
        <f>IF(COUNT(F106,I106)=0,"",N(F106)-N(I106))</f>
        <v/>
      </c>
      <c r="M106" s="247">
        <f>IF(COUNT(H106,K106)=0,"",N(K106)-N(H106))</f>
        <v/>
      </c>
      <c r="N106" s="246">
        <f>IF(AND(ISNUMBER(F106),ISNUMBER(I106),ISNUMBER(H106),ISNUMBER(K106),F106&gt;0,I106&gt;0,H106&lt;&gt;0),IF(OR(COUNTIF(Торговля!$B$5:$B$300,$B106)+COUNTIF(Лэндинг!$B$5:$B$300,$B106)&gt;0,COUNTIF($B107:$B$301,$B106)&gt;0),0,ROUND(SUMPRODUCT(($B$5:$B$300=$B106)*(($F$5:$F$300+$I$5:$I$300-ABS($F$5:$F$300-$I$5:$I$300))/2)*($J$5:$J$300-$G$5:$G$300)),8)),"")</f>
        <v/>
      </c>
      <c r="O106" s="183">
        <f>IF(ISNUMBER(N106),IF(OR(COUNTIF(Торговля!$B$5:$B$300,$B106)+COUNTIF(Лэндинг!$B$5:$B$300,$B106)&gt;0,COUNTIF($B107:$B$301,$B106)&gt;0),0,IF(SUMPRODUCT(($B$5:$B$300=$B106)*(($F$5:$F$300+$I$5:$I$300-ABS($F$5:$F$300-$I$5:$I$300))/2)*$G$5:$G$300)&lt;=0,"",ROUND(N106/SUMPRODUCT(($B$5:$B$300=$B106)*(($F$5:$F$300+$I$5:$I$300-ABS($F$5:$F$300-$I$5:$I$300))/2)*$G$5:$G$300)*100,2))),"")</f>
        <v/>
      </c>
    </row>
    <row r="107" ht="22" customHeight="1">
      <c r="B107" s="313" t="n"/>
      <c r="C107" s="314" t="n"/>
      <c r="D107" s="313" t="n"/>
      <c r="E107" s="315" t="n"/>
      <c r="F107" s="316" t="n"/>
      <c r="G107" s="317" t="n"/>
      <c r="H107" s="271">
        <f>IF(AND(ISNUMBER(F107),ISNUMBER(G107)),F107*G107,"")</f>
        <v/>
      </c>
      <c r="I107" s="316" t="n"/>
      <c r="J107" s="317" t="n"/>
      <c r="K107" s="271">
        <f>IF(AND(ISNUMBER(I107),ISNUMBER(J107)),I107*J107,"")</f>
        <v/>
      </c>
      <c r="L107" s="240">
        <f>IF(COUNT(F107,I107)=0,"",N(F107)-N(I107))</f>
        <v/>
      </c>
      <c r="M107" s="241">
        <f>IF(COUNT(H107,K107)=0,"",N(K107)-N(H107))</f>
        <v/>
      </c>
      <c r="N107" s="240">
        <f>IF(AND(ISNUMBER(F107),ISNUMBER(I107),ISNUMBER(H107),ISNUMBER(K107),F107&gt;0,I107&gt;0,H107&lt;&gt;0),IF(OR(COUNTIF(Торговля!$B$5:$B$300,$B107)+COUNTIF(Лэндинг!$B$5:$B$300,$B107)&gt;0,COUNTIF($B108:$B$301,$B107)&gt;0),0,ROUND(SUMPRODUCT(($B$5:$B$300=$B107)*(($F$5:$F$300+$I$5:$I$300-ABS($F$5:$F$300-$I$5:$I$300))/2)*($J$5:$J$300-$G$5:$G$300)),8)),"")</f>
        <v/>
      </c>
      <c r="O107" s="177">
        <f>IF(ISNUMBER(N107),IF(OR(COUNTIF(Торговля!$B$5:$B$300,$B107)+COUNTIF(Лэндинг!$B$5:$B$300,$B107)&gt;0,COUNTIF($B108:$B$301,$B107)&gt;0),0,IF(SUMPRODUCT(($B$5:$B$300=$B107)*(($F$5:$F$300+$I$5:$I$300-ABS($F$5:$F$300-$I$5:$I$300))/2)*$G$5:$G$300)&lt;=0,"",ROUND(N107/SUMPRODUCT(($B$5:$B$300=$B107)*(($F$5:$F$300+$I$5:$I$300-ABS($F$5:$F$300-$I$5:$I$300))/2)*$G$5:$G$300)*100,2))),"")</f>
        <v/>
      </c>
    </row>
    <row r="108" ht="22" customHeight="1">
      <c r="B108" s="318" t="n"/>
      <c r="C108" s="319" t="n"/>
      <c r="D108" s="318" t="n"/>
      <c r="E108" s="320" t="n"/>
      <c r="F108" s="321" t="n"/>
      <c r="G108" s="322" t="n"/>
      <c r="H108" s="271">
        <f>IF(AND(ISNUMBER(F108),ISNUMBER(G108)),F108*G108,"")</f>
        <v/>
      </c>
      <c r="I108" s="321" t="n"/>
      <c r="J108" s="322" t="n"/>
      <c r="K108" s="271">
        <f>IF(AND(ISNUMBER(I108),ISNUMBER(J108)),I108*J108,"")</f>
        <v/>
      </c>
      <c r="L108" s="246">
        <f>IF(COUNT(F108,I108)=0,"",N(F108)-N(I108))</f>
        <v/>
      </c>
      <c r="M108" s="247">
        <f>IF(COUNT(H108,K108)=0,"",N(K108)-N(H108))</f>
        <v/>
      </c>
      <c r="N108" s="246">
        <f>IF(AND(ISNUMBER(F108),ISNUMBER(I108),ISNUMBER(H108),ISNUMBER(K108),F108&gt;0,I108&gt;0,H108&lt;&gt;0),IF(OR(COUNTIF(Торговля!$B$5:$B$300,$B108)+COUNTIF(Лэндинг!$B$5:$B$300,$B108)&gt;0,COUNTIF($B109:$B$301,$B108)&gt;0),0,ROUND(SUMPRODUCT(($B$5:$B$300=$B108)*(($F$5:$F$300+$I$5:$I$300-ABS($F$5:$F$300-$I$5:$I$300))/2)*($J$5:$J$300-$G$5:$G$300)),8)),"")</f>
        <v/>
      </c>
      <c r="O108" s="183">
        <f>IF(ISNUMBER(N108),IF(OR(COUNTIF(Торговля!$B$5:$B$300,$B108)+COUNTIF(Лэндинг!$B$5:$B$300,$B108)&gt;0,COUNTIF($B109:$B$301,$B108)&gt;0),0,IF(SUMPRODUCT(($B$5:$B$300=$B108)*(($F$5:$F$300+$I$5:$I$300-ABS($F$5:$F$300-$I$5:$I$300))/2)*$G$5:$G$300)&lt;=0,"",ROUND(N108/SUMPRODUCT(($B$5:$B$300=$B108)*(($F$5:$F$300+$I$5:$I$300-ABS($F$5:$F$300-$I$5:$I$300))/2)*$G$5:$G$300)*100,2))),"")</f>
        <v/>
      </c>
    </row>
    <row r="109" ht="22" customHeight="1">
      <c r="B109" s="313" t="n"/>
      <c r="C109" s="314" t="n"/>
      <c r="D109" s="313" t="n"/>
      <c r="E109" s="315" t="n"/>
      <c r="F109" s="316" t="n"/>
      <c r="G109" s="317" t="n"/>
      <c r="H109" s="271">
        <f>IF(AND(ISNUMBER(F109),ISNUMBER(G109)),F109*G109,"")</f>
        <v/>
      </c>
      <c r="I109" s="316" t="n"/>
      <c r="J109" s="317" t="n"/>
      <c r="K109" s="271">
        <f>IF(AND(ISNUMBER(I109),ISNUMBER(J109)),I109*J109,"")</f>
        <v/>
      </c>
      <c r="L109" s="240">
        <f>IF(COUNT(F109,I109)=0,"",N(F109)-N(I109))</f>
        <v/>
      </c>
      <c r="M109" s="241">
        <f>IF(COUNT(H109,K109)=0,"",N(K109)-N(H109))</f>
        <v/>
      </c>
      <c r="N109" s="240">
        <f>IF(AND(ISNUMBER(F109),ISNUMBER(I109),ISNUMBER(H109),ISNUMBER(K109),F109&gt;0,I109&gt;0,H109&lt;&gt;0),IF(OR(COUNTIF(Торговля!$B$5:$B$300,$B109)+COUNTIF(Лэндинг!$B$5:$B$300,$B109)&gt;0,COUNTIF($B110:$B$301,$B109)&gt;0),0,ROUND(SUMPRODUCT(($B$5:$B$300=$B109)*(($F$5:$F$300+$I$5:$I$300-ABS($F$5:$F$300-$I$5:$I$300))/2)*($J$5:$J$300-$G$5:$G$300)),8)),"")</f>
        <v/>
      </c>
      <c r="O109" s="177">
        <f>IF(ISNUMBER(N109),IF(OR(COUNTIF(Торговля!$B$5:$B$300,$B109)+COUNTIF(Лэндинг!$B$5:$B$300,$B109)&gt;0,COUNTIF($B110:$B$301,$B109)&gt;0),0,IF(SUMPRODUCT(($B$5:$B$300=$B109)*(($F$5:$F$300+$I$5:$I$300-ABS($F$5:$F$300-$I$5:$I$300))/2)*$G$5:$G$300)&lt;=0,"",ROUND(N109/SUMPRODUCT(($B$5:$B$300=$B109)*(($F$5:$F$300+$I$5:$I$300-ABS($F$5:$F$300-$I$5:$I$300))/2)*$G$5:$G$300)*100,2))),"")</f>
        <v/>
      </c>
    </row>
    <row r="110" ht="22" customHeight="1">
      <c r="B110" s="318" t="n"/>
      <c r="C110" s="319" t="n"/>
      <c r="D110" s="318" t="n"/>
      <c r="E110" s="320" t="n"/>
      <c r="F110" s="321" t="n"/>
      <c r="G110" s="322" t="n"/>
      <c r="H110" s="271">
        <f>IF(AND(ISNUMBER(F110),ISNUMBER(G110)),F110*G110,"")</f>
        <v/>
      </c>
      <c r="I110" s="321" t="n"/>
      <c r="J110" s="322" t="n"/>
      <c r="K110" s="271">
        <f>IF(AND(ISNUMBER(I110),ISNUMBER(J110)),I110*J110,"")</f>
        <v/>
      </c>
      <c r="L110" s="246">
        <f>IF(COUNT(F110,I110)=0,"",N(F110)-N(I110))</f>
        <v/>
      </c>
      <c r="M110" s="247">
        <f>IF(COUNT(H110,K110)=0,"",N(K110)-N(H110))</f>
        <v/>
      </c>
      <c r="N110" s="246">
        <f>IF(AND(ISNUMBER(F110),ISNUMBER(I110),ISNUMBER(H110),ISNUMBER(K110),F110&gt;0,I110&gt;0,H110&lt;&gt;0),IF(OR(COUNTIF(Торговля!$B$5:$B$300,$B110)+COUNTIF(Лэндинг!$B$5:$B$300,$B110)&gt;0,COUNTIF($B111:$B$301,$B110)&gt;0),0,ROUND(SUMPRODUCT(($B$5:$B$300=$B110)*(($F$5:$F$300+$I$5:$I$300-ABS($F$5:$F$300-$I$5:$I$300))/2)*($J$5:$J$300-$G$5:$G$300)),8)),"")</f>
        <v/>
      </c>
      <c r="O110" s="183">
        <f>IF(ISNUMBER(N110),IF(OR(COUNTIF(Торговля!$B$5:$B$300,$B110)+COUNTIF(Лэндинг!$B$5:$B$300,$B110)&gt;0,COUNTIF($B111:$B$301,$B110)&gt;0),0,IF(SUMPRODUCT(($B$5:$B$300=$B110)*(($F$5:$F$300+$I$5:$I$300-ABS($F$5:$F$300-$I$5:$I$300))/2)*$G$5:$G$300)&lt;=0,"",ROUND(N110/SUMPRODUCT(($B$5:$B$300=$B110)*(($F$5:$F$300+$I$5:$I$300-ABS($F$5:$F$300-$I$5:$I$300))/2)*$G$5:$G$300)*100,2))),"")</f>
        <v/>
      </c>
    </row>
    <row r="111" ht="22" customHeight="1">
      <c r="B111" s="313" t="n"/>
      <c r="C111" s="314" t="n"/>
      <c r="D111" s="313" t="n"/>
      <c r="E111" s="315" t="n"/>
      <c r="F111" s="316" t="n"/>
      <c r="G111" s="317" t="n"/>
      <c r="H111" s="271">
        <f>IF(AND(ISNUMBER(F111),ISNUMBER(G111)),F111*G111,"")</f>
        <v/>
      </c>
      <c r="I111" s="316" t="n"/>
      <c r="J111" s="317" t="n"/>
      <c r="K111" s="271">
        <f>IF(AND(ISNUMBER(I111),ISNUMBER(J111)),I111*J111,"")</f>
        <v/>
      </c>
      <c r="L111" s="240">
        <f>IF(COUNT(F111,I111)=0,"",N(F111)-N(I111))</f>
        <v/>
      </c>
      <c r="M111" s="241">
        <f>IF(COUNT(H111,K111)=0,"",N(K111)-N(H111))</f>
        <v/>
      </c>
      <c r="N111" s="240">
        <f>IF(AND(ISNUMBER(F111),ISNUMBER(I111),ISNUMBER(H111),ISNUMBER(K111),F111&gt;0,I111&gt;0,H111&lt;&gt;0),IF(OR(COUNTIF(Торговля!$B$5:$B$300,$B111)+COUNTIF(Лэндинг!$B$5:$B$300,$B111)&gt;0,COUNTIF($B112:$B$301,$B111)&gt;0),0,ROUND(SUMPRODUCT(($B$5:$B$300=$B111)*(($F$5:$F$300+$I$5:$I$300-ABS($F$5:$F$300-$I$5:$I$300))/2)*($J$5:$J$300-$G$5:$G$300)),8)),"")</f>
        <v/>
      </c>
      <c r="O111" s="177">
        <f>IF(ISNUMBER(N111),IF(OR(COUNTIF(Торговля!$B$5:$B$300,$B111)+COUNTIF(Лэндинг!$B$5:$B$300,$B111)&gt;0,COUNTIF($B112:$B$301,$B111)&gt;0),0,IF(SUMPRODUCT(($B$5:$B$300=$B111)*(($F$5:$F$300+$I$5:$I$300-ABS($F$5:$F$300-$I$5:$I$300))/2)*$G$5:$G$300)&lt;=0,"",ROUND(N111/SUMPRODUCT(($B$5:$B$300=$B111)*(($F$5:$F$300+$I$5:$I$300-ABS($F$5:$F$300-$I$5:$I$300))/2)*$G$5:$G$300)*100,2))),"")</f>
        <v/>
      </c>
    </row>
    <row r="112" ht="22" customHeight="1">
      <c r="B112" s="318" t="n"/>
      <c r="C112" s="319" t="n"/>
      <c r="D112" s="318" t="n"/>
      <c r="E112" s="320" t="n"/>
      <c r="F112" s="321" t="n"/>
      <c r="G112" s="322" t="n"/>
      <c r="H112" s="271">
        <f>IF(AND(ISNUMBER(F112),ISNUMBER(G112)),F112*G112,"")</f>
        <v/>
      </c>
      <c r="I112" s="321" t="n"/>
      <c r="J112" s="322" t="n"/>
      <c r="K112" s="271">
        <f>IF(AND(ISNUMBER(I112),ISNUMBER(J112)),I112*J112,"")</f>
        <v/>
      </c>
      <c r="L112" s="246">
        <f>IF(COUNT(F112,I112)=0,"",N(F112)-N(I112))</f>
        <v/>
      </c>
      <c r="M112" s="247">
        <f>IF(COUNT(H112,K112)=0,"",N(K112)-N(H112))</f>
        <v/>
      </c>
      <c r="N112" s="246">
        <f>IF(AND(ISNUMBER(F112),ISNUMBER(I112),ISNUMBER(H112),ISNUMBER(K112),F112&gt;0,I112&gt;0,H112&lt;&gt;0),IF(OR(COUNTIF(Торговля!$B$5:$B$300,$B112)+COUNTIF(Лэндинг!$B$5:$B$300,$B112)&gt;0,COUNTIF($B113:$B$301,$B112)&gt;0),0,ROUND(SUMPRODUCT(($B$5:$B$300=$B112)*(($F$5:$F$300+$I$5:$I$300-ABS($F$5:$F$300-$I$5:$I$300))/2)*($J$5:$J$300-$G$5:$G$300)),8)),"")</f>
        <v/>
      </c>
      <c r="O112" s="183">
        <f>IF(ISNUMBER(N112),IF(OR(COUNTIF(Торговля!$B$5:$B$300,$B112)+COUNTIF(Лэндинг!$B$5:$B$300,$B112)&gt;0,COUNTIF($B113:$B$301,$B112)&gt;0),0,IF(SUMPRODUCT(($B$5:$B$300=$B112)*(($F$5:$F$300+$I$5:$I$300-ABS($F$5:$F$300-$I$5:$I$300))/2)*$G$5:$G$300)&lt;=0,"",ROUND(N112/SUMPRODUCT(($B$5:$B$300=$B112)*(($F$5:$F$300+$I$5:$I$300-ABS($F$5:$F$300-$I$5:$I$300))/2)*$G$5:$G$300)*100,2))),"")</f>
        <v/>
      </c>
    </row>
    <row r="113" ht="22" customHeight="1">
      <c r="B113" s="313" t="n"/>
      <c r="C113" s="314" t="n"/>
      <c r="D113" s="313" t="n"/>
      <c r="E113" s="315" t="n"/>
      <c r="F113" s="316" t="n"/>
      <c r="G113" s="317" t="n"/>
      <c r="H113" s="271">
        <f>IF(AND(ISNUMBER(F113),ISNUMBER(G113)),F113*G113,"")</f>
        <v/>
      </c>
      <c r="I113" s="316" t="n"/>
      <c r="J113" s="317" t="n"/>
      <c r="K113" s="271">
        <f>IF(AND(ISNUMBER(I113),ISNUMBER(J113)),I113*J113,"")</f>
        <v/>
      </c>
      <c r="L113" s="240">
        <f>IF(COUNT(F113,I113)=0,"",N(F113)-N(I113))</f>
        <v/>
      </c>
      <c r="M113" s="241">
        <f>IF(COUNT(H113,K113)=0,"",N(K113)-N(H113))</f>
        <v/>
      </c>
      <c r="N113" s="240">
        <f>IF(AND(ISNUMBER(F113),ISNUMBER(I113),ISNUMBER(H113),ISNUMBER(K113),F113&gt;0,I113&gt;0,H113&lt;&gt;0),IF(OR(COUNTIF(Торговля!$B$5:$B$300,$B113)+COUNTIF(Лэндинг!$B$5:$B$300,$B113)&gt;0,COUNTIF($B114:$B$301,$B113)&gt;0),0,ROUND(SUMPRODUCT(($B$5:$B$300=$B113)*(($F$5:$F$300+$I$5:$I$300-ABS($F$5:$F$300-$I$5:$I$300))/2)*($J$5:$J$300-$G$5:$G$300)),8)),"")</f>
        <v/>
      </c>
      <c r="O113" s="177">
        <f>IF(ISNUMBER(N113),IF(OR(COUNTIF(Торговля!$B$5:$B$300,$B113)+COUNTIF(Лэндинг!$B$5:$B$300,$B113)&gt;0,COUNTIF($B114:$B$301,$B113)&gt;0),0,IF(SUMPRODUCT(($B$5:$B$300=$B113)*(($F$5:$F$300+$I$5:$I$300-ABS($F$5:$F$300-$I$5:$I$300))/2)*$G$5:$G$300)&lt;=0,"",ROUND(N113/SUMPRODUCT(($B$5:$B$300=$B113)*(($F$5:$F$300+$I$5:$I$300-ABS($F$5:$F$300-$I$5:$I$300))/2)*$G$5:$G$300)*100,2))),"")</f>
        <v/>
      </c>
    </row>
    <row r="114" ht="22" customHeight="1">
      <c r="B114" s="318" t="n"/>
      <c r="C114" s="319" t="n"/>
      <c r="D114" s="318" t="n"/>
      <c r="E114" s="320" t="n"/>
      <c r="F114" s="321" t="n"/>
      <c r="G114" s="322" t="n"/>
      <c r="H114" s="271">
        <f>IF(AND(ISNUMBER(F114),ISNUMBER(G114)),F114*G114,"")</f>
        <v/>
      </c>
      <c r="I114" s="321" t="n"/>
      <c r="J114" s="322" t="n"/>
      <c r="K114" s="271">
        <f>IF(AND(ISNUMBER(I114),ISNUMBER(J114)),I114*J114,"")</f>
        <v/>
      </c>
      <c r="L114" s="246">
        <f>IF(COUNT(F114,I114)=0,"",N(F114)-N(I114))</f>
        <v/>
      </c>
      <c r="M114" s="247">
        <f>IF(COUNT(H114,K114)=0,"",N(K114)-N(H114))</f>
        <v/>
      </c>
      <c r="N114" s="246">
        <f>IF(AND(ISNUMBER(F114),ISNUMBER(I114),ISNUMBER(H114),ISNUMBER(K114),F114&gt;0,I114&gt;0,H114&lt;&gt;0),IF(OR(COUNTIF(Торговля!$B$5:$B$300,$B114)+COUNTIF(Лэндинг!$B$5:$B$300,$B114)&gt;0,COUNTIF($B115:$B$301,$B114)&gt;0),0,ROUND(SUMPRODUCT(($B$5:$B$300=$B114)*(($F$5:$F$300+$I$5:$I$300-ABS($F$5:$F$300-$I$5:$I$300))/2)*($J$5:$J$300-$G$5:$G$300)),8)),"")</f>
        <v/>
      </c>
      <c r="O114" s="183">
        <f>IF(ISNUMBER(N114),IF(OR(COUNTIF(Торговля!$B$5:$B$300,$B114)+COUNTIF(Лэндинг!$B$5:$B$300,$B114)&gt;0,COUNTIF($B115:$B$301,$B114)&gt;0),0,IF(SUMPRODUCT(($B$5:$B$300=$B114)*(($F$5:$F$300+$I$5:$I$300-ABS($F$5:$F$300-$I$5:$I$300))/2)*$G$5:$G$300)&lt;=0,"",ROUND(N114/SUMPRODUCT(($B$5:$B$300=$B114)*(($F$5:$F$300+$I$5:$I$300-ABS($F$5:$F$300-$I$5:$I$300))/2)*$G$5:$G$300)*100,2))),"")</f>
        <v/>
      </c>
    </row>
    <row r="115" ht="22" customHeight="1">
      <c r="B115" s="313" t="n"/>
      <c r="C115" s="314" t="n"/>
      <c r="D115" s="313" t="n"/>
      <c r="E115" s="315" t="n"/>
      <c r="F115" s="316" t="n"/>
      <c r="G115" s="317" t="n"/>
      <c r="H115" s="271">
        <f>IF(AND(ISNUMBER(F115),ISNUMBER(G115)),F115*G115,"")</f>
        <v/>
      </c>
      <c r="I115" s="316" t="n"/>
      <c r="J115" s="317" t="n"/>
      <c r="K115" s="271">
        <f>IF(AND(ISNUMBER(I115),ISNUMBER(J115)),I115*J115,"")</f>
        <v/>
      </c>
      <c r="L115" s="240">
        <f>IF(COUNT(F115,I115)=0,"",N(F115)-N(I115))</f>
        <v/>
      </c>
      <c r="M115" s="241">
        <f>IF(COUNT(H115,K115)=0,"",N(K115)-N(H115))</f>
        <v/>
      </c>
      <c r="N115" s="240">
        <f>IF(AND(ISNUMBER(F115),ISNUMBER(I115),ISNUMBER(H115),ISNUMBER(K115),F115&gt;0,I115&gt;0,H115&lt;&gt;0),IF(OR(COUNTIF(Торговля!$B$5:$B$300,$B115)+COUNTIF(Лэндинг!$B$5:$B$300,$B115)&gt;0,COUNTIF($B116:$B$301,$B115)&gt;0),0,ROUND(SUMPRODUCT(($B$5:$B$300=$B115)*(($F$5:$F$300+$I$5:$I$300-ABS($F$5:$F$300-$I$5:$I$300))/2)*($J$5:$J$300-$G$5:$G$300)),8)),"")</f>
        <v/>
      </c>
      <c r="O115" s="177">
        <f>IF(ISNUMBER(N115),IF(OR(COUNTIF(Торговля!$B$5:$B$300,$B115)+COUNTIF(Лэндинг!$B$5:$B$300,$B115)&gt;0,COUNTIF($B116:$B$301,$B115)&gt;0),0,IF(SUMPRODUCT(($B$5:$B$300=$B115)*(($F$5:$F$300+$I$5:$I$300-ABS($F$5:$F$300-$I$5:$I$300))/2)*$G$5:$G$300)&lt;=0,"",ROUND(N115/SUMPRODUCT(($B$5:$B$300=$B115)*(($F$5:$F$300+$I$5:$I$300-ABS($F$5:$F$300-$I$5:$I$300))/2)*$G$5:$G$300)*100,2))),"")</f>
        <v/>
      </c>
    </row>
    <row r="116" ht="22" customHeight="1">
      <c r="B116" s="318" t="n"/>
      <c r="C116" s="319" t="n"/>
      <c r="D116" s="318" t="n"/>
      <c r="E116" s="320" t="n"/>
      <c r="F116" s="321" t="n"/>
      <c r="G116" s="322" t="n"/>
      <c r="H116" s="271">
        <f>IF(AND(ISNUMBER(F116),ISNUMBER(G116)),F116*G116,"")</f>
        <v/>
      </c>
      <c r="I116" s="321" t="n"/>
      <c r="J116" s="322" t="n"/>
      <c r="K116" s="271">
        <f>IF(AND(ISNUMBER(I116),ISNUMBER(J116)),I116*J116,"")</f>
        <v/>
      </c>
      <c r="L116" s="246">
        <f>IF(COUNT(F116,I116)=0,"",N(F116)-N(I116))</f>
        <v/>
      </c>
      <c r="M116" s="247">
        <f>IF(COUNT(H116,K116)=0,"",N(K116)-N(H116))</f>
        <v/>
      </c>
      <c r="N116" s="246">
        <f>IF(AND(ISNUMBER(F116),ISNUMBER(I116),ISNUMBER(H116),ISNUMBER(K116),F116&gt;0,I116&gt;0,H116&lt;&gt;0),IF(OR(COUNTIF(Торговля!$B$5:$B$300,$B116)+COUNTIF(Лэндинг!$B$5:$B$300,$B116)&gt;0,COUNTIF($B117:$B$301,$B116)&gt;0),0,ROUND(SUMPRODUCT(($B$5:$B$300=$B116)*(($F$5:$F$300+$I$5:$I$300-ABS($F$5:$F$300-$I$5:$I$300))/2)*($J$5:$J$300-$G$5:$G$300)),8)),"")</f>
        <v/>
      </c>
      <c r="O116" s="183">
        <f>IF(ISNUMBER(N116),IF(OR(COUNTIF(Торговля!$B$5:$B$300,$B116)+COUNTIF(Лэндинг!$B$5:$B$300,$B116)&gt;0,COUNTIF($B117:$B$301,$B116)&gt;0),0,IF(SUMPRODUCT(($B$5:$B$300=$B116)*(($F$5:$F$300+$I$5:$I$300-ABS($F$5:$F$300-$I$5:$I$300))/2)*$G$5:$G$300)&lt;=0,"",ROUND(N116/SUMPRODUCT(($B$5:$B$300=$B116)*(($F$5:$F$300+$I$5:$I$300-ABS($F$5:$F$300-$I$5:$I$300))/2)*$G$5:$G$300)*100,2))),"")</f>
        <v/>
      </c>
    </row>
    <row r="117" ht="22" customHeight="1">
      <c r="B117" s="313" t="n"/>
      <c r="C117" s="314" t="n"/>
      <c r="D117" s="313" t="n"/>
      <c r="E117" s="315" t="n"/>
      <c r="F117" s="316" t="n"/>
      <c r="G117" s="317" t="n"/>
      <c r="H117" s="271">
        <f>IF(AND(ISNUMBER(F117),ISNUMBER(G117)),F117*G117,"")</f>
        <v/>
      </c>
      <c r="I117" s="316" t="n"/>
      <c r="J117" s="317" t="n"/>
      <c r="K117" s="271">
        <f>IF(AND(ISNUMBER(I117),ISNUMBER(J117)),I117*J117,"")</f>
        <v/>
      </c>
      <c r="L117" s="240">
        <f>IF(COUNT(F117,I117)=0,"",N(F117)-N(I117))</f>
        <v/>
      </c>
      <c r="M117" s="241">
        <f>IF(COUNT(H117,K117)=0,"",N(K117)-N(H117))</f>
        <v/>
      </c>
      <c r="N117" s="240">
        <f>IF(AND(ISNUMBER(F117),ISNUMBER(I117),ISNUMBER(H117),ISNUMBER(K117),F117&gt;0,I117&gt;0,H117&lt;&gt;0),IF(OR(COUNTIF(Торговля!$B$5:$B$300,$B117)+COUNTIF(Лэндинг!$B$5:$B$300,$B117)&gt;0,COUNTIF($B118:$B$301,$B117)&gt;0),0,ROUND(SUMPRODUCT(($B$5:$B$300=$B117)*(($F$5:$F$300+$I$5:$I$300-ABS($F$5:$F$300-$I$5:$I$300))/2)*($J$5:$J$300-$G$5:$G$300)),8)),"")</f>
        <v/>
      </c>
      <c r="O117" s="177">
        <f>IF(ISNUMBER(N117),IF(OR(COUNTIF(Торговля!$B$5:$B$300,$B117)+COUNTIF(Лэндинг!$B$5:$B$300,$B117)&gt;0,COUNTIF($B118:$B$301,$B117)&gt;0),0,IF(SUMPRODUCT(($B$5:$B$300=$B117)*(($F$5:$F$300+$I$5:$I$300-ABS($F$5:$F$300-$I$5:$I$300))/2)*$G$5:$G$300)&lt;=0,"",ROUND(N117/SUMPRODUCT(($B$5:$B$300=$B117)*(($F$5:$F$300+$I$5:$I$300-ABS($F$5:$F$300-$I$5:$I$300))/2)*$G$5:$G$300)*100,2))),"")</f>
        <v/>
      </c>
    </row>
    <row r="118" ht="22" customHeight="1">
      <c r="B118" s="318" t="n"/>
      <c r="C118" s="319" t="n"/>
      <c r="D118" s="318" t="n"/>
      <c r="E118" s="320" t="n"/>
      <c r="F118" s="321" t="n"/>
      <c r="G118" s="322" t="n"/>
      <c r="H118" s="271">
        <f>IF(AND(ISNUMBER(F118),ISNUMBER(G118)),F118*G118,"")</f>
        <v/>
      </c>
      <c r="I118" s="321" t="n"/>
      <c r="J118" s="322" t="n"/>
      <c r="K118" s="271">
        <f>IF(AND(ISNUMBER(I118),ISNUMBER(J118)),I118*J118,"")</f>
        <v/>
      </c>
      <c r="L118" s="246">
        <f>IF(COUNT(F118,I118)=0,"",N(F118)-N(I118))</f>
        <v/>
      </c>
      <c r="M118" s="247">
        <f>IF(COUNT(H118,K118)=0,"",N(K118)-N(H118))</f>
        <v/>
      </c>
      <c r="N118" s="246">
        <f>IF(AND(ISNUMBER(F118),ISNUMBER(I118),ISNUMBER(H118),ISNUMBER(K118),F118&gt;0,I118&gt;0,H118&lt;&gt;0),IF(OR(COUNTIF(Торговля!$B$5:$B$300,$B118)+COUNTIF(Лэндинг!$B$5:$B$300,$B118)&gt;0,COUNTIF($B119:$B$301,$B118)&gt;0),0,ROUND(SUMPRODUCT(($B$5:$B$300=$B118)*(($F$5:$F$300+$I$5:$I$300-ABS($F$5:$F$300-$I$5:$I$300))/2)*($J$5:$J$300-$G$5:$G$300)),8)),"")</f>
        <v/>
      </c>
      <c r="O118" s="183">
        <f>IF(ISNUMBER(N118),IF(OR(COUNTIF(Торговля!$B$5:$B$300,$B118)+COUNTIF(Лэндинг!$B$5:$B$300,$B118)&gt;0,COUNTIF($B119:$B$301,$B118)&gt;0),0,IF(SUMPRODUCT(($B$5:$B$300=$B118)*(($F$5:$F$300+$I$5:$I$300-ABS($F$5:$F$300-$I$5:$I$300))/2)*$G$5:$G$300)&lt;=0,"",ROUND(N118/SUMPRODUCT(($B$5:$B$300=$B118)*(($F$5:$F$300+$I$5:$I$300-ABS($F$5:$F$300-$I$5:$I$300))/2)*$G$5:$G$300)*100,2))),"")</f>
        <v/>
      </c>
    </row>
    <row r="119" ht="22" customHeight="1">
      <c r="B119" s="313" t="n"/>
      <c r="C119" s="314" t="n"/>
      <c r="D119" s="313" t="n"/>
      <c r="E119" s="315" t="n"/>
      <c r="F119" s="316" t="n"/>
      <c r="G119" s="317" t="n"/>
      <c r="H119" s="271">
        <f>IF(AND(ISNUMBER(F119),ISNUMBER(G119)),F119*G119,"")</f>
        <v/>
      </c>
      <c r="I119" s="316" t="n"/>
      <c r="J119" s="317" t="n"/>
      <c r="K119" s="271">
        <f>IF(AND(ISNUMBER(I119),ISNUMBER(J119)),I119*J119,"")</f>
        <v/>
      </c>
      <c r="L119" s="240">
        <f>IF(COUNT(F119,I119)=0,"",N(F119)-N(I119))</f>
        <v/>
      </c>
      <c r="M119" s="241">
        <f>IF(COUNT(H119,K119)=0,"",N(K119)-N(H119))</f>
        <v/>
      </c>
      <c r="N119" s="240">
        <f>IF(AND(ISNUMBER(F119),ISNUMBER(I119),ISNUMBER(H119),ISNUMBER(K119),F119&gt;0,I119&gt;0,H119&lt;&gt;0),IF(OR(COUNTIF(Торговля!$B$5:$B$300,$B119)+COUNTIF(Лэндинг!$B$5:$B$300,$B119)&gt;0,COUNTIF($B120:$B$301,$B119)&gt;0),0,ROUND(SUMPRODUCT(($B$5:$B$300=$B119)*(($F$5:$F$300+$I$5:$I$300-ABS($F$5:$F$300-$I$5:$I$300))/2)*($J$5:$J$300-$G$5:$G$300)),8)),"")</f>
        <v/>
      </c>
      <c r="O119" s="177">
        <f>IF(ISNUMBER(N119),IF(OR(COUNTIF(Торговля!$B$5:$B$300,$B119)+COUNTIF(Лэндинг!$B$5:$B$300,$B119)&gt;0,COUNTIF($B120:$B$301,$B119)&gt;0),0,IF(SUMPRODUCT(($B$5:$B$300=$B119)*(($F$5:$F$300+$I$5:$I$300-ABS($F$5:$F$300-$I$5:$I$300))/2)*$G$5:$G$300)&lt;=0,"",ROUND(N119/SUMPRODUCT(($B$5:$B$300=$B119)*(($F$5:$F$300+$I$5:$I$300-ABS($F$5:$F$300-$I$5:$I$300))/2)*$G$5:$G$300)*100,2))),"")</f>
        <v/>
      </c>
    </row>
    <row r="120" ht="22" customHeight="1">
      <c r="B120" s="318" t="n"/>
      <c r="C120" s="319" t="n"/>
      <c r="D120" s="318" t="n"/>
      <c r="E120" s="320" t="n"/>
      <c r="F120" s="321" t="n"/>
      <c r="G120" s="322" t="n"/>
      <c r="H120" s="271">
        <f>IF(AND(ISNUMBER(F120),ISNUMBER(G120)),F120*G120,"")</f>
        <v/>
      </c>
      <c r="I120" s="321" t="n"/>
      <c r="J120" s="322" t="n"/>
      <c r="K120" s="271">
        <f>IF(AND(ISNUMBER(I120),ISNUMBER(J120)),I120*J120,"")</f>
        <v/>
      </c>
      <c r="L120" s="246">
        <f>IF(COUNT(F120,I120)=0,"",N(F120)-N(I120))</f>
        <v/>
      </c>
      <c r="M120" s="247">
        <f>IF(COUNT(H120,K120)=0,"",N(K120)-N(H120))</f>
        <v/>
      </c>
      <c r="N120" s="246">
        <f>IF(AND(ISNUMBER(F120),ISNUMBER(I120),ISNUMBER(H120),ISNUMBER(K120),F120&gt;0,I120&gt;0,H120&lt;&gt;0),IF(OR(COUNTIF(Торговля!$B$5:$B$300,$B120)+COUNTIF(Лэндинг!$B$5:$B$300,$B120)&gt;0,COUNTIF($B121:$B$301,$B120)&gt;0),0,ROUND(SUMPRODUCT(($B$5:$B$300=$B120)*(($F$5:$F$300+$I$5:$I$300-ABS($F$5:$F$300-$I$5:$I$300))/2)*($J$5:$J$300-$G$5:$G$300)),8)),"")</f>
        <v/>
      </c>
      <c r="O120" s="183">
        <f>IF(ISNUMBER(N120),IF(OR(COUNTIF(Торговля!$B$5:$B$300,$B120)+COUNTIF(Лэндинг!$B$5:$B$300,$B120)&gt;0,COUNTIF($B121:$B$301,$B120)&gt;0),0,IF(SUMPRODUCT(($B$5:$B$300=$B120)*(($F$5:$F$300+$I$5:$I$300-ABS($F$5:$F$300-$I$5:$I$300))/2)*$G$5:$G$300)&lt;=0,"",ROUND(N120/SUMPRODUCT(($B$5:$B$300=$B120)*(($F$5:$F$300+$I$5:$I$300-ABS($F$5:$F$300-$I$5:$I$300))/2)*$G$5:$G$300)*100,2))),"")</f>
        <v/>
      </c>
    </row>
    <row r="121" ht="22" customHeight="1">
      <c r="B121" s="313" t="n"/>
      <c r="C121" s="314" t="n"/>
      <c r="D121" s="313" t="n"/>
      <c r="E121" s="315" t="n"/>
      <c r="F121" s="316" t="n"/>
      <c r="G121" s="317" t="n"/>
      <c r="H121" s="271">
        <f>IF(AND(ISNUMBER(F121),ISNUMBER(G121)),F121*G121,"")</f>
        <v/>
      </c>
      <c r="I121" s="316" t="n"/>
      <c r="J121" s="317" t="n"/>
      <c r="K121" s="271">
        <f>IF(AND(ISNUMBER(I121),ISNUMBER(J121)),I121*J121,"")</f>
        <v/>
      </c>
      <c r="L121" s="240">
        <f>IF(COUNT(F121,I121)=0,"",N(F121)-N(I121))</f>
        <v/>
      </c>
      <c r="M121" s="241">
        <f>IF(COUNT(H121,K121)=0,"",N(K121)-N(H121))</f>
        <v/>
      </c>
      <c r="N121" s="240">
        <f>IF(AND(ISNUMBER(F121),ISNUMBER(I121),ISNUMBER(H121),ISNUMBER(K121),F121&gt;0,I121&gt;0,H121&lt;&gt;0),IF(OR(COUNTIF(Торговля!$B$5:$B$300,$B121)+COUNTIF(Лэндинг!$B$5:$B$300,$B121)&gt;0,COUNTIF($B122:$B$301,$B121)&gt;0),0,ROUND(SUMPRODUCT(($B$5:$B$300=$B121)*(($F$5:$F$300+$I$5:$I$300-ABS($F$5:$F$300-$I$5:$I$300))/2)*($J$5:$J$300-$G$5:$G$300)),8)),"")</f>
        <v/>
      </c>
      <c r="O121" s="177">
        <f>IF(ISNUMBER(N121),IF(OR(COUNTIF(Торговля!$B$5:$B$300,$B121)+COUNTIF(Лэндинг!$B$5:$B$300,$B121)&gt;0,COUNTIF($B122:$B$301,$B121)&gt;0),0,IF(SUMPRODUCT(($B$5:$B$300=$B121)*(($F$5:$F$300+$I$5:$I$300-ABS($F$5:$F$300-$I$5:$I$300))/2)*$G$5:$G$300)&lt;=0,"",ROUND(N121/SUMPRODUCT(($B$5:$B$300=$B121)*(($F$5:$F$300+$I$5:$I$300-ABS($F$5:$F$300-$I$5:$I$300))/2)*$G$5:$G$300)*100,2))),"")</f>
        <v/>
      </c>
    </row>
    <row r="122" ht="22" customHeight="1">
      <c r="B122" s="318" t="n"/>
      <c r="C122" s="319" t="n"/>
      <c r="D122" s="318" t="n"/>
      <c r="E122" s="320" t="n"/>
      <c r="F122" s="321" t="n"/>
      <c r="G122" s="322" t="n"/>
      <c r="H122" s="271">
        <f>IF(AND(ISNUMBER(F122),ISNUMBER(G122)),F122*G122,"")</f>
        <v/>
      </c>
      <c r="I122" s="321" t="n"/>
      <c r="J122" s="322" t="n"/>
      <c r="K122" s="271">
        <f>IF(AND(ISNUMBER(I122),ISNUMBER(J122)),I122*J122,"")</f>
        <v/>
      </c>
      <c r="L122" s="246">
        <f>IF(COUNT(F122,I122)=0,"",N(F122)-N(I122))</f>
        <v/>
      </c>
      <c r="M122" s="247">
        <f>IF(COUNT(H122,K122)=0,"",N(K122)-N(H122))</f>
        <v/>
      </c>
      <c r="N122" s="246">
        <f>IF(AND(ISNUMBER(F122),ISNUMBER(I122),ISNUMBER(H122),ISNUMBER(K122),F122&gt;0,I122&gt;0,H122&lt;&gt;0),IF(OR(COUNTIF(Торговля!$B$5:$B$300,$B122)+COUNTIF(Лэндинг!$B$5:$B$300,$B122)&gt;0,COUNTIF($B123:$B$301,$B122)&gt;0),0,ROUND(SUMPRODUCT(($B$5:$B$300=$B122)*(($F$5:$F$300+$I$5:$I$300-ABS($F$5:$F$300-$I$5:$I$300))/2)*($J$5:$J$300-$G$5:$G$300)),8)),"")</f>
        <v/>
      </c>
      <c r="O122" s="183">
        <f>IF(ISNUMBER(N122),IF(OR(COUNTIF(Торговля!$B$5:$B$300,$B122)+COUNTIF(Лэндинг!$B$5:$B$300,$B122)&gt;0,COUNTIF($B123:$B$301,$B122)&gt;0),0,IF(SUMPRODUCT(($B$5:$B$300=$B122)*(($F$5:$F$300+$I$5:$I$300-ABS($F$5:$F$300-$I$5:$I$300))/2)*$G$5:$G$300)&lt;=0,"",ROUND(N122/SUMPRODUCT(($B$5:$B$300=$B122)*(($F$5:$F$300+$I$5:$I$300-ABS($F$5:$F$300-$I$5:$I$300))/2)*$G$5:$G$300)*100,2))),"")</f>
        <v/>
      </c>
    </row>
    <row r="123" ht="22" customHeight="1">
      <c r="B123" s="313" t="n"/>
      <c r="C123" s="314" t="n"/>
      <c r="D123" s="313" t="n"/>
      <c r="E123" s="315" t="n"/>
      <c r="F123" s="316" t="n"/>
      <c r="G123" s="317" t="n"/>
      <c r="H123" s="271">
        <f>IF(AND(ISNUMBER(F123),ISNUMBER(G123)),F123*G123,"")</f>
        <v/>
      </c>
      <c r="I123" s="316" t="n"/>
      <c r="J123" s="317" t="n"/>
      <c r="K123" s="271">
        <f>IF(AND(ISNUMBER(I123),ISNUMBER(J123)),I123*J123,"")</f>
        <v/>
      </c>
      <c r="L123" s="240">
        <f>IF(COUNT(F123,I123)=0,"",N(F123)-N(I123))</f>
        <v/>
      </c>
      <c r="M123" s="241">
        <f>IF(COUNT(H123,K123)=0,"",N(K123)-N(H123))</f>
        <v/>
      </c>
      <c r="N123" s="240">
        <f>IF(AND(ISNUMBER(F123),ISNUMBER(I123),ISNUMBER(H123),ISNUMBER(K123),F123&gt;0,I123&gt;0,H123&lt;&gt;0),IF(OR(COUNTIF(Торговля!$B$5:$B$300,$B123)+COUNTIF(Лэндинг!$B$5:$B$300,$B123)&gt;0,COUNTIF($B124:$B$301,$B123)&gt;0),0,ROUND(SUMPRODUCT(($B$5:$B$300=$B123)*(($F$5:$F$300+$I$5:$I$300-ABS($F$5:$F$300-$I$5:$I$300))/2)*($J$5:$J$300-$G$5:$G$300)),8)),"")</f>
        <v/>
      </c>
      <c r="O123" s="177">
        <f>IF(ISNUMBER(N123),IF(OR(COUNTIF(Торговля!$B$5:$B$300,$B123)+COUNTIF(Лэндинг!$B$5:$B$300,$B123)&gt;0,COUNTIF($B124:$B$301,$B123)&gt;0),0,IF(SUMPRODUCT(($B$5:$B$300=$B123)*(($F$5:$F$300+$I$5:$I$300-ABS($F$5:$F$300-$I$5:$I$300))/2)*$G$5:$G$300)&lt;=0,"",ROUND(N123/SUMPRODUCT(($B$5:$B$300=$B123)*(($F$5:$F$300+$I$5:$I$300-ABS($F$5:$F$300-$I$5:$I$300))/2)*$G$5:$G$300)*100,2))),"")</f>
        <v/>
      </c>
    </row>
    <row r="124" ht="22" customHeight="1">
      <c r="B124" s="318" t="n"/>
      <c r="C124" s="319" t="n"/>
      <c r="D124" s="318" t="n"/>
      <c r="E124" s="320" t="n"/>
      <c r="F124" s="321" t="n"/>
      <c r="G124" s="322" t="n"/>
      <c r="H124" s="271">
        <f>IF(AND(ISNUMBER(F124),ISNUMBER(G124)),F124*G124,"")</f>
        <v/>
      </c>
      <c r="I124" s="321" t="n"/>
      <c r="J124" s="322" t="n"/>
      <c r="K124" s="271">
        <f>IF(AND(ISNUMBER(I124),ISNUMBER(J124)),I124*J124,"")</f>
        <v/>
      </c>
      <c r="L124" s="246">
        <f>IF(COUNT(F124,I124)=0,"",N(F124)-N(I124))</f>
        <v/>
      </c>
      <c r="M124" s="247">
        <f>IF(COUNT(H124,K124)=0,"",N(K124)-N(H124))</f>
        <v/>
      </c>
      <c r="N124" s="246">
        <f>IF(AND(ISNUMBER(F124),ISNUMBER(I124),ISNUMBER(H124),ISNUMBER(K124),F124&gt;0,I124&gt;0,H124&lt;&gt;0),IF(OR(COUNTIF(Торговля!$B$5:$B$300,$B124)+COUNTIF(Лэндинг!$B$5:$B$300,$B124)&gt;0,COUNTIF($B125:$B$301,$B124)&gt;0),0,ROUND(SUMPRODUCT(($B$5:$B$300=$B124)*(($F$5:$F$300+$I$5:$I$300-ABS($F$5:$F$300-$I$5:$I$300))/2)*($J$5:$J$300-$G$5:$G$300)),8)),"")</f>
        <v/>
      </c>
      <c r="O124" s="183">
        <f>IF(ISNUMBER(N124),IF(OR(COUNTIF(Торговля!$B$5:$B$300,$B124)+COUNTIF(Лэндинг!$B$5:$B$300,$B124)&gt;0,COUNTIF($B125:$B$301,$B124)&gt;0),0,IF(SUMPRODUCT(($B$5:$B$300=$B124)*(($F$5:$F$300+$I$5:$I$300-ABS($F$5:$F$300-$I$5:$I$300))/2)*$G$5:$G$300)&lt;=0,"",ROUND(N124/SUMPRODUCT(($B$5:$B$300=$B124)*(($F$5:$F$300+$I$5:$I$300-ABS($F$5:$F$300-$I$5:$I$300))/2)*$G$5:$G$300)*100,2))),"")</f>
        <v/>
      </c>
    </row>
    <row r="125" ht="22" customHeight="1">
      <c r="B125" s="313" t="n"/>
      <c r="C125" s="314" t="n"/>
      <c r="D125" s="313" t="n"/>
      <c r="E125" s="315" t="n"/>
      <c r="F125" s="316" t="n"/>
      <c r="G125" s="317" t="n"/>
      <c r="H125" s="271">
        <f>IF(AND(ISNUMBER(F125),ISNUMBER(G125)),F125*G125,"")</f>
        <v/>
      </c>
      <c r="I125" s="316" t="n"/>
      <c r="J125" s="317" t="n"/>
      <c r="K125" s="271">
        <f>IF(AND(ISNUMBER(I125),ISNUMBER(J125)),I125*J125,"")</f>
        <v/>
      </c>
      <c r="L125" s="240">
        <f>IF(COUNT(F125,I125)=0,"",N(F125)-N(I125))</f>
        <v/>
      </c>
      <c r="M125" s="241">
        <f>IF(COUNT(H125,K125)=0,"",N(K125)-N(H125))</f>
        <v/>
      </c>
      <c r="N125" s="240">
        <f>IF(AND(ISNUMBER(F125),ISNUMBER(I125),ISNUMBER(H125),ISNUMBER(K125),F125&gt;0,I125&gt;0,H125&lt;&gt;0),IF(OR(COUNTIF(Торговля!$B$5:$B$300,$B125)+COUNTIF(Лэндинг!$B$5:$B$300,$B125)&gt;0,COUNTIF($B126:$B$301,$B125)&gt;0),0,ROUND(SUMPRODUCT(($B$5:$B$300=$B125)*(($F$5:$F$300+$I$5:$I$300-ABS($F$5:$F$300-$I$5:$I$300))/2)*($J$5:$J$300-$G$5:$G$300)),8)),"")</f>
        <v/>
      </c>
      <c r="O125" s="177">
        <f>IF(ISNUMBER(N125),IF(OR(COUNTIF(Торговля!$B$5:$B$300,$B125)+COUNTIF(Лэндинг!$B$5:$B$300,$B125)&gt;0,COUNTIF($B126:$B$301,$B125)&gt;0),0,IF(SUMPRODUCT(($B$5:$B$300=$B125)*(($F$5:$F$300+$I$5:$I$300-ABS($F$5:$F$300-$I$5:$I$300))/2)*$G$5:$G$300)&lt;=0,"",ROUND(N125/SUMPRODUCT(($B$5:$B$300=$B125)*(($F$5:$F$300+$I$5:$I$300-ABS($F$5:$F$300-$I$5:$I$300))/2)*$G$5:$G$300)*100,2))),"")</f>
        <v/>
      </c>
    </row>
    <row r="126" ht="22" customHeight="1">
      <c r="B126" s="318" t="n"/>
      <c r="C126" s="319" t="n"/>
      <c r="D126" s="318" t="n"/>
      <c r="E126" s="320" t="n"/>
      <c r="F126" s="321" t="n"/>
      <c r="G126" s="322" t="n"/>
      <c r="H126" s="271">
        <f>IF(AND(ISNUMBER(F126),ISNUMBER(G126)),F126*G126,"")</f>
        <v/>
      </c>
      <c r="I126" s="321" t="n"/>
      <c r="J126" s="322" t="n"/>
      <c r="K126" s="271">
        <f>IF(AND(ISNUMBER(I126),ISNUMBER(J126)),I126*J126,"")</f>
        <v/>
      </c>
      <c r="L126" s="246">
        <f>IF(COUNT(F126,I126)=0,"",N(F126)-N(I126))</f>
        <v/>
      </c>
      <c r="M126" s="247">
        <f>IF(COUNT(H126,K126)=0,"",N(K126)-N(H126))</f>
        <v/>
      </c>
      <c r="N126" s="246">
        <f>IF(AND(ISNUMBER(F126),ISNUMBER(I126),ISNUMBER(H126),ISNUMBER(K126),F126&gt;0,I126&gt;0,H126&lt;&gt;0),IF(OR(COUNTIF(Торговля!$B$5:$B$300,$B126)+COUNTIF(Лэндинг!$B$5:$B$300,$B126)&gt;0,COUNTIF($B127:$B$301,$B126)&gt;0),0,ROUND(SUMPRODUCT(($B$5:$B$300=$B126)*(($F$5:$F$300+$I$5:$I$300-ABS($F$5:$F$300-$I$5:$I$300))/2)*($J$5:$J$300-$G$5:$G$300)),8)),"")</f>
        <v/>
      </c>
      <c r="O126" s="183">
        <f>IF(ISNUMBER(N126),IF(OR(COUNTIF(Торговля!$B$5:$B$300,$B126)+COUNTIF(Лэндинг!$B$5:$B$300,$B126)&gt;0,COUNTIF($B127:$B$301,$B126)&gt;0),0,IF(SUMPRODUCT(($B$5:$B$300=$B126)*(($F$5:$F$300+$I$5:$I$300-ABS($F$5:$F$300-$I$5:$I$300))/2)*$G$5:$G$300)&lt;=0,"",ROUND(N126/SUMPRODUCT(($B$5:$B$300=$B126)*(($F$5:$F$300+$I$5:$I$300-ABS($F$5:$F$300-$I$5:$I$300))/2)*$G$5:$G$300)*100,2))),"")</f>
        <v/>
      </c>
    </row>
    <row r="127" ht="22" customHeight="1">
      <c r="B127" s="313" t="n"/>
      <c r="C127" s="314" t="n"/>
      <c r="D127" s="313" t="n"/>
      <c r="E127" s="315" t="n"/>
      <c r="F127" s="316" t="n"/>
      <c r="G127" s="317" t="n"/>
      <c r="H127" s="271">
        <f>IF(AND(ISNUMBER(F127),ISNUMBER(G127)),F127*G127,"")</f>
        <v/>
      </c>
      <c r="I127" s="316" t="n"/>
      <c r="J127" s="317" t="n"/>
      <c r="K127" s="271">
        <f>IF(AND(ISNUMBER(I127),ISNUMBER(J127)),I127*J127,"")</f>
        <v/>
      </c>
      <c r="L127" s="240">
        <f>IF(COUNT(F127,I127)=0,"",N(F127)-N(I127))</f>
        <v/>
      </c>
      <c r="M127" s="241">
        <f>IF(COUNT(H127,K127)=0,"",N(K127)-N(H127))</f>
        <v/>
      </c>
      <c r="N127" s="240">
        <f>IF(AND(ISNUMBER(F127),ISNUMBER(I127),ISNUMBER(H127),ISNUMBER(K127),F127&gt;0,I127&gt;0,H127&lt;&gt;0),IF(OR(COUNTIF(Торговля!$B$5:$B$300,$B127)+COUNTIF(Лэндинг!$B$5:$B$300,$B127)&gt;0,COUNTIF($B128:$B$301,$B127)&gt;0),0,ROUND(SUMPRODUCT(($B$5:$B$300=$B127)*(($F$5:$F$300+$I$5:$I$300-ABS($F$5:$F$300-$I$5:$I$300))/2)*($J$5:$J$300-$G$5:$G$300)),8)),"")</f>
        <v/>
      </c>
      <c r="O127" s="177">
        <f>IF(ISNUMBER(N127),IF(OR(COUNTIF(Торговля!$B$5:$B$300,$B127)+COUNTIF(Лэндинг!$B$5:$B$300,$B127)&gt;0,COUNTIF($B128:$B$301,$B127)&gt;0),0,IF(SUMPRODUCT(($B$5:$B$300=$B127)*(($F$5:$F$300+$I$5:$I$300-ABS($F$5:$F$300-$I$5:$I$300))/2)*$G$5:$G$300)&lt;=0,"",ROUND(N127/SUMPRODUCT(($B$5:$B$300=$B127)*(($F$5:$F$300+$I$5:$I$300-ABS($F$5:$F$300-$I$5:$I$300))/2)*$G$5:$G$300)*100,2))),"")</f>
        <v/>
      </c>
    </row>
    <row r="128" ht="22" customHeight="1">
      <c r="B128" s="318" t="n"/>
      <c r="C128" s="319" t="n"/>
      <c r="D128" s="318" t="n"/>
      <c r="E128" s="320" t="n"/>
      <c r="F128" s="321" t="n"/>
      <c r="G128" s="322" t="n"/>
      <c r="H128" s="271">
        <f>IF(AND(ISNUMBER(F128),ISNUMBER(G128)),F128*G128,"")</f>
        <v/>
      </c>
      <c r="I128" s="321" t="n"/>
      <c r="J128" s="322" t="n"/>
      <c r="K128" s="271">
        <f>IF(AND(ISNUMBER(I128),ISNUMBER(J128)),I128*J128,"")</f>
        <v/>
      </c>
      <c r="L128" s="246">
        <f>IF(COUNT(F128,I128)=0,"",N(F128)-N(I128))</f>
        <v/>
      </c>
      <c r="M128" s="247">
        <f>IF(COUNT(H128,K128)=0,"",N(K128)-N(H128))</f>
        <v/>
      </c>
      <c r="N128" s="246">
        <f>IF(AND(ISNUMBER(F128),ISNUMBER(I128),ISNUMBER(H128),ISNUMBER(K128),F128&gt;0,I128&gt;0,H128&lt;&gt;0),IF(OR(COUNTIF(Торговля!$B$5:$B$300,$B128)+COUNTIF(Лэндинг!$B$5:$B$300,$B128)&gt;0,COUNTIF($B129:$B$301,$B128)&gt;0),0,ROUND(SUMPRODUCT(($B$5:$B$300=$B128)*(($F$5:$F$300+$I$5:$I$300-ABS($F$5:$F$300-$I$5:$I$300))/2)*($J$5:$J$300-$G$5:$G$300)),8)),"")</f>
        <v/>
      </c>
      <c r="O128" s="183">
        <f>IF(ISNUMBER(N128),IF(OR(COUNTIF(Торговля!$B$5:$B$300,$B128)+COUNTIF(Лэндинг!$B$5:$B$300,$B128)&gt;0,COUNTIF($B129:$B$301,$B128)&gt;0),0,IF(SUMPRODUCT(($B$5:$B$300=$B128)*(($F$5:$F$300+$I$5:$I$300-ABS($F$5:$F$300-$I$5:$I$300))/2)*$G$5:$G$300)&lt;=0,"",ROUND(N128/SUMPRODUCT(($B$5:$B$300=$B128)*(($F$5:$F$300+$I$5:$I$300-ABS($F$5:$F$300-$I$5:$I$300))/2)*$G$5:$G$300)*100,2))),"")</f>
        <v/>
      </c>
    </row>
    <row r="129" ht="22" customHeight="1">
      <c r="B129" s="313" t="n"/>
      <c r="C129" s="314" t="n"/>
      <c r="D129" s="313" t="n"/>
      <c r="E129" s="315" t="n"/>
      <c r="F129" s="316" t="n"/>
      <c r="G129" s="317" t="n"/>
      <c r="H129" s="271">
        <f>IF(AND(ISNUMBER(F129),ISNUMBER(G129)),F129*G129,"")</f>
        <v/>
      </c>
      <c r="I129" s="316" t="n"/>
      <c r="J129" s="317" t="n"/>
      <c r="K129" s="271">
        <f>IF(AND(ISNUMBER(I129),ISNUMBER(J129)),I129*J129,"")</f>
        <v/>
      </c>
      <c r="L129" s="240">
        <f>IF(COUNT(F129,I129)=0,"",N(F129)-N(I129))</f>
        <v/>
      </c>
      <c r="M129" s="241">
        <f>IF(COUNT(H129,K129)=0,"",N(K129)-N(H129))</f>
        <v/>
      </c>
      <c r="N129" s="240">
        <f>IF(AND(ISNUMBER(F129),ISNUMBER(I129),ISNUMBER(H129),ISNUMBER(K129),F129&gt;0,I129&gt;0,H129&lt;&gt;0),IF(OR(COUNTIF(Торговля!$B$5:$B$300,$B129)+COUNTIF(Лэндинг!$B$5:$B$300,$B129)&gt;0,COUNTIF($B130:$B$301,$B129)&gt;0),0,ROUND(SUMPRODUCT(($B$5:$B$300=$B129)*(($F$5:$F$300+$I$5:$I$300-ABS($F$5:$F$300-$I$5:$I$300))/2)*($J$5:$J$300-$G$5:$G$300)),8)),"")</f>
        <v/>
      </c>
      <c r="O129" s="177">
        <f>IF(ISNUMBER(N129),IF(OR(COUNTIF(Торговля!$B$5:$B$300,$B129)+COUNTIF(Лэндинг!$B$5:$B$300,$B129)&gt;0,COUNTIF($B130:$B$301,$B129)&gt;0),0,IF(SUMPRODUCT(($B$5:$B$300=$B129)*(($F$5:$F$300+$I$5:$I$300-ABS($F$5:$F$300-$I$5:$I$300))/2)*$G$5:$G$300)&lt;=0,"",ROUND(N129/SUMPRODUCT(($B$5:$B$300=$B129)*(($F$5:$F$300+$I$5:$I$300-ABS($F$5:$F$300-$I$5:$I$300))/2)*$G$5:$G$300)*100,2))),"")</f>
        <v/>
      </c>
    </row>
    <row r="130" ht="22" customHeight="1">
      <c r="B130" s="318" t="n"/>
      <c r="C130" s="319" t="n"/>
      <c r="D130" s="318" t="n"/>
      <c r="E130" s="320" t="n"/>
      <c r="F130" s="321" t="n"/>
      <c r="G130" s="322" t="n"/>
      <c r="H130" s="271">
        <f>IF(AND(ISNUMBER(F130),ISNUMBER(G130)),F130*G130,"")</f>
        <v/>
      </c>
      <c r="I130" s="321" t="n"/>
      <c r="J130" s="322" t="n"/>
      <c r="K130" s="271">
        <f>IF(AND(ISNUMBER(I130),ISNUMBER(J130)),I130*J130,"")</f>
        <v/>
      </c>
      <c r="L130" s="246">
        <f>IF(COUNT(F130,I130)=0,"",N(F130)-N(I130))</f>
        <v/>
      </c>
      <c r="M130" s="247">
        <f>IF(COUNT(H130,K130)=0,"",N(K130)-N(H130))</f>
        <v/>
      </c>
      <c r="N130" s="246">
        <f>IF(AND(ISNUMBER(F130),ISNUMBER(I130),ISNUMBER(H130),ISNUMBER(K130),F130&gt;0,I130&gt;0,H130&lt;&gt;0),IF(OR(COUNTIF(Торговля!$B$5:$B$300,$B130)+COUNTIF(Лэндинг!$B$5:$B$300,$B130)&gt;0,COUNTIF($B131:$B$301,$B130)&gt;0),0,ROUND(SUMPRODUCT(($B$5:$B$300=$B130)*(($F$5:$F$300+$I$5:$I$300-ABS($F$5:$F$300-$I$5:$I$300))/2)*($J$5:$J$300-$G$5:$G$300)),8)),"")</f>
        <v/>
      </c>
      <c r="O130" s="183">
        <f>IF(ISNUMBER(N130),IF(OR(COUNTIF(Торговля!$B$5:$B$300,$B130)+COUNTIF(Лэндинг!$B$5:$B$300,$B130)&gt;0,COUNTIF($B131:$B$301,$B130)&gt;0),0,IF(SUMPRODUCT(($B$5:$B$300=$B130)*(($F$5:$F$300+$I$5:$I$300-ABS($F$5:$F$300-$I$5:$I$300))/2)*$G$5:$G$300)&lt;=0,"",ROUND(N130/SUMPRODUCT(($B$5:$B$300=$B130)*(($F$5:$F$300+$I$5:$I$300-ABS($F$5:$F$300-$I$5:$I$300))/2)*$G$5:$G$300)*100,2))),"")</f>
        <v/>
      </c>
    </row>
    <row r="131" ht="22" customHeight="1">
      <c r="B131" s="313" t="n"/>
      <c r="C131" s="314" t="n"/>
      <c r="D131" s="313" t="n"/>
      <c r="E131" s="315" t="n"/>
      <c r="F131" s="316" t="n"/>
      <c r="G131" s="317" t="n"/>
      <c r="H131" s="271">
        <f>IF(AND(ISNUMBER(F131),ISNUMBER(G131)),F131*G131,"")</f>
        <v/>
      </c>
      <c r="I131" s="316" t="n"/>
      <c r="J131" s="317" t="n"/>
      <c r="K131" s="271">
        <f>IF(AND(ISNUMBER(I131),ISNUMBER(J131)),I131*J131,"")</f>
        <v/>
      </c>
      <c r="L131" s="240">
        <f>IF(COUNT(F131,I131)=0,"",N(F131)-N(I131))</f>
        <v/>
      </c>
      <c r="M131" s="241">
        <f>IF(COUNT(H131,K131)=0,"",N(K131)-N(H131))</f>
        <v/>
      </c>
      <c r="N131" s="240">
        <f>IF(AND(ISNUMBER(F131),ISNUMBER(I131),ISNUMBER(H131),ISNUMBER(K131),F131&gt;0,I131&gt;0,H131&lt;&gt;0),IF(OR(COUNTIF(Торговля!$B$5:$B$300,$B131)+COUNTIF(Лэндинг!$B$5:$B$300,$B131)&gt;0,COUNTIF($B132:$B$301,$B131)&gt;0),0,ROUND(SUMPRODUCT(($B$5:$B$300=$B131)*(($F$5:$F$300+$I$5:$I$300-ABS($F$5:$F$300-$I$5:$I$300))/2)*($J$5:$J$300-$G$5:$G$300)),8)),"")</f>
        <v/>
      </c>
      <c r="O131" s="177">
        <f>IF(ISNUMBER(N131),IF(OR(COUNTIF(Торговля!$B$5:$B$300,$B131)+COUNTIF(Лэндинг!$B$5:$B$300,$B131)&gt;0,COUNTIF($B132:$B$301,$B131)&gt;0),0,IF(SUMPRODUCT(($B$5:$B$300=$B131)*(($F$5:$F$300+$I$5:$I$300-ABS($F$5:$F$300-$I$5:$I$300))/2)*$G$5:$G$300)&lt;=0,"",ROUND(N131/SUMPRODUCT(($B$5:$B$300=$B131)*(($F$5:$F$300+$I$5:$I$300-ABS($F$5:$F$300-$I$5:$I$300))/2)*$G$5:$G$300)*100,2))),"")</f>
        <v/>
      </c>
    </row>
    <row r="132" ht="22" customHeight="1">
      <c r="B132" s="318" t="n"/>
      <c r="C132" s="319" t="n"/>
      <c r="D132" s="318" t="n"/>
      <c r="E132" s="320" t="n"/>
      <c r="F132" s="321" t="n"/>
      <c r="G132" s="322" t="n"/>
      <c r="H132" s="271">
        <f>IF(AND(ISNUMBER(F132),ISNUMBER(G132)),F132*G132,"")</f>
        <v/>
      </c>
      <c r="I132" s="321" t="n"/>
      <c r="J132" s="322" t="n"/>
      <c r="K132" s="271">
        <f>IF(AND(ISNUMBER(I132),ISNUMBER(J132)),I132*J132,"")</f>
        <v/>
      </c>
      <c r="L132" s="246">
        <f>IF(COUNT(F132,I132)=0,"",N(F132)-N(I132))</f>
        <v/>
      </c>
      <c r="M132" s="247">
        <f>IF(COUNT(H132,K132)=0,"",N(K132)-N(H132))</f>
        <v/>
      </c>
      <c r="N132" s="246">
        <f>IF(AND(ISNUMBER(F132),ISNUMBER(I132),ISNUMBER(H132),ISNUMBER(K132),F132&gt;0,I132&gt;0,H132&lt;&gt;0),IF(OR(COUNTIF(Торговля!$B$5:$B$300,$B132)+COUNTIF(Лэндинг!$B$5:$B$300,$B132)&gt;0,COUNTIF($B133:$B$301,$B132)&gt;0),0,ROUND(SUMPRODUCT(($B$5:$B$300=$B132)*(($F$5:$F$300+$I$5:$I$300-ABS($F$5:$F$300-$I$5:$I$300))/2)*($J$5:$J$300-$G$5:$G$300)),8)),"")</f>
        <v/>
      </c>
      <c r="O132" s="183">
        <f>IF(ISNUMBER(N132),IF(OR(COUNTIF(Торговля!$B$5:$B$300,$B132)+COUNTIF(Лэндинг!$B$5:$B$300,$B132)&gt;0,COUNTIF($B133:$B$301,$B132)&gt;0),0,IF(SUMPRODUCT(($B$5:$B$300=$B132)*(($F$5:$F$300+$I$5:$I$300-ABS($F$5:$F$300-$I$5:$I$300))/2)*$G$5:$G$300)&lt;=0,"",ROUND(N132/SUMPRODUCT(($B$5:$B$300=$B132)*(($F$5:$F$300+$I$5:$I$300-ABS($F$5:$F$300-$I$5:$I$300))/2)*$G$5:$G$300)*100,2))),"")</f>
        <v/>
      </c>
    </row>
    <row r="133" ht="22" customHeight="1">
      <c r="B133" s="313" t="n"/>
      <c r="C133" s="314" t="n"/>
      <c r="D133" s="313" t="n"/>
      <c r="E133" s="315" t="n"/>
      <c r="F133" s="316" t="n"/>
      <c r="G133" s="317" t="n"/>
      <c r="H133" s="271">
        <f>IF(AND(ISNUMBER(F133),ISNUMBER(G133)),F133*G133,"")</f>
        <v/>
      </c>
      <c r="I133" s="316" t="n"/>
      <c r="J133" s="317" t="n"/>
      <c r="K133" s="271">
        <f>IF(AND(ISNUMBER(I133),ISNUMBER(J133)),I133*J133,"")</f>
        <v/>
      </c>
      <c r="L133" s="240">
        <f>IF(COUNT(F133,I133)=0,"",N(F133)-N(I133))</f>
        <v/>
      </c>
      <c r="M133" s="241">
        <f>IF(COUNT(H133,K133)=0,"",N(K133)-N(H133))</f>
        <v/>
      </c>
      <c r="N133" s="240">
        <f>IF(AND(ISNUMBER(F133),ISNUMBER(I133),ISNUMBER(H133),ISNUMBER(K133),F133&gt;0,I133&gt;0,H133&lt;&gt;0),IF(OR(COUNTIF(Торговля!$B$5:$B$300,$B133)+COUNTIF(Лэндинг!$B$5:$B$300,$B133)&gt;0,COUNTIF($B134:$B$301,$B133)&gt;0),0,ROUND(SUMPRODUCT(($B$5:$B$300=$B133)*(($F$5:$F$300+$I$5:$I$300-ABS($F$5:$F$300-$I$5:$I$300))/2)*($J$5:$J$300-$G$5:$G$300)),8)),"")</f>
        <v/>
      </c>
      <c r="O133" s="177">
        <f>IF(ISNUMBER(N133),IF(OR(COUNTIF(Торговля!$B$5:$B$300,$B133)+COUNTIF(Лэндинг!$B$5:$B$300,$B133)&gt;0,COUNTIF($B134:$B$301,$B133)&gt;0),0,IF(SUMPRODUCT(($B$5:$B$300=$B133)*(($F$5:$F$300+$I$5:$I$300-ABS($F$5:$F$300-$I$5:$I$300))/2)*$G$5:$G$300)&lt;=0,"",ROUND(N133/SUMPRODUCT(($B$5:$B$300=$B133)*(($F$5:$F$300+$I$5:$I$300-ABS($F$5:$F$300-$I$5:$I$300))/2)*$G$5:$G$300)*100,2))),"")</f>
        <v/>
      </c>
    </row>
    <row r="134" ht="22" customHeight="1">
      <c r="B134" s="318" t="n"/>
      <c r="C134" s="319" t="n"/>
      <c r="D134" s="318" t="n"/>
      <c r="E134" s="320" t="n"/>
      <c r="F134" s="321" t="n"/>
      <c r="G134" s="322" t="n"/>
      <c r="H134" s="271">
        <f>IF(AND(ISNUMBER(F134),ISNUMBER(G134)),F134*G134,"")</f>
        <v/>
      </c>
      <c r="I134" s="321" t="n"/>
      <c r="J134" s="322" t="n"/>
      <c r="K134" s="271">
        <f>IF(AND(ISNUMBER(I134),ISNUMBER(J134)),I134*J134,"")</f>
        <v/>
      </c>
      <c r="L134" s="246">
        <f>IF(COUNT(F134,I134)=0,"",N(F134)-N(I134))</f>
        <v/>
      </c>
      <c r="M134" s="247">
        <f>IF(COUNT(H134,K134)=0,"",N(K134)-N(H134))</f>
        <v/>
      </c>
      <c r="N134" s="246">
        <f>IF(AND(ISNUMBER(F134),ISNUMBER(I134),ISNUMBER(H134),ISNUMBER(K134),F134&gt;0,I134&gt;0,H134&lt;&gt;0),IF(OR(COUNTIF(Торговля!$B$5:$B$300,$B134)+COUNTIF(Лэндинг!$B$5:$B$300,$B134)&gt;0,COUNTIF($B135:$B$301,$B134)&gt;0),0,ROUND(SUMPRODUCT(($B$5:$B$300=$B134)*(($F$5:$F$300+$I$5:$I$300-ABS($F$5:$F$300-$I$5:$I$300))/2)*($J$5:$J$300-$G$5:$G$300)),8)),"")</f>
        <v/>
      </c>
      <c r="O134" s="183">
        <f>IF(ISNUMBER(N134),IF(OR(COUNTIF(Торговля!$B$5:$B$300,$B134)+COUNTIF(Лэндинг!$B$5:$B$300,$B134)&gt;0,COUNTIF($B135:$B$301,$B134)&gt;0),0,IF(SUMPRODUCT(($B$5:$B$300=$B134)*(($F$5:$F$300+$I$5:$I$300-ABS($F$5:$F$300-$I$5:$I$300))/2)*$G$5:$G$300)&lt;=0,"",ROUND(N134/SUMPRODUCT(($B$5:$B$300=$B134)*(($F$5:$F$300+$I$5:$I$300-ABS($F$5:$F$300-$I$5:$I$300))/2)*$G$5:$G$300)*100,2))),"")</f>
        <v/>
      </c>
    </row>
    <row r="135" ht="22" customHeight="1">
      <c r="B135" s="313" t="n"/>
      <c r="C135" s="314" t="n"/>
      <c r="D135" s="313" t="n"/>
      <c r="E135" s="315" t="n"/>
      <c r="F135" s="316" t="n"/>
      <c r="G135" s="317" t="n"/>
      <c r="H135" s="271">
        <f>IF(AND(ISNUMBER(F135),ISNUMBER(G135)),F135*G135,"")</f>
        <v/>
      </c>
      <c r="I135" s="316" t="n"/>
      <c r="J135" s="317" t="n"/>
      <c r="K135" s="271">
        <f>IF(AND(ISNUMBER(I135),ISNUMBER(J135)),I135*J135,"")</f>
        <v/>
      </c>
      <c r="L135" s="240">
        <f>IF(COUNT(F135,I135)=0,"",N(F135)-N(I135))</f>
        <v/>
      </c>
      <c r="M135" s="241">
        <f>IF(COUNT(H135,K135)=0,"",N(K135)-N(H135))</f>
        <v/>
      </c>
      <c r="N135" s="240">
        <f>IF(AND(ISNUMBER(F135),ISNUMBER(I135),ISNUMBER(H135),ISNUMBER(K135),F135&gt;0,I135&gt;0,H135&lt;&gt;0),IF(OR(COUNTIF(Торговля!$B$5:$B$300,$B135)+COUNTIF(Лэндинг!$B$5:$B$300,$B135)&gt;0,COUNTIF($B136:$B$301,$B135)&gt;0),0,ROUND(SUMPRODUCT(($B$5:$B$300=$B135)*(($F$5:$F$300+$I$5:$I$300-ABS($F$5:$F$300-$I$5:$I$300))/2)*($J$5:$J$300-$G$5:$G$300)),8)),"")</f>
        <v/>
      </c>
      <c r="O135" s="177">
        <f>IF(ISNUMBER(N135),IF(OR(COUNTIF(Торговля!$B$5:$B$300,$B135)+COUNTIF(Лэндинг!$B$5:$B$300,$B135)&gt;0,COUNTIF($B136:$B$301,$B135)&gt;0),0,IF(SUMPRODUCT(($B$5:$B$300=$B135)*(($F$5:$F$300+$I$5:$I$300-ABS($F$5:$F$300-$I$5:$I$300))/2)*$G$5:$G$300)&lt;=0,"",ROUND(N135/SUMPRODUCT(($B$5:$B$300=$B135)*(($F$5:$F$300+$I$5:$I$300-ABS($F$5:$F$300-$I$5:$I$300))/2)*$G$5:$G$300)*100,2))),"")</f>
        <v/>
      </c>
    </row>
    <row r="136" ht="22" customHeight="1">
      <c r="B136" s="318" t="n"/>
      <c r="C136" s="319" t="n"/>
      <c r="D136" s="318" t="n"/>
      <c r="E136" s="320" t="n"/>
      <c r="F136" s="321" t="n"/>
      <c r="G136" s="322" t="n"/>
      <c r="H136" s="271">
        <f>IF(AND(ISNUMBER(F136),ISNUMBER(G136)),F136*G136,"")</f>
        <v/>
      </c>
      <c r="I136" s="321" t="n"/>
      <c r="J136" s="322" t="n"/>
      <c r="K136" s="271">
        <f>IF(AND(ISNUMBER(I136),ISNUMBER(J136)),I136*J136,"")</f>
        <v/>
      </c>
      <c r="L136" s="246">
        <f>IF(COUNT(F136,I136)=0,"",N(F136)-N(I136))</f>
        <v/>
      </c>
      <c r="M136" s="247">
        <f>IF(COUNT(H136,K136)=0,"",N(K136)-N(H136))</f>
        <v/>
      </c>
      <c r="N136" s="246">
        <f>IF(AND(ISNUMBER(F136),ISNUMBER(I136),ISNUMBER(H136),ISNUMBER(K136),F136&gt;0,I136&gt;0,H136&lt;&gt;0),IF(OR(COUNTIF(Торговля!$B$5:$B$300,$B136)+COUNTIF(Лэндинг!$B$5:$B$300,$B136)&gt;0,COUNTIF($B137:$B$301,$B136)&gt;0),0,ROUND(SUMPRODUCT(($B$5:$B$300=$B136)*(($F$5:$F$300+$I$5:$I$300-ABS($F$5:$F$300-$I$5:$I$300))/2)*($J$5:$J$300-$G$5:$G$300)),8)),"")</f>
        <v/>
      </c>
      <c r="O136" s="183">
        <f>IF(ISNUMBER(N136),IF(OR(COUNTIF(Торговля!$B$5:$B$300,$B136)+COUNTIF(Лэндинг!$B$5:$B$300,$B136)&gt;0,COUNTIF($B137:$B$301,$B136)&gt;0),0,IF(SUMPRODUCT(($B$5:$B$300=$B136)*(($F$5:$F$300+$I$5:$I$300-ABS($F$5:$F$300-$I$5:$I$300))/2)*$G$5:$G$300)&lt;=0,"",ROUND(N136/SUMPRODUCT(($B$5:$B$300=$B136)*(($F$5:$F$300+$I$5:$I$300-ABS($F$5:$F$300-$I$5:$I$300))/2)*$G$5:$G$300)*100,2))),"")</f>
        <v/>
      </c>
    </row>
    <row r="137" ht="22" customHeight="1">
      <c r="B137" s="313" t="n"/>
      <c r="C137" s="314" t="n"/>
      <c r="D137" s="313" t="n"/>
      <c r="E137" s="315" t="n"/>
      <c r="F137" s="316" t="n"/>
      <c r="G137" s="317" t="n"/>
      <c r="H137" s="271">
        <f>IF(AND(ISNUMBER(F137),ISNUMBER(G137)),F137*G137,"")</f>
        <v/>
      </c>
      <c r="I137" s="316" t="n"/>
      <c r="J137" s="317" t="n"/>
      <c r="K137" s="271">
        <f>IF(AND(ISNUMBER(I137),ISNUMBER(J137)),I137*J137,"")</f>
        <v/>
      </c>
      <c r="L137" s="240">
        <f>IF(COUNT(F137,I137)=0,"",N(F137)-N(I137))</f>
        <v/>
      </c>
      <c r="M137" s="241">
        <f>IF(COUNT(H137,K137)=0,"",N(K137)-N(H137))</f>
        <v/>
      </c>
      <c r="N137" s="240">
        <f>IF(AND(ISNUMBER(F137),ISNUMBER(I137),ISNUMBER(H137),ISNUMBER(K137),F137&gt;0,I137&gt;0,H137&lt;&gt;0),IF(OR(COUNTIF(Торговля!$B$5:$B$300,$B137)+COUNTIF(Лэндинг!$B$5:$B$300,$B137)&gt;0,COUNTIF($B138:$B$301,$B137)&gt;0),0,ROUND(SUMPRODUCT(($B$5:$B$300=$B137)*(($F$5:$F$300+$I$5:$I$300-ABS($F$5:$F$300-$I$5:$I$300))/2)*($J$5:$J$300-$G$5:$G$300)),8)),"")</f>
        <v/>
      </c>
      <c r="O137" s="177">
        <f>IF(ISNUMBER(N137),IF(OR(COUNTIF(Торговля!$B$5:$B$300,$B137)+COUNTIF(Лэндинг!$B$5:$B$300,$B137)&gt;0,COUNTIF($B138:$B$301,$B137)&gt;0),0,IF(SUMPRODUCT(($B$5:$B$300=$B137)*(($F$5:$F$300+$I$5:$I$300-ABS($F$5:$F$300-$I$5:$I$300))/2)*$G$5:$G$300)&lt;=0,"",ROUND(N137/SUMPRODUCT(($B$5:$B$300=$B137)*(($F$5:$F$300+$I$5:$I$300-ABS($F$5:$F$300-$I$5:$I$300))/2)*$G$5:$G$300)*100,2))),"")</f>
        <v/>
      </c>
    </row>
    <row r="138" ht="22" customHeight="1">
      <c r="B138" s="318" t="n"/>
      <c r="C138" s="319" t="n"/>
      <c r="D138" s="318" t="n"/>
      <c r="E138" s="320" t="n"/>
      <c r="F138" s="321" t="n"/>
      <c r="G138" s="322" t="n"/>
      <c r="H138" s="271">
        <f>IF(AND(ISNUMBER(F138),ISNUMBER(G138)),F138*G138,"")</f>
        <v/>
      </c>
      <c r="I138" s="321" t="n"/>
      <c r="J138" s="322" t="n"/>
      <c r="K138" s="271">
        <f>IF(AND(ISNUMBER(I138),ISNUMBER(J138)),I138*J138,"")</f>
        <v/>
      </c>
      <c r="L138" s="246">
        <f>IF(COUNT(F138,I138)=0,"",N(F138)-N(I138))</f>
        <v/>
      </c>
      <c r="M138" s="247">
        <f>IF(COUNT(H138,K138)=0,"",N(K138)-N(H138))</f>
        <v/>
      </c>
      <c r="N138" s="246">
        <f>IF(AND(ISNUMBER(F138),ISNUMBER(I138),ISNUMBER(H138),ISNUMBER(K138),F138&gt;0,I138&gt;0,H138&lt;&gt;0),IF(OR(COUNTIF(Торговля!$B$5:$B$300,$B138)+COUNTIF(Лэндинг!$B$5:$B$300,$B138)&gt;0,COUNTIF($B139:$B$301,$B138)&gt;0),0,ROUND(SUMPRODUCT(($B$5:$B$300=$B138)*(($F$5:$F$300+$I$5:$I$300-ABS($F$5:$F$300-$I$5:$I$300))/2)*($J$5:$J$300-$G$5:$G$300)),8)),"")</f>
        <v/>
      </c>
      <c r="O138" s="183">
        <f>IF(ISNUMBER(N138),IF(OR(COUNTIF(Торговля!$B$5:$B$300,$B138)+COUNTIF(Лэндинг!$B$5:$B$300,$B138)&gt;0,COUNTIF($B139:$B$301,$B138)&gt;0),0,IF(SUMPRODUCT(($B$5:$B$300=$B138)*(($F$5:$F$300+$I$5:$I$300-ABS($F$5:$F$300-$I$5:$I$300))/2)*$G$5:$G$300)&lt;=0,"",ROUND(N138/SUMPRODUCT(($B$5:$B$300=$B138)*(($F$5:$F$300+$I$5:$I$300-ABS($F$5:$F$300-$I$5:$I$300))/2)*$G$5:$G$300)*100,2))),"")</f>
        <v/>
      </c>
    </row>
    <row r="139" ht="22" customHeight="1">
      <c r="B139" s="313" t="n"/>
      <c r="C139" s="314" t="n"/>
      <c r="D139" s="313" t="n"/>
      <c r="E139" s="315" t="n"/>
      <c r="F139" s="316" t="n"/>
      <c r="G139" s="317" t="n"/>
      <c r="H139" s="271">
        <f>IF(AND(ISNUMBER(F139),ISNUMBER(G139)),F139*G139,"")</f>
        <v/>
      </c>
      <c r="I139" s="316" t="n"/>
      <c r="J139" s="317" t="n"/>
      <c r="K139" s="271">
        <f>IF(AND(ISNUMBER(I139),ISNUMBER(J139)),I139*J139,"")</f>
        <v/>
      </c>
      <c r="L139" s="240">
        <f>IF(COUNT(F139,I139)=0,"",N(F139)-N(I139))</f>
        <v/>
      </c>
      <c r="M139" s="241">
        <f>IF(COUNT(H139,K139)=0,"",N(K139)-N(H139))</f>
        <v/>
      </c>
      <c r="N139" s="240">
        <f>IF(AND(ISNUMBER(F139),ISNUMBER(I139),ISNUMBER(H139),ISNUMBER(K139),F139&gt;0,I139&gt;0,H139&lt;&gt;0),IF(OR(COUNTIF(Торговля!$B$5:$B$300,$B139)+COUNTIF(Лэндинг!$B$5:$B$300,$B139)&gt;0,COUNTIF($B140:$B$301,$B139)&gt;0),0,ROUND(SUMPRODUCT(($B$5:$B$300=$B139)*(($F$5:$F$300+$I$5:$I$300-ABS($F$5:$F$300-$I$5:$I$300))/2)*($J$5:$J$300-$G$5:$G$300)),8)),"")</f>
        <v/>
      </c>
      <c r="O139" s="177">
        <f>IF(ISNUMBER(N139),IF(OR(COUNTIF(Торговля!$B$5:$B$300,$B139)+COUNTIF(Лэндинг!$B$5:$B$300,$B139)&gt;0,COUNTIF($B140:$B$301,$B139)&gt;0),0,IF(SUMPRODUCT(($B$5:$B$300=$B139)*(($F$5:$F$300+$I$5:$I$300-ABS($F$5:$F$300-$I$5:$I$300))/2)*$G$5:$G$300)&lt;=0,"",ROUND(N139/SUMPRODUCT(($B$5:$B$300=$B139)*(($F$5:$F$300+$I$5:$I$300-ABS($F$5:$F$300-$I$5:$I$300))/2)*$G$5:$G$300)*100,2))),"")</f>
        <v/>
      </c>
    </row>
    <row r="140" ht="22" customHeight="1">
      <c r="B140" s="318" t="n"/>
      <c r="C140" s="319" t="n"/>
      <c r="D140" s="318" t="n"/>
      <c r="E140" s="320" t="n"/>
      <c r="F140" s="321" t="n"/>
      <c r="G140" s="322" t="n"/>
      <c r="H140" s="271">
        <f>IF(AND(ISNUMBER(F140),ISNUMBER(G140)),F140*G140,"")</f>
        <v/>
      </c>
      <c r="I140" s="321" t="n"/>
      <c r="J140" s="322" t="n"/>
      <c r="K140" s="271">
        <f>IF(AND(ISNUMBER(I140),ISNUMBER(J140)),I140*J140,"")</f>
        <v/>
      </c>
      <c r="L140" s="246">
        <f>IF(COUNT(F140,I140)=0,"",N(F140)-N(I140))</f>
        <v/>
      </c>
      <c r="M140" s="247">
        <f>IF(COUNT(H140,K140)=0,"",N(K140)-N(H140))</f>
        <v/>
      </c>
      <c r="N140" s="246">
        <f>IF(AND(ISNUMBER(F140),ISNUMBER(I140),ISNUMBER(H140),ISNUMBER(K140),F140&gt;0,I140&gt;0,H140&lt;&gt;0),IF(OR(COUNTIF(Торговля!$B$5:$B$300,$B140)+COUNTIF(Лэндинг!$B$5:$B$300,$B140)&gt;0,COUNTIF($B141:$B$301,$B140)&gt;0),0,ROUND(SUMPRODUCT(($B$5:$B$300=$B140)*(($F$5:$F$300+$I$5:$I$300-ABS($F$5:$F$300-$I$5:$I$300))/2)*($J$5:$J$300-$G$5:$G$300)),8)),"")</f>
        <v/>
      </c>
      <c r="O140" s="183">
        <f>IF(ISNUMBER(N140),IF(OR(COUNTIF(Торговля!$B$5:$B$300,$B140)+COUNTIF(Лэндинг!$B$5:$B$300,$B140)&gt;0,COUNTIF($B141:$B$301,$B140)&gt;0),0,IF(SUMPRODUCT(($B$5:$B$300=$B140)*(($F$5:$F$300+$I$5:$I$300-ABS($F$5:$F$300-$I$5:$I$300))/2)*$G$5:$G$300)&lt;=0,"",ROUND(N140/SUMPRODUCT(($B$5:$B$300=$B140)*(($F$5:$F$300+$I$5:$I$300-ABS($F$5:$F$300-$I$5:$I$300))/2)*$G$5:$G$300)*100,2))),"")</f>
        <v/>
      </c>
    </row>
    <row r="141" ht="22" customHeight="1">
      <c r="B141" s="313" t="n"/>
      <c r="C141" s="314" t="n"/>
      <c r="D141" s="313" t="n"/>
      <c r="E141" s="315" t="n"/>
      <c r="F141" s="316" t="n"/>
      <c r="G141" s="317" t="n"/>
      <c r="H141" s="271">
        <f>IF(AND(ISNUMBER(F141),ISNUMBER(G141)),F141*G141,"")</f>
        <v/>
      </c>
      <c r="I141" s="316" t="n"/>
      <c r="J141" s="317" t="n"/>
      <c r="K141" s="271">
        <f>IF(AND(ISNUMBER(I141),ISNUMBER(J141)),I141*J141,"")</f>
        <v/>
      </c>
      <c r="L141" s="240">
        <f>IF(COUNT(F141,I141)=0,"",N(F141)-N(I141))</f>
        <v/>
      </c>
      <c r="M141" s="241">
        <f>IF(COUNT(H141,K141)=0,"",N(K141)-N(H141))</f>
        <v/>
      </c>
      <c r="N141" s="240">
        <f>IF(AND(ISNUMBER(F141),ISNUMBER(I141),ISNUMBER(H141),ISNUMBER(K141),F141&gt;0,I141&gt;0,H141&lt;&gt;0),IF(OR(COUNTIF(Торговля!$B$5:$B$300,$B141)+COUNTIF(Лэндинг!$B$5:$B$300,$B141)&gt;0,COUNTIF($B142:$B$301,$B141)&gt;0),0,ROUND(SUMPRODUCT(($B$5:$B$300=$B141)*(($F$5:$F$300+$I$5:$I$300-ABS($F$5:$F$300-$I$5:$I$300))/2)*($J$5:$J$300-$G$5:$G$300)),8)),"")</f>
        <v/>
      </c>
      <c r="O141" s="177">
        <f>IF(ISNUMBER(N141),IF(OR(COUNTIF(Торговля!$B$5:$B$300,$B141)+COUNTIF(Лэндинг!$B$5:$B$300,$B141)&gt;0,COUNTIF($B142:$B$301,$B141)&gt;0),0,IF(SUMPRODUCT(($B$5:$B$300=$B141)*(($F$5:$F$300+$I$5:$I$300-ABS($F$5:$F$300-$I$5:$I$300))/2)*$G$5:$G$300)&lt;=0,"",ROUND(N141/SUMPRODUCT(($B$5:$B$300=$B141)*(($F$5:$F$300+$I$5:$I$300-ABS($F$5:$F$300-$I$5:$I$300))/2)*$G$5:$G$300)*100,2))),"")</f>
        <v/>
      </c>
    </row>
    <row r="142" ht="22" customHeight="1">
      <c r="B142" s="318" t="n"/>
      <c r="C142" s="319" t="n"/>
      <c r="D142" s="318" t="n"/>
      <c r="E142" s="320" t="n"/>
      <c r="F142" s="321" t="n"/>
      <c r="G142" s="322" t="n"/>
      <c r="H142" s="271">
        <f>IF(AND(ISNUMBER(F142),ISNUMBER(G142)),F142*G142,"")</f>
        <v/>
      </c>
      <c r="I142" s="321" t="n"/>
      <c r="J142" s="322" t="n"/>
      <c r="K142" s="271">
        <f>IF(AND(ISNUMBER(I142),ISNUMBER(J142)),I142*J142,"")</f>
        <v/>
      </c>
      <c r="L142" s="246">
        <f>IF(COUNT(F142,I142)=0,"",N(F142)-N(I142))</f>
        <v/>
      </c>
      <c r="M142" s="247">
        <f>IF(COUNT(H142,K142)=0,"",N(K142)-N(H142))</f>
        <v/>
      </c>
      <c r="N142" s="246">
        <f>IF(AND(ISNUMBER(F142),ISNUMBER(I142),ISNUMBER(H142),ISNUMBER(K142),F142&gt;0,I142&gt;0,H142&lt;&gt;0),IF(OR(COUNTIF(Торговля!$B$5:$B$300,$B142)+COUNTIF(Лэндинг!$B$5:$B$300,$B142)&gt;0,COUNTIF($B143:$B$301,$B142)&gt;0),0,ROUND(SUMPRODUCT(($B$5:$B$300=$B142)*(($F$5:$F$300+$I$5:$I$300-ABS($F$5:$F$300-$I$5:$I$300))/2)*($J$5:$J$300-$G$5:$G$300)),8)),"")</f>
        <v/>
      </c>
      <c r="O142" s="183">
        <f>IF(ISNUMBER(N142),IF(OR(COUNTIF(Торговля!$B$5:$B$300,$B142)+COUNTIF(Лэндинг!$B$5:$B$300,$B142)&gt;0,COUNTIF($B143:$B$301,$B142)&gt;0),0,IF(SUMPRODUCT(($B$5:$B$300=$B142)*(($F$5:$F$300+$I$5:$I$300-ABS($F$5:$F$300-$I$5:$I$300))/2)*$G$5:$G$300)&lt;=0,"",ROUND(N142/SUMPRODUCT(($B$5:$B$300=$B142)*(($F$5:$F$300+$I$5:$I$300-ABS($F$5:$F$300-$I$5:$I$300))/2)*$G$5:$G$300)*100,2))),"")</f>
        <v/>
      </c>
    </row>
    <row r="143" ht="22" customHeight="1">
      <c r="B143" s="313" t="n"/>
      <c r="C143" s="314" t="n"/>
      <c r="D143" s="313" t="n"/>
      <c r="E143" s="315" t="n"/>
      <c r="F143" s="316" t="n"/>
      <c r="G143" s="317" t="n"/>
      <c r="H143" s="271">
        <f>IF(AND(ISNUMBER(F143),ISNUMBER(G143)),F143*G143,"")</f>
        <v/>
      </c>
      <c r="I143" s="316" t="n"/>
      <c r="J143" s="317" t="n"/>
      <c r="K143" s="271">
        <f>IF(AND(ISNUMBER(I143),ISNUMBER(J143)),I143*J143,"")</f>
        <v/>
      </c>
      <c r="L143" s="240">
        <f>IF(COUNT(F143,I143)=0,"",N(F143)-N(I143))</f>
        <v/>
      </c>
      <c r="M143" s="241">
        <f>IF(COUNT(H143,K143)=0,"",N(K143)-N(H143))</f>
        <v/>
      </c>
      <c r="N143" s="240">
        <f>IF(AND(ISNUMBER(F143),ISNUMBER(I143),ISNUMBER(H143),ISNUMBER(K143),F143&gt;0,I143&gt;0,H143&lt;&gt;0),IF(OR(COUNTIF(Торговля!$B$5:$B$300,$B143)+COUNTIF(Лэндинг!$B$5:$B$300,$B143)&gt;0,COUNTIF($B144:$B$301,$B143)&gt;0),0,ROUND(SUMPRODUCT(($B$5:$B$300=$B143)*(($F$5:$F$300+$I$5:$I$300-ABS($F$5:$F$300-$I$5:$I$300))/2)*($J$5:$J$300-$G$5:$G$300)),8)),"")</f>
        <v/>
      </c>
      <c r="O143" s="177">
        <f>IF(ISNUMBER(N143),IF(OR(COUNTIF(Торговля!$B$5:$B$300,$B143)+COUNTIF(Лэндинг!$B$5:$B$300,$B143)&gt;0,COUNTIF($B144:$B$301,$B143)&gt;0),0,IF(SUMPRODUCT(($B$5:$B$300=$B143)*(($F$5:$F$300+$I$5:$I$300-ABS($F$5:$F$300-$I$5:$I$300))/2)*$G$5:$G$300)&lt;=0,"",ROUND(N143/SUMPRODUCT(($B$5:$B$300=$B143)*(($F$5:$F$300+$I$5:$I$300-ABS($F$5:$F$300-$I$5:$I$300))/2)*$G$5:$G$300)*100,2))),"")</f>
        <v/>
      </c>
    </row>
    <row r="144" ht="22" customHeight="1">
      <c r="B144" s="318" t="n"/>
      <c r="C144" s="319" t="n"/>
      <c r="D144" s="318" t="n"/>
      <c r="E144" s="320" t="n"/>
      <c r="F144" s="321" t="n"/>
      <c r="G144" s="322" t="n"/>
      <c r="H144" s="271">
        <f>IF(AND(ISNUMBER(F144),ISNUMBER(G144)),F144*G144,"")</f>
        <v/>
      </c>
      <c r="I144" s="321" t="n"/>
      <c r="J144" s="322" t="n"/>
      <c r="K144" s="271">
        <f>IF(AND(ISNUMBER(I144),ISNUMBER(J144)),I144*J144,"")</f>
        <v/>
      </c>
      <c r="L144" s="246">
        <f>IF(COUNT(F144,I144)=0,"",N(F144)-N(I144))</f>
        <v/>
      </c>
      <c r="M144" s="247">
        <f>IF(COUNT(H144,K144)=0,"",N(K144)-N(H144))</f>
        <v/>
      </c>
      <c r="N144" s="246">
        <f>IF(AND(ISNUMBER(F144),ISNUMBER(I144),ISNUMBER(H144),ISNUMBER(K144),F144&gt;0,I144&gt;0,H144&lt;&gt;0),IF(OR(COUNTIF(Торговля!$B$5:$B$300,$B144)+COUNTIF(Лэндинг!$B$5:$B$300,$B144)&gt;0,COUNTIF($B145:$B$301,$B144)&gt;0),0,ROUND(SUMPRODUCT(($B$5:$B$300=$B144)*(($F$5:$F$300+$I$5:$I$300-ABS($F$5:$F$300-$I$5:$I$300))/2)*($J$5:$J$300-$G$5:$G$300)),8)),"")</f>
        <v/>
      </c>
      <c r="O144" s="183">
        <f>IF(ISNUMBER(N144),IF(OR(COUNTIF(Торговля!$B$5:$B$300,$B144)+COUNTIF(Лэндинг!$B$5:$B$300,$B144)&gt;0,COUNTIF($B145:$B$301,$B144)&gt;0),0,IF(SUMPRODUCT(($B$5:$B$300=$B144)*(($F$5:$F$300+$I$5:$I$300-ABS($F$5:$F$300-$I$5:$I$300))/2)*$G$5:$G$300)&lt;=0,"",ROUND(N144/SUMPRODUCT(($B$5:$B$300=$B144)*(($F$5:$F$300+$I$5:$I$300-ABS($F$5:$F$300-$I$5:$I$300))/2)*$G$5:$G$300)*100,2))),"")</f>
        <v/>
      </c>
    </row>
    <row r="145" ht="22" customHeight="1">
      <c r="B145" s="313" t="n"/>
      <c r="C145" s="314" t="n"/>
      <c r="D145" s="313" t="n"/>
      <c r="E145" s="315" t="n"/>
      <c r="F145" s="316" t="n"/>
      <c r="G145" s="317" t="n"/>
      <c r="H145" s="271">
        <f>IF(AND(ISNUMBER(F145),ISNUMBER(G145)),F145*G145,"")</f>
        <v/>
      </c>
      <c r="I145" s="316" t="n"/>
      <c r="J145" s="317" t="n"/>
      <c r="K145" s="271">
        <f>IF(AND(ISNUMBER(I145),ISNUMBER(J145)),I145*J145,"")</f>
        <v/>
      </c>
      <c r="L145" s="240">
        <f>IF(COUNT(F145,I145)=0,"",N(F145)-N(I145))</f>
        <v/>
      </c>
      <c r="M145" s="241">
        <f>IF(COUNT(H145,K145)=0,"",N(K145)-N(H145))</f>
        <v/>
      </c>
      <c r="N145" s="240">
        <f>IF(AND(ISNUMBER(F145),ISNUMBER(I145),ISNUMBER(H145),ISNUMBER(K145),F145&gt;0,I145&gt;0,H145&lt;&gt;0),IF(OR(COUNTIF(Торговля!$B$5:$B$300,$B145)+COUNTIF(Лэндинг!$B$5:$B$300,$B145)&gt;0,COUNTIF($B146:$B$301,$B145)&gt;0),0,ROUND(SUMPRODUCT(($B$5:$B$300=$B145)*(($F$5:$F$300+$I$5:$I$300-ABS($F$5:$F$300-$I$5:$I$300))/2)*($J$5:$J$300-$G$5:$G$300)),8)),"")</f>
        <v/>
      </c>
      <c r="O145" s="177">
        <f>IF(ISNUMBER(N145),IF(OR(COUNTIF(Торговля!$B$5:$B$300,$B145)+COUNTIF(Лэндинг!$B$5:$B$300,$B145)&gt;0,COUNTIF($B146:$B$301,$B145)&gt;0),0,IF(SUMPRODUCT(($B$5:$B$300=$B145)*(($F$5:$F$300+$I$5:$I$300-ABS($F$5:$F$300-$I$5:$I$300))/2)*$G$5:$G$300)&lt;=0,"",ROUND(N145/SUMPRODUCT(($B$5:$B$300=$B145)*(($F$5:$F$300+$I$5:$I$300-ABS($F$5:$F$300-$I$5:$I$300))/2)*$G$5:$G$300)*100,2))),"")</f>
        <v/>
      </c>
    </row>
    <row r="146" ht="22" customHeight="1">
      <c r="B146" s="318" t="n"/>
      <c r="C146" s="319" t="n"/>
      <c r="D146" s="318" t="n"/>
      <c r="E146" s="320" t="n"/>
      <c r="F146" s="321" t="n"/>
      <c r="G146" s="322" t="n"/>
      <c r="H146" s="271">
        <f>IF(AND(ISNUMBER(F146),ISNUMBER(G146)),F146*G146,"")</f>
        <v/>
      </c>
      <c r="I146" s="321" t="n"/>
      <c r="J146" s="322" t="n"/>
      <c r="K146" s="271">
        <f>IF(AND(ISNUMBER(I146),ISNUMBER(J146)),I146*J146,"")</f>
        <v/>
      </c>
      <c r="L146" s="246">
        <f>IF(COUNT(F146,I146)=0,"",N(F146)-N(I146))</f>
        <v/>
      </c>
      <c r="M146" s="247">
        <f>IF(COUNT(H146,K146)=0,"",N(K146)-N(H146))</f>
        <v/>
      </c>
      <c r="N146" s="246">
        <f>IF(AND(ISNUMBER(F146),ISNUMBER(I146),ISNUMBER(H146),ISNUMBER(K146),F146&gt;0,I146&gt;0,H146&lt;&gt;0),IF(OR(COUNTIF(Торговля!$B$5:$B$300,$B146)+COUNTIF(Лэндинг!$B$5:$B$300,$B146)&gt;0,COUNTIF($B147:$B$301,$B146)&gt;0),0,ROUND(SUMPRODUCT(($B$5:$B$300=$B146)*(($F$5:$F$300+$I$5:$I$300-ABS($F$5:$F$300-$I$5:$I$300))/2)*($J$5:$J$300-$G$5:$G$300)),8)),"")</f>
        <v/>
      </c>
      <c r="O146" s="183">
        <f>IF(ISNUMBER(N146),IF(OR(COUNTIF(Торговля!$B$5:$B$300,$B146)+COUNTIF(Лэндинг!$B$5:$B$300,$B146)&gt;0,COUNTIF($B147:$B$301,$B146)&gt;0),0,IF(SUMPRODUCT(($B$5:$B$300=$B146)*(($F$5:$F$300+$I$5:$I$300-ABS($F$5:$F$300-$I$5:$I$300))/2)*$G$5:$G$300)&lt;=0,"",ROUND(N146/SUMPRODUCT(($B$5:$B$300=$B146)*(($F$5:$F$300+$I$5:$I$300-ABS($F$5:$F$300-$I$5:$I$300))/2)*$G$5:$G$300)*100,2))),"")</f>
        <v/>
      </c>
    </row>
    <row r="147" ht="22" customHeight="1">
      <c r="B147" s="313" t="n"/>
      <c r="C147" s="314" t="n"/>
      <c r="D147" s="313" t="n"/>
      <c r="E147" s="315" t="n"/>
      <c r="F147" s="316" t="n"/>
      <c r="G147" s="317" t="n"/>
      <c r="H147" s="271">
        <f>IF(AND(ISNUMBER(F147),ISNUMBER(G147)),F147*G147,"")</f>
        <v/>
      </c>
      <c r="I147" s="316" t="n"/>
      <c r="J147" s="317" t="n"/>
      <c r="K147" s="271">
        <f>IF(AND(ISNUMBER(I147),ISNUMBER(J147)),I147*J147,"")</f>
        <v/>
      </c>
      <c r="L147" s="240">
        <f>IF(COUNT(F147,I147)=0,"",N(F147)-N(I147))</f>
        <v/>
      </c>
      <c r="M147" s="241">
        <f>IF(COUNT(H147,K147)=0,"",N(K147)-N(H147))</f>
        <v/>
      </c>
      <c r="N147" s="240">
        <f>IF(AND(ISNUMBER(F147),ISNUMBER(I147),ISNUMBER(H147),ISNUMBER(K147),F147&gt;0,I147&gt;0,H147&lt;&gt;0),IF(OR(COUNTIF(Торговля!$B$5:$B$300,$B147)+COUNTIF(Лэндинг!$B$5:$B$300,$B147)&gt;0,COUNTIF($B148:$B$301,$B147)&gt;0),0,ROUND(SUMPRODUCT(($B$5:$B$300=$B147)*(($F$5:$F$300+$I$5:$I$300-ABS($F$5:$F$300-$I$5:$I$300))/2)*($J$5:$J$300-$G$5:$G$300)),8)),"")</f>
        <v/>
      </c>
      <c r="O147" s="177">
        <f>IF(ISNUMBER(N147),IF(OR(COUNTIF(Торговля!$B$5:$B$300,$B147)+COUNTIF(Лэндинг!$B$5:$B$300,$B147)&gt;0,COUNTIF($B148:$B$301,$B147)&gt;0),0,IF(SUMPRODUCT(($B$5:$B$300=$B147)*(($F$5:$F$300+$I$5:$I$300-ABS($F$5:$F$300-$I$5:$I$300))/2)*$G$5:$G$300)&lt;=0,"",ROUND(N147/SUMPRODUCT(($B$5:$B$300=$B147)*(($F$5:$F$300+$I$5:$I$300-ABS($F$5:$F$300-$I$5:$I$300))/2)*$G$5:$G$300)*100,2))),"")</f>
        <v/>
      </c>
    </row>
    <row r="148" ht="22" customHeight="1">
      <c r="B148" s="318" t="n"/>
      <c r="C148" s="319" t="n"/>
      <c r="D148" s="318" t="n"/>
      <c r="E148" s="320" t="n"/>
      <c r="F148" s="321" t="n"/>
      <c r="G148" s="322" t="n"/>
      <c r="H148" s="271">
        <f>IF(AND(ISNUMBER(F148),ISNUMBER(G148)),F148*G148,"")</f>
        <v/>
      </c>
      <c r="I148" s="321" t="n"/>
      <c r="J148" s="322" t="n"/>
      <c r="K148" s="271">
        <f>IF(AND(ISNUMBER(I148),ISNUMBER(J148)),I148*J148,"")</f>
        <v/>
      </c>
      <c r="L148" s="246">
        <f>IF(COUNT(F148,I148)=0,"",N(F148)-N(I148))</f>
        <v/>
      </c>
      <c r="M148" s="247">
        <f>IF(COUNT(H148,K148)=0,"",N(K148)-N(H148))</f>
        <v/>
      </c>
      <c r="N148" s="246">
        <f>IF(AND(ISNUMBER(F148),ISNUMBER(I148),ISNUMBER(H148),ISNUMBER(K148),F148&gt;0,I148&gt;0,H148&lt;&gt;0),IF(OR(COUNTIF(Торговля!$B$5:$B$300,$B148)+COUNTIF(Лэндинг!$B$5:$B$300,$B148)&gt;0,COUNTIF($B149:$B$301,$B148)&gt;0),0,ROUND(SUMPRODUCT(($B$5:$B$300=$B148)*(($F$5:$F$300+$I$5:$I$300-ABS($F$5:$F$300-$I$5:$I$300))/2)*($J$5:$J$300-$G$5:$G$300)),8)),"")</f>
        <v/>
      </c>
      <c r="O148" s="183">
        <f>IF(ISNUMBER(N148),IF(OR(COUNTIF(Торговля!$B$5:$B$300,$B148)+COUNTIF(Лэндинг!$B$5:$B$300,$B148)&gt;0,COUNTIF($B149:$B$301,$B148)&gt;0),0,IF(SUMPRODUCT(($B$5:$B$300=$B148)*(($F$5:$F$300+$I$5:$I$300-ABS($F$5:$F$300-$I$5:$I$300))/2)*$G$5:$G$300)&lt;=0,"",ROUND(N148/SUMPRODUCT(($B$5:$B$300=$B148)*(($F$5:$F$300+$I$5:$I$300-ABS($F$5:$F$300-$I$5:$I$300))/2)*$G$5:$G$300)*100,2))),"")</f>
        <v/>
      </c>
    </row>
    <row r="149" ht="22" customHeight="1">
      <c r="B149" s="313" t="n"/>
      <c r="C149" s="314" t="n"/>
      <c r="D149" s="313" t="n"/>
      <c r="E149" s="315" t="n"/>
      <c r="F149" s="316" t="n"/>
      <c r="G149" s="317" t="n"/>
      <c r="H149" s="271">
        <f>IF(AND(ISNUMBER(F149),ISNUMBER(G149)),F149*G149,"")</f>
        <v/>
      </c>
      <c r="I149" s="316" t="n"/>
      <c r="J149" s="317" t="n"/>
      <c r="K149" s="271">
        <f>IF(AND(ISNUMBER(I149),ISNUMBER(J149)),I149*J149,"")</f>
        <v/>
      </c>
      <c r="L149" s="240">
        <f>IF(COUNT(F149,I149)=0,"",N(F149)-N(I149))</f>
        <v/>
      </c>
      <c r="M149" s="241">
        <f>IF(COUNT(H149,K149)=0,"",N(K149)-N(H149))</f>
        <v/>
      </c>
      <c r="N149" s="240">
        <f>IF(AND(ISNUMBER(F149),ISNUMBER(I149),ISNUMBER(H149),ISNUMBER(K149),F149&gt;0,I149&gt;0,H149&lt;&gt;0),IF(OR(COUNTIF(Торговля!$B$5:$B$300,$B149)+COUNTIF(Лэндинг!$B$5:$B$300,$B149)&gt;0,COUNTIF($B150:$B$301,$B149)&gt;0),0,ROUND(SUMPRODUCT(($B$5:$B$300=$B149)*(($F$5:$F$300+$I$5:$I$300-ABS($F$5:$F$300-$I$5:$I$300))/2)*($J$5:$J$300-$G$5:$G$300)),8)),"")</f>
        <v/>
      </c>
      <c r="O149" s="177">
        <f>IF(ISNUMBER(N149),IF(OR(COUNTIF(Торговля!$B$5:$B$300,$B149)+COUNTIF(Лэндинг!$B$5:$B$300,$B149)&gt;0,COUNTIF($B150:$B$301,$B149)&gt;0),0,IF(SUMPRODUCT(($B$5:$B$300=$B149)*(($F$5:$F$300+$I$5:$I$300-ABS($F$5:$F$300-$I$5:$I$300))/2)*$G$5:$G$300)&lt;=0,"",ROUND(N149/SUMPRODUCT(($B$5:$B$300=$B149)*(($F$5:$F$300+$I$5:$I$300-ABS($F$5:$F$300-$I$5:$I$300))/2)*$G$5:$G$300)*100,2))),"")</f>
        <v/>
      </c>
    </row>
    <row r="150" ht="22" customHeight="1">
      <c r="B150" s="318" t="n"/>
      <c r="C150" s="319" t="n"/>
      <c r="D150" s="318" t="n"/>
      <c r="E150" s="320" t="n"/>
      <c r="F150" s="321" t="n"/>
      <c r="G150" s="322" t="n"/>
      <c r="H150" s="271">
        <f>IF(AND(ISNUMBER(F150),ISNUMBER(G150)),F150*G150,"")</f>
        <v/>
      </c>
      <c r="I150" s="321" t="n"/>
      <c r="J150" s="322" t="n"/>
      <c r="K150" s="271">
        <f>IF(AND(ISNUMBER(I150),ISNUMBER(J150)),I150*J150,"")</f>
        <v/>
      </c>
      <c r="L150" s="246">
        <f>IF(COUNT(F150,I150)=0,"",N(F150)-N(I150))</f>
        <v/>
      </c>
      <c r="M150" s="247">
        <f>IF(COUNT(H150,K150)=0,"",N(K150)-N(H150))</f>
        <v/>
      </c>
      <c r="N150" s="246">
        <f>IF(AND(ISNUMBER(F150),ISNUMBER(I150),ISNUMBER(H150),ISNUMBER(K150),F150&gt;0,I150&gt;0,H150&lt;&gt;0),IF(OR(COUNTIF(Торговля!$B$5:$B$300,$B150)+COUNTIF(Лэндинг!$B$5:$B$300,$B150)&gt;0,COUNTIF($B151:$B$301,$B150)&gt;0),0,ROUND(SUMPRODUCT(($B$5:$B$300=$B150)*(($F$5:$F$300+$I$5:$I$300-ABS($F$5:$F$300-$I$5:$I$300))/2)*($J$5:$J$300-$G$5:$G$300)),8)),"")</f>
        <v/>
      </c>
      <c r="O150" s="183">
        <f>IF(ISNUMBER(N150),IF(OR(COUNTIF(Торговля!$B$5:$B$300,$B150)+COUNTIF(Лэндинг!$B$5:$B$300,$B150)&gt;0,COUNTIF($B151:$B$301,$B150)&gt;0),0,IF(SUMPRODUCT(($B$5:$B$300=$B150)*(($F$5:$F$300+$I$5:$I$300-ABS($F$5:$F$300-$I$5:$I$300))/2)*$G$5:$G$300)&lt;=0,"",ROUND(N150/SUMPRODUCT(($B$5:$B$300=$B150)*(($F$5:$F$300+$I$5:$I$300-ABS($F$5:$F$300-$I$5:$I$300))/2)*$G$5:$G$300)*100,2))),"")</f>
        <v/>
      </c>
    </row>
    <row r="151" ht="22" customHeight="1">
      <c r="B151" s="313" t="n"/>
      <c r="C151" s="314" t="n"/>
      <c r="D151" s="313" t="n"/>
      <c r="E151" s="315" t="n"/>
      <c r="F151" s="316" t="n"/>
      <c r="G151" s="317" t="n"/>
      <c r="H151" s="271">
        <f>IF(AND(ISNUMBER(F151),ISNUMBER(G151)),F151*G151,"")</f>
        <v/>
      </c>
      <c r="I151" s="316" t="n"/>
      <c r="J151" s="317" t="n"/>
      <c r="K151" s="271">
        <f>IF(AND(ISNUMBER(I151),ISNUMBER(J151)),I151*J151,"")</f>
        <v/>
      </c>
      <c r="L151" s="240">
        <f>IF(COUNT(F151,I151)=0,"",N(F151)-N(I151))</f>
        <v/>
      </c>
      <c r="M151" s="241">
        <f>IF(COUNT(H151,K151)=0,"",N(K151)-N(H151))</f>
        <v/>
      </c>
      <c r="N151" s="240">
        <f>IF(AND(ISNUMBER(F151),ISNUMBER(I151),ISNUMBER(H151),ISNUMBER(K151),F151&gt;0,I151&gt;0,H151&lt;&gt;0),IF(OR(COUNTIF(Торговля!$B$5:$B$300,$B151)+COUNTIF(Лэндинг!$B$5:$B$300,$B151)&gt;0,COUNTIF($B152:$B$301,$B151)&gt;0),0,ROUND(SUMPRODUCT(($B$5:$B$300=$B151)*(($F$5:$F$300+$I$5:$I$300-ABS($F$5:$F$300-$I$5:$I$300))/2)*($J$5:$J$300-$G$5:$G$300)),8)),"")</f>
        <v/>
      </c>
      <c r="O151" s="177">
        <f>IF(ISNUMBER(N151),IF(OR(COUNTIF(Торговля!$B$5:$B$300,$B151)+COUNTIF(Лэндинг!$B$5:$B$300,$B151)&gt;0,COUNTIF($B152:$B$301,$B151)&gt;0),0,IF(SUMPRODUCT(($B$5:$B$300=$B151)*(($F$5:$F$300+$I$5:$I$300-ABS($F$5:$F$300-$I$5:$I$300))/2)*$G$5:$G$300)&lt;=0,"",ROUND(N151/SUMPRODUCT(($B$5:$B$300=$B151)*(($F$5:$F$300+$I$5:$I$300-ABS($F$5:$F$300-$I$5:$I$300))/2)*$G$5:$G$300)*100,2))),"")</f>
        <v/>
      </c>
    </row>
    <row r="152" ht="22" customHeight="1">
      <c r="B152" s="318" t="n"/>
      <c r="C152" s="319" t="n"/>
      <c r="D152" s="318" t="n"/>
      <c r="E152" s="320" t="n"/>
      <c r="F152" s="321" t="n"/>
      <c r="G152" s="322" t="n"/>
      <c r="H152" s="271">
        <f>IF(AND(ISNUMBER(F152),ISNUMBER(G152)),F152*G152,"")</f>
        <v/>
      </c>
      <c r="I152" s="321" t="n"/>
      <c r="J152" s="322" t="n"/>
      <c r="K152" s="271">
        <f>IF(AND(ISNUMBER(I152),ISNUMBER(J152)),I152*J152,"")</f>
        <v/>
      </c>
      <c r="L152" s="246">
        <f>IF(COUNT(F152,I152)=0,"",N(F152)-N(I152))</f>
        <v/>
      </c>
      <c r="M152" s="247">
        <f>IF(COUNT(H152,K152)=0,"",N(K152)-N(H152))</f>
        <v/>
      </c>
      <c r="N152" s="246">
        <f>IF(AND(ISNUMBER(F152),ISNUMBER(I152),ISNUMBER(H152),ISNUMBER(K152),F152&gt;0,I152&gt;0,H152&lt;&gt;0),IF(OR(COUNTIF(Торговля!$B$5:$B$300,$B152)+COUNTIF(Лэндинг!$B$5:$B$300,$B152)&gt;0,COUNTIF($B153:$B$301,$B152)&gt;0),0,ROUND(SUMPRODUCT(($B$5:$B$300=$B152)*(($F$5:$F$300+$I$5:$I$300-ABS($F$5:$F$300-$I$5:$I$300))/2)*($J$5:$J$300-$G$5:$G$300)),8)),"")</f>
        <v/>
      </c>
      <c r="O152" s="183">
        <f>IF(ISNUMBER(N152),IF(OR(COUNTIF(Торговля!$B$5:$B$300,$B152)+COUNTIF(Лэндинг!$B$5:$B$300,$B152)&gt;0,COUNTIF($B153:$B$301,$B152)&gt;0),0,IF(SUMPRODUCT(($B$5:$B$300=$B152)*(($F$5:$F$300+$I$5:$I$300-ABS($F$5:$F$300-$I$5:$I$300))/2)*$G$5:$G$300)&lt;=0,"",ROUND(N152/SUMPRODUCT(($B$5:$B$300=$B152)*(($F$5:$F$300+$I$5:$I$300-ABS($F$5:$F$300-$I$5:$I$300))/2)*$G$5:$G$300)*100,2))),"")</f>
        <v/>
      </c>
    </row>
    <row r="153" ht="22" customHeight="1">
      <c r="B153" s="313" t="n"/>
      <c r="C153" s="314" t="n"/>
      <c r="D153" s="313" t="n"/>
      <c r="E153" s="315" t="n"/>
      <c r="F153" s="316" t="n"/>
      <c r="G153" s="317" t="n"/>
      <c r="H153" s="271">
        <f>IF(AND(ISNUMBER(F153),ISNUMBER(G153)),F153*G153,"")</f>
        <v/>
      </c>
      <c r="I153" s="316" t="n"/>
      <c r="J153" s="317" t="n"/>
      <c r="K153" s="271">
        <f>IF(AND(ISNUMBER(I153),ISNUMBER(J153)),I153*J153,"")</f>
        <v/>
      </c>
      <c r="L153" s="240">
        <f>IF(COUNT(F153,I153)=0,"",N(F153)-N(I153))</f>
        <v/>
      </c>
      <c r="M153" s="241">
        <f>IF(COUNT(H153,K153)=0,"",N(K153)-N(H153))</f>
        <v/>
      </c>
      <c r="N153" s="240">
        <f>IF(AND(ISNUMBER(F153),ISNUMBER(I153),ISNUMBER(H153),ISNUMBER(K153),F153&gt;0,I153&gt;0,H153&lt;&gt;0),IF(OR(COUNTIF(Торговля!$B$5:$B$300,$B153)+COUNTIF(Лэндинг!$B$5:$B$300,$B153)&gt;0,COUNTIF($B154:$B$301,$B153)&gt;0),0,ROUND(SUMPRODUCT(($B$5:$B$300=$B153)*(($F$5:$F$300+$I$5:$I$300-ABS($F$5:$F$300-$I$5:$I$300))/2)*($J$5:$J$300-$G$5:$G$300)),8)),"")</f>
        <v/>
      </c>
      <c r="O153" s="177">
        <f>IF(ISNUMBER(N153),IF(OR(COUNTIF(Торговля!$B$5:$B$300,$B153)+COUNTIF(Лэндинг!$B$5:$B$300,$B153)&gt;0,COUNTIF($B154:$B$301,$B153)&gt;0),0,IF(SUMPRODUCT(($B$5:$B$300=$B153)*(($F$5:$F$300+$I$5:$I$300-ABS($F$5:$F$300-$I$5:$I$300))/2)*$G$5:$G$300)&lt;=0,"",ROUND(N153/SUMPRODUCT(($B$5:$B$300=$B153)*(($F$5:$F$300+$I$5:$I$300-ABS($F$5:$F$300-$I$5:$I$300))/2)*$G$5:$G$300)*100,2))),"")</f>
        <v/>
      </c>
    </row>
    <row r="154" ht="22" customHeight="1">
      <c r="B154" s="318" t="n"/>
      <c r="C154" s="319" t="n"/>
      <c r="D154" s="318" t="n"/>
      <c r="E154" s="320" t="n"/>
      <c r="F154" s="321" t="n"/>
      <c r="G154" s="322" t="n"/>
      <c r="H154" s="271">
        <f>IF(AND(ISNUMBER(F154),ISNUMBER(G154)),F154*G154,"")</f>
        <v/>
      </c>
      <c r="I154" s="321" t="n"/>
      <c r="J154" s="322" t="n"/>
      <c r="K154" s="271">
        <f>IF(AND(ISNUMBER(I154),ISNUMBER(J154)),I154*J154,"")</f>
        <v/>
      </c>
      <c r="L154" s="246">
        <f>IF(COUNT(F154,I154)=0,"",N(F154)-N(I154))</f>
        <v/>
      </c>
      <c r="M154" s="247">
        <f>IF(COUNT(H154,K154)=0,"",N(K154)-N(H154))</f>
        <v/>
      </c>
      <c r="N154" s="246">
        <f>IF(AND(ISNUMBER(F154),ISNUMBER(I154),ISNUMBER(H154),ISNUMBER(K154),F154&gt;0,I154&gt;0,H154&lt;&gt;0),IF(OR(COUNTIF(Торговля!$B$5:$B$300,$B154)+COUNTIF(Лэндинг!$B$5:$B$300,$B154)&gt;0,COUNTIF($B155:$B$301,$B154)&gt;0),0,ROUND(SUMPRODUCT(($B$5:$B$300=$B154)*(($F$5:$F$300+$I$5:$I$300-ABS($F$5:$F$300-$I$5:$I$300))/2)*($J$5:$J$300-$G$5:$G$300)),8)),"")</f>
        <v/>
      </c>
      <c r="O154" s="183">
        <f>IF(ISNUMBER(N154),IF(OR(COUNTIF(Торговля!$B$5:$B$300,$B154)+COUNTIF(Лэндинг!$B$5:$B$300,$B154)&gt;0,COUNTIF($B155:$B$301,$B154)&gt;0),0,IF(SUMPRODUCT(($B$5:$B$300=$B154)*(($F$5:$F$300+$I$5:$I$300-ABS($F$5:$F$300-$I$5:$I$300))/2)*$G$5:$G$300)&lt;=0,"",ROUND(N154/SUMPRODUCT(($B$5:$B$300=$B154)*(($F$5:$F$300+$I$5:$I$300-ABS($F$5:$F$300-$I$5:$I$300))/2)*$G$5:$G$300)*100,2))),"")</f>
        <v/>
      </c>
    </row>
    <row r="155" ht="22" customHeight="1">
      <c r="B155" s="313" t="n"/>
      <c r="C155" s="314" t="n"/>
      <c r="D155" s="313" t="n"/>
      <c r="E155" s="315" t="n"/>
      <c r="F155" s="316" t="n"/>
      <c r="G155" s="317" t="n"/>
      <c r="H155" s="271">
        <f>IF(AND(ISNUMBER(F155),ISNUMBER(G155)),F155*G155,"")</f>
        <v/>
      </c>
      <c r="I155" s="316" t="n"/>
      <c r="J155" s="317" t="n"/>
      <c r="K155" s="271">
        <f>IF(AND(ISNUMBER(I155),ISNUMBER(J155)),I155*J155,"")</f>
        <v/>
      </c>
      <c r="L155" s="240">
        <f>IF(COUNT(F155,I155)=0,"",N(F155)-N(I155))</f>
        <v/>
      </c>
      <c r="M155" s="241">
        <f>IF(COUNT(H155,K155)=0,"",N(K155)-N(H155))</f>
        <v/>
      </c>
      <c r="N155" s="240">
        <f>IF(AND(ISNUMBER(F155),ISNUMBER(I155),ISNUMBER(H155),ISNUMBER(K155),F155&gt;0,I155&gt;0,H155&lt;&gt;0),IF(OR(COUNTIF(Торговля!$B$5:$B$300,$B155)+COUNTIF(Лэндинг!$B$5:$B$300,$B155)&gt;0,COUNTIF($B156:$B$301,$B155)&gt;0),0,ROUND(SUMPRODUCT(($B$5:$B$300=$B155)*(($F$5:$F$300+$I$5:$I$300-ABS($F$5:$F$300-$I$5:$I$300))/2)*($J$5:$J$300-$G$5:$G$300)),8)),"")</f>
        <v/>
      </c>
      <c r="O155" s="177">
        <f>IF(ISNUMBER(N155),IF(OR(COUNTIF(Торговля!$B$5:$B$300,$B155)+COUNTIF(Лэндинг!$B$5:$B$300,$B155)&gt;0,COUNTIF($B156:$B$301,$B155)&gt;0),0,IF(SUMPRODUCT(($B$5:$B$300=$B155)*(($F$5:$F$300+$I$5:$I$300-ABS($F$5:$F$300-$I$5:$I$300))/2)*$G$5:$G$300)&lt;=0,"",ROUND(N155/SUMPRODUCT(($B$5:$B$300=$B155)*(($F$5:$F$300+$I$5:$I$300-ABS($F$5:$F$300-$I$5:$I$300))/2)*$G$5:$G$300)*100,2))),"")</f>
        <v/>
      </c>
    </row>
    <row r="156" ht="22" customHeight="1">
      <c r="B156" s="318" t="n"/>
      <c r="C156" s="319" t="n"/>
      <c r="D156" s="318" t="n"/>
      <c r="E156" s="320" t="n"/>
      <c r="F156" s="321" t="n"/>
      <c r="G156" s="322" t="n"/>
      <c r="H156" s="271">
        <f>IF(AND(ISNUMBER(F156),ISNUMBER(G156)),F156*G156,"")</f>
        <v/>
      </c>
      <c r="I156" s="321" t="n"/>
      <c r="J156" s="322" t="n"/>
      <c r="K156" s="271">
        <f>IF(AND(ISNUMBER(I156),ISNUMBER(J156)),I156*J156,"")</f>
        <v/>
      </c>
      <c r="L156" s="246">
        <f>IF(COUNT(F156,I156)=0,"",N(F156)-N(I156))</f>
        <v/>
      </c>
      <c r="M156" s="247">
        <f>IF(COUNT(H156,K156)=0,"",N(K156)-N(H156))</f>
        <v/>
      </c>
      <c r="N156" s="246">
        <f>IF(AND(ISNUMBER(F156),ISNUMBER(I156),ISNUMBER(H156),ISNUMBER(K156),F156&gt;0,I156&gt;0,H156&lt;&gt;0),IF(OR(COUNTIF(Торговля!$B$5:$B$300,$B156)+COUNTIF(Лэндинг!$B$5:$B$300,$B156)&gt;0,COUNTIF($B157:$B$301,$B156)&gt;0),0,ROUND(SUMPRODUCT(($B$5:$B$300=$B156)*(($F$5:$F$300+$I$5:$I$300-ABS($F$5:$F$300-$I$5:$I$300))/2)*($J$5:$J$300-$G$5:$G$300)),8)),"")</f>
        <v/>
      </c>
      <c r="O156" s="183">
        <f>IF(ISNUMBER(N156),IF(OR(COUNTIF(Торговля!$B$5:$B$300,$B156)+COUNTIF(Лэндинг!$B$5:$B$300,$B156)&gt;0,COUNTIF($B157:$B$301,$B156)&gt;0),0,IF(SUMPRODUCT(($B$5:$B$300=$B156)*(($F$5:$F$300+$I$5:$I$300-ABS($F$5:$F$300-$I$5:$I$300))/2)*$G$5:$G$300)&lt;=0,"",ROUND(N156/SUMPRODUCT(($B$5:$B$300=$B156)*(($F$5:$F$300+$I$5:$I$300-ABS($F$5:$F$300-$I$5:$I$300))/2)*$G$5:$G$300)*100,2))),"")</f>
        <v/>
      </c>
    </row>
    <row r="157" ht="22" customHeight="1">
      <c r="B157" s="313" t="n"/>
      <c r="C157" s="314" t="n"/>
      <c r="D157" s="313" t="n"/>
      <c r="E157" s="315" t="n"/>
      <c r="F157" s="316" t="n"/>
      <c r="G157" s="317" t="n"/>
      <c r="H157" s="271">
        <f>IF(AND(ISNUMBER(F157),ISNUMBER(G157)),F157*G157,"")</f>
        <v/>
      </c>
      <c r="I157" s="316" t="n"/>
      <c r="J157" s="317" t="n"/>
      <c r="K157" s="271">
        <f>IF(AND(ISNUMBER(I157),ISNUMBER(J157)),I157*J157,"")</f>
        <v/>
      </c>
      <c r="L157" s="240">
        <f>IF(COUNT(F157,I157)=0,"",N(F157)-N(I157))</f>
        <v/>
      </c>
      <c r="M157" s="241">
        <f>IF(COUNT(H157,K157)=0,"",N(K157)-N(H157))</f>
        <v/>
      </c>
      <c r="N157" s="240">
        <f>IF(AND(ISNUMBER(F157),ISNUMBER(I157),ISNUMBER(H157),ISNUMBER(K157),F157&gt;0,I157&gt;0,H157&lt;&gt;0),IF(OR(COUNTIF(Торговля!$B$5:$B$300,$B157)+COUNTIF(Лэндинг!$B$5:$B$300,$B157)&gt;0,COUNTIF($B158:$B$301,$B157)&gt;0),0,ROUND(SUMPRODUCT(($B$5:$B$300=$B157)*(($F$5:$F$300+$I$5:$I$300-ABS($F$5:$F$300-$I$5:$I$300))/2)*($J$5:$J$300-$G$5:$G$300)),8)),"")</f>
        <v/>
      </c>
      <c r="O157" s="177">
        <f>IF(ISNUMBER(N157),IF(OR(COUNTIF(Торговля!$B$5:$B$300,$B157)+COUNTIF(Лэндинг!$B$5:$B$300,$B157)&gt;0,COUNTIF($B158:$B$301,$B157)&gt;0),0,IF(SUMPRODUCT(($B$5:$B$300=$B157)*(($F$5:$F$300+$I$5:$I$300-ABS($F$5:$F$300-$I$5:$I$300))/2)*$G$5:$G$300)&lt;=0,"",ROUND(N157/SUMPRODUCT(($B$5:$B$300=$B157)*(($F$5:$F$300+$I$5:$I$300-ABS($F$5:$F$300-$I$5:$I$300))/2)*$G$5:$G$300)*100,2))),"")</f>
        <v/>
      </c>
    </row>
    <row r="158" ht="22" customHeight="1">
      <c r="B158" s="318" t="n"/>
      <c r="C158" s="319" t="n"/>
      <c r="D158" s="318" t="n"/>
      <c r="E158" s="320" t="n"/>
      <c r="F158" s="321" t="n"/>
      <c r="G158" s="322" t="n"/>
      <c r="H158" s="271">
        <f>IF(AND(ISNUMBER(F158),ISNUMBER(G158)),F158*G158,"")</f>
        <v/>
      </c>
      <c r="I158" s="321" t="n"/>
      <c r="J158" s="322" t="n"/>
      <c r="K158" s="271">
        <f>IF(AND(ISNUMBER(I158),ISNUMBER(J158)),I158*J158,"")</f>
        <v/>
      </c>
      <c r="L158" s="246">
        <f>IF(COUNT(F158,I158)=0,"",N(F158)-N(I158))</f>
        <v/>
      </c>
      <c r="M158" s="247">
        <f>IF(COUNT(H158,K158)=0,"",N(K158)-N(H158))</f>
        <v/>
      </c>
      <c r="N158" s="246">
        <f>IF(AND(ISNUMBER(F158),ISNUMBER(I158),ISNUMBER(H158),ISNUMBER(K158),F158&gt;0,I158&gt;0,H158&lt;&gt;0),IF(OR(COUNTIF(Торговля!$B$5:$B$300,$B158)+COUNTIF(Лэндинг!$B$5:$B$300,$B158)&gt;0,COUNTIF($B159:$B$301,$B158)&gt;0),0,ROUND(SUMPRODUCT(($B$5:$B$300=$B158)*(($F$5:$F$300+$I$5:$I$300-ABS($F$5:$F$300-$I$5:$I$300))/2)*($J$5:$J$300-$G$5:$G$300)),8)),"")</f>
        <v/>
      </c>
      <c r="O158" s="183">
        <f>IF(ISNUMBER(N158),IF(OR(COUNTIF(Торговля!$B$5:$B$300,$B158)+COUNTIF(Лэндинг!$B$5:$B$300,$B158)&gt;0,COUNTIF($B159:$B$301,$B158)&gt;0),0,IF(SUMPRODUCT(($B$5:$B$300=$B158)*(($F$5:$F$300+$I$5:$I$300-ABS($F$5:$F$300-$I$5:$I$300))/2)*$G$5:$G$300)&lt;=0,"",ROUND(N158/SUMPRODUCT(($B$5:$B$300=$B158)*(($F$5:$F$300+$I$5:$I$300-ABS($F$5:$F$300-$I$5:$I$300))/2)*$G$5:$G$300)*100,2))),"")</f>
        <v/>
      </c>
    </row>
    <row r="159" ht="22" customHeight="1">
      <c r="B159" s="313" t="n"/>
      <c r="C159" s="314" t="n"/>
      <c r="D159" s="313" t="n"/>
      <c r="E159" s="315" t="n"/>
      <c r="F159" s="316" t="n"/>
      <c r="G159" s="317" t="n"/>
      <c r="H159" s="271">
        <f>IF(AND(ISNUMBER(F159),ISNUMBER(G159)),F159*G159,"")</f>
        <v/>
      </c>
      <c r="I159" s="316" t="n"/>
      <c r="J159" s="317" t="n"/>
      <c r="K159" s="271">
        <f>IF(AND(ISNUMBER(I159),ISNUMBER(J159)),I159*J159,"")</f>
        <v/>
      </c>
      <c r="L159" s="240">
        <f>IF(COUNT(F159,I159)=0,"",N(F159)-N(I159))</f>
        <v/>
      </c>
      <c r="M159" s="241">
        <f>IF(COUNT(H159,K159)=0,"",N(K159)-N(H159))</f>
        <v/>
      </c>
      <c r="N159" s="240">
        <f>IF(AND(ISNUMBER(F159),ISNUMBER(I159),ISNUMBER(H159),ISNUMBER(K159),F159&gt;0,I159&gt;0,H159&lt;&gt;0),IF(OR(COUNTIF(Торговля!$B$5:$B$300,$B159)+COUNTIF(Лэндинг!$B$5:$B$300,$B159)&gt;0,COUNTIF($B160:$B$301,$B159)&gt;0),0,ROUND(SUMPRODUCT(($B$5:$B$300=$B159)*(($F$5:$F$300+$I$5:$I$300-ABS($F$5:$F$300-$I$5:$I$300))/2)*($J$5:$J$300-$G$5:$G$300)),8)),"")</f>
        <v/>
      </c>
      <c r="O159" s="177">
        <f>IF(ISNUMBER(N159),IF(OR(COUNTIF(Торговля!$B$5:$B$300,$B159)+COUNTIF(Лэндинг!$B$5:$B$300,$B159)&gt;0,COUNTIF($B160:$B$301,$B159)&gt;0),0,IF(SUMPRODUCT(($B$5:$B$300=$B159)*(($F$5:$F$300+$I$5:$I$300-ABS($F$5:$F$300-$I$5:$I$300))/2)*$G$5:$G$300)&lt;=0,"",ROUND(N159/SUMPRODUCT(($B$5:$B$300=$B159)*(($F$5:$F$300+$I$5:$I$300-ABS($F$5:$F$300-$I$5:$I$300))/2)*$G$5:$G$300)*100,2))),"")</f>
        <v/>
      </c>
    </row>
    <row r="160" ht="22" customHeight="1">
      <c r="B160" s="318" t="n"/>
      <c r="C160" s="319" t="n"/>
      <c r="D160" s="318" t="n"/>
      <c r="E160" s="320" t="n"/>
      <c r="F160" s="321" t="n"/>
      <c r="G160" s="322" t="n"/>
      <c r="H160" s="271">
        <f>IF(AND(ISNUMBER(F160),ISNUMBER(G160)),F160*G160,"")</f>
        <v/>
      </c>
      <c r="I160" s="321" t="n"/>
      <c r="J160" s="322" t="n"/>
      <c r="K160" s="271">
        <f>IF(AND(ISNUMBER(I160),ISNUMBER(J160)),I160*J160,"")</f>
        <v/>
      </c>
      <c r="L160" s="246">
        <f>IF(COUNT(F160,I160)=0,"",N(F160)-N(I160))</f>
        <v/>
      </c>
      <c r="M160" s="247">
        <f>IF(COUNT(H160,K160)=0,"",N(K160)-N(H160))</f>
        <v/>
      </c>
      <c r="N160" s="246">
        <f>IF(AND(ISNUMBER(F160),ISNUMBER(I160),ISNUMBER(H160),ISNUMBER(K160),F160&gt;0,I160&gt;0,H160&lt;&gt;0),IF(OR(COUNTIF(Торговля!$B$5:$B$300,$B160)+COUNTIF(Лэндинг!$B$5:$B$300,$B160)&gt;0,COUNTIF($B161:$B$301,$B160)&gt;0),0,ROUND(SUMPRODUCT(($B$5:$B$300=$B160)*(($F$5:$F$300+$I$5:$I$300-ABS($F$5:$F$300-$I$5:$I$300))/2)*($J$5:$J$300-$G$5:$G$300)),8)),"")</f>
        <v/>
      </c>
      <c r="O160" s="183">
        <f>IF(ISNUMBER(N160),IF(OR(COUNTIF(Торговля!$B$5:$B$300,$B160)+COUNTIF(Лэндинг!$B$5:$B$300,$B160)&gt;0,COUNTIF($B161:$B$301,$B160)&gt;0),0,IF(SUMPRODUCT(($B$5:$B$300=$B160)*(($F$5:$F$300+$I$5:$I$300-ABS($F$5:$F$300-$I$5:$I$300))/2)*$G$5:$G$300)&lt;=0,"",ROUND(N160/SUMPRODUCT(($B$5:$B$300=$B160)*(($F$5:$F$300+$I$5:$I$300-ABS($F$5:$F$300-$I$5:$I$300))/2)*$G$5:$G$300)*100,2))),"")</f>
        <v/>
      </c>
    </row>
    <row r="161" ht="22" customHeight="1">
      <c r="B161" s="313" t="n"/>
      <c r="C161" s="314" t="n"/>
      <c r="D161" s="313" t="n"/>
      <c r="E161" s="315" t="n"/>
      <c r="F161" s="316" t="n"/>
      <c r="G161" s="317" t="n"/>
      <c r="H161" s="271">
        <f>IF(AND(ISNUMBER(F161),ISNUMBER(G161)),F161*G161,"")</f>
        <v/>
      </c>
      <c r="I161" s="316" t="n"/>
      <c r="J161" s="317" t="n"/>
      <c r="K161" s="271">
        <f>IF(AND(ISNUMBER(I161),ISNUMBER(J161)),I161*J161,"")</f>
        <v/>
      </c>
      <c r="L161" s="240">
        <f>IF(COUNT(F161,I161)=0,"",N(F161)-N(I161))</f>
        <v/>
      </c>
      <c r="M161" s="241">
        <f>IF(COUNT(H161,K161)=0,"",N(K161)-N(H161))</f>
        <v/>
      </c>
      <c r="N161" s="240">
        <f>IF(AND(ISNUMBER(F161),ISNUMBER(I161),ISNUMBER(H161),ISNUMBER(K161),F161&gt;0,I161&gt;0,H161&lt;&gt;0),IF(OR(COUNTIF(Торговля!$B$5:$B$300,$B161)+COUNTIF(Лэндинг!$B$5:$B$300,$B161)&gt;0,COUNTIF($B162:$B$301,$B161)&gt;0),0,ROUND(SUMPRODUCT(($B$5:$B$300=$B161)*(($F$5:$F$300+$I$5:$I$300-ABS($F$5:$F$300-$I$5:$I$300))/2)*($J$5:$J$300-$G$5:$G$300)),8)),"")</f>
        <v/>
      </c>
      <c r="O161" s="177">
        <f>IF(ISNUMBER(N161),IF(OR(COUNTIF(Торговля!$B$5:$B$300,$B161)+COUNTIF(Лэндинг!$B$5:$B$300,$B161)&gt;0,COUNTIF($B162:$B$301,$B161)&gt;0),0,IF(SUMPRODUCT(($B$5:$B$300=$B161)*(($F$5:$F$300+$I$5:$I$300-ABS($F$5:$F$300-$I$5:$I$300))/2)*$G$5:$G$300)&lt;=0,"",ROUND(N161/SUMPRODUCT(($B$5:$B$300=$B161)*(($F$5:$F$300+$I$5:$I$300-ABS($F$5:$F$300-$I$5:$I$300))/2)*$G$5:$G$300)*100,2))),"")</f>
        <v/>
      </c>
    </row>
    <row r="162" ht="22" customHeight="1">
      <c r="B162" s="318" t="n"/>
      <c r="C162" s="319" t="n"/>
      <c r="D162" s="318" t="n"/>
      <c r="E162" s="320" t="n"/>
      <c r="F162" s="321" t="n"/>
      <c r="G162" s="322" t="n"/>
      <c r="H162" s="271">
        <f>IF(AND(ISNUMBER(F162),ISNUMBER(G162)),F162*G162,"")</f>
        <v/>
      </c>
      <c r="I162" s="321" t="n"/>
      <c r="J162" s="322" t="n"/>
      <c r="K162" s="271">
        <f>IF(AND(ISNUMBER(I162),ISNUMBER(J162)),I162*J162,"")</f>
        <v/>
      </c>
      <c r="L162" s="246">
        <f>IF(COUNT(F162,I162)=0,"",N(F162)-N(I162))</f>
        <v/>
      </c>
      <c r="M162" s="247">
        <f>IF(COUNT(H162,K162)=0,"",N(K162)-N(H162))</f>
        <v/>
      </c>
      <c r="N162" s="246">
        <f>IF(AND(ISNUMBER(F162),ISNUMBER(I162),ISNUMBER(H162),ISNUMBER(K162),F162&gt;0,I162&gt;0,H162&lt;&gt;0),IF(OR(COUNTIF(Торговля!$B$5:$B$300,$B162)+COUNTIF(Лэндинг!$B$5:$B$300,$B162)&gt;0,COUNTIF($B163:$B$301,$B162)&gt;0),0,ROUND(SUMPRODUCT(($B$5:$B$300=$B162)*(($F$5:$F$300+$I$5:$I$300-ABS($F$5:$F$300-$I$5:$I$300))/2)*($J$5:$J$300-$G$5:$G$300)),8)),"")</f>
        <v/>
      </c>
      <c r="O162" s="183">
        <f>IF(ISNUMBER(N162),IF(OR(COUNTIF(Торговля!$B$5:$B$300,$B162)+COUNTIF(Лэндинг!$B$5:$B$300,$B162)&gt;0,COUNTIF($B163:$B$301,$B162)&gt;0),0,IF(SUMPRODUCT(($B$5:$B$300=$B162)*(($F$5:$F$300+$I$5:$I$300-ABS($F$5:$F$300-$I$5:$I$300))/2)*$G$5:$G$300)&lt;=0,"",ROUND(N162/SUMPRODUCT(($B$5:$B$300=$B162)*(($F$5:$F$300+$I$5:$I$300-ABS($F$5:$F$300-$I$5:$I$300))/2)*$G$5:$G$300)*100,2))),"")</f>
        <v/>
      </c>
    </row>
    <row r="163" ht="22" customHeight="1">
      <c r="B163" s="313" t="n"/>
      <c r="C163" s="314" t="n"/>
      <c r="D163" s="313" t="n"/>
      <c r="E163" s="315" t="n"/>
      <c r="F163" s="316" t="n"/>
      <c r="G163" s="317" t="n"/>
      <c r="H163" s="271">
        <f>IF(AND(ISNUMBER(F163),ISNUMBER(G163)),F163*G163,"")</f>
        <v/>
      </c>
      <c r="I163" s="316" t="n"/>
      <c r="J163" s="317" t="n"/>
      <c r="K163" s="271">
        <f>IF(AND(ISNUMBER(I163),ISNUMBER(J163)),I163*J163,"")</f>
        <v/>
      </c>
      <c r="L163" s="240">
        <f>IF(COUNT(F163,I163)=0,"",N(F163)-N(I163))</f>
        <v/>
      </c>
      <c r="M163" s="241">
        <f>IF(COUNT(H163,K163)=0,"",N(K163)-N(H163))</f>
        <v/>
      </c>
      <c r="N163" s="240">
        <f>IF(AND(ISNUMBER(F163),ISNUMBER(I163),ISNUMBER(H163),ISNUMBER(K163),F163&gt;0,I163&gt;0,H163&lt;&gt;0),IF(OR(COUNTIF(Торговля!$B$5:$B$300,$B163)+COUNTIF(Лэндинг!$B$5:$B$300,$B163)&gt;0,COUNTIF($B164:$B$301,$B163)&gt;0),0,ROUND(SUMPRODUCT(($B$5:$B$300=$B163)*(($F$5:$F$300+$I$5:$I$300-ABS($F$5:$F$300-$I$5:$I$300))/2)*($J$5:$J$300-$G$5:$G$300)),8)),"")</f>
        <v/>
      </c>
      <c r="O163" s="177">
        <f>IF(ISNUMBER(N163),IF(OR(COUNTIF(Торговля!$B$5:$B$300,$B163)+COUNTIF(Лэндинг!$B$5:$B$300,$B163)&gt;0,COUNTIF($B164:$B$301,$B163)&gt;0),0,IF(SUMPRODUCT(($B$5:$B$300=$B163)*(($F$5:$F$300+$I$5:$I$300-ABS($F$5:$F$300-$I$5:$I$300))/2)*$G$5:$G$300)&lt;=0,"",ROUND(N163/SUMPRODUCT(($B$5:$B$300=$B163)*(($F$5:$F$300+$I$5:$I$300-ABS($F$5:$F$300-$I$5:$I$300))/2)*$G$5:$G$300)*100,2))),"")</f>
        <v/>
      </c>
    </row>
    <row r="164" ht="22" customHeight="1">
      <c r="B164" s="318" t="n"/>
      <c r="C164" s="319" t="n"/>
      <c r="D164" s="318" t="n"/>
      <c r="E164" s="320" t="n"/>
      <c r="F164" s="321" t="n"/>
      <c r="G164" s="322" t="n"/>
      <c r="H164" s="271">
        <f>IF(AND(ISNUMBER(F164),ISNUMBER(G164)),F164*G164,"")</f>
        <v/>
      </c>
      <c r="I164" s="321" t="n"/>
      <c r="J164" s="322" t="n"/>
      <c r="K164" s="271">
        <f>IF(AND(ISNUMBER(I164),ISNUMBER(J164)),I164*J164,"")</f>
        <v/>
      </c>
      <c r="L164" s="246">
        <f>IF(COUNT(F164,I164)=0,"",N(F164)-N(I164))</f>
        <v/>
      </c>
      <c r="M164" s="247">
        <f>IF(COUNT(H164,K164)=0,"",N(K164)-N(H164))</f>
        <v/>
      </c>
      <c r="N164" s="246">
        <f>IF(AND(ISNUMBER(F164),ISNUMBER(I164),ISNUMBER(H164),ISNUMBER(K164),F164&gt;0,I164&gt;0,H164&lt;&gt;0),IF(OR(COUNTIF(Торговля!$B$5:$B$300,$B164)+COUNTIF(Лэндинг!$B$5:$B$300,$B164)&gt;0,COUNTIF($B165:$B$301,$B164)&gt;0),0,ROUND(SUMPRODUCT(($B$5:$B$300=$B164)*(($F$5:$F$300+$I$5:$I$300-ABS($F$5:$F$300-$I$5:$I$300))/2)*($J$5:$J$300-$G$5:$G$300)),8)),"")</f>
        <v/>
      </c>
      <c r="O164" s="183">
        <f>IF(ISNUMBER(N164),IF(OR(COUNTIF(Торговля!$B$5:$B$300,$B164)+COUNTIF(Лэндинг!$B$5:$B$300,$B164)&gt;0,COUNTIF($B165:$B$301,$B164)&gt;0),0,IF(SUMPRODUCT(($B$5:$B$300=$B164)*(($F$5:$F$300+$I$5:$I$300-ABS($F$5:$F$300-$I$5:$I$300))/2)*$G$5:$G$300)&lt;=0,"",ROUND(N164/SUMPRODUCT(($B$5:$B$300=$B164)*(($F$5:$F$300+$I$5:$I$300-ABS($F$5:$F$300-$I$5:$I$300))/2)*$G$5:$G$300)*100,2))),"")</f>
        <v/>
      </c>
    </row>
    <row r="165" ht="22" customHeight="1">
      <c r="B165" s="313" t="n"/>
      <c r="C165" s="314" t="n"/>
      <c r="D165" s="313" t="n"/>
      <c r="E165" s="315" t="n"/>
      <c r="F165" s="316" t="n"/>
      <c r="G165" s="317" t="n"/>
      <c r="H165" s="271">
        <f>IF(AND(ISNUMBER(F165),ISNUMBER(G165)),F165*G165,"")</f>
        <v/>
      </c>
      <c r="I165" s="316" t="n"/>
      <c r="J165" s="317" t="n"/>
      <c r="K165" s="271">
        <f>IF(AND(ISNUMBER(I165),ISNUMBER(J165)),I165*J165,"")</f>
        <v/>
      </c>
      <c r="L165" s="240">
        <f>IF(COUNT(F165,I165)=0,"",N(F165)-N(I165))</f>
        <v/>
      </c>
      <c r="M165" s="241">
        <f>IF(COUNT(H165,K165)=0,"",N(K165)-N(H165))</f>
        <v/>
      </c>
      <c r="N165" s="240">
        <f>IF(AND(ISNUMBER(F165),ISNUMBER(I165),ISNUMBER(H165),ISNUMBER(K165),F165&gt;0,I165&gt;0,H165&lt;&gt;0),IF(OR(COUNTIF(Торговля!$B$5:$B$300,$B165)+COUNTIF(Лэндинг!$B$5:$B$300,$B165)&gt;0,COUNTIF($B166:$B$301,$B165)&gt;0),0,ROUND(SUMPRODUCT(($B$5:$B$300=$B165)*(($F$5:$F$300+$I$5:$I$300-ABS($F$5:$F$300-$I$5:$I$300))/2)*($J$5:$J$300-$G$5:$G$300)),8)),"")</f>
        <v/>
      </c>
      <c r="O165" s="177">
        <f>IF(ISNUMBER(N165),IF(OR(COUNTIF(Торговля!$B$5:$B$300,$B165)+COUNTIF(Лэндинг!$B$5:$B$300,$B165)&gt;0,COUNTIF($B166:$B$301,$B165)&gt;0),0,IF(SUMPRODUCT(($B$5:$B$300=$B165)*(($F$5:$F$300+$I$5:$I$300-ABS($F$5:$F$300-$I$5:$I$300))/2)*$G$5:$G$300)&lt;=0,"",ROUND(N165/SUMPRODUCT(($B$5:$B$300=$B165)*(($F$5:$F$300+$I$5:$I$300-ABS($F$5:$F$300-$I$5:$I$300))/2)*$G$5:$G$300)*100,2))),"")</f>
        <v/>
      </c>
    </row>
    <row r="166" ht="22" customHeight="1">
      <c r="B166" s="318" t="n"/>
      <c r="C166" s="319" t="n"/>
      <c r="D166" s="318" t="n"/>
      <c r="E166" s="320" t="n"/>
      <c r="F166" s="321" t="n"/>
      <c r="G166" s="322" t="n"/>
      <c r="H166" s="271">
        <f>IF(AND(ISNUMBER(F166),ISNUMBER(G166)),F166*G166,"")</f>
        <v/>
      </c>
      <c r="I166" s="321" t="n"/>
      <c r="J166" s="322" t="n"/>
      <c r="K166" s="271">
        <f>IF(AND(ISNUMBER(I166),ISNUMBER(J166)),I166*J166,"")</f>
        <v/>
      </c>
      <c r="L166" s="246">
        <f>IF(COUNT(F166,I166)=0,"",N(F166)-N(I166))</f>
        <v/>
      </c>
      <c r="M166" s="247">
        <f>IF(COUNT(H166,K166)=0,"",N(K166)-N(H166))</f>
        <v/>
      </c>
      <c r="N166" s="246">
        <f>IF(AND(ISNUMBER(F166),ISNUMBER(I166),ISNUMBER(H166),ISNUMBER(K166),F166&gt;0,I166&gt;0,H166&lt;&gt;0),IF(OR(COUNTIF(Торговля!$B$5:$B$300,$B166)+COUNTIF(Лэндинг!$B$5:$B$300,$B166)&gt;0,COUNTIF($B167:$B$301,$B166)&gt;0),0,ROUND(SUMPRODUCT(($B$5:$B$300=$B166)*(($F$5:$F$300+$I$5:$I$300-ABS($F$5:$F$300-$I$5:$I$300))/2)*($J$5:$J$300-$G$5:$G$300)),8)),"")</f>
        <v/>
      </c>
      <c r="O166" s="183">
        <f>IF(ISNUMBER(N166),IF(OR(COUNTIF(Торговля!$B$5:$B$300,$B166)+COUNTIF(Лэндинг!$B$5:$B$300,$B166)&gt;0,COUNTIF($B167:$B$301,$B166)&gt;0),0,IF(SUMPRODUCT(($B$5:$B$300=$B166)*(($F$5:$F$300+$I$5:$I$300-ABS($F$5:$F$300-$I$5:$I$300))/2)*$G$5:$G$300)&lt;=0,"",ROUND(N166/SUMPRODUCT(($B$5:$B$300=$B166)*(($F$5:$F$300+$I$5:$I$300-ABS($F$5:$F$300-$I$5:$I$300))/2)*$G$5:$G$300)*100,2))),"")</f>
        <v/>
      </c>
    </row>
    <row r="167" ht="22" customHeight="1">
      <c r="B167" s="313" t="n"/>
      <c r="C167" s="314" t="n"/>
      <c r="D167" s="313" t="n"/>
      <c r="E167" s="315" t="n"/>
      <c r="F167" s="316" t="n"/>
      <c r="G167" s="317" t="n"/>
      <c r="H167" s="271">
        <f>IF(AND(ISNUMBER(F167),ISNUMBER(G167)),F167*G167,"")</f>
        <v/>
      </c>
      <c r="I167" s="316" t="n"/>
      <c r="J167" s="317" t="n"/>
      <c r="K167" s="271">
        <f>IF(AND(ISNUMBER(I167),ISNUMBER(J167)),I167*J167,"")</f>
        <v/>
      </c>
      <c r="L167" s="240">
        <f>IF(COUNT(F167,I167)=0,"",N(F167)-N(I167))</f>
        <v/>
      </c>
      <c r="M167" s="241">
        <f>IF(COUNT(H167,K167)=0,"",N(K167)-N(H167))</f>
        <v/>
      </c>
      <c r="N167" s="240">
        <f>IF(AND(ISNUMBER(F167),ISNUMBER(I167),ISNUMBER(H167),ISNUMBER(K167),F167&gt;0,I167&gt;0,H167&lt;&gt;0),IF(OR(COUNTIF(Торговля!$B$5:$B$300,$B167)+COUNTIF(Лэндинг!$B$5:$B$300,$B167)&gt;0,COUNTIF($B168:$B$301,$B167)&gt;0),0,ROUND(SUMPRODUCT(($B$5:$B$300=$B167)*(($F$5:$F$300+$I$5:$I$300-ABS($F$5:$F$300-$I$5:$I$300))/2)*($J$5:$J$300-$G$5:$G$300)),8)),"")</f>
        <v/>
      </c>
      <c r="O167" s="177">
        <f>IF(ISNUMBER(N167),IF(OR(COUNTIF(Торговля!$B$5:$B$300,$B167)+COUNTIF(Лэндинг!$B$5:$B$300,$B167)&gt;0,COUNTIF($B168:$B$301,$B167)&gt;0),0,IF(SUMPRODUCT(($B$5:$B$300=$B167)*(($F$5:$F$300+$I$5:$I$300-ABS($F$5:$F$300-$I$5:$I$300))/2)*$G$5:$G$300)&lt;=0,"",ROUND(N167/SUMPRODUCT(($B$5:$B$300=$B167)*(($F$5:$F$300+$I$5:$I$300-ABS($F$5:$F$300-$I$5:$I$300))/2)*$G$5:$G$300)*100,2))),"")</f>
        <v/>
      </c>
    </row>
    <row r="168" ht="22" customHeight="1">
      <c r="B168" s="318" t="n"/>
      <c r="C168" s="319" t="n"/>
      <c r="D168" s="318" t="n"/>
      <c r="E168" s="320" t="n"/>
      <c r="F168" s="321" t="n"/>
      <c r="G168" s="322" t="n"/>
      <c r="H168" s="271">
        <f>IF(AND(ISNUMBER(F168),ISNUMBER(G168)),F168*G168,"")</f>
        <v/>
      </c>
      <c r="I168" s="321" t="n"/>
      <c r="J168" s="322" t="n"/>
      <c r="K168" s="271">
        <f>IF(AND(ISNUMBER(I168),ISNUMBER(J168)),I168*J168,"")</f>
        <v/>
      </c>
      <c r="L168" s="246">
        <f>IF(COUNT(F168,I168)=0,"",N(F168)-N(I168))</f>
        <v/>
      </c>
      <c r="M168" s="247">
        <f>IF(COUNT(H168,K168)=0,"",N(K168)-N(H168))</f>
        <v/>
      </c>
      <c r="N168" s="246">
        <f>IF(AND(ISNUMBER(F168),ISNUMBER(I168),ISNUMBER(H168),ISNUMBER(K168),F168&gt;0,I168&gt;0,H168&lt;&gt;0),IF(OR(COUNTIF(Торговля!$B$5:$B$300,$B168)+COUNTIF(Лэндинг!$B$5:$B$300,$B168)&gt;0,COUNTIF($B169:$B$301,$B168)&gt;0),0,ROUND(SUMPRODUCT(($B$5:$B$300=$B168)*(($F$5:$F$300+$I$5:$I$300-ABS($F$5:$F$300-$I$5:$I$300))/2)*($J$5:$J$300-$G$5:$G$300)),8)),"")</f>
        <v/>
      </c>
      <c r="O168" s="183">
        <f>IF(ISNUMBER(N168),IF(OR(COUNTIF(Торговля!$B$5:$B$300,$B168)+COUNTIF(Лэндинг!$B$5:$B$300,$B168)&gt;0,COUNTIF($B169:$B$301,$B168)&gt;0),0,IF(SUMPRODUCT(($B$5:$B$300=$B168)*(($F$5:$F$300+$I$5:$I$300-ABS($F$5:$F$300-$I$5:$I$300))/2)*$G$5:$G$300)&lt;=0,"",ROUND(N168/SUMPRODUCT(($B$5:$B$300=$B168)*(($F$5:$F$300+$I$5:$I$300-ABS($F$5:$F$300-$I$5:$I$300))/2)*$G$5:$G$300)*100,2))),"")</f>
        <v/>
      </c>
    </row>
    <row r="169" ht="22" customHeight="1">
      <c r="B169" s="313" t="n"/>
      <c r="C169" s="314" t="n"/>
      <c r="D169" s="313" t="n"/>
      <c r="E169" s="315" t="n"/>
      <c r="F169" s="316" t="n"/>
      <c r="G169" s="317" t="n"/>
      <c r="H169" s="271">
        <f>IF(AND(ISNUMBER(F169),ISNUMBER(G169)),F169*G169,"")</f>
        <v/>
      </c>
      <c r="I169" s="316" t="n"/>
      <c r="J169" s="317" t="n"/>
      <c r="K169" s="271">
        <f>IF(AND(ISNUMBER(I169),ISNUMBER(J169)),I169*J169,"")</f>
        <v/>
      </c>
      <c r="L169" s="240">
        <f>IF(COUNT(F169,I169)=0,"",N(F169)-N(I169))</f>
        <v/>
      </c>
      <c r="M169" s="241">
        <f>IF(COUNT(H169,K169)=0,"",N(K169)-N(H169))</f>
        <v/>
      </c>
      <c r="N169" s="240">
        <f>IF(AND(ISNUMBER(F169),ISNUMBER(I169),ISNUMBER(H169),ISNUMBER(K169),F169&gt;0,I169&gt;0,H169&lt;&gt;0),IF(OR(COUNTIF(Торговля!$B$5:$B$300,$B169)+COUNTIF(Лэндинг!$B$5:$B$300,$B169)&gt;0,COUNTIF($B170:$B$301,$B169)&gt;0),0,ROUND(SUMPRODUCT(($B$5:$B$300=$B169)*(($F$5:$F$300+$I$5:$I$300-ABS($F$5:$F$300-$I$5:$I$300))/2)*($J$5:$J$300-$G$5:$G$300)),8)),"")</f>
        <v/>
      </c>
      <c r="O169" s="177">
        <f>IF(ISNUMBER(N169),IF(OR(COUNTIF(Торговля!$B$5:$B$300,$B169)+COUNTIF(Лэндинг!$B$5:$B$300,$B169)&gt;0,COUNTIF($B170:$B$301,$B169)&gt;0),0,IF(SUMPRODUCT(($B$5:$B$300=$B169)*(($F$5:$F$300+$I$5:$I$300-ABS($F$5:$F$300-$I$5:$I$300))/2)*$G$5:$G$300)&lt;=0,"",ROUND(N169/SUMPRODUCT(($B$5:$B$300=$B169)*(($F$5:$F$300+$I$5:$I$300-ABS($F$5:$F$300-$I$5:$I$300))/2)*$G$5:$G$300)*100,2))),"")</f>
        <v/>
      </c>
    </row>
    <row r="170" ht="22" customHeight="1">
      <c r="B170" s="318" t="n"/>
      <c r="C170" s="319" t="n"/>
      <c r="D170" s="318" t="n"/>
      <c r="E170" s="320" t="n"/>
      <c r="F170" s="321" t="n"/>
      <c r="G170" s="322" t="n"/>
      <c r="H170" s="271">
        <f>IF(AND(ISNUMBER(F170),ISNUMBER(G170)),F170*G170,"")</f>
        <v/>
      </c>
      <c r="I170" s="321" t="n"/>
      <c r="J170" s="322" t="n"/>
      <c r="K170" s="271">
        <f>IF(AND(ISNUMBER(I170),ISNUMBER(J170)),I170*J170,"")</f>
        <v/>
      </c>
      <c r="L170" s="246">
        <f>IF(COUNT(F170,I170)=0,"",N(F170)-N(I170))</f>
        <v/>
      </c>
      <c r="M170" s="247">
        <f>IF(COUNT(H170,K170)=0,"",N(K170)-N(H170))</f>
        <v/>
      </c>
      <c r="N170" s="246">
        <f>IF(AND(ISNUMBER(F170),ISNUMBER(I170),ISNUMBER(H170),ISNUMBER(K170),F170&gt;0,I170&gt;0,H170&lt;&gt;0),IF(OR(COUNTIF(Торговля!$B$5:$B$300,$B170)+COUNTIF(Лэндинг!$B$5:$B$300,$B170)&gt;0,COUNTIF($B171:$B$301,$B170)&gt;0),0,ROUND(SUMPRODUCT(($B$5:$B$300=$B170)*(($F$5:$F$300+$I$5:$I$300-ABS($F$5:$F$300-$I$5:$I$300))/2)*($J$5:$J$300-$G$5:$G$300)),8)),"")</f>
        <v/>
      </c>
      <c r="O170" s="183">
        <f>IF(ISNUMBER(N170),IF(OR(COUNTIF(Торговля!$B$5:$B$300,$B170)+COUNTIF(Лэндинг!$B$5:$B$300,$B170)&gt;0,COUNTIF($B171:$B$301,$B170)&gt;0),0,IF(SUMPRODUCT(($B$5:$B$300=$B170)*(($F$5:$F$300+$I$5:$I$300-ABS($F$5:$F$300-$I$5:$I$300))/2)*$G$5:$G$300)&lt;=0,"",ROUND(N170/SUMPRODUCT(($B$5:$B$300=$B170)*(($F$5:$F$300+$I$5:$I$300-ABS($F$5:$F$300-$I$5:$I$300))/2)*$G$5:$G$300)*100,2))),"")</f>
        <v/>
      </c>
    </row>
    <row r="171" ht="22" customHeight="1">
      <c r="B171" s="313" t="n"/>
      <c r="C171" s="314" t="n"/>
      <c r="D171" s="313" t="n"/>
      <c r="E171" s="315" t="n"/>
      <c r="F171" s="316" t="n"/>
      <c r="G171" s="317" t="n"/>
      <c r="H171" s="271">
        <f>IF(AND(ISNUMBER(F171),ISNUMBER(G171)),F171*G171,"")</f>
        <v/>
      </c>
      <c r="I171" s="316" t="n"/>
      <c r="J171" s="317" t="n"/>
      <c r="K171" s="271">
        <f>IF(AND(ISNUMBER(I171),ISNUMBER(J171)),I171*J171,"")</f>
        <v/>
      </c>
      <c r="L171" s="240">
        <f>IF(COUNT(F171,I171)=0,"",N(F171)-N(I171))</f>
        <v/>
      </c>
      <c r="M171" s="241">
        <f>IF(COUNT(H171,K171)=0,"",N(K171)-N(H171))</f>
        <v/>
      </c>
      <c r="N171" s="240">
        <f>IF(AND(ISNUMBER(F171),ISNUMBER(I171),ISNUMBER(H171),ISNUMBER(K171),F171&gt;0,I171&gt;0,H171&lt;&gt;0),IF(OR(COUNTIF(Торговля!$B$5:$B$300,$B171)+COUNTIF(Лэндинг!$B$5:$B$300,$B171)&gt;0,COUNTIF($B172:$B$301,$B171)&gt;0),0,ROUND(SUMPRODUCT(($B$5:$B$300=$B171)*(($F$5:$F$300+$I$5:$I$300-ABS($F$5:$F$300-$I$5:$I$300))/2)*($J$5:$J$300-$G$5:$G$300)),8)),"")</f>
        <v/>
      </c>
      <c r="O171" s="177">
        <f>IF(ISNUMBER(N171),IF(OR(COUNTIF(Торговля!$B$5:$B$300,$B171)+COUNTIF(Лэндинг!$B$5:$B$300,$B171)&gt;0,COUNTIF($B172:$B$301,$B171)&gt;0),0,IF(SUMPRODUCT(($B$5:$B$300=$B171)*(($F$5:$F$300+$I$5:$I$300-ABS($F$5:$F$300-$I$5:$I$300))/2)*$G$5:$G$300)&lt;=0,"",ROUND(N171/SUMPRODUCT(($B$5:$B$300=$B171)*(($F$5:$F$300+$I$5:$I$300-ABS($F$5:$F$300-$I$5:$I$300))/2)*$G$5:$G$300)*100,2))),"")</f>
        <v/>
      </c>
    </row>
    <row r="172" ht="22" customHeight="1">
      <c r="B172" s="318" t="n"/>
      <c r="C172" s="319" t="n"/>
      <c r="D172" s="318" t="n"/>
      <c r="E172" s="320" t="n"/>
      <c r="F172" s="321" t="n"/>
      <c r="G172" s="322" t="n"/>
      <c r="H172" s="271">
        <f>IF(AND(ISNUMBER(F172),ISNUMBER(G172)),F172*G172,"")</f>
        <v/>
      </c>
      <c r="I172" s="321" t="n"/>
      <c r="J172" s="322" t="n"/>
      <c r="K172" s="271">
        <f>IF(AND(ISNUMBER(I172),ISNUMBER(J172)),I172*J172,"")</f>
        <v/>
      </c>
      <c r="L172" s="246">
        <f>IF(COUNT(F172,I172)=0,"",N(F172)-N(I172))</f>
        <v/>
      </c>
      <c r="M172" s="247">
        <f>IF(COUNT(H172,K172)=0,"",N(K172)-N(H172))</f>
        <v/>
      </c>
      <c r="N172" s="246">
        <f>IF(AND(ISNUMBER(F172),ISNUMBER(I172),ISNUMBER(H172),ISNUMBER(K172),F172&gt;0,I172&gt;0,H172&lt;&gt;0),IF(OR(COUNTIF(Торговля!$B$5:$B$300,$B172)+COUNTIF(Лэндинг!$B$5:$B$300,$B172)&gt;0,COUNTIF($B173:$B$301,$B172)&gt;0),0,ROUND(SUMPRODUCT(($B$5:$B$300=$B172)*(($F$5:$F$300+$I$5:$I$300-ABS($F$5:$F$300-$I$5:$I$300))/2)*($J$5:$J$300-$G$5:$G$300)),8)),"")</f>
        <v/>
      </c>
      <c r="O172" s="183">
        <f>IF(ISNUMBER(N172),IF(OR(COUNTIF(Торговля!$B$5:$B$300,$B172)+COUNTIF(Лэндинг!$B$5:$B$300,$B172)&gt;0,COUNTIF($B173:$B$301,$B172)&gt;0),0,IF(SUMPRODUCT(($B$5:$B$300=$B172)*(($F$5:$F$300+$I$5:$I$300-ABS($F$5:$F$300-$I$5:$I$300))/2)*$G$5:$G$300)&lt;=0,"",ROUND(N172/SUMPRODUCT(($B$5:$B$300=$B172)*(($F$5:$F$300+$I$5:$I$300-ABS($F$5:$F$300-$I$5:$I$300))/2)*$G$5:$G$300)*100,2))),"")</f>
        <v/>
      </c>
    </row>
    <row r="173" ht="22" customHeight="1">
      <c r="B173" s="313" t="n"/>
      <c r="C173" s="314" t="n"/>
      <c r="D173" s="313" t="n"/>
      <c r="E173" s="315" t="n"/>
      <c r="F173" s="316" t="n"/>
      <c r="G173" s="317" t="n"/>
      <c r="H173" s="271">
        <f>IF(AND(ISNUMBER(F173),ISNUMBER(G173)),F173*G173,"")</f>
        <v/>
      </c>
      <c r="I173" s="316" t="n"/>
      <c r="J173" s="317" t="n"/>
      <c r="K173" s="271">
        <f>IF(AND(ISNUMBER(I173),ISNUMBER(J173)),I173*J173,"")</f>
        <v/>
      </c>
      <c r="L173" s="240">
        <f>IF(COUNT(F173,I173)=0,"",N(F173)-N(I173))</f>
        <v/>
      </c>
      <c r="M173" s="241">
        <f>IF(COUNT(H173,K173)=0,"",N(K173)-N(H173))</f>
        <v/>
      </c>
      <c r="N173" s="240">
        <f>IF(AND(ISNUMBER(F173),ISNUMBER(I173),ISNUMBER(H173),ISNUMBER(K173),F173&gt;0,I173&gt;0,H173&lt;&gt;0),IF(OR(COUNTIF(Торговля!$B$5:$B$300,$B173)+COUNTIF(Лэндинг!$B$5:$B$300,$B173)&gt;0,COUNTIF($B174:$B$301,$B173)&gt;0),0,ROUND(SUMPRODUCT(($B$5:$B$300=$B173)*(($F$5:$F$300+$I$5:$I$300-ABS($F$5:$F$300-$I$5:$I$300))/2)*($J$5:$J$300-$G$5:$G$300)),8)),"")</f>
        <v/>
      </c>
      <c r="O173" s="177">
        <f>IF(ISNUMBER(N173),IF(OR(COUNTIF(Торговля!$B$5:$B$300,$B173)+COUNTIF(Лэндинг!$B$5:$B$300,$B173)&gt;0,COUNTIF($B174:$B$301,$B173)&gt;0),0,IF(SUMPRODUCT(($B$5:$B$300=$B173)*(($F$5:$F$300+$I$5:$I$300-ABS($F$5:$F$300-$I$5:$I$300))/2)*$G$5:$G$300)&lt;=0,"",ROUND(N173/SUMPRODUCT(($B$5:$B$300=$B173)*(($F$5:$F$300+$I$5:$I$300-ABS($F$5:$F$300-$I$5:$I$300))/2)*$G$5:$G$300)*100,2))),"")</f>
        <v/>
      </c>
    </row>
    <row r="174" ht="22" customHeight="1">
      <c r="B174" s="318" t="n"/>
      <c r="C174" s="319" t="n"/>
      <c r="D174" s="318" t="n"/>
      <c r="E174" s="320" t="n"/>
      <c r="F174" s="321" t="n"/>
      <c r="G174" s="322" t="n"/>
      <c r="H174" s="271">
        <f>IF(AND(ISNUMBER(F174),ISNUMBER(G174)),F174*G174,"")</f>
        <v/>
      </c>
      <c r="I174" s="321" t="n"/>
      <c r="J174" s="322" t="n"/>
      <c r="K174" s="271">
        <f>IF(AND(ISNUMBER(I174),ISNUMBER(J174)),I174*J174,"")</f>
        <v/>
      </c>
      <c r="L174" s="246">
        <f>IF(COUNT(F174,I174)=0,"",N(F174)-N(I174))</f>
        <v/>
      </c>
      <c r="M174" s="247">
        <f>IF(COUNT(H174,K174)=0,"",N(K174)-N(H174))</f>
        <v/>
      </c>
      <c r="N174" s="246">
        <f>IF(AND(ISNUMBER(F174),ISNUMBER(I174),ISNUMBER(H174),ISNUMBER(K174),F174&gt;0,I174&gt;0,H174&lt;&gt;0),IF(OR(COUNTIF(Торговля!$B$5:$B$300,$B174)+COUNTIF(Лэндинг!$B$5:$B$300,$B174)&gt;0,COUNTIF($B175:$B$301,$B174)&gt;0),0,ROUND(SUMPRODUCT(($B$5:$B$300=$B174)*(($F$5:$F$300+$I$5:$I$300-ABS($F$5:$F$300-$I$5:$I$300))/2)*($J$5:$J$300-$G$5:$G$300)),8)),"")</f>
        <v/>
      </c>
      <c r="O174" s="183">
        <f>IF(ISNUMBER(N174),IF(OR(COUNTIF(Торговля!$B$5:$B$300,$B174)+COUNTIF(Лэндинг!$B$5:$B$300,$B174)&gt;0,COUNTIF($B175:$B$301,$B174)&gt;0),0,IF(SUMPRODUCT(($B$5:$B$300=$B174)*(($F$5:$F$300+$I$5:$I$300-ABS($F$5:$F$300-$I$5:$I$300))/2)*$G$5:$G$300)&lt;=0,"",ROUND(N174/SUMPRODUCT(($B$5:$B$300=$B174)*(($F$5:$F$300+$I$5:$I$300-ABS($F$5:$F$300-$I$5:$I$300))/2)*$G$5:$G$300)*100,2))),"")</f>
        <v/>
      </c>
    </row>
    <row r="175" ht="22" customHeight="1">
      <c r="B175" s="313" t="n"/>
      <c r="C175" s="314" t="n"/>
      <c r="D175" s="313" t="n"/>
      <c r="E175" s="315" t="n"/>
      <c r="F175" s="316" t="n"/>
      <c r="G175" s="317" t="n"/>
      <c r="H175" s="271">
        <f>IF(AND(ISNUMBER(F175),ISNUMBER(G175)),F175*G175,"")</f>
        <v/>
      </c>
      <c r="I175" s="316" t="n"/>
      <c r="J175" s="317" t="n"/>
      <c r="K175" s="271">
        <f>IF(AND(ISNUMBER(I175),ISNUMBER(J175)),I175*J175,"")</f>
        <v/>
      </c>
      <c r="L175" s="240">
        <f>IF(COUNT(F175,I175)=0,"",N(F175)-N(I175))</f>
        <v/>
      </c>
      <c r="M175" s="241">
        <f>IF(COUNT(H175,K175)=0,"",N(K175)-N(H175))</f>
        <v/>
      </c>
      <c r="N175" s="240">
        <f>IF(AND(ISNUMBER(F175),ISNUMBER(I175),ISNUMBER(H175),ISNUMBER(K175),F175&gt;0,I175&gt;0,H175&lt;&gt;0),IF(OR(COUNTIF(Торговля!$B$5:$B$300,$B175)+COUNTIF(Лэндинг!$B$5:$B$300,$B175)&gt;0,COUNTIF($B176:$B$301,$B175)&gt;0),0,ROUND(SUMPRODUCT(($B$5:$B$300=$B175)*(($F$5:$F$300+$I$5:$I$300-ABS($F$5:$F$300-$I$5:$I$300))/2)*($J$5:$J$300-$G$5:$G$300)),8)),"")</f>
        <v/>
      </c>
      <c r="O175" s="177">
        <f>IF(ISNUMBER(N175),IF(OR(COUNTIF(Торговля!$B$5:$B$300,$B175)+COUNTIF(Лэндинг!$B$5:$B$300,$B175)&gt;0,COUNTIF($B176:$B$301,$B175)&gt;0),0,IF(SUMPRODUCT(($B$5:$B$300=$B175)*(($F$5:$F$300+$I$5:$I$300-ABS($F$5:$F$300-$I$5:$I$300))/2)*$G$5:$G$300)&lt;=0,"",ROUND(N175/SUMPRODUCT(($B$5:$B$300=$B175)*(($F$5:$F$300+$I$5:$I$300-ABS($F$5:$F$300-$I$5:$I$300))/2)*$G$5:$G$300)*100,2))),"")</f>
        <v/>
      </c>
    </row>
    <row r="176" ht="22" customHeight="1">
      <c r="B176" s="318" t="n"/>
      <c r="C176" s="319" t="n"/>
      <c r="D176" s="318" t="n"/>
      <c r="E176" s="320" t="n"/>
      <c r="F176" s="321" t="n"/>
      <c r="G176" s="322" t="n"/>
      <c r="H176" s="271">
        <f>IF(AND(ISNUMBER(F176),ISNUMBER(G176)),F176*G176,"")</f>
        <v/>
      </c>
      <c r="I176" s="321" t="n"/>
      <c r="J176" s="322" t="n"/>
      <c r="K176" s="271">
        <f>IF(AND(ISNUMBER(I176),ISNUMBER(J176)),I176*J176,"")</f>
        <v/>
      </c>
      <c r="L176" s="246">
        <f>IF(COUNT(F176,I176)=0,"",N(F176)-N(I176))</f>
        <v/>
      </c>
      <c r="M176" s="247">
        <f>IF(COUNT(H176,K176)=0,"",N(K176)-N(H176))</f>
        <v/>
      </c>
      <c r="N176" s="246">
        <f>IF(AND(ISNUMBER(F176),ISNUMBER(I176),ISNUMBER(H176),ISNUMBER(K176),F176&gt;0,I176&gt;0,H176&lt;&gt;0),IF(OR(COUNTIF(Торговля!$B$5:$B$300,$B176)+COUNTIF(Лэндинг!$B$5:$B$300,$B176)&gt;0,COUNTIF($B177:$B$301,$B176)&gt;0),0,ROUND(SUMPRODUCT(($B$5:$B$300=$B176)*(($F$5:$F$300+$I$5:$I$300-ABS($F$5:$F$300-$I$5:$I$300))/2)*($J$5:$J$300-$G$5:$G$300)),8)),"")</f>
        <v/>
      </c>
      <c r="O176" s="183">
        <f>IF(ISNUMBER(N176),IF(OR(COUNTIF(Торговля!$B$5:$B$300,$B176)+COUNTIF(Лэндинг!$B$5:$B$300,$B176)&gt;0,COUNTIF($B177:$B$301,$B176)&gt;0),0,IF(SUMPRODUCT(($B$5:$B$300=$B176)*(($F$5:$F$300+$I$5:$I$300-ABS($F$5:$F$300-$I$5:$I$300))/2)*$G$5:$G$300)&lt;=0,"",ROUND(N176/SUMPRODUCT(($B$5:$B$300=$B176)*(($F$5:$F$300+$I$5:$I$300-ABS($F$5:$F$300-$I$5:$I$300))/2)*$G$5:$G$300)*100,2))),"")</f>
        <v/>
      </c>
    </row>
    <row r="177" ht="22" customHeight="1">
      <c r="B177" s="313" t="n"/>
      <c r="C177" s="314" t="n"/>
      <c r="D177" s="313" t="n"/>
      <c r="E177" s="315" t="n"/>
      <c r="F177" s="316" t="n"/>
      <c r="G177" s="317" t="n"/>
      <c r="H177" s="271">
        <f>IF(AND(ISNUMBER(F177),ISNUMBER(G177)),F177*G177,"")</f>
        <v/>
      </c>
      <c r="I177" s="316" t="n"/>
      <c r="J177" s="317" t="n"/>
      <c r="K177" s="271">
        <f>IF(AND(ISNUMBER(I177),ISNUMBER(J177)),I177*J177,"")</f>
        <v/>
      </c>
      <c r="L177" s="240">
        <f>IF(COUNT(F177,I177)=0,"",N(F177)-N(I177))</f>
        <v/>
      </c>
      <c r="M177" s="241">
        <f>IF(COUNT(H177,K177)=0,"",N(K177)-N(H177))</f>
        <v/>
      </c>
      <c r="N177" s="240">
        <f>IF(AND(ISNUMBER(F177),ISNUMBER(I177),ISNUMBER(H177),ISNUMBER(K177),F177&gt;0,I177&gt;0,H177&lt;&gt;0),IF(OR(COUNTIF(Торговля!$B$5:$B$300,$B177)+COUNTIF(Лэндинг!$B$5:$B$300,$B177)&gt;0,COUNTIF($B178:$B$301,$B177)&gt;0),0,ROUND(SUMPRODUCT(($B$5:$B$300=$B177)*(($F$5:$F$300+$I$5:$I$300-ABS($F$5:$F$300-$I$5:$I$300))/2)*($J$5:$J$300-$G$5:$G$300)),8)),"")</f>
        <v/>
      </c>
      <c r="O177" s="177">
        <f>IF(ISNUMBER(N177),IF(OR(COUNTIF(Торговля!$B$5:$B$300,$B177)+COUNTIF(Лэндинг!$B$5:$B$300,$B177)&gt;0,COUNTIF($B178:$B$301,$B177)&gt;0),0,IF(SUMPRODUCT(($B$5:$B$300=$B177)*(($F$5:$F$300+$I$5:$I$300-ABS($F$5:$F$300-$I$5:$I$300))/2)*$G$5:$G$300)&lt;=0,"",ROUND(N177/SUMPRODUCT(($B$5:$B$300=$B177)*(($F$5:$F$300+$I$5:$I$300-ABS($F$5:$F$300-$I$5:$I$300))/2)*$G$5:$G$300)*100,2))),"")</f>
        <v/>
      </c>
    </row>
    <row r="178" ht="22" customHeight="1">
      <c r="B178" s="318" t="n"/>
      <c r="C178" s="319" t="n"/>
      <c r="D178" s="318" t="n"/>
      <c r="E178" s="320" t="n"/>
      <c r="F178" s="321" t="n"/>
      <c r="G178" s="322" t="n"/>
      <c r="H178" s="271">
        <f>IF(AND(ISNUMBER(F178),ISNUMBER(G178)),F178*G178,"")</f>
        <v/>
      </c>
      <c r="I178" s="321" t="n"/>
      <c r="J178" s="322" t="n"/>
      <c r="K178" s="271">
        <f>IF(AND(ISNUMBER(I178),ISNUMBER(J178)),I178*J178,"")</f>
        <v/>
      </c>
      <c r="L178" s="246">
        <f>IF(COUNT(F178,I178)=0,"",N(F178)-N(I178))</f>
        <v/>
      </c>
      <c r="M178" s="247">
        <f>IF(COUNT(H178,K178)=0,"",N(K178)-N(H178))</f>
        <v/>
      </c>
      <c r="N178" s="246">
        <f>IF(AND(ISNUMBER(F178),ISNUMBER(I178),ISNUMBER(H178),ISNUMBER(K178),F178&gt;0,I178&gt;0,H178&lt;&gt;0),IF(OR(COUNTIF(Торговля!$B$5:$B$300,$B178)+COUNTIF(Лэндинг!$B$5:$B$300,$B178)&gt;0,COUNTIF($B179:$B$301,$B178)&gt;0),0,ROUND(SUMPRODUCT(($B$5:$B$300=$B178)*(($F$5:$F$300+$I$5:$I$300-ABS($F$5:$F$300-$I$5:$I$300))/2)*($J$5:$J$300-$G$5:$G$300)),8)),"")</f>
        <v/>
      </c>
      <c r="O178" s="183">
        <f>IF(ISNUMBER(N178),IF(OR(COUNTIF(Торговля!$B$5:$B$300,$B178)+COUNTIF(Лэндинг!$B$5:$B$300,$B178)&gt;0,COUNTIF($B179:$B$301,$B178)&gt;0),0,IF(SUMPRODUCT(($B$5:$B$300=$B178)*(($F$5:$F$300+$I$5:$I$300-ABS($F$5:$F$300-$I$5:$I$300))/2)*$G$5:$G$300)&lt;=0,"",ROUND(N178/SUMPRODUCT(($B$5:$B$300=$B178)*(($F$5:$F$300+$I$5:$I$300-ABS($F$5:$F$300-$I$5:$I$300))/2)*$G$5:$G$300)*100,2))),"")</f>
        <v/>
      </c>
    </row>
    <row r="179" ht="22" customHeight="1">
      <c r="B179" s="313" t="n"/>
      <c r="C179" s="314" t="n"/>
      <c r="D179" s="313" t="n"/>
      <c r="E179" s="315" t="n"/>
      <c r="F179" s="316" t="n"/>
      <c r="G179" s="317" t="n"/>
      <c r="H179" s="271">
        <f>IF(AND(ISNUMBER(F179),ISNUMBER(G179)),F179*G179,"")</f>
        <v/>
      </c>
      <c r="I179" s="316" t="n"/>
      <c r="J179" s="317" t="n"/>
      <c r="K179" s="271">
        <f>IF(AND(ISNUMBER(I179),ISNUMBER(J179)),I179*J179,"")</f>
        <v/>
      </c>
      <c r="L179" s="240">
        <f>IF(COUNT(F179,I179)=0,"",N(F179)-N(I179))</f>
        <v/>
      </c>
      <c r="M179" s="241">
        <f>IF(COUNT(H179,K179)=0,"",N(K179)-N(H179))</f>
        <v/>
      </c>
      <c r="N179" s="240">
        <f>IF(AND(ISNUMBER(F179),ISNUMBER(I179),ISNUMBER(H179),ISNUMBER(K179),F179&gt;0,I179&gt;0,H179&lt;&gt;0),IF(OR(COUNTIF(Торговля!$B$5:$B$300,$B179)+COUNTIF(Лэндинг!$B$5:$B$300,$B179)&gt;0,COUNTIF($B180:$B$301,$B179)&gt;0),0,ROUND(SUMPRODUCT(($B$5:$B$300=$B179)*(($F$5:$F$300+$I$5:$I$300-ABS($F$5:$F$300-$I$5:$I$300))/2)*($J$5:$J$300-$G$5:$G$300)),8)),"")</f>
        <v/>
      </c>
      <c r="O179" s="177">
        <f>IF(ISNUMBER(N179),IF(OR(COUNTIF(Торговля!$B$5:$B$300,$B179)+COUNTIF(Лэндинг!$B$5:$B$300,$B179)&gt;0,COUNTIF($B180:$B$301,$B179)&gt;0),0,IF(SUMPRODUCT(($B$5:$B$300=$B179)*(($F$5:$F$300+$I$5:$I$300-ABS($F$5:$F$300-$I$5:$I$300))/2)*$G$5:$G$300)&lt;=0,"",ROUND(N179/SUMPRODUCT(($B$5:$B$300=$B179)*(($F$5:$F$300+$I$5:$I$300-ABS($F$5:$F$300-$I$5:$I$300))/2)*$G$5:$G$300)*100,2))),"")</f>
        <v/>
      </c>
    </row>
    <row r="180" ht="22" customHeight="1">
      <c r="B180" s="318" t="n"/>
      <c r="C180" s="319" t="n"/>
      <c r="D180" s="318" t="n"/>
      <c r="E180" s="320" t="n"/>
      <c r="F180" s="321" t="n"/>
      <c r="G180" s="322" t="n"/>
      <c r="H180" s="271">
        <f>IF(AND(ISNUMBER(F180),ISNUMBER(G180)),F180*G180,"")</f>
        <v/>
      </c>
      <c r="I180" s="321" t="n"/>
      <c r="J180" s="322" t="n"/>
      <c r="K180" s="271">
        <f>IF(AND(ISNUMBER(I180),ISNUMBER(J180)),I180*J180,"")</f>
        <v/>
      </c>
      <c r="L180" s="246">
        <f>IF(COUNT(F180,I180)=0,"",N(F180)-N(I180))</f>
        <v/>
      </c>
      <c r="M180" s="247">
        <f>IF(COUNT(H180,K180)=0,"",N(K180)-N(H180))</f>
        <v/>
      </c>
      <c r="N180" s="246">
        <f>IF(AND(ISNUMBER(F180),ISNUMBER(I180),ISNUMBER(H180),ISNUMBER(K180),F180&gt;0,I180&gt;0,H180&lt;&gt;0),IF(OR(COUNTIF(Торговля!$B$5:$B$300,$B180)+COUNTIF(Лэндинг!$B$5:$B$300,$B180)&gt;0,COUNTIF($B181:$B$301,$B180)&gt;0),0,ROUND(SUMPRODUCT(($B$5:$B$300=$B180)*(($F$5:$F$300+$I$5:$I$300-ABS($F$5:$F$300-$I$5:$I$300))/2)*($J$5:$J$300-$G$5:$G$300)),8)),"")</f>
        <v/>
      </c>
      <c r="O180" s="183">
        <f>IF(ISNUMBER(N180),IF(OR(COUNTIF(Торговля!$B$5:$B$300,$B180)+COUNTIF(Лэндинг!$B$5:$B$300,$B180)&gt;0,COUNTIF($B181:$B$301,$B180)&gt;0),0,IF(SUMPRODUCT(($B$5:$B$300=$B180)*(($F$5:$F$300+$I$5:$I$300-ABS($F$5:$F$300-$I$5:$I$300))/2)*$G$5:$G$300)&lt;=0,"",ROUND(N180/SUMPRODUCT(($B$5:$B$300=$B180)*(($F$5:$F$300+$I$5:$I$300-ABS($F$5:$F$300-$I$5:$I$300))/2)*$G$5:$G$300)*100,2))),"")</f>
        <v/>
      </c>
    </row>
    <row r="181" ht="22" customHeight="1">
      <c r="B181" s="313" t="n"/>
      <c r="C181" s="314" t="n"/>
      <c r="D181" s="313" t="n"/>
      <c r="E181" s="315" t="n"/>
      <c r="F181" s="316" t="n"/>
      <c r="G181" s="317" t="n"/>
      <c r="H181" s="271">
        <f>IF(AND(ISNUMBER(F181),ISNUMBER(G181)),F181*G181,"")</f>
        <v/>
      </c>
      <c r="I181" s="316" t="n"/>
      <c r="J181" s="317" t="n"/>
      <c r="K181" s="271">
        <f>IF(AND(ISNUMBER(I181),ISNUMBER(J181)),I181*J181,"")</f>
        <v/>
      </c>
      <c r="L181" s="240">
        <f>IF(COUNT(F181,I181)=0,"",N(F181)-N(I181))</f>
        <v/>
      </c>
      <c r="M181" s="241">
        <f>IF(COUNT(H181,K181)=0,"",N(K181)-N(H181))</f>
        <v/>
      </c>
      <c r="N181" s="240">
        <f>IF(AND(ISNUMBER(F181),ISNUMBER(I181),ISNUMBER(H181),ISNUMBER(K181),F181&gt;0,I181&gt;0,H181&lt;&gt;0),IF(OR(COUNTIF(Торговля!$B$5:$B$300,$B181)+COUNTIF(Лэндинг!$B$5:$B$300,$B181)&gt;0,COUNTIF($B182:$B$301,$B181)&gt;0),0,ROUND(SUMPRODUCT(($B$5:$B$300=$B181)*(($F$5:$F$300+$I$5:$I$300-ABS($F$5:$F$300-$I$5:$I$300))/2)*($J$5:$J$300-$G$5:$G$300)),8)),"")</f>
        <v/>
      </c>
      <c r="O181" s="177">
        <f>IF(ISNUMBER(N181),IF(OR(COUNTIF(Торговля!$B$5:$B$300,$B181)+COUNTIF(Лэндинг!$B$5:$B$300,$B181)&gt;0,COUNTIF($B182:$B$301,$B181)&gt;0),0,IF(SUMPRODUCT(($B$5:$B$300=$B181)*(($F$5:$F$300+$I$5:$I$300-ABS($F$5:$F$300-$I$5:$I$300))/2)*$G$5:$G$300)&lt;=0,"",ROUND(N181/SUMPRODUCT(($B$5:$B$300=$B181)*(($F$5:$F$300+$I$5:$I$300-ABS($F$5:$F$300-$I$5:$I$300))/2)*$G$5:$G$300)*100,2))),"")</f>
        <v/>
      </c>
    </row>
    <row r="182" ht="22" customHeight="1">
      <c r="B182" s="318" t="n"/>
      <c r="C182" s="319" t="n"/>
      <c r="D182" s="318" t="n"/>
      <c r="E182" s="320" t="n"/>
      <c r="F182" s="321" t="n"/>
      <c r="G182" s="322" t="n"/>
      <c r="H182" s="271">
        <f>IF(AND(ISNUMBER(F182),ISNUMBER(G182)),F182*G182,"")</f>
        <v/>
      </c>
      <c r="I182" s="321" t="n"/>
      <c r="J182" s="322" t="n"/>
      <c r="K182" s="271">
        <f>IF(AND(ISNUMBER(I182),ISNUMBER(J182)),I182*J182,"")</f>
        <v/>
      </c>
      <c r="L182" s="246">
        <f>IF(COUNT(F182,I182)=0,"",N(F182)-N(I182))</f>
        <v/>
      </c>
      <c r="M182" s="247">
        <f>IF(COUNT(H182,K182)=0,"",N(K182)-N(H182))</f>
        <v/>
      </c>
      <c r="N182" s="246">
        <f>IF(AND(ISNUMBER(F182),ISNUMBER(I182),ISNUMBER(H182),ISNUMBER(K182),F182&gt;0,I182&gt;0,H182&lt;&gt;0),IF(OR(COUNTIF(Торговля!$B$5:$B$300,$B182)+COUNTIF(Лэндинг!$B$5:$B$300,$B182)&gt;0,COUNTIF($B183:$B$301,$B182)&gt;0),0,ROUND(SUMPRODUCT(($B$5:$B$300=$B182)*(($F$5:$F$300+$I$5:$I$300-ABS($F$5:$F$300-$I$5:$I$300))/2)*($J$5:$J$300-$G$5:$G$300)),8)),"")</f>
        <v/>
      </c>
      <c r="O182" s="183">
        <f>IF(ISNUMBER(N182),IF(OR(COUNTIF(Торговля!$B$5:$B$300,$B182)+COUNTIF(Лэндинг!$B$5:$B$300,$B182)&gt;0,COUNTIF($B183:$B$301,$B182)&gt;0),0,IF(SUMPRODUCT(($B$5:$B$300=$B182)*(($F$5:$F$300+$I$5:$I$300-ABS($F$5:$F$300-$I$5:$I$300))/2)*$G$5:$G$300)&lt;=0,"",ROUND(N182/SUMPRODUCT(($B$5:$B$300=$B182)*(($F$5:$F$300+$I$5:$I$300-ABS($F$5:$F$300-$I$5:$I$300))/2)*$G$5:$G$300)*100,2))),"")</f>
        <v/>
      </c>
    </row>
    <row r="183" ht="22" customHeight="1">
      <c r="B183" s="313" t="n"/>
      <c r="C183" s="314" t="n"/>
      <c r="D183" s="313" t="n"/>
      <c r="E183" s="315" t="n"/>
      <c r="F183" s="316" t="n"/>
      <c r="G183" s="317" t="n"/>
      <c r="H183" s="271">
        <f>IF(AND(ISNUMBER(F183),ISNUMBER(G183)),F183*G183,"")</f>
        <v/>
      </c>
      <c r="I183" s="316" t="n"/>
      <c r="J183" s="317" t="n"/>
      <c r="K183" s="271">
        <f>IF(AND(ISNUMBER(I183),ISNUMBER(J183)),I183*J183,"")</f>
        <v/>
      </c>
      <c r="L183" s="240">
        <f>IF(COUNT(F183,I183)=0,"",N(F183)-N(I183))</f>
        <v/>
      </c>
      <c r="M183" s="241">
        <f>IF(COUNT(H183,K183)=0,"",N(K183)-N(H183))</f>
        <v/>
      </c>
      <c r="N183" s="240">
        <f>IF(AND(ISNUMBER(F183),ISNUMBER(I183),ISNUMBER(H183),ISNUMBER(K183),F183&gt;0,I183&gt;0,H183&lt;&gt;0),IF(OR(COUNTIF(Торговля!$B$5:$B$300,$B183)+COUNTIF(Лэндинг!$B$5:$B$300,$B183)&gt;0,COUNTIF($B184:$B$301,$B183)&gt;0),0,ROUND(SUMPRODUCT(($B$5:$B$300=$B183)*(($F$5:$F$300+$I$5:$I$300-ABS($F$5:$F$300-$I$5:$I$300))/2)*($J$5:$J$300-$G$5:$G$300)),8)),"")</f>
        <v/>
      </c>
      <c r="O183" s="177">
        <f>IF(ISNUMBER(N183),IF(OR(COUNTIF(Торговля!$B$5:$B$300,$B183)+COUNTIF(Лэндинг!$B$5:$B$300,$B183)&gt;0,COUNTIF($B184:$B$301,$B183)&gt;0),0,IF(SUMPRODUCT(($B$5:$B$300=$B183)*(($F$5:$F$300+$I$5:$I$300-ABS($F$5:$F$300-$I$5:$I$300))/2)*$G$5:$G$300)&lt;=0,"",ROUND(N183/SUMPRODUCT(($B$5:$B$300=$B183)*(($F$5:$F$300+$I$5:$I$300-ABS($F$5:$F$300-$I$5:$I$300))/2)*$G$5:$G$300)*100,2))),"")</f>
        <v/>
      </c>
    </row>
    <row r="184" ht="22" customHeight="1">
      <c r="B184" s="318" t="n"/>
      <c r="C184" s="319" t="n"/>
      <c r="D184" s="318" t="n"/>
      <c r="E184" s="320" t="n"/>
      <c r="F184" s="321" t="n"/>
      <c r="G184" s="322" t="n"/>
      <c r="H184" s="271">
        <f>IF(AND(ISNUMBER(F184),ISNUMBER(G184)),F184*G184,"")</f>
        <v/>
      </c>
      <c r="I184" s="321" t="n"/>
      <c r="J184" s="322" t="n"/>
      <c r="K184" s="271">
        <f>IF(AND(ISNUMBER(I184),ISNUMBER(J184)),I184*J184,"")</f>
        <v/>
      </c>
      <c r="L184" s="246">
        <f>IF(COUNT(F184,I184)=0,"",N(F184)-N(I184))</f>
        <v/>
      </c>
      <c r="M184" s="247">
        <f>IF(COUNT(H184,K184)=0,"",N(K184)-N(H184))</f>
        <v/>
      </c>
      <c r="N184" s="246">
        <f>IF(AND(ISNUMBER(F184),ISNUMBER(I184),ISNUMBER(H184),ISNUMBER(K184),F184&gt;0,I184&gt;0,H184&lt;&gt;0),IF(OR(COUNTIF(Торговля!$B$5:$B$300,$B184)+COUNTIF(Лэндинг!$B$5:$B$300,$B184)&gt;0,COUNTIF($B185:$B$301,$B184)&gt;0),0,ROUND(SUMPRODUCT(($B$5:$B$300=$B184)*(($F$5:$F$300+$I$5:$I$300-ABS($F$5:$F$300-$I$5:$I$300))/2)*($J$5:$J$300-$G$5:$G$300)),8)),"")</f>
        <v/>
      </c>
      <c r="O184" s="183">
        <f>IF(ISNUMBER(N184),IF(OR(COUNTIF(Торговля!$B$5:$B$300,$B184)+COUNTIF(Лэндинг!$B$5:$B$300,$B184)&gt;0,COUNTIF($B185:$B$301,$B184)&gt;0),0,IF(SUMPRODUCT(($B$5:$B$300=$B184)*(($F$5:$F$300+$I$5:$I$300-ABS($F$5:$F$300-$I$5:$I$300))/2)*$G$5:$G$300)&lt;=0,"",ROUND(N184/SUMPRODUCT(($B$5:$B$300=$B184)*(($F$5:$F$300+$I$5:$I$300-ABS($F$5:$F$300-$I$5:$I$300))/2)*$G$5:$G$300)*100,2))),"")</f>
        <v/>
      </c>
    </row>
    <row r="185" ht="22" customHeight="1">
      <c r="B185" s="313" t="n"/>
      <c r="C185" s="314" t="n"/>
      <c r="D185" s="313" t="n"/>
      <c r="E185" s="315" t="n"/>
      <c r="F185" s="316" t="n"/>
      <c r="G185" s="317" t="n"/>
      <c r="H185" s="271">
        <f>IF(AND(ISNUMBER(F185),ISNUMBER(G185)),F185*G185,"")</f>
        <v/>
      </c>
      <c r="I185" s="316" t="n"/>
      <c r="J185" s="317" t="n"/>
      <c r="K185" s="271">
        <f>IF(AND(ISNUMBER(I185),ISNUMBER(J185)),I185*J185,"")</f>
        <v/>
      </c>
      <c r="L185" s="240">
        <f>IF(COUNT(F185,I185)=0,"",N(F185)-N(I185))</f>
        <v/>
      </c>
      <c r="M185" s="241">
        <f>IF(COUNT(H185,K185)=0,"",N(K185)-N(H185))</f>
        <v/>
      </c>
      <c r="N185" s="240">
        <f>IF(AND(ISNUMBER(F185),ISNUMBER(I185),ISNUMBER(H185),ISNUMBER(K185),F185&gt;0,I185&gt;0,H185&lt;&gt;0),IF(OR(COUNTIF(Торговля!$B$5:$B$300,$B185)+COUNTIF(Лэндинг!$B$5:$B$300,$B185)&gt;0,COUNTIF($B186:$B$301,$B185)&gt;0),0,ROUND(SUMPRODUCT(($B$5:$B$300=$B185)*(($F$5:$F$300+$I$5:$I$300-ABS($F$5:$F$300-$I$5:$I$300))/2)*($J$5:$J$300-$G$5:$G$300)),8)),"")</f>
        <v/>
      </c>
      <c r="O185" s="177">
        <f>IF(ISNUMBER(N185),IF(OR(COUNTIF(Торговля!$B$5:$B$300,$B185)+COUNTIF(Лэндинг!$B$5:$B$300,$B185)&gt;0,COUNTIF($B186:$B$301,$B185)&gt;0),0,IF(SUMPRODUCT(($B$5:$B$300=$B185)*(($F$5:$F$300+$I$5:$I$300-ABS($F$5:$F$300-$I$5:$I$300))/2)*$G$5:$G$300)&lt;=0,"",ROUND(N185/SUMPRODUCT(($B$5:$B$300=$B185)*(($F$5:$F$300+$I$5:$I$300-ABS($F$5:$F$300-$I$5:$I$300))/2)*$G$5:$G$300)*100,2))),"")</f>
        <v/>
      </c>
    </row>
    <row r="186" ht="22" customHeight="1">
      <c r="B186" s="318" t="n"/>
      <c r="C186" s="319" t="n"/>
      <c r="D186" s="318" t="n"/>
      <c r="E186" s="320" t="n"/>
      <c r="F186" s="321" t="n"/>
      <c r="G186" s="322" t="n"/>
      <c r="H186" s="271">
        <f>IF(AND(ISNUMBER(F186),ISNUMBER(G186)),F186*G186,"")</f>
        <v/>
      </c>
      <c r="I186" s="321" t="n"/>
      <c r="J186" s="322" t="n"/>
      <c r="K186" s="271">
        <f>IF(AND(ISNUMBER(I186),ISNUMBER(J186)),I186*J186,"")</f>
        <v/>
      </c>
      <c r="L186" s="246">
        <f>IF(COUNT(F186,I186)=0,"",N(F186)-N(I186))</f>
        <v/>
      </c>
      <c r="M186" s="247">
        <f>IF(COUNT(H186,K186)=0,"",N(K186)-N(H186))</f>
        <v/>
      </c>
      <c r="N186" s="246">
        <f>IF(AND(ISNUMBER(F186),ISNUMBER(I186),ISNUMBER(H186),ISNUMBER(K186),F186&gt;0,I186&gt;0,H186&lt;&gt;0),IF(OR(COUNTIF(Торговля!$B$5:$B$300,$B186)+COUNTIF(Лэндинг!$B$5:$B$300,$B186)&gt;0,COUNTIF($B187:$B$301,$B186)&gt;0),0,ROUND(SUMPRODUCT(($B$5:$B$300=$B186)*(($F$5:$F$300+$I$5:$I$300-ABS($F$5:$F$300-$I$5:$I$300))/2)*($J$5:$J$300-$G$5:$G$300)),8)),"")</f>
        <v/>
      </c>
      <c r="O186" s="183">
        <f>IF(ISNUMBER(N186),IF(OR(COUNTIF(Торговля!$B$5:$B$300,$B186)+COUNTIF(Лэндинг!$B$5:$B$300,$B186)&gt;0,COUNTIF($B187:$B$301,$B186)&gt;0),0,IF(SUMPRODUCT(($B$5:$B$300=$B186)*(($F$5:$F$300+$I$5:$I$300-ABS($F$5:$F$300-$I$5:$I$300))/2)*$G$5:$G$300)&lt;=0,"",ROUND(N186/SUMPRODUCT(($B$5:$B$300=$B186)*(($F$5:$F$300+$I$5:$I$300-ABS($F$5:$F$300-$I$5:$I$300))/2)*$G$5:$G$300)*100,2))),"")</f>
        <v/>
      </c>
    </row>
    <row r="187" ht="22" customHeight="1">
      <c r="B187" s="313" t="n"/>
      <c r="C187" s="314" t="n"/>
      <c r="D187" s="313" t="n"/>
      <c r="E187" s="315" t="n"/>
      <c r="F187" s="316" t="n"/>
      <c r="G187" s="317" t="n"/>
      <c r="H187" s="271">
        <f>IF(AND(ISNUMBER(F187),ISNUMBER(G187)),F187*G187,"")</f>
        <v/>
      </c>
      <c r="I187" s="316" t="n"/>
      <c r="J187" s="317" t="n"/>
      <c r="K187" s="271">
        <f>IF(AND(ISNUMBER(I187),ISNUMBER(J187)),I187*J187,"")</f>
        <v/>
      </c>
      <c r="L187" s="240">
        <f>IF(COUNT(F187,I187)=0,"",N(F187)-N(I187))</f>
        <v/>
      </c>
      <c r="M187" s="241">
        <f>IF(COUNT(H187,K187)=0,"",N(K187)-N(H187))</f>
        <v/>
      </c>
      <c r="N187" s="240">
        <f>IF(AND(ISNUMBER(F187),ISNUMBER(I187),ISNUMBER(H187),ISNUMBER(K187),F187&gt;0,I187&gt;0,H187&lt;&gt;0),IF(OR(COUNTIF(Торговля!$B$5:$B$300,$B187)+COUNTIF(Лэндинг!$B$5:$B$300,$B187)&gt;0,COUNTIF($B188:$B$301,$B187)&gt;0),0,ROUND(SUMPRODUCT(($B$5:$B$300=$B187)*(($F$5:$F$300+$I$5:$I$300-ABS($F$5:$F$300-$I$5:$I$300))/2)*($J$5:$J$300-$G$5:$G$300)),8)),"")</f>
        <v/>
      </c>
      <c r="O187" s="177">
        <f>IF(ISNUMBER(N187),IF(OR(COUNTIF(Торговля!$B$5:$B$300,$B187)+COUNTIF(Лэндинг!$B$5:$B$300,$B187)&gt;0,COUNTIF($B188:$B$301,$B187)&gt;0),0,IF(SUMPRODUCT(($B$5:$B$300=$B187)*(($F$5:$F$300+$I$5:$I$300-ABS($F$5:$F$300-$I$5:$I$300))/2)*$G$5:$G$300)&lt;=0,"",ROUND(N187/SUMPRODUCT(($B$5:$B$300=$B187)*(($F$5:$F$300+$I$5:$I$300-ABS($F$5:$F$300-$I$5:$I$300))/2)*$G$5:$G$300)*100,2))),"")</f>
        <v/>
      </c>
    </row>
    <row r="188" ht="22" customHeight="1">
      <c r="B188" s="318" t="n"/>
      <c r="C188" s="319" t="n"/>
      <c r="D188" s="318" t="n"/>
      <c r="E188" s="320" t="n"/>
      <c r="F188" s="321" t="n"/>
      <c r="G188" s="322" t="n"/>
      <c r="H188" s="271">
        <f>IF(AND(ISNUMBER(F188),ISNUMBER(G188)),F188*G188,"")</f>
        <v/>
      </c>
      <c r="I188" s="321" t="n"/>
      <c r="J188" s="322" t="n"/>
      <c r="K188" s="271">
        <f>IF(AND(ISNUMBER(I188),ISNUMBER(J188)),I188*J188,"")</f>
        <v/>
      </c>
      <c r="L188" s="246">
        <f>IF(COUNT(F188,I188)=0,"",N(F188)-N(I188))</f>
        <v/>
      </c>
      <c r="M188" s="247">
        <f>IF(COUNT(H188,K188)=0,"",N(K188)-N(H188))</f>
        <v/>
      </c>
      <c r="N188" s="246">
        <f>IF(AND(ISNUMBER(F188),ISNUMBER(I188),ISNUMBER(H188),ISNUMBER(K188),F188&gt;0,I188&gt;0,H188&lt;&gt;0),IF(OR(COUNTIF(Торговля!$B$5:$B$300,$B188)+COUNTIF(Лэндинг!$B$5:$B$300,$B188)&gt;0,COUNTIF($B189:$B$301,$B188)&gt;0),0,ROUND(SUMPRODUCT(($B$5:$B$300=$B188)*(($F$5:$F$300+$I$5:$I$300-ABS($F$5:$F$300-$I$5:$I$300))/2)*($J$5:$J$300-$G$5:$G$300)),8)),"")</f>
        <v/>
      </c>
      <c r="O188" s="183">
        <f>IF(ISNUMBER(N188),IF(OR(COUNTIF(Торговля!$B$5:$B$300,$B188)+COUNTIF(Лэндинг!$B$5:$B$300,$B188)&gt;0,COUNTIF($B189:$B$301,$B188)&gt;0),0,IF(SUMPRODUCT(($B$5:$B$300=$B188)*(($F$5:$F$300+$I$5:$I$300-ABS($F$5:$F$300-$I$5:$I$300))/2)*$G$5:$G$300)&lt;=0,"",ROUND(N188/SUMPRODUCT(($B$5:$B$300=$B188)*(($F$5:$F$300+$I$5:$I$300-ABS($F$5:$F$300-$I$5:$I$300))/2)*$G$5:$G$300)*100,2))),"")</f>
        <v/>
      </c>
    </row>
    <row r="189" ht="22" customHeight="1">
      <c r="B189" s="313" t="n"/>
      <c r="C189" s="314" t="n"/>
      <c r="D189" s="313" t="n"/>
      <c r="E189" s="315" t="n"/>
      <c r="F189" s="316" t="n"/>
      <c r="G189" s="317" t="n"/>
      <c r="H189" s="271">
        <f>IF(AND(ISNUMBER(F189),ISNUMBER(G189)),F189*G189,"")</f>
        <v/>
      </c>
      <c r="I189" s="316" t="n"/>
      <c r="J189" s="317" t="n"/>
      <c r="K189" s="271">
        <f>IF(AND(ISNUMBER(I189),ISNUMBER(J189)),I189*J189,"")</f>
        <v/>
      </c>
      <c r="L189" s="240">
        <f>IF(COUNT(F189,I189)=0,"",N(F189)-N(I189))</f>
        <v/>
      </c>
      <c r="M189" s="241">
        <f>IF(COUNT(H189,K189)=0,"",N(K189)-N(H189))</f>
        <v/>
      </c>
      <c r="N189" s="240">
        <f>IF(AND(ISNUMBER(F189),ISNUMBER(I189),ISNUMBER(H189),ISNUMBER(K189),F189&gt;0,I189&gt;0,H189&lt;&gt;0),IF(OR(COUNTIF(Торговля!$B$5:$B$300,$B189)+COUNTIF(Лэндинг!$B$5:$B$300,$B189)&gt;0,COUNTIF($B190:$B$301,$B189)&gt;0),0,ROUND(SUMPRODUCT(($B$5:$B$300=$B189)*(($F$5:$F$300+$I$5:$I$300-ABS($F$5:$F$300-$I$5:$I$300))/2)*($J$5:$J$300-$G$5:$G$300)),8)),"")</f>
        <v/>
      </c>
      <c r="O189" s="177">
        <f>IF(ISNUMBER(N189),IF(OR(COUNTIF(Торговля!$B$5:$B$300,$B189)+COUNTIF(Лэндинг!$B$5:$B$300,$B189)&gt;0,COUNTIF($B190:$B$301,$B189)&gt;0),0,IF(SUMPRODUCT(($B$5:$B$300=$B189)*(($F$5:$F$300+$I$5:$I$300-ABS($F$5:$F$300-$I$5:$I$300))/2)*$G$5:$G$300)&lt;=0,"",ROUND(N189/SUMPRODUCT(($B$5:$B$300=$B189)*(($F$5:$F$300+$I$5:$I$300-ABS($F$5:$F$300-$I$5:$I$300))/2)*$G$5:$G$300)*100,2))),"")</f>
        <v/>
      </c>
    </row>
    <row r="190" ht="22" customHeight="1">
      <c r="B190" s="318" t="n"/>
      <c r="C190" s="319" t="n"/>
      <c r="D190" s="318" t="n"/>
      <c r="E190" s="320" t="n"/>
      <c r="F190" s="321" t="n"/>
      <c r="G190" s="322" t="n"/>
      <c r="H190" s="271">
        <f>IF(AND(ISNUMBER(F190),ISNUMBER(G190)),F190*G190,"")</f>
        <v/>
      </c>
      <c r="I190" s="321" t="n"/>
      <c r="J190" s="322" t="n"/>
      <c r="K190" s="271">
        <f>IF(AND(ISNUMBER(I190),ISNUMBER(J190)),I190*J190,"")</f>
        <v/>
      </c>
      <c r="L190" s="246">
        <f>IF(COUNT(F190,I190)=0,"",N(F190)-N(I190))</f>
        <v/>
      </c>
      <c r="M190" s="247">
        <f>IF(COUNT(H190,K190)=0,"",N(K190)-N(H190))</f>
        <v/>
      </c>
      <c r="N190" s="246">
        <f>IF(AND(ISNUMBER(F190),ISNUMBER(I190),ISNUMBER(H190),ISNUMBER(K190),F190&gt;0,I190&gt;0,H190&lt;&gt;0),IF(OR(COUNTIF(Торговля!$B$5:$B$300,$B190)+COUNTIF(Лэндинг!$B$5:$B$300,$B190)&gt;0,COUNTIF($B191:$B$301,$B190)&gt;0),0,ROUND(SUMPRODUCT(($B$5:$B$300=$B190)*(($F$5:$F$300+$I$5:$I$300-ABS($F$5:$F$300-$I$5:$I$300))/2)*($J$5:$J$300-$G$5:$G$300)),8)),"")</f>
        <v/>
      </c>
      <c r="O190" s="183">
        <f>IF(ISNUMBER(N190),IF(OR(COUNTIF(Торговля!$B$5:$B$300,$B190)+COUNTIF(Лэндинг!$B$5:$B$300,$B190)&gt;0,COUNTIF($B191:$B$301,$B190)&gt;0),0,IF(SUMPRODUCT(($B$5:$B$300=$B190)*(($F$5:$F$300+$I$5:$I$300-ABS($F$5:$F$300-$I$5:$I$300))/2)*$G$5:$G$300)&lt;=0,"",ROUND(N190/SUMPRODUCT(($B$5:$B$300=$B190)*(($F$5:$F$300+$I$5:$I$300-ABS($F$5:$F$300-$I$5:$I$300))/2)*$G$5:$G$300)*100,2))),"")</f>
        <v/>
      </c>
    </row>
    <row r="191" ht="22" customHeight="1">
      <c r="B191" s="313" t="n"/>
      <c r="C191" s="314" t="n"/>
      <c r="D191" s="313" t="n"/>
      <c r="E191" s="315" t="n"/>
      <c r="F191" s="316" t="n"/>
      <c r="G191" s="317" t="n"/>
      <c r="H191" s="271">
        <f>IF(AND(ISNUMBER(F191),ISNUMBER(G191)),F191*G191,"")</f>
        <v/>
      </c>
      <c r="I191" s="316" t="n"/>
      <c r="J191" s="317" t="n"/>
      <c r="K191" s="271">
        <f>IF(AND(ISNUMBER(I191),ISNUMBER(J191)),I191*J191,"")</f>
        <v/>
      </c>
      <c r="L191" s="240">
        <f>IF(COUNT(F191,I191)=0,"",N(F191)-N(I191))</f>
        <v/>
      </c>
      <c r="M191" s="241">
        <f>IF(COUNT(H191,K191)=0,"",N(K191)-N(H191))</f>
        <v/>
      </c>
      <c r="N191" s="240">
        <f>IF(AND(ISNUMBER(F191),ISNUMBER(I191),ISNUMBER(H191),ISNUMBER(K191),F191&gt;0,I191&gt;0,H191&lt;&gt;0),IF(OR(COUNTIF(Торговля!$B$5:$B$300,$B191)+COUNTIF(Лэндинг!$B$5:$B$300,$B191)&gt;0,COUNTIF($B192:$B$301,$B191)&gt;0),0,ROUND(SUMPRODUCT(($B$5:$B$300=$B191)*(($F$5:$F$300+$I$5:$I$300-ABS($F$5:$F$300-$I$5:$I$300))/2)*($J$5:$J$300-$G$5:$G$300)),8)),"")</f>
        <v/>
      </c>
      <c r="O191" s="177">
        <f>IF(ISNUMBER(N191),IF(OR(COUNTIF(Торговля!$B$5:$B$300,$B191)+COUNTIF(Лэндинг!$B$5:$B$300,$B191)&gt;0,COUNTIF($B192:$B$301,$B191)&gt;0),0,IF(SUMPRODUCT(($B$5:$B$300=$B191)*(($F$5:$F$300+$I$5:$I$300-ABS($F$5:$F$300-$I$5:$I$300))/2)*$G$5:$G$300)&lt;=0,"",ROUND(N191/SUMPRODUCT(($B$5:$B$300=$B191)*(($F$5:$F$300+$I$5:$I$300-ABS($F$5:$F$300-$I$5:$I$300))/2)*$G$5:$G$300)*100,2))),"")</f>
        <v/>
      </c>
    </row>
    <row r="192" ht="22" customHeight="1">
      <c r="B192" s="318" t="n"/>
      <c r="C192" s="319" t="n"/>
      <c r="D192" s="318" t="n"/>
      <c r="E192" s="320" t="n"/>
      <c r="F192" s="321" t="n"/>
      <c r="G192" s="322" t="n"/>
      <c r="H192" s="271">
        <f>IF(AND(ISNUMBER(F192),ISNUMBER(G192)),F192*G192,"")</f>
        <v/>
      </c>
      <c r="I192" s="321" t="n"/>
      <c r="J192" s="322" t="n"/>
      <c r="K192" s="271">
        <f>IF(AND(ISNUMBER(I192),ISNUMBER(J192)),I192*J192,"")</f>
        <v/>
      </c>
      <c r="L192" s="246">
        <f>IF(COUNT(F192,I192)=0,"",N(F192)-N(I192))</f>
        <v/>
      </c>
      <c r="M192" s="247">
        <f>IF(COUNT(H192,K192)=0,"",N(K192)-N(H192))</f>
        <v/>
      </c>
      <c r="N192" s="246">
        <f>IF(AND(ISNUMBER(F192),ISNUMBER(I192),ISNUMBER(H192),ISNUMBER(K192),F192&gt;0,I192&gt;0,H192&lt;&gt;0),IF(OR(COUNTIF(Торговля!$B$5:$B$300,$B192)+COUNTIF(Лэндинг!$B$5:$B$300,$B192)&gt;0,COUNTIF($B193:$B$301,$B192)&gt;0),0,ROUND(SUMPRODUCT(($B$5:$B$300=$B192)*(($F$5:$F$300+$I$5:$I$300-ABS($F$5:$F$300-$I$5:$I$300))/2)*($J$5:$J$300-$G$5:$G$300)),8)),"")</f>
        <v/>
      </c>
      <c r="O192" s="183">
        <f>IF(ISNUMBER(N192),IF(OR(COUNTIF(Торговля!$B$5:$B$300,$B192)+COUNTIF(Лэндинг!$B$5:$B$300,$B192)&gt;0,COUNTIF($B193:$B$301,$B192)&gt;0),0,IF(SUMPRODUCT(($B$5:$B$300=$B192)*(($F$5:$F$300+$I$5:$I$300-ABS($F$5:$F$300-$I$5:$I$300))/2)*$G$5:$G$300)&lt;=0,"",ROUND(N192/SUMPRODUCT(($B$5:$B$300=$B192)*(($F$5:$F$300+$I$5:$I$300-ABS($F$5:$F$300-$I$5:$I$300))/2)*$G$5:$G$300)*100,2))),"")</f>
        <v/>
      </c>
    </row>
    <row r="193" ht="22" customHeight="1">
      <c r="B193" s="313" t="n"/>
      <c r="C193" s="314" t="n"/>
      <c r="D193" s="313" t="n"/>
      <c r="E193" s="315" t="n"/>
      <c r="F193" s="316" t="n"/>
      <c r="G193" s="317" t="n"/>
      <c r="H193" s="271">
        <f>IF(AND(ISNUMBER(F193),ISNUMBER(G193)),F193*G193,"")</f>
        <v/>
      </c>
      <c r="I193" s="316" t="n"/>
      <c r="J193" s="317" t="n"/>
      <c r="K193" s="271">
        <f>IF(AND(ISNUMBER(I193),ISNUMBER(J193)),I193*J193,"")</f>
        <v/>
      </c>
      <c r="L193" s="240">
        <f>IF(COUNT(F193,I193)=0,"",N(F193)-N(I193))</f>
        <v/>
      </c>
      <c r="M193" s="241">
        <f>IF(COUNT(H193,K193)=0,"",N(K193)-N(H193))</f>
        <v/>
      </c>
      <c r="N193" s="240">
        <f>IF(AND(ISNUMBER(F193),ISNUMBER(I193),ISNUMBER(H193),ISNUMBER(K193),F193&gt;0,I193&gt;0,H193&lt;&gt;0),IF(OR(COUNTIF(Торговля!$B$5:$B$300,$B193)+COUNTIF(Лэндинг!$B$5:$B$300,$B193)&gt;0,COUNTIF($B194:$B$301,$B193)&gt;0),0,ROUND(SUMPRODUCT(($B$5:$B$300=$B193)*(($F$5:$F$300+$I$5:$I$300-ABS($F$5:$F$300-$I$5:$I$300))/2)*($J$5:$J$300-$G$5:$G$300)),8)),"")</f>
        <v/>
      </c>
      <c r="O193" s="177">
        <f>IF(ISNUMBER(N193),IF(OR(COUNTIF(Торговля!$B$5:$B$300,$B193)+COUNTIF(Лэндинг!$B$5:$B$300,$B193)&gt;0,COUNTIF($B194:$B$301,$B193)&gt;0),0,IF(SUMPRODUCT(($B$5:$B$300=$B193)*(($F$5:$F$300+$I$5:$I$300-ABS($F$5:$F$300-$I$5:$I$300))/2)*$G$5:$G$300)&lt;=0,"",ROUND(N193/SUMPRODUCT(($B$5:$B$300=$B193)*(($F$5:$F$300+$I$5:$I$300-ABS($F$5:$F$300-$I$5:$I$300))/2)*$G$5:$G$300)*100,2))),"")</f>
        <v/>
      </c>
    </row>
    <row r="194" ht="22" customHeight="1">
      <c r="B194" s="318" t="n"/>
      <c r="C194" s="319" t="n"/>
      <c r="D194" s="318" t="n"/>
      <c r="E194" s="320" t="n"/>
      <c r="F194" s="321" t="n"/>
      <c r="G194" s="322" t="n"/>
      <c r="H194" s="271">
        <f>IF(AND(ISNUMBER(F194),ISNUMBER(G194)),F194*G194,"")</f>
        <v/>
      </c>
      <c r="I194" s="321" t="n"/>
      <c r="J194" s="322" t="n"/>
      <c r="K194" s="271">
        <f>IF(AND(ISNUMBER(I194),ISNUMBER(J194)),I194*J194,"")</f>
        <v/>
      </c>
      <c r="L194" s="246">
        <f>IF(COUNT(F194,I194)=0,"",N(F194)-N(I194))</f>
        <v/>
      </c>
      <c r="M194" s="247">
        <f>IF(COUNT(H194,K194)=0,"",N(K194)-N(H194))</f>
        <v/>
      </c>
      <c r="N194" s="246">
        <f>IF(AND(ISNUMBER(F194),ISNUMBER(I194),ISNUMBER(H194),ISNUMBER(K194),F194&gt;0,I194&gt;0,H194&lt;&gt;0),IF(OR(COUNTIF(Торговля!$B$5:$B$300,$B194)+COUNTIF(Лэндинг!$B$5:$B$300,$B194)&gt;0,COUNTIF($B195:$B$301,$B194)&gt;0),0,ROUND(SUMPRODUCT(($B$5:$B$300=$B194)*(($F$5:$F$300+$I$5:$I$300-ABS($F$5:$F$300-$I$5:$I$300))/2)*($J$5:$J$300-$G$5:$G$300)),8)),"")</f>
        <v/>
      </c>
      <c r="O194" s="183">
        <f>IF(ISNUMBER(N194),IF(OR(COUNTIF(Торговля!$B$5:$B$300,$B194)+COUNTIF(Лэндинг!$B$5:$B$300,$B194)&gt;0,COUNTIF($B195:$B$301,$B194)&gt;0),0,IF(SUMPRODUCT(($B$5:$B$300=$B194)*(($F$5:$F$300+$I$5:$I$300-ABS($F$5:$F$300-$I$5:$I$300))/2)*$G$5:$G$300)&lt;=0,"",ROUND(N194/SUMPRODUCT(($B$5:$B$300=$B194)*(($F$5:$F$300+$I$5:$I$300-ABS($F$5:$F$300-$I$5:$I$300))/2)*$G$5:$G$300)*100,2))),"")</f>
        <v/>
      </c>
    </row>
    <row r="195" ht="22" customHeight="1">
      <c r="B195" s="313" t="n"/>
      <c r="C195" s="314" t="n"/>
      <c r="D195" s="313" t="n"/>
      <c r="E195" s="315" t="n"/>
      <c r="F195" s="316" t="n"/>
      <c r="G195" s="317" t="n"/>
      <c r="H195" s="271">
        <f>IF(AND(ISNUMBER(F195),ISNUMBER(G195)),F195*G195,"")</f>
        <v/>
      </c>
      <c r="I195" s="316" t="n"/>
      <c r="J195" s="317" t="n"/>
      <c r="K195" s="271">
        <f>IF(AND(ISNUMBER(I195),ISNUMBER(J195)),I195*J195,"")</f>
        <v/>
      </c>
      <c r="L195" s="240">
        <f>IF(COUNT(F195,I195)=0,"",N(F195)-N(I195))</f>
        <v/>
      </c>
      <c r="M195" s="241">
        <f>IF(COUNT(H195,K195)=0,"",N(K195)-N(H195))</f>
        <v/>
      </c>
      <c r="N195" s="240">
        <f>IF(AND(ISNUMBER(F195),ISNUMBER(I195),ISNUMBER(H195),ISNUMBER(K195),F195&gt;0,I195&gt;0,H195&lt;&gt;0),IF(OR(COUNTIF(Торговля!$B$5:$B$300,$B195)+COUNTIF(Лэндинг!$B$5:$B$300,$B195)&gt;0,COUNTIF($B196:$B$301,$B195)&gt;0),0,ROUND(SUMPRODUCT(($B$5:$B$300=$B195)*(($F$5:$F$300+$I$5:$I$300-ABS($F$5:$F$300-$I$5:$I$300))/2)*($J$5:$J$300-$G$5:$G$300)),8)),"")</f>
        <v/>
      </c>
      <c r="O195" s="177">
        <f>IF(ISNUMBER(N195),IF(OR(COUNTIF(Торговля!$B$5:$B$300,$B195)+COUNTIF(Лэндинг!$B$5:$B$300,$B195)&gt;0,COUNTIF($B196:$B$301,$B195)&gt;0),0,IF(SUMPRODUCT(($B$5:$B$300=$B195)*(($F$5:$F$300+$I$5:$I$300-ABS($F$5:$F$300-$I$5:$I$300))/2)*$G$5:$G$300)&lt;=0,"",ROUND(N195/SUMPRODUCT(($B$5:$B$300=$B195)*(($F$5:$F$300+$I$5:$I$300-ABS($F$5:$F$300-$I$5:$I$300))/2)*$G$5:$G$300)*100,2))),"")</f>
        <v/>
      </c>
    </row>
    <row r="196" ht="22" customHeight="1">
      <c r="B196" s="318" t="n"/>
      <c r="C196" s="319" t="n"/>
      <c r="D196" s="318" t="n"/>
      <c r="E196" s="320" t="n"/>
      <c r="F196" s="321" t="n"/>
      <c r="G196" s="322" t="n"/>
      <c r="H196" s="271">
        <f>IF(AND(ISNUMBER(F196),ISNUMBER(G196)),F196*G196,"")</f>
        <v/>
      </c>
      <c r="I196" s="321" t="n"/>
      <c r="J196" s="322" t="n"/>
      <c r="K196" s="271">
        <f>IF(AND(ISNUMBER(I196),ISNUMBER(J196)),I196*J196,"")</f>
        <v/>
      </c>
      <c r="L196" s="246">
        <f>IF(COUNT(F196,I196)=0,"",N(F196)-N(I196))</f>
        <v/>
      </c>
      <c r="M196" s="247">
        <f>IF(COUNT(H196,K196)=0,"",N(K196)-N(H196))</f>
        <v/>
      </c>
      <c r="N196" s="246">
        <f>IF(AND(ISNUMBER(F196),ISNUMBER(I196),ISNUMBER(H196),ISNUMBER(K196),F196&gt;0,I196&gt;0,H196&lt;&gt;0),IF(OR(COUNTIF(Торговля!$B$5:$B$300,$B196)+COUNTIF(Лэндинг!$B$5:$B$300,$B196)&gt;0,COUNTIF($B197:$B$301,$B196)&gt;0),0,ROUND(SUMPRODUCT(($B$5:$B$300=$B196)*(($F$5:$F$300+$I$5:$I$300-ABS($F$5:$F$300-$I$5:$I$300))/2)*($J$5:$J$300-$G$5:$G$300)),8)),"")</f>
        <v/>
      </c>
      <c r="O196" s="183">
        <f>IF(ISNUMBER(N196),IF(OR(COUNTIF(Торговля!$B$5:$B$300,$B196)+COUNTIF(Лэндинг!$B$5:$B$300,$B196)&gt;0,COUNTIF($B197:$B$301,$B196)&gt;0),0,IF(SUMPRODUCT(($B$5:$B$300=$B196)*(($F$5:$F$300+$I$5:$I$300-ABS($F$5:$F$300-$I$5:$I$300))/2)*$G$5:$G$300)&lt;=0,"",ROUND(N196/SUMPRODUCT(($B$5:$B$300=$B196)*(($F$5:$F$300+$I$5:$I$300-ABS($F$5:$F$300-$I$5:$I$300))/2)*$G$5:$G$300)*100,2))),"")</f>
        <v/>
      </c>
    </row>
    <row r="197" ht="22" customHeight="1">
      <c r="B197" s="313" t="n"/>
      <c r="C197" s="314" t="n"/>
      <c r="D197" s="313" t="n"/>
      <c r="E197" s="315" t="n"/>
      <c r="F197" s="316" t="n"/>
      <c r="G197" s="317" t="n"/>
      <c r="H197" s="271">
        <f>IF(AND(ISNUMBER(F197),ISNUMBER(G197)),F197*G197,"")</f>
        <v/>
      </c>
      <c r="I197" s="316" t="n"/>
      <c r="J197" s="317" t="n"/>
      <c r="K197" s="271">
        <f>IF(AND(ISNUMBER(I197),ISNUMBER(J197)),I197*J197,"")</f>
        <v/>
      </c>
      <c r="L197" s="240">
        <f>IF(COUNT(F197,I197)=0,"",N(F197)-N(I197))</f>
        <v/>
      </c>
      <c r="M197" s="241">
        <f>IF(COUNT(H197,K197)=0,"",N(K197)-N(H197))</f>
        <v/>
      </c>
      <c r="N197" s="240">
        <f>IF(AND(ISNUMBER(F197),ISNUMBER(I197),ISNUMBER(H197),ISNUMBER(K197),F197&gt;0,I197&gt;0,H197&lt;&gt;0),IF(OR(COUNTIF(Торговля!$B$5:$B$300,$B197)+COUNTIF(Лэндинг!$B$5:$B$300,$B197)&gt;0,COUNTIF($B198:$B$301,$B197)&gt;0),0,ROUND(SUMPRODUCT(($B$5:$B$300=$B197)*(($F$5:$F$300+$I$5:$I$300-ABS($F$5:$F$300-$I$5:$I$300))/2)*($J$5:$J$300-$G$5:$G$300)),8)),"")</f>
        <v/>
      </c>
      <c r="O197" s="177">
        <f>IF(ISNUMBER(N197),IF(OR(COUNTIF(Торговля!$B$5:$B$300,$B197)+COUNTIF(Лэндинг!$B$5:$B$300,$B197)&gt;0,COUNTIF($B198:$B$301,$B197)&gt;0),0,IF(SUMPRODUCT(($B$5:$B$300=$B197)*(($F$5:$F$300+$I$5:$I$300-ABS($F$5:$F$300-$I$5:$I$300))/2)*$G$5:$G$300)&lt;=0,"",ROUND(N197/SUMPRODUCT(($B$5:$B$300=$B197)*(($F$5:$F$300+$I$5:$I$300-ABS($F$5:$F$300-$I$5:$I$300))/2)*$G$5:$G$300)*100,2))),"")</f>
        <v/>
      </c>
    </row>
    <row r="198" ht="22" customHeight="1">
      <c r="B198" s="318" t="n"/>
      <c r="C198" s="319" t="n"/>
      <c r="D198" s="318" t="n"/>
      <c r="E198" s="320" t="n"/>
      <c r="F198" s="321" t="n"/>
      <c r="G198" s="322" t="n"/>
      <c r="H198" s="271">
        <f>IF(AND(ISNUMBER(F198),ISNUMBER(G198)),F198*G198,"")</f>
        <v/>
      </c>
      <c r="I198" s="321" t="n"/>
      <c r="J198" s="322" t="n"/>
      <c r="K198" s="271">
        <f>IF(AND(ISNUMBER(I198),ISNUMBER(J198)),I198*J198,"")</f>
        <v/>
      </c>
      <c r="L198" s="246">
        <f>IF(COUNT(F198,I198)=0,"",N(F198)-N(I198))</f>
        <v/>
      </c>
      <c r="M198" s="247">
        <f>IF(COUNT(H198,K198)=0,"",N(K198)-N(H198))</f>
        <v/>
      </c>
      <c r="N198" s="246">
        <f>IF(AND(ISNUMBER(F198),ISNUMBER(I198),ISNUMBER(H198),ISNUMBER(K198),F198&gt;0,I198&gt;0,H198&lt;&gt;0),IF(OR(COUNTIF(Торговля!$B$5:$B$300,$B198)+COUNTIF(Лэндинг!$B$5:$B$300,$B198)&gt;0,COUNTIF($B199:$B$301,$B198)&gt;0),0,ROUND(SUMPRODUCT(($B$5:$B$300=$B198)*(($F$5:$F$300+$I$5:$I$300-ABS($F$5:$F$300-$I$5:$I$300))/2)*($J$5:$J$300-$G$5:$G$300)),8)),"")</f>
        <v/>
      </c>
      <c r="O198" s="183">
        <f>IF(ISNUMBER(N198),IF(OR(COUNTIF(Торговля!$B$5:$B$300,$B198)+COUNTIF(Лэндинг!$B$5:$B$300,$B198)&gt;0,COUNTIF($B199:$B$301,$B198)&gt;0),0,IF(SUMPRODUCT(($B$5:$B$300=$B198)*(($F$5:$F$300+$I$5:$I$300-ABS($F$5:$F$300-$I$5:$I$300))/2)*$G$5:$G$300)&lt;=0,"",ROUND(N198/SUMPRODUCT(($B$5:$B$300=$B198)*(($F$5:$F$300+$I$5:$I$300-ABS($F$5:$F$300-$I$5:$I$300))/2)*$G$5:$G$300)*100,2))),"")</f>
        <v/>
      </c>
    </row>
    <row r="199" ht="22" customHeight="1">
      <c r="B199" s="313" t="n"/>
      <c r="C199" s="314" t="n"/>
      <c r="D199" s="313" t="n"/>
      <c r="E199" s="315" t="n"/>
      <c r="F199" s="316" t="n"/>
      <c r="G199" s="317" t="n"/>
      <c r="H199" s="271">
        <f>IF(AND(ISNUMBER(F199),ISNUMBER(G199)),F199*G199,"")</f>
        <v/>
      </c>
      <c r="I199" s="316" t="n"/>
      <c r="J199" s="317" t="n"/>
      <c r="K199" s="271">
        <f>IF(AND(ISNUMBER(I199),ISNUMBER(J199)),I199*J199,"")</f>
        <v/>
      </c>
      <c r="L199" s="240">
        <f>IF(COUNT(F199,I199)=0,"",N(F199)-N(I199))</f>
        <v/>
      </c>
      <c r="M199" s="241">
        <f>IF(COUNT(H199,K199)=0,"",N(K199)-N(H199))</f>
        <v/>
      </c>
      <c r="N199" s="240">
        <f>IF(AND(ISNUMBER(F199),ISNUMBER(I199),ISNUMBER(H199),ISNUMBER(K199),F199&gt;0,I199&gt;0,H199&lt;&gt;0),IF(OR(COUNTIF(Торговля!$B$5:$B$300,$B199)+COUNTIF(Лэндинг!$B$5:$B$300,$B199)&gt;0,COUNTIF($B200:$B$301,$B199)&gt;0),0,ROUND(SUMPRODUCT(($B$5:$B$300=$B199)*(($F$5:$F$300+$I$5:$I$300-ABS($F$5:$F$300-$I$5:$I$300))/2)*($J$5:$J$300-$G$5:$G$300)),8)),"")</f>
        <v/>
      </c>
      <c r="O199" s="177">
        <f>IF(ISNUMBER(N199),IF(OR(COUNTIF(Торговля!$B$5:$B$300,$B199)+COUNTIF(Лэндинг!$B$5:$B$300,$B199)&gt;0,COUNTIF($B200:$B$301,$B199)&gt;0),0,IF(SUMPRODUCT(($B$5:$B$300=$B199)*(($F$5:$F$300+$I$5:$I$300-ABS($F$5:$F$300-$I$5:$I$300))/2)*$G$5:$G$300)&lt;=0,"",ROUND(N199/SUMPRODUCT(($B$5:$B$300=$B199)*(($F$5:$F$300+$I$5:$I$300-ABS($F$5:$F$300-$I$5:$I$300))/2)*$G$5:$G$300)*100,2))),"")</f>
        <v/>
      </c>
    </row>
    <row r="200" ht="22" customHeight="1">
      <c r="B200" s="318" t="n"/>
      <c r="C200" s="319" t="n"/>
      <c r="D200" s="318" t="n"/>
      <c r="E200" s="320" t="n"/>
      <c r="F200" s="321" t="n"/>
      <c r="G200" s="322" t="n"/>
      <c r="H200" s="271">
        <f>IF(AND(ISNUMBER(F200),ISNUMBER(G200)),F200*G200,"")</f>
        <v/>
      </c>
      <c r="I200" s="321" t="n"/>
      <c r="J200" s="322" t="n"/>
      <c r="K200" s="271">
        <f>IF(AND(ISNUMBER(I200),ISNUMBER(J200)),I200*J200,"")</f>
        <v/>
      </c>
      <c r="L200" s="246">
        <f>IF(COUNT(F200,I200)=0,"",N(F200)-N(I200))</f>
        <v/>
      </c>
      <c r="M200" s="247">
        <f>IF(COUNT(H200,K200)=0,"",N(K200)-N(H200))</f>
        <v/>
      </c>
      <c r="N200" s="246">
        <f>IF(AND(ISNUMBER(F200),ISNUMBER(I200),ISNUMBER(H200),ISNUMBER(K200),F200&gt;0,I200&gt;0,H200&lt;&gt;0),IF(OR(COUNTIF(Торговля!$B$5:$B$300,$B200)+COUNTIF(Лэндинг!$B$5:$B$300,$B200)&gt;0,COUNTIF($B201:$B$301,$B200)&gt;0),0,ROUND(SUMPRODUCT(($B$5:$B$300=$B200)*(($F$5:$F$300+$I$5:$I$300-ABS($F$5:$F$300-$I$5:$I$300))/2)*($J$5:$J$300-$G$5:$G$300)),8)),"")</f>
        <v/>
      </c>
      <c r="O200" s="183">
        <f>IF(ISNUMBER(N200),IF(OR(COUNTIF(Торговля!$B$5:$B$300,$B200)+COUNTIF(Лэндинг!$B$5:$B$300,$B200)&gt;0,COUNTIF($B201:$B$301,$B200)&gt;0),0,IF(SUMPRODUCT(($B$5:$B$300=$B200)*(($F$5:$F$300+$I$5:$I$300-ABS($F$5:$F$300-$I$5:$I$300))/2)*$G$5:$G$300)&lt;=0,"",ROUND(N200/SUMPRODUCT(($B$5:$B$300=$B200)*(($F$5:$F$300+$I$5:$I$300-ABS($F$5:$F$300-$I$5:$I$300))/2)*$G$5:$G$300)*100,2))),"")</f>
        <v/>
      </c>
    </row>
    <row r="201" ht="22" customHeight="1">
      <c r="B201" s="313" t="n"/>
      <c r="C201" s="314" t="n"/>
      <c r="D201" s="313" t="n"/>
      <c r="E201" s="315" t="n"/>
      <c r="F201" s="316" t="n"/>
      <c r="G201" s="317" t="n"/>
      <c r="H201" s="271">
        <f>IF(AND(ISNUMBER(F201),ISNUMBER(G201)),F201*G201,"")</f>
        <v/>
      </c>
      <c r="I201" s="316" t="n"/>
      <c r="J201" s="317" t="n"/>
      <c r="K201" s="271">
        <f>IF(AND(ISNUMBER(I201),ISNUMBER(J201)),I201*J201,"")</f>
        <v/>
      </c>
      <c r="L201" s="240">
        <f>IF(COUNT(F201,I201)=0,"",N(F201)-N(I201))</f>
        <v/>
      </c>
      <c r="M201" s="241">
        <f>IF(COUNT(H201,K201)=0,"",N(K201)-N(H201))</f>
        <v/>
      </c>
      <c r="N201" s="240">
        <f>IF(AND(ISNUMBER(F201),ISNUMBER(I201),ISNUMBER(H201),ISNUMBER(K201),F201&gt;0,I201&gt;0,H201&lt;&gt;0),IF(OR(COUNTIF(Торговля!$B$5:$B$300,$B201)+COUNTIF(Лэндинг!$B$5:$B$300,$B201)&gt;0,COUNTIF($B202:$B$301,$B201)&gt;0),0,ROUND(SUMPRODUCT(($B$5:$B$300=$B201)*(($F$5:$F$300+$I$5:$I$300-ABS($F$5:$F$300-$I$5:$I$300))/2)*($J$5:$J$300-$G$5:$G$300)),8)),"")</f>
        <v/>
      </c>
      <c r="O201" s="177">
        <f>IF(ISNUMBER(N201),IF(OR(COUNTIF(Торговля!$B$5:$B$300,$B201)+COUNTIF(Лэндинг!$B$5:$B$300,$B201)&gt;0,COUNTIF($B202:$B$301,$B201)&gt;0),0,IF(SUMPRODUCT(($B$5:$B$300=$B201)*(($F$5:$F$300+$I$5:$I$300-ABS($F$5:$F$300-$I$5:$I$300))/2)*$G$5:$G$300)&lt;=0,"",ROUND(N201/SUMPRODUCT(($B$5:$B$300=$B201)*(($F$5:$F$300+$I$5:$I$300-ABS($F$5:$F$300-$I$5:$I$300))/2)*$G$5:$G$300)*100,2))),"")</f>
        <v/>
      </c>
    </row>
    <row r="202" ht="22" customHeight="1">
      <c r="B202" s="318" t="n"/>
      <c r="C202" s="319" t="n"/>
      <c r="D202" s="318" t="n"/>
      <c r="E202" s="320" t="n"/>
      <c r="F202" s="321" t="n"/>
      <c r="G202" s="322" t="n"/>
      <c r="H202" s="271">
        <f>IF(AND(ISNUMBER(F202),ISNUMBER(G202)),F202*G202,"")</f>
        <v/>
      </c>
      <c r="I202" s="321" t="n"/>
      <c r="J202" s="322" t="n"/>
      <c r="K202" s="271">
        <f>IF(AND(ISNUMBER(I202),ISNUMBER(J202)),I202*J202,"")</f>
        <v/>
      </c>
      <c r="L202" s="246">
        <f>IF(COUNT(F202,I202)=0,"",N(F202)-N(I202))</f>
        <v/>
      </c>
      <c r="M202" s="247">
        <f>IF(COUNT(H202,K202)=0,"",N(K202)-N(H202))</f>
        <v/>
      </c>
      <c r="N202" s="246">
        <f>IF(AND(ISNUMBER(F202),ISNUMBER(I202),ISNUMBER(H202),ISNUMBER(K202),F202&gt;0,I202&gt;0,H202&lt;&gt;0),IF(OR(COUNTIF(Торговля!$B$5:$B$300,$B202)+COUNTIF(Лэндинг!$B$5:$B$300,$B202)&gt;0,COUNTIF($B203:$B$301,$B202)&gt;0),0,ROUND(SUMPRODUCT(($B$5:$B$300=$B202)*(($F$5:$F$300+$I$5:$I$300-ABS($F$5:$F$300-$I$5:$I$300))/2)*($J$5:$J$300-$G$5:$G$300)),8)),"")</f>
        <v/>
      </c>
      <c r="O202" s="183">
        <f>IF(ISNUMBER(N202),IF(OR(COUNTIF(Торговля!$B$5:$B$300,$B202)+COUNTIF(Лэндинг!$B$5:$B$300,$B202)&gt;0,COUNTIF($B203:$B$301,$B202)&gt;0),0,IF(SUMPRODUCT(($B$5:$B$300=$B202)*(($F$5:$F$300+$I$5:$I$300-ABS($F$5:$F$300-$I$5:$I$300))/2)*$G$5:$G$300)&lt;=0,"",ROUND(N202/SUMPRODUCT(($B$5:$B$300=$B202)*(($F$5:$F$300+$I$5:$I$300-ABS($F$5:$F$300-$I$5:$I$300))/2)*$G$5:$G$300)*100,2))),"")</f>
        <v/>
      </c>
    </row>
    <row r="203" ht="22" customHeight="1">
      <c r="B203" s="313" t="n"/>
      <c r="C203" s="314" t="n"/>
      <c r="D203" s="313" t="n"/>
      <c r="E203" s="315" t="n"/>
      <c r="F203" s="316" t="n"/>
      <c r="G203" s="317" t="n"/>
      <c r="H203" s="271">
        <f>IF(AND(ISNUMBER(F203),ISNUMBER(G203)),F203*G203,"")</f>
        <v/>
      </c>
      <c r="I203" s="316" t="n"/>
      <c r="J203" s="317" t="n"/>
      <c r="K203" s="271">
        <f>IF(AND(ISNUMBER(I203),ISNUMBER(J203)),I203*J203,"")</f>
        <v/>
      </c>
      <c r="L203" s="240">
        <f>IF(COUNT(F203,I203)=0,"",N(F203)-N(I203))</f>
        <v/>
      </c>
      <c r="M203" s="241">
        <f>IF(COUNT(H203,K203)=0,"",N(K203)-N(H203))</f>
        <v/>
      </c>
      <c r="N203" s="240">
        <f>IF(AND(ISNUMBER(F203),ISNUMBER(I203),ISNUMBER(H203),ISNUMBER(K203),F203&gt;0,I203&gt;0,H203&lt;&gt;0),IF(OR(COUNTIF(Торговля!$B$5:$B$300,$B203)+COUNTIF(Лэндинг!$B$5:$B$300,$B203)&gt;0,COUNTIF($B204:$B$301,$B203)&gt;0),0,ROUND(SUMPRODUCT(($B$5:$B$300=$B203)*(($F$5:$F$300+$I$5:$I$300-ABS($F$5:$F$300-$I$5:$I$300))/2)*($J$5:$J$300-$G$5:$G$300)),8)),"")</f>
        <v/>
      </c>
      <c r="O203" s="177">
        <f>IF(ISNUMBER(N203),IF(OR(COUNTIF(Торговля!$B$5:$B$300,$B203)+COUNTIF(Лэндинг!$B$5:$B$300,$B203)&gt;0,COUNTIF($B204:$B$301,$B203)&gt;0),0,IF(SUMPRODUCT(($B$5:$B$300=$B203)*(($F$5:$F$300+$I$5:$I$300-ABS($F$5:$F$300-$I$5:$I$300))/2)*$G$5:$G$300)&lt;=0,"",ROUND(N203/SUMPRODUCT(($B$5:$B$300=$B203)*(($F$5:$F$300+$I$5:$I$300-ABS($F$5:$F$300-$I$5:$I$300))/2)*$G$5:$G$300)*100,2))),"")</f>
        <v/>
      </c>
    </row>
    <row r="204" ht="22" customHeight="1">
      <c r="B204" s="318" t="n"/>
      <c r="C204" s="319" t="n"/>
      <c r="D204" s="318" t="n"/>
      <c r="E204" s="320" t="n"/>
      <c r="F204" s="321" t="n"/>
      <c r="G204" s="322" t="n"/>
      <c r="H204" s="271">
        <f>IF(AND(ISNUMBER(F204),ISNUMBER(G204)),F204*G204,"")</f>
        <v/>
      </c>
      <c r="I204" s="321" t="n"/>
      <c r="J204" s="322" t="n"/>
      <c r="K204" s="271">
        <f>IF(AND(ISNUMBER(I204),ISNUMBER(J204)),I204*J204,"")</f>
        <v/>
      </c>
      <c r="L204" s="246">
        <f>IF(COUNT(F204,I204)=0,"",N(F204)-N(I204))</f>
        <v/>
      </c>
      <c r="M204" s="247">
        <f>IF(COUNT(H204,K204)=0,"",N(K204)-N(H204))</f>
        <v/>
      </c>
      <c r="N204" s="246">
        <f>IF(AND(ISNUMBER(F204),ISNUMBER(I204),ISNUMBER(H204),ISNUMBER(K204),F204&gt;0,I204&gt;0,H204&lt;&gt;0),IF(OR(COUNTIF(Торговля!$B$5:$B$300,$B204)+COUNTIF(Лэндинг!$B$5:$B$300,$B204)&gt;0,COUNTIF($B205:$B$301,$B204)&gt;0),0,ROUND(SUMPRODUCT(($B$5:$B$300=$B204)*(($F$5:$F$300+$I$5:$I$300-ABS($F$5:$F$300-$I$5:$I$300))/2)*($J$5:$J$300-$G$5:$G$300)),8)),"")</f>
        <v/>
      </c>
      <c r="O204" s="183">
        <f>IF(ISNUMBER(N204),IF(OR(COUNTIF(Торговля!$B$5:$B$300,$B204)+COUNTIF(Лэндинг!$B$5:$B$300,$B204)&gt;0,COUNTIF($B205:$B$301,$B204)&gt;0),0,IF(SUMPRODUCT(($B$5:$B$300=$B204)*(($F$5:$F$300+$I$5:$I$300-ABS($F$5:$F$300-$I$5:$I$300))/2)*$G$5:$G$300)&lt;=0,"",ROUND(N204/SUMPRODUCT(($B$5:$B$300=$B204)*(($F$5:$F$300+$I$5:$I$300-ABS($F$5:$F$300-$I$5:$I$300))/2)*$G$5:$G$300)*100,2))),"")</f>
        <v/>
      </c>
    </row>
    <row r="205" ht="22" customHeight="1">
      <c r="B205" s="313" t="n"/>
      <c r="C205" s="314" t="n"/>
      <c r="D205" s="313" t="n"/>
      <c r="E205" s="315" t="n"/>
      <c r="F205" s="316" t="n"/>
      <c r="G205" s="317" t="n"/>
      <c r="H205" s="271">
        <f>IF(AND(ISNUMBER(F205),ISNUMBER(G205)),F205*G205,"")</f>
        <v/>
      </c>
      <c r="I205" s="316" t="n"/>
      <c r="J205" s="317" t="n"/>
      <c r="K205" s="271">
        <f>IF(AND(ISNUMBER(I205),ISNUMBER(J205)),I205*J205,"")</f>
        <v/>
      </c>
      <c r="L205" s="240">
        <f>IF(COUNT(F205,I205)=0,"",N(F205)-N(I205))</f>
        <v/>
      </c>
      <c r="M205" s="241">
        <f>IF(COUNT(H205,K205)=0,"",N(K205)-N(H205))</f>
        <v/>
      </c>
      <c r="N205" s="240">
        <f>IF(AND(ISNUMBER(F205),ISNUMBER(I205),ISNUMBER(H205),ISNUMBER(K205),F205&gt;0,I205&gt;0,H205&lt;&gt;0),IF(OR(COUNTIF(Торговля!$B$5:$B$300,$B205)+COUNTIF(Лэндинг!$B$5:$B$300,$B205)&gt;0,COUNTIF($B206:$B$301,$B205)&gt;0),0,ROUND(SUMPRODUCT(($B$5:$B$300=$B205)*(($F$5:$F$300+$I$5:$I$300-ABS($F$5:$F$300-$I$5:$I$300))/2)*($J$5:$J$300-$G$5:$G$300)),8)),"")</f>
        <v/>
      </c>
      <c r="O205" s="177">
        <f>IF(ISNUMBER(N205),IF(OR(COUNTIF(Торговля!$B$5:$B$300,$B205)+COUNTIF(Лэндинг!$B$5:$B$300,$B205)&gt;0,COUNTIF($B206:$B$301,$B205)&gt;0),0,IF(SUMPRODUCT(($B$5:$B$300=$B205)*(($F$5:$F$300+$I$5:$I$300-ABS($F$5:$F$300-$I$5:$I$300))/2)*$G$5:$G$300)&lt;=0,"",ROUND(N205/SUMPRODUCT(($B$5:$B$300=$B205)*(($F$5:$F$300+$I$5:$I$300-ABS($F$5:$F$300-$I$5:$I$300))/2)*$G$5:$G$300)*100,2))),"")</f>
        <v/>
      </c>
    </row>
    <row r="206" ht="22" customHeight="1">
      <c r="B206" s="318" t="n"/>
      <c r="C206" s="319" t="n"/>
      <c r="D206" s="318" t="n"/>
      <c r="E206" s="320" t="n"/>
      <c r="F206" s="321" t="n"/>
      <c r="G206" s="322" t="n"/>
      <c r="H206" s="271">
        <f>IF(AND(ISNUMBER(F206),ISNUMBER(G206)),F206*G206,"")</f>
        <v/>
      </c>
      <c r="I206" s="321" t="n"/>
      <c r="J206" s="322" t="n"/>
      <c r="K206" s="271">
        <f>IF(AND(ISNUMBER(I206),ISNUMBER(J206)),I206*J206,"")</f>
        <v/>
      </c>
      <c r="L206" s="246">
        <f>IF(COUNT(F206,I206)=0,"",N(F206)-N(I206))</f>
        <v/>
      </c>
      <c r="M206" s="247">
        <f>IF(COUNT(H206,K206)=0,"",N(K206)-N(H206))</f>
        <v/>
      </c>
      <c r="N206" s="246">
        <f>IF(AND(ISNUMBER(F206),ISNUMBER(I206),ISNUMBER(H206),ISNUMBER(K206),F206&gt;0,I206&gt;0,H206&lt;&gt;0),IF(OR(COUNTIF(Торговля!$B$5:$B$300,$B206)+COUNTIF(Лэндинг!$B$5:$B$300,$B206)&gt;0,COUNTIF($B207:$B$301,$B206)&gt;0),0,ROUND(SUMPRODUCT(($B$5:$B$300=$B206)*(($F$5:$F$300+$I$5:$I$300-ABS($F$5:$F$300-$I$5:$I$300))/2)*($J$5:$J$300-$G$5:$G$300)),8)),"")</f>
        <v/>
      </c>
      <c r="O206" s="183">
        <f>IF(ISNUMBER(N206),IF(OR(COUNTIF(Торговля!$B$5:$B$300,$B206)+COUNTIF(Лэндинг!$B$5:$B$300,$B206)&gt;0,COUNTIF($B207:$B$301,$B206)&gt;0),0,IF(SUMPRODUCT(($B$5:$B$300=$B206)*(($F$5:$F$300+$I$5:$I$300-ABS($F$5:$F$300-$I$5:$I$300))/2)*$G$5:$G$300)&lt;=0,"",ROUND(N206/SUMPRODUCT(($B$5:$B$300=$B206)*(($F$5:$F$300+$I$5:$I$300-ABS($F$5:$F$300-$I$5:$I$300))/2)*$G$5:$G$300)*100,2))),"")</f>
        <v/>
      </c>
    </row>
    <row r="207" ht="22" customHeight="1">
      <c r="B207" s="313" t="n"/>
      <c r="C207" s="314" t="n"/>
      <c r="D207" s="313" t="n"/>
      <c r="E207" s="315" t="n"/>
      <c r="F207" s="316" t="n"/>
      <c r="G207" s="317" t="n"/>
      <c r="H207" s="271">
        <f>IF(AND(ISNUMBER(F207),ISNUMBER(G207)),F207*G207,"")</f>
        <v/>
      </c>
      <c r="I207" s="316" t="n"/>
      <c r="J207" s="317" t="n"/>
      <c r="K207" s="271">
        <f>IF(AND(ISNUMBER(I207),ISNUMBER(J207)),I207*J207,"")</f>
        <v/>
      </c>
      <c r="L207" s="240">
        <f>IF(COUNT(F207,I207)=0,"",N(F207)-N(I207))</f>
        <v/>
      </c>
      <c r="M207" s="241">
        <f>IF(COUNT(H207,K207)=0,"",N(K207)-N(H207))</f>
        <v/>
      </c>
      <c r="N207" s="240">
        <f>IF(AND(ISNUMBER(F207),ISNUMBER(I207),ISNUMBER(H207),ISNUMBER(K207),F207&gt;0,I207&gt;0,H207&lt;&gt;0),IF(OR(COUNTIF(Торговля!$B$5:$B$300,$B207)+COUNTIF(Лэндинг!$B$5:$B$300,$B207)&gt;0,COUNTIF($B208:$B$301,$B207)&gt;0),0,ROUND(SUMPRODUCT(($B$5:$B$300=$B207)*(($F$5:$F$300+$I$5:$I$300-ABS($F$5:$F$300-$I$5:$I$300))/2)*($J$5:$J$300-$G$5:$G$300)),8)),"")</f>
        <v/>
      </c>
      <c r="O207" s="177">
        <f>IF(ISNUMBER(N207),IF(OR(COUNTIF(Торговля!$B$5:$B$300,$B207)+COUNTIF(Лэндинг!$B$5:$B$300,$B207)&gt;0,COUNTIF($B208:$B$301,$B207)&gt;0),0,IF(SUMPRODUCT(($B$5:$B$300=$B207)*(($F$5:$F$300+$I$5:$I$300-ABS($F$5:$F$300-$I$5:$I$300))/2)*$G$5:$G$300)&lt;=0,"",ROUND(N207/SUMPRODUCT(($B$5:$B$300=$B207)*(($F$5:$F$300+$I$5:$I$300-ABS($F$5:$F$300-$I$5:$I$300))/2)*$G$5:$G$300)*100,2))),"")</f>
        <v/>
      </c>
    </row>
    <row r="208" ht="22" customHeight="1">
      <c r="B208" s="318" t="n"/>
      <c r="C208" s="319" t="n"/>
      <c r="D208" s="318" t="n"/>
      <c r="E208" s="320" t="n"/>
      <c r="F208" s="321" t="n"/>
      <c r="G208" s="322" t="n"/>
      <c r="H208" s="271">
        <f>IF(AND(ISNUMBER(F208),ISNUMBER(G208)),F208*G208,"")</f>
        <v/>
      </c>
      <c r="I208" s="321" t="n"/>
      <c r="J208" s="322" t="n"/>
      <c r="K208" s="271">
        <f>IF(AND(ISNUMBER(I208),ISNUMBER(J208)),I208*J208,"")</f>
        <v/>
      </c>
      <c r="L208" s="246">
        <f>IF(COUNT(F208,I208)=0,"",N(F208)-N(I208))</f>
        <v/>
      </c>
      <c r="M208" s="247">
        <f>IF(COUNT(H208,K208)=0,"",N(K208)-N(H208))</f>
        <v/>
      </c>
      <c r="N208" s="246">
        <f>IF(AND(ISNUMBER(F208),ISNUMBER(I208),ISNUMBER(H208),ISNUMBER(K208),F208&gt;0,I208&gt;0,H208&lt;&gt;0),IF(OR(COUNTIF(Торговля!$B$5:$B$300,$B208)+COUNTIF(Лэндинг!$B$5:$B$300,$B208)&gt;0,COUNTIF($B209:$B$301,$B208)&gt;0),0,ROUND(SUMPRODUCT(($B$5:$B$300=$B208)*(($F$5:$F$300+$I$5:$I$300-ABS($F$5:$F$300-$I$5:$I$300))/2)*($J$5:$J$300-$G$5:$G$300)),8)),"")</f>
        <v/>
      </c>
      <c r="O208" s="183">
        <f>IF(ISNUMBER(N208),IF(OR(COUNTIF(Торговля!$B$5:$B$300,$B208)+COUNTIF(Лэндинг!$B$5:$B$300,$B208)&gt;0,COUNTIF($B209:$B$301,$B208)&gt;0),0,IF(SUMPRODUCT(($B$5:$B$300=$B208)*(($F$5:$F$300+$I$5:$I$300-ABS($F$5:$F$300-$I$5:$I$300))/2)*$G$5:$G$300)&lt;=0,"",ROUND(N208/SUMPRODUCT(($B$5:$B$300=$B208)*(($F$5:$F$300+$I$5:$I$300-ABS($F$5:$F$300-$I$5:$I$300))/2)*$G$5:$G$300)*100,2))),"")</f>
        <v/>
      </c>
    </row>
    <row r="209" ht="22" customHeight="1">
      <c r="B209" s="313" t="n"/>
      <c r="C209" s="314" t="n"/>
      <c r="D209" s="313" t="n"/>
      <c r="E209" s="315" t="n"/>
      <c r="F209" s="316" t="n"/>
      <c r="G209" s="317" t="n"/>
      <c r="H209" s="271">
        <f>IF(AND(ISNUMBER(F209),ISNUMBER(G209)),F209*G209,"")</f>
        <v/>
      </c>
      <c r="I209" s="316" t="n"/>
      <c r="J209" s="317" t="n"/>
      <c r="K209" s="271">
        <f>IF(AND(ISNUMBER(I209),ISNUMBER(J209)),I209*J209,"")</f>
        <v/>
      </c>
      <c r="L209" s="240">
        <f>IF(COUNT(F209,I209)=0,"",N(F209)-N(I209))</f>
        <v/>
      </c>
      <c r="M209" s="241">
        <f>IF(COUNT(H209,K209)=0,"",N(K209)-N(H209))</f>
        <v/>
      </c>
      <c r="N209" s="240">
        <f>IF(AND(ISNUMBER(F209),ISNUMBER(I209),ISNUMBER(H209),ISNUMBER(K209),F209&gt;0,I209&gt;0,H209&lt;&gt;0),IF(OR(COUNTIF(Торговля!$B$5:$B$300,$B209)+COUNTIF(Лэндинг!$B$5:$B$300,$B209)&gt;0,COUNTIF($B210:$B$301,$B209)&gt;0),0,ROUND(SUMPRODUCT(($B$5:$B$300=$B209)*(($F$5:$F$300+$I$5:$I$300-ABS($F$5:$F$300-$I$5:$I$300))/2)*($J$5:$J$300-$G$5:$G$300)),8)),"")</f>
        <v/>
      </c>
      <c r="O209" s="177">
        <f>IF(ISNUMBER(N209),IF(OR(COUNTIF(Торговля!$B$5:$B$300,$B209)+COUNTIF(Лэндинг!$B$5:$B$300,$B209)&gt;0,COUNTIF($B210:$B$301,$B209)&gt;0),0,IF(SUMPRODUCT(($B$5:$B$300=$B209)*(($F$5:$F$300+$I$5:$I$300-ABS($F$5:$F$300-$I$5:$I$300))/2)*$G$5:$G$300)&lt;=0,"",ROUND(N209/SUMPRODUCT(($B$5:$B$300=$B209)*(($F$5:$F$300+$I$5:$I$300-ABS($F$5:$F$300-$I$5:$I$300))/2)*$G$5:$G$300)*100,2))),"")</f>
        <v/>
      </c>
    </row>
    <row r="210" ht="22" customHeight="1">
      <c r="B210" s="318" t="n"/>
      <c r="C210" s="319" t="n"/>
      <c r="D210" s="318" t="n"/>
      <c r="E210" s="320" t="n"/>
      <c r="F210" s="321" t="n"/>
      <c r="G210" s="322" t="n"/>
      <c r="H210" s="271">
        <f>IF(AND(ISNUMBER(F210),ISNUMBER(G210)),F210*G210,"")</f>
        <v/>
      </c>
      <c r="I210" s="321" t="n"/>
      <c r="J210" s="322" t="n"/>
      <c r="K210" s="271">
        <f>IF(AND(ISNUMBER(I210),ISNUMBER(J210)),I210*J210,"")</f>
        <v/>
      </c>
      <c r="L210" s="246">
        <f>IF(COUNT(F210,I210)=0,"",N(F210)-N(I210))</f>
        <v/>
      </c>
      <c r="M210" s="247">
        <f>IF(COUNT(H210,K210)=0,"",N(K210)-N(H210))</f>
        <v/>
      </c>
      <c r="N210" s="246">
        <f>IF(AND(ISNUMBER(F210),ISNUMBER(I210),ISNUMBER(H210),ISNUMBER(K210),F210&gt;0,I210&gt;0,H210&lt;&gt;0),IF(OR(COUNTIF(Торговля!$B$5:$B$300,$B210)+COUNTIF(Лэндинг!$B$5:$B$300,$B210)&gt;0,COUNTIF($B211:$B$301,$B210)&gt;0),0,ROUND(SUMPRODUCT(($B$5:$B$300=$B210)*(($F$5:$F$300+$I$5:$I$300-ABS($F$5:$F$300-$I$5:$I$300))/2)*($J$5:$J$300-$G$5:$G$300)),8)),"")</f>
        <v/>
      </c>
      <c r="O210" s="183">
        <f>IF(ISNUMBER(N210),IF(OR(COUNTIF(Торговля!$B$5:$B$300,$B210)+COUNTIF(Лэндинг!$B$5:$B$300,$B210)&gt;0,COUNTIF($B211:$B$301,$B210)&gt;0),0,IF(SUMPRODUCT(($B$5:$B$300=$B210)*(($F$5:$F$300+$I$5:$I$300-ABS($F$5:$F$300-$I$5:$I$300))/2)*$G$5:$G$300)&lt;=0,"",ROUND(N210/SUMPRODUCT(($B$5:$B$300=$B210)*(($F$5:$F$300+$I$5:$I$300-ABS($F$5:$F$300-$I$5:$I$300))/2)*$G$5:$G$300)*100,2))),"")</f>
        <v/>
      </c>
    </row>
    <row r="211" ht="22" customHeight="1">
      <c r="B211" s="313" t="n"/>
      <c r="C211" s="314" t="n"/>
      <c r="D211" s="313" t="n"/>
      <c r="E211" s="315" t="n"/>
      <c r="F211" s="316" t="n"/>
      <c r="G211" s="317" t="n"/>
      <c r="H211" s="271">
        <f>IF(AND(ISNUMBER(F211),ISNUMBER(G211)),F211*G211,"")</f>
        <v/>
      </c>
      <c r="I211" s="316" t="n"/>
      <c r="J211" s="317" t="n"/>
      <c r="K211" s="271">
        <f>IF(AND(ISNUMBER(I211),ISNUMBER(J211)),I211*J211,"")</f>
        <v/>
      </c>
      <c r="L211" s="240">
        <f>IF(COUNT(F211,I211)=0,"",N(F211)-N(I211))</f>
        <v/>
      </c>
      <c r="M211" s="241">
        <f>IF(COUNT(H211,K211)=0,"",N(K211)-N(H211))</f>
        <v/>
      </c>
      <c r="N211" s="240">
        <f>IF(AND(ISNUMBER(F211),ISNUMBER(I211),ISNUMBER(H211),ISNUMBER(K211),F211&gt;0,I211&gt;0,H211&lt;&gt;0),IF(OR(COUNTIF(Торговля!$B$5:$B$300,$B211)+COUNTIF(Лэндинг!$B$5:$B$300,$B211)&gt;0,COUNTIF($B212:$B$301,$B211)&gt;0),0,ROUND(SUMPRODUCT(($B$5:$B$300=$B211)*(($F$5:$F$300+$I$5:$I$300-ABS($F$5:$F$300-$I$5:$I$300))/2)*($J$5:$J$300-$G$5:$G$300)),8)),"")</f>
        <v/>
      </c>
      <c r="O211" s="177">
        <f>IF(ISNUMBER(N211),IF(OR(COUNTIF(Торговля!$B$5:$B$300,$B211)+COUNTIF(Лэндинг!$B$5:$B$300,$B211)&gt;0,COUNTIF($B212:$B$301,$B211)&gt;0),0,IF(SUMPRODUCT(($B$5:$B$300=$B211)*(($F$5:$F$300+$I$5:$I$300-ABS($F$5:$F$300-$I$5:$I$300))/2)*$G$5:$G$300)&lt;=0,"",ROUND(N211/SUMPRODUCT(($B$5:$B$300=$B211)*(($F$5:$F$300+$I$5:$I$300-ABS($F$5:$F$300-$I$5:$I$300))/2)*$G$5:$G$300)*100,2))),"")</f>
        <v/>
      </c>
    </row>
    <row r="212" ht="22" customHeight="1">
      <c r="B212" s="318" t="n"/>
      <c r="C212" s="319" t="n"/>
      <c r="D212" s="318" t="n"/>
      <c r="E212" s="320" t="n"/>
      <c r="F212" s="321" t="n"/>
      <c r="G212" s="322" t="n"/>
      <c r="H212" s="271">
        <f>IF(AND(ISNUMBER(F212),ISNUMBER(G212)),F212*G212,"")</f>
        <v/>
      </c>
      <c r="I212" s="321" t="n"/>
      <c r="J212" s="322" t="n"/>
      <c r="K212" s="271">
        <f>IF(AND(ISNUMBER(I212),ISNUMBER(J212)),I212*J212,"")</f>
        <v/>
      </c>
      <c r="L212" s="246">
        <f>IF(COUNT(F212,I212)=0,"",N(F212)-N(I212))</f>
        <v/>
      </c>
      <c r="M212" s="247">
        <f>IF(COUNT(H212,K212)=0,"",N(K212)-N(H212))</f>
        <v/>
      </c>
      <c r="N212" s="246">
        <f>IF(AND(ISNUMBER(F212),ISNUMBER(I212),ISNUMBER(H212),ISNUMBER(K212),F212&gt;0,I212&gt;0,H212&lt;&gt;0),IF(OR(COUNTIF(Торговля!$B$5:$B$300,$B212)+COUNTIF(Лэндинг!$B$5:$B$300,$B212)&gt;0,COUNTIF($B213:$B$301,$B212)&gt;0),0,ROUND(SUMPRODUCT(($B$5:$B$300=$B212)*(($F$5:$F$300+$I$5:$I$300-ABS($F$5:$F$300-$I$5:$I$300))/2)*($J$5:$J$300-$G$5:$G$300)),8)),"")</f>
        <v/>
      </c>
      <c r="O212" s="183">
        <f>IF(ISNUMBER(N212),IF(OR(COUNTIF(Торговля!$B$5:$B$300,$B212)+COUNTIF(Лэндинг!$B$5:$B$300,$B212)&gt;0,COUNTIF($B213:$B$301,$B212)&gt;0),0,IF(SUMPRODUCT(($B$5:$B$300=$B212)*(($F$5:$F$300+$I$5:$I$300-ABS($F$5:$F$300-$I$5:$I$300))/2)*$G$5:$G$300)&lt;=0,"",ROUND(N212/SUMPRODUCT(($B$5:$B$300=$B212)*(($F$5:$F$300+$I$5:$I$300-ABS($F$5:$F$300-$I$5:$I$300))/2)*$G$5:$G$300)*100,2))),"")</f>
        <v/>
      </c>
    </row>
    <row r="213" ht="22" customHeight="1">
      <c r="B213" s="313" t="n"/>
      <c r="C213" s="314" t="n"/>
      <c r="D213" s="313" t="n"/>
      <c r="E213" s="315" t="n"/>
      <c r="F213" s="316" t="n"/>
      <c r="G213" s="317" t="n"/>
      <c r="H213" s="271">
        <f>IF(AND(ISNUMBER(F213),ISNUMBER(G213)),F213*G213,"")</f>
        <v/>
      </c>
      <c r="I213" s="316" t="n"/>
      <c r="J213" s="317" t="n"/>
      <c r="K213" s="271">
        <f>IF(AND(ISNUMBER(I213),ISNUMBER(J213)),I213*J213,"")</f>
        <v/>
      </c>
      <c r="L213" s="240">
        <f>IF(COUNT(F213,I213)=0,"",N(F213)-N(I213))</f>
        <v/>
      </c>
      <c r="M213" s="241">
        <f>IF(COUNT(H213,K213)=0,"",N(K213)-N(H213))</f>
        <v/>
      </c>
      <c r="N213" s="240">
        <f>IF(AND(ISNUMBER(F213),ISNUMBER(I213),ISNUMBER(H213),ISNUMBER(K213),F213&gt;0,I213&gt;0,H213&lt;&gt;0),IF(OR(COUNTIF(Торговля!$B$5:$B$300,$B213)+COUNTIF(Лэндинг!$B$5:$B$300,$B213)&gt;0,COUNTIF($B214:$B$301,$B213)&gt;0),0,ROUND(SUMPRODUCT(($B$5:$B$300=$B213)*(($F$5:$F$300+$I$5:$I$300-ABS($F$5:$F$300-$I$5:$I$300))/2)*($J$5:$J$300-$G$5:$G$300)),8)),"")</f>
        <v/>
      </c>
      <c r="O213" s="177">
        <f>IF(ISNUMBER(N213),IF(OR(COUNTIF(Торговля!$B$5:$B$300,$B213)+COUNTIF(Лэндинг!$B$5:$B$300,$B213)&gt;0,COUNTIF($B214:$B$301,$B213)&gt;0),0,IF(SUMPRODUCT(($B$5:$B$300=$B213)*(($F$5:$F$300+$I$5:$I$300-ABS($F$5:$F$300-$I$5:$I$300))/2)*$G$5:$G$300)&lt;=0,"",ROUND(N213/SUMPRODUCT(($B$5:$B$300=$B213)*(($F$5:$F$300+$I$5:$I$300-ABS($F$5:$F$300-$I$5:$I$300))/2)*$G$5:$G$300)*100,2))),"")</f>
        <v/>
      </c>
    </row>
    <row r="214" ht="22" customHeight="1">
      <c r="B214" s="318" t="n"/>
      <c r="C214" s="319" t="n"/>
      <c r="D214" s="318" t="n"/>
      <c r="E214" s="320" t="n"/>
      <c r="F214" s="321" t="n"/>
      <c r="G214" s="322" t="n"/>
      <c r="H214" s="271">
        <f>IF(AND(ISNUMBER(F214),ISNUMBER(G214)),F214*G214,"")</f>
        <v/>
      </c>
      <c r="I214" s="321" t="n"/>
      <c r="J214" s="322" t="n"/>
      <c r="K214" s="271">
        <f>IF(AND(ISNUMBER(I214),ISNUMBER(J214)),I214*J214,"")</f>
        <v/>
      </c>
      <c r="L214" s="246">
        <f>IF(COUNT(F214,I214)=0,"",N(F214)-N(I214))</f>
        <v/>
      </c>
      <c r="M214" s="247">
        <f>IF(COUNT(H214,K214)=0,"",N(K214)-N(H214))</f>
        <v/>
      </c>
      <c r="N214" s="246">
        <f>IF(AND(ISNUMBER(F214),ISNUMBER(I214),ISNUMBER(H214),ISNUMBER(K214),F214&gt;0,I214&gt;0,H214&lt;&gt;0),IF(OR(COUNTIF(Торговля!$B$5:$B$300,$B214)+COUNTIF(Лэндинг!$B$5:$B$300,$B214)&gt;0,COUNTIF($B215:$B$301,$B214)&gt;0),0,ROUND(SUMPRODUCT(($B$5:$B$300=$B214)*(($F$5:$F$300+$I$5:$I$300-ABS($F$5:$F$300-$I$5:$I$300))/2)*($J$5:$J$300-$G$5:$G$300)),8)),"")</f>
        <v/>
      </c>
      <c r="O214" s="183">
        <f>IF(ISNUMBER(N214),IF(OR(COUNTIF(Торговля!$B$5:$B$300,$B214)+COUNTIF(Лэндинг!$B$5:$B$300,$B214)&gt;0,COUNTIF($B215:$B$301,$B214)&gt;0),0,IF(SUMPRODUCT(($B$5:$B$300=$B214)*(($F$5:$F$300+$I$5:$I$300-ABS($F$5:$F$300-$I$5:$I$300))/2)*$G$5:$G$300)&lt;=0,"",ROUND(N214/SUMPRODUCT(($B$5:$B$300=$B214)*(($F$5:$F$300+$I$5:$I$300-ABS($F$5:$F$300-$I$5:$I$300))/2)*$G$5:$G$300)*100,2))),"")</f>
        <v/>
      </c>
    </row>
    <row r="215" ht="22" customHeight="1">
      <c r="B215" s="313" t="n"/>
      <c r="C215" s="314" t="n"/>
      <c r="D215" s="313" t="n"/>
      <c r="E215" s="315" t="n"/>
      <c r="F215" s="316" t="n"/>
      <c r="G215" s="317" t="n"/>
      <c r="H215" s="271">
        <f>IF(AND(ISNUMBER(F215),ISNUMBER(G215)),F215*G215,"")</f>
        <v/>
      </c>
      <c r="I215" s="316" t="n"/>
      <c r="J215" s="317" t="n"/>
      <c r="K215" s="271">
        <f>IF(AND(ISNUMBER(I215),ISNUMBER(J215)),I215*J215,"")</f>
        <v/>
      </c>
      <c r="L215" s="240">
        <f>IF(COUNT(F215,I215)=0,"",N(F215)-N(I215))</f>
        <v/>
      </c>
      <c r="M215" s="241">
        <f>IF(COUNT(H215,K215)=0,"",N(K215)-N(H215))</f>
        <v/>
      </c>
      <c r="N215" s="240">
        <f>IF(AND(ISNUMBER(F215),ISNUMBER(I215),ISNUMBER(H215),ISNUMBER(K215),F215&gt;0,I215&gt;0,H215&lt;&gt;0),IF(OR(COUNTIF(Торговля!$B$5:$B$300,$B215)+COUNTIF(Лэндинг!$B$5:$B$300,$B215)&gt;0,COUNTIF($B216:$B$301,$B215)&gt;0),0,ROUND(SUMPRODUCT(($B$5:$B$300=$B215)*(($F$5:$F$300+$I$5:$I$300-ABS($F$5:$F$300-$I$5:$I$300))/2)*($J$5:$J$300-$G$5:$G$300)),8)),"")</f>
        <v/>
      </c>
      <c r="O215" s="177">
        <f>IF(ISNUMBER(N215),IF(OR(COUNTIF(Торговля!$B$5:$B$300,$B215)+COUNTIF(Лэндинг!$B$5:$B$300,$B215)&gt;0,COUNTIF($B216:$B$301,$B215)&gt;0),0,IF(SUMPRODUCT(($B$5:$B$300=$B215)*(($F$5:$F$300+$I$5:$I$300-ABS($F$5:$F$300-$I$5:$I$300))/2)*$G$5:$G$300)&lt;=0,"",ROUND(N215/SUMPRODUCT(($B$5:$B$300=$B215)*(($F$5:$F$300+$I$5:$I$300-ABS($F$5:$F$300-$I$5:$I$300))/2)*$G$5:$G$300)*100,2))),"")</f>
        <v/>
      </c>
    </row>
    <row r="216" ht="22" customHeight="1">
      <c r="B216" s="318" t="n"/>
      <c r="C216" s="319" t="n"/>
      <c r="D216" s="318" t="n"/>
      <c r="E216" s="320" t="n"/>
      <c r="F216" s="321" t="n"/>
      <c r="G216" s="322" t="n"/>
      <c r="H216" s="271">
        <f>IF(AND(ISNUMBER(F216),ISNUMBER(G216)),F216*G216,"")</f>
        <v/>
      </c>
      <c r="I216" s="321" t="n"/>
      <c r="J216" s="322" t="n"/>
      <c r="K216" s="271">
        <f>IF(AND(ISNUMBER(I216),ISNUMBER(J216)),I216*J216,"")</f>
        <v/>
      </c>
      <c r="L216" s="246">
        <f>IF(COUNT(F216,I216)=0,"",N(F216)-N(I216))</f>
        <v/>
      </c>
      <c r="M216" s="247">
        <f>IF(COUNT(H216,K216)=0,"",N(K216)-N(H216))</f>
        <v/>
      </c>
      <c r="N216" s="246">
        <f>IF(AND(ISNUMBER(F216),ISNUMBER(I216),ISNUMBER(H216),ISNUMBER(K216),F216&gt;0,I216&gt;0,H216&lt;&gt;0),IF(OR(COUNTIF(Торговля!$B$5:$B$300,$B216)+COUNTIF(Лэндинг!$B$5:$B$300,$B216)&gt;0,COUNTIF($B217:$B$301,$B216)&gt;0),0,ROUND(SUMPRODUCT(($B$5:$B$300=$B216)*(($F$5:$F$300+$I$5:$I$300-ABS($F$5:$F$300-$I$5:$I$300))/2)*($J$5:$J$300-$G$5:$G$300)),8)),"")</f>
        <v/>
      </c>
      <c r="O216" s="183">
        <f>IF(ISNUMBER(N216),IF(OR(COUNTIF(Торговля!$B$5:$B$300,$B216)+COUNTIF(Лэндинг!$B$5:$B$300,$B216)&gt;0,COUNTIF($B217:$B$301,$B216)&gt;0),0,IF(SUMPRODUCT(($B$5:$B$300=$B216)*(($F$5:$F$300+$I$5:$I$300-ABS($F$5:$F$300-$I$5:$I$300))/2)*$G$5:$G$300)&lt;=0,"",ROUND(N216/SUMPRODUCT(($B$5:$B$300=$B216)*(($F$5:$F$300+$I$5:$I$300-ABS($F$5:$F$300-$I$5:$I$300))/2)*$G$5:$G$300)*100,2))),"")</f>
        <v/>
      </c>
    </row>
    <row r="217" ht="22" customHeight="1">
      <c r="B217" s="313" t="n"/>
      <c r="C217" s="314" t="n"/>
      <c r="D217" s="313" t="n"/>
      <c r="E217" s="315" t="n"/>
      <c r="F217" s="316" t="n"/>
      <c r="G217" s="317" t="n"/>
      <c r="H217" s="271">
        <f>IF(AND(ISNUMBER(F217),ISNUMBER(G217)),F217*G217,"")</f>
        <v/>
      </c>
      <c r="I217" s="316" t="n"/>
      <c r="J217" s="317" t="n"/>
      <c r="K217" s="271">
        <f>IF(AND(ISNUMBER(I217),ISNUMBER(J217)),I217*J217,"")</f>
        <v/>
      </c>
      <c r="L217" s="240">
        <f>IF(COUNT(F217,I217)=0,"",N(F217)-N(I217))</f>
        <v/>
      </c>
      <c r="M217" s="241">
        <f>IF(COUNT(H217,K217)=0,"",N(K217)-N(H217))</f>
        <v/>
      </c>
      <c r="N217" s="240">
        <f>IF(AND(ISNUMBER(F217),ISNUMBER(I217),ISNUMBER(H217),ISNUMBER(K217),F217&gt;0,I217&gt;0,H217&lt;&gt;0),IF(OR(COUNTIF(Торговля!$B$5:$B$300,$B217)+COUNTIF(Лэндинг!$B$5:$B$300,$B217)&gt;0,COUNTIF($B218:$B$301,$B217)&gt;0),0,ROUND(SUMPRODUCT(($B$5:$B$300=$B217)*(($F$5:$F$300+$I$5:$I$300-ABS($F$5:$F$300-$I$5:$I$300))/2)*($J$5:$J$300-$G$5:$G$300)),8)),"")</f>
        <v/>
      </c>
      <c r="O217" s="177">
        <f>IF(ISNUMBER(N217),IF(OR(COUNTIF(Торговля!$B$5:$B$300,$B217)+COUNTIF(Лэндинг!$B$5:$B$300,$B217)&gt;0,COUNTIF($B218:$B$301,$B217)&gt;0),0,IF(SUMPRODUCT(($B$5:$B$300=$B217)*(($F$5:$F$300+$I$5:$I$300-ABS($F$5:$F$300-$I$5:$I$300))/2)*$G$5:$G$300)&lt;=0,"",ROUND(N217/SUMPRODUCT(($B$5:$B$300=$B217)*(($F$5:$F$300+$I$5:$I$300-ABS($F$5:$F$300-$I$5:$I$300))/2)*$G$5:$G$300)*100,2))),"")</f>
        <v/>
      </c>
    </row>
    <row r="218" ht="22" customHeight="1">
      <c r="B218" s="318" t="n"/>
      <c r="C218" s="319" t="n"/>
      <c r="D218" s="318" t="n"/>
      <c r="E218" s="320" t="n"/>
      <c r="F218" s="321" t="n"/>
      <c r="G218" s="322" t="n"/>
      <c r="H218" s="271">
        <f>IF(AND(ISNUMBER(F218),ISNUMBER(G218)),F218*G218,"")</f>
        <v/>
      </c>
      <c r="I218" s="321" t="n"/>
      <c r="J218" s="322" t="n"/>
      <c r="K218" s="271">
        <f>IF(AND(ISNUMBER(I218),ISNUMBER(J218)),I218*J218,"")</f>
        <v/>
      </c>
      <c r="L218" s="246">
        <f>IF(COUNT(F218,I218)=0,"",N(F218)-N(I218))</f>
        <v/>
      </c>
      <c r="M218" s="247">
        <f>IF(COUNT(H218,K218)=0,"",N(K218)-N(H218))</f>
        <v/>
      </c>
      <c r="N218" s="246">
        <f>IF(AND(ISNUMBER(F218),ISNUMBER(I218),ISNUMBER(H218),ISNUMBER(K218),F218&gt;0,I218&gt;0,H218&lt;&gt;0),IF(OR(COUNTIF(Торговля!$B$5:$B$300,$B218)+COUNTIF(Лэндинг!$B$5:$B$300,$B218)&gt;0,COUNTIF($B219:$B$301,$B218)&gt;0),0,ROUND(SUMPRODUCT(($B$5:$B$300=$B218)*(($F$5:$F$300+$I$5:$I$300-ABS($F$5:$F$300-$I$5:$I$300))/2)*($J$5:$J$300-$G$5:$G$300)),8)),"")</f>
        <v/>
      </c>
      <c r="O218" s="183">
        <f>IF(ISNUMBER(N218),IF(OR(COUNTIF(Торговля!$B$5:$B$300,$B218)+COUNTIF(Лэндинг!$B$5:$B$300,$B218)&gt;0,COUNTIF($B219:$B$301,$B218)&gt;0),0,IF(SUMPRODUCT(($B$5:$B$300=$B218)*(($F$5:$F$300+$I$5:$I$300-ABS($F$5:$F$300-$I$5:$I$300))/2)*$G$5:$G$300)&lt;=0,"",ROUND(N218/SUMPRODUCT(($B$5:$B$300=$B218)*(($F$5:$F$300+$I$5:$I$300-ABS($F$5:$F$300-$I$5:$I$300))/2)*$G$5:$G$300)*100,2))),"")</f>
        <v/>
      </c>
    </row>
    <row r="219" ht="22" customHeight="1">
      <c r="B219" s="313" t="n"/>
      <c r="C219" s="314" t="n"/>
      <c r="D219" s="313" t="n"/>
      <c r="E219" s="315" t="n"/>
      <c r="F219" s="316" t="n"/>
      <c r="G219" s="317" t="n"/>
      <c r="H219" s="271">
        <f>IF(AND(ISNUMBER(F219),ISNUMBER(G219)),F219*G219,"")</f>
        <v/>
      </c>
      <c r="I219" s="316" t="n"/>
      <c r="J219" s="317" t="n"/>
      <c r="K219" s="271">
        <f>IF(AND(ISNUMBER(I219),ISNUMBER(J219)),I219*J219,"")</f>
        <v/>
      </c>
      <c r="L219" s="240">
        <f>IF(COUNT(F219,I219)=0,"",N(F219)-N(I219))</f>
        <v/>
      </c>
      <c r="M219" s="241">
        <f>IF(COUNT(H219,K219)=0,"",N(K219)-N(H219))</f>
        <v/>
      </c>
      <c r="N219" s="240">
        <f>IF(AND(ISNUMBER(F219),ISNUMBER(I219),ISNUMBER(H219),ISNUMBER(K219),F219&gt;0,I219&gt;0,H219&lt;&gt;0),IF(OR(COUNTIF(Торговля!$B$5:$B$300,$B219)+COUNTIF(Лэндинг!$B$5:$B$300,$B219)&gt;0,COUNTIF($B220:$B$301,$B219)&gt;0),0,ROUND(SUMPRODUCT(($B$5:$B$300=$B219)*(($F$5:$F$300+$I$5:$I$300-ABS($F$5:$F$300-$I$5:$I$300))/2)*($J$5:$J$300-$G$5:$G$300)),8)),"")</f>
        <v/>
      </c>
      <c r="O219" s="177">
        <f>IF(ISNUMBER(N219),IF(OR(COUNTIF(Торговля!$B$5:$B$300,$B219)+COUNTIF(Лэндинг!$B$5:$B$300,$B219)&gt;0,COUNTIF($B220:$B$301,$B219)&gt;0),0,IF(SUMPRODUCT(($B$5:$B$300=$B219)*(($F$5:$F$300+$I$5:$I$300-ABS($F$5:$F$300-$I$5:$I$300))/2)*$G$5:$G$300)&lt;=0,"",ROUND(N219/SUMPRODUCT(($B$5:$B$300=$B219)*(($F$5:$F$300+$I$5:$I$300-ABS($F$5:$F$300-$I$5:$I$300))/2)*$G$5:$G$300)*100,2))),"")</f>
        <v/>
      </c>
    </row>
    <row r="220" ht="22" customHeight="1">
      <c r="B220" s="318" t="n"/>
      <c r="C220" s="319" t="n"/>
      <c r="D220" s="318" t="n"/>
      <c r="E220" s="320" t="n"/>
      <c r="F220" s="321" t="n"/>
      <c r="G220" s="322" t="n"/>
      <c r="H220" s="271">
        <f>IF(AND(ISNUMBER(F220),ISNUMBER(G220)),F220*G220,"")</f>
        <v/>
      </c>
      <c r="I220" s="321" t="n"/>
      <c r="J220" s="322" t="n"/>
      <c r="K220" s="271">
        <f>IF(AND(ISNUMBER(I220),ISNUMBER(J220)),I220*J220,"")</f>
        <v/>
      </c>
      <c r="L220" s="246">
        <f>IF(COUNT(F220,I220)=0,"",N(F220)-N(I220))</f>
        <v/>
      </c>
      <c r="M220" s="247">
        <f>IF(COUNT(H220,K220)=0,"",N(K220)-N(H220))</f>
        <v/>
      </c>
      <c r="N220" s="246">
        <f>IF(AND(ISNUMBER(F220),ISNUMBER(I220),ISNUMBER(H220),ISNUMBER(K220),F220&gt;0,I220&gt;0,H220&lt;&gt;0),IF(OR(COUNTIF(Торговля!$B$5:$B$300,$B220)+COUNTIF(Лэндинг!$B$5:$B$300,$B220)&gt;0,COUNTIF($B221:$B$301,$B220)&gt;0),0,ROUND(SUMPRODUCT(($B$5:$B$300=$B220)*(($F$5:$F$300+$I$5:$I$300-ABS($F$5:$F$300-$I$5:$I$300))/2)*($J$5:$J$300-$G$5:$G$300)),8)),"")</f>
        <v/>
      </c>
      <c r="O220" s="183">
        <f>IF(ISNUMBER(N220),IF(OR(COUNTIF(Торговля!$B$5:$B$300,$B220)+COUNTIF(Лэндинг!$B$5:$B$300,$B220)&gt;0,COUNTIF($B221:$B$301,$B220)&gt;0),0,IF(SUMPRODUCT(($B$5:$B$300=$B220)*(($F$5:$F$300+$I$5:$I$300-ABS($F$5:$F$300-$I$5:$I$300))/2)*$G$5:$G$300)&lt;=0,"",ROUND(N220/SUMPRODUCT(($B$5:$B$300=$B220)*(($F$5:$F$300+$I$5:$I$300-ABS($F$5:$F$300-$I$5:$I$300))/2)*$G$5:$G$300)*100,2))),"")</f>
        <v/>
      </c>
    </row>
    <row r="221" ht="22" customHeight="1">
      <c r="B221" s="313" t="n"/>
      <c r="C221" s="314" t="n"/>
      <c r="D221" s="313" t="n"/>
      <c r="E221" s="315" t="n"/>
      <c r="F221" s="316" t="n"/>
      <c r="G221" s="317" t="n"/>
      <c r="H221" s="271">
        <f>IF(AND(ISNUMBER(F221),ISNUMBER(G221)),F221*G221,"")</f>
        <v/>
      </c>
      <c r="I221" s="316" t="n"/>
      <c r="J221" s="317" t="n"/>
      <c r="K221" s="271">
        <f>IF(AND(ISNUMBER(I221),ISNUMBER(J221)),I221*J221,"")</f>
        <v/>
      </c>
      <c r="L221" s="240">
        <f>IF(COUNT(F221,I221)=0,"",N(F221)-N(I221))</f>
        <v/>
      </c>
      <c r="M221" s="241">
        <f>IF(COUNT(H221,K221)=0,"",N(K221)-N(H221))</f>
        <v/>
      </c>
      <c r="N221" s="240">
        <f>IF(AND(ISNUMBER(F221),ISNUMBER(I221),ISNUMBER(H221),ISNUMBER(K221),F221&gt;0,I221&gt;0,H221&lt;&gt;0),IF(OR(COUNTIF(Торговля!$B$5:$B$300,$B221)+COUNTIF(Лэндинг!$B$5:$B$300,$B221)&gt;0,COUNTIF($B222:$B$301,$B221)&gt;0),0,ROUND(SUMPRODUCT(($B$5:$B$300=$B221)*(($F$5:$F$300+$I$5:$I$300-ABS($F$5:$F$300-$I$5:$I$300))/2)*($J$5:$J$300-$G$5:$G$300)),8)),"")</f>
        <v/>
      </c>
      <c r="O221" s="177">
        <f>IF(ISNUMBER(N221),IF(OR(COUNTIF(Торговля!$B$5:$B$300,$B221)+COUNTIF(Лэндинг!$B$5:$B$300,$B221)&gt;0,COUNTIF($B222:$B$301,$B221)&gt;0),0,IF(SUMPRODUCT(($B$5:$B$300=$B221)*(($F$5:$F$300+$I$5:$I$300-ABS($F$5:$F$300-$I$5:$I$300))/2)*$G$5:$G$300)&lt;=0,"",ROUND(N221/SUMPRODUCT(($B$5:$B$300=$B221)*(($F$5:$F$300+$I$5:$I$300-ABS($F$5:$F$300-$I$5:$I$300))/2)*$G$5:$G$300)*100,2))),"")</f>
        <v/>
      </c>
    </row>
    <row r="222" ht="22" customHeight="1">
      <c r="B222" s="318" t="n"/>
      <c r="C222" s="319" t="n"/>
      <c r="D222" s="318" t="n"/>
      <c r="E222" s="320" t="n"/>
      <c r="F222" s="321" t="n"/>
      <c r="G222" s="322" t="n"/>
      <c r="H222" s="271">
        <f>IF(AND(ISNUMBER(F222),ISNUMBER(G222)),F222*G222,"")</f>
        <v/>
      </c>
      <c r="I222" s="321" t="n"/>
      <c r="J222" s="322" t="n"/>
      <c r="K222" s="271">
        <f>IF(AND(ISNUMBER(I222),ISNUMBER(J222)),I222*J222,"")</f>
        <v/>
      </c>
      <c r="L222" s="246">
        <f>IF(COUNT(F222,I222)=0,"",N(F222)-N(I222))</f>
        <v/>
      </c>
      <c r="M222" s="247">
        <f>IF(COUNT(H222,K222)=0,"",N(K222)-N(H222))</f>
        <v/>
      </c>
      <c r="N222" s="246">
        <f>IF(AND(ISNUMBER(F222),ISNUMBER(I222),ISNUMBER(H222),ISNUMBER(K222),F222&gt;0,I222&gt;0,H222&lt;&gt;0),IF(OR(COUNTIF(Торговля!$B$5:$B$300,$B222)+COUNTIF(Лэндинг!$B$5:$B$300,$B222)&gt;0,COUNTIF($B223:$B$301,$B222)&gt;0),0,ROUND(SUMPRODUCT(($B$5:$B$300=$B222)*(($F$5:$F$300+$I$5:$I$300-ABS($F$5:$F$300-$I$5:$I$300))/2)*($J$5:$J$300-$G$5:$G$300)),8)),"")</f>
        <v/>
      </c>
      <c r="O222" s="183">
        <f>IF(ISNUMBER(N222),IF(OR(COUNTIF(Торговля!$B$5:$B$300,$B222)+COUNTIF(Лэндинг!$B$5:$B$300,$B222)&gt;0,COUNTIF($B223:$B$301,$B222)&gt;0),0,IF(SUMPRODUCT(($B$5:$B$300=$B222)*(($F$5:$F$300+$I$5:$I$300-ABS($F$5:$F$300-$I$5:$I$300))/2)*$G$5:$G$300)&lt;=0,"",ROUND(N222/SUMPRODUCT(($B$5:$B$300=$B222)*(($F$5:$F$300+$I$5:$I$300-ABS($F$5:$F$300-$I$5:$I$300))/2)*$G$5:$G$300)*100,2))),"")</f>
        <v/>
      </c>
    </row>
    <row r="223" ht="22" customHeight="1">
      <c r="B223" s="313" t="n"/>
      <c r="C223" s="314" t="n"/>
      <c r="D223" s="313" t="n"/>
      <c r="E223" s="315" t="n"/>
      <c r="F223" s="316" t="n"/>
      <c r="G223" s="317" t="n"/>
      <c r="H223" s="271">
        <f>IF(AND(ISNUMBER(F223),ISNUMBER(G223)),F223*G223,"")</f>
        <v/>
      </c>
      <c r="I223" s="316" t="n"/>
      <c r="J223" s="317" t="n"/>
      <c r="K223" s="271">
        <f>IF(AND(ISNUMBER(I223),ISNUMBER(J223)),I223*J223,"")</f>
        <v/>
      </c>
      <c r="L223" s="240">
        <f>IF(COUNT(F223,I223)=0,"",N(F223)-N(I223))</f>
        <v/>
      </c>
      <c r="M223" s="241">
        <f>IF(COUNT(H223,K223)=0,"",N(K223)-N(H223))</f>
        <v/>
      </c>
      <c r="N223" s="240">
        <f>IF(AND(ISNUMBER(F223),ISNUMBER(I223),ISNUMBER(H223),ISNUMBER(K223),F223&gt;0,I223&gt;0,H223&lt;&gt;0),IF(OR(COUNTIF(Торговля!$B$5:$B$300,$B223)+COUNTIF(Лэндинг!$B$5:$B$300,$B223)&gt;0,COUNTIF($B224:$B$301,$B223)&gt;0),0,ROUND(SUMPRODUCT(($B$5:$B$300=$B223)*(($F$5:$F$300+$I$5:$I$300-ABS($F$5:$F$300-$I$5:$I$300))/2)*($J$5:$J$300-$G$5:$G$300)),8)),"")</f>
        <v/>
      </c>
      <c r="O223" s="177">
        <f>IF(ISNUMBER(N223),IF(OR(COUNTIF(Торговля!$B$5:$B$300,$B223)+COUNTIF(Лэндинг!$B$5:$B$300,$B223)&gt;0,COUNTIF($B224:$B$301,$B223)&gt;0),0,IF(SUMPRODUCT(($B$5:$B$300=$B223)*(($F$5:$F$300+$I$5:$I$300-ABS($F$5:$F$300-$I$5:$I$300))/2)*$G$5:$G$300)&lt;=0,"",ROUND(N223/SUMPRODUCT(($B$5:$B$300=$B223)*(($F$5:$F$300+$I$5:$I$300-ABS($F$5:$F$300-$I$5:$I$300))/2)*$G$5:$G$300)*100,2))),"")</f>
        <v/>
      </c>
    </row>
    <row r="224" ht="22" customHeight="1">
      <c r="B224" s="318" t="n"/>
      <c r="C224" s="319" t="n"/>
      <c r="D224" s="318" t="n"/>
      <c r="E224" s="320" t="n"/>
      <c r="F224" s="321" t="n"/>
      <c r="G224" s="322" t="n"/>
      <c r="H224" s="271">
        <f>IF(AND(ISNUMBER(F224),ISNUMBER(G224)),F224*G224,"")</f>
        <v/>
      </c>
      <c r="I224" s="321" t="n"/>
      <c r="J224" s="322" t="n"/>
      <c r="K224" s="271">
        <f>IF(AND(ISNUMBER(I224),ISNUMBER(J224)),I224*J224,"")</f>
        <v/>
      </c>
      <c r="L224" s="246">
        <f>IF(COUNT(F224,I224)=0,"",N(F224)-N(I224))</f>
        <v/>
      </c>
      <c r="M224" s="247">
        <f>IF(COUNT(H224,K224)=0,"",N(K224)-N(H224))</f>
        <v/>
      </c>
      <c r="N224" s="246">
        <f>IF(AND(ISNUMBER(F224),ISNUMBER(I224),ISNUMBER(H224),ISNUMBER(K224),F224&gt;0,I224&gt;0,H224&lt;&gt;0),IF(OR(COUNTIF(Торговля!$B$5:$B$300,$B224)+COUNTIF(Лэндинг!$B$5:$B$300,$B224)&gt;0,COUNTIF($B225:$B$301,$B224)&gt;0),0,ROUND(SUMPRODUCT(($B$5:$B$300=$B224)*(($F$5:$F$300+$I$5:$I$300-ABS($F$5:$F$300-$I$5:$I$300))/2)*($J$5:$J$300-$G$5:$G$300)),8)),"")</f>
        <v/>
      </c>
      <c r="O224" s="183">
        <f>IF(ISNUMBER(N224),IF(OR(COUNTIF(Торговля!$B$5:$B$300,$B224)+COUNTIF(Лэндинг!$B$5:$B$300,$B224)&gt;0,COUNTIF($B225:$B$301,$B224)&gt;0),0,IF(SUMPRODUCT(($B$5:$B$300=$B224)*(($F$5:$F$300+$I$5:$I$300-ABS($F$5:$F$300-$I$5:$I$300))/2)*$G$5:$G$300)&lt;=0,"",ROUND(N224/SUMPRODUCT(($B$5:$B$300=$B224)*(($F$5:$F$300+$I$5:$I$300-ABS($F$5:$F$300-$I$5:$I$300))/2)*$G$5:$G$300)*100,2))),"")</f>
        <v/>
      </c>
    </row>
    <row r="225" ht="22" customHeight="1">
      <c r="B225" s="313" t="n"/>
      <c r="C225" s="314" t="n"/>
      <c r="D225" s="313" t="n"/>
      <c r="E225" s="315" t="n"/>
      <c r="F225" s="316" t="n"/>
      <c r="G225" s="317" t="n"/>
      <c r="H225" s="271">
        <f>IF(AND(ISNUMBER(F225),ISNUMBER(G225)),F225*G225,"")</f>
        <v/>
      </c>
      <c r="I225" s="316" t="n"/>
      <c r="J225" s="317" t="n"/>
      <c r="K225" s="271">
        <f>IF(AND(ISNUMBER(I225),ISNUMBER(J225)),I225*J225,"")</f>
        <v/>
      </c>
      <c r="L225" s="240">
        <f>IF(COUNT(F225,I225)=0,"",N(F225)-N(I225))</f>
        <v/>
      </c>
      <c r="M225" s="241">
        <f>IF(COUNT(H225,K225)=0,"",N(K225)-N(H225))</f>
        <v/>
      </c>
      <c r="N225" s="240">
        <f>IF(AND(ISNUMBER(F225),ISNUMBER(I225),ISNUMBER(H225),ISNUMBER(K225),F225&gt;0,I225&gt;0,H225&lt;&gt;0),IF(OR(COUNTIF(Торговля!$B$5:$B$300,$B225)+COUNTIF(Лэндинг!$B$5:$B$300,$B225)&gt;0,COUNTIF($B226:$B$301,$B225)&gt;0),0,ROUND(SUMPRODUCT(($B$5:$B$300=$B225)*(($F$5:$F$300+$I$5:$I$300-ABS($F$5:$F$300-$I$5:$I$300))/2)*($J$5:$J$300-$G$5:$G$300)),8)),"")</f>
        <v/>
      </c>
      <c r="O225" s="177">
        <f>IF(ISNUMBER(N225),IF(OR(COUNTIF(Торговля!$B$5:$B$300,$B225)+COUNTIF(Лэндинг!$B$5:$B$300,$B225)&gt;0,COUNTIF($B226:$B$301,$B225)&gt;0),0,IF(SUMPRODUCT(($B$5:$B$300=$B225)*(($F$5:$F$300+$I$5:$I$300-ABS($F$5:$F$300-$I$5:$I$300))/2)*$G$5:$G$300)&lt;=0,"",ROUND(N225/SUMPRODUCT(($B$5:$B$300=$B225)*(($F$5:$F$300+$I$5:$I$300-ABS($F$5:$F$300-$I$5:$I$300))/2)*$G$5:$G$300)*100,2))),"")</f>
        <v/>
      </c>
    </row>
    <row r="226" ht="22" customHeight="1">
      <c r="B226" s="318" t="n"/>
      <c r="C226" s="319" t="n"/>
      <c r="D226" s="318" t="n"/>
      <c r="E226" s="320" t="n"/>
      <c r="F226" s="321" t="n"/>
      <c r="G226" s="322" t="n"/>
      <c r="H226" s="271">
        <f>IF(AND(ISNUMBER(F226),ISNUMBER(G226)),F226*G226,"")</f>
        <v/>
      </c>
      <c r="I226" s="321" t="n"/>
      <c r="J226" s="322" t="n"/>
      <c r="K226" s="271">
        <f>IF(AND(ISNUMBER(I226),ISNUMBER(J226)),I226*J226,"")</f>
        <v/>
      </c>
      <c r="L226" s="246">
        <f>IF(COUNT(F226,I226)=0,"",N(F226)-N(I226))</f>
        <v/>
      </c>
      <c r="M226" s="247">
        <f>IF(COUNT(H226,K226)=0,"",N(K226)-N(H226))</f>
        <v/>
      </c>
      <c r="N226" s="246">
        <f>IF(AND(ISNUMBER(F226),ISNUMBER(I226),ISNUMBER(H226),ISNUMBER(K226),F226&gt;0,I226&gt;0,H226&lt;&gt;0),IF(OR(COUNTIF(Торговля!$B$5:$B$300,$B226)+COUNTIF(Лэндинг!$B$5:$B$300,$B226)&gt;0,COUNTIF($B227:$B$301,$B226)&gt;0),0,ROUND(SUMPRODUCT(($B$5:$B$300=$B226)*(($F$5:$F$300+$I$5:$I$300-ABS($F$5:$F$300-$I$5:$I$300))/2)*($J$5:$J$300-$G$5:$G$300)),8)),"")</f>
        <v/>
      </c>
      <c r="O226" s="183">
        <f>IF(ISNUMBER(N226),IF(OR(COUNTIF(Торговля!$B$5:$B$300,$B226)+COUNTIF(Лэндинг!$B$5:$B$300,$B226)&gt;0,COUNTIF($B227:$B$301,$B226)&gt;0),0,IF(SUMPRODUCT(($B$5:$B$300=$B226)*(($F$5:$F$300+$I$5:$I$300-ABS($F$5:$F$300-$I$5:$I$300))/2)*$G$5:$G$300)&lt;=0,"",ROUND(N226/SUMPRODUCT(($B$5:$B$300=$B226)*(($F$5:$F$300+$I$5:$I$300-ABS($F$5:$F$300-$I$5:$I$300))/2)*$G$5:$G$300)*100,2))),"")</f>
        <v/>
      </c>
    </row>
    <row r="227" ht="22" customHeight="1">
      <c r="B227" s="313" t="n"/>
      <c r="C227" s="314" t="n"/>
      <c r="D227" s="313" t="n"/>
      <c r="E227" s="315" t="n"/>
      <c r="F227" s="316" t="n"/>
      <c r="G227" s="317" t="n"/>
      <c r="H227" s="271">
        <f>IF(AND(ISNUMBER(F227),ISNUMBER(G227)),F227*G227,"")</f>
        <v/>
      </c>
      <c r="I227" s="316" t="n"/>
      <c r="J227" s="317" t="n"/>
      <c r="K227" s="271">
        <f>IF(AND(ISNUMBER(I227),ISNUMBER(J227)),I227*J227,"")</f>
        <v/>
      </c>
      <c r="L227" s="240">
        <f>IF(COUNT(F227,I227)=0,"",N(F227)-N(I227))</f>
        <v/>
      </c>
      <c r="M227" s="241">
        <f>IF(COUNT(H227,K227)=0,"",N(K227)-N(H227))</f>
        <v/>
      </c>
      <c r="N227" s="240">
        <f>IF(AND(ISNUMBER(F227),ISNUMBER(I227),ISNUMBER(H227),ISNUMBER(K227),F227&gt;0,I227&gt;0,H227&lt;&gt;0),IF(OR(COUNTIF(Торговля!$B$5:$B$300,$B227)+COUNTIF(Лэндинг!$B$5:$B$300,$B227)&gt;0,COUNTIF($B228:$B$301,$B227)&gt;0),0,ROUND(SUMPRODUCT(($B$5:$B$300=$B227)*(($F$5:$F$300+$I$5:$I$300-ABS($F$5:$F$300-$I$5:$I$300))/2)*($J$5:$J$300-$G$5:$G$300)),8)),"")</f>
        <v/>
      </c>
      <c r="O227" s="177">
        <f>IF(ISNUMBER(N227),IF(OR(COUNTIF(Торговля!$B$5:$B$300,$B227)+COUNTIF(Лэндинг!$B$5:$B$300,$B227)&gt;0,COUNTIF($B228:$B$301,$B227)&gt;0),0,IF(SUMPRODUCT(($B$5:$B$300=$B227)*(($F$5:$F$300+$I$5:$I$300-ABS($F$5:$F$300-$I$5:$I$300))/2)*$G$5:$G$300)&lt;=0,"",ROUND(N227/SUMPRODUCT(($B$5:$B$300=$B227)*(($F$5:$F$300+$I$5:$I$300-ABS($F$5:$F$300-$I$5:$I$300))/2)*$G$5:$G$300)*100,2))),"")</f>
        <v/>
      </c>
    </row>
    <row r="228" ht="22" customHeight="1">
      <c r="B228" s="318" t="n"/>
      <c r="C228" s="319" t="n"/>
      <c r="D228" s="318" t="n"/>
      <c r="E228" s="320" t="n"/>
      <c r="F228" s="321" t="n"/>
      <c r="G228" s="322" t="n"/>
      <c r="H228" s="271">
        <f>IF(AND(ISNUMBER(F228),ISNUMBER(G228)),F228*G228,"")</f>
        <v/>
      </c>
      <c r="I228" s="321" t="n"/>
      <c r="J228" s="322" t="n"/>
      <c r="K228" s="271">
        <f>IF(AND(ISNUMBER(I228),ISNUMBER(J228)),I228*J228,"")</f>
        <v/>
      </c>
      <c r="L228" s="246">
        <f>IF(COUNT(F228,I228)=0,"",N(F228)-N(I228))</f>
        <v/>
      </c>
      <c r="M228" s="247">
        <f>IF(COUNT(H228,K228)=0,"",N(K228)-N(H228))</f>
        <v/>
      </c>
      <c r="N228" s="246">
        <f>IF(AND(ISNUMBER(F228),ISNUMBER(I228),ISNUMBER(H228),ISNUMBER(K228),F228&gt;0,I228&gt;0,H228&lt;&gt;0),IF(OR(COUNTIF(Торговля!$B$5:$B$300,$B228)+COUNTIF(Лэндинг!$B$5:$B$300,$B228)&gt;0,COUNTIF($B229:$B$301,$B228)&gt;0),0,ROUND(SUMPRODUCT(($B$5:$B$300=$B228)*(($F$5:$F$300+$I$5:$I$300-ABS($F$5:$F$300-$I$5:$I$300))/2)*($J$5:$J$300-$G$5:$G$300)),8)),"")</f>
        <v/>
      </c>
      <c r="O228" s="183">
        <f>IF(ISNUMBER(N228),IF(OR(COUNTIF(Торговля!$B$5:$B$300,$B228)+COUNTIF(Лэндинг!$B$5:$B$300,$B228)&gt;0,COUNTIF($B229:$B$301,$B228)&gt;0),0,IF(SUMPRODUCT(($B$5:$B$300=$B228)*(($F$5:$F$300+$I$5:$I$300-ABS($F$5:$F$300-$I$5:$I$300))/2)*$G$5:$G$300)&lt;=0,"",ROUND(N228/SUMPRODUCT(($B$5:$B$300=$B228)*(($F$5:$F$300+$I$5:$I$300-ABS($F$5:$F$300-$I$5:$I$300))/2)*$G$5:$G$300)*100,2))),"")</f>
        <v/>
      </c>
    </row>
    <row r="229" ht="22" customHeight="1">
      <c r="B229" s="313" t="n"/>
      <c r="C229" s="314" t="n"/>
      <c r="D229" s="313" t="n"/>
      <c r="E229" s="315" t="n"/>
      <c r="F229" s="316" t="n"/>
      <c r="G229" s="317" t="n"/>
      <c r="H229" s="271">
        <f>IF(AND(ISNUMBER(F229),ISNUMBER(G229)),F229*G229,"")</f>
        <v/>
      </c>
      <c r="I229" s="316" t="n"/>
      <c r="J229" s="317" t="n"/>
      <c r="K229" s="271">
        <f>IF(AND(ISNUMBER(I229),ISNUMBER(J229)),I229*J229,"")</f>
        <v/>
      </c>
      <c r="L229" s="240">
        <f>IF(COUNT(F229,I229)=0,"",N(F229)-N(I229))</f>
        <v/>
      </c>
      <c r="M229" s="241">
        <f>IF(COUNT(H229,K229)=0,"",N(K229)-N(H229))</f>
        <v/>
      </c>
      <c r="N229" s="240">
        <f>IF(AND(ISNUMBER(F229),ISNUMBER(I229),ISNUMBER(H229),ISNUMBER(K229),F229&gt;0,I229&gt;0,H229&lt;&gt;0),IF(OR(COUNTIF(Торговля!$B$5:$B$300,$B229)+COUNTIF(Лэндинг!$B$5:$B$300,$B229)&gt;0,COUNTIF($B230:$B$301,$B229)&gt;0),0,ROUND(SUMPRODUCT(($B$5:$B$300=$B229)*(($F$5:$F$300+$I$5:$I$300-ABS($F$5:$F$300-$I$5:$I$300))/2)*($J$5:$J$300-$G$5:$G$300)),8)),"")</f>
        <v/>
      </c>
      <c r="O229" s="177">
        <f>IF(ISNUMBER(N229),IF(OR(COUNTIF(Торговля!$B$5:$B$300,$B229)+COUNTIF(Лэндинг!$B$5:$B$300,$B229)&gt;0,COUNTIF($B230:$B$301,$B229)&gt;0),0,IF(SUMPRODUCT(($B$5:$B$300=$B229)*(($F$5:$F$300+$I$5:$I$300-ABS($F$5:$F$300-$I$5:$I$300))/2)*$G$5:$G$300)&lt;=0,"",ROUND(N229/SUMPRODUCT(($B$5:$B$300=$B229)*(($F$5:$F$300+$I$5:$I$300-ABS($F$5:$F$300-$I$5:$I$300))/2)*$G$5:$G$300)*100,2))),"")</f>
        <v/>
      </c>
    </row>
    <row r="230" ht="22" customHeight="1">
      <c r="B230" s="318" t="n"/>
      <c r="C230" s="319" t="n"/>
      <c r="D230" s="318" t="n"/>
      <c r="E230" s="320" t="n"/>
      <c r="F230" s="321" t="n"/>
      <c r="G230" s="322" t="n"/>
      <c r="H230" s="271">
        <f>IF(AND(ISNUMBER(F230),ISNUMBER(G230)),F230*G230,"")</f>
        <v/>
      </c>
      <c r="I230" s="321" t="n"/>
      <c r="J230" s="322" t="n"/>
      <c r="K230" s="271">
        <f>IF(AND(ISNUMBER(I230),ISNUMBER(J230)),I230*J230,"")</f>
        <v/>
      </c>
      <c r="L230" s="246">
        <f>IF(COUNT(F230,I230)=0,"",N(F230)-N(I230))</f>
        <v/>
      </c>
      <c r="M230" s="247">
        <f>IF(COUNT(H230,K230)=0,"",N(K230)-N(H230))</f>
        <v/>
      </c>
      <c r="N230" s="246">
        <f>IF(AND(ISNUMBER(F230),ISNUMBER(I230),ISNUMBER(H230),ISNUMBER(K230),F230&gt;0,I230&gt;0,H230&lt;&gt;0),IF(OR(COUNTIF(Торговля!$B$5:$B$300,$B230)+COUNTIF(Лэндинг!$B$5:$B$300,$B230)&gt;0,COUNTIF($B231:$B$301,$B230)&gt;0),0,ROUND(SUMPRODUCT(($B$5:$B$300=$B230)*(($F$5:$F$300+$I$5:$I$300-ABS($F$5:$F$300-$I$5:$I$300))/2)*($J$5:$J$300-$G$5:$G$300)),8)),"")</f>
        <v/>
      </c>
      <c r="O230" s="183">
        <f>IF(ISNUMBER(N230),IF(OR(COUNTIF(Торговля!$B$5:$B$300,$B230)+COUNTIF(Лэндинг!$B$5:$B$300,$B230)&gt;0,COUNTIF($B231:$B$301,$B230)&gt;0),0,IF(SUMPRODUCT(($B$5:$B$300=$B230)*(($F$5:$F$300+$I$5:$I$300-ABS($F$5:$F$300-$I$5:$I$300))/2)*$G$5:$G$300)&lt;=0,"",ROUND(N230/SUMPRODUCT(($B$5:$B$300=$B230)*(($F$5:$F$300+$I$5:$I$300-ABS($F$5:$F$300-$I$5:$I$300))/2)*$G$5:$G$300)*100,2))),"")</f>
        <v/>
      </c>
    </row>
    <row r="231" ht="22" customHeight="1">
      <c r="B231" s="313" t="n"/>
      <c r="C231" s="314" t="n"/>
      <c r="D231" s="313" t="n"/>
      <c r="E231" s="315" t="n"/>
      <c r="F231" s="316" t="n"/>
      <c r="G231" s="317" t="n"/>
      <c r="H231" s="271">
        <f>IF(AND(ISNUMBER(F231),ISNUMBER(G231)),F231*G231,"")</f>
        <v/>
      </c>
      <c r="I231" s="316" t="n"/>
      <c r="J231" s="317" t="n"/>
      <c r="K231" s="271">
        <f>IF(AND(ISNUMBER(I231),ISNUMBER(J231)),I231*J231,"")</f>
        <v/>
      </c>
      <c r="L231" s="240">
        <f>IF(COUNT(F231,I231)=0,"",N(F231)-N(I231))</f>
        <v/>
      </c>
      <c r="M231" s="241">
        <f>IF(COUNT(H231,K231)=0,"",N(K231)-N(H231))</f>
        <v/>
      </c>
      <c r="N231" s="240">
        <f>IF(AND(ISNUMBER(F231),ISNUMBER(I231),ISNUMBER(H231),ISNUMBER(K231),F231&gt;0,I231&gt;0,H231&lt;&gt;0),IF(OR(COUNTIF(Торговля!$B$5:$B$300,$B231)+COUNTIF(Лэндинг!$B$5:$B$300,$B231)&gt;0,COUNTIF($B232:$B$301,$B231)&gt;0),0,ROUND(SUMPRODUCT(($B$5:$B$300=$B231)*(($F$5:$F$300+$I$5:$I$300-ABS($F$5:$F$300-$I$5:$I$300))/2)*($J$5:$J$300-$G$5:$G$300)),8)),"")</f>
        <v/>
      </c>
      <c r="O231" s="177">
        <f>IF(ISNUMBER(N231),IF(OR(COUNTIF(Торговля!$B$5:$B$300,$B231)+COUNTIF(Лэндинг!$B$5:$B$300,$B231)&gt;0,COUNTIF($B232:$B$301,$B231)&gt;0),0,IF(SUMPRODUCT(($B$5:$B$300=$B231)*(($F$5:$F$300+$I$5:$I$300-ABS($F$5:$F$300-$I$5:$I$300))/2)*$G$5:$G$300)&lt;=0,"",ROUND(N231/SUMPRODUCT(($B$5:$B$300=$B231)*(($F$5:$F$300+$I$5:$I$300-ABS($F$5:$F$300-$I$5:$I$300))/2)*$G$5:$G$300)*100,2))),"")</f>
        <v/>
      </c>
    </row>
    <row r="232" ht="22" customHeight="1">
      <c r="B232" s="318" t="n"/>
      <c r="C232" s="319" t="n"/>
      <c r="D232" s="318" t="n"/>
      <c r="E232" s="320" t="n"/>
      <c r="F232" s="321" t="n"/>
      <c r="G232" s="322" t="n"/>
      <c r="H232" s="271">
        <f>IF(AND(ISNUMBER(F232),ISNUMBER(G232)),F232*G232,"")</f>
        <v/>
      </c>
      <c r="I232" s="321" t="n"/>
      <c r="J232" s="322" t="n"/>
      <c r="K232" s="271">
        <f>IF(AND(ISNUMBER(I232),ISNUMBER(J232)),I232*J232,"")</f>
        <v/>
      </c>
      <c r="L232" s="246">
        <f>IF(COUNT(F232,I232)=0,"",N(F232)-N(I232))</f>
        <v/>
      </c>
      <c r="M232" s="247">
        <f>IF(COUNT(H232,K232)=0,"",N(K232)-N(H232))</f>
        <v/>
      </c>
      <c r="N232" s="246">
        <f>IF(AND(ISNUMBER(F232),ISNUMBER(I232),ISNUMBER(H232),ISNUMBER(K232),F232&gt;0,I232&gt;0,H232&lt;&gt;0),IF(OR(COUNTIF(Торговля!$B$5:$B$300,$B232)+COUNTIF(Лэндинг!$B$5:$B$300,$B232)&gt;0,COUNTIF($B233:$B$301,$B232)&gt;0),0,ROUND(SUMPRODUCT(($B$5:$B$300=$B232)*(($F$5:$F$300+$I$5:$I$300-ABS($F$5:$F$300-$I$5:$I$300))/2)*($J$5:$J$300-$G$5:$G$300)),8)),"")</f>
        <v/>
      </c>
      <c r="O232" s="183">
        <f>IF(ISNUMBER(N232),IF(OR(COUNTIF(Торговля!$B$5:$B$300,$B232)+COUNTIF(Лэндинг!$B$5:$B$300,$B232)&gt;0,COUNTIF($B233:$B$301,$B232)&gt;0),0,IF(SUMPRODUCT(($B$5:$B$300=$B232)*(($F$5:$F$300+$I$5:$I$300-ABS($F$5:$F$300-$I$5:$I$300))/2)*$G$5:$G$300)&lt;=0,"",ROUND(N232/SUMPRODUCT(($B$5:$B$300=$B232)*(($F$5:$F$300+$I$5:$I$300-ABS($F$5:$F$300-$I$5:$I$300))/2)*$G$5:$G$300)*100,2))),"")</f>
        <v/>
      </c>
    </row>
    <row r="233" ht="22" customHeight="1">
      <c r="B233" s="313" t="n"/>
      <c r="C233" s="314" t="n"/>
      <c r="D233" s="313" t="n"/>
      <c r="E233" s="315" t="n"/>
      <c r="F233" s="316" t="n"/>
      <c r="G233" s="317" t="n"/>
      <c r="H233" s="271">
        <f>IF(AND(ISNUMBER(F233),ISNUMBER(G233)),F233*G233,"")</f>
        <v/>
      </c>
      <c r="I233" s="316" t="n"/>
      <c r="J233" s="317" t="n"/>
      <c r="K233" s="271">
        <f>IF(AND(ISNUMBER(I233),ISNUMBER(J233)),I233*J233,"")</f>
        <v/>
      </c>
      <c r="L233" s="240">
        <f>IF(COUNT(F233,I233)=0,"",N(F233)-N(I233))</f>
        <v/>
      </c>
      <c r="M233" s="241">
        <f>IF(COUNT(H233,K233)=0,"",N(K233)-N(H233))</f>
        <v/>
      </c>
      <c r="N233" s="240">
        <f>IF(AND(ISNUMBER(F233),ISNUMBER(I233),ISNUMBER(H233),ISNUMBER(K233),F233&gt;0,I233&gt;0,H233&lt;&gt;0),IF(OR(COUNTIF(Торговля!$B$5:$B$300,$B233)+COUNTIF(Лэндинг!$B$5:$B$300,$B233)&gt;0,COUNTIF($B234:$B$301,$B233)&gt;0),0,ROUND(SUMPRODUCT(($B$5:$B$300=$B233)*(($F$5:$F$300+$I$5:$I$300-ABS($F$5:$F$300-$I$5:$I$300))/2)*($J$5:$J$300-$G$5:$G$300)),8)),"")</f>
        <v/>
      </c>
      <c r="O233" s="177">
        <f>IF(ISNUMBER(N233),IF(OR(COUNTIF(Торговля!$B$5:$B$300,$B233)+COUNTIF(Лэндинг!$B$5:$B$300,$B233)&gt;0,COUNTIF($B234:$B$301,$B233)&gt;0),0,IF(SUMPRODUCT(($B$5:$B$300=$B233)*(($F$5:$F$300+$I$5:$I$300-ABS($F$5:$F$300-$I$5:$I$300))/2)*$G$5:$G$300)&lt;=0,"",ROUND(N233/SUMPRODUCT(($B$5:$B$300=$B233)*(($F$5:$F$300+$I$5:$I$300-ABS($F$5:$F$300-$I$5:$I$300))/2)*$G$5:$G$300)*100,2))),"")</f>
        <v/>
      </c>
    </row>
    <row r="234" ht="22" customHeight="1">
      <c r="B234" s="318" t="n"/>
      <c r="C234" s="319" t="n"/>
      <c r="D234" s="318" t="n"/>
      <c r="E234" s="320" t="n"/>
      <c r="F234" s="321" t="n"/>
      <c r="G234" s="322" t="n"/>
      <c r="H234" s="271">
        <f>IF(AND(ISNUMBER(F234),ISNUMBER(G234)),F234*G234,"")</f>
        <v/>
      </c>
      <c r="I234" s="321" t="n"/>
      <c r="J234" s="322" t="n"/>
      <c r="K234" s="271">
        <f>IF(AND(ISNUMBER(I234),ISNUMBER(J234)),I234*J234,"")</f>
        <v/>
      </c>
      <c r="L234" s="246">
        <f>IF(COUNT(F234,I234)=0,"",N(F234)-N(I234))</f>
        <v/>
      </c>
      <c r="M234" s="247">
        <f>IF(COUNT(H234,K234)=0,"",N(K234)-N(H234))</f>
        <v/>
      </c>
      <c r="N234" s="246">
        <f>IF(AND(ISNUMBER(F234),ISNUMBER(I234),ISNUMBER(H234),ISNUMBER(K234),F234&gt;0,I234&gt;0,H234&lt;&gt;0),IF(OR(COUNTIF(Торговля!$B$5:$B$300,$B234)+COUNTIF(Лэндинг!$B$5:$B$300,$B234)&gt;0,COUNTIF($B235:$B$301,$B234)&gt;0),0,ROUND(SUMPRODUCT(($B$5:$B$300=$B234)*(($F$5:$F$300+$I$5:$I$300-ABS($F$5:$F$300-$I$5:$I$300))/2)*($J$5:$J$300-$G$5:$G$300)),8)),"")</f>
        <v/>
      </c>
      <c r="O234" s="183">
        <f>IF(ISNUMBER(N234),IF(OR(COUNTIF(Торговля!$B$5:$B$300,$B234)+COUNTIF(Лэндинг!$B$5:$B$300,$B234)&gt;0,COUNTIF($B235:$B$301,$B234)&gt;0),0,IF(SUMPRODUCT(($B$5:$B$300=$B234)*(($F$5:$F$300+$I$5:$I$300-ABS($F$5:$F$300-$I$5:$I$300))/2)*$G$5:$G$300)&lt;=0,"",ROUND(N234/SUMPRODUCT(($B$5:$B$300=$B234)*(($F$5:$F$300+$I$5:$I$300-ABS($F$5:$F$300-$I$5:$I$300))/2)*$G$5:$G$300)*100,2))),"")</f>
        <v/>
      </c>
    </row>
    <row r="235" ht="22" customHeight="1">
      <c r="B235" s="313" t="n"/>
      <c r="C235" s="314" t="n"/>
      <c r="D235" s="313" t="n"/>
      <c r="E235" s="315" t="n"/>
      <c r="F235" s="316" t="n"/>
      <c r="G235" s="317" t="n"/>
      <c r="H235" s="271">
        <f>IF(AND(ISNUMBER(F235),ISNUMBER(G235)),F235*G235,"")</f>
        <v/>
      </c>
      <c r="I235" s="316" t="n"/>
      <c r="J235" s="317" t="n"/>
      <c r="K235" s="271">
        <f>IF(AND(ISNUMBER(I235),ISNUMBER(J235)),I235*J235,"")</f>
        <v/>
      </c>
      <c r="L235" s="240">
        <f>IF(COUNT(F235,I235)=0,"",N(F235)-N(I235))</f>
        <v/>
      </c>
      <c r="M235" s="241">
        <f>IF(COUNT(H235,K235)=0,"",N(K235)-N(H235))</f>
        <v/>
      </c>
      <c r="N235" s="240">
        <f>IF(AND(ISNUMBER(F235),ISNUMBER(I235),ISNUMBER(H235),ISNUMBER(K235),F235&gt;0,I235&gt;0,H235&lt;&gt;0),IF(OR(COUNTIF(Торговля!$B$5:$B$300,$B235)+COUNTIF(Лэндинг!$B$5:$B$300,$B235)&gt;0,COUNTIF($B236:$B$301,$B235)&gt;0),0,ROUND(SUMPRODUCT(($B$5:$B$300=$B235)*(($F$5:$F$300+$I$5:$I$300-ABS($F$5:$F$300-$I$5:$I$300))/2)*($J$5:$J$300-$G$5:$G$300)),8)),"")</f>
        <v/>
      </c>
      <c r="O235" s="177">
        <f>IF(ISNUMBER(N235),IF(OR(COUNTIF(Торговля!$B$5:$B$300,$B235)+COUNTIF(Лэндинг!$B$5:$B$300,$B235)&gt;0,COUNTIF($B236:$B$301,$B235)&gt;0),0,IF(SUMPRODUCT(($B$5:$B$300=$B235)*(($F$5:$F$300+$I$5:$I$300-ABS($F$5:$F$300-$I$5:$I$300))/2)*$G$5:$G$300)&lt;=0,"",ROUND(N235/SUMPRODUCT(($B$5:$B$300=$B235)*(($F$5:$F$300+$I$5:$I$300-ABS($F$5:$F$300-$I$5:$I$300))/2)*$G$5:$G$300)*100,2))),"")</f>
        <v/>
      </c>
    </row>
    <row r="236" ht="22" customHeight="1">
      <c r="B236" s="318" t="n"/>
      <c r="C236" s="319" t="n"/>
      <c r="D236" s="318" t="n"/>
      <c r="E236" s="320" t="n"/>
      <c r="F236" s="321" t="n"/>
      <c r="G236" s="322" t="n"/>
      <c r="H236" s="271">
        <f>IF(AND(ISNUMBER(F236),ISNUMBER(G236)),F236*G236,"")</f>
        <v/>
      </c>
      <c r="I236" s="321" t="n"/>
      <c r="J236" s="322" t="n"/>
      <c r="K236" s="271">
        <f>IF(AND(ISNUMBER(I236),ISNUMBER(J236)),I236*J236,"")</f>
        <v/>
      </c>
      <c r="L236" s="246">
        <f>IF(COUNT(F236,I236)=0,"",N(F236)-N(I236))</f>
        <v/>
      </c>
      <c r="M236" s="247">
        <f>IF(COUNT(H236,K236)=0,"",N(K236)-N(H236))</f>
        <v/>
      </c>
      <c r="N236" s="246">
        <f>IF(AND(ISNUMBER(F236),ISNUMBER(I236),ISNUMBER(H236),ISNUMBER(K236),F236&gt;0,I236&gt;0,H236&lt;&gt;0),IF(OR(COUNTIF(Торговля!$B$5:$B$300,$B236)+COUNTIF(Лэндинг!$B$5:$B$300,$B236)&gt;0,COUNTIF($B237:$B$301,$B236)&gt;0),0,ROUND(SUMPRODUCT(($B$5:$B$300=$B236)*(($F$5:$F$300+$I$5:$I$300-ABS($F$5:$F$300-$I$5:$I$300))/2)*($J$5:$J$300-$G$5:$G$300)),8)),"")</f>
        <v/>
      </c>
      <c r="O236" s="183">
        <f>IF(ISNUMBER(N236),IF(OR(COUNTIF(Торговля!$B$5:$B$300,$B236)+COUNTIF(Лэндинг!$B$5:$B$300,$B236)&gt;0,COUNTIF($B237:$B$301,$B236)&gt;0),0,IF(SUMPRODUCT(($B$5:$B$300=$B236)*(($F$5:$F$300+$I$5:$I$300-ABS($F$5:$F$300-$I$5:$I$300))/2)*$G$5:$G$300)&lt;=0,"",ROUND(N236/SUMPRODUCT(($B$5:$B$300=$B236)*(($F$5:$F$300+$I$5:$I$300-ABS($F$5:$F$300-$I$5:$I$300))/2)*$G$5:$G$300)*100,2))),"")</f>
        <v/>
      </c>
    </row>
    <row r="237" ht="22" customHeight="1">
      <c r="B237" s="313" t="n"/>
      <c r="C237" s="314" t="n"/>
      <c r="D237" s="313" t="n"/>
      <c r="E237" s="315" t="n"/>
      <c r="F237" s="316" t="n"/>
      <c r="G237" s="317" t="n"/>
      <c r="H237" s="271">
        <f>IF(AND(ISNUMBER(F237),ISNUMBER(G237)),F237*G237,"")</f>
        <v/>
      </c>
      <c r="I237" s="316" t="n"/>
      <c r="J237" s="317" t="n"/>
      <c r="K237" s="271">
        <f>IF(AND(ISNUMBER(I237),ISNUMBER(J237)),I237*J237,"")</f>
        <v/>
      </c>
      <c r="L237" s="240">
        <f>IF(COUNT(F237,I237)=0,"",N(F237)-N(I237))</f>
        <v/>
      </c>
      <c r="M237" s="241">
        <f>IF(COUNT(H237,K237)=0,"",N(K237)-N(H237))</f>
        <v/>
      </c>
      <c r="N237" s="240">
        <f>IF(AND(ISNUMBER(F237),ISNUMBER(I237),ISNUMBER(H237),ISNUMBER(K237),F237&gt;0,I237&gt;0,H237&lt;&gt;0),IF(OR(COUNTIF(Торговля!$B$5:$B$300,$B237)+COUNTIF(Лэндинг!$B$5:$B$300,$B237)&gt;0,COUNTIF($B238:$B$301,$B237)&gt;0),0,ROUND(SUMPRODUCT(($B$5:$B$300=$B237)*(($F$5:$F$300+$I$5:$I$300-ABS($F$5:$F$300-$I$5:$I$300))/2)*($J$5:$J$300-$G$5:$G$300)),8)),"")</f>
        <v/>
      </c>
      <c r="O237" s="177">
        <f>IF(ISNUMBER(N237),IF(OR(COUNTIF(Торговля!$B$5:$B$300,$B237)+COUNTIF(Лэндинг!$B$5:$B$300,$B237)&gt;0,COUNTIF($B238:$B$301,$B237)&gt;0),0,IF(SUMPRODUCT(($B$5:$B$300=$B237)*(($F$5:$F$300+$I$5:$I$300-ABS($F$5:$F$300-$I$5:$I$300))/2)*$G$5:$G$300)&lt;=0,"",ROUND(N237/SUMPRODUCT(($B$5:$B$300=$B237)*(($F$5:$F$300+$I$5:$I$300-ABS($F$5:$F$300-$I$5:$I$300))/2)*$G$5:$G$300)*100,2))),"")</f>
        <v/>
      </c>
    </row>
    <row r="238" ht="22" customHeight="1">
      <c r="B238" s="318" t="n"/>
      <c r="C238" s="319" t="n"/>
      <c r="D238" s="318" t="n"/>
      <c r="E238" s="320" t="n"/>
      <c r="F238" s="321" t="n"/>
      <c r="G238" s="322" t="n"/>
      <c r="H238" s="271">
        <f>IF(AND(ISNUMBER(F238),ISNUMBER(G238)),F238*G238,"")</f>
        <v/>
      </c>
      <c r="I238" s="321" t="n"/>
      <c r="J238" s="322" t="n"/>
      <c r="K238" s="271">
        <f>IF(AND(ISNUMBER(I238),ISNUMBER(J238)),I238*J238,"")</f>
        <v/>
      </c>
      <c r="L238" s="246">
        <f>IF(COUNT(F238,I238)=0,"",N(F238)-N(I238))</f>
        <v/>
      </c>
      <c r="M238" s="247">
        <f>IF(COUNT(H238,K238)=0,"",N(K238)-N(H238))</f>
        <v/>
      </c>
      <c r="N238" s="246">
        <f>IF(AND(ISNUMBER(F238),ISNUMBER(I238),ISNUMBER(H238),ISNUMBER(K238),F238&gt;0,I238&gt;0,H238&lt;&gt;0),IF(OR(COUNTIF(Торговля!$B$5:$B$300,$B238)+COUNTIF(Лэндинг!$B$5:$B$300,$B238)&gt;0,COUNTIF($B239:$B$301,$B238)&gt;0),0,ROUND(SUMPRODUCT(($B$5:$B$300=$B238)*(($F$5:$F$300+$I$5:$I$300-ABS($F$5:$F$300-$I$5:$I$300))/2)*($J$5:$J$300-$G$5:$G$300)),8)),"")</f>
        <v/>
      </c>
      <c r="O238" s="183">
        <f>IF(ISNUMBER(N238),IF(OR(COUNTIF(Торговля!$B$5:$B$300,$B238)+COUNTIF(Лэндинг!$B$5:$B$300,$B238)&gt;0,COUNTIF($B239:$B$301,$B238)&gt;0),0,IF(SUMPRODUCT(($B$5:$B$300=$B238)*(($F$5:$F$300+$I$5:$I$300-ABS($F$5:$F$300-$I$5:$I$300))/2)*$G$5:$G$300)&lt;=0,"",ROUND(N238/SUMPRODUCT(($B$5:$B$300=$B238)*(($F$5:$F$300+$I$5:$I$300-ABS($F$5:$F$300-$I$5:$I$300))/2)*$G$5:$G$300)*100,2))),"")</f>
        <v/>
      </c>
    </row>
    <row r="239" ht="22" customHeight="1">
      <c r="B239" s="313" t="n"/>
      <c r="C239" s="314" t="n"/>
      <c r="D239" s="313" t="n"/>
      <c r="E239" s="315" t="n"/>
      <c r="F239" s="316" t="n"/>
      <c r="G239" s="317" t="n"/>
      <c r="H239" s="271">
        <f>IF(AND(ISNUMBER(F239),ISNUMBER(G239)),F239*G239,"")</f>
        <v/>
      </c>
      <c r="I239" s="316" t="n"/>
      <c r="J239" s="317" t="n"/>
      <c r="K239" s="271">
        <f>IF(AND(ISNUMBER(I239),ISNUMBER(J239)),I239*J239,"")</f>
        <v/>
      </c>
      <c r="L239" s="240">
        <f>IF(COUNT(F239,I239)=0,"",N(F239)-N(I239))</f>
        <v/>
      </c>
      <c r="M239" s="241">
        <f>IF(COUNT(H239,K239)=0,"",N(K239)-N(H239))</f>
        <v/>
      </c>
      <c r="N239" s="240">
        <f>IF(AND(ISNUMBER(F239),ISNUMBER(I239),ISNUMBER(H239),ISNUMBER(K239),F239&gt;0,I239&gt;0,H239&lt;&gt;0),IF(OR(COUNTIF(Торговля!$B$5:$B$300,$B239)+COUNTIF(Лэндинг!$B$5:$B$300,$B239)&gt;0,COUNTIF($B240:$B$301,$B239)&gt;0),0,ROUND(SUMPRODUCT(($B$5:$B$300=$B239)*(($F$5:$F$300+$I$5:$I$300-ABS($F$5:$F$300-$I$5:$I$300))/2)*($J$5:$J$300-$G$5:$G$300)),8)),"")</f>
        <v/>
      </c>
      <c r="O239" s="177">
        <f>IF(ISNUMBER(N239),IF(OR(COUNTIF(Торговля!$B$5:$B$300,$B239)+COUNTIF(Лэндинг!$B$5:$B$300,$B239)&gt;0,COUNTIF($B240:$B$301,$B239)&gt;0),0,IF(SUMPRODUCT(($B$5:$B$300=$B239)*(($F$5:$F$300+$I$5:$I$300-ABS($F$5:$F$300-$I$5:$I$300))/2)*$G$5:$G$300)&lt;=0,"",ROUND(N239/SUMPRODUCT(($B$5:$B$300=$B239)*(($F$5:$F$300+$I$5:$I$300-ABS($F$5:$F$300-$I$5:$I$300))/2)*$G$5:$G$300)*100,2))),"")</f>
        <v/>
      </c>
    </row>
    <row r="240" ht="22" customHeight="1">
      <c r="B240" s="318" t="n"/>
      <c r="C240" s="319" t="n"/>
      <c r="D240" s="318" t="n"/>
      <c r="E240" s="320" t="n"/>
      <c r="F240" s="321" t="n"/>
      <c r="G240" s="322" t="n"/>
      <c r="H240" s="271">
        <f>IF(AND(ISNUMBER(F240),ISNUMBER(G240)),F240*G240,"")</f>
        <v/>
      </c>
      <c r="I240" s="321" t="n"/>
      <c r="J240" s="322" t="n"/>
      <c r="K240" s="271">
        <f>IF(AND(ISNUMBER(I240),ISNUMBER(J240)),I240*J240,"")</f>
        <v/>
      </c>
      <c r="L240" s="246">
        <f>IF(COUNT(F240,I240)=0,"",N(F240)-N(I240))</f>
        <v/>
      </c>
      <c r="M240" s="247">
        <f>IF(COUNT(H240,K240)=0,"",N(K240)-N(H240))</f>
        <v/>
      </c>
      <c r="N240" s="246">
        <f>IF(AND(ISNUMBER(F240),ISNUMBER(I240),ISNUMBER(H240),ISNUMBER(K240),F240&gt;0,I240&gt;0,H240&lt;&gt;0),IF(OR(COUNTIF(Торговля!$B$5:$B$300,$B240)+COUNTIF(Лэндинг!$B$5:$B$300,$B240)&gt;0,COUNTIF($B241:$B$301,$B240)&gt;0),0,ROUND(SUMPRODUCT(($B$5:$B$300=$B240)*(($F$5:$F$300+$I$5:$I$300-ABS($F$5:$F$300-$I$5:$I$300))/2)*($J$5:$J$300-$G$5:$G$300)),8)),"")</f>
        <v/>
      </c>
      <c r="O240" s="183">
        <f>IF(ISNUMBER(N240),IF(OR(COUNTIF(Торговля!$B$5:$B$300,$B240)+COUNTIF(Лэндинг!$B$5:$B$300,$B240)&gt;0,COUNTIF($B241:$B$301,$B240)&gt;0),0,IF(SUMPRODUCT(($B$5:$B$300=$B240)*(($F$5:$F$300+$I$5:$I$300-ABS($F$5:$F$300-$I$5:$I$300))/2)*$G$5:$G$300)&lt;=0,"",ROUND(N240/SUMPRODUCT(($B$5:$B$300=$B240)*(($F$5:$F$300+$I$5:$I$300-ABS($F$5:$F$300-$I$5:$I$300))/2)*$G$5:$G$300)*100,2))),"")</f>
        <v/>
      </c>
    </row>
    <row r="241" ht="22" customHeight="1">
      <c r="B241" s="313" t="n"/>
      <c r="C241" s="314" t="n"/>
      <c r="D241" s="313" t="n"/>
      <c r="E241" s="315" t="n"/>
      <c r="F241" s="316" t="n"/>
      <c r="G241" s="317" t="n"/>
      <c r="H241" s="271">
        <f>IF(AND(ISNUMBER(F241),ISNUMBER(G241)),F241*G241,"")</f>
        <v/>
      </c>
      <c r="I241" s="316" t="n"/>
      <c r="J241" s="317" t="n"/>
      <c r="K241" s="271">
        <f>IF(AND(ISNUMBER(I241),ISNUMBER(J241)),I241*J241,"")</f>
        <v/>
      </c>
      <c r="L241" s="240">
        <f>IF(COUNT(F241,I241)=0,"",N(F241)-N(I241))</f>
        <v/>
      </c>
      <c r="M241" s="241">
        <f>IF(COUNT(H241,K241)=0,"",N(K241)-N(H241))</f>
        <v/>
      </c>
      <c r="N241" s="240">
        <f>IF(AND(ISNUMBER(F241),ISNUMBER(I241),ISNUMBER(H241),ISNUMBER(K241),F241&gt;0,I241&gt;0,H241&lt;&gt;0),IF(OR(COUNTIF(Торговля!$B$5:$B$300,$B241)+COUNTIF(Лэндинг!$B$5:$B$300,$B241)&gt;0,COUNTIF($B242:$B$301,$B241)&gt;0),0,ROUND(SUMPRODUCT(($B$5:$B$300=$B241)*(($F$5:$F$300+$I$5:$I$300-ABS($F$5:$F$300-$I$5:$I$300))/2)*($J$5:$J$300-$G$5:$G$300)),8)),"")</f>
        <v/>
      </c>
      <c r="O241" s="177">
        <f>IF(ISNUMBER(N241),IF(OR(COUNTIF(Торговля!$B$5:$B$300,$B241)+COUNTIF(Лэндинг!$B$5:$B$300,$B241)&gt;0,COUNTIF($B242:$B$301,$B241)&gt;0),0,IF(SUMPRODUCT(($B$5:$B$300=$B241)*(($F$5:$F$300+$I$5:$I$300-ABS($F$5:$F$300-$I$5:$I$300))/2)*$G$5:$G$300)&lt;=0,"",ROUND(N241/SUMPRODUCT(($B$5:$B$300=$B241)*(($F$5:$F$300+$I$5:$I$300-ABS($F$5:$F$300-$I$5:$I$300))/2)*$G$5:$G$300)*100,2))),"")</f>
        <v/>
      </c>
    </row>
    <row r="242" ht="22" customHeight="1">
      <c r="B242" s="318" t="n"/>
      <c r="C242" s="319" t="n"/>
      <c r="D242" s="318" t="n"/>
      <c r="E242" s="320" t="n"/>
      <c r="F242" s="321" t="n"/>
      <c r="G242" s="322" t="n"/>
      <c r="H242" s="271">
        <f>IF(AND(ISNUMBER(F242),ISNUMBER(G242)),F242*G242,"")</f>
        <v/>
      </c>
      <c r="I242" s="321" t="n"/>
      <c r="J242" s="322" t="n"/>
      <c r="K242" s="271">
        <f>IF(AND(ISNUMBER(I242),ISNUMBER(J242)),I242*J242,"")</f>
        <v/>
      </c>
      <c r="L242" s="246">
        <f>IF(COUNT(F242,I242)=0,"",N(F242)-N(I242))</f>
        <v/>
      </c>
      <c r="M242" s="247">
        <f>IF(COUNT(H242,K242)=0,"",N(K242)-N(H242))</f>
        <v/>
      </c>
      <c r="N242" s="246">
        <f>IF(AND(ISNUMBER(F242),ISNUMBER(I242),ISNUMBER(H242),ISNUMBER(K242),F242&gt;0,I242&gt;0,H242&lt;&gt;0),IF(OR(COUNTIF(Торговля!$B$5:$B$300,$B242)+COUNTIF(Лэндинг!$B$5:$B$300,$B242)&gt;0,COUNTIF($B243:$B$301,$B242)&gt;0),0,ROUND(SUMPRODUCT(($B$5:$B$300=$B242)*(($F$5:$F$300+$I$5:$I$300-ABS($F$5:$F$300-$I$5:$I$300))/2)*($J$5:$J$300-$G$5:$G$300)),8)),"")</f>
        <v/>
      </c>
      <c r="O242" s="183">
        <f>IF(ISNUMBER(N242),IF(OR(COUNTIF(Торговля!$B$5:$B$300,$B242)+COUNTIF(Лэндинг!$B$5:$B$300,$B242)&gt;0,COUNTIF($B243:$B$301,$B242)&gt;0),0,IF(SUMPRODUCT(($B$5:$B$300=$B242)*(($F$5:$F$300+$I$5:$I$300-ABS($F$5:$F$300-$I$5:$I$300))/2)*$G$5:$G$300)&lt;=0,"",ROUND(N242/SUMPRODUCT(($B$5:$B$300=$B242)*(($F$5:$F$300+$I$5:$I$300-ABS($F$5:$F$300-$I$5:$I$300))/2)*$G$5:$G$300)*100,2))),"")</f>
        <v/>
      </c>
    </row>
    <row r="243" ht="22" customHeight="1">
      <c r="B243" s="313" t="n"/>
      <c r="C243" s="314" t="n"/>
      <c r="D243" s="313" t="n"/>
      <c r="E243" s="315" t="n"/>
      <c r="F243" s="316" t="n"/>
      <c r="G243" s="317" t="n"/>
      <c r="H243" s="271">
        <f>IF(AND(ISNUMBER(F243),ISNUMBER(G243)),F243*G243,"")</f>
        <v/>
      </c>
      <c r="I243" s="316" t="n"/>
      <c r="J243" s="317" t="n"/>
      <c r="K243" s="271">
        <f>IF(AND(ISNUMBER(I243),ISNUMBER(J243)),I243*J243,"")</f>
        <v/>
      </c>
      <c r="L243" s="240">
        <f>IF(COUNT(F243,I243)=0,"",N(F243)-N(I243))</f>
        <v/>
      </c>
      <c r="M243" s="241">
        <f>IF(COUNT(H243,K243)=0,"",N(K243)-N(H243))</f>
        <v/>
      </c>
      <c r="N243" s="240">
        <f>IF(AND(ISNUMBER(F243),ISNUMBER(I243),ISNUMBER(H243),ISNUMBER(K243),F243&gt;0,I243&gt;0,H243&lt;&gt;0),IF(OR(COUNTIF(Торговля!$B$5:$B$300,$B243)+COUNTIF(Лэндинг!$B$5:$B$300,$B243)&gt;0,COUNTIF($B244:$B$301,$B243)&gt;0),0,ROUND(SUMPRODUCT(($B$5:$B$300=$B243)*(($F$5:$F$300+$I$5:$I$300-ABS($F$5:$F$300-$I$5:$I$300))/2)*($J$5:$J$300-$G$5:$G$300)),8)),"")</f>
        <v/>
      </c>
      <c r="O243" s="177">
        <f>IF(ISNUMBER(N243),IF(OR(COUNTIF(Торговля!$B$5:$B$300,$B243)+COUNTIF(Лэндинг!$B$5:$B$300,$B243)&gt;0,COUNTIF($B244:$B$301,$B243)&gt;0),0,IF(SUMPRODUCT(($B$5:$B$300=$B243)*(($F$5:$F$300+$I$5:$I$300-ABS($F$5:$F$300-$I$5:$I$300))/2)*$G$5:$G$300)&lt;=0,"",ROUND(N243/SUMPRODUCT(($B$5:$B$300=$B243)*(($F$5:$F$300+$I$5:$I$300-ABS($F$5:$F$300-$I$5:$I$300))/2)*$G$5:$G$300)*100,2))),"")</f>
        <v/>
      </c>
    </row>
    <row r="244" ht="22" customHeight="1">
      <c r="B244" s="318" t="n"/>
      <c r="C244" s="319" t="n"/>
      <c r="D244" s="318" t="n"/>
      <c r="E244" s="320" t="n"/>
      <c r="F244" s="321" t="n"/>
      <c r="G244" s="322" t="n"/>
      <c r="H244" s="271">
        <f>IF(AND(ISNUMBER(F244),ISNUMBER(G244)),F244*G244,"")</f>
        <v/>
      </c>
      <c r="I244" s="321" t="n"/>
      <c r="J244" s="322" t="n"/>
      <c r="K244" s="271">
        <f>IF(AND(ISNUMBER(I244),ISNUMBER(J244)),I244*J244,"")</f>
        <v/>
      </c>
      <c r="L244" s="246">
        <f>IF(COUNT(F244,I244)=0,"",N(F244)-N(I244))</f>
        <v/>
      </c>
      <c r="M244" s="247">
        <f>IF(COUNT(H244,K244)=0,"",N(K244)-N(H244))</f>
        <v/>
      </c>
      <c r="N244" s="246">
        <f>IF(AND(ISNUMBER(F244),ISNUMBER(I244),ISNUMBER(H244),ISNUMBER(K244),F244&gt;0,I244&gt;0,H244&lt;&gt;0),IF(OR(COUNTIF(Торговля!$B$5:$B$300,$B244)+COUNTIF(Лэндинг!$B$5:$B$300,$B244)&gt;0,COUNTIF($B245:$B$301,$B244)&gt;0),0,ROUND(SUMPRODUCT(($B$5:$B$300=$B244)*(($F$5:$F$300+$I$5:$I$300-ABS($F$5:$F$300-$I$5:$I$300))/2)*($J$5:$J$300-$G$5:$G$300)),8)),"")</f>
        <v/>
      </c>
      <c r="O244" s="183">
        <f>IF(ISNUMBER(N244),IF(OR(COUNTIF(Торговля!$B$5:$B$300,$B244)+COUNTIF(Лэндинг!$B$5:$B$300,$B244)&gt;0,COUNTIF($B245:$B$301,$B244)&gt;0),0,IF(SUMPRODUCT(($B$5:$B$300=$B244)*(($F$5:$F$300+$I$5:$I$300-ABS($F$5:$F$300-$I$5:$I$300))/2)*$G$5:$G$300)&lt;=0,"",ROUND(N244/SUMPRODUCT(($B$5:$B$300=$B244)*(($F$5:$F$300+$I$5:$I$300-ABS($F$5:$F$300-$I$5:$I$300))/2)*$G$5:$G$300)*100,2))),"")</f>
        <v/>
      </c>
    </row>
    <row r="245" ht="22" customHeight="1">
      <c r="B245" s="313" t="n"/>
      <c r="C245" s="314" t="n"/>
      <c r="D245" s="313" t="n"/>
      <c r="E245" s="315" t="n"/>
      <c r="F245" s="316" t="n"/>
      <c r="G245" s="317" t="n"/>
      <c r="H245" s="271">
        <f>IF(AND(ISNUMBER(F245),ISNUMBER(G245)),F245*G245,"")</f>
        <v/>
      </c>
      <c r="I245" s="316" t="n"/>
      <c r="J245" s="317" t="n"/>
      <c r="K245" s="271">
        <f>IF(AND(ISNUMBER(I245),ISNUMBER(J245)),I245*J245,"")</f>
        <v/>
      </c>
      <c r="L245" s="240">
        <f>IF(COUNT(F245,I245)=0,"",N(F245)-N(I245))</f>
        <v/>
      </c>
      <c r="M245" s="241">
        <f>IF(COUNT(H245,K245)=0,"",N(K245)-N(H245))</f>
        <v/>
      </c>
      <c r="N245" s="240">
        <f>IF(AND(ISNUMBER(F245),ISNUMBER(I245),ISNUMBER(H245),ISNUMBER(K245),F245&gt;0,I245&gt;0,H245&lt;&gt;0),IF(OR(COUNTIF(Торговля!$B$5:$B$300,$B245)+COUNTIF(Лэндинг!$B$5:$B$300,$B245)&gt;0,COUNTIF($B246:$B$301,$B245)&gt;0),0,ROUND(SUMPRODUCT(($B$5:$B$300=$B245)*(($F$5:$F$300+$I$5:$I$300-ABS($F$5:$F$300-$I$5:$I$300))/2)*($J$5:$J$300-$G$5:$G$300)),8)),"")</f>
        <v/>
      </c>
      <c r="O245" s="177">
        <f>IF(ISNUMBER(N245),IF(OR(COUNTIF(Торговля!$B$5:$B$300,$B245)+COUNTIF(Лэндинг!$B$5:$B$300,$B245)&gt;0,COUNTIF($B246:$B$301,$B245)&gt;0),0,IF(SUMPRODUCT(($B$5:$B$300=$B245)*(($F$5:$F$300+$I$5:$I$300-ABS($F$5:$F$300-$I$5:$I$300))/2)*$G$5:$G$300)&lt;=0,"",ROUND(N245/SUMPRODUCT(($B$5:$B$300=$B245)*(($F$5:$F$300+$I$5:$I$300-ABS($F$5:$F$300-$I$5:$I$300))/2)*$G$5:$G$300)*100,2))),"")</f>
        <v/>
      </c>
    </row>
    <row r="246" ht="22" customHeight="1">
      <c r="B246" s="318" t="n"/>
      <c r="C246" s="319" t="n"/>
      <c r="D246" s="318" t="n"/>
      <c r="E246" s="320" t="n"/>
      <c r="F246" s="321" t="n"/>
      <c r="G246" s="322" t="n"/>
      <c r="H246" s="271">
        <f>IF(AND(ISNUMBER(F246),ISNUMBER(G246)),F246*G246,"")</f>
        <v/>
      </c>
      <c r="I246" s="321" t="n"/>
      <c r="J246" s="322" t="n"/>
      <c r="K246" s="271">
        <f>IF(AND(ISNUMBER(I246),ISNUMBER(J246)),I246*J246,"")</f>
        <v/>
      </c>
      <c r="L246" s="246">
        <f>IF(COUNT(F246,I246)=0,"",N(F246)-N(I246))</f>
        <v/>
      </c>
      <c r="M246" s="247">
        <f>IF(COUNT(H246,K246)=0,"",N(K246)-N(H246))</f>
        <v/>
      </c>
      <c r="N246" s="246">
        <f>IF(AND(ISNUMBER(F246),ISNUMBER(I246),ISNUMBER(H246),ISNUMBER(K246),F246&gt;0,I246&gt;0,H246&lt;&gt;0),IF(OR(COUNTIF(Торговля!$B$5:$B$300,$B246)+COUNTIF(Лэндинг!$B$5:$B$300,$B246)&gt;0,COUNTIF($B247:$B$301,$B246)&gt;0),0,ROUND(SUMPRODUCT(($B$5:$B$300=$B246)*(($F$5:$F$300+$I$5:$I$300-ABS($F$5:$F$300-$I$5:$I$300))/2)*($J$5:$J$300-$G$5:$G$300)),8)),"")</f>
        <v/>
      </c>
      <c r="O246" s="183">
        <f>IF(ISNUMBER(N246),IF(OR(COUNTIF(Торговля!$B$5:$B$300,$B246)+COUNTIF(Лэндинг!$B$5:$B$300,$B246)&gt;0,COUNTIF($B247:$B$301,$B246)&gt;0),0,IF(SUMPRODUCT(($B$5:$B$300=$B246)*(($F$5:$F$300+$I$5:$I$300-ABS($F$5:$F$300-$I$5:$I$300))/2)*$G$5:$G$300)&lt;=0,"",ROUND(N246/SUMPRODUCT(($B$5:$B$300=$B246)*(($F$5:$F$300+$I$5:$I$300-ABS($F$5:$F$300-$I$5:$I$300))/2)*$G$5:$G$300)*100,2))),"")</f>
        <v/>
      </c>
    </row>
    <row r="247" ht="22" customHeight="1">
      <c r="B247" s="313" t="n"/>
      <c r="C247" s="314" t="n"/>
      <c r="D247" s="313" t="n"/>
      <c r="E247" s="315" t="n"/>
      <c r="F247" s="316" t="n"/>
      <c r="G247" s="317" t="n"/>
      <c r="H247" s="271">
        <f>IF(AND(ISNUMBER(F247),ISNUMBER(G247)),F247*G247,"")</f>
        <v/>
      </c>
      <c r="I247" s="316" t="n"/>
      <c r="J247" s="317" t="n"/>
      <c r="K247" s="271">
        <f>IF(AND(ISNUMBER(I247),ISNUMBER(J247)),I247*J247,"")</f>
        <v/>
      </c>
      <c r="L247" s="240">
        <f>IF(COUNT(F247,I247)=0,"",N(F247)-N(I247))</f>
        <v/>
      </c>
      <c r="M247" s="241">
        <f>IF(COUNT(H247,K247)=0,"",N(K247)-N(H247))</f>
        <v/>
      </c>
      <c r="N247" s="240">
        <f>IF(AND(ISNUMBER(F247),ISNUMBER(I247),ISNUMBER(H247),ISNUMBER(K247),F247&gt;0,I247&gt;0,H247&lt;&gt;0),IF(OR(COUNTIF(Торговля!$B$5:$B$300,$B247)+COUNTIF(Лэндинг!$B$5:$B$300,$B247)&gt;0,COUNTIF($B248:$B$301,$B247)&gt;0),0,ROUND(SUMPRODUCT(($B$5:$B$300=$B247)*(($F$5:$F$300+$I$5:$I$300-ABS($F$5:$F$300-$I$5:$I$300))/2)*($J$5:$J$300-$G$5:$G$300)),8)),"")</f>
        <v/>
      </c>
      <c r="O247" s="177">
        <f>IF(ISNUMBER(N247),IF(OR(COUNTIF(Торговля!$B$5:$B$300,$B247)+COUNTIF(Лэндинг!$B$5:$B$300,$B247)&gt;0,COUNTIF($B248:$B$301,$B247)&gt;0),0,IF(SUMPRODUCT(($B$5:$B$300=$B247)*(($F$5:$F$300+$I$5:$I$300-ABS($F$5:$F$300-$I$5:$I$300))/2)*$G$5:$G$300)&lt;=0,"",ROUND(N247/SUMPRODUCT(($B$5:$B$300=$B247)*(($F$5:$F$300+$I$5:$I$300-ABS($F$5:$F$300-$I$5:$I$300))/2)*$G$5:$G$300)*100,2))),"")</f>
        <v/>
      </c>
    </row>
    <row r="248" ht="22" customHeight="1">
      <c r="B248" s="318" t="n"/>
      <c r="C248" s="319" t="n"/>
      <c r="D248" s="318" t="n"/>
      <c r="E248" s="320" t="n"/>
      <c r="F248" s="321" t="n"/>
      <c r="G248" s="322" t="n"/>
      <c r="H248" s="271">
        <f>IF(AND(ISNUMBER(F248),ISNUMBER(G248)),F248*G248,"")</f>
        <v/>
      </c>
      <c r="I248" s="321" t="n"/>
      <c r="J248" s="322" t="n"/>
      <c r="K248" s="271">
        <f>IF(AND(ISNUMBER(I248),ISNUMBER(J248)),I248*J248,"")</f>
        <v/>
      </c>
      <c r="L248" s="246">
        <f>IF(COUNT(F248,I248)=0,"",N(F248)-N(I248))</f>
        <v/>
      </c>
      <c r="M248" s="247">
        <f>IF(COUNT(H248,K248)=0,"",N(K248)-N(H248))</f>
        <v/>
      </c>
      <c r="N248" s="246">
        <f>IF(AND(ISNUMBER(F248),ISNUMBER(I248),ISNUMBER(H248),ISNUMBER(K248),F248&gt;0,I248&gt;0,H248&lt;&gt;0),IF(OR(COUNTIF(Торговля!$B$5:$B$300,$B248)+COUNTIF(Лэндинг!$B$5:$B$300,$B248)&gt;0,COUNTIF($B249:$B$301,$B248)&gt;0),0,ROUND(SUMPRODUCT(($B$5:$B$300=$B248)*(($F$5:$F$300+$I$5:$I$300-ABS($F$5:$F$300-$I$5:$I$300))/2)*($J$5:$J$300-$G$5:$G$300)),8)),"")</f>
        <v/>
      </c>
      <c r="O248" s="183">
        <f>IF(ISNUMBER(N248),IF(OR(COUNTIF(Торговля!$B$5:$B$300,$B248)+COUNTIF(Лэндинг!$B$5:$B$300,$B248)&gt;0,COUNTIF($B249:$B$301,$B248)&gt;0),0,IF(SUMPRODUCT(($B$5:$B$300=$B248)*(($F$5:$F$300+$I$5:$I$300-ABS($F$5:$F$300-$I$5:$I$300))/2)*$G$5:$G$300)&lt;=0,"",ROUND(N248/SUMPRODUCT(($B$5:$B$300=$B248)*(($F$5:$F$300+$I$5:$I$300-ABS($F$5:$F$300-$I$5:$I$300))/2)*$G$5:$G$300)*100,2))),"")</f>
        <v/>
      </c>
    </row>
    <row r="249" ht="22" customHeight="1">
      <c r="B249" s="313" t="n"/>
      <c r="C249" s="314" t="n"/>
      <c r="D249" s="313" t="n"/>
      <c r="E249" s="315" t="n"/>
      <c r="F249" s="316" t="n"/>
      <c r="G249" s="317" t="n"/>
      <c r="H249" s="271">
        <f>IF(AND(ISNUMBER(F249),ISNUMBER(G249)),F249*G249,"")</f>
        <v/>
      </c>
      <c r="I249" s="316" t="n"/>
      <c r="J249" s="317" t="n"/>
      <c r="K249" s="271">
        <f>IF(AND(ISNUMBER(I249),ISNUMBER(J249)),I249*J249,"")</f>
        <v/>
      </c>
      <c r="L249" s="240">
        <f>IF(COUNT(F249,I249)=0,"",N(F249)-N(I249))</f>
        <v/>
      </c>
      <c r="M249" s="241">
        <f>IF(COUNT(H249,K249)=0,"",N(K249)-N(H249))</f>
        <v/>
      </c>
      <c r="N249" s="240">
        <f>IF(AND(ISNUMBER(F249),ISNUMBER(I249),ISNUMBER(H249),ISNUMBER(K249),F249&gt;0,I249&gt;0,H249&lt;&gt;0),IF(OR(COUNTIF(Торговля!$B$5:$B$300,$B249)+COUNTIF(Лэндинг!$B$5:$B$300,$B249)&gt;0,COUNTIF($B250:$B$301,$B249)&gt;0),0,ROUND(SUMPRODUCT(($B$5:$B$300=$B249)*(($F$5:$F$300+$I$5:$I$300-ABS($F$5:$F$300-$I$5:$I$300))/2)*($J$5:$J$300-$G$5:$G$300)),8)),"")</f>
        <v/>
      </c>
      <c r="O249" s="177">
        <f>IF(ISNUMBER(N249),IF(OR(COUNTIF(Торговля!$B$5:$B$300,$B249)+COUNTIF(Лэндинг!$B$5:$B$300,$B249)&gt;0,COUNTIF($B250:$B$301,$B249)&gt;0),0,IF(SUMPRODUCT(($B$5:$B$300=$B249)*(($F$5:$F$300+$I$5:$I$300-ABS($F$5:$F$300-$I$5:$I$300))/2)*$G$5:$G$300)&lt;=0,"",ROUND(N249/SUMPRODUCT(($B$5:$B$300=$B249)*(($F$5:$F$300+$I$5:$I$300-ABS($F$5:$F$300-$I$5:$I$300))/2)*$G$5:$G$300)*100,2))),"")</f>
        <v/>
      </c>
    </row>
    <row r="250" ht="22" customHeight="1">
      <c r="B250" s="318" t="n"/>
      <c r="C250" s="319" t="n"/>
      <c r="D250" s="318" t="n"/>
      <c r="E250" s="320" t="n"/>
      <c r="F250" s="321" t="n"/>
      <c r="G250" s="322" t="n"/>
      <c r="H250" s="271">
        <f>IF(AND(ISNUMBER(F250),ISNUMBER(G250)),F250*G250,"")</f>
        <v/>
      </c>
      <c r="I250" s="321" t="n"/>
      <c r="J250" s="322" t="n"/>
      <c r="K250" s="271">
        <f>IF(AND(ISNUMBER(I250),ISNUMBER(J250)),I250*J250,"")</f>
        <v/>
      </c>
      <c r="L250" s="246">
        <f>IF(COUNT(F250,I250)=0,"",N(F250)-N(I250))</f>
        <v/>
      </c>
      <c r="M250" s="247">
        <f>IF(COUNT(H250,K250)=0,"",N(K250)-N(H250))</f>
        <v/>
      </c>
      <c r="N250" s="246">
        <f>IF(AND(ISNUMBER(F250),ISNUMBER(I250),ISNUMBER(H250),ISNUMBER(K250),F250&gt;0,I250&gt;0,H250&lt;&gt;0),IF(OR(COUNTIF(Торговля!$B$5:$B$300,$B250)+COUNTIF(Лэндинг!$B$5:$B$300,$B250)&gt;0,COUNTIF($B251:$B$301,$B250)&gt;0),0,ROUND(SUMPRODUCT(($B$5:$B$300=$B250)*(($F$5:$F$300+$I$5:$I$300-ABS($F$5:$F$300-$I$5:$I$300))/2)*($J$5:$J$300-$G$5:$G$300)),8)),"")</f>
        <v/>
      </c>
      <c r="O250" s="183">
        <f>IF(ISNUMBER(N250),IF(OR(COUNTIF(Торговля!$B$5:$B$300,$B250)+COUNTIF(Лэндинг!$B$5:$B$300,$B250)&gt;0,COUNTIF($B251:$B$301,$B250)&gt;0),0,IF(SUMPRODUCT(($B$5:$B$300=$B250)*(($F$5:$F$300+$I$5:$I$300-ABS($F$5:$F$300-$I$5:$I$300))/2)*$G$5:$G$300)&lt;=0,"",ROUND(N250/SUMPRODUCT(($B$5:$B$300=$B250)*(($F$5:$F$300+$I$5:$I$300-ABS($F$5:$F$300-$I$5:$I$300))/2)*$G$5:$G$300)*100,2))),"")</f>
        <v/>
      </c>
    </row>
    <row r="251" ht="22" customHeight="1">
      <c r="B251" s="313" t="n"/>
      <c r="C251" s="314" t="n"/>
      <c r="D251" s="313" t="n"/>
      <c r="E251" s="315" t="n"/>
      <c r="F251" s="316" t="n"/>
      <c r="G251" s="317" t="n"/>
      <c r="H251" s="271">
        <f>IF(AND(ISNUMBER(F251),ISNUMBER(G251)),F251*G251,"")</f>
        <v/>
      </c>
      <c r="I251" s="316" t="n"/>
      <c r="J251" s="317" t="n"/>
      <c r="K251" s="271">
        <f>IF(AND(ISNUMBER(I251),ISNUMBER(J251)),I251*J251,"")</f>
        <v/>
      </c>
      <c r="L251" s="240">
        <f>IF(COUNT(F251,I251)=0,"",N(F251)-N(I251))</f>
        <v/>
      </c>
      <c r="M251" s="241">
        <f>IF(COUNT(H251,K251)=0,"",N(K251)-N(H251))</f>
        <v/>
      </c>
      <c r="N251" s="240">
        <f>IF(AND(ISNUMBER(F251),ISNUMBER(I251),ISNUMBER(H251),ISNUMBER(K251),F251&gt;0,I251&gt;0,H251&lt;&gt;0),IF(OR(COUNTIF(Торговля!$B$5:$B$300,$B251)+COUNTIF(Лэндинг!$B$5:$B$300,$B251)&gt;0,COUNTIF($B252:$B$301,$B251)&gt;0),0,ROUND(SUMPRODUCT(($B$5:$B$300=$B251)*(($F$5:$F$300+$I$5:$I$300-ABS($F$5:$F$300-$I$5:$I$300))/2)*($J$5:$J$300-$G$5:$G$300)),8)),"")</f>
        <v/>
      </c>
      <c r="O251" s="177">
        <f>IF(ISNUMBER(N251),IF(OR(COUNTIF(Торговля!$B$5:$B$300,$B251)+COUNTIF(Лэндинг!$B$5:$B$300,$B251)&gt;0,COUNTIF($B252:$B$301,$B251)&gt;0),0,IF(SUMPRODUCT(($B$5:$B$300=$B251)*(($F$5:$F$300+$I$5:$I$300-ABS($F$5:$F$300-$I$5:$I$300))/2)*$G$5:$G$300)&lt;=0,"",ROUND(N251/SUMPRODUCT(($B$5:$B$300=$B251)*(($F$5:$F$300+$I$5:$I$300-ABS($F$5:$F$300-$I$5:$I$300))/2)*$G$5:$G$300)*100,2))),"")</f>
        <v/>
      </c>
    </row>
    <row r="252" ht="22" customHeight="1">
      <c r="B252" s="318" t="n"/>
      <c r="C252" s="319" t="n"/>
      <c r="D252" s="318" t="n"/>
      <c r="E252" s="320" t="n"/>
      <c r="F252" s="321" t="n"/>
      <c r="G252" s="322" t="n"/>
      <c r="H252" s="271">
        <f>IF(AND(ISNUMBER(F252),ISNUMBER(G252)),F252*G252,"")</f>
        <v/>
      </c>
      <c r="I252" s="321" t="n"/>
      <c r="J252" s="322" t="n"/>
      <c r="K252" s="271">
        <f>IF(AND(ISNUMBER(I252),ISNUMBER(J252)),I252*J252,"")</f>
        <v/>
      </c>
      <c r="L252" s="246">
        <f>IF(COUNT(F252,I252)=0,"",N(F252)-N(I252))</f>
        <v/>
      </c>
      <c r="M252" s="247">
        <f>IF(COUNT(H252,K252)=0,"",N(K252)-N(H252))</f>
        <v/>
      </c>
      <c r="N252" s="246">
        <f>IF(AND(ISNUMBER(F252),ISNUMBER(I252),ISNUMBER(H252),ISNUMBER(K252),F252&gt;0,I252&gt;0,H252&lt;&gt;0),IF(OR(COUNTIF(Торговля!$B$5:$B$300,$B252)+COUNTIF(Лэндинг!$B$5:$B$300,$B252)&gt;0,COUNTIF($B253:$B$301,$B252)&gt;0),0,ROUND(SUMPRODUCT(($B$5:$B$300=$B252)*(($F$5:$F$300+$I$5:$I$300-ABS($F$5:$F$300-$I$5:$I$300))/2)*($J$5:$J$300-$G$5:$G$300)),8)),"")</f>
        <v/>
      </c>
      <c r="O252" s="183">
        <f>IF(ISNUMBER(N252),IF(OR(COUNTIF(Торговля!$B$5:$B$300,$B252)+COUNTIF(Лэндинг!$B$5:$B$300,$B252)&gt;0,COUNTIF($B253:$B$301,$B252)&gt;0),0,IF(SUMPRODUCT(($B$5:$B$300=$B252)*(($F$5:$F$300+$I$5:$I$300-ABS($F$5:$F$300-$I$5:$I$300))/2)*$G$5:$G$300)&lt;=0,"",ROUND(N252/SUMPRODUCT(($B$5:$B$300=$B252)*(($F$5:$F$300+$I$5:$I$300-ABS($F$5:$F$300-$I$5:$I$300))/2)*$G$5:$G$300)*100,2))),"")</f>
        <v/>
      </c>
    </row>
    <row r="253" ht="22" customHeight="1">
      <c r="B253" s="313" t="n"/>
      <c r="C253" s="314" t="n"/>
      <c r="D253" s="313" t="n"/>
      <c r="E253" s="315" t="n"/>
      <c r="F253" s="316" t="n"/>
      <c r="G253" s="317" t="n"/>
      <c r="H253" s="271">
        <f>IF(AND(ISNUMBER(F253),ISNUMBER(G253)),F253*G253,"")</f>
        <v/>
      </c>
      <c r="I253" s="316" t="n"/>
      <c r="J253" s="317" t="n"/>
      <c r="K253" s="271">
        <f>IF(AND(ISNUMBER(I253),ISNUMBER(J253)),I253*J253,"")</f>
        <v/>
      </c>
      <c r="L253" s="240">
        <f>IF(COUNT(F253,I253)=0,"",N(F253)-N(I253))</f>
        <v/>
      </c>
      <c r="M253" s="241">
        <f>IF(COUNT(H253,K253)=0,"",N(K253)-N(H253))</f>
        <v/>
      </c>
      <c r="N253" s="240">
        <f>IF(AND(ISNUMBER(F253),ISNUMBER(I253),ISNUMBER(H253),ISNUMBER(K253),F253&gt;0,I253&gt;0,H253&lt;&gt;0),IF(OR(COUNTIF(Торговля!$B$5:$B$300,$B253)+COUNTIF(Лэндинг!$B$5:$B$300,$B253)&gt;0,COUNTIF($B254:$B$301,$B253)&gt;0),0,ROUND(SUMPRODUCT(($B$5:$B$300=$B253)*(($F$5:$F$300+$I$5:$I$300-ABS($F$5:$F$300-$I$5:$I$300))/2)*($J$5:$J$300-$G$5:$G$300)),8)),"")</f>
        <v/>
      </c>
      <c r="O253" s="177">
        <f>IF(ISNUMBER(N253),IF(OR(COUNTIF(Торговля!$B$5:$B$300,$B253)+COUNTIF(Лэндинг!$B$5:$B$300,$B253)&gt;0,COUNTIF($B254:$B$301,$B253)&gt;0),0,IF(SUMPRODUCT(($B$5:$B$300=$B253)*(($F$5:$F$300+$I$5:$I$300-ABS($F$5:$F$300-$I$5:$I$300))/2)*$G$5:$G$300)&lt;=0,"",ROUND(N253/SUMPRODUCT(($B$5:$B$300=$B253)*(($F$5:$F$300+$I$5:$I$300-ABS($F$5:$F$300-$I$5:$I$300))/2)*$G$5:$G$300)*100,2))),"")</f>
        <v/>
      </c>
    </row>
    <row r="254" ht="22" customHeight="1">
      <c r="B254" s="318" t="n"/>
      <c r="C254" s="319" t="n"/>
      <c r="D254" s="318" t="n"/>
      <c r="E254" s="320" t="n"/>
      <c r="F254" s="321" t="n"/>
      <c r="G254" s="322" t="n"/>
      <c r="H254" s="271">
        <f>IF(AND(ISNUMBER(F254),ISNUMBER(G254)),F254*G254,"")</f>
        <v/>
      </c>
      <c r="I254" s="321" t="n"/>
      <c r="J254" s="322" t="n"/>
      <c r="K254" s="271">
        <f>IF(AND(ISNUMBER(I254),ISNUMBER(J254)),I254*J254,"")</f>
        <v/>
      </c>
      <c r="L254" s="246">
        <f>IF(COUNT(F254,I254)=0,"",N(F254)-N(I254))</f>
        <v/>
      </c>
      <c r="M254" s="247">
        <f>IF(COUNT(H254,K254)=0,"",N(K254)-N(H254))</f>
        <v/>
      </c>
      <c r="N254" s="246">
        <f>IF(AND(ISNUMBER(F254),ISNUMBER(I254),ISNUMBER(H254),ISNUMBER(K254),F254&gt;0,I254&gt;0,H254&lt;&gt;0),IF(OR(COUNTIF(Торговля!$B$5:$B$300,$B254)+COUNTIF(Лэндинг!$B$5:$B$300,$B254)&gt;0,COUNTIF($B255:$B$301,$B254)&gt;0),0,ROUND(SUMPRODUCT(($B$5:$B$300=$B254)*(($F$5:$F$300+$I$5:$I$300-ABS($F$5:$F$300-$I$5:$I$300))/2)*($J$5:$J$300-$G$5:$G$300)),8)),"")</f>
        <v/>
      </c>
      <c r="O254" s="183">
        <f>IF(ISNUMBER(N254),IF(OR(COUNTIF(Торговля!$B$5:$B$300,$B254)+COUNTIF(Лэндинг!$B$5:$B$300,$B254)&gt;0,COUNTIF($B255:$B$301,$B254)&gt;0),0,IF(SUMPRODUCT(($B$5:$B$300=$B254)*(($F$5:$F$300+$I$5:$I$300-ABS($F$5:$F$300-$I$5:$I$300))/2)*$G$5:$G$300)&lt;=0,"",ROUND(N254/SUMPRODUCT(($B$5:$B$300=$B254)*(($F$5:$F$300+$I$5:$I$300-ABS($F$5:$F$300-$I$5:$I$300))/2)*$G$5:$G$300)*100,2))),"")</f>
        <v/>
      </c>
    </row>
    <row r="255" ht="22" customHeight="1">
      <c r="B255" s="313" t="n"/>
      <c r="C255" s="314" t="n"/>
      <c r="D255" s="313" t="n"/>
      <c r="E255" s="315" t="n"/>
      <c r="F255" s="316" t="n"/>
      <c r="G255" s="317" t="n"/>
      <c r="H255" s="271">
        <f>IF(AND(ISNUMBER(F255),ISNUMBER(G255)),F255*G255,"")</f>
        <v/>
      </c>
      <c r="I255" s="316" t="n"/>
      <c r="J255" s="317" t="n"/>
      <c r="K255" s="271">
        <f>IF(AND(ISNUMBER(I255),ISNUMBER(J255)),I255*J255,"")</f>
        <v/>
      </c>
      <c r="L255" s="240">
        <f>IF(COUNT(F255,I255)=0,"",N(F255)-N(I255))</f>
        <v/>
      </c>
      <c r="M255" s="241">
        <f>IF(COUNT(H255,K255)=0,"",N(K255)-N(H255))</f>
        <v/>
      </c>
      <c r="N255" s="240">
        <f>IF(AND(ISNUMBER(F255),ISNUMBER(I255),ISNUMBER(H255),ISNUMBER(K255),F255&gt;0,I255&gt;0,H255&lt;&gt;0),IF(OR(COUNTIF(Торговля!$B$5:$B$300,$B255)+COUNTIF(Лэндинг!$B$5:$B$300,$B255)&gt;0,COUNTIF($B256:$B$301,$B255)&gt;0),0,ROUND(SUMPRODUCT(($B$5:$B$300=$B255)*(($F$5:$F$300+$I$5:$I$300-ABS($F$5:$F$300-$I$5:$I$300))/2)*($J$5:$J$300-$G$5:$G$300)),8)),"")</f>
        <v/>
      </c>
      <c r="O255" s="177">
        <f>IF(ISNUMBER(N255),IF(OR(COUNTIF(Торговля!$B$5:$B$300,$B255)+COUNTIF(Лэндинг!$B$5:$B$300,$B255)&gt;0,COUNTIF($B256:$B$301,$B255)&gt;0),0,IF(SUMPRODUCT(($B$5:$B$300=$B255)*(($F$5:$F$300+$I$5:$I$300-ABS($F$5:$F$300-$I$5:$I$300))/2)*$G$5:$G$300)&lt;=0,"",ROUND(N255/SUMPRODUCT(($B$5:$B$300=$B255)*(($F$5:$F$300+$I$5:$I$300-ABS($F$5:$F$300-$I$5:$I$300))/2)*$G$5:$G$300)*100,2))),"")</f>
        <v/>
      </c>
    </row>
    <row r="256" ht="22" customHeight="1">
      <c r="B256" s="318" t="n"/>
      <c r="C256" s="319" t="n"/>
      <c r="D256" s="318" t="n"/>
      <c r="E256" s="320" t="n"/>
      <c r="F256" s="321" t="n"/>
      <c r="G256" s="322" t="n"/>
      <c r="H256" s="271">
        <f>IF(AND(ISNUMBER(F256),ISNUMBER(G256)),F256*G256,"")</f>
        <v/>
      </c>
      <c r="I256" s="321" t="n"/>
      <c r="J256" s="322" t="n"/>
      <c r="K256" s="271">
        <f>IF(AND(ISNUMBER(I256),ISNUMBER(J256)),I256*J256,"")</f>
        <v/>
      </c>
      <c r="L256" s="246">
        <f>IF(COUNT(F256,I256)=0,"",N(F256)-N(I256))</f>
        <v/>
      </c>
      <c r="M256" s="247">
        <f>IF(COUNT(H256,K256)=0,"",N(K256)-N(H256))</f>
        <v/>
      </c>
      <c r="N256" s="246">
        <f>IF(AND(ISNUMBER(F256),ISNUMBER(I256),ISNUMBER(H256),ISNUMBER(K256),F256&gt;0,I256&gt;0,H256&lt;&gt;0),IF(OR(COUNTIF(Торговля!$B$5:$B$300,$B256)+COUNTIF(Лэндинг!$B$5:$B$300,$B256)&gt;0,COUNTIF($B257:$B$301,$B256)&gt;0),0,ROUND(SUMPRODUCT(($B$5:$B$300=$B256)*(($F$5:$F$300+$I$5:$I$300-ABS($F$5:$F$300-$I$5:$I$300))/2)*($J$5:$J$300-$G$5:$G$300)),8)),"")</f>
        <v/>
      </c>
      <c r="O256" s="183">
        <f>IF(ISNUMBER(N256),IF(OR(COUNTIF(Торговля!$B$5:$B$300,$B256)+COUNTIF(Лэндинг!$B$5:$B$300,$B256)&gt;0,COUNTIF($B257:$B$301,$B256)&gt;0),0,IF(SUMPRODUCT(($B$5:$B$300=$B256)*(($F$5:$F$300+$I$5:$I$300-ABS($F$5:$F$300-$I$5:$I$300))/2)*$G$5:$G$300)&lt;=0,"",ROUND(N256/SUMPRODUCT(($B$5:$B$300=$B256)*(($F$5:$F$300+$I$5:$I$300-ABS($F$5:$F$300-$I$5:$I$300))/2)*$G$5:$G$300)*100,2))),"")</f>
        <v/>
      </c>
    </row>
    <row r="257" ht="22" customHeight="1">
      <c r="B257" s="313" t="n"/>
      <c r="C257" s="314" t="n"/>
      <c r="D257" s="313" t="n"/>
      <c r="E257" s="315" t="n"/>
      <c r="F257" s="316" t="n"/>
      <c r="G257" s="317" t="n"/>
      <c r="H257" s="271">
        <f>IF(AND(ISNUMBER(F257),ISNUMBER(G257)),F257*G257,"")</f>
        <v/>
      </c>
      <c r="I257" s="316" t="n"/>
      <c r="J257" s="317" t="n"/>
      <c r="K257" s="271">
        <f>IF(AND(ISNUMBER(I257),ISNUMBER(J257)),I257*J257,"")</f>
        <v/>
      </c>
      <c r="L257" s="240">
        <f>IF(COUNT(F257,I257)=0,"",N(F257)-N(I257))</f>
        <v/>
      </c>
      <c r="M257" s="241">
        <f>IF(COUNT(H257,K257)=0,"",N(K257)-N(H257))</f>
        <v/>
      </c>
      <c r="N257" s="240">
        <f>IF(AND(ISNUMBER(F257),ISNUMBER(I257),ISNUMBER(H257),ISNUMBER(K257),F257&gt;0,I257&gt;0,H257&lt;&gt;0),IF(OR(COUNTIF(Торговля!$B$5:$B$300,$B257)+COUNTIF(Лэндинг!$B$5:$B$300,$B257)&gt;0,COUNTIF($B258:$B$301,$B257)&gt;0),0,ROUND(SUMPRODUCT(($B$5:$B$300=$B257)*(($F$5:$F$300+$I$5:$I$300-ABS($F$5:$F$300-$I$5:$I$300))/2)*($J$5:$J$300-$G$5:$G$300)),8)),"")</f>
        <v/>
      </c>
      <c r="O257" s="177">
        <f>IF(ISNUMBER(N257),IF(OR(COUNTIF(Торговля!$B$5:$B$300,$B257)+COUNTIF(Лэндинг!$B$5:$B$300,$B257)&gt;0,COUNTIF($B258:$B$301,$B257)&gt;0),0,IF(SUMPRODUCT(($B$5:$B$300=$B257)*(($F$5:$F$300+$I$5:$I$300-ABS($F$5:$F$300-$I$5:$I$300))/2)*$G$5:$G$300)&lt;=0,"",ROUND(N257/SUMPRODUCT(($B$5:$B$300=$B257)*(($F$5:$F$300+$I$5:$I$300-ABS($F$5:$F$300-$I$5:$I$300))/2)*$G$5:$G$300)*100,2))),"")</f>
        <v/>
      </c>
    </row>
    <row r="258" ht="22" customHeight="1">
      <c r="B258" s="318" t="n"/>
      <c r="C258" s="319" t="n"/>
      <c r="D258" s="318" t="n"/>
      <c r="E258" s="320" t="n"/>
      <c r="F258" s="321" t="n"/>
      <c r="G258" s="322" t="n"/>
      <c r="H258" s="271">
        <f>IF(AND(ISNUMBER(F258),ISNUMBER(G258)),F258*G258,"")</f>
        <v/>
      </c>
      <c r="I258" s="321" t="n"/>
      <c r="J258" s="322" t="n"/>
      <c r="K258" s="271">
        <f>IF(AND(ISNUMBER(I258),ISNUMBER(J258)),I258*J258,"")</f>
        <v/>
      </c>
      <c r="L258" s="246">
        <f>IF(COUNT(F258,I258)=0,"",N(F258)-N(I258))</f>
        <v/>
      </c>
      <c r="M258" s="247">
        <f>IF(COUNT(H258,K258)=0,"",N(K258)-N(H258))</f>
        <v/>
      </c>
      <c r="N258" s="246">
        <f>IF(AND(ISNUMBER(F258),ISNUMBER(I258),ISNUMBER(H258),ISNUMBER(K258),F258&gt;0,I258&gt;0,H258&lt;&gt;0),IF(OR(COUNTIF(Торговля!$B$5:$B$300,$B258)+COUNTIF(Лэндинг!$B$5:$B$300,$B258)&gt;0,COUNTIF($B259:$B$301,$B258)&gt;0),0,ROUND(SUMPRODUCT(($B$5:$B$300=$B258)*(($F$5:$F$300+$I$5:$I$300-ABS($F$5:$F$300-$I$5:$I$300))/2)*($J$5:$J$300-$G$5:$G$300)),8)),"")</f>
        <v/>
      </c>
      <c r="O258" s="183">
        <f>IF(ISNUMBER(N258),IF(OR(COUNTIF(Торговля!$B$5:$B$300,$B258)+COUNTIF(Лэндинг!$B$5:$B$300,$B258)&gt;0,COUNTIF($B259:$B$301,$B258)&gt;0),0,IF(SUMPRODUCT(($B$5:$B$300=$B258)*(($F$5:$F$300+$I$5:$I$300-ABS($F$5:$F$300-$I$5:$I$300))/2)*$G$5:$G$300)&lt;=0,"",ROUND(N258/SUMPRODUCT(($B$5:$B$300=$B258)*(($F$5:$F$300+$I$5:$I$300-ABS($F$5:$F$300-$I$5:$I$300))/2)*$G$5:$G$300)*100,2))),"")</f>
        <v/>
      </c>
    </row>
    <row r="259" ht="22" customHeight="1">
      <c r="B259" s="313" t="n"/>
      <c r="C259" s="314" t="n"/>
      <c r="D259" s="313" t="n"/>
      <c r="E259" s="315" t="n"/>
      <c r="F259" s="316" t="n"/>
      <c r="G259" s="317" t="n"/>
      <c r="H259" s="271">
        <f>IF(AND(ISNUMBER(F259),ISNUMBER(G259)),F259*G259,"")</f>
        <v/>
      </c>
      <c r="I259" s="316" t="n"/>
      <c r="J259" s="317" t="n"/>
      <c r="K259" s="271">
        <f>IF(AND(ISNUMBER(I259),ISNUMBER(J259)),I259*J259,"")</f>
        <v/>
      </c>
      <c r="L259" s="240">
        <f>IF(COUNT(F259,I259)=0,"",N(F259)-N(I259))</f>
        <v/>
      </c>
      <c r="M259" s="241">
        <f>IF(COUNT(H259,K259)=0,"",N(K259)-N(H259))</f>
        <v/>
      </c>
      <c r="N259" s="240">
        <f>IF(AND(ISNUMBER(F259),ISNUMBER(I259),ISNUMBER(H259),ISNUMBER(K259),F259&gt;0,I259&gt;0,H259&lt;&gt;0),IF(OR(COUNTIF(Торговля!$B$5:$B$300,$B259)+COUNTIF(Лэндинг!$B$5:$B$300,$B259)&gt;0,COUNTIF($B260:$B$301,$B259)&gt;0),0,ROUND(SUMPRODUCT(($B$5:$B$300=$B259)*(($F$5:$F$300+$I$5:$I$300-ABS($F$5:$F$300-$I$5:$I$300))/2)*($J$5:$J$300-$G$5:$G$300)),8)),"")</f>
        <v/>
      </c>
      <c r="O259" s="177">
        <f>IF(ISNUMBER(N259),IF(OR(COUNTIF(Торговля!$B$5:$B$300,$B259)+COUNTIF(Лэндинг!$B$5:$B$300,$B259)&gt;0,COUNTIF($B260:$B$301,$B259)&gt;0),0,IF(SUMPRODUCT(($B$5:$B$300=$B259)*(($F$5:$F$300+$I$5:$I$300-ABS($F$5:$F$300-$I$5:$I$300))/2)*$G$5:$G$300)&lt;=0,"",ROUND(N259/SUMPRODUCT(($B$5:$B$300=$B259)*(($F$5:$F$300+$I$5:$I$300-ABS($F$5:$F$300-$I$5:$I$300))/2)*$G$5:$G$300)*100,2))),"")</f>
        <v/>
      </c>
    </row>
    <row r="260" ht="22" customHeight="1">
      <c r="B260" s="318" t="n"/>
      <c r="C260" s="319" t="n"/>
      <c r="D260" s="318" t="n"/>
      <c r="E260" s="320" t="n"/>
      <c r="F260" s="321" t="n"/>
      <c r="G260" s="322" t="n"/>
      <c r="H260" s="271">
        <f>IF(AND(ISNUMBER(F260),ISNUMBER(G260)),F260*G260,"")</f>
        <v/>
      </c>
      <c r="I260" s="321" t="n"/>
      <c r="J260" s="322" t="n"/>
      <c r="K260" s="271">
        <f>IF(AND(ISNUMBER(I260),ISNUMBER(J260)),I260*J260,"")</f>
        <v/>
      </c>
      <c r="L260" s="246">
        <f>IF(COUNT(F260,I260)=0,"",N(F260)-N(I260))</f>
        <v/>
      </c>
      <c r="M260" s="247">
        <f>IF(COUNT(H260,K260)=0,"",N(K260)-N(H260))</f>
        <v/>
      </c>
      <c r="N260" s="246">
        <f>IF(AND(ISNUMBER(F260),ISNUMBER(I260),ISNUMBER(H260),ISNUMBER(K260),F260&gt;0,I260&gt;0,H260&lt;&gt;0),IF(OR(COUNTIF(Торговля!$B$5:$B$300,$B260)+COUNTIF(Лэндинг!$B$5:$B$300,$B260)&gt;0,COUNTIF($B261:$B$301,$B260)&gt;0),0,ROUND(SUMPRODUCT(($B$5:$B$300=$B260)*(($F$5:$F$300+$I$5:$I$300-ABS($F$5:$F$300-$I$5:$I$300))/2)*($J$5:$J$300-$G$5:$G$300)),8)),"")</f>
        <v/>
      </c>
      <c r="O260" s="183">
        <f>IF(ISNUMBER(N260),IF(OR(COUNTIF(Торговля!$B$5:$B$300,$B260)+COUNTIF(Лэндинг!$B$5:$B$300,$B260)&gt;0,COUNTIF($B261:$B$301,$B260)&gt;0),0,IF(SUMPRODUCT(($B$5:$B$300=$B260)*(($F$5:$F$300+$I$5:$I$300-ABS($F$5:$F$300-$I$5:$I$300))/2)*$G$5:$G$300)&lt;=0,"",ROUND(N260/SUMPRODUCT(($B$5:$B$300=$B260)*(($F$5:$F$300+$I$5:$I$300-ABS($F$5:$F$300-$I$5:$I$300))/2)*$G$5:$G$300)*100,2))),"")</f>
        <v/>
      </c>
    </row>
    <row r="261" ht="22" customHeight="1">
      <c r="B261" s="313" t="n"/>
      <c r="C261" s="314" t="n"/>
      <c r="D261" s="313" t="n"/>
      <c r="E261" s="315" t="n"/>
      <c r="F261" s="316" t="n"/>
      <c r="G261" s="317" t="n"/>
      <c r="H261" s="271">
        <f>IF(AND(ISNUMBER(F261),ISNUMBER(G261)),F261*G261,"")</f>
        <v/>
      </c>
      <c r="I261" s="316" t="n"/>
      <c r="J261" s="317" t="n"/>
      <c r="K261" s="271">
        <f>IF(AND(ISNUMBER(I261),ISNUMBER(J261)),I261*J261,"")</f>
        <v/>
      </c>
      <c r="L261" s="240">
        <f>IF(COUNT(F261,I261)=0,"",N(F261)-N(I261))</f>
        <v/>
      </c>
      <c r="M261" s="241">
        <f>IF(COUNT(H261,K261)=0,"",N(K261)-N(H261))</f>
        <v/>
      </c>
      <c r="N261" s="240">
        <f>IF(AND(ISNUMBER(F261),ISNUMBER(I261),ISNUMBER(H261),ISNUMBER(K261),F261&gt;0,I261&gt;0,H261&lt;&gt;0),IF(OR(COUNTIF(Торговля!$B$5:$B$300,$B261)+COUNTIF(Лэндинг!$B$5:$B$300,$B261)&gt;0,COUNTIF($B262:$B$301,$B261)&gt;0),0,ROUND(SUMPRODUCT(($B$5:$B$300=$B261)*(($F$5:$F$300+$I$5:$I$300-ABS($F$5:$F$300-$I$5:$I$300))/2)*($J$5:$J$300-$G$5:$G$300)),8)),"")</f>
        <v/>
      </c>
      <c r="O261" s="177">
        <f>IF(ISNUMBER(N261),IF(OR(COUNTIF(Торговля!$B$5:$B$300,$B261)+COUNTIF(Лэндинг!$B$5:$B$300,$B261)&gt;0,COUNTIF($B262:$B$301,$B261)&gt;0),0,IF(SUMPRODUCT(($B$5:$B$300=$B261)*(($F$5:$F$300+$I$5:$I$300-ABS($F$5:$F$300-$I$5:$I$300))/2)*$G$5:$G$300)&lt;=0,"",ROUND(N261/SUMPRODUCT(($B$5:$B$300=$B261)*(($F$5:$F$300+$I$5:$I$300-ABS($F$5:$F$300-$I$5:$I$300))/2)*$G$5:$G$300)*100,2))),"")</f>
        <v/>
      </c>
    </row>
    <row r="262" ht="22" customHeight="1">
      <c r="B262" s="318" t="n"/>
      <c r="C262" s="319" t="n"/>
      <c r="D262" s="318" t="n"/>
      <c r="E262" s="320" t="n"/>
      <c r="F262" s="321" t="n"/>
      <c r="G262" s="322" t="n"/>
      <c r="H262" s="271">
        <f>IF(AND(ISNUMBER(F262),ISNUMBER(G262)),F262*G262,"")</f>
        <v/>
      </c>
      <c r="I262" s="321" t="n"/>
      <c r="J262" s="322" t="n"/>
      <c r="K262" s="271">
        <f>IF(AND(ISNUMBER(I262),ISNUMBER(J262)),I262*J262,"")</f>
        <v/>
      </c>
      <c r="L262" s="246">
        <f>IF(COUNT(F262,I262)=0,"",N(F262)-N(I262))</f>
        <v/>
      </c>
      <c r="M262" s="247">
        <f>IF(COUNT(H262,K262)=0,"",N(K262)-N(H262))</f>
        <v/>
      </c>
      <c r="N262" s="246">
        <f>IF(AND(ISNUMBER(F262),ISNUMBER(I262),ISNUMBER(H262),ISNUMBER(K262),F262&gt;0,I262&gt;0,H262&lt;&gt;0),IF(OR(COUNTIF(Торговля!$B$5:$B$300,$B262)+COUNTIF(Лэндинг!$B$5:$B$300,$B262)&gt;0,COUNTIF($B263:$B$301,$B262)&gt;0),0,ROUND(SUMPRODUCT(($B$5:$B$300=$B262)*(($F$5:$F$300+$I$5:$I$300-ABS($F$5:$F$300-$I$5:$I$300))/2)*($J$5:$J$300-$G$5:$G$300)),8)),"")</f>
        <v/>
      </c>
      <c r="O262" s="183">
        <f>IF(ISNUMBER(N262),IF(OR(COUNTIF(Торговля!$B$5:$B$300,$B262)+COUNTIF(Лэндинг!$B$5:$B$300,$B262)&gt;0,COUNTIF($B263:$B$301,$B262)&gt;0),0,IF(SUMPRODUCT(($B$5:$B$300=$B262)*(($F$5:$F$300+$I$5:$I$300-ABS($F$5:$F$300-$I$5:$I$300))/2)*$G$5:$G$300)&lt;=0,"",ROUND(N262/SUMPRODUCT(($B$5:$B$300=$B262)*(($F$5:$F$300+$I$5:$I$300-ABS($F$5:$F$300-$I$5:$I$300))/2)*$G$5:$G$300)*100,2))),"")</f>
        <v/>
      </c>
    </row>
    <row r="263" ht="22" customHeight="1">
      <c r="B263" s="313" t="n"/>
      <c r="C263" s="314" t="n"/>
      <c r="D263" s="313" t="n"/>
      <c r="E263" s="315" t="n"/>
      <c r="F263" s="316" t="n"/>
      <c r="G263" s="317" t="n"/>
      <c r="H263" s="271">
        <f>IF(AND(ISNUMBER(F263),ISNUMBER(G263)),F263*G263,"")</f>
        <v/>
      </c>
      <c r="I263" s="316" t="n"/>
      <c r="J263" s="317" t="n"/>
      <c r="K263" s="271">
        <f>IF(AND(ISNUMBER(I263),ISNUMBER(J263)),I263*J263,"")</f>
        <v/>
      </c>
      <c r="L263" s="240">
        <f>IF(COUNT(F263,I263)=0,"",N(F263)-N(I263))</f>
        <v/>
      </c>
      <c r="M263" s="241">
        <f>IF(COUNT(H263,K263)=0,"",N(K263)-N(H263))</f>
        <v/>
      </c>
      <c r="N263" s="240">
        <f>IF(AND(ISNUMBER(F263),ISNUMBER(I263),ISNUMBER(H263),ISNUMBER(K263),F263&gt;0,I263&gt;0,H263&lt;&gt;0),IF(OR(COUNTIF(Торговля!$B$5:$B$300,$B263)+COUNTIF(Лэндинг!$B$5:$B$300,$B263)&gt;0,COUNTIF($B264:$B$301,$B263)&gt;0),0,ROUND(SUMPRODUCT(($B$5:$B$300=$B263)*(($F$5:$F$300+$I$5:$I$300-ABS($F$5:$F$300-$I$5:$I$300))/2)*($J$5:$J$300-$G$5:$G$300)),8)),"")</f>
        <v/>
      </c>
      <c r="O263" s="177">
        <f>IF(ISNUMBER(N263),IF(OR(COUNTIF(Торговля!$B$5:$B$300,$B263)+COUNTIF(Лэндинг!$B$5:$B$300,$B263)&gt;0,COUNTIF($B264:$B$301,$B263)&gt;0),0,IF(SUMPRODUCT(($B$5:$B$300=$B263)*(($F$5:$F$300+$I$5:$I$300-ABS($F$5:$F$300-$I$5:$I$300))/2)*$G$5:$G$300)&lt;=0,"",ROUND(N263/SUMPRODUCT(($B$5:$B$300=$B263)*(($F$5:$F$300+$I$5:$I$300-ABS($F$5:$F$300-$I$5:$I$300))/2)*$G$5:$G$300)*100,2))),"")</f>
        <v/>
      </c>
    </row>
    <row r="264" ht="22" customHeight="1">
      <c r="B264" s="318" t="n"/>
      <c r="C264" s="319" t="n"/>
      <c r="D264" s="318" t="n"/>
      <c r="E264" s="320" t="n"/>
      <c r="F264" s="321" t="n"/>
      <c r="G264" s="322" t="n"/>
      <c r="H264" s="271">
        <f>IF(AND(ISNUMBER(F264),ISNUMBER(G264)),F264*G264,"")</f>
        <v/>
      </c>
      <c r="I264" s="321" t="n"/>
      <c r="J264" s="322" t="n"/>
      <c r="K264" s="271">
        <f>IF(AND(ISNUMBER(I264),ISNUMBER(J264)),I264*J264,"")</f>
        <v/>
      </c>
      <c r="L264" s="246">
        <f>IF(COUNT(F264,I264)=0,"",N(F264)-N(I264))</f>
        <v/>
      </c>
      <c r="M264" s="247">
        <f>IF(COUNT(H264,K264)=0,"",N(K264)-N(H264))</f>
        <v/>
      </c>
      <c r="N264" s="246">
        <f>IF(AND(ISNUMBER(F264),ISNUMBER(I264),ISNUMBER(H264),ISNUMBER(K264),F264&gt;0,I264&gt;0,H264&lt;&gt;0),IF(OR(COUNTIF(Торговля!$B$5:$B$300,$B264)+COUNTIF(Лэндинг!$B$5:$B$300,$B264)&gt;0,COUNTIF($B265:$B$301,$B264)&gt;0),0,ROUND(SUMPRODUCT(($B$5:$B$300=$B264)*(($F$5:$F$300+$I$5:$I$300-ABS($F$5:$F$300-$I$5:$I$300))/2)*($J$5:$J$300-$G$5:$G$300)),8)),"")</f>
        <v/>
      </c>
      <c r="O264" s="183">
        <f>IF(ISNUMBER(N264),IF(OR(COUNTIF(Торговля!$B$5:$B$300,$B264)+COUNTIF(Лэндинг!$B$5:$B$300,$B264)&gt;0,COUNTIF($B265:$B$301,$B264)&gt;0),0,IF(SUMPRODUCT(($B$5:$B$300=$B264)*(($F$5:$F$300+$I$5:$I$300-ABS($F$5:$F$300-$I$5:$I$300))/2)*$G$5:$G$300)&lt;=0,"",ROUND(N264/SUMPRODUCT(($B$5:$B$300=$B264)*(($F$5:$F$300+$I$5:$I$300-ABS($F$5:$F$300-$I$5:$I$300))/2)*$G$5:$G$300)*100,2))),"")</f>
        <v/>
      </c>
    </row>
    <row r="265" ht="22" customHeight="1">
      <c r="B265" s="313" t="n"/>
      <c r="C265" s="314" t="n"/>
      <c r="D265" s="313" t="n"/>
      <c r="E265" s="315" t="n"/>
      <c r="F265" s="316" t="n"/>
      <c r="G265" s="317" t="n"/>
      <c r="H265" s="271">
        <f>IF(AND(ISNUMBER(F265),ISNUMBER(G265)),F265*G265,"")</f>
        <v/>
      </c>
      <c r="I265" s="316" t="n"/>
      <c r="J265" s="317" t="n"/>
      <c r="K265" s="271">
        <f>IF(AND(ISNUMBER(I265),ISNUMBER(J265)),I265*J265,"")</f>
        <v/>
      </c>
      <c r="L265" s="240">
        <f>IF(COUNT(F265,I265)=0,"",N(F265)-N(I265))</f>
        <v/>
      </c>
      <c r="M265" s="241">
        <f>IF(COUNT(H265,K265)=0,"",N(K265)-N(H265))</f>
        <v/>
      </c>
      <c r="N265" s="240">
        <f>IF(AND(ISNUMBER(F265),ISNUMBER(I265),ISNUMBER(H265),ISNUMBER(K265),F265&gt;0,I265&gt;0,H265&lt;&gt;0),IF(OR(COUNTIF(Торговля!$B$5:$B$300,$B265)+COUNTIF(Лэндинг!$B$5:$B$300,$B265)&gt;0,COUNTIF($B266:$B$301,$B265)&gt;0),0,ROUND(SUMPRODUCT(($B$5:$B$300=$B265)*(($F$5:$F$300+$I$5:$I$300-ABS($F$5:$F$300-$I$5:$I$300))/2)*($J$5:$J$300-$G$5:$G$300)),8)),"")</f>
        <v/>
      </c>
      <c r="O265" s="177">
        <f>IF(ISNUMBER(N265),IF(OR(COUNTIF(Торговля!$B$5:$B$300,$B265)+COUNTIF(Лэндинг!$B$5:$B$300,$B265)&gt;0,COUNTIF($B266:$B$301,$B265)&gt;0),0,IF(SUMPRODUCT(($B$5:$B$300=$B265)*(($F$5:$F$300+$I$5:$I$300-ABS($F$5:$F$300-$I$5:$I$300))/2)*$G$5:$G$300)&lt;=0,"",ROUND(N265/SUMPRODUCT(($B$5:$B$300=$B265)*(($F$5:$F$300+$I$5:$I$300-ABS($F$5:$F$300-$I$5:$I$300))/2)*$G$5:$G$300)*100,2))),"")</f>
        <v/>
      </c>
    </row>
    <row r="266" ht="22" customHeight="1">
      <c r="B266" s="318" t="n"/>
      <c r="C266" s="319" t="n"/>
      <c r="D266" s="318" t="n"/>
      <c r="E266" s="320" t="n"/>
      <c r="F266" s="321" t="n"/>
      <c r="G266" s="322" t="n"/>
      <c r="H266" s="271">
        <f>IF(AND(ISNUMBER(F266),ISNUMBER(G266)),F266*G266,"")</f>
        <v/>
      </c>
      <c r="I266" s="321" t="n"/>
      <c r="J266" s="322" t="n"/>
      <c r="K266" s="271">
        <f>IF(AND(ISNUMBER(I266),ISNUMBER(J266)),I266*J266,"")</f>
        <v/>
      </c>
      <c r="L266" s="246">
        <f>IF(COUNT(F266,I266)=0,"",N(F266)-N(I266))</f>
        <v/>
      </c>
      <c r="M266" s="247">
        <f>IF(COUNT(H266,K266)=0,"",N(K266)-N(H266))</f>
        <v/>
      </c>
      <c r="N266" s="246">
        <f>IF(AND(ISNUMBER(F266),ISNUMBER(I266),ISNUMBER(H266),ISNUMBER(K266),F266&gt;0,I266&gt;0,H266&lt;&gt;0),IF(OR(COUNTIF(Торговля!$B$5:$B$300,$B266)+COUNTIF(Лэндинг!$B$5:$B$300,$B266)&gt;0,COUNTIF($B267:$B$301,$B266)&gt;0),0,ROUND(SUMPRODUCT(($B$5:$B$300=$B266)*(($F$5:$F$300+$I$5:$I$300-ABS($F$5:$F$300-$I$5:$I$300))/2)*($J$5:$J$300-$G$5:$G$300)),8)),"")</f>
        <v/>
      </c>
      <c r="O266" s="183">
        <f>IF(ISNUMBER(N266),IF(OR(COUNTIF(Торговля!$B$5:$B$300,$B266)+COUNTIF(Лэндинг!$B$5:$B$300,$B266)&gt;0,COUNTIF($B267:$B$301,$B266)&gt;0),0,IF(SUMPRODUCT(($B$5:$B$300=$B266)*(($F$5:$F$300+$I$5:$I$300-ABS($F$5:$F$300-$I$5:$I$300))/2)*$G$5:$G$300)&lt;=0,"",ROUND(N266/SUMPRODUCT(($B$5:$B$300=$B266)*(($F$5:$F$300+$I$5:$I$300-ABS($F$5:$F$300-$I$5:$I$300))/2)*$G$5:$G$300)*100,2))),"")</f>
        <v/>
      </c>
    </row>
    <row r="267" ht="22" customHeight="1">
      <c r="B267" s="313" t="n"/>
      <c r="C267" s="314" t="n"/>
      <c r="D267" s="313" t="n"/>
      <c r="E267" s="315" t="n"/>
      <c r="F267" s="316" t="n"/>
      <c r="G267" s="317" t="n"/>
      <c r="H267" s="271">
        <f>IF(AND(ISNUMBER(F267),ISNUMBER(G267)),F267*G267,"")</f>
        <v/>
      </c>
      <c r="I267" s="316" t="n"/>
      <c r="J267" s="317" t="n"/>
      <c r="K267" s="271">
        <f>IF(AND(ISNUMBER(I267),ISNUMBER(J267)),I267*J267,"")</f>
        <v/>
      </c>
      <c r="L267" s="240">
        <f>IF(COUNT(F267,I267)=0,"",N(F267)-N(I267))</f>
        <v/>
      </c>
      <c r="M267" s="241">
        <f>IF(COUNT(H267,K267)=0,"",N(K267)-N(H267))</f>
        <v/>
      </c>
      <c r="N267" s="240">
        <f>IF(AND(ISNUMBER(F267),ISNUMBER(I267),ISNUMBER(H267),ISNUMBER(K267),F267&gt;0,I267&gt;0,H267&lt;&gt;0),IF(OR(COUNTIF(Торговля!$B$5:$B$300,$B267)+COUNTIF(Лэндинг!$B$5:$B$300,$B267)&gt;0,COUNTIF($B268:$B$301,$B267)&gt;0),0,ROUND(SUMPRODUCT(($B$5:$B$300=$B267)*(($F$5:$F$300+$I$5:$I$300-ABS($F$5:$F$300-$I$5:$I$300))/2)*($J$5:$J$300-$G$5:$G$300)),8)),"")</f>
        <v/>
      </c>
      <c r="O267" s="177">
        <f>IF(ISNUMBER(N267),IF(OR(COUNTIF(Торговля!$B$5:$B$300,$B267)+COUNTIF(Лэндинг!$B$5:$B$300,$B267)&gt;0,COUNTIF($B268:$B$301,$B267)&gt;0),0,IF(SUMPRODUCT(($B$5:$B$300=$B267)*(($F$5:$F$300+$I$5:$I$300-ABS($F$5:$F$300-$I$5:$I$300))/2)*$G$5:$G$300)&lt;=0,"",ROUND(N267/SUMPRODUCT(($B$5:$B$300=$B267)*(($F$5:$F$300+$I$5:$I$300-ABS($F$5:$F$300-$I$5:$I$300))/2)*$G$5:$G$300)*100,2))),"")</f>
        <v/>
      </c>
    </row>
    <row r="268" ht="22" customHeight="1">
      <c r="B268" s="318" t="n"/>
      <c r="C268" s="319" t="n"/>
      <c r="D268" s="318" t="n"/>
      <c r="E268" s="320" t="n"/>
      <c r="F268" s="321" t="n"/>
      <c r="G268" s="322" t="n"/>
      <c r="H268" s="271">
        <f>IF(AND(ISNUMBER(F268),ISNUMBER(G268)),F268*G268,"")</f>
        <v/>
      </c>
      <c r="I268" s="321" t="n"/>
      <c r="J268" s="322" t="n"/>
      <c r="K268" s="271">
        <f>IF(AND(ISNUMBER(I268),ISNUMBER(J268)),I268*J268,"")</f>
        <v/>
      </c>
      <c r="L268" s="246">
        <f>IF(COUNT(F268,I268)=0,"",N(F268)-N(I268))</f>
        <v/>
      </c>
      <c r="M268" s="247">
        <f>IF(COUNT(H268,K268)=0,"",N(K268)-N(H268))</f>
        <v/>
      </c>
      <c r="N268" s="246">
        <f>IF(AND(ISNUMBER(F268),ISNUMBER(I268),ISNUMBER(H268),ISNUMBER(K268),F268&gt;0,I268&gt;0,H268&lt;&gt;0),IF(OR(COUNTIF(Торговля!$B$5:$B$300,$B268)+COUNTIF(Лэндинг!$B$5:$B$300,$B268)&gt;0,COUNTIF($B269:$B$301,$B268)&gt;0),0,ROUND(SUMPRODUCT(($B$5:$B$300=$B268)*(($F$5:$F$300+$I$5:$I$300-ABS($F$5:$F$300-$I$5:$I$300))/2)*($J$5:$J$300-$G$5:$G$300)),8)),"")</f>
        <v/>
      </c>
      <c r="O268" s="183">
        <f>IF(ISNUMBER(N268),IF(OR(COUNTIF(Торговля!$B$5:$B$300,$B268)+COUNTIF(Лэндинг!$B$5:$B$300,$B268)&gt;0,COUNTIF($B269:$B$301,$B268)&gt;0),0,IF(SUMPRODUCT(($B$5:$B$300=$B268)*(($F$5:$F$300+$I$5:$I$300-ABS($F$5:$F$300-$I$5:$I$300))/2)*$G$5:$G$300)&lt;=0,"",ROUND(N268/SUMPRODUCT(($B$5:$B$300=$B268)*(($F$5:$F$300+$I$5:$I$300-ABS($F$5:$F$300-$I$5:$I$300))/2)*$G$5:$G$300)*100,2))),"")</f>
        <v/>
      </c>
    </row>
    <row r="269" ht="22" customHeight="1">
      <c r="B269" s="313" t="n"/>
      <c r="C269" s="314" t="n"/>
      <c r="D269" s="313" t="n"/>
      <c r="E269" s="315" t="n"/>
      <c r="F269" s="316" t="n"/>
      <c r="G269" s="317" t="n"/>
      <c r="H269" s="271">
        <f>IF(AND(ISNUMBER(F269),ISNUMBER(G269)),F269*G269,"")</f>
        <v/>
      </c>
      <c r="I269" s="316" t="n"/>
      <c r="J269" s="317" t="n"/>
      <c r="K269" s="271">
        <f>IF(AND(ISNUMBER(I269),ISNUMBER(J269)),I269*J269,"")</f>
        <v/>
      </c>
      <c r="L269" s="240">
        <f>IF(COUNT(F269,I269)=0,"",N(F269)-N(I269))</f>
        <v/>
      </c>
      <c r="M269" s="241">
        <f>IF(COUNT(H269,K269)=0,"",N(K269)-N(H269))</f>
        <v/>
      </c>
      <c r="N269" s="240">
        <f>IF(AND(ISNUMBER(F269),ISNUMBER(I269),ISNUMBER(H269),ISNUMBER(K269),F269&gt;0,I269&gt;0,H269&lt;&gt;0),IF(OR(COUNTIF(Торговля!$B$5:$B$300,$B269)+COUNTIF(Лэндинг!$B$5:$B$300,$B269)&gt;0,COUNTIF($B270:$B$301,$B269)&gt;0),0,ROUND(SUMPRODUCT(($B$5:$B$300=$B269)*(($F$5:$F$300+$I$5:$I$300-ABS($F$5:$F$300-$I$5:$I$300))/2)*($J$5:$J$300-$G$5:$G$300)),8)),"")</f>
        <v/>
      </c>
      <c r="O269" s="177">
        <f>IF(ISNUMBER(N269),IF(OR(COUNTIF(Торговля!$B$5:$B$300,$B269)+COUNTIF(Лэндинг!$B$5:$B$300,$B269)&gt;0,COUNTIF($B270:$B$301,$B269)&gt;0),0,IF(SUMPRODUCT(($B$5:$B$300=$B269)*(($F$5:$F$300+$I$5:$I$300-ABS($F$5:$F$300-$I$5:$I$300))/2)*$G$5:$G$300)&lt;=0,"",ROUND(N269/SUMPRODUCT(($B$5:$B$300=$B269)*(($F$5:$F$300+$I$5:$I$300-ABS($F$5:$F$300-$I$5:$I$300))/2)*$G$5:$G$300)*100,2))),"")</f>
        <v/>
      </c>
    </row>
    <row r="270" ht="22" customHeight="1">
      <c r="B270" s="318" t="n"/>
      <c r="C270" s="319" t="n"/>
      <c r="D270" s="318" t="n"/>
      <c r="E270" s="320" t="n"/>
      <c r="F270" s="321" t="n"/>
      <c r="G270" s="322" t="n"/>
      <c r="H270" s="271">
        <f>IF(AND(ISNUMBER(F270),ISNUMBER(G270)),F270*G270,"")</f>
        <v/>
      </c>
      <c r="I270" s="321" t="n"/>
      <c r="J270" s="322" t="n"/>
      <c r="K270" s="271">
        <f>IF(AND(ISNUMBER(I270),ISNUMBER(J270)),I270*J270,"")</f>
        <v/>
      </c>
      <c r="L270" s="246">
        <f>IF(COUNT(F270,I270)=0,"",N(F270)-N(I270))</f>
        <v/>
      </c>
      <c r="M270" s="247">
        <f>IF(COUNT(H270,K270)=0,"",N(K270)-N(H270))</f>
        <v/>
      </c>
      <c r="N270" s="246">
        <f>IF(AND(ISNUMBER(F270),ISNUMBER(I270),ISNUMBER(H270),ISNUMBER(K270),F270&gt;0,I270&gt;0,H270&lt;&gt;0),IF(OR(COUNTIF(Торговля!$B$5:$B$300,$B270)+COUNTIF(Лэндинг!$B$5:$B$300,$B270)&gt;0,COUNTIF($B271:$B$301,$B270)&gt;0),0,ROUND(SUMPRODUCT(($B$5:$B$300=$B270)*(($F$5:$F$300+$I$5:$I$300-ABS($F$5:$F$300-$I$5:$I$300))/2)*($J$5:$J$300-$G$5:$G$300)),8)),"")</f>
        <v/>
      </c>
      <c r="O270" s="183">
        <f>IF(ISNUMBER(N270),IF(OR(COUNTIF(Торговля!$B$5:$B$300,$B270)+COUNTIF(Лэндинг!$B$5:$B$300,$B270)&gt;0,COUNTIF($B271:$B$301,$B270)&gt;0),0,IF(SUMPRODUCT(($B$5:$B$300=$B270)*(($F$5:$F$300+$I$5:$I$300-ABS($F$5:$F$300-$I$5:$I$300))/2)*$G$5:$G$300)&lt;=0,"",ROUND(N270/SUMPRODUCT(($B$5:$B$300=$B270)*(($F$5:$F$300+$I$5:$I$300-ABS($F$5:$F$300-$I$5:$I$300))/2)*$G$5:$G$300)*100,2))),"")</f>
        <v/>
      </c>
    </row>
    <row r="271" ht="22" customHeight="1">
      <c r="B271" s="313" t="n"/>
      <c r="C271" s="314" t="n"/>
      <c r="D271" s="313" t="n"/>
      <c r="E271" s="315" t="n"/>
      <c r="F271" s="316" t="n"/>
      <c r="G271" s="317" t="n"/>
      <c r="H271" s="271">
        <f>IF(AND(ISNUMBER(F271),ISNUMBER(G271)),F271*G271,"")</f>
        <v/>
      </c>
      <c r="I271" s="316" t="n"/>
      <c r="J271" s="317" t="n"/>
      <c r="K271" s="271">
        <f>IF(AND(ISNUMBER(I271),ISNUMBER(J271)),I271*J271,"")</f>
        <v/>
      </c>
      <c r="L271" s="240">
        <f>IF(COUNT(F271,I271)=0,"",N(F271)-N(I271))</f>
        <v/>
      </c>
      <c r="M271" s="241">
        <f>IF(COUNT(H271,K271)=0,"",N(K271)-N(H271))</f>
        <v/>
      </c>
      <c r="N271" s="240">
        <f>IF(AND(ISNUMBER(F271),ISNUMBER(I271),ISNUMBER(H271),ISNUMBER(K271),F271&gt;0,I271&gt;0,H271&lt;&gt;0),IF(OR(COUNTIF(Торговля!$B$5:$B$300,$B271)+COUNTIF(Лэндинг!$B$5:$B$300,$B271)&gt;0,COUNTIF($B272:$B$301,$B271)&gt;0),0,ROUND(SUMPRODUCT(($B$5:$B$300=$B271)*(($F$5:$F$300+$I$5:$I$300-ABS($F$5:$F$300-$I$5:$I$300))/2)*($J$5:$J$300-$G$5:$G$300)),8)),"")</f>
        <v/>
      </c>
      <c r="O271" s="177">
        <f>IF(ISNUMBER(N271),IF(OR(COUNTIF(Торговля!$B$5:$B$300,$B271)+COUNTIF(Лэндинг!$B$5:$B$300,$B271)&gt;0,COUNTIF($B272:$B$301,$B271)&gt;0),0,IF(SUMPRODUCT(($B$5:$B$300=$B271)*(($F$5:$F$300+$I$5:$I$300-ABS($F$5:$F$300-$I$5:$I$300))/2)*$G$5:$G$300)&lt;=0,"",ROUND(N271/SUMPRODUCT(($B$5:$B$300=$B271)*(($F$5:$F$300+$I$5:$I$300-ABS($F$5:$F$300-$I$5:$I$300))/2)*$G$5:$G$300)*100,2))),"")</f>
        <v/>
      </c>
    </row>
    <row r="272" ht="22" customHeight="1">
      <c r="B272" s="318" t="n"/>
      <c r="C272" s="319" t="n"/>
      <c r="D272" s="318" t="n"/>
      <c r="E272" s="320" t="n"/>
      <c r="F272" s="321" t="n"/>
      <c r="G272" s="322" t="n"/>
      <c r="H272" s="271">
        <f>IF(AND(ISNUMBER(F272),ISNUMBER(G272)),F272*G272,"")</f>
        <v/>
      </c>
      <c r="I272" s="321" t="n"/>
      <c r="J272" s="322" t="n"/>
      <c r="K272" s="271">
        <f>IF(AND(ISNUMBER(I272),ISNUMBER(J272)),I272*J272,"")</f>
        <v/>
      </c>
      <c r="L272" s="246">
        <f>IF(COUNT(F272,I272)=0,"",N(F272)-N(I272))</f>
        <v/>
      </c>
      <c r="M272" s="247">
        <f>IF(COUNT(H272,K272)=0,"",N(K272)-N(H272))</f>
        <v/>
      </c>
      <c r="N272" s="246">
        <f>IF(AND(ISNUMBER(F272),ISNUMBER(I272),ISNUMBER(H272),ISNUMBER(K272),F272&gt;0,I272&gt;0,H272&lt;&gt;0),IF(OR(COUNTIF(Торговля!$B$5:$B$300,$B272)+COUNTIF(Лэндинг!$B$5:$B$300,$B272)&gt;0,COUNTIF($B273:$B$301,$B272)&gt;0),0,ROUND(SUMPRODUCT(($B$5:$B$300=$B272)*(($F$5:$F$300+$I$5:$I$300-ABS($F$5:$F$300-$I$5:$I$300))/2)*($J$5:$J$300-$G$5:$G$300)),8)),"")</f>
        <v/>
      </c>
      <c r="O272" s="183">
        <f>IF(ISNUMBER(N272),IF(OR(COUNTIF(Торговля!$B$5:$B$300,$B272)+COUNTIF(Лэндинг!$B$5:$B$300,$B272)&gt;0,COUNTIF($B273:$B$301,$B272)&gt;0),0,IF(SUMPRODUCT(($B$5:$B$300=$B272)*(($F$5:$F$300+$I$5:$I$300-ABS($F$5:$F$300-$I$5:$I$300))/2)*$G$5:$G$300)&lt;=0,"",ROUND(N272/SUMPRODUCT(($B$5:$B$300=$B272)*(($F$5:$F$300+$I$5:$I$300-ABS($F$5:$F$300-$I$5:$I$300))/2)*$G$5:$G$300)*100,2))),"")</f>
        <v/>
      </c>
    </row>
    <row r="273" ht="22" customHeight="1">
      <c r="B273" s="313" t="n"/>
      <c r="C273" s="314" t="n"/>
      <c r="D273" s="313" t="n"/>
      <c r="E273" s="315" t="n"/>
      <c r="F273" s="316" t="n"/>
      <c r="G273" s="317" t="n"/>
      <c r="H273" s="271">
        <f>IF(AND(ISNUMBER(F273),ISNUMBER(G273)),F273*G273,"")</f>
        <v/>
      </c>
      <c r="I273" s="316" t="n"/>
      <c r="J273" s="317" t="n"/>
      <c r="K273" s="271">
        <f>IF(AND(ISNUMBER(I273),ISNUMBER(J273)),I273*J273,"")</f>
        <v/>
      </c>
      <c r="L273" s="240">
        <f>IF(COUNT(F273,I273)=0,"",N(F273)-N(I273))</f>
        <v/>
      </c>
      <c r="M273" s="241">
        <f>IF(COUNT(H273,K273)=0,"",N(K273)-N(H273))</f>
        <v/>
      </c>
      <c r="N273" s="240">
        <f>IF(AND(ISNUMBER(F273),ISNUMBER(I273),ISNUMBER(H273),ISNUMBER(K273),F273&gt;0,I273&gt;0,H273&lt;&gt;0),IF(OR(COUNTIF(Торговля!$B$5:$B$300,$B273)+COUNTIF(Лэндинг!$B$5:$B$300,$B273)&gt;0,COUNTIF($B274:$B$301,$B273)&gt;0),0,ROUND(SUMPRODUCT(($B$5:$B$300=$B273)*(($F$5:$F$300+$I$5:$I$300-ABS($F$5:$F$300-$I$5:$I$300))/2)*($J$5:$J$300-$G$5:$G$300)),8)),"")</f>
        <v/>
      </c>
      <c r="O273" s="177">
        <f>IF(ISNUMBER(N273),IF(OR(COUNTIF(Торговля!$B$5:$B$300,$B273)+COUNTIF(Лэндинг!$B$5:$B$300,$B273)&gt;0,COUNTIF($B274:$B$301,$B273)&gt;0),0,IF(SUMPRODUCT(($B$5:$B$300=$B273)*(($F$5:$F$300+$I$5:$I$300-ABS($F$5:$F$300-$I$5:$I$300))/2)*$G$5:$G$300)&lt;=0,"",ROUND(N273/SUMPRODUCT(($B$5:$B$300=$B273)*(($F$5:$F$300+$I$5:$I$300-ABS($F$5:$F$300-$I$5:$I$300))/2)*$G$5:$G$300)*100,2))),"")</f>
        <v/>
      </c>
    </row>
    <row r="274" ht="22" customHeight="1">
      <c r="B274" s="318" t="n"/>
      <c r="C274" s="319" t="n"/>
      <c r="D274" s="318" t="n"/>
      <c r="E274" s="320" t="n"/>
      <c r="F274" s="321" t="n"/>
      <c r="G274" s="322" t="n"/>
      <c r="H274" s="271">
        <f>IF(AND(ISNUMBER(F274),ISNUMBER(G274)),F274*G274,"")</f>
        <v/>
      </c>
      <c r="I274" s="321" t="n"/>
      <c r="J274" s="322" t="n"/>
      <c r="K274" s="271">
        <f>IF(AND(ISNUMBER(I274),ISNUMBER(J274)),I274*J274,"")</f>
        <v/>
      </c>
      <c r="L274" s="246">
        <f>IF(COUNT(F274,I274)=0,"",N(F274)-N(I274))</f>
        <v/>
      </c>
      <c r="M274" s="247">
        <f>IF(COUNT(H274,K274)=0,"",N(K274)-N(H274))</f>
        <v/>
      </c>
      <c r="N274" s="246">
        <f>IF(AND(ISNUMBER(F274),ISNUMBER(I274),ISNUMBER(H274),ISNUMBER(K274),F274&gt;0,I274&gt;0,H274&lt;&gt;0),IF(OR(COUNTIF(Торговля!$B$5:$B$300,$B274)+COUNTIF(Лэндинг!$B$5:$B$300,$B274)&gt;0,COUNTIF($B275:$B$301,$B274)&gt;0),0,ROUND(SUMPRODUCT(($B$5:$B$300=$B274)*(($F$5:$F$300+$I$5:$I$300-ABS($F$5:$F$300-$I$5:$I$300))/2)*($J$5:$J$300-$G$5:$G$300)),8)),"")</f>
        <v/>
      </c>
      <c r="O274" s="183">
        <f>IF(ISNUMBER(N274),IF(OR(COUNTIF(Торговля!$B$5:$B$300,$B274)+COUNTIF(Лэндинг!$B$5:$B$300,$B274)&gt;0,COUNTIF($B275:$B$301,$B274)&gt;0),0,IF(SUMPRODUCT(($B$5:$B$300=$B274)*(($F$5:$F$300+$I$5:$I$300-ABS($F$5:$F$300-$I$5:$I$300))/2)*$G$5:$G$300)&lt;=0,"",ROUND(N274/SUMPRODUCT(($B$5:$B$300=$B274)*(($F$5:$F$300+$I$5:$I$300-ABS($F$5:$F$300-$I$5:$I$300))/2)*$G$5:$G$300)*100,2))),"")</f>
        <v/>
      </c>
    </row>
    <row r="275" ht="22" customHeight="1">
      <c r="B275" s="313" t="n"/>
      <c r="C275" s="314" t="n"/>
      <c r="D275" s="313" t="n"/>
      <c r="E275" s="315" t="n"/>
      <c r="F275" s="316" t="n"/>
      <c r="G275" s="317" t="n"/>
      <c r="H275" s="271">
        <f>IF(AND(ISNUMBER(F275),ISNUMBER(G275)),F275*G275,"")</f>
        <v/>
      </c>
      <c r="I275" s="316" t="n"/>
      <c r="J275" s="317" t="n"/>
      <c r="K275" s="271">
        <f>IF(AND(ISNUMBER(I275),ISNUMBER(J275)),I275*J275,"")</f>
        <v/>
      </c>
      <c r="L275" s="240">
        <f>IF(COUNT(F275,I275)=0,"",N(F275)-N(I275))</f>
        <v/>
      </c>
      <c r="M275" s="241">
        <f>IF(COUNT(H275,K275)=0,"",N(K275)-N(H275))</f>
        <v/>
      </c>
      <c r="N275" s="240">
        <f>IF(AND(ISNUMBER(F275),ISNUMBER(I275),ISNUMBER(H275),ISNUMBER(K275),F275&gt;0,I275&gt;0,H275&lt;&gt;0),IF(OR(COUNTIF(Торговля!$B$5:$B$300,$B275)+COUNTIF(Лэндинг!$B$5:$B$300,$B275)&gt;0,COUNTIF($B276:$B$301,$B275)&gt;0),0,ROUND(SUMPRODUCT(($B$5:$B$300=$B275)*(($F$5:$F$300+$I$5:$I$300-ABS($F$5:$F$300-$I$5:$I$300))/2)*($J$5:$J$300-$G$5:$G$300)),8)),"")</f>
        <v/>
      </c>
      <c r="O275" s="177">
        <f>IF(ISNUMBER(N275),IF(OR(COUNTIF(Торговля!$B$5:$B$300,$B275)+COUNTIF(Лэндинг!$B$5:$B$300,$B275)&gt;0,COUNTIF($B276:$B$301,$B275)&gt;0),0,IF(SUMPRODUCT(($B$5:$B$300=$B275)*(($F$5:$F$300+$I$5:$I$300-ABS($F$5:$F$300-$I$5:$I$300))/2)*$G$5:$G$300)&lt;=0,"",ROUND(N275/SUMPRODUCT(($B$5:$B$300=$B275)*(($F$5:$F$300+$I$5:$I$300-ABS($F$5:$F$300-$I$5:$I$300))/2)*$G$5:$G$300)*100,2))),"")</f>
        <v/>
      </c>
    </row>
    <row r="276" ht="22" customHeight="1">
      <c r="B276" s="318" t="n"/>
      <c r="C276" s="319" t="n"/>
      <c r="D276" s="318" t="n"/>
      <c r="E276" s="320" t="n"/>
      <c r="F276" s="321" t="n"/>
      <c r="G276" s="322" t="n"/>
      <c r="H276" s="271">
        <f>IF(AND(ISNUMBER(F276),ISNUMBER(G276)),F276*G276,"")</f>
        <v/>
      </c>
      <c r="I276" s="321" t="n"/>
      <c r="J276" s="322" t="n"/>
      <c r="K276" s="271">
        <f>IF(AND(ISNUMBER(I276),ISNUMBER(J276)),I276*J276,"")</f>
        <v/>
      </c>
      <c r="L276" s="246">
        <f>IF(COUNT(F276,I276)=0,"",N(F276)-N(I276))</f>
        <v/>
      </c>
      <c r="M276" s="247">
        <f>IF(COUNT(H276,K276)=0,"",N(K276)-N(H276))</f>
        <v/>
      </c>
      <c r="N276" s="246">
        <f>IF(AND(ISNUMBER(F276),ISNUMBER(I276),ISNUMBER(H276),ISNUMBER(K276),F276&gt;0,I276&gt;0,H276&lt;&gt;0),IF(OR(COUNTIF(Торговля!$B$5:$B$300,$B276)+COUNTIF(Лэндинг!$B$5:$B$300,$B276)&gt;0,COUNTIF($B277:$B$301,$B276)&gt;0),0,ROUND(SUMPRODUCT(($B$5:$B$300=$B276)*(($F$5:$F$300+$I$5:$I$300-ABS($F$5:$F$300-$I$5:$I$300))/2)*($J$5:$J$300-$G$5:$G$300)),8)),"")</f>
        <v/>
      </c>
      <c r="O276" s="183">
        <f>IF(ISNUMBER(N276),IF(OR(COUNTIF(Торговля!$B$5:$B$300,$B276)+COUNTIF(Лэндинг!$B$5:$B$300,$B276)&gt;0,COUNTIF($B277:$B$301,$B276)&gt;0),0,IF(SUMPRODUCT(($B$5:$B$300=$B276)*(($F$5:$F$300+$I$5:$I$300-ABS($F$5:$F$300-$I$5:$I$300))/2)*$G$5:$G$300)&lt;=0,"",ROUND(N276/SUMPRODUCT(($B$5:$B$300=$B276)*(($F$5:$F$300+$I$5:$I$300-ABS($F$5:$F$300-$I$5:$I$300))/2)*$G$5:$G$300)*100,2))),"")</f>
        <v/>
      </c>
    </row>
    <row r="277" ht="22" customHeight="1">
      <c r="B277" s="313" t="n"/>
      <c r="C277" s="314" t="n"/>
      <c r="D277" s="313" t="n"/>
      <c r="E277" s="315" t="n"/>
      <c r="F277" s="316" t="n"/>
      <c r="G277" s="317" t="n"/>
      <c r="H277" s="271">
        <f>IF(AND(ISNUMBER(F277),ISNUMBER(G277)),F277*G277,"")</f>
        <v/>
      </c>
      <c r="I277" s="316" t="n"/>
      <c r="J277" s="317" t="n"/>
      <c r="K277" s="271">
        <f>IF(AND(ISNUMBER(I277),ISNUMBER(J277)),I277*J277,"")</f>
        <v/>
      </c>
      <c r="L277" s="240">
        <f>IF(COUNT(F277,I277)=0,"",N(F277)-N(I277))</f>
        <v/>
      </c>
      <c r="M277" s="241">
        <f>IF(COUNT(H277,K277)=0,"",N(K277)-N(H277))</f>
        <v/>
      </c>
      <c r="N277" s="240">
        <f>IF(AND(ISNUMBER(F277),ISNUMBER(I277),ISNUMBER(H277),ISNUMBER(K277),F277&gt;0,I277&gt;0,H277&lt;&gt;0),IF(OR(COUNTIF(Торговля!$B$5:$B$300,$B277)+COUNTIF(Лэндинг!$B$5:$B$300,$B277)&gt;0,COUNTIF($B278:$B$301,$B277)&gt;0),0,ROUND(SUMPRODUCT(($B$5:$B$300=$B277)*(($F$5:$F$300+$I$5:$I$300-ABS($F$5:$F$300-$I$5:$I$300))/2)*($J$5:$J$300-$G$5:$G$300)),8)),"")</f>
        <v/>
      </c>
      <c r="O277" s="177">
        <f>IF(ISNUMBER(N277),IF(OR(COUNTIF(Торговля!$B$5:$B$300,$B277)+COUNTIF(Лэндинг!$B$5:$B$300,$B277)&gt;0,COUNTIF($B278:$B$301,$B277)&gt;0),0,IF(SUMPRODUCT(($B$5:$B$300=$B277)*(($F$5:$F$300+$I$5:$I$300-ABS($F$5:$F$300-$I$5:$I$300))/2)*$G$5:$G$300)&lt;=0,"",ROUND(N277/SUMPRODUCT(($B$5:$B$300=$B277)*(($F$5:$F$300+$I$5:$I$300-ABS($F$5:$F$300-$I$5:$I$300))/2)*$G$5:$G$300)*100,2))),"")</f>
        <v/>
      </c>
    </row>
    <row r="278" ht="22" customHeight="1">
      <c r="B278" s="318" t="n"/>
      <c r="C278" s="319" t="n"/>
      <c r="D278" s="318" t="n"/>
      <c r="E278" s="320" t="n"/>
      <c r="F278" s="321" t="n"/>
      <c r="G278" s="322" t="n"/>
      <c r="H278" s="271">
        <f>IF(AND(ISNUMBER(F278),ISNUMBER(G278)),F278*G278,"")</f>
        <v/>
      </c>
      <c r="I278" s="321" t="n"/>
      <c r="J278" s="322" t="n"/>
      <c r="K278" s="271">
        <f>IF(AND(ISNUMBER(I278),ISNUMBER(J278)),I278*J278,"")</f>
        <v/>
      </c>
      <c r="L278" s="246">
        <f>IF(COUNT(F278,I278)=0,"",N(F278)-N(I278))</f>
        <v/>
      </c>
      <c r="M278" s="247">
        <f>IF(COUNT(H278,K278)=0,"",N(K278)-N(H278))</f>
        <v/>
      </c>
      <c r="N278" s="246">
        <f>IF(AND(ISNUMBER(F278),ISNUMBER(I278),ISNUMBER(H278),ISNUMBER(K278),F278&gt;0,I278&gt;0,H278&lt;&gt;0),IF(OR(COUNTIF(Торговля!$B$5:$B$300,$B278)+COUNTIF(Лэндинг!$B$5:$B$300,$B278)&gt;0,COUNTIF($B279:$B$301,$B278)&gt;0),0,ROUND(SUMPRODUCT(($B$5:$B$300=$B278)*(($F$5:$F$300+$I$5:$I$300-ABS($F$5:$F$300-$I$5:$I$300))/2)*($J$5:$J$300-$G$5:$G$300)),8)),"")</f>
        <v/>
      </c>
      <c r="O278" s="183">
        <f>IF(ISNUMBER(N278),IF(OR(COUNTIF(Торговля!$B$5:$B$300,$B278)+COUNTIF(Лэндинг!$B$5:$B$300,$B278)&gt;0,COUNTIF($B279:$B$301,$B278)&gt;0),0,IF(SUMPRODUCT(($B$5:$B$300=$B278)*(($F$5:$F$300+$I$5:$I$300-ABS($F$5:$F$300-$I$5:$I$300))/2)*$G$5:$G$300)&lt;=0,"",ROUND(N278/SUMPRODUCT(($B$5:$B$300=$B278)*(($F$5:$F$300+$I$5:$I$300-ABS($F$5:$F$300-$I$5:$I$300))/2)*$G$5:$G$300)*100,2))),"")</f>
        <v/>
      </c>
    </row>
    <row r="279" ht="22" customHeight="1">
      <c r="B279" s="313" t="n"/>
      <c r="C279" s="314" t="n"/>
      <c r="D279" s="313" t="n"/>
      <c r="E279" s="315" t="n"/>
      <c r="F279" s="316" t="n"/>
      <c r="G279" s="317" t="n"/>
      <c r="H279" s="271">
        <f>IF(AND(ISNUMBER(F279),ISNUMBER(G279)),F279*G279,"")</f>
        <v/>
      </c>
      <c r="I279" s="316" t="n"/>
      <c r="J279" s="317" t="n"/>
      <c r="K279" s="271">
        <f>IF(AND(ISNUMBER(I279),ISNUMBER(J279)),I279*J279,"")</f>
        <v/>
      </c>
      <c r="L279" s="240">
        <f>IF(COUNT(F279,I279)=0,"",N(F279)-N(I279))</f>
        <v/>
      </c>
      <c r="M279" s="241">
        <f>IF(COUNT(H279,K279)=0,"",N(K279)-N(H279))</f>
        <v/>
      </c>
      <c r="N279" s="240">
        <f>IF(AND(ISNUMBER(F279),ISNUMBER(I279),ISNUMBER(H279),ISNUMBER(K279),F279&gt;0,I279&gt;0,H279&lt;&gt;0),IF(OR(COUNTIF(Торговля!$B$5:$B$300,$B279)+COUNTIF(Лэндинг!$B$5:$B$300,$B279)&gt;0,COUNTIF($B280:$B$301,$B279)&gt;0),0,ROUND(SUMPRODUCT(($B$5:$B$300=$B279)*(($F$5:$F$300+$I$5:$I$300-ABS($F$5:$F$300-$I$5:$I$300))/2)*($J$5:$J$300-$G$5:$G$300)),8)),"")</f>
        <v/>
      </c>
      <c r="O279" s="177">
        <f>IF(ISNUMBER(N279),IF(OR(COUNTIF(Торговля!$B$5:$B$300,$B279)+COUNTIF(Лэндинг!$B$5:$B$300,$B279)&gt;0,COUNTIF($B280:$B$301,$B279)&gt;0),0,IF(SUMPRODUCT(($B$5:$B$300=$B279)*(($F$5:$F$300+$I$5:$I$300-ABS($F$5:$F$300-$I$5:$I$300))/2)*$G$5:$G$300)&lt;=0,"",ROUND(N279/SUMPRODUCT(($B$5:$B$300=$B279)*(($F$5:$F$300+$I$5:$I$300-ABS($F$5:$F$300-$I$5:$I$300))/2)*$G$5:$G$300)*100,2))),"")</f>
        <v/>
      </c>
    </row>
    <row r="280" ht="22" customHeight="1">
      <c r="B280" s="318" t="n"/>
      <c r="C280" s="319" t="n"/>
      <c r="D280" s="318" t="n"/>
      <c r="E280" s="320" t="n"/>
      <c r="F280" s="321" t="n"/>
      <c r="G280" s="322" t="n"/>
      <c r="H280" s="271">
        <f>IF(AND(ISNUMBER(F280),ISNUMBER(G280)),F280*G280,"")</f>
        <v/>
      </c>
      <c r="I280" s="321" t="n"/>
      <c r="J280" s="322" t="n"/>
      <c r="K280" s="271">
        <f>IF(AND(ISNUMBER(I280),ISNUMBER(J280)),I280*J280,"")</f>
        <v/>
      </c>
      <c r="L280" s="246">
        <f>IF(COUNT(F280,I280)=0,"",N(F280)-N(I280))</f>
        <v/>
      </c>
      <c r="M280" s="247">
        <f>IF(COUNT(H280,K280)=0,"",N(K280)-N(H280))</f>
        <v/>
      </c>
      <c r="N280" s="246">
        <f>IF(AND(ISNUMBER(F280),ISNUMBER(I280),ISNUMBER(H280),ISNUMBER(K280),F280&gt;0,I280&gt;0,H280&lt;&gt;0),IF(OR(COUNTIF(Торговля!$B$5:$B$300,$B280)+COUNTIF(Лэндинг!$B$5:$B$300,$B280)&gt;0,COUNTIF($B281:$B$301,$B280)&gt;0),0,ROUND(SUMPRODUCT(($B$5:$B$300=$B280)*(($F$5:$F$300+$I$5:$I$300-ABS($F$5:$F$300-$I$5:$I$300))/2)*($J$5:$J$300-$G$5:$G$300)),8)),"")</f>
        <v/>
      </c>
      <c r="O280" s="183">
        <f>IF(ISNUMBER(N280),IF(OR(COUNTIF(Торговля!$B$5:$B$300,$B280)+COUNTIF(Лэндинг!$B$5:$B$300,$B280)&gt;0,COUNTIF($B281:$B$301,$B280)&gt;0),0,IF(SUMPRODUCT(($B$5:$B$300=$B280)*(($F$5:$F$300+$I$5:$I$300-ABS($F$5:$F$300-$I$5:$I$300))/2)*$G$5:$G$300)&lt;=0,"",ROUND(N280/SUMPRODUCT(($B$5:$B$300=$B280)*(($F$5:$F$300+$I$5:$I$300-ABS($F$5:$F$300-$I$5:$I$300))/2)*$G$5:$G$300)*100,2))),"")</f>
        <v/>
      </c>
    </row>
    <row r="281" ht="22" customHeight="1">
      <c r="B281" s="313" t="n"/>
      <c r="C281" s="314" t="n"/>
      <c r="D281" s="313" t="n"/>
      <c r="E281" s="315" t="n"/>
      <c r="F281" s="316" t="n"/>
      <c r="G281" s="317" t="n"/>
      <c r="H281" s="271">
        <f>IF(AND(ISNUMBER(F281),ISNUMBER(G281)),F281*G281,"")</f>
        <v/>
      </c>
      <c r="I281" s="316" t="n"/>
      <c r="J281" s="317" t="n"/>
      <c r="K281" s="271">
        <f>IF(AND(ISNUMBER(I281),ISNUMBER(J281)),I281*J281,"")</f>
        <v/>
      </c>
      <c r="L281" s="240">
        <f>IF(COUNT(F281,I281)=0,"",N(F281)-N(I281))</f>
        <v/>
      </c>
      <c r="M281" s="241">
        <f>IF(COUNT(H281,K281)=0,"",N(K281)-N(H281))</f>
        <v/>
      </c>
      <c r="N281" s="240">
        <f>IF(AND(ISNUMBER(F281),ISNUMBER(I281),ISNUMBER(H281),ISNUMBER(K281),F281&gt;0,I281&gt;0,H281&lt;&gt;0),IF(OR(COUNTIF(Торговля!$B$5:$B$300,$B281)+COUNTIF(Лэндинг!$B$5:$B$300,$B281)&gt;0,COUNTIF($B282:$B$301,$B281)&gt;0),0,ROUND(SUMPRODUCT(($B$5:$B$300=$B281)*(($F$5:$F$300+$I$5:$I$300-ABS($F$5:$F$300-$I$5:$I$300))/2)*($J$5:$J$300-$G$5:$G$300)),8)),"")</f>
        <v/>
      </c>
      <c r="O281" s="177">
        <f>IF(ISNUMBER(N281),IF(OR(COUNTIF(Торговля!$B$5:$B$300,$B281)+COUNTIF(Лэндинг!$B$5:$B$300,$B281)&gt;0,COUNTIF($B282:$B$301,$B281)&gt;0),0,IF(SUMPRODUCT(($B$5:$B$300=$B281)*(($F$5:$F$300+$I$5:$I$300-ABS($F$5:$F$300-$I$5:$I$300))/2)*$G$5:$G$300)&lt;=0,"",ROUND(N281/SUMPRODUCT(($B$5:$B$300=$B281)*(($F$5:$F$300+$I$5:$I$300-ABS($F$5:$F$300-$I$5:$I$300))/2)*$G$5:$G$300)*100,2))),"")</f>
        <v/>
      </c>
    </row>
    <row r="282" ht="22" customHeight="1">
      <c r="B282" s="318" t="n"/>
      <c r="C282" s="319" t="n"/>
      <c r="D282" s="318" t="n"/>
      <c r="E282" s="320" t="n"/>
      <c r="F282" s="321" t="n"/>
      <c r="G282" s="322" t="n"/>
      <c r="H282" s="271">
        <f>IF(AND(ISNUMBER(F282),ISNUMBER(G282)),F282*G282,"")</f>
        <v/>
      </c>
      <c r="I282" s="321" t="n"/>
      <c r="J282" s="322" t="n"/>
      <c r="K282" s="271">
        <f>IF(AND(ISNUMBER(I282),ISNUMBER(J282)),I282*J282,"")</f>
        <v/>
      </c>
      <c r="L282" s="246">
        <f>IF(COUNT(F282,I282)=0,"",N(F282)-N(I282))</f>
        <v/>
      </c>
      <c r="M282" s="247">
        <f>IF(COUNT(H282,K282)=0,"",N(K282)-N(H282))</f>
        <v/>
      </c>
      <c r="N282" s="246">
        <f>IF(AND(ISNUMBER(F282),ISNUMBER(I282),ISNUMBER(H282),ISNUMBER(K282),F282&gt;0,I282&gt;0,H282&lt;&gt;0),IF(OR(COUNTIF(Торговля!$B$5:$B$300,$B282)+COUNTIF(Лэндинг!$B$5:$B$300,$B282)&gt;0,COUNTIF($B283:$B$301,$B282)&gt;0),0,ROUND(SUMPRODUCT(($B$5:$B$300=$B282)*(($F$5:$F$300+$I$5:$I$300-ABS($F$5:$F$300-$I$5:$I$300))/2)*($J$5:$J$300-$G$5:$G$300)),8)),"")</f>
        <v/>
      </c>
      <c r="O282" s="183">
        <f>IF(ISNUMBER(N282),IF(OR(COUNTIF(Торговля!$B$5:$B$300,$B282)+COUNTIF(Лэндинг!$B$5:$B$300,$B282)&gt;0,COUNTIF($B283:$B$301,$B282)&gt;0),0,IF(SUMPRODUCT(($B$5:$B$300=$B282)*(($F$5:$F$300+$I$5:$I$300-ABS($F$5:$F$300-$I$5:$I$300))/2)*$G$5:$G$300)&lt;=0,"",ROUND(N282/SUMPRODUCT(($B$5:$B$300=$B282)*(($F$5:$F$300+$I$5:$I$300-ABS($F$5:$F$300-$I$5:$I$300))/2)*$G$5:$G$300)*100,2))),"")</f>
        <v/>
      </c>
    </row>
    <row r="283" ht="22" customHeight="1">
      <c r="B283" s="313" t="n"/>
      <c r="C283" s="314" t="n"/>
      <c r="D283" s="313" t="n"/>
      <c r="E283" s="315" t="n"/>
      <c r="F283" s="316" t="n"/>
      <c r="G283" s="317" t="n"/>
      <c r="H283" s="271">
        <f>IF(AND(ISNUMBER(F283),ISNUMBER(G283)),F283*G283,"")</f>
        <v/>
      </c>
      <c r="I283" s="316" t="n"/>
      <c r="J283" s="317" t="n"/>
      <c r="K283" s="271">
        <f>IF(AND(ISNUMBER(I283),ISNUMBER(J283)),I283*J283,"")</f>
        <v/>
      </c>
      <c r="L283" s="240">
        <f>IF(COUNT(F283,I283)=0,"",N(F283)-N(I283))</f>
        <v/>
      </c>
      <c r="M283" s="241">
        <f>IF(COUNT(H283,K283)=0,"",N(K283)-N(H283))</f>
        <v/>
      </c>
      <c r="N283" s="240">
        <f>IF(AND(ISNUMBER(F283),ISNUMBER(I283),ISNUMBER(H283),ISNUMBER(K283),F283&gt;0,I283&gt;0,H283&lt;&gt;0),IF(OR(COUNTIF(Торговля!$B$5:$B$300,$B283)+COUNTIF(Лэндинг!$B$5:$B$300,$B283)&gt;0,COUNTIF($B284:$B$301,$B283)&gt;0),0,ROUND(SUMPRODUCT(($B$5:$B$300=$B283)*(($F$5:$F$300+$I$5:$I$300-ABS($F$5:$F$300-$I$5:$I$300))/2)*($J$5:$J$300-$G$5:$G$300)),8)),"")</f>
        <v/>
      </c>
      <c r="O283" s="177">
        <f>IF(ISNUMBER(N283),IF(OR(COUNTIF(Торговля!$B$5:$B$300,$B283)+COUNTIF(Лэндинг!$B$5:$B$300,$B283)&gt;0,COUNTIF($B284:$B$301,$B283)&gt;0),0,IF(SUMPRODUCT(($B$5:$B$300=$B283)*(($F$5:$F$300+$I$5:$I$300-ABS($F$5:$F$300-$I$5:$I$300))/2)*$G$5:$G$300)&lt;=0,"",ROUND(N283/SUMPRODUCT(($B$5:$B$300=$B283)*(($F$5:$F$300+$I$5:$I$300-ABS($F$5:$F$300-$I$5:$I$300))/2)*$G$5:$G$300)*100,2))),"")</f>
        <v/>
      </c>
    </row>
    <row r="284" ht="22" customHeight="1">
      <c r="B284" s="318" t="n"/>
      <c r="C284" s="319" t="n"/>
      <c r="D284" s="318" t="n"/>
      <c r="E284" s="320" t="n"/>
      <c r="F284" s="321" t="n"/>
      <c r="G284" s="322" t="n"/>
      <c r="H284" s="271">
        <f>IF(AND(ISNUMBER(F284),ISNUMBER(G284)),F284*G284,"")</f>
        <v/>
      </c>
      <c r="I284" s="321" t="n"/>
      <c r="J284" s="322" t="n"/>
      <c r="K284" s="271">
        <f>IF(AND(ISNUMBER(I284),ISNUMBER(J284)),I284*J284,"")</f>
        <v/>
      </c>
      <c r="L284" s="246">
        <f>IF(COUNT(F284,I284)=0,"",N(F284)-N(I284))</f>
        <v/>
      </c>
      <c r="M284" s="247">
        <f>IF(COUNT(H284,K284)=0,"",N(K284)-N(H284))</f>
        <v/>
      </c>
      <c r="N284" s="246">
        <f>IF(AND(ISNUMBER(F284),ISNUMBER(I284),ISNUMBER(H284),ISNUMBER(K284),F284&gt;0,I284&gt;0,H284&lt;&gt;0),IF(OR(COUNTIF(Торговля!$B$5:$B$300,$B284)+COUNTIF(Лэндинг!$B$5:$B$300,$B284)&gt;0,COUNTIF($B285:$B$301,$B284)&gt;0),0,ROUND(SUMPRODUCT(($B$5:$B$300=$B284)*(($F$5:$F$300+$I$5:$I$300-ABS($F$5:$F$300-$I$5:$I$300))/2)*($J$5:$J$300-$G$5:$G$300)),8)),"")</f>
        <v/>
      </c>
      <c r="O284" s="183">
        <f>IF(ISNUMBER(N284),IF(OR(COUNTIF(Торговля!$B$5:$B$300,$B284)+COUNTIF(Лэндинг!$B$5:$B$300,$B284)&gt;0,COUNTIF($B285:$B$301,$B284)&gt;0),0,IF(SUMPRODUCT(($B$5:$B$300=$B284)*(($F$5:$F$300+$I$5:$I$300-ABS($F$5:$F$300-$I$5:$I$300))/2)*$G$5:$G$300)&lt;=0,"",ROUND(N284/SUMPRODUCT(($B$5:$B$300=$B284)*(($F$5:$F$300+$I$5:$I$300-ABS($F$5:$F$300-$I$5:$I$300))/2)*$G$5:$G$300)*100,2))),"")</f>
        <v/>
      </c>
    </row>
    <row r="285" ht="22" customHeight="1">
      <c r="B285" s="313" t="n"/>
      <c r="C285" s="314" t="n"/>
      <c r="D285" s="313" t="n"/>
      <c r="E285" s="315" t="n"/>
      <c r="F285" s="316" t="n"/>
      <c r="G285" s="317" t="n"/>
      <c r="H285" s="271">
        <f>IF(AND(ISNUMBER(F285),ISNUMBER(G285)),F285*G285,"")</f>
        <v/>
      </c>
      <c r="I285" s="316" t="n"/>
      <c r="J285" s="317" t="n"/>
      <c r="K285" s="271">
        <f>IF(AND(ISNUMBER(I285),ISNUMBER(J285)),I285*J285,"")</f>
        <v/>
      </c>
      <c r="L285" s="240">
        <f>IF(COUNT(F285,I285)=0,"",N(F285)-N(I285))</f>
        <v/>
      </c>
      <c r="M285" s="241">
        <f>IF(COUNT(H285,K285)=0,"",N(K285)-N(H285))</f>
        <v/>
      </c>
      <c r="N285" s="240">
        <f>IF(AND(ISNUMBER(F285),ISNUMBER(I285),ISNUMBER(H285),ISNUMBER(K285),F285&gt;0,I285&gt;0,H285&lt;&gt;0),IF(OR(COUNTIF(Торговля!$B$5:$B$300,$B285)+COUNTIF(Лэндинг!$B$5:$B$300,$B285)&gt;0,COUNTIF($B286:$B$301,$B285)&gt;0),0,ROUND(SUMPRODUCT(($B$5:$B$300=$B285)*(($F$5:$F$300+$I$5:$I$300-ABS($F$5:$F$300-$I$5:$I$300))/2)*($J$5:$J$300-$G$5:$G$300)),8)),"")</f>
        <v/>
      </c>
      <c r="O285" s="177">
        <f>IF(ISNUMBER(N285),IF(OR(COUNTIF(Торговля!$B$5:$B$300,$B285)+COUNTIF(Лэндинг!$B$5:$B$300,$B285)&gt;0,COUNTIF($B286:$B$301,$B285)&gt;0),0,IF(SUMPRODUCT(($B$5:$B$300=$B285)*(($F$5:$F$300+$I$5:$I$300-ABS($F$5:$F$300-$I$5:$I$300))/2)*$G$5:$G$300)&lt;=0,"",ROUND(N285/SUMPRODUCT(($B$5:$B$300=$B285)*(($F$5:$F$300+$I$5:$I$300-ABS($F$5:$F$300-$I$5:$I$300))/2)*$G$5:$G$300)*100,2))),"")</f>
        <v/>
      </c>
    </row>
    <row r="286" ht="22" customHeight="1">
      <c r="B286" s="318" t="n"/>
      <c r="C286" s="319" t="n"/>
      <c r="D286" s="318" t="n"/>
      <c r="E286" s="320" t="n"/>
      <c r="F286" s="321" t="n"/>
      <c r="G286" s="322" t="n"/>
      <c r="H286" s="271">
        <f>IF(AND(ISNUMBER(F286),ISNUMBER(G286)),F286*G286,"")</f>
        <v/>
      </c>
      <c r="I286" s="321" t="n"/>
      <c r="J286" s="322" t="n"/>
      <c r="K286" s="271">
        <f>IF(AND(ISNUMBER(I286),ISNUMBER(J286)),I286*J286,"")</f>
        <v/>
      </c>
      <c r="L286" s="246">
        <f>IF(COUNT(F286,I286)=0,"",N(F286)-N(I286))</f>
        <v/>
      </c>
      <c r="M286" s="247">
        <f>IF(COUNT(H286,K286)=0,"",N(K286)-N(H286))</f>
        <v/>
      </c>
      <c r="N286" s="246">
        <f>IF(AND(ISNUMBER(F286),ISNUMBER(I286),ISNUMBER(H286),ISNUMBER(K286),F286&gt;0,I286&gt;0,H286&lt;&gt;0),IF(OR(COUNTIF(Торговля!$B$5:$B$300,$B286)+COUNTIF(Лэндинг!$B$5:$B$300,$B286)&gt;0,COUNTIF($B287:$B$301,$B286)&gt;0),0,ROUND(SUMPRODUCT(($B$5:$B$300=$B286)*(($F$5:$F$300+$I$5:$I$300-ABS($F$5:$F$300-$I$5:$I$300))/2)*($J$5:$J$300-$G$5:$G$300)),8)),"")</f>
        <v/>
      </c>
      <c r="O286" s="183">
        <f>IF(ISNUMBER(N286),IF(OR(COUNTIF(Торговля!$B$5:$B$300,$B286)+COUNTIF(Лэндинг!$B$5:$B$300,$B286)&gt;0,COUNTIF($B287:$B$301,$B286)&gt;0),0,IF(SUMPRODUCT(($B$5:$B$300=$B286)*(($F$5:$F$300+$I$5:$I$300-ABS($F$5:$F$300-$I$5:$I$300))/2)*$G$5:$G$300)&lt;=0,"",ROUND(N286/SUMPRODUCT(($B$5:$B$300=$B286)*(($F$5:$F$300+$I$5:$I$300-ABS($F$5:$F$300-$I$5:$I$300))/2)*$G$5:$G$300)*100,2))),"")</f>
        <v/>
      </c>
    </row>
    <row r="287" ht="22" customHeight="1">
      <c r="B287" s="313" t="n"/>
      <c r="C287" s="314" t="n"/>
      <c r="D287" s="313" t="n"/>
      <c r="E287" s="315" t="n"/>
      <c r="F287" s="316" t="n"/>
      <c r="G287" s="317" t="n"/>
      <c r="H287" s="271">
        <f>IF(AND(ISNUMBER(F287),ISNUMBER(G287)),F287*G287,"")</f>
        <v/>
      </c>
      <c r="I287" s="316" t="n"/>
      <c r="J287" s="317" t="n"/>
      <c r="K287" s="271">
        <f>IF(AND(ISNUMBER(I287),ISNUMBER(J287)),I287*J287,"")</f>
        <v/>
      </c>
      <c r="L287" s="240">
        <f>IF(COUNT(F287,I287)=0,"",N(F287)-N(I287))</f>
        <v/>
      </c>
      <c r="M287" s="241">
        <f>IF(COUNT(H287,K287)=0,"",N(K287)-N(H287))</f>
        <v/>
      </c>
      <c r="N287" s="240">
        <f>IF(AND(ISNUMBER(F287),ISNUMBER(I287),ISNUMBER(H287),ISNUMBER(K287),F287&gt;0,I287&gt;0,H287&lt;&gt;0),IF(OR(COUNTIF(Торговля!$B$5:$B$300,$B287)+COUNTIF(Лэндинг!$B$5:$B$300,$B287)&gt;0,COUNTIF($B288:$B$301,$B287)&gt;0),0,ROUND(SUMPRODUCT(($B$5:$B$300=$B287)*(($F$5:$F$300+$I$5:$I$300-ABS($F$5:$F$300-$I$5:$I$300))/2)*($J$5:$J$300-$G$5:$G$300)),8)),"")</f>
        <v/>
      </c>
      <c r="O287" s="177">
        <f>IF(ISNUMBER(N287),IF(OR(COUNTIF(Торговля!$B$5:$B$300,$B287)+COUNTIF(Лэндинг!$B$5:$B$300,$B287)&gt;0,COUNTIF($B288:$B$301,$B287)&gt;0),0,IF(SUMPRODUCT(($B$5:$B$300=$B287)*(($F$5:$F$300+$I$5:$I$300-ABS($F$5:$F$300-$I$5:$I$300))/2)*$G$5:$G$300)&lt;=0,"",ROUND(N287/SUMPRODUCT(($B$5:$B$300=$B287)*(($F$5:$F$300+$I$5:$I$300-ABS($F$5:$F$300-$I$5:$I$300))/2)*$G$5:$G$300)*100,2))),"")</f>
        <v/>
      </c>
    </row>
    <row r="288" ht="22" customHeight="1">
      <c r="B288" s="318" t="n"/>
      <c r="C288" s="319" t="n"/>
      <c r="D288" s="318" t="n"/>
      <c r="E288" s="320" t="n"/>
      <c r="F288" s="321" t="n"/>
      <c r="G288" s="322" t="n"/>
      <c r="H288" s="271">
        <f>IF(AND(ISNUMBER(F288),ISNUMBER(G288)),F288*G288,"")</f>
        <v/>
      </c>
      <c r="I288" s="321" t="n"/>
      <c r="J288" s="322" t="n"/>
      <c r="K288" s="271">
        <f>IF(AND(ISNUMBER(I288),ISNUMBER(J288)),I288*J288,"")</f>
        <v/>
      </c>
      <c r="L288" s="246">
        <f>IF(COUNT(F288,I288)=0,"",N(F288)-N(I288))</f>
        <v/>
      </c>
      <c r="M288" s="247">
        <f>IF(COUNT(H288,K288)=0,"",N(K288)-N(H288))</f>
        <v/>
      </c>
      <c r="N288" s="246">
        <f>IF(AND(ISNUMBER(F288),ISNUMBER(I288),ISNUMBER(H288),ISNUMBER(K288),F288&gt;0,I288&gt;0,H288&lt;&gt;0),IF(OR(COUNTIF(Торговля!$B$5:$B$300,$B288)+COUNTIF(Лэндинг!$B$5:$B$300,$B288)&gt;0,COUNTIF($B289:$B$301,$B288)&gt;0),0,ROUND(SUMPRODUCT(($B$5:$B$300=$B288)*(($F$5:$F$300+$I$5:$I$300-ABS($F$5:$F$300-$I$5:$I$300))/2)*($J$5:$J$300-$G$5:$G$300)),8)),"")</f>
        <v/>
      </c>
      <c r="O288" s="183">
        <f>IF(ISNUMBER(N288),IF(OR(COUNTIF(Торговля!$B$5:$B$300,$B288)+COUNTIF(Лэндинг!$B$5:$B$300,$B288)&gt;0,COUNTIF($B289:$B$301,$B288)&gt;0),0,IF(SUMPRODUCT(($B$5:$B$300=$B288)*(($F$5:$F$300+$I$5:$I$300-ABS($F$5:$F$300-$I$5:$I$300))/2)*$G$5:$G$300)&lt;=0,"",ROUND(N288/SUMPRODUCT(($B$5:$B$300=$B288)*(($F$5:$F$300+$I$5:$I$300-ABS($F$5:$F$300-$I$5:$I$300))/2)*$G$5:$G$300)*100,2))),"")</f>
        <v/>
      </c>
    </row>
    <row r="289" ht="22" customHeight="1">
      <c r="B289" s="313" t="n"/>
      <c r="C289" s="314" t="n"/>
      <c r="D289" s="313" t="n"/>
      <c r="E289" s="315" t="n"/>
      <c r="F289" s="316" t="n"/>
      <c r="G289" s="317" t="n"/>
      <c r="H289" s="271">
        <f>IF(AND(ISNUMBER(F289),ISNUMBER(G289)),F289*G289,"")</f>
        <v/>
      </c>
      <c r="I289" s="316" t="n"/>
      <c r="J289" s="317" t="n"/>
      <c r="K289" s="271">
        <f>IF(AND(ISNUMBER(I289),ISNUMBER(J289)),I289*J289,"")</f>
        <v/>
      </c>
      <c r="L289" s="240">
        <f>IF(COUNT(F289,I289)=0,"",N(F289)-N(I289))</f>
        <v/>
      </c>
      <c r="M289" s="241">
        <f>IF(COUNT(H289,K289)=0,"",N(K289)-N(H289))</f>
        <v/>
      </c>
      <c r="N289" s="240">
        <f>IF(AND(ISNUMBER(F289),ISNUMBER(I289),ISNUMBER(H289),ISNUMBER(K289),F289&gt;0,I289&gt;0,H289&lt;&gt;0),IF(OR(COUNTIF(Торговля!$B$5:$B$300,$B289)+COUNTIF(Лэндинг!$B$5:$B$300,$B289)&gt;0,COUNTIF($B290:$B$301,$B289)&gt;0),0,ROUND(SUMPRODUCT(($B$5:$B$300=$B289)*(($F$5:$F$300+$I$5:$I$300-ABS($F$5:$F$300-$I$5:$I$300))/2)*($J$5:$J$300-$G$5:$G$300)),8)),"")</f>
        <v/>
      </c>
      <c r="O289" s="177">
        <f>IF(ISNUMBER(N289),IF(OR(COUNTIF(Торговля!$B$5:$B$300,$B289)+COUNTIF(Лэндинг!$B$5:$B$300,$B289)&gt;0,COUNTIF($B290:$B$301,$B289)&gt;0),0,IF(SUMPRODUCT(($B$5:$B$300=$B289)*(($F$5:$F$300+$I$5:$I$300-ABS($F$5:$F$300-$I$5:$I$300))/2)*$G$5:$G$300)&lt;=0,"",ROUND(N289/SUMPRODUCT(($B$5:$B$300=$B289)*(($F$5:$F$300+$I$5:$I$300-ABS($F$5:$F$300-$I$5:$I$300))/2)*$G$5:$G$300)*100,2))),"")</f>
        <v/>
      </c>
    </row>
    <row r="290" ht="22" customHeight="1">
      <c r="B290" s="318" t="n"/>
      <c r="C290" s="319" t="n"/>
      <c r="D290" s="318" t="n"/>
      <c r="E290" s="320" t="n"/>
      <c r="F290" s="321" t="n"/>
      <c r="G290" s="322" t="n"/>
      <c r="H290" s="271">
        <f>IF(AND(ISNUMBER(F290),ISNUMBER(G290)),F290*G290,"")</f>
        <v/>
      </c>
      <c r="I290" s="321" t="n"/>
      <c r="J290" s="322" t="n"/>
      <c r="K290" s="271">
        <f>IF(AND(ISNUMBER(I290),ISNUMBER(J290)),I290*J290,"")</f>
        <v/>
      </c>
      <c r="L290" s="246">
        <f>IF(COUNT(F290,I290)=0,"",N(F290)-N(I290))</f>
        <v/>
      </c>
      <c r="M290" s="247">
        <f>IF(COUNT(H290,K290)=0,"",N(K290)-N(H290))</f>
        <v/>
      </c>
      <c r="N290" s="246">
        <f>IF(AND(ISNUMBER(F290),ISNUMBER(I290),ISNUMBER(H290),ISNUMBER(K290),F290&gt;0,I290&gt;0,H290&lt;&gt;0),IF(OR(COUNTIF(Торговля!$B$5:$B$300,$B290)+COUNTIF(Лэндинг!$B$5:$B$300,$B290)&gt;0,COUNTIF($B291:$B$301,$B290)&gt;0),0,ROUND(SUMPRODUCT(($B$5:$B$300=$B290)*(($F$5:$F$300+$I$5:$I$300-ABS($F$5:$F$300-$I$5:$I$300))/2)*($J$5:$J$300-$G$5:$G$300)),8)),"")</f>
        <v/>
      </c>
      <c r="O290" s="183">
        <f>IF(ISNUMBER(N290),IF(OR(COUNTIF(Торговля!$B$5:$B$300,$B290)+COUNTIF(Лэндинг!$B$5:$B$300,$B290)&gt;0,COUNTIF($B291:$B$301,$B290)&gt;0),0,IF(SUMPRODUCT(($B$5:$B$300=$B290)*(($F$5:$F$300+$I$5:$I$300-ABS($F$5:$F$300-$I$5:$I$300))/2)*$G$5:$G$300)&lt;=0,"",ROUND(N290/SUMPRODUCT(($B$5:$B$300=$B290)*(($F$5:$F$300+$I$5:$I$300-ABS($F$5:$F$300-$I$5:$I$300))/2)*$G$5:$G$300)*100,2))),"")</f>
        <v/>
      </c>
    </row>
    <row r="291" ht="22" customHeight="1">
      <c r="B291" s="313" t="n"/>
      <c r="C291" s="314" t="n"/>
      <c r="D291" s="313" t="n"/>
      <c r="E291" s="315" t="n"/>
      <c r="F291" s="316" t="n"/>
      <c r="G291" s="317" t="n"/>
      <c r="H291" s="271">
        <f>IF(AND(ISNUMBER(F291),ISNUMBER(G291)),F291*G291,"")</f>
        <v/>
      </c>
      <c r="I291" s="316" t="n"/>
      <c r="J291" s="317" t="n"/>
      <c r="K291" s="271">
        <f>IF(AND(ISNUMBER(I291),ISNUMBER(J291)),I291*J291,"")</f>
        <v/>
      </c>
      <c r="L291" s="240">
        <f>IF(COUNT(F291,I291)=0,"",N(F291)-N(I291))</f>
        <v/>
      </c>
      <c r="M291" s="241">
        <f>IF(COUNT(H291,K291)=0,"",N(K291)-N(H291))</f>
        <v/>
      </c>
      <c r="N291" s="240">
        <f>IF(AND(ISNUMBER(F291),ISNUMBER(I291),ISNUMBER(H291),ISNUMBER(K291),F291&gt;0,I291&gt;0,H291&lt;&gt;0),IF(OR(COUNTIF(Торговля!$B$5:$B$300,$B291)+COUNTIF(Лэндинг!$B$5:$B$300,$B291)&gt;0,COUNTIF($B292:$B$301,$B291)&gt;0),0,ROUND(SUMPRODUCT(($B$5:$B$300=$B291)*(($F$5:$F$300+$I$5:$I$300-ABS($F$5:$F$300-$I$5:$I$300))/2)*($J$5:$J$300-$G$5:$G$300)),8)),"")</f>
        <v/>
      </c>
      <c r="O291" s="177">
        <f>IF(ISNUMBER(N291),IF(OR(COUNTIF(Торговля!$B$5:$B$300,$B291)+COUNTIF(Лэндинг!$B$5:$B$300,$B291)&gt;0,COUNTIF($B292:$B$301,$B291)&gt;0),0,IF(SUMPRODUCT(($B$5:$B$300=$B291)*(($F$5:$F$300+$I$5:$I$300-ABS($F$5:$F$300-$I$5:$I$300))/2)*$G$5:$G$300)&lt;=0,"",ROUND(N291/SUMPRODUCT(($B$5:$B$300=$B291)*(($F$5:$F$300+$I$5:$I$300-ABS($F$5:$F$300-$I$5:$I$300))/2)*$G$5:$G$300)*100,2))),"")</f>
        <v/>
      </c>
    </row>
    <row r="292" ht="22" customHeight="1">
      <c r="B292" s="318" t="n"/>
      <c r="C292" s="319" t="n"/>
      <c r="D292" s="318" t="n"/>
      <c r="E292" s="320" t="n"/>
      <c r="F292" s="321" t="n"/>
      <c r="G292" s="322" t="n"/>
      <c r="H292" s="271">
        <f>IF(AND(ISNUMBER(F292),ISNUMBER(G292)),F292*G292,"")</f>
        <v/>
      </c>
      <c r="I292" s="321" t="n"/>
      <c r="J292" s="322" t="n"/>
      <c r="K292" s="271">
        <f>IF(AND(ISNUMBER(I292),ISNUMBER(J292)),I292*J292,"")</f>
        <v/>
      </c>
      <c r="L292" s="246">
        <f>IF(COUNT(F292,I292)=0,"",N(F292)-N(I292))</f>
        <v/>
      </c>
      <c r="M292" s="247">
        <f>IF(COUNT(H292,K292)=0,"",N(K292)-N(H292))</f>
        <v/>
      </c>
      <c r="N292" s="246">
        <f>IF(AND(ISNUMBER(F292),ISNUMBER(I292),ISNUMBER(H292),ISNUMBER(K292),F292&gt;0,I292&gt;0,H292&lt;&gt;0),IF(OR(COUNTIF(Торговля!$B$5:$B$300,$B292)+COUNTIF(Лэндинг!$B$5:$B$300,$B292)&gt;0,COUNTIF($B293:$B$301,$B292)&gt;0),0,ROUND(SUMPRODUCT(($B$5:$B$300=$B292)*(($F$5:$F$300+$I$5:$I$300-ABS($F$5:$F$300-$I$5:$I$300))/2)*($J$5:$J$300-$G$5:$G$300)),8)),"")</f>
        <v/>
      </c>
      <c r="O292" s="183">
        <f>IF(ISNUMBER(N292),IF(OR(COUNTIF(Торговля!$B$5:$B$300,$B292)+COUNTIF(Лэндинг!$B$5:$B$300,$B292)&gt;0,COUNTIF($B293:$B$301,$B292)&gt;0),0,IF(SUMPRODUCT(($B$5:$B$300=$B292)*(($F$5:$F$300+$I$5:$I$300-ABS($F$5:$F$300-$I$5:$I$300))/2)*$G$5:$G$300)&lt;=0,"",ROUND(N292/SUMPRODUCT(($B$5:$B$300=$B292)*(($F$5:$F$300+$I$5:$I$300-ABS($F$5:$F$300-$I$5:$I$300))/2)*$G$5:$G$300)*100,2))),"")</f>
        <v/>
      </c>
    </row>
    <row r="293" ht="22" customHeight="1">
      <c r="B293" s="313" t="n"/>
      <c r="C293" s="314" t="n"/>
      <c r="D293" s="313" t="n"/>
      <c r="E293" s="315" t="n"/>
      <c r="F293" s="316" t="n"/>
      <c r="G293" s="317" t="n"/>
      <c r="H293" s="271">
        <f>IF(AND(ISNUMBER(F293),ISNUMBER(G293)),F293*G293,"")</f>
        <v/>
      </c>
      <c r="I293" s="316" t="n"/>
      <c r="J293" s="317" t="n"/>
      <c r="K293" s="271">
        <f>IF(AND(ISNUMBER(I293),ISNUMBER(J293)),I293*J293,"")</f>
        <v/>
      </c>
      <c r="L293" s="240">
        <f>IF(COUNT(F293,I293)=0,"",N(F293)-N(I293))</f>
        <v/>
      </c>
      <c r="M293" s="241">
        <f>IF(COUNT(H293,K293)=0,"",N(K293)-N(H293))</f>
        <v/>
      </c>
      <c r="N293" s="240">
        <f>IF(AND(ISNUMBER(F293),ISNUMBER(I293),ISNUMBER(H293),ISNUMBER(K293),F293&gt;0,I293&gt;0,H293&lt;&gt;0),IF(OR(COUNTIF(Торговля!$B$5:$B$300,$B293)+COUNTIF(Лэндинг!$B$5:$B$300,$B293)&gt;0,COUNTIF($B294:$B$301,$B293)&gt;0),0,ROUND(SUMPRODUCT(($B$5:$B$300=$B293)*(($F$5:$F$300+$I$5:$I$300-ABS($F$5:$F$300-$I$5:$I$300))/2)*($J$5:$J$300-$G$5:$G$300)),8)),"")</f>
        <v/>
      </c>
      <c r="O293" s="177">
        <f>IF(ISNUMBER(N293),IF(OR(COUNTIF(Торговля!$B$5:$B$300,$B293)+COUNTIF(Лэндинг!$B$5:$B$300,$B293)&gt;0,COUNTIF($B294:$B$301,$B293)&gt;0),0,IF(SUMPRODUCT(($B$5:$B$300=$B293)*(($F$5:$F$300+$I$5:$I$300-ABS($F$5:$F$300-$I$5:$I$300))/2)*$G$5:$G$300)&lt;=0,"",ROUND(N293/SUMPRODUCT(($B$5:$B$300=$B293)*(($F$5:$F$300+$I$5:$I$300-ABS($F$5:$F$300-$I$5:$I$300))/2)*$G$5:$G$300)*100,2))),"")</f>
        <v/>
      </c>
    </row>
    <row r="294" ht="22" customHeight="1">
      <c r="B294" s="318" t="n"/>
      <c r="C294" s="319" t="n"/>
      <c r="D294" s="318" t="n"/>
      <c r="E294" s="320" t="n"/>
      <c r="F294" s="321" t="n"/>
      <c r="G294" s="322" t="n"/>
      <c r="H294" s="271">
        <f>IF(AND(ISNUMBER(F294),ISNUMBER(G294)),F294*G294,"")</f>
        <v/>
      </c>
      <c r="I294" s="321" t="n"/>
      <c r="J294" s="322" t="n"/>
      <c r="K294" s="271">
        <f>IF(AND(ISNUMBER(I294),ISNUMBER(J294)),I294*J294,"")</f>
        <v/>
      </c>
      <c r="L294" s="246">
        <f>IF(COUNT(F294,I294)=0,"",N(F294)-N(I294))</f>
        <v/>
      </c>
      <c r="M294" s="247">
        <f>IF(COUNT(H294,K294)=0,"",N(K294)-N(H294))</f>
        <v/>
      </c>
      <c r="N294" s="246">
        <f>IF(AND(ISNUMBER(F294),ISNUMBER(I294),ISNUMBER(H294),ISNUMBER(K294),F294&gt;0,I294&gt;0,H294&lt;&gt;0),IF(OR(COUNTIF(Торговля!$B$5:$B$300,$B294)+COUNTIF(Лэндинг!$B$5:$B$300,$B294)&gt;0,COUNTIF($B295:$B$301,$B294)&gt;0),0,ROUND(SUMPRODUCT(($B$5:$B$300=$B294)*(($F$5:$F$300+$I$5:$I$300-ABS($F$5:$F$300-$I$5:$I$300))/2)*($J$5:$J$300-$G$5:$G$300)),8)),"")</f>
        <v/>
      </c>
      <c r="O294" s="183">
        <f>IF(ISNUMBER(N294),IF(OR(COUNTIF(Торговля!$B$5:$B$300,$B294)+COUNTIF(Лэндинг!$B$5:$B$300,$B294)&gt;0,COUNTIF($B295:$B$301,$B294)&gt;0),0,IF(SUMPRODUCT(($B$5:$B$300=$B294)*(($F$5:$F$300+$I$5:$I$300-ABS($F$5:$F$300-$I$5:$I$300))/2)*$G$5:$G$300)&lt;=0,"",ROUND(N294/SUMPRODUCT(($B$5:$B$300=$B294)*(($F$5:$F$300+$I$5:$I$300-ABS($F$5:$F$300-$I$5:$I$300))/2)*$G$5:$G$300)*100,2))),"")</f>
        <v/>
      </c>
    </row>
    <row r="295" ht="22" customHeight="1">
      <c r="B295" s="313" t="n"/>
      <c r="C295" s="314" t="n"/>
      <c r="D295" s="313" t="n"/>
      <c r="E295" s="315" t="n"/>
      <c r="F295" s="316" t="n"/>
      <c r="G295" s="317" t="n"/>
      <c r="H295" s="271">
        <f>IF(AND(ISNUMBER(F295),ISNUMBER(G295)),F295*G295,"")</f>
        <v/>
      </c>
      <c r="I295" s="316" t="n"/>
      <c r="J295" s="317" t="n"/>
      <c r="K295" s="271">
        <f>IF(AND(ISNUMBER(I295),ISNUMBER(J295)),I295*J295,"")</f>
        <v/>
      </c>
      <c r="L295" s="240">
        <f>IF(COUNT(F295,I295)=0,"",N(F295)-N(I295))</f>
        <v/>
      </c>
      <c r="M295" s="241">
        <f>IF(COUNT(H295,K295)=0,"",N(K295)-N(H295))</f>
        <v/>
      </c>
      <c r="N295" s="240">
        <f>IF(AND(ISNUMBER(F295),ISNUMBER(I295),ISNUMBER(H295),ISNUMBER(K295),F295&gt;0,I295&gt;0,H295&lt;&gt;0),IF(OR(COUNTIF(Торговля!$B$5:$B$300,$B295)+COUNTIF(Лэндинг!$B$5:$B$300,$B295)&gt;0,COUNTIF($B296:$B$301,$B295)&gt;0),0,ROUND(SUMPRODUCT(($B$5:$B$300=$B295)*(($F$5:$F$300+$I$5:$I$300-ABS($F$5:$F$300-$I$5:$I$300))/2)*($J$5:$J$300-$G$5:$G$300)),8)),"")</f>
        <v/>
      </c>
      <c r="O295" s="177">
        <f>IF(ISNUMBER(N295),IF(OR(COUNTIF(Торговля!$B$5:$B$300,$B295)+COUNTIF(Лэндинг!$B$5:$B$300,$B295)&gt;0,COUNTIF($B296:$B$301,$B295)&gt;0),0,IF(SUMPRODUCT(($B$5:$B$300=$B295)*(($F$5:$F$300+$I$5:$I$300-ABS($F$5:$F$300-$I$5:$I$300))/2)*$G$5:$G$300)&lt;=0,"",ROUND(N295/SUMPRODUCT(($B$5:$B$300=$B295)*(($F$5:$F$300+$I$5:$I$300-ABS($F$5:$F$300-$I$5:$I$300))/2)*$G$5:$G$300)*100,2))),"")</f>
        <v/>
      </c>
    </row>
    <row r="296" ht="22" customHeight="1">
      <c r="B296" s="318" t="n"/>
      <c r="C296" s="319" t="n"/>
      <c r="D296" s="318" t="n"/>
      <c r="E296" s="320" t="n"/>
      <c r="F296" s="321" t="n"/>
      <c r="G296" s="322" t="n"/>
      <c r="H296" s="271">
        <f>IF(AND(ISNUMBER(F296),ISNUMBER(G296)),F296*G296,"")</f>
        <v/>
      </c>
      <c r="I296" s="321" t="n"/>
      <c r="J296" s="322" t="n"/>
      <c r="K296" s="271">
        <f>IF(AND(ISNUMBER(I296),ISNUMBER(J296)),I296*J296,"")</f>
        <v/>
      </c>
      <c r="L296" s="246">
        <f>IF(COUNT(F296,I296)=0,"",N(F296)-N(I296))</f>
        <v/>
      </c>
      <c r="M296" s="247">
        <f>IF(COUNT(H296,K296)=0,"",N(K296)-N(H296))</f>
        <v/>
      </c>
      <c r="N296" s="246">
        <f>IF(AND(ISNUMBER(F296),ISNUMBER(I296),ISNUMBER(H296),ISNUMBER(K296),F296&gt;0,I296&gt;0,H296&lt;&gt;0),IF(OR(COUNTIF(Торговля!$B$5:$B$300,$B296)+COUNTIF(Лэндинг!$B$5:$B$300,$B296)&gt;0,COUNTIF($B297:$B$301,$B296)&gt;0),0,ROUND(SUMPRODUCT(($B$5:$B$300=$B296)*(($F$5:$F$300+$I$5:$I$300-ABS($F$5:$F$300-$I$5:$I$300))/2)*($J$5:$J$300-$G$5:$G$300)),8)),"")</f>
        <v/>
      </c>
      <c r="O296" s="183">
        <f>IF(ISNUMBER(N296),IF(OR(COUNTIF(Торговля!$B$5:$B$300,$B296)+COUNTIF(Лэндинг!$B$5:$B$300,$B296)&gt;0,COUNTIF($B297:$B$301,$B296)&gt;0),0,IF(SUMPRODUCT(($B$5:$B$300=$B296)*(($F$5:$F$300+$I$5:$I$300-ABS($F$5:$F$300-$I$5:$I$300))/2)*$G$5:$G$300)&lt;=0,"",ROUND(N296/SUMPRODUCT(($B$5:$B$300=$B296)*(($F$5:$F$300+$I$5:$I$300-ABS($F$5:$F$300-$I$5:$I$300))/2)*$G$5:$G$300)*100,2))),"")</f>
        <v/>
      </c>
    </row>
    <row r="297" ht="22" customHeight="1">
      <c r="B297" s="313" t="n"/>
      <c r="C297" s="314" t="n"/>
      <c r="D297" s="313" t="n"/>
      <c r="E297" s="315" t="n"/>
      <c r="F297" s="316" t="n"/>
      <c r="G297" s="317" t="n"/>
      <c r="H297" s="271">
        <f>IF(AND(ISNUMBER(F297),ISNUMBER(G297)),F297*G297,"")</f>
        <v/>
      </c>
      <c r="I297" s="316" t="n"/>
      <c r="J297" s="317" t="n"/>
      <c r="K297" s="271">
        <f>IF(AND(ISNUMBER(I297),ISNUMBER(J297)),I297*J297,"")</f>
        <v/>
      </c>
      <c r="L297" s="240">
        <f>IF(COUNT(F297,I297)=0,"",N(F297)-N(I297))</f>
        <v/>
      </c>
      <c r="M297" s="241">
        <f>IF(COUNT(H297,K297)=0,"",N(K297)-N(H297))</f>
        <v/>
      </c>
      <c r="N297" s="240">
        <f>IF(AND(ISNUMBER(F297),ISNUMBER(I297),ISNUMBER(H297),ISNUMBER(K297),F297&gt;0,I297&gt;0,H297&lt;&gt;0),IF(OR(COUNTIF(Торговля!$B$5:$B$300,$B297)+COUNTIF(Лэндинг!$B$5:$B$300,$B297)&gt;0,COUNTIF($B298:$B$301,$B297)&gt;0),0,ROUND(SUMPRODUCT(($B$5:$B$300=$B297)*(($F$5:$F$300+$I$5:$I$300-ABS($F$5:$F$300-$I$5:$I$300))/2)*($J$5:$J$300-$G$5:$G$300)),8)),"")</f>
        <v/>
      </c>
      <c r="O297" s="177">
        <f>IF(ISNUMBER(N297),IF(OR(COUNTIF(Торговля!$B$5:$B$300,$B297)+COUNTIF(Лэндинг!$B$5:$B$300,$B297)&gt;0,COUNTIF($B298:$B$301,$B297)&gt;0),0,IF(SUMPRODUCT(($B$5:$B$300=$B297)*(($F$5:$F$300+$I$5:$I$300-ABS($F$5:$F$300-$I$5:$I$300))/2)*$G$5:$G$300)&lt;=0,"",ROUND(N297/SUMPRODUCT(($B$5:$B$300=$B297)*(($F$5:$F$300+$I$5:$I$300-ABS($F$5:$F$300-$I$5:$I$300))/2)*$G$5:$G$300)*100,2))),"")</f>
        <v/>
      </c>
    </row>
    <row r="298" ht="22" customHeight="1">
      <c r="B298" s="318" t="n"/>
      <c r="C298" s="319" t="n"/>
      <c r="D298" s="318" t="n"/>
      <c r="E298" s="320" t="n"/>
      <c r="F298" s="321" t="n"/>
      <c r="G298" s="322" t="n"/>
      <c r="H298" s="271">
        <f>IF(AND(ISNUMBER(F298),ISNUMBER(G298)),F298*G298,"")</f>
        <v/>
      </c>
      <c r="I298" s="321" t="n"/>
      <c r="J298" s="322" t="n"/>
      <c r="K298" s="271">
        <f>IF(AND(ISNUMBER(I298),ISNUMBER(J298)),I298*J298,"")</f>
        <v/>
      </c>
      <c r="L298" s="246">
        <f>IF(COUNT(F298,I298)=0,"",N(F298)-N(I298))</f>
        <v/>
      </c>
      <c r="M298" s="247">
        <f>IF(COUNT(H298,K298)=0,"",N(K298)-N(H298))</f>
        <v/>
      </c>
      <c r="N298" s="246">
        <f>IF(AND(ISNUMBER(F298),ISNUMBER(I298),ISNUMBER(H298),ISNUMBER(K298),F298&gt;0,I298&gt;0,H298&lt;&gt;0),IF(OR(COUNTIF(Торговля!$B$5:$B$300,$B298)+COUNTIF(Лэндинг!$B$5:$B$300,$B298)&gt;0,COUNTIF($B299:$B$301,$B298)&gt;0),0,ROUND(SUMPRODUCT(($B$5:$B$300=$B298)*(($F$5:$F$300+$I$5:$I$300-ABS($F$5:$F$300-$I$5:$I$300))/2)*($J$5:$J$300-$G$5:$G$300)),8)),"")</f>
        <v/>
      </c>
      <c r="O298" s="183">
        <f>IF(ISNUMBER(N298),IF(OR(COUNTIF(Торговля!$B$5:$B$300,$B298)+COUNTIF(Лэндинг!$B$5:$B$300,$B298)&gt;0,COUNTIF($B299:$B$301,$B298)&gt;0),0,IF(SUMPRODUCT(($B$5:$B$300=$B298)*(($F$5:$F$300+$I$5:$I$300-ABS($F$5:$F$300-$I$5:$I$300))/2)*$G$5:$G$300)&lt;=0,"",ROUND(N298/SUMPRODUCT(($B$5:$B$300=$B298)*(($F$5:$F$300+$I$5:$I$300-ABS($F$5:$F$300-$I$5:$I$300))/2)*$G$5:$G$300)*100,2))),"")</f>
        <v/>
      </c>
    </row>
    <row r="299" ht="22" customHeight="1">
      <c r="B299" s="313" t="n"/>
      <c r="C299" s="314" t="n"/>
      <c r="D299" s="313" t="n"/>
      <c r="E299" s="315" t="n"/>
      <c r="F299" s="316" t="n"/>
      <c r="G299" s="317" t="n"/>
      <c r="H299" s="271">
        <f>IF(AND(ISNUMBER(F299),ISNUMBER(G299)),F299*G299,"")</f>
        <v/>
      </c>
      <c r="I299" s="316" t="n"/>
      <c r="J299" s="317" t="n"/>
      <c r="K299" s="271">
        <f>IF(AND(ISNUMBER(I299),ISNUMBER(J299)),I299*J299,"")</f>
        <v/>
      </c>
      <c r="L299" s="240">
        <f>IF(COUNT(F299,I299)=0,"",N(F299)-N(I299))</f>
        <v/>
      </c>
      <c r="M299" s="241">
        <f>IF(COUNT(H299,K299)=0,"",N(K299)-N(H299))</f>
        <v/>
      </c>
      <c r="N299" s="240">
        <f>IF(AND(ISNUMBER(F299),ISNUMBER(I299),ISNUMBER(H299),ISNUMBER(K299),F299&gt;0,I299&gt;0,H299&lt;&gt;0),IF(OR(COUNTIF(Торговля!$B$5:$B$300,$B299)+COUNTIF(Лэндинг!$B$5:$B$300,$B299)&gt;0,COUNTIF($B300:$B$301,$B299)&gt;0),0,ROUND(SUMPRODUCT(($B$5:$B$300=$B299)*(($F$5:$F$300+$I$5:$I$300-ABS($F$5:$F$300-$I$5:$I$300))/2)*($J$5:$J$300-$G$5:$G$300)),8)),"")</f>
        <v/>
      </c>
      <c r="O299" s="177">
        <f>IF(ISNUMBER(N299),IF(OR(COUNTIF(Торговля!$B$5:$B$300,$B299)+COUNTIF(Лэндинг!$B$5:$B$300,$B299)&gt;0,COUNTIF($B300:$B$301,$B299)&gt;0),0,IF(SUMPRODUCT(($B$5:$B$300=$B299)*(($F$5:$F$300+$I$5:$I$300-ABS($F$5:$F$300-$I$5:$I$300))/2)*$G$5:$G$300)&lt;=0,"",ROUND(N299/SUMPRODUCT(($B$5:$B$300=$B299)*(($F$5:$F$300+$I$5:$I$300-ABS($F$5:$F$300-$I$5:$I$300))/2)*$G$5:$G$300)*100,2))),"")</f>
        <v/>
      </c>
    </row>
    <row r="300" ht="22" customHeight="1">
      <c r="B300" s="318" t="n"/>
      <c r="C300" s="319" t="n"/>
      <c r="D300" s="318" t="n"/>
      <c r="E300" s="320" t="n"/>
      <c r="F300" s="321" t="n"/>
      <c r="G300" s="322" t="n"/>
      <c r="H300" s="271">
        <f>IF(AND(ISNUMBER(F300),ISNUMBER(G300)),F300*G300,"")</f>
        <v/>
      </c>
      <c r="I300" s="321" t="n"/>
      <c r="J300" s="322" t="n"/>
      <c r="K300" s="271">
        <f>IF(AND(ISNUMBER(I300),ISNUMBER(J300)),I300*J300,"")</f>
        <v/>
      </c>
      <c r="L300" s="246">
        <f>IF(COUNT(F300,I300)=0,"",N(F300)-N(I300))</f>
        <v/>
      </c>
      <c r="M300" s="247">
        <f>IF(COUNT(H300,K300)=0,"",N(K300)-N(H300))</f>
        <v/>
      </c>
      <c r="N300" s="246">
        <f>IF(AND(ISNUMBER(F300),ISNUMBER(I300),ISNUMBER(H300),ISNUMBER(K300),F300&gt;0,I300&gt;0,H300&lt;&gt;0),IF(OR(COUNTIF(Торговля!$B$5:$B$300,$B300)+COUNTIF(Лэндинг!$B$5:$B$300,$B300)&gt;0,COUNTIF($B301:$B$301,$B300)&gt;0),0,ROUND(SUMPRODUCT(($B$5:$B$300=$B300)*(($F$5:$F$300+$I$5:$I$300-ABS($F$5:$F$300-$I$5:$I$300))/2)*($J$5:$J$300-$G$5:$G$300)),8)),"")</f>
        <v/>
      </c>
      <c r="O300" s="183">
        <f>IF(ISNUMBER(N300),IF(OR(COUNTIF(Торговля!$B$5:$B$300,$B300)+COUNTIF(Лэндинг!$B$5:$B$300,$B300)&gt;0,COUNTIF($B301:$B$301,$B300)&gt;0),0,IF(SUMPRODUCT(($B$5:$B$300=$B300)*(($F$5:$F$300+$I$5:$I$300-ABS($F$5:$F$300-$I$5:$I$300))/2)*$G$5:$G$300)&lt;=0,"",ROUND(N300/SUMPRODUCT(($B$5:$B$300=$B300)*(($F$5:$F$300+$I$5:$I$300-ABS($F$5:$F$300-$I$5:$I$300))/2)*$G$5:$G$300)*100,2))),""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O300"/>
  <mergeCells count="1">
    <mergeCell ref="B1:O2"/>
  </mergeCells>
  <conditionalFormatting sqref="B5:O300">
    <cfRule type="expression" priority="1" dxfId="0">
      <formula>AND($B5&lt;&gt;"",COUNTIF(Торговля!$B$5:$B$300,$B5)+COUNTIF(Лэндинг!$B$5:$B$300,$B5)&gt;0)</formula>
    </cfRule>
  </conditionalFormatting>
  <conditionalFormatting sqref="B5:G300 I5:J300 L5:O300">
    <cfRule type="expression" priority="2" dxfId="2">
      <formula>MOD(ROW(),2)=1</formula>
    </cfRule>
    <cfRule type="expression" priority="3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 codeName="Sheet9">
    <tabColor rgb="00722F37"/>
    <outlinePr summaryBelow="1" summaryRight="1"/>
    <pageSetUpPr fitToPage="1"/>
  </sheetPr>
  <dimension ref="B1:M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5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7" customWidth="1" min="13" max="13"/>
  </cols>
  <sheetData>
    <row r="1" ht="21" customHeight="1">
      <c r="B1" s="1" t="inlineStr">
        <is>
          <t>CRYPTO JOURNAL • ИТОГО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Кол-во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Кол-во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315" t="inlineStr">
        <is>
          <t>AAVE/ETH</t>
        </is>
      </c>
      <c r="C5" s="240">
        <f>IF($B5="","",IF(SUMIFS('ИТОГО Торговля'!$C$5:$C$300,'ИТОГО Торговля'!$B$5:$B$300,$B5)+SUMIFS('ИТОГО Лэндинг'!$C$5:$C$300,'ИТОГО Лэндинг'!$B$5:$B$300,$B5)=0,"",SUMIFS('ИТОГО Торговля'!$C$5:$C$300,'ИТОГО Торговля'!$B$5:$B$300,$B5)+SUMIFS('ИТОГО Лэндинг'!$C$5:$C$300,'ИТОГО Лэндинг'!$B$5:$B$300,$B5)))</f>
        <v/>
      </c>
      <c r="D5" s="177">
        <f>IF(C5="","",E5/C5)</f>
        <v/>
      </c>
      <c r="E5" s="241">
        <f>IF(C5="","",SUMIFS('ИТОГО Торговля'!$E$5:$E$300,'ИТОГО Торговля'!$B$5:$B$300,$B5)+SUMIFS('ИТОГО Лэндинг'!$E$5:$E$300,'ИТОГО Лэндинг'!$B$5:$B$300,$B5))</f>
        <v/>
      </c>
      <c r="F5" s="240">
        <f>IF($B5="","",IF(SUMIFS('ИТОГО Торговля'!$F$5:$F$300,'ИТОГО Торговля'!$B$5:$B$300,$B5)+SUMIFS('ИТОГО Лэндинг'!$F$5:$F$300,'ИТОГО Лэндинг'!$B$5:$B$300,$B5)=0,"",SUMIFS('ИТОГО Торговля'!$F$5:$F$300,'ИТОГО Торговля'!$B$5:$B$300,$B5)+SUMIFS('ИТОГО Лэндинг'!$F$5:$F$300,'ИТОГО Лэндинг'!$B$5:$B$300,$B5)))</f>
        <v/>
      </c>
      <c r="G5" s="177">
        <f>IF(F5="","",H5/F5)</f>
        <v/>
      </c>
      <c r="H5" s="241">
        <f>IF(F5="","",SUMIFS('ИТОГО Торговля'!$H$5:$H$300,'ИТОГО Торговля'!$B$5:$B$300,$B5)+SUMIFS('ИТОГО Лэндинг'!$H$5:$H$300,'ИТОГО Лэндинг'!$B$5:$B$300,$B5))</f>
        <v/>
      </c>
      <c r="I5" s="240">
        <f>IF($B5="","",IF(AND(C5="",F5=""),"",ROUND(SUMIFS('ИТОГО Торговля'!$I$5:$I$300,'ИТОГО Торговля'!$B$5:$B$300,$B5)+SUMIFS('ИТОГО Лэндинг'!$I$5:$I$300,'ИТОГО Лэндинг'!$B$5:$B$300,$B5),8)))</f>
        <v/>
      </c>
      <c r="J5" s="241">
        <f>IF($B5="","",IF(AND(C5="",F5=""),"",ROUND(SUMIFS('ИТОГО Торговля'!$J$5:$J$300,'ИТОГО Торговля'!$B$5:$B$300,$B5)+SUMIFS('ИТОГО Лэндинг'!$J$5:$J$300,'ИТОГО Лэндинг'!$B$5:$B$300,$B5),8)))</f>
        <v/>
      </c>
      <c r="K5" s="240">
        <f>IF($B5="","",ROUND(SUMIFS('ИТОГО Торговля'!$K$5:$K$300,'ИТОГО Торговля'!$B$5:$B$300,$B5)+SUMIFS('ИТОГО Лэндинг'!$K$5:$K$300,'ИТОГО Лэндинг'!$B$5:$B$300,$B5),8))</f>
        <v/>
      </c>
      <c r="L5" s="177">
        <f>IF(K5="","",IF(SUMPRODUCT((Закрытые!$E$5:$E$300=$B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/SUMPRODUCT((Закрытые!$E$5:$E$300=$B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" s="177">
        <f>IF(OR(ROUND(N(C5)-N(F5),8)=0,1-N(Ввод!$E$17)/100&lt;=0),"",IF(N(C5)&gt;N(F5),(N(E5)-N(H5))/((N(C5)-N(F5))*(1-N(Ввод!$E$17)/100)),(N(H5)-N(E5))/((N(F5)-N(C5))*(1+N(Ввод!$E$17)/100))))</f>
        <v/>
      </c>
    </row>
    <row r="6" ht="22" customHeight="1">
      <c r="B6" s="320" t="inlineStr">
        <is>
          <t>AAVE/USDT</t>
        </is>
      </c>
      <c r="C6" s="246">
        <f>IF($B6="","",IF(SUMIFS('ИТОГО Торговля'!$C$5:$C$300,'ИТОГО Торговля'!$B$5:$B$300,$B6)+SUMIFS('ИТОГО Лэндинг'!$C$5:$C$300,'ИТОГО Лэндинг'!$B$5:$B$300,$B6)=0,"",SUMIFS('ИТОГО Торговля'!$C$5:$C$300,'ИТОГО Торговля'!$B$5:$B$300,$B6)+SUMIFS('ИТОГО Лэндинг'!$C$5:$C$300,'ИТОГО Лэндинг'!$B$5:$B$300,$B6)))</f>
        <v/>
      </c>
      <c r="D6" s="183">
        <f>IF(C6="","",E6/C6)</f>
        <v/>
      </c>
      <c r="E6" s="247">
        <f>IF(C6="","",SUMIFS('ИТОГО Торговля'!$E$5:$E$300,'ИТОГО Торговля'!$B$5:$B$300,$B6)+SUMIFS('ИТОГО Лэндинг'!$E$5:$E$300,'ИТОГО Лэндинг'!$B$5:$B$300,$B6))</f>
        <v/>
      </c>
      <c r="F6" s="246">
        <f>IF($B6="","",IF(SUMIFS('ИТОГО Торговля'!$F$5:$F$300,'ИТОГО Торговля'!$B$5:$B$300,$B6)+SUMIFS('ИТОГО Лэндинг'!$F$5:$F$300,'ИТОГО Лэндинг'!$B$5:$B$300,$B6)=0,"",SUMIFS('ИТОГО Торговля'!$F$5:$F$300,'ИТОГО Торговля'!$B$5:$B$300,$B6)+SUMIFS('ИТОГО Лэндинг'!$F$5:$F$300,'ИТОГО Лэндинг'!$B$5:$B$300,$B6)))</f>
        <v/>
      </c>
      <c r="G6" s="183">
        <f>IF(F6="","",H6/F6)</f>
        <v/>
      </c>
      <c r="H6" s="247">
        <f>IF(F6="","",SUMIFS('ИТОГО Торговля'!$H$5:$H$300,'ИТОГО Торговля'!$B$5:$B$300,$B6)+SUMIFS('ИТОГО Лэндинг'!$H$5:$H$300,'ИТОГО Лэндинг'!$B$5:$B$300,$B6))</f>
        <v/>
      </c>
      <c r="I6" s="246">
        <f>IF($B6="","",IF(AND(C6="",F6=""),"",ROUND(SUMIFS('ИТОГО Торговля'!$I$5:$I$300,'ИТОГО Торговля'!$B$5:$B$300,$B6)+SUMIFS('ИТОГО Лэндинг'!$I$5:$I$300,'ИТОГО Лэндинг'!$B$5:$B$300,$B6),8)))</f>
        <v/>
      </c>
      <c r="J6" s="247">
        <f>IF($B6="","",IF(AND(C6="",F6=""),"",ROUND(SUMIFS('ИТОГО Торговля'!$J$5:$J$300,'ИТОГО Торговля'!$B$5:$B$300,$B6)+SUMIFS('ИТОГО Лэндинг'!$J$5:$J$300,'ИТОГО Лэндинг'!$B$5:$B$300,$B6),8)))</f>
        <v/>
      </c>
      <c r="K6" s="246">
        <f>IF($B6="","",ROUND(SUMIFS('ИТОГО Торговля'!$K$5:$K$300,'ИТОГО Торговля'!$B$5:$B$300,$B6)+SUMIFS('ИТОГО Лэндинг'!$K$5:$K$300,'ИТОГО Лэндинг'!$B$5:$B$300,$B6),8))</f>
        <v/>
      </c>
      <c r="L6" s="183">
        <f>IF(K6="","",IF(SUMPRODUCT((Закрытые!$E$5:$E$300=$B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/SUMPRODUCT((Закрытые!$E$5:$E$300=$B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" s="183">
        <f>IF(OR(ROUND(N(C6)-N(F6),8)=0,1-N(Ввод!$E$17)/100&lt;=0),"",IF(N(C6)&gt;N(F6),(N(E6)-N(H6))/((N(C6)-N(F6))*(1-N(Ввод!$E$17)/100)),(N(H6)-N(E6))/((N(F6)-N(C6))*(1+N(Ввод!$E$17)/100))))</f>
        <v/>
      </c>
    </row>
    <row r="7" ht="22" customHeight="1">
      <c r="B7" s="315" t="inlineStr">
        <is>
          <t>ADA/USDT</t>
        </is>
      </c>
      <c r="C7" s="240">
        <f>IF($B7="","",IF(SUMIFS('ИТОГО Торговля'!$C$5:$C$300,'ИТОГО Торговля'!$B$5:$B$300,$B7)+SUMIFS('ИТОГО Лэндинг'!$C$5:$C$300,'ИТОГО Лэндинг'!$B$5:$B$300,$B7)=0,"",SUMIFS('ИТОГО Торговля'!$C$5:$C$300,'ИТОГО Торговля'!$B$5:$B$300,$B7)+SUMIFS('ИТОГО Лэндинг'!$C$5:$C$300,'ИТОГО Лэндинг'!$B$5:$B$300,$B7)))</f>
        <v/>
      </c>
      <c r="D7" s="177">
        <f>IF(C7="","",E7/C7)</f>
        <v/>
      </c>
      <c r="E7" s="241">
        <f>IF(C7="","",SUMIFS('ИТОГО Торговля'!$E$5:$E$300,'ИТОГО Торговля'!$B$5:$B$300,$B7)+SUMIFS('ИТОГО Лэндинг'!$E$5:$E$300,'ИТОГО Лэндинг'!$B$5:$B$300,$B7))</f>
        <v/>
      </c>
      <c r="F7" s="240">
        <f>IF($B7="","",IF(SUMIFS('ИТОГО Торговля'!$F$5:$F$300,'ИТОГО Торговля'!$B$5:$B$300,$B7)+SUMIFS('ИТОГО Лэндинг'!$F$5:$F$300,'ИТОГО Лэндинг'!$B$5:$B$300,$B7)=0,"",SUMIFS('ИТОГО Торговля'!$F$5:$F$300,'ИТОГО Торговля'!$B$5:$B$300,$B7)+SUMIFS('ИТОГО Лэндинг'!$F$5:$F$300,'ИТОГО Лэндинг'!$B$5:$B$300,$B7)))</f>
        <v/>
      </c>
      <c r="G7" s="177">
        <f>IF(F7="","",H7/F7)</f>
        <v/>
      </c>
      <c r="H7" s="241">
        <f>IF(F7="","",SUMIFS('ИТОГО Торговля'!$H$5:$H$300,'ИТОГО Торговля'!$B$5:$B$300,$B7)+SUMIFS('ИТОГО Лэндинг'!$H$5:$H$300,'ИТОГО Лэндинг'!$B$5:$B$300,$B7))</f>
        <v/>
      </c>
      <c r="I7" s="240">
        <f>IF($B7="","",IF(AND(C7="",F7=""),"",ROUND(SUMIFS('ИТОГО Торговля'!$I$5:$I$300,'ИТОГО Торговля'!$B$5:$B$300,$B7)+SUMIFS('ИТОГО Лэндинг'!$I$5:$I$300,'ИТОГО Лэндинг'!$B$5:$B$300,$B7),8)))</f>
        <v/>
      </c>
      <c r="J7" s="241">
        <f>IF($B7="","",IF(AND(C7="",F7=""),"",ROUND(SUMIFS('ИТОГО Торговля'!$J$5:$J$300,'ИТОГО Торговля'!$B$5:$B$300,$B7)+SUMIFS('ИТОГО Лэндинг'!$J$5:$J$300,'ИТОГО Лэндинг'!$B$5:$B$300,$B7),8)))</f>
        <v/>
      </c>
      <c r="K7" s="240">
        <f>IF($B7="","",ROUND(SUMIFS('ИТОГО Торговля'!$K$5:$K$300,'ИТОГО Торговля'!$B$5:$B$300,$B7)+SUMIFS('ИТОГО Лэндинг'!$K$5:$K$300,'ИТОГО Лэндинг'!$B$5:$B$300,$B7),8))</f>
        <v/>
      </c>
      <c r="L7" s="177">
        <f>IF(K7="","",IF(SUMPRODUCT((Закрытые!$E$5:$E$300=$B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/SUMPRODUCT((Закрытые!$E$5:$E$300=$B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" s="177">
        <f>IF(OR(ROUND(N(C7)-N(F7),8)=0,1-N(Ввод!$E$17)/100&lt;=0),"",IF(N(C7)&gt;N(F7),(N(E7)-N(H7))/((N(C7)-N(F7))*(1-N(Ввод!$E$17)/100)),(N(H7)-N(E7))/((N(F7)-N(C7))*(1+N(Ввод!$E$17)/100))))</f>
        <v/>
      </c>
    </row>
    <row r="8" ht="22" customHeight="1">
      <c r="B8" s="320" t="inlineStr">
        <is>
          <t>BNB/BTC</t>
        </is>
      </c>
      <c r="C8" s="246">
        <f>IF($B8="","",IF(SUMIFS('ИТОГО Торговля'!$C$5:$C$300,'ИТОГО Торговля'!$B$5:$B$300,$B8)+SUMIFS('ИТОГО Лэндинг'!$C$5:$C$300,'ИТОГО Лэндинг'!$B$5:$B$300,$B8)=0,"",SUMIFS('ИТОГО Торговля'!$C$5:$C$300,'ИТОГО Торговля'!$B$5:$B$300,$B8)+SUMIFS('ИТОГО Лэндинг'!$C$5:$C$300,'ИТОГО Лэндинг'!$B$5:$B$300,$B8)))</f>
        <v/>
      </c>
      <c r="D8" s="183">
        <f>IF(C8="","",E8/C8)</f>
        <v/>
      </c>
      <c r="E8" s="247">
        <f>IF(C8="","",SUMIFS('ИТОГО Торговля'!$E$5:$E$300,'ИТОГО Торговля'!$B$5:$B$300,$B8)+SUMIFS('ИТОГО Лэндинг'!$E$5:$E$300,'ИТОГО Лэндинг'!$B$5:$B$300,$B8))</f>
        <v/>
      </c>
      <c r="F8" s="246">
        <f>IF($B8="","",IF(SUMIFS('ИТОГО Торговля'!$F$5:$F$300,'ИТОГО Торговля'!$B$5:$B$300,$B8)+SUMIFS('ИТОГО Лэндинг'!$F$5:$F$300,'ИТОГО Лэндинг'!$B$5:$B$300,$B8)=0,"",SUMIFS('ИТОГО Торговля'!$F$5:$F$300,'ИТОГО Торговля'!$B$5:$B$300,$B8)+SUMIFS('ИТОГО Лэндинг'!$F$5:$F$300,'ИТОГО Лэндинг'!$B$5:$B$300,$B8)))</f>
        <v/>
      </c>
      <c r="G8" s="183">
        <f>IF(F8="","",H8/F8)</f>
        <v/>
      </c>
      <c r="H8" s="247">
        <f>IF(F8="","",SUMIFS('ИТОГО Торговля'!$H$5:$H$300,'ИТОГО Торговля'!$B$5:$B$300,$B8)+SUMIFS('ИТОГО Лэндинг'!$H$5:$H$300,'ИТОГО Лэндинг'!$B$5:$B$300,$B8))</f>
        <v/>
      </c>
      <c r="I8" s="246">
        <f>IF($B8="","",IF(AND(C8="",F8=""),"",ROUND(SUMIFS('ИТОГО Торговля'!$I$5:$I$300,'ИТОГО Торговля'!$B$5:$B$300,$B8)+SUMIFS('ИТОГО Лэндинг'!$I$5:$I$300,'ИТОГО Лэндинг'!$B$5:$B$300,$B8),8)))</f>
        <v/>
      </c>
      <c r="J8" s="247">
        <f>IF($B8="","",IF(AND(C8="",F8=""),"",ROUND(SUMIFS('ИТОГО Торговля'!$J$5:$J$300,'ИТОГО Торговля'!$B$5:$B$300,$B8)+SUMIFS('ИТОГО Лэндинг'!$J$5:$J$300,'ИТОГО Лэндинг'!$B$5:$B$300,$B8),8)))</f>
        <v/>
      </c>
      <c r="K8" s="246">
        <f>IF($B8="","",ROUND(SUMIFS('ИТОГО Торговля'!$K$5:$K$300,'ИТОГО Торговля'!$B$5:$B$300,$B8)+SUMIFS('ИТОГО Лэндинг'!$K$5:$K$300,'ИТОГО Лэндинг'!$B$5:$B$300,$B8),8))</f>
        <v/>
      </c>
      <c r="L8" s="183">
        <f>IF(K8="","",IF(SUMPRODUCT((Закрытые!$E$5:$E$300=$B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/SUMPRODUCT((Закрытые!$E$5:$E$300=$B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" s="183">
        <f>IF(OR(ROUND(N(C8)-N(F8),8)=0,1-N(Ввод!$E$17)/100&lt;=0),"",IF(N(C8)&gt;N(F8),(N(E8)-N(H8))/((N(C8)-N(F8))*(1-N(Ввод!$E$17)/100)),(N(H8)-N(E8))/((N(F8)-N(C8))*(1+N(Ввод!$E$17)/100))))</f>
        <v/>
      </c>
    </row>
    <row r="9" ht="22" customHeight="1">
      <c r="B9" s="315" t="inlineStr">
        <is>
          <t>BNB/ETH</t>
        </is>
      </c>
      <c r="C9" s="240">
        <f>IF($B9="","",IF(SUMIFS('ИТОГО Торговля'!$C$5:$C$300,'ИТОГО Торговля'!$B$5:$B$300,$B9)+SUMIFS('ИТОГО Лэндинг'!$C$5:$C$300,'ИТОГО Лэндинг'!$B$5:$B$300,$B9)=0,"",SUMIFS('ИТОГО Торговля'!$C$5:$C$300,'ИТОГО Торговля'!$B$5:$B$300,$B9)+SUMIFS('ИТОГО Лэндинг'!$C$5:$C$300,'ИТОГО Лэндинг'!$B$5:$B$300,$B9)))</f>
        <v/>
      </c>
      <c r="D9" s="177">
        <f>IF(C9="","",E9/C9)</f>
        <v/>
      </c>
      <c r="E9" s="241">
        <f>IF(C9="","",SUMIFS('ИТОГО Торговля'!$E$5:$E$300,'ИТОГО Торговля'!$B$5:$B$300,$B9)+SUMIFS('ИТОГО Лэндинг'!$E$5:$E$300,'ИТОГО Лэндинг'!$B$5:$B$300,$B9))</f>
        <v/>
      </c>
      <c r="F9" s="240">
        <f>IF($B9="","",IF(SUMIFS('ИТОГО Торговля'!$F$5:$F$300,'ИТОГО Торговля'!$B$5:$B$300,$B9)+SUMIFS('ИТОГО Лэндинг'!$F$5:$F$300,'ИТОГО Лэндинг'!$B$5:$B$300,$B9)=0,"",SUMIFS('ИТОГО Торговля'!$F$5:$F$300,'ИТОГО Торговля'!$B$5:$B$300,$B9)+SUMIFS('ИТОГО Лэндинг'!$F$5:$F$300,'ИТОГО Лэндинг'!$B$5:$B$300,$B9)))</f>
        <v/>
      </c>
      <c r="G9" s="177">
        <f>IF(F9="","",H9/F9)</f>
        <v/>
      </c>
      <c r="H9" s="241">
        <f>IF(F9="","",SUMIFS('ИТОГО Торговля'!$H$5:$H$300,'ИТОГО Торговля'!$B$5:$B$300,$B9)+SUMIFS('ИТОГО Лэндинг'!$H$5:$H$300,'ИТОГО Лэндинг'!$B$5:$B$300,$B9))</f>
        <v/>
      </c>
      <c r="I9" s="240">
        <f>IF($B9="","",IF(AND(C9="",F9=""),"",ROUND(SUMIFS('ИТОГО Торговля'!$I$5:$I$300,'ИТОГО Торговля'!$B$5:$B$300,$B9)+SUMIFS('ИТОГО Лэндинг'!$I$5:$I$300,'ИТОГО Лэндинг'!$B$5:$B$300,$B9),8)))</f>
        <v/>
      </c>
      <c r="J9" s="241">
        <f>IF($B9="","",IF(AND(C9="",F9=""),"",ROUND(SUMIFS('ИТОГО Торговля'!$J$5:$J$300,'ИТОГО Торговля'!$B$5:$B$300,$B9)+SUMIFS('ИТОГО Лэндинг'!$J$5:$J$300,'ИТОГО Лэндинг'!$B$5:$B$300,$B9),8)))</f>
        <v/>
      </c>
      <c r="K9" s="240">
        <f>IF($B9="","",ROUND(SUMIFS('ИТОГО Торговля'!$K$5:$K$300,'ИТОГО Торговля'!$B$5:$B$300,$B9)+SUMIFS('ИТОГО Лэндинг'!$K$5:$K$300,'ИТОГО Лэндинг'!$B$5:$B$300,$B9),8))</f>
        <v/>
      </c>
      <c r="L9" s="177">
        <f>IF(K9="","",IF(SUMPRODUCT((Закрытые!$E$5:$E$300=$B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/SUMPRODUCT((Закрытые!$E$5:$E$300=$B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" s="177">
        <f>IF(OR(ROUND(N(C9)-N(F9),8)=0,1-N(Ввод!$E$17)/100&lt;=0),"",IF(N(C9)&gt;N(F9),(N(E9)-N(H9))/((N(C9)-N(F9))*(1-N(Ввод!$E$17)/100)),(N(H9)-N(E9))/((N(F9)-N(C9))*(1+N(Ввод!$E$17)/100))))</f>
        <v/>
      </c>
    </row>
    <row r="10" ht="22" customHeight="1">
      <c r="B10" s="320" t="inlineStr">
        <is>
          <t>BNB/USDT</t>
        </is>
      </c>
      <c r="C10" s="246">
        <f>IF($B10="","",IF(SUMIFS('ИТОГО Торговля'!$C$5:$C$300,'ИТОГО Торговля'!$B$5:$B$300,$B10)+SUMIFS('ИТОГО Лэндинг'!$C$5:$C$300,'ИТОГО Лэндинг'!$B$5:$B$300,$B10)=0,"",SUMIFS('ИТОГО Торговля'!$C$5:$C$300,'ИТОГО Торговля'!$B$5:$B$300,$B10)+SUMIFS('ИТОГО Лэндинг'!$C$5:$C$300,'ИТОГО Лэндинг'!$B$5:$B$300,$B10)))</f>
        <v/>
      </c>
      <c r="D10" s="183">
        <f>IF(C10="","",E10/C10)</f>
        <v/>
      </c>
      <c r="E10" s="247">
        <f>IF(C10="","",SUMIFS('ИТОГО Торговля'!$E$5:$E$300,'ИТОГО Торговля'!$B$5:$B$300,$B10)+SUMIFS('ИТОГО Лэндинг'!$E$5:$E$300,'ИТОГО Лэндинг'!$B$5:$B$300,$B10))</f>
        <v/>
      </c>
      <c r="F10" s="246">
        <f>IF($B10="","",IF(SUMIFS('ИТОГО Торговля'!$F$5:$F$300,'ИТОГО Торговля'!$B$5:$B$300,$B10)+SUMIFS('ИТОГО Лэндинг'!$F$5:$F$300,'ИТОГО Лэндинг'!$B$5:$B$300,$B10)=0,"",SUMIFS('ИТОГО Торговля'!$F$5:$F$300,'ИТОГО Торговля'!$B$5:$B$300,$B10)+SUMIFS('ИТОГО Лэндинг'!$F$5:$F$300,'ИТОГО Лэндинг'!$B$5:$B$300,$B10)))</f>
        <v/>
      </c>
      <c r="G10" s="183">
        <f>IF(F10="","",H10/F10)</f>
        <v/>
      </c>
      <c r="H10" s="247">
        <f>IF(F10="","",SUMIFS('ИТОГО Торговля'!$H$5:$H$300,'ИТОГО Торговля'!$B$5:$B$300,$B10)+SUMIFS('ИТОГО Лэндинг'!$H$5:$H$300,'ИТОГО Лэндинг'!$B$5:$B$300,$B10))</f>
        <v/>
      </c>
      <c r="I10" s="246">
        <f>IF($B10="","",IF(AND(C10="",F10=""),"",ROUND(SUMIFS('ИТОГО Торговля'!$I$5:$I$300,'ИТОГО Торговля'!$B$5:$B$300,$B10)+SUMIFS('ИТОГО Лэндинг'!$I$5:$I$300,'ИТОГО Лэндинг'!$B$5:$B$300,$B10),8)))</f>
        <v/>
      </c>
      <c r="J10" s="247">
        <f>IF($B10="","",IF(AND(C10="",F10=""),"",ROUND(SUMIFS('ИТОГО Торговля'!$J$5:$J$300,'ИТОГО Торговля'!$B$5:$B$300,$B10)+SUMIFS('ИТОГО Лэндинг'!$J$5:$J$300,'ИТОГО Лэндинг'!$B$5:$B$300,$B10),8)))</f>
        <v/>
      </c>
      <c r="K10" s="246">
        <f>IF($B10="","",ROUND(SUMIFS('ИТОГО Торговля'!$K$5:$K$300,'ИТОГО Торговля'!$B$5:$B$300,$B10)+SUMIFS('ИТОГО Лэндинг'!$K$5:$K$300,'ИТОГО Лэндинг'!$B$5:$B$300,$B10),8))</f>
        <v/>
      </c>
      <c r="L10" s="183">
        <f>IF(K10="","",IF(SUMPRODUCT((Закрытые!$E$5:$E$300=$B10)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/SUMPRODUCT((Закрытые!$E$5:$E$300=$B10)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" s="183">
        <f>IF(OR(ROUND(N(C10)-N(F10),8)=0,1-N(Ввод!$E$17)/100&lt;=0),"",IF(N(C10)&gt;N(F10),(N(E10)-N(H10))/((N(C10)-N(F10))*(1-N(Ввод!$E$17)/100)),(N(H10)-N(E10))/((N(F10)-N(C10))*(1+N(Ввод!$E$17)/100))))</f>
        <v/>
      </c>
    </row>
    <row r="11" ht="22" customHeight="1">
      <c r="B11" s="315" t="inlineStr">
        <is>
          <t>BTC/USDT</t>
        </is>
      </c>
      <c r="C11" s="240">
        <f>IF($B11="","",IF(SUMIFS('ИТОГО Торговля'!$C$5:$C$300,'ИТОГО Торговля'!$B$5:$B$300,$B11)+SUMIFS('ИТОГО Лэндинг'!$C$5:$C$300,'ИТОГО Лэндинг'!$B$5:$B$300,$B11)=0,"",SUMIFS('ИТОГО Торговля'!$C$5:$C$300,'ИТОГО Торговля'!$B$5:$B$300,$B11)+SUMIFS('ИТОГО Лэндинг'!$C$5:$C$300,'ИТОГО Лэндинг'!$B$5:$B$300,$B11)))</f>
        <v/>
      </c>
      <c r="D11" s="177">
        <f>IF(C11="","",E11/C11)</f>
        <v/>
      </c>
      <c r="E11" s="241">
        <f>IF(C11="","",SUMIFS('ИТОГО Торговля'!$E$5:$E$300,'ИТОГО Торговля'!$B$5:$B$300,$B11)+SUMIFS('ИТОГО Лэндинг'!$E$5:$E$300,'ИТОГО Лэндинг'!$B$5:$B$300,$B11))</f>
        <v/>
      </c>
      <c r="F11" s="240">
        <f>IF($B11="","",IF(SUMIFS('ИТОГО Торговля'!$F$5:$F$300,'ИТОГО Торговля'!$B$5:$B$300,$B11)+SUMIFS('ИТОГО Лэндинг'!$F$5:$F$300,'ИТОГО Лэндинг'!$B$5:$B$300,$B11)=0,"",SUMIFS('ИТОГО Торговля'!$F$5:$F$300,'ИТОГО Торговля'!$B$5:$B$300,$B11)+SUMIFS('ИТОГО Лэндинг'!$F$5:$F$300,'ИТОГО Лэндинг'!$B$5:$B$300,$B11)))</f>
        <v/>
      </c>
      <c r="G11" s="177">
        <f>IF(F11="","",H11/F11)</f>
        <v/>
      </c>
      <c r="H11" s="241">
        <f>IF(F11="","",SUMIFS('ИТОГО Торговля'!$H$5:$H$300,'ИТОГО Торговля'!$B$5:$B$300,$B11)+SUMIFS('ИТОГО Лэндинг'!$H$5:$H$300,'ИТОГО Лэндинг'!$B$5:$B$300,$B11))</f>
        <v/>
      </c>
      <c r="I11" s="240">
        <f>IF($B11="","",IF(AND(C11="",F11=""),"",ROUND(SUMIFS('ИТОГО Торговля'!$I$5:$I$300,'ИТОГО Торговля'!$B$5:$B$300,$B11)+SUMIFS('ИТОГО Лэндинг'!$I$5:$I$300,'ИТОГО Лэндинг'!$B$5:$B$300,$B11),8)))</f>
        <v/>
      </c>
      <c r="J11" s="241">
        <f>IF($B11="","",IF(AND(C11="",F11=""),"",ROUND(SUMIFS('ИТОГО Торговля'!$J$5:$J$300,'ИТОГО Торговля'!$B$5:$B$300,$B11)+SUMIFS('ИТОГО Лэндинг'!$J$5:$J$300,'ИТОГО Лэндинг'!$B$5:$B$300,$B11),8)))</f>
        <v/>
      </c>
      <c r="K11" s="240">
        <f>IF($B11="","",ROUND(SUMIFS('ИТОГО Торговля'!$K$5:$K$300,'ИТОГО Торговля'!$B$5:$B$300,$B11)+SUMIFS('ИТОГО Лэндинг'!$K$5:$K$300,'ИТОГО Лэндинг'!$B$5:$B$300,$B11),8))</f>
        <v/>
      </c>
      <c r="L11" s="177">
        <f>IF(K11="","",IF(SUMPRODUCT((Закрытые!$E$5:$E$300=$B11)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/SUMPRODUCT((Закрытые!$E$5:$E$300=$B11)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" s="177">
        <f>IF(OR(ROUND(N(C11)-N(F11),8)=0,1-N(Ввод!$E$17)/100&lt;=0),"",IF(N(C11)&gt;N(F11),(N(E11)-N(H11))/((N(C11)-N(F11))*(1-N(Ввод!$E$17)/100)),(N(H11)-N(E11))/((N(F11)-N(C11))*(1+N(Ввод!$E$17)/100))))</f>
        <v/>
      </c>
    </row>
    <row r="12" ht="22" customHeight="1">
      <c r="B12" s="320" t="inlineStr">
        <is>
          <t>CAKE/BTC</t>
        </is>
      </c>
      <c r="C12" s="246">
        <f>IF($B12="","",IF(SUMIFS('ИТОГО Торговля'!$C$5:$C$300,'ИТОГО Торговля'!$B$5:$B$300,$B12)+SUMIFS('ИТОГО Лэндинг'!$C$5:$C$300,'ИТОГО Лэндинг'!$B$5:$B$300,$B12)=0,"",SUMIFS('ИТОГО Торговля'!$C$5:$C$300,'ИТОГО Торговля'!$B$5:$B$300,$B12)+SUMIFS('ИТОГО Лэндинг'!$C$5:$C$300,'ИТОГО Лэндинг'!$B$5:$B$300,$B12)))</f>
        <v/>
      </c>
      <c r="D12" s="183">
        <f>IF(C12="","",E12/C12)</f>
        <v/>
      </c>
      <c r="E12" s="247">
        <f>IF(C12="","",SUMIFS('ИТОГО Торговля'!$E$5:$E$300,'ИТОГО Торговля'!$B$5:$B$300,$B12)+SUMIFS('ИТОГО Лэндинг'!$E$5:$E$300,'ИТОГО Лэндинг'!$B$5:$B$300,$B12))</f>
        <v/>
      </c>
      <c r="F12" s="246">
        <f>IF($B12="","",IF(SUMIFS('ИТОГО Торговля'!$F$5:$F$300,'ИТОГО Торговля'!$B$5:$B$300,$B12)+SUMIFS('ИТОГО Лэндинг'!$F$5:$F$300,'ИТОГО Лэндинг'!$B$5:$B$300,$B12)=0,"",SUMIFS('ИТОГО Торговля'!$F$5:$F$300,'ИТОГО Торговля'!$B$5:$B$300,$B12)+SUMIFS('ИТОГО Лэндинг'!$F$5:$F$300,'ИТОГО Лэндинг'!$B$5:$B$300,$B12)))</f>
        <v/>
      </c>
      <c r="G12" s="183">
        <f>IF(F12="","",H12/F12)</f>
        <v/>
      </c>
      <c r="H12" s="247">
        <f>IF(F12="","",SUMIFS('ИТОГО Торговля'!$H$5:$H$300,'ИТОГО Торговля'!$B$5:$B$300,$B12)+SUMIFS('ИТОГО Лэндинг'!$H$5:$H$300,'ИТОГО Лэндинг'!$B$5:$B$300,$B12))</f>
        <v/>
      </c>
      <c r="I12" s="246">
        <f>IF($B12="","",IF(AND(C12="",F12=""),"",ROUND(SUMIFS('ИТОГО Торговля'!$I$5:$I$300,'ИТОГО Торговля'!$B$5:$B$300,$B12)+SUMIFS('ИТОГО Лэндинг'!$I$5:$I$300,'ИТОГО Лэндинг'!$B$5:$B$300,$B12),8)))</f>
        <v/>
      </c>
      <c r="J12" s="247">
        <f>IF($B12="","",IF(AND(C12="",F12=""),"",ROUND(SUMIFS('ИТОГО Торговля'!$J$5:$J$300,'ИТОГО Торговля'!$B$5:$B$300,$B12)+SUMIFS('ИТОГО Лэндинг'!$J$5:$J$300,'ИТОГО Лэндинг'!$B$5:$B$300,$B12),8)))</f>
        <v/>
      </c>
      <c r="K12" s="246">
        <f>IF($B12="","",ROUND(SUMIFS('ИТОГО Торговля'!$K$5:$K$300,'ИТОГО Торговля'!$B$5:$B$300,$B12)+SUMIFS('ИТОГО Лэндинг'!$K$5:$K$300,'ИТОГО Лэндинг'!$B$5:$B$300,$B12),8))</f>
        <v/>
      </c>
      <c r="L12" s="183">
        <f>IF(K12="","",IF(SUMPRODUCT((Закрытые!$E$5:$E$300=$B12)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/SUMPRODUCT((Закрытые!$E$5:$E$300=$B12)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" s="183">
        <f>IF(OR(ROUND(N(C12)-N(F12),8)=0,1-N(Ввод!$E$17)/100&lt;=0),"",IF(N(C12)&gt;N(F12),(N(E12)-N(H12))/((N(C12)-N(F12))*(1-N(Ввод!$E$17)/100)),(N(H12)-N(E12))/((N(F12)-N(C12))*(1+N(Ввод!$E$17)/100))))</f>
        <v/>
      </c>
    </row>
    <row r="13" ht="22" customHeight="1">
      <c r="B13" s="315" t="inlineStr">
        <is>
          <t>CAKE/ETH</t>
        </is>
      </c>
      <c r="C13" s="240">
        <f>IF($B13="","",IF(SUMIFS('ИТОГО Торговля'!$C$5:$C$300,'ИТОГО Торговля'!$B$5:$B$300,$B13)+SUMIFS('ИТОГО Лэндинг'!$C$5:$C$300,'ИТОГО Лэндинг'!$B$5:$B$300,$B13)=0,"",SUMIFS('ИТОГО Торговля'!$C$5:$C$300,'ИТОГО Торговля'!$B$5:$B$300,$B13)+SUMIFS('ИТОГО Лэндинг'!$C$5:$C$300,'ИТОГО Лэндинг'!$B$5:$B$300,$B13)))</f>
        <v/>
      </c>
      <c r="D13" s="177">
        <f>IF(C13="","",E13/C13)</f>
        <v/>
      </c>
      <c r="E13" s="241">
        <f>IF(C13="","",SUMIFS('ИТОГО Торговля'!$E$5:$E$300,'ИТОГО Торговля'!$B$5:$B$300,$B13)+SUMIFS('ИТОГО Лэндинг'!$E$5:$E$300,'ИТОГО Лэндинг'!$B$5:$B$300,$B13))</f>
        <v/>
      </c>
      <c r="F13" s="240">
        <f>IF($B13="","",IF(SUMIFS('ИТОГО Торговля'!$F$5:$F$300,'ИТОГО Торговля'!$B$5:$B$300,$B13)+SUMIFS('ИТОГО Лэндинг'!$F$5:$F$300,'ИТОГО Лэндинг'!$B$5:$B$300,$B13)=0,"",SUMIFS('ИТОГО Торговля'!$F$5:$F$300,'ИТОГО Торговля'!$B$5:$B$300,$B13)+SUMIFS('ИТОГО Лэндинг'!$F$5:$F$300,'ИТОГО Лэндинг'!$B$5:$B$300,$B13)))</f>
        <v/>
      </c>
      <c r="G13" s="177">
        <f>IF(F13="","",H13/F13)</f>
        <v/>
      </c>
      <c r="H13" s="241">
        <f>IF(F13="","",SUMIFS('ИТОГО Торговля'!$H$5:$H$300,'ИТОГО Торговля'!$B$5:$B$300,$B13)+SUMIFS('ИТОГО Лэндинг'!$H$5:$H$300,'ИТОГО Лэндинг'!$B$5:$B$300,$B13))</f>
        <v/>
      </c>
      <c r="I13" s="240">
        <f>IF($B13="","",IF(AND(C13="",F13=""),"",ROUND(SUMIFS('ИТОГО Торговля'!$I$5:$I$300,'ИТОГО Торговля'!$B$5:$B$300,$B13)+SUMIFS('ИТОГО Лэндинг'!$I$5:$I$300,'ИТОГО Лэндинг'!$B$5:$B$300,$B13),8)))</f>
        <v/>
      </c>
      <c r="J13" s="241">
        <f>IF($B13="","",IF(AND(C13="",F13=""),"",ROUND(SUMIFS('ИТОГО Торговля'!$J$5:$J$300,'ИТОГО Торговля'!$B$5:$B$300,$B13)+SUMIFS('ИТОГО Лэндинг'!$J$5:$J$300,'ИТОГО Лэндинг'!$B$5:$B$300,$B13),8)))</f>
        <v/>
      </c>
      <c r="K13" s="240">
        <f>IF($B13="","",ROUND(SUMIFS('ИТОГО Торговля'!$K$5:$K$300,'ИТОГО Торговля'!$B$5:$B$300,$B13)+SUMIFS('ИТОГО Лэндинг'!$K$5:$K$300,'ИТОГО Лэндинг'!$B$5:$B$300,$B13),8))</f>
        <v/>
      </c>
      <c r="L13" s="177">
        <f>IF(K13="","",IF(SUMPRODUCT((Закрытые!$E$5:$E$300=$B13)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/SUMPRODUCT((Закрытые!$E$5:$E$300=$B13)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" s="177">
        <f>IF(OR(ROUND(N(C13)-N(F13),8)=0,1-N(Ввод!$E$17)/100&lt;=0),"",IF(N(C13)&gt;N(F13),(N(E13)-N(H13))/((N(C13)-N(F13))*(1-N(Ввод!$E$17)/100)),(N(H13)-N(E13))/((N(F13)-N(C13))*(1+N(Ввод!$E$17)/100))))</f>
        <v/>
      </c>
    </row>
    <row r="14" ht="22" customHeight="1">
      <c r="B14" s="320" t="inlineStr">
        <is>
          <t>DASH/BTC</t>
        </is>
      </c>
      <c r="C14" s="246">
        <f>IF($B14="","",IF(SUMIFS('ИТОГО Торговля'!$C$5:$C$300,'ИТОГО Торговля'!$B$5:$B$300,$B14)+SUMIFS('ИТОГО Лэндинг'!$C$5:$C$300,'ИТОГО Лэндинг'!$B$5:$B$300,$B14)=0,"",SUMIFS('ИТОГО Торговля'!$C$5:$C$300,'ИТОГО Торговля'!$B$5:$B$300,$B14)+SUMIFS('ИТОГО Лэндинг'!$C$5:$C$300,'ИТОГО Лэндинг'!$B$5:$B$300,$B14)))</f>
        <v/>
      </c>
      <c r="D14" s="183">
        <f>IF(C14="","",E14/C14)</f>
        <v/>
      </c>
      <c r="E14" s="247">
        <f>IF(C14="","",SUMIFS('ИТОГО Торговля'!$E$5:$E$300,'ИТОГО Торговля'!$B$5:$B$300,$B14)+SUMIFS('ИТОГО Лэндинг'!$E$5:$E$300,'ИТОГО Лэндинг'!$B$5:$B$300,$B14))</f>
        <v/>
      </c>
      <c r="F14" s="246">
        <f>IF($B14="","",IF(SUMIFS('ИТОГО Торговля'!$F$5:$F$300,'ИТОГО Торговля'!$B$5:$B$300,$B14)+SUMIFS('ИТОГО Лэндинг'!$F$5:$F$300,'ИТОГО Лэндинг'!$B$5:$B$300,$B14)=0,"",SUMIFS('ИТОГО Торговля'!$F$5:$F$300,'ИТОГО Торговля'!$B$5:$B$300,$B14)+SUMIFS('ИТОГО Лэндинг'!$F$5:$F$300,'ИТОГО Лэндинг'!$B$5:$B$300,$B14)))</f>
        <v/>
      </c>
      <c r="G14" s="183">
        <f>IF(F14="","",H14/F14)</f>
        <v/>
      </c>
      <c r="H14" s="247">
        <f>IF(F14="","",SUMIFS('ИТОГО Торговля'!$H$5:$H$300,'ИТОГО Торговля'!$B$5:$B$300,$B14)+SUMIFS('ИТОГО Лэндинг'!$H$5:$H$300,'ИТОГО Лэндинг'!$B$5:$B$300,$B14))</f>
        <v/>
      </c>
      <c r="I14" s="246">
        <f>IF($B14="","",IF(AND(C14="",F14=""),"",ROUND(SUMIFS('ИТОГО Торговля'!$I$5:$I$300,'ИТОГО Торговля'!$B$5:$B$300,$B14)+SUMIFS('ИТОГО Лэндинг'!$I$5:$I$300,'ИТОГО Лэндинг'!$B$5:$B$300,$B14),8)))</f>
        <v/>
      </c>
      <c r="J14" s="247">
        <f>IF($B14="","",IF(AND(C14="",F14=""),"",ROUND(SUMIFS('ИТОГО Торговля'!$J$5:$J$300,'ИТОГО Торговля'!$B$5:$B$300,$B14)+SUMIFS('ИТОГО Лэндинг'!$J$5:$J$300,'ИТОГО Лэндинг'!$B$5:$B$300,$B14),8)))</f>
        <v/>
      </c>
      <c r="K14" s="246">
        <f>IF($B14="","",ROUND(SUMIFS('ИТОГО Торговля'!$K$5:$K$300,'ИТОГО Торговля'!$B$5:$B$300,$B14)+SUMIFS('ИТОГО Лэндинг'!$K$5:$K$300,'ИТОГО Лэндинг'!$B$5:$B$300,$B14),8))</f>
        <v/>
      </c>
      <c r="L14" s="183">
        <f>IF(K14="","",IF(SUMPRODUCT((Закрытые!$E$5:$E$300=$B14)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/SUMPRODUCT((Закрытые!$E$5:$E$300=$B14)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" s="183">
        <f>IF(OR(ROUND(N(C14)-N(F14),8)=0,1-N(Ввод!$E$17)/100&lt;=0),"",IF(N(C14)&gt;N(F14),(N(E14)-N(H14))/((N(C14)-N(F14))*(1-N(Ввод!$E$17)/100)),(N(H14)-N(E14))/((N(F14)-N(C14))*(1+N(Ввод!$E$17)/100))))</f>
        <v/>
      </c>
    </row>
    <row r="15" ht="22" customHeight="1">
      <c r="B15" s="315" t="inlineStr">
        <is>
          <t>DASH/LTC</t>
        </is>
      </c>
      <c r="C15" s="240">
        <f>IF($B15="","",IF(SUMIFS('ИТОГО Торговля'!$C$5:$C$300,'ИТОГО Торговля'!$B$5:$B$300,$B15)+SUMIFS('ИТОГО Лэндинг'!$C$5:$C$300,'ИТОГО Лэндинг'!$B$5:$B$300,$B15)=0,"",SUMIFS('ИТОГО Торговля'!$C$5:$C$300,'ИТОГО Торговля'!$B$5:$B$300,$B15)+SUMIFS('ИТОГО Лэндинг'!$C$5:$C$300,'ИТОГО Лэндинг'!$B$5:$B$300,$B15)))</f>
        <v/>
      </c>
      <c r="D15" s="177">
        <f>IF(C15="","",E15/C15)</f>
        <v/>
      </c>
      <c r="E15" s="241">
        <f>IF(C15="","",SUMIFS('ИТОГО Торговля'!$E$5:$E$300,'ИТОГО Торговля'!$B$5:$B$300,$B15)+SUMIFS('ИТОГО Лэндинг'!$E$5:$E$300,'ИТОГО Лэндинг'!$B$5:$B$300,$B15))</f>
        <v/>
      </c>
      <c r="F15" s="240">
        <f>IF($B15="","",IF(SUMIFS('ИТОГО Торговля'!$F$5:$F$300,'ИТОГО Торговля'!$B$5:$B$300,$B15)+SUMIFS('ИТОГО Лэндинг'!$F$5:$F$300,'ИТОГО Лэндинг'!$B$5:$B$300,$B15)=0,"",SUMIFS('ИТОГО Торговля'!$F$5:$F$300,'ИТОГО Торговля'!$B$5:$B$300,$B15)+SUMIFS('ИТОГО Лэндинг'!$F$5:$F$300,'ИТОГО Лэндинг'!$B$5:$B$300,$B15)))</f>
        <v/>
      </c>
      <c r="G15" s="177">
        <f>IF(F15="","",H15/F15)</f>
        <v/>
      </c>
      <c r="H15" s="241">
        <f>IF(F15="","",SUMIFS('ИТОГО Торговля'!$H$5:$H$300,'ИТОГО Торговля'!$B$5:$B$300,$B15)+SUMIFS('ИТОГО Лэндинг'!$H$5:$H$300,'ИТОГО Лэндинг'!$B$5:$B$300,$B15))</f>
        <v/>
      </c>
      <c r="I15" s="240">
        <f>IF($B15="","",IF(AND(C15="",F15=""),"",ROUND(SUMIFS('ИТОГО Торговля'!$I$5:$I$300,'ИТОГО Торговля'!$B$5:$B$300,$B15)+SUMIFS('ИТОГО Лэндинг'!$I$5:$I$300,'ИТОГО Лэндинг'!$B$5:$B$300,$B15),8)))</f>
        <v/>
      </c>
      <c r="J15" s="241">
        <f>IF($B15="","",IF(AND(C15="",F15=""),"",ROUND(SUMIFS('ИТОГО Торговля'!$J$5:$J$300,'ИТОГО Торговля'!$B$5:$B$300,$B15)+SUMIFS('ИТОГО Лэндинг'!$J$5:$J$300,'ИТОГО Лэндинг'!$B$5:$B$300,$B15),8)))</f>
        <v/>
      </c>
      <c r="K15" s="240">
        <f>IF($B15="","",ROUND(SUMIFS('ИТОГО Торговля'!$K$5:$K$300,'ИТОГО Торговля'!$B$5:$B$300,$B15)+SUMIFS('ИТОГО Лэндинг'!$K$5:$K$300,'ИТОГО Лэндинг'!$B$5:$B$300,$B15),8))</f>
        <v/>
      </c>
      <c r="L15" s="177">
        <f>IF(K15="","",IF(SUMPRODUCT((Закрытые!$E$5:$E$300=$B15)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/SUMPRODUCT((Закрытые!$E$5:$E$300=$B15)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" s="177">
        <f>IF(OR(ROUND(N(C15)-N(F15),8)=0,1-N(Ввод!$E$17)/100&lt;=0),"",IF(N(C15)&gt;N(F15),(N(E15)-N(H15))/((N(C15)-N(F15))*(1-N(Ввод!$E$17)/100)),(N(H15)-N(E15))/((N(F15)-N(C15))*(1+N(Ввод!$E$17)/100))))</f>
        <v/>
      </c>
    </row>
    <row r="16" ht="22" customHeight="1">
      <c r="B16" s="320" t="inlineStr">
        <is>
          <t>DOGE/BTC</t>
        </is>
      </c>
      <c r="C16" s="246">
        <f>IF($B16="","",IF(SUMIFS('ИТОГО Торговля'!$C$5:$C$300,'ИТОГО Торговля'!$B$5:$B$300,$B16)+SUMIFS('ИТОГО Лэндинг'!$C$5:$C$300,'ИТОГО Лэндинг'!$B$5:$B$300,$B16)=0,"",SUMIFS('ИТОГО Торговля'!$C$5:$C$300,'ИТОГО Торговля'!$B$5:$B$300,$B16)+SUMIFS('ИТОГО Лэндинг'!$C$5:$C$300,'ИТОГО Лэндинг'!$B$5:$B$300,$B16)))</f>
        <v/>
      </c>
      <c r="D16" s="183">
        <f>IF(C16="","",E16/C16)</f>
        <v/>
      </c>
      <c r="E16" s="247">
        <f>IF(C16="","",SUMIFS('ИТОГО Торговля'!$E$5:$E$300,'ИТОГО Торговля'!$B$5:$B$300,$B16)+SUMIFS('ИТОГО Лэндинг'!$E$5:$E$300,'ИТОГО Лэндинг'!$B$5:$B$300,$B16))</f>
        <v/>
      </c>
      <c r="F16" s="246">
        <f>IF($B16="","",IF(SUMIFS('ИТОГО Торговля'!$F$5:$F$300,'ИТОГО Торговля'!$B$5:$B$300,$B16)+SUMIFS('ИТОГО Лэндинг'!$F$5:$F$300,'ИТОГО Лэндинг'!$B$5:$B$300,$B16)=0,"",SUMIFS('ИТОГО Торговля'!$F$5:$F$300,'ИТОГО Торговля'!$B$5:$B$300,$B16)+SUMIFS('ИТОГО Лэндинг'!$F$5:$F$300,'ИТОГО Лэндинг'!$B$5:$B$300,$B16)))</f>
        <v/>
      </c>
      <c r="G16" s="183">
        <f>IF(F16="","",H16/F16)</f>
        <v/>
      </c>
      <c r="H16" s="247">
        <f>IF(F16="","",SUMIFS('ИТОГО Торговля'!$H$5:$H$300,'ИТОГО Торговля'!$B$5:$B$300,$B16)+SUMIFS('ИТОГО Лэндинг'!$H$5:$H$300,'ИТОГО Лэндинг'!$B$5:$B$300,$B16))</f>
        <v/>
      </c>
      <c r="I16" s="246">
        <f>IF($B16="","",IF(AND(C16="",F16=""),"",ROUND(SUMIFS('ИТОГО Торговля'!$I$5:$I$300,'ИТОГО Торговля'!$B$5:$B$300,$B16)+SUMIFS('ИТОГО Лэндинг'!$I$5:$I$300,'ИТОГО Лэндинг'!$B$5:$B$300,$B16),8)))</f>
        <v/>
      </c>
      <c r="J16" s="247">
        <f>IF($B16="","",IF(AND(C16="",F16=""),"",ROUND(SUMIFS('ИТОГО Торговля'!$J$5:$J$300,'ИТОГО Торговля'!$B$5:$B$300,$B16)+SUMIFS('ИТОГО Лэндинг'!$J$5:$J$300,'ИТОГО Лэндинг'!$B$5:$B$300,$B16),8)))</f>
        <v/>
      </c>
      <c r="K16" s="246">
        <f>IF($B16="","",ROUND(SUMIFS('ИТОГО Торговля'!$K$5:$K$300,'ИТОГО Торговля'!$B$5:$B$300,$B16)+SUMIFS('ИТОГО Лэндинг'!$K$5:$K$300,'ИТОГО Лэндинг'!$B$5:$B$300,$B16),8))</f>
        <v/>
      </c>
      <c r="L16" s="183">
        <f>IF(K16="","",IF(SUMPRODUCT((Закрытые!$E$5:$E$300=$B16)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/SUMPRODUCT((Закрытые!$E$5:$E$300=$B16)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" s="183">
        <f>IF(OR(ROUND(N(C16)-N(F16),8)=0,1-N(Ввод!$E$17)/100&lt;=0),"",IF(N(C16)&gt;N(F16),(N(E16)-N(H16))/((N(C16)-N(F16))*(1-N(Ввод!$E$17)/100)),(N(H16)-N(E16))/((N(F16)-N(C16))*(1+N(Ввод!$E$17)/100))))</f>
        <v/>
      </c>
    </row>
    <row r="17" ht="22" customHeight="1">
      <c r="B17" s="315" t="inlineStr">
        <is>
          <t>DOGE/USDT</t>
        </is>
      </c>
      <c r="C17" s="240">
        <f>IF($B17="","",IF(SUMIFS('ИТОГО Торговля'!$C$5:$C$300,'ИТОГО Торговля'!$B$5:$B$300,$B17)+SUMIFS('ИТОГО Лэндинг'!$C$5:$C$300,'ИТОГО Лэндинг'!$B$5:$B$300,$B17)=0,"",SUMIFS('ИТОГО Торговля'!$C$5:$C$300,'ИТОГО Торговля'!$B$5:$B$300,$B17)+SUMIFS('ИТОГО Лэндинг'!$C$5:$C$300,'ИТОГО Лэндинг'!$B$5:$B$300,$B17)))</f>
        <v/>
      </c>
      <c r="D17" s="177">
        <f>IF(C17="","",E17/C17)</f>
        <v/>
      </c>
      <c r="E17" s="241">
        <f>IF(C17="","",SUMIFS('ИТОГО Торговля'!$E$5:$E$300,'ИТОГО Торговля'!$B$5:$B$300,$B17)+SUMIFS('ИТОГО Лэндинг'!$E$5:$E$300,'ИТОГО Лэндинг'!$B$5:$B$300,$B17))</f>
        <v/>
      </c>
      <c r="F17" s="240">
        <f>IF($B17="","",IF(SUMIFS('ИТОГО Торговля'!$F$5:$F$300,'ИТОГО Торговля'!$B$5:$B$300,$B17)+SUMIFS('ИТОГО Лэндинг'!$F$5:$F$300,'ИТОГО Лэндинг'!$B$5:$B$300,$B17)=0,"",SUMIFS('ИТОГО Торговля'!$F$5:$F$300,'ИТОГО Торговля'!$B$5:$B$300,$B17)+SUMIFS('ИТОГО Лэндинг'!$F$5:$F$300,'ИТОГО Лэндинг'!$B$5:$B$300,$B17)))</f>
        <v/>
      </c>
      <c r="G17" s="177">
        <f>IF(F17="","",H17/F17)</f>
        <v/>
      </c>
      <c r="H17" s="241">
        <f>IF(F17="","",SUMIFS('ИТОГО Торговля'!$H$5:$H$300,'ИТОГО Торговля'!$B$5:$B$300,$B17)+SUMIFS('ИТОГО Лэндинг'!$H$5:$H$300,'ИТОГО Лэндинг'!$B$5:$B$300,$B17))</f>
        <v/>
      </c>
      <c r="I17" s="240">
        <f>IF($B17="","",IF(AND(C17="",F17=""),"",ROUND(SUMIFS('ИТОГО Торговля'!$I$5:$I$300,'ИТОГО Торговля'!$B$5:$B$300,$B17)+SUMIFS('ИТОГО Лэндинг'!$I$5:$I$300,'ИТОГО Лэндинг'!$B$5:$B$300,$B17),8)))</f>
        <v/>
      </c>
      <c r="J17" s="241">
        <f>IF($B17="","",IF(AND(C17="",F17=""),"",ROUND(SUMIFS('ИТОГО Торговля'!$J$5:$J$300,'ИТОГО Торговля'!$B$5:$B$300,$B17)+SUMIFS('ИТОГО Лэндинг'!$J$5:$J$300,'ИТОГО Лэндинг'!$B$5:$B$300,$B17),8)))</f>
        <v/>
      </c>
      <c r="K17" s="240">
        <f>IF($B17="","",ROUND(SUMIFS('ИТОГО Торговля'!$K$5:$K$300,'ИТОГО Торговля'!$B$5:$B$300,$B17)+SUMIFS('ИТОГО Лэндинг'!$K$5:$K$300,'ИТОГО Лэндинг'!$B$5:$B$300,$B17),8))</f>
        <v/>
      </c>
      <c r="L17" s="177">
        <f>IF(K17="","",IF(SUMPRODUCT((Закрытые!$E$5:$E$300=$B17)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/SUMPRODUCT((Закрытые!$E$5:$E$300=$B17)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" s="177">
        <f>IF(OR(ROUND(N(C17)-N(F17),8)=0,1-N(Ввод!$E$17)/100&lt;=0),"",IF(N(C17)&gt;N(F17),(N(E17)-N(H17))/((N(C17)-N(F17))*(1-N(Ввод!$E$17)/100)),(N(H17)-N(E17))/((N(F17)-N(C17))*(1+N(Ввод!$E$17)/100))))</f>
        <v/>
      </c>
    </row>
    <row r="18" ht="22" customHeight="1">
      <c r="B18" s="320" t="inlineStr">
        <is>
          <t>ETH/BTC</t>
        </is>
      </c>
      <c r="C18" s="246">
        <f>IF($B18="","",IF(SUMIFS('ИТОГО Торговля'!$C$5:$C$300,'ИТОГО Торговля'!$B$5:$B$300,$B18)+SUMIFS('ИТОГО Лэндинг'!$C$5:$C$300,'ИТОГО Лэндинг'!$B$5:$B$300,$B18)=0,"",SUMIFS('ИТОГО Торговля'!$C$5:$C$300,'ИТОГО Торговля'!$B$5:$B$300,$B18)+SUMIFS('ИТОГО Лэндинг'!$C$5:$C$300,'ИТОГО Лэндинг'!$B$5:$B$300,$B18)))</f>
        <v/>
      </c>
      <c r="D18" s="183">
        <f>IF(C18="","",E18/C18)</f>
        <v/>
      </c>
      <c r="E18" s="247">
        <f>IF(C18="","",SUMIFS('ИТОГО Торговля'!$E$5:$E$300,'ИТОГО Торговля'!$B$5:$B$300,$B18)+SUMIFS('ИТОГО Лэндинг'!$E$5:$E$300,'ИТОГО Лэндинг'!$B$5:$B$300,$B18))</f>
        <v/>
      </c>
      <c r="F18" s="246">
        <f>IF($B18="","",IF(SUMIFS('ИТОГО Торговля'!$F$5:$F$300,'ИТОГО Торговля'!$B$5:$B$300,$B18)+SUMIFS('ИТОГО Лэндинг'!$F$5:$F$300,'ИТОГО Лэндинг'!$B$5:$B$300,$B18)=0,"",SUMIFS('ИТОГО Торговля'!$F$5:$F$300,'ИТОГО Торговля'!$B$5:$B$300,$B18)+SUMIFS('ИТОГО Лэндинг'!$F$5:$F$300,'ИТОГО Лэндинг'!$B$5:$B$300,$B18)))</f>
        <v/>
      </c>
      <c r="G18" s="183">
        <f>IF(F18="","",H18/F18)</f>
        <v/>
      </c>
      <c r="H18" s="247">
        <f>IF(F18="","",SUMIFS('ИТОГО Торговля'!$H$5:$H$300,'ИТОГО Торговля'!$B$5:$B$300,$B18)+SUMIFS('ИТОГО Лэндинг'!$H$5:$H$300,'ИТОГО Лэндинг'!$B$5:$B$300,$B18))</f>
        <v/>
      </c>
      <c r="I18" s="246">
        <f>IF($B18="","",IF(AND(C18="",F18=""),"",ROUND(SUMIFS('ИТОГО Торговля'!$I$5:$I$300,'ИТОГО Торговля'!$B$5:$B$300,$B18)+SUMIFS('ИТОГО Лэндинг'!$I$5:$I$300,'ИТОГО Лэндинг'!$B$5:$B$300,$B18),8)))</f>
        <v/>
      </c>
      <c r="J18" s="247">
        <f>IF($B18="","",IF(AND(C18="",F18=""),"",ROUND(SUMIFS('ИТОГО Торговля'!$J$5:$J$300,'ИТОГО Торговля'!$B$5:$B$300,$B18)+SUMIFS('ИТОГО Лэндинг'!$J$5:$J$300,'ИТОГО Лэндинг'!$B$5:$B$300,$B18),8)))</f>
        <v/>
      </c>
      <c r="K18" s="246">
        <f>IF($B18="","",ROUND(SUMIFS('ИТОГО Торговля'!$K$5:$K$300,'ИТОГО Торговля'!$B$5:$B$300,$B18)+SUMIFS('ИТОГО Лэндинг'!$K$5:$K$300,'ИТОГО Лэндинг'!$B$5:$B$300,$B18),8))</f>
        <v/>
      </c>
      <c r="L18" s="183">
        <f>IF(K18="","",IF(SUMPRODUCT((Закрытые!$E$5:$E$300=$B18)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/SUMPRODUCT((Закрытые!$E$5:$E$300=$B18)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" s="183">
        <f>IF(OR(ROUND(N(C18)-N(F18),8)=0,1-N(Ввод!$E$17)/100&lt;=0),"",IF(N(C18)&gt;N(F18),(N(E18)-N(H18))/((N(C18)-N(F18))*(1-N(Ввод!$E$17)/100)),(N(H18)-N(E18))/((N(F18)-N(C18))*(1+N(Ввод!$E$17)/100))))</f>
        <v/>
      </c>
    </row>
    <row r="19" ht="22" customHeight="1">
      <c r="B19" s="315" t="inlineStr">
        <is>
          <t>ETH/USDT</t>
        </is>
      </c>
      <c r="C19" s="240">
        <f>IF($B19="","",IF(SUMIFS('ИТОГО Торговля'!$C$5:$C$300,'ИТОГО Торговля'!$B$5:$B$300,$B19)+SUMIFS('ИТОГО Лэндинг'!$C$5:$C$300,'ИТОГО Лэндинг'!$B$5:$B$300,$B19)=0,"",SUMIFS('ИТОГО Торговля'!$C$5:$C$300,'ИТОГО Торговля'!$B$5:$B$300,$B19)+SUMIFS('ИТОГО Лэндинг'!$C$5:$C$300,'ИТОГО Лэндинг'!$B$5:$B$300,$B19)))</f>
        <v/>
      </c>
      <c r="D19" s="177">
        <f>IF(C19="","",E19/C19)</f>
        <v/>
      </c>
      <c r="E19" s="241">
        <f>IF(C19="","",SUMIFS('ИТОГО Торговля'!$E$5:$E$300,'ИТОГО Торговля'!$B$5:$B$300,$B19)+SUMIFS('ИТОГО Лэндинг'!$E$5:$E$300,'ИТОГО Лэндинг'!$B$5:$B$300,$B19))</f>
        <v/>
      </c>
      <c r="F19" s="240">
        <f>IF($B19="","",IF(SUMIFS('ИТОГО Торговля'!$F$5:$F$300,'ИТОГО Торговля'!$B$5:$B$300,$B19)+SUMIFS('ИТОГО Лэндинг'!$F$5:$F$300,'ИТОГО Лэндинг'!$B$5:$B$300,$B19)=0,"",SUMIFS('ИТОГО Торговля'!$F$5:$F$300,'ИТОГО Торговля'!$B$5:$B$300,$B19)+SUMIFS('ИТОГО Лэндинг'!$F$5:$F$300,'ИТОГО Лэндинг'!$B$5:$B$300,$B19)))</f>
        <v/>
      </c>
      <c r="G19" s="177">
        <f>IF(F19="","",H19/F19)</f>
        <v/>
      </c>
      <c r="H19" s="241">
        <f>IF(F19="","",SUMIFS('ИТОГО Торговля'!$H$5:$H$300,'ИТОГО Торговля'!$B$5:$B$300,$B19)+SUMIFS('ИТОГО Лэндинг'!$H$5:$H$300,'ИТОГО Лэндинг'!$B$5:$B$300,$B19))</f>
        <v/>
      </c>
      <c r="I19" s="240">
        <f>IF($B19="","",IF(AND(C19="",F19=""),"",ROUND(SUMIFS('ИТОГО Торговля'!$I$5:$I$300,'ИТОГО Торговля'!$B$5:$B$300,$B19)+SUMIFS('ИТОГО Лэндинг'!$I$5:$I$300,'ИТОГО Лэндинг'!$B$5:$B$300,$B19),8)))</f>
        <v/>
      </c>
      <c r="J19" s="241">
        <f>IF($B19="","",IF(AND(C19="",F19=""),"",ROUND(SUMIFS('ИТОГО Торговля'!$J$5:$J$300,'ИТОГО Торговля'!$B$5:$B$300,$B19)+SUMIFS('ИТОГО Лэндинг'!$J$5:$J$300,'ИТОГО Лэндинг'!$B$5:$B$300,$B19),8)))</f>
        <v/>
      </c>
      <c r="K19" s="240">
        <f>IF($B19="","",ROUND(SUMIFS('ИТОГО Торговля'!$K$5:$K$300,'ИТОГО Торговля'!$B$5:$B$300,$B19)+SUMIFS('ИТОГО Лэндинг'!$K$5:$K$300,'ИТОГО Лэндинг'!$B$5:$B$300,$B19),8))</f>
        <v/>
      </c>
      <c r="L19" s="177">
        <f>IF(K19="","",IF(SUMPRODUCT((Закрытые!$E$5:$E$300=$B19)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/SUMPRODUCT((Закрытые!$E$5:$E$300=$B19)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" s="177">
        <f>IF(OR(ROUND(N(C19)-N(F19),8)=0,1-N(Ввод!$E$17)/100&lt;=0),"",IF(N(C19)&gt;N(F19),(N(E19)-N(H19))/((N(C19)-N(F19))*(1-N(Ввод!$E$17)/100)),(N(H19)-N(E19))/((N(F19)-N(C19))*(1+N(Ввод!$E$17)/100))))</f>
        <v/>
      </c>
    </row>
    <row r="20" ht="22" customHeight="1">
      <c r="B20" s="320" t="inlineStr">
        <is>
          <t>LINK/ETH</t>
        </is>
      </c>
      <c r="C20" s="246">
        <f>IF($B20="","",IF(SUMIFS('ИТОГО Торговля'!$C$5:$C$300,'ИТОГО Торговля'!$B$5:$B$300,$B20)+SUMIFS('ИТОГО Лэндинг'!$C$5:$C$300,'ИТОГО Лэндинг'!$B$5:$B$300,$B20)=0,"",SUMIFS('ИТОГО Торговля'!$C$5:$C$300,'ИТОГО Торговля'!$B$5:$B$300,$B20)+SUMIFS('ИТОГО Лэндинг'!$C$5:$C$300,'ИТОГО Лэндинг'!$B$5:$B$300,$B20)))</f>
        <v/>
      </c>
      <c r="D20" s="183">
        <f>IF(C20="","",E20/C20)</f>
        <v/>
      </c>
      <c r="E20" s="247">
        <f>IF(C20="","",SUMIFS('ИТОГО Торговля'!$E$5:$E$300,'ИТОГО Торговля'!$B$5:$B$300,$B20)+SUMIFS('ИТОГО Лэндинг'!$E$5:$E$300,'ИТОГО Лэндинг'!$B$5:$B$300,$B20))</f>
        <v/>
      </c>
      <c r="F20" s="246">
        <f>IF($B20="","",IF(SUMIFS('ИТОГО Торговля'!$F$5:$F$300,'ИТОГО Торговля'!$B$5:$B$300,$B20)+SUMIFS('ИТОГО Лэндинг'!$F$5:$F$300,'ИТОГО Лэндинг'!$B$5:$B$300,$B20)=0,"",SUMIFS('ИТОГО Торговля'!$F$5:$F$300,'ИТОГО Торговля'!$B$5:$B$300,$B20)+SUMIFS('ИТОГО Лэндинг'!$F$5:$F$300,'ИТОГО Лэндинг'!$B$5:$B$300,$B20)))</f>
        <v/>
      </c>
      <c r="G20" s="183">
        <f>IF(F20="","",H20/F20)</f>
        <v/>
      </c>
      <c r="H20" s="247">
        <f>IF(F20="","",SUMIFS('ИТОГО Торговля'!$H$5:$H$300,'ИТОГО Торговля'!$B$5:$B$300,$B20)+SUMIFS('ИТОГО Лэндинг'!$H$5:$H$300,'ИТОГО Лэндинг'!$B$5:$B$300,$B20))</f>
        <v/>
      </c>
      <c r="I20" s="246">
        <f>IF($B20="","",IF(AND(C20="",F20=""),"",ROUND(SUMIFS('ИТОГО Торговля'!$I$5:$I$300,'ИТОГО Торговля'!$B$5:$B$300,$B20)+SUMIFS('ИТОГО Лэндинг'!$I$5:$I$300,'ИТОГО Лэндинг'!$B$5:$B$300,$B20),8)))</f>
        <v/>
      </c>
      <c r="J20" s="247">
        <f>IF($B20="","",IF(AND(C20="",F20=""),"",ROUND(SUMIFS('ИТОГО Торговля'!$J$5:$J$300,'ИТОГО Торговля'!$B$5:$B$300,$B20)+SUMIFS('ИТОГО Лэндинг'!$J$5:$J$300,'ИТОГО Лэндинг'!$B$5:$B$300,$B20),8)))</f>
        <v/>
      </c>
      <c r="K20" s="246">
        <f>IF($B20="","",ROUND(SUMIFS('ИТОГО Торговля'!$K$5:$K$300,'ИТОГО Торговля'!$B$5:$B$300,$B20)+SUMIFS('ИТОГО Лэндинг'!$K$5:$K$300,'ИТОГО Лэндинг'!$B$5:$B$300,$B20),8))</f>
        <v/>
      </c>
      <c r="L20" s="183">
        <f>IF(K20="","",IF(SUMPRODUCT((Закрытые!$E$5:$E$300=$B20)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/SUMPRODUCT((Закрытые!$E$5:$E$300=$B20)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" s="183">
        <f>IF(OR(ROUND(N(C20)-N(F20),8)=0,1-N(Ввод!$E$17)/100&lt;=0),"",IF(N(C20)&gt;N(F20),(N(E20)-N(H20))/((N(C20)-N(F20))*(1-N(Ввод!$E$17)/100)),(N(H20)-N(E20))/((N(F20)-N(C20))*(1+N(Ввод!$E$17)/100))))</f>
        <v/>
      </c>
    </row>
    <row r="21" ht="22" customHeight="1">
      <c r="B21" s="315" t="inlineStr">
        <is>
          <t>LTC/BCH</t>
        </is>
      </c>
      <c r="C21" s="240">
        <f>IF($B21="","",IF(SUMIFS('ИТОГО Торговля'!$C$5:$C$300,'ИТОГО Торговля'!$B$5:$B$300,$B21)+SUMIFS('ИТОГО Лэндинг'!$C$5:$C$300,'ИТОГО Лэндинг'!$B$5:$B$300,$B21)=0,"",SUMIFS('ИТОГО Торговля'!$C$5:$C$300,'ИТОГО Торговля'!$B$5:$B$300,$B21)+SUMIFS('ИТОГО Лэндинг'!$C$5:$C$300,'ИТОГО Лэндинг'!$B$5:$B$300,$B21)))</f>
        <v/>
      </c>
      <c r="D21" s="177">
        <f>IF(C21="","",E21/C21)</f>
        <v/>
      </c>
      <c r="E21" s="241">
        <f>IF(C21="","",SUMIFS('ИТОГО Торговля'!$E$5:$E$300,'ИТОГО Торговля'!$B$5:$B$300,$B21)+SUMIFS('ИТОГО Лэндинг'!$E$5:$E$300,'ИТОГО Лэндинг'!$B$5:$B$300,$B21))</f>
        <v/>
      </c>
      <c r="F21" s="240">
        <f>IF($B21="","",IF(SUMIFS('ИТОГО Торговля'!$F$5:$F$300,'ИТОГО Торговля'!$B$5:$B$300,$B21)+SUMIFS('ИТОГО Лэндинг'!$F$5:$F$300,'ИТОГО Лэндинг'!$B$5:$B$300,$B21)=0,"",SUMIFS('ИТОГО Торговля'!$F$5:$F$300,'ИТОГО Торговля'!$B$5:$B$300,$B21)+SUMIFS('ИТОГО Лэндинг'!$F$5:$F$300,'ИТОГО Лэндинг'!$B$5:$B$300,$B21)))</f>
        <v/>
      </c>
      <c r="G21" s="177">
        <f>IF(F21="","",H21/F21)</f>
        <v/>
      </c>
      <c r="H21" s="241">
        <f>IF(F21="","",SUMIFS('ИТОГО Торговля'!$H$5:$H$300,'ИТОГО Торговля'!$B$5:$B$300,$B21)+SUMIFS('ИТОГО Лэндинг'!$H$5:$H$300,'ИТОГО Лэндинг'!$B$5:$B$300,$B21))</f>
        <v/>
      </c>
      <c r="I21" s="240">
        <f>IF($B21="","",IF(AND(C21="",F21=""),"",ROUND(SUMIFS('ИТОГО Торговля'!$I$5:$I$300,'ИТОГО Торговля'!$B$5:$B$300,$B21)+SUMIFS('ИТОГО Лэндинг'!$I$5:$I$300,'ИТОГО Лэндинг'!$B$5:$B$300,$B21),8)))</f>
        <v/>
      </c>
      <c r="J21" s="241">
        <f>IF($B21="","",IF(AND(C21="",F21=""),"",ROUND(SUMIFS('ИТОГО Торговля'!$J$5:$J$300,'ИТОГО Торговля'!$B$5:$B$300,$B21)+SUMIFS('ИТОГО Лэндинг'!$J$5:$J$300,'ИТОГО Лэндинг'!$B$5:$B$300,$B21),8)))</f>
        <v/>
      </c>
      <c r="K21" s="240">
        <f>IF($B21="","",ROUND(SUMIFS('ИТОГО Торговля'!$K$5:$K$300,'ИТОГО Торговля'!$B$5:$B$300,$B21)+SUMIFS('ИТОГО Лэндинг'!$K$5:$K$300,'ИТОГО Лэндинг'!$B$5:$B$300,$B21),8))</f>
        <v/>
      </c>
      <c r="L21" s="177">
        <f>IF(K21="","",IF(SUMPRODUCT((Закрытые!$E$5:$E$300=$B21)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/SUMPRODUCT((Закрытые!$E$5:$E$300=$B21)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" s="177">
        <f>IF(OR(ROUND(N(C21)-N(F21),8)=0,1-N(Ввод!$E$17)/100&lt;=0),"",IF(N(C21)&gt;N(F21),(N(E21)-N(H21))/((N(C21)-N(F21))*(1-N(Ввод!$E$17)/100)),(N(H21)-N(E21))/((N(F21)-N(C21))*(1+N(Ввод!$E$17)/100))))</f>
        <v/>
      </c>
    </row>
    <row r="22" ht="22" customHeight="1">
      <c r="B22" s="320" t="inlineStr">
        <is>
          <t>LTC/USDT</t>
        </is>
      </c>
      <c r="C22" s="246">
        <f>IF($B22="","",IF(SUMIFS('ИТОГО Торговля'!$C$5:$C$300,'ИТОГО Торговля'!$B$5:$B$300,$B22)+SUMIFS('ИТОГО Лэндинг'!$C$5:$C$300,'ИТОГО Лэндинг'!$B$5:$B$300,$B22)=0,"",SUMIFS('ИТОГО Торговля'!$C$5:$C$300,'ИТОГО Торговля'!$B$5:$B$300,$B22)+SUMIFS('ИТОГО Лэндинг'!$C$5:$C$300,'ИТОГО Лэндинг'!$B$5:$B$300,$B22)))</f>
        <v/>
      </c>
      <c r="D22" s="183">
        <f>IF(C22="","",E22/C22)</f>
        <v/>
      </c>
      <c r="E22" s="247">
        <f>IF(C22="","",SUMIFS('ИТОГО Торговля'!$E$5:$E$300,'ИТОГО Торговля'!$B$5:$B$300,$B22)+SUMIFS('ИТОГО Лэндинг'!$E$5:$E$300,'ИТОГО Лэндинг'!$B$5:$B$300,$B22))</f>
        <v/>
      </c>
      <c r="F22" s="246">
        <f>IF($B22="","",IF(SUMIFS('ИТОГО Торговля'!$F$5:$F$300,'ИТОГО Торговля'!$B$5:$B$300,$B22)+SUMIFS('ИТОГО Лэндинг'!$F$5:$F$300,'ИТОГО Лэндинг'!$B$5:$B$300,$B22)=0,"",SUMIFS('ИТОГО Торговля'!$F$5:$F$300,'ИТОГО Торговля'!$B$5:$B$300,$B22)+SUMIFS('ИТОГО Лэндинг'!$F$5:$F$300,'ИТОГО Лэндинг'!$B$5:$B$300,$B22)))</f>
        <v/>
      </c>
      <c r="G22" s="183">
        <f>IF(F22="","",H22/F22)</f>
        <v/>
      </c>
      <c r="H22" s="247">
        <f>IF(F22="","",SUMIFS('ИТОГО Торговля'!$H$5:$H$300,'ИТОГО Торговля'!$B$5:$B$300,$B22)+SUMIFS('ИТОГО Лэндинг'!$H$5:$H$300,'ИТОГО Лэндинг'!$B$5:$B$300,$B22))</f>
        <v/>
      </c>
      <c r="I22" s="246">
        <f>IF($B22="","",IF(AND(C22="",F22=""),"",ROUND(SUMIFS('ИТОГО Торговля'!$I$5:$I$300,'ИТОГО Торговля'!$B$5:$B$300,$B22)+SUMIFS('ИТОГО Лэндинг'!$I$5:$I$300,'ИТОГО Лэндинг'!$B$5:$B$300,$B22),8)))</f>
        <v/>
      </c>
      <c r="J22" s="247">
        <f>IF($B22="","",IF(AND(C22="",F22=""),"",ROUND(SUMIFS('ИТОГО Торговля'!$J$5:$J$300,'ИТОГО Торговля'!$B$5:$B$300,$B22)+SUMIFS('ИТОГО Лэндинг'!$J$5:$J$300,'ИТОГО Лэндинг'!$B$5:$B$300,$B22),8)))</f>
        <v/>
      </c>
      <c r="K22" s="246">
        <f>IF($B22="","",ROUND(SUMIFS('ИТОГО Торговля'!$K$5:$K$300,'ИТОГО Торговля'!$B$5:$B$300,$B22)+SUMIFS('ИТОГО Лэндинг'!$K$5:$K$300,'ИТОГО Лэндинг'!$B$5:$B$300,$B22),8))</f>
        <v/>
      </c>
      <c r="L22" s="183">
        <f>IF(K22="","",IF(SUMPRODUCT((Закрытые!$E$5:$E$300=$B22)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/SUMPRODUCT((Закрытые!$E$5:$E$300=$B22)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" s="183">
        <f>IF(OR(ROUND(N(C22)-N(F22),8)=0,1-N(Ввод!$E$17)/100&lt;=0),"",IF(N(C22)&gt;N(F22),(N(E22)-N(H22))/((N(C22)-N(F22))*(1-N(Ввод!$E$17)/100)),(N(H22)-N(E22))/((N(F22)-N(C22))*(1+N(Ввод!$E$17)/100))))</f>
        <v/>
      </c>
    </row>
    <row r="23" ht="22" customHeight="1">
      <c r="B23" s="315" t="inlineStr">
        <is>
          <t>SOL/USDT</t>
        </is>
      </c>
      <c r="C23" s="240">
        <f>IF($B23="","",IF(SUMIFS('ИТОГО Торговля'!$C$5:$C$300,'ИТОГО Торговля'!$B$5:$B$300,$B23)+SUMIFS('ИТОГО Лэндинг'!$C$5:$C$300,'ИТОГО Лэндинг'!$B$5:$B$300,$B23)=0,"",SUMIFS('ИТОГО Торговля'!$C$5:$C$300,'ИТОГО Торговля'!$B$5:$B$300,$B23)+SUMIFS('ИТОГО Лэндинг'!$C$5:$C$300,'ИТОГО Лэндинг'!$B$5:$B$300,$B23)))</f>
        <v/>
      </c>
      <c r="D23" s="177">
        <f>IF(C23="","",E23/C23)</f>
        <v/>
      </c>
      <c r="E23" s="241">
        <f>IF(C23="","",SUMIFS('ИТОГО Торговля'!$E$5:$E$300,'ИТОГО Торговля'!$B$5:$B$300,$B23)+SUMIFS('ИТОГО Лэндинг'!$E$5:$E$300,'ИТОГО Лэндинг'!$B$5:$B$300,$B23))</f>
        <v/>
      </c>
      <c r="F23" s="240">
        <f>IF($B23="","",IF(SUMIFS('ИТОГО Торговля'!$F$5:$F$300,'ИТОГО Торговля'!$B$5:$B$300,$B23)+SUMIFS('ИТОГО Лэндинг'!$F$5:$F$300,'ИТОГО Лэндинг'!$B$5:$B$300,$B23)=0,"",SUMIFS('ИТОГО Торговля'!$F$5:$F$300,'ИТОГО Торговля'!$B$5:$B$300,$B23)+SUMIFS('ИТОГО Лэндинг'!$F$5:$F$300,'ИТОГО Лэндинг'!$B$5:$B$300,$B23)))</f>
        <v/>
      </c>
      <c r="G23" s="177">
        <f>IF(F23="","",H23/F23)</f>
        <v/>
      </c>
      <c r="H23" s="241">
        <f>IF(F23="","",SUMIFS('ИТОГО Торговля'!$H$5:$H$300,'ИТОГО Торговля'!$B$5:$B$300,$B23)+SUMIFS('ИТОГО Лэндинг'!$H$5:$H$300,'ИТОГО Лэндинг'!$B$5:$B$300,$B23))</f>
        <v/>
      </c>
      <c r="I23" s="240">
        <f>IF($B23="","",IF(AND(C23="",F23=""),"",ROUND(SUMIFS('ИТОГО Торговля'!$I$5:$I$300,'ИТОГО Торговля'!$B$5:$B$300,$B23)+SUMIFS('ИТОГО Лэндинг'!$I$5:$I$300,'ИТОГО Лэндинг'!$B$5:$B$300,$B23),8)))</f>
        <v/>
      </c>
      <c r="J23" s="241">
        <f>IF($B23="","",IF(AND(C23="",F23=""),"",ROUND(SUMIFS('ИТОГО Торговля'!$J$5:$J$300,'ИТОГО Торговля'!$B$5:$B$300,$B23)+SUMIFS('ИТОГО Лэндинг'!$J$5:$J$300,'ИТОГО Лэндинг'!$B$5:$B$300,$B23),8)))</f>
        <v/>
      </c>
      <c r="K23" s="240">
        <f>IF($B23="","",ROUND(SUMIFS('ИТОГО Торговля'!$K$5:$K$300,'ИТОГО Торговля'!$B$5:$B$300,$B23)+SUMIFS('ИТОГО Лэндинг'!$K$5:$K$300,'ИТОГО Лэндинг'!$B$5:$B$300,$B23),8))</f>
        <v/>
      </c>
      <c r="L23" s="177">
        <f>IF(K23="","",IF(SUMPRODUCT((Закрытые!$E$5:$E$300=$B23)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/SUMPRODUCT((Закрытые!$E$5:$E$300=$B23)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" s="177">
        <f>IF(OR(ROUND(N(C23)-N(F23),8)=0,1-N(Ввод!$E$17)/100&lt;=0),"",IF(N(C23)&gt;N(F23),(N(E23)-N(H23))/((N(C23)-N(F23))*(1-N(Ввод!$E$17)/100)),(N(H23)-N(E23))/((N(F23)-N(C23))*(1+N(Ввод!$E$17)/100))))</f>
        <v/>
      </c>
    </row>
    <row r="24" ht="22" customHeight="1">
      <c r="B24" s="320" t="inlineStr">
        <is>
          <t>XRP/TRX</t>
        </is>
      </c>
      <c r="C24" s="246">
        <f>IF($B24="","",IF(SUMIFS('ИТОГО Торговля'!$C$5:$C$300,'ИТОГО Торговля'!$B$5:$B$300,$B24)+SUMIFS('ИТОГО Лэндинг'!$C$5:$C$300,'ИТОГО Лэндинг'!$B$5:$B$300,$B24)=0,"",SUMIFS('ИТОГО Торговля'!$C$5:$C$300,'ИТОГО Торговля'!$B$5:$B$300,$B24)+SUMIFS('ИТОГО Лэндинг'!$C$5:$C$300,'ИТОГО Лэндинг'!$B$5:$B$300,$B24)))</f>
        <v/>
      </c>
      <c r="D24" s="183">
        <f>IF(C24="","",E24/C24)</f>
        <v/>
      </c>
      <c r="E24" s="247">
        <f>IF(C24="","",SUMIFS('ИТОГО Торговля'!$E$5:$E$300,'ИТОГО Торговля'!$B$5:$B$300,$B24)+SUMIFS('ИТОГО Лэндинг'!$E$5:$E$300,'ИТОГО Лэндинг'!$B$5:$B$300,$B24))</f>
        <v/>
      </c>
      <c r="F24" s="246">
        <f>IF($B24="","",IF(SUMIFS('ИТОГО Торговля'!$F$5:$F$300,'ИТОГО Торговля'!$B$5:$B$300,$B24)+SUMIFS('ИТОГО Лэндинг'!$F$5:$F$300,'ИТОГО Лэндинг'!$B$5:$B$300,$B24)=0,"",SUMIFS('ИТОГО Торговля'!$F$5:$F$300,'ИТОГО Торговля'!$B$5:$B$300,$B24)+SUMIFS('ИТОГО Лэндинг'!$F$5:$F$300,'ИТОГО Лэндинг'!$B$5:$B$300,$B24)))</f>
        <v/>
      </c>
      <c r="G24" s="183">
        <f>IF(F24="","",H24/F24)</f>
        <v/>
      </c>
      <c r="H24" s="247">
        <f>IF(F24="","",SUMIFS('ИТОГО Торговля'!$H$5:$H$300,'ИТОГО Торговля'!$B$5:$B$300,$B24)+SUMIFS('ИТОГО Лэндинг'!$H$5:$H$300,'ИТОГО Лэндинг'!$B$5:$B$300,$B24))</f>
        <v/>
      </c>
      <c r="I24" s="246">
        <f>IF($B24="","",IF(AND(C24="",F24=""),"",ROUND(SUMIFS('ИТОГО Торговля'!$I$5:$I$300,'ИТОГО Торговля'!$B$5:$B$300,$B24)+SUMIFS('ИТОГО Лэндинг'!$I$5:$I$300,'ИТОГО Лэндинг'!$B$5:$B$300,$B24),8)))</f>
        <v/>
      </c>
      <c r="J24" s="247">
        <f>IF($B24="","",IF(AND(C24="",F24=""),"",ROUND(SUMIFS('ИТОГО Торговля'!$J$5:$J$300,'ИТОГО Торговля'!$B$5:$B$300,$B24)+SUMIFS('ИТОГО Лэндинг'!$J$5:$J$300,'ИТОГО Лэндинг'!$B$5:$B$300,$B24),8)))</f>
        <v/>
      </c>
      <c r="K24" s="246">
        <f>IF($B24="","",ROUND(SUMIFS('ИТОГО Торговля'!$K$5:$K$300,'ИТОГО Торговля'!$B$5:$B$300,$B24)+SUMIFS('ИТОГО Лэндинг'!$K$5:$K$300,'ИТОГО Лэндинг'!$B$5:$B$300,$B24),8))</f>
        <v/>
      </c>
      <c r="L24" s="183">
        <f>IF(K24="","",IF(SUMPRODUCT((Закрытые!$E$5:$E$300=$B24)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/SUMPRODUCT((Закрытые!$E$5:$E$300=$B24)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" s="183">
        <f>IF(OR(ROUND(N(C24)-N(F24),8)=0,1-N(Ввод!$E$17)/100&lt;=0),"",IF(N(C24)&gt;N(F24),(N(E24)-N(H24))/((N(C24)-N(F24))*(1-N(Ввод!$E$17)/100)),(N(H24)-N(E24))/((N(F24)-N(C24))*(1+N(Ввод!$E$17)/100))))</f>
        <v/>
      </c>
    </row>
    <row r="25" ht="22" customHeight="1">
      <c r="B25" s="315" t="inlineStr">
        <is>
          <t>XRP/USDT</t>
        </is>
      </c>
      <c r="C25" s="240">
        <f>IF($B25="","",IF(SUMIFS('ИТОГО Торговля'!$C$5:$C$300,'ИТОГО Торговля'!$B$5:$B$300,$B25)+SUMIFS('ИТОГО Лэндинг'!$C$5:$C$300,'ИТОГО Лэндинг'!$B$5:$B$300,$B25)=0,"",SUMIFS('ИТОГО Торговля'!$C$5:$C$300,'ИТОГО Торговля'!$B$5:$B$300,$B25)+SUMIFS('ИТОГО Лэндинг'!$C$5:$C$300,'ИТОГО Лэндинг'!$B$5:$B$300,$B25)))</f>
        <v/>
      </c>
      <c r="D25" s="177">
        <f>IF(C25="","",E25/C25)</f>
        <v/>
      </c>
      <c r="E25" s="241">
        <f>IF(C25="","",SUMIFS('ИТОГО Торговля'!$E$5:$E$300,'ИТОГО Торговля'!$B$5:$B$300,$B25)+SUMIFS('ИТОГО Лэндинг'!$E$5:$E$300,'ИТОГО Лэндинг'!$B$5:$B$300,$B25))</f>
        <v/>
      </c>
      <c r="F25" s="240">
        <f>IF($B25="","",IF(SUMIFS('ИТОГО Торговля'!$F$5:$F$300,'ИТОГО Торговля'!$B$5:$B$300,$B25)+SUMIFS('ИТОГО Лэндинг'!$F$5:$F$300,'ИТОГО Лэндинг'!$B$5:$B$300,$B25)=0,"",SUMIFS('ИТОГО Торговля'!$F$5:$F$300,'ИТОГО Торговля'!$B$5:$B$300,$B25)+SUMIFS('ИТОГО Лэндинг'!$F$5:$F$300,'ИТОГО Лэндинг'!$B$5:$B$300,$B25)))</f>
        <v/>
      </c>
      <c r="G25" s="177">
        <f>IF(F25="","",H25/F25)</f>
        <v/>
      </c>
      <c r="H25" s="241">
        <f>IF(F25="","",SUMIFS('ИТОГО Торговля'!$H$5:$H$300,'ИТОГО Торговля'!$B$5:$B$300,$B25)+SUMIFS('ИТОГО Лэндинг'!$H$5:$H$300,'ИТОГО Лэндинг'!$B$5:$B$300,$B25))</f>
        <v/>
      </c>
      <c r="I25" s="240">
        <f>IF($B25="","",IF(AND(C25="",F25=""),"",ROUND(SUMIFS('ИТОГО Торговля'!$I$5:$I$300,'ИТОГО Торговля'!$B$5:$B$300,$B25)+SUMIFS('ИТОГО Лэндинг'!$I$5:$I$300,'ИТОГО Лэндинг'!$B$5:$B$300,$B25),8)))</f>
        <v/>
      </c>
      <c r="J25" s="241">
        <f>IF($B25="","",IF(AND(C25="",F25=""),"",ROUND(SUMIFS('ИТОГО Торговля'!$J$5:$J$300,'ИТОГО Торговля'!$B$5:$B$300,$B25)+SUMIFS('ИТОГО Лэндинг'!$J$5:$J$300,'ИТОГО Лэндинг'!$B$5:$B$300,$B25),8)))</f>
        <v/>
      </c>
      <c r="K25" s="240">
        <f>IF($B25="","",ROUND(SUMIFS('ИТОГО Торговля'!$K$5:$K$300,'ИТОГО Торговля'!$B$5:$B$300,$B25)+SUMIFS('ИТОГО Лэндинг'!$K$5:$K$300,'ИТОГО Лэндинг'!$B$5:$B$300,$B25),8))</f>
        <v/>
      </c>
      <c r="L25" s="177">
        <f>IF(K25="","",IF(SUMPRODUCT((Закрытые!$E$5:$E$300=$B25)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/SUMPRODUCT((Закрытые!$E$5:$E$300=$B25)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" s="177">
        <f>IF(OR(ROUND(N(C25)-N(F25),8)=0,1-N(Ввод!$E$17)/100&lt;=0),"",IF(N(C25)&gt;N(F25),(N(E25)-N(H25))/((N(C25)-N(F25))*(1-N(Ввод!$E$17)/100)),(N(H25)-N(E25))/((N(F25)-N(C25))*(1+N(Ввод!$E$17)/100))))</f>
        <v/>
      </c>
    </row>
    <row r="26" ht="22" customHeight="1">
      <c r="B26" s="320" t="n"/>
      <c r="C26" s="246">
        <f>IF($B26="","",IF(SUMIFS('ИТОГО Торговля'!$C$5:$C$300,'ИТОГО Торговля'!$B$5:$B$300,$B26)+SUMIFS('ИТОГО Лэндинг'!$C$5:$C$300,'ИТОГО Лэндинг'!$B$5:$B$300,$B26)=0,"",SUMIFS('ИТОГО Торговля'!$C$5:$C$300,'ИТОГО Торговля'!$B$5:$B$300,$B26)+SUMIFS('ИТОГО Лэндинг'!$C$5:$C$300,'ИТОГО Лэндинг'!$B$5:$B$300,$B26)))</f>
        <v/>
      </c>
      <c r="D26" s="183">
        <f>IF(C26="","",E26/C26)</f>
        <v/>
      </c>
      <c r="E26" s="247">
        <f>IF(C26="","",SUMIFS('ИТОГО Торговля'!$E$5:$E$300,'ИТОГО Торговля'!$B$5:$B$300,$B26)+SUMIFS('ИТОГО Лэндинг'!$E$5:$E$300,'ИТОГО Лэндинг'!$B$5:$B$300,$B26))</f>
        <v/>
      </c>
      <c r="F26" s="246">
        <f>IF($B26="","",IF(SUMIFS('ИТОГО Торговля'!$F$5:$F$300,'ИТОГО Торговля'!$B$5:$B$300,$B26)+SUMIFS('ИТОГО Лэндинг'!$F$5:$F$300,'ИТОГО Лэндинг'!$B$5:$B$300,$B26)=0,"",SUMIFS('ИТОГО Торговля'!$F$5:$F$300,'ИТОГО Торговля'!$B$5:$B$300,$B26)+SUMIFS('ИТОГО Лэндинг'!$F$5:$F$300,'ИТОГО Лэндинг'!$B$5:$B$300,$B26)))</f>
        <v/>
      </c>
      <c r="G26" s="183">
        <f>IF(F26="","",H26/F26)</f>
        <v/>
      </c>
      <c r="H26" s="247">
        <f>IF(F26="","",SUMIFS('ИТОГО Торговля'!$H$5:$H$300,'ИТОГО Торговля'!$B$5:$B$300,$B26)+SUMIFS('ИТОГО Лэндинг'!$H$5:$H$300,'ИТОГО Лэндинг'!$B$5:$B$300,$B26))</f>
        <v/>
      </c>
      <c r="I26" s="246">
        <f>IF($B26="","",IF(AND(C26="",F26=""),"",ROUND(SUMIFS('ИТОГО Торговля'!$I$5:$I$300,'ИТОГО Торговля'!$B$5:$B$300,$B26)+SUMIFS('ИТОГО Лэндинг'!$I$5:$I$300,'ИТОГО Лэндинг'!$B$5:$B$300,$B26),8)))</f>
        <v/>
      </c>
      <c r="J26" s="247">
        <f>IF($B26="","",IF(AND(C26="",F26=""),"",ROUND(SUMIFS('ИТОГО Торговля'!$J$5:$J$300,'ИТОГО Торговля'!$B$5:$B$300,$B26)+SUMIFS('ИТОГО Лэндинг'!$J$5:$J$300,'ИТОГО Лэндинг'!$B$5:$B$300,$B26),8)))</f>
        <v/>
      </c>
      <c r="K26" s="246">
        <f>IF($B26="","",ROUND(SUMIFS('ИТОГО Торговля'!$K$5:$K$300,'ИТОГО Торговля'!$B$5:$B$300,$B26)+SUMIFS('ИТОГО Лэндинг'!$K$5:$K$300,'ИТОГО Лэндинг'!$B$5:$B$300,$B26),8))</f>
        <v/>
      </c>
      <c r="L26" s="183">
        <f>IF(K26="","",IF(SUMPRODUCT((Закрытые!$E$5:$E$300=$B26)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/SUMPRODUCT((Закрытые!$E$5:$E$300=$B26)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" s="183">
        <f>IF(OR(ROUND(N(C26)-N(F26),8)=0,1-N(Ввод!$E$17)/100&lt;=0),"",IF(N(C26)&gt;N(F26),(N(E26)-N(H26))/((N(C26)-N(F26))*(1-N(Ввод!$E$17)/100)),(N(H26)-N(E26))/((N(F26)-N(C26))*(1+N(Ввод!$E$17)/100))))</f>
        <v/>
      </c>
    </row>
    <row r="27" ht="22" customHeight="1">
      <c r="B27" s="315" t="n"/>
      <c r="C27" s="240">
        <f>IF($B27="","",IF(SUMIFS('ИТОГО Торговля'!$C$5:$C$300,'ИТОГО Торговля'!$B$5:$B$300,$B27)+SUMIFS('ИТОГО Лэндинг'!$C$5:$C$300,'ИТОГО Лэндинг'!$B$5:$B$300,$B27)=0,"",SUMIFS('ИТОГО Торговля'!$C$5:$C$300,'ИТОГО Торговля'!$B$5:$B$300,$B27)+SUMIFS('ИТОГО Лэндинг'!$C$5:$C$300,'ИТОГО Лэндинг'!$B$5:$B$300,$B27)))</f>
        <v/>
      </c>
      <c r="D27" s="177">
        <f>IF(C27="","",E27/C27)</f>
        <v/>
      </c>
      <c r="E27" s="241">
        <f>IF(C27="","",SUMIFS('ИТОГО Торговля'!$E$5:$E$300,'ИТОГО Торговля'!$B$5:$B$300,$B27)+SUMIFS('ИТОГО Лэндинг'!$E$5:$E$300,'ИТОГО Лэндинг'!$B$5:$B$300,$B27))</f>
        <v/>
      </c>
      <c r="F27" s="240">
        <f>IF($B27="","",IF(SUMIFS('ИТОГО Торговля'!$F$5:$F$300,'ИТОГО Торговля'!$B$5:$B$300,$B27)+SUMIFS('ИТОГО Лэндинг'!$F$5:$F$300,'ИТОГО Лэндинг'!$B$5:$B$300,$B27)=0,"",SUMIFS('ИТОГО Торговля'!$F$5:$F$300,'ИТОГО Торговля'!$B$5:$B$300,$B27)+SUMIFS('ИТОГО Лэндинг'!$F$5:$F$300,'ИТОГО Лэндинг'!$B$5:$B$300,$B27)))</f>
        <v/>
      </c>
      <c r="G27" s="177">
        <f>IF(F27="","",H27/F27)</f>
        <v/>
      </c>
      <c r="H27" s="241">
        <f>IF(F27="","",SUMIFS('ИТОГО Торговля'!$H$5:$H$300,'ИТОГО Торговля'!$B$5:$B$300,$B27)+SUMIFS('ИТОГО Лэндинг'!$H$5:$H$300,'ИТОГО Лэндинг'!$B$5:$B$300,$B27))</f>
        <v/>
      </c>
      <c r="I27" s="240">
        <f>IF($B27="","",IF(AND(C27="",F27=""),"",ROUND(SUMIFS('ИТОГО Торговля'!$I$5:$I$300,'ИТОГО Торговля'!$B$5:$B$300,$B27)+SUMIFS('ИТОГО Лэндинг'!$I$5:$I$300,'ИТОГО Лэндинг'!$B$5:$B$300,$B27),8)))</f>
        <v/>
      </c>
      <c r="J27" s="241">
        <f>IF($B27="","",IF(AND(C27="",F27=""),"",ROUND(SUMIFS('ИТОГО Торговля'!$J$5:$J$300,'ИТОГО Торговля'!$B$5:$B$300,$B27)+SUMIFS('ИТОГО Лэндинг'!$J$5:$J$300,'ИТОГО Лэндинг'!$B$5:$B$300,$B27),8)))</f>
        <v/>
      </c>
      <c r="K27" s="240">
        <f>IF($B27="","",ROUND(SUMIFS('ИТОГО Торговля'!$K$5:$K$300,'ИТОГО Торговля'!$B$5:$B$300,$B27)+SUMIFS('ИТОГО Лэндинг'!$K$5:$K$300,'ИТОГО Лэндинг'!$B$5:$B$300,$B27),8))</f>
        <v/>
      </c>
      <c r="L27" s="177">
        <f>IF(K27="","",IF(SUMPRODUCT((Закрытые!$E$5:$E$300=$B27)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/SUMPRODUCT((Закрытые!$E$5:$E$300=$B27)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" s="177">
        <f>IF(OR(ROUND(N(C27)-N(F27),8)=0,1-N(Ввод!$E$17)/100&lt;=0),"",IF(N(C27)&gt;N(F27),(N(E27)-N(H27))/((N(C27)-N(F27))*(1-N(Ввод!$E$17)/100)),(N(H27)-N(E27))/((N(F27)-N(C27))*(1+N(Ввод!$E$17)/100))))</f>
        <v/>
      </c>
    </row>
    <row r="28" ht="22" customHeight="1">
      <c r="B28" s="320" t="n"/>
      <c r="C28" s="246">
        <f>IF($B28="","",IF(SUMIFS('ИТОГО Торговля'!$C$5:$C$300,'ИТОГО Торговля'!$B$5:$B$300,$B28)+SUMIFS('ИТОГО Лэндинг'!$C$5:$C$300,'ИТОГО Лэндинг'!$B$5:$B$300,$B28)=0,"",SUMIFS('ИТОГО Торговля'!$C$5:$C$300,'ИТОГО Торговля'!$B$5:$B$300,$B28)+SUMIFS('ИТОГО Лэндинг'!$C$5:$C$300,'ИТОГО Лэндинг'!$B$5:$B$300,$B28)))</f>
        <v/>
      </c>
      <c r="D28" s="183">
        <f>IF(C28="","",E28/C28)</f>
        <v/>
      </c>
      <c r="E28" s="247">
        <f>IF(C28="","",SUMIFS('ИТОГО Торговля'!$E$5:$E$300,'ИТОГО Торговля'!$B$5:$B$300,$B28)+SUMIFS('ИТОГО Лэндинг'!$E$5:$E$300,'ИТОГО Лэндинг'!$B$5:$B$300,$B28))</f>
        <v/>
      </c>
      <c r="F28" s="246">
        <f>IF($B28="","",IF(SUMIFS('ИТОГО Торговля'!$F$5:$F$300,'ИТОГО Торговля'!$B$5:$B$300,$B28)+SUMIFS('ИТОГО Лэндинг'!$F$5:$F$300,'ИТОГО Лэндинг'!$B$5:$B$300,$B28)=0,"",SUMIFS('ИТОГО Торговля'!$F$5:$F$300,'ИТОГО Торговля'!$B$5:$B$300,$B28)+SUMIFS('ИТОГО Лэндинг'!$F$5:$F$300,'ИТОГО Лэндинг'!$B$5:$B$300,$B28)))</f>
        <v/>
      </c>
      <c r="G28" s="183">
        <f>IF(F28="","",H28/F28)</f>
        <v/>
      </c>
      <c r="H28" s="247">
        <f>IF(F28="","",SUMIFS('ИТОГО Торговля'!$H$5:$H$300,'ИТОГО Торговля'!$B$5:$B$300,$B28)+SUMIFS('ИТОГО Лэндинг'!$H$5:$H$300,'ИТОГО Лэндинг'!$B$5:$B$300,$B28))</f>
        <v/>
      </c>
      <c r="I28" s="246">
        <f>IF($B28="","",IF(AND(C28="",F28=""),"",ROUND(SUMIFS('ИТОГО Торговля'!$I$5:$I$300,'ИТОГО Торговля'!$B$5:$B$300,$B28)+SUMIFS('ИТОГО Лэндинг'!$I$5:$I$300,'ИТОГО Лэндинг'!$B$5:$B$300,$B28),8)))</f>
        <v/>
      </c>
      <c r="J28" s="247">
        <f>IF($B28="","",IF(AND(C28="",F28=""),"",ROUND(SUMIFS('ИТОГО Торговля'!$J$5:$J$300,'ИТОГО Торговля'!$B$5:$B$300,$B28)+SUMIFS('ИТОГО Лэндинг'!$J$5:$J$300,'ИТОГО Лэндинг'!$B$5:$B$300,$B28),8)))</f>
        <v/>
      </c>
      <c r="K28" s="246">
        <f>IF($B28="","",ROUND(SUMIFS('ИТОГО Торговля'!$K$5:$K$300,'ИТОГО Торговля'!$B$5:$B$300,$B28)+SUMIFS('ИТОГО Лэндинг'!$K$5:$K$300,'ИТОГО Лэндинг'!$B$5:$B$300,$B28),8))</f>
        <v/>
      </c>
      <c r="L28" s="183">
        <f>IF(K28="","",IF(SUMPRODUCT((Закрытые!$E$5:$E$300=$B28)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/SUMPRODUCT((Закрытые!$E$5:$E$300=$B28)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" s="183">
        <f>IF(OR(ROUND(N(C28)-N(F28),8)=0,1-N(Ввод!$E$17)/100&lt;=0),"",IF(N(C28)&gt;N(F28),(N(E28)-N(H28))/((N(C28)-N(F28))*(1-N(Ввод!$E$17)/100)),(N(H28)-N(E28))/((N(F28)-N(C28))*(1+N(Ввод!$E$17)/100))))</f>
        <v/>
      </c>
    </row>
    <row r="29" ht="22" customHeight="1">
      <c r="B29" s="315" t="n"/>
      <c r="C29" s="240">
        <f>IF($B29="","",IF(SUMIFS('ИТОГО Торговля'!$C$5:$C$300,'ИТОГО Торговля'!$B$5:$B$300,$B29)+SUMIFS('ИТОГО Лэндинг'!$C$5:$C$300,'ИТОГО Лэндинг'!$B$5:$B$300,$B29)=0,"",SUMIFS('ИТОГО Торговля'!$C$5:$C$300,'ИТОГО Торговля'!$B$5:$B$300,$B29)+SUMIFS('ИТОГО Лэндинг'!$C$5:$C$300,'ИТОГО Лэндинг'!$B$5:$B$300,$B29)))</f>
        <v/>
      </c>
      <c r="D29" s="177">
        <f>IF(C29="","",E29/C29)</f>
        <v/>
      </c>
      <c r="E29" s="241">
        <f>IF(C29="","",SUMIFS('ИТОГО Торговля'!$E$5:$E$300,'ИТОГО Торговля'!$B$5:$B$300,$B29)+SUMIFS('ИТОГО Лэндинг'!$E$5:$E$300,'ИТОГО Лэндинг'!$B$5:$B$300,$B29))</f>
        <v/>
      </c>
      <c r="F29" s="240">
        <f>IF($B29="","",IF(SUMIFS('ИТОГО Торговля'!$F$5:$F$300,'ИТОГО Торговля'!$B$5:$B$300,$B29)+SUMIFS('ИТОГО Лэндинг'!$F$5:$F$300,'ИТОГО Лэндинг'!$B$5:$B$300,$B29)=0,"",SUMIFS('ИТОГО Торговля'!$F$5:$F$300,'ИТОГО Торговля'!$B$5:$B$300,$B29)+SUMIFS('ИТОГО Лэндинг'!$F$5:$F$300,'ИТОГО Лэндинг'!$B$5:$B$300,$B29)))</f>
        <v/>
      </c>
      <c r="G29" s="177">
        <f>IF(F29="","",H29/F29)</f>
        <v/>
      </c>
      <c r="H29" s="241">
        <f>IF(F29="","",SUMIFS('ИТОГО Торговля'!$H$5:$H$300,'ИТОГО Торговля'!$B$5:$B$300,$B29)+SUMIFS('ИТОГО Лэндинг'!$H$5:$H$300,'ИТОГО Лэндинг'!$B$5:$B$300,$B29))</f>
        <v/>
      </c>
      <c r="I29" s="240">
        <f>IF($B29="","",IF(AND(C29="",F29=""),"",ROUND(SUMIFS('ИТОГО Торговля'!$I$5:$I$300,'ИТОГО Торговля'!$B$5:$B$300,$B29)+SUMIFS('ИТОГО Лэндинг'!$I$5:$I$300,'ИТОГО Лэндинг'!$B$5:$B$300,$B29),8)))</f>
        <v/>
      </c>
      <c r="J29" s="241">
        <f>IF($B29="","",IF(AND(C29="",F29=""),"",ROUND(SUMIFS('ИТОГО Торговля'!$J$5:$J$300,'ИТОГО Торговля'!$B$5:$B$300,$B29)+SUMIFS('ИТОГО Лэндинг'!$J$5:$J$300,'ИТОГО Лэндинг'!$B$5:$B$300,$B29),8)))</f>
        <v/>
      </c>
      <c r="K29" s="240">
        <f>IF($B29="","",ROUND(SUMIFS('ИТОГО Торговля'!$K$5:$K$300,'ИТОГО Торговля'!$B$5:$B$300,$B29)+SUMIFS('ИТОГО Лэндинг'!$K$5:$K$300,'ИТОГО Лэндинг'!$B$5:$B$300,$B29),8))</f>
        <v/>
      </c>
      <c r="L29" s="177">
        <f>IF(K29="","",IF(SUMPRODUCT((Закрытые!$E$5:$E$300=$B29)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/SUMPRODUCT((Закрытые!$E$5:$E$300=$B29)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" s="177">
        <f>IF(OR(ROUND(N(C29)-N(F29),8)=0,1-N(Ввод!$E$17)/100&lt;=0),"",IF(N(C29)&gt;N(F29),(N(E29)-N(H29))/((N(C29)-N(F29))*(1-N(Ввод!$E$17)/100)),(N(H29)-N(E29))/((N(F29)-N(C29))*(1+N(Ввод!$E$17)/100))))</f>
        <v/>
      </c>
    </row>
    <row r="30" ht="22" customHeight="1">
      <c r="B30" s="320" t="n"/>
      <c r="C30" s="246">
        <f>IF($B30="","",IF(SUMIFS('ИТОГО Торговля'!$C$5:$C$300,'ИТОГО Торговля'!$B$5:$B$300,$B30)+SUMIFS('ИТОГО Лэндинг'!$C$5:$C$300,'ИТОГО Лэндинг'!$B$5:$B$300,$B30)=0,"",SUMIFS('ИТОГО Торговля'!$C$5:$C$300,'ИТОГО Торговля'!$B$5:$B$300,$B30)+SUMIFS('ИТОГО Лэндинг'!$C$5:$C$300,'ИТОГО Лэндинг'!$B$5:$B$300,$B30)))</f>
        <v/>
      </c>
      <c r="D30" s="183">
        <f>IF(C30="","",E30/C30)</f>
        <v/>
      </c>
      <c r="E30" s="247">
        <f>IF(C30="","",SUMIFS('ИТОГО Торговля'!$E$5:$E$300,'ИТОГО Торговля'!$B$5:$B$300,$B30)+SUMIFS('ИТОГО Лэндинг'!$E$5:$E$300,'ИТОГО Лэндинг'!$B$5:$B$300,$B30))</f>
        <v/>
      </c>
      <c r="F30" s="246">
        <f>IF($B30="","",IF(SUMIFS('ИТОГО Торговля'!$F$5:$F$300,'ИТОГО Торговля'!$B$5:$B$300,$B30)+SUMIFS('ИТОГО Лэндинг'!$F$5:$F$300,'ИТОГО Лэндинг'!$B$5:$B$300,$B30)=0,"",SUMIFS('ИТОГО Торговля'!$F$5:$F$300,'ИТОГО Торговля'!$B$5:$B$300,$B30)+SUMIFS('ИТОГО Лэндинг'!$F$5:$F$300,'ИТОГО Лэндинг'!$B$5:$B$300,$B30)))</f>
        <v/>
      </c>
      <c r="G30" s="183">
        <f>IF(F30="","",H30/F30)</f>
        <v/>
      </c>
      <c r="H30" s="247">
        <f>IF(F30="","",SUMIFS('ИТОГО Торговля'!$H$5:$H$300,'ИТОГО Торговля'!$B$5:$B$300,$B30)+SUMIFS('ИТОГО Лэндинг'!$H$5:$H$300,'ИТОГО Лэндинг'!$B$5:$B$300,$B30))</f>
        <v/>
      </c>
      <c r="I30" s="246">
        <f>IF($B30="","",IF(AND(C30="",F30=""),"",ROUND(SUMIFS('ИТОГО Торговля'!$I$5:$I$300,'ИТОГО Торговля'!$B$5:$B$300,$B30)+SUMIFS('ИТОГО Лэндинг'!$I$5:$I$300,'ИТОГО Лэндинг'!$B$5:$B$300,$B30),8)))</f>
        <v/>
      </c>
      <c r="J30" s="247">
        <f>IF($B30="","",IF(AND(C30="",F30=""),"",ROUND(SUMIFS('ИТОГО Торговля'!$J$5:$J$300,'ИТОГО Торговля'!$B$5:$B$300,$B30)+SUMIFS('ИТОГО Лэндинг'!$J$5:$J$300,'ИТОГО Лэндинг'!$B$5:$B$300,$B30),8)))</f>
        <v/>
      </c>
      <c r="K30" s="246">
        <f>IF($B30="","",ROUND(SUMIFS('ИТОГО Торговля'!$K$5:$K$300,'ИТОГО Торговля'!$B$5:$B$300,$B30)+SUMIFS('ИТОГО Лэндинг'!$K$5:$K$300,'ИТОГО Лэндинг'!$B$5:$B$300,$B30),8))</f>
        <v/>
      </c>
      <c r="L30" s="183">
        <f>IF(K30="","",IF(SUMPRODUCT((Закрытые!$E$5:$E$300=$B30)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30/SUMPRODUCT((Закрытые!$E$5:$E$300=$B30)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0" s="183">
        <f>IF(OR(ROUND(N(C30)-N(F30),8)=0,1-N(Ввод!$E$17)/100&lt;=0),"",IF(N(C30)&gt;N(F30),(N(E30)-N(H30))/((N(C30)-N(F30))*(1-N(Ввод!$E$17)/100)),(N(H30)-N(E30))/((N(F30)-N(C30))*(1+N(Ввод!$E$17)/100))))</f>
        <v/>
      </c>
    </row>
    <row r="31" ht="22" customHeight="1">
      <c r="B31" s="315" t="n"/>
      <c r="C31" s="240">
        <f>IF($B31="","",IF(SUMIFS('ИТОГО Торговля'!$C$5:$C$300,'ИТОГО Торговля'!$B$5:$B$300,$B31)+SUMIFS('ИТОГО Лэндинг'!$C$5:$C$300,'ИТОГО Лэндинг'!$B$5:$B$300,$B31)=0,"",SUMIFS('ИТОГО Торговля'!$C$5:$C$300,'ИТОГО Торговля'!$B$5:$B$300,$B31)+SUMIFS('ИТОГО Лэндинг'!$C$5:$C$300,'ИТОГО Лэндинг'!$B$5:$B$300,$B31)))</f>
        <v/>
      </c>
      <c r="D31" s="177">
        <f>IF(C31="","",E31/C31)</f>
        <v/>
      </c>
      <c r="E31" s="241">
        <f>IF(C31="","",SUMIFS('ИТОГО Торговля'!$E$5:$E$300,'ИТОГО Торговля'!$B$5:$B$300,$B31)+SUMIFS('ИТОГО Лэндинг'!$E$5:$E$300,'ИТОГО Лэндинг'!$B$5:$B$300,$B31))</f>
        <v/>
      </c>
      <c r="F31" s="240">
        <f>IF($B31="","",IF(SUMIFS('ИТОГО Торговля'!$F$5:$F$300,'ИТОГО Торговля'!$B$5:$B$300,$B31)+SUMIFS('ИТОГО Лэндинг'!$F$5:$F$300,'ИТОГО Лэндинг'!$B$5:$B$300,$B31)=0,"",SUMIFS('ИТОГО Торговля'!$F$5:$F$300,'ИТОГО Торговля'!$B$5:$B$300,$B31)+SUMIFS('ИТОГО Лэндинг'!$F$5:$F$300,'ИТОГО Лэндинг'!$B$5:$B$300,$B31)))</f>
        <v/>
      </c>
      <c r="G31" s="177">
        <f>IF(F31="","",H31/F31)</f>
        <v/>
      </c>
      <c r="H31" s="241">
        <f>IF(F31="","",SUMIFS('ИТОГО Торговля'!$H$5:$H$300,'ИТОГО Торговля'!$B$5:$B$300,$B31)+SUMIFS('ИТОГО Лэндинг'!$H$5:$H$300,'ИТОГО Лэндинг'!$B$5:$B$300,$B31))</f>
        <v/>
      </c>
      <c r="I31" s="240">
        <f>IF($B31="","",IF(AND(C31="",F31=""),"",ROUND(SUMIFS('ИТОГО Торговля'!$I$5:$I$300,'ИТОГО Торговля'!$B$5:$B$300,$B31)+SUMIFS('ИТОГО Лэндинг'!$I$5:$I$300,'ИТОГО Лэндинг'!$B$5:$B$300,$B31),8)))</f>
        <v/>
      </c>
      <c r="J31" s="241">
        <f>IF($B31="","",IF(AND(C31="",F31=""),"",ROUND(SUMIFS('ИТОГО Торговля'!$J$5:$J$300,'ИТОГО Торговля'!$B$5:$B$300,$B31)+SUMIFS('ИТОГО Лэндинг'!$J$5:$J$300,'ИТОГО Лэндинг'!$B$5:$B$300,$B31),8)))</f>
        <v/>
      </c>
      <c r="K31" s="240">
        <f>IF($B31="","",ROUND(SUMIFS('ИТОГО Торговля'!$K$5:$K$300,'ИТОГО Торговля'!$B$5:$B$300,$B31)+SUMIFS('ИТОГО Лэндинг'!$K$5:$K$300,'ИТОГО Лэндинг'!$B$5:$B$300,$B31),8))</f>
        <v/>
      </c>
      <c r="L31" s="177">
        <f>IF(K31="","",IF(SUMPRODUCT((Закрытые!$E$5:$E$300=$B31)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31/SUMPRODUCT((Закрытые!$E$5:$E$300=$B31)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1" s="177">
        <f>IF(OR(ROUND(N(C31)-N(F31),8)=0,1-N(Ввод!$E$17)/100&lt;=0),"",IF(N(C31)&gt;N(F31),(N(E31)-N(H31))/((N(C31)-N(F31))*(1-N(Ввод!$E$17)/100)),(N(H31)-N(E31))/((N(F31)-N(C31))*(1+N(Ввод!$E$17)/100))))</f>
        <v/>
      </c>
    </row>
    <row r="32" ht="22" customHeight="1">
      <c r="B32" s="320" t="n"/>
      <c r="C32" s="246">
        <f>IF($B32="","",IF(SUMIFS('ИТОГО Торговля'!$C$5:$C$300,'ИТОГО Торговля'!$B$5:$B$300,$B32)+SUMIFS('ИТОГО Лэндинг'!$C$5:$C$300,'ИТОГО Лэндинг'!$B$5:$B$300,$B32)=0,"",SUMIFS('ИТОГО Торговля'!$C$5:$C$300,'ИТОГО Торговля'!$B$5:$B$300,$B32)+SUMIFS('ИТОГО Лэндинг'!$C$5:$C$300,'ИТОГО Лэндинг'!$B$5:$B$300,$B32)))</f>
        <v/>
      </c>
      <c r="D32" s="183">
        <f>IF(C32="","",E32/C32)</f>
        <v/>
      </c>
      <c r="E32" s="247">
        <f>IF(C32="","",SUMIFS('ИТОГО Торговля'!$E$5:$E$300,'ИТОГО Торговля'!$B$5:$B$300,$B32)+SUMIFS('ИТОГО Лэндинг'!$E$5:$E$300,'ИТОГО Лэндинг'!$B$5:$B$300,$B32))</f>
        <v/>
      </c>
      <c r="F32" s="246">
        <f>IF($B32="","",IF(SUMIFS('ИТОГО Торговля'!$F$5:$F$300,'ИТОГО Торговля'!$B$5:$B$300,$B32)+SUMIFS('ИТОГО Лэндинг'!$F$5:$F$300,'ИТОГО Лэндинг'!$B$5:$B$300,$B32)=0,"",SUMIFS('ИТОГО Торговля'!$F$5:$F$300,'ИТОГО Торговля'!$B$5:$B$300,$B32)+SUMIFS('ИТОГО Лэндинг'!$F$5:$F$300,'ИТОГО Лэндинг'!$B$5:$B$300,$B32)))</f>
        <v/>
      </c>
      <c r="G32" s="183">
        <f>IF(F32="","",H32/F32)</f>
        <v/>
      </c>
      <c r="H32" s="247">
        <f>IF(F32="","",SUMIFS('ИТОГО Торговля'!$H$5:$H$300,'ИТОГО Торговля'!$B$5:$B$300,$B32)+SUMIFS('ИТОГО Лэндинг'!$H$5:$H$300,'ИТОГО Лэндинг'!$B$5:$B$300,$B32))</f>
        <v/>
      </c>
      <c r="I32" s="246">
        <f>IF($B32="","",IF(AND(C32="",F32=""),"",ROUND(SUMIFS('ИТОГО Торговля'!$I$5:$I$300,'ИТОГО Торговля'!$B$5:$B$300,$B32)+SUMIFS('ИТОГО Лэндинг'!$I$5:$I$300,'ИТОГО Лэндинг'!$B$5:$B$300,$B32),8)))</f>
        <v/>
      </c>
      <c r="J32" s="247">
        <f>IF($B32="","",IF(AND(C32="",F32=""),"",ROUND(SUMIFS('ИТОГО Торговля'!$J$5:$J$300,'ИТОГО Торговля'!$B$5:$B$300,$B32)+SUMIFS('ИТОГО Лэндинг'!$J$5:$J$300,'ИТОГО Лэндинг'!$B$5:$B$300,$B32),8)))</f>
        <v/>
      </c>
      <c r="K32" s="246">
        <f>IF($B32="","",ROUND(SUMIFS('ИТОГО Торговля'!$K$5:$K$300,'ИТОГО Торговля'!$B$5:$B$300,$B32)+SUMIFS('ИТОГО Лэндинг'!$K$5:$K$300,'ИТОГО Лэндинг'!$B$5:$B$300,$B32),8))</f>
        <v/>
      </c>
      <c r="L32" s="183">
        <f>IF(K32="","",IF(SUMPRODUCT((Закрытые!$E$5:$E$300=$B32)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32/SUMPRODUCT((Закрытые!$E$5:$E$300=$B32)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2" s="183">
        <f>IF(OR(ROUND(N(C32)-N(F32),8)=0,1-N(Ввод!$E$17)/100&lt;=0),"",IF(N(C32)&gt;N(F32),(N(E32)-N(H32))/((N(C32)-N(F32))*(1-N(Ввод!$E$17)/100)),(N(H32)-N(E32))/((N(F32)-N(C32))*(1+N(Ввод!$E$17)/100))))</f>
        <v/>
      </c>
    </row>
    <row r="33" ht="22" customHeight="1">
      <c r="B33" s="315" t="n"/>
      <c r="C33" s="240">
        <f>IF($B33="","",IF(SUMIFS('ИТОГО Торговля'!$C$5:$C$300,'ИТОГО Торговля'!$B$5:$B$300,$B33)+SUMIFS('ИТОГО Лэндинг'!$C$5:$C$300,'ИТОГО Лэндинг'!$B$5:$B$300,$B33)=0,"",SUMIFS('ИТОГО Торговля'!$C$5:$C$300,'ИТОГО Торговля'!$B$5:$B$300,$B33)+SUMIFS('ИТОГО Лэндинг'!$C$5:$C$300,'ИТОГО Лэндинг'!$B$5:$B$300,$B33)))</f>
        <v/>
      </c>
      <c r="D33" s="177">
        <f>IF(C33="","",E33/C33)</f>
        <v/>
      </c>
      <c r="E33" s="241">
        <f>IF(C33="","",SUMIFS('ИТОГО Торговля'!$E$5:$E$300,'ИТОГО Торговля'!$B$5:$B$300,$B33)+SUMIFS('ИТОГО Лэндинг'!$E$5:$E$300,'ИТОГО Лэндинг'!$B$5:$B$300,$B33))</f>
        <v/>
      </c>
      <c r="F33" s="240">
        <f>IF($B33="","",IF(SUMIFS('ИТОГО Торговля'!$F$5:$F$300,'ИТОГО Торговля'!$B$5:$B$300,$B33)+SUMIFS('ИТОГО Лэндинг'!$F$5:$F$300,'ИТОГО Лэндинг'!$B$5:$B$300,$B33)=0,"",SUMIFS('ИТОГО Торговля'!$F$5:$F$300,'ИТОГО Торговля'!$B$5:$B$300,$B33)+SUMIFS('ИТОГО Лэндинг'!$F$5:$F$300,'ИТОГО Лэндинг'!$B$5:$B$300,$B33)))</f>
        <v/>
      </c>
      <c r="G33" s="177">
        <f>IF(F33="","",H33/F33)</f>
        <v/>
      </c>
      <c r="H33" s="241">
        <f>IF(F33="","",SUMIFS('ИТОГО Торговля'!$H$5:$H$300,'ИТОГО Торговля'!$B$5:$B$300,$B33)+SUMIFS('ИТОГО Лэндинг'!$H$5:$H$300,'ИТОГО Лэндинг'!$B$5:$B$300,$B33))</f>
        <v/>
      </c>
      <c r="I33" s="240">
        <f>IF($B33="","",IF(AND(C33="",F33=""),"",ROUND(SUMIFS('ИТОГО Торговля'!$I$5:$I$300,'ИТОГО Торговля'!$B$5:$B$300,$B33)+SUMIFS('ИТОГО Лэндинг'!$I$5:$I$300,'ИТОГО Лэндинг'!$B$5:$B$300,$B33),8)))</f>
        <v/>
      </c>
      <c r="J33" s="241">
        <f>IF($B33="","",IF(AND(C33="",F33=""),"",ROUND(SUMIFS('ИТОГО Торговля'!$J$5:$J$300,'ИТОГО Торговля'!$B$5:$B$300,$B33)+SUMIFS('ИТОГО Лэндинг'!$J$5:$J$300,'ИТОГО Лэндинг'!$B$5:$B$300,$B33),8)))</f>
        <v/>
      </c>
      <c r="K33" s="240">
        <f>IF($B33="","",ROUND(SUMIFS('ИТОГО Торговля'!$K$5:$K$300,'ИТОГО Торговля'!$B$5:$B$300,$B33)+SUMIFS('ИТОГО Лэндинг'!$K$5:$K$300,'ИТОГО Лэндинг'!$B$5:$B$300,$B33),8))</f>
        <v/>
      </c>
      <c r="L33" s="177">
        <f>IF(K33="","",IF(SUMPRODUCT((Закрытые!$E$5:$E$300=$B33)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33/SUMPRODUCT((Закрытые!$E$5:$E$300=$B33)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3" s="177">
        <f>IF(OR(ROUND(N(C33)-N(F33),8)=0,1-N(Ввод!$E$17)/100&lt;=0),"",IF(N(C33)&gt;N(F33),(N(E33)-N(H33))/((N(C33)-N(F33))*(1-N(Ввод!$E$17)/100)),(N(H33)-N(E33))/((N(F33)-N(C33))*(1+N(Ввод!$E$17)/100))))</f>
        <v/>
      </c>
    </row>
    <row r="34" ht="22" customHeight="1">
      <c r="B34" s="320" t="n"/>
      <c r="C34" s="246">
        <f>IF($B34="","",IF(SUMIFS('ИТОГО Торговля'!$C$5:$C$300,'ИТОГО Торговля'!$B$5:$B$300,$B34)+SUMIFS('ИТОГО Лэндинг'!$C$5:$C$300,'ИТОГО Лэндинг'!$B$5:$B$300,$B34)=0,"",SUMIFS('ИТОГО Торговля'!$C$5:$C$300,'ИТОГО Торговля'!$B$5:$B$300,$B34)+SUMIFS('ИТОГО Лэндинг'!$C$5:$C$300,'ИТОГО Лэндинг'!$B$5:$B$300,$B34)))</f>
        <v/>
      </c>
      <c r="D34" s="183">
        <f>IF(C34="","",E34/C34)</f>
        <v/>
      </c>
      <c r="E34" s="247">
        <f>IF(C34="","",SUMIFS('ИТОГО Торговля'!$E$5:$E$300,'ИТОГО Торговля'!$B$5:$B$300,$B34)+SUMIFS('ИТОГО Лэндинг'!$E$5:$E$300,'ИТОГО Лэндинг'!$B$5:$B$300,$B34))</f>
        <v/>
      </c>
      <c r="F34" s="246">
        <f>IF($B34="","",IF(SUMIFS('ИТОГО Торговля'!$F$5:$F$300,'ИТОГО Торговля'!$B$5:$B$300,$B34)+SUMIFS('ИТОГО Лэндинг'!$F$5:$F$300,'ИТОГО Лэндинг'!$B$5:$B$300,$B34)=0,"",SUMIFS('ИТОГО Торговля'!$F$5:$F$300,'ИТОГО Торговля'!$B$5:$B$300,$B34)+SUMIFS('ИТОГО Лэндинг'!$F$5:$F$300,'ИТОГО Лэндинг'!$B$5:$B$300,$B34)))</f>
        <v/>
      </c>
      <c r="G34" s="183">
        <f>IF(F34="","",H34/F34)</f>
        <v/>
      </c>
      <c r="H34" s="247">
        <f>IF(F34="","",SUMIFS('ИТОГО Торговля'!$H$5:$H$300,'ИТОГО Торговля'!$B$5:$B$300,$B34)+SUMIFS('ИТОГО Лэндинг'!$H$5:$H$300,'ИТОГО Лэндинг'!$B$5:$B$300,$B34))</f>
        <v/>
      </c>
      <c r="I34" s="246">
        <f>IF($B34="","",IF(AND(C34="",F34=""),"",ROUND(SUMIFS('ИТОГО Торговля'!$I$5:$I$300,'ИТОГО Торговля'!$B$5:$B$300,$B34)+SUMIFS('ИТОГО Лэндинг'!$I$5:$I$300,'ИТОГО Лэндинг'!$B$5:$B$300,$B34),8)))</f>
        <v/>
      </c>
      <c r="J34" s="247">
        <f>IF($B34="","",IF(AND(C34="",F34=""),"",ROUND(SUMIFS('ИТОГО Торговля'!$J$5:$J$300,'ИТОГО Торговля'!$B$5:$B$300,$B34)+SUMIFS('ИТОГО Лэндинг'!$J$5:$J$300,'ИТОГО Лэндинг'!$B$5:$B$300,$B34),8)))</f>
        <v/>
      </c>
      <c r="K34" s="246">
        <f>IF($B34="","",ROUND(SUMIFS('ИТОГО Торговля'!$K$5:$K$300,'ИТОГО Торговля'!$B$5:$B$300,$B34)+SUMIFS('ИТОГО Лэндинг'!$K$5:$K$300,'ИТОГО Лэндинг'!$B$5:$B$300,$B34),8))</f>
        <v/>
      </c>
      <c r="L34" s="183">
        <f>IF(K34="","",IF(SUMPRODUCT((Закрытые!$E$5:$E$300=$B34)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34/SUMPRODUCT((Закрытые!$E$5:$E$300=$B34)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4" s="183">
        <f>IF(OR(ROUND(N(C34)-N(F34),8)=0,1-N(Ввод!$E$17)/100&lt;=0),"",IF(N(C34)&gt;N(F34),(N(E34)-N(H34))/((N(C34)-N(F34))*(1-N(Ввод!$E$17)/100)),(N(H34)-N(E34))/((N(F34)-N(C34))*(1+N(Ввод!$E$17)/100))))</f>
        <v/>
      </c>
    </row>
    <row r="35" ht="22" customHeight="1">
      <c r="B35" s="315" t="n"/>
      <c r="C35" s="240">
        <f>IF($B35="","",IF(SUMIFS('ИТОГО Торговля'!$C$5:$C$300,'ИТОГО Торговля'!$B$5:$B$300,$B35)+SUMIFS('ИТОГО Лэндинг'!$C$5:$C$300,'ИТОГО Лэндинг'!$B$5:$B$300,$B35)=0,"",SUMIFS('ИТОГО Торговля'!$C$5:$C$300,'ИТОГО Торговля'!$B$5:$B$300,$B35)+SUMIFS('ИТОГО Лэндинг'!$C$5:$C$300,'ИТОГО Лэндинг'!$B$5:$B$300,$B35)))</f>
        <v/>
      </c>
      <c r="D35" s="177">
        <f>IF(C35="","",E35/C35)</f>
        <v/>
      </c>
      <c r="E35" s="241">
        <f>IF(C35="","",SUMIFS('ИТОГО Торговля'!$E$5:$E$300,'ИТОГО Торговля'!$B$5:$B$300,$B35)+SUMIFS('ИТОГО Лэндинг'!$E$5:$E$300,'ИТОГО Лэндинг'!$B$5:$B$300,$B35))</f>
        <v/>
      </c>
      <c r="F35" s="240">
        <f>IF($B35="","",IF(SUMIFS('ИТОГО Торговля'!$F$5:$F$300,'ИТОГО Торговля'!$B$5:$B$300,$B35)+SUMIFS('ИТОГО Лэндинг'!$F$5:$F$300,'ИТОГО Лэндинг'!$B$5:$B$300,$B35)=0,"",SUMIFS('ИТОГО Торговля'!$F$5:$F$300,'ИТОГО Торговля'!$B$5:$B$300,$B35)+SUMIFS('ИТОГО Лэндинг'!$F$5:$F$300,'ИТОГО Лэндинг'!$B$5:$B$300,$B35)))</f>
        <v/>
      </c>
      <c r="G35" s="177">
        <f>IF(F35="","",H35/F35)</f>
        <v/>
      </c>
      <c r="H35" s="241">
        <f>IF(F35="","",SUMIFS('ИТОГО Торговля'!$H$5:$H$300,'ИТОГО Торговля'!$B$5:$B$300,$B35)+SUMIFS('ИТОГО Лэндинг'!$H$5:$H$300,'ИТОГО Лэндинг'!$B$5:$B$300,$B35))</f>
        <v/>
      </c>
      <c r="I35" s="240">
        <f>IF($B35="","",IF(AND(C35="",F35=""),"",ROUND(SUMIFS('ИТОГО Торговля'!$I$5:$I$300,'ИТОГО Торговля'!$B$5:$B$300,$B35)+SUMIFS('ИТОГО Лэндинг'!$I$5:$I$300,'ИТОГО Лэндинг'!$B$5:$B$300,$B35),8)))</f>
        <v/>
      </c>
      <c r="J35" s="241">
        <f>IF($B35="","",IF(AND(C35="",F35=""),"",ROUND(SUMIFS('ИТОГО Торговля'!$J$5:$J$300,'ИТОГО Торговля'!$B$5:$B$300,$B35)+SUMIFS('ИТОГО Лэндинг'!$J$5:$J$300,'ИТОГО Лэндинг'!$B$5:$B$300,$B35),8)))</f>
        <v/>
      </c>
      <c r="K35" s="240">
        <f>IF($B35="","",ROUND(SUMIFS('ИТОГО Торговля'!$K$5:$K$300,'ИТОГО Торговля'!$B$5:$B$300,$B35)+SUMIFS('ИТОГО Лэндинг'!$K$5:$K$300,'ИТОГО Лэндинг'!$B$5:$B$300,$B35),8))</f>
        <v/>
      </c>
      <c r="L35" s="177">
        <f>IF(K35="","",IF(SUMPRODUCT((Закрытые!$E$5:$E$300=$B35)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35/SUMPRODUCT((Закрытые!$E$5:$E$300=$B35)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5" s="177">
        <f>IF(OR(ROUND(N(C35)-N(F35),8)=0,1-N(Ввод!$E$17)/100&lt;=0),"",IF(N(C35)&gt;N(F35),(N(E35)-N(H35))/((N(C35)-N(F35))*(1-N(Ввод!$E$17)/100)),(N(H35)-N(E35))/((N(F35)-N(C35))*(1+N(Ввод!$E$17)/100))))</f>
        <v/>
      </c>
    </row>
    <row r="36" ht="22" customHeight="1">
      <c r="B36" s="320" t="n"/>
      <c r="C36" s="246">
        <f>IF($B36="","",IF(SUMIFS('ИТОГО Торговля'!$C$5:$C$300,'ИТОГО Торговля'!$B$5:$B$300,$B36)+SUMIFS('ИТОГО Лэндинг'!$C$5:$C$300,'ИТОГО Лэндинг'!$B$5:$B$300,$B36)=0,"",SUMIFS('ИТОГО Торговля'!$C$5:$C$300,'ИТОГО Торговля'!$B$5:$B$300,$B36)+SUMIFS('ИТОГО Лэндинг'!$C$5:$C$300,'ИТОГО Лэндинг'!$B$5:$B$300,$B36)))</f>
        <v/>
      </c>
      <c r="D36" s="183">
        <f>IF(C36="","",E36/C36)</f>
        <v/>
      </c>
      <c r="E36" s="247">
        <f>IF(C36="","",SUMIFS('ИТОГО Торговля'!$E$5:$E$300,'ИТОГО Торговля'!$B$5:$B$300,$B36)+SUMIFS('ИТОГО Лэндинг'!$E$5:$E$300,'ИТОГО Лэндинг'!$B$5:$B$300,$B36))</f>
        <v/>
      </c>
      <c r="F36" s="246">
        <f>IF($B36="","",IF(SUMIFS('ИТОГО Торговля'!$F$5:$F$300,'ИТОГО Торговля'!$B$5:$B$300,$B36)+SUMIFS('ИТОГО Лэндинг'!$F$5:$F$300,'ИТОГО Лэндинг'!$B$5:$B$300,$B36)=0,"",SUMIFS('ИТОГО Торговля'!$F$5:$F$300,'ИТОГО Торговля'!$B$5:$B$300,$B36)+SUMIFS('ИТОГО Лэндинг'!$F$5:$F$300,'ИТОГО Лэндинг'!$B$5:$B$300,$B36)))</f>
        <v/>
      </c>
      <c r="G36" s="183">
        <f>IF(F36="","",H36/F36)</f>
        <v/>
      </c>
      <c r="H36" s="247">
        <f>IF(F36="","",SUMIFS('ИТОГО Торговля'!$H$5:$H$300,'ИТОГО Торговля'!$B$5:$B$300,$B36)+SUMIFS('ИТОГО Лэндинг'!$H$5:$H$300,'ИТОГО Лэндинг'!$B$5:$B$300,$B36))</f>
        <v/>
      </c>
      <c r="I36" s="246">
        <f>IF($B36="","",IF(AND(C36="",F36=""),"",ROUND(SUMIFS('ИТОГО Торговля'!$I$5:$I$300,'ИТОГО Торговля'!$B$5:$B$300,$B36)+SUMIFS('ИТОГО Лэндинг'!$I$5:$I$300,'ИТОГО Лэндинг'!$B$5:$B$300,$B36),8)))</f>
        <v/>
      </c>
      <c r="J36" s="247">
        <f>IF($B36="","",IF(AND(C36="",F36=""),"",ROUND(SUMIFS('ИТОГО Торговля'!$J$5:$J$300,'ИТОГО Торговля'!$B$5:$B$300,$B36)+SUMIFS('ИТОГО Лэндинг'!$J$5:$J$300,'ИТОГО Лэндинг'!$B$5:$B$300,$B36),8)))</f>
        <v/>
      </c>
      <c r="K36" s="246">
        <f>IF($B36="","",ROUND(SUMIFS('ИТОГО Торговля'!$K$5:$K$300,'ИТОГО Торговля'!$B$5:$B$300,$B36)+SUMIFS('ИТОГО Лэндинг'!$K$5:$K$300,'ИТОГО Лэндинг'!$B$5:$B$300,$B36),8))</f>
        <v/>
      </c>
      <c r="L36" s="183">
        <f>IF(K36="","",IF(SUMPRODUCT((Закрытые!$E$5:$E$300=$B36)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36/SUMPRODUCT((Закрытые!$E$5:$E$300=$B36)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6" s="183">
        <f>IF(OR(ROUND(N(C36)-N(F36),8)=0,1-N(Ввод!$E$17)/100&lt;=0),"",IF(N(C36)&gt;N(F36),(N(E36)-N(H36))/((N(C36)-N(F36))*(1-N(Ввод!$E$17)/100)),(N(H36)-N(E36))/((N(F36)-N(C36))*(1+N(Ввод!$E$17)/100))))</f>
        <v/>
      </c>
    </row>
    <row r="37" ht="22" customHeight="1">
      <c r="B37" s="315" t="n"/>
      <c r="C37" s="240">
        <f>IF($B37="","",IF(SUMIFS('ИТОГО Торговля'!$C$5:$C$300,'ИТОГО Торговля'!$B$5:$B$300,$B37)+SUMIFS('ИТОГО Лэндинг'!$C$5:$C$300,'ИТОГО Лэндинг'!$B$5:$B$300,$B37)=0,"",SUMIFS('ИТОГО Торговля'!$C$5:$C$300,'ИТОГО Торговля'!$B$5:$B$300,$B37)+SUMIFS('ИТОГО Лэндинг'!$C$5:$C$300,'ИТОГО Лэндинг'!$B$5:$B$300,$B37)))</f>
        <v/>
      </c>
      <c r="D37" s="177">
        <f>IF(C37="","",E37/C37)</f>
        <v/>
      </c>
      <c r="E37" s="241">
        <f>IF(C37="","",SUMIFS('ИТОГО Торговля'!$E$5:$E$300,'ИТОГО Торговля'!$B$5:$B$300,$B37)+SUMIFS('ИТОГО Лэндинг'!$E$5:$E$300,'ИТОГО Лэндинг'!$B$5:$B$300,$B37))</f>
        <v/>
      </c>
      <c r="F37" s="240">
        <f>IF($B37="","",IF(SUMIFS('ИТОГО Торговля'!$F$5:$F$300,'ИТОГО Торговля'!$B$5:$B$300,$B37)+SUMIFS('ИТОГО Лэндинг'!$F$5:$F$300,'ИТОГО Лэндинг'!$B$5:$B$300,$B37)=0,"",SUMIFS('ИТОГО Торговля'!$F$5:$F$300,'ИТОГО Торговля'!$B$5:$B$300,$B37)+SUMIFS('ИТОГО Лэндинг'!$F$5:$F$300,'ИТОГО Лэндинг'!$B$5:$B$300,$B37)))</f>
        <v/>
      </c>
      <c r="G37" s="177">
        <f>IF(F37="","",H37/F37)</f>
        <v/>
      </c>
      <c r="H37" s="241">
        <f>IF(F37="","",SUMIFS('ИТОГО Торговля'!$H$5:$H$300,'ИТОГО Торговля'!$B$5:$B$300,$B37)+SUMIFS('ИТОГО Лэндинг'!$H$5:$H$300,'ИТОГО Лэндинг'!$B$5:$B$300,$B37))</f>
        <v/>
      </c>
      <c r="I37" s="240">
        <f>IF($B37="","",IF(AND(C37="",F37=""),"",ROUND(SUMIFS('ИТОГО Торговля'!$I$5:$I$300,'ИТОГО Торговля'!$B$5:$B$300,$B37)+SUMIFS('ИТОГО Лэндинг'!$I$5:$I$300,'ИТОГО Лэндинг'!$B$5:$B$300,$B37),8)))</f>
        <v/>
      </c>
      <c r="J37" s="241">
        <f>IF($B37="","",IF(AND(C37="",F37=""),"",ROUND(SUMIFS('ИТОГО Торговля'!$J$5:$J$300,'ИТОГО Торговля'!$B$5:$B$300,$B37)+SUMIFS('ИТОГО Лэндинг'!$J$5:$J$300,'ИТОГО Лэндинг'!$B$5:$B$300,$B37),8)))</f>
        <v/>
      </c>
      <c r="K37" s="240">
        <f>IF($B37="","",ROUND(SUMIFS('ИТОГО Торговля'!$K$5:$K$300,'ИТОГО Торговля'!$B$5:$B$300,$B37)+SUMIFS('ИТОГО Лэндинг'!$K$5:$K$300,'ИТОГО Лэндинг'!$B$5:$B$300,$B37),8))</f>
        <v/>
      </c>
      <c r="L37" s="177">
        <f>IF(K37="","",IF(SUMPRODUCT((Закрытые!$E$5:$E$300=$B37)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37/SUMPRODUCT((Закрытые!$E$5:$E$300=$B37)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7" s="177">
        <f>IF(OR(ROUND(N(C37)-N(F37),8)=0,1-N(Ввод!$E$17)/100&lt;=0),"",IF(N(C37)&gt;N(F37),(N(E37)-N(H37))/((N(C37)-N(F37))*(1-N(Ввод!$E$17)/100)),(N(H37)-N(E37))/((N(F37)-N(C37))*(1+N(Ввод!$E$17)/100))))</f>
        <v/>
      </c>
    </row>
    <row r="38" ht="22" customHeight="1">
      <c r="B38" s="320" t="n"/>
      <c r="C38" s="246">
        <f>IF($B38="","",IF(SUMIFS('ИТОГО Торговля'!$C$5:$C$300,'ИТОГО Торговля'!$B$5:$B$300,$B38)+SUMIFS('ИТОГО Лэндинг'!$C$5:$C$300,'ИТОГО Лэндинг'!$B$5:$B$300,$B38)=0,"",SUMIFS('ИТОГО Торговля'!$C$5:$C$300,'ИТОГО Торговля'!$B$5:$B$300,$B38)+SUMIFS('ИТОГО Лэндинг'!$C$5:$C$300,'ИТОГО Лэндинг'!$B$5:$B$300,$B38)))</f>
        <v/>
      </c>
      <c r="D38" s="183">
        <f>IF(C38="","",E38/C38)</f>
        <v/>
      </c>
      <c r="E38" s="247">
        <f>IF(C38="","",SUMIFS('ИТОГО Торговля'!$E$5:$E$300,'ИТОГО Торговля'!$B$5:$B$300,$B38)+SUMIFS('ИТОГО Лэндинг'!$E$5:$E$300,'ИТОГО Лэндинг'!$B$5:$B$300,$B38))</f>
        <v/>
      </c>
      <c r="F38" s="246">
        <f>IF($B38="","",IF(SUMIFS('ИТОГО Торговля'!$F$5:$F$300,'ИТОГО Торговля'!$B$5:$B$300,$B38)+SUMIFS('ИТОГО Лэндинг'!$F$5:$F$300,'ИТОГО Лэндинг'!$B$5:$B$300,$B38)=0,"",SUMIFS('ИТОГО Торговля'!$F$5:$F$300,'ИТОГО Торговля'!$B$5:$B$300,$B38)+SUMIFS('ИТОГО Лэндинг'!$F$5:$F$300,'ИТОГО Лэндинг'!$B$5:$B$300,$B38)))</f>
        <v/>
      </c>
      <c r="G38" s="183">
        <f>IF(F38="","",H38/F38)</f>
        <v/>
      </c>
      <c r="H38" s="247">
        <f>IF(F38="","",SUMIFS('ИТОГО Торговля'!$H$5:$H$300,'ИТОГО Торговля'!$B$5:$B$300,$B38)+SUMIFS('ИТОГО Лэндинг'!$H$5:$H$300,'ИТОГО Лэндинг'!$B$5:$B$300,$B38))</f>
        <v/>
      </c>
      <c r="I38" s="246">
        <f>IF($B38="","",IF(AND(C38="",F38=""),"",ROUND(SUMIFS('ИТОГО Торговля'!$I$5:$I$300,'ИТОГО Торговля'!$B$5:$B$300,$B38)+SUMIFS('ИТОГО Лэндинг'!$I$5:$I$300,'ИТОГО Лэндинг'!$B$5:$B$300,$B38),8)))</f>
        <v/>
      </c>
      <c r="J38" s="247">
        <f>IF($B38="","",IF(AND(C38="",F38=""),"",ROUND(SUMIFS('ИТОГО Торговля'!$J$5:$J$300,'ИТОГО Торговля'!$B$5:$B$300,$B38)+SUMIFS('ИТОГО Лэндинг'!$J$5:$J$300,'ИТОГО Лэндинг'!$B$5:$B$300,$B38),8)))</f>
        <v/>
      </c>
      <c r="K38" s="246">
        <f>IF($B38="","",ROUND(SUMIFS('ИТОГО Торговля'!$K$5:$K$300,'ИТОГО Торговля'!$B$5:$B$300,$B38)+SUMIFS('ИТОГО Лэндинг'!$K$5:$K$300,'ИТОГО Лэндинг'!$B$5:$B$300,$B38),8))</f>
        <v/>
      </c>
      <c r="L38" s="183">
        <f>IF(K38="","",IF(SUMPRODUCT((Закрытые!$E$5:$E$300=$B38)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38/SUMPRODUCT((Закрытые!$E$5:$E$300=$B38)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8" s="183">
        <f>IF(OR(ROUND(N(C38)-N(F38),8)=0,1-N(Ввод!$E$17)/100&lt;=0),"",IF(N(C38)&gt;N(F38),(N(E38)-N(H38))/((N(C38)-N(F38))*(1-N(Ввод!$E$17)/100)),(N(H38)-N(E38))/((N(F38)-N(C38))*(1+N(Ввод!$E$17)/100))))</f>
        <v/>
      </c>
    </row>
    <row r="39" ht="22" customHeight="1">
      <c r="B39" s="315" t="n"/>
      <c r="C39" s="240">
        <f>IF($B39="","",IF(SUMIFS('ИТОГО Торговля'!$C$5:$C$300,'ИТОГО Торговля'!$B$5:$B$300,$B39)+SUMIFS('ИТОГО Лэндинг'!$C$5:$C$300,'ИТОГО Лэндинг'!$B$5:$B$300,$B39)=0,"",SUMIFS('ИТОГО Торговля'!$C$5:$C$300,'ИТОГО Торговля'!$B$5:$B$300,$B39)+SUMIFS('ИТОГО Лэндинг'!$C$5:$C$300,'ИТОГО Лэндинг'!$B$5:$B$300,$B39)))</f>
        <v/>
      </c>
      <c r="D39" s="177">
        <f>IF(C39="","",E39/C39)</f>
        <v/>
      </c>
      <c r="E39" s="241">
        <f>IF(C39="","",SUMIFS('ИТОГО Торговля'!$E$5:$E$300,'ИТОГО Торговля'!$B$5:$B$300,$B39)+SUMIFS('ИТОГО Лэндинг'!$E$5:$E$300,'ИТОГО Лэндинг'!$B$5:$B$300,$B39))</f>
        <v/>
      </c>
      <c r="F39" s="240">
        <f>IF($B39="","",IF(SUMIFS('ИТОГО Торговля'!$F$5:$F$300,'ИТОГО Торговля'!$B$5:$B$300,$B39)+SUMIFS('ИТОГО Лэндинг'!$F$5:$F$300,'ИТОГО Лэндинг'!$B$5:$B$300,$B39)=0,"",SUMIFS('ИТОГО Торговля'!$F$5:$F$300,'ИТОГО Торговля'!$B$5:$B$300,$B39)+SUMIFS('ИТОГО Лэндинг'!$F$5:$F$300,'ИТОГО Лэндинг'!$B$5:$B$300,$B39)))</f>
        <v/>
      </c>
      <c r="G39" s="177">
        <f>IF(F39="","",H39/F39)</f>
        <v/>
      </c>
      <c r="H39" s="241">
        <f>IF(F39="","",SUMIFS('ИТОГО Торговля'!$H$5:$H$300,'ИТОГО Торговля'!$B$5:$B$300,$B39)+SUMIFS('ИТОГО Лэндинг'!$H$5:$H$300,'ИТОГО Лэндинг'!$B$5:$B$300,$B39))</f>
        <v/>
      </c>
      <c r="I39" s="240">
        <f>IF($B39="","",IF(AND(C39="",F39=""),"",ROUND(SUMIFS('ИТОГО Торговля'!$I$5:$I$300,'ИТОГО Торговля'!$B$5:$B$300,$B39)+SUMIFS('ИТОГО Лэндинг'!$I$5:$I$300,'ИТОГО Лэндинг'!$B$5:$B$300,$B39),8)))</f>
        <v/>
      </c>
      <c r="J39" s="241">
        <f>IF($B39="","",IF(AND(C39="",F39=""),"",ROUND(SUMIFS('ИТОГО Торговля'!$J$5:$J$300,'ИТОГО Торговля'!$B$5:$B$300,$B39)+SUMIFS('ИТОГО Лэндинг'!$J$5:$J$300,'ИТОГО Лэндинг'!$B$5:$B$300,$B39),8)))</f>
        <v/>
      </c>
      <c r="K39" s="240">
        <f>IF($B39="","",ROUND(SUMIFS('ИТОГО Торговля'!$K$5:$K$300,'ИТОГО Торговля'!$B$5:$B$300,$B39)+SUMIFS('ИТОГО Лэндинг'!$K$5:$K$300,'ИТОГО Лэндинг'!$B$5:$B$300,$B39),8))</f>
        <v/>
      </c>
      <c r="L39" s="177">
        <f>IF(K39="","",IF(SUMPRODUCT((Закрытые!$E$5:$E$300=$B39)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39/SUMPRODUCT((Закрытые!$E$5:$E$300=$B39)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9" s="177">
        <f>IF(OR(ROUND(N(C39)-N(F39),8)=0,1-N(Ввод!$E$17)/100&lt;=0),"",IF(N(C39)&gt;N(F39),(N(E39)-N(H39))/((N(C39)-N(F39))*(1-N(Ввод!$E$17)/100)),(N(H39)-N(E39))/((N(F39)-N(C39))*(1+N(Ввод!$E$17)/100))))</f>
        <v/>
      </c>
    </row>
    <row r="40" ht="22" customHeight="1">
      <c r="B40" s="320" t="n"/>
      <c r="C40" s="246">
        <f>IF($B40="","",IF(SUMIFS('ИТОГО Торговля'!$C$5:$C$300,'ИТОГО Торговля'!$B$5:$B$300,$B40)+SUMIFS('ИТОГО Лэндинг'!$C$5:$C$300,'ИТОГО Лэндинг'!$B$5:$B$300,$B40)=0,"",SUMIFS('ИТОГО Торговля'!$C$5:$C$300,'ИТОГО Торговля'!$B$5:$B$300,$B40)+SUMIFS('ИТОГО Лэндинг'!$C$5:$C$300,'ИТОГО Лэндинг'!$B$5:$B$300,$B40)))</f>
        <v/>
      </c>
      <c r="D40" s="183">
        <f>IF(C40="","",E40/C40)</f>
        <v/>
      </c>
      <c r="E40" s="247">
        <f>IF(C40="","",SUMIFS('ИТОГО Торговля'!$E$5:$E$300,'ИТОГО Торговля'!$B$5:$B$300,$B40)+SUMIFS('ИТОГО Лэндинг'!$E$5:$E$300,'ИТОГО Лэндинг'!$B$5:$B$300,$B40))</f>
        <v/>
      </c>
      <c r="F40" s="246">
        <f>IF($B40="","",IF(SUMIFS('ИТОГО Торговля'!$F$5:$F$300,'ИТОГО Торговля'!$B$5:$B$300,$B40)+SUMIFS('ИТОГО Лэндинг'!$F$5:$F$300,'ИТОГО Лэндинг'!$B$5:$B$300,$B40)=0,"",SUMIFS('ИТОГО Торговля'!$F$5:$F$300,'ИТОГО Торговля'!$B$5:$B$300,$B40)+SUMIFS('ИТОГО Лэндинг'!$F$5:$F$300,'ИТОГО Лэндинг'!$B$5:$B$300,$B40)))</f>
        <v/>
      </c>
      <c r="G40" s="183">
        <f>IF(F40="","",H40/F40)</f>
        <v/>
      </c>
      <c r="H40" s="247">
        <f>IF(F40="","",SUMIFS('ИТОГО Торговля'!$H$5:$H$300,'ИТОГО Торговля'!$B$5:$B$300,$B40)+SUMIFS('ИТОГО Лэндинг'!$H$5:$H$300,'ИТОГО Лэндинг'!$B$5:$B$300,$B40))</f>
        <v/>
      </c>
      <c r="I40" s="246">
        <f>IF($B40="","",IF(AND(C40="",F40=""),"",ROUND(SUMIFS('ИТОГО Торговля'!$I$5:$I$300,'ИТОГО Торговля'!$B$5:$B$300,$B40)+SUMIFS('ИТОГО Лэндинг'!$I$5:$I$300,'ИТОГО Лэндинг'!$B$5:$B$300,$B40),8)))</f>
        <v/>
      </c>
      <c r="J40" s="247">
        <f>IF($B40="","",IF(AND(C40="",F40=""),"",ROUND(SUMIFS('ИТОГО Торговля'!$J$5:$J$300,'ИТОГО Торговля'!$B$5:$B$300,$B40)+SUMIFS('ИТОГО Лэндинг'!$J$5:$J$300,'ИТОГО Лэндинг'!$B$5:$B$300,$B40),8)))</f>
        <v/>
      </c>
      <c r="K40" s="246">
        <f>IF($B40="","",ROUND(SUMIFS('ИТОГО Торговля'!$K$5:$K$300,'ИТОГО Торговля'!$B$5:$B$300,$B40)+SUMIFS('ИТОГО Лэндинг'!$K$5:$K$300,'ИТОГО Лэндинг'!$B$5:$B$300,$B40),8))</f>
        <v/>
      </c>
      <c r="L40" s="183">
        <f>IF(K40="","",IF(SUMPRODUCT((Закрытые!$E$5:$E$300=$B40)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40/SUMPRODUCT((Закрытые!$E$5:$E$300=$B40)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0" s="183">
        <f>IF(OR(ROUND(N(C40)-N(F40),8)=0,1-N(Ввод!$E$17)/100&lt;=0),"",IF(N(C40)&gt;N(F40),(N(E40)-N(H40))/((N(C40)-N(F40))*(1-N(Ввод!$E$17)/100)),(N(H40)-N(E40))/((N(F40)-N(C40))*(1+N(Ввод!$E$17)/100))))</f>
        <v/>
      </c>
    </row>
    <row r="41" ht="22" customHeight="1">
      <c r="B41" s="315" t="n"/>
      <c r="C41" s="240">
        <f>IF($B41="","",IF(SUMIFS('ИТОГО Торговля'!$C$5:$C$300,'ИТОГО Торговля'!$B$5:$B$300,$B41)+SUMIFS('ИТОГО Лэндинг'!$C$5:$C$300,'ИТОГО Лэндинг'!$B$5:$B$300,$B41)=0,"",SUMIFS('ИТОГО Торговля'!$C$5:$C$300,'ИТОГО Торговля'!$B$5:$B$300,$B41)+SUMIFS('ИТОГО Лэндинг'!$C$5:$C$300,'ИТОГО Лэндинг'!$B$5:$B$300,$B41)))</f>
        <v/>
      </c>
      <c r="D41" s="177">
        <f>IF(C41="","",E41/C41)</f>
        <v/>
      </c>
      <c r="E41" s="241">
        <f>IF(C41="","",SUMIFS('ИТОГО Торговля'!$E$5:$E$300,'ИТОГО Торговля'!$B$5:$B$300,$B41)+SUMIFS('ИТОГО Лэндинг'!$E$5:$E$300,'ИТОГО Лэндинг'!$B$5:$B$300,$B41))</f>
        <v/>
      </c>
      <c r="F41" s="240">
        <f>IF($B41="","",IF(SUMIFS('ИТОГО Торговля'!$F$5:$F$300,'ИТОГО Торговля'!$B$5:$B$300,$B41)+SUMIFS('ИТОГО Лэндинг'!$F$5:$F$300,'ИТОГО Лэндинг'!$B$5:$B$300,$B41)=0,"",SUMIFS('ИТОГО Торговля'!$F$5:$F$300,'ИТОГО Торговля'!$B$5:$B$300,$B41)+SUMIFS('ИТОГО Лэндинг'!$F$5:$F$300,'ИТОГО Лэндинг'!$B$5:$B$300,$B41)))</f>
        <v/>
      </c>
      <c r="G41" s="177">
        <f>IF(F41="","",H41/F41)</f>
        <v/>
      </c>
      <c r="H41" s="241">
        <f>IF(F41="","",SUMIFS('ИТОГО Торговля'!$H$5:$H$300,'ИТОГО Торговля'!$B$5:$B$300,$B41)+SUMIFS('ИТОГО Лэндинг'!$H$5:$H$300,'ИТОГО Лэндинг'!$B$5:$B$300,$B41))</f>
        <v/>
      </c>
      <c r="I41" s="240">
        <f>IF($B41="","",IF(AND(C41="",F41=""),"",ROUND(SUMIFS('ИТОГО Торговля'!$I$5:$I$300,'ИТОГО Торговля'!$B$5:$B$300,$B41)+SUMIFS('ИТОГО Лэндинг'!$I$5:$I$300,'ИТОГО Лэндинг'!$B$5:$B$300,$B41),8)))</f>
        <v/>
      </c>
      <c r="J41" s="241">
        <f>IF($B41="","",IF(AND(C41="",F41=""),"",ROUND(SUMIFS('ИТОГО Торговля'!$J$5:$J$300,'ИТОГО Торговля'!$B$5:$B$300,$B41)+SUMIFS('ИТОГО Лэндинг'!$J$5:$J$300,'ИТОГО Лэндинг'!$B$5:$B$300,$B41),8)))</f>
        <v/>
      </c>
      <c r="K41" s="240">
        <f>IF($B41="","",ROUND(SUMIFS('ИТОГО Торговля'!$K$5:$K$300,'ИТОГО Торговля'!$B$5:$B$300,$B41)+SUMIFS('ИТОГО Лэндинг'!$K$5:$K$300,'ИТОГО Лэндинг'!$B$5:$B$300,$B41),8))</f>
        <v/>
      </c>
      <c r="L41" s="177">
        <f>IF(K41="","",IF(SUMPRODUCT((Закрытые!$E$5:$E$300=$B41)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41/SUMPRODUCT((Закрытые!$E$5:$E$300=$B41)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1" s="177">
        <f>IF(OR(ROUND(N(C41)-N(F41),8)=0,1-N(Ввод!$E$17)/100&lt;=0),"",IF(N(C41)&gt;N(F41),(N(E41)-N(H41))/((N(C41)-N(F41))*(1-N(Ввод!$E$17)/100)),(N(H41)-N(E41))/((N(F41)-N(C41))*(1+N(Ввод!$E$17)/100))))</f>
        <v/>
      </c>
    </row>
    <row r="42" ht="22" customHeight="1">
      <c r="B42" s="320" t="n"/>
      <c r="C42" s="246">
        <f>IF($B42="","",IF(SUMIFS('ИТОГО Торговля'!$C$5:$C$300,'ИТОГО Торговля'!$B$5:$B$300,$B42)+SUMIFS('ИТОГО Лэндинг'!$C$5:$C$300,'ИТОГО Лэндинг'!$B$5:$B$300,$B42)=0,"",SUMIFS('ИТОГО Торговля'!$C$5:$C$300,'ИТОГО Торговля'!$B$5:$B$300,$B42)+SUMIFS('ИТОГО Лэндинг'!$C$5:$C$300,'ИТОГО Лэндинг'!$B$5:$B$300,$B42)))</f>
        <v/>
      </c>
      <c r="D42" s="183">
        <f>IF(C42="","",E42/C42)</f>
        <v/>
      </c>
      <c r="E42" s="247">
        <f>IF(C42="","",SUMIFS('ИТОГО Торговля'!$E$5:$E$300,'ИТОГО Торговля'!$B$5:$B$300,$B42)+SUMIFS('ИТОГО Лэндинг'!$E$5:$E$300,'ИТОГО Лэндинг'!$B$5:$B$300,$B42))</f>
        <v/>
      </c>
      <c r="F42" s="246">
        <f>IF($B42="","",IF(SUMIFS('ИТОГО Торговля'!$F$5:$F$300,'ИТОГО Торговля'!$B$5:$B$300,$B42)+SUMIFS('ИТОГО Лэндинг'!$F$5:$F$300,'ИТОГО Лэндинг'!$B$5:$B$300,$B42)=0,"",SUMIFS('ИТОГО Торговля'!$F$5:$F$300,'ИТОГО Торговля'!$B$5:$B$300,$B42)+SUMIFS('ИТОГО Лэндинг'!$F$5:$F$300,'ИТОГО Лэндинг'!$B$5:$B$300,$B42)))</f>
        <v/>
      </c>
      <c r="G42" s="183">
        <f>IF(F42="","",H42/F42)</f>
        <v/>
      </c>
      <c r="H42" s="247">
        <f>IF(F42="","",SUMIFS('ИТОГО Торговля'!$H$5:$H$300,'ИТОГО Торговля'!$B$5:$B$300,$B42)+SUMIFS('ИТОГО Лэндинг'!$H$5:$H$300,'ИТОГО Лэндинг'!$B$5:$B$300,$B42))</f>
        <v/>
      </c>
      <c r="I42" s="246">
        <f>IF($B42="","",IF(AND(C42="",F42=""),"",ROUND(SUMIFS('ИТОГО Торговля'!$I$5:$I$300,'ИТОГО Торговля'!$B$5:$B$300,$B42)+SUMIFS('ИТОГО Лэндинг'!$I$5:$I$300,'ИТОГО Лэндинг'!$B$5:$B$300,$B42),8)))</f>
        <v/>
      </c>
      <c r="J42" s="247">
        <f>IF($B42="","",IF(AND(C42="",F42=""),"",ROUND(SUMIFS('ИТОГО Торговля'!$J$5:$J$300,'ИТОГО Торговля'!$B$5:$B$300,$B42)+SUMIFS('ИТОГО Лэндинг'!$J$5:$J$300,'ИТОГО Лэндинг'!$B$5:$B$300,$B42),8)))</f>
        <v/>
      </c>
      <c r="K42" s="246">
        <f>IF($B42="","",ROUND(SUMIFS('ИТОГО Торговля'!$K$5:$K$300,'ИТОГО Торговля'!$B$5:$B$300,$B42)+SUMIFS('ИТОГО Лэндинг'!$K$5:$K$300,'ИТОГО Лэндинг'!$B$5:$B$300,$B42),8))</f>
        <v/>
      </c>
      <c r="L42" s="183">
        <f>IF(K42="","",IF(SUMPRODUCT((Закрытые!$E$5:$E$300=$B42)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42/SUMPRODUCT((Закрытые!$E$5:$E$300=$B42)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2" s="183">
        <f>IF(OR(ROUND(N(C42)-N(F42),8)=0,1-N(Ввод!$E$17)/100&lt;=0),"",IF(N(C42)&gt;N(F42),(N(E42)-N(H42))/((N(C42)-N(F42))*(1-N(Ввод!$E$17)/100)),(N(H42)-N(E42))/((N(F42)-N(C42))*(1+N(Ввод!$E$17)/100))))</f>
        <v/>
      </c>
    </row>
    <row r="43" ht="22" customHeight="1">
      <c r="B43" s="315" t="n"/>
      <c r="C43" s="240">
        <f>IF($B43="","",IF(SUMIFS('ИТОГО Торговля'!$C$5:$C$300,'ИТОГО Торговля'!$B$5:$B$300,$B43)+SUMIFS('ИТОГО Лэндинг'!$C$5:$C$300,'ИТОГО Лэндинг'!$B$5:$B$300,$B43)=0,"",SUMIFS('ИТОГО Торговля'!$C$5:$C$300,'ИТОГО Торговля'!$B$5:$B$300,$B43)+SUMIFS('ИТОГО Лэндинг'!$C$5:$C$300,'ИТОГО Лэндинг'!$B$5:$B$300,$B43)))</f>
        <v/>
      </c>
      <c r="D43" s="177">
        <f>IF(C43="","",E43/C43)</f>
        <v/>
      </c>
      <c r="E43" s="241">
        <f>IF(C43="","",SUMIFS('ИТОГО Торговля'!$E$5:$E$300,'ИТОГО Торговля'!$B$5:$B$300,$B43)+SUMIFS('ИТОГО Лэндинг'!$E$5:$E$300,'ИТОГО Лэндинг'!$B$5:$B$300,$B43))</f>
        <v/>
      </c>
      <c r="F43" s="240">
        <f>IF($B43="","",IF(SUMIFS('ИТОГО Торговля'!$F$5:$F$300,'ИТОГО Торговля'!$B$5:$B$300,$B43)+SUMIFS('ИТОГО Лэндинг'!$F$5:$F$300,'ИТОГО Лэндинг'!$B$5:$B$300,$B43)=0,"",SUMIFS('ИТОГО Торговля'!$F$5:$F$300,'ИТОГО Торговля'!$B$5:$B$300,$B43)+SUMIFS('ИТОГО Лэндинг'!$F$5:$F$300,'ИТОГО Лэндинг'!$B$5:$B$300,$B43)))</f>
        <v/>
      </c>
      <c r="G43" s="177">
        <f>IF(F43="","",H43/F43)</f>
        <v/>
      </c>
      <c r="H43" s="241">
        <f>IF(F43="","",SUMIFS('ИТОГО Торговля'!$H$5:$H$300,'ИТОГО Торговля'!$B$5:$B$300,$B43)+SUMIFS('ИТОГО Лэндинг'!$H$5:$H$300,'ИТОГО Лэндинг'!$B$5:$B$300,$B43))</f>
        <v/>
      </c>
      <c r="I43" s="240">
        <f>IF($B43="","",IF(AND(C43="",F43=""),"",ROUND(SUMIFS('ИТОГО Торговля'!$I$5:$I$300,'ИТОГО Торговля'!$B$5:$B$300,$B43)+SUMIFS('ИТОГО Лэндинг'!$I$5:$I$300,'ИТОГО Лэндинг'!$B$5:$B$300,$B43),8)))</f>
        <v/>
      </c>
      <c r="J43" s="241">
        <f>IF($B43="","",IF(AND(C43="",F43=""),"",ROUND(SUMIFS('ИТОГО Торговля'!$J$5:$J$300,'ИТОГО Торговля'!$B$5:$B$300,$B43)+SUMIFS('ИТОГО Лэндинг'!$J$5:$J$300,'ИТОГО Лэндинг'!$B$5:$B$300,$B43),8)))</f>
        <v/>
      </c>
      <c r="K43" s="240">
        <f>IF($B43="","",ROUND(SUMIFS('ИТОГО Торговля'!$K$5:$K$300,'ИТОГО Торговля'!$B$5:$B$300,$B43)+SUMIFS('ИТОГО Лэндинг'!$K$5:$K$300,'ИТОГО Лэндинг'!$B$5:$B$300,$B43),8))</f>
        <v/>
      </c>
      <c r="L43" s="177">
        <f>IF(K43="","",IF(SUMPRODUCT((Закрытые!$E$5:$E$300=$B43)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43/SUMPRODUCT((Закрытые!$E$5:$E$300=$B43)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3" s="177">
        <f>IF(OR(ROUND(N(C43)-N(F43),8)=0,1-N(Ввод!$E$17)/100&lt;=0),"",IF(N(C43)&gt;N(F43),(N(E43)-N(H43))/((N(C43)-N(F43))*(1-N(Ввод!$E$17)/100)),(N(H43)-N(E43))/((N(F43)-N(C43))*(1+N(Ввод!$E$17)/100))))</f>
        <v/>
      </c>
    </row>
    <row r="44" ht="22" customHeight="1">
      <c r="B44" s="320" t="n"/>
      <c r="C44" s="246">
        <f>IF($B44="","",IF(SUMIFS('ИТОГО Торговля'!$C$5:$C$300,'ИТОГО Торговля'!$B$5:$B$300,$B44)+SUMIFS('ИТОГО Лэндинг'!$C$5:$C$300,'ИТОГО Лэндинг'!$B$5:$B$300,$B44)=0,"",SUMIFS('ИТОГО Торговля'!$C$5:$C$300,'ИТОГО Торговля'!$B$5:$B$300,$B44)+SUMIFS('ИТОГО Лэндинг'!$C$5:$C$300,'ИТОГО Лэндинг'!$B$5:$B$300,$B44)))</f>
        <v/>
      </c>
      <c r="D44" s="183">
        <f>IF(C44="","",E44/C44)</f>
        <v/>
      </c>
      <c r="E44" s="247">
        <f>IF(C44="","",SUMIFS('ИТОГО Торговля'!$E$5:$E$300,'ИТОГО Торговля'!$B$5:$B$300,$B44)+SUMIFS('ИТОГО Лэндинг'!$E$5:$E$300,'ИТОГО Лэндинг'!$B$5:$B$300,$B44))</f>
        <v/>
      </c>
      <c r="F44" s="246">
        <f>IF($B44="","",IF(SUMIFS('ИТОГО Торговля'!$F$5:$F$300,'ИТОГО Торговля'!$B$5:$B$300,$B44)+SUMIFS('ИТОГО Лэндинг'!$F$5:$F$300,'ИТОГО Лэндинг'!$B$5:$B$300,$B44)=0,"",SUMIFS('ИТОГО Торговля'!$F$5:$F$300,'ИТОГО Торговля'!$B$5:$B$300,$B44)+SUMIFS('ИТОГО Лэндинг'!$F$5:$F$300,'ИТОГО Лэндинг'!$B$5:$B$300,$B44)))</f>
        <v/>
      </c>
      <c r="G44" s="183">
        <f>IF(F44="","",H44/F44)</f>
        <v/>
      </c>
      <c r="H44" s="247">
        <f>IF(F44="","",SUMIFS('ИТОГО Торговля'!$H$5:$H$300,'ИТОГО Торговля'!$B$5:$B$300,$B44)+SUMIFS('ИТОГО Лэндинг'!$H$5:$H$300,'ИТОГО Лэндинг'!$B$5:$B$300,$B44))</f>
        <v/>
      </c>
      <c r="I44" s="246">
        <f>IF($B44="","",IF(AND(C44="",F44=""),"",ROUND(SUMIFS('ИТОГО Торговля'!$I$5:$I$300,'ИТОГО Торговля'!$B$5:$B$300,$B44)+SUMIFS('ИТОГО Лэндинг'!$I$5:$I$300,'ИТОГО Лэндинг'!$B$5:$B$300,$B44),8)))</f>
        <v/>
      </c>
      <c r="J44" s="247">
        <f>IF($B44="","",IF(AND(C44="",F44=""),"",ROUND(SUMIFS('ИТОГО Торговля'!$J$5:$J$300,'ИТОГО Торговля'!$B$5:$B$300,$B44)+SUMIFS('ИТОГО Лэндинг'!$J$5:$J$300,'ИТОГО Лэндинг'!$B$5:$B$300,$B44),8)))</f>
        <v/>
      </c>
      <c r="K44" s="246">
        <f>IF($B44="","",ROUND(SUMIFS('ИТОГО Торговля'!$K$5:$K$300,'ИТОГО Торговля'!$B$5:$B$300,$B44)+SUMIFS('ИТОГО Лэндинг'!$K$5:$K$300,'ИТОГО Лэндинг'!$B$5:$B$300,$B44),8))</f>
        <v/>
      </c>
      <c r="L44" s="183">
        <f>IF(K44="","",IF(SUMPRODUCT((Закрытые!$E$5:$E$300=$B44)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44/SUMPRODUCT((Закрытые!$E$5:$E$300=$B44)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4" s="183">
        <f>IF(OR(ROUND(N(C44)-N(F44),8)=0,1-N(Ввод!$E$17)/100&lt;=0),"",IF(N(C44)&gt;N(F44),(N(E44)-N(H44))/((N(C44)-N(F44))*(1-N(Ввод!$E$17)/100)),(N(H44)-N(E44))/((N(F44)-N(C44))*(1+N(Ввод!$E$17)/100))))</f>
        <v/>
      </c>
    </row>
    <row r="45" ht="22" customHeight="1">
      <c r="B45" s="315" t="n"/>
      <c r="C45" s="240">
        <f>IF($B45="","",IF(SUMIFS('ИТОГО Торговля'!$C$5:$C$300,'ИТОГО Торговля'!$B$5:$B$300,$B45)+SUMIFS('ИТОГО Лэндинг'!$C$5:$C$300,'ИТОГО Лэндинг'!$B$5:$B$300,$B45)=0,"",SUMIFS('ИТОГО Торговля'!$C$5:$C$300,'ИТОГО Торговля'!$B$5:$B$300,$B45)+SUMIFS('ИТОГО Лэндинг'!$C$5:$C$300,'ИТОГО Лэндинг'!$B$5:$B$300,$B45)))</f>
        <v/>
      </c>
      <c r="D45" s="177">
        <f>IF(C45="","",E45/C45)</f>
        <v/>
      </c>
      <c r="E45" s="241">
        <f>IF(C45="","",SUMIFS('ИТОГО Торговля'!$E$5:$E$300,'ИТОГО Торговля'!$B$5:$B$300,$B45)+SUMIFS('ИТОГО Лэндинг'!$E$5:$E$300,'ИТОГО Лэндинг'!$B$5:$B$300,$B45))</f>
        <v/>
      </c>
      <c r="F45" s="240">
        <f>IF($B45="","",IF(SUMIFS('ИТОГО Торговля'!$F$5:$F$300,'ИТОГО Торговля'!$B$5:$B$300,$B45)+SUMIFS('ИТОГО Лэндинг'!$F$5:$F$300,'ИТОГО Лэндинг'!$B$5:$B$300,$B45)=0,"",SUMIFS('ИТОГО Торговля'!$F$5:$F$300,'ИТОГО Торговля'!$B$5:$B$300,$B45)+SUMIFS('ИТОГО Лэндинг'!$F$5:$F$300,'ИТОГО Лэндинг'!$B$5:$B$300,$B45)))</f>
        <v/>
      </c>
      <c r="G45" s="177">
        <f>IF(F45="","",H45/F45)</f>
        <v/>
      </c>
      <c r="H45" s="241">
        <f>IF(F45="","",SUMIFS('ИТОГО Торговля'!$H$5:$H$300,'ИТОГО Торговля'!$B$5:$B$300,$B45)+SUMIFS('ИТОГО Лэндинг'!$H$5:$H$300,'ИТОГО Лэндинг'!$B$5:$B$300,$B45))</f>
        <v/>
      </c>
      <c r="I45" s="240">
        <f>IF($B45="","",IF(AND(C45="",F45=""),"",ROUND(SUMIFS('ИТОГО Торговля'!$I$5:$I$300,'ИТОГО Торговля'!$B$5:$B$300,$B45)+SUMIFS('ИТОГО Лэндинг'!$I$5:$I$300,'ИТОГО Лэндинг'!$B$5:$B$300,$B45),8)))</f>
        <v/>
      </c>
      <c r="J45" s="241">
        <f>IF($B45="","",IF(AND(C45="",F45=""),"",ROUND(SUMIFS('ИТОГО Торговля'!$J$5:$J$300,'ИТОГО Торговля'!$B$5:$B$300,$B45)+SUMIFS('ИТОГО Лэндинг'!$J$5:$J$300,'ИТОГО Лэндинг'!$B$5:$B$300,$B45),8)))</f>
        <v/>
      </c>
      <c r="K45" s="240">
        <f>IF($B45="","",ROUND(SUMIFS('ИТОГО Торговля'!$K$5:$K$300,'ИТОГО Торговля'!$B$5:$B$300,$B45)+SUMIFS('ИТОГО Лэндинг'!$K$5:$K$300,'ИТОГО Лэндинг'!$B$5:$B$300,$B45),8))</f>
        <v/>
      </c>
      <c r="L45" s="177">
        <f>IF(K45="","",IF(SUMPRODUCT((Закрытые!$E$5:$E$300=$B45)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45/SUMPRODUCT((Закрытые!$E$5:$E$300=$B45)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5" s="177">
        <f>IF(OR(ROUND(N(C45)-N(F45),8)=0,1-N(Ввод!$E$17)/100&lt;=0),"",IF(N(C45)&gt;N(F45),(N(E45)-N(H45))/((N(C45)-N(F45))*(1-N(Ввод!$E$17)/100)),(N(H45)-N(E45))/((N(F45)-N(C45))*(1+N(Ввод!$E$17)/100))))</f>
        <v/>
      </c>
    </row>
    <row r="46" ht="22" customHeight="1">
      <c r="B46" s="320" t="n"/>
      <c r="C46" s="246">
        <f>IF($B46="","",IF(SUMIFS('ИТОГО Торговля'!$C$5:$C$300,'ИТОГО Торговля'!$B$5:$B$300,$B46)+SUMIFS('ИТОГО Лэндинг'!$C$5:$C$300,'ИТОГО Лэндинг'!$B$5:$B$300,$B46)=0,"",SUMIFS('ИТОГО Торговля'!$C$5:$C$300,'ИТОГО Торговля'!$B$5:$B$300,$B46)+SUMIFS('ИТОГО Лэндинг'!$C$5:$C$300,'ИТОГО Лэндинг'!$B$5:$B$300,$B46)))</f>
        <v/>
      </c>
      <c r="D46" s="183">
        <f>IF(C46="","",E46/C46)</f>
        <v/>
      </c>
      <c r="E46" s="247">
        <f>IF(C46="","",SUMIFS('ИТОГО Торговля'!$E$5:$E$300,'ИТОГО Торговля'!$B$5:$B$300,$B46)+SUMIFS('ИТОГО Лэндинг'!$E$5:$E$300,'ИТОГО Лэндинг'!$B$5:$B$300,$B46))</f>
        <v/>
      </c>
      <c r="F46" s="246">
        <f>IF($B46="","",IF(SUMIFS('ИТОГО Торговля'!$F$5:$F$300,'ИТОГО Торговля'!$B$5:$B$300,$B46)+SUMIFS('ИТОГО Лэндинг'!$F$5:$F$300,'ИТОГО Лэндинг'!$B$5:$B$300,$B46)=0,"",SUMIFS('ИТОГО Торговля'!$F$5:$F$300,'ИТОГО Торговля'!$B$5:$B$300,$B46)+SUMIFS('ИТОГО Лэндинг'!$F$5:$F$300,'ИТОГО Лэндинг'!$B$5:$B$300,$B46)))</f>
        <v/>
      </c>
      <c r="G46" s="183">
        <f>IF(F46="","",H46/F46)</f>
        <v/>
      </c>
      <c r="H46" s="247">
        <f>IF(F46="","",SUMIFS('ИТОГО Торговля'!$H$5:$H$300,'ИТОГО Торговля'!$B$5:$B$300,$B46)+SUMIFS('ИТОГО Лэндинг'!$H$5:$H$300,'ИТОГО Лэндинг'!$B$5:$B$300,$B46))</f>
        <v/>
      </c>
      <c r="I46" s="246">
        <f>IF($B46="","",IF(AND(C46="",F46=""),"",ROUND(SUMIFS('ИТОГО Торговля'!$I$5:$I$300,'ИТОГО Торговля'!$B$5:$B$300,$B46)+SUMIFS('ИТОГО Лэндинг'!$I$5:$I$300,'ИТОГО Лэндинг'!$B$5:$B$300,$B46),8)))</f>
        <v/>
      </c>
      <c r="J46" s="247">
        <f>IF($B46="","",IF(AND(C46="",F46=""),"",ROUND(SUMIFS('ИТОГО Торговля'!$J$5:$J$300,'ИТОГО Торговля'!$B$5:$B$300,$B46)+SUMIFS('ИТОГО Лэндинг'!$J$5:$J$300,'ИТОГО Лэндинг'!$B$5:$B$300,$B46),8)))</f>
        <v/>
      </c>
      <c r="K46" s="246">
        <f>IF($B46="","",ROUND(SUMIFS('ИТОГО Торговля'!$K$5:$K$300,'ИТОГО Торговля'!$B$5:$B$300,$B46)+SUMIFS('ИТОГО Лэндинг'!$K$5:$K$300,'ИТОГО Лэндинг'!$B$5:$B$300,$B46),8))</f>
        <v/>
      </c>
      <c r="L46" s="183">
        <f>IF(K46="","",IF(SUMPRODUCT((Закрытые!$E$5:$E$300=$B46)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46/SUMPRODUCT((Закрытые!$E$5:$E$300=$B46)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6" s="183">
        <f>IF(OR(ROUND(N(C46)-N(F46),8)=0,1-N(Ввод!$E$17)/100&lt;=0),"",IF(N(C46)&gt;N(F46),(N(E46)-N(H46))/((N(C46)-N(F46))*(1-N(Ввод!$E$17)/100)),(N(H46)-N(E46))/((N(F46)-N(C46))*(1+N(Ввод!$E$17)/100))))</f>
        <v/>
      </c>
    </row>
    <row r="47" ht="22" customHeight="1">
      <c r="B47" s="315" t="n"/>
      <c r="C47" s="240">
        <f>IF($B47="","",IF(SUMIFS('ИТОГО Торговля'!$C$5:$C$300,'ИТОГО Торговля'!$B$5:$B$300,$B47)+SUMIFS('ИТОГО Лэндинг'!$C$5:$C$300,'ИТОГО Лэндинг'!$B$5:$B$300,$B47)=0,"",SUMIFS('ИТОГО Торговля'!$C$5:$C$300,'ИТОГО Торговля'!$B$5:$B$300,$B47)+SUMIFS('ИТОГО Лэндинг'!$C$5:$C$300,'ИТОГО Лэндинг'!$B$5:$B$300,$B47)))</f>
        <v/>
      </c>
      <c r="D47" s="177">
        <f>IF(C47="","",E47/C47)</f>
        <v/>
      </c>
      <c r="E47" s="241">
        <f>IF(C47="","",SUMIFS('ИТОГО Торговля'!$E$5:$E$300,'ИТОГО Торговля'!$B$5:$B$300,$B47)+SUMIFS('ИТОГО Лэндинг'!$E$5:$E$300,'ИТОГО Лэндинг'!$B$5:$B$300,$B47))</f>
        <v/>
      </c>
      <c r="F47" s="240">
        <f>IF($B47="","",IF(SUMIFS('ИТОГО Торговля'!$F$5:$F$300,'ИТОГО Торговля'!$B$5:$B$300,$B47)+SUMIFS('ИТОГО Лэндинг'!$F$5:$F$300,'ИТОГО Лэндинг'!$B$5:$B$300,$B47)=0,"",SUMIFS('ИТОГО Торговля'!$F$5:$F$300,'ИТОГО Торговля'!$B$5:$B$300,$B47)+SUMIFS('ИТОГО Лэндинг'!$F$5:$F$300,'ИТОГО Лэндинг'!$B$5:$B$300,$B47)))</f>
        <v/>
      </c>
      <c r="G47" s="177">
        <f>IF(F47="","",H47/F47)</f>
        <v/>
      </c>
      <c r="H47" s="241">
        <f>IF(F47="","",SUMIFS('ИТОГО Торговля'!$H$5:$H$300,'ИТОГО Торговля'!$B$5:$B$300,$B47)+SUMIFS('ИТОГО Лэндинг'!$H$5:$H$300,'ИТОГО Лэндинг'!$B$5:$B$300,$B47))</f>
        <v/>
      </c>
      <c r="I47" s="240">
        <f>IF($B47="","",IF(AND(C47="",F47=""),"",ROUND(SUMIFS('ИТОГО Торговля'!$I$5:$I$300,'ИТОГО Торговля'!$B$5:$B$300,$B47)+SUMIFS('ИТОГО Лэндинг'!$I$5:$I$300,'ИТОГО Лэндинг'!$B$5:$B$300,$B47),8)))</f>
        <v/>
      </c>
      <c r="J47" s="241">
        <f>IF($B47="","",IF(AND(C47="",F47=""),"",ROUND(SUMIFS('ИТОГО Торговля'!$J$5:$J$300,'ИТОГО Торговля'!$B$5:$B$300,$B47)+SUMIFS('ИТОГО Лэндинг'!$J$5:$J$300,'ИТОГО Лэндинг'!$B$5:$B$300,$B47),8)))</f>
        <v/>
      </c>
      <c r="K47" s="240">
        <f>IF($B47="","",ROUND(SUMIFS('ИТОГО Торговля'!$K$5:$K$300,'ИТОГО Торговля'!$B$5:$B$300,$B47)+SUMIFS('ИТОГО Лэндинг'!$K$5:$K$300,'ИТОГО Лэндинг'!$B$5:$B$300,$B47),8))</f>
        <v/>
      </c>
      <c r="L47" s="177">
        <f>IF(K47="","",IF(SUMPRODUCT((Закрытые!$E$5:$E$300=$B47)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47/SUMPRODUCT((Закрытые!$E$5:$E$300=$B47)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7" s="177">
        <f>IF(OR(ROUND(N(C47)-N(F47),8)=0,1-N(Ввод!$E$17)/100&lt;=0),"",IF(N(C47)&gt;N(F47),(N(E47)-N(H47))/((N(C47)-N(F47))*(1-N(Ввод!$E$17)/100)),(N(H47)-N(E47))/((N(F47)-N(C47))*(1+N(Ввод!$E$17)/100))))</f>
        <v/>
      </c>
    </row>
    <row r="48" ht="22" customHeight="1">
      <c r="B48" s="320" t="n"/>
      <c r="C48" s="246">
        <f>IF($B48="","",IF(SUMIFS('ИТОГО Торговля'!$C$5:$C$300,'ИТОГО Торговля'!$B$5:$B$300,$B48)+SUMIFS('ИТОГО Лэндинг'!$C$5:$C$300,'ИТОГО Лэндинг'!$B$5:$B$300,$B48)=0,"",SUMIFS('ИТОГО Торговля'!$C$5:$C$300,'ИТОГО Торговля'!$B$5:$B$300,$B48)+SUMIFS('ИТОГО Лэндинг'!$C$5:$C$300,'ИТОГО Лэндинг'!$B$5:$B$300,$B48)))</f>
        <v/>
      </c>
      <c r="D48" s="183">
        <f>IF(C48="","",E48/C48)</f>
        <v/>
      </c>
      <c r="E48" s="247">
        <f>IF(C48="","",SUMIFS('ИТОГО Торговля'!$E$5:$E$300,'ИТОГО Торговля'!$B$5:$B$300,$B48)+SUMIFS('ИТОГО Лэндинг'!$E$5:$E$300,'ИТОГО Лэндинг'!$B$5:$B$300,$B48))</f>
        <v/>
      </c>
      <c r="F48" s="246">
        <f>IF($B48="","",IF(SUMIFS('ИТОГО Торговля'!$F$5:$F$300,'ИТОГО Торговля'!$B$5:$B$300,$B48)+SUMIFS('ИТОГО Лэндинг'!$F$5:$F$300,'ИТОГО Лэндинг'!$B$5:$B$300,$B48)=0,"",SUMIFS('ИТОГО Торговля'!$F$5:$F$300,'ИТОГО Торговля'!$B$5:$B$300,$B48)+SUMIFS('ИТОГО Лэндинг'!$F$5:$F$300,'ИТОГО Лэндинг'!$B$5:$B$300,$B48)))</f>
        <v/>
      </c>
      <c r="G48" s="183">
        <f>IF(F48="","",H48/F48)</f>
        <v/>
      </c>
      <c r="H48" s="247">
        <f>IF(F48="","",SUMIFS('ИТОГО Торговля'!$H$5:$H$300,'ИТОГО Торговля'!$B$5:$B$300,$B48)+SUMIFS('ИТОГО Лэндинг'!$H$5:$H$300,'ИТОГО Лэндинг'!$B$5:$B$300,$B48))</f>
        <v/>
      </c>
      <c r="I48" s="246">
        <f>IF($B48="","",IF(AND(C48="",F48=""),"",ROUND(SUMIFS('ИТОГО Торговля'!$I$5:$I$300,'ИТОГО Торговля'!$B$5:$B$300,$B48)+SUMIFS('ИТОГО Лэндинг'!$I$5:$I$300,'ИТОГО Лэндинг'!$B$5:$B$300,$B48),8)))</f>
        <v/>
      </c>
      <c r="J48" s="247">
        <f>IF($B48="","",IF(AND(C48="",F48=""),"",ROUND(SUMIFS('ИТОГО Торговля'!$J$5:$J$300,'ИТОГО Торговля'!$B$5:$B$300,$B48)+SUMIFS('ИТОГО Лэндинг'!$J$5:$J$300,'ИТОГО Лэндинг'!$B$5:$B$300,$B48),8)))</f>
        <v/>
      </c>
      <c r="K48" s="246">
        <f>IF($B48="","",ROUND(SUMIFS('ИТОГО Торговля'!$K$5:$K$300,'ИТОГО Торговля'!$B$5:$B$300,$B48)+SUMIFS('ИТОГО Лэндинг'!$K$5:$K$300,'ИТОГО Лэндинг'!$B$5:$B$300,$B48),8))</f>
        <v/>
      </c>
      <c r="L48" s="183">
        <f>IF(K48="","",IF(SUMPRODUCT((Закрытые!$E$5:$E$300=$B48)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48/SUMPRODUCT((Закрытые!$E$5:$E$300=$B48)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8" s="183">
        <f>IF(OR(ROUND(N(C48)-N(F48),8)=0,1-N(Ввод!$E$17)/100&lt;=0),"",IF(N(C48)&gt;N(F48),(N(E48)-N(H48))/((N(C48)-N(F48))*(1-N(Ввод!$E$17)/100)),(N(H48)-N(E48))/((N(F48)-N(C48))*(1+N(Ввод!$E$17)/100))))</f>
        <v/>
      </c>
    </row>
    <row r="49" ht="22" customHeight="1">
      <c r="B49" s="315" t="n"/>
      <c r="C49" s="240">
        <f>IF($B49="","",IF(SUMIFS('ИТОГО Торговля'!$C$5:$C$300,'ИТОГО Торговля'!$B$5:$B$300,$B49)+SUMIFS('ИТОГО Лэндинг'!$C$5:$C$300,'ИТОГО Лэндинг'!$B$5:$B$300,$B49)=0,"",SUMIFS('ИТОГО Торговля'!$C$5:$C$300,'ИТОГО Торговля'!$B$5:$B$300,$B49)+SUMIFS('ИТОГО Лэндинг'!$C$5:$C$300,'ИТОГО Лэндинг'!$B$5:$B$300,$B49)))</f>
        <v/>
      </c>
      <c r="D49" s="177">
        <f>IF(C49="","",E49/C49)</f>
        <v/>
      </c>
      <c r="E49" s="241">
        <f>IF(C49="","",SUMIFS('ИТОГО Торговля'!$E$5:$E$300,'ИТОГО Торговля'!$B$5:$B$300,$B49)+SUMIFS('ИТОГО Лэндинг'!$E$5:$E$300,'ИТОГО Лэндинг'!$B$5:$B$300,$B49))</f>
        <v/>
      </c>
      <c r="F49" s="240">
        <f>IF($B49="","",IF(SUMIFS('ИТОГО Торговля'!$F$5:$F$300,'ИТОГО Торговля'!$B$5:$B$300,$B49)+SUMIFS('ИТОГО Лэндинг'!$F$5:$F$300,'ИТОГО Лэндинг'!$B$5:$B$300,$B49)=0,"",SUMIFS('ИТОГО Торговля'!$F$5:$F$300,'ИТОГО Торговля'!$B$5:$B$300,$B49)+SUMIFS('ИТОГО Лэндинг'!$F$5:$F$300,'ИТОГО Лэндинг'!$B$5:$B$300,$B49)))</f>
        <v/>
      </c>
      <c r="G49" s="177">
        <f>IF(F49="","",H49/F49)</f>
        <v/>
      </c>
      <c r="H49" s="241">
        <f>IF(F49="","",SUMIFS('ИТОГО Торговля'!$H$5:$H$300,'ИТОГО Торговля'!$B$5:$B$300,$B49)+SUMIFS('ИТОГО Лэндинг'!$H$5:$H$300,'ИТОГО Лэндинг'!$B$5:$B$300,$B49))</f>
        <v/>
      </c>
      <c r="I49" s="240">
        <f>IF($B49="","",IF(AND(C49="",F49=""),"",ROUND(SUMIFS('ИТОГО Торговля'!$I$5:$I$300,'ИТОГО Торговля'!$B$5:$B$300,$B49)+SUMIFS('ИТОГО Лэндинг'!$I$5:$I$300,'ИТОГО Лэндинг'!$B$5:$B$300,$B49),8)))</f>
        <v/>
      </c>
      <c r="J49" s="241">
        <f>IF($B49="","",IF(AND(C49="",F49=""),"",ROUND(SUMIFS('ИТОГО Торговля'!$J$5:$J$300,'ИТОГО Торговля'!$B$5:$B$300,$B49)+SUMIFS('ИТОГО Лэндинг'!$J$5:$J$300,'ИТОГО Лэндинг'!$B$5:$B$300,$B49),8)))</f>
        <v/>
      </c>
      <c r="K49" s="240">
        <f>IF($B49="","",ROUND(SUMIFS('ИТОГО Торговля'!$K$5:$K$300,'ИТОГО Торговля'!$B$5:$B$300,$B49)+SUMIFS('ИТОГО Лэндинг'!$K$5:$K$300,'ИТОГО Лэндинг'!$B$5:$B$300,$B49),8))</f>
        <v/>
      </c>
      <c r="L49" s="177">
        <f>IF(K49="","",IF(SUMPRODUCT((Закрытые!$E$5:$E$300=$B49)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49/SUMPRODUCT((Закрытые!$E$5:$E$300=$B49)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9" s="177">
        <f>IF(OR(ROUND(N(C49)-N(F49),8)=0,1-N(Ввод!$E$17)/100&lt;=0),"",IF(N(C49)&gt;N(F49),(N(E49)-N(H49))/((N(C49)-N(F49))*(1-N(Ввод!$E$17)/100)),(N(H49)-N(E49))/((N(F49)-N(C49))*(1+N(Ввод!$E$17)/100))))</f>
        <v/>
      </c>
    </row>
    <row r="50" ht="22" customHeight="1">
      <c r="B50" s="320" t="n"/>
      <c r="C50" s="246">
        <f>IF($B50="","",IF(SUMIFS('ИТОГО Торговля'!$C$5:$C$300,'ИТОГО Торговля'!$B$5:$B$300,$B50)+SUMIFS('ИТОГО Лэндинг'!$C$5:$C$300,'ИТОГО Лэндинг'!$B$5:$B$300,$B50)=0,"",SUMIFS('ИТОГО Торговля'!$C$5:$C$300,'ИТОГО Торговля'!$B$5:$B$300,$B50)+SUMIFS('ИТОГО Лэндинг'!$C$5:$C$300,'ИТОГО Лэндинг'!$B$5:$B$300,$B50)))</f>
        <v/>
      </c>
      <c r="D50" s="183">
        <f>IF(C50="","",E50/C50)</f>
        <v/>
      </c>
      <c r="E50" s="247">
        <f>IF(C50="","",SUMIFS('ИТОГО Торговля'!$E$5:$E$300,'ИТОГО Торговля'!$B$5:$B$300,$B50)+SUMIFS('ИТОГО Лэндинг'!$E$5:$E$300,'ИТОГО Лэндинг'!$B$5:$B$300,$B50))</f>
        <v/>
      </c>
      <c r="F50" s="246">
        <f>IF($B50="","",IF(SUMIFS('ИТОГО Торговля'!$F$5:$F$300,'ИТОГО Торговля'!$B$5:$B$300,$B50)+SUMIFS('ИТОГО Лэндинг'!$F$5:$F$300,'ИТОГО Лэндинг'!$B$5:$B$300,$B50)=0,"",SUMIFS('ИТОГО Торговля'!$F$5:$F$300,'ИТОГО Торговля'!$B$5:$B$300,$B50)+SUMIFS('ИТОГО Лэндинг'!$F$5:$F$300,'ИТОГО Лэндинг'!$B$5:$B$300,$B50)))</f>
        <v/>
      </c>
      <c r="G50" s="183">
        <f>IF(F50="","",H50/F50)</f>
        <v/>
      </c>
      <c r="H50" s="247">
        <f>IF(F50="","",SUMIFS('ИТОГО Торговля'!$H$5:$H$300,'ИТОГО Торговля'!$B$5:$B$300,$B50)+SUMIFS('ИТОГО Лэндинг'!$H$5:$H$300,'ИТОГО Лэндинг'!$B$5:$B$300,$B50))</f>
        <v/>
      </c>
      <c r="I50" s="246">
        <f>IF($B50="","",IF(AND(C50="",F50=""),"",ROUND(SUMIFS('ИТОГО Торговля'!$I$5:$I$300,'ИТОГО Торговля'!$B$5:$B$300,$B50)+SUMIFS('ИТОГО Лэндинг'!$I$5:$I$300,'ИТОГО Лэндинг'!$B$5:$B$300,$B50),8)))</f>
        <v/>
      </c>
      <c r="J50" s="247">
        <f>IF($B50="","",IF(AND(C50="",F50=""),"",ROUND(SUMIFS('ИТОГО Торговля'!$J$5:$J$300,'ИТОГО Торговля'!$B$5:$B$300,$B50)+SUMIFS('ИТОГО Лэндинг'!$J$5:$J$300,'ИТОГО Лэндинг'!$B$5:$B$300,$B50),8)))</f>
        <v/>
      </c>
      <c r="K50" s="246">
        <f>IF($B50="","",ROUND(SUMIFS('ИТОГО Торговля'!$K$5:$K$300,'ИТОГО Торговля'!$B$5:$B$300,$B50)+SUMIFS('ИТОГО Лэндинг'!$K$5:$K$300,'ИТОГО Лэндинг'!$B$5:$B$300,$B50),8))</f>
        <v/>
      </c>
      <c r="L50" s="183">
        <f>IF(K50="","",IF(SUMPRODUCT((Закрытые!$E$5:$E$300=$B50)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50/SUMPRODUCT((Закрытые!$E$5:$E$300=$B50)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0" s="183">
        <f>IF(OR(ROUND(N(C50)-N(F50),8)=0,1-N(Ввод!$E$17)/100&lt;=0),"",IF(N(C50)&gt;N(F50),(N(E50)-N(H50))/((N(C50)-N(F50))*(1-N(Ввод!$E$17)/100)),(N(H50)-N(E50))/((N(F50)-N(C50))*(1+N(Ввод!$E$17)/100))))</f>
        <v/>
      </c>
    </row>
    <row r="51" ht="22" customHeight="1">
      <c r="B51" s="315" t="n"/>
      <c r="C51" s="240">
        <f>IF($B51="","",IF(SUMIFS('ИТОГО Торговля'!$C$5:$C$300,'ИТОГО Торговля'!$B$5:$B$300,$B51)+SUMIFS('ИТОГО Лэндинг'!$C$5:$C$300,'ИТОГО Лэндинг'!$B$5:$B$300,$B51)=0,"",SUMIFS('ИТОГО Торговля'!$C$5:$C$300,'ИТОГО Торговля'!$B$5:$B$300,$B51)+SUMIFS('ИТОГО Лэндинг'!$C$5:$C$300,'ИТОГО Лэндинг'!$B$5:$B$300,$B51)))</f>
        <v/>
      </c>
      <c r="D51" s="177">
        <f>IF(C51="","",E51/C51)</f>
        <v/>
      </c>
      <c r="E51" s="241">
        <f>IF(C51="","",SUMIFS('ИТОГО Торговля'!$E$5:$E$300,'ИТОГО Торговля'!$B$5:$B$300,$B51)+SUMIFS('ИТОГО Лэндинг'!$E$5:$E$300,'ИТОГО Лэндинг'!$B$5:$B$300,$B51))</f>
        <v/>
      </c>
      <c r="F51" s="240">
        <f>IF($B51="","",IF(SUMIFS('ИТОГО Торговля'!$F$5:$F$300,'ИТОГО Торговля'!$B$5:$B$300,$B51)+SUMIFS('ИТОГО Лэндинг'!$F$5:$F$300,'ИТОГО Лэндинг'!$B$5:$B$300,$B51)=0,"",SUMIFS('ИТОГО Торговля'!$F$5:$F$300,'ИТОГО Торговля'!$B$5:$B$300,$B51)+SUMIFS('ИТОГО Лэндинг'!$F$5:$F$300,'ИТОГО Лэндинг'!$B$5:$B$300,$B51)))</f>
        <v/>
      </c>
      <c r="G51" s="177">
        <f>IF(F51="","",H51/F51)</f>
        <v/>
      </c>
      <c r="H51" s="241">
        <f>IF(F51="","",SUMIFS('ИТОГО Торговля'!$H$5:$H$300,'ИТОГО Торговля'!$B$5:$B$300,$B51)+SUMIFS('ИТОГО Лэндинг'!$H$5:$H$300,'ИТОГО Лэндинг'!$B$5:$B$300,$B51))</f>
        <v/>
      </c>
      <c r="I51" s="240">
        <f>IF($B51="","",IF(AND(C51="",F51=""),"",ROUND(SUMIFS('ИТОГО Торговля'!$I$5:$I$300,'ИТОГО Торговля'!$B$5:$B$300,$B51)+SUMIFS('ИТОГО Лэндинг'!$I$5:$I$300,'ИТОГО Лэндинг'!$B$5:$B$300,$B51),8)))</f>
        <v/>
      </c>
      <c r="J51" s="241">
        <f>IF($B51="","",IF(AND(C51="",F51=""),"",ROUND(SUMIFS('ИТОГО Торговля'!$J$5:$J$300,'ИТОГО Торговля'!$B$5:$B$300,$B51)+SUMIFS('ИТОГО Лэндинг'!$J$5:$J$300,'ИТОГО Лэндинг'!$B$5:$B$300,$B51),8)))</f>
        <v/>
      </c>
      <c r="K51" s="240">
        <f>IF($B51="","",ROUND(SUMIFS('ИТОГО Торговля'!$K$5:$K$300,'ИТОГО Торговля'!$B$5:$B$300,$B51)+SUMIFS('ИТОГО Лэндинг'!$K$5:$K$300,'ИТОГО Лэндинг'!$B$5:$B$300,$B51),8))</f>
        <v/>
      </c>
      <c r="L51" s="177">
        <f>IF(K51="","",IF(SUMPRODUCT((Закрытые!$E$5:$E$300=$B51)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51/SUMPRODUCT((Закрытые!$E$5:$E$300=$B51)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1" s="177">
        <f>IF(OR(ROUND(N(C51)-N(F51),8)=0,1-N(Ввод!$E$17)/100&lt;=0),"",IF(N(C51)&gt;N(F51),(N(E51)-N(H51))/((N(C51)-N(F51))*(1-N(Ввод!$E$17)/100)),(N(H51)-N(E51))/((N(F51)-N(C51))*(1+N(Ввод!$E$17)/100))))</f>
        <v/>
      </c>
    </row>
    <row r="52" ht="22" customHeight="1">
      <c r="B52" s="320" t="n"/>
      <c r="C52" s="246">
        <f>IF($B52="","",IF(SUMIFS('ИТОГО Торговля'!$C$5:$C$300,'ИТОГО Торговля'!$B$5:$B$300,$B52)+SUMIFS('ИТОГО Лэндинг'!$C$5:$C$300,'ИТОГО Лэндинг'!$B$5:$B$300,$B52)=0,"",SUMIFS('ИТОГО Торговля'!$C$5:$C$300,'ИТОГО Торговля'!$B$5:$B$300,$B52)+SUMIFS('ИТОГО Лэндинг'!$C$5:$C$300,'ИТОГО Лэндинг'!$B$5:$B$300,$B52)))</f>
        <v/>
      </c>
      <c r="D52" s="183">
        <f>IF(C52="","",E52/C52)</f>
        <v/>
      </c>
      <c r="E52" s="247">
        <f>IF(C52="","",SUMIFS('ИТОГО Торговля'!$E$5:$E$300,'ИТОГО Торговля'!$B$5:$B$300,$B52)+SUMIFS('ИТОГО Лэндинг'!$E$5:$E$300,'ИТОГО Лэндинг'!$B$5:$B$300,$B52))</f>
        <v/>
      </c>
      <c r="F52" s="246">
        <f>IF($B52="","",IF(SUMIFS('ИТОГО Торговля'!$F$5:$F$300,'ИТОГО Торговля'!$B$5:$B$300,$B52)+SUMIFS('ИТОГО Лэндинг'!$F$5:$F$300,'ИТОГО Лэндинг'!$B$5:$B$300,$B52)=0,"",SUMIFS('ИТОГО Торговля'!$F$5:$F$300,'ИТОГО Торговля'!$B$5:$B$300,$B52)+SUMIFS('ИТОГО Лэндинг'!$F$5:$F$300,'ИТОГО Лэндинг'!$B$5:$B$300,$B52)))</f>
        <v/>
      </c>
      <c r="G52" s="183">
        <f>IF(F52="","",H52/F52)</f>
        <v/>
      </c>
      <c r="H52" s="247">
        <f>IF(F52="","",SUMIFS('ИТОГО Торговля'!$H$5:$H$300,'ИТОГО Торговля'!$B$5:$B$300,$B52)+SUMIFS('ИТОГО Лэндинг'!$H$5:$H$300,'ИТОГО Лэндинг'!$B$5:$B$300,$B52))</f>
        <v/>
      </c>
      <c r="I52" s="246">
        <f>IF($B52="","",IF(AND(C52="",F52=""),"",ROUND(SUMIFS('ИТОГО Торговля'!$I$5:$I$300,'ИТОГО Торговля'!$B$5:$B$300,$B52)+SUMIFS('ИТОГО Лэндинг'!$I$5:$I$300,'ИТОГО Лэндинг'!$B$5:$B$300,$B52),8)))</f>
        <v/>
      </c>
      <c r="J52" s="247">
        <f>IF($B52="","",IF(AND(C52="",F52=""),"",ROUND(SUMIFS('ИТОГО Торговля'!$J$5:$J$300,'ИТОГО Торговля'!$B$5:$B$300,$B52)+SUMIFS('ИТОГО Лэндинг'!$J$5:$J$300,'ИТОГО Лэндинг'!$B$5:$B$300,$B52),8)))</f>
        <v/>
      </c>
      <c r="K52" s="246">
        <f>IF($B52="","",ROUND(SUMIFS('ИТОГО Торговля'!$K$5:$K$300,'ИТОГО Торговля'!$B$5:$B$300,$B52)+SUMIFS('ИТОГО Лэндинг'!$K$5:$K$300,'ИТОГО Лэндинг'!$B$5:$B$300,$B52),8))</f>
        <v/>
      </c>
      <c r="L52" s="183">
        <f>IF(K52="","",IF(SUMPRODUCT((Закрытые!$E$5:$E$300=$B52)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52/SUMPRODUCT((Закрытые!$E$5:$E$300=$B52)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2" s="183">
        <f>IF(OR(ROUND(N(C52)-N(F52),8)=0,1-N(Ввод!$E$17)/100&lt;=0),"",IF(N(C52)&gt;N(F52),(N(E52)-N(H52))/((N(C52)-N(F52))*(1-N(Ввод!$E$17)/100)),(N(H52)-N(E52))/((N(F52)-N(C52))*(1+N(Ввод!$E$17)/100))))</f>
        <v/>
      </c>
    </row>
    <row r="53" ht="22" customHeight="1">
      <c r="B53" s="315" t="n"/>
      <c r="C53" s="240">
        <f>IF($B53="","",IF(SUMIFS('ИТОГО Торговля'!$C$5:$C$300,'ИТОГО Торговля'!$B$5:$B$300,$B53)+SUMIFS('ИТОГО Лэндинг'!$C$5:$C$300,'ИТОГО Лэндинг'!$B$5:$B$300,$B53)=0,"",SUMIFS('ИТОГО Торговля'!$C$5:$C$300,'ИТОГО Торговля'!$B$5:$B$300,$B53)+SUMIFS('ИТОГО Лэндинг'!$C$5:$C$300,'ИТОГО Лэндинг'!$B$5:$B$300,$B53)))</f>
        <v/>
      </c>
      <c r="D53" s="177">
        <f>IF(C53="","",E53/C53)</f>
        <v/>
      </c>
      <c r="E53" s="241">
        <f>IF(C53="","",SUMIFS('ИТОГО Торговля'!$E$5:$E$300,'ИТОГО Торговля'!$B$5:$B$300,$B53)+SUMIFS('ИТОГО Лэндинг'!$E$5:$E$300,'ИТОГО Лэндинг'!$B$5:$B$300,$B53))</f>
        <v/>
      </c>
      <c r="F53" s="240">
        <f>IF($B53="","",IF(SUMIFS('ИТОГО Торговля'!$F$5:$F$300,'ИТОГО Торговля'!$B$5:$B$300,$B53)+SUMIFS('ИТОГО Лэндинг'!$F$5:$F$300,'ИТОГО Лэндинг'!$B$5:$B$300,$B53)=0,"",SUMIFS('ИТОГО Торговля'!$F$5:$F$300,'ИТОГО Торговля'!$B$5:$B$300,$B53)+SUMIFS('ИТОГО Лэндинг'!$F$5:$F$300,'ИТОГО Лэндинг'!$B$5:$B$300,$B53)))</f>
        <v/>
      </c>
      <c r="G53" s="177">
        <f>IF(F53="","",H53/F53)</f>
        <v/>
      </c>
      <c r="H53" s="241">
        <f>IF(F53="","",SUMIFS('ИТОГО Торговля'!$H$5:$H$300,'ИТОГО Торговля'!$B$5:$B$300,$B53)+SUMIFS('ИТОГО Лэндинг'!$H$5:$H$300,'ИТОГО Лэндинг'!$B$5:$B$300,$B53))</f>
        <v/>
      </c>
      <c r="I53" s="240">
        <f>IF($B53="","",IF(AND(C53="",F53=""),"",ROUND(SUMIFS('ИТОГО Торговля'!$I$5:$I$300,'ИТОГО Торговля'!$B$5:$B$300,$B53)+SUMIFS('ИТОГО Лэндинг'!$I$5:$I$300,'ИТОГО Лэндинг'!$B$5:$B$300,$B53),8)))</f>
        <v/>
      </c>
      <c r="J53" s="241">
        <f>IF($B53="","",IF(AND(C53="",F53=""),"",ROUND(SUMIFS('ИТОГО Торговля'!$J$5:$J$300,'ИТОГО Торговля'!$B$5:$B$300,$B53)+SUMIFS('ИТОГО Лэндинг'!$J$5:$J$300,'ИТОГО Лэндинг'!$B$5:$B$300,$B53),8)))</f>
        <v/>
      </c>
      <c r="K53" s="240">
        <f>IF($B53="","",ROUND(SUMIFS('ИТОГО Торговля'!$K$5:$K$300,'ИТОГО Торговля'!$B$5:$B$300,$B53)+SUMIFS('ИТОГО Лэндинг'!$K$5:$K$300,'ИТОГО Лэндинг'!$B$5:$B$300,$B53),8))</f>
        <v/>
      </c>
      <c r="L53" s="177">
        <f>IF(K53="","",IF(SUMPRODUCT((Закрытые!$E$5:$E$300=$B53)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53/SUMPRODUCT((Закрытые!$E$5:$E$300=$B53)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3" s="177">
        <f>IF(OR(ROUND(N(C53)-N(F53),8)=0,1-N(Ввод!$E$17)/100&lt;=0),"",IF(N(C53)&gt;N(F53),(N(E53)-N(H53))/((N(C53)-N(F53))*(1-N(Ввод!$E$17)/100)),(N(H53)-N(E53))/((N(F53)-N(C53))*(1+N(Ввод!$E$17)/100))))</f>
        <v/>
      </c>
    </row>
    <row r="54" ht="22" customHeight="1">
      <c r="B54" s="320" t="n"/>
      <c r="C54" s="246">
        <f>IF($B54="","",IF(SUMIFS('ИТОГО Торговля'!$C$5:$C$300,'ИТОГО Торговля'!$B$5:$B$300,$B54)+SUMIFS('ИТОГО Лэндинг'!$C$5:$C$300,'ИТОГО Лэндинг'!$B$5:$B$300,$B54)=0,"",SUMIFS('ИТОГО Торговля'!$C$5:$C$300,'ИТОГО Торговля'!$B$5:$B$300,$B54)+SUMIFS('ИТОГО Лэндинг'!$C$5:$C$300,'ИТОГО Лэндинг'!$B$5:$B$300,$B54)))</f>
        <v/>
      </c>
      <c r="D54" s="183">
        <f>IF(C54="","",E54/C54)</f>
        <v/>
      </c>
      <c r="E54" s="247">
        <f>IF(C54="","",SUMIFS('ИТОГО Торговля'!$E$5:$E$300,'ИТОГО Торговля'!$B$5:$B$300,$B54)+SUMIFS('ИТОГО Лэндинг'!$E$5:$E$300,'ИТОГО Лэндинг'!$B$5:$B$300,$B54))</f>
        <v/>
      </c>
      <c r="F54" s="246">
        <f>IF($B54="","",IF(SUMIFS('ИТОГО Торговля'!$F$5:$F$300,'ИТОГО Торговля'!$B$5:$B$300,$B54)+SUMIFS('ИТОГО Лэндинг'!$F$5:$F$300,'ИТОГО Лэндинг'!$B$5:$B$300,$B54)=0,"",SUMIFS('ИТОГО Торговля'!$F$5:$F$300,'ИТОГО Торговля'!$B$5:$B$300,$B54)+SUMIFS('ИТОГО Лэндинг'!$F$5:$F$300,'ИТОГО Лэндинг'!$B$5:$B$300,$B54)))</f>
        <v/>
      </c>
      <c r="G54" s="183">
        <f>IF(F54="","",H54/F54)</f>
        <v/>
      </c>
      <c r="H54" s="247">
        <f>IF(F54="","",SUMIFS('ИТОГО Торговля'!$H$5:$H$300,'ИТОГО Торговля'!$B$5:$B$300,$B54)+SUMIFS('ИТОГО Лэндинг'!$H$5:$H$300,'ИТОГО Лэндинг'!$B$5:$B$300,$B54))</f>
        <v/>
      </c>
      <c r="I54" s="246">
        <f>IF($B54="","",IF(AND(C54="",F54=""),"",ROUND(SUMIFS('ИТОГО Торговля'!$I$5:$I$300,'ИТОГО Торговля'!$B$5:$B$300,$B54)+SUMIFS('ИТОГО Лэндинг'!$I$5:$I$300,'ИТОГО Лэндинг'!$B$5:$B$300,$B54),8)))</f>
        <v/>
      </c>
      <c r="J54" s="247">
        <f>IF($B54="","",IF(AND(C54="",F54=""),"",ROUND(SUMIFS('ИТОГО Торговля'!$J$5:$J$300,'ИТОГО Торговля'!$B$5:$B$300,$B54)+SUMIFS('ИТОГО Лэндинг'!$J$5:$J$300,'ИТОГО Лэндинг'!$B$5:$B$300,$B54),8)))</f>
        <v/>
      </c>
      <c r="K54" s="246">
        <f>IF($B54="","",ROUND(SUMIFS('ИТОГО Торговля'!$K$5:$K$300,'ИТОГО Торговля'!$B$5:$B$300,$B54)+SUMIFS('ИТОГО Лэндинг'!$K$5:$K$300,'ИТОГО Лэндинг'!$B$5:$B$300,$B54),8))</f>
        <v/>
      </c>
      <c r="L54" s="183">
        <f>IF(K54="","",IF(SUMPRODUCT((Закрытые!$E$5:$E$300=$B54)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54/SUMPRODUCT((Закрытые!$E$5:$E$300=$B54)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4" s="183">
        <f>IF(OR(ROUND(N(C54)-N(F54),8)=0,1-N(Ввод!$E$17)/100&lt;=0),"",IF(N(C54)&gt;N(F54),(N(E54)-N(H54))/((N(C54)-N(F54))*(1-N(Ввод!$E$17)/100)),(N(H54)-N(E54))/((N(F54)-N(C54))*(1+N(Ввод!$E$17)/100))))</f>
        <v/>
      </c>
    </row>
    <row r="55" ht="22" customHeight="1">
      <c r="B55" s="315" t="n"/>
      <c r="C55" s="240">
        <f>IF($B55="","",IF(SUMIFS('ИТОГО Торговля'!$C$5:$C$300,'ИТОГО Торговля'!$B$5:$B$300,$B55)+SUMIFS('ИТОГО Лэндинг'!$C$5:$C$300,'ИТОГО Лэндинг'!$B$5:$B$300,$B55)=0,"",SUMIFS('ИТОГО Торговля'!$C$5:$C$300,'ИТОГО Торговля'!$B$5:$B$300,$B55)+SUMIFS('ИТОГО Лэндинг'!$C$5:$C$300,'ИТОГО Лэндинг'!$B$5:$B$300,$B55)))</f>
        <v/>
      </c>
      <c r="D55" s="177">
        <f>IF(C55="","",E55/C55)</f>
        <v/>
      </c>
      <c r="E55" s="241">
        <f>IF(C55="","",SUMIFS('ИТОГО Торговля'!$E$5:$E$300,'ИТОГО Торговля'!$B$5:$B$300,$B55)+SUMIFS('ИТОГО Лэндинг'!$E$5:$E$300,'ИТОГО Лэндинг'!$B$5:$B$300,$B55))</f>
        <v/>
      </c>
      <c r="F55" s="240">
        <f>IF($B55="","",IF(SUMIFS('ИТОГО Торговля'!$F$5:$F$300,'ИТОГО Торговля'!$B$5:$B$300,$B55)+SUMIFS('ИТОГО Лэндинг'!$F$5:$F$300,'ИТОГО Лэндинг'!$B$5:$B$300,$B55)=0,"",SUMIFS('ИТОГО Торговля'!$F$5:$F$300,'ИТОГО Торговля'!$B$5:$B$300,$B55)+SUMIFS('ИТОГО Лэндинг'!$F$5:$F$300,'ИТОГО Лэндинг'!$B$5:$B$300,$B55)))</f>
        <v/>
      </c>
      <c r="G55" s="177">
        <f>IF(F55="","",H55/F55)</f>
        <v/>
      </c>
      <c r="H55" s="241">
        <f>IF(F55="","",SUMIFS('ИТОГО Торговля'!$H$5:$H$300,'ИТОГО Торговля'!$B$5:$B$300,$B55)+SUMIFS('ИТОГО Лэндинг'!$H$5:$H$300,'ИТОГО Лэндинг'!$B$5:$B$300,$B55))</f>
        <v/>
      </c>
      <c r="I55" s="240">
        <f>IF($B55="","",IF(AND(C55="",F55=""),"",ROUND(SUMIFS('ИТОГО Торговля'!$I$5:$I$300,'ИТОГО Торговля'!$B$5:$B$300,$B55)+SUMIFS('ИТОГО Лэндинг'!$I$5:$I$300,'ИТОГО Лэндинг'!$B$5:$B$300,$B55),8)))</f>
        <v/>
      </c>
      <c r="J55" s="241">
        <f>IF($B55="","",IF(AND(C55="",F55=""),"",ROUND(SUMIFS('ИТОГО Торговля'!$J$5:$J$300,'ИТОГО Торговля'!$B$5:$B$300,$B55)+SUMIFS('ИТОГО Лэндинг'!$J$5:$J$300,'ИТОГО Лэндинг'!$B$5:$B$300,$B55),8)))</f>
        <v/>
      </c>
      <c r="K55" s="240">
        <f>IF($B55="","",ROUND(SUMIFS('ИТОГО Торговля'!$K$5:$K$300,'ИТОГО Торговля'!$B$5:$B$300,$B55)+SUMIFS('ИТОГО Лэндинг'!$K$5:$K$300,'ИТОГО Лэндинг'!$B$5:$B$300,$B55),8))</f>
        <v/>
      </c>
      <c r="L55" s="177">
        <f>IF(K55="","",IF(SUMPRODUCT((Закрытые!$E$5:$E$300=$B55)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55/SUMPRODUCT((Закрытые!$E$5:$E$300=$B55)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5" s="177">
        <f>IF(OR(ROUND(N(C55)-N(F55),8)=0,1-N(Ввод!$E$17)/100&lt;=0),"",IF(N(C55)&gt;N(F55),(N(E55)-N(H55))/((N(C55)-N(F55))*(1-N(Ввод!$E$17)/100)),(N(H55)-N(E55))/((N(F55)-N(C55))*(1+N(Ввод!$E$17)/100))))</f>
        <v/>
      </c>
    </row>
    <row r="56" ht="22" customHeight="1">
      <c r="B56" s="320" t="n"/>
      <c r="C56" s="246">
        <f>IF($B56="","",IF(SUMIFS('ИТОГО Торговля'!$C$5:$C$300,'ИТОГО Торговля'!$B$5:$B$300,$B56)+SUMIFS('ИТОГО Лэндинг'!$C$5:$C$300,'ИТОГО Лэндинг'!$B$5:$B$300,$B56)=0,"",SUMIFS('ИТОГО Торговля'!$C$5:$C$300,'ИТОГО Торговля'!$B$5:$B$300,$B56)+SUMIFS('ИТОГО Лэндинг'!$C$5:$C$300,'ИТОГО Лэндинг'!$B$5:$B$300,$B56)))</f>
        <v/>
      </c>
      <c r="D56" s="183">
        <f>IF(C56="","",E56/C56)</f>
        <v/>
      </c>
      <c r="E56" s="247">
        <f>IF(C56="","",SUMIFS('ИТОГО Торговля'!$E$5:$E$300,'ИТОГО Торговля'!$B$5:$B$300,$B56)+SUMIFS('ИТОГО Лэндинг'!$E$5:$E$300,'ИТОГО Лэндинг'!$B$5:$B$300,$B56))</f>
        <v/>
      </c>
      <c r="F56" s="246">
        <f>IF($B56="","",IF(SUMIFS('ИТОГО Торговля'!$F$5:$F$300,'ИТОГО Торговля'!$B$5:$B$300,$B56)+SUMIFS('ИТОГО Лэндинг'!$F$5:$F$300,'ИТОГО Лэндинг'!$B$5:$B$300,$B56)=0,"",SUMIFS('ИТОГО Торговля'!$F$5:$F$300,'ИТОГО Торговля'!$B$5:$B$300,$B56)+SUMIFS('ИТОГО Лэндинг'!$F$5:$F$300,'ИТОГО Лэндинг'!$B$5:$B$300,$B56)))</f>
        <v/>
      </c>
      <c r="G56" s="183">
        <f>IF(F56="","",H56/F56)</f>
        <v/>
      </c>
      <c r="H56" s="247">
        <f>IF(F56="","",SUMIFS('ИТОГО Торговля'!$H$5:$H$300,'ИТОГО Торговля'!$B$5:$B$300,$B56)+SUMIFS('ИТОГО Лэндинг'!$H$5:$H$300,'ИТОГО Лэндинг'!$B$5:$B$300,$B56))</f>
        <v/>
      </c>
      <c r="I56" s="246">
        <f>IF($B56="","",IF(AND(C56="",F56=""),"",ROUND(SUMIFS('ИТОГО Торговля'!$I$5:$I$300,'ИТОГО Торговля'!$B$5:$B$300,$B56)+SUMIFS('ИТОГО Лэндинг'!$I$5:$I$300,'ИТОГО Лэндинг'!$B$5:$B$300,$B56),8)))</f>
        <v/>
      </c>
      <c r="J56" s="247">
        <f>IF($B56="","",IF(AND(C56="",F56=""),"",ROUND(SUMIFS('ИТОГО Торговля'!$J$5:$J$300,'ИТОГО Торговля'!$B$5:$B$300,$B56)+SUMIFS('ИТОГО Лэндинг'!$J$5:$J$300,'ИТОГО Лэндинг'!$B$5:$B$300,$B56),8)))</f>
        <v/>
      </c>
      <c r="K56" s="246">
        <f>IF($B56="","",ROUND(SUMIFS('ИТОГО Торговля'!$K$5:$K$300,'ИТОГО Торговля'!$B$5:$B$300,$B56)+SUMIFS('ИТОГО Лэндинг'!$K$5:$K$300,'ИТОГО Лэндинг'!$B$5:$B$300,$B56),8))</f>
        <v/>
      </c>
      <c r="L56" s="183">
        <f>IF(K56="","",IF(SUMPRODUCT((Закрытые!$E$5:$E$300=$B56)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56/SUMPRODUCT((Закрытые!$E$5:$E$300=$B56)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6" s="183">
        <f>IF(OR(ROUND(N(C56)-N(F56),8)=0,1-N(Ввод!$E$17)/100&lt;=0),"",IF(N(C56)&gt;N(F56),(N(E56)-N(H56))/((N(C56)-N(F56))*(1-N(Ввод!$E$17)/100)),(N(H56)-N(E56))/((N(F56)-N(C56))*(1+N(Ввод!$E$17)/100))))</f>
        <v/>
      </c>
    </row>
    <row r="57" ht="22" customHeight="1">
      <c r="B57" s="315" t="n"/>
      <c r="C57" s="240">
        <f>IF($B57="","",IF(SUMIFS('ИТОГО Торговля'!$C$5:$C$300,'ИТОГО Торговля'!$B$5:$B$300,$B57)+SUMIFS('ИТОГО Лэндинг'!$C$5:$C$300,'ИТОГО Лэндинг'!$B$5:$B$300,$B57)=0,"",SUMIFS('ИТОГО Торговля'!$C$5:$C$300,'ИТОГО Торговля'!$B$5:$B$300,$B57)+SUMIFS('ИТОГО Лэндинг'!$C$5:$C$300,'ИТОГО Лэндинг'!$B$5:$B$300,$B57)))</f>
        <v/>
      </c>
      <c r="D57" s="177">
        <f>IF(C57="","",E57/C57)</f>
        <v/>
      </c>
      <c r="E57" s="241">
        <f>IF(C57="","",SUMIFS('ИТОГО Торговля'!$E$5:$E$300,'ИТОГО Торговля'!$B$5:$B$300,$B57)+SUMIFS('ИТОГО Лэндинг'!$E$5:$E$300,'ИТОГО Лэндинг'!$B$5:$B$300,$B57))</f>
        <v/>
      </c>
      <c r="F57" s="240">
        <f>IF($B57="","",IF(SUMIFS('ИТОГО Торговля'!$F$5:$F$300,'ИТОГО Торговля'!$B$5:$B$300,$B57)+SUMIFS('ИТОГО Лэндинг'!$F$5:$F$300,'ИТОГО Лэндинг'!$B$5:$B$300,$B57)=0,"",SUMIFS('ИТОГО Торговля'!$F$5:$F$300,'ИТОГО Торговля'!$B$5:$B$300,$B57)+SUMIFS('ИТОГО Лэндинг'!$F$5:$F$300,'ИТОГО Лэндинг'!$B$5:$B$300,$B57)))</f>
        <v/>
      </c>
      <c r="G57" s="177">
        <f>IF(F57="","",H57/F57)</f>
        <v/>
      </c>
      <c r="H57" s="241">
        <f>IF(F57="","",SUMIFS('ИТОГО Торговля'!$H$5:$H$300,'ИТОГО Торговля'!$B$5:$B$300,$B57)+SUMIFS('ИТОГО Лэндинг'!$H$5:$H$300,'ИТОГО Лэндинг'!$B$5:$B$300,$B57))</f>
        <v/>
      </c>
      <c r="I57" s="240">
        <f>IF($B57="","",IF(AND(C57="",F57=""),"",ROUND(SUMIFS('ИТОГО Торговля'!$I$5:$I$300,'ИТОГО Торговля'!$B$5:$B$300,$B57)+SUMIFS('ИТОГО Лэндинг'!$I$5:$I$300,'ИТОГО Лэндинг'!$B$5:$B$300,$B57),8)))</f>
        <v/>
      </c>
      <c r="J57" s="241">
        <f>IF($B57="","",IF(AND(C57="",F57=""),"",ROUND(SUMIFS('ИТОГО Торговля'!$J$5:$J$300,'ИТОГО Торговля'!$B$5:$B$300,$B57)+SUMIFS('ИТОГО Лэндинг'!$J$5:$J$300,'ИТОГО Лэндинг'!$B$5:$B$300,$B57),8)))</f>
        <v/>
      </c>
      <c r="K57" s="240">
        <f>IF($B57="","",ROUND(SUMIFS('ИТОГО Торговля'!$K$5:$K$300,'ИТОГО Торговля'!$B$5:$B$300,$B57)+SUMIFS('ИТОГО Лэндинг'!$K$5:$K$300,'ИТОГО Лэндинг'!$B$5:$B$300,$B57),8))</f>
        <v/>
      </c>
      <c r="L57" s="177">
        <f>IF(K57="","",IF(SUMPRODUCT((Закрытые!$E$5:$E$300=$B57)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57/SUMPRODUCT((Закрытые!$E$5:$E$300=$B57)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7" s="177">
        <f>IF(OR(ROUND(N(C57)-N(F57),8)=0,1-N(Ввод!$E$17)/100&lt;=0),"",IF(N(C57)&gt;N(F57),(N(E57)-N(H57))/((N(C57)-N(F57))*(1-N(Ввод!$E$17)/100)),(N(H57)-N(E57))/((N(F57)-N(C57))*(1+N(Ввод!$E$17)/100))))</f>
        <v/>
      </c>
    </row>
    <row r="58" ht="22" customHeight="1">
      <c r="B58" s="320" t="n"/>
      <c r="C58" s="246">
        <f>IF($B58="","",IF(SUMIFS('ИТОГО Торговля'!$C$5:$C$300,'ИТОГО Торговля'!$B$5:$B$300,$B58)+SUMIFS('ИТОГО Лэндинг'!$C$5:$C$300,'ИТОГО Лэндинг'!$B$5:$B$300,$B58)=0,"",SUMIFS('ИТОГО Торговля'!$C$5:$C$300,'ИТОГО Торговля'!$B$5:$B$300,$B58)+SUMIFS('ИТОГО Лэндинг'!$C$5:$C$300,'ИТОГО Лэндинг'!$B$5:$B$300,$B58)))</f>
        <v/>
      </c>
      <c r="D58" s="183">
        <f>IF(C58="","",E58/C58)</f>
        <v/>
      </c>
      <c r="E58" s="247">
        <f>IF(C58="","",SUMIFS('ИТОГО Торговля'!$E$5:$E$300,'ИТОГО Торговля'!$B$5:$B$300,$B58)+SUMIFS('ИТОГО Лэндинг'!$E$5:$E$300,'ИТОГО Лэндинг'!$B$5:$B$300,$B58))</f>
        <v/>
      </c>
      <c r="F58" s="246">
        <f>IF($B58="","",IF(SUMIFS('ИТОГО Торговля'!$F$5:$F$300,'ИТОГО Торговля'!$B$5:$B$300,$B58)+SUMIFS('ИТОГО Лэндинг'!$F$5:$F$300,'ИТОГО Лэндинг'!$B$5:$B$300,$B58)=0,"",SUMIFS('ИТОГО Торговля'!$F$5:$F$300,'ИТОГО Торговля'!$B$5:$B$300,$B58)+SUMIFS('ИТОГО Лэндинг'!$F$5:$F$300,'ИТОГО Лэндинг'!$B$5:$B$300,$B58)))</f>
        <v/>
      </c>
      <c r="G58" s="183">
        <f>IF(F58="","",H58/F58)</f>
        <v/>
      </c>
      <c r="H58" s="247">
        <f>IF(F58="","",SUMIFS('ИТОГО Торговля'!$H$5:$H$300,'ИТОГО Торговля'!$B$5:$B$300,$B58)+SUMIFS('ИТОГО Лэндинг'!$H$5:$H$300,'ИТОГО Лэндинг'!$B$5:$B$300,$B58))</f>
        <v/>
      </c>
      <c r="I58" s="246">
        <f>IF($B58="","",IF(AND(C58="",F58=""),"",ROUND(SUMIFS('ИТОГО Торговля'!$I$5:$I$300,'ИТОГО Торговля'!$B$5:$B$300,$B58)+SUMIFS('ИТОГО Лэндинг'!$I$5:$I$300,'ИТОГО Лэндинг'!$B$5:$B$300,$B58),8)))</f>
        <v/>
      </c>
      <c r="J58" s="247">
        <f>IF($B58="","",IF(AND(C58="",F58=""),"",ROUND(SUMIFS('ИТОГО Торговля'!$J$5:$J$300,'ИТОГО Торговля'!$B$5:$B$300,$B58)+SUMIFS('ИТОГО Лэндинг'!$J$5:$J$300,'ИТОГО Лэндинг'!$B$5:$B$300,$B58),8)))</f>
        <v/>
      </c>
      <c r="K58" s="246">
        <f>IF($B58="","",ROUND(SUMIFS('ИТОГО Торговля'!$K$5:$K$300,'ИТОГО Торговля'!$B$5:$B$300,$B58)+SUMIFS('ИТОГО Лэндинг'!$K$5:$K$300,'ИТОГО Лэндинг'!$B$5:$B$300,$B58),8))</f>
        <v/>
      </c>
      <c r="L58" s="183">
        <f>IF(K58="","",IF(SUMPRODUCT((Закрытые!$E$5:$E$300=$B58)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58/SUMPRODUCT((Закрытые!$E$5:$E$300=$B58)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8" s="183">
        <f>IF(OR(ROUND(N(C58)-N(F58),8)=0,1-N(Ввод!$E$17)/100&lt;=0),"",IF(N(C58)&gt;N(F58),(N(E58)-N(H58))/((N(C58)-N(F58))*(1-N(Ввод!$E$17)/100)),(N(H58)-N(E58))/((N(F58)-N(C58))*(1+N(Ввод!$E$17)/100))))</f>
        <v/>
      </c>
    </row>
    <row r="59" ht="22" customHeight="1">
      <c r="B59" s="315" t="n"/>
      <c r="C59" s="240">
        <f>IF($B59="","",IF(SUMIFS('ИТОГО Торговля'!$C$5:$C$300,'ИТОГО Торговля'!$B$5:$B$300,$B59)+SUMIFS('ИТОГО Лэндинг'!$C$5:$C$300,'ИТОГО Лэндинг'!$B$5:$B$300,$B59)=0,"",SUMIFS('ИТОГО Торговля'!$C$5:$C$300,'ИТОГО Торговля'!$B$5:$B$300,$B59)+SUMIFS('ИТОГО Лэндинг'!$C$5:$C$300,'ИТОГО Лэндинг'!$B$5:$B$300,$B59)))</f>
        <v/>
      </c>
      <c r="D59" s="177">
        <f>IF(C59="","",E59/C59)</f>
        <v/>
      </c>
      <c r="E59" s="241">
        <f>IF(C59="","",SUMIFS('ИТОГО Торговля'!$E$5:$E$300,'ИТОГО Торговля'!$B$5:$B$300,$B59)+SUMIFS('ИТОГО Лэндинг'!$E$5:$E$300,'ИТОГО Лэндинг'!$B$5:$B$300,$B59))</f>
        <v/>
      </c>
      <c r="F59" s="240">
        <f>IF($B59="","",IF(SUMIFS('ИТОГО Торговля'!$F$5:$F$300,'ИТОГО Торговля'!$B$5:$B$300,$B59)+SUMIFS('ИТОГО Лэндинг'!$F$5:$F$300,'ИТОГО Лэндинг'!$B$5:$B$300,$B59)=0,"",SUMIFS('ИТОГО Торговля'!$F$5:$F$300,'ИТОГО Торговля'!$B$5:$B$300,$B59)+SUMIFS('ИТОГО Лэндинг'!$F$5:$F$300,'ИТОГО Лэндинг'!$B$5:$B$300,$B59)))</f>
        <v/>
      </c>
      <c r="G59" s="177">
        <f>IF(F59="","",H59/F59)</f>
        <v/>
      </c>
      <c r="H59" s="241">
        <f>IF(F59="","",SUMIFS('ИТОГО Торговля'!$H$5:$H$300,'ИТОГО Торговля'!$B$5:$B$300,$B59)+SUMIFS('ИТОГО Лэндинг'!$H$5:$H$300,'ИТОГО Лэндинг'!$B$5:$B$300,$B59))</f>
        <v/>
      </c>
      <c r="I59" s="240">
        <f>IF($B59="","",IF(AND(C59="",F59=""),"",ROUND(SUMIFS('ИТОГО Торговля'!$I$5:$I$300,'ИТОГО Торговля'!$B$5:$B$300,$B59)+SUMIFS('ИТОГО Лэндинг'!$I$5:$I$300,'ИТОГО Лэндинг'!$B$5:$B$300,$B59),8)))</f>
        <v/>
      </c>
      <c r="J59" s="241">
        <f>IF($B59="","",IF(AND(C59="",F59=""),"",ROUND(SUMIFS('ИТОГО Торговля'!$J$5:$J$300,'ИТОГО Торговля'!$B$5:$B$300,$B59)+SUMIFS('ИТОГО Лэндинг'!$J$5:$J$300,'ИТОГО Лэндинг'!$B$5:$B$300,$B59),8)))</f>
        <v/>
      </c>
      <c r="K59" s="240">
        <f>IF($B59="","",ROUND(SUMIFS('ИТОГО Торговля'!$K$5:$K$300,'ИТОГО Торговля'!$B$5:$B$300,$B59)+SUMIFS('ИТОГО Лэндинг'!$K$5:$K$300,'ИТОГО Лэндинг'!$B$5:$B$300,$B59),8))</f>
        <v/>
      </c>
      <c r="L59" s="177">
        <f>IF(K59="","",IF(SUMPRODUCT((Закрытые!$E$5:$E$300=$B59)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59/SUMPRODUCT((Закрытые!$E$5:$E$300=$B59)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9" s="177">
        <f>IF(OR(ROUND(N(C59)-N(F59),8)=0,1-N(Ввод!$E$17)/100&lt;=0),"",IF(N(C59)&gt;N(F59),(N(E59)-N(H59))/((N(C59)-N(F59))*(1-N(Ввод!$E$17)/100)),(N(H59)-N(E59))/((N(F59)-N(C59))*(1+N(Ввод!$E$17)/100))))</f>
        <v/>
      </c>
    </row>
    <row r="60" ht="22" customHeight="1">
      <c r="B60" s="320" t="n"/>
      <c r="C60" s="246">
        <f>IF($B60="","",IF(SUMIFS('ИТОГО Торговля'!$C$5:$C$300,'ИТОГО Торговля'!$B$5:$B$300,$B60)+SUMIFS('ИТОГО Лэндинг'!$C$5:$C$300,'ИТОГО Лэндинг'!$B$5:$B$300,$B60)=0,"",SUMIFS('ИТОГО Торговля'!$C$5:$C$300,'ИТОГО Торговля'!$B$5:$B$300,$B60)+SUMIFS('ИТОГО Лэндинг'!$C$5:$C$300,'ИТОГО Лэндинг'!$B$5:$B$300,$B60)))</f>
        <v/>
      </c>
      <c r="D60" s="183">
        <f>IF(C60="","",E60/C60)</f>
        <v/>
      </c>
      <c r="E60" s="247">
        <f>IF(C60="","",SUMIFS('ИТОГО Торговля'!$E$5:$E$300,'ИТОГО Торговля'!$B$5:$B$300,$B60)+SUMIFS('ИТОГО Лэндинг'!$E$5:$E$300,'ИТОГО Лэндинг'!$B$5:$B$300,$B60))</f>
        <v/>
      </c>
      <c r="F60" s="246">
        <f>IF($B60="","",IF(SUMIFS('ИТОГО Торговля'!$F$5:$F$300,'ИТОГО Торговля'!$B$5:$B$300,$B60)+SUMIFS('ИТОГО Лэндинг'!$F$5:$F$300,'ИТОГО Лэндинг'!$B$5:$B$300,$B60)=0,"",SUMIFS('ИТОГО Торговля'!$F$5:$F$300,'ИТОГО Торговля'!$B$5:$B$300,$B60)+SUMIFS('ИТОГО Лэндинг'!$F$5:$F$300,'ИТОГО Лэндинг'!$B$5:$B$300,$B60)))</f>
        <v/>
      </c>
      <c r="G60" s="183">
        <f>IF(F60="","",H60/F60)</f>
        <v/>
      </c>
      <c r="H60" s="247">
        <f>IF(F60="","",SUMIFS('ИТОГО Торговля'!$H$5:$H$300,'ИТОГО Торговля'!$B$5:$B$300,$B60)+SUMIFS('ИТОГО Лэндинг'!$H$5:$H$300,'ИТОГО Лэндинг'!$B$5:$B$300,$B60))</f>
        <v/>
      </c>
      <c r="I60" s="246">
        <f>IF($B60="","",IF(AND(C60="",F60=""),"",ROUND(SUMIFS('ИТОГО Торговля'!$I$5:$I$300,'ИТОГО Торговля'!$B$5:$B$300,$B60)+SUMIFS('ИТОГО Лэндинг'!$I$5:$I$300,'ИТОГО Лэндинг'!$B$5:$B$300,$B60),8)))</f>
        <v/>
      </c>
      <c r="J60" s="247">
        <f>IF($B60="","",IF(AND(C60="",F60=""),"",ROUND(SUMIFS('ИТОГО Торговля'!$J$5:$J$300,'ИТОГО Торговля'!$B$5:$B$300,$B60)+SUMIFS('ИТОГО Лэндинг'!$J$5:$J$300,'ИТОГО Лэндинг'!$B$5:$B$300,$B60),8)))</f>
        <v/>
      </c>
      <c r="K60" s="246">
        <f>IF($B60="","",ROUND(SUMIFS('ИТОГО Торговля'!$K$5:$K$300,'ИТОГО Торговля'!$B$5:$B$300,$B60)+SUMIFS('ИТОГО Лэндинг'!$K$5:$K$300,'ИТОГО Лэндинг'!$B$5:$B$300,$B60),8))</f>
        <v/>
      </c>
      <c r="L60" s="183">
        <f>IF(K60="","",IF(SUMPRODUCT((Закрытые!$E$5:$E$300=$B60)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60/SUMPRODUCT((Закрытые!$E$5:$E$300=$B60)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0" s="183">
        <f>IF(OR(ROUND(N(C60)-N(F60),8)=0,1-N(Ввод!$E$17)/100&lt;=0),"",IF(N(C60)&gt;N(F60),(N(E60)-N(H60))/((N(C60)-N(F60))*(1-N(Ввод!$E$17)/100)),(N(H60)-N(E60))/((N(F60)-N(C60))*(1+N(Ввод!$E$17)/100))))</f>
        <v/>
      </c>
    </row>
    <row r="61" ht="22" customHeight="1">
      <c r="B61" s="315" t="n"/>
      <c r="C61" s="240">
        <f>IF($B61="","",IF(SUMIFS('ИТОГО Торговля'!$C$5:$C$300,'ИТОГО Торговля'!$B$5:$B$300,$B61)+SUMIFS('ИТОГО Лэндинг'!$C$5:$C$300,'ИТОГО Лэндинг'!$B$5:$B$300,$B61)=0,"",SUMIFS('ИТОГО Торговля'!$C$5:$C$300,'ИТОГО Торговля'!$B$5:$B$300,$B61)+SUMIFS('ИТОГО Лэндинг'!$C$5:$C$300,'ИТОГО Лэндинг'!$B$5:$B$300,$B61)))</f>
        <v/>
      </c>
      <c r="D61" s="177">
        <f>IF(C61="","",E61/C61)</f>
        <v/>
      </c>
      <c r="E61" s="241">
        <f>IF(C61="","",SUMIFS('ИТОГО Торговля'!$E$5:$E$300,'ИТОГО Торговля'!$B$5:$B$300,$B61)+SUMIFS('ИТОГО Лэндинг'!$E$5:$E$300,'ИТОГО Лэндинг'!$B$5:$B$300,$B61))</f>
        <v/>
      </c>
      <c r="F61" s="240">
        <f>IF($B61="","",IF(SUMIFS('ИТОГО Торговля'!$F$5:$F$300,'ИТОГО Торговля'!$B$5:$B$300,$B61)+SUMIFS('ИТОГО Лэндинг'!$F$5:$F$300,'ИТОГО Лэндинг'!$B$5:$B$300,$B61)=0,"",SUMIFS('ИТОГО Торговля'!$F$5:$F$300,'ИТОГО Торговля'!$B$5:$B$300,$B61)+SUMIFS('ИТОГО Лэндинг'!$F$5:$F$300,'ИТОГО Лэндинг'!$B$5:$B$300,$B61)))</f>
        <v/>
      </c>
      <c r="G61" s="177">
        <f>IF(F61="","",H61/F61)</f>
        <v/>
      </c>
      <c r="H61" s="241">
        <f>IF(F61="","",SUMIFS('ИТОГО Торговля'!$H$5:$H$300,'ИТОГО Торговля'!$B$5:$B$300,$B61)+SUMIFS('ИТОГО Лэндинг'!$H$5:$H$300,'ИТОГО Лэндинг'!$B$5:$B$300,$B61))</f>
        <v/>
      </c>
      <c r="I61" s="240">
        <f>IF($B61="","",IF(AND(C61="",F61=""),"",ROUND(SUMIFS('ИТОГО Торговля'!$I$5:$I$300,'ИТОГО Торговля'!$B$5:$B$300,$B61)+SUMIFS('ИТОГО Лэндинг'!$I$5:$I$300,'ИТОГО Лэндинг'!$B$5:$B$300,$B61),8)))</f>
        <v/>
      </c>
      <c r="J61" s="241">
        <f>IF($B61="","",IF(AND(C61="",F61=""),"",ROUND(SUMIFS('ИТОГО Торговля'!$J$5:$J$300,'ИТОГО Торговля'!$B$5:$B$300,$B61)+SUMIFS('ИТОГО Лэндинг'!$J$5:$J$300,'ИТОГО Лэндинг'!$B$5:$B$300,$B61),8)))</f>
        <v/>
      </c>
      <c r="K61" s="240">
        <f>IF($B61="","",ROUND(SUMIFS('ИТОГО Торговля'!$K$5:$K$300,'ИТОГО Торговля'!$B$5:$B$300,$B61)+SUMIFS('ИТОГО Лэндинг'!$K$5:$K$300,'ИТОГО Лэндинг'!$B$5:$B$300,$B61),8))</f>
        <v/>
      </c>
      <c r="L61" s="177">
        <f>IF(K61="","",IF(SUMPRODUCT((Закрытые!$E$5:$E$300=$B61)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61/SUMPRODUCT((Закрытые!$E$5:$E$300=$B61)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1" s="177">
        <f>IF(OR(ROUND(N(C61)-N(F61),8)=0,1-N(Ввод!$E$17)/100&lt;=0),"",IF(N(C61)&gt;N(F61),(N(E61)-N(H61))/((N(C61)-N(F61))*(1-N(Ввод!$E$17)/100)),(N(H61)-N(E61))/((N(F61)-N(C61))*(1+N(Ввод!$E$17)/100))))</f>
        <v/>
      </c>
    </row>
    <row r="62" ht="22" customHeight="1">
      <c r="B62" s="320" t="n"/>
      <c r="C62" s="246">
        <f>IF($B62="","",IF(SUMIFS('ИТОГО Торговля'!$C$5:$C$300,'ИТОГО Торговля'!$B$5:$B$300,$B62)+SUMIFS('ИТОГО Лэндинг'!$C$5:$C$300,'ИТОГО Лэндинг'!$B$5:$B$300,$B62)=0,"",SUMIFS('ИТОГО Торговля'!$C$5:$C$300,'ИТОГО Торговля'!$B$5:$B$300,$B62)+SUMIFS('ИТОГО Лэндинг'!$C$5:$C$300,'ИТОГО Лэндинг'!$B$5:$B$300,$B62)))</f>
        <v/>
      </c>
      <c r="D62" s="183">
        <f>IF(C62="","",E62/C62)</f>
        <v/>
      </c>
      <c r="E62" s="247">
        <f>IF(C62="","",SUMIFS('ИТОГО Торговля'!$E$5:$E$300,'ИТОГО Торговля'!$B$5:$B$300,$B62)+SUMIFS('ИТОГО Лэндинг'!$E$5:$E$300,'ИТОГО Лэндинг'!$B$5:$B$300,$B62))</f>
        <v/>
      </c>
      <c r="F62" s="246">
        <f>IF($B62="","",IF(SUMIFS('ИТОГО Торговля'!$F$5:$F$300,'ИТОГО Торговля'!$B$5:$B$300,$B62)+SUMIFS('ИТОГО Лэндинг'!$F$5:$F$300,'ИТОГО Лэндинг'!$B$5:$B$300,$B62)=0,"",SUMIFS('ИТОГО Торговля'!$F$5:$F$300,'ИТОГО Торговля'!$B$5:$B$300,$B62)+SUMIFS('ИТОГО Лэндинг'!$F$5:$F$300,'ИТОГО Лэндинг'!$B$5:$B$300,$B62)))</f>
        <v/>
      </c>
      <c r="G62" s="183">
        <f>IF(F62="","",H62/F62)</f>
        <v/>
      </c>
      <c r="H62" s="247">
        <f>IF(F62="","",SUMIFS('ИТОГО Торговля'!$H$5:$H$300,'ИТОГО Торговля'!$B$5:$B$300,$B62)+SUMIFS('ИТОГО Лэндинг'!$H$5:$H$300,'ИТОГО Лэндинг'!$B$5:$B$300,$B62))</f>
        <v/>
      </c>
      <c r="I62" s="246">
        <f>IF($B62="","",IF(AND(C62="",F62=""),"",ROUND(SUMIFS('ИТОГО Торговля'!$I$5:$I$300,'ИТОГО Торговля'!$B$5:$B$300,$B62)+SUMIFS('ИТОГО Лэндинг'!$I$5:$I$300,'ИТОГО Лэндинг'!$B$5:$B$300,$B62),8)))</f>
        <v/>
      </c>
      <c r="J62" s="247">
        <f>IF($B62="","",IF(AND(C62="",F62=""),"",ROUND(SUMIFS('ИТОГО Торговля'!$J$5:$J$300,'ИТОГО Торговля'!$B$5:$B$300,$B62)+SUMIFS('ИТОГО Лэндинг'!$J$5:$J$300,'ИТОГО Лэндинг'!$B$5:$B$300,$B62),8)))</f>
        <v/>
      </c>
      <c r="K62" s="246">
        <f>IF($B62="","",ROUND(SUMIFS('ИТОГО Торговля'!$K$5:$K$300,'ИТОГО Торговля'!$B$5:$B$300,$B62)+SUMIFS('ИТОГО Лэндинг'!$K$5:$K$300,'ИТОГО Лэндинг'!$B$5:$B$300,$B62),8))</f>
        <v/>
      </c>
      <c r="L62" s="183">
        <f>IF(K62="","",IF(SUMPRODUCT((Закрытые!$E$5:$E$300=$B62)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62/SUMPRODUCT((Закрытые!$E$5:$E$300=$B62)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2" s="183">
        <f>IF(OR(ROUND(N(C62)-N(F62),8)=0,1-N(Ввод!$E$17)/100&lt;=0),"",IF(N(C62)&gt;N(F62),(N(E62)-N(H62))/((N(C62)-N(F62))*(1-N(Ввод!$E$17)/100)),(N(H62)-N(E62))/((N(F62)-N(C62))*(1+N(Ввод!$E$17)/100))))</f>
        <v/>
      </c>
    </row>
    <row r="63" ht="22" customHeight="1">
      <c r="B63" s="315" t="n"/>
      <c r="C63" s="240">
        <f>IF($B63="","",IF(SUMIFS('ИТОГО Торговля'!$C$5:$C$300,'ИТОГО Торговля'!$B$5:$B$300,$B63)+SUMIFS('ИТОГО Лэндинг'!$C$5:$C$300,'ИТОГО Лэндинг'!$B$5:$B$300,$B63)=0,"",SUMIFS('ИТОГО Торговля'!$C$5:$C$300,'ИТОГО Торговля'!$B$5:$B$300,$B63)+SUMIFS('ИТОГО Лэндинг'!$C$5:$C$300,'ИТОГО Лэндинг'!$B$5:$B$300,$B63)))</f>
        <v/>
      </c>
      <c r="D63" s="177">
        <f>IF(C63="","",E63/C63)</f>
        <v/>
      </c>
      <c r="E63" s="241">
        <f>IF(C63="","",SUMIFS('ИТОГО Торговля'!$E$5:$E$300,'ИТОГО Торговля'!$B$5:$B$300,$B63)+SUMIFS('ИТОГО Лэндинг'!$E$5:$E$300,'ИТОГО Лэндинг'!$B$5:$B$300,$B63))</f>
        <v/>
      </c>
      <c r="F63" s="240">
        <f>IF($B63="","",IF(SUMIFS('ИТОГО Торговля'!$F$5:$F$300,'ИТОГО Торговля'!$B$5:$B$300,$B63)+SUMIFS('ИТОГО Лэндинг'!$F$5:$F$300,'ИТОГО Лэндинг'!$B$5:$B$300,$B63)=0,"",SUMIFS('ИТОГО Торговля'!$F$5:$F$300,'ИТОГО Торговля'!$B$5:$B$300,$B63)+SUMIFS('ИТОГО Лэндинг'!$F$5:$F$300,'ИТОГО Лэндинг'!$B$5:$B$300,$B63)))</f>
        <v/>
      </c>
      <c r="G63" s="177">
        <f>IF(F63="","",H63/F63)</f>
        <v/>
      </c>
      <c r="H63" s="241">
        <f>IF(F63="","",SUMIFS('ИТОГО Торговля'!$H$5:$H$300,'ИТОГО Торговля'!$B$5:$B$300,$B63)+SUMIFS('ИТОГО Лэндинг'!$H$5:$H$300,'ИТОГО Лэндинг'!$B$5:$B$300,$B63))</f>
        <v/>
      </c>
      <c r="I63" s="240">
        <f>IF($B63="","",IF(AND(C63="",F63=""),"",ROUND(SUMIFS('ИТОГО Торговля'!$I$5:$I$300,'ИТОГО Торговля'!$B$5:$B$300,$B63)+SUMIFS('ИТОГО Лэндинг'!$I$5:$I$300,'ИТОГО Лэндинг'!$B$5:$B$300,$B63),8)))</f>
        <v/>
      </c>
      <c r="J63" s="241">
        <f>IF($B63="","",IF(AND(C63="",F63=""),"",ROUND(SUMIFS('ИТОГО Торговля'!$J$5:$J$300,'ИТОГО Торговля'!$B$5:$B$300,$B63)+SUMIFS('ИТОГО Лэндинг'!$J$5:$J$300,'ИТОГО Лэндинг'!$B$5:$B$300,$B63),8)))</f>
        <v/>
      </c>
      <c r="K63" s="240">
        <f>IF($B63="","",ROUND(SUMIFS('ИТОГО Торговля'!$K$5:$K$300,'ИТОГО Торговля'!$B$5:$B$300,$B63)+SUMIFS('ИТОГО Лэндинг'!$K$5:$K$300,'ИТОГО Лэндинг'!$B$5:$B$300,$B63),8))</f>
        <v/>
      </c>
      <c r="L63" s="177">
        <f>IF(K63="","",IF(SUMPRODUCT((Закрытые!$E$5:$E$300=$B63)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63/SUMPRODUCT((Закрытые!$E$5:$E$300=$B63)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3" s="177">
        <f>IF(OR(ROUND(N(C63)-N(F63),8)=0,1-N(Ввод!$E$17)/100&lt;=0),"",IF(N(C63)&gt;N(F63),(N(E63)-N(H63))/((N(C63)-N(F63))*(1-N(Ввод!$E$17)/100)),(N(H63)-N(E63))/((N(F63)-N(C63))*(1+N(Ввод!$E$17)/100))))</f>
        <v/>
      </c>
    </row>
    <row r="64" ht="22" customHeight="1">
      <c r="B64" s="320" t="n"/>
      <c r="C64" s="246">
        <f>IF($B64="","",IF(SUMIFS('ИТОГО Торговля'!$C$5:$C$300,'ИТОГО Торговля'!$B$5:$B$300,$B64)+SUMIFS('ИТОГО Лэндинг'!$C$5:$C$300,'ИТОГО Лэндинг'!$B$5:$B$300,$B64)=0,"",SUMIFS('ИТОГО Торговля'!$C$5:$C$300,'ИТОГО Торговля'!$B$5:$B$300,$B64)+SUMIFS('ИТОГО Лэндинг'!$C$5:$C$300,'ИТОГО Лэндинг'!$B$5:$B$300,$B64)))</f>
        <v/>
      </c>
      <c r="D64" s="183">
        <f>IF(C64="","",E64/C64)</f>
        <v/>
      </c>
      <c r="E64" s="247">
        <f>IF(C64="","",SUMIFS('ИТОГО Торговля'!$E$5:$E$300,'ИТОГО Торговля'!$B$5:$B$300,$B64)+SUMIFS('ИТОГО Лэндинг'!$E$5:$E$300,'ИТОГО Лэндинг'!$B$5:$B$300,$B64))</f>
        <v/>
      </c>
      <c r="F64" s="246">
        <f>IF($B64="","",IF(SUMIFS('ИТОГО Торговля'!$F$5:$F$300,'ИТОГО Торговля'!$B$5:$B$300,$B64)+SUMIFS('ИТОГО Лэндинг'!$F$5:$F$300,'ИТОГО Лэндинг'!$B$5:$B$300,$B64)=0,"",SUMIFS('ИТОГО Торговля'!$F$5:$F$300,'ИТОГО Торговля'!$B$5:$B$300,$B64)+SUMIFS('ИТОГО Лэндинг'!$F$5:$F$300,'ИТОГО Лэндинг'!$B$5:$B$300,$B64)))</f>
        <v/>
      </c>
      <c r="G64" s="183">
        <f>IF(F64="","",H64/F64)</f>
        <v/>
      </c>
      <c r="H64" s="247">
        <f>IF(F64="","",SUMIFS('ИТОГО Торговля'!$H$5:$H$300,'ИТОГО Торговля'!$B$5:$B$300,$B64)+SUMIFS('ИТОГО Лэндинг'!$H$5:$H$300,'ИТОГО Лэндинг'!$B$5:$B$300,$B64))</f>
        <v/>
      </c>
      <c r="I64" s="246">
        <f>IF($B64="","",IF(AND(C64="",F64=""),"",ROUND(SUMIFS('ИТОГО Торговля'!$I$5:$I$300,'ИТОГО Торговля'!$B$5:$B$300,$B64)+SUMIFS('ИТОГО Лэндинг'!$I$5:$I$300,'ИТОГО Лэндинг'!$B$5:$B$300,$B64),8)))</f>
        <v/>
      </c>
      <c r="J64" s="247">
        <f>IF($B64="","",IF(AND(C64="",F64=""),"",ROUND(SUMIFS('ИТОГО Торговля'!$J$5:$J$300,'ИТОГО Торговля'!$B$5:$B$300,$B64)+SUMIFS('ИТОГО Лэндинг'!$J$5:$J$300,'ИТОГО Лэндинг'!$B$5:$B$300,$B64),8)))</f>
        <v/>
      </c>
      <c r="K64" s="246">
        <f>IF($B64="","",ROUND(SUMIFS('ИТОГО Торговля'!$K$5:$K$300,'ИТОГО Торговля'!$B$5:$B$300,$B64)+SUMIFS('ИТОГО Лэндинг'!$K$5:$K$300,'ИТОГО Лэндинг'!$B$5:$B$300,$B64),8))</f>
        <v/>
      </c>
      <c r="L64" s="183">
        <f>IF(K64="","",IF(SUMPRODUCT((Закрытые!$E$5:$E$300=$B64)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64/SUMPRODUCT((Закрытые!$E$5:$E$300=$B64)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4" s="183">
        <f>IF(OR(ROUND(N(C64)-N(F64),8)=0,1-N(Ввод!$E$17)/100&lt;=0),"",IF(N(C64)&gt;N(F64),(N(E64)-N(H64))/((N(C64)-N(F64))*(1-N(Ввод!$E$17)/100)),(N(H64)-N(E64))/((N(F64)-N(C64))*(1+N(Ввод!$E$17)/100))))</f>
        <v/>
      </c>
    </row>
    <row r="65" ht="22" customHeight="1">
      <c r="B65" s="315" t="n"/>
      <c r="C65" s="240">
        <f>IF($B65="","",IF(SUMIFS('ИТОГО Торговля'!$C$5:$C$300,'ИТОГО Торговля'!$B$5:$B$300,$B65)+SUMIFS('ИТОГО Лэндинг'!$C$5:$C$300,'ИТОГО Лэндинг'!$B$5:$B$300,$B65)=0,"",SUMIFS('ИТОГО Торговля'!$C$5:$C$300,'ИТОГО Торговля'!$B$5:$B$300,$B65)+SUMIFS('ИТОГО Лэндинг'!$C$5:$C$300,'ИТОГО Лэндинг'!$B$5:$B$300,$B65)))</f>
        <v/>
      </c>
      <c r="D65" s="177">
        <f>IF(C65="","",E65/C65)</f>
        <v/>
      </c>
      <c r="E65" s="241">
        <f>IF(C65="","",SUMIFS('ИТОГО Торговля'!$E$5:$E$300,'ИТОГО Торговля'!$B$5:$B$300,$B65)+SUMIFS('ИТОГО Лэндинг'!$E$5:$E$300,'ИТОГО Лэндинг'!$B$5:$B$300,$B65))</f>
        <v/>
      </c>
      <c r="F65" s="240">
        <f>IF($B65="","",IF(SUMIFS('ИТОГО Торговля'!$F$5:$F$300,'ИТОГО Торговля'!$B$5:$B$300,$B65)+SUMIFS('ИТОГО Лэндинг'!$F$5:$F$300,'ИТОГО Лэндинг'!$B$5:$B$300,$B65)=0,"",SUMIFS('ИТОГО Торговля'!$F$5:$F$300,'ИТОГО Торговля'!$B$5:$B$300,$B65)+SUMIFS('ИТОГО Лэндинг'!$F$5:$F$300,'ИТОГО Лэндинг'!$B$5:$B$300,$B65)))</f>
        <v/>
      </c>
      <c r="G65" s="177">
        <f>IF(F65="","",H65/F65)</f>
        <v/>
      </c>
      <c r="H65" s="241">
        <f>IF(F65="","",SUMIFS('ИТОГО Торговля'!$H$5:$H$300,'ИТОГО Торговля'!$B$5:$B$300,$B65)+SUMIFS('ИТОГО Лэндинг'!$H$5:$H$300,'ИТОГО Лэндинг'!$B$5:$B$300,$B65))</f>
        <v/>
      </c>
      <c r="I65" s="240">
        <f>IF($B65="","",IF(AND(C65="",F65=""),"",ROUND(SUMIFS('ИТОГО Торговля'!$I$5:$I$300,'ИТОГО Торговля'!$B$5:$B$300,$B65)+SUMIFS('ИТОГО Лэндинг'!$I$5:$I$300,'ИТОГО Лэндинг'!$B$5:$B$300,$B65),8)))</f>
        <v/>
      </c>
      <c r="J65" s="241">
        <f>IF($B65="","",IF(AND(C65="",F65=""),"",ROUND(SUMIFS('ИТОГО Торговля'!$J$5:$J$300,'ИТОГО Торговля'!$B$5:$B$300,$B65)+SUMIFS('ИТОГО Лэндинг'!$J$5:$J$300,'ИТОГО Лэндинг'!$B$5:$B$300,$B65),8)))</f>
        <v/>
      </c>
      <c r="K65" s="240">
        <f>IF($B65="","",ROUND(SUMIFS('ИТОГО Торговля'!$K$5:$K$300,'ИТОГО Торговля'!$B$5:$B$300,$B65)+SUMIFS('ИТОГО Лэндинг'!$K$5:$K$300,'ИТОГО Лэндинг'!$B$5:$B$300,$B65),8))</f>
        <v/>
      </c>
      <c r="L65" s="177">
        <f>IF(K65="","",IF(SUMPRODUCT((Закрытые!$E$5:$E$300=$B65)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65/SUMPRODUCT((Закрытые!$E$5:$E$300=$B65)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5" s="177">
        <f>IF(OR(ROUND(N(C65)-N(F65),8)=0,1-N(Ввод!$E$17)/100&lt;=0),"",IF(N(C65)&gt;N(F65),(N(E65)-N(H65))/((N(C65)-N(F65))*(1-N(Ввод!$E$17)/100)),(N(H65)-N(E65))/((N(F65)-N(C65))*(1+N(Ввод!$E$17)/100))))</f>
        <v/>
      </c>
    </row>
    <row r="66" ht="22" customHeight="1">
      <c r="B66" s="320" t="n"/>
      <c r="C66" s="246">
        <f>IF($B66="","",IF(SUMIFS('ИТОГО Торговля'!$C$5:$C$300,'ИТОГО Торговля'!$B$5:$B$300,$B66)+SUMIFS('ИТОГО Лэндинг'!$C$5:$C$300,'ИТОГО Лэндинг'!$B$5:$B$300,$B66)=0,"",SUMIFS('ИТОГО Торговля'!$C$5:$C$300,'ИТОГО Торговля'!$B$5:$B$300,$B66)+SUMIFS('ИТОГО Лэндинг'!$C$5:$C$300,'ИТОГО Лэндинг'!$B$5:$B$300,$B66)))</f>
        <v/>
      </c>
      <c r="D66" s="183">
        <f>IF(C66="","",E66/C66)</f>
        <v/>
      </c>
      <c r="E66" s="247">
        <f>IF(C66="","",SUMIFS('ИТОГО Торговля'!$E$5:$E$300,'ИТОГО Торговля'!$B$5:$B$300,$B66)+SUMIFS('ИТОГО Лэндинг'!$E$5:$E$300,'ИТОГО Лэндинг'!$B$5:$B$300,$B66))</f>
        <v/>
      </c>
      <c r="F66" s="246">
        <f>IF($B66="","",IF(SUMIFS('ИТОГО Торговля'!$F$5:$F$300,'ИТОГО Торговля'!$B$5:$B$300,$B66)+SUMIFS('ИТОГО Лэндинг'!$F$5:$F$300,'ИТОГО Лэндинг'!$B$5:$B$300,$B66)=0,"",SUMIFS('ИТОГО Торговля'!$F$5:$F$300,'ИТОГО Торговля'!$B$5:$B$300,$B66)+SUMIFS('ИТОГО Лэндинг'!$F$5:$F$300,'ИТОГО Лэндинг'!$B$5:$B$300,$B66)))</f>
        <v/>
      </c>
      <c r="G66" s="183">
        <f>IF(F66="","",H66/F66)</f>
        <v/>
      </c>
      <c r="H66" s="247">
        <f>IF(F66="","",SUMIFS('ИТОГО Торговля'!$H$5:$H$300,'ИТОГО Торговля'!$B$5:$B$300,$B66)+SUMIFS('ИТОГО Лэндинг'!$H$5:$H$300,'ИТОГО Лэндинг'!$B$5:$B$300,$B66))</f>
        <v/>
      </c>
      <c r="I66" s="246">
        <f>IF($B66="","",IF(AND(C66="",F66=""),"",ROUND(SUMIFS('ИТОГО Торговля'!$I$5:$I$300,'ИТОГО Торговля'!$B$5:$B$300,$B66)+SUMIFS('ИТОГО Лэндинг'!$I$5:$I$300,'ИТОГО Лэндинг'!$B$5:$B$300,$B66),8)))</f>
        <v/>
      </c>
      <c r="J66" s="247">
        <f>IF($B66="","",IF(AND(C66="",F66=""),"",ROUND(SUMIFS('ИТОГО Торговля'!$J$5:$J$300,'ИТОГО Торговля'!$B$5:$B$300,$B66)+SUMIFS('ИТОГО Лэндинг'!$J$5:$J$300,'ИТОГО Лэндинг'!$B$5:$B$300,$B66),8)))</f>
        <v/>
      </c>
      <c r="K66" s="246">
        <f>IF($B66="","",ROUND(SUMIFS('ИТОГО Торговля'!$K$5:$K$300,'ИТОГО Торговля'!$B$5:$B$300,$B66)+SUMIFS('ИТОГО Лэндинг'!$K$5:$K$300,'ИТОГО Лэндинг'!$B$5:$B$300,$B66),8))</f>
        <v/>
      </c>
      <c r="L66" s="183">
        <f>IF(K66="","",IF(SUMPRODUCT((Закрытые!$E$5:$E$300=$B66)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66/SUMPRODUCT((Закрытые!$E$5:$E$300=$B66)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6" s="183">
        <f>IF(OR(ROUND(N(C66)-N(F66),8)=0,1-N(Ввод!$E$17)/100&lt;=0),"",IF(N(C66)&gt;N(F66),(N(E66)-N(H66))/((N(C66)-N(F66))*(1-N(Ввод!$E$17)/100)),(N(H66)-N(E66))/((N(F66)-N(C66))*(1+N(Ввод!$E$17)/100))))</f>
        <v/>
      </c>
    </row>
    <row r="67" ht="22" customHeight="1">
      <c r="B67" s="315" t="n"/>
      <c r="C67" s="240">
        <f>IF($B67="","",IF(SUMIFS('ИТОГО Торговля'!$C$5:$C$300,'ИТОГО Торговля'!$B$5:$B$300,$B67)+SUMIFS('ИТОГО Лэндинг'!$C$5:$C$300,'ИТОГО Лэндинг'!$B$5:$B$300,$B67)=0,"",SUMIFS('ИТОГО Торговля'!$C$5:$C$300,'ИТОГО Торговля'!$B$5:$B$300,$B67)+SUMIFS('ИТОГО Лэндинг'!$C$5:$C$300,'ИТОГО Лэндинг'!$B$5:$B$300,$B67)))</f>
        <v/>
      </c>
      <c r="D67" s="177">
        <f>IF(C67="","",E67/C67)</f>
        <v/>
      </c>
      <c r="E67" s="241">
        <f>IF(C67="","",SUMIFS('ИТОГО Торговля'!$E$5:$E$300,'ИТОГО Торговля'!$B$5:$B$300,$B67)+SUMIFS('ИТОГО Лэндинг'!$E$5:$E$300,'ИТОГО Лэндинг'!$B$5:$B$300,$B67))</f>
        <v/>
      </c>
      <c r="F67" s="240">
        <f>IF($B67="","",IF(SUMIFS('ИТОГО Торговля'!$F$5:$F$300,'ИТОГО Торговля'!$B$5:$B$300,$B67)+SUMIFS('ИТОГО Лэндинг'!$F$5:$F$300,'ИТОГО Лэндинг'!$B$5:$B$300,$B67)=0,"",SUMIFS('ИТОГО Торговля'!$F$5:$F$300,'ИТОГО Торговля'!$B$5:$B$300,$B67)+SUMIFS('ИТОГО Лэндинг'!$F$5:$F$300,'ИТОГО Лэндинг'!$B$5:$B$300,$B67)))</f>
        <v/>
      </c>
      <c r="G67" s="177">
        <f>IF(F67="","",H67/F67)</f>
        <v/>
      </c>
      <c r="H67" s="241">
        <f>IF(F67="","",SUMIFS('ИТОГО Торговля'!$H$5:$H$300,'ИТОГО Торговля'!$B$5:$B$300,$B67)+SUMIFS('ИТОГО Лэндинг'!$H$5:$H$300,'ИТОГО Лэндинг'!$B$5:$B$300,$B67))</f>
        <v/>
      </c>
      <c r="I67" s="240">
        <f>IF($B67="","",IF(AND(C67="",F67=""),"",ROUND(SUMIFS('ИТОГО Торговля'!$I$5:$I$300,'ИТОГО Торговля'!$B$5:$B$300,$B67)+SUMIFS('ИТОГО Лэндинг'!$I$5:$I$300,'ИТОГО Лэндинг'!$B$5:$B$300,$B67),8)))</f>
        <v/>
      </c>
      <c r="J67" s="241">
        <f>IF($B67="","",IF(AND(C67="",F67=""),"",ROUND(SUMIFS('ИТОГО Торговля'!$J$5:$J$300,'ИТОГО Торговля'!$B$5:$B$300,$B67)+SUMIFS('ИТОГО Лэндинг'!$J$5:$J$300,'ИТОГО Лэндинг'!$B$5:$B$300,$B67),8)))</f>
        <v/>
      </c>
      <c r="K67" s="240">
        <f>IF($B67="","",ROUND(SUMIFS('ИТОГО Торговля'!$K$5:$K$300,'ИТОГО Торговля'!$B$5:$B$300,$B67)+SUMIFS('ИТОГО Лэндинг'!$K$5:$K$300,'ИТОГО Лэндинг'!$B$5:$B$300,$B67),8))</f>
        <v/>
      </c>
      <c r="L67" s="177">
        <f>IF(K67="","",IF(SUMPRODUCT((Закрытые!$E$5:$E$300=$B67)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67/SUMPRODUCT((Закрытые!$E$5:$E$300=$B67)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7" s="177">
        <f>IF(OR(ROUND(N(C67)-N(F67),8)=0,1-N(Ввод!$E$17)/100&lt;=0),"",IF(N(C67)&gt;N(F67),(N(E67)-N(H67))/((N(C67)-N(F67))*(1-N(Ввод!$E$17)/100)),(N(H67)-N(E67))/((N(F67)-N(C67))*(1+N(Ввод!$E$17)/100))))</f>
        <v/>
      </c>
    </row>
    <row r="68" ht="22" customHeight="1">
      <c r="B68" s="320" t="n"/>
      <c r="C68" s="246">
        <f>IF($B68="","",IF(SUMIFS('ИТОГО Торговля'!$C$5:$C$300,'ИТОГО Торговля'!$B$5:$B$300,$B68)+SUMIFS('ИТОГО Лэндинг'!$C$5:$C$300,'ИТОГО Лэндинг'!$B$5:$B$300,$B68)=0,"",SUMIFS('ИТОГО Торговля'!$C$5:$C$300,'ИТОГО Торговля'!$B$5:$B$300,$B68)+SUMIFS('ИТОГО Лэндинг'!$C$5:$C$300,'ИТОГО Лэндинг'!$B$5:$B$300,$B68)))</f>
        <v/>
      </c>
      <c r="D68" s="183">
        <f>IF(C68="","",E68/C68)</f>
        <v/>
      </c>
      <c r="E68" s="247">
        <f>IF(C68="","",SUMIFS('ИТОГО Торговля'!$E$5:$E$300,'ИТОГО Торговля'!$B$5:$B$300,$B68)+SUMIFS('ИТОГО Лэндинг'!$E$5:$E$300,'ИТОГО Лэндинг'!$B$5:$B$300,$B68))</f>
        <v/>
      </c>
      <c r="F68" s="246">
        <f>IF($B68="","",IF(SUMIFS('ИТОГО Торговля'!$F$5:$F$300,'ИТОГО Торговля'!$B$5:$B$300,$B68)+SUMIFS('ИТОГО Лэндинг'!$F$5:$F$300,'ИТОГО Лэндинг'!$B$5:$B$300,$B68)=0,"",SUMIFS('ИТОГО Торговля'!$F$5:$F$300,'ИТОГО Торговля'!$B$5:$B$300,$B68)+SUMIFS('ИТОГО Лэндинг'!$F$5:$F$300,'ИТОГО Лэндинг'!$B$5:$B$300,$B68)))</f>
        <v/>
      </c>
      <c r="G68" s="183">
        <f>IF(F68="","",H68/F68)</f>
        <v/>
      </c>
      <c r="H68" s="247">
        <f>IF(F68="","",SUMIFS('ИТОГО Торговля'!$H$5:$H$300,'ИТОГО Торговля'!$B$5:$B$300,$B68)+SUMIFS('ИТОГО Лэндинг'!$H$5:$H$300,'ИТОГО Лэндинг'!$B$5:$B$300,$B68))</f>
        <v/>
      </c>
      <c r="I68" s="246">
        <f>IF($B68="","",IF(AND(C68="",F68=""),"",ROUND(SUMIFS('ИТОГО Торговля'!$I$5:$I$300,'ИТОГО Торговля'!$B$5:$B$300,$B68)+SUMIFS('ИТОГО Лэндинг'!$I$5:$I$300,'ИТОГО Лэндинг'!$B$5:$B$300,$B68),8)))</f>
        <v/>
      </c>
      <c r="J68" s="247">
        <f>IF($B68="","",IF(AND(C68="",F68=""),"",ROUND(SUMIFS('ИТОГО Торговля'!$J$5:$J$300,'ИТОГО Торговля'!$B$5:$B$300,$B68)+SUMIFS('ИТОГО Лэндинг'!$J$5:$J$300,'ИТОГО Лэндинг'!$B$5:$B$300,$B68),8)))</f>
        <v/>
      </c>
      <c r="K68" s="246">
        <f>IF($B68="","",ROUND(SUMIFS('ИТОГО Торговля'!$K$5:$K$300,'ИТОГО Торговля'!$B$5:$B$300,$B68)+SUMIFS('ИТОГО Лэндинг'!$K$5:$K$300,'ИТОГО Лэндинг'!$B$5:$B$300,$B68),8))</f>
        <v/>
      </c>
      <c r="L68" s="183">
        <f>IF(K68="","",IF(SUMPRODUCT((Закрытые!$E$5:$E$300=$B68)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68/SUMPRODUCT((Закрытые!$E$5:$E$300=$B68)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8" s="183">
        <f>IF(OR(ROUND(N(C68)-N(F68),8)=0,1-N(Ввод!$E$17)/100&lt;=0),"",IF(N(C68)&gt;N(F68),(N(E68)-N(H68))/((N(C68)-N(F68))*(1-N(Ввод!$E$17)/100)),(N(H68)-N(E68))/((N(F68)-N(C68))*(1+N(Ввод!$E$17)/100))))</f>
        <v/>
      </c>
    </row>
    <row r="69" ht="22" customHeight="1">
      <c r="B69" s="315" t="n"/>
      <c r="C69" s="240">
        <f>IF($B69="","",IF(SUMIFS('ИТОГО Торговля'!$C$5:$C$300,'ИТОГО Торговля'!$B$5:$B$300,$B69)+SUMIFS('ИТОГО Лэндинг'!$C$5:$C$300,'ИТОГО Лэндинг'!$B$5:$B$300,$B69)=0,"",SUMIFS('ИТОГО Торговля'!$C$5:$C$300,'ИТОГО Торговля'!$B$5:$B$300,$B69)+SUMIFS('ИТОГО Лэндинг'!$C$5:$C$300,'ИТОГО Лэндинг'!$B$5:$B$300,$B69)))</f>
        <v/>
      </c>
      <c r="D69" s="177">
        <f>IF(C69="","",E69/C69)</f>
        <v/>
      </c>
      <c r="E69" s="241">
        <f>IF(C69="","",SUMIFS('ИТОГО Торговля'!$E$5:$E$300,'ИТОГО Торговля'!$B$5:$B$300,$B69)+SUMIFS('ИТОГО Лэндинг'!$E$5:$E$300,'ИТОГО Лэндинг'!$B$5:$B$300,$B69))</f>
        <v/>
      </c>
      <c r="F69" s="240">
        <f>IF($B69="","",IF(SUMIFS('ИТОГО Торговля'!$F$5:$F$300,'ИТОГО Торговля'!$B$5:$B$300,$B69)+SUMIFS('ИТОГО Лэндинг'!$F$5:$F$300,'ИТОГО Лэндинг'!$B$5:$B$300,$B69)=0,"",SUMIFS('ИТОГО Торговля'!$F$5:$F$300,'ИТОГО Торговля'!$B$5:$B$300,$B69)+SUMIFS('ИТОГО Лэндинг'!$F$5:$F$300,'ИТОГО Лэндинг'!$B$5:$B$300,$B69)))</f>
        <v/>
      </c>
      <c r="G69" s="177">
        <f>IF(F69="","",H69/F69)</f>
        <v/>
      </c>
      <c r="H69" s="241">
        <f>IF(F69="","",SUMIFS('ИТОГО Торговля'!$H$5:$H$300,'ИТОГО Торговля'!$B$5:$B$300,$B69)+SUMIFS('ИТОГО Лэндинг'!$H$5:$H$300,'ИТОГО Лэндинг'!$B$5:$B$300,$B69))</f>
        <v/>
      </c>
      <c r="I69" s="240">
        <f>IF($B69="","",IF(AND(C69="",F69=""),"",ROUND(SUMIFS('ИТОГО Торговля'!$I$5:$I$300,'ИТОГО Торговля'!$B$5:$B$300,$B69)+SUMIFS('ИТОГО Лэндинг'!$I$5:$I$300,'ИТОГО Лэндинг'!$B$5:$B$300,$B69),8)))</f>
        <v/>
      </c>
      <c r="J69" s="241">
        <f>IF($B69="","",IF(AND(C69="",F69=""),"",ROUND(SUMIFS('ИТОГО Торговля'!$J$5:$J$300,'ИТОГО Торговля'!$B$5:$B$300,$B69)+SUMIFS('ИТОГО Лэндинг'!$J$5:$J$300,'ИТОГО Лэндинг'!$B$5:$B$300,$B69),8)))</f>
        <v/>
      </c>
      <c r="K69" s="240">
        <f>IF($B69="","",ROUND(SUMIFS('ИТОГО Торговля'!$K$5:$K$300,'ИТОГО Торговля'!$B$5:$B$300,$B69)+SUMIFS('ИТОГО Лэндинг'!$K$5:$K$300,'ИТОГО Лэндинг'!$B$5:$B$300,$B69),8))</f>
        <v/>
      </c>
      <c r="L69" s="177">
        <f>IF(K69="","",IF(SUMPRODUCT((Закрытые!$E$5:$E$300=$B69)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69/SUMPRODUCT((Закрытые!$E$5:$E$300=$B69)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9" s="177">
        <f>IF(OR(ROUND(N(C69)-N(F69),8)=0,1-N(Ввод!$E$17)/100&lt;=0),"",IF(N(C69)&gt;N(F69),(N(E69)-N(H69))/((N(C69)-N(F69))*(1-N(Ввод!$E$17)/100)),(N(H69)-N(E69))/((N(F69)-N(C69))*(1+N(Ввод!$E$17)/100))))</f>
        <v/>
      </c>
    </row>
    <row r="70" ht="22" customHeight="1">
      <c r="B70" s="320" t="n"/>
      <c r="C70" s="246">
        <f>IF($B70="","",IF(SUMIFS('ИТОГО Торговля'!$C$5:$C$300,'ИТОГО Торговля'!$B$5:$B$300,$B70)+SUMIFS('ИТОГО Лэндинг'!$C$5:$C$300,'ИТОГО Лэндинг'!$B$5:$B$300,$B70)=0,"",SUMIFS('ИТОГО Торговля'!$C$5:$C$300,'ИТОГО Торговля'!$B$5:$B$300,$B70)+SUMIFS('ИТОГО Лэндинг'!$C$5:$C$300,'ИТОГО Лэндинг'!$B$5:$B$300,$B70)))</f>
        <v/>
      </c>
      <c r="D70" s="183">
        <f>IF(C70="","",E70/C70)</f>
        <v/>
      </c>
      <c r="E70" s="247">
        <f>IF(C70="","",SUMIFS('ИТОГО Торговля'!$E$5:$E$300,'ИТОГО Торговля'!$B$5:$B$300,$B70)+SUMIFS('ИТОГО Лэндинг'!$E$5:$E$300,'ИТОГО Лэндинг'!$B$5:$B$300,$B70))</f>
        <v/>
      </c>
      <c r="F70" s="246">
        <f>IF($B70="","",IF(SUMIFS('ИТОГО Торговля'!$F$5:$F$300,'ИТОГО Торговля'!$B$5:$B$300,$B70)+SUMIFS('ИТОГО Лэндинг'!$F$5:$F$300,'ИТОГО Лэндинг'!$B$5:$B$300,$B70)=0,"",SUMIFS('ИТОГО Торговля'!$F$5:$F$300,'ИТОГО Торговля'!$B$5:$B$300,$B70)+SUMIFS('ИТОГО Лэндинг'!$F$5:$F$300,'ИТОГО Лэндинг'!$B$5:$B$300,$B70)))</f>
        <v/>
      </c>
      <c r="G70" s="183">
        <f>IF(F70="","",H70/F70)</f>
        <v/>
      </c>
      <c r="H70" s="247">
        <f>IF(F70="","",SUMIFS('ИТОГО Торговля'!$H$5:$H$300,'ИТОГО Торговля'!$B$5:$B$300,$B70)+SUMIFS('ИТОГО Лэндинг'!$H$5:$H$300,'ИТОГО Лэндинг'!$B$5:$B$300,$B70))</f>
        <v/>
      </c>
      <c r="I70" s="246">
        <f>IF($B70="","",IF(AND(C70="",F70=""),"",ROUND(SUMIFS('ИТОГО Торговля'!$I$5:$I$300,'ИТОГО Торговля'!$B$5:$B$300,$B70)+SUMIFS('ИТОГО Лэндинг'!$I$5:$I$300,'ИТОГО Лэндинг'!$B$5:$B$300,$B70),8)))</f>
        <v/>
      </c>
      <c r="J70" s="247">
        <f>IF($B70="","",IF(AND(C70="",F70=""),"",ROUND(SUMIFS('ИТОГО Торговля'!$J$5:$J$300,'ИТОГО Торговля'!$B$5:$B$300,$B70)+SUMIFS('ИТОГО Лэндинг'!$J$5:$J$300,'ИТОГО Лэндинг'!$B$5:$B$300,$B70),8)))</f>
        <v/>
      </c>
      <c r="K70" s="246">
        <f>IF($B70="","",ROUND(SUMIFS('ИТОГО Торговля'!$K$5:$K$300,'ИТОГО Торговля'!$B$5:$B$300,$B70)+SUMIFS('ИТОГО Лэндинг'!$K$5:$K$300,'ИТОГО Лэндинг'!$B$5:$B$300,$B70),8))</f>
        <v/>
      </c>
      <c r="L70" s="183">
        <f>IF(K70="","",IF(SUMPRODUCT((Закрытые!$E$5:$E$300=$B70)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70/SUMPRODUCT((Закрытые!$E$5:$E$300=$B70)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0" s="183">
        <f>IF(OR(ROUND(N(C70)-N(F70),8)=0,1-N(Ввод!$E$17)/100&lt;=0),"",IF(N(C70)&gt;N(F70),(N(E70)-N(H70))/((N(C70)-N(F70))*(1-N(Ввод!$E$17)/100)),(N(H70)-N(E70))/((N(F70)-N(C70))*(1+N(Ввод!$E$17)/100))))</f>
        <v/>
      </c>
    </row>
    <row r="71" ht="22" customHeight="1">
      <c r="B71" s="315" t="n"/>
      <c r="C71" s="240">
        <f>IF($B71="","",IF(SUMIFS('ИТОГО Торговля'!$C$5:$C$300,'ИТОГО Торговля'!$B$5:$B$300,$B71)+SUMIFS('ИТОГО Лэндинг'!$C$5:$C$300,'ИТОГО Лэндинг'!$B$5:$B$300,$B71)=0,"",SUMIFS('ИТОГО Торговля'!$C$5:$C$300,'ИТОГО Торговля'!$B$5:$B$300,$B71)+SUMIFS('ИТОГО Лэндинг'!$C$5:$C$300,'ИТОГО Лэндинг'!$B$5:$B$300,$B71)))</f>
        <v/>
      </c>
      <c r="D71" s="177">
        <f>IF(C71="","",E71/C71)</f>
        <v/>
      </c>
      <c r="E71" s="241">
        <f>IF(C71="","",SUMIFS('ИТОГО Торговля'!$E$5:$E$300,'ИТОГО Торговля'!$B$5:$B$300,$B71)+SUMIFS('ИТОГО Лэндинг'!$E$5:$E$300,'ИТОГО Лэндинг'!$B$5:$B$300,$B71))</f>
        <v/>
      </c>
      <c r="F71" s="240">
        <f>IF($B71="","",IF(SUMIFS('ИТОГО Торговля'!$F$5:$F$300,'ИТОГО Торговля'!$B$5:$B$300,$B71)+SUMIFS('ИТОГО Лэндинг'!$F$5:$F$300,'ИТОГО Лэндинг'!$B$5:$B$300,$B71)=0,"",SUMIFS('ИТОГО Торговля'!$F$5:$F$300,'ИТОГО Торговля'!$B$5:$B$300,$B71)+SUMIFS('ИТОГО Лэндинг'!$F$5:$F$300,'ИТОГО Лэндинг'!$B$5:$B$300,$B71)))</f>
        <v/>
      </c>
      <c r="G71" s="177">
        <f>IF(F71="","",H71/F71)</f>
        <v/>
      </c>
      <c r="H71" s="241">
        <f>IF(F71="","",SUMIFS('ИТОГО Торговля'!$H$5:$H$300,'ИТОГО Торговля'!$B$5:$B$300,$B71)+SUMIFS('ИТОГО Лэндинг'!$H$5:$H$300,'ИТОГО Лэндинг'!$B$5:$B$300,$B71))</f>
        <v/>
      </c>
      <c r="I71" s="240">
        <f>IF($B71="","",IF(AND(C71="",F71=""),"",ROUND(SUMIFS('ИТОГО Торговля'!$I$5:$I$300,'ИТОГО Торговля'!$B$5:$B$300,$B71)+SUMIFS('ИТОГО Лэндинг'!$I$5:$I$300,'ИТОГО Лэндинг'!$B$5:$B$300,$B71),8)))</f>
        <v/>
      </c>
      <c r="J71" s="241">
        <f>IF($B71="","",IF(AND(C71="",F71=""),"",ROUND(SUMIFS('ИТОГО Торговля'!$J$5:$J$300,'ИТОГО Торговля'!$B$5:$B$300,$B71)+SUMIFS('ИТОГО Лэндинг'!$J$5:$J$300,'ИТОГО Лэндинг'!$B$5:$B$300,$B71),8)))</f>
        <v/>
      </c>
      <c r="K71" s="240">
        <f>IF($B71="","",ROUND(SUMIFS('ИТОГО Торговля'!$K$5:$K$300,'ИТОГО Торговля'!$B$5:$B$300,$B71)+SUMIFS('ИТОГО Лэндинг'!$K$5:$K$300,'ИТОГО Лэндинг'!$B$5:$B$300,$B71),8))</f>
        <v/>
      </c>
      <c r="L71" s="177">
        <f>IF(K71="","",IF(SUMPRODUCT((Закрытые!$E$5:$E$300=$B71)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71/SUMPRODUCT((Закрытые!$E$5:$E$300=$B71)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1" s="177">
        <f>IF(OR(ROUND(N(C71)-N(F71),8)=0,1-N(Ввод!$E$17)/100&lt;=0),"",IF(N(C71)&gt;N(F71),(N(E71)-N(H71))/((N(C71)-N(F71))*(1-N(Ввод!$E$17)/100)),(N(H71)-N(E71))/((N(F71)-N(C71))*(1+N(Ввод!$E$17)/100))))</f>
        <v/>
      </c>
    </row>
    <row r="72" ht="22" customHeight="1">
      <c r="B72" s="320" t="n"/>
      <c r="C72" s="246">
        <f>IF($B72="","",IF(SUMIFS('ИТОГО Торговля'!$C$5:$C$300,'ИТОГО Торговля'!$B$5:$B$300,$B72)+SUMIFS('ИТОГО Лэндинг'!$C$5:$C$300,'ИТОГО Лэндинг'!$B$5:$B$300,$B72)=0,"",SUMIFS('ИТОГО Торговля'!$C$5:$C$300,'ИТОГО Торговля'!$B$5:$B$300,$B72)+SUMIFS('ИТОГО Лэндинг'!$C$5:$C$300,'ИТОГО Лэндинг'!$B$5:$B$300,$B72)))</f>
        <v/>
      </c>
      <c r="D72" s="183">
        <f>IF(C72="","",E72/C72)</f>
        <v/>
      </c>
      <c r="E72" s="247">
        <f>IF(C72="","",SUMIFS('ИТОГО Торговля'!$E$5:$E$300,'ИТОГО Торговля'!$B$5:$B$300,$B72)+SUMIFS('ИТОГО Лэндинг'!$E$5:$E$300,'ИТОГО Лэндинг'!$B$5:$B$300,$B72))</f>
        <v/>
      </c>
      <c r="F72" s="246">
        <f>IF($B72="","",IF(SUMIFS('ИТОГО Торговля'!$F$5:$F$300,'ИТОГО Торговля'!$B$5:$B$300,$B72)+SUMIFS('ИТОГО Лэндинг'!$F$5:$F$300,'ИТОГО Лэндинг'!$B$5:$B$300,$B72)=0,"",SUMIFS('ИТОГО Торговля'!$F$5:$F$300,'ИТОГО Торговля'!$B$5:$B$300,$B72)+SUMIFS('ИТОГО Лэндинг'!$F$5:$F$300,'ИТОГО Лэндинг'!$B$5:$B$300,$B72)))</f>
        <v/>
      </c>
      <c r="G72" s="183">
        <f>IF(F72="","",H72/F72)</f>
        <v/>
      </c>
      <c r="H72" s="247">
        <f>IF(F72="","",SUMIFS('ИТОГО Торговля'!$H$5:$H$300,'ИТОГО Торговля'!$B$5:$B$300,$B72)+SUMIFS('ИТОГО Лэндинг'!$H$5:$H$300,'ИТОГО Лэндинг'!$B$5:$B$300,$B72))</f>
        <v/>
      </c>
      <c r="I72" s="246">
        <f>IF($B72="","",IF(AND(C72="",F72=""),"",ROUND(SUMIFS('ИТОГО Торговля'!$I$5:$I$300,'ИТОГО Торговля'!$B$5:$B$300,$B72)+SUMIFS('ИТОГО Лэндинг'!$I$5:$I$300,'ИТОГО Лэндинг'!$B$5:$B$300,$B72),8)))</f>
        <v/>
      </c>
      <c r="J72" s="247">
        <f>IF($B72="","",IF(AND(C72="",F72=""),"",ROUND(SUMIFS('ИТОГО Торговля'!$J$5:$J$300,'ИТОГО Торговля'!$B$5:$B$300,$B72)+SUMIFS('ИТОГО Лэндинг'!$J$5:$J$300,'ИТОГО Лэндинг'!$B$5:$B$300,$B72),8)))</f>
        <v/>
      </c>
      <c r="K72" s="246">
        <f>IF($B72="","",ROUND(SUMIFS('ИТОГО Торговля'!$K$5:$K$300,'ИТОГО Торговля'!$B$5:$B$300,$B72)+SUMIFS('ИТОГО Лэндинг'!$K$5:$K$300,'ИТОГО Лэндинг'!$B$5:$B$300,$B72),8))</f>
        <v/>
      </c>
      <c r="L72" s="183">
        <f>IF(K72="","",IF(SUMPRODUCT((Закрытые!$E$5:$E$300=$B72)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72/SUMPRODUCT((Закрытые!$E$5:$E$300=$B72)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2" s="183">
        <f>IF(OR(ROUND(N(C72)-N(F72),8)=0,1-N(Ввод!$E$17)/100&lt;=0),"",IF(N(C72)&gt;N(F72),(N(E72)-N(H72))/((N(C72)-N(F72))*(1-N(Ввод!$E$17)/100)),(N(H72)-N(E72))/((N(F72)-N(C72))*(1+N(Ввод!$E$17)/100))))</f>
        <v/>
      </c>
    </row>
    <row r="73" ht="22" customHeight="1">
      <c r="B73" s="315" t="n"/>
      <c r="C73" s="240">
        <f>IF($B73="","",IF(SUMIFS('ИТОГО Торговля'!$C$5:$C$300,'ИТОГО Торговля'!$B$5:$B$300,$B73)+SUMIFS('ИТОГО Лэндинг'!$C$5:$C$300,'ИТОГО Лэндинг'!$B$5:$B$300,$B73)=0,"",SUMIFS('ИТОГО Торговля'!$C$5:$C$300,'ИТОГО Торговля'!$B$5:$B$300,$B73)+SUMIFS('ИТОГО Лэндинг'!$C$5:$C$300,'ИТОГО Лэндинг'!$B$5:$B$300,$B73)))</f>
        <v/>
      </c>
      <c r="D73" s="177">
        <f>IF(C73="","",E73/C73)</f>
        <v/>
      </c>
      <c r="E73" s="241">
        <f>IF(C73="","",SUMIFS('ИТОГО Торговля'!$E$5:$E$300,'ИТОГО Торговля'!$B$5:$B$300,$B73)+SUMIFS('ИТОГО Лэндинг'!$E$5:$E$300,'ИТОГО Лэндинг'!$B$5:$B$300,$B73))</f>
        <v/>
      </c>
      <c r="F73" s="240">
        <f>IF($B73="","",IF(SUMIFS('ИТОГО Торговля'!$F$5:$F$300,'ИТОГО Торговля'!$B$5:$B$300,$B73)+SUMIFS('ИТОГО Лэндинг'!$F$5:$F$300,'ИТОГО Лэндинг'!$B$5:$B$300,$B73)=0,"",SUMIFS('ИТОГО Торговля'!$F$5:$F$300,'ИТОГО Торговля'!$B$5:$B$300,$B73)+SUMIFS('ИТОГО Лэндинг'!$F$5:$F$300,'ИТОГО Лэндинг'!$B$5:$B$300,$B73)))</f>
        <v/>
      </c>
      <c r="G73" s="177">
        <f>IF(F73="","",H73/F73)</f>
        <v/>
      </c>
      <c r="H73" s="241">
        <f>IF(F73="","",SUMIFS('ИТОГО Торговля'!$H$5:$H$300,'ИТОГО Торговля'!$B$5:$B$300,$B73)+SUMIFS('ИТОГО Лэндинг'!$H$5:$H$300,'ИТОГО Лэндинг'!$B$5:$B$300,$B73))</f>
        <v/>
      </c>
      <c r="I73" s="240">
        <f>IF($B73="","",IF(AND(C73="",F73=""),"",ROUND(SUMIFS('ИТОГО Торговля'!$I$5:$I$300,'ИТОГО Торговля'!$B$5:$B$300,$B73)+SUMIFS('ИТОГО Лэндинг'!$I$5:$I$300,'ИТОГО Лэндинг'!$B$5:$B$300,$B73),8)))</f>
        <v/>
      </c>
      <c r="J73" s="241">
        <f>IF($B73="","",IF(AND(C73="",F73=""),"",ROUND(SUMIFS('ИТОГО Торговля'!$J$5:$J$300,'ИТОГО Торговля'!$B$5:$B$300,$B73)+SUMIFS('ИТОГО Лэндинг'!$J$5:$J$300,'ИТОГО Лэндинг'!$B$5:$B$300,$B73),8)))</f>
        <v/>
      </c>
      <c r="K73" s="240">
        <f>IF($B73="","",ROUND(SUMIFS('ИТОГО Торговля'!$K$5:$K$300,'ИТОГО Торговля'!$B$5:$B$300,$B73)+SUMIFS('ИТОГО Лэндинг'!$K$5:$K$300,'ИТОГО Лэндинг'!$B$5:$B$300,$B73),8))</f>
        <v/>
      </c>
      <c r="L73" s="177">
        <f>IF(K73="","",IF(SUMPRODUCT((Закрытые!$E$5:$E$300=$B73)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73/SUMPRODUCT((Закрытые!$E$5:$E$300=$B73)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3" s="177">
        <f>IF(OR(ROUND(N(C73)-N(F73),8)=0,1-N(Ввод!$E$17)/100&lt;=0),"",IF(N(C73)&gt;N(F73),(N(E73)-N(H73))/((N(C73)-N(F73))*(1-N(Ввод!$E$17)/100)),(N(H73)-N(E73))/((N(F73)-N(C73))*(1+N(Ввод!$E$17)/100))))</f>
        <v/>
      </c>
    </row>
    <row r="74" ht="22" customHeight="1">
      <c r="B74" s="320" t="n"/>
      <c r="C74" s="246">
        <f>IF($B74="","",IF(SUMIFS('ИТОГО Торговля'!$C$5:$C$300,'ИТОГО Торговля'!$B$5:$B$300,$B74)+SUMIFS('ИТОГО Лэндинг'!$C$5:$C$300,'ИТОГО Лэндинг'!$B$5:$B$300,$B74)=0,"",SUMIFS('ИТОГО Торговля'!$C$5:$C$300,'ИТОГО Торговля'!$B$5:$B$300,$B74)+SUMIFS('ИТОГО Лэндинг'!$C$5:$C$300,'ИТОГО Лэндинг'!$B$5:$B$300,$B74)))</f>
        <v/>
      </c>
      <c r="D74" s="183">
        <f>IF(C74="","",E74/C74)</f>
        <v/>
      </c>
      <c r="E74" s="247">
        <f>IF(C74="","",SUMIFS('ИТОГО Торговля'!$E$5:$E$300,'ИТОГО Торговля'!$B$5:$B$300,$B74)+SUMIFS('ИТОГО Лэндинг'!$E$5:$E$300,'ИТОГО Лэндинг'!$B$5:$B$300,$B74))</f>
        <v/>
      </c>
      <c r="F74" s="246">
        <f>IF($B74="","",IF(SUMIFS('ИТОГО Торговля'!$F$5:$F$300,'ИТОГО Торговля'!$B$5:$B$300,$B74)+SUMIFS('ИТОГО Лэндинг'!$F$5:$F$300,'ИТОГО Лэндинг'!$B$5:$B$300,$B74)=0,"",SUMIFS('ИТОГО Торговля'!$F$5:$F$300,'ИТОГО Торговля'!$B$5:$B$300,$B74)+SUMIFS('ИТОГО Лэндинг'!$F$5:$F$300,'ИТОГО Лэндинг'!$B$5:$B$300,$B74)))</f>
        <v/>
      </c>
      <c r="G74" s="183">
        <f>IF(F74="","",H74/F74)</f>
        <v/>
      </c>
      <c r="H74" s="247">
        <f>IF(F74="","",SUMIFS('ИТОГО Торговля'!$H$5:$H$300,'ИТОГО Торговля'!$B$5:$B$300,$B74)+SUMIFS('ИТОГО Лэндинг'!$H$5:$H$300,'ИТОГО Лэндинг'!$B$5:$B$300,$B74))</f>
        <v/>
      </c>
      <c r="I74" s="246">
        <f>IF($B74="","",IF(AND(C74="",F74=""),"",ROUND(SUMIFS('ИТОГО Торговля'!$I$5:$I$300,'ИТОГО Торговля'!$B$5:$B$300,$B74)+SUMIFS('ИТОГО Лэндинг'!$I$5:$I$300,'ИТОГО Лэндинг'!$B$5:$B$300,$B74),8)))</f>
        <v/>
      </c>
      <c r="J74" s="247">
        <f>IF($B74="","",IF(AND(C74="",F74=""),"",ROUND(SUMIFS('ИТОГО Торговля'!$J$5:$J$300,'ИТОГО Торговля'!$B$5:$B$300,$B74)+SUMIFS('ИТОГО Лэндинг'!$J$5:$J$300,'ИТОГО Лэндинг'!$B$5:$B$300,$B74),8)))</f>
        <v/>
      </c>
      <c r="K74" s="246">
        <f>IF($B74="","",ROUND(SUMIFS('ИТОГО Торговля'!$K$5:$K$300,'ИТОГО Торговля'!$B$5:$B$300,$B74)+SUMIFS('ИТОГО Лэндинг'!$K$5:$K$300,'ИТОГО Лэндинг'!$B$5:$B$300,$B74),8))</f>
        <v/>
      </c>
      <c r="L74" s="183">
        <f>IF(K74="","",IF(SUMPRODUCT((Закрытые!$E$5:$E$300=$B74)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74/SUMPRODUCT((Закрытые!$E$5:$E$300=$B74)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4" s="183">
        <f>IF(OR(ROUND(N(C74)-N(F74),8)=0,1-N(Ввод!$E$17)/100&lt;=0),"",IF(N(C74)&gt;N(F74),(N(E74)-N(H74))/((N(C74)-N(F74))*(1-N(Ввод!$E$17)/100)),(N(H74)-N(E74))/((N(F74)-N(C74))*(1+N(Ввод!$E$17)/100))))</f>
        <v/>
      </c>
    </row>
    <row r="75" ht="22" customHeight="1">
      <c r="B75" s="315" t="n"/>
      <c r="C75" s="240">
        <f>IF($B75="","",IF(SUMIFS('ИТОГО Торговля'!$C$5:$C$300,'ИТОГО Торговля'!$B$5:$B$300,$B75)+SUMIFS('ИТОГО Лэндинг'!$C$5:$C$300,'ИТОГО Лэндинг'!$B$5:$B$300,$B75)=0,"",SUMIFS('ИТОГО Торговля'!$C$5:$C$300,'ИТОГО Торговля'!$B$5:$B$300,$B75)+SUMIFS('ИТОГО Лэндинг'!$C$5:$C$300,'ИТОГО Лэндинг'!$B$5:$B$300,$B75)))</f>
        <v/>
      </c>
      <c r="D75" s="177">
        <f>IF(C75="","",E75/C75)</f>
        <v/>
      </c>
      <c r="E75" s="241">
        <f>IF(C75="","",SUMIFS('ИТОГО Торговля'!$E$5:$E$300,'ИТОГО Торговля'!$B$5:$B$300,$B75)+SUMIFS('ИТОГО Лэндинг'!$E$5:$E$300,'ИТОГО Лэндинг'!$B$5:$B$300,$B75))</f>
        <v/>
      </c>
      <c r="F75" s="240">
        <f>IF($B75="","",IF(SUMIFS('ИТОГО Торговля'!$F$5:$F$300,'ИТОГО Торговля'!$B$5:$B$300,$B75)+SUMIFS('ИТОГО Лэндинг'!$F$5:$F$300,'ИТОГО Лэндинг'!$B$5:$B$300,$B75)=0,"",SUMIFS('ИТОГО Торговля'!$F$5:$F$300,'ИТОГО Торговля'!$B$5:$B$300,$B75)+SUMIFS('ИТОГО Лэндинг'!$F$5:$F$300,'ИТОГО Лэндинг'!$B$5:$B$300,$B75)))</f>
        <v/>
      </c>
      <c r="G75" s="177">
        <f>IF(F75="","",H75/F75)</f>
        <v/>
      </c>
      <c r="H75" s="241">
        <f>IF(F75="","",SUMIFS('ИТОГО Торговля'!$H$5:$H$300,'ИТОГО Торговля'!$B$5:$B$300,$B75)+SUMIFS('ИТОГО Лэндинг'!$H$5:$H$300,'ИТОГО Лэндинг'!$B$5:$B$300,$B75))</f>
        <v/>
      </c>
      <c r="I75" s="240">
        <f>IF($B75="","",IF(AND(C75="",F75=""),"",ROUND(SUMIFS('ИТОГО Торговля'!$I$5:$I$300,'ИТОГО Торговля'!$B$5:$B$300,$B75)+SUMIFS('ИТОГО Лэндинг'!$I$5:$I$300,'ИТОГО Лэндинг'!$B$5:$B$300,$B75),8)))</f>
        <v/>
      </c>
      <c r="J75" s="241">
        <f>IF($B75="","",IF(AND(C75="",F75=""),"",ROUND(SUMIFS('ИТОГО Торговля'!$J$5:$J$300,'ИТОГО Торговля'!$B$5:$B$300,$B75)+SUMIFS('ИТОГО Лэндинг'!$J$5:$J$300,'ИТОГО Лэндинг'!$B$5:$B$300,$B75),8)))</f>
        <v/>
      </c>
      <c r="K75" s="240">
        <f>IF($B75="","",ROUND(SUMIFS('ИТОГО Торговля'!$K$5:$K$300,'ИТОГО Торговля'!$B$5:$B$300,$B75)+SUMIFS('ИТОГО Лэндинг'!$K$5:$K$300,'ИТОГО Лэндинг'!$B$5:$B$300,$B75),8))</f>
        <v/>
      </c>
      <c r="L75" s="177">
        <f>IF(K75="","",IF(SUMPRODUCT((Закрытые!$E$5:$E$300=$B75)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75/SUMPRODUCT((Закрытые!$E$5:$E$300=$B75)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5" s="177">
        <f>IF(OR(ROUND(N(C75)-N(F75),8)=0,1-N(Ввод!$E$17)/100&lt;=0),"",IF(N(C75)&gt;N(F75),(N(E75)-N(H75))/((N(C75)-N(F75))*(1-N(Ввод!$E$17)/100)),(N(H75)-N(E75))/((N(F75)-N(C75))*(1+N(Ввод!$E$17)/100))))</f>
        <v/>
      </c>
    </row>
    <row r="76" ht="22" customHeight="1">
      <c r="B76" s="320" t="n"/>
      <c r="C76" s="246">
        <f>IF($B76="","",IF(SUMIFS('ИТОГО Торговля'!$C$5:$C$300,'ИТОГО Торговля'!$B$5:$B$300,$B76)+SUMIFS('ИТОГО Лэндинг'!$C$5:$C$300,'ИТОГО Лэндинг'!$B$5:$B$300,$B76)=0,"",SUMIFS('ИТОГО Торговля'!$C$5:$C$300,'ИТОГО Торговля'!$B$5:$B$300,$B76)+SUMIFS('ИТОГО Лэндинг'!$C$5:$C$300,'ИТОГО Лэндинг'!$B$5:$B$300,$B76)))</f>
        <v/>
      </c>
      <c r="D76" s="183">
        <f>IF(C76="","",E76/C76)</f>
        <v/>
      </c>
      <c r="E76" s="247">
        <f>IF(C76="","",SUMIFS('ИТОГО Торговля'!$E$5:$E$300,'ИТОГО Торговля'!$B$5:$B$300,$B76)+SUMIFS('ИТОГО Лэндинг'!$E$5:$E$300,'ИТОГО Лэндинг'!$B$5:$B$300,$B76))</f>
        <v/>
      </c>
      <c r="F76" s="246">
        <f>IF($B76="","",IF(SUMIFS('ИТОГО Торговля'!$F$5:$F$300,'ИТОГО Торговля'!$B$5:$B$300,$B76)+SUMIFS('ИТОГО Лэндинг'!$F$5:$F$300,'ИТОГО Лэндинг'!$B$5:$B$300,$B76)=0,"",SUMIFS('ИТОГО Торговля'!$F$5:$F$300,'ИТОГО Торговля'!$B$5:$B$300,$B76)+SUMIFS('ИТОГО Лэндинг'!$F$5:$F$300,'ИТОГО Лэндинг'!$B$5:$B$300,$B76)))</f>
        <v/>
      </c>
      <c r="G76" s="183">
        <f>IF(F76="","",H76/F76)</f>
        <v/>
      </c>
      <c r="H76" s="247">
        <f>IF(F76="","",SUMIFS('ИТОГО Торговля'!$H$5:$H$300,'ИТОГО Торговля'!$B$5:$B$300,$B76)+SUMIFS('ИТОГО Лэндинг'!$H$5:$H$300,'ИТОГО Лэндинг'!$B$5:$B$300,$B76))</f>
        <v/>
      </c>
      <c r="I76" s="246">
        <f>IF($B76="","",IF(AND(C76="",F76=""),"",ROUND(SUMIFS('ИТОГО Торговля'!$I$5:$I$300,'ИТОГО Торговля'!$B$5:$B$300,$B76)+SUMIFS('ИТОГО Лэндинг'!$I$5:$I$300,'ИТОГО Лэндинг'!$B$5:$B$300,$B76),8)))</f>
        <v/>
      </c>
      <c r="J76" s="247">
        <f>IF($B76="","",IF(AND(C76="",F76=""),"",ROUND(SUMIFS('ИТОГО Торговля'!$J$5:$J$300,'ИТОГО Торговля'!$B$5:$B$300,$B76)+SUMIFS('ИТОГО Лэндинг'!$J$5:$J$300,'ИТОГО Лэндинг'!$B$5:$B$300,$B76),8)))</f>
        <v/>
      </c>
      <c r="K76" s="246">
        <f>IF($B76="","",ROUND(SUMIFS('ИТОГО Торговля'!$K$5:$K$300,'ИТОГО Торговля'!$B$5:$B$300,$B76)+SUMIFS('ИТОГО Лэндинг'!$K$5:$K$300,'ИТОГО Лэндинг'!$B$5:$B$300,$B76),8))</f>
        <v/>
      </c>
      <c r="L76" s="183">
        <f>IF(K76="","",IF(SUMPRODUCT((Закрытые!$E$5:$E$300=$B76)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76/SUMPRODUCT((Закрытые!$E$5:$E$300=$B76)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6" s="183">
        <f>IF(OR(ROUND(N(C76)-N(F76),8)=0,1-N(Ввод!$E$17)/100&lt;=0),"",IF(N(C76)&gt;N(F76),(N(E76)-N(H76))/((N(C76)-N(F76))*(1-N(Ввод!$E$17)/100)),(N(H76)-N(E76))/((N(F76)-N(C76))*(1+N(Ввод!$E$17)/100))))</f>
        <v/>
      </c>
    </row>
    <row r="77" ht="22" customHeight="1">
      <c r="B77" s="315" t="n"/>
      <c r="C77" s="240">
        <f>IF($B77="","",IF(SUMIFS('ИТОГО Торговля'!$C$5:$C$300,'ИТОГО Торговля'!$B$5:$B$300,$B77)+SUMIFS('ИТОГО Лэндинг'!$C$5:$C$300,'ИТОГО Лэндинг'!$B$5:$B$300,$B77)=0,"",SUMIFS('ИТОГО Торговля'!$C$5:$C$300,'ИТОГО Торговля'!$B$5:$B$300,$B77)+SUMIFS('ИТОГО Лэндинг'!$C$5:$C$300,'ИТОГО Лэндинг'!$B$5:$B$300,$B77)))</f>
        <v/>
      </c>
      <c r="D77" s="177">
        <f>IF(C77="","",E77/C77)</f>
        <v/>
      </c>
      <c r="E77" s="241">
        <f>IF(C77="","",SUMIFS('ИТОГО Торговля'!$E$5:$E$300,'ИТОГО Торговля'!$B$5:$B$300,$B77)+SUMIFS('ИТОГО Лэндинг'!$E$5:$E$300,'ИТОГО Лэндинг'!$B$5:$B$300,$B77))</f>
        <v/>
      </c>
      <c r="F77" s="240">
        <f>IF($B77="","",IF(SUMIFS('ИТОГО Торговля'!$F$5:$F$300,'ИТОГО Торговля'!$B$5:$B$300,$B77)+SUMIFS('ИТОГО Лэндинг'!$F$5:$F$300,'ИТОГО Лэндинг'!$B$5:$B$300,$B77)=0,"",SUMIFS('ИТОГО Торговля'!$F$5:$F$300,'ИТОГО Торговля'!$B$5:$B$300,$B77)+SUMIFS('ИТОГО Лэндинг'!$F$5:$F$300,'ИТОГО Лэндинг'!$B$5:$B$300,$B77)))</f>
        <v/>
      </c>
      <c r="G77" s="177">
        <f>IF(F77="","",H77/F77)</f>
        <v/>
      </c>
      <c r="H77" s="241">
        <f>IF(F77="","",SUMIFS('ИТОГО Торговля'!$H$5:$H$300,'ИТОГО Торговля'!$B$5:$B$300,$B77)+SUMIFS('ИТОГО Лэндинг'!$H$5:$H$300,'ИТОГО Лэндинг'!$B$5:$B$300,$B77))</f>
        <v/>
      </c>
      <c r="I77" s="240">
        <f>IF($B77="","",IF(AND(C77="",F77=""),"",ROUND(SUMIFS('ИТОГО Торговля'!$I$5:$I$300,'ИТОГО Торговля'!$B$5:$B$300,$B77)+SUMIFS('ИТОГО Лэндинг'!$I$5:$I$300,'ИТОГО Лэндинг'!$B$5:$B$300,$B77),8)))</f>
        <v/>
      </c>
      <c r="J77" s="241">
        <f>IF($B77="","",IF(AND(C77="",F77=""),"",ROUND(SUMIFS('ИТОГО Торговля'!$J$5:$J$300,'ИТОГО Торговля'!$B$5:$B$300,$B77)+SUMIFS('ИТОГО Лэндинг'!$J$5:$J$300,'ИТОГО Лэндинг'!$B$5:$B$300,$B77),8)))</f>
        <v/>
      </c>
      <c r="K77" s="240">
        <f>IF($B77="","",ROUND(SUMIFS('ИТОГО Торговля'!$K$5:$K$300,'ИТОГО Торговля'!$B$5:$B$300,$B77)+SUMIFS('ИТОГО Лэндинг'!$K$5:$K$300,'ИТОГО Лэндинг'!$B$5:$B$300,$B77),8))</f>
        <v/>
      </c>
      <c r="L77" s="177">
        <f>IF(K77="","",IF(SUMPRODUCT((Закрытые!$E$5:$E$300=$B77)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77/SUMPRODUCT((Закрытые!$E$5:$E$300=$B77)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7" s="177">
        <f>IF(OR(ROUND(N(C77)-N(F77),8)=0,1-N(Ввод!$E$17)/100&lt;=0),"",IF(N(C77)&gt;N(F77),(N(E77)-N(H77))/((N(C77)-N(F77))*(1-N(Ввод!$E$17)/100)),(N(H77)-N(E77))/((N(F77)-N(C77))*(1+N(Ввод!$E$17)/100))))</f>
        <v/>
      </c>
    </row>
    <row r="78" ht="22" customHeight="1">
      <c r="B78" s="320" t="n"/>
      <c r="C78" s="246">
        <f>IF($B78="","",IF(SUMIFS('ИТОГО Торговля'!$C$5:$C$300,'ИТОГО Торговля'!$B$5:$B$300,$B78)+SUMIFS('ИТОГО Лэндинг'!$C$5:$C$300,'ИТОГО Лэндинг'!$B$5:$B$300,$B78)=0,"",SUMIFS('ИТОГО Торговля'!$C$5:$C$300,'ИТОГО Торговля'!$B$5:$B$300,$B78)+SUMIFS('ИТОГО Лэндинг'!$C$5:$C$300,'ИТОГО Лэндинг'!$B$5:$B$300,$B78)))</f>
        <v/>
      </c>
      <c r="D78" s="183">
        <f>IF(C78="","",E78/C78)</f>
        <v/>
      </c>
      <c r="E78" s="247">
        <f>IF(C78="","",SUMIFS('ИТОГО Торговля'!$E$5:$E$300,'ИТОГО Торговля'!$B$5:$B$300,$B78)+SUMIFS('ИТОГО Лэндинг'!$E$5:$E$300,'ИТОГО Лэндинг'!$B$5:$B$300,$B78))</f>
        <v/>
      </c>
      <c r="F78" s="246">
        <f>IF($B78="","",IF(SUMIFS('ИТОГО Торговля'!$F$5:$F$300,'ИТОГО Торговля'!$B$5:$B$300,$B78)+SUMIFS('ИТОГО Лэндинг'!$F$5:$F$300,'ИТОГО Лэндинг'!$B$5:$B$300,$B78)=0,"",SUMIFS('ИТОГО Торговля'!$F$5:$F$300,'ИТОГО Торговля'!$B$5:$B$300,$B78)+SUMIFS('ИТОГО Лэндинг'!$F$5:$F$300,'ИТОГО Лэндинг'!$B$5:$B$300,$B78)))</f>
        <v/>
      </c>
      <c r="G78" s="183">
        <f>IF(F78="","",H78/F78)</f>
        <v/>
      </c>
      <c r="H78" s="247">
        <f>IF(F78="","",SUMIFS('ИТОГО Торговля'!$H$5:$H$300,'ИТОГО Торговля'!$B$5:$B$300,$B78)+SUMIFS('ИТОГО Лэндинг'!$H$5:$H$300,'ИТОГО Лэндинг'!$B$5:$B$300,$B78))</f>
        <v/>
      </c>
      <c r="I78" s="246">
        <f>IF($B78="","",IF(AND(C78="",F78=""),"",ROUND(SUMIFS('ИТОГО Торговля'!$I$5:$I$300,'ИТОГО Торговля'!$B$5:$B$300,$B78)+SUMIFS('ИТОГО Лэндинг'!$I$5:$I$300,'ИТОГО Лэндинг'!$B$5:$B$300,$B78),8)))</f>
        <v/>
      </c>
      <c r="J78" s="247">
        <f>IF($B78="","",IF(AND(C78="",F78=""),"",ROUND(SUMIFS('ИТОГО Торговля'!$J$5:$J$300,'ИТОГО Торговля'!$B$5:$B$300,$B78)+SUMIFS('ИТОГО Лэндинг'!$J$5:$J$300,'ИТОГО Лэндинг'!$B$5:$B$300,$B78),8)))</f>
        <v/>
      </c>
      <c r="K78" s="246">
        <f>IF($B78="","",ROUND(SUMIFS('ИТОГО Торговля'!$K$5:$K$300,'ИТОГО Торговля'!$B$5:$B$300,$B78)+SUMIFS('ИТОГО Лэндинг'!$K$5:$K$300,'ИТОГО Лэндинг'!$B$5:$B$300,$B78),8))</f>
        <v/>
      </c>
      <c r="L78" s="183">
        <f>IF(K78="","",IF(SUMPRODUCT((Закрытые!$E$5:$E$300=$B78)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78/SUMPRODUCT((Закрытые!$E$5:$E$300=$B78)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8" s="183">
        <f>IF(OR(ROUND(N(C78)-N(F78),8)=0,1-N(Ввод!$E$17)/100&lt;=0),"",IF(N(C78)&gt;N(F78),(N(E78)-N(H78))/((N(C78)-N(F78))*(1-N(Ввод!$E$17)/100)),(N(H78)-N(E78))/((N(F78)-N(C78))*(1+N(Ввод!$E$17)/100))))</f>
        <v/>
      </c>
    </row>
    <row r="79" ht="22" customHeight="1">
      <c r="B79" s="315" t="n"/>
      <c r="C79" s="240">
        <f>IF($B79="","",IF(SUMIFS('ИТОГО Торговля'!$C$5:$C$300,'ИТОГО Торговля'!$B$5:$B$300,$B79)+SUMIFS('ИТОГО Лэндинг'!$C$5:$C$300,'ИТОГО Лэндинг'!$B$5:$B$300,$B79)=0,"",SUMIFS('ИТОГО Торговля'!$C$5:$C$300,'ИТОГО Торговля'!$B$5:$B$300,$B79)+SUMIFS('ИТОГО Лэндинг'!$C$5:$C$300,'ИТОГО Лэндинг'!$B$5:$B$300,$B79)))</f>
        <v/>
      </c>
      <c r="D79" s="177">
        <f>IF(C79="","",E79/C79)</f>
        <v/>
      </c>
      <c r="E79" s="241">
        <f>IF(C79="","",SUMIFS('ИТОГО Торговля'!$E$5:$E$300,'ИТОГО Торговля'!$B$5:$B$300,$B79)+SUMIFS('ИТОГО Лэндинг'!$E$5:$E$300,'ИТОГО Лэндинг'!$B$5:$B$300,$B79))</f>
        <v/>
      </c>
      <c r="F79" s="240">
        <f>IF($B79="","",IF(SUMIFS('ИТОГО Торговля'!$F$5:$F$300,'ИТОГО Торговля'!$B$5:$B$300,$B79)+SUMIFS('ИТОГО Лэндинг'!$F$5:$F$300,'ИТОГО Лэндинг'!$B$5:$B$300,$B79)=0,"",SUMIFS('ИТОГО Торговля'!$F$5:$F$300,'ИТОГО Торговля'!$B$5:$B$300,$B79)+SUMIFS('ИТОГО Лэндинг'!$F$5:$F$300,'ИТОГО Лэндинг'!$B$5:$B$300,$B79)))</f>
        <v/>
      </c>
      <c r="G79" s="177">
        <f>IF(F79="","",H79/F79)</f>
        <v/>
      </c>
      <c r="H79" s="241">
        <f>IF(F79="","",SUMIFS('ИТОГО Торговля'!$H$5:$H$300,'ИТОГО Торговля'!$B$5:$B$300,$B79)+SUMIFS('ИТОГО Лэндинг'!$H$5:$H$300,'ИТОГО Лэндинг'!$B$5:$B$300,$B79))</f>
        <v/>
      </c>
      <c r="I79" s="240">
        <f>IF($B79="","",IF(AND(C79="",F79=""),"",ROUND(SUMIFS('ИТОГО Торговля'!$I$5:$I$300,'ИТОГО Торговля'!$B$5:$B$300,$B79)+SUMIFS('ИТОГО Лэндинг'!$I$5:$I$300,'ИТОГО Лэндинг'!$B$5:$B$300,$B79),8)))</f>
        <v/>
      </c>
      <c r="J79" s="241">
        <f>IF($B79="","",IF(AND(C79="",F79=""),"",ROUND(SUMIFS('ИТОГО Торговля'!$J$5:$J$300,'ИТОГО Торговля'!$B$5:$B$300,$B79)+SUMIFS('ИТОГО Лэндинг'!$J$5:$J$300,'ИТОГО Лэндинг'!$B$5:$B$300,$B79),8)))</f>
        <v/>
      </c>
      <c r="K79" s="240">
        <f>IF($B79="","",ROUND(SUMIFS('ИТОГО Торговля'!$K$5:$K$300,'ИТОГО Торговля'!$B$5:$B$300,$B79)+SUMIFS('ИТОГО Лэндинг'!$K$5:$K$300,'ИТОГО Лэндинг'!$B$5:$B$300,$B79),8))</f>
        <v/>
      </c>
      <c r="L79" s="177">
        <f>IF(K79="","",IF(SUMPRODUCT((Закрытые!$E$5:$E$300=$B79)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79/SUMPRODUCT((Закрытые!$E$5:$E$300=$B79)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9" s="177">
        <f>IF(OR(ROUND(N(C79)-N(F79),8)=0,1-N(Ввод!$E$17)/100&lt;=0),"",IF(N(C79)&gt;N(F79),(N(E79)-N(H79))/((N(C79)-N(F79))*(1-N(Ввод!$E$17)/100)),(N(H79)-N(E79))/((N(F79)-N(C79))*(1+N(Ввод!$E$17)/100))))</f>
        <v/>
      </c>
    </row>
    <row r="80" ht="22" customHeight="1">
      <c r="B80" s="320" t="n"/>
      <c r="C80" s="246">
        <f>IF($B80="","",IF(SUMIFS('ИТОГО Торговля'!$C$5:$C$300,'ИТОГО Торговля'!$B$5:$B$300,$B80)+SUMIFS('ИТОГО Лэндинг'!$C$5:$C$300,'ИТОГО Лэндинг'!$B$5:$B$300,$B80)=0,"",SUMIFS('ИТОГО Торговля'!$C$5:$C$300,'ИТОГО Торговля'!$B$5:$B$300,$B80)+SUMIFS('ИТОГО Лэндинг'!$C$5:$C$300,'ИТОГО Лэндинг'!$B$5:$B$300,$B80)))</f>
        <v/>
      </c>
      <c r="D80" s="183">
        <f>IF(C80="","",E80/C80)</f>
        <v/>
      </c>
      <c r="E80" s="247">
        <f>IF(C80="","",SUMIFS('ИТОГО Торговля'!$E$5:$E$300,'ИТОГО Торговля'!$B$5:$B$300,$B80)+SUMIFS('ИТОГО Лэндинг'!$E$5:$E$300,'ИТОГО Лэндинг'!$B$5:$B$300,$B80))</f>
        <v/>
      </c>
      <c r="F80" s="246">
        <f>IF($B80="","",IF(SUMIFS('ИТОГО Торговля'!$F$5:$F$300,'ИТОГО Торговля'!$B$5:$B$300,$B80)+SUMIFS('ИТОГО Лэндинг'!$F$5:$F$300,'ИТОГО Лэндинг'!$B$5:$B$300,$B80)=0,"",SUMIFS('ИТОГО Торговля'!$F$5:$F$300,'ИТОГО Торговля'!$B$5:$B$300,$B80)+SUMIFS('ИТОГО Лэндинг'!$F$5:$F$300,'ИТОГО Лэндинг'!$B$5:$B$300,$B80)))</f>
        <v/>
      </c>
      <c r="G80" s="183">
        <f>IF(F80="","",H80/F80)</f>
        <v/>
      </c>
      <c r="H80" s="247">
        <f>IF(F80="","",SUMIFS('ИТОГО Торговля'!$H$5:$H$300,'ИТОГО Торговля'!$B$5:$B$300,$B80)+SUMIFS('ИТОГО Лэндинг'!$H$5:$H$300,'ИТОГО Лэндинг'!$B$5:$B$300,$B80))</f>
        <v/>
      </c>
      <c r="I80" s="246">
        <f>IF($B80="","",IF(AND(C80="",F80=""),"",ROUND(SUMIFS('ИТОГО Торговля'!$I$5:$I$300,'ИТОГО Торговля'!$B$5:$B$300,$B80)+SUMIFS('ИТОГО Лэндинг'!$I$5:$I$300,'ИТОГО Лэндинг'!$B$5:$B$300,$B80),8)))</f>
        <v/>
      </c>
      <c r="J80" s="247">
        <f>IF($B80="","",IF(AND(C80="",F80=""),"",ROUND(SUMIFS('ИТОГО Торговля'!$J$5:$J$300,'ИТОГО Торговля'!$B$5:$B$300,$B80)+SUMIFS('ИТОГО Лэндинг'!$J$5:$J$300,'ИТОГО Лэндинг'!$B$5:$B$300,$B80),8)))</f>
        <v/>
      </c>
      <c r="K80" s="246">
        <f>IF($B80="","",ROUND(SUMIFS('ИТОГО Торговля'!$K$5:$K$300,'ИТОГО Торговля'!$B$5:$B$300,$B80)+SUMIFS('ИТОГО Лэндинг'!$K$5:$K$300,'ИТОГО Лэндинг'!$B$5:$B$300,$B80),8))</f>
        <v/>
      </c>
      <c r="L80" s="183">
        <f>IF(K80="","",IF(SUMPRODUCT((Закрытые!$E$5:$E$300=$B80)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80/SUMPRODUCT((Закрытые!$E$5:$E$300=$B80)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0" s="183">
        <f>IF(OR(ROUND(N(C80)-N(F80),8)=0,1-N(Ввод!$E$17)/100&lt;=0),"",IF(N(C80)&gt;N(F80),(N(E80)-N(H80))/((N(C80)-N(F80))*(1-N(Ввод!$E$17)/100)),(N(H80)-N(E80))/((N(F80)-N(C80))*(1+N(Ввод!$E$17)/100))))</f>
        <v/>
      </c>
    </row>
    <row r="81" ht="22" customHeight="1">
      <c r="B81" s="315" t="n"/>
      <c r="C81" s="240">
        <f>IF($B81="","",IF(SUMIFS('ИТОГО Торговля'!$C$5:$C$300,'ИТОГО Торговля'!$B$5:$B$300,$B81)+SUMIFS('ИТОГО Лэндинг'!$C$5:$C$300,'ИТОГО Лэндинг'!$B$5:$B$300,$B81)=0,"",SUMIFS('ИТОГО Торговля'!$C$5:$C$300,'ИТОГО Торговля'!$B$5:$B$300,$B81)+SUMIFS('ИТОГО Лэндинг'!$C$5:$C$300,'ИТОГО Лэндинг'!$B$5:$B$300,$B81)))</f>
        <v/>
      </c>
      <c r="D81" s="177">
        <f>IF(C81="","",E81/C81)</f>
        <v/>
      </c>
      <c r="E81" s="241">
        <f>IF(C81="","",SUMIFS('ИТОГО Торговля'!$E$5:$E$300,'ИТОГО Торговля'!$B$5:$B$300,$B81)+SUMIFS('ИТОГО Лэндинг'!$E$5:$E$300,'ИТОГО Лэндинг'!$B$5:$B$300,$B81))</f>
        <v/>
      </c>
      <c r="F81" s="240">
        <f>IF($B81="","",IF(SUMIFS('ИТОГО Торговля'!$F$5:$F$300,'ИТОГО Торговля'!$B$5:$B$300,$B81)+SUMIFS('ИТОГО Лэндинг'!$F$5:$F$300,'ИТОГО Лэндинг'!$B$5:$B$300,$B81)=0,"",SUMIFS('ИТОГО Торговля'!$F$5:$F$300,'ИТОГО Торговля'!$B$5:$B$300,$B81)+SUMIFS('ИТОГО Лэндинг'!$F$5:$F$300,'ИТОГО Лэндинг'!$B$5:$B$300,$B81)))</f>
        <v/>
      </c>
      <c r="G81" s="177">
        <f>IF(F81="","",H81/F81)</f>
        <v/>
      </c>
      <c r="H81" s="241">
        <f>IF(F81="","",SUMIFS('ИТОГО Торговля'!$H$5:$H$300,'ИТОГО Торговля'!$B$5:$B$300,$B81)+SUMIFS('ИТОГО Лэндинг'!$H$5:$H$300,'ИТОГО Лэндинг'!$B$5:$B$300,$B81))</f>
        <v/>
      </c>
      <c r="I81" s="240">
        <f>IF($B81="","",IF(AND(C81="",F81=""),"",ROUND(SUMIFS('ИТОГО Торговля'!$I$5:$I$300,'ИТОГО Торговля'!$B$5:$B$300,$B81)+SUMIFS('ИТОГО Лэндинг'!$I$5:$I$300,'ИТОГО Лэндинг'!$B$5:$B$300,$B81),8)))</f>
        <v/>
      </c>
      <c r="J81" s="241">
        <f>IF($B81="","",IF(AND(C81="",F81=""),"",ROUND(SUMIFS('ИТОГО Торговля'!$J$5:$J$300,'ИТОГО Торговля'!$B$5:$B$300,$B81)+SUMIFS('ИТОГО Лэндинг'!$J$5:$J$300,'ИТОГО Лэндинг'!$B$5:$B$300,$B81),8)))</f>
        <v/>
      </c>
      <c r="K81" s="240">
        <f>IF($B81="","",ROUND(SUMIFS('ИТОГО Торговля'!$K$5:$K$300,'ИТОГО Торговля'!$B$5:$B$300,$B81)+SUMIFS('ИТОГО Лэндинг'!$K$5:$K$300,'ИТОГО Лэндинг'!$B$5:$B$300,$B81),8))</f>
        <v/>
      </c>
      <c r="L81" s="177">
        <f>IF(K81="","",IF(SUMPRODUCT((Закрытые!$E$5:$E$300=$B81)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81/SUMPRODUCT((Закрытые!$E$5:$E$300=$B81)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1" s="177">
        <f>IF(OR(ROUND(N(C81)-N(F81),8)=0,1-N(Ввод!$E$17)/100&lt;=0),"",IF(N(C81)&gt;N(F81),(N(E81)-N(H81))/((N(C81)-N(F81))*(1-N(Ввод!$E$17)/100)),(N(H81)-N(E81))/((N(F81)-N(C81))*(1+N(Ввод!$E$17)/100))))</f>
        <v/>
      </c>
    </row>
    <row r="82" ht="22" customHeight="1">
      <c r="B82" s="320" t="n"/>
      <c r="C82" s="246">
        <f>IF($B82="","",IF(SUMIFS('ИТОГО Торговля'!$C$5:$C$300,'ИТОГО Торговля'!$B$5:$B$300,$B82)+SUMIFS('ИТОГО Лэндинг'!$C$5:$C$300,'ИТОГО Лэндинг'!$B$5:$B$300,$B82)=0,"",SUMIFS('ИТОГО Торговля'!$C$5:$C$300,'ИТОГО Торговля'!$B$5:$B$300,$B82)+SUMIFS('ИТОГО Лэндинг'!$C$5:$C$300,'ИТОГО Лэндинг'!$B$5:$B$300,$B82)))</f>
        <v/>
      </c>
      <c r="D82" s="183">
        <f>IF(C82="","",E82/C82)</f>
        <v/>
      </c>
      <c r="E82" s="247">
        <f>IF(C82="","",SUMIFS('ИТОГО Торговля'!$E$5:$E$300,'ИТОГО Торговля'!$B$5:$B$300,$B82)+SUMIFS('ИТОГО Лэндинг'!$E$5:$E$300,'ИТОГО Лэндинг'!$B$5:$B$300,$B82))</f>
        <v/>
      </c>
      <c r="F82" s="246">
        <f>IF($B82="","",IF(SUMIFS('ИТОГО Торговля'!$F$5:$F$300,'ИТОГО Торговля'!$B$5:$B$300,$B82)+SUMIFS('ИТОГО Лэндинг'!$F$5:$F$300,'ИТОГО Лэндинг'!$B$5:$B$300,$B82)=0,"",SUMIFS('ИТОГО Торговля'!$F$5:$F$300,'ИТОГО Торговля'!$B$5:$B$300,$B82)+SUMIFS('ИТОГО Лэндинг'!$F$5:$F$300,'ИТОГО Лэндинг'!$B$5:$B$300,$B82)))</f>
        <v/>
      </c>
      <c r="G82" s="183">
        <f>IF(F82="","",H82/F82)</f>
        <v/>
      </c>
      <c r="H82" s="247">
        <f>IF(F82="","",SUMIFS('ИТОГО Торговля'!$H$5:$H$300,'ИТОГО Торговля'!$B$5:$B$300,$B82)+SUMIFS('ИТОГО Лэндинг'!$H$5:$H$300,'ИТОГО Лэндинг'!$B$5:$B$300,$B82))</f>
        <v/>
      </c>
      <c r="I82" s="246">
        <f>IF($B82="","",IF(AND(C82="",F82=""),"",ROUND(SUMIFS('ИТОГО Торговля'!$I$5:$I$300,'ИТОГО Торговля'!$B$5:$B$300,$B82)+SUMIFS('ИТОГО Лэндинг'!$I$5:$I$300,'ИТОГО Лэндинг'!$B$5:$B$300,$B82),8)))</f>
        <v/>
      </c>
      <c r="J82" s="247">
        <f>IF($B82="","",IF(AND(C82="",F82=""),"",ROUND(SUMIFS('ИТОГО Торговля'!$J$5:$J$300,'ИТОГО Торговля'!$B$5:$B$300,$B82)+SUMIFS('ИТОГО Лэндинг'!$J$5:$J$300,'ИТОГО Лэндинг'!$B$5:$B$300,$B82),8)))</f>
        <v/>
      </c>
      <c r="K82" s="246">
        <f>IF($B82="","",ROUND(SUMIFS('ИТОГО Торговля'!$K$5:$K$300,'ИТОГО Торговля'!$B$5:$B$300,$B82)+SUMIFS('ИТОГО Лэндинг'!$K$5:$K$300,'ИТОГО Лэндинг'!$B$5:$B$300,$B82),8))</f>
        <v/>
      </c>
      <c r="L82" s="183">
        <f>IF(K82="","",IF(SUMPRODUCT((Закрытые!$E$5:$E$300=$B82)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82/SUMPRODUCT((Закрытые!$E$5:$E$300=$B82)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2" s="183">
        <f>IF(OR(ROUND(N(C82)-N(F82),8)=0,1-N(Ввод!$E$17)/100&lt;=0),"",IF(N(C82)&gt;N(F82),(N(E82)-N(H82))/((N(C82)-N(F82))*(1-N(Ввод!$E$17)/100)),(N(H82)-N(E82))/((N(F82)-N(C82))*(1+N(Ввод!$E$17)/100))))</f>
        <v/>
      </c>
    </row>
    <row r="83" ht="22" customHeight="1">
      <c r="B83" s="315" t="n"/>
      <c r="C83" s="240">
        <f>IF($B83="","",IF(SUMIFS('ИТОГО Торговля'!$C$5:$C$300,'ИТОГО Торговля'!$B$5:$B$300,$B83)+SUMIFS('ИТОГО Лэндинг'!$C$5:$C$300,'ИТОГО Лэндинг'!$B$5:$B$300,$B83)=0,"",SUMIFS('ИТОГО Торговля'!$C$5:$C$300,'ИТОГО Торговля'!$B$5:$B$300,$B83)+SUMIFS('ИТОГО Лэндинг'!$C$5:$C$300,'ИТОГО Лэндинг'!$B$5:$B$300,$B83)))</f>
        <v/>
      </c>
      <c r="D83" s="177">
        <f>IF(C83="","",E83/C83)</f>
        <v/>
      </c>
      <c r="E83" s="241">
        <f>IF(C83="","",SUMIFS('ИТОГО Торговля'!$E$5:$E$300,'ИТОГО Торговля'!$B$5:$B$300,$B83)+SUMIFS('ИТОГО Лэндинг'!$E$5:$E$300,'ИТОГО Лэндинг'!$B$5:$B$300,$B83))</f>
        <v/>
      </c>
      <c r="F83" s="240">
        <f>IF($B83="","",IF(SUMIFS('ИТОГО Торговля'!$F$5:$F$300,'ИТОГО Торговля'!$B$5:$B$300,$B83)+SUMIFS('ИТОГО Лэндинг'!$F$5:$F$300,'ИТОГО Лэндинг'!$B$5:$B$300,$B83)=0,"",SUMIFS('ИТОГО Торговля'!$F$5:$F$300,'ИТОГО Торговля'!$B$5:$B$300,$B83)+SUMIFS('ИТОГО Лэндинг'!$F$5:$F$300,'ИТОГО Лэндинг'!$B$5:$B$300,$B83)))</f>
        <v/>
      </c>
      <c r="G83" s="177">
        <f>IF(F83="","",H83/F83)</f>
        <v/>
      </c>
      <c r="H83" s="241">
        <f>IF(F83="","",SUMIFS('ИТОГО Торговля'!$H$5:$H$300,'ИТОГО Торговля'!$B$5:$B$300,$B83)+SUMIFS('ИТОГО Лэндинг'!$H$5:$H$300,'ИТОГО Лэндинг'!$B$5:$B$300,$B83))</f>
        <v/>
      </c>
      <c r="I83" s="240">
        <f>IF($B83="","",IF(AND(C83="",F83=""),"",ROUND(SUMIFS('ИТОГО Торговля'!$I$5:$I$300,'ИТОГО Торговля'!$B$5:$B$300,$B83)+SUMIFS('ИТОГО Лэндинг'!$I$5:$I$300,'ИТОГО Лэндинг'!$B$5:$B$300,$B83),8)))</f>
        <v/>
      </c>
      <c r="J83" s="241">
        <f>IF($B83="","",IF(AND(C83="",F83=""),"",ROUND(SUMIFS('ИТОГО Торговля'!$J$5:$J$300,'ИТОГО Торговля'!$B$5:$B$300,$B83)+SUMIFS('ИТОГО Лэндинг'!$J$5:$J$300,'ИТОГО Лэндинг'!$B$5:$B$300,$B83),8)))</f>
        <v/>
      </c>
      <c r="K83" s="240">
        <f>IF($B83="","",ROUND(SUMIFS('ИТОГО Торговля'!$K$5:$K$300,'ИТОГО Торговля'!$B$5:$B$300,$B83)+SUMIFS('ИТОГО Лэндинг'!$K$5:$K$300,'ИТОГО Лэндинг'!$B$5:$B$300,$B83),8))</f>
        <v/>
      </c>
      <c r="L83" s="177">
        <f>IF(K83="","",IF(SUMPRODUCT((Закрытые!$E$5:$E$300=$B83)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83/SUMPRODUCT((Закрытые!$E$5:$E$300=$B83)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3" s="177">
        <f>IF(OR(ROUND(N(C83)-N(F83),8)=0,1-N(Ввод!$E$17)/100&lt;=0),"",IF(N(C83)&gt;N(F83),(N(E83)-N(H83))/((N(C83)-N(F83))*(1-N(Ввод!$E$17)/100)),(N(H83)-N(E83))/((N(F83)-N(C83))*(1+N(Ввод!$E$17)/100))))</f>
        <v/>
      </c>
    </row>
    <row r="84" ht="22" customHeight="1">
      <c r="B84" s="320" t="n"/>
      <c r="C84" s="246">
        <f>IF($B84="","",IF(SUMIFS('ИТОГО Торговля'!$C$5:$C$300,'ИТОГО Торговля'!$B$5:$B$300,$B84)+SUMIFS('ИТОГО Лэндинг'!$C$5:$C$300,'ИТОГО Лэндинг'!$B$5:$B$300,$B84)=0,"",SUMIFS('ИТОГО Торговля'!$C$5:$C$300,'ИТОГО Торговля'!$B$5:$B$300,$B84)+SUMIFS('ИТОГО Лэндинг'!$C$5:$C$300,'ИТОГО Лэндинг'!$B$5:$B$300,$B84)))</f>
        <v/>
      </c>
      <c r="D84" s="183">
        <f>IF(C84="","",E84/C84)</f>
        <v/>
      </c>
      <c r="E84" s="247">
        <f>IF(C84="","",SUMIFS('ИТОГО Торговля'!$E$5:$E$300,'ИТОГО Торговля'!$B$5:$B$300,$B84)+SUMIFS('ИТОГО Лэндинг'!$E$5:$E$300,'ИТОГО Лэндинг'!$B$5:$B$300,$B84))</f>
        <v/>
      </c>
      <c r="F84" s="246">
        <f>IF($B84="","",IF(SUMIFS('ИТОГО Торговля'!$F$5:$F$300,'ИТОГО Торговля'!$B$5:$B$300,$B84)+SUMIFS('ИТОГО Лэндинг'!$F$5:$F$300,'ИТОГО Лэндинг'!$B$5:$B$300,$B84)=0,"",SUMIFS('ИТОГО Торговля'!$F$5:$F$300,'ИТОГО Торговля'!$B$5:$B$300,$B84)+SUMIFS('ИТОГО Лэндинг'!$F$5:$F$300,'ИТОГО Лэндинг'!$B$5:$B$300,$B84)))</f>
        <v/>
      </c>
      <c r="G84" s="183">
        <f>IF(F84="","",H84/F84)</f>
        <v/>
      </c>
      <c r="H84" s="247">
        <f>IF(F84="","",SUMIFS('ИТОГО Торговля'!$H$5:$H$300,'ИТОГО Торговля'!$B$5:$B$300,$B84)+SUMIFS('ИТОГО Лэндинг'!$H$5:$H$300,'ИТОГО Лэндинг'!$B$5:$B$300,$B84))</f>
        <v/>
      </c>
      <c r="I84" s="246">
        <f>IF($B84="","",IF(AND(C84="",F84=""),"",ROUND(SUMIFS('ИТОГО Торговля'!$I$5:$I$300,'ИТОГО Торговля'!$B$5:$B$300,$B84)+SUMIFS('ИТОГО Лэндинг'!$I$5:$I$300,'ИТОГО Лэндинг'!$B$5:$B$300,$B84),8)))</f>
        <v/>
      </c>
      <c r="J84" s="247">
        <f>IF($B84="","",IF(AND(C84="",F84=""),"",ROUND(SUMIFS('ИТОГО Торговля'!$J$5:$J$300,'ИТОГО Торговля'!$B$5:$B$300,$B84)+SUMIFS('ИТОГО Лэндинг'!$J$5:$J$300,'ИТОГО Лэндинг'!$B$5:$B$300,$B84),8)))</f>
        <v/>
      </c>
      <c r="K84" s="246">
        <f>IF($B84="","",ROUND(SUMIFS('ИТОГО Торговля'!$K$5:$K$300,'ИТОГО Торговля'!$B$5:$B$300,$B84)+SUMIFS('ИТОГО Лэндинг'!$K$5:$K$300,'ИТОГО Лэндинг'!$B$5:$B$300,$B84),8))</f>
        <v/>
      </c>
      <c r="L84" s="183">
        <f>IF(K84="","",IF(SUMPRODUCT((Закрытые!$E$5:$E$300=$B84)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84/SUMPRODUCT((Закрытые!$E$5:$E$300=$B84)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4" s="183">
        <f>IF(OR(ROUND(N(C84)-N(F84),8)=0,1-N(Ввод!$E$17)/100&lt;=0),"",IF(N(C84)&gt;N(F84),(N(E84)-N(H84))/((N(C84)-N(F84))*(1-N(Ввод!$E$17)/100)),(N(H84)-N(E84))/((N(F84)-N(C84))*(1+N(Ввод!$E$17)/100))))</f>
        <v/>
      </c>
    </row>
    <row r="85" ht="22" customHeight="1">
      <c r="B85" s="315" t="n"/>
      <c r="C85" s="240">
        <f>IF($B85="","",IF(SUMIFS('ИТОГО Торговля'!$C$5:$C$300,'ИТОГО Торговля'!$B$5:$B$300,$B85)+SUMIFS('ИТОГО Лэндинг'!$C$5:$C$300,'ИТОГО Лэндинг'!$B$5:$B$300,$B85)=0,"",SUMIFS('ИТОГО Торговля'!$C$5:$C$300,'ИТОГО Торговля'!$B$5:$B$300,$B85)+SUMIFS('ИТОГО Лэндинг'!$C$5:$C$300,'ИТОГО Лэндинг'!$B$5:$B$300,$B85)))</f>
        <v/>
      </c>
      <c r="D85" s="177">
        <f>IF(C85="","",E85/C85)</f>
        <v/>
      </c>
      <c r="E85" s="241">
        <f>IF(C85="","",SUMIFS('ИТОГО Торговля'!$E$5:$E$300,'ИТОГО Торговля'!$B$5:$B$300,$B85)+SUMIFS('ИТОГО Лэндинг'!$E$5:$E$300,'ИТОГО Лэндинг'!$B$5:$B$300,$B85))</f>
        <v/>
      </c>
      <c r="F85" s="240">
        <f>IF($B85="","",IF(SUMIFS('ИТОГО Торговля'!$F$5:$F$300,'ИТОГО Торговля'!$B$5:$B$300,$B85)+SUMIFS('ИТОГО Лэндинг'!$F$5:$F$300,'ИТОГО Лэндинг'!$B$5:$B$300,$B85)=0,"",SUMIFS('ИТОГО Торговля'!$F$5:$F$300,'ИТОГО Торговля'!$B$5:$B$300,$B85)+SUMIFS('ИТОГО Лэндинг'!$F$5:$F$300,'ИТОГО Лэндинг'!$B$5:$B$300,$B85)))</f>
        <v/>
      </c>
      <c r="G85" s="177">
        <f>IF(F85="","",H85/F85)</f>
        <v/>
      </c>
      <c r="H85" s="241">
        <f>IF(F85="","",SUMIFS('ИТОГО Торговля'!$H$5:$H$300,'ИТОГО Торговля'!$B$5:$B$300,$B85)+SUMIFS('ИТОГО Лэндинг'!$H$5:$H$300,'ИТОГО Лэндинг'!$B$5:$B$300,$B85))</f>
        <v/>
      </c>
      <c r="I85" s="240">
        <f>IF($B85="","",IF(AND(C85="",F85=""),"",ROUND(SUMIFS('ИТОГО Торговля'!$I$5:$I$300,'ИТОГО Торговля'!$B$5:$B$300,$B85)+SUMIFS('ИТОГО Лэндинг'!$I$5:$I$300,'ИТОГО Лэндинг'!$B$5:$B$300,$B85),8)))</f>
        <v/>
      </c>
      <c r="J85" s="241">
        <f>IF($B85="","",IF(AND(C85="",F85=""),"",ROUND(SUMIFS('ИТОГО Торговля'!$J$5:$J$300,'ИТОГО Торговля'!$B$5:$B$300,$B85)+SUMIFS('ИТОГО Лэндинг'!$J$5:$J$300,'ИТОГО Лэндинг'!$B$5:$B$300,$B85),8)))</f>
        <v/>
      </c>
      <c r="K85" s="240">
        <f>IF($B85="","",ROUND(SUMIFS('ИТОГО Торговля'!$K$5:$K$300,'ИТОГО Торговля'!$B$5:$B$300,$B85)+SUMIFS('ИТОГО Лэндинг'!$K$5:$K$300,'ИТОГО Лэндинг'!$B$5:$B$300,$B85),8))</f>
        <v/>
      </c>
      <c r="L85" s="177">
        <f>IF(K85="","",IF(SUMPRODUCT((Закрытые!$E$5:$E$300=$B85)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85/SUMPRODUCT((Закрытые!$E$5:$E$300=$B85)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5" s="177">
        <f>IF(OR(ROUND(N(C85)-N(F85),8)=0,1-N(Ввод!$E$17)/100&lt;=0),"",IF(N(C85)&gt;N(F85),(N(E85)-N(H85))/((N(C85)-N(F85))*(1-N(Ввод!$E$17)/100)),(N(H85)-N(E85))/((N(F85)-N(C85))*(1+N(Ввод!$E$17)/100))))</f>
        <v/>
      </c>
    </row>
    <row r="86" ht="22" customHeight="1">
      <c r="B86" s="320" t="n"/>
      <c r="C86" s="246">
        <f>IF($B86="","",IF(SUMIFS('ИТОГО Торговля'!$C$5:$C$300,'ИТОГО Торговля'!$B$5:$B$300,$B86)+SUMIFS('ИТОГО Лэндинг'!$C$5:$C$300,'ИТОГО Лэндинг'!$B$5:$B$300,$B86)=0,"",SUMIFS('ИТОГО Торговля'!$C$5:$C$300,'ИТОГО Торговля'!$B$5:$B$300,$B86)+SUMIFS('ИТОГО Лэндинг'!$C$5:$C$300,'ИТОГО Лэндинг'!$B$5:$B$300,$B86)))</f>
        <v/>
      </c>
      <c r="D86" s="183">
        <f>IF(C86="","",E86/C86)</f>
        <v/>
      </c>
      <c r="E86" s="247">
        <f>IF(C86="","",SUMIFS('ИТОГО Торговля'!$E$5:$E$300,'ИТОГО Торговля'!$B$5:$B$300,$B86)+SUMIFS('ИТОГО Лэндинг'!$E$5:$E$300,'ИТОГО Лэндинг'!$B$5:$B$300,$B86))</f>
        <v/>
      </c>
      <c r="F86" s="246">
        <f>IF($B86="","",IF(SUMIFS('ИТОГО Торговля'!$F$5:$F$300,'ИТОГО Торговля'!$B$5:$B$300,$B86)+SUMIFS('ИТОГО Лэндинг'!$F$5:$F$300,'ИТОГО Лэндинг'!$B$5:$B$300,$B86)=0,"",SUMIFS('ИТОГО Торговля'!$F$5:$F$300,'ИТОГО Торговля'!$B$5:$B$300,$B86)+SUMIFS('ИТОГО Лэндинг'!$F$5:$F$300,'ИТОГО Лэндинг'!$B$5:$B$300,$B86)))</f>
        <v/>
      </c>
      <c r="G86" s="183">
        <f>IF(F86="","",H86/F86)</f>
        <v/>
      </c>
      <c r="H86" s="247">
        <f>IF(F86="","",SUMIFS('ИТОГО Торговля'!$H$5:$H$300,'ИТОГО Торговля'!$B$5:$B$300,$B86)+SUMIFS('ИТОГО Лэндинг'!$H$5:$H$300,'ИТОГО Лэндинг'!$B$5:$B$300,$B86))</f>
        <v/>
      </c>
      <c r="I86" s="246">
        <f>IF($B86="","",IF(AND(C86="",F86=""),"",ROUND(SUMIFS('ИТОГО Торговля'!$I$5:$I$300,'ИТОГО Торговля'!$B$5:$B$300,$B86)+SUMIFS('ИТОГО Лэндинг'!$I$5:$I$300,'ИТОГО Лэндинг'!$B$5:$B$300,$B86),8)))</f>
        <v/>
      </c>
      <c r="J86" s="247">
        <f>IF($B86="","",IF(AND(C86="",F86=""),"",ROUND(SUMIFS('ИТОГО Торговля'!$J$5:$J$300,'ИТОГО Торговля'!$B$5:$B$300,$B86)+SUMIFS('ИТОГО Лэндинг'!$J$5:$J$300,'ИТОГО Лэндинг'!$B$5:$B$300,$B86),8)))</f>
        <v/>
      </c>
      <c r="K86" s="246">
        <f>IF($B86="","",ROUND(SUMIFS('ИТОГО Торговля'!$K$5:$K$300,'ИТОГО Торговля'!$B$5:$B$300,$B86)+SUMIFS('ИТОГО Лэндинг'!$K$5:$K$300,'ИТОГО Лэндинг'!$B$5:$B$300,$B86),8))</f>
        <v/>
      </c>
      <c r="L86" s="183">
        <f>IF(K86="","",IF(SUMPRODUCT((Закрытые!$E$5:$E$300=$B86)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86/SUMPRODUCT((Закрытые!$E$5:$E$300=$B86)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6" s="183">
        <f>IF(OR(ROUND(N(C86)-N(F86),8)=0,1-N(Ввод!$E$17)/100&lt;=0),"",IF(N(C86)&gt;N(F86),(N(E86)-N(H86))/((N(C86)-N(F86))*(1-N(Ввод!$E$17)/100)),(N(H86)-N(E86))/((N(F86)-N(C86))*(1+N(Ввод!$E$17)/100))))</f>
        <v/>
      </c>
    </row>
    <row r="87" ht="22" customHeight="1">
      <c r="B87" s="315" t="n"/>
      <c r="C87" s="240">
        <f>IF($B87="","",IF(SUMIFS('ИТОГО Торговля'!$C$5:$C$300,'ИТОГО Торговля'!$B$5:$B$300,$B87)+SUMIFS('ИТОГО Лэндинг'!$C$5:$C$300,'ИТОГО Лэндинг'!$B$5:$B$300,$B87)=0,"",SUMIFS('ИТОГО Торговля'!$C$5:$C$300,'ИТОГО Торговля'!$B$5:$B$300,$B87)+SUMIFS('ИТОГО Лэндинг'!$C$5:$C$300,'ИТОГО Лэндинг'!$B$5:$B$300,$B87)))</f>
        <v/>
      </c>
      <c r="D87" s="177">
        <f>IF(C87="","",E87/C87)</f>
        <v/>
      </c>
      <c r="E87" s="241">
        <f>IF(C87="","",SUMIFS('ИТОГО Торговля'!$E$5:$E$300,'ИТОГО Торговля'!$B$5:$B$300,$B87)+SUMIFS('ИТОГО Лэндинг'!$E$5:$E$300,'ИТОГО Лэндинг'!$B$5:$B$300,$B87))</f>
        <v/>
      </c>
      <c r="F87" s="240">
        <f>IF($B87="","",IF(SUMIFS('ИТОГО Торговля'!$F$5:$F$300,'ИТОГО Торговля'!$B$5:$B$300,$B87)+SUMIFS('ИТОГО Лэндинг'!$F$5:$F$300,'ИТОГО Лэндинг'!$B$5:$B$300,$B87)=0,"",SUMIFS('ИТОГО Торговля'!$F$5:$F$300,'ИТОГО Торговля'!$B$5:$B$300,$B87)+SUMIFS('ИТОГО Лэндинг'!$F$5:$F$300,'ИТОГО Лэндинг'!$B$5:$B$300,$B87)))</f>
        <v/>
      </c>
      <c r="G87" s="177">
        <f>IF(F87="","",H87/F87)</f>
        <v/>
      </c>
      <c r="H87" s="241">
        <f>IF(F87="","",SUMIFS('ИТОГО Торговля'!$H$5:$H$300,'ИТОГО Торговля'!$B$5:$B$300,$B87)+SUMIFS('ИТОГО Лэндинг'!$H$5:$H$300,'ИТОГО Лэндинг'!$B$5:$B$300,$B87))</f>
        <v/>
      </c>
      <c r="I87" s="240">
        <f>IF($B87="","",IF(AND(C87="",F87=""),"",ROUND(SUMIFS('ИТОГО Торговля'!$I$5:$I$300,'ИТОГО Торговля'!$B$5:$B$300,$B87)+SUMIFS('ИТОГО Лэндинг'!$I$5:$I$300,'ИТОГО Лэндинг'!$B$5:$B$300,$B87),8)))</f>
        <v/>
      </c>
      <c r="J87" s="241">
        <f>IF($B87="","",IF(AND(C87="",F87=""),"",ROUND(SUMIFS('ИТОГО Торговля'!$J$5:$J$300,'ИТОГО Торговля'!$B$5:$B$300,$B87)+SUMIFS('ИТОГО Лэндинг'!$J$5:$J$300,'ИТОГО Лэндинг'!$B$5:$B$300,$B87),8)))</f>
        <v/>
      </c>
      <c r="K87" s="240">
        <f>IF($B87="","",ROUND(SUMIFS('ИТОГО Торговля'!$K$5:$K$300,'ИТОГО Торговля'!$B$5:$B$300,$B87)+SUMIFS('ИТОГО Лэндинг'!$K$5:$K$300,'ИТОГО Лэндинг'!$B$5:$B$300,$B87),8))</f>
        <v/>
      </c>
      <c r="L87" s="177">
        <f>IF(K87="","",IF(SUMPRODUCT((Закрытые!$E$5:$E$300=$B87)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87/SUMPRODUCT((Закрытые!$E$5:$E$300=$B87)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7" s="177">
        <f>IF(OR(ROUND(N(C87)-N(F87),8)=0,1-N(Ввод!$E$17)/100&lt;=0),"",IF(N(C87)&gt;N(F87),(N(E87)-N(H87))/((N(C87)-N(F87))*(1-N(Ввод!$E$17)/100)),(N(H87)-N(E87))/((N(F87)-N(C87))*(1+N(Ввод!$E$17)/100))))</f>
        <v/>
      </c>
    </row>
    <row r="88" ht="22" customHeight="1">
      <c r="B88" s="320" t="n"/>
      <c r="C88" s="246">
        <f>IF($B88="","",IF(SUMIFS('ИТОГО Торговля'!$C$5:$C$300,'ИТОГО Торговля'!$B$5:$B$300,$B88)+SUMIFS('ИТОГО Лэндинг'!$C$5:$C$300,'ИТОГО Лэндинг'!$B$5:$B$300,$B88)=0,"",SUMIFS('ИТОГО Торговля'!$C$5:$C$300,'ИТОГО Торговля'!$B$5:$B$300,$B88)+SUMIFS('ИТОГО Лэндинг'!$C$5:$C$300,'ИТОГО Лэндинг'!$B$5:$B$300,$B88)))</f>
        <v/>
      </c>
      <c r="D88" s="183">
        <f>IF(C88="","",E88/C88)</f>
        <v/>
      </c>
      <c r="E88" s="247">
        <f>IF(C88="","",SUMIFS('ИТОГО Торговля'!$E$5:$E$300,'ИТОГО Торговля'!$B$5:$B$300,$B88)+SUMIFS('ИТОГО Лэндинг'!$E$5:$E$300,'ИТОГО Лэндинг'!$B$5:$B$300,$B88))</f>
        <v/>
      </c>
      <c r="F88" s="246">
        <f>IF($B88="","",IF(SUMIFS('ИТОГО Торговля'!$F$5:$F$300,'ИТОГО Торговля'!$B$5:$B$300,$B88)+SUMIFS('ИТОГО Лэндинг'!$F$5:$F$300,'ИТОГО Лэндинг'!$B$5:$B$300,$B88)=0,"",SUMIFS('ИТОГО Торговля'!$F$5:$F$300,'ИТОГО Торговля'!$B$5:$B$300,$B88)+SUMIFS('ИТОГО Лэндинг'!$F$5:$F$300,'ИТОГО Лэндинг'!$B$5:$B$300,$B88)))</f>
        <v/>
      </c>
      <c r="G88" s="183">
        <f>IF(F88="","",H88/F88)</f>
        <v/>
      </c>
      <c r="H88" s="247">
        <f>IF(F88="","",SUMIFS('ИТОГО Торговля'!$H$5:$H$300,'ИТОГО Торговля'!$B$5:$B$300,$B88)+SUMIFS('ИТОГО Лэндинг'!$H$5:$H$300,'ИТОГО Лэндинг'!$B$5:$B$300,$B88))</f>
        <v/>
      </c>
      <c r="I88" s="246">
        <f>IF($B88="","",IF(AND(C88="",F88=""),"",ROUND(SUMIFS('ИТОГО Торговля'!$I$5:$I$300,'ИТОГО Торговля'!$B$5:$B$300,$B88)+SUMIFS('ИТОГО Лэндинг'!$I$5:$I$300,'ИТОГО Лэндинг'!$B$5:$B$300,$B88),8)))</f>
        <v/>
      </c>
      <c r="J88" s="247">
        <f>IF($B88="","",IF(AND(C88="",F88=""),"",ROUND(SUMIFS('ИТОГО Торговля'!$J$5:$J$300,'ИТОГО Торговля'!$B$5:$B$300,$B88)+SUMIFS('ИТОГО Лэндинг'!$J$5:$J$300,'ИТОГО Лэндинг'!$B$5:$B$300,$B88),8)))</f>
        <v/>
      </c>
      <c r="K88" s="246">
        <f>IF($B88="","",ROUND(SUMIFS('ИТОГО Торговля'!$K$5:$K$300,'ИТОГО Торговля'!$B$5:$B$300,$B88)+SUMIFS('ИТОГО Лэндинг'!$K$5:$K$300,'ИТОГО Лэндинг'!$B$5:$B$300,$B88),8))</f>
        <v/>
      </c>
      <c r="L88" s="183">
        <f>IF(K88="","",IF(SUMPRODUCT((Закрытые!$E$5:$E$300=$B88)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88/SUMPRODUCT((Закрытые!$E$5:$E$300=$B88)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8" s="183">
        <f>IF(OR(ROUND(N(C88)-N(F88),8)=0,1-N(Ввод!$E$17)/100&lt;=0),"",IF(N(C88)&gt;N(F88),(N(E88)-N(H88))/((N(C88)-N(F88))*(1-N(Ввод!$E$17)/100)),(N(H88)-N(E88))/((N(F88)-N(C88))*(1+N(Ввод!$E$17)/100))))</f>
        <v/>
      </c>
    </row>
    <row r="89" ht="22" customHeight="1">
      <c r="B89" s="315" t="n"/>
      <c r="C89" s="240">
        <f>IF($B89="","",IF(SUMIFS('ИТОГО Торговля'!$C$5:$C$300,'ИТОГО Торговля'!$B$5:$B$300,$B89)+SUMIFS('ИТОГО Лэндинг'!$C$5:$C$300,'ИТОГО Лэндинг'!$B$5:$B$300,$B89)=0,"",SUMIFS('ИТОГО Торговля'!$C$5:$C$300,'ИТОГО Торговля'!$B$5:$B$300,$B89)+SUMIFS('ИТОГО Лэндинг'!$C$5:$C$300,'ИТОГО Лэндинг'!$B$5:$B$300,$B89)))</f>
        <v/>
      </c>
      <c r="D89" s="177">
        <f>IF(C89="","",E89/C89)</f>
        <v/>
      </c>
      <c r="E89" s="241">
        <f>IF(C89="","",SUMIFS('ИТОГО Торговля'!$E$5:$E$300,'ИТОГО Торговля'!$B$5:$B$300,$B89)+SUMIFS('ИТОГО Лэндинг'!$E$5:$E$300,'ИТОГО Лэндинг'!$B$5:$B$300,$B89))</f>
        <v/>
      </c>
      <c r="F89" s="240">
        <f>IF($B89="","",IF(SUMIFS('ИТОГО Торговля'!$F$5:$F$300,'ИТОГО Торговля'!$B$5:$B$300,$B89)+SUMIFS('ИТОГО Лэндинг'!$F$5:$F$300,'ИТОГО Лэндинг'!$B$5:$B$300,$B89)=0,"",SUMIFS('ИТОГО Торговля'!$F$5:$F$300,'ИТОГО Торговля'!$B$5:$B$300,$B89)+SUMIFS('ИТОГО Лэндинг'!$F$5:$F$300,'ИТОГО Лэндинг'!$B$5:$B$300,$B89)))</f>
        <v/>
      </c>
      <c r="G89" s="177">
        <f>IF(F89="","",H89/F89)</f>
        <v/>
      </c>
      <c r="H89" s="241">
        <f>IF(F89="","",SUMIFS('ИТОГО Торговля'!$H$5:$H$300,'ИТОГО Торговля'!$B$5:$B$300,$B89)+SUMIFS('ИТОГО Лэндинг'!$H$5:$H$300,'ИТОГО Лэндинг'!$B$5:$B$300,$B89))</f>
        <v/>
      </c>
      <c r="I89" s="240">
        <f>IF($B89="","",IF(AND(C89="",F89=""),"",ROUND(SUMIFS('ИТОГО Торговля'!$I$5:$I$300,'ИТОГО Торговля'!$B$5:$B$300,$B89)+SUMIFS('ИТОГО Лэндинг'!$I$5:$I$300,'ИТОГО Лэндинг'!$B$5:$B$300,$B89),8)))</f>
        <v/>
      </c>
      <c r="J89" s="241">
        <f>IF($B89="","",IF(AND(C89="",F89=""),"",ROUND(SUMIFS('ИТОГО Торговля'!$J$5:$J$300,'ИТОГО Торговля'!$B$5:$B$300,$B89)+SUMIFS('ИТОГО Лэндинг'!$J$5:$J$300,'ИТОГО Лэндинг'!$B$5:$B$300,$B89),8)))</f>
        <v/>
      </c>
      <c r="K89" s="240">
        <f>IF($B89="","",ROUND(SUMIFS('ИТОГО Торговля'!$K$5:$K$300,'ИТОГО Торговля'!$B$5:$B$300,$B89)+SUMIFS('ИТОГО Лэндинг'!$K$5:$K$300,'ИТОГО Лэндинг'!$B$5:$B$300,$B89),8))</f>
        <v/>
      </c>
      <c r="L89" s="177">
        <f>IF(K89="","",IF(SUMPRODUCT((Закрытые!$E$5:$E$300=$B89)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89/SUMPRODUCT((Закрытые!$E$5:$E$300=$B89)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9" s="177">
        <f>IF(OR(ROUND(N(C89)-N(F89),8)=0,1-N(Ввод!$E$17)/100&lt;=0),"",IF(N(C89)&gt;N(F89),(N(E89)-N(H89))/((N(C89)-N(F89))*(1-N(Ввод!$E$17)/100)),(N(H89)-N(E89))/((N(F89)-N(C89))*(1+N(Ввод!$E$17)/100))))</f>
        <v/>
      </c>
    </row>
    <row r="90" ht="22" customHeight="1">
      <c r="B90" s="320" t="n"/>
      <c r="C90" s="246">
        <f>IF($B90="","",IF(SUMIFS('ИТОГО Торговля'!$C$5:$C$300,'ИТОГО Торговля'!$B$5:$B$300,$B90)+SUMIFS('ИТОГО Лэндинг'!$C$5:$C$300,'ИТОГО Лэндинг'!$B$5:$B$300,$B90)=0,"",SUMIFS('ИТОГО Торговля'!$C$5:$C$300,'ИТОГО Торговля'!$B$5:$B$300,$B90)+SUMIFS('ИТОГО Лэндинг'!$C$5:$C$300,'ИТОГО Лэндинг'!$B$5:$B$300,$B90)))</f>
        <v/>
      </c>
      <c r="D90" s="183">
        <f>IF(C90="","",E90/C90)</f>
        <v/>
      </c>
      <c r="E90" s="247">
        <f>IF(C90="","",SUMIFS('ИТОГО Торговля'!$E$5:$E$300,'ИТОГО Торговля'!$B$5:$B$300,$B90)+SUMIFS('ИТОГО Лэндинг'!$E$5:$E$300,'ИТОГО Лэндинг'!$B$5:$B$300,$B90))</f>
        <v/>
      </c>
      <c r="F90" s="246">
        <f>IF($B90="","",IF(SUMIFS('ИТОГО Торговля'!$F$5:$F$300,'ИТОГО Торговля'!$B$5:$B$300,$B90)+SUMIFS('ИТОГО Лэндинг'!$F$5:$F$300,'ИТОГО Лэндинг'!$B$5:$B$300,$B90)=0,"",SUMIFS('ИТОГО Торговля'!$F$5:$F$300,'ИТОГО Торговля'!$B$5:$B$300,$B90)+SUMIFS('ИТОГО Лэндинг'!$F$5:$F$300,'ИТОГО Лэндинг'!$B$5:$B$300,$B90)))</f>
        <v/>
      </c>
      <c r="G90" s="183">
        <f>IF(F90="","",H90/F90)</f>
        <v/>
      </c>
      <c r="H90" s="247">
        <f>IF(F90="","",SUMIFS('ИТОГО Торговля'!$H$5:$H$300,'ИТОГО Торговля'!$B$5:$B$300,$B90)+SUMIFS('ИТОГО Лэндинг'!$H$5:$H$300,'ИТОГО Лэндинг'!$B$5:$B$300,$B90))</f>
        <v/>
      </c>
      <c r="I90" s="246">
        <f>IF($B90="","",IF(AND(C90="",F90=""),"",ROUND(SUMIFS('ИТОГО Торговля'!$I$5:$I$300,'ИТОГО Торговля'!$B$5:$B$300,$B90)+SUMIFS('ИТОГО Лэндинг'!$I$5:$I$300,'ИТОГО Лэндинг'!$B$5:$B$300,$B90),8)))</f>
        <v/>
      </c>
      <c r="J90" s="247">
        <f>IF($B90="","",IF(AND(C90="",F90=""),"",ROUND(SUMIFS('ИТОГО Торговля'!$J$5:$J$300,'ИТОГО Торговля'!$B$5:$B$300,$B90)+SUMIFS('ИТОГО Лэндинг'!$J$5:$J$300,'ИТОГО Лэндинг'!$B$5:$B$300,$B90),8)))</f>
        <v/>
      </c>
      <c r="K90" s="246">
        <f>IF($B90="","",ROUND(SUMIFS('ИТОГО Торговля'!$K$5:$K$300,'ИТОГО Торговля'!$B$5:$B$300,$B90)+SUMIFS('ИТОГО Лэндинг'!$K$5:$K$300,'ИТОГО Лэндинг'!$B$5:$B$300,$B90),8))</f>
        <v/>
      </c>
      <c r="L90" s="183">
        <f>IF(K90="","",IF(SUMPRODUCT((Закрытые!$E$5:$E$300=$B90)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90/SUMPRODUCT((Закрытые!$E$5:$E$300=$B90)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0" s="183">
        <f>IF(OR(ROUND(N(C90)-N(F90),8)=0,1-N(Ввод!$E$17)/100&lt;=0),"",IF(N(C90)&gt;N(F90),(N(E90)-N(H90))/((N(C90)-N(F90))*(1-N(Ввод!$E$17)/100)),(N(H90)-N(E90))/((N(F90)-N(C90))*(1+N(Ввод!$E$17)/100))))</f>
        <v/>
      </c>
    </row>
    <row r="91" ht="22" customHeight="1">
      <c r="B91" s="315" t="n"/>
      <c r="C91" s="240">
        <f>IF($B91="","",IF(SUMIFS('ИТОГО Торговля'!$C$5:$C$300,'ИТОГО Торговля'!$B$5:$B$300,$B91)+SUMIFS('ИТОГО Лэндинг'!$C$5:$C$300,'ИТОГО Лэндинг'!$B$5:$B$300,$B91)=0,"",SUMIFS('ИТОГО Торговля'!$C$5:$C$300,'ИТОГО Торговля'!$B$5:$B$300,$B91)+SUMIFS('ИТОГО Лэндинг'!$C$5:$C$300,'ИТОГО Лэндинг'!$B$5:$B$300,$B91)))</f>
        <v/>
      </c>
      <c r="D91" s="177">
        <f>IF(C91="","",E91/C91)</f>
        <v/>
      </c>
      <c r="E91" s="241">
        <f>IF(C91="","",SUMIFS('ИТОГО Торговля'!$E$5:$E$300,'ИТОГО Торговля'!$B$5:$B$300,$B91)+SUMIFS('ИТОГО Лэндинг'!$E$5:$E$300,'ИТОГО Лэндинг'!$B$5:$B$300,$B91))</f>
        <v/>
      </c>
      <c r="F91" s="240">
        <f>IF($B91="","",IF(SUMIFS('ИТОГО Торговля'!$F$5:$F$300,'ИТОГО Торговля'!$B$5:$B$300,$B91)+SUMIFS('ИТОГО Лэндинг'!$F$5:$F$300,'ИТОГО Лэндинг'!$B$5:$B$300,$B91)=0,"",SUMIFS('ИТОГО Торговля'!$F$5:$F$300,'ИТОГО Торговля'!$B$5:$B$300,$B91)+SUMIFS('ИТОГО Лэндинг'!$F$5:$F$300,'ИТОГО Лэндинг'!$B$5:$B$300,$B91)))</f>
        <v/>
      </c>
      <c r="G91" s="177">
        <f>IF(F91="","",H91/F91)</f>
        <v/>
      </c>
      <c r="H91" s="241">
        <f>IF(F91="","",SUMIFS('ИТОГО Торговля'!$H$5:$H$300,'ИТОГО Торговля'!$B$5:$B$300,$B91)+SUMIFS('ИТОГО Лэндинг'!$H$5:$H$300,'ИТОГО Лэндинг'!$B$5:$B$300,$B91))</f>
        <v/>
      </c>
      <c r="I91" s="240">
        <f>IF($B91="","",IF(AND(C91="",F91=""),"",ROUND(SUMIFS('ИТОГО Торговля'!$I$5:$I$300,'ИТОГО Торговля'!$B$5:$B$300,$B91)+SUMIFS('ИТОГО Лэндинг'!$I$5:$I$300,'ИТОГО Лэндинг'!$B$5:$B$300,$B91),8)))</f>
        <v/>
      </c>
      <c r="J91" s="241">
        <f>IF($B91="","",IF(AND(C91="",F91=""),"",ROUND(SUMIFS('ИТОГО Торговля'!$J$5:$J$300,'ИТОГО Торговля'!$B$5:$B$300,$B91)+SUMIFS('ИТОГО Лэндинг'!$J$5:$J$300,'ИТОГО Лэндинг'!$B$5:$B$300,$B91),8)))</f>
        <v/>
      </c>
      <c r="K91" s="240">
        <f>IF($B91="","",ROUND(SUMIFS('ИТОГО Торговля'!$K$5:$K$300,'ИТОГО Торговля'!$B$5:$B$300,$B91)+SUMIFS('ИТОГО Лэндинг'!$K$5:$K$300,'ИТОГО Лэндинг'!$B$5:$B$300,$B91),8))</f>
        <v/>
      </c>
      <c r="L91" s="177">
        <f>IF(K91="","",IF(SUMPRODUCT((Закрытые!$E$5:$E$300=$B91)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91/SUMPRODUCT((Закрытые!$E$5:$E$300=$B91)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1" s="177">
        <f>IF(OR(ROUND(N(C91)-N(F91),8)=0,1-N(Ввод!$E$17)/100&lt;=0),"",IF(N(C91)&gt;N(F91),(N(E91)-N(H91))/((N(C91)-N(F91))*(1-N(Ввод!$E$17)/100)),(N(H91)-N(E91))/((N(F91)-N(C91))*(1+N(Ввод!$E$17)/100))))</f>
        <v/>
      </c>
    </row>
    <row r="92" ht="22" customHeight="1">
      <c r="B92" s="320" t="n"/>
      <c r="C92" s="246">
        <f>IF($B92="","",IF(SUMIFS('ИТОГО Торговля'!$C$5:$C$300,'ИТОГО Торговля'!$B$5:$B$300,$B92)+SUMIFS('ИТОГО Лэндинг'!$C$5:$C$300,'ИТОГО Лэндинг'!$B$5:$B$300,$B92)=0,"",SUMIFS('ИТОГО Торговля'!$C$5:$C$300,'ИТОГО Торговля'!$B$5:$B$300,$B92)+SUMIFS('ИТОГО Лэндинг'!$C$5:$C$300,'ИТОГО Лэндинг'!$B$5:$B$300,$B92)))</f>
        <v/>
      </c>
      <c r="D92" s="183">
        <f>IF(C92="","",E92/C92)</f>
        <v/>
      </c>
      <c r="E92" s="247">
        <f>IF(C92="","",SUMIFS('ИТОГО Торговля'!$E$5:$E$300,'ИТОГО Торговля'!$B$5:$B$300,$B92)+SUMIFS('ИТОГО Лэндинг'!$E$5:$E$300,'ИТОГО Лэндинг'!$B$5:$B$300,$B92))</f>
        <v/>
      </c>
      <c r="F92" s="246">
        <f>IF($B92="","",IF(SUMIFS('ИТОГО Торговля'!$F$5:$F$300,'ИТОГО Торговля'!$B$5:$B$300,$B92)+SUMIFS('ИТОГО Лэндинг'!$F$5:$F$300,'ИТОГО Лэндинг'!$B$5:$B$300,$B92)=0,"",SUMIFS('ИТОГО Торговля'!$F$5:$F$300,'ИТОГО Торговля'!$B$5:$B$300,$B92)+SUMIFS('ИТОГО Лэндинг'!$F$5:$F$300,'ИТОГО Лэндинг'!$B$5:$B$300,$B92)))</f>
        <v/>
      </c>
      <c r="G92" s="183">
        <f>IF(F92="","",H92/F92)</f>
        <v/>
      </c>
      <c r="H92" s="247">
        <f>IF(F92="","",SUMIFS('ИТОГО Торговля'!$H$5:$H$300,'ИТОГО Торговля'!$B$5:$B$300,$B92)+SUMIFS('ИТОГО Лэндинг'!$H$5:$H$300,'ИТОГО Лэндинг'!$B$5:$B$300,$B92))</f>
        <v/>
      </c>
      <c r="I92" s="246">
        <f>IF($B92="","",IF(AND(C92="",F92=""),"",ROUND(SUMIFS('ИТОГО Торговля'!$I$5:$I$300,'ИТОГО Торговля'!$B$5:$B$300,$B92)+SUMIFS('ИТОГО Лэндинг'!$I$5:$I$300,'ИТОГО Лэндинг'!$B$5:$B$300,$B92),8)))</f>
        <v/>
      </c>
      <c r="J92" s="247">
        <f>IF($B92="","",IF(AND(C92="",F92=""),"",ROUND(SUMIFS('ИТОГО Торговля'!$J$5:$J$300,'ИТОГО Торговля'!$B$5:$B$300,$B92)+SUMIFS('ИТОГО Лэндинг'!$J$5:$J$300,'ИТОГО Лэндинг'!$B$5:$B$300,$B92),8)))</f>
        <v/>
      </c>
      <c r="K92" s="246">
        <f>IF($B92="","",ROUND(SUMIFS('ИТОГО Торговля'!$K$5:$K$300,'ИТОГО Торговля'!$B$5:$B$300,$B92)+SUMIFS('ИТОГО Лэндинг'!$K$5:$K$300,'ИТОГО Лэндинг'!$B$5:$B$300,$B92),8))</f>
        <v/>
      </c>
      <c r="L92" s="183">
        <f>IF(K92="","",IF(SUMPRODUCT((Закрытые!$E$5:$E$300=$B92)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92/SUMPRODUCT((Закрытые!$E$5:$E$300=$B92)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2" s="183">
        <f>IF(OR(ROUND(N(C92)-N(F92),8)=0,1-N(Ввод!$E$17)/100&lt;=0),"",IF(N(C92)&gt;N(F92),(N(E92)-N(H92))/((N(C92)-N(F92))*(1-N(Ввод!$E$17)/100)),(N(H92)-N(E92))/((N(F92)-N(C92))*(1+N(Ввод!$E$17)/100))))</f>
        <v/>
      </c>
    </row>
    <row r="93" ht="22" customHeight="1">
      <c r="B93" s="315" t="n"/>
      <c r="C93" s="240">
        <f>IF($B93="","",IF(SUMIFS('ИТОГО Торговля'!$C$5:$C$300,'ИТОГО Торговля'!$B$5:$B$300,$B93)+SUMIFS('ИТОГО Лэндинг'!$C$5:$C$300,'ИТОГО Лэндинг'!$B$5:$B$300,$B93)=0,"",SUMIFS('ИТОГО Торговля'!$C$5:$C$300,'ИТОГО Торговля'!$B$5:$B$300,$B93)+SUMIFS('ИТОГО Лэндинг'!$C$5:$C$300,'ИТОГО Лэндинг'!$B$5:$B$300,$B93)))</f>
        <v/>
      </c>
      <c r="D93" s="177">
        <f>IF(C93="","",E93/C93)</f>
        <v/>
      </c>
      <c r="E93" s="241">
        <f>IF(C93="","",SUMIFS('ИТОГО Торговля'!$E$5:$E$300,'ИТОГО Торговля'!$B$5:$B$300,$B93)+SUMIFS('ИТОГО Лэндинг'!$E$5:$E$300,'ИТОГО Лэндинг'!$B$5:$B$300,$B93))</f>
        <v/>
      </c>
      <c r="F93" s="240">
        <f>IF($B93="","",IF(SUMIFS('ИТОГО Торговля'!$F$5:$F$300,'ИТОГО Торговля'!$B$5:$B$300,$B93)+SUMIFS('ИТОГО Лэндинг'!$F$5:$F$300,'ИТОГО Лэндинг'!$B$5:$B$300,$B93)=0,"",SUMIFS('ИТОГО Торговля'!$F$5:$F$300,'ИТОГО Торговля'!$B$5:$B$300,$B93)+SUMIFS('ИТОГО Лэндинг'!$F$5:$F$300,'ИТОГО Лэндинг'!$B$5:$B$300,$B93)))</f>
        <v/>
      </c>
      <c r="G93" s="177">
        <f>IF(F93="","",H93/F93)</f>
        <v/>
      </c>
      <c r="H93" s="241">
        <f>IF(F93="","",SUMIFS('ИТОГО Торговля'!$H$5:$H$300,'ИТОГО Торговля'!$B$5:$B$300,$B93)+SUMIFS('ИТОГО Лэндинг'!$H$5:$H$300,'ИТОГО Лэндинг'!$B$5:$B$300,$B93))</f>
        <v/>
      </c>
      <c r="I93" s="240">
        <f>IF($B93="","",IF(AND(C93="",F93=""),"",ROUND(SUMIFS('ИТОГО Торговля'!$I$5:$I$300,'ИТОГО Торговля'!$B$5:$B$300,$B93)+SUMIFS('ИТОГО Лэндинг'!$I$5:$I$300,'ИТОГО Лэндинг'!$B$5:$B$300,$B93),8)))</f>
        <v/>
      </c>
      <c r="J93" s="241">
        <f>IF($B93="","",IF(AND(C93="",F93=""),"",ROUND(SUMIFS('ИТОГО Торговля'!$J$5:$J$300,'ИТОГО Торговля'!$B$5:$B$300,$B93)+SUMIFS('ИТОГО Лэндинг'!$J$5:$J$300,'ИТОГО Лэндинг'!$B$5:$B$300,$B93),8)))</f>
        <v/>
      </c>
      <c r="K93" s="240">
        <f>IF($B93="","",ROUND(SUMIFS('ИТОГО Торговля'!$K$5:$K$300,'ИТОГО Торговля'!$B$5:$B$300,$B93)+SUMIFS('ИТОГО Лэндинг'!$K$5:$K$300,'ИТОГО Лэндинг'!$B$5:$B$300,$B93),8))</f>
        <v/>
      </c>
      <c r="L93" s="177">
        <f>IF(K93="","",IF(SUMPRODUCT((Закрытые!$E$5:$E$300=$B93)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93/SUMPRODUCT((Закрытые!$E$5:$E$300=$B93)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3" s="177">
        <f>IF(OR(ROUND(N(C93)-N(F93),8)=0,1-N(Ввод!$E$17)/100&lt;=0),"",IF(N(C93)&gt;N(F93),(N(E93)-N(H93))/((N(C93)-N(F93))*(1-N(Ввод!$E$17)/100)),(N(H93)-N(E93))/((N(F93)-N(C93))*(1+N(Ввод!$E$17)/100))))</f>
        <v/>
      </c>
    </row>
    <row r="94" ht="22" customHeight="1">
      <c r="B94" s="320" t="n"/>
      <c r="C94" s="246">
        <f>IF($B94="","",IF(SUMIFS('ИТОГО Торговля'!$C$5:$C$300,'ИТОГО Торговля'!$B$5:$B$300,$B94)+SUMIFS('ИТОГО Лэндинг'!$C$5:$C$300,'ИТОГО Лэндинг'!$B$5:$B$300,$B94)=0,"",SUMIFS('ИТОГО Торговля'!$C$5:$C$300,'ИТОГО Торговля'!$B$5:$B$300,$B94)+SUMIFS('ИТОГО Лэндинг'!$C$5:$C$300,'ИТОГО Лэндинг'!$B$5:$B$300,$B94)))</f>
        <v/>
      </c>
      <c r="D94" s="183">
        <f>IF(C94="","",E94/C94)</f>
        <v/>
      </c>
      <c r="E94" s="247">
        <f>IF(C94="","",SUMIFS('ИТОГО Торговля'!$E$5:$E$300,'ИТОГО Торговля'!$B$5:$B$300,$B94)+SUMIFS('ИТОГО Лэндинг'!$E$5:$E$300,'ИТОГО Лэндинг'!$B$5:$B$300,$B94))</f>
        <v/>
      </c>
      <c r="F94" s="246">
        <f>IF($B94="","",IF(SUMIFS('ИТОГО Торговля'!$F$5:$F$300,'ИТОГО Торговля'!$B$5:$B$300,$B94)+SUMIFS('ИТОГО Лэндинг'!$F$5:$F$300,'ИТОГО Лэндинг'!$B$5:$B$300,$B94)=0,"",SUMIFS('ИТОГО Торговля'!$F$5:$F$300,'ИТОГО Торговля'!$B$5:$B$300,$B94)+SUMIFS('ИТОГО Лэндинг'!$F$5:$F$300,'ИТОГО Лэндинг'!$B$5:$B$300,$B94)))</f>
        <v/>
      </c>
      <c r="G94" s="183">
        <f>IF(F94="","",H94/F94)</f>
        <v/>
      </c>
      <c r="H94" s="247">
        <f>IF(F94="","",SUMIFS('ИТОГО Торговля'!$H$5:$H$300,'ИТОГО Торговля'!$B$5:$B$300,$B94)+SUMIFS('ИТОГО Лэндинг'!$H$5:$H$300,'ИТОГО Лэндинг'!$B$5:$B$300,$B94))</f>
        <v/>
      </c>
      <c r="I94" s="246">
        <f>IF($B94="","",IF(AND(C94="",F94=""),"",ROUND(SUMIFS('ИТОГО Торговля'!$I$5:$I$300,'ИТОГО Торговля'!$B$5:$B$300,$B94)+SUMIFS('ИТОГО Лэндинг'!$I$5:$I$300,'ИТОГО Лэндинг'!$B$5:$B$300,$B94),8)))</f>
        <v/>
      </c>
      <c r="J94" s="247">
        <f>IF($B94="","",IF(AND(C94="",F94=""),"",ROUND(SUMIFS('ИТОГО Торговля'!$J$5:$J$300,'ИТОГО Торговля'!$B$5:$B$300,$B94)+SUMIFS('ИТОГО Лэндинг'!$J$5:$J$300,'ИТОГО Лэндинг'!$B$5:$B$300,$B94),8)))</f>
        <v/>
      </c>
      <c r="K94" s="246">
        <f>IF($B94="","",ROUND(SUMIFS('ИТОГО Торговля'!$K$5:$K$300,'ИТОГО Торговля'!$B$5:$B$300,$B94)+SUMIFS('ИТОГО Лэндинг'!$K$5:$K$300,'ИТОГО Лэндинг'!$B$5:$B$300,$B94),8))</f>
        <v/>
      </c>
      <c r="L94" s="183">
        <f>IF(K94="","",IF(SUMPRODUCT((Закрытые!$E$5:$E$300=$B94)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94/SUMPRODUCT((Закрытые!$E$5:$E$300=$B94)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4" s="183">
        <f>IF(OR(ROUND(N(C94)-N(F94),8)=0,1-N(Ввод!$E$17)/100&lt;=0),"",IF(N(C94)&gt;N(F94),(N(E94)-N(H94))/((N(C94)-N(F94))*(1-N(Ввод!$E$17)/100)),(N(H94)-N(E94))/((N(F94)-N(C94))*(1+N(Ввод!$E$17)/100))))</f>
        <v/>
      </c>
    </row>
    <row r="95" ht="22" customHeight="1">
      <c r="B95" s="315" t="n"/>
      <c r="C95" s="240">
        <f>IF($B95="","",IF(SUMIFS('ИТОГО Торговля'!$C$5:$C$300,'ИТОГО Торговля'!$B$5:$B$300,$B95)+SUMIFS('ИТОГО Лэндинг'!$C$5:$C$300,'ИТОГО Лэндинг'!$B$5:$B$300,$B95)=0,"",SUMIFS('ИТОГО Торговля'!$C$5:$C$300,'ИТОГО Торговля'!$B$5:$B$300,$B95)+SUMIFS('ИТОГО Лэндинг'!$C$5:$C$300,'ИТОГО Лэндинг'!$B$5:$B$300,$B95)))</f>
        <v/>
      </c>
      <c r="D95" s="177">
        <f>IF(C95="","",E95/C95)</f>
        <v/>
      </c>
      <c r="E95" s="241">
        <f>IF(C95="","",SUMIFS('ИТОГО Торговля'!$E$5:$E$300,'ИТОГО Торговля'!$B$5:$B$300,$B95)+SUMIFS('ИТОГО Лэндинг'!$E$5:$E$300,'ИТОГО Лэндинг'!$B$5:$B$300,$B95))</f>
        <v/>
      </c>
      <c r="F95" s="240">
        <f>IF($B95="","",IF(SUMIFS('ИТОГО Торговля'!$F$5:$F$300,'ИТОГО Торговля'!$B$5:$B$300,$B95)+SUMIFS('ИТОГО Лэндинг'!$F$5:$F$300,'ИТОГО Лэндинг'!$B$5:$B$300,$B95)=0,"",SUMIFS('ИТОГО Торговля'!$F$5:$F$300,'ИТОГО Торговля'!$B$5:$B$300,$B95)+SUMIFS('ИТОГО Лэндинг'!$F$5:$F$300,'ИТОГО Лэндинг'!$B$5:$B$300,$B95)))</f>
        <v/>
      </c>
      <c r="G95" s="177">
        <f>IF(F95="","",H95/F95)</f>
        <v/>
      </c>
      <c r="H95" s="241">
        <f>IF(F95="","",SUMIFS('ИТОГО Торговля'!$H$5:$H$300,'ИТОГО Торговля'!$B$5:$B$300,$B95)+SUMIFS('ИТОГО Лэндинг'!$H$5:$H$300,'ИТОГО Лэндинг'!$B$5:$B$300,$B95))</f>
        <v/>
      </c>
      <c r="I95" s="240">
        <f>IF($B95="","",IF(AND(C95="",F95=""),"",ROUND(SUMIFS('ИТОГО Торговля'!$I$5:$I$300,'ИТОГО Торговля'!$B$5:$B$300,$B95)+SUMIFS('ИТОГО Лэндинг'!$I$5:$I$300,'ИТОГО Лэндинг'!$B$5:$B$300,$B95),8)))</f>
        <v/>
      </c>
      <c r="J95" s="241">
        <f>IF($B95="","",IF(AND(C95="",F95=""),"",ROUND(SUMIFS('ИТОГО Торговля'!$J$5:$J$300,'ИТОГО Торговля'!$B$5:$B$300,$B95)+SUMIFS('ИТОГО Лэндинг'!$J$5:$J$300,'ИТОГО Лэндинг'!$B$5:$B$300,$B95),8)))</f>
        <v/>
      </c>
      <c r="K95" s="240">
        <f>IF($B95="","",ROUND(SUMIFS('ИТОГО Торговля'!$K$5:$K$300,'ИТОГО Торговля'!$B$5:$B$300,$B95)+SUMIFS('ИТОГО Лэндинг'!$K$5:$K$300,'ИТОГО Лэндинг'!$B$5:$B$300,$B95),8))</f>
        <v/>
      </c>
      <c r="L95" s="177">
        <f>IF(K95="","",IF(SUMPRODUCT((Закрытые!$E$5:$E$300=$B95)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95/SUMPRODUCT((Закрытые!$E$5:$E$300=$B95)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5" s="177">
        <f>IF(OR(ROUND(N(C95)-N(F95),8)=0,1-N(Ввод!$E$17)/100&lt;=0),"",IF(N(C95)&gt;N(F95),(N(E95)-N(H95))/((N(C95)-N(F95))*(1-N(Ввод!$E$17)/100)),(N(H95)-N(E95))/((N(F95)-N(C95))*(1+N(Ввод!$E$17)/100))))</f>
        <v/>
      </c>
    </row>
    <row r="96" ht="22" customHeight="1">
      <c r="B96" s="320" t="n"/>
      <c r="C96" s="246">
        <f>IF($B96="","",IF(SUMIFS('ИТОГО Торговля'!$C$5:$C$300,'ИТОГО Торговля'!$B$5:$B$300,$B96)+SUMIFS('ИТОГО Лэндинг'!$C$5:$C$300,'ИТОГО Лэндинг'!$B$5:$B$300,$B96)=0,"",SUMIFS('ИТОГО Торговля'!$C$5:$C$300,'ИТОГО Торговля'!$B$5:$B$300,$B96)+SUMIFS('ИТОГО Лэндинг'!$C$5:$C$300,'ИТОГО Лэндинг'!$B$5:$B$300,$B96)))</f>
        <v/>
      </c>
      <c r="D96" s="183">
        <f>IF(C96="","",E96/C96)</f>
        <v/>
      </c>
      <c r="E96" s="247">
        <f>IF(C96="","",SUMIFS('ИТОГО Торговля'!$E$5:$E$300,'ИТОГО Торговля'!$B$5:$B$300,$B96)+SUMIFS('ИТОГО Лэндинг'!$E$5:$E$300,'ИТОГО Лэндинг'!$B$5:$B$300,$B96))</f>
        <v/>
      </c>
      <c r="F96" s="246">
        <f>IF($B96="","",IF(SUMIFS('ИТОГО Торговля'!$F$5:$F$300,'ИТОГО Торговля'!$B$5:$B$300,$B96)+SUMIFS('ИТОГО Лэндинг'!$F$5:$F$300,'ИТОГО Лэндинг'!$B$5:$B$300,$B96)=0,"",SUMIFS('ИТОГО Торговля'!$F$5:$F$300,'ИТОГО Торговля'!$B$5:$B$300,$B96)+SUMIFS('ИТОГО Лэндинг'!$F$5:$F$300,'ИТОГО Лэндинг'!$B$5:$B$300,$B96)))</f>
        <v/>
      </c>
      <c r="G96" s="183">
        <f>IF(F96="","",H96/F96)</f>
        <v/>
      </c>
      <c r="H96" s="247">
        <f>IF(F96="","",SUMIFS('ИТОГО Торговля'!$H$5:$H$300,'ИТОГО Торговля'!$B$5:$B$300,$B96)+SUMIFS('ИТОГО Лэндинг'!$H$5:$H$300,'ИТОГО Лэндинг'!$B$5:$B$300,$B96))</f>
        <v/>
      </c>
      <c r="I96" s="246">
        <f>IF($B96="","",IF(AND(C96="",F96=""),"",ROUND(SUMIFS('ИТОГО Торговля'!$I$5:$I$300,'ИТОГО Торговля'!$B$5:$B$300,$B96)+SUMIFS('ИТОГО Лэндинг'!$I$5:$I$300,'ИТОГО Лэндинг'!$B$5:$B$300,$B96),8)))</f>
        <v/>
      </c>
      <c r="J96" s="247">
        <f>IF($B96="","",IF(AND(C96="",F96=""),"",ROUND(SUMIFS('ИТОГО Торговля'!$J$5:$J$300,'ИТОГО Торговля'!$B$5:$B$300,$B96)+SUMIFS('ИТОГО Лэндинг'!$J$5:$J$300,'ИТОГО Лэндинг'!$B$5:$B$300,$B96),8)))</f>
        <v/>
      </c>
      <c r="K96" s="246">
        <f>IF($B96="","",ROUND(SUMIFS('ИТОГО Торговля'!$K$5:$K$300,'ИТОГО Торговля'!$B$5:$B$300,$B96)+SUMIFS('ИТОГО Лэндинг'!$K$5:$K$300,'ИТОГО Лэндинг'!$B$5:$B$300,$B96),8))</f>
        <v/>
      </c>
      <c r="L96" s="183">
        <f>IF(K96="","",IF(SUMPRODUCT((Закрытые!$E$5:$E$300=$B96)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96/SUMPRODUCT((Закрытые!$E$5:$E$300=$B96)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6" s="183">
        <f>IF(OR(ROUND(N(C96)-N(F96),8)=0,1-N(Ввод!$E$17)/100&lt;=0),"",IF(N(C96)&gt;N(F96),(N(E96)-N(H96))/((N(C96)-N(F96))*(1-N(Ввод!$E$17)/100)),(N(H96)-N(E96))/((N(F96)-N(C96))*(1+N(Ввод!$E$17)/100))))</f>
        <v/>
      </c>
    </row>
    <row r="97" ht="22" customHeight="1">
      <c r="B97" s="315" t="n"/>
      <c r="C97" s="240">
        <f>IF($B97="","",IF(SUMIFS('ИТОГО Торговля'!$C$5:$C$300,'ИТОГО Торговля'!$B$5:$B$300,$B97)+SUMIFS('ИТОГО Лэндинг'!$C$5:$C$300,'ИТОГО Лэндинг'!$B$5:$B$300,$B97)=0,"",SUMIFS('ИТОГО Торговля'!$C$5:$C$300,'ИТОГО Торговля'!$B$5:$B$300,$B97)+SUMIFS('ИТОГО Лэндинг'!$C$5:$C$300,'ИТОГО Лэндинг'!$B$5:$B$300,$B97)))</f>
        <v/>
      </c>
      <c r="D97" s="177">
        <f>IF(C97="","",E97/C97)</f>
        <v/>
      </c>
      <c r="E97" s="241">
        <f>IF(C97="","",SUMIFS('ИТОГО Торговля'!$E$5:$E$300,'ИТОГО Торговля'!$B$5:$B$300,$B97)+SUMIFS('ИТОГО Лэндинг'!$E$5:$E$300,'ИТОГО Лэндинг'!$B$5:$B$300,$B97))</f>
        <v/>
      </c>
      <c r="F97" s="240">
        <f>IF($B97="","",IF(SUMIFS('ИТОГО Торговля'!$F$5:$F$300,'ИТОГО Торговля'!$B$5:$B$300,$B97)+SUMIFS('ИТОГО Лэндинг'!$F$5:$F$300,'ИТОГО Лэндинг'!$B$5:$B$300,$B97)=0,"",SUMIFS('ИТОГО Торговля'!$F$5:$F$300,'ИТОГО Торговля'!$B$5:$B$300,$B97)+SUMIFS('ИТОГО Лэндинг'!$F$5:$F$300,'ИТОГО Лэндинг'!$B$5:$B$300,$B97)))</f>
        <v/>
      </c>
      <c r="G97" s="177">
        <f>IF(F97="","",H97/F97)</f>
        <v/>
      </c>
      <c r="H97" s="241">
        <f>IF(F97="","",SUMIFS('ИТОГО Торговля'!$H$5:$H$300,'ИТОГО Торговля'!$B$5:$B$300,$B97)+SUMIFS('ИТОГО Лэндинг'!$H$5:$H$300,'ИТОГО Лэндинг'!$B$5:$B$300,$B97))</f>
        <v/>
      </c>
      <c r="I97" s="240">
        <f>IF($B97="","",IF(AND(C97="",F97=""),"",ROUND(SUMIFS('ИТОГО Торговля'!$I$5:$I$300,'ИТОГО Торговля'!$B$5:$B$300,$B97)+SUMIFS('ИТОГО Лэндинг'!$I$5:$I$300,'ИТОГО Лэндинг'!$B$5:$B$300,$B97),8)))</f>
        <v/>
      </c>
      <c r="J97" s="241">
        <f>IF($B97="","",IF(AND(C97="",F97=""),"",ROUND(SUMIFS('ИТОГО Торговля'!$J$5:$J$300,'ИТОГО Торговля'!$B$5:$B$300,$B97)+SUMIFS('ИТОГО Лэндинг'!$J$5:$J$300,'ИТОГО Лэндинг'!$B$5:$B$300,$B97),8)))</f>
        <v/>
      </c>
      <c r="K97" s="240">
        <f>IF($B97="","",ROUND(SUMIFS('ИТОГО Торговля'!$K$5:$K$300,'ИТОГО Торговля'!$B$5:$B$300,$B97)+SUMIFS('ИТОГО Лэндинг'!$K$5:$K$300,'ИТОГО Лэндинг'!$B$5:$B$300,$B97),8))</f>
        <v/>
      </c>
      <c r="L97" s="177">
        <f>IF(K97="","",IF(SUMPRODUCT((Закрытые!$E$5:$E$300=$B97)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97/SUMPRODUCT((Закрытые!$E$5:$E$300=$B97)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7" s="177">
        <f>IF(OR(ROUND(N(C97)-N(F97),8)=0,1-N(Ввод!$E$17)/100&lt;=0),"",IF(N(C97)&gt;N(F97),(N(E97)-N(H97))/((N(C97)-N(F97))*(1-N(Ввод!$E$17)/100)),(N(H97)-N(E97))/((N(F97)-N(C97))*(1+N(Ввод!$E$17)/100))))</f>
        <v/>
      </c>
    </row>
    <row r="98" ht="22" customHeight="1">
      <c r="B98" s="320" t="n"/>
      <c r="C98" s="246">
        <f>IF($B98="","",IF(SUMIFS('ИТОГО Торговля'!$C$5:$C$300,'ИТОГО Торговля'!$B$5:$B$300,$B98)+SUMIFS('ИТОГО Лэндинг'!$C$5:$C$300,'ИТОГО Лэндинг'!$B$5:$B$300,$B98)=0,"",SUMIFS('ИТОГО Торговля'!$C$5:$C$300,'ИТОГО Торговля'!$B$5:$B$300,$B98)+SUMIFS('ИТОГО Лэндинг'!$C$5:$C$300,'ИТОГО Лэндинг'!$B$5:$B$300,$B98)))</f>
        <v/>
      </c>
      <c r="D98" s="183">
        <f>IF(C98="","",E98/C98)</f>
        <v/>
      </c>
      <c r="E98" s="247">
        <f>IF(C98="","",SUMIFS('ИТОГО Торговля'!$E$5:$E$300,'ИТОГО Торговля'!$B$5:$B$300,$B98)+SUMIFS('ИТОГО Лэндинг'!$E$5:$E$300,'ИТОГО Лэндинг'!$B$5:$B$300,$B98))</f>
        <v/>
      </c>
      <c r="F98" s="246">
        <f>IF($B98="","",IF(SUMIFS('ИТОГО Торговля'!$F$5:$F$300,'ИТОГО Торговля'!$B$5:$B$300,$B98)+SUMIFS('ИТОГО Лэндинг'!$F$5:$F$300,'ИТОГО Лэндинг'!$B$5:$B$300,$B98)=0,"",SUMIFS('ИТОГО Торговля'!$F$5:$F$300,'ИТОГО Торговля'!$B$5:$B$300,$B98)+SUMIFS('ИТОГО Лэндинг'!$F$5:$F$300,'ИТОГО Лэндинг'!$B$5:$B$300,$B98)))</f>
        <v/>
      </c>
      <c r="G98" s="183">
        <f>IF(F98="","",H98/F98)</f>
        <v/>
      </c>
      <c r="H98" s="247">
        <f>IF(F98="","",SUMIFS('ИТОГО Торговля'!$H$5:$H$300,'ИТОГО Торговля'!$B$5:$B$300,$B98)+SUMIFS('ИТОГО Лэндинг'!$H$5:$H$300,'ИТОГО Лэндинг'!$B$5:$B$300,$B98))</f>
        <v/>
      </c>
      <c r="I98" s="246">
        <f>IF($B98="","",IF(AND(C98="",F98=""),"",ROUND(SUMIFS('ИТОГО Торговля'!$I$5:$I$300,'ИТОГО Торговля'!$B$5:$B$300,$B98)+SUMIFS('ИТОГО Лэндинг'!$I$5:$I$300,'ИТОГО Лэндинг'!$B$5:$B$300,$B98),8)))</f>
        <v/>
      </c>
      <c r="J98" s="247">
        <f>IF($B98="","",IF(AND(C98="",F98=""),"",ROUND(SUMIFS('ИТОГО Торговля'!$J$5:$J$300,'ИТОГО Торговля'!$B$5:$B$300,$B98)+SUMIFS('ИТОГО Лэндинг'!$J$5:$J$300,'ИТОГО Лэндинг'!$B$5:$B$300,$B98),8)))</f>
        <v/>
      </c>
      <c r="K98" s="246">
        <f>IF($B98="","",ROUND(SUMIFS('ИТОГО Торговля'!$K$5:$K$300,'ИТОГО Торговля'!$B$5:$B$300,$B98)+SUMIFS('ИТОГО Лэндинг'!$K$5:$K$300,'ИТОГО Лэндинг'!$B$5:$B$300,$B98),8))</f>
        <v/>
      </c>
      <c r="L98" s="183">
        <f>IF(K98="","",IF(SUMPRODUCT((Закрытые!$E$5:$E$300=$B98)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98/SUMPRODUCT((Закрытые!$E$5:$E$300=$B98)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8" s="183">
        <f>IF(OR(ROUND(N(C98)-N(F98),8)=0,1-N(Ввод!$E$17)/100&lt;=0),"",IF(N(C98)&gt;N(F98),(N(E98)-N(H98))/((N(C98)-N(F98))*(1-N(Ввод!$E$17)/100)),(N(H98)-N(E98))/((N(F98)-N(C98))*(1+N(Ввод!$E$17)/100))))</f>
        <v/>
      </c>
    </row>
    <row r="99" ht="22" customHeight="1">
      <c r="B99" s="315" t="n"/>
      <c r="C99" s="240">
        <f>IF($B99="","",IF(SUMIFS('ИТОГО Торговля'!$C$5:$C$300,'ИТОГО Торговля'!$B$5:$B$300,$B99)+SUMIFS('ИТОГО Лэндинг'!$C$5:$C$300,'ИТОГО Лэндинг'!$B$5:$B$300,$B99)=0,"",SUMIFS('ИТОГО Торговля'!$C$5:$C$300,'ИТОГО Торговля'!$B$5:$B$300,$B99)+SUMIFS('ИТОГО Лэндинг'!$C$5:$C$300,'ИТОГО Лэндинг'!$B$5:$B$300,$B99)))</f>
        <v/>
      </c>
      <c r="D99" s="177">
        <f>IF(C99="","",E99/C99)</f>
        <v/>
      </c>
      <c r="E99" s="241">
        <f>IF(C99="","",SUMIFS('ИТОГО Торговля'!$E$5:$E$300,'ИТОГО Торговля'!$B$5:$B$300,$B99)+SUMIFS('ИТОГО Лэндинг'!$E$5:$E$300,'ИТОГО Лэндинг'!$B$5:$B$300,$B99))</f>
        <v/>
      </c>
      <c r="F99" s="240">
        <f>IF($B99="","",IF(SUMIFS('ИТОГО Торговля'!$F$5:$F$300,'ИТОГО Торговля'!$B$5:$B$300,$B99)+SUMIFS('ИТОГО Лэндинг'!$F$5:$F$300,'ИТОГО Лэндинг'!$B$5:$B$300,$B99)=0,"",SUMIFS('ИТОГО Торговля'!$F$5:$F$300,'ИТОГО Торговля'!$B$5:$B$300,$B99)+SUMIFS('ИТОГО Лэндинг'!$F$5:$F$300,'ИТОГО Лэндинг'!$B$5:$B$300,$B99)))</f>
        <v/>
      </c>
      <c r="G99" s="177">
        <f>IF(F99="","",H99/F99)</f>
        <v/>
      </c>
      <c r="H99" s="241">
        <f>IF(F99="","",SUMIFS('ИТОГО Торговля'!$H$5:$H$300,'ИТОГО Торговля'!$B$5:$B$300,$B99)+SUMIFS('ИТОГО Лэндинг'!$H$5:$H$300,'ИТОГО Лэндинг'!$B$5:$B$300,$B99))</f>
        <v/>
      </c>
      <c r="I99" s="240">
        <f>IF($B99="","",IF(AND(C99="",F99=""),"",ROUND(SUMIFS('ИТОГО Торговля'!$I$5:$I$300,'ИТОГО Торговля'!$B$5:$B$300,$B99)+SUMIFS('ИТОГО Лэндинг'!$I$5:$I$300,'ИТОГО Лэндинг'!$B$5:$B$300,$B99),8)))</f>
        <v/>
      </c>
      <c r="J99" s="241">
        <f>IF($B99="","",IF(AND(C99="",F99=""),"",ROUND(SUMIFS('ИТОГО Торговля'!$J$5:$J$300,'ИТОГО Торговля'!$B$5:$B$300,$B99)+SUMIFS('ИТОГО Лэндинг'!$J$5:$J$300,'ИТОГО Лэндинг'!$B$5:$B$300,$B99),8)))</f>
        <v/>
      </c>
      <c r="K99" s="240">
        <f>IF($B99="","",ROUND(SUMIFS('ИТОГО Торговля'!$K$5:$K$300,'ИТОГО Торговля'!$B$5:$B$300,$B99)+SUMIFS('ИТОГО Лэндинг'!$K$5:$K$300,'ИТОГО Лэндинг'!$B$5:$B$300,$B99),8))</f>
        <v/>
      </c>
      <c r="L99" s="177">
        <f>IF(K99="","",IF(SUMPRODUCT((Закрытые!$E$5:$E$300=$B99)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99/SUMPRODUCT((Закрытые!$E$5:$E$300=$B99)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9" s="177">
        <f>IF(OR(ROUND(N(C99)-N(F99),8)=0,1-N(Ввод!$E$17)/100&lt;=0),"",IF(N(C99)&gt;N(F99),(N(E99)-N(H99))/((N(C99)-N(F99))*(1-N(Ввод!$E$17)/100)),(N(H99)-N(E99))/((N(F99)-N(C99))*(1+N(Ввод!$E$17)/100))))</f>
        <v/>
      </c>
    </row>
    <row r="100" ht="22" customHeight="1">
      <c r="B100" s="320" t="n"/>
      <c r="C100" s="246">
        <f>IF($B100="","",IF(SUMIFS('ИТОГО Торговля'!$C$5:$C$300,'ИТОГО Торговля'!$B$5:$B$300,$B100)+SUMIFS('ИТОГО Лэндинг'!$C$5:$C$300,'ИТОГО Лэндинг'!$B$5:$B$300,$B100)=0,"",SUMIFS('ИТОГО Торговля'!$C$5:$C$300,'ИТОГО Торговля'!$B$5:$B$300,$B100)+SUMIFS('ИТОГО Лэндинг'!$C$5:$C$300,'ИТОГО Лэндинг'!$B$5:$B$300,$B100)))</f>
        <v/>
      </c>
      <c r="D100" s="183">
        <f>IF(C100="","",E100/C100)</f>
        <v/>
      </c>
      <c r="E100" s="247">
        <f>IF(C100="","",SUMIFS('ИТОГО Торговля'!$E$5:$E$300,'ИТОГО Торговля'!$B$5:$B$300,$B100)+SUMIFS('ИТОГО Лэндинг'!$E$5:$E$300,'ИТОГО Лэндинг'!$B$5:$B$300,$B100))</f>
        <v/>
      </c>
      <c r="F100" s="246">
        <f>IF($B100="","",IF(SUMIFS('ИТОГО Торговля'!$F$5:$F$300,'ИТОГО Торговля'!$B$5:$B$300,$B100)+SUMIFS('ИТОГО Лэндинг'!$F$5:$F$300,'ИТОГО Лэндинг'!$B$5:$B$300,$B100)=0,"",SUMIFS('ИТОГО Торговля'!$F$5:$F$300,'ИТОГО Торговля'!$B$5:$B$300,$B100)+SUMIFS('ИТОГО Лэндинг'!$F$5:$F$300,'ИТОГО Лэндинг'!$B$5:$B$300,$B100)))</f>
        <v/>
      </c>
      <c r="G100" s="183">
        <f>IF(F100="","",H100/F100)</f>
        <v/>
      </c>
      <c r="H100" s="247">
        <f>IF(F100="","",SUMIFS('ИТОГО Торговля'!$H$5:$H$300,'ИТОГО Торговля'!$B$5:$B$300,$B100)+SUMIFS('ИТОГО Лэндинг'!$H$5:$H$300,'ИТОГО Лэндинг'!$B$5:$B$300,$B100))</f>
        <v/>
      </c>
      <c r="I100" s="246">
        <f>IF($B100="","",IF(AND(C100="",F100=""),"",ROUND(SUMIFS('ИТОГО Торговля'!$I$5:$I$300,'ИТОГО Торговля'!$B$5:$B$300,$B100)+SUMIFS('ИТОГО Лэндинг'!$I$5:$I$300,'ИТОГО Лэндинг'!$B$5:$B$300,$B100),8)))</f>
        <v/>
      </c>
      <c r="J100" s="247">
        <f>IF($B100="","",IF(AND(C100="",F100=""),"",ROUND(SUMIFS('ИТОГО Торговля'!$J$5:$J$300,'ИТОГО Торговля'!$B$5:$B$300,$B100)+SUMIFS('ИТОГО Лэндинг'!$J$5:$J$300,'ИТОГО Лэндинг'!$B$5:$B$300,$B100),8)))</f>
        <v/>
      </c>
      <c r="K100" s="246">
        <f>IF($B100="","",ROUND(SUMIFS('ИТОГО Торговля'!$K$5:$K$300,'ИТОГО Торговля'!$B$5:$B$300,$B100)+SUMIFS('ИТОГО Лэндинг'!$K$5:$K$300,'ИТОГО Лэндинг'!$B$5:$B$300,$B100),8))</f>
        <v/>
      </c>
      <c r="L100" s="183">
        <f>IF(K100="","",IF(SUMPRODUCT((Закрытые!$E$5:$E$300=$B100)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100/SUMPRODUCT((Закрытые!$E$5:$E$300=$B100)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0" s="183">
        <f>IF(OR(ROUND(N(C100)-N(F100),8)=0,1-N(Ввод!$E$17)/100&lt;=0),"",IF(N(C100)&gt;N(F100),(N(E100)-N(H100))/((N(C100)-N(F100))*(1-N(Ввод!$E$17)/100)),(N(H100)-N(E100))/((N(F100)-N(C100))*(1+N(Ввод!$E$17)/100))))</f>
        <v/>
      </c>
    </row>
    <row r="101" ht="22" customHeight="1">
      <c r="B101" s="315" t="n"/>
      <c r="C101" s="240">
        <f>IF($B101="","",IF(SUMIFS('ИТОГО Торговля'!$C$5:$C$300,'ИТОГО Торговля'!$B$5:$B$300,$B101)+SUMIFS('ИТОГО Лэндинг'!$C$5:$C$300,'ИТОГО Лэндинг'!$B$5:$B$300,$B101)=0,"",SUMIFS('ИТОГО Торговля'!$C$5:$C$300,'ИТОГО Торговля'!$B$5:$B$300,$B101)+SUMIFS('ИТОГО Лэндинг'!$C$5:$C$300,'ИТОГО Лэндинг'!$B$5:$B$300,$B101)))</f>
        <v/>
      </c>
      <c r="D101" s="177">
        <f>IF(C101="","",E101/C101)</f>
        <v/>
      </c>
      <c r="E101" s="241">
        <f>IF(C101="","",SUMIFS('ИТОГО Торговля'!$E$5:$E$300,'ИТОГО Торговля'!$B$5:$B$300,$B101)+SUMIFS('ИТОГО Лэндинг'!$E$5:$E$300,'ИТОГО Лэндинг'!$B$5:$B$300,$B101))</f>
        <v/>
      </c>
      <c r="F101" s="240">
        <f>IF($B101="","",IF(SUMIFS('ИТОГО Торговля'!$F$5:$F$300,'ИТОГО Торговля'!$B$5:$B$300,$B101)+SUMIFS('ИТОГО Лэндинг'!$F$5:$F$300,'ИТОГО Лэндинг'!$B$5:$B$300,$B101)=0,"",SUMIFS('ИТОГО Торговля'!$F$5:$F$300,'ИТОГО Торговля'!$B$5:$B$300,$B101)+SUMIFS('ИТОГО Лэндинг'!$F$5:$F$300,'ИТОГО Лэндинг'!$B$5:$B$300,$B101)))</f>
        <v/>
      </c>
      <c r="G101" s="177">
        <f>IF(F101="","",H101/F101)</f>
        <v/>
      </c>
      <c r="H101" s="241">
        <f>IF(F101="","",SUMIFS('ИТОГО Торговля'!$H$5:$H$300,'ИТОГО Торговля'!$B$5:$B$300,$B101)+SUMIFS('ИТОГО Лэндинг'!$H$5:$H$300,'ИТОГО Лэндинг'!$B$5:$B$300,$B101))</f>
        <v/>
      </c>
      <c r="I101" s="240">
        <f>IF($B101="","",IF(AND(C101="",F101=""),"",ROUND(SUMIFS('ИТОГО Торговля'!$I$5:$I$300,'ИТОГО Торговля'!$B$5:$B$300,$B101)+SUMIFS('ИТОГО Лэндинг'!$I$5:$I$300,'ИТОГО Лэндинг'!$B$5:$B$300,$B101),8)))</f>
        <v/>
      </c>
      <c r="J101" s="241">
        <f>IF($B101="","",IF(AND(C101="",F101=""),"",ROUND(SUMIFS('ИТОГО Торговля'!$J$5:$J$300,'ИТОГО Торговля'!$B$5:$B$300,$B101)+SUMIFS('ИТОГО Лэндинг'!$J$5:$J$300,'ИТОГО Лэндинг'!$B$5:$B$300,$B101),8)))</f>
        <v/>
      </c>
      <c r="K101" s="240">
        <f>IF($B101="","",ROUND(SUMIFS('ИТОГО Торговля'!$K$5:$K$300,'ИТОГО Торговля'!$B$5:$B$300,$B101)+SUMIFS('ИТОГО Лэндинг'!$K$5:$K$300,'ИТОГО Лэндинг'!$B$5:$B$300,$B101),8))</f>
        <v/>
      </c>
      <c r="L101" s="177">
        <f>IF(K101="","",IF(SUMPRODUCT((Закрытые!$E$5:$E$300=$B101)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101/SUMPRODUCT((Закрытые!$E$5:$E$300=$B101)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1" s="177">
        <f>IF(OR(ROUND(N(C101)-N(F101),8)=0,1-N(Ввод!$E$17)/100&lt;=0),"",IF(N(C101)&gt;N(F101),(N(E101)-N(H101))/((N(C101)-N(F101))*(1-N(Ввод!$E$17)/100)),(N(H101)-N(E101))/((N(F101)-N(C101))*(1+N(Ввод!$E$17)/100))))</f>
        <v/>
      </c>
    </row>
    <row r="102" ht="22" customHeight="1">
      <c r="B102" s="320" t="n"/>
      <c r="C102" s="246">
        <f>IF($B102="","",IF(SUMIFS('ИТОГО Торговля'!$C$5:$C$300,'ИТОГО Торговля'!$B$5:$B$300,$B102)+SUMIFS('ИТОГО Лэндинг'!$C$5:$C$300,'ИТОГО Лэндинг'!$B$5:$B$300,$B102)=0,"",SUMIFS('ИТОГО Торговля'!$C$5:$C$300,'ИТОГО Торговля'!$B$5:$B$300,$B102)+SUMIFS('ИТОГО Лэндинг'!$C$5:$C$300,'ИТОГО Лэндинг'!$B$5:$B$300,$B102)))</f>
        <v/>
      </c>
      <c r="D102" s="183">
        <f>IF(C102="","",E102/C102)</f>
        <v/>
      </c>
      <c r="E102" s="247">
        <f>IF(C102="","",SUMIFS('ИТОГО Торговля'!$E$5:$E$300,'ИТОГО Торговля'!$B$5:$B$300,$B102)+SUMIFS('ИТОГО Лэндинг'!$E$5:$E$300,'ИТОГО Лэндинг'!$B$5:$B$300,$B102))</f>
        <v/>
      </c>
      <c r="F102" s="246">
        <f>IF($B102="","",IF(SUMIFS('ИТОГО Торговля'!$F$5:$F$300,'ИТОГО Торговля'!$B$5:$B$300,$B102)+SUMIFS('ИТОГО Лэндинг'!$F$5:$F$300,'ИТОГО Лэндинг'!$B$5:$B$300,$B102)=0,"",SUMIFS('ИТОГО Торговля'!$F$5:$F$300,'ИТОГО Торговля'!$B$5:$B$300,$B102)+SUMIFS('ИТОГО Лэндинг'!$F$5:$F$300,'ИТОГО Лэндинг'!$B$5:$B$300,$B102)))</f>
        <v/>
      </c>
      <c r="G102" s="183">
        <f>IF(F102="","",H102/F102)</f>
        <v/>
      </c>
      <c r="H102" s="247">
        <f>IF(F102="","",SUMIFS('ИТОГО Торговля'!$H$5:$H$300,'ИТОГО Торговля'!$B$5:$B$300,$B102)+SUMIFS('ИТОГО Лэндинг'!$H$5:$H$300,'ИТОГО Лэндинг'!$B$5:$B$300,$B102))</f>
        <v/>
      </c>
      <c r="I102" s="246">
        <f>IF($B102="","",IF(AND(C102="",F102=""),"",ROUND(SUMIFS('ИТОГО Торговля'!$I$5:$I$300,'ИТОГО Торговля'!$B$5:$B$300,$B102)+SUMIFS('ИТОГО Лэндинг'!$I$5:$I$300,'ИТОГО Лэндинг'!$B$5:$B$300,$B102),8)))</f>
        <v/>
      </c>
      <c r="J102" s="247">
        <f>IF($B102="","",IF(AND(C102="",F102=""),"",ROUND(SUMIFS('ИТОГО Торговля'!$J$5:$J$300,'ИТОГО Торговля'!$B$5:$B$300,$B102)+SUMIFS('ИТОГО Лэндинг'!$J$5:$J$300,'ИТОГО Лэндинг'!$B$5:$B$300,$B102),8)))</f>
        <v/>
      </c>
      <c r="K102" s="246">
        <f>IF($B102="","",ROUND(SUMIFS('ИТОГО Торговля'!$K$5:$K$300,'ИТОГО Торговля'!$B$5:$B$300,$B102)+SUMIFS('ИТОГО Лэндинг'!$K$5:$K$300,'ИТОГО Лэндинг'!$B$5:$B$300,$B102),8))</f>
        <v/>
      </c>
      <c r="L102" s="183">
        <f>IF(K102="","",IF(SUMPRODUCT((Закрытые!$E$5:$E$300=$B102)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102/SUMPRODUCT((Закрытые!$E$5:$E$300=$B102)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2" s="183">
        <f>IF(OR(ROUND(N(C102)-N(F102),8)=0,1-N(Ввод!$E$17)/100&lt;=0),"",IF(N(C102)&gt;N(F102),(N(E102)-N(H102))/((N(C102)-N(F102))*(1-N(Ввод!$E$17)/100)),(N(H102)-N(E102))/((N(F102)-N(C102))*(1+N(Ввод!$E$17)/100))))</f>
        <v/>
      </c>
    </row>
    <row r="103" ht="22" customHeight="1">
      <c r="B103" s="315" t="n"/>
      <c r="C103" s="240">
        <f>IF($B103="","",IF(SUMIFS('ИТОГО Торговля'!$C$5:$C$300,'ИТОГО Торговля'!$B$5:$B$300,$B103)+SUMIFS('ИТОГО Лэндинг'!$C$5:$C$300,'ИТОГО Лэндинг'!$B$5:$B$300,$B103)=0,"",SUMIFS('ИТОГО Торговля'!$C$5:$C$300,'ИТОГО Торговля'!$B$5:$B$300,$B103)+SUMIFS('ИТОГО Лэндинг'!$C$5:$C$300,'ИТОГО Лэндинг'!$B$5:$B$300,$B103)))</f>
        <v/>
      </c>
      <c r="D103" s="177">
        <f>IF(C103="","",E103/C103)</f>
        <v/>
      </c>
      <c r="E103" s="241">
        <f>IF(C103="","",SUMIFS('ИТОГО Торговля'!$E$5:$E$300,'ИТОГО Торговля'!$B$5:$B$300,$B103)+SUMIFS('ИТОГО Лэндинг'!$E$5:$E$300,'ИТОГО Лэндинг'!$B$5:$B$300,$B103))</f>
        <v/>
      </c>
      <c r="F103" s="240">
        <f>IF($B103="","",IF(SUMIFS('ИТОГО Торговля'!$F$5:$F$300,'ИТОГО Торговля'!$B$5:$B$300,$B103)+SUMIFS('ИТОГО Лэндинг'!$F$5:$F$300,'ИТОГО Лэндинг'!$B$5:$B$300,$B103)=0,"",SUMIFS('ИТОГО Торговля'!$F$5:$F$300,'ИТОГО Торговля'!$B$5:$B$300,$B103)+SUMIFS('ИТОГО Лэндинг'!$F$5:$F$300,'ИТОГО Лэндинг'!$B$5:$B$300,$B103)))</f>
        <v/>
      </c>
      <c r="G103" s="177">
        <f>IF(F103="","",H103/F103)</f>
        <v/>
      </c>
      <c r="H103" s="241">
        <f>IF(F103="","",SUMIFS('ИТОГО Торговля'!$H$5:$H$300,'ИТОГО Торговля'!$B$5:$B$300,$B103)+SUMIFS('ИТОГО Лэндинг'!$H$5:$H$300,'ИТОГО Лэндинг'!$B$5:$B$300,$B103))</f>
        <v/>
      </c>
      <c r="I103" s="240">
        <f>IF($B103="","",IF(AND(C103="",F103=""),"",ROUND(SUMIFS('ИТОГО Торговля'!$I$5:$I$300,'ИТОГО Торговля'!$B$5:$B$300,$B103)+SUMIFS('ИТОГО Лэндинг'!$I$5:$I$300,'ИТОГО Лэндинг'!$B$5:$B$300,$B103),8)))</f>
        <v/>
      </c>
      <c r="J103" s="241">
        <f>IF($B103="","",IF(AND(C103="",F103=""),"",ROUND(SUMIFS('ИТОГО Торговля'!$J$5:$J$300,'ИТОГО Торговля'!$B$5:$B$300,$B103)+SUMIFS('ИТОГО Лэндинг'!$J$5:$J$300,'ИТОГО Лэндинг'!$B$5:$B$300,$B103),8)))</f>
        <v/>
      </c>
      <c r="K103" s="240">
        <f>IF($B103="","",ROUND(SUMIFS('ИТОГО Торговля'!$K$5:$K$300,'ИТОГО Торговля'!$B$5:$B$300,$B103)+SUMIFS('ИТОГО Лэндинг'!$K$5:$K$300,'ИТОГО Лэндинг'!$B$5:$B$300,$B103),8))</f>
        <v/>
      </c>
      <c r="L103" s="177">
        <f>IF(K103="","",IF(SUMPRODUCT((Закрытые!$E$5:$E$300=$B103)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103/SUMPRODUCT((Закрытые!$E$5:$E$300=$B103)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3" s="177">
        <f>IF(OR(ROUND(N(C103)-N(F103),8)=0,1-N(Ввод!$E$17)/100&lt;=0),"",IF(N(C103)&gt;N(F103),(N(E103)-N(H103))/((N(C103)-N(F103))*(1-N(Ввод!$E$17)/100)),(N(H103)-N(E103))/((N(F103)-N(C103))*(1+N(Ввод!$E$17)/100))))</f>
        <v/>
      </c>
    </row>
    <row r="104" ht="22" customHeight="1">
      <c r="B104" s="320" t="n"/>
      <c r="C104" s="246">
        <f>IF($B104="","",IF(SUMIFS('ИТОГО Торговля'!$C$5:$C$300,'ИТОГО Торговля'!$B$5:$B$300,$B104)+SUMIFS('ИТОГО Лэндинг'!$C$5:$C$300,'ИТОГО Лэндинг'!$B$5:$B$300,$B104)=0,"",SUMIFS('ИТОГО Торговля'!$C$5:$C$300,'ИТОГО Торговля'!$B$5:$B$300,$B104)+SUMIFS('ИТОГО Лэндинг'!$C$5:$C$300,'ИТОГО Лэндинг'!$B$5:$B$300,$B104)))</f>
        <v/>
      </c>
      <c r="D104" s="183">
        <f>IF(C104="","",E104/C104)</f>
        <v/>
      </c>
      <c r="E104" s="247">
        <f>IF(C104="","",SUMIFS('ИТОГО Торговля'!$E$5:$E$300,'ИТОГО Торговля'!$B$5:$B$300,$B104)+SUMIFS('ИТОГО Лэндинг'!$E$5:$E$300,'ИТОГО Лэндинг'!$B$5:$B$300,$B104))</f>
        <v/>
      </c>
      <c r="F104" s="246">
        <f>IF($B104="","",IF(SUMIFS('ИТОГО Торговля'!$F$5:$F$300,'ИТОГО Торговля'!$B$5:$B$300,$B104)+SUMIFS('ИТОГО Лэндинг'!$F$5:$F$300,'ИТОГО Лэндинг'!$B$5:$B$300,$B104)=0,"",SUMIFS('ИТОГО Торговля'!$F$5:$F$300,'ИТОГО Торговля'!$B$5:$B$300,$B104)+SUMIFS('ИТОГО Лэндинг'!$F$5:$F$300,'ИТОГО Лэндинг'!$B$5:$B$300,$B104)))</f>
        <v/>
      </c>
      <c r="G104" s="183">
        <f>IF(F104="","",H104/F104)</f>
        <v/>
      </c>
      <c r="H104" s="247">
        <f>IF(F104="","",SUMIFS('ИТОГО Торговля'!$H$5:$H$300,'ИТОГО Торговля'!$B$5:$B$300,$B104)+SUMIFS('ИТОГО Лэндинг'!$H$5:$H$300,'ИТОГО Лэндинг'!$B$5:$B$300,$B104))</f>
        <v/>
      </c>
      <c r="I104" s="246">
        <f>IF($B104="","",IF(AND(C104="",F104=""),"",ROUND(SUMIFS('ИТОГО Торговля'!$I$5:$I$300,'ИТОГО Торговля'!$B$5:$B$300,$B104)+SUMIFS('ИТОГО Лэндинг'!$I$5:$I$300,'ИТОГО Лэндинг'!$B$5:$B$300,$B104),8)))</f>
        <v/>
      </c>
      <c r="J104" s="247">
        <f>IF($B104="","",IF(AND(C104="",F104=""),"",ROUND(SUMIFS('ИТОГО Торговля'!$J$5:$J$300,'ИТОГО Торговля'!$B$5:$B$300,$B104)+SUMIFS('ИТОГО Лэндинг'!$J$5:$J$300,'ИТОГО Лэндинг'!$B$5:$B$300,$B104),8)))</f>
        <v/>
      </c>
      <c r="K104" s="246">
        <f>IF($B104="","",ROUND(SUMIFS('ИТОГО Торговля'!$K$5:$K$300,'ИТОГО Торговля'!$B$5:$B$300,$B104)+SUMIFS('ИТОГО Лэндинг'!$K$5:$K$300,'ИТОГО Лэндинг'!$B$5:$B$300,$B104),8))</f>
        <v/>
      </c>
      <c r="L104" s="183">
        <f>IF(K104="","",IF(SUMPRODUCT((Закрытые!$E$5:$E$300=$B104)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104/SUMPRODUCT((Закрытые!$E$5:$E$300=$B104)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4" s="183">
        <f>IF(OR(ROUND(N(C104)-N(F104),8)=0,1-N(Ввод!$E$17)/100&lt;=0),"",IF(N(C104)&gt;N(F104),(N(E104)-N(H104))/((N(C104)-N(F104))*(1-N(Ввод!$E$17)/100)),(N(H104)-N(E104))/((N(F104)-N(C104))*(1+N(Ввод!$E$17)/100))))</f>
        <v/>
      </c>
    </row>
    <row r="105" ht="22" customHeight="1">
      <c r="B105" s="315" t="n"/>
      <c r="C105" s="240">
        <f>IF($B105="","",IF(SUMIFS('ИТОГО Торговля'!$C$5:$C$300,'ИТОГО Торговля'!$B$5:$B$300,$B105)+SUMIFS('ИТОГО Лэндинг'!$C$5:$C$300,'ИТОГО Лэндинг'!$B$5:$B$300,$B105)=0,"",SUMIFS('ИТОГО Торговля'!$C$5:$C$300,'ИТОГО Торговля'!$B$5:$B$300,$B105)+SUMIFS('ИТОГО Лэндинг'!$C$5:$C$300,'ИТОГО Лэндинг'!$B$5:$B$300,$B105)))</f>
        <v/>
      </c>
      <c r="D105" s="177">
        <f>IF(C105="","",E105/C105)</f>
        <v/>
      </c>
      <c r="E105" s="241">
        <f>IF(C105="","",SUMIFS('ИТОГО Торговля'!$E$5:$E$300,'ИТОГО Торговля'!$B$5:$B$300,$B105)+SUMIFS('ИТОГО Лэндинг'!$E$5:$E$300,'ИТОГО Лэндинг'!$B$5:$B$300,$B105))</f>
        <v/>
      </c>
      <c r="F105" s="240">
        <f>IF($B105="","",IF(SUMIFS('ИТОГО Торговля'!$F$5:$F$300,'ИТОГО Торговля'!$B$5:$B$300,$B105)+SUMIFS('ИТОГО Лэндинг'!$F$5:$F$300,'ИТОГО Лэндинг'!$B$5:$B$300,$B105)=0,"",SUMIFS('ИТОГО Торговля'!$F$5:$F$300,'ИТОГО Торговля'!$B$5:$B$300,$B105)+SUMIFS('ИТОГО Лэндинг'!$F$5:$F$300,'ИТОГО Лэндинг'!$B$5:$B$300,$B105)))</f>
        <v/>
      </c>
      <c r="G105" s="177">
        <f>IF(F105="","",H105/F105)</f>
        <v/>
      </c>
      <c r="H105" s="241">
        <f>IF(F105="","",SUMIFS('ИТОГО Торговля'!$H$5:$H$300,'ИТОГО Торговля'!$B$5:$B$300,$B105)+SUMIFS('ИТОГО Лэндинг'!$H$5:$H$300,'ИТОГО Лэндинг'!$B$5:$B$300,$B105))</f>
        <v/>
      </c>
      <c r="I105" s="240">
        <f>IF($B105="","",IF(AND(C105="",F105=""),"",ROUND(SUMIFS('ИТОГО Торговля'!$I$5:$I$300,'ИТОГО Торговля'!$B$5:$B$300,$B105)+SUMIFS('ИТОГО Лэндинг'!$I$5:$I$300,'ИТОГО Лэндинг'!$B$5:$B$300,$B105),8)))</f>
        <v/>
      </c>
      <c r="J105" s="241">
        <f>IF($B105="","",IF(AND(C105="",F105=""),"",ROUND(SUMIFS('ИТОГО Торговля'!$J$5:$J$300,'ИТОГО Торговля'!$B$5:$B$300,$B105)+SUMIFS('ИТОГО Лэндинг'!$J$5:$J$300,'ИТОГО Лэндинг'!$B$5:$B$300,$B105),8)))</f>
        <v/>
      </c>
      <c r="K105" s="240">
        <f>IF($B105="","",ROUND(SUMIFS('ИТОГО Торговля'!$K$5:$K$300,'ИТОГО Торговля'!$B$5:$B$300,$B105)+SUMIFS('ИТОГО Лэндинг'!$K$5:$K$300,'ИТОГО Лэндинг'!$B$5:$B$300,$B105),8))</f>
        <v/>
      </c>
      <c r="L105" s="177">
        <f>IF(K105="","",IF(SUMPRODUCT((Закрытые!$E$5:$E$300=$B105)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105/SUMPRODUCT((Закрытые!$E$5:$E$300=$B105)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5" s="177">
        <f>IF(OR(ROUND(N(C105)-N(F105),8)=0,1-N(Ввод!$E$17)/100&lt;=0),"",IF(N(C105)&gt;N(F105),(N(E105)-N(H105))/((N(C105)-N(F105))*(1-N(Ввод!$E$17)/100)),(N(H105)-N(E105))/((N(F105)-N(C105))*(1+N(Ввод!$E$17)/100))))</f>
        <v/>
      </c>
    </row>
    <row r="106" ht="22" customHeight="1">
      <c r="B106" s="320" t="n"/>
      <c r="C106" s="246">
        <f>IF($B106="","",IF(SUMIFS('ИТОГО Торговля'!$C$5:$C$300,'ИТОГО Торговля'!$B$5:$B$300,$B106)+SUMIFS('ИТОГО Лэндинг'!$C$5:$C$300,'ИТОГО Лэндинг'!$B$5:$B$300,$B106)=0,"",SUMIFS('ИТОГО Торговля'!$C$5:$C$300,'ИТОГО Торговля'!$B$5:$B$300,$B106)+SUMIFS('ИТОГО Лэндинг'!$C$5:$C$300,'ИТОГО Лэндинг'!$B$5:$B$300,$B106)))</f>
        <v/>
      </c>
      <c r="D106" s="183">
        <f>IF(C106="","",E106/C106)</f>
        <v/>
      </c>
      <c r="E106" s="247">
        <f>IF(C106="","",SUMIFS('ИТОГО Торговля'!$E$5:$E$300,'ИТОГО Торговля'!$B$5:$B$300,$B106)+SUMIFS('ИТОГО Лэндинг'!$E$5:$E$300,'ИТОГО Лэндинг'!$B$5:$B$300,$B106))</f>
        <v/>
      </c>
      <c r="F106" s="246">
        <f>IF($B106="","",IF(SUMIFS('ИТОГО Торговля'!$F$5:$F$300,'ИТОГО Торговля'!$B$5:$B$300,$B106)+SUMIFS('ИТОГО Лэндинг'!$F$5:$F$300,'ИТОГО Лэндинг'!$B$5:$B$300,$B106)=0,"",SUMIFS('ИТОГО Торговля'!$F$5:$F$300,'ИТОГО Торговля'!$B$5:$B$300,$B106)+SUMIFS('ИТОГО Лэндинг'!$F$5:$F$300,'ИТОГО Лэндинг'!$B$5:$B$300,$B106)))</f>
        <v/>
      </c>
      <c r="G106" s="183">
        <f>IF(F106="","",H106/F106)</f>
        <v/>
      </c>
      <c r="H106" s="247">
        <f>IF(F106="","",SUMIFS('ИТОГО Торговля'!$H$5:$H$300,'ИТОГО Торговля'!$B$5:$B$300,$B106)+SUMIFS('ИТОГО Лэндинг'!$H$5:$H$300,'ИТОГО Лэндинг'!$B$5:$B$300,$B106))</f>
        <v/>
      </c>
      <c r="I106" s="246">
        <f>IF($B106="","",IF(AND(C106="",F106=""),"",ROUND(SUMIFS('ИТОГО Торговля'!$I$5:$I$300,'ИТОГО Торговля'!$B$5:$B$300,$B106)+SUMIFS('ИТОГО Лэндинг'!$I$5:$I$300,'ИТОГО Лэндинг'!$B$5:$B$300,$B106),8)))</f>
        <v/>
      </c>
      <c r="J106" s="247">
        <f>IF($B106="","",IF(AND(C106="",F106=""),"",ROUND(SUMIFS('ИТОГО Торговля'!$J$5:$J$300,'ИТОГО Торговля'!$B$5:$B$300,$B106)+SUMIFS('ИТОГО Лэндинг'!$J$5:$J$300,'ИТОГО Лэндинг'!$B$5:$B$300,$B106),8)))</f>
        <v/>
      </c>
      <c r="K106" s="246">
        <f>IF($B106="","",ROUND(SUMIFS('ИТОГО Торговля'!$K$5:$K$300,'ИТОГО Торговля'!$B$5:$B$300,$B106)+SUMIFS('ИТОГО Лэндинг'!$K$5:$K$300,'ИТОГО Лэндинг'!$B$5:$B$300,$B106),8))</f>
        <v/>
      </c>
      <c r="L106" s="183">
        <f>IF(K106="","",IF(SUMPRODUCT((Закрытые!$E$5:$E$300=$B106)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106/SUMPRODUCT((Закрытые!$E$5:$E$300=$B106)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6" s="183">
        <f>IF(OR(ROUND(N(C106)-N(F106),8)=0,1-N(Ввод!$E$17)/100&lt;=0),"",IF(N(C106)&gt;N(F106),(N(E106)-N(H106))/((N(C106)-N(F106))*(1-N(Ввод!$E$17)/100)),(N(H106)-N(E106))/((N(F106)-N(C106))*(1+N(Ввод!$E$17)/100))))</f>
        <v/>
      </c>
    </row>
    <row r="107" ht="22" customHeight="1">
      <c r="B107" s="315" t="n"/>
      <c r="C107" s="240">
        <f>IF($B107="","",IF(SUMIFS('ИТОГО Торговля'!$C$5:$C$300,'ИТОГО Торговля'!$B$5:$B$300,$B107)+SUMIFS('ИТОГО Лэндинг'!$C$5:$C$300,'ИТОГО Лэндинг'!$B$5:$B$300,$B107)=0,"",SUMIFS('ИТОГО Торговля'!$C$5:$C$300,'ИТОГО Торговля'!$B$5:$B$300,$B107)+SUMIFS('ИТОГО Лэндинг'!$C$5:$C$300,'ИТОГО Лэндинг'!$B$5:$B$300,$B107)))</f>
        <v/>
      </c>
      <c r="D107" s="177">
        <f>IF(C107="","",E107/C107)</f>
        <v/>
      </c>
      <c r="E107" s="241">
        <f>IF(C107="","",SUMIFS('ИТОГО Торговля'!$E$5:$E$300,'ИТОГО Торговля'!$B$5:$B$300,$B107)+SUMIFS('ИТОГО Лэндинг'!$E$5:$E$300,'ИТОГО Лэндинг'!$B$5:$B$300,$B107))</f>
        <v/>
      </c>
      <c r="F107" s="240">
        <f>IF($B107="","",IF(SUMIFS('ИТОГО Торговля'!$F$5:$F$300,'ИТОГО Торговля'!$B$5:$B$300,$B107)+SUMIFS('ИТОГО Лэндинг'!$F$5:$F$300,'ИТОГО Лэндинг'!$B$5:$B$300,$B107)=0,"",SUMIFS('ИТОГО Торговля'!$F$5:$F$300,'ИТОГО Торговля'!$B$5:$B$300,$B107)+SUMIFS('ИТОГО Лэндинг'!$F$5:$F$300,'ИТОГО Лэндинг'!$B$5:$B$300,$B107)))</f>
        <v/>
      </c>
      <c r="G107" s="177">
        <f>IF(F107="","",H107/F107)</f>
        <v/>
      </c>
      <c r="H107" s="241">
        <f>IF(F107="","",SUMIFS('ИТОГО Торговля'!$H$5:$H$300,'ИТОГО Торговля'!$B$5:$B$300,$B107)+SUMIFS('ИТОГО Лэндинг'!$H$5:$H$300,'ИТОГО Лэндинг'!$B$5:$B$300,$B107))</f>
        <v/>
      </c>
      <c r="I107" s="240">
        <f>IF($B107="","",IF(AND(C107="",F107=""),"",ROUND(SUMIFS('ИТОГО Торговля'!$I$5:$I$300,'ИТОГО Торговля'!$B$5:$B$300,$B107)+SUMIFS('ИТОГО Лэндинг'!$I$5:$I$300,'ИТОГО Лэндинг'!$B$5:$B$300,$B107),8)))</f>
        <v/>
      </c>
      <c r="J107" s="241">
        <f>IF($B107="","",IF(AND(C107="",F107=""),"",ROUND(SUMIFS('ИТОГО Торговля'!$J$5:$J$300,'ИТОГО Торговля'!$B$5:$B$300,$B107)+SUMIFS('ИТОГО Лэндинг'!$J$5:$J$300,'ИТОГО Лэндинг'!$B$5:$B$300,$B107),8)))</f>
        <v/>
      </c>
      <c r="K107" s="240">
        <f>IF($B107="","",ROUND(SUMIFS('ИТОГО Торговля'!$K$5:$K$300,'ИТОГО Торговля'!$B$5:$B$300,$B107)+SUMIFS('ИТОГО Лэндинг'!$K$5:$K$300,'ИТОГО Лэндинг'!$B$5:$B$300,$B107),8))</f>
        <v/>
      </c>
      <c r="L107" s="177">
        <f>IF(K107="","",IF(SUMPRODUCT((Закрытые!$E$5:$E$300=$B107)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107/SUMPRODUCT((Закрытые!$E$5:$E$300=$B107)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7" s="177">
        <f>IF(OR(ROUND(N(C107)-N(F107),8)=0,1-N(Ввод!$E$17)/100&lt;=0),"",IF(N(C107)&gt;N(F107),(N(E107)-N(H107))/((N(C107)-N(F107))*(1-N(Ввод!$E$17)/100)),(N(H107)-N(E107))/((N(F107)-N(C107))*(1+N(Ввод!$E$17)/100))))</f>
        <v/>
      </c>
    </row>
    <row r="108" ht="22" customHeight="1">
      <c r="B108" s="320" t="n"/>
      <c r="C108" s="246">
        <f>IF($B108="","",IF(SUMIFS('ИТОГО Торговля'!$C$5:$C$300,'ИТОГО Торговля'!$B$5:$B$300,$B108)+SUMIFS('ИТОГО Лэндинг'!$C$5:$C$300,'ИТОГО Лэндинг'!$B$5:$B$300,$B108)=0,"",SUMIFS('ИТОГО Торговля'!$C$5:$C$300,'ИТОГО Торговля'!$B$5:$B$300,$B108)+SUMIFS('ИТОГО Лэндинг'!$C$5:$C$300,'ИТОГО Лэндинг'!$B$5:$B$300,$B108)))</f>
        <v/>
      </c>
      <c r="D108" s="183">
        <f>IF(C108="","",E108/C108)</f>
        <v/>
      </c>
      <c r="E108" s="247">
        <f>IF(C108="","",SUMIFS('ИТОГО Торговля'!$E$5:$E$300,'ИТОГО Торговля'!$B$5:$B$300,$B108)+SUMIFS('ИТОГО Лэндинг'!$E$5:$E$300,'ИТОГО Лэндинг'!$B$5:$B$300,$B108))</f>
        <v/>
      </c>
      <c r="F108" s="246">
        <f>IF($B108="","",IF(SUMIFS('ИТОГО Торговля'!$F$5:$F$300,'ИТОГО Торговля'!$B$5:$B$300,$B108)+SUMIFS('ИТОГО Лэндинг'!$F$5:$F$300,'ИТОГО Лэндинг'!$B$5:$B$300,$B108)=0,"",SUMIFS('ИТОГО Торговля'!$F$5:$F$300,'ИТОГО Торговля'!$B$5:$B$300,$B108)+SUMIFS('ИТОГО Лэндинг'!$F$5:$F$300,'ИТОГО Лэндинг'!$B$5:$B$300,$B108)))</f>
        <v/>
      </c>
      <c r="G108" s="183">
        <f>IF(F108="","",H108/F108)</f>
        <v/>
      </c>
      <c r="H108" s="247">
        <f>IF(F108="","",SUMIFS('ИТОГО Торговля'!$H$5:$H$300,'ИТОГО Торговля'!$B$5:$B$300,$B108)+SUMIFS('ИТОГО Лэндинг'!$H$5:$H$300,'ИТОГО Лэндинг'!$B$5:$B$300,$B108))</f>
        <v/>
      </c>
      <c r="I108" s="246">
        <f>IF($B108="","",IF(AND(C108="",F108=""),"",ROUND(SUMIFS('ИТОГО Торговля'!$I$5:$I$300,'ИТОГО Торговля'!$B$5:$B$300,$B108)+SUMIFS('ИТОГО Лэндинг'!$I$5:$I$300,'ИТОГО Лэндинг'!$B$5:$B$300,$B108),8)))</f>
        <v/>
      </c>
      <c r="J108" s="247">
        <f>IF($B108="","",IF(AND(C108="",F108=""),"",ROUND(SUMIFS('ИТОГО Торговля'!$J$5:$J$300,'ИТОГО Торговля'!$B$5:$B$300,$B108)+SUMIFS('ИТОГО Лэндинг'!$J$5:$J$300,'ИТОГО Лэндинг'!$B$5:$B$300,$B108),8)))</f>
        <v/>
      </c>
      <c r="K108" s="246">
        <f>IF($B108="","",ROUND(SUMIFS('ИТОГО Торговля'!$K$5:$K$300,'ИТОГО Торговля'!$B$5:$B$300,$B108)+SUMIFS('ИТОГО Лэндинг'!$K$5:$K$300,'ИТОГО Лэндинг'!$B$5:$B$300,$B108),8))</f>
        <v/>
      </c>
      <c r="L108" s="183">
        <f>IF(K108="","",IF(SUMPRODUCT((Закрытые!$E$5:$E$300=$B108)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108/SUMPRODUCT((Закрытые!$E$5:$E$300=$B108)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8" s="183">
        <f>IF(OR(ROUND(N(C108)-N(F108),8)=0,1-N(Ввод!$E$17)/100&lt;=0),"",IF(N(C108)&gt;N(F108),(N(E108)-N(H108))/((N(C108)-N(F108))*(1-N(Ввод!$E$17)/100)),(N(H108)-N(E108))/((N(F108)-N(C108))*(1+N(Ввод!$E$17)/100))))</f>
        <v/>
      </c>
    </row>
    <row r="109" ht="22" customHeight="1">
      <c r="B109" s="315" t="n"/>
      <c r="C109" s="240">
        <f>IF($B109="","",IF(SUMIFS('ИТОГО Торговля'!$C$5:$C$300,'ИТОГО Торговля'!$B$5:$B$300,$B109)+SUMIFS('ИТОГО Лэндинг'!$C$5:$C$300,'ИТОГО Лэндинг'!$B$5:$B$300,$B109)=0,"",SUMIFS('ИТОГО Торговля'!$C$5:$C$300,'ИТОГО Торговля'!$B$5:$B$300,$B109)+SUMIFS('ИТОГО Лэндинг'!$C$5:$C$300,'ИТОГО Лэндинг'!$B$5:$B$300,$B109)))</f>
        <v/>
      </c>
      <c r="D109" s="177">
        <f>IF(C109="","",E109/C109)</f>
        <v/>
      </c>
      <c r="E109" s="241">
        <f>IF(C109="","",SUMIFS('ИТОГО Торговля'!$E$5:$E$300,'ИТОГО Торговля'!$B$5:$B$300,$B109)+SUMIFS('ИТОГО Лэндинг'!$E$5:$E$300,'ИТОГО Лэндинг'!$B$5:$B$300,$B109))</f>
        <v/>
      </c>
      <c r="F109" s="240">
        <f>IF($B109="","",IF(SUMIFS('ИТОГО Торговля'!$F$5:$F$300,'ИТОГО Торговля'!$B$5:$B$300,$B109)+SUMIFS('ИТОГО Лэндинг'!$F$5:$F$300,'ИТОГО Лэндинг'!$B$5:$B$300,$B109)=0,"",SUMIFS('ИТОГО Торговля'!$F$5:$F$300,'ИТОГО Торговля'!$B$5:$B$300,$B109)+SUMIFS('ИТОГО Лэндинг'!$F$5:$F$300,'ИТОГО Лэндинг'!$B$5:$B$300,$B109)))</f>
        <v/>
      </c>
      <c r="G109" s="177">
        <f>IF(F109="","",H109/F109)</f>
        <v/>
      </c>
      <c r="H109" s="241">
        <f>IF(F109="","",SUMIFS('ИТОГО Торговля'!$H$5:$H$300,'ИТОГО Торговля'!$B$5:$B$300,$B109)+SUMIFS('ИТОГО Лэндинг'!$H$5:$H$300,'ИТОГО Лэндинг'!$B$5:$B$300,$B109))</f>
        <v/>
      </c>
      <c r="I109" s="240">
        <f>IF($B109="","",IF(AND(C109="",F109=""),"",ROUND(SUMIFS('ИТОГО Торговля'!$I$5:$I$300,'ИТОГО Торговля'!$B$5:$B$300,$B109)+SUMIFS('ИТОГО Лэндинг'!$I$5:$I$300,'ИТОГО Лэндинг'!$B$5:$B$300,$B109),8)))</f>
        <v/>
      </c>
      <c r="J109" s="241">
        <f>IF($B109="","",IF(AND(C109="",F109=""),"",ROUND(SUMIFS('ИТОГО Торговля'!$J$5:$J$300,'ИТОГО Торговля'!$B$5:$B$300,$B109)+SUMIFS('ИТОГО Лэндинг'!$J$5:$J$300,'ИТОГО Лэндинг'!$B$5:$B$300,$B109),8)))</f>
        <v/>
      </c>
      <c r="K109" s="240">
        <f>IF($B109="","",ROUND(SUMIFS('ИТОГО Торговля'!$K$5:$K$300,'ИТОГО Торговля'!$B$5:$B$300,$B109)+SUMIFS('ИТОГО Лэндинг'!$K$5:$K$300,'ИТОГО Лэндинг'!$B$5:$B$300,$B109),8))</f>
        <v/>
      </c>
      <c r="L109" s="177">
        <f>IF(K109="","",IF(SUMPRODUCT((Закрытые!$E$5:$E$300=$B109)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109/SUMPRODUCT((Закрытые!$E$5:$E$300=$B109)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9" s="177">
        <f>IF(OR(ROUND(N(C109)-N(F109),8)=0,1-N(Ввод!$E$17)/100&lt;=0),"",IF(N(C109)&gt;N(F109),(N(E109)-N(H109))/((N(C109)-N(F109))*(1-N(Ввод!$E$17)/100)),(N(H109)-N(E109))/((N(F109)-N(C109))*(1+N(Ввод!$E$17)/100))))</f>
        <v/>
      </c>
    </row>
    <row r="110" ht="22" customHeight="1">
      <c r="B110" s="320" t="n"/>
      <c r="C110" s="246">
        <f>IF($B110="","",IF(SUMIFS('ИТОГО Торговля'!$C$5:$C$300,'ИТОГО Торговля'!$B$5:$B$300,$B110)+SUMIFS('ИТОГО Лэндинг'!$C$5:$C$300,'ИТОГО Лэндинг'!$B$5:$B$300,$B110)=0,"",SUMIFS('ИТОГО Торговля'!$C$5:$C$300,'ИТОГО Торговля'!$B$5:$B$300,$B110)+SUMIFS('ИТОГО Лэндинг'!$C$5:$C$300,'ИТОГО Лэндинг'!$B$5:$B$300,$B110)))</f>
        <v/>
      </c>
      <c r="D110" s="183">
        <f>IF(C110="","",E110/C110)</f>
        <v/>
      </c>
      <c r="E110" s="247">
        <f>IF(C110="","",SUMIFS('ИТОГО Торговля'!$E$5:$E$300,'ИТОГО Торговля'!$B$5:$B$300,$B110)+SUMIFS('ИТОГО Лэндинг'!$E$5:$E$300,'ИТОГО Лэндинг'!$B$5:$B$300,$B110))</f>
        <v/>
      </c>
      <c r="F110" s="246">
        <f>IF($B110="","",IF(SUMIFS('ИТОГО Торговля'!$F$5:$F$300,'ИТОГО Торговля'!$B$5:$B$300,$B110)+SUMIFS('ИТОГО Лэндинг'!$F$5:$F$300,'ИТОГО Лэндинг'!$B$5:$B$300,$B110)=0,"",SUMIFS('ИТОГО Торговля'!$F$5:$F$300,'ИТОГО Торговля'!$B$5:$B$300,$B110)+SUMIFS('ИТОГО Лэндинг'!$F$5:$F$300,'ИТОГО Лэндинг'!$B$5:$B$300,$B110)))</f>
        <v/>
      </c>
      <c r="G110" s="183">
        <f>IF(F110="","",H110/F110)</f>
        <v/>
      </c>
      <c r="H110" s="247">
        <f>IF(F110="","",SUMIFS('ИТОГО Торговля'!$H$5:$H$300,'ИТОГО Торговля'!$B$5:$B$300,$B110)+SUMIFS('ИТОГО Лэндинг'!$H$5:$H$300,'ИТОГО Лэндинг'!$B$5:$B$300,$B110))</f>
        <v/>
      </c>
      <c r="I110" s="246">
        <f>IF($B110="","",IF(AND(C110="",F110=""),"",ROUND(SUMIFS('ИТОГО Торговля'!$I$5:$I$300,'ИТОГО Торговля'!$B$5:$B$300,$B110)+SUMIFS('ИТОГО Лэндинг'!$I$5:$I$300,'ИТОГО Лэндинг'!$B$5:$B$300,$B110),8)))</f>
        <v/>
      </c>
      <c r="J110" s="247">
        <f>IF($B110="","",IF(AND(C110="",F110=""),"",ROUND(SUMIFS('ИТОГО Торговля'!$J$5:$J$300,'ИТОГО Торговля'!$B$5:$B$300,$B110)+SUMIFS('ИТОГО Лэндинг'!$J$5:$J$300,'ИТОГО Лэндинг'!$B$5:$B$300,$B110),8)))</f>
        <v/>
      </c>
      <c r="K110" s="246">
        <f>IF($B110="","",ROUND(SUMIFS('ИТОГО Торговля'!$K$5:$K$300,'ИТОГО Торговля'!$B$5:$B$300,$B110)+SUMIFS('ИТОГО Лэндинг'!$K$5:$K$300,'ИТОГО Лэндинг'!$B$5:$B$300,$B110),8))</f>
        <v/>
      </c>
      <c r="L110" s="183">
        <f>IF(K110="","",IF(SUMPRODUCT((Закрытые!$E$5:$E$300=$B110)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110/SUMPRODUCT((Закрытые!$E$5:$E$300=$B110)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0" s="183">
        <f>IF(OR(ROUND(N(C110)-N(F110),8)=0,1-N(Ввод!$E$17)/100&lt;=0),"",IF(N(C110)&gt;N(F110),(N(E110)-N(H110))/((N(C110)-N(F110))*(1-N(Ввод!$E$17)/100)),(N(H110)-N(E110))/((N(F110)-N(C110))*(1+N(Ввод!$E$17)/100))))</f>
        <v/>
      </c>
    </row>
    <row r="111" ht="22" customHeight="1">
      <c r="B111" s="315" t="n"/>
      <c r="C111" s="240">
        <f>IF($B111="","",IF(SUMIFS('ИТОГО Торговля'!$C$5:$C$300,'ИТОГО Торговля'!$B$5:$B$300,$B111)+SUMIFS('ИТОГО Лэндинг'!$C$5:$C$300,'ИТОГО Лэндинг'!$B$5:$B$300,$B111)=0,"",SUMIFS('ИТОГО Торговля'!$C$5:$C$300,'ИТОГО Торговля'!$B$5:$B$300,$B111)+SUMIFS('ИТОГО Лэндинг'!$C$5:$C$300,'ИТОГО Лэндинг'!$B$5:$B$300,$B111)))</f>
        <v/>
      </c>
      <c r="D111" s="177">
        <f>IF(C111="","",E111/C111)</f>
        <v/>
      </c>
      <c r="E111" s="241">
        <f>IF(C111="","",SUMIFS('ИТОГО Торговля'!$E$5:$E$300,'ИТОГО Торговля'!$B$5:$B$300,$B111)+SUMIFS('ИТОГО Лэндинг'!$E$5:$E$300,'ИТОГО Лэндинг'!$B$5:$B$300,$B111))</f>
        <v/>
      </c>
      <c r="F111" s="240">
        <f>IF($B111="","",IF(SUMIFS('ИТОГО Торговля'!$F$5:$F$300,'ИТОГО Торговля'!$B$5:$B$300,$B111)+SUMIFS('ИТОГО Лэндинг'!$F$5:$F$300,'ИТОГО Лэндинг'!$B$5:$B$300,$B111)=0,"",SUMIFS('ИТОГО Торговля'!$F$5:$F$300,'ИТОГО Торговля'!$B$5:$B$300,$B111)+SUMIFS('ИТОГО Лэндинг'!$F$5:$F$300,'ИТОГО Лэндинг'!$B$5:$B$300,$B111)))</f>
        <v/>
      </c>
      <c r="G111" s="177">
        <f>IF(F111="","",H111/F111)</f>
        <v/>
      </c>
      <c r="H111" s="241">
        <f>IF(F111="","",SUMIFS('ИТОГО Торговля'!$H$5:$H$300,'ИТОГО Торговля'!$B$5:$B$300,$B111)+SUMIFS('ИТОГО Лэндинг'!$H$5:$H$300,'ИТОГО Лэндинг'!$B$5:$B$300,$B111))</f>
        <v/>
      </c>
      <c r="I111" s="240">
        <f>IF($B111="","",IF(AND(C111="",F111=""),"",ROUND(SUMIFS('ИТОГО Торговля'!$I$5:$I$300,'ИТОГО Торговля'!$B$5:$B$300,$B111)+SUMIFS('ИТОГО Лэндинг'!$I$5:$I$300,'ИТОГО Лэндинг'!$B$5:$B$300,$B111),8)))</f>
        <v/>
      </c>
      <c r="J111" s="241">
        <f>IF($B111="","",IF(AND(C111="",F111=""),"",ROUND(SUMIFS('ИТОГО Торговля'!$J$5:$J$300,'ИТОГО Торговля'!$B$5:$B$300,$B111)+SUMIFS('ИТОГО Лэндинг'!$J$5:$J$300,'ИТОГО Лэндинг'!$B$5:$B$300,$B111),8)))</f>
        <v/>
      </c>
      <c r="K111" s="240">
        <f>IF($B111="","",ROUND(SUMIFS('ИТОГО Торговля'!$K$5:$K$300,'ИТОГО Торговля'!$B$5:$B$300,$B111)+SUMIFS('ИТОГО Лэндинг'!$K$5:$K$300,'ИТОГО Лэндинг'!$B$5:$B$300,$B111),8))</f>
        <v/>
      </c>
      <c r="L111" s="177">
        <f>IF(K111="","",IF(SUMPRODUCT((Закрытые!$E$5:$E$300=$B111)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111/SUMPRODUCT((Закрытые!$E$5:$E$300=$B111)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1" s="177">
        <f>IF(OR(ROUND(N(C111)-N(F111),8)=0,1-N(Ввод!$E$17)/100&lt;=0),"",IF(N(C111)&gt;N(F111),(N(E111)-N(H111))/((N(C111)-N(F111))*(1-N(Ввод!$E$17)/100)),(N(H111)-N(E111))/((N(F111)-N(C111))*(1+N(Ввод!$E$17)/100))))</f>
        <v/>
      </c>
    </row>
    <row r="112" ht="22" customHeight="1">
      <c r="B112" s="320" t="n"/>
      <c r="C112" s="246">
        <f>IF($B112="","",IF(SUMIFS('ИТОГО Торговля'!$C$5:$C$300,'ИТОГО Торговля'!$B$5:$B$300,$B112)+SUMIFS('ИТОГО Лэндинг'!$C$5:$C$300,'ИТОГО Лэндинг'!$B$5:$B$300,$B112)=0,"",SUMIFS('ИТОГО Торговля'!$C$5:$C$300,'ИТОГО Торговля'!$B$5:$B$300,$B112)+SUMIFS('ИТОГО Лэндинг'!$C$5:$C$300,'ИТОГО Лэндинг'!$B$5:$B$300,$B112)))</f>
        <v/>
      </c>
      <c r="D112" s="183">
        <f>IF(C112="","",E112/C112)</f>
        <v/>
      </c>
      <c r="E112" s="247">
        <f>IF(C112="","",SUMIFS('ИТОГО Торговля'!$E$5:$E$300,'ИТОГО Торговля'!$B$5:$B$300,$B112)+SUMIFS('ИТОГО Лэндинг'!$E$5:$E$300,'ИТОГО Лэндинг'!$B$5:$B$300,$B112))</f>
        <v/>
      </c>
      <c r="F112" s="246">
        <f>IF($B112="","",IF(SUMIFS('ИТОГО Торговля'!$F$5:$F$300,'ИТОГО Торговля'!$B$5:$B$300,$B112)+SUMIFS('ИТОГО Лэндинг'!$F$5:$F$300,'ИТОГО Лэндинг'!$B$5:$B$300,$B112)=0,"",SUMIFS('ИТОГО Торговля'!$F$5:$F$300,'ИТОГО Торговля'!$B$5:$B$300,$B112)+SUMIFS('ИТОГО Лэндинг'!$F$5:$F$300,'ИТОГО Лэндинг'!$B$5:$B$300,$B112)))</f>
        <v/>
      </c>
      <c r="G112" s="183">
        <f>IF(F112="","",H112/F112)</f>
        <v/>
      </c>
      <c r="H112" s="247">
        <f>IF(F112="","",SUMIFS('ИТОГО Торговля'!$H$5:$H$300,'ИТОГО Торговля'!$B$5:$B$300,$B112)+SUMIFS('ИТОГО Лэндинг'!$H$5:$H$300,'ИТОГО Лэндинг'!$B$5:$B$300,$B112))</f>
        <v/>
      </c>
      <c r="I112" s="246">
        <f>IF($B112="","",IF(AND(C112="",F112=""),"",ROUND(SUMIFS('ИТОГО Торговля'!$I$5:$I$300,'ИТОГО Торговля'!$B$5:$B$300,$B112)+SUMIFS('ИТОГО Лэндинг'!$I$5:$I$300,'ИТОГО Лэндинг'!$B$5:$B$300,$B112),8)))</f>
        <v/>
      </c>
      <c r="J112" s="247">
        <f>IF($B112="","",IF(AND(C112="",F112=""),"",ROUND(SUMIFS('ИТОГО Торговля'!$J$5:$J$300,'ИТОГО Торговля'!$B$5:$B$300,$B112)+SUMIFS('ИТОГО Лэндинг'!$J$5:$J$300,'ИТОГО Лэндинг'!$B$5:$B$300,$B112),8)))</f>
        <v/>
      </c>
      <c r="K112" s="246">
        <f>IF($B112="","",ROUND(SUMIFS('ИТОГО Торговля'!$K$5:$K$300,'ИТОГО Торговля'!$B$5:$B$300,$B112)+SUMIFS('ИТОГО Лэндинг'!$K$5:$K$300,'ИТОГО Лэндинг'!$B$5:$B$300,$B112),8))</f>
        <v/>
      </c>
      <c r="L112" s="183">
        <f>IF(K112="","",IF(SUMPRODUCT((Закрытые!$E$5:$E$300=$B112)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112/SUMPRODUCT((Закрытые!$E$5:$E$300=$B112)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2" s="183">
        <f>IF(OR(ROUND(N(C112)-N(F112),8)=0,1-N(Ввод!$E$17)/100&lt;=0),"",IF(N(C112)&gt;N(F112),(N(E112)-N(H112))/((N(C112)-N(F112))*(1-N(Ввод!$E$17)/100)),(N(H112)-N(E112))/((N(F112)-N(C112))*(1+N(Ввод!$E$17)/100))))</f>
        <v/>
      </c>
    </row>
    <row r="113" ht="22" customHeight="1">
      <c r="B113" s="315" t="n"/>
      <c r="C113" s="240">
        <f>IF($B113="","",IF(SUMIFS('ИТОГО Торговля'!$C$5:$C$300,'ИТОГО Торговля'!$B$5:$B$300,$B113)+SUMIFS('ИТОГО Лэндинг'!$C$5:$C$300,'ИТОГО Лэндинг'!$B$5:$B$300,$B113)=0,"",SUMIFS('ИТОГО Торговля'!$C$5:$C$300,'ИТОГО Торговля'!$B$5:$B$300,$B113)+SUMIFS('ИТОГО Лэндинг'!$C$5:$C$300,'ИТОГО Лэндинг'!$B$5:$B$300,$B113)))</f>
        <v/>
      </c>
      <c r="D113" s="177">
        <f>IF(C113="","",E113/C113)</f>
        <v/>
      </c>
      <c r="E113" s="241">
        <f>IF(C113="","",SUMIFS('ИТОГО Торговля'!$E$5:$E$300,'ИТОГО Торговля'!$B$5:$B$300,$B113)+SUMIFS('ИТОГО Лэндинг'!$E$5:$E$300,'ИТОГО Лэндинг'!$B$5:$B$300,$B113))</f>
        <v/>
      </c>
      <c r="F113" s="240">
        <f>IF($B113="","",IF(SUMIFS('ИТОГО Торговля'!$F$5:$F$300,'ИТОГО Торговля'!$B$5:$B$300,$B113)+SUMIFS('ИТОГО Лэндинг'!$F$5:$F$300,'ИТОГО Лэндинг'!$B$5:$B$300,$B113)=0,"",SUMIFS('ИТОГО Торговля'!$F$5:$F$300,'ИТОГО Торговля'!$B$5:$B$300,$B113)+SUMIFS('ИТОГО Лэндинг'!$F$5:$F$300,'ИТОГО Лэндинг'!$B$5:$B$300,$B113)))</f>
        <v/>
      </c>
      <c r="G113" s="177">
        <f>IF(F113="","",H113/F113)</f>
        <v/>
      </c>
      <c r="H113" s="241">
        <f>IF(F113="","",SUMIFS('ИТОГО Торговля'!$H$5:$H$300,'ИТОГО Торговля'!$B$5:$B$300,$B113)+SUMIFS('ИТОГО Лэндинг'!$H$5:$H$300,'ИТОГО Лэндинг'!$B$5:$B$300,$B113))</f>
        <v/>
      </c>
      <c r="I113" s="240">
        <f>IF($B113="","",IF(AND(C113="",F113=""),"",ROUND(SUMIFS('ИТОГО Торговля'!$I$5:$I$300,'ИТОГО Торговля'!$B$5:$B$300,$B113)+SUMIFS('ИТОГО Лэндинг'!$I$5:$I$300,'ИТОГО Лэндинг'!$B$5:$B$300,$B113),8)))</f>
        <v/>
      </c>
      <c r="J113" s="241">
        <f>IF($B113="","",IF(AND(C113="",F113=""),"",ROUND(SUMIFS('ИТОГО Торговля'!$J$5:$J$300,'ИТОГО Торговля'!$B$5:$B$300,$B113)+SUMIFS('ИТОГО Лэндинг'!$J$5:$J$300,'ИТОГО Лэндинг'!$B$5:$B$300,$B113),8)))</f>
        <v/>
      </c>
      <c r="K113" s="240">
        <f>IF($B113="","",ROUND(SUMIFS('ИТОГО Торговля'!$K$5:$K$300,'ИТОГО Торговля'!$B$5:$B$300,$B113)+SUMIFS('ИТОГО Лэндинг'!$K$5:$K$300,'ИТОГО Лэндинг'!$B$5:$B$300,$B113),8))</f>
        <v/>
      </c>
      <c r="L113" s="177">
        <f>IF(K113="","",IF(SUMPRODUCT((Закрытые!$E$5:$E$300=$B113)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113/SUMPRODUCT((Закрытые!$E$5:$E$300=$B113)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3" s="177">
        <f>IF(OR(ROUND(N(C113)-N(F113),8)=0,1-N(Ввод!$E$17)/100&lt;=0),"",IF(N(C113)&gt;N(F113),(N(E113)-N(H113))/((N(C113)-N(F113))*(1-N(Ввод!$E$17)/100)),(N(H113)-N(E113))/((N(F113)-N(C113))*(1+N(Ввод!$E$17)/100))))</f>
        <v/>
      </c>
    </row>
    <row r="114" ht="22" customHeight="1">
      <c r="B114" s="320" t="n"/>
      <c r="C114" s="246">
        <f>IF($B114="","",IF(SUMIFS('ИТОГО Торговля'!$C$5:$C$300,'ИТОГО Торговля'!$B$5:$B$300,$B114)+SUMIFS('ИТОГО Лэндинг'!$C$5:$C$300,'ИТОГО Лэндинг'!$B$5:$B$300,$B114)=0,"",SUMIFS('ИТОГО Торговля'!$C$5:$C$300,'ИТОГО Торговля'!$B$5:$B$300,$B114)+SUMIFS('ИТОГО Лэндинг'!$C$5:$C$300,'ИТОГО Лэндинг'!$B$5:$B$300,$B114)))</f>
        <v/>
      </c>
      <c r="D114" s="183">
        <f>IF(C114="","",E114/C114)</f>
        <v/>
      </c>
      <c r="E114" s="247">
        <f>IF(C114="","",SUMIFS('ИТОГО Торговля'!$E$5:$E$300,'ИТОГО Торговля'!$B$5:$B$300,$B114)+SUMIFS('ИТОГО Лэндинг'!$E$5:$E$300,'ИТОГО Лэндинг'!$B$5:$B$300,$B114))</f>
        <v/>
      </c>
      <c r="F114" s="246">
        <f>IF($B114="","",IF(SUMIFS('ИТОГО Торговля'!$F$5:$F$300,'ИТОГО Торговля'!$B$5:$B$300,$B114)+SUMIFS('ИТОГО Лэндинг'!$F$5:$F$300,'ИТОГО Лэндинг'!$B$5:$B$300,$B114)=0,"",SUMIFS('ИТОГО Торговля'!$F$5:$F$300,'ИТОГО Торговля'!$B$5:$B$300,$B114)+SUMIFS('ИТОГО Лэндинг'!$F$5:$F$300,'ИТОГО Лэндинг'!$B$5:$B$300,$B114)))</f>
        <v/>
      </c>
      <c r="G114" s="183">
        <f>IF(F114="","",H114/F114)</f>
        <v/>
      </c>
      <c r="H114" s="247">
        <f>IF(F114="","",SUMIFS('ИТОГО Торговля'!$H$5:$H$300,'ИТОГО Торговля'!$B$5:$B$300,$B114)+SUMIFS('ИТОГО Лэндинг'!$H$5:$H$300,'ИТОГО Лэндинг'!$B$5:$B$300,$B114))</f>
        <v/>
      </c>
      <c r="I114" s="246">
        <f>IF($B114="","",IF(AND(C114="",F114=""),"",ROUND(SUMIFS('ИТОГО Торговля'!$I$5:$I$300,'ИТОГО Торговля'!$B$5:$B$300,$B114)+SUMIFS('ИТОГО Лэндинг'!$I$5:$I$300,'ИТОГО Лэндинг'!$B$5:$B$300,$B114),8)))</f>
        <v/>
      </c>
      <c r="J114" s="247">
        <f>IF($B114="","",IF(AND(C114="",F114=""),"",ROUND(SUMIFS('ИТОГО Торговля'!$J$5:$J$300,'ИТОГО Торговля'!$B$5:$B$300,$B114)+SUMIFS('ИТОГО Лэндинг'!$J$5:$J$300,'ИТОГО Лэндинг'!$B$5:$B$300,$B114),8)))</f>
        <v/>
      </c>
      <c r="K114" s="246">
        <f>IF($B114="","",ROUND(SUMIFS('ИТОГО Торговля'!$K$5:$K$300,'ИТОГО Торговля'!$B$5:$B$300,$B114)+SUMIFS('ИТОГО Лэндинг'!$K$5:$K$300,'ИТОГО Лэндинг'!$B$5:$B$300,$B114),8))</f>
        <v/>
      </c>
      <c r="L114" s="183">
        <f>IF(K114="","",IF(SUMPRODUCT((Закрытые!$E$5:$E$300=$B114)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114/SUMPRODUCT((Закрытые!$E$5:$E$300=$B114)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4" s="183">
        <f>IF(OR(ROUND(N(C114)-N(F114),8)=0,1-N(Ввод!$E$17)/100&lt;=0),"",IF(N(C114)&gt;N(F114),(N(E114)-N(H114))/((N(C114)-N(F114))*(1-N(Ввод!$E$17)/100)),(N(H114)-N(E114))/((N(F114)-N(C114))*(1+N(Ввод!$E$17)/100))))</f>
        <v/>
      </c>
    </row>
    <row r="115" ht="22" customHeight="1">
      <c r="B115" s="315" t="n"/>
      <c r="C115" s="240">
        <f>IF($B115="","",IF(SUMIFS('ИТОГО Торговля'!$C$5:$C$300,'ИТОГО Торговля'!$B$5:$B$300,$B115)+SUMIFS('ИТОГО Лэндинг'!$C$5:$C$300,'ИТОГО Лэндинг'!$B$5:$B$300,$B115)=0,"",SUMIFS('ИТОГО Торговля'!$C$5:$C$300,'ИТОГО Торговля'!$B$5:$B$300,$B115)+SUMIFS('ИТОГО Лэндинг'!$C$5:$C$300,'ИТОГО Лэндинг'!$B$5:$B$300,$B115)))</f>
        <v/>
      </c>
      <c r="D115" s="177">
        <f>IF(C115="","",E115/C115)</f>
        <v/>
      </c>
      <c r="E115" s="241">
        <f>IF(C115="","",SUMIFS('ИТОГО Торговля'!$E$5:$E$300,'ИТОГО Торговля'!$B$5:$B$300,$B115)+SUMIFS('ИТОГО Лэндинг'!$E$5:$E$300,'ИТОГО Лэндинг'!$B$5:$B$300,$B115))</f>
        <v/>
      </c>
      <c r="F115" s="240">
        <f>IF($B115="","",IF(SUMIFS('ИТОГО Торговля'!$F$5:$F$300,'ИТОГО Торговля'!$B$5:$B$300,$B115)+SUMIFS('ИТОГО Лэндинг'!$F$5:$F$300,'ИТОГО Лэндинг'!$B$5:$B$300,$B115)=0,"",SUMIFS('ИТОГО Торговля'!$F$5:$F$300,'ИТОГО Торговля'!$B$5:$B$300,$B115)+SUMIFS('ИТОГО Лэндинг'!$F$5:$F$300,'ИТОГО Лэндинг'!$B$5:$B$300,$B115)))</f>
        <v/>
      </c>
      <c r="G115" s="177">
        <f>IF(F115="","",H115/F115)</f>
        <v/>
      </c>
      <c r="H115" s="241">
        <f>IF(F115="","",SUMIFS('ИТОГО Торговля'!$H$5:$H$300,'ИТОГО Торговля'!$B$5:$B$300,$B115)+SUMIFS('ИТОГО Лэндинг'!$H$5:$H$300,'ИТОГО Лэндинг'!$B$5:$B$300,$B115))</f>
        <v/>
      </c>
      <c r="I115" s="240">
        <f>IF($B115="","",IF(AND(C115="",F115=""),"",ROUND(SUMIFS('ИТОГО Торговля'!$I$5:$I$300,'ИТОГО Торговля'!$B$5:$B$300,$B115)+SUMIFS('ИТОГО Лэндинг'!$I$5:$I$300,'ИТОГО Лэндинг'!$B$5:$B$300,$B115),8)))</f>
        <v/>
      </c>
      <c r="J115" s="241">
        <f>IF($B115="","",IF(AND(C115="",F115=""),"",ROUND(SUMIFS('ИТОГО Торговля'!$J$5:$J$300,'ИТОГО Торговля'!$B$5:$B$300,$B115)+SUMIFS('ИТОГО Лэндинг'!$J$5:$J$300,'ИТОГО Лэндинг'!$B$5:$B$300,$B115),8)))</f>
        <v/>
      </c>
      <c r="K115" s="240">
        <f>IF($B115="","",ROUND(SUMIFS('ИТОГО Торговля'!$K$5:$K$300,'ИТОГО Торговля'!$B$5:$B$300,$B115)+SUMIFS('ИТОГО Лэндинг'!$K$5:$K$300,'ИТОГО Лэндинг'!$B$5:$B$300,$B115),8))</f>
        <v/>
      </c>
      <c r="L115" s="177">
        <f>IF(K115="","",IF(SUMPRODUCT((Закрытые!$E$5:$E$300=$B115)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115/SUMPRODUCT((Закрытые!$E$5:$E$300=$B115)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5" s="177">
        <f>IF(OR(ROUND(N(C115)-N(F115),8)=0,1-N(Ввод!$E$17)/100&lt;=0),"",IF(N(C115)&gt;N(F115),(N(E115)-N(H115))/((N(C115)-N(F115))*(1-N(Ввод!$E$17)/100)),(N(H115)-N(E115))/((N(F115)-N(C115))*(1+N(Ввод!$E$17)/100))))</f>
        <v/>
      </c>
    </row>
    <row r="116" ht="22" customHeight="1">
      <c r="B116" s="320" t="n"/>
      <c r="C116" s="246">
        <f>IF($B116="","",IF(SUMIFS('ИТОГО Торговля'!$C$5:$C$300,'ИТОГО Торговля'!$B$5:$B$300,$B116)+SUMIFS('ИТОГО Лэндинг'!$C$5:$C$300,'ИТОГО Лэндинг'!$B$5:$B$300,$B116)=0,"",SUMIFS('ИТОГО Торговля'!$C$5:$C$300,'ИТОГО Торговля'!$B$5:$B$300,$B116)+SUMIFS('ИТОГО Лэндинг'!$C$5:$C$300,'ИТОГО Лэндинг'!$B$5:$B$300,$B116)))</f>
        <v/>
      </c>
      <c r="D116" s="183">
        <f>IF(C116="","",E116/C116)</f>
        <v/>
      </c>
      <c r="E116" s="247">
        <f>IF(C116="","",SUMIFS('ИТОГО Торговля'!$E$5:$E$300,'ИТОГО Торговля'!$B$5:$B$300,$B116)+SUMIFS('ИТОГО Лэндинг'!$E$5:$E$300,'ИТОГО Лэндинг'!$B$5:$B$300,$B116))</f>
        <v/>
      </c>
      <c r="F116" s="246">
        <f>IF($B116="","",IF(SUMIFS('ИТОГО Торговля'!$F$5:$F$300,'ИТОГО Торговля'!$B$5:$B$300,$B116)+SUMIFS('ИТОГО Лэндинг'!$F$5:$F$300,'ИТОГО Лэндинг'!$B$5:$B$300,$B116)=0,"",SUMIFS('ИТОГО Торговля'!$F$5:$F$300,'ИТОГО Торговля'!$B$5:$B$300,$B116)+SUMIFS('ИТОГО Лэндинг'!$F$5:$F$300,'ИТОГО Лэндинг'!$B$5:$B$300,$B116)))</f>
        <v/>
      </c>
      <c r="G116" s="183">
        <f>IF(F116="","",H116/F116)</f>
        <v/>
      </c>
      <c r="H116" s="247">
        <f>IF(F116="","",SUMIFS('ИТОГО Торговля'!$H$5:$H$300,'ИТОГО Торговля'!$B$5:$B$300,$B116)+SUMIFS('ИТОГО Лэндинг'!$H$5:$H$300,'ИТОГО Лэндинг'!$B$5:$B$300,$B116))</f>
        <v/>
      </c>
      <c r="I116" s="246">
        <f>IF($B116="","",IF(AND(C116="",F116=""),"",ROUND(SUMIFS('ИТОГО Торговля'!$I$5:$I$300,'ИТОГО Торговля'!$B$5:$B$300,$B116)+SUMIFS('ИТОГО Лэндинг'!$I$5:$I$300,'ИТОГО Лэндинг'!$B$5:$B$300,$B116),8)))</f>
        <v/>
      </c>
      <c r="J116" s="247">
        <f>IF($B116="","",IF(AND(C116="",F116=""),"",ROUND(SUMIFS('ИТОГО Торговля'!$J$5:$J$300,'ИТОГО Торговля'!$B$5:$B$300,$B116)+SUMIFS('ИТОГО Лэндинг'!$J$5:$J$300,'ИТОГО Лэндинг'!$B$5:$B$300,$B116),8)))</f>
        <v/>
      </c>
      <c r="K116" s="246">
        <f>IF($B116="","",ROUND(SUMIFS('ИТОГО Торговля'!$K$5:$K$300,'ИТОГО Торговля'!$B$5:$B$300,$B116)+SUMIFS('ИТОГО Лэндинг'!$K$5:$K$300,'ИТОГО Лэндинг'!$B$5:$B$300,$B116),8))</f>
        <v/>
      </c>
      <c r="L116" s="183">
        <f>IF(K116="","",IF(SUMPRODUCT((Закрытые!$E$5:$E$300=$B116)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116/SUMPRODUCT((Закрытые!$E$5:$E$300=$B116)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6" s="183">
        <f>IF(OR(ROUND(N(C116)-N(F116),8)=0,1-N(Ввод!$E$17)/100&lt;=0),"",IF(N(C116)&gt;N(F116),(N(E116)-N(H116))/((N(C116)-N(F116))*(1-N(Ввод!$E$17)/100)),(N(H116)-N(E116))/((N(F116)-N(C116))*(1+N(Ввод!$E$17)/100))))</f>
        <v/>
      </c>
    </row>
    <row r="117" ht="22" customHeight="1">
      <c r="B117" s="315" t="n"/>
      <c r="C117" s="240">
        <f>IF($B117="","",IF(SUMIFS('ИТОГО Торговля'!$C$5:$C$300,'ИТОГО Торговля'!$B$5:$B$300,$B117)+SUMIFS('ИТОГО Лэндинг'!$C$5:$C$300,'ИТОГО Лэндинг'!$B$5:$B$300,$B117)=0,"",SUMIFS('ИТОГО Торговля'!$C$5:$C$300,'ИТОГО Торговля'!$B$5:$B$300,$B117)+SUMIFS('ИТОГО Лэндинг'!$C$5:$C$300,'ИТОГО Лэндинг'!$B$5:$B$300,$B117)))</f>
        <v/>
      </c>
      <c r="D117" s="177">
        <f>IF(C117="","",E117/C117)</f>
        <v/>
      </c>
      <c r="E117" s="241">
        <f>IF(C117="","",SUMIFS('ИТОГО Торговля'!$E$5:$E$300,'ИТОГО Торговля'!$B$5:$B$300,$B117)+SUMIFS('ИТОГО Лэндинг'!$E$5:$E$300,'ИТОГО Лэндинг'!$B$5:$B$300,$B117))</f>
        <v/>
      </c>
      <c r="F117" s="240">
        <f>IF($B117="","",IF(SUMIFS('ИТОГО Торговля'!$F$5:$F$300,'ИТОГО Торговля'!$B$5:$B$300,$B117)+SUMIFS('ИТОГО Лэндинг'!$F$5:$F$300,'ИТОГО Лэндинг'!$B$5:$B$300,$B117)=0,"",SUMIFS('ИТОГО Торговля'!$F$5:$F$300,'ИТОГО Торговля'!$B$5:$B$300,$B117)+SUMIFS('ИТОГО Лэндинг'!$F$5:$F$300,'ИТОГО Лэндинг'!$B$5:$B$300,$B117)))</f>
        <v/>
      </c>
      <c r="G117" s="177">
        <f>IF(F117="","",H117/F117)</f>
        <v/>
      </c>
      <c r="H117" s="241">
        <f>IF(F117="","",SUMIFS('ИТОГО Торговля'!$H$5:$H$300,'ИТОГО Торговля'!$B$5:$B$300,$B117)+SUMIFS('ИТОГО Лэндинг'!$H$5:$H$300,'ИТОГО Лэндинг'!$B$5:$B$300,$B117))</f>
        <v/>
      </c>
      <c r="I117" s="240">
        <f>IF($B117="","",IF(AND(C117="",F117=""),"",ROUND(SUMIFS('ИТОГО Торговля'!$I$5:$I$300,'ИТОГО Торговля'!$B$5:$B$300,$B117)+SUMIFS('ИТОГО Лэндинг'!$I$5:$I$300,'ИТОГО Лэндинг'!$B$5:$B$300,$B117),8)))</f>
        <v/>
      </c>
      <c r="J117" s="241">
        <f>IF($B117="","",IF(AND(C117="",F117=""),"",ROUND(SUMIFS('ИТОГО Торговля'!$J$5:$J$300,'ИТОГО Торговля'!$B$5:$B$300,$B117)+SUMIFS('ИТОГО Лэндинг'!$J$5:$J$300,'ИТОГО Лэндинг'!$B$5:$B$300,$B117),8)))</f>
        <v/>
      </c>
      <c r="K117" s="240">
        <f>IF($B117="","",ROUND(SUMIFS('ИТОГО Торговля'!$K$5:$K$300,'ИТОГО Торговля'!$B$5:$B$300,$B117)+SUMIFS('ИТОГО Лэндинг'!$K$5:$K$300,'ИТОГО Лэндинг'!$B$5:$B$300,$B117),8))</f>
        <v/>
      </c>
      <c r="L117" s="177">
        <f>IF(K117="","",IF(SUMPRODUCT((Закрытые!$E$5:$E$300=$B117)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117/SUMPRODUCT((Закрытые!$E$5:$E$300=$B117)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7" s="177">
        <f>IF(OR(ROUND(N(C117)-N(F117),8)=0,1-N(Ввод!$E$17)/100&lt;=0),"",IF(N(C117)&gt;N(F117),(N(E117)-N(H117))/((N(C117)-N(F117))*(1-N(Ввод!$E$17)/100)),(N(H117)-N(E117))/((N(F117)-N(C117))*(1+N(Ввод!$E$17)/100))))</f>
        <v/>
      </c>
    </row>
    <row r="118" ht="22" customHeight="1">
      <c r="B118" s="320" t="n"/>
      <c r="C118" s="246">
        <f>IF($B118="","",IF(SUMIFS('ИТОГО Торговля'!$C$5:$C$300,'ИТОГО Торговля'!$B$5:$B$300,$B118)+SUMIFS('ИТОГО Лэндинг'!$C$5:$C$300,'ИТОГО Лэндинг'!$B$5:$B$300,$B118)=0,"",SUMIFS('ИТОГО Торговля'!$C$5:$C$300,'ИТОГО Торговля'!$B$5:$B$300,$B118)+SUMIFS('ИТОГО Лэндинг'!$C$5:$C$300,'ИТОГО Лэндинг'!$B$5:$B$300,$B118)))</f>
        <v/>
      </c>
      <c r="D118" s="183">
        <f>IF(C118="","",E118/C118)</f>
        <v/>
      </c>
      <c r="E118" s="247">
        <f>IF(C118="","",SUMIFS('ИТОГО Торговля'!$E$5:$E$300,'ИТОГО Торговля'!$B$5:$B$300,$B118)+SUMIFS('ИТОГО Лэндинг'!$E$5:$E$300,'ИТОГО Лэндинг'!$B$5:$B$300,$B118))</f>
        <v/>
      </c>
      <c r="F118" s="246">
        <f>IF($B118="","",IF(SUMIFS('ИТОГО Торговля'!$F$5:$F$300,'ИТОГО Торговля'!$B$5:$B$300,$B118)+SUMIFS('ИТОГО Лэндинг'!$F$5:$F$300,'ИТОГО Лэндинг'!$B$5:$B$300,$B118)=0,"",SUMIFS('ИТОГО Торговля'!$F$5:$F$300,'ИТОГО Торговля'!$B$5:$B$300,$B118)+SUMIFS('ИТОГО Лэндинг'!$F$5:$F$300,'ИТОГО Лэндинг'!$B$5:$B$300,$B118)))</f>
        <v/>
      </c>
      <c r="G118" s="183">
        <f>IF(F118="","",H118/F118)</f>
        <v/>
      </c>
      <c r="H118" s="247">
        <f>IF(F118="","",SUMIFS('ИТОГО Торговля'!$H$5:$H$300,'ИТОГО Торговля'!$B$5:$B$300,$B118)+SUMIFS('ИТОГО Лэндинг'!$H$5:$H$300,'ИТОГО Лэндинг'!$B$5:$B$300,$B118))</f>
        <v/>
      </c>
      <c r="I118" s="246">
        <f>IF($B118="","",IF(AND(C118="",F118=""),"",ROUND(SUMIFS('ИТОГО Торговля'!$I$5:$I$300,'ИТОГО Торговля'!$B$5:$B$300,$B118)+SUMIFS('ИТОГО Лэндинг'!$I$5:$I$300,'ИТОГО Лэндинг'!$B$5:$B$300,$B118),8)))</f>
        <v/>
      </c>
      <c r="J118" s="247">
        <f>IF($B118="","",IF(AND(C118="",F118=""),"",ROUND(SUMIFS('ИТОГО Торговля'!$J$5:$J$300,'ИТОГО Торговля'!$B$5:$B$300,$B118)+SUMIFS('ИТОГО Лэндинг'!$J$5:$J$300,'ИТОГО Лэндинг'!$B$5:$B$300,$B118),8)))</f>
        <v/>
      </c>
      <c r="K118" s="246">
        <f>IF($B118="","",ROUND(SUMIFS('ИТОГО Торговля'!$K$5:$K$300,'ИТОГО Торговля'!$B$5:$B$300,$B118)+SUMIFS('ИТОГО Лэндинг'!$K$5:$K$300,'ИТОГО Лэндинг'!$B$5:$B$300,$B118),8))</f>
        <v/>
      </c>
      <c r="L118" s="183">
        <f>IF(K118="","",IF(SUMPRODUCT((Закрытые!$E$5:$E$300=$B118)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118/SUMPRODUCT((Закрытые!$E$5:$E$300=$B118)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8" s="183">
        <f>IF(OR(ROUND(N(C118)-N(F118),8)=0,1-N(Ввод!$E$17)/100&lt;=0),"",IF(N(C118)&gt;N(F118),(N(E118)-N(H118))/((N(C118)-N(F118))*(1-N(Ввод!$E$17)/100)),(N(H118)-N(E118))/((N(F118)-N(C118))*(1+N(Ввод!$E$17)/100))))</f>
        <v/>
      </c>
    </row>
    <row r="119" ht="22" customHeight="1">
      <c r="B119" s="315" t="n"/>
      <c r="C119" s="240">
        <f>IF($B119="","",IF(SUMIFS('ИТОГО Торговля'!$C$5:$C$300,'ИТОГО Торговля'!$B$5:$B$300,$B119)+SUMIFS('ИТОГО Лэндинг'!$C$5:$C$300,'ИТОГО Лэндинг'!$B$5:$B$300,$B119)=0,"",SUMIFS('ИТОГО Торговля'!$C$5:$C$300,'ИТОГО Торговля'!$B$5:$B$300,$B119)+SUMIFS('ИТОГО Лэндинг'!$C$5:$C$300,'ИТОГО Лэндинг'!$B$5:$B$300,$B119)))</f>
        <v/>
      </c>
      <c r="D119" s="177">
        <f>IF(C119="","",E119/C119)</f>
        <v/>
      </c>
      <c r="E119" s="241">
        <f>IF(C119="","",SUMIFS('ИТОГО Торговля'!$E$5:$E$300,'ИТОГО Торговля'!$B$5:$B$300,$B119)+SUMIFS('ИТОГО Лэндинг'!$E$5:$E$300,'ИТОГО Лэндинг'!$B$5:$B$300,$B119))</f>
        <v/>
      </c>
      <c r="F119" s="240">
        <f>IF($B119="","",IF(SUMIFS('ИТОГО Торговля'!$F$5:$F$300,'ИТОГО Торговля'!$B$5:$B$300,$B119)+SUMIFS('ИТОГО Лэндинг'!$F$5:$F$300,'ИТОГО Лэндинг'!$B$5:$B$300,$B119)=0,"",SUMIFS('ИТОГО Торговля'!$F$5:$F$300,'ИТОГО Торговля'!$B$5:$B$300,$B119)+SUMIFS('ИТОГО Лэндинг'!$F$5:$F$300,'ИТОГО Лэндинг'!$B$5:$B$300,$B119)))</f>
        <v/>
      </c>
      <c r="G119" s="177">
        <f>IF(F119="","",H119/F119)</f>
        <v/>
      </c>
      <c r="H119" s="241">
        <f>IF(F119="","",SUMIFS('ИТОГО Торговля'!$H$5:$H$300,'ИТОГО Торговля'!$B$5:$B$300,$B119)+SUMIFS('ИТОГО Лэндинг'!$H$5:$H$300,'ИТОГО Лэндинг'!$B$5:$B$300,$B119))</f>
        <v/>
      </c>
      <c r="I119" s="240">
        <f>IF($B119="","",IF(AND(C119="",F119=""),"",ROUND(SUMIFS('ИТОГО Торговля'!$I$5:$I$300,'ИТОГО Торговля'!$B$5:$B$300,$B119)+SUMIFS('ИТОГО Лэндинг'!$I$5:$I$300,'ИТОГО Лэндинг'!$B$5:$B$300,$B119),8)))</f>
        <v/>
      </c>
      <c r="J119" s="241">
        <f>IF($B119="","",IF(AND(C119="",F119=""),"",ROUND(SUMIFS('ИТОГО Торговля'!$J$5:$J$300,'ИТОГО Торговля'!$B$5:$B$300,$B119)+SUMIFS('ИТОГО Лэндинг'!$J$5:$J$300,'ИТОГО Лэндинг'!$B$5:$B$300,$B119),8)))</f>
        <v/>
      </c>
      <c r="K119" s="240">
        <f>IF($B119="","",ROUND(SUMIFS('ИТОГО Торговля'!$K$5:$K$300,'ИТОГО Торговля'!$B$5:$B$300,$B119)+SUMIFS('ИТОГО Лэндинг'!$K$5:$K$300,'ИТОГО Лэндинг'!$B$5:$B$300,$B119),8))</f>
        <v/>
      </c>
      <c r="L119" s="177">
        <f>IF(K119="","",IF(SUMPRODUCT((Закрытые!$E$5:$E$300=$B119)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119/SUMPRODUCT((Закрытые!$E$5:$E$300=$B119)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9" s="177">
        <f>IF(OR(ROUND(N(C119)-N(F119),8)=0,1-N(Ввод!$E$17)/100&lt;=0),"",IF(N(C119)&gt;N(F119),(N(E119)-N(H119))/((N(C119)-N(F119))*(1-N(Ввод!$E$17)/100)),(N(H119)-N(E119))/((N(F119)-N(C119))*(1+N(Ввод!$E$17)/100))))</f>
        <v/>
      </c>
    </row>
    <row r="120" ht="22" customHeight="1">
      <c r="B120" s="320" t="n"/>
      <c r="C120" s="246">
        <f>IF($B120="","",IF(SUMIFS('ИТОГО Торговля'!$C$5:$C$300,'ИТОГО Торговля'!$B$5:$B$300,$B120)+SUMIFS('ИТОГО Лэндинг'!$C$5:$C$300,'ИТОГО Лэндинг'!$B$5:$B$300,$B120)=0,"",SUMIFS('ИТОГО Торговля'!$C$5:$C$300,'ИТОГО Торговля'!$B$5:$B$300,$B120)+SUMIFS('ИТОГО Лэндинг'!$C$5:$C$300,'ИТОГО Лэндинг'!$B$5:$B$300,$B120)))</f>
        <v/>
      </c>
      <c r="D120" s="183">
        <f>IF(C120="","",E120/C120)</f>
        <v/>
      </c>
      <c r="E120" s="247">
        <f>IF(C120="","",SUMIFS('ИТОГО Торговля'!$E$5:$E$300,'ИТОГО Торговля'!$B$5:$B$300,$B120)+SUMIFS('ИТОГО Лэндинг'!$E$5:$E$300,'ИТОГО Лэндинг'!$B$5:$B$300,$B120))</f>
        <v/>
      </c>
      <c r="F120" s="246">
        <f>IF($B120="","",IF(SUMIFS('ИТОГО Торговля'!$F$5:$F$300,'ИТОГО Торговля'!$B$5:$B$300,$B120)+SUMIFS('ИТОГО Лэндинг'!$F$5:$F$300,'ИТОГО Лэндинг'!$B$5:$B$300,$B120)=0,"",SUMIFS('ИТОГО Торговля'!$F$5:$F$300,'ИТОГО Торговля'!$B$5:$B$300,$B120)+SUMIFS('ИТОГО Лэндинг'!$F$5:$F$300,'ИТОГО Лэндинг'!$B$5:$B$300,$B120)))</f>
        <v/>
      </c>
      <c r="G120" s="183">
        <f>IF(F120="","",H120/F120)</f>
        <v/>
      </c>
      <c r="H120" s="247">
        <f>IF(F120="","",SUMIFS('ИТОГО Торговля'!$H$5:$H$300,'ИТОГО Торговля'!$B$5:$B$300,$B120)+SUMIFS('ИТОГО Лэндинг'!$H$5:$H$300,'ИТОГО Лэндинг'!$B$5:$B$300,$B120))</f>
        <v/>
      </c>
      <c r="I120" s="246">
        <f>IF($B120="","",IF(AND(C120="",F120=""),"",ROUND(SUMIFS('ИТОГО Торговля'!$I$5:$I$300,'ИТОГО Торговля'!$B$5:$B$300,$B120)+SUMIFS('ИТОГО Лэндинг'!$I$5:$I$300,'ИТОГО Лэндинг'!$B$5:$B$300,$B120),8)))</f>
        <v/>
      </c>
      <c r="J120" s="247">
        <f>IF($B120="","",IF(AND(C120="",F120=""),"",ROUND(SUMIFS('ИТОГО Торговля'!$J$5:$J$300,'ИТОГО Торговля'!$B$5:$B$300,$B120)+SUMIFS('ИТОГО Лэндинг'!$J$5:$J$300,'ИТОГО Лэндинг'!$B$5:$B$300,$B120),8)))</f>
        <v/>
      </c>
      <c r="K120" s="246">
        <f>IF($B120="","",ROUND(SUMIFS('ИТОГО Торговля'!$K$5:$K$300,'ИТОГО Торговля'!$B$5:$B$300,$B120)+SUMIFS('ИТОГО Лэндинг'!$K$5:$K$300,'ИТОГО Лэндинг'!$B$5:$B$300,$B120),8))</f>
        <v/>
      </c>
      <c r="L120" s="183">
        <f>IF(K120="","",IF(SUMPRODUCT((Закрытые!$E$5:$E$300=$B120)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120/SUMPRODUCT((Закрытые!$E$5:$E$300=$B120)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0" s="183">
        <f>IF(OR(ROUND(N(C120)-N(F120),8)=0,1-N(Ввод!$E$17)/100&lt;=0),"",IF(N(C120)&gt;N(F120),(N(E120)-N(H120))/((N(C120)-N(F120))*(1-N(Ввод!$E$17)/100)),(N(H120)-N(E120))/((N(F120)-N(C120))*(1+N(Ввод!$E$17)/100))))</f>
        <v/>
      </c>
    </row>
    <row r="121" ht="22" customHeight="1">
      <c r="B121" s="315" t="n"/>
      <c r="C121" s="240">
        <f>IF($B121="","",IF(SUMIFS('ИТОГО Торговля'!$C$5:$C$300,'ИТОГО Торговля'!$B$5:$B$300,$B121)+SUMIFS('ИТОГО Лэндинг'!$C$5:$C$300,'ИТОГО Лэндинг'!$B$5:$B$300,$B121)=0,"",SUMIFS('ИТОГО Торговля'!$C$5:$C$300,'ИТОГО Торговля'!$B$5:$B$300,$B121)+SUMIFS('ИТОГО Лэндинг'!$C$5:$C$300,'ИТОГО Лэндинг'!$B$5:$B$300,$B121)))</f>
        <v/>
      </c>
      <c r="D121" s="177">
        <f>IF(C121="","",E121/C121)</f>
        <v/>
      </c>
      <c r="E121" s="241">
        <f>IF(C121="","",SUMIFS('ИТОГО Торговля'!$E$5:$E$300,'ИТОГО Торговля'!$B$5:$B$300,$B121)+SUMIFS('ИТОГО Лэндинг'!$E$5:$E$300,'ИТОГО Лэндинг'!$B$5:$B$300,$B121))</f>
        <v/>
      </c>
      <c r="F121" s="240">
        <f>IF($B121="","",IF(SUMIFS('ИТОГО Торговля'!$F$5:$F$300,'ИТОГО Торговля'!$B$5:$B$300,$B121)+SUMIFS('ИТОГО Лэндинг'!$F$5:$F$300,'ИТОГО Лэндинг'!$B$5:$B$300,$B121)=0,"",SUMIFS('ИТОГО Торговля'!$F$5:$F$300,'ИТОГО Торговля'!$B$5:$B$300,$B121)+SUMIFS('ИТОГО Лэндинг'!$F$5:$F$300,'ИТОГО Лэндинг'!$B$5:$B$300,$B121)))</f>
        <v/>
      </c>
      <c r="G121" s="177">
        <f>IF(F121="","",H121/F121)</f>
        <v/>
      </c>
      <c r="H121" s="241">
        <f>IF(F121="","",SUMIFS('ИТОГО Торговля'!$H$5:$H$300,'ИТОГО Торговля'!$B$5:$B$300,$B121)+SUMIFS('ИТОГО Лэндинг'!$H$5:$H$300,'ИТОГО Лэндинг'!$B$5:$B$300,$B121))</f>
        <v/>
      </c>
      <c r="I121" s="240">
        <f>IF($B121="","",IF(AND(C121="",F121=""),"",ROUND(SUMIFS('ИТОГО Торговля'!$I$5:$I$300,'ИТОГО Торговля'!$B$5:$B$300,$B121)+SUMIFS('ИТОГО Лэндинг'!$I$5:$I$300,'ИТОГО Лэндинг'!$B$5:$B$300,$B121),8)))</f>
        <v/>
      </c>
      <c r="J121" s="241">
        <f>IF($B121="","",IF(AND(C121="",F121=""),"",ROUND(SUMIFS('ИТОГО Торговля'!$J$5:$J$300,'ИТОГО Торговля'!$B$5:$B$300,$B121)+SUMIFS('ИТОГО Лэндинг'!$J$5:$J$300,'ИТОГО Лэндинг'!$B$5:$B$300,$B121),8)))</f>
        <v/>
      </c>
      <c r="K121" s="240">
        <f>IF($B121="","",ROUND(SUMIFS('ИТОГО Торговля'!$K$5:$K$300,'ИТОГО Торговля'!$B$5:$B$300,$B121)+SUMIFS('ИТОГО Лэндинг'!$K$5:$K$300,'ИТОГО Лэндинг'!$B$5:$B$300,$B121),8))</f>
        <v/>
      </c>
      <c r="L121" s="177">
        <f>IF(K121="","",IF(SUMPRODUCT((Закрытые!$E$5:$E$300=$B121)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121/SUMPRODUCT((Закрытые!$E$5:$E$300=$B121)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1" s="177">
        <f>IF(OR(ROUND(N(C121)-N(F121),8)=0,1-N(Ввод!$E$17)/100&lt;=0),"",IF(N(C121)&gt;N(F121),(N(E121)-N(H121))/((N(C121)-N(F121))*(1-N(Ввод!$E$17)/100)),(N(H121)-N(E121))/((N(F121)-N(C121))*(1+N(Ввод!$E$17)/100))))</f>
        <v/>
      </c>
    </row>
    <row r="122" ht="22" customHeight="1">
      <c r="B122" s="320" t="n"/>
      <c r="C122" s="246">
        <f>IF($B122="","",IF(SUMIFS('ИТОГО Торговля'!$C$5:$C$300,'ИТОГО Торговля'!$B$5:$B$300,$B122)+SUMIFS('ИТОГО Лэндинг'!$C$5:$C$300,'ИТОГО Лэндинг'!$B$5:$B$300,$B122)=0,"",SUMIFS('ИТОГО Торговля'!$C$5:$C$300,'ИТОГО Торговля'!$B$5:$B$300,$B122)+SUMIFS('ИТОГО Лэндинг'!$C$5:$C$300,'ИТОГО Лэндинг'!$B$5:$B$300,$B122)))</f>
        <v/>
      </c>
      <c r="D122" s="183">
        <f>IF(C122="","",E122/C122)</f>
        <v/>
      </c>
      <c r="E122" s="247">
        <f>IF(C122="","",SUMIFS('ИТОГО Торговля'!$E$5:$E$300,'ИТОГО Торговля'!$B$5:$B$300,$B122)+SUMIFS('ИТОГО Лэндинг'!$E$5:$E$300,'ИТОГО Лэндинг'!$B$5:$B$300,$B122))</f>
        <v/>
      </c>
      <c r="F122" s="246">
        <f>IF($B122="","",IF(SUMIFS('ИТОГО Торговля'!$F$5:$F$300,'ИТОГО Торговля'!$B$5:$B$300,$B122)+SUMIFS('ИТОГО Лэндинг'!$F$5:$F$300,'ИТОГО Лэндинг'!$B$5:$B$300,$B122)=0,"",SUMIFS('ИТОГО Торговля'!$F$5:$F$300,'ИТОГО Торговля'!$B$5:$B$300,$B122)+SUMIFS('ИТОГО Лэндинг'!$F$5:$F$300,'ИТОГО Лэндинг'!$B$5:$B$300,$B122)))</f>
        <v/>
      </c>
      <c r="G122" s="183">
        <f>IF(F122="","",H122/F122)</f>
        <v/>
      </c>
      <c r="H122" s="247">
        <f>IF(F122="","",SUMIFS('ИТОГО Торговля'!$H$5:$H$300,'ИТОГО Торговля'!$B$5:$B$300,$B122)+SUMIFS('ИТОГО Лэндинг'!$H$5:$H$300,'ИТОГО Лэндинг'!$B$5:$B$300,$B122))</f>
        <v/>
      </c>
      <c r="I122" s="246">
        <f>IF($B122="","",IF(AND(C122="",F122=""),"",ROUND(SUMIFS('ИТОГО Торговля'!$I$5:$I$300,'ИТОГО Торговля'!$B$5:$B$300,$B122)+SUMIFS('ИТОГО Лэндинг'!$I$5:$I$300,'ИТОГО Лэндинг'!$B$5:$B$300,$B122),8)))</f>
        <v/>
      </c>
      <c r="J122" s="247">
        <f>IF($B122="","",IF(AND(C122="",F122=""),"",ROUND(SUMIFS('ИТОГО Торговля'!$J$5:$J$300,'ИТОГО Торговля'!$B$5:$B$300,$B122)+SUMIFS('ИТОГО Лэндинг'!$J$5:$J$300,'ИТОГО Лэндинг'!$B$5:$B$300,$B122),8)))</f>
        <v/>
      </c>
      <c r="K122" s="246">
        <f>IF($B122="","",ROUND(SUMIFS('ИТОГО Торговля'!$K$5:$K$300,'ИТОГО Торговля'!$B$5:$B$300,$B122)+SUMIFS('ИТОГО Лэндинг'!$K$5:$K$300,'ИТОГО Лэндинг'!$B$5:$B$300,$B122),8))</f>
        <v/>
      </c>
      <c r="L122" s="183">
        <f>IF(K122="","",IF(SUMPRODUCT((Закрытые!$E$5:$E$300=$B122)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122/SUMPRODUCT((Закрытые!$E$5:$E$300=$B122)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2" s="183">
        <f>IF(OR(ROUND(N(C122)-N(F122),8)=0,1-N(Ввод!$E$17)/100&lt;=0),"",IF(N(C122)&gt;N(F122),(N(E122)-N(H122))/((N(C122)-N(F122))*(1-N(Ввод!$E$17)/100)),(N(H122)-N(E122))/((N(F122)-N(C122))*(1+N(Ввод!$E$17)/100))))</f>
        <v/>
      </c>
    </row>
    <row r="123" ht="22" customHeight="1">
      <c r="B123" s="315" t="n"/>
      <c r="C123" s="240">
        <f>IF($B123="","",IF(SUMIFS('ИТОГО Торговля'!$C$5:$C$300,'ИТОГО Торговля'!$B$5:$B$300,$B123)+SUMIFS('ИТОГО Лэндинг'!$C$5:$C$300,'ИТОГО Лэндинг'!$B$5:$B$300,$B123)=0,"",SUMIFS('ИТОГО Торговля'!$C$5:$C$300,'ИТОГО Торговля'!$B$5:$B$300,$B123)+SUMIFS('ИТОГО Лэндинг'!$C$5:$C$300,'ИТОГО Лэндинг'!$B$5:$B$300,$B123)))</f>
        <v/>
      </c>
      <c r="D123" s="177">
        <f>IF(C123="","",E123/C123)</f>
        <v/>
      </c>
      <c r="E123" s="241">
        <f>IF(C123="","",SUMIFS('ИТОГО Торговля'!$E$5:$E$300,'ИТОГО Торговля'!$B$5:$B$300,$B123)+SUMIFS('ИТОГО Лэндинг'!$E$5:$E$300,'ИТОГО Лэндинг'!$B$5:$B$300,$B123))</f>
        <v/>
      </c>
      <c r="F123" s="240">
        <f>IF($B123="","",IF(SUMIFS('ИТОГО Торговля'!$F$5:$F$300,'ИТОГО Торговля'!$B$5:$B$300,$B123)+SUMIFS('ИТОГО Лэндинг'!$F$5:$F$300,'ИТОГО Лэндинг'!$B$5:$B$300,$B123)=0,"",SUMIFS('ИТОГО Торговля'!$F$5:$F$300,'ИТОГО Торговля'!$B$5:$B$300,$B123)+SUMIFS('ИТОГО Лэндинг'!$F$5:$F$300,'ИТОГО Лэндинг'!$B$5:$B$300,$B123)))</f>
        <v/>
      </c>
      <c r="G123" s="177">
        <f>IF(F123="","",H123/F123)</f>
        <v/>
      </c>
      <c r="H123" s="241">
        <f>IF(F123="","",SUMIFS('ИТОГО Торговля'!$H$5:$H$300,'ИТОГО Торговля'!$B$5:$B$300,$B123)+SUMIFS('ИТОГО Лэндинг'!$H$5:$H$300,'ИТОГО Лэндинг'!$B$5:$B$300,$B123))</f>
        <v/>
      </c>
      <c r="I123" s="240">
        <f>IF($B123="","",IF(AND(C123="",F123=""),"",ROUND(SUMIFS('ИТОГО Торговля'!$I$5:$I$300,'ИТОГО Торговля'!$B$5:$B$300,$B123)+SUMIFS('ИТОГО Лэндинг'!$I$5:$I$300,'ИТОГО Лэндинг'!$B$5:$B$300,$B123),8)))</f>
        <v/>
      </c>
      <c r="J123" s="241">
        <f>IF($B123="","",IF(AND(C123="",F123=""),"",ROUND(SUMIFS('ИТОГО Торговля'!$J$5:$J$300,'ИТОГО Торговля'!$B$5:$B$300,$B123)+SUMIFS('ИТОГО Лэндинг'!$J$5:$J$300,'ИТОГО Лэндинг'!$B$5:$B$300,$B123),8)))</f>
        <v/>
      </c>
      <c r="K123" s="240">
        <f>IF($B123="","",ROUND(SUMIFS('ИТОГО Торговля'!$K$5:$K$300,'ИТОГО Торговля'!$B$5:$B$300,$B123)+SUMIFS('ИТОГО Лэндинг'!$K$5:$K$300,'ИТОГО Лэндинг'!$B$5:$B$300,$B123),8))</f>
        <v/>
      </c>
      <c r="L123" s="177">
        <f>IF(K123="","",IF(SUMPRODUCT((Закрытые!$E$5:$E$300=$B123)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123/SUMPRODUCT((Закрытые!$E$5:$E$300=$B123)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3" s="177">
        <f>IF(OR(ROUND(N(C123)-N(F123),8)=0,1-N(Ввод!$E$17)/100&lt;=0),"",IF(N(C123)&gt;N(F123),(N(E123)-N(H123))/((N(C123)-N(F123))*(1-N(Ввод!$E$17)/100)),(N(H123)-N(E123))/((N(F123)-N(C123))*(1+N(Ввод!$E$17)/100))))</f>
        <v/>
      </c>
    </row>
    <row r="124" ht="22" customHeight="1">
      <c r="B124" s="320" t="n"/>
      <c r="C124" s="246">
        <f>IF($B124="","",IF(SUMIFS('ИТОГО Торговля'!$C$5:$C$300,'ИТОГО Торговля'!$B$5:$B$300,$B124)+SUMIFS('ИТОГО Лэндинг'!$C$5:$C$300,'ИТОГО Лэндинг'!$B$5:$B$300,$B124)=0,"",SUMIFS('ИТОГО Торговля'!$C$5:$C$300,'ИТОГО Торговля'!$B$5:$B$300,$B124)+SUMIFS('ИТОГО Лэндинг'!$C$5:$C$300,'ИТОГО Лэндинг'!$B$5:$B$300,$B124)))</f>
        <v/>
      </c>
      <c r="D124" s="183">
        <f>IF(C124="","",E124/C124)</f>
        <v/>
      </c>
      <c r="E124" s="247">
        <f>IF(C124="","",SUMIFS('ИТОГО Торговля'!$E$5:$E$300,'ИТОГО Торговля'!$B$5:$B$300,$B124)+SUMIFS('ИТОГО Лэндинг'!$E$5:$E$300,'ИТОГО Лэндинг'!$B$5:$B$300,$B124))</f>
        <v/>
      </c>
      <c r="F124" s="246">
        <f>IF($B124="","",IF(SUMIFS('ИТОГО Торговля'!$F$5:$F$300,'ИТОГО Торговля'!$B$5:$B$300,$B124)+SUMIFS('ИТОГО Лэндинг'!$F$5:$F$300,'ИТОГО Лэндинг'!$B$5:$B$300,$B124)=0,"",SUMIFS('ИТОГО Торговля'!$F$5:$F$300,'ИТОГО Торговля'!$B$5:$B$300,$B124)+SUMIFS('ИТОГО Лэндинг'!$F$5:$F$300,'ИТОГО Лэндинг'!$B$5:$B$300,$B124)))</f>
        <v/>
      </c>
      <c r="G124" s="183">
        <f>IF(F124="","",H124/F124)</f>
        <v/>
      </c>
      <c r="H124" s="247">
        <f>IF(F124="","",SUMIFS('ИТОГО Торговля'!$H$5:$H$300,'ИТОГО Торговля'!$B$5:$B$300,$B124)+SUMIFS('ИТОГО Лэндинг'!$H$5:$H$300,'ИТОГО Лэндинг'!$B$5:$B$300,$B124))</f>
        <v/>
      </c>
      <c r="I124" s="246">
        <f>IF($B124="","",IF(AND(C124="",F124=""),"",ROUND(SUMIFS('ИТОГО Торговля'!$I$5:$I$300,'ИТОГО Торговля'!$B$5:$B$300,$B124)+SUMIFS('ИТОГО Лэндинг'!$I$5:$I$300,'ИТОГО Лэндинг'!$B$5:$B$300,$B124),8)))</f>
        <v/>
      </c>
      <c r="J124" s="247">
        <f>IF($B124="","",IF(AND(C124="",F124=""),"",ROUND(SUMIFS('ИТОГО Торговля'!$J$5:$J$300,'ИТОГО Торговля'!$B$5:$B$300,$B124)+SUMIFS('ИТОГО Лэндинг'!$J$5:$J$300,'ИТОГО Лэндинг'!$B$5:$B$300,$B124),8)))</f>
        <v/>
      </c>
      <c r="K124" s="246">
        <f>IF($B124="","",ROUND(SUMIFS('ИТОГО Торговля'!$K$5:$K$300,'ИТОГО Торговля'!$B$5:$B$300,$B124)+SUMIFS('ИТОГО Лэндинг'!$K$5:$K$300,'ИТОГО Лэндинг'!$B$5:$B$300,$B124),8))</f>
        <v/>
      </c>
      <c r="L124" s="183">
        <f>IF(K124="","",IF(SUMPRODUCT((Закрытые!$E$5:$E$300=$B124)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124/SUMPRODUCT((Закрытые!$E$5:$E$300=$B124)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4" s="183">
        <f>IF(OR(ROUND(N(C124)-N(F124),8)=0,1-N(Ввод!$E$17)/100&lt;=0),"",IF(N(C124)&gt;N(F124),(N(E124)-N(H124))/((N(C124)-N(F124))*(1-N(Ввод!$E$17)/100)),(N(H124)-N(E124))/((N(F124)-N(C124))*(1+N(Ввод!$E$17)/100))))</f>
        <v/>
      </c>
    </row>
    <row r="125" ht="22" customHeight="1">
      <c r="B125" s="315" t="n"/>
      <c r="C125" s="240">
        <f>IF($B125="","",IF(SUMIFS('ИТОГО Торговля'!$C$5:$C$300,'ИТОГО Торговля'!$B$5:$B$300,$B125)+SUMIFS('ИТОГО Лэндинг'!$C$5:$C$300,'ИТОГО Лэндинг'!$B$5:$B$300,$B125)=0,"",SUMIFS('ИТОГО Торговля'!$C$5:$C$300,'ИТОГО Торговля'!$B$5:$B$300,$B125)+SUMIFS('ИТОГО Лэндинг'!$C$5:$C$300,'ИТОГО Лэндинг'!$B$5:$B$300,$B125)))</f>
        <v/>
      </c>
      <c r="D125" s="177">
        <f>IF(C125="","",E125/C125)</f>
        <v/>
      </c>
      <c r="E125" s="241">
        <f>IF(C125="","",SUMIFS('ИТОГО Торговля'!$E$5:$E$300,'ИТОГО Торговля'!$B$5:$B$300,$B125)+SUMIFS('ИТОГО Лэндинг'!$E$5:$E$300,'ИТОГО Лэндинг'!$B$5:$B$300,$B125))</f>
        <v/>
      </c>
      <c r="F125" s="240">
        <f>IF($B125="","",IF(SUMIFS('ИТОГО Торговля'!$F$5:$F$300,'ИТОГО Торговля'!$B$5:$B$300,$B125)+SUMIFS('ИТОГО Лэндинг'!$F$5:$F$300,'ИТОГО Лэндинг'!$B$5:$B$300,$B125)=0,"",SUMIFS('ИТОГО Торговля'!$F$5:$F$300,'ИТОГО Торговля'!$B$5:$B$300,$B125)+SUMIFS('ИТОГО Лэндинг'!$F$5:$F$300,'ИТОГО Лэндинг'!$B$5:$B$300,$B125)))</f>
        <v/>
      </c>
      <c r="G125" s="177">
        <f>IF(F125="","",H125/F125)</f>
        <v/>
      </c>
      <c r="H125" s="241">
        <f>IF(F125="","",SUMIFS('ИТОГО Торговля'!$H$5:$H$300,'ИТОГО Торговля'!$B$5:$B$300,$B125)+SUMIFS('ИТОГО Лэндинг'!$H$5:$H$300,'ИТОГО Лэндинг'!$B$5:$B$300,$B125))</f>
        <v/>
      </c>
      <c r="I125" s="240">
        <f>IF($B125="","",IF(AND(C125="",F125=""),"",ROUND(SUMIFS('ИТОГО Торговля'!$I$5:$I$300,'ИТОГО Торговля'!$B$5:$B$300,$B125)+SUMIFS('ИТОГО Лэндинг'!$I$5:$I$300,'ИТОГО Лэндинг'!$B$5:$B$300,$B125),8)))</f>
        <v/>
      </c>
      <c r="J125" s="241">
        <f>IF($B125="","",IF(AND(C125="",F125=""),"",ROUND(SUMIFS('ИТОГО Торговля'!$J$5:$J$300,'ИТОГО Торговля'!$B$5:$B$300,$B125)+SUMIFS('ИТОГО Лэндинг'!$J$5:$J$300,'ИТОГО Лэндинг'!$B$5:$B$300,$B125),8)))</f>
        <v/>
      </c>
      <c r="K125" s="240">
        <f>IF($B125="","",ROUND(SUMIFS('ИТОГО Торговля'!$K$5:$K$300,'ИТОГО Торговля'!$B$5:$B$300,$B125)+SUMIFS('ИТОГО Лэндинг'!$K$5:$K$300,'ИТОГО Лэндинг'!$B$5:$B$300,$B125),8))</f>
        <v/>
      </c>
      <c r="L125" s="177">
        <f>IF(K125="","",IF(SUMPRODUCT((Закрытые!$E$5:$E$300=$B125)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125/SUMPRODUCT((Закрытые!$E$5:$E$300=$B125)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5" s="177">
        <f>IF(OR(ROUND(N(C125)-N(F125),8)=0,1-N(Ввод!$E$17)/100&lt;=0),"",IF(N(C125)&gt;N(F125),(N(E125)-N(H125))/((N(C125)-N(F125))*(1-N(Ввод!$E$17)/100)),(N(H125)-N(E125))/((N(F125)-N(C125))*(1+N(Ввод!$E$17)/100))))</f>
        <v/>
      </c>
    </row>
    <row r="126" ht="22" customHeight="1">
      <c r="B126" s="320" t="n"/>
      <c r="C126" s="246">
        <f>IF($B126="","",IF(SUMIFS('ИТОГО Торговля'!$C$5:$C$300,'ИТОГО Торговля'!$B$5:$B$300,$B126)+SUMIFS('ИТОГО Лэндинг'!$C$5:$C$300,'ИТОГО Лэндинг'!$B$5:$B$300,$B126)=0,"",SUMIFS('ИТОГО Торговля'!$C$5:$C$300,'ИТОГО Торговля'!$B$5:$B$300,$B126)+SUMIFS('ИТОГО Лэндинг'!$C$5:$C$300,'ИТОГО Лэндинг'!$B$5:$B$300,$B126)))</f>
        <v/>
      </c>
      <c r="D126" s="183">
        <f>IF(C126="","",E126/C126)</f>
        <v/>
      </c>
      <c r="E126" s="247">
        <f>IF(C126="","",SUMIFS('ИТОГО Торговля'!$E$5:$E$300,'ИТОГО Торговля'!$B$5:$B$300,$B126)+SUMIFS('ИТОГО Лэндинг'!$E$5:$E$300,'ИТОГО Лэндинг'!$B$5:$B$300,$B126))</f>
        <v/>
      </c>
      <c r="F126" s="246">
        <f>IF($B126="","",IF(SUMIFS('ИТОГО Торговля'!$F$5:$F$300,'ИТОГО Торговля'!$B$5:$B$300,$B126)+SUMIFS('ИТОГО Лэндинг'!$F$5:$F$300,'ИТОГО Лэндинг'!$B$5:$B$300,$B126)=0,"",SUMIFS('ИТОГО Торговля'!$F$5:$F$300,'ИТОГО Торговля'!$B$5:$B$300,$B126)+SUMIFS('ИТОГО Лэндинг'!$F$5:$F$300,'ИТОГО Лэндинг'!$B$5:$B$300,$B126)))</f>
        <v/>
      </c>
      <c r="G126" s="183">
        <f>IF(F126="","",H126/F126)</f>
        <v/>
      </c>
      <c r="H126" s="247">
        <f>IF(F126="","",SUMIFS('ИТОГО Торговля'!$H$5:$H$300,'ИТОГО Торговля'!$B$5:$B$300,$B126)+SUMIFS('ИТОГО Лэндинг'!$H$5:$H$300,'ИТОГО Лэндинг'!$B$5:$B$300,$B126))</f>
        <v/>
      </c>
      <c r="I126" s="246">
        <f>IF($B126="","",IF(AND(C126="",F126=""),"",ROUND(SUMIFS('ИТОГО Торговля'!$I$5:$I$300,'ИТОГО Торговля'!$B$5:$B$300,$B126)+SUMIFS('ИТОГО Лэндинг'!$I$5:$I$300,'ИТОГО Лэндинг'!$B$5:$B$300,$B126),8)))</f>
        <v/>
      </c>
      <c r="J126" s="247">
        <f>IF($B126="","",IF(AND(C126="",F126=""),"",ROUND(SUMIFS('ИТОГО Торговля'!$J$5:$J$300,'ИТОГО Торговля'!$B$5:$B$300,$B126)+SUMIFS('ИТОГО Лэндинг'!$J$5:$J$300,'ИТОГО Лэндинг'!$B$5:$B$300,$B126),8)))</f>
        <v/>
      </c>
      <c r="K126" s="246">
        <f>IF($B126="","",ROUND(SUMIFS('ИТОГО Торговля'!$K$5:$K$300,'ИТОГО Торговля'!$B$5:$B$300,$B126)+SUMIFS('ИТОГО Лэндинг'!$K$5:$K$300,'ИТОГО Лэндинг'!$B$5:$B$300,$B126),8))</f>
        <v/>
      </c>
      <c r="L126" s="183">
        <f>IF(K126="","",IF(SUMPRODUCT((Закрытые!$E$5:$E$300=$B126)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126/SUMPRODUCT((Закрытые!$E$5:$E$300=$B126)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6" s="183">
        <f>IF(OR(ROUND(N(C126)-N(F126),8)=0,1-N(Ввод!$E$17)/100&lt;=0),"",IF(N(C126)&gt;N(F126),(N(E126)-N(H126))/((N(C126)-N(F126))*(1-N(Ввод!$E$17)/100)),(N(H126)-N(E126))/((N(F126)-N(C126))*(1+N(Ввод!$E$17)/100))))</f>
        <v/>
      </c>
    </row>
    <row r="127" ht="22" customHeight="1">
      <c r="B127" s="315" t="n"/>
      <c r="C127" s="240">
        <f>IF($B127="","",IF(SUMIFS('ИТОГО Торговля'!$C$5:$C$300,'ИТОГО Торговля'!$B$5:$B$300,$B127)+SUMIFS('ИТОГО Лэндинг'!$C$5:$C$300,'ИТОГО Лэндинг'!$B$5:$B$300,$B127)=0,"",SUMIFS('ИТОГО Торговля'!$C$5:$C$300,'ИТОГО Торговля'!$B$5:$B$300,$B127)+SUMIFS('ИТОГО Лэндинг'!$C$5:$C$300,'ИТОГО Лэндинг'!$B$5:$B$300,$B127)))</f>
        <v/>
      </c>
      <c r="D127" s="177">
        <f>IF(C127="","",E127/C127)</f>
        <v/>
      </c>
      <c r="E127" s="241">
        <f>IF(C127="","",SUMIFS('ИТОГО Торговля'!$E$5:$E$300,'ИТОГО Торговля'!$B$5:$B$300,$B127)+SUMIFS('ИТОГО Лэндинг'!$E$5:$E$300,'ИТОГО Лэндинг'!$B$5:$B$300,$B127))</f>
        <v/>
      </c>
      <c r="F127" s="240">
        <f>IF($B127="","",IF(SUMIFS('ИТОГО Торговля'!$F$5:$F$300,'ИТОГО Торговля'!$B$5:$B$300,$B127)+SUMIFS('ИТОГО Лэндинг'!$F$5:$F$300,'ИТОГО Лэндинг'!$B$5:$B$300,$B127)=0,"",SUMIFS('ИТОГО Торговля'!$F$5:$F$300,'ИТОГО Торговля'!$B$5:$B$300,$B127)+SUMIFS('ИТОГО Лэндинг'!$F$5:$F$300,'ИТОГО Лэндинг'!$B$5:$B$300,$B127)))</f>
        <v/>
      </c>
      <c r="G127" s="177">
        <f>IF(F127="","",H127/F127)</f>
        <v/>
      </c>
      <c r="H127" s="241">
        <f>IF(F127="","",SUMIFS('ИТОГО Торговля'!$H$5:$H$300,'ИТОГО Торговля'!$B$5:$B$300,$B127)+SUMIFS('ИТОГО Лэндинг'!$H$5:$H$300,'ИТОГО Лэндинг'!$B$5:$B$300,$B127))</f>
        <v/>
      </c>
      <c r="I127" s="240">
        <f>IF($B127="","",IF(AND(C127="",F127=""),"",ROUND(SUMIFS('ИТОГО Торговля'!$I$5:$I$300,'ИТОГО Торговля'!$B$5:$B$300,$B127)+SUMIFS('ИТОГО Лэндинг'!$I$5:$I$300,'ИТОГО Лэндинг'!$B$5:$B$300,$B127),8)))</f>
        <v/>
      </c>
      <c r="J127" s="241">
        <f>IF($B127="","",IF(AND(C127="",F127=""),"",ROUND(SUMIFS('ИТОГО Торговля'!$J$5:$J$300,'ИТОГО Торговля'!$B$5:$B$300,$B127)+SUMIFS('ИТОГО Лэндинг'!$J$5:$J$300,'ИТОГО Лэндинг'!$B$5:$B$300,$B127),8)))</f>
        <v/>
      </c>
      <c r="K127" s="240">
        <f>IF($B127="","",ROUND(SUMIFS('ИТОГО Торговля'!$K$5:$K$300,'ИТОГО Торговля'!$B$5:$B$300,$B127)+SUMIFS('ИТОГО Лэндинг'!$K$5:$K$300,'ИТОГО Лэндинг'!$B$5:$B$300,$B127),8))</f>
        <v/>
      </c>
      <c r="L127" s="177">
        <f>IF(K127="","",IF(SUMPRODUCT((Закрытые!$E$5:$E$300=$B127)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127/SUMPRODUCT((Закрытые!$E$5:$E$300=$B127)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7" s="177">
        <f>IF(OR(ROUND(N(C127)-N(F127),8)=0,1-N(Ввод!$E$17)/100&lt;=0),"",IF(N(C127)&gt;N(F127),(N(E127)-N(H127))/((N(C127)-N(F127))*(1-N(Ввод!$E$17)/100)),(N(H127)-N(E127))/((N(F127)-N(C127))*(1+N(Ввод!$E$17)/100))))</f>
        <v/>
      </c>
    </row>
    <row r="128" ht="22" customHeight="1">
      <c r="B128" s="320" t="n"/>
      <c r="C128" s="246">
        <f>IF($B128="","",IF(SUMIFS('ИТОГО Торговля'!$C$5:$C$300,'ИТОГО Торговля'!$B$5:$B$300,$B128)+SUMIFS('ИТОГО Лэндинг'!$C$5:$C$300,'ИТОГО Лэндинг'!$B$5:$B$300,$B128)=0,"",SUMIFS('ИТОГО Торговля'!$C$5:$C$300,'ИТОГО Торговля'!$B$5:$B$300,$B128)+SUMIFS('ИТОГО Лэндинг'!$C$5:$C$300,'ИТОГО Лэндинг'!$B$5:$B$300,$B128)))</f>
        <v/>
      </c>
      <c r="D128" s="183">
        <f>IF(C128="","",E128/C128)</f>
        <v/>
      </c>
      <c r="E128" s="247">
        <f>IF(C128="","",SUMIFS('ИТОГО Торговля'!$E$5:$E$300,'ИТОГО Торговля'!$B$5:$B$300,$B128)+SUMIFS('ИТОГО Лэндинг'!$E$5:$E$300,'ИТОГО Лэндинг'!$B$5:$B$300,$B128))</f>
        <v/>
      </c>
      <c r="F128" s="246">
        <f>IF($B128="","",IF(SUMIFS('ИТОГО Торговля'!$F$5:$F$300,'ИТОГО Торговля'!$B$5:$B$300,$B128)+SUMIFS('ИТОГО Лэндинг'!$F$5:$F$300,'ИТОГО Лэндинг'!$B$5:$B$300,$B128)=0,"",SUMIFS('ИТОГО Торговля'!$F$5:$F$300,'ИТОГО Торговля'!$B$5:$B$300,$B128)+SUMIFS('ИТОГО Лэндинг'!$F$5:$F$300,'ИТОГО Лэндинг'!$B$5:$B$300,$B128)))</f>
        <v/>
      </c>
      <c r="G128" s="183">
        <f>IF(F128="","",H128/F128)</f>
        <v/>
      </c>
      <c r="H128" s="247">
        <f>IF(F128="","",SUMIFS('ИТОГО Торговля'!$H$5:$H$300,'ИТОГО Торговля'!$B$5:$B$300,$B128)+SUMIFS('ИТОГО Лэндинг'!$H$5:$H$300,'ИТОГО Лэндинг'!$B$5:$B$300,$B128))</f>
        <v/>
      </c>
      <c r="I128" s="246">
        <f>IF($B128="","",IF(AND(C128="",F128=""),"",ROUND(SUMIFS('ИТОГО Торговля'!$I$5:$I$300,'ИТОГО Торговля'!$B$5:$B$300,$B128)+SUMIFS('ИТОГО Лэндинг'!$I$5:$I$300,'ИТОГО Лэндинг'!$B$5:$B$300,$B128),8)))</f>
        <v/>
      </c>
      <c r="J128" s="247">
        <f>IF($B128="","",IF(AND(C128="",F128=""),"",ROUND(SUMIFS('ИТОГО Торговля'!$J$5:$J$300,'ИТОГО Торговля'!$B$5:$B$300,$B128)+SUMIFS('ИТОГО Лэндинг'!$J$5:$J$300,'ИТОГО Лэндинг'!$B$5:$B$300,$B128),8)))</f>
        <v/>
      </c>
      <c r="K128" s="246">
        <f>IF($B128="","",ROUND(SUMIFS('ИТОГО Торговля'!$K$5:$K$300,'ИТОГО Торговля'!$B$5:$B$300,$B128)+SUMIFS('ИТОГО Лэндинг'!$K$5:$K$300,'ИТОГО Лэндинг'!$B$5:$B$300,$B128),8))</f>
        <v/>
      </c>
      <c r="L128" s="183">
        <f>IF(K128="","",IF(SUMPRODUCT((Закрытые!$E$5:$E$300=$B128)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128/SUMPRODUCT((Закрытые!$E$5:$E$300=$B128)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8" s="183">
        <f>IF(OR(ROUND(N(C128)-N(F128),8)=0,1-N(Ввод!$E$17)/100&lt;=0),"",IF(N(C128)&gt;N(F128),(N(E128)-N(H128))/((N(C128)-N(F128))*(1-N(Ввод!$E$17)/100)),(N(H128)-N(E128))/((N(F128)-N(C128))*(1+N(Ввод!$E$17)/100))))</f>
        <v/>
      </c>
    </row>
    <row r="129" ht="22" customHeight="1">
      <c r="B129" s="315" t="n"/>
      <c r="C129" s="240">
        <f>IF($B129="","",IF(SUMIFS('ИТОГО Торговля'!$C$5:$C$300,'ИТОГО Торговля'!$B$5:$B$300,$B129)+SUMIFS('ИТОГО Лэндинг'!$C$5:$C$300,'ИТОГО Лэндинг'!$B$5:$B$300,$B129)=0,"",SUMIFS('ИТОГО Торговля'!$C$5:$C$300,'ИТОГО Торговля'!$B$5:$B$300,$B129)+SUMIFS('ИТОГО Лэндинг'!$C$5:$C$300,'ИТОГО Лэндинг'!$B$5:$B$300,$B129)))</f>
        <v/>
      </c>
      <c r="D129" s="177">
        <f>IF(C129="","",E129/C129)</f>
        <v/>
      </c>
      <c r="E129" s="241">
        <f>IF(C129="","",SUMIFS('ИТОГО Торговля'!$E$5:$E$300,'ИТОГО Торговля'!$B$5:$B$300,$B129)+SUMIFS('ИТОГО Лэндинг'!$E$5:$E$300,'ИТОГО Лэндинг'!$B$5:$B$300,$B129))</f>
        <v/>
      </c>
      <c r="F129" s="240">
        <f>IF($B129="","",IF(SUMIFS('ИТОГО Торговля'!$F$5:$F$300,'ИТОГО Торговля'!$B$5:$B$300,$B129)+SUMIFS('ИТОГО Лэндинг'!$F$5:$F$300,'ИТОГО Лэндинг'!$B$5:$B$300,$B129)=0,"",SUMIFS('ИТОГО Торговля'!$F$5:$F$300,'ИТОГО Торговля'!$B$5:$B$300,$B129)+SUMIFS('ИТОГО Лэндинг'!$F$5:$F$300,'ИТОГО Лэндинг'!$B$5:$B$300,$B129)))</f>
        <v/>
      </c>
      <c r="G129" s="177">
        <f>IF(F129="","",H129/F129)</f>
        <v/>
      </c>
      <c r="H129" s="241">
        <f>IF(F129="","",SUMIFS('ИТОГО Торговля'!$H$5:$H$300,'ИТОГО Торговля'!$B$5:$B$300,$B129)+SUMIFS('ИТОГО Лэндинг'!$H$5:$H$300,'ИТОГО Лэндинг'!$B$5:$B$300,$B129))</f>
        <v/>
      </c>
      <c r="I129" s="240">
        <f>IF($B129="","",IF(AND(C129="",F129=""),"",ROUND(SUMIFS('ИТОГО Торговля'!$I$5:$I$300,'ИТОГО Торговля'!$B$5:$B$300,$B129)+SUMIFS('ИТОГО Лэндинг'!$I$5:$I$300,'ИТОГО Лэндинг'!$B$5:$B$300,$B129),8)))</f>
        <v/>
      </c>
      <c r="J129" s="241">
        <f>IF($B129="","",IF(AND(C129="",F129=""),"",ROUND(SUMIFS('ИТОГО Торговля'!$J$5:$J$300,'ИТОГО Торговля'!$B$5:$B$300,$B129)+SUMIFS('ИТОГО Лэндинг'!$J$5:$J$300,'ИТОГО Лэндинг'!$B$5:$B$300,$B129),8)))</f>
        <v/>
      </c>
      <c r="K129" s="240">
        <f>IF($B129="","",ROUND(SUMIFS('ИТОГО Торговля'!$K$5:$K$300,'ИТОГО Торговля'!$B$5:$B$300,$B129)+SUMIFS('ИТОГО Лэндинг'!$K$5:$K$300,'ИТОГО Лэндинг'!$B$5:$B$300,$B129),8))</f>
        <v/>
      </c>
      <c r="L129" s="177">
        <f>IF(K129="","",IF(SUMPRODUCT((Закрытые!$E$5:$E$300=$B129)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129/SUMPRODUCT((Закрытые!$E$5:$E$300=$B129)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9" s="177">
        <f>IF(OR(ROUND(N(C129)-N(F129),8)=0,1-N(Ввод!$E$17)/100&lt;=0),"",IF(N(C129)&gt;N(F129),(N(E129)-N(H129))/((N(C129)-N(F129))*(1-N(Ввод!$E$17)/100)),(N(H129)-N(E129))/((N(F129)-N(C129))*(1+N(Ввод!$E$17)/100))))</f>
        <v/>
      </c>
    </row>
    <row r="130" ht="22" customHeight="1">
      <c r="B130" s="320" t="n"/>
      <c r="C130" s="246">
        <f>IF($B130="","",IF(SUMIFS('ИТОГО Торговля'!$C$5:$C$300,'ИТОГО Торговля'!$B$5:$B$300,$B130)+SUMIFS('ИТОГО Лэндинг'!$C$5:$C$300,'ИТОГО Лэндинг'!$B$5:$B$300,$B130)=0,"",SUMIFS('ИТОГО Торговля'!$C$5:$C$300,'ИТОГО Торговля'!$B$5:$B$300,$B130)+SUMIFS('ИТОГО Лэндинг'!$C$5:$C$300,'ИТОГО Лэндинг'!$B$5:$B$300,$B130)))</f>
        <v/>
      </c>
      <c r="D130" s="183">
        <f>IF(C130="","",E130/C130)</f>
        <v/>
      </c>
      <c r="E130" s="247">
        <f>IF(C130="","",SUMIFS('ИТОГО Торговля'!$E$5:$E$300,'ИТОГО Торговля'!$B$5:$B$300,$B130)+SUMIFS('ИТОГО Лэндинг'!$E$5:$E$300,'ИТОГО Лэндинг'!$B$5:$B$300,$B130))</f>
        <v/>
      </c>
      <c r="F130" s="246">
        <f>IF($B130="","",IF(SUMIFS('ИТОГО Торговля'!$F$5:$F$300,'ИТОГО Торговля'!$B$5:$B$300,$B130)+SUMIFS('ИТОГО Лэндинг'!$F$5:$F$300,'ИТОГО Лэндинг'!$B$5:$B$300,$B130)=0,"",SUMIFS('ИТОГО Торговля'!$F$5:$F$300,'ИТОГО Торговля'!$B$5:$B$300,$B130)+SUMIFS('ИТОГО Лэндинг'!$F$5:$F$300,'ИТОГО Лэндинг'!$B$5:$B$300,$B130)))</f>
        <v/>
      </c>
      <c r="G130" s="183">
        <f>IF(F130="","",H130/F130)</f>
        <v/>
      </c>
      <c r="H130" s="247">
        <f>IF(F130="","",SUMIFS('ИТОГО Торговля'!$H$5:$H$300,'ИТОГО Торговля'!$B$5:$B$300,$B130)+SUMIFS('ИТОГО Лэндинг'!$H$5:$H$300,'ИТОГО Лэндинг'!$B$5:$B$300,$B130))</f>
        <v/>
      </c>
      <c r="I130" s="246">
        <f>IF($B130="","",IF(AND(C130="",F130=""),"",ROUND(SUMIFS('ИТОГО Торговля'!$I$5:$I$300,'ИТОГО Торговля'!$B$5:$B$300,$B130)+SUMIFS('ИТОГО Лэндинг'!$I$5:$I$300,'ИТОГО Лэндинг'!$B$5:$B$300,$B130),8)))</f>
        <v/>
      </c>
      <c r="J130" s="247">
        <f>IF($B130="","",IF(AND(C130="",F130=""),"",ROUND(SUMIFS('ИТОГО Торговля'!$J$5:$J$300,'ИТОГО Торговля'!$B$5:$B$300,$B130)+SUMIFS('ИТОГО Лэндинг'!$J$5:$J$300,'ИТОГО Лэндинг'!$B$5:$B$300,$B130),8)))</f>
        <v/>
      </c>
      <c r="K130" s="246">
        <f>IF($B130="","",ROUND(SUMIFS('ИТОГО Торговля'!$K$5:$K$300,'ИТОГО Торговля'!$B$5:$B$300,$B130)+SUMIFS('ИТОГО Лэндинг'!$K$5:$K$300,'ИТОГО Лэндинг'!$B$5:$B$300,$B130),8))</f>
        <v/>
      </c>
      <c r="L130" s="183">
        <f>IF(K130="","",IF(SUMPRODUCT((Закрытые!$E$5:$E$300=$B130)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130/SUMPRODUCT((Закрытые!$E$5:$E$300=$B130)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0" s="183">
        <f>IF(OR(ROUND(N(C130)-N(F130),8)=0,1-N(Ввод!$E$17)/100&lt;=0),"",IF(N(C130)&gt;N(F130),(N(E130)-N(H130))/((N(C130)-N(F130))*(1-N(Ввод!$E$17)/100)),(N(H130)-N(E130))/((N(F130)-N(C130))*(1+N(Ввод!$E$17)/100))))</f>
        <v/>
      </c>
    </row>
    <row r="131" ht="22" customHeight="1">
      <c r="B131" s="315" t="n"/>
      <c r="C131" s="240">
        <f>IF($B131="","",IF(SUMIFS('ИТОГО Торговля'!$C$5:$C$300,'ИТОГО Торговля'!$B$5:$B$300,$B131)+SUMIFS('ИТОГО Лэндинг'!$C$5:$C$300,'ИТОГО Лэндинг'!$B$5:$B$300,$B131)=0,"",SUMIFS('ИТОГО Торговля'!$C$5:$C$300,'ИТОГО Торговля'!$B$5:$B$300,$B131)+SUMIFS('ИТОГО Лэндинг'!$C$5:$C$300,'ИТОГО Лэндинг'!$B$5:$B$300,$B131)))</f>
        <v/>
      </c>
      <c r="D131" s="177">
        <f>IF(C131="","",E131/C131)</f>
        <v/>
      </c>
      <c r="E131" s="241">
        <f>IF(C131="","",SUMIFS('ИТОГО Торговля'!$E$5:$E$300,'ИТОГО Торговля'!$B$5:$B$300,$B131)+SUMIFS('ИТОГО Лэндинг'!$E$5:$E$300,'ИТОГО Лэндинг'!$B$5:$B$300,$B131))</f>
        <v/>
      </c>
      <c r="F131" s="240">
        <f>IF($B131="","",IF(SUMIFS('ИТОГО Торговля'!$F$5:$F$300,'ИТОГО Торговля'!$B$5:$B$300,$B131)+SUMIFS('ИТОГО Лэндинг'!$F$5:$F$300,'ИТОГО Лэндинг'!$B$5:$B$300,$B131)=0,"",SUMIFS('ИТОГО Торговля'!$F$5:$F$300,'ИТОГО Торговля'!$B$5:$B$300,$B131)+SUMIFS('ИТОГО Лэндинг'!$F$5:$F$300,'ИТОГО Лэндинг'!$B$5:$B$300,$B131)))</f>
        <v/>
      </c>
      <c r="G131" s="177">
        <f>IF(F131="","",H131/F131)</f>
        <v/>
      </c>
      <c r="H131" s="241">
        <f>IF(F131="","",SUMIFS('ИТОГО Торговля'!$H$5:$H$300,'ИТОГО Торговля'!$B$5:$B$300,$B131)+SUMIFS('ИТОГО Лэндинг'!$H$5:$H$300,'ИТОГО Лэндинг'!$B$5:$B$300,$B131))</f>
        <v/>
      </c>
      <c r="I131" s="240">
        <f>IF($B131="","",IF(AND(C131="",F131=""),"",ROUND(SUMIFS('ИТОГО Торговля'!$I$5:$I$300,'ИТОГО Торговля'!$B$5:$B$300,$B131)+SUMIFS('ИТОГО Лэндинг'!$I$5:$I$300,'ИТОГО Лэндинг'!$B$5:$B$300,$B131),8)))</f>
        <v/>
      </c>
      <c r="J131" s="241">
        <f>IF($B131="","",IF(AND(C131="",F131=""),"",ROUND(SUMIFS('ИТОГО Торговля'!$J$5:$J$300,'ИТОГО Торговля'!$B$5:$B$300,$B131)+SUMIFS('ИТОГО Лэндинг'!$J$5:$J$300,'ИТОГО Лэндинг'!$B$5:$B$300,$B131),8)))</f>
        <v/>
      </c>
      <c r="K131" s="240">
        <f>IF($B131="","",ROUND(SUMIFS('ИТОГО Торговля'!$K$5:$K$300,'ИТОГО Торговля'!$B$5:$B$300,$B131)+SUMIFS('ИТОГО Лэндинг'!$K$5:$K$300,'ИТОГО Лэндинг'!$B$5:$B$300,$B131),8))</f>
        <v/>
      </c>
      <c r="L131" s="177">
        <f>IF(K131="","",IF(SUMPRODUCT((Закрытые!$E$5:$E$300=$B131)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131/SUMPRODUCT((Закрытые!$E$5:$E$300=$B131)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1" s="177">
        <f>IF(OR(ROUND(N(C131)-N(F131),8)=0,1-N(Ввод!$E$17)/100&lt;=0),"",IF(N(C131)&gt;N(F131),(N(E131)-N(H131))/((N(C131)-N(F131))*(1-N(Ввод!$E$17)/100)),(N(H131)-N(E131))/((N(F131)-N(C131))*(1+N(Ввод!$E$17)/100))))</f>
        <v/>
      </c>
    </row>
    <row r="132" ht="22" customHeight="1">
      <c r="B132" s="320" t="n"/>
      <c r="C132" s="246">
        <f>IF($B132="","",IF(SUMIFS('ИТОГО Торговля'!$C$5:$C$300,'ИТОГО Торговля'!$B$5:$B$300,$B132)+SUMIFS('ИТОГО Лэндинг'!$C$5:$C$300,'ИТОГО Лэндинг'!$B$5:$B$300,$B132)=0,"",SUMIFS('ИТОГО Торговля'!$C$5:$C$300,'ИТОГО Торговля'!$B$5:$B$300,$B132)+SUMIFS('ИТОГО Лэндинг'!$C$5:$C$300,'ИТОГО Лэндинг'!$B$5:$B$300,$B132)))</f>
        <v/>
      </c>
      <c r="D132" s="183">
        <f>IF(C132="","",E132/C132)</f>
        <v/>
      </c>
      <c r="E132" s="247">
        <f>IF(C132="","",SUMIFS('ИТОГО Торговля'!$E$5:$E$300,'ИТОГО Торговля'!$B$5:$B$300,$B132)+SUMIFS('ИТОГО Лэндинг'!$E$5:$E$300,'ИТОГО Лэндинг'!$B$5:$B$300,$B132))</f>
        <v/>
      </c>
      <c r="F132" s="246">
        <f>IF($B132="","",IF(SUMIFS('ИТОГО Торговля'!$F$5:$F$300,'ИТОГО Торговля'!$B$5:$B$300,$B132)+SUMIFS('ИТОГО Лэндинг'!$F$5:$F$300,'ИТОГО Лэндинг'!$B$5:$B$300,$B132)=0,"",SUMIFS('ИТОГО Торговля'!$F$5:$F$300,'ИТОГО Торговля'!$B$5:$B$300,$B132)+SUMIFS('ИТОГО Лэндинг'!$F$5:$F$300,'ИТОГО Лэндинг'!$B$5:$B$300,$B132)))</f>
        <v/>
      </c>
      <c r="G132" s="183">
        <f>IF(F132="","",H132/F132)</f>
        <v/>
      </c>
      <c r="H132" s="247">
        <f>IF(F132="","",SUMIFS('ИТОГО Торговля'!$H$5:$H$300,'ИТОГО Торговля'!$B$5:$B$300,$B132)+SUMIFS('ИТОГО Лэндинг'!$H$5:$H$300,'ИТОГО Лэндинг'!$B$5:$B$300,$B132))</f>
        <v/>
      </c>
      <c r="I132" s="246">
        <f>IF($B132="","",IF(AND(C132="",F132=""),"",ROUND(SUMIFS('ИТОГО Торговля'!$I$5:$I$300,'ИТОГО Торговля'!$B$5:$B$300,$B132)+SUMIFS('ИТОГО Лэндинг'!$I$5:$I$300,'ИТОГО Лэндинг'!$B$5:$B$300,$B132),8)))</f>
        <v/>
      </c>
      <c r="J132" s="247">
        <f>IF($B132="","",IF(AND(C132="",F132=""),"",ROUND(SUMIFS('ИТОГО Торговля'!$J$5:$J$300,'ИТОГО Торговля'!$B$5:$B$300,$B132)+SUMIFS('ИТОГО Лэндинг'!$J$5:$J$300,'ИТОГО Лэндинг'!$B$5:$B$300,$B132),8)))</f>
        <v/>
      </c>
      <c r="K132" s="246">
        <f>IF($B132="","",ROUND(SUMIFS('ИТОГО Торговля'!$K$5:$K$300,'ИТОГО Торговля'!$B$5:$B$300,$B132)+SUMIFS('ИТОГО Лэндинг'!$K$5:$K$300,'ИТОГО Лэндинг'!$B$5:$B$300,$B132),8))</f>
        <v/>
      </c>
      <c r="L132" s="183">
        <f>IF(K132="","",IF(SUMPRODUCT((Закрытые!$E$5:$E$300=$B132)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132/SUMPRODUCT((Закрытые!$E$5:$E$300=$B132)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2" s="183">
        <f>IF(OR(ROUND(N(C132)-N(F132),8)=0,1-N(Ввод!$E$17)/100&lt;=0),"",IF(N(C132)&gt;N(F132),(N(E132)-N(H132))/((N(C132)-N(F132))*(1-N(Ввод!$E$17)/100)),(N(H132)-N(E132))/((N(F132)-N(C132))*(1+N(Ввод!$E$17)/100))))</f>
        <v/>
      </c>
    </row>
    <row r="133" ht="22" customHeight="1">
      <c r="B133" s="315" t="n"/>
      <c r="C133" s="240">
        <f>IF($B133="","",IF(SUMIFS('ИТОГО Торговля'!$C$5:$C$300,'ИТОГО Торговля'!$B$5:$B$300,$B133)+SUMIFS('ИТОГО Лэндинг'!$C$5:$C$300,'ИТОГО Лэндинг'!$B$5:$B$300,$B133)=0,"",SUMIFS('ИТОГО Торговля'!$C$5:$C$300,'ИТОГО Торговля'!$B$5:$B$300,$B133)+SUMIFS('ИТОГО Лэндинг'!$C$5:$C$300,'ИТОГО Лэндинг'!$B$5:$B$300,$B133)))</f>
        <v/>
      </c>
      <c r="D133" s="177">
        <f>IF(C133="","",E133/C133)</f>
        <v/>
      </c>
      <c r="E133" s="241">
        <f>IF(C133="","",SUMIFS('ИТОГО Торговля'!$E$5:$E$300,'ИТОГО Торговля'!$B$5:$B$300,$B133)+SUMIFS('ИТОГО Лэндинг'!$E$5:$E$300,'ИТОГО Лэндинг'!$B$5:$B$300,$B133))</f>
        <v/>
      </c>
      <c r="F133" s="240">
        <f>IF($B133="","",IF(SUMIFS('ИТОГО Торговля'!$F$5:$F$300,'ИТОГО Торговля'!$B$5:$B$300,$B133)+SUMIFS('ИТОГО Лэндинг'!$F$5:$F$300,'ИТОГО Лэндинг'!$B$5:$B$300,$B133)=0,"",SUMIFS('ИТОГО Торговля'!$F$5:$F$300,'ИТОГО Торговля'!$B$5:$B$300,$B133)+SUMIFS('ИТОГО Лэндинг'!$F$5:$F$300,'ИТОГО Лэндинг'!$B$5:$B$300,$B133)))</f>
        <v/>
      </c>
      <c r="G133" s="177">
        <f>IF(F133="","",H133/F133)</f>
        <v/>
      </c>
      <c r="H133" s="241">
        <f>IF(F133="","",SUMIFS('ИТОГО Торговля'!$H$5:$H$300,'ИТОГО Торговля'!$B$5:$B$300,$B133)+SUMIFS('ИТОГО Лэндинг'!$H$5:$H$300,'ИТОГО Лэндинг'!$B$5:$B$300,$B133))</f>
        <v/>
      </c>
      <c r="I133" s="240">
        <f>IF($B133="","",IF(AND(C133="",F133=""),"",ROUND(SUMIFS('ИТОГО Торговля'!$I$5:$I$300,'ИТОГО Торговля'!$B$5:$B$300,$B133)+SUMIFS('ИТОГО Лэндинг'!$I$5:$I$300,'ИТОГО Лэндинг'!$B$5:$B$300,$B133),8)))</f>
        <v/>
      </c>
      <c r="J133" s="241">
        <f>IF($B133="","",IF(AND(C133="",F133=""),"",ROUND(SUMIFS('ИТОГО Торговля'!$J$5:$J$300,'ИТОГО Торговля'!$B$5:$B$300,$B133)+SUMIFS('ИТОГО Лэндинг'!$J$5:$J$300,'ИТОГО Лэндинг'!$B$5:$B$300,$B133),8)))</f>
        <v/>
      </c>
      <c r="K133" s="240">
        <f>IF($B133="","",ROUND(SUMIFS('ИТОГО Торговля'!$K$5:$K$300,'ИТОГО Торговля'!$B$5:$B$300,$B133)+SUMIFS('ИТОГО Лэндинг'!$K$5:$K$300,'ИТОГО Лэндинг'!$B$5:$B$300,$B133),8))</f>
        <v/>
      </c>
      <c r="L133" s="177">
        <f>IF(K133="","",IF(SUMPRODUCT((Закрытые!$E$5:$E$300=$B133)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133/SUMPRODUCT((Закрытые!$E$5:$E$300=$B133)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3" s="177">
        <f>IF(OR(ROUND(N(C133)-N(F133),8)=0,1-N(Ввод!$E$17)/100&lt;=0),"",IF(N(C133)&gt;N(F133),(N(E133)-N(H133))/((N(C133)-N(F133))*(1-N(Ввод!$E$17)/100)),(N(H133)-N(E133))/((N(F133)-N(C133))*(1+N(Ввод!$E$17)/100))))</f>
        <v/>
      </c>
    </row>
    <row r="134" ht="22" customHeight="1">
      <c r="B134" s="320" t="n"/>
      <c r="C134" s="246">
        <f>IF($B134="","",IF(SUMIFS('ИТОГО Торговля'!$C$5:$C$300,'ИТОГО Торговля'!$B$5:$B$300,$B134)+SUMIFS('ИТОГО Лэндинг'!$C$5:$C$300,'ИТОГО Лэндинг'!$B$5:$B$300,$B134)=0,"",SUMIFS('ИТОГО Торговля'!$C$5:$C$300,'ИТОГО Торговля'!$B$5:$B$300,$B134)+SUMIFS('ИТОГО Лэндинг'!$C$5:$C$300,'ИТОГО Лэндинг'!$B$5:$B$300,$B134)))</f>
        <v/>
      </c>
      <c r="D134" s="183">
        <f>IF(C134="","",E134/C134)</f>
        <v/>
      </c>
      <c r="E134" s="247">
        <f>IF(C134="","",SUMIFS('ИТОГО Торговля'!$E$5:$E$300,'ИТОГО Торговля'!$B$5:$B$300,$B134)+SUMIFS('ИТОГО Лэндинг'!$E$5:$E$300,'ИТОГО Лэндинг'!$B$5:$B$300,$B134))</f>
        <v/>
      </c>
      <c r="F134" s="246">
        <f>IF($B134="","",IF(SUMIFS('ИТОГО Торговля'!$F$5:$F$300,'ИТОГО Торговля'!$B$5:$B$300,$B134)+SUMIFS('ИТОГО Лэндинг'!$F$5:$F$300,'ИТОГО Лэндинг'!$B$5:$B$300,$B134)=0,"",SUMIFS('ИТОГО Торговля'!$F$5:$F$300,'ИТОГО Торговля'!$B$5:$B$300,$B134)+SUMIFS('ИТОГО Лэндинг'!$F$5:$F$300,'ИТОГО Лэндинг'!$B$5:$B$300,$B134)))</f>
        <v/>
      </c>
      <c r="G134" s="183">
        <f>IF(F134="","",H134/F134)</f>
        <v/>
      </c>
      <c r="H134" s="247">
        <f>IF(F134="","",SUMIFS('ИТОГО Торговля'!$H$5:$H$300,'ИТОГО Торговля'!$B$5:$B$300,$B134)+SUMIFS('ИТОГО Лэндинг'!$H$5:$H$300,'ИТОГО Лэндинг'!$B$5:$B$300,$B134))</f>
        <v/>
      </c>
      <c r="I134" s="246">
        <f>IF($B134="","",IF(AND(C134="",F134=""),"",ROUND(SUMIFS('ИТОГО Торговля'!$I$5:$I$300,'ИТОГО Торговля'!$B$5:$B$300,$B134)+SUMIFS('ИТОГО Лэндинг'!$I$5:$I$300,'ИТОГО Лэндинг'!$B$5:$B$300,$B134),8)))</f>
        <v/>
      </c>
      <c r="J134" s="247">
        <f>IF($B134="","",IF(AND(C134="",F134=""),"",ROUND(SUMIFS('ИТОГО Торговля'!$J$5:$J$300,'ИТОГО Торговля'!$B$5:$B$300,$B134)+SUMIFS('ИТОГО Лэндинг'!$J$5:$J$300,'ИТОГО Лэндинг'!$B$5:$B$300,$B134),8)))</f>
        <v/>
      </c>
      <c r="K134" s="246">
        <f>IF($B134="","",ROUND(SUMIFS('ИТОГО Торговля'!$K$5:$K$300,'ИТОГО Торговля'!$B$5:$B$300,$B134)+SUMIFS('ИТОГО Лэндинг'!$K$5:$K$300,'ИТОГО Лэндинг'!$B$5:$B$300,$B134),8))</f>
        <v/>
      </c>
      <c r="L134" s="183">
        <f>IF(K134="","",IF(SUMPRODUCT((Закрытые!$E$5:$E$300=$B134)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134/SUMPRODUCT((Закрытые!$E$5:$E$300=$B134)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4" s="183">
        <f>IF(OR(ROUND(N(C134)-N(F134),8)=0,1-N(Ввод!$E$17)/100&lt;=0),"",IF(N(C134)&gt;N(F134),(N(E134)-N(H134))/((N(C134)-N(F134))*(1-N(Ввод!$E$17)/100)),(N(H134)-N(E134))/((N(F134)-N(C134))*(1+N(Ввод!$E$17)/100))))</f>
        <v/>
      </c>
    </row>
    <row r="135" ht="22" customHeight="1">
      <c r="B135" s="315" t="n"/>
      <c r="C135" s="240">
        <f>IF($B135="","",IF(SUMIFS('ИТОГО Торговля'!$C$5:$C$300,'ИТОГО Торговля'!$B$5:$B$300,$B135)+SUMIFS('ИТОГО Лэндинг'!$C$5:$C$300,'ИТОГО Лэндинг'!$B$5:$B$300,$B135)=0,"",SUMIFS('ИТОГО Торговля'!$C$5:$C$300,'ИТОГО Торговля'!$B$5:$B$300,$B135)+SUMIFS('ИТОГО Лэндинг'!$C$5:$C$300,'ИТОГО Лэндинг'!$B$5:$B$300,$B135)))</f>
        <v/>
      </c>
      <c r="D135" s="177">
        <f>IF(C135="","",E135/C135)</f>
        <v/>
      </c>
      <c r="E135" s="241">
        <f>IF(C135="","",SUMIFS('ИТОГО Торговля'!$E$5:$E$300,'ИТОГО Торговля'!$B$5:$B$300,$B135)+SUMIFS('ИТОГО Лэндинг'!$E$5:$E$300,'ИТОГО Лэндинг'!$B$5:$B$300,$B135))</f>
        <v/>
      </c>
      <c r="F135" s="240">
        <f>IF($B135="","",IF(SUMIFS('ИТОГО Торговля'!$F$5:$F$300,'ИТОГО Торговля'!$B$5:$B$300,$B135)+SUMIFS('ИТОГО Лэндинг'!$F$5:$F$300,'ИТОГО Лэндинг'!$B$5:$B$300,$B135)=0,"",SUMIFS('ИТОГО Торговля'!$F$5:$F$300,'ИТОГО Торговля'!$B$5:$B$300,$B135)+SUMIFS('ИТОГО Лэндинг'!$F$5:$F$300,'ИТОГО Лэндинг'!$B$5:$B$300,$B135)))</f>
        <v/>
      </c>
      <c r="G135" s="177">
        <f>IF(F135="","",H135/F135)</f>
        <v/>
      </c>
      <c r="H135" s="241">
        <f>IF(F135="","",SUMIFS('ИТОГО Торговля'!$H$5:$H$300,'ИТОГО Торговля'!$B$5:$B$300,$B135)+SUMIFS('ИТОГО Лэндинг'!$H$5:$H$300,'ИТОГО Лэндинг'!$B$5:$B$300,$B135))</f>
        <v/>
      </c>
      <c r="I135" s="240">
        <f>IF($B135="","",IF(AND(C135="",F135=""),"",ROUND(SUMIFS('ИТОГО Торговля'!$I$5:$I$300,'ИТОГО Торговля'!$B$5:$B$300,$B135)+SUMIFS('ИТОГО Лэндинг'!$I$5:$I$300,'ИТОГО Лэндинг'!$B$5:$B$300,$B135),8)))</f>
        <v/>
      </c>
      <c r="J135" s="241">
        <f>IF($B135="","",IF(AND(C135="",F135=""),"",ROUND(SUMIFS('ИТОГО Торговля'!$J$5:$J$300,'ИТОГО Торговля'!$B$5:$B$300,$B135)+SUMIFS('ИТОГО Лэндинг'!$J$5:$J$300,'ИТОГО Лэндинг'!$B$5:$B$300,$B135),8)))</f>
        <v/>
      </c>
      <c r="K135" s="240">
        <f>IF($B135="","",ROUND(SUMIFS('ИТОГО Торговля'!$K$5:$K$300,'ИТОГО Торговля'!$B$5:$B$300,$B135)+SUMIFS('ИТОГО Лэндинг'!$K$5:$K$300,'ИТОГО Лэндинг'!$B$5:$B$300,$B135),8))</f>
        <v/>
      </c>
      <c r="L135" s="177">
        <f>IF(K135="","",IF(SUMPRODUCT((Закрытые!$E$5:$E$300=$B135)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135/SUMPRODUCT((Закрытые!$E$5:$E$300=$B135)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5" s="177">
        <f>IF(OR(ROUND(N(C135)-N(F135),8)=0,1-N(Ввод!$E$17)/100&lt;=0),"",IF(N(C135)&gt;N(F135),(N(E135)-N(H135))/((N(C135)-N(F135))*(1-N(Ввод!$E$17)/100)),(N(H135)-N(E135))/((N(F135)-N(C135))*(1+N(Ввод!$E$17)/100))))</f>
        <v/>
      </c>
    </row>
    <row r="136" ht="22" customHeight="1">
      <c r="B136" s="320" t="n"/>
      <c r="C136" s="246">
        <f>IF($B136="","",IF(SUMIFS('ИТОГО Торговля'!$C$5:$C$300,'ИТОГО Торговля'!$B$5:$B$300,$B136)+SUMIFS('ИТОГО Лэндинг'!$C$5:$C$300,'ИТОГО Лэндинг'!$B$5:$B$300,$B136)=0,"",SUMIFS('ИТОГО Торговля'!$C$5:$C$300,'ИТОГО Торговля'!$B$5:$B$300,$B136)+SUMIFS('ИТОГО Лэндинг'!$C$5:$C$300,'ИТОГО Лэндинг'!$B$5:$B$300,$B136)))</f>
        <v/>
      </c>
      <c r="D136" s="183">
        <f>IF(C136="","",E136/C136)</f>
        <v/>
      </c>
      <c r="E136" s="247">
        <f>IF(C136="","",SUMIFS('ИТОГО Торговля'!$E$5:$E$300,'ИТОГО Торговля'!$B$5:$B$300,$B136)+SUMIFS('ИТОГО Лэндинг'!$E$5:$E$300,'ИТОГО Лэндинг'!$B$5:$B$300,$B136))</f>
        <v/>
      </c>
      <c r="F136" s="246">
        <f>IF($B136="","",IF(SUMIFS('ИТОГО Торговля'!$F$5:$F$300,'ИТОГО Торговля'!$B$5:$B$300,$B136)+SUMIFS('ИТОГО Лэндинг'!$F$5:$F$300,'ИТОГО Лэндинг'!$B$5:$B$300,$B136)=0,"",SUMIFS('ИТОГО Торговля'!$F$5:$F$300,'ИТОГО Торговля'!$B$5:$B$300,$B136)+SUMIFS('ИТОГО Лэндинг'!$F$5:$F$300,'ИТОГО Лэндинг'!$B$5:$B$300,$B136)))</f>
        <v/>
      </c>
      <c r="G136" s="183">
        <f>IF(F136="","",H136/F136)</f>
        <v/>
      </c>
      <c r="H136" s="247">
        <f>IF(F136="","",SUMIFS('ИТОГО Торговля'!$H$5:$H$300,'ИТОГО Торговля'!$B$5:$B$300,$B136)+SUMIFS('ИТОГО Лэндинг'!$H$5:$H$300,'ИТОГО Лэндинг'!$B$5:$B$300,$B136))</f>
        <v/>
      </c>
      <c r="I136" s="246">
        <f>IF($B136="","",IF(AND(C136="",F136=""),"",ROUND(SUMIFS('ИТОГО Торговля'!$I$5:$I$300,'ИТОГО Торговля'!$B$5:$B$300,$B136)+SUMIFS('ИТОГО Лэндинг'!$I$5:$I$300,'ИТОГО Лэндинг'!$B$5:$B$300,$B136),8)))</f>
        <v/>
      </c>
      <c r="J136" s="247">
        <f>IF($B136="","",IF(AND(C136="",F136=""),"",ROUND(SUMIFS('ИТОГО Торговля'!$J$5:$J$300,'ИТОГО Торговля'!$B$5:$B$300,$B136)+SUMIFS('ИТОГО Лэндинг'!$J$5:$J$300,'ИТОГО Лэндинг'!$B$5:$B$300,$B136),8)))</f>
        <v/>
      </c>
      <c r="K136" s="246">
        <f>IF($B136="","",ROUND(SUMIFS('ИТОГО Торговля'!$K$5:$K$300,'ИТОГО Торговля'!$B$5:$B$300,$B136)+SUMIFS('ИТОГО Лэндинг'!$K$5:$K$300,'ИТОГО Лэндинг'!$B$5:$B$300,$B136),8))</f>
        <v/>
      </c>
      <c r="L136" s="183">
        <f>IF(K136="","",IF(SUMPRODUCT((Закрытые!$E$5:$E$300=$B136)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136/SUMPRODUCT((Закрытые!$E$5:$E$300=$B136)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6" s="183">
        <f>IF(OR(ROUND(N(C136)-N(F136),8)=0,1-N(Ввод!$E$17)/100&lt;=0),"",IF(N(C136)&gt;N(F136),(N(E136)-N(H136))/((N(C136)-N(F136))*(1-N(Ввод!$E$17)/100)),(N(H136)-N(E136))/((N(F136)-N(C136))*(1+N(Ввод!$E$17)/100))))</f>
        <v/>
      </c>
    </row>
    <row r="137" ht="22" customHeight="1">
      <c r="B137" s="315" t="n"/>
      <c r="C137" s="240">
        <f>IF($B137="","",IF(SUMIFS('ИТОГО Торговля'!$C$5:$C$300,'ИТОГО Торговля'!$B$5:$B$300,$B137)+SUMIFS('ИТОГО Лэндинг'!$C$5:$C$300,'ИТОГО Лэндинг'!$B$5:$B$300,$B137)=0,"",SUMIFS('ИТОГО Торговля'!$C$5:$C$300,'ИТОГО Торговля'!$B$5:$B$300,$B137)+SUMIFS('ИТОГО Лэндинг'!$C$5:$C$300,'ИТОГО Лэндинг'!$B$5:$B$300,$B137)))</f>
        <v/>
      </c>
      <c r="D137" s="177">
        <f>IF(C137="","",E137/C137)</f>
        <v/>
      </c>
      <c r="E137" s="241">
        <f>IF(C137="","",SUMIFS('ИТОГО Торговля'!$E$5:$E$300,'ИТОГО Торговля'!$B$5:$B$300,$B137)+SUMIFS('ИТОГО Лэндинг'!$E$5:$E$300,'ИТОГО Лэндинг'!$B$5:$B$300,$B137))</f>
        <v/>
      </c>
      <c r="F137" s="240">
        <f>IF($B137="","",IF(SUMIFS('ИТОГО Торговля'!$F$5:$F$300,'ИТОГО Торговля'!$B$5:$B$300,$B137)+SUMIFS('ИТОГО Лэндинг'!$F$5:$F$300,'ИТОГО Лэндинг'!$B$5:$B$300,$B137)=0,"",SUMIFS('ИТОГО Торговля'!$F$5:$F$300,'ИТОГО Торговля'!$B$5:$B$300,$B137)+SUMIFS('ИТОГО Лэндинг'!$F$5:$F$300,'ИТОГО Лэндинг'!$B$5:$B$300,$B137)))</f>
        <v/>
      </c>
      <c r="G137" s="177">
        <f>IF(F137="","",H137/F137)</f>
        <v/>
      </c>
      <c r="H137" s="241">
        <f>IF(F137="","",SUMIFS('ИТОГО Торговля'!$H$5:$H$300,'ИТОГО Торговля'!$B$5:$B$300,$B137)+SUMIFS('ИТОГО Лэндинг'!$H$5:$H$300,'ИТОГО Лэндинг'!$B$5:$B$300,$B137))</f>
        <v/>
      </c>
      <c r="I137" s="240">
        <f>IF($B137="","",IF(AND(C137="",F137=""),"",ROUND(SUMIFS('ИТОГО Торговля'!$I$5:$I$300,'ИТОГО Торговля'!$B$5:$B$300,$B137)+SUMIFS('ИТОГО Лэндинг'!$I$5:$I$300,'ИТОГО Лэндинг'!$B$5:$B$300,$B137),8)))</f>
        <v/>
      </c>
      <c r="J137" s="241">
        <f>IF($B137="","",IF(AND(C137="",F137=""),"",ROUND(SUMIFS('ИТОГО Торговля'!$J$5:$J$300,'ИТОГО Торговля'!$B$5:$B$300,$B137)+SUMIFS('ИТОГО Лэндинг'!$J$5:$J$300,'ИТОГО Лэндинг'!$B$5:$B$300,$B137),8)))</f>
        <v/>
      </c>
      <c r="K137" s="240">
        <f>IF($B137="","",ROUND(SUMIFS('ИТОГО Торговля'!$K$5:$K$300,'ИТОГО Торговля'!$B$5:$B$300,$B137)+SUMIFS('ИТОГО Лэндинг'!$K$5:$K$300,'ИТОГО Лэндинг'!$B$5:$B$300,$B137),8))</f>
        <v/>
      </c>
      <c r="L137" s="177">
        <f>IF(K137="","",IF(SUMPRODUCT((Закрытые!$E$5:$E$300=$B137)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137/SUMPRODUCT((Закрытые!$E$5:$E$300=$B137)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7" s="177">
        <f>IF(OR(ROUND(N(C137)-N(F137),8)=0,1-N(Ввод!$E$17)/100&lt;=0),"",IF(N(C137)&gt;N(F137),(N(E137)-N(H137))/((N(C137)-N(F137))*(1-N(Ввод!$E$17)/100)),(N(H137)-N(E137))/((N(F137)-N(C137))*(1+N(Ввод!$E$17)/100))))</f>
        <v/>
      </c>
    </row>
    <row r="138" ht="22" customHeight="1">
      <c r="B138" s="320" t="n"/>
      <c r="C138" s="246">
        <f>IF($B138="","",IF(SUMIFS('ИТОГО Торговля'!$C$5:$C$300,'ИТОГО Торговля'!$B$5:$B$300,$B138)+SUMIFS('ИТОГО Лэндинг'!$C$5:$C$300,'ИТОГО Лэндинг'!$B$5:$B$300,$B138)=0,"",SUMIFS('ИТОГО Торговля'!$C$5:$C$300,'ИТОГО Торговля'!$B$5:$B$300,$B138)+SUMIFS('ИТОГО Лэндинг'!$C$5:$C$300,'ИТОГО Лэндинг'!$B$5:$B$300,$B138)))</f>
        <v/>
      </c>
      <c r="D138" s="183">
        <f>IF(C138="","",E138/C138)</f>
        <v/>
      </c>
      <c r="E138" s="247">
        <f>IF(C138="","",SUMIFS('ИТОГО Торговля'!$E$5:$E$300,'ИТОГО Торговля'!$B$5:$B$300,$B138)+SUMIFS('ИТОГО Лэндинг'!$E$5:$E$300,'ИТОГО Лэндинг'!$B$5:$B$300,$B138))</f>
        <v/>
      </c>
      <c r="F138" s="246">
        <f>IF($B138="","",IF(SUMIFS('ИТОГО Торговля'!$F$5:$F$300,'ИТОГО Торговля'!$B$5:$B$300,$B138)+SUMIFS('ИТОГО Лэндинг'!$F$5:$F$300,'ИТОГО Лэндинг'!$B$5:$B$300,$B138)=0,"",SUMIFS('ИТОГО Торговля'!$F$5:$F$300,'ИТОГО Торговля'!$B$5:$B$300,$B138)+SUMIFS('ИТОГО Лэндинг'!$F$5:$F$300,'ИТОГО Лэндинг'!$B$5:$B$300,$B138)))</f>
        <v/>
      </c>
      <c r="G138" s="183">
        <f>IF(F138="","",H138/F138)</f>
        <v/>
      </c>
      <c r="H138" s="247">
        <f>IF(F138="","",SUMIFS('ИТОГО Торговля'!$H$5:$H$300,'ИТОГО Торговля'!$B$5:$B$300,$B138)+SUMIFS('ИТОГО Лэндинг'!$H$5:$H$300,'ИТОГО Лэндинг'!$B$5:$B$300,$B138))</f>
        <v/>
      </c>
      <c r="I138" s="246">
        <f>IF($B138="","",IF(AND(C138="",F138=""),"",ROUND(SUMIFS('ИТОГО Торговля'!$I$5:$I$300,'ИТОГО Торговля'!$B$5:$B$300,$B138)+SUMIFS('ИТОГО Лэндинг'!$I$5:$I$300,'ИТОГО Лэндинг'!$B$5:$B$300,$B138),8)))</f>
        <v/>
      </c>
      <c r="J138" s="247">
        <f>IF($B138="","",IF(AND(C138="",F138=""),"",ROUND(SUMIFS('ИТОГО Торговля'!$J$5:$J$300,'ИТОГО Торговля'!$B$5:$B$300,$B138)+SUMIFS('ИТОГО Лэндинг'!$J$5:$J$300,'ИТОГО Лэндинг'!$B$5:$B$300,$B138),8)))</f>
        <v/>
      </c>
      <c r="K138" s="246">
        <f>IF($B138="","",ROUND(SUMIFS('ИТОГО Торговля'!$K$5:$K$300,'ИТОГО Торговля'!$B$5:$B$300,$B138)+SUMIFS('ИТОГО Лэндинг'!$K$5:$K$300,'ИТОГО Лэндинг'!$B$5:$B$300,$B138),8))</f>
        <v/>
      </c>
      <c r="L138" s="183">
        <f>IF(K138="","",IF(SUMPRODUCT((Закрытые!$E$5:$E$300=$B138)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138/SUMPRODUCT((Закрытые!$E$5:$E$300=$B138)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8" s="183">
        <f>IF(OR(ROUND(N(C138)-N(F138),8)=0,1-N(Ввод!$E$17)/100&lt;=0),"",IF(N(C138)&gt;N(F138),(N(E138)-N(H138))/((N(C138)-N(F138))*(1-N(Ввод!$E$17)/100)),(N(H138)-N(E138))/((N(F138)-N(C138))*(1+N(Ввод!$E$17)/100))))</f>
        <v/>
      </c>
    </row>
    <row r="139" ht="22" customHeight="1">
      <c r="B139" s="315" t="n"/>
      <c r="C139" s="240">
        <f>IF($B139="","",IF(SUMIFS('ИТОГО Торговля'!$C$5:$C$300,'ИТОГО Торговля'!$B$5:$B$300,$B139)+SUMIFS('ИТОГО Лэндинг'!$C$5:$C$300,'ИТОГО Лэндинг'!$B$5:$B$300,$B139)=0,"",SUMIFS('ИТОГО Торговля'!$C$5:$C$300,'ИТОГО Торговля'!$B$5:$B$300,$B139)+SUMIFS('ИТОГО Лэндинг'!$C$5:$C$300,'ИТОГО Лэндинг'!$B$5:$B$300,$B139)))</f>
        <v/>
      </c>
      <c r="D139" s="177">
        <f>IF(C139="","",E139/C139)</f>
        <v/>
      </c>
      <c r="E139" s="241">
        <f>IF(C139="","",SUMIFS('ИТОГО Торговля'!$E$5:$E$300,'ИТОГО Торговля'!$B$5:$B$300,$B139)+SUMIFS('ИТОГО Лэндинг'!$E$5:$E$300,'ИТОГО Лэндинг'!$B$5:$B$300,$B139))</f>
        <v/>
      </c>
      <c r="F139" s="240">
        <f>IF($B139="","",IF(SUMIFS('ИТОГО Торговля'!$F$5:$F$300,'ИТОГО Торговля'!$B$5:$B$300,$B139)+SUMIFS('ИТОГО Лэндинг'!$F$5:$F$300,'ИТОГО Лэндинг'!$B$5:$B$300,$B139)=0,"",SUMIFS('ИТОГО Торговля'!$F$5:$F$300,'ИТОГО Торговля'!$B$5:$B$300,$B139)+SUMIFS('ИТОГО Лэндинг'!$F$5:$F$300,'ИТОГО Лэндинг'!$B$5:$B$300,$B139)))</f>
        <v/>
      </c>
      <c r="G139" s="177">
        <f>IF(F139="","",H139/F139)</f>
        <v/>
      </c>
      <c r="H139" s="241">
        <f>IF(F139="","",SUMIFS('ИТОГО Торговля'!$H$5:$H$300,'ИТОГО Торговля'!$B$5:$B$300,$B139)+SUMIFS('ИТОГО Лэндинг'!$H$5:$H$300,'ИТОГО Лэндинг'!$B$5:$B$300,$B139))</f>
        <v/>
      </c>
      <c r="I139" s="240">
        <f>IF($B139="","",IF(AND(C139="",F139=""),"",ROUND(SUMIFS('ИТОГО Торговля'!$I$5:$I$300,'ИТОГО Торговля'!$B$5:$B$300,$B139)+SUMIFS('ИТОГО Лэндинг'!$I$5:$I$300,'ИТОГО Лэндинг'!$B$5:$B$300,$B139),8)))</f>
        <v/>
      </c>
      <c r="J139" s="241">
        <f>IF($B139="","",IF(AND(C139="",F139=""),"",ROUND(SUMIFS('ИТОГО Торговля'!$J$5:$J$300,'ИТОГО Торговля'!$B$5:$B$300,$B139)+SUMIFS('ИТОГО Лэндинг'!$J$5:$J$300,'ИТОГО Лэндинг'!$B$5:$B$300,$B139),8)))</f>
        <v/>
      </c>
      <c r="K139" s="240">
        <f>IF($B139="","",ROUND(SUMIFS('ИТОГО Торговля'!$K$5:$K$300,'ИТОГО Торговля'!$B$5:$B$300,$B139)+SUMIFS('ИТОГО Лэндинг'!$K$5:$K$300,'ИТОГО Лэндинг'!$B$5:$B$300,$B139),8))</f>
        <v/>
      </c>
      <c r="L139" s="177">
        <f>IF(K139="","",IF(SUMPRODUCT((Закрытые!$E$5:$E$300=$B139)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139/SUMPRODUCT((Закрытые!$E$5:$E$300=$B139)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9" s="177">
        <f>IF(OR(ROUND(N(C139)-N(F139),8)=0,1-N(Ввод!$E$17)/100&lt;=0),"",IF(N(C139)&gt;N(F139),(N(E139)-N(H139))/((N(C139)-N(F139))*(1-N(Ввод!$E$17)/100)),(N(H139)-N(E139))/((N(F139)-N(C139))*(1+N(Ввод!$E$17)/100))))</f>
        <v/>
      </c>
    </row>
    <row r="140" ht="22" customHeight="1">
      <c r="B140" s="320" t="n"/>
      <c r="C140" s="246">
        <f>IF($B140="","",IF(SUMIFS('ИТОГО Торговля'!$C$5:$C$300,'ИТОГО Торговля'!$B$5:$B$300,$B140)+SUMIFS('ИТОГО Лэндинг'!$C$5:$C$300,'ИТОГО Лэндинг'!$B$5:$B$300,$B140)=0,"",SUMIFS('ИТОГО Торговля'!$C$5:$C$300,'ИТОГО Торговля'!$B$5:$B$300,$B140)+SUMIFS('ИТОГО Лэндинг'!$C$5:$C$300,'ИТОГО Лэндинг'!$B$5:$B$300,$B140)))</f>
        <v/>
      </c>
      <c r="D140" s="183">
        <f>IF(C140="","",E140/C140)</f>
        <v/>
      </c>
      <c r="E140" s="247">
        <f>IF(C140="","",SUMIFS('ИТОГО Торговля'!$E$5:$E$300,'ИТОГО Торговля'!$B$5:$B$300,$B140)+SUMIFS('ИТОГО Лэндинг'!$E$5:$E$300,'ИТОГО Лэндинг'!$B$5:$B$300,$B140))</f>
        <v/>
      </c>
      <c r="F140" s="246">
        <f>IF($B140="","",IF(SUMIFS('ИТОГО Торговля'!$F$5:$F$300,'ИТОГО Торговля'!$B$5:$B$300,$B140)+SUMIFS('ИТОГО Лэндинг'!$F$5:$F$300,'ИТОГО Лэндинг'!$B$5:$B$300,$B140)=0,"",SUMIFS('ИТОГО Торговля'!$F$5:$F$300,'ИТОГО Торговля'!$B$5:$B$300,$B140)+SUMIFS('ИТОГО Лэндинг'!$F$5:$F$300,'ИТОГО Лэндинг'!$B$5:$B$300,$B140)))</f>
        <v/>
      </c>
      <c r="G140" s="183">
        <f>IF(F140="","",H140/F140)</f>
        <v/>
      </c>
      <c r="H140" s="247">
        <f>IF(F140="","",SUMIFS('ИТОГО Торговля'!$H$5:$H$300,'ИТОГО Торговля'!$B$5:$B$300,$B140)+SUMIFS('ИТОГО Лэндинг'!$H$5:$H$300,'ИТОГО Лэндинг'!$B$5:$B$300,$B140))</f>
        <v/>
      </c>
      <c r="I140" s="246">
        <f>IF($B140="","",IF(AND(C140="",F140=""),"",ROUND(SUMIFS('ИТОГО Торговля'!$I$5:$I$300,'ИТОГО Торговля'!$B$5:$B$300,$B140)+SUMIFS('ИТОГО Лэндинг'!$I$5:$I$300,'ИТОГО Лэндинг'!$B$5:$B$300,$B140),8)))</f>
        <v/>
      </c>
      <c r="J140" s="247">
        <f>IF($B140="","",IF(AND(C140="",F140=""),"",ROUND(SUMIFS('ИТОГО Торговля'!$J$5:$J$300,'ИТОГО Торговля'!$B$5:$B$300,$B140)+SUMIFS('ИТОГО Лэндинг'!$J$5:$J$300,'ИТОГО Лэндинг'!$B$5:$B$300,$B140),8)))</f>
        <v/>
      </c>
      <c r="K140" s="246">
        <f>IF($B140="","",ROUND(SUMIFS('ИТОГО Торговля'!$K$5:$K$300,'ИТОГО Торговля'!$B$5:$B$300,$B140)+SUMIFS('ИТОГО Лэндинг'!$K$5:$K$300,'ИТОГО Лэндинг'!$B$5:$B$300,$B140),8))</f>
        <v/>
      </c>
      <c r="L140" s="183">
        <f>IF(K140="","",IF(SUMPRODUCT((Закрытые!$E$5:$E$300=$B140)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140/SUMPRODUCT((Закрытые!$E$5:$E$300=$B140)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0" s="183">
        <f>IF(OR(ROUND(N(C140)-N(F140),8)=0,1-N(Ввод!$E$17)/100&lt;=0),"",IF(N(C140)&gt;N(F140),(N(E140)-N(H140))/((N(C140)-N(F140))*(1-N(Ввод!$E$17)/100)),(N(H140)-N(E140))/((N(F140)-N(C140))*(1+N(Ввод!$E$17)/100))))</f>
        <v/>
      </c>
    </row>
    <row r="141" ht="22" customHeight="1">
      <c r="B141" s="315" t="n"/>
      <c r="C141" s="240">
        <f>IF($B141="","",IF(SUMIFS('ИТОГО Торговля'!$C$5:$C$300,'ИТОГО Торговля'!$B$5:$B$300,$B141)+SUMIFS('ИТОГО Лэндинг'!$C$5:$C$300,'ИТОГО Лэндинг'!$B$5:$B$300,$B141)=0,"",SUMIFS('ИТОГО Торговля'!$C$5:$C$300,'ИТОГО Торговля'!$B$5:$B$300,$B141)+SUMIFS('ИТОГО Лэндинг'!$C$5:$C$300,'ИТОГО Лэндинг'!$B$5:$B$300,$B141)))</f>
        <v/>
      </c>
      <c r="D141" s="177">
        <f>IF(C141="","",E141/C141)</f>
        <v/>
      </c>
      <c r="E141" s="241">
        <f>IF(C141="","",SUMIFS('ИТОГО Торговля'!$E$5:$E$300,'ИТОГО Торговля'!$B$5:$B$300,$B141)+SUMIFS('ИТОГО Лэндинг'!$E$5:$E$300,'ИТОГО Лэндинг'!$B$5:$B$300,$B141))</f>
        <v/>
      </c>
      <c r="F141" s="240">
        <f>IF($B141="","",IF(SUMIFS('ИТОГО Торговля'!$F$5:$F$300,'ИТОГО Торговля'!$B$5:$B$300,$B141)+SUMIFS('ИТОГО Лэндинг'!$F$5:$F$300,'ИТОГО Лэндинг'!$B$5:$B$300,$B141)=0,"",SUMIFS('ИТОГО Торговля'!$F$5:$F$300,'ИТОГО Торговля'!$B$5:$B$300,$B141)+SUMIFS('ИТОГО Лэндинг'!$F$5:$F$300,'ИТОГО Лэндинг'!$B$5:$B$300,$B141)))</f>
        <v/>
      </c>
      <c r="G141" s="177">
        <f>IF(F141="","",H141/F141)</f>
        <v/>
      </c>
      <c r="H141" s="241">
        <f>IF(F141="","",SUMIFS('ИТОГО Торговля'!$H$5:$H$300,'ИТОГО Торговля'!$B$5:$B$300,$B141)+SUMIFS('ИТОГО Лэндинг'!$H$5:$H$300,'ИТОГО Лэндинг'!$B$5:$B$300,$B141))</f>
        <v/>
      </c>
      <c r="I141" s="240">
        <f>IF($B141="","",IF(AND(C141="",F141=""),"",ROUND(SUMIFS('ИТОГО Торговля'!$I$5:$I$300,'ИТОГО Торговля'!$B$5:$B$300,$B141)+SUMIFS('ИТОГО Лэндинг'!$I$5:$I$300,'ИТОГО Лэндинг'!$B$5:$B$300,$B141),8)))</f>
        <v/>
      </c>
      <c r="J141" s="241">
        <f>IF($B141="","",IF(AND(C141="",F141=""),"",ROUND(SUMIFS('ИТОГО Торговля'!$J$5:$J$300,'ИТОГО Торговля'!$B$5:$B$300,$B141)+SUMIFS('ИТОГО Лэндинг'!$J$5:$J$300,'ИТОГО Лэндинг'!$B$5:$B$300,$B141),8)))</f>
        <v/>
      </c>
      <c r="K141" s="240">
        <f>IF($B141="","",ROUND(SUMIFS('ИТОГО Торговля'!$K$5:$K$300,'ИТОГО Торговля'!$B$5:$B$300,$B141)+SUMIFS('ИТОГО Лэндинг'!$K$5:$K$300,'ИТОГО Лэндинг'!$B$5:$B$300,$B141),8))</f>
        <v/>
      </c>
      <c r="L141" s="177">
        <f>IF(K141="","",IF(SUMPRODUCT((Закрытые!$E$5:$E$300=$B141)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141/SUMPRODUCT((Закрытые!$E$5:$E$300=$B141)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1" s="177">
        <f>IF(OR(ROUND(N(C141)-N(F141),8)=0,1-N(Ввод!$E$17)/100&lt;=0),"",IF(N(C141)&gt;N(F141),(N(E141)-N(H141))/((N(C141)-N(F141))*(1-N(Ввод!$E$17)/100)),(N(H141)-N(E141))/((N(F141)-N(C141))*(1+N(Ввод!$E$17)/100))))</f>
        <v/>
      </c>
    </row>
    <row r="142" ht="22" customHeight="1">
      <c r="B142" s="320" t="n"/>
      <c r="C142" s="246">
        <f>IF($B142="","",IF(SUMIFS('ИТОГО Торговля'!$C$5:$C$300,'ИТОГО Торговля'!$B$5:$B$300,$B142)+SUMIFS('ИТОГО Лэндинг'!$C$5:$C$300,'ИТОГО Лэндинг'!$B$5:$B$300,$B142)=0,"",SUMIFS('ИТОГО Торговля'!$C$5:$C$300,'ИТОГО Торговля'!$B$5:$B$300,$B142)+SUMIFS('ИТОГО Лэндинг'!$C$5:$C$300,'ИТОГО Лэндинг'!$B$5:$B$300,$B142)))</f>
        <v/>
      </c>
      <c r="D142" s="183">
        <f>IF(C142="","",E142/C142)</f>
        <v/>
      </c>
      <c r="E142" s="247">
        <f>IF(C142="","",SUMIFS('ИТОГО Торговля'!$E$5:$E$300,'ИТОГО Торговля'!$B$5:$B$300,$B142)+SUMIFS('ИТОГО Лэндинг'!$E$5:$E$300,'ИТОГО Лэндинг'!$B$5:$B$300,$B142))</f>
        <v/>
      </c>
      <c r="F142" s="246">
        <f>IF($B142="","",IF(SUMIFS('ИТОГО Торговля'!$F$5:$F$300,'ИТОГО Торговля'!$B$5:$B$300,$B142)+SUMIFS('ИТОГО Лэндинг'!$F$5:$F$300,'ИТОГО Лэндинг'!$B$5:$B$300,$B142)=0,"",SUMIFS('ИТОГО Торговля'!$F$5:$F$300,'ИТОГО Торговля'!$B$5:$B$300,$B142)+SUMIFS('ИТОГО Лэндинг'!$F$5:$F$300,'ИТОГО Лэндинг'!$B$5:$B$300,$B142)))</f>
        <v/>
      </c>
      <c r="G142" s="183">
        <f>IF(F142="","",H142/F142)</f>
        <v/>
      </c>
      <c r="H142" s="247">
        <f>IF(F142="","",SUMIFS('ИТОГО Торговля'!$H$5:$H$300,'ИТОГО Торговля'!$B$5:$B$300,$B142)+SUMIFS('ИТОГО Лэндинг'!$H$5:$H$300,'ИТОГО Лэндинг'!$B$5:$B$300,$B142))</f>
        <v/>
      </c>
      <c r="I142" s="246">
        <f>IF($B142="","",IF(AND(C142="",F142=""),"",ROUND(SUMIFS('ИТОГО Торговля'!$I$5:$I$300,'ИТОГО Торговля'!$B$5:$B$300,$B142)+SUMIFS('ИТОГО Лэндинг'!$I$5:$I$300,'ИТОГО Лэндинг'!$B$5:$B$300,$B142),8)))</f>
        <v/>
      </c>
      <c r="J142" s="247">
        <f>IF($B142="","",IF(AND(C142="",F142=""),"",ROUND(SUMIFS('ИТОГО Торговля'!$J$5:$J$300,'ИТОГО Торговля'!$B$5:$B$300,$B142)+SUMIFS('ИТОГО Лэндинг'!$J$5:$J$300,'ИТОГО Лэндинг'!$B$5:$B$300,$B142),8)))</f>
        <v/>
      </c>
      <c r="K142" s="246">
        <f>IF($B142="","",ROUND(SUMIFS('ИТОГО Торговля'!$K$5:$K$300,'ИТОГО Торговля'!$B$5:$B$300,$B142)+SUMIFS('ИТОГО Лэндинг'!$K$5:$K$300,'ИТОГО Лэндинг'!$B$5:$B$300,$B142),8))</f>
        <v/>
      </c>
      <c r="L142" s="183">
        <f>IF(K142="","",IF(SUMPRODUCT((Закрытые!$E$5:$E$300=$B142)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142/SUMPRODUCT((Закрытые!$E$5:$E$300=$B142)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2" s="183">
        <f>IF(OR(ROUND(N(C142)-N(F142),8)=0,1-N(Ввод!$E$17)/100&lt;=0),"",IF(N(C142)&gt;N(F142),(N(E142)-N(H142))/((N(C142)-N(F142))*(1-N(Ввод!$E$17)/100)),(N(H142)-N(E142))/((N(F142)-N(C142))*(1+N(Ввод!$E$17)/100))))</f>
        <v/>
      </c>
    </row>
    <row r="143" ht="22" customHeight="1">
      <c r="B143" s="315" t="n"/>
      <c r="C143" s="240">
        <f>IF($B143="","",IF(SUMIFS('ИТОГО Торговля'!$C$5:$C$300,'ИТОГО Торговля'!$B$5:$B$300,$B143)+SUMIFS('ИТОГО Лэндинг'!$C$5:$C$300,'ИТОГО Лэндинг'!$B$5:$B$300,$B143)=0,"",SUMIFS('ИТОГО Торговля'!$C$5:$C$300,'ИТОГО Торговля'!$B$5:$B$300,$B143)+SUMIFS('ИТОГО Лэндинг'!$C$5:$C$300,'ИТОГО Лэндинг'!$B$5:$B$300,$B143)))</f>
        <v/>
      </c>
      <c r="D143" s="177">
        <f>IF(C143="","",E143/C143)</f>
        <v/>
      </c>
      <c r="E143" s="241">
        <f>IF(C143="","",SUMIFS('ИТОГО Торговля'!$E$5:$E$300,'ИТОГО Торговля'!$B$5:$B$300,$B143)+SUMIFS('ИТОГО Лэндинг'!$E$5:$E$300,'ИТОГО Лэндинг'!$B$5:$B$300,$B143))</f>
        <v/>
      </c>
      <c r="F143" s="240">
        <f>IF($B143="","",IF(SUMIFS('ИТОГО Торговля'!$F$5:$F$300,'ИТОГО Торговля'!$B$5:$B$300,$B143)+SUMIFS('ИТОГО Лэндинг'!$F$5:$F$300,'ИТОГО Лэндинг'!$B$5:$B$300,$B143)=0,"",SUMIFS('ИТОГО Торговля'!$F$5:$F$300,'ИТОГО Торговля'!$B$5:$B$300,$B143)+SUMIFS('ИТОГО Лэндинг'!$F$5:$F$300,'ИТОГО Лэндинг'!$B$5:$B$300,$B143)))</f>
        <v/>
      </c>
      <c r="G143" s="177">
        <f>IF(F143="","",H143/F143)</f>
        <v/>
      </c>
      <c r="H143" s="241">
        <f>IF(F143="","",SUMIFS('ИТОГО Торговля'!$H$5:$H$300,'ИТОГО Торговля'!$B$5:$B$300,$B143)+SUMIFS('ИТОГО Лэндинг'!$H$5:$H$300,'ИТОГО Лэндинг'!$B$5:$B$300,$B143))</f>
        <v/>
      </c>
      <c r="I143" s="240">
        <f>IF($B143="","",IF(AND(C143="",F143=""),"",ROUND(SUMIFS('ИТОГО Торговля'!$I$5:$I$300,'ИТОГО Торговля'!$B$5:$B$300,$B143)+SUMIFS('ИТОГО Лэндинг'!$I$5:$I$300,'ИТОГО Лэндинг'!$B$5:$B$300,$B143),8)))</f>
        <v/>
      </c>
      <c r="J143" s="241">
        <f>IF($B143="","",IF(AND(C143="",F143=""),"",ROUND(SUMIFS('ИТОГО Торговля'!$J$5:$J$300,'ИТОГО Торговля'!$B$5:$B$300,$B143)+SUMIFS('ИТОГО Лэндинг'!$J$5:$J$300,'ИТОГО Лэндинг'!$B$5:$B$300,$B143),8)))</f>
        <v/>
      </c>
      <c r="K143" s="240">
        <f>IF($B143="","",ROUND(SUMIFS('ИТОГО Торговля'!$K$5:$K$300,'ИТОГО Торговля'!$B$5:$B$300,$B143)+SUMIFS('ИТОГО Лэндинг'!$K$5:$K$300,'ИТОГО Лэндинг'!$B$5:$B$300,$B143),8))</f>
        <v/>
      </c>
      <c r="L143" s="177">
        <f>IF(K143="","",IF(SUMPRODUCT((Закрытые!$E$5:$E$300=$B143)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143/SUMPRODUCT((Закрытые!$E$5:$E$300=$B143)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3" s="177">
        <f>IF(OR(ROUND(N(C143)-N(F143),8)=0,1-N(Ввод!$E$17)/100&lt;=0),"",IF(N(C143)&gt;N(F143),(N(E143)-N(H143))/((N(C143)-N(F143))*(1-N(Ввод!$E$17)/100)),(N(H143)-N(E143))/((N(F143)-N(C143))*(1+N(Ввод!$E$17)/100))))</f>
        <v/>
      </c>
    </row>
    <row r="144" ht="22" customHeight="1">
      <c r="B144" s="320" t="n"/>
      <c r="C144" s="246">
        <f>IF($B144="","",IF(SUMIFS('ИТОГО Торговля'!$C$5:$C$300,'ИТОГО Торговля'!$B$5:$B$300,$B144)+SUMIFS('ИТОГО Лэндинг'!$C$5:$C$300,'ИТОГО Лэндинг'!$B$5:$B$300,$B144)=0,"",SUMIFS('ИТОГО Торговля'!$C$5:$C$300,'ИТОГО Торговля'!$B$5:$B$300,$B144)+SUMIFS('ИТОГО Лэндинг'!$C$5:$C$300,'ИТОГО Лэндинг'!$B$5:$B$300,$B144)))</f>
        <v/>
      </c>
      <c r="D144" s="183">
        <f>IF(C144="","",E144/C144)</f>
        <v/>
      </c>
      <c r="E144" s="247">
        <f>IF(C144="","",SUMIFS('ИТОГО Торговля'!$E$5:$E$300,'ИТОГО Торговля'!$B$5:$B$300,$B144)+SUMIFS('ИТОГО Лэндинг'!$E$5:$E$300,'ИТОГО Лэндинг'!$B$5:$B$300,$B144))</f>
        <v/>
      </c>
      <c r="F144" s="246">
        <f>IF($B144="","",IF(SUMIFS('ИТОГО Торговля'!$F$5:$F$300,'ИТОГО Торговля'!$B$5:$B$300,$B144)+SUMIFS('ИТОГО Лэндинг'!$F$5:$F$300,'ИТОГО Лэндинг'!$B$5:$B$300,$B144)=0,"",SUMIFS('ИТОГО Торговля'!$F$5:$F$300,'ИТОГО Торговля'!$B$5:$B$300,$B144)+SUMIFS('ИТОГО Лэндинг'!$F$5:$F$300,'ИТОГО Лэндинг'!$B$5:$B$300,$B144)))</f>
        <v/>
      </c>
      <c r="G144" s="183">
        <f>IF(F144="","",H144/F144)</f>
        <v/>
      </c>
      <c r="H144" s="247">
        <f>IF(F144="","",SUMIFS('ИТОГО Торговля'!$H$5:$H$300,'ИТОГО Торговля'!$B$5:$B$300,$B144)+SUMIFS('ИТОГО Лэндинг'!$H$5:$H$300,'ИТОГО Лэндинг'!$B$5:$B$300,$B144))</f>
        <v/>
      </c>
      <c r="I144" s="246">
        <f>IF($B144="","",IF(AND(C144="",F144=""),"",ROUND(SUMIFS('ИТОГО Торговля'!$I$5:$I$300,'ИТОГО Торговля'!$B$5:$B$300,$B144)+SUMIFS('ИТОГО Лэндинг'!$I$5:$I$300,'ИТОГО Лэндинг'!$B$5:$B$300,$B144),8)))</f>
        <v/>
      </c>
      <c r="J144" s="247">
        <f>IF($B144="","",IF(AND(C144="",F144=""),"",ROUND(SUMIFS('ИТОГО Торговля'!$J$5:$J$300,'ИТОГО Торговля'!$B$5:$B$300,$B144)+SUMIFS('ИТОГО Лэндинг'!$J$5:$J$300,'ИТОГО Лэндинг'!$B$5:$B$300,$B144),8)))</f>
        <v/>
      </c>
      <c r="K144" s="246">
        <f>IF($B144="","",ROUND(SUMIFS('ИТОГО Торговля'!$K$5:$K$300,'ИТОГО Торговля'!$B$5:$B$300,$B144)+SUMIFS('ИТОГО Лэндинг'!$K$5:$K$300,'ИТОГО Лэндинг'!$B$5:$B$300,$B144),8))</f>
        <v/>
      </c>
      <c r="L144" s="183">
        <f>IF(K144="","",IF(SUMPRODUCT((Закрытые!$E$5:$E$300=$B144)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144/SUMPRODUCT((Закрытые!$E$5:$E$300=$B144)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4" s="183">
        <f>IF(OR(ROUND(N(C144)-N(F144),8)=0,1-N(Ввод!$E$17)/100&lt;=0),"",IF(N(C144)&gt;N(F144),(N(E144)-N(H144))/((N(C144)-N(F144))*(1-N(Ввод!$E$17)/100)),(N(H144)-N(E144))/((N(F144)-N(C144))*(1+N(Ввод!$E$17)/100))))</f>
        <v/>
      </c>
    </row>
    <row r="145" ht="22" customHeight="1">
      <c r="B145" s="315" t="n"/>
      <c r="C145" s="240">
        <f>IF($B145="","",IF(SUMIFS('ИТОГО Торговля'!$C$5:$C$300,'ИТОГО Торговля'!$B$5:$B$300,$B145)+SUMIFS('ИТОГО Лэндинг'!$C$5:$C$300,'ИТОГО Лэндинг'!$B$5:$B$300,$B145)=0,"",SUMIFS('ИТОГО Торговля'!$C$5:$C$300,'ИТОГО Торговля'!$B$5:$B$300,$B145)+SUMIFS('ИТОГО Лэндинг'!$C$5:$C$300,'ИТОГО Лэндинг'!$B$5:$B$300,$B145)))</f>
        <v/>
      </c>
      <c r="D145" s="177">
        <f>IF(C145="","",E145/C145)</f>
        <v/>
      </c>
      <c r="E145" s="241">
        <f>IF(C145="","",SUMIFS('ИТОГО Торговля'!$E$5:$E$300,'ИТОГО Торговля'!$B$5:$B$300,$B145)+SUMIFS('ИТОГО Лэндинг'!$E$5:$E$300,'ИТОГО Лэндинг'!$B$5:$B$300,$B145))</f>
        <v/>
      </c>
      <c r="F145" s="240">
        <f>IF($B145="","",IF(SUMIFS('ИТОГО Торговля'!$F$5:$F$300,'ИТОГО Торговля'!$B$5:$B$300,$B145)+SUMIFS('ИТОГО Лэндинг'!$F$5:$F$300,'ИТОГО Лэндинг'!$B$5:$B$300,$B145)=0,"",SUMIFS('ИТОГО Торговля'!$F$5:$F$300,'ИТОГО Торговля'!$B$5:$B$300,$B145)+SUMIFS('ИТОГО Лэндинг'!$F$5:$F$300,'ИТОГО Лэндинг'!$B$5:$B$300,$B145)))</f>
        <v/>
      </c>
      <c r="G145" s="177">
        <f>IF(F145="","",H145/F145)</f>
        <v/>
      </c>
      <c r="H145" s="241">
        <f>IF(F145="","",SUMIFS('ИТОГО Торговля'!$H$5:$H$300,'ИТОГО Торговля'!$B$5:$B$300,$B145)+SUMIFS('ИТОГО Лэндинг'!$H$5:$H$300,'ИТОГО Лэндинг'!$B$5:$B$300,$B145))</f>
        <v/>
      </c>
      <c r="I145" s="240">
        <f>IF($B145="","",IF(AND(C145="",F145=""),"",ROUND(SUMIFS('ИТОГО Торговля'!$I$5:$I$300,'ИТОГО Торговля'!$B$5:$B$300,$B145)+SUMIFS('ИТОГО Лэндинг'!$I$5:$I$300,'ИТОГО Лэндинг'!$B$5:$B$300,$B145),8)))</f>
        <v/>
      </c>
      <c r="J145" s="241">
        <f>IF($B145="","",IF(AND(C145="",F145=""),"",ROUND(SUMIFS('ИТОГО Торговля'!$J$5:$J$300,'ИТОГО Торговля'!$B$5:$B$300,$B145)+SUMIFS('ИТОГО Лэндинг'!$J$5:$J$300,'ИТОГО Лэндинг'!$B$5:$B$300,$B145),8)))</f>
        <v/>
      </c>
      <c r="K145" s="240">
        <f>IF($B145="","",ROUND(SUMIFS('ИТОГО Торговля'!$K$5:$K$300,'ИТОГО Торговля'!$B$5:$B$300,$B145)+SUMIFS('ИТОГО Лэндинг'!$K$5:$K$300,'ИТОГО Лэндинг'!$B$5:$B$300,$B145),8))</f>
        <v/>
      </c>
      <c r="L145" s="177">
        <f>IF(K145="","",IF(SUMPRODUCT((Закрытые!$E$5:$E$300=$B145)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145/SUMPRODUCT((Закрытые!$E$5:$E$300=$B145)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5" s="177">
        <f>IF(OR(ROUND(N(C145)-N(F145),8)=0,1-N(Ввод!$E$17)/100&lt;=0),"",IF(N(C145)&gt;N(F145),(N(E145)-N(H145))/((N(C145)-N(F145))*(1-N(Ввод!$E$17)/100)),(N(H145)-N(E145))/((N(F145)-N(C145))*(1+N(Ввод!$E$17)/100))))</f>
        <v/>
      </c>
    </row>
    <row r="146" ht="22" customHeight="1">
      <c r="B146" s="320" t="n"/>
      <c r="C146" s="246">
        <f>IF($B146="","",IF(SUMIFS('ИТОГО Торговля'!$C$5:$C$300,'ИТОГО Торговля'!$B$5:$B$300,$B146)+SUMIFS('ИТОГО Лэндинг'!$C$5:$C$300,'ИТОГО Лэндинг'!$B$5:$B$300,$B146)=0,"",SUMIFS('ИТОГО Торговля'!$C$5:$C$300,'ИТОГО Торговля'!$B$5:$B$300,$B146)+SUMIFS('ИТОГО Лэндинг'!$C$5:$C$300,'ИТОГО Лэндинг'!$B$5:$B$300,$B146)))</f>
        <v/>
      </c>
      <c r="D146" s="183">
        <f>IF(C146="","",E146/C146)</f>
        <v/>
      </c>
      <c r="E146" s="247">
        <f>IF(C146="","",SUMIFS('ИТОГО Торговля'!$E$5:$E$300,'ИТОГО Торговля'!$B$5:$B$300,$B146)+SUMIFS('ИТОГО Лэндинг'!$E$5:$E$300,'ИТОГО Лэндинг'!$B$5:$B$300,$B146))</f>
        <v/>
      </c>
      <c r="F146" s="246">
        <f>IF($B146="","",IF(SUMIFS('ИТОГО Торговля'!$F$5:$F$300,'ИТОГО Торговля'!$B$5:$B$300,$B146)+SUMIFS('ИТОГО Лэндинг'!$F$5:$F$300,'ИТОГО Лэндинг'!$B$5:$B$300,$B146)=0,"",SUMIFS('ИТОГО Торговля'!$F$5:$F$300,'ИТОГО Торговля'!$B$5:$B$300,$B146)+SUMIFS('ИТОГО Лэндинг'!$F$5:$F$300,'ИТОГО Лэндинг'!$B$5:$B$300,$B146)))</f>
        <v/>
      </c>
      <c r="G146" s="183">
        <f>IF(F146="","",H146/F146)</f>
        <v/>
      </c>
      <c r="H146" s="247">
        <f>IF(F146="","",SUMIFS('ИТОГО Торговля'!$H$5:$H$300,'ИТОГО Торговля'!$B$5:$B$300,$B146)+SUMIFS('ИТОГО Лэндинг'!$H$5:$H$300,'ИТОГО Лэндинг'!$B$5:$B$300,$B146))</f>
        <v/>
      </c>
      <c r="I146" s="246">
        <f>IF($B146="","",IF(AND(C146="",F146=""),"",ROUND(SUMIFS('ИТОГО Торговля'!$I$5:$I$300,'ИТОГО Торговля'!$B$5:$B$300,$B146)+SUMIFS('ИТОГО Лэндинг'!$I$5:$I$300,'ИТОГО Лэндинг'!$B$5:$B$300,$B146),8)))</f>
        <v/>
      </c>
      <c r="J146" s="247">
        <f>IF($B146="","",IF(AND(C146="",F146=""),"",ROUND(SUMIFS('ИТОГО Торговля'!$J$5:$J$300,'ИТОГО Торговля'!$B$5:$B$300,$B146)+SUMIFS('ИТОГО Лэндинг'!$J$5:$J$300,'ИТОГО Лэндинг'!$B$5:$B$300,$B146),8)))</f>
        <v/>
      </c>
      <c r="K146" s="246">
        <f>IF($B146="","",ROUND(SUMIFS('ИТОГО Торговля'!$K$5:$K$300,'ИТОГО Торговля'!$B$5:$B$300,$B146)+SUMIFS('ИТОГО Лэндинг'!$K$5:$K$300,'ИТОГО Лэндинг'!$B$5:$B$300,$B146),8))</f>
        <v/>
      </c>
      <c r="L146" s="183">
        <f>IF(K146="","",IF(SUMPRODUCT((Закрытые!$E$5:$E$300=$B146)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146/SUMPRODUCT((Закрытые!$E$5:$E$300=$B146)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6" s="183">
        <f>IF(OR(ROUND(N(C146)-N(F146),8)=0,1-N(Ввод!$E$17)/100&lt;=0),"",IF(N(C146)&gt;N(F146),(N(E146)-N(H146))/((N(C146)-N(F146))*(1-N(Ввод!$E$17)/100)),(N(H146)-N(E146))/((N(F146)-N(C146))*(1+N(Ввод!$E$17)/100))))</f>
        <v/>
      </c>
    </row>
    <row r="147" ht="22" customHeight="1">
      <c r="B147" s="315" t="n"/>
      <c r="C147" s="240">
        <f>IF($B147="","",IF(SUMIFS('ИТОГО Торговля'!$C$5:$C$300,'ИТОГО Торговля'!$B$5:$B$300,$B147)+SUMIFS('ИТОГО Лэндинг'!$C$5:$C$300,'ИТОГО Лэндинг'!$B$5:$B$300,$B147)=0,"",SUMIFS('ИТОГО Торговля'!$C$5:$C$300,'ИТОГО Торговля'!$B$5:$B$300,$B147)+SUMIFS('ИТОГО Лэндинг'!$C$5:$C$300,'ИТОГО Лэндинг'!$B$5:$B$300,$B147)))</f>
        <v/>
      </c>
      <c r="D147" s="177">
        <f>IF(C147="","",E147/C147)</f>
        <v/>
      </c>
      <c r="E147" s="241">
        <f>IF(C147="","",SUMIFS('ИТОГО Торговля'!$E$5:$E$300,'ИТОГО Торговля'!$B$5:$B$300,$B147)+SUMIFS('ИТОГО Лэндинг'!$E$5:$E$300,'ИТОГО Лэндинг'!$B$5:$B$300,$B147))</f>
        <v/>
      </c>
      <c r="F147" s="240">
        <f>IF($B147="","",IF(SUMIFS('ИТОГО Торговля'!$F$5:$F$300,'ИТОГО Торговля'!$B$5:$B$300,$B147)+SUMIFS('ИТОГО Лэндинг'!$F$5:$F$300,'ИТОГО Лэндинг'!$B$5:$B$300,$B147)=0,"",SUMIFS('ИТОГО Торговля'!$F$5:$F$300,'ИТОГО Торговля'!$B$5:$B$300,$B147)+SUMIFS('ИТОГО Лэндинг'!$F$5:$F$300,'ИТОГО Лэндинг'!$B$5:$B$300,$B147)))</f>
        <v/>
      </c>
      <c r="G147" s="177">
        <f>IF(F147="","",H147/F147)</f>
        <v/>
      </c>
      <c r="H147" s="241">
        <f>IF(F147="","",SUMIFS('ИТОГО Торговля'!$H$5:$H$300,'ИТОГО Торговля'!$B$5:$B$300,$B147)+SUMIFS('ИТОГО Лэндинг'!$H$5:$H$300,'ИТОГО Лэндинг'!$B$5:$B$300,$B147))</f>
        <v/>
      </c>
      <c r="I147" s="240">
        <f>IF($B147="","",IF(AND(C147="",F147=""),"",ROUND(SUMIFS('ИТОГО Торговля'!$I$5:$I$300,'ИТОГО Торговля'!$B$5:$B$300,$B147)+SUMIFS('ИТОГО Лэндинг'!$I$5:$I$300,'ИТОГО Лэндинг'!$B$5:$B$300,$B147),8)))</f>
        <v/>
      </c>
      <c r="J147" s="241">
        <f>IF($B147="","",IF(AND(C147="",F147=""),"",ROUND(SUMIFS('ИТОГО Торговля'!$J$5:$J$300,'ИТОГО Торговля'!$B$5:$B$300,$B147)+SUMIFS('ИТОГО Лэндинг'!$J$5:$J$300,'ИТОГО Лэндинг'!$B$5:$B$300,$B147),8)))</f>
        <v/>
      </c>
      <c r="K147" s="240">
        <f>IF($B147="","",ROUND(SUMIFS('ИТОГО Торговля'!$K$5:$K$300,'ИТОГО Торговля'!$B$5:$B$300,$B147)+SUMIFS('ИТОГО Лэндинг'!$K$5:$K$300,'ИТОГО Лэндинг'!$B$5:$B$300,$B147),8))</f>
        <v/>
      </c>
      <c r="L147" s="177">
        <f>IF(K147="","",IF(SUMPRODUCT((Закрытые!$E$5:$E$300=$B147)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147/SUMPRODUCT((Закрытые!$E$5:$E$300=$B147)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7" s="177">
        <f>IF(OR(ROUND(N(C147)-N(F147),8)=0,1-N(Ввод!$E$17)/100&lt;=0),"",IF(N(C147)&gt;N(F147),(N(E147)-N(H147))/((N(C147)-N(F147))*(1-N(Ввод!$E$17)/100)),(N(H147)-N(E147))/((N(F147)-N(C147))*(1+N(Ввод!$E$17)/100))))</f>
        <v/>
      </c>
    </row>
    <row r="148" ht="22" customHeight="1">
      <c r="B148" s="320" t="n"/>
      <c r="C148" s="246">
        <f>IF($B148="","",IF(SUMIFS('ИТОГО Торговля'!$C$5:$C$300,'ИТОГО Торговля'!$B$5:$B$300,$B148)+SUMIFS('ИТОГО Лэндинг'!$C$5:$C$300,'ИТОГО Лэндинг'!$B$5:$B$300,$B148)=0,"",SUMIFS('ИТОГО Торговля'!$C$5:$C$300,'ИТОГО Торговля'!$B$5:$B$300,$B148)+SUMIFS('ИТОГО Лэндинг'!$C$5:$C$300,'ИТОГО Лэндинг'!$B$5:$B$300,$B148)))</f>
        <v/>
      </c>
      <c r="D148" s="183">
        <f>IF(C148="","",E148/C148)</f>
        <v/>
      </c>
      <c r="E148" s="247">
        <f>IF(C148="","",SUMIFS('ИТОГО Торговля'!$E$5:$E$300,'ИТОГО Торговля'!$B$5:$B$300,$B148)+SUMIFS('ИТОГО Лэндинг'!$E$5:$E$300,'ИТОГО Лэндинг'!$B$5:$B$300,$B148))</f>
        <v/>
      </c>
      <c r="F148" s="246">
        <f>IF($B148="","",IF(SUMIFS('ИТОГО Торговля'!$F$5:$F$300,'ИТОГО Торговля'!$B$5:$B$300,$B148)+SUMIFS('ИТОГО Лэндинг'!$F$5:$F$300,'ИТОГО Лэндинг'!$B$5:$B$300,$B148)=0,"",SUMIFS('ИТОГО Торговля'!$F$5:$F$300,'ИТОГО Торговля'!$B$5:$B$300,$B148)+SUMIFS('ИТОГО Лэндинг'!$F$5:$F$300,'ИТОГО Лэндинг'!$B$5:$B$300,$B148)))</f>
        <v/>
      </c>
      <c r="G148" s="183">
        <f>IF(F148="","",H148/F148)</f>
        <v/>
      </c>
      <c r="H148" s="247">
        <f>IF(F148="","",SUMIFS('ИТОГО Торговля'!$H$5:$H$300,'ИТОГО Торговля'!$B$5:$B$300,$B148)+SUMIFS('ИТОГО Лэндинг'!$H$5:$H$300,'ИТОГО Лэндинг'!$B$5:$B$300,$B148))</f>
        <v/>
      </c>
      <c r="I148" s="246">
        <f>IF($B148="","",IF(AND(C148="",F148=""),"",ROUND(SUMIFS('ИТОГО Торговля'!$I$5:$I$300,'ИТОГО Торговля'!$B$5:$B$300,$B148)+SUMIFS('ИТОГО Лэндинг'!$I$5:$I$300,'ИТОГО Лэндинг'!$B$5:$B$300,$B148),8)))</f>
        <v/>
      </c>
      <c r="J148" s="247">
        <f>IF($B148="","",IF(AND(C148="",F148=""),"",ROUND(SUMIFS('ИТОГО Торговля'!$J$5:$J$300,'ИТОГО Торговля'!$B$5:$B$300,$B148)+SUMIFS('ИТОГО Лэндинг'!$J$5:$J$300,'ИТОГО Лэндинг'!$B$5:$B$300,$B148),8)))</f>
        <v/>
      </c>
      <c r="K148" s="246">
        <f>IF($B148="","",ROUND(SUMIFS('ИТОГО Торговля'!$K$5:$K$300,'ИТОГО Торговля'!$B$5:$B$300,$B148)+SUMIFS('ИТОГО Лэндинг'!$K$5:$K$300,'ИТОГО Лэндинг'!$B$5:$B$300,$B148),8))</f>
        <v/>
      </c>
      <c r="L148" s="183">
        <f>IF(K148="","",IF(SUMPRODUCT((Закрытые!$E$5:$E$300=$B148)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148/SUMPRODUCT((Закрытые!$E$5:$E$300=$B148)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8" s="183">
        <f>IF(OR(ROUND(N(C148)-N(F148),8)=0,1-N(Ввод!$E$17)/100&lt;=0),"",IF(N(C148)&gt;N(F148),(N(E148)-N(H148))/((N(C148)-N(F148))*(1-N(Ввод!$E$17)/100)),(N(H148)-N(E148))/((N(F148)-N(C148))*(1+N(Ввод!$E$17)/100))))</f>
        <v/>
      </c>
    </row>
    <row r="149" ht="22" customHeight="1">
      <c r="B149" s="315" t="n"/>
      <c r="C149" s="240">
        <f>IF($B149="","",IF(SUMIFS('ИТОГО Торговля'!$C$5:$C$300,'ИТОГО Торговля'!$B$5:$B$300,$B149)+SUMIFS('ИТОГО Лэндинг'!$C$5:$C$300,'ИТОГО Лэндинг'!$B$5:$B$300,$B149)=0,"",SUMIFS('ИТОГО Торговля'!$C$5:$C$300,'ИТОГО Торговля'!$B$5:$B$300,$B149)+SUMIFS('ИТОГО Лэндинг'!$C$5:$C$300,'ИТОГО Лэндинг'!$B$5:$B$300,$B149)))</f>
        <v/>
      </c>
      <c r="D149" s="177">
        <f>IF(C149="","",E149/C149)</f>
        <v/>
      </c>
      <c r="E149" s="241">
        <f>IF(C149="","",SUMIFS('ИТОГО Торговля'!$E$5:$E$300,'ИТОГО Торговля'!$B$5:$B$300,$B149)+SUMIFS('ИТОГО Лэндинг'!$E$5:$E$300,'ИТОГО Лэндинг'!$B$5:$B$300,$B149))</f>
        <v/>
      </c>
      <c r="F149" s="240">
        <f>IF($B149="","",IF(SUMIFS('ИТОГО Торговля'!$F$5:$F$300,'ИТОГО Торговля'!$B$5:$B$300,$B149)+SUMIFS('ИТОГО Лэндинг'!$F$5:$F$300,'ИТОГО Лэндинг'!$B$5:$B$300,$B149)=0,"",SUMIFS('ИТОГО Торговля'!$F$5:$F$300,'ИТОГО Торговля'!$B$5:$B$300,$B149)+SUMIFS('ИТОГО Лэндинг'!$F$5:$F$300,'ИТОГО Лэндинг'!$B$5:$B$300,$B149)))</f>
        <v/>
      </c>
      <c r="G149" s="177">
        <f>IF(F149="","",H149/F149)</f>
        <v/>
      </c>
      <c r="H149" s="241">
        <f>IF(F149="","",SUMIFS('ИТОГО Торговля'!$H$5:$H$300,'ИТОГО Торговля'!$B$5:$B$300,$B149)+SUMIFS('ИТОГО Лэндинг'!$H$5:$H$300,'ИТОГО Лэндинг'!$B$5:$B$300,$B149))</f>
        <v/>
      </c>
      <c r="I149" s="240">
        <f>IF($B149="","",IF(AND(C149="",F149=""),"",ROUND(SUMIFS('ИТОГО Торговля'!$I$5:$I$300,'ИТОГО Торговля'!$B$5:$B$300,$B149)+SUMIFS('ИТОГО Лэндинг'!$I$5:$I$300,'ИТОГО Лэндинг'!$B$5:$B$300,$B149),8)))</f>
        <v/>
      </c>
      <c r="J149" s="241">
        <f>IF($B149="","",IF(AND(C149="",F149=""),"",ROUND(SUMIFS('ИТОГО Торговля'!$J$5:$J$300,'ИТОГО Торговля'!$B$5:$B$300,$B149)+SUMIFS('ИТОГО Лэндинг'!$J$5:$J$300,'ИТОГО Лэндинг'!$B$5:$B$300,$B149),8)))</f>
        <v/>
      </c>
      <c r="K149" s="240">
        <f>IF($B149="","",ROUND(SUMIFS('ИТОГО Торговля'!$K$5:$K$300,'ИТОГО Торговля'!$B$5:$B$300,$B149)+SUMIFS('ИТОГО Лэндинг'!$K$5:$K$300,'ИТОГО Лэндинг'!$B$5:$B$300,$B149),8))</f>
        <v/>
      </c>
      <c r="L149" s="177">
        <f>IF(K149="","",IF(SUMPRODUCT((Закрытые!$E$5:$E$300=$B149)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149/SUMPRODUCT((Закрытые!$E$5:$E$300=$B149)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9" s="177">
        <f>IF(OR(ROUND(N(C149)-N(F149),8)=0,1-N(Ввод!$E$17)/100&lt;=0),"",IF(N(C149)&gt;N(F149),(N(E149)-N(H149))/((N(C149)-N(F149))*(1-N(Ввод!$E$17)/100)),(N(H149)-N(E149))/((N(F149)-N(C149))*(1+N(Ввод!$E$17)/100))))</f>
        <v/>
      </c>
    </row>
    <row r="150" ht="22" customHeight="1">
      <c r="B150" s="320" t="n"/>
      <c r="C150" s="246">
        <f>IF($B150="","",IF(SUMIFS('ИТОГО Торговля'!$C$5:$C$300,'ИТОГО Торговля'!$B$5:$B$300,$B150)+SUMIFS('ИТОГО Лэндинг'!$C$5:$C$300,'ИТОГО Лэндинг'!$B$5:$B$300,$B150)=0,"",SUMIFS('ИТОГО Торговля'!$C$5:$C$300,'ИТОГО Торговля'!$B$5:$B$300,$B150)+SUMIFS('ИТОГО Лэндинг'!$C$5:$C$300,'ИТОГО Лэндинг'!$B$5:$B$300,$B150)))</f>
        <v/>
      </c>
      <c r="D150" s="183">
        <f>IF(C150="","",E150/C150)</f>
        <v/>
      </c>
      <c r="E150" s="247">
        <f>IF(C150="","",SUMIFS('ИТОГО Торговля'!$E$5:$E$300,'ИТОГО Торговля'!$B$5:$B$300,$B150)+SUMIFS('ИТОГО Лэндинг'!$E$5:$E$300,'ИТОГО Лэндинг'!$B$5:$B$300,$B150))</f>
        <v/>
      </c>
      <c r="F150" s="246">
        <f>IF($B150="","",IF(SUMIFS('ИТОГО Торговля'!$F$5:$F$300,'ИТОГО Торговля'!$B$5:$B$300,$B150)+SUMIFS('ИТОГО Лэндинг'!$F$5:$F$300,'ИТОГО Лэндинг'!$B$5:$B$300,$B150)=0,"",SUMIFS('ИТОГО Торговля'!$F$5:$F$300,'ИТОГО Торговля'!$B$5:$B$300,$B150)+SUMIFS('ИТОГО Лэндинг'!$F$5:$F$300,'ИТОГО Лэндинг'!$B$5:$B$300,$B150)))</f>
        <v/>
      </c>
      <c r="G150" s="183">
        <f>IF(F150="","",H150/F150)</f>
        <v/>
      </c>
      <c r="H150" s="247">
        <f>IF(F150="","",SUMIFS('ИТОГО Торговля'!$H$5:$H$300,'ИТОГО Торговля'!$B$5:$B$300,$B150)+SUMIFS('ИТОГО Лэндинг'!$H$5:$H$300,'ИТОГО Лэндинг'!$B$5:$B$300,$B150))</f>
        <v/>
      </c>
      <c r="I150" s="246">
        <f>IF($B150="","",IF(AND(C150="",F150=""),"",ROUND(SUMIFS('ИТОГО Торговля'!$I$5:$I$300,'ИТОГО Торговля'!$B$5:$B$300,$B150)+SUMIFS('ИТОГО Лэндинг'!$I$5:$I$300,'ИТОГО Лэндинг'!$B$5:$B$300,$B150),8)))</f>
        <v/>
      </c>
      <c r="J150" s="247">
        <f>IF($B150="","",IF(AND(C150="",F150=""),"",ROUND(SUMIFS('ИТОГО Торговля'!$J$5:$J$300,'ИТОГО Торговля'!$B$5:$B$300,$B150)+SUMIFS('ИТОГО Лэндинг'!$J$5:$J$300,'ИТОГО Лэндинг'!$B$5:$B$300,$B150),8)))</f>
        <v/>
      </c>
      <c r="K150" s="246">
        <f>IF($B150="","",ROUND(SUMIFS('ИТОГО Торговля'!$K$5:$K$300,'ИТОГО Торговля'!$B$5:$B$300,$B150)+SUMIFS('ИТОГО Лэндинг'!$K$5:$K$300,'ИТОГО Лэндинг'!$B$5:$B$300,$B150),8))</f>
        <v/>
      </c>
      <c r="L150" s="183">
        <f>IF(K150="","",IF(SUMPRODUCT((Закрытые!$E$5:$E$300=$B150)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150/SUMPRODUCT((Закрытые!$E$5:$E$300=$B150)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0" s="183">
        <f>IF(OR(ROUND(N(C150)-N(F150),8)=0,1-N(Ввод!$E$17)/100&lt;=0),"",IF(N(C150)&gt;N(F150),(N(E150)-N(H150))/((N(C150)-N(F150))*(1-N(Ввод!$E$17)/100)),(N(H150)-N(E150))/((N(F150)-N(C150))*(1+N(Ввод!$E$17)/100))))</f>
        <v/>
      </c>
    </row>
    <row r="151" ht="22" customHeight="1">
      <c r="B151" s="315" t="n"/>
      <c r="C151" s="240">
        <f>IF($B151="","",IF(SUMIFS('ИТОГО Торговля'!$C$5:$C$300,'ИТОГО Торговля'!$B$5:$B$300,$B151)+SUMIFS('ИТОГО Лэндинг'!$C$5:$C$300,'ИТОГО Лэндинг'!$B$5:$B$300,$B151)=0,"",SUMIFS('ИТОГО Торговля'!$C$5:$C$300,'ИТОГО Торговля'!$B$5:$B$300,$B151)+SUMIFS('ИТОГО Лэндинг'!$C$5:$C$300,'ИТОГО Лэндинг'!$B$5:$B$300,$B151)))</f>
        <v/>
      </c>
      <c r="D151" s="177">
        <f>IF(C151="","",E151/C151)</f>
        <v/>
      </c>
      <c r="E151" s="241">
        <f>IF(C151="","",SUMIFS('ИТОГО Торговля'!$E$5:$E$300,'ИТОГО Торговля'!$B$5:$B$300,$B151)+SUMIFS('ИТОГО Лэндинг'!$E$5:$E$300,'ИТОГО Лэндинг'!$B$5:$B$300,$B151))</f>
        <v/>
      </c>
      <c r="F151" s="240">
        <f>IF($B151="","",IF(SUMIFS('ИТОГО Торговля'!$F$5:$F$300,'ИТОГО Торговля'!$B$5:$B$300,$B151)+SUMIFS('ИТОГО Лэндинг'!$F$5:$F$300,'ИТОГО Лэндинг'!$B$5:$B$300,$B151)=0,"",SUMIFS('ИТОГО Торговля'!$F$5:$F$300,'ИТОГО Торговля'!$B$5:$B$300,$B151)+SUMIFS('ИТОГО Лэндинг'!$F$5:$F$300,'ИТОГО Лэндинг'!$B$5:$B$300,$B151)))</f>
        <v/>
      </c>
      <c r="G151" s="177">
        <f>IF(F151="","",H151/F151)</f>
        <v/>
      </c>
      <c r="H151" s="241">
        <f>IF(F151="","",SUMIFS('ИТОГО Торговля'!$H$5:$H$300,'ИТОГО Торговля'!$B$5:$B$300,$B151)+SUMIFS('ИТОГО Лэндинг'!$H$5:$H$300,'ИТОГО Лэндинг'!$B$5:$B$300,$B151))</f>
        <v/>
      </c>
      <c r="I151" s="240">
        <f>IF($B151="","",IF(AND(C151="",F151=""),"",ROUND(SUMIFS('ИТОГО Торговля'!$I$5:$I$300,'ИТОГО Торговля'!$B$5:$B$300,$B151)+SUMIFS('ИТОГО Лэндинг'!$I$5:$I$300,'ИТОГО Лэндинг'!$B$5:$B$300,$B151),8)))</f>
        <v/>
      </c>
      <c r="J151" s="241">
        <f>IF($B151="","",IF(AND(C151="",F151=""),"",ROUND(SUMIFS('ИТОГО Торговля'!$J$5:$J$300,'ИТОГО Торговля'!$B$5:$B$300,$B151)+SUMIFS('ИТОГО Лэндинг'!$J$5:$J$300,'ИТОГО Лэндинг'!$B$5:$B$300,$B151),8)))</f>
        <v/>
      </c>
      <c r="K151" s="240">
        <f>IF($B151="","",ROUND(SUMIFS('ИТОГО Торговля'!$K$5:$K$300,'ИТОГО Торговля'!$B$5:$B$300,$B151)+SUMIFS('ИТОГО Лэндинг'!$K$5:$K$300,'ИТОГО Лэндинг'!$B$5:$B$300,$B151),8))</f>
        <v/>
      </c>
      <c r="L151" s="177">
        <f>IF(K151="","",IF(SUMPRODUCT((Закрытые!$E$5:$E$300=$B151)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151/SUMPRODUCT((Закрытые!$E$5:$E$300=$B151)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1" s="177">
        <f>IF(OR(ROUND(N(C151)-N(F151),8)=0,1-N(Ввод!$E$17)/100&lt;=0),"",IF(N(C151)&gt;N(F151),(N(E151)-N(H151))/((N(C151)-N(F151))*(1-N(Ввод!$E$17)/100)),(N(H151)-N(E151))/((N(F151)-N(C151))*(1+N(Ввод!$E$17)/100))))</f>
        <v/>
      </c>
    </row>
    <row r="152" ht="22" customHeight="1">
      <c r="B152" s="320" t="n"/>
      <c r="C152" s="246">
        <f>IF($B152="","",IF(SUMIFS('ИТОГО Торговля'!$C$5:$C$300,'ИТОГО Торговля'!$B$5:$B$300,$B152)+SUMIFS('ИТОГО Лэндинг'!$C$5:$C$300,'ИТОГО Лэндинг'!$B$5:$B$300,$B152)=0,"",SUMIFS('ИТОГО Торговля'!$C$5:$C$300,'ИТОГО Торговля'!$B$5:$B$300,$B152)+SUMIFS('ИТОГО Лэндинг'!$C$5:$C$300,'ИТОГО Лэндинг'!$B$5:$B$300,$B152)))</f>
        <v/>
      </c>
      <c r="D152" s="183">
        <f>IF(C152="","",E152/C152)</f>
        <v/>
      </c>
      <c r="E152" s="247">
        <f>IF(C152="","",SUMIFS('ИТОГО Торговля'!$E$5:$E$300,'ИТОГО Торговля'!$B$5:$B$300,$B152)+SUMIFS('ИТОГО Лэндинг'!$E$5:$E$300,'ИТОГО Лэндинг'!$B$5:$B$300,$B152))</f>
        <v/>
      </c>
      <c r="F152" s="246">
        <f>IF($B152="","",IF(SUMIFS('ИТОГО Торговля'!$F$5:$F$300,'ИТОГО Торговля'!$B$5:$B$300,$B152)+SUMIFS('ИТОГО Лэндинг'!$F$5:$F$300,'ИТОГО Лэндинг'!$B$5:$B$300,$B152)=0,"",SUMIFS('ИТОГО Торговля'!$F$5:$F$300,'ИТОГО Торговля'!$B$5:$B$300,$B152)+SUMIFS('ИТОГО Лэндинг'!$F$5:$F$300,'ИТОГО Лэндинг'!$B$5:$B$300,$B152)))</f>
        <v/>
      </c>
      <c r="G152" s="183">
        <f>IF(F152="","",H152/F152)</f>
        <v/>
      </c>
      <c r="H152" s="247">
        <f>IF(F152="","",SUMIFS('ИТОГО Торговля'!$H$5:$H$300,'ИТОГО Торговля'!$B$5:$B$300,$B152)+SUMIFS('ИТОГО Лэндинг'!$H$5:$H$300,'ИТОГО Лэндинг'!$B$5:$B$300,$B152))</f>
        <v/>
      </c>
      <c r="I152" s="246">
        <f>IF($B152="","",IF(AND(C152="",F152=""),"",ROUND(SUMIFS('ИТОГО Торговля'!$I$5:$I$300,'ИТОГО Торговля'!$B$5:$B$300,$B152)+SUMIFS('ИТОГО Лэндинг'!$I$5:$I$300,'ИТОГО Лэндинг'!$B$5:$B$300,$B152),8)))</f>
        <v/>
      </c>
      <c r="J152" s="247">
        <f>IF($B152="","",IF(AND(C152="",F152=""),"",ROUND(SUMIFS('ИТОГО Торговля'!$J$5:$J$300,'ИТОГО Торговля'!$B$5:$B$300,$B152)+SUMIFS('ИТОГО Лэндинг'!$J$5:$J$300,'ИТОГО Лэндинг'!$B$5:$B$300,$B152),8)))</f>
        <v/>
      </c>
      <c r="K152" s="246">
        <f>IF($B152="","",ROUND(SUMIFS('ИТОГО Торговля'!$K$5:$K$300,'ИТОГО Торговля'!$B$5:$B$300,$B152)+SUMIFS('ИТОГО Лэндинг'!$K$5:$K$300,'ИТОГО Лэндинг'!$B$5:$B$300,$B152),8))</f>
        <v/>
      </c>
      <c r="L152" s="183">
        <f>IF(K152="","",IF(SUMPRODUCT((Закрытые!$E$5:$E$300=$B152)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152/SUMPRODUCT((Закрытые!$E$5:$E$300=$B152)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2" s="183">
        <f>IF(OR(ROUND(N(C152)-N(F152),8)=0,1-N(Ввод!$E$17)/100&lt;=0),"",IF(N(C152)&gt;N(F152),(N(E152)-N(H152))/((N(C152)-N(F152))*(1-N(Ввод!$E$17)/100)),(N(H152)-N(E152))/((N(F152)-N(C152))*(1+N(Ввод!$E$17)/100))))</f>
        <v/>
      </c>
    </row>
    <row r="153" ht="22" customHeight="1">
      <c r="B153" s="315" t="n"/>
      <c r="C153" s="240">
        <f>IF($B153="","",IF(SUMIFS('ИТОГО Торговля'!$C$5:$C$300,'ИТОГО Торговля'!$B$5:$B$300,$B153)+SUMIFS('ИТОГО Лэндинг'!$C$5:$C$300,'ИТОГО Лэндинг'!$B$5:$B$300,$B153)=0,"",SUMIFS('ИТОГО Торговля'!$C$5:$C$300,'ИТОГО Торговля'!$B$5:$B$300,$B153)+SUMIFS('ИТОГО Лэндинг'!$C$5:$C$300,'ИТОГО Лэндинг'!$B$5:$B$300,$B153)))</f>
        <v/>
      </c>
      <c r="D153" s="177">
        <f>IF(C153="","",E153/C153)</f>
        <v/>
      </c>
      <c r="E153" s="241">
        <f>IF(C153="","",SUMIFS('ИТОГО Торговля'!$E$5:$E$300,'ИТОГО Торговля'!$B$5:$B$300,$B153)+SUMIFS('ИТОГО Лэндинг'!$E$5:$E$300,'ИТОГО Лэндинг'!$B$5:$B$300,$B153))</f>
        <v/>
      </c>
      <c r="F153" s="240">
        <f>IF($B153="","",IF(SUMIFS('ИТОГО Торговля'!$F$5:$F$300,'ИТОГО Торговля'!$B$5:$B$300,$B153)+SUMIFS('ИТОГО Лэндинг'!$F$5:$F$300,'ИТОГО Лэндинг'!$B$5:$B$300,$B153)=0,"",SUMIFS('ИТОГО Торговля'!$F$5:$F$300,'ИТОГО Торговля'!$B$5:$B$300,$B153)+SUMIFS('ИТОГО Лэндинг'!$F$5:$F$300,'ИТОГО Лэндинг'!$B$5:$B$300,$B153)))</f>
        <v/>
      </c>
      <c r="G153" s="177">
        <f>IF(F153="","",H153/F153)</f>
        <v/>
      </c>
      <c r="H153" s="241">
        <f>IF(F153="","",SUMIFS('ИТОГО Торговля'!$H$5:$H$300,'ИТОГО Торговля'!$B$5:$B$300,$B153)+SUMIFS('ИТОГО Лэндинг'!$H$5:$H$300,'ИТОГО Лэндинг'!$B$5:$B$300,$B153))</f>
        <v/>
      </c>
      <c r="I153" s="240">
        <f>IF($B153="","",IF(AND(C153="",F153=""),"",ROUND(SUMIFS('ИТОГО Торговля'!$I$5:$I$300,'ИТОГО Торговля'!$B$5:$B$300,$B153)+SUMIFS('ИТОГО Лэндинг'!$I$5:$I$300,'ИТОГО Лэндинг'!$B$5:$B$300,$B153),8)))</f>
        <v/>
      </c>
      <c r="J153" s="241">
        <f>IF($B153="","",IF(AND(C153="",F153=""),"",ROUND(SUMIFS('ИТОГО Торговля'!$J$5:$J$300,'ИТОГО Торговля'!$B$5:$B$300,$B153)+SUMIFS('ИТОГО Лэндинг'!$J$5:$J$300,'ИТОГО Лэндинг'!$B$5:$B$300,$B153),8)))</f>
        <v/>
      </c>
      <c r="K153" s="240">
        <f>IF($B153="","",ROUND(SUMIFS('ИТОГО Торговля'!$K$5:$K$300,'ИТОГО Торговля'!$B$5:$B$300,$B153)+SUMIFS('ИТОГО Лэндинг'!$K$5:$K$300,'ИТОГО Лэндинг'!$B$5:$B$300,$B153),8))</f>
        <v/>
      </c>
      <c r="L153" s="177">
        <f>IF(K153="","",IF(SUMPRODUCT((Закрытые!$E$5:$E$300=$B153)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153/SUMPRODUCT((Закрытые!$E$5:$E$300=$B153)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3" s="177">
        <f>IF(OR(ROUND(N(C153)-N(F153),8)=0,1-N(Ввод!$E$17)/100&lt;=0),"",IF(N(C153)&gt;N(F153),(N(E153)-N(H153))/((N(C153)-N(F153))*(1-N(Ввод!$E$17)/100)),(N(H153)-N(E153))/((N(F153)-N(C153))*(1+N(Ввод!$E$17)/100))))</f>
        <v/>
      </c>
    </row>
    <row r="154" ht="22" customHeight="1">
      <c r="B154" s="320" t="n"/>
      <c r="C154" s="246">
        <f>IF($B154="","",IF(SUMIFS('ИТОГО Торговля'!$C$5:$C$300,'ИТОГО Торговля'!$B$5:$B$300,$B154)+SUMIFS('ИТОГО Лэндинг'!$C$5:$C$300,'ИТОГО Лэндинг'!$B$5:$B$300,$B154)=0,"",SUMIFS('ИТОГО Торговля'!$C$5:$C$300,'ИТОГО Торговля'!$B$5:$B$300,$B154)+SUMIFS('ИТОГО Лэндинг'!$C$5:$C$300,'ИТОГО Лэндинг'!$B$5:$B$300,$B154)))</f>
        <v/>
      </c>
      <c r="D154" s="183">
        <f>IF(C154="","",E154/C154)</f>
        <v/>
      </c>
      <c r="E154" s="247">
        <f>IF(C154="","",SUMIFS('ИТОГО Торговля'!$E$5:$E$300,'ИТОГО Торговля'!$B$5:$B$300,$B154)+SUMIFS('ИТОГО Лэндинг'!$E$5:$E$300,'ИТОГО Лэндинг'!$B$5:$B$300,$B154))</f>
        <v/>
      </c>
      <c r="F154" s="246">
        <f>IF($B154="","",IF(SUMIFS('ИТОГО Торговля'!$F$5:$F$300,'ИТОГО Торговля'!$B$5:$B$300,$B154)+SUMIFS('ИТОГО Лэндинг'!$F$5:$F$300,'ИТОГО Лэндинг'!$B$5:$B$300,$B154)=0,"",SUMIFS('ИТОГО Торговля'!$F$5:$F$300,'ИТОГО Торговля'!$B$5:$B$300,$B154)+SUMIFS('ИТОГО Лэндинг'!$F$5:$F$300,'ИТОГО Лэндинг'!$B$5:$B$300,$B154)))</f>
        <v/>
      </c>
      <c r="G154" s="183">
        <f>IF(F154="","",H154/F154)</f>
        <v/>
      </c>
      <c r="H154" s="247">
        <f>IF(F154="","",SUMIFS('ИТОГО Торговля'!$H$5:$H$300,'ИТОГО Торговля'!$B$5:$B$300,$B154)+SUMIFS('ИТОГО Лэндинг'!$H$5:$H$300,'ИТОГО Лэндинг'!$B$5:$B$300,$B154))</f>
        <v/>
      </c>
      <c r="I154" s="246">
        <f>IF($B154="","",IF(AND(C154="",F154=""),"",ROUND(SUMIFS('ИТОГО Торговля'!$I$5:$I$300,'ИТОГО Торговля'!$B$5:$B$300,$B154)+SUMIFS('ИТОГО Лэндинг'!$I$5:$I$300,'ИТОГО Лэндинг'!$B$5:$B$300,$B154),8)))</f>
        <v/>
      </c>
      <c r="J154" s="247">
        <f>IF($B154="","",IF(AND(C154="",F154=""),"",ROUND(SUMIFS('ИТОГО Торговля'!$J$5:$J$300,'ИТОГО Торговля'!$B$5:$B$300,$B154)+SUMIFS('ИТОГО Лэндинг'!$J$5:$J$300,'ИТОГО Лэндинг'!$B$5:$B$300,$B154),8)))</f>
        <v/>
      </c>
      <c r="K154" s="246">
        <f>IF($B154="","",ROUND(SUMIFS('ИТОГО Торговля'!$K$5:$K$300,'ИТОГО Торговля'!$B$5:$B$300,$B154)+SUMIFS('ИТОГО Лэндинг'!$K$5:$K$300,'ИТОГО Лэндинг'!$B$5:$B$300,$B154),8))</f>
        <v/>
      </c>
      <c r="L154" s="183">
        <f>IF(K154="","",IF(SUMPRODUCT((Закрытые!$E$5:$E$300=$B154)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154/SUMPRODUCT((Закрытые!$E$5:$E$300=$B154)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4" s="183">
        <f>IF(OR(ROUND(N(C154)-N(F154),8)=0,1-N(Ввод!$E$17)/100&lt;=0),"",IF(N(C154)&gt;N(F154),(N(E154)-N(H154))/((N(C154)-N(F154))*(1-N(Ввод!$E$17)/100)),(N(H154)-N(E154))/((N(F154)-N(C154))*(1+N(Ввод!$E$17)/100))))</f>
        <v/>
      </c>
    </row>
    <row r="155" ht="22" customHeight="1">
      <c r="B155" s="315" t="n"/>
      <c r="C155" s="240">
        <f>IF($B155="","",IF(SUMIFS('ИТОГО Торговля'!$C$5:$C$300,'ИТОГО Торговля'!$B$5:$B$300,$B155)+SUMIFS('ИТОГО Лэндинг'!$C$5:$C$300,'ИТОГО Лэндинг'!$B$5:$B$300,$B155)=0,"",SUMIFS('ИТОГО Торговля'!$C$5:$C$300,'ИТОГО Торговля'!$B$5:$B$300,$B155)+SUMIFS('ИТОГО Лэндинг'!$C$5:$C$300,'ИТОГО Лэндинг'!$B$5:$B$300,$B155)))</f>
        <v/>
      </c>
      <c r="D155" s="177">
        <f>IF(C155="","",E155/C155)</f>
        <v/>
      </c>
      <c r="E155" s="241">
        <f>IF(C155="","",SUMIFS('ИТОГО Торговля'!$E$5:$E$300,'ИТОГО Торговля'!$B$5:$B$300,$B155)+SUMIFS('ИТОГО Лэндинг'!$E$5:$E$300,'ИТОГО Лэндинг'!$B$5:$B$300,$B155))</f>
        <v/>
      </c>
      <c r="F155" s="240">
        <f>IF($B155="","",IF(SUMIFS('ИТОГО Торговля'!$F$5:$F$300,'ИТОГО Торговля'!$B$5:$B$300,$B155)+SUMIFS('ИТОГО Лэндинг'!$F$5:$F$300,'ИТОГО Лэндинг'!$B$5:$B$300,$B155)=0,"",SUMIFS('ИТОГО Торговля'!$F$5:$F$300,'ИТОГО Торговля'!$B$5:$B$300,$B155)+SUMIFS('ИТОГО Лэндинг'!$F$5:$F$300,'ИТОГО Лэндинг'!$B$5:$B$300,$B155)))</f>
        <v/>
      </c>
      <c r="G155" s="177">
        <f>IF(F155="","",H155/F155)</f>
        <v/>
      </c>
      <c r="H155" s="241">
        <f>IF(F155="","",SUMIFS('ИТОГО Торговля'!$H$5:$H$300,'ИТОГО Торговля'!$B$5:$B$300,$B155)+SUMIFS('ИТОГО Лэндинг'!$H$5:$H$300,'ИТОГО Лэндинг'!$B$5:$B$300,$B155))</f>
        <v/>
      </c>
      <c r="I155" s="240">
        <f>IF($B155="","",IF(AND(C155="",F155=""),"",ROUND(SUMIFS('ИТОГО Торговля'!$I$5:$I$300,'ИТОГО Торговля'!$B$5:$B$300,$B155)+SUMIFS('ИТОГО Лэндинг'!$I$5:$I$300,'ИТОГО Лэндинг'!$B$5:$B$300,$B155),8)))</f>
        <v/>
      </c>
      <c r="J155" s="241">
        <f>IF($B155="","",IF(AND(C155="",F155=""),"",ROUND(SUMIFS('ИТОГО Торговля'!$J$5:$J$300,'ИТОГО Торговля'!$B$5:$B$300,$B155)+SUMIFS('ИТОГО Лэндинг'!$J$5:$J$300,'ИТОГО Лэндинг'!$B$5:$B$300,$B155),8)))</f>
        <v/>
      </c>
      <c r="K155" s="240">
        <f>IF($B155="","",ROUND(SUMIFS('ИТОГО Торговля'!$K$5:$K$300,'ИТОГО Торговля'!$B$5:$B$300,$B155)+SUMIFS('ИТОГО Лэндинг'!$K$5:$K$300,'ИТОГО Лэндинг'!$B$5:$B$300,$B155),8))</f>
        <v/>
      </c>
      <c r="L155" s="177">
        <f>IF(K155="","",IF(SUMPRODUCT((Закрытые!$E$5:$E$300=$B155)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155/SUMPRODUCT((Закрытые!$E$5:$E$300=$B155)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5" s="177">
        <f>IF(OR(ROUND(N(C155)-N(F155),8)=0,1-N(Ввод!$E$17)/100&lt;=0),"",IF(N(C155)&gt;N(F155),(N(E155)-N(H155))/((N(C155)-N(F155))*(1-N(Ввод!$E$17)/100)),(N(H155)-N(E155))/((N(F155)-N(C155))*(1+N(Ввод!$E$17)/100))))</f>
        <v/>
      </c>
    </row>
    <row r="156" ht="22" customHeight="1">
      <c r="B156" s="320" t="n"/>
      <c r="C156" s="246">
        <f>IF($B156="","",IF(SUMIFS('ИТОГО Торговля'!$C$5:$C$300,'ИТОГО Торговля'!$B$5:$B$300,$B156)+SUMIFS('ИТОГО Лэндинг'!$C$5:$C$300,'ИТОГО Лэндинг'!$B$5:$B$300,$B156)=0,"",SUMIFS('ИТОГО Торговля'!$C$5:$C$300,'ИТОГО Торговля'!$B$5:$B$300,$B156)+SUMIFS('ИТОГО Лэндинг'!$C$5:$C$300,'ИТОГО Лэндинг'!$B$5:$B$300,$B156)))</f>
        <v/>
      </c>
      <c r="D156" s="183">
        <f>IF(C156="","",E156/C156)</f>
        <v/>
      </c>
      <c r="E156" s="247">
        <f>IF(C156="","",SUMIFS('ИТОГО Торговля'!$E$5:$E$300,'ИТОГО Торговля'!$B$5:$B$300,$B156)+SUMIFS('ИТОГО Лэндинг'!$E$5:$E$300,'ИТОГО Лэндинг'!$B$5:$B$300,$B156))</f>
        <v/>
      </c>
      <c r="F156" s="246">
        <f>IF($B156="","",IF(SUMIFS('ИТОГО Торговля'!$F$5:$F$300,'ИТОГО Торговля'!$B$5:$B$300,$B156)+SUMIFS('ИТОГО Лэндинг'!$F$5:$F$300,'ИТОГО Лэндинг'!$B$5:$B$300,$B156)=0,"",SUMIFS('ИТОГО Торговля'!$F$5:$F$300,'ИТОГО Торговля'!$B$5:$B$300,$B156)+SUMIFS('ИТОГО Лэндинг'!$F$5:$F$300,'ИТОГО Лэндинг'!$B$5:$B$300,$B156)))</f>
        <v/>
      </c>
      <c r="G156" s="183">
        <f>IF(F156="","",H156/F156)</f>
        <v/>
      </c>
      <c r="H156" s="247">
        <f>IF(F156="","",SUMIFS('ИТОГО Торговля'!$H$5:$H$300,'ИТОГО Торговля'!$B$5:$B$300,$B156)+SUMIFS('ИТОГО Лэндинг'!$H$5:$H$300,'ИТОГО Лэндинг'!$B$5:$B$300,$B156))</f>
        <v/>
      </c>
      <c r="I156" s="246">
        <f>IF($B156="","",IF(AND(C156="",F156=""),"",ROUND(SUMIFS('ИТОГО Торговля'!$I$5:$I$300,'ИТОГО Торговля'!$B$5:$B$300,$B156)+SUMIFS('ИТОГО Лэндинг'!$I$5:$I$300,'ИТОГО Лэндинг'!$B$5:$B$300,$B156),8)))</f>
        <v/>
      </c>
      <c r="J156" s="247">
        <f>IF($B156="","",IF(AND(C156="",F156=""),"",ROUND(SUMIFS('ИТОГО Торговля'!$J$5:$J$300,'ИТОГО Торговля'!$B$5:$B$300,$B156)+SUMIFS('ИТОГО Лэндинг'!$J$5:$J$300,'ИТОГО Лэндинг'!$B$5:$B$300,$B156),8)))</f>
        <v/>
      </c>
      <c r="K156" s="246">
        <f>IF($B156="","",ROUND(SUMIFS('ИТОГО Торговля'!$K$5:$K$300,'ИТОГО Торговля'!$B$5:$B$300,$B156)+SUMIFS('ИТОГО Лэндинг'!$K$5:$K$300,'ИТОГО Лэндинг'!$B$5:$B$300,$B156),8))</f>
        <v/>
      </c>
      <c r="L156" s="183">
        <f>IF(K156="","",IF(SUMPRODUCT((Закрытые!$E$5:$E$300=$B156)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156/SUMPRODUCT((Закрытые!$E$5:$E$300=$B156)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6" s="183">
        <f>IF(OR(ROUND(N(C156)-N(F156),8)=0,1-N(Ввод!$E$17)/100&lt;=0),"",IF(N(C156)&gt;N(F156),(N(E156)-N(H156))/((N(C156)-N(F156))*(1-N(Ввод!$E$17)/100)),(N(H156)-N(E156))/((N(F156)-N(C156))*(1+N(Ввод!$E$17)/100))))</f>
        <v/>
      </c>
    </row>
    <row r="157" ht="22" customHeight="1">
      <c r="B157" s="315" t="n"/>
      <c r="C157" s="240">
        <f>IF($B157="","",IF(SUMIFS('ИТОГО Торговля'!$C$5:$C$300,'ИТОГО Торговля'!$B$5:$B$300,$B157)+SUMIFS('ИТОГО Лэндинг'!$C$5:$C$300,'ИТОГО Лэндинг'!$B$5:$B$300,$B157)=0,"",SUMIFS('ИТОГО Торговля'!$C$5:$C$300,'ИТОГО Торговля'!$B$5:$B$300,$B157)+SUMIFS('ИТОГО Лэндинг'!$C$5:$C$300,'ИТОГО Лэндинг'!$B$5:$B$300,$B157)))</f>
        <v/>
      </c>
      <c r="D157" s="177">
        <f>IF(C157="","",E157/C157)</f>
        <v/>
      </c>
      <c r="E157" s="241">
        <f>IF(C157="","",SUMIFS('ИТОГО Торговля'!$E$5:$E$300,'ИТОГО Торговля'!$B$5:$B$300,$B157)+SUMIFS('ИТОГО Лэндинг'!$E$5:$E$300,'ИТОГО Лэндинг'!$B$5:$B$300,$B157))</f>
        <v/>
      </c>
      <c r="F157" s="240">
        <f>IF($B157="","",IF(SUMIFS('ИТОГО Торговля'!$F$5:$F$300,'ИТОГО Торговля'!$B$5:$B$300,$B157)+SUMIFS('ИТОГО Лэндинг'!$F$5:$F$300,'ИТОГО Лэндинг'!$B$5:$B$300,$B157)=0,"",SUMIFS('ИТОГО Торговля'!$F$5:$F$300,'ИТОГО Торговля'!$B$5:$B$300,$B157)+SUMIFS('ИТОГО Лэндинг'!$F$5:$F$300,'ИТОГО Лэндинг'!$B$5:$B$300,$B157)))</f>
        <v/>
      </c>
      <c r="G157" s="177">
        <f>IF(F157="","",H157/F157)</f>
        <v/>
      </c>
      <c r="H157" s="241">
        <f>IF(F157="","",SUMIFS('ИТОГО Торговля'!$H$5:$H$300,'ИТОГО Торговля'!$B$5:$B$300,$B157)+SUMIFS('ИТОГО Лэндинг'!$H$5:$H$300,'ИТОГО Лэндинг'!$B$5:$B$300,$B157))</f>
        <v/>
      </c>
      <c r="I157" s="240">
        <f>IF($B157="","",IF(AND(C157="",F157=""),"",ROUND(SUMIFS('ИТОГО Торговля'!$I$5:$I$300,'ИТОГО Торговля'!$B$5:$B$300,$B157)+SUMIFS('ИТОГО Лэндинг'!$I$5:$I$300,'ИТОГО Лэндинг'!$B$5:$B$300,$B157),8)))</f>
        <v/>
      </c>
      <c r="J157" s="241">
        <f>IF($B157="","",IF(AND(C157="",F157=""),"",ROUND(SUMIFS('ИТОГО Торговля'!$J$5:$J$300,'ИТОГО Торговля'!$B$5:$B$300,$B157)+SUMIFS('ИТОГО Лэндинг'!$J$5:$J$300,'ИТОГО Лэндинг'!$B$5:$B$300,$B157),8)))</f>
        <v/>
      </c>
      <c r="K157" s="240">
        <f>IF($B157="","",ROUND(SUMIFS('ИТОГО Торговля'!$K$5:$K$300,'ИТОГО Торговля'!$B$5:$B$300,$B157)+SUMIFS('ИТОГО Лэндинг'!$K$5:$K$300,'ИТОГО Лэндинг'!$B$5:$B$300,$B157),8))</f>
        <v/>
      </c>
      <c r="L157" s="177">
        <f>IF(K157="","",IF(SUMPRODUCT((Закрытые!$E$5:$E$300=$B157)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157/SUMPRODUCT((Закрытые!$E$5:$E$300=$B157)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7" s="177">
        <f>IF(OR(ROUND(N(C157)-N(F157),8)=0,1-N(Ввод!$E$17)/100&lt;=0),"",IF(N(C157)&gt;N(F157),(N(E157)-N(H157))/((N(C157)-N(F157))*(1-N(Ввод!$E$17)/100)),(N(H157)-N(E157))/((N(F157)-N(C157))*(1+N(Ввод!$E$17)/100))))</f>
        <v/>
      </c>
    </row>
    <row r="158" ht="22" customHeight="1">
      <c r="B158" s="320" t="n"/>
      <c r="C158" s="246">
        <f>IF($B158="","",IF(SUMIFS('ИТОГО Торговля'!$C$5:$C$300,'ИТОГО Торговля'!$B$5:$B$300,$B158)+SUMIFS('ИТОГО Лэндинг'!$C$5:$C$300,'ИТОГО Лэндинг'!$B$5:$B$300,$B158)=0,"",SUMIFS('ИТОГО Торговля'!$C$5:$C$300,'ИТОГО Торговля'!$B$5:$B$300,$B158)+SUMIFS('ИТОГО Лэндинг'!$C$5:$C$300,'ИТОГО Лэндинг'!$B$5:$B$300,$B158)))</f>
        <v/>
      </c>
      <c r="D158" s="183">
        <f>IF(C158="","",E158/C158)</f>
        <v/>
      </c>
      <c r="E158" s="247">
        <f>IF(C158="","",SUMIFS('ИТОГО Торговля'!$E$5:$E$300,'ИТОГО Торговля'!$B$5:$B$300,$B158)+SUMIFS('ИТОГО Лэндинг'!$E$5:$E$300,'ИТОГО Лэндинг'!$B$5:$B$300,$B158))</f>
        <v/>
      </c>
      <c r="F158" s="246">
        <f>IF($B158="","",IF(SUMIFS('ИТОГО Торговля'!$F$5:$F$300,'ИТОГО Торговля'!$B$5:$B$300,$B158)+SUMIFS('ИТОГО Лэндинг'!$F$5:$F$300,'ИТОГО Лэндинг'!$B$5:$B$300,$B158)=0,"",SUMIFS('ИТОГО Торговля'!$F$5:$F$300,'ИТОГО Торговля'!$B$5:$B$300,$B158)+SUMIFS('ИТОГО Лэндинг'!$F$5:$F$300,'ИТОГО Лэндинг'!$B$5:$B$300,$B158)))</f>
        <v/>
      </c>
      <c r="G158" s="183">
        <f>IF(F158="","",H158/F158)</f>
        <v/>
      </c>
      <c r="H158" s="247">
        <f>IF(F158="","",SUMIFS('ИТОГО Торговля'!$H$5:$H$300,'ИТОГО Торговля'!$B$5:$B$300,$B158)+SUMIFS('ИТОГО Лэндинг'!$H$5:$H$300,'ИТОГО Лэндинг'!$B$5:$B$300,$B158))</f>
        <v/>
      </c>
      <c r="I158" s="246">
        <f>IF($B158="","",IF(AND(C158="",F158=""),"",ROUND(SUMIFS('ИТОГО Торговля'!$I$5:$I$300,'ИТОГО Торговля'!$B$5:$B$300,$B158)+SUMIFS('ИТОГО Лэндинг'!$I$5:$I$300,'ИТОГО Лэндинг'!$B$5:$B$300,$B158),8)))</f>
        <v/>
      </c>
      <c r="J158" s="247">
        <f>IF($B158="","",IF(AND(C158="",F158=""),"",ROUND(SUMIFS('ИТОГО Торговля'!$J$5:$J$300,'ИТОГО Торговля'!$B$5:$B$300,$B158)+SUMIFS('ИТОГО Лэндинг'!$J$5:$J$300,'ИТОГО Лэндинг'!$B$5:$B$300,$B158),8)))</f>
        <v/>
      </c>
      <c r="K158" s="246">
        <f>IF($B158="","",ROUND(SUMIFS('ИТОГО Торговля'!$K$5:$K$300,'ИТОГО Торговля'!$B$5:$B$300,$B158)+SUMIFS('ИТОГО Лэндинг'!$K$5:$K$300,'ИТОГО Лэндинг'!$B$5:$B$300,$B158),8))</f>
        <v/>
      </c>
      <c r="L158" s="183">
        <f>IF(K158="","",IF(SUMPRODUCT((Закрытые!$E$5:$E$300=$B158)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158/SUMPRODUCT((Закрытые!$E$5:$E$300=$B158)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8" s="183">
        <f>IF(OR(ROUND(N(C158)-N(F158),8)=0,1-N(Ввод!$E$17)/100&lt;=0),"",IF(N(C158)&gt;N(F158),(N(E158)-N(H158))/((N(C158)-N(F158))*(1-N(Ввод!$E$17)/100)),(N(H158)-N(E158))/((N(F158)-N(C158))*(1+N(Ввод!$E$17)/100))))</f>
        <v/>
      </c>
    </row>
    <row r="159" ht="22" customHeight="1">
      <c r="B159" s="315" t="n"/>
      <c r="C159" s="240">
        <f>IF($B159="","",IF(SUMIFS('ИТОГО Торговля'!$C$5:$C$300,'ИТОГО Торговля'!$B$5:$B$300,$B159)+SUMIFS('ИТОГО Лэндинг'!$C$5:$C$300,'ИТОГО Лэндинг'!$B$5:$B$300,$B159)=0,"",SUMIFS('ИТОГО Торговля'!$C$5:$C$300,'ИТОГО Торговля'!$B$5:$B$300,$B159)+SUMIFS('ИТОГО Лэндинг'!$C$5:$C$300,'ИТОГО Лэндинг'!$B$5:$B$300,$B159)))</f>
        <v/>
      </c>
      <c r="D159" s="177">
        <f>IF(C159="","",E159/C159)</f>
        <v/>
      </c>
      <c r="E159" s="241">
        <f>IF(C159="","",SUMIFS('ИТОГО Торговля'!$E$5:$E$300,'ИТОГО Торговля'!$B$5:$B$300,$B159)+SUMIFS('ИТОГО Лэндинг'!$E$5:$E$300,'ИТОГО Лэндинг'!$B$5:$B$300,$B159))</f>
        <v/>
      </c>
      <c r="F159" s="240">
        <f>IF($B159="","",IF(SUMIFS('ИТОГО Торговля'!$F$5:$F$300,'ИТОГО Торговля'!$B$5:$B$300,$B159)+SUMIFS('ИТОГО Лэндинг'!$F$5:$F$300,'ИТОГО Лэндинг'!$B$5:$B$300,$B159)=0,"",SUMIFS('ИТОГО Торговля'!$F$5:$F$300,'ИТОГО Торговля'!$B$5:$B$300,$B159)+SUMIFS('ИТОГО Лэндинг'!$F$5:$F$300,'ИТОГО Лэндинг'!$B$5:$B$300,$B159)))</f>
        <v/>
      </c>
      <c r="G159" s="177">
        <f>IF(F159="","",H159/F159)</f>
        <v/>
      </c>
      <c r="H159" s="241">
        <f>IF(F159="","",SUMIFS('ИТОГО Торговля'!$H$5:$H$300,'ИТОГО Торговля'!$B$5:$B$300,$B159)+SUMIFS('ИТОГО Лэндинг'!$H$5:$H$300,'ИТОГО Лэндинг'!$B$5:$B$300,$B159))</f>
        <v/>
      </c>
      <c r="I159" s="240">
        <f>IF($B159="","",IF(AND(C159="",F159=""),"",ROUND(SUMIFS('ИТОГО Торговля'!$I$5:$I$300,'ИТОГО Торговля'!$B$5:$B$300,$B159)+SUMIFS('ИТОГО Лэндинг'!$I$5:$I$300,'ИТОГО Лэндинг'!$B$5:$B$300,$B159),8)))</f>
        <v/>
      </c>
      <c r="J159" s="241">
        <f>IF($B159="","",IF(AND(C159="",F159=""),"",ROUND(SUMIFS('ИТОГО Торговля'!$J$5:$J$300,'ИТОГО Торговля'!$B$5:$B$300,$B159)+SUMIFS('ИТОГО Лэндинг'!$J$5:$J$300,'ИТОГО Лэндинг'!$B$5:$B$300,$B159),8)))</f>
        <v/>
      </c>
      <c r="K159" s="240">
        <f>IF($B159="","",ROUND(SUMIFS('ИТОГО Торговля'!$K$5:$K$300,'ИТОГО Торговля'!$B$5:$B$300,$B159)+SUMIFS('ИТОГО Лэндинг'!$K$5:$K$300,'ИТОГО Лэндинг'!$B$5:$B$300,$B159),8))</f>
        <v/>
      </c>
      <c r="L159" s="177">
        <f>IF(K159="","",IF(SUMPRODUCT((Закрытые!$E$5:$E$300=$B159)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159/SUMPRODUCT((Закрытые!$E$5:$E$300=$B159)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9" s="177">
        <f>IF(OR(ROUND(N(C159)-N(F159),8)=0,1-N(Ввод!$E$17)/100&lt;=0),"",IF(N(C159)&gt;N(F159),(N(E159)-N(H159))/((N(C159)-N(F159))*(1-N(Ввод!$E$17)/100)),(N(H159)-N(E159))/((N(F159)-N(C159))*(1+N(Ввод!$E$17)/100))))</f>
        <v/>
      </c>
    </row>
    <row r="160" ht="22" customHeight="1">
      <c r="B160" s="320" t="n"/>
      <c r="C160" s="246">
        <f>IF($B160="","",IF(SUMIFS('ИТОГО Торговля'!$C$5:$C$300,'ИТОГО Торговля'!$B$5:$B$300,$B160)+SUMIFS('ИТОГО Лэндинг'!$C$5:$C$300,'ИТОГО Лэндинг'!$B$5:$B$300,$B160)=0,"",SUMIFS('ИТОГО Торговля'!$C$5:$C$300,'ИТОГО Торговля'!$B$5:$B$300,$B160)+SUMIFS('ИТОГО Лэндинг'!$C$5:$C$300,'ИТОГО Лэндинг'!$B$5:$B$300,$B160)))</f>
        <v/>
      </c>
      <c r="D160" s="183">
        <f>IF(C160="","",E160/C160)</f>
        <v/>
      </c>
      <c r="E160" s="247">
        <f>IF(C160="","",SUMIFS('ИТОГО Торговля'!$E$5:$E$300,'ИТОГО Торговля'!$B$5:$B$300,$B160)+SUMIFS('ИТОГО Лэндинг'!$E$5:$E$300,'ИТОГО Лэндинг'!$B$5:$B$300,$B160))</f>
        <v/>
      </c>
      <c r="F160" s="246">
        <f>IF($B160="","",IF(SUMIFS('ИТОГО Торговля'!$F$5:$F$300,'ИТОГО Торговля'!$B$5:$B$300,$B160)+SUMIFS('ИТОГО Лэндинг'!$F$5:$F$300,'ИТОГО Лэндинг'!$B$5:$B$300,$B160)=0,"",SUMIFS('ИТОГО Торговля'!$F$5:$F$300,'ИТОГО Торговля'!$B$5:$B$300,$B160)+SUMIFS('ИТОГО Лэндинг'!$F$5:$F$300,'ИТОГО Лэндинг'!$B$5:$B$300,$B160)))</f>
        <v/>
      </c>
      <c r="G160" s="183">
        <f>IF(F160="","",H160/F160)</f>
        <v/>
      </c>
      <c r="H160" s="247">
        <f>IF(F160="","",SUMIFS('ИТОГО Торговля'!$H$5:$H$300,'ИТОГО Торговля'!$B$5:$B$300,$B160)+SUMIFS('ИТОГО Лэндинг'!$H$5:$H$300,'ИТОГО Лэндинг'!$B$5:$B$300,$B160))</f>
        <v/>
      </c>
      <c r="I160" s="246">
        <f>IF($B160="","",IF(AND(C160="",F160=""),"",ROUND(SUMIFS('ИТОГО Торговля'!$I$5:$I$300,'ИТОГО Торговля'!$B$5:$B$300,$B160)+SUMIFS('ИТОГО Лэндинг'!$I$5:$I$300,'ИТОГО Лэндинг'!$B$5:$B$300,$B160),8)))</f>
        <v/>
      </c>
      <c r="J160" s="247">
        <f>IF($B160="","",IF(AND(C160="",F160=""),"",ROUND(SUMIFS('ИТОГО Торговля'!$J$5:$J$300,'ИТОГО Торговля'!$B$5:$B$300,$B160)+SUMIFS('ИТОГО Лэндинг'!$J$5:$J$300,'ИТОГО Лэндинг'!$B$5:$B$300,$B160),8)))</f>
        <v/>
      </c>
      <c r="K160" s="246">
        <f>IF($B160="","",ROUND(SUMIFS('ИТОГО Торговля'!$K$5:$K$300,'ИТОГО Торговля'!$B$5:$B$300,$B160)+SUMIFS('ИТОГО Лэндинг'!$K$5:$K$300,'ИТОГО Лэндинг'!$B$5:$B$300,$B160),8))</f>
        <v/>
      </c>
      <c r="L160" s="183">
        <f>IF(K160="","",IF(SUMPRODUCT((Закрытые!$E$5:$E$300=$B160)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160/SUMPRODUCT((Закрытые!$E$5:$E$300=$B160)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0" s="183">
        <f>IF(OR(ROUND(N(C160)-N(F160),8)=0,1-N(Ввод!$E$17)/100&lt;=0),"",IF(N(C160)&gt;N(F160),(N(E160)-N(H160))/((N(C160)-N(F160))*(1-N(Ввод!$E$17)/100)),(N(H160)-N(E160))/((N(F160)-N(C160))*(1+N(Ввод!$E$17)/100))))</f>
        <v/>
      </c>
    </row>
    <row r="161" ht="22" customHeight="1">
      <c r="B161" s="315" t="n"/>
      <c r="C161" s="240">
        <f>IF($B161="","",IF(SUMIFS('ИТОГО Торговля'!$C$5:$C$300,'ИТОГО Торговля'!$B$5:$B$300,$B161)+SUMIFS('ИТОГО Лэндинг'!$C$5:$C$300,'ИТОГО Лэндинг'!$B$5:$B$300,$B161)=0,"",SUMIFS('ИТОГО Торговля'!$C$5:$C$300,'ИТОГО Торговля'!$B$5:$B$300,$B161)+SUMIFS('ИТОГО Лэндинг'!$C$5:$C$300,'ИТОГО Лэндинг'!$B$5:$B$300,$B161)))</f>
        <v/>
      </c>
      <c r="D161" s="177">
        <f>IF(C161="","",E161/C161)</f>
        <v/>
      </c>
      <c r="E161" s="241">
        <f>IF(C161="","",SUMIFS('ИТОГО Торговля'!$E$5:$E$300,'ИТОГО Торговля'!$B$5:$B$300,$B161)+SUMIFS('ИТОГО Лэндинг'!$E$5:$E$300,'ИТОГО Лэндинг'!$B$5:$B$300,$B161))</f>
        <v/>
      </c>
      <c r="F161" s="240">
        <f>IF($B161="","",IF(SUMIFS('ИТОГО Торговля'!$F$5:$F$300,'ИТОГО Торговля'!$B$5:$B$300,$B161)+SUMIFS('ИТОГО Лэндинг'!$F$5:$F$300,'ИТОГО Лэндинг'!$B$5:$B$300,$B161)=0,"",SUMIFS('ИТОГО Торговля'!$F$5:$F$300,'ИТОГО Торговля'!$B$5:$B$300,$B161)+SUMIFS('ИТОГО Лэндинг'!$F$5:$F$300,'ИТОГО Лэндинг'!$B$5:$B$300,$B161)))</f>
        <v/>
      </c>
      <c r="G161" s="177">
        <f>IF(F161="","",H161/F161)</f>
        <v/>
      </c>
      <c r="H161" s="241">
        <f>IF(F161="","",SUMIFS('ИТОГО Торговля'!$H$5:$H$300,'ИТОГО Торговля'!$B$5:$B$300,$B161)+SUMIFS('ИТОГО Лэндинг'!$H$5:$H$300,'ИТОГО Лэндинг'!$B$5:$B$300,$B161))</f>
        <v/>
      </c>
      <c r="I161" s="240">
        <f>IF($B161="","",IF(AND(C161="",F161=""),"",ROUND(SUMIFS('ИТОГО Торговля'!$I$5:$I$300,'ИТОГО Торговля'!$B$5:$B$300,$B161)+SUMIFS('ИТОГО Лэндинг'!$I$5:$I$300,'ИТОГО Лэндинг'!$B$5:$B$300,$B161),8)))</f>
        <v/>
      </c>
      <c r="J161" s="241">
        <f>IF($B161="","",IF(AND(C161="",F161=""),"",ROUND(SUMIFS('ИТОГО Торговля'!$J$5:$J$300,'ИТОГО Торговля'!$B$5:$B$300,$B161)+SUMIFS('ИТОГО Лэндинг'!$J$5:$J$300,'ИТОГО Лэндинг'!$B$5:$B$300,$B161),8)))</f>
        <v/>
      </c>
      <c r="K161" s="240">
        <f>IF($B161="","",ROUND(SUMIFS('ИТОГО Торговля'!$K$5:$K$300,'ИТОГО Торговля'!$B$5:$B$300,$B161)+SUMIFS('ИТОГО Лэндинг'!$K$5:$K$300,'ИТОГО Лэндинг'!$B$5:$B$300,$B161),8))</f>
        <v/>
      </c>
      <c r="L161" s="177">
        <f>IF(K161="","",IF(SUMPRODUCT((Закрытые!$E$5:$E$300=$B161)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161/SUMPRODUCT((Закрытые!$E$5:$E$300=$B161)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1" s="177">
        <f>IF(OR(ROUND(N(C161)-N(F161),8)=0,1-N(Ввод!$E$17)/100&lt;=0),"",IF(N(C161)&gt;N(F161),(N(E161)-N(H161))/((N(C161)-N(F161))*(1-N(Ввод!$E$17)/100)),(N(H161)-N(E161))/((N(F161)-N(C161))*(1+N(Ввод!$E$17)/100))))</f>
        <v/>
      </c>
    </row>
    <row r="162" ht="22" customHeight="1">
      <c r="B162" s="320" t="n"/>
      <c r="C162" s="246">
        <f>IF($B162="","",IF(SUMIFS('ИТОГО Торговля'!$C$5:$C$300,'ИТОГО Торговля'!$B$5:$B$300,$B162)+SUMIFS('ИТОГО Лэндинг'!$C$5:$C$300,'ИТОГО Лэндинг'!$B$5:$B$300,$B162)=0,"",SUMIFS('ИТОГО Торговля'!$C$5:$C$300,'ИТОГО Торговля'!$B$5:$B$300,$B162)+SUMIFS('ИТОГО Лэндинг'!$C$5:$C$300,'ИТОГО Лэндинг'!$B$5:$B$300,$B162)))</f>
        <v/>
      </c>
      <c r="D162" s="183">
        <f>IF(C162="","",E162/C162)</f>
        <v/>
      </c>
      <c r="E162" s="247">
        <f>IF(C162="","",SUMIFS('ИТОГО Торговля'!$E$5:$E$300,'ИТОГО Торговля'!$B$5:$B$300,$B162)+SUMIFS('ИТОГО Лэндинг'!$E$5:$E$300,'ИТОГО Лэндинг'!$B$5:$B$300,$B162))</f>
        <v/>
      </c>
      <c r="F162" s="246">
        <f>IF($B162="","",IF(SUMIFS('ИТОГО Торговля'!$F$5:$F$300,'ИТОГО Торговля'!$B$5:$B$300,$B162)+SUMIFS('ИТОГО Лэндинг'!$F$5:$F$300,'ИТОГО Лэндинг'!$B$5:$B$300,$B162)=0,"",SUMIFS('ИТОГО Торговля'!$F$5:$F$300,'ИТОГО Торговля'!$B$5:$B$300,$B162)+SUMIFS('ИТОГО Лэндинг'!$F$5:$F$300,'ИТОГО Лэндинг'!$B$5:$B$300,$B162)))</f>
        <v/>
      </c>
      <c r="G162" s="183">
        <f>IF(F162="","",H162/F162)</f>
        <v/>
      </c>
      <c r="H162" s="247">
        <f>IF(F162="","",SUMIFS('ИТОГО Торговля'!$H$5:$H$300,'ИТОГО Торговля'!$B$5:$B$300,$B162)+SUMIFS('ИТОГО Лэндинг'!$H$5:$H$300,'ИТОГО Лэндинг'!$B$5:$B$300,$B162))</f>
        <v/>
      </c>
      <c r="I162" s="246">
        <f>IF($B162="","",IF(AND(C162="",F162=""),"",ROUND(SUMIFS('ИТОГО Торговля'!$I$5:$I$300,'ИТОГО Торговля'!$B$5:$B$300,$B162)+SUMIFS('ИТОГО Лэндинг'!$I$5:$I$300,'ИТОГО Лэндинг'!$B$5:$B$300,$B162),8)))</f>
        <v/>
      </c>
      <c r="J162" s="247">
        <f>IF($B162="","",IF(AND(C162="",F162=""),"",ROUND(SUMIFS('ИТОГО Торговля'!$J$5:$J$300,'ИТОГО Торговля'!$B$5:$B$300,$B162)+SUMIFS('ИТОГО Лэндинг'!$J$5:$J$300,'ИТОГО Лэндинг'!$B$5:$B$300,$B162),8)))</f>
        <v/>
      </c>
      <c r="K162" s="246">
        <f>IF($B162="","",ROUND(SUMIFS('ИТОГО Торговля'!$K$5:$K$300,'ИТОГО Торговля'!$B$5:$B$300,$B162)+SUMIFS('ИТОГО Лэндинг'!$K$5:$K$300,'ИТОГО Лэндинг'!$B$5:$B$300,$B162),8))</f>
        <v/>
      </c>
      <c r="L162" s="183">
        <f>IF(K162="","",IF(SUMPRODUCT((Закрытые!$E$5:$E$300=$B162)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162/SUMPRODUCT((Закрытые!$E$5:$E$300=$B162)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2" s="183">
        <f>IF(OR(ROUND(N(C162)-N(F162),8)=0,1-N(Ввод!$E$17)/100&lt;=0),"",IF(N(C162)&gt;N(F162),(N(E162)-N(H162))/((N(C162)-N(F162))*(1-N(Ввод!$E$17)/100)),(N(H162)-N(E162))/((N(F162)-N(C162))*(1+N(Ввод!$E$17)/100))))</f>
        <v/>
      </c>
    </row>
    <row r="163" ht="22" customHeight="1">
      <c r="B163" s="315" t="n"/>
      <c r="C163" s="240">
        <f>IF($B163="","",IF(SUMIFS('ИТОГО Торговля'!$C$5:$C$300,'ИТОГО Торговля'!$B$5:$B$300,$B163)+SUMIFS('ИТОГО Лэндинг'!$C$5:$C$300,'ИТОГО Лэндинг'!$B$5:$B$300,$B163)=0,"",SUMIFS('ИТОГО Торговля'!$C$5:$C$300,'ИТОГО Торговля'!$B$5:$B$300,$B163)+SUMIFS('ИТОГО Лэндинг'!$C$5:$C$300,'ИТОГО Лэндинг'!$B$5:$B$300,$B163)))</f>
        <v/>
      </c>
      <c r="D163" s="177">
        <f>IF(C163="","",E163/C163)</f>
        <v/>
      </c>
      <c r="E163" s="241">
        <f>IF(C163="","",SUMIFS('ИТОГО Торговля'!$E$5:$E$300,'ИТОГО Торговля'!$B$5:$B$300,$B163)+SUMIFS('ИТОГО Лэндинг'!$E$5:$E$300,'ИТОГО Лэндинг'!$B$5:$B$300,$B163))</f>
        <v/>
      </c>
      <c r="F163" s="240">
        <f>IF($B163="","",IF(SUMIFS('ИТОГО Торговля'!$F$5:$F$300,'ИТОГО Торговля'!$B$5:$B$300,$B163)+SUMIFS('ИТОГО Лэндинг'!$F$5:$F$300,'ИТОГО Лэндинг'!$B$5:$B$300,$B163)=0,"",SUMIFS('ИТОГО Торговля'!$F$5:$F$300,'ИТОГО Торговля'!$B$5:$B$300,$B163)+SUMIFS('ИТОГО Лэндинг'!$F$5:$F$300,'ИТОГО Лэндинг'!$B$5:$B$300,$B163)))</f>
        <v/>
      </c>
      <c r="G163" s="177">
        <f>IF(F163="","",H163/F163)</f>
        <v/>
      </c>
      <c r="H163" s="241">
        <f>IF(F163="","",SUMIFS('ИТОГО Торговля'!$H$5:$H$300,'ИТОГО Торговля'!$B$5:$B$300,$B163)+SUMIFS('ИТОГО Лэндинг'!$H$5:$H$300,'ИТОГО Лэндинг'!$B$5:$B$300,$B163))</f>
        <v/>
      </c>
      <c r="I163" s="240">
        <f>IF($B163="","",IF(AND(C163="",F163=""),"",ROUND(SUMIFS('ИТОГО Торговля'!$I$5:$I$300,'ИТОГО Торговля'!$B$5:$B$300,$B163)+SUMIFS('ИТОГО Лэндинг'!$I$5:$I$300,'ИТОГО Лэндинг'!$B$5:$B$300,$B163),8)))</f>
        <v/>
      </c>
      <c r="J163" s="241">
        <f>IF($B163="","",IF(AND(C163="",F163=""),"",ROUND(SUMIFS('ИТОГО Торговля'!$J$5:$J$300,'ИТОГО Торговля'!$B$5:$B$300,$B163)+SUMIFS('ИТОГО Лэндинг'!$J$5:$J$300,'ИТОГО Лэндинг'!$B$5:$B$300,$B163),8)))</f>
        <v/>
      </c>
      <c r="K163" s="240">
        <f>IF($B163="","",ROUND(SUMIFS('ИТОГО Торговля'!$K$5:$K$300,'ИТОГО Торговля'!$B$5:$B$300,$B163)+SUMIFS('ИТОГО Лэндинг'!$K$5:$K$300,'ИТОГО Лэндинг'!$B$5:$B$300,$B163),8))</f>
        <v/>
      </c>
      <c r="L163" s="177">
        <f>IF(K163="","",IF(SUMPRODUCT((Закрытые!$E$5:$E$300=$B163)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163/SUMPRODUCT((Закрытые!$E$5:$E$300=$B163)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3" s="177">
        <f>IF(OR(ROUND(N(C163)-N(F163),8)=0,1-N(Ввод!$E$17)/100&lt;=0),"",IF(N(C163)&gt;N(F163),(N(E163)-N(H163))/((N(C163)-N(F163))*(1-N(Ввод!$E$17)/100)),(N(H163)-N(E163))/((N(F163)-N(C163))*(1+N(Ввод!$E$17)/100))))</f>
        <v/>
      </c>
    </row>
    <row r="164" ht="22" customHeight="1">
      <c r="B164" s="320" t="n"/>
      <c r="C164" s="246">
        <f>IF($B164="","",IF(SUMIFS('ИТОГО Торговля'!$C$5:$C$300,'ИТОГО Торговля'!$B$5:$B$300,$B164)+SUMIFS('ИТОГО Лэндинг'!$C$5:$C$300,'ИТОГО Лэндинг'!$B$5:$B$300,$B164)=0,"",SUMIFS('ИТОГО Торговля'!$C$5:$C$300,'ИТОГО Торговля'!$B$5:$B$300,$B164)+SUMIFS('ИТОГО Лэндинг'!$C$5:$C$300,'ИТОГО Лэндинг'!$B$5:$B$300,$B164)))</f>
        <v/>
      </c>
      <c r="D164" s="183">
        <f>IF(C164="","",E164/C164)</f>
        <v/>
      </c>
      <c r="E164" s="247">
        <f>IF(C164="","",SUMIFS('ИТОГО Торговля'!$E$5:$E$300,'ИТОГО Торговля'!$B$5:$B$300,$B164)+SUMIFS('ИТОГО Лэндинг'!$E$5:$E$300,'ИТОГО Лэндинг'!$B$5:$B$300,$B164))</f>
        <v/>
      </c>
      <c r="F164" s="246">
        <f>IF($B164="","",IF(SUMIFS('ИТОГО Торговля'!$F$5:$F$300,'ИТОГО Торговля'!$B$5:$B$300,$B164)+SUMIFS('ИТОГО Лэндинг'!$F$5:$F$300,'ИТОГО Лэндинг'!$B$5:$B$300,$B164)=0,"",SUMIFS('ИТОГО Торговля'!$F$5:$F$300,'ИТОГО Торговля'!$B$5:$B$300,$B164)+SUMIFS('ИТОГО Лэндинг'!$F$5:$F$300,'ИТОГО Лэндинг'!$B$5:$B$300,$B164)))</f>
        <v/>
      </c>
      <c r="G164" s="183">
        <f>IF(F164="","",H164/F164)</f>
        <v/>
      </c>
      <c r="H164" s="247">
        <f>IF(F164="","",SUMIFS('ИТОГО Торговля'!$H$5:$H$300,'ИТОГО Торговля'!$B$5:$B$300,$B164)+SUMIFS('ИТОГО Лэндинг'!$H$5:$H$300,'ИТОГО Лэндинг'!$B$5:$B$300,$B164))</f>
        <v/>
      </c>
      <c r="I164" s="246">
        <f>IF($B164="","",IF(AND(C164="",F164=""),"",ROUND(SUMIFS('ИТОГО Торговля'!$I$5:$I$300,'ИТОГО Торговля'!$B$5:$B$300,$B164)+SUMIFS('ИТОГО Лэндинг'!$I$5:$I$300,'ИТОГО Лэндинг'!$B$5:$B$300,$B164),8)))</f>
        <v/>
      </c>
      <c r="J164" s="247">
        <f>IF($B164="","",IF(AND(C164="",F164=""),"",ROUND(SUMIFS('ИТОГО Торговля'!$J$5:$J$300,'ИТОГО Торговля'!$B$5:$B$300,$B164)+SUMIFS('ИТОГО Лэндинг'!$J$5:$J$300,'ИТОГО Лэндинг'!$B$5:$B$300,$B164),8)))</f>
        <v/>
      </c>
      <c r="K164" s="246">
        <f>IF($B164="","",ROUND(SUMIFS('ИТОГО Торговля'!$K$5:$K$300,'ИТОГО Торговля'!$B$5:$B$300,$B164)+SUMIFS('ИТОГО Лэндинг'!$K$5:$K$300,'ИТОГО Лэндинг'!$B$5:$B$300,$B164),8))</f>
        <v/>
      </c>
      <c r="L164" s="183">
        <f>IF(K164="","",IF(SUMPRODUCT((Закрытые!$E$5:$E$300=$B164)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164/SUMPRODUCT((Закрытые!$E$5:$E$300=$B164)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4" s="183">
        <f>IF(OR(ROUND(N(C164)-N(F164),8)=0,1-N(Ввод!$E$17)/100&lt;=0),"",IF(N(C164)&gt;N(F164),(N(E164)-N(H164))/((N(C164)-N(F164))*(1-N(Ввод!$E$17)/100)),(N(H164)-N(E164))/((N(F164)-N(C164))*(1+N(Ввод!$E$17)/100))))</f>
        <v/>
      </c>
    </row>
    <row r="165" ht="22" customHeight="1">
      <c r="B165" s="315" t="n"/>
      <c r="C165" s="240">
        <f>IF($B165="","",IF(SUMIFS('ИТОГО Торговля'!$C$5:$C$300,'ИТОГО Торговля'!$B$5:$B$300,$B165)+SUMIFS('ИТОГО Лэндинг'!$C$5:$C$300,'ИТОГО Лэндинг'!$B$5:$B$300,$B165)=0,"",SUMIFS('ИТОГО Торговля'!$C$5:$C$300,'ИТОГО Торговля'!$B$5:$B$300,$B165)+SUMIFS('ИТОГО Лэндинг'!$C$5:$C$300,'ИТОГО Лэндинг'!$B$5:$B$300,$B165)))</f>
        <v/>
      </c>
      <c r="D165" s="177">
        <f>IF(C165="","",E165/C165)</f>
        <v/>
      </c>
      <c r="E165" s="241">
        <f>IF(C165="","",SUMIFS('ИТОГО Торговля'!$E$5:$E$300,'ИТОГО Торговля'!$B$5:$B$300,$B165)+SUMIFS('ИТОГО Лэндинг'!$E$5:$E$300,'ИТОГО Лэндинг'!$B$5:$B$300,$B165))</f>
        <v/>
      </c>
      <c r="F165" s="240">
        <f>IF($B165="","",IF(SUMIFS('ИТОГО Торговля'!$F$5:$F$300,'ИТОГО Торговля'!$B$5:$B$300,$B165)+SUMIFS('ИТОГО Лэндинг'!$F$5:$F$300,'ИТОГО Лэндинг'!$B$5:$B$300,$B165)=0,"",SUMIFS('ИТОГО Торговля'!$F$5:$F$300,'ИТОГО Торговля'!$B$5:$B$300,$B165)+SUMIFS('ИТОГО Лэндинг'!$F$5:$F$300,'ИТОГО Лэндинг'!$B$5:$B$300,$B165)))</f>
        <v/>
      </c>
      <c r="G165" s="177">
        <f>IF(F165="","",H165/F165)</f>
        <v/>
      </c>
      <c r="H165" s="241">
        <f>IF(F165="","",SUMIFS('ИТОГО Торговля'!$H$5:$H$300,'ИТОГО Торговля'!$B$5:$B$300,$B165)+SUMIFS('ИТОГО Лэндинг'!$H$5:$H$300,'ИТОГО Лэндинг'!$B$5:$B$300,$B165))</f>
        <v/>
      </c>
      <c r="I165" s="240">
        <f>IF($B165="","",IF(AND(C165="",F165=""),"",ROUND(SUMIFS('ИТОГО Торговля'!$I$5:$I$300,'ИТОГО Торговля'!$B$5:$B$300,$B165)+SUMIFS('ИТОГО Лэндинг'!$I$5:$I$300,'ИТОГО Лэндинг'!$B$5:$B$300,$B165),8)))</f>
        <v/>
      </c>
      <c r="J165" s="241">
        <f>IF($B165="","",IF(AND(C165="",F165=""),"",ROUND(SUMIFS('ИТОГО Торговля'!$J$5:$J$300,'ИТОГО Торговля'!$B$5:$B$300,$B165)+SUMIFS('ИТОГО Лэндинг'!$J$5:$J$300,'ИТОГО Лэндинг'!$B$5:$B$300,$B165),8)))</f>
        <v/>
      </c>
      <c r="K165" s="240">
        <f>IF($B165="","",ROUND(SUMIFS('ИТОГО Торговля'!$K$5:$K$300,'ИТОГО Торговля'!$B$5:$B$300,$B165)+SUMIFS('ИТОГО Лэндинг'!$K$5:$K$300,'ИТОГО Лэндинг'!$B$5:$B$300,$B165),8))</f>
        <v/>
      </c>
      <c r="L165" s="177">
        <f>IF(K165="","",IF(SUMPRODUCT((Закрытые!$E$5:$E$300=$B165)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165/SUMPRODUCT((Закрытые!$E$5:$E$300=$B165)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5" s="177">
        <f>IF(OR(ROUND(N(C165)-N(F165),8)=0,1-N(Ввод!$E$17)/100&lt;=0),"",IF(N(C165)&gt;N(F165),(N(E165)-N(H165))/((N(C165)-N(F165))*(1-N(Ввод!$E$17)/100)),(N(H165)-N(E165))/((N(F165)-N(C165))*(1+N(Ввод!$E$17)/100))))</f>
        <v/>
      </c>
    </row>
    <row r="166" ht="22" customHeight="1">
      <c r="B166" s="320" t="n"/>
      <c r="C166" s="246">
        <f>IF($B166="","",IF(SUMIFS('ИТОГО Торговля'!$C$5:$C$300,'ИТОГО Торговля'!$B$5:$B$300,$B166)+SUMIFS('ИТОГО Лэндинг'!$C$5:$C$300,'ИТОГО Лэндинг'!$B$5:$B$300,$B166)=0,"",SUMIFS('ИТОГО Торговля'!$C$5:$C$300,'ИТОГО Торговля'!$B$5:$B$300,$B166)+SUMIFS('ИТОГО Лэндинг'!$C$5:$C$300,'ИТОГО Лэндинг'!$B$5:$B$300,$B166)))</f>
        <v/>
      </c>
      <c r="D166" s="183">
        <f>IF(C166="","",E166/C166)</f>
        <v/>
      </c>
      <c r="E166" s="247">
        <f>IF(C166="","",SUMIFS('ИТОГО Торговля'!$E$5:$E$300,'ИТОГО Торговля'!$B$5:$B$300,$B166)+SUMIFS('ИТОГО Лэндинг'!$E$5:$E$300,'ИТОГО Лэндинг'!$B$5:$B$300,$B166))</f>
        <v/>
      </c>
      <c r="F166" s="246">
        <f>IF($B166="","",IF(SUMIFS('ИТОГО Торговля'!$F$5:$F$300,'ИТОГО Торговля'!$B$5:$B$300,$B166)+SUMIFS('ИТОГО Лэндинг'!$F$5:$F$300,'ИТОГО Лэндинг'!$B$5:$B$300,$B166)=0,"",SUMIFS('ИТОГО Торговля'!$F$5:$F$300,'ИТОГО Торговля'!$B$5:$B$300,$B166)+SUMIFS('ИТОГО Лэндинг'!$F$5:$F$300,'ИТОГО Лэндинг'!$B$5:$B$300,$B166)))</f>
        <v/>
      </c>
      <c r="G166" s="183">
        <f>IF(F166="","",H166/F166)</f>
        <v/>
      </c>
      <c r="H166" s="247">
        <f>IF(F166="","",SUMIFS('ИТОГО Торговля'!$H$5:$H$300,'ИТОГО Торговля'!$B$5:$B$300,$B166)+SUMIFS('ИТОГО Лэндинг'!$H$5:$H$300,'ИТОГО Лэндинг'!$B$5:$B$300,$B166))</f>
        <v/>
      </c>
      <c r="I166" s="246">
        <f>IF($B166="","",IF(AND(C166="",F166=""),"",ROUND(SUMIFS('ИТОГО Торговля'!$I$5:$I$300,'ИТОГО Торговля'!$B$5:$B$300,$B166)+SUMIFS('ИТОГО Лэндинг'!$I$5:$I$300,'ИТОГО Лэндинг'!$B$5:$B$300,$B166),8)))</f>
        <v/>
      </c>
      <c r="J166" s="247">
        <f>IF($B166="","",IF(AND(C166="",F166=""),"",ROUND(SUMIFS('ИТОГО Торговля'!$J$5:$J$300,'ИТОГО Торговля'!$B$5:$B$300,$B166)+SUMIFS('ИТОГО Лэндинг'!$J$5:$J$300,'ИТОГО Лэндинг'!$B$5:$B$300,$B166),8)))</f>
        <v/>
      </c>
      <c r="K166" s="246">
        <f>IF($B166="","",ROUND(SUMIFS('ИТОГО Торговля'!$K$5:$K$300,'ИТОГО Торговля'!$B$5:$B$300,$B166)+SUMIFS('ИТОГО Лэндинг'!$K$5:$K$300,'ИТОГО Лэндинг'!$B$5:$B$300,$B166),8))</f>
        <v/>
      </c>
      <c r="L166" s="183">
        <f>IF(K166="","",IF(SUMPRODUCT((Закрытые!$E$5:$E$300=$B166)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166/SUMPRODUCT((Закрытые!$E$5:$E$300=$B166)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6" s="183">
        <f>IF(OR(ROUND(N(C166)-N(F166),8)=0,1-N(Ввод!$E$17)/100&lt;=0),"",IF(N(C166)&gt;N(F166),(N(E166)-N(H166))/((N(C166)-N(F166))*(1-N(Ввод!$E$17)/100)),(N(H166)-N(E166))/((N(F166)-N(C166))*(1+N(Ввод!$E$17)/100))))</f>
        <v/>
      </c>
    </row>
    <row r="167" ht="22" customHeight="1">
      <c r="B167" s="315" t="n"/>
      <c r="C167" s="240">
        <f>IF($B167="","",IF(SUMIFS('ИТОГО Торговля'!$C$5:$C$300,'ИТОГО Торговля'!$B$5:$B$300,$B167)+SUMIFS('ИТОГО Лэндинг'!$C$5:$C$300,'ИТОГО Лэндинг'!$B$5:$B$300,$B167)=0,"",SUMIFS('ИТОГО Торговля'!$C$5:$C$300,'ИТОГО Торговля'!$B$5:$B$300,$B167)+SUMIFS('ИТОГО Лэндинг'!$C$5:$C$300,'ИТОГО Лэндинг'!$B$5:$B$300,$B167)))</f>
        <v/>
      </c>
      <c r="D167" s="177">
        <f>IF(C167="","",E167/C167)</f>
        <v/>
      </c>
      <c r="E167" s="241">
        <f>IF(C167="","",SUMIFS('ИТОГО Торговля'!$E$5:$E$300,'ИТОГО Торговля'!$B$5:$B$300,$B167)+SUMIFS('ИТОГО Лэндинг'!$E$5:$E$300,'ИТОГО Лэндинг'!$B$5:$B$300,$B167))</f>
        <v/>
      </c>
      <c r="F167" s="240">
        <f>IF($B167="","",IF(SUMIFS('ИТОГО Торговля'!$F$5:$F$300,'ИТОГО Торговля'!$B$5:$B$300,$B167)+SUMIFS('ИТОГО Лэндинг'!$F$5:$F$300,'ИТОГО Лэндинг'!$B$5:$B$300,$B167)=0,"",SUMIFS('ИТОГО Торговля'!$F$5:$F$300,'ИТОГО Торговля'!$B$5:$B$300,$B167)+SUMIFS('ИТОГО Лэндинг'!$F$5:$F$300,'ИТОГО Лэндинг'!$B$5:$B$300,$B167)))</f>
        <v/>
      </c>
      <c r="G167" s="177">
        <f>IF(F167="","",H167/F167)</f>
        <v/>
      </c>
      <c r="H167" s="241">
        <f>IF(F167="","",SUMIFS('ИТОГО Торговля'!$H$5:$H$300,'ИТОГО Торговля'!$B$5:$B$300,$B167)+SUMIFS('ИТОГО Лэндинг'!$H$5:$H$300,'ИТОГО Лэндинг'!$B$5:$B$300,$B167))</f>
        <v/>
      </c>
      <c r="I167" s="240">
        <f>IF($B167="","",IF(AND(C167="",F167=""),"",ROUND(SUMIFS('ИТОГО Торговля'!$I$5:$I$300,'ИТОГО Торговля'!$B$5:$B$300,$B167)+SUMIFS('ИТОГО Лэндинг'!$I$5:$I$300,'ИТОГО Лэндинг'!$B$5:$B$300,$B167),8)))</f>
        <v/>
      </c>
      <c r="J167" s="241">
        <f>IF($B167="","",IF(AND(C167="",F167=""),"",ROUND(SUMIFS('ИТОГО Торговля'!$J$5:$J$300,'ИТОГО Торговля'!$B$5:$B$300,$B167)+SUMIFS('ИТОГО Лэндинг'!$J$5:$J$300,'ИТОГО Лэндинг'!$B$5:$B$300,$B167),8)))</f>
        <v/>
      </c>
      <c r="K167" s="240">
        <f>IF($B167="","",ROUND(SUMIFS('ИТОГО Торговля'!$K$5:$K$300,'ИТОГО Торговля'!$B$5:$B$300,$B167)+SUMIFS('ИТОГО Лэндинг'!$K$5:$K$300,'ИТОГО Лэндинг'!$B$5:$B$300,$B167),8))</f>
        <v/>
      </c>
      <c r="L167" s="177">
        <f>IF(K167="","",IF(SUMPRODUCT((Закрытые!$E$5:$E$300=$B167)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167/SUMPRODUCT((Закрытые!$E$5:$E$300=$B167)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7" s="177">
        <f>IF(OR(ROUND(N(C167)-N(F167),8)=0,1-N(Ввод!$E$17)/100&lt;=0),"",IF(N(C167)&gt;N(F167),(N(E167)-N(H167))/((N(C167)-N(F167))*(1-N(Ввод!$E$17)/100)),(N(H167)-N(E167))/((N(F167)-N(C167))*(1+N(Ввод!$E$17)/100))))</f>
        <v/>
      </c>
    </row>
    <row r="168" ht="22" customHeight="1">
      <c r="B168" s="320" t="n"/>
      <c r="C168" s="246">
        <f>IF($B168="","",IF(SUMIFS('ИТОГО Торговля'!$C$5:$C$300,'ИТОГО Торговля'!$B$5:$B$300,$B168)+SUMIFS('ИТОГО Лэндинг'!$C$5:$C$300,'ИТОГО Лэндинг'!$B$5:$B$300,$B168)=0,"",SUMIFS('ИТОГО Торговля'!$C$5:$C$300,'ИТОГО Торговля'!$B$5:$B$300,$B168)+SUMIFS('ИТОГО Лэндинг'!$C$5:$C$300,'ИТОГО Лэндинг'!$B$5:$B$300,$B168)))</f>
        <v/>
      </c>
      <c r="D168" s="183">
        <f>IF(C168="","",E168/C168)</f>
        <v/>
      </c>
      <c r="E168" s="247">
        <f>IF(C168="","",SUMIFS('ИТОГО Торговля'!$E$5:$E$300,'ИТОГО Торговля'!$B$5:$B$300,$B168)+SUMIFS('ИТОГО Лэндинг'!$E$5:$E$300,'ИТОГО Лэндинг'!$B$5:$B$300,$B168))</f>
        <v/>
      </c>
      <c r="F168" s="246">
        <f>IF($B168="","",IF(SUMIFS('ИТОГО Торговля'!$F$5:$F$300,'ИТОГО Торговля'!$B$5:$B$300,$B168)+SUMIFS('ИТОГО Лэндинг'!$F$5:$F$300,'ИТОГО Лэндинг'!$B$5:$B$300,$B168)=0,"",SUMIFS('ИТОГО Торговля'!$F$5:$F$300,'ИТОГО Торговля'!$B$5:$B$300,$B168)+SUMIFS('ИТОГО Лэндинг'!$F$5:$F$300,'ИТОГО Лэндинг'!$B$5:$B$300,$B168)))</f>
        <v/>
      </c>
      <c r="G168" s="183">
        <f>IF(F168="","",H168/F168)</f>
        <v/>
      </c>
      <c r="H168" s="247">
        <f>IF(F168="","",SUMIFS('ИТОГО Торговля'!$H$5:$H$300,'ИТОГО Торговля'!$B$5:$B$300,$B168)+SUMIFS('ИТОГО Лэндинг'!$H$5:$H$300,'ИТОГО Лэндинг'!$B$5:$B$300,$B168))</f>
        <v/>
      </c>
      <c r="I168" s="246">
        <f>IF($B168="","",IF(AND(C168="",F168=""),"",ROUND(SUMIFS('ИТОГО Торговля'!$I$5:$I$300,'ИТОГО Торговля'!$B$5:$B$300,$B168)+SUMIFS('ИТОГО Лэндинг'!$I$5:$I$300,'ИТОГО Лэндинг'!$B$5:$B$300,$B168),8)))</f>
        <v/>
      </c>
      <c r="J168" s="247">
        <f>IF($B168="","",IF(AND(C168="",F168=""),"",ROUND(SUMIFS('ИТОГО Торговля'!$J$5:$J$300,'ИТОГО Торговля'!$B$5:$B$300,$B168)+SUMIFS('ИТОГО Лэндинг'!$J$5:$J$300,'ИТОГО Лэндинг'!$B$5:$B$300,$B168),8)))</f>
        <v/>
      </c>
      <c r="K168" s="246">
        <f>IF($B168="","",ROUND(SUMIFS('ИТОГО Торговля'!$K$5:$K$300,'ИТОГО Торговля'!$B$5:$B$300,$B168)+SUMIFS('ИТОГО Лэндинг'!$K$5:$K$300,'ИТОГО Лэндинг'!$B$5:$B$300,$B168),8))</f>
        <v/>
      </c>
      <c r="L168" s="183">
        <f>IF(K168="","",IF(SUMPRODUCT((Закрытые!$E$5:$E$300=$B168)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168/SUMPRODUCT((Закрытые!$E$5:$E$300=$B168)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8" s="183">
        <f>IF(OR(ROUND(N(C168)-N(F168),8)=0,1-N(Ввод!$E$17)/100&lt;=0),"",IF(N(C168)&gt;N(F168),(N(E168)-N(H168))/((N(C168)-N(F168))*(1-N(Ввод!$E$17)/100)),(N(H168)-N(E168))/((N(F168)-N(C168))*(1+N(Ввод!$E$17)/100))))</f>
        <v/>
      </c>
    </row>
    <row r="169" ht="22" customHeight="1">
      <c r="B169" s="315" t="n"/>
      <c r="C169" s="240">
        <f>IF($B169="","",IF(SUMIFS('ИТОГО Торговля'!$C$5:$C$300,'ИТОГО Торговля'!$B$5:$B$300,$B169)+SUMIFS('ИТОГО Лэндинг'!$C$5:$C$300,'ИТОГО Лэндинг'!$B$5:$B$300,$B169)=0,"",SUMIFS('ИТОГО Торговля'!$C$5:$C$300,'ИТОГО Торговля'!$B$5:$B$300,$B169)+SUMIFS('ИТОГО Лэндинг'!$C$5:$C$300,'ИТОГО Лэндинг'!$B$5:$B$300,$B169)))</f>
        <v/>
      </c>
      <c r="D169" s="177">
        <f>IF(C169="","",E169/C169)</f>
        <v/>
      </c>
      <c r="E169" s="241">
        <f>IF(C169="","",SUMIFS('ИТОГО Торговля'!$E$5:$E$300,'ИТОГО Торговля'!$B$5:$B$300,$B169)+SUMIFS('ИТОГО Лэндинг'!$E$5:$E$300,'ИТОГО Лэндинг'!$B$5:$B$300,$B169))</f>
        <v/>
      </c>
      <c r="F169" s="240">
        <f>IF($B169="","",IF(SUMIFS('ИТОГО Торговля'!$F$5:$F$300,'ИТОГО Торговля'!$B$5:$B$300,$B169)+SUMIFS('ИТОГО Лэндинг'!$F$5:$F$300,'ИТОГО Лэндинг'!$B$5:$B$300,$B169)=0,"",SUMIFS('ИТОГО Торговля'!$F$5:$F$300,'ИТОГО Торговля'!$B$5:$B$300,$B169)+SUMIFS('ИТОГО Лэндинг'!$F$5:$F$300,'ИТОГО Лэндинг'!$B$5:$B$300,$B169)))</f>
        <v/>
      </c>
      <c r="G169" s="177">
        <f>IF(F169="","",H169/F169)</f>
        <v/>
      </c>
      <c r="H169" s="241">
        <f>IF(F169="","",SUMIFS('ИТОГО Торговля'!$H$5:$H$300,'ИТОГО Торговля'!$B$5:$B$300,$B169)+SUMIFS('ИТОГО Лэндинг'!$H$5:$H$300,'ИТОГО Лэндинг'!$B$5:$B$300,$B169))</f>
        <v/>
      </c>
      <c r="I169" s="240">
        <f>IF($B169="","",IF(AND(C169="",F169=""),"",ROUND(SUMIFS('ИТОГО Торговля'!$I$5:$I$300,'ИТОГО Торговля'!$B$5:$B$300,$B169)+SUMIFS('ИТОГО Лэндинг'!$I$5:$I$300,'ИТОГО Лэндинг'!$B$5:$B$300,$B169),8)))</f>
        <v/>
      </c>
      <c r="J169" s="241">
        <f>IF($B169="","",IF(AND(C169="",F169=""),"",ROUND(SUMIFS('ИТОГО Торговля'!$J$5:$J$300,'ИТОГО Торговля'!$B$5:$B$300,$B169)+SUMIFS('ИТОГО Лэндинг'!$J$5:$J$300,'ИТОГО Лэндинг'!$B$5:$B$300,$B169),8)))</f>
        <v/>
      </c>
      <c r="K169" s="240">
        <f>IF($B169="","",ROUND(SUMIFS('ИТОГО Торговля'!$K$5:$K$300,'ИТОГО Торговля'!$B$5:$B$300,$B169)+SUMIFS('ИТОГО Лэндинг'!$K$5:$K$300,'ИТОГО Лэндинг'!$B$5:$B$300,$B169),8))</f>
        <v/>
      </c>
      <c r="L169" s="177">
        <f>IF(K169="","",IF(SUMPRODUCT((Закрытые!$E$5:$E$300=$B169)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169/SUMPRODUCT((Закрытые!$E$5:$E$300=$B169)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9" s="177">
        <f>IF(OR(ROUND(N(C169)-N(F169),8)=0,1-N(Ввод!$E$17)/100&lt;=0),"",IF(N(C169)&gt;N(F169),(N(E169)-N(H169))/((N(C169)-N(F169))*(1-N(Ввод!$E$17)/100)),(N(H169)-N(E169))/((N(F169)-N(C169))*(1+N(Ввод!$E$17)/100))))</f>
        <v/>
      </c>
    </row>
    <row r="170" ht="22" customHeight="1">
      <c r="B170" s="320" t="n"/>
      <c r="C170" s="246">
        <f>IF($B170="","",IF(SUMIFS('ИТОГО Торговля'!$C$5:$C$300,'ИТОГО Торговля'!$B$5:$B$300,$B170)+SUMIFS('ИТОГО Лэндинг'!$C$5:$C$300,'ИТОГО Лэндинг'!$B$5:$B$300,$B170)=0,"",SUMIFS('ИТОГО Торговля'!$C$5:$C$300,'ИТОГО Торговля'!$B$5:$B$300,$B170)+SUMIFS('ИТОГО Лэндинг'!$C$5:$C$300,'ИТОГО Лэндинг'!$B$5:$B$300,$B170)))</f>
        <v/>
      </c>
      <c r="D170" s="183">
        <f>IF(C170="","",E170/C170)</f>
        <v/>
      </c>
      <c r="E170" s="247">
        <f>IF(C170="","",SUMIFS('ИТОГО Торговля'!$E$5:$E$300,'ИТОГО Торговля'!$B$5:$B$300,$B170)+SUMIFS('ИТОГО Лэндинг'!$E$5:$E$300,'ИТОГО Лэндинг'!$B$5:$B$300,$B170))</f>
        <v/>
      </c>
      <c r="F170" s="246">
        <f>IF($B170="","",IF(SUMIFS('ИТОГО Торговля'!$F$5:$F$300,'ИТОГО Торговля'!$B$5:$B$300,$B170)+SUMIFS('ИТОГО Лэндинг'!$F$5:$F$300,'ИТОГО Лэндинг'!$B$5:$B$300,$B170)=0,"",SUMIFS('ИТОГО Торговля'!$F$5:$F$300,'ИТОГО Торговля'!$B$5:$B$300,$B170)+SUMIFS('ИТОГО Лэндинг'!$F$5:$F$300,'ИТОГО Лэндинг'!$B$5:$B$300,$B170)))</f>
        <v/>
      </c>
      <c r="G170" s="183">
        <f>IF(F170="","",H170/F170)</f>
        <v/>
      </c>
      <c r="H170" s="247">
        <f>IF(F170="","",SUMIFS('ИТОГО Торговля'!$H$5:$H$300,'ИТОГО Торговля'!$B$5:$B$300,$B170)+SUMIFS('ИТОГО Лэндинг'!$H$5:$H$300,'ИТОГО Лэндинг'!$B$5:$B$300,$B170))</f>
        <v/>
      </c>
      <c r="I170" s="246">
        <f>IF($B170="","",IF(AND(C170="",F170=""),"",ROUND(SUMIFS('ИТОГО Торговля'!$I$5:$I$300,'ИТОГО Торговля'!$B$5:$B$300,$B170)+SUMIFS('ИТОГО Лэндинг'!$I$5:$I$300,'ИТОГО Лэндинг'!$B$5:$B$300,$B170),8)))</f>
        <v/>
      </c>
      <c r="J170" s="247">
        <f>IF($B170="","",IF(AND(C170="",F170=""),"",ROUND(SUMIFS('ИТОГО Торговля'!$J$5:$J$300,'ИТОГО Торговля'!$B$5:$B$300,$B170)+SUMIFS('ИТОГО Лэндинг'!$J$5:$J$300,'ИТОГО Лэндинг'!$B$5:$B$300,$B170),8)))</f>
        <v/>
      </c>
      <c r="K170" s="246">
        <f>IF($B170="","",ROUND(SUMIFS('ИТОГО Торговля'!$K$5:$K$300,'ИТОГО Торговля'!$B$5:$B$300,$B170)+SUMIFS('ИТОГО Лэндинг'!$K$5:$K$300,'ИТОГО Лэндинг'!$B$5:$B$300,$B170),8))</f>
        <v/>
      </c>
      <c r="L170" s="183">
        <f>IF(K170="","",IF(SUMPRODUCT((Закрытые!$E$5:$E$300=$B170)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170/SUMPRODUCT((Закрытые!$E$5:$E$300=$B170)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0" s="183">
        <f>IF(OR(ROUND(N(C170)-N(F170),8)=0,1-N(Ввод!$E$17)/100&lt;=0),"",IF(N(C170)&gt;N(F170),(N(E170)-N(H170))/((N(C170)-N(F170))*(1-N(Ввод!$E$17)/100)),(N(H170)-N(E170))/((N(F170)-N(C170))*(1+N(Ввод!$E$17)/100))))</f>
        <v/>
      </c>
    </row>
    <row r="171" ht="22" customHeight="1">
      <c r="B171" s="315" t="n"/>
      <c r="C171" s="240">
        <f>IF($B171="","",IF(SUMIFS('ИТОГО Торговля'!$C$5:$C$300,'ИТОГО Торговля'!$B$5:$B$300,$B171)+SUMIFS('ИТОГО Лэндинг'!$C$5:$C$300,'ИТОГО Лэндинг'!$B$5:$B$300,$B171)=0,"",SUMIFS('ИТОГО Торговля'!$C$5:$C$300,'ИТОГО Торговля'!$B$5:$B$300,$B171)+SUMIFS('ИТОГО Лэндинг'!$C$5:$C$300,'ИТОГО Лэндинг'!$B$5:$B$300,$B171)))</f>
        <v/>
      </c>
      <c r="D171" s="177">
        <f>IF(C171="","",E171/C171)</f>
        <v/>
      </c>
      <c r="E171" s="241">
        <f>IF(C171="","",SUMIFS('ИТОГО Торговля'!$E$5:$E$300,'ИТОГО Торговля'!$B$5:$B$300,$B171)+SUMIFS('ИТОГО Лэндинг'!$E$5:$E$300,'ИТОГО Лэндинг'!$B$5:$B$300,$B171))</f>
        <v/>
      </c>
      <c r="F171" s="240">
        <f>IF($B171="","",IF(SUMIFS('ИТОГО Торговля'!$F$5:$F$300,'ИТОГО Торговля'!$B$5:$B$300,$B171)+SUMIFS('ИТОГО Лэндинг'!$F$5:$F$300,'ИТОГО Лэндинг'!$B$5:$B$300,$B171)=0,"",SUMIFS('ИТОГО Торговля'!$F$5:$F$300,'ИТОГО Торговля'!$B$5:$B$300,$B171)+SUMIFS('ИТОГО Лэндинг'!$F$5:$F$300,'ИТОГО Лэндинг'!$B$5:$B$300,$B171)))</f>
        <v/>
      </c>
      <c r="G171" s="177">
        <f>IF(F171="","",H171/F171)</f>
        <v/>
      </c>
      <c r="H171" s="241">
        <f>IF(F171="","",SUMIFS('ИТОГО Торговля'!$H$5:$H$300,'ИТОГО Торговля'!$B$5:$B$300,$B171)+SUMIFS('ИТОГО Лэндинг'!$H$5:$H$300,'ИТОГО Лэндинг'!$B$5:$B$300,$B171))</f>
        <v/>
      </c>
      <c r="I171" s="240">
        <f>IF($B171="","",IF(AND(C171="",F171=""),"",ROUND(SUMIFS('ИТОГО Торговля'!$I$5:$I$300,'ИТОГО Торговля'!$B$5:$B$300,$B171)+SUMIFS('ИТОГО Лэндинг'!$I$5:$I$300,'ИТОГО Лэндинг'!$B$5:$B$300,$B171),8)))</f>
        <v/>
      </c>
      <c r="J171" s="241">
        <f>IF($B171="","",IF(AND(C171="",F171=""),"",ROUND(SUMIFS('ИТОГО Торговля'!$J$5:$J$300,'ИТОГО Торговля'!$B$5:$B$300,$B171)+SUMIFS('ИТОГО Лэндинг'!$J$5:$J$300,'ИТОГО Лэндинг'!$B$5:$B$300,$B171),8)))</f>
        <v/>
      </c>
      <c r="K171" s="240">
        <f>IF($B171="","",ROUND(SUMIFS('ИТОГО Торговля'!$K$5:$K$300,'ИТОГО Торговля'!$B$5:$B$300,$B171)+SUMIFS('ИТОГО Лэндинг'!$K$5:$K$300,'ИТОГО Лэндинг'!$B$5:$B$300,$B171),8))</f>
        <v/>
      </c>
      <c r="L171" s="177">
        <f>IF(K171="","",IF(SUMPRODUCT((Закрытые!$E$5:$E$300=$B171)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171/SUMPRODUCT((Закрытые!$E$5:$E$300=$B171)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1" s="177">
        <f>IF(OR(ROUND(N(C171)-N(F171),8)=0,1-N(Ввод!$E$17)/100&lt;=0),"",IF(N(C171)&gt;N(F171),(N(E171)-N(H171))/((N(C171)-N(F171))*(1-N(Ввод!$E$17)/100)),(N(H171)-N(E171))/((N(F171)-N(C171))*(1+N(Ввод!$E$17)/100))))</f>
        <v/>
      </c>
    </row>
    <row r="172" ht="22" customHeight="1">
      <c r="B172" s="320" t="n"/>
      <c r="C172" s="246">
        <f>IF($B172="","",IF(SUMIFS('ИТОГО Торговля'!$C$5:$C$300,'ИТОГО Торговля'!$B$5:$B$300,$B172)+SUMIFS('ИТОГО Лэндинг'!$C$5:$C$300,'ИТОГО Лэндинг'!$B$5:$B$300,$B172)=0,"",SUMIFS('ИТОГО Торговля'!$C$5:$C$300,'ИТОГО Торговля'!$B$5:$B$300,$B172)+SUMIFS('ИТОГО Лэндинг'!$C$5:$C$300,'ИТОГО Лэндинг'!$B$5:$B$300,$B172)))</f>
        <v/>
      </c>
      <c r="D172" s="183">
        <f>IF(C172="","",E172/C172)</f>
        <v/>
      </c>
      <c r="E172" s="247">
        <f>IF(C172="","",SUMIFS('ИТОГО Торговля'!$E$5:$E$300,'ИТОГО Торговля'!$B$5:$B$300,$B172)+SUMIFS('ИТОГО Лэндинг'!$E$5:$E$300,'ИТОГО Лэндинг'!$B$5:$B$300,$B172))</f>
        <v/>
      </c>
      <c r="F172" s="246">
        <f>IF($B172="","",IF(SUMIFS('ИТОГО Торговля'!$F$5:$F$300,'ИТОГО Торговля'!$B$5:$B$300,$B172)+SUMIFS('ИТОГО Лэндинг'!$F$5:$F$300,'ИТОГО Лэндинг'!$B$5:$B$300,$B172)=0,"",SUMIFS('ИТОГО Торговля'!$F$5:$F$300,'ИТОГО Торговля'!$B$5:$B$300,$B172)+SUMIFS('ИТОГО Лэндинг'!$F$5:$F$300,'ИТОГО Лэндинг'!$B$5:$B$300,$B172)))</f>
        <v/>
      </c>
      <c r="G172" s="183">
        <f>IF(F172="","",H172/F172)</f>
        <v/>
      </c>
      <c r="H172" s="247">
        <f>IF(F172="","",SUMIFS('ИТОГО Торговля'!$H$5:$H$300,'ИТОГО Торговля'!$B$5:$B$300,$B172)+SUMIFS('ИТОГО Лэндинг'!$H$5:$H$300,'ИТОГО Лэндинг'!$B$5:$B$300,$B172))</f>
        <v/>
      </c>
      <c r="I172" s="246">
        <f>IF($B172="","",IF(AND(C172="",F172=""),"",ROUND(SUMIFS('ИТОГО Торговля'!$I$5:$I$300,'ИТОГО Торговля'!$B$5:$B$300,$B172)+SUMIFS('ИТОГО Лэндинг'!$I$5:$I$300,'ИТОГО Лэндинг'!$B$5:$B$300,$B172),8)))</f>
        <v/>
      </c>
      <c r="J172" s="247">
        <f>IF($B172="","",IF(AND(C172="",F172=""),"",ROUND(SUMIFS('ИТОГО Торговля'!$J$5:$J$300,'ИТОГО Торговля'!$B$5:$B$300,$B172)+SUMIFS('ИТОГО Лэндинг'!$J$5:$J$300,'ИТОГО Лэндинг'!$B$5:$B$300,$B172),8)))</f>
        <v/>
      </c>
      <c r="K172" s="246">
        <f>IF($B172="","",ROUND(SUMIFS('ИТОГО Торговля'!$K$5:$K$300,'ИТОГО Торговля'!$B$5:$B$300,$B172)+SUMIFS('ИТОГО Лэндинг'!$K$5:$K$300,'ИТОГО Лэндинг'!$B$5:$B$300,$B172),8))</f>
        <v/>
      </c>
      <c r="L172" s="183">
        <f>IF(K172="","",IF(SUMPRODUCT((Закрытые!$E$5:$E$300=$B172)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172/SUMPRODUCT((Закрытые!$E$5:$E$300=$B172)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2" s="183">
        <f>IF(OR(ROUND(N(C172)-N(F172),8)=0,1-N(Ввод!$E$17)/100&lt;=0),"",IF(N(C172)&gt;N(F172),(N(E172)-N(H172))/((N(C172)-N(F172))*(1-N(Ввод!$E$17)/100)),(N(H172)-N(E172))/((N(F172)-N(C172))*(1+N(Ввод!$E$17)/100))))</f>
        <v/>
      </c>
    </row>
    <row r="173" ht="22" customHeight="1">
      <c r="B173" s="315" t="n"/>
      <c r="C173" s="240">
        <f>IF($B173="","",IF(SUMIFS('ИТОГО Торговля'!$C$5:$C$300,'ИТОГО Торговля'!$B$5:$B$300,$B173)+SUMIFS('ИТОГО Лэндинг'!$C$5:$C$300,'ИТОГО Лэндинг'!$B$5:$B$300,$B173)=0,"",SUMIFS('ИТОГО Торговля'!$C$5:$C$300,'ИТОГО Торговля'!$B$5:$B$300,$B173)+SUMIFS('ИТОГО Лэндинг'!$C$5:$C$300,'ИТОГО Лэндинг'!$B$5:$B$300,$B173)))</f>
        <v/>
      </c>
      <c r="D173" s="177">
        <f>IF(C173="","",E173/C173)</f>
        <v/>
      </c>
      <c r="E173" s="241">
        <f>IF(C173="","",SUMIFS('ИТОГО Торговля'!$E$5:$E$300,'ИТОГО Торговля'!$B$5:$B$300,$B173)+SUMIFS('ИТОГО Лэндинг'!$E$5:$E$300,'ИТОГО Лэндинг'!$B$5:$B$300,$B173))</f>
        <v/>
      </c>
      <c r="F173" s="240">
        <f>IF($B173="","",IF(SUMIFS('ИТОГО Торговля'!$F$5:$F$300,'ИТОГО Торговля'!$B$5:$B$300,$B173)+SUMIFS('ИТОГО Лэндинг'!$F$5:$F$300,'ИТОГО Лэндинг'!$B$5:$B$300,$B173)=0,"",SUMIFS('ИТОГО Торговля'!$F$5:$F$300,'ИТОГО Торговля'!$B$5:$B$300,$B173)+SUMIFS('ИТОГО Лэндинг'!$F$5:$F$300,'ИТОГО Лэндинг'!$B$5:$B$300,$B173)))</f>
        <v/>
      </c>
      <c r="G173" s="177">
        <f>IF(F173="","",H173/F173)</f>
        <v/>
      </c>
      <c r="H173" s="241">
        <f>IF(F173="","",SUMIFS('ИТОГО Торговля'!$H$5:$H$300,'ИТОГО Торговля'!$B$5:$B$300,$B173)+SUMIFS('ИТОГО Лэндинг'!$H$5:$H$300,'ИТОГО Лэндинг'!$B$5:$B$300,$B173))</f>
        <v/>
      </c>
      <c r="I173" s="240">
        <f>IF($B173="","",IF(AND(C173="",F173=""),"",ROUND(SUMIFS('ИТОГО Торговля'!$I$5:$I$300,'ИТОГО Торговля'!$B$5:$B$300,$B173)+SUMIFS('ИТОГО Лэндинг'!$I$5:$I$300,'ИТОГО Лэндинг'!$B$5:$B$300,$B173),8)))</f>
        <v/>
      </c>
      <c r="J173" s="241">
        <f>IF($B173="","",IF(AND(C173="",F173=""),"",ROUND(SUMIFS('ИТОГО Торговля'!$J$5:$J$300,'ИТОГО Торговля'!$B$5:$B$300,$B173)+SUMIFS('ИТОГО Лэндинг'!$J$5:$J$300,'ИТОГО Лэндинг'!$B$5:$B$300,$B173),8)))</f>
        <v/>
      </c>
      <c r="K173" s="240">
        <f>IF($B173="","",ROUND(SUMIFS('ИТОГО Торговля'!$K$5:$K$300,'ИТОГО Торговля'!$B$5:$B$300,$B173)+SUMIFS('ИТОГО Лэндинг'!$K$5:$K$300,'ИТОГО Лэндинг'!$B$5:$B$300,$B173),8))</f>
        <v/>
      </c>
      <c r="L173" s="177">
        <f>IF(K173="","",IF(SUMPRODUCT((Закрытые!$E$5:$E$300=$B173)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173/SUMPRODUCT((Закрытые!$E$5:$E$300=$B173)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3" s="177">
        <f>IF(OR(ROUND(N(C173)-N(F173),8)=0,1-N(Ввод!$E$17)/100&lt;=0),"",IF(N(C173)&gt;N(F173),(N(E173)-N(H173))/((N(C173)-N(F173))*(1-N(Ввод!$E$17)/100)),(N(H173)-N(E173))/((N(F173)-N(C173))*(1+N(Ввод!$E$17)/100))))</f>
        <v/>
      </c>
    </row>
    <row r="174" ht="22" customHeight="1">
      <c r="B174" s="320" t="n"/>
      <c r="C174" s="246">
        <f>IF($B174="","",IF(SUMIFS('ИТОГО Торговля'!$C$5:$C$300,'ИТОГО Торговля'!$B$5:$B$300,$B174)+SUMIFS('ИТОГО Лэндинг'!$C$5:$C$300,'ИТОГО Лэндинг'!$B$5:$B$300,$B174)=0,"",SUMIFS('ИТОГО Торговля'!$C$5:$C$300,'ИТОГО Торговля'!$B$5:$B$300,$B174)+SUMIFS('ИТОГО Лэндинг'!$C$5:$C$300,'ИТОГО Лэндинг'!$B$5:$B$300,$B174)))</f>
        <v/>
      </c>
      <c r="D174" s="183">
        <f>IF(C174="","",E174/C174)</f>
        <v/>
      </c>
      <c r="E174" s="247">
        <f>IF(C174="","",SUMIFS('ИТОГО Торговля'!$E$5:$E$300,'ИТОГО Торговля'!$B$5:$B$300,$B174)+SUMIFS('ИТОГО Лэндинг'!$E$5:$E$300,'ИТОГО Лэндинг'!$B$5:$B$300,$B174))</f>
        <v/>
      </c>
      <c r="F174" s="246">
        <f>IF($B174="","",IF(SUMIFS('ИТОГО Торговля'!$F$5:$F$300,'ИТОГО Торговля'!$B$5:$B$300,$B174)+SUMIFS('ИТОГО Лэндинг'!$F$5:$F$300,'ИТОГО Лэндинг'!$B$5:$B$300,$B174)=0,"",SUMIFS('ИТОГО Торговля'!$F$5:$F$300,'ИТОГО Торговля'!$B$5:$B$300,$B174)+SUMIFS('ИТОГО Лэндинг'!$F$5:$F$300,'ИТОГО Лэндинг'!$B$5:$B$300,$B174)))</f>
        <v/>
      </c>
      <c r="G174" s="183">
        <f>IF(F174="","",H174/F174)</f>
        <v/>
      </c>
      <c r="H174" s="247">
        <f>IF(F174="","",SUMIFS('ИТОГО Торговля'!$H$5:$H$300,'ИТОГО Торговля'!$B$5:$B$300,$B174)+SUMIFS('ИТОГО Лэндинг'!$H$5:$H$300,'ИТОГО Лэндинг'!$B$5:$B$300,$B174))</f>
        <v/>
      </c>
      <c r="I174" s="246">
        <f>IF($B174="","",IF(AND(C174="",F174=""),"",ROUND(SUMIFS('ИТОГО Торговля'!$I$5:$I$300,'ИТОГО Торговля'!$B$5:$B$300,$B174)+SUMIFS('ИТОГО Лэндинг'!$I$5:$I$300,'ИТОГО Лэндинг'!$B$5:$B$300,$B174),8)))</f>
        <v/>
      </c>
      <c r="J174" s="247">
        <f>IF($B174="","",IF(AND(C174="",F174=""),"",ROUND(SUMIFS('ИТОГО Торговля'!$J$5:$J$300,'ИТОГО Торговля'!$B$5:$B$300,$B174)+SUMIFS('ИТОГО Лэндинг'!$J$5:$J$300,'ИТОГО Лэндинг'!$B$5:$B$300,$B174),8)))</f>
        <v/>
      </c>
      <c r="K174" s="246">
        <f>IF($B174="","",ROUND(SUMIFS('ИТОГО Торговля'!$K$5:$K$300,'ИТОГО Торговля'!$B$5:$B$300,$B174)+SUMIFS('ИТОГО Лэндинг'!$K$5:$K$300,'ИТОГО Лэндинг'!$B$5:$B$300,$B174),8))</f>
        <v/>
      </c>
      <c r="L174" s="183">
        <f>IF(K174="","",IF(SUMPRODUCT((Закрытые!$E$5:$E$300=$B174)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174/SUMPRODUCT((Закрытые!$E$5:$E$300=$B174)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4" s="183">
        <f>IF(OR(ROUND(N(C174)-N(F174),8)=0,1-N(Ввод!$E$17)/100&lt;=0),"",IF(N(C174)&gt;N(F174),(N(E174)-N(H174))/((N(C174)-N(F174))*(1-N(Ввод!$E$17)/100)),(N(H174)-N(E174))/((N(F174)-N(C174))*(1+N(Ввод!$E$17)/100))))</f>
        <v/>
      </c>
    </row>
    <row r="175" ht="22" customHeight="1">
      <c r="B175" s="315" t="n"/>
      <c r="C175" s="240">
        <f>IF($B175="","",IF(SUMIFS('ИТОГО Торговля'!$C$5:$C$300,'ИТОГО Торговля'!$B$5:$B$300,$B175)+SUMIFS('ИТОГО Лэндинг'!$C$5:$C$300,'ИТОГО Лэндинг'!$B$5:$B$300,$B175)=0,"",SUMIFS('ИТОГО Торговля'!$C$5:$C$300,'ИТОГО Торговля'!$B$5:$B$300,$B175)+SUMIFS('ИТОГО Лэндинг'!$C$5:$C$300,'ИТОГО Лэндинг'!$B$5:$B$300,$B175)))</f>
        <v/>
      </c>
      <c r="D175" s="177">
        <f>IF(C175="","",E175/C175)</f>
        <v/>
      </c>
      <c r="E175" s="241">
        <f>IF(C175="","",SUMIFS('ИТОГО Торговля'!$E$5:$E$300,'ИТОГО Торговля'!$B$5:$B$300,$B175)+SUMIFS('ИТОГО Лэндинг'!$E$5:$E$300,'ИТОГО Лэндинг'!$B$5:$B$300,$B175))</f>
        <v/>
      </c>
      <c r="F175" s="240">
        <f>IF($B175="","",IF(SUMIFS('ИТОГО Торговля'!$F$5:$F$300,'ИТОГО Торговля'!$B$5:$B$300,$B175)+SUMIFS('ИТОГО Лэндинг'!$F$5:$F$300,'ИТОГО Лэндинг'!$B$5:$B$300,$B175)=0,"",SUMIFS('ИТОГО Торговля'!$F$5:$F$300,'ИТОГО Торговля'!$B$5:$B$300,$B175)+SUMIFS('ИТОГО Лэндинг'!$F$5:$F$300,'ИТОГО Лэндинг'!$B$5:$B$300,$B175)))</f>
        <v/>
      </c>
      <c r="G175" s="177">
        <f>IF(F175="","",H175/F175)</f>
        <v/>
      </c>
      <c r="H175" s="241">
        <f>IF(F175="","",SUMIFS('ИТОГО Торговля'!$H$5:$H$300,'ИТОГО Торговля'!$B$5:$B$300,$B175)+SUMIFS('ИТОГО Лэндинг'!$H$5:$H$300,'ИТОГО Лэндинг'!$B$5:$B$300,$B175))</f>
        <v/>
      </c>
      <c r="I175" s="240">
        <f>IF($B175="","",IF(AND(C175="",F175=""),"",ROUND(SUMIFS('ИТОГО Торговля'!$I$5:$I$300,'ИТОГО Торговля'!$B$5:$B$300,$B175)+SUMIFS('ИТОГО Лэндинг'!$I$5:$I$300,'ИТОГО Лэндинг'!$B$5:$B$300,$B175),8)))</f>
        <v/>
      </c>
      <c r="J175" s="241">
        <f>IF($B175="","",IF(AND(C175="",F175=""),"",ROUND(SUMIFS('ИТОГО Торговля'!$J$5:$J$300,'ИТОГО Торговля'!$B$5:$B$300,$B175)+SUMIFS('ИТОГО Лэндинг'!$J$5:$J$300,'ИТОГО Лэндинг'!$B$5:$B$300,$B175),8)))</f>
        <v/>
      </c>
      <c r="K175" s="240">
        <f>IF($B175="","",ROUND(SUMIFS('ИТОГО Торговля'!$K$5:$K$300,'ИТОГО Торговля'!$B$5:$B$300,$B175)+SUMIFS('ИТОГО Лэндинг'!$K$5:$K$300,'ИТОГО Лэндинг'!$B$5:$B$300,$B175),8))</f>
        <v/>
      </c>
      <c r="L175" s="177">
        <f>IF(K175="","",IF(SUMPRODUCT((Закрытые!$E$5:$E$300=$B175)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175/SUMPRODUCT((Закрытые!$E$5:$E$300=$B175)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5" s="177">
        <f>IF(OR(ROUND(N(C175)-N(F175),8)=0,1-N(Ввод!$E$17)/100&lt;=0),"",IF(N(C175)&gt;N(F175),(N(E175)-N(H175))/((N(C175)-N(F175))*(1-N(Ввод!$E$17)/100)),(N(H175)-N(E175))/((N(F175)-N(C175))*(1+N(Ввод!$E$17)/100))))</f>
        <v/>
      </c>
    </row>
    <row r="176" ht="22" customHeight="1">
      <c r="B176" s="320" t="n"/>
      <c r="C176" s="246">
        <f>IF($B176="","",IF(SUMIFS('ИТОГО Торговля'!$C$5:$C$300,'ИТОГО Торговля'!$B$5:$B$300,$B176)+SUMIFS('ИТОГО Лэндинг'!$C$5:$C$300,'ИТОГО Лэндинг'!$B$5:$B$300,$B176)=0,"",SUMIFS('ИТОГО Торговля'!$C$5:$C$300,'ИТОГО Торговля'!$B$5:$B$300,$B176)+SUMIFS('ИТОГО Лэндинг'!$C$5:$C$300,'ИТОГО Лэндинг'!$B$5:$B$300,$B176)))</f>
        <v/>
      </c>
      <c r="D176" s="183">
        <f>IF(C176="","",E176/C176)</f>
        <v/>
      </c>
      <c r="E176" s="247">
        <f>IF(C176="","",SUMIFS('ИТОГО Торговля'!$E$5:$E$300,'ИТОГО Торговля'!$B$5:$B$300,$B176)+SUMIFS('ИТОГО Лэндинг'!$E$5:$E$300,'ИТОГО Лэндинг'!$B$5:$B$300,$B176))</f>
        <v/>
      </c>
      <c r="F176" s="246">
        <f>IF($B176="","",IF(SUMIFS('ИТОГО Торговля'!$F$5:$F$300,'ИТОГО Торговля'!$B$5:$B$300,$B176)+SUMIFS('ИТОГО Лэндинг'!$F$5:$F$300,'ИТОГО Лэндинг'!$B$5:$B$300,$B176)=0,"",SUMIFS('ИТОГО Торговля'!$F$5:$F$300,'ИТОГО Торговля'!$B$5:$B$300,$B176)+SUMIFS('ИТОГО Лэндинг'!$F$5:$F$300,'ИТОГО Лэндинг'!$B$5:$B$300,$B176)))</f>
        <v/>
      </c>
      <c r="G176" s="183">
        <f>IF(F176="","",H176/F176)</f>
        <v/>
      </c>
      <c r="H176" s="247">
        <f>IF(F176="","",SUMIFS('ИТОГО Торговля'!$H$5:$H$300,'ИТОГО Торговля'!$B$5:$B$300,$B176)+SUMIFS('ИТОГО Лэндинг'!$H$5:$H$300,'ИТОГО Лэндинг'!$B$5:$B$300,$B176))</f>
        <v/>
      </c>
      <c r="I176" s="246">
        <f>IF($B176="","",IF(AND(C176="",F176=""),"",ROUND(SUMIFS('ИТОГО Торговля'!$I$5:$I$300,'ИТОГО Торговля'!$B$5:$B$300,$B176)+SUMIFS('ИТОГО Лэндинг'!$I$5:$I$300,'ИТОГО Лэндинг'!$B$5:$B$300,$B176),8)))</f>
        <v/>
      </c>
      <c r="J176" s="247">
        <f>IF($B176="","",IF(AND(C176="",F176=""),"",ROUND(SUMIFS('ИТОГО Торговля'!$J$5:$J$300,'ИТОГО Торговля'!$B$5:$B$300,$B176)+SUMIFS('ИТОГО Лэндинг'!$J$5:$J$300,'ИТОГО Лэндинг'!$B$5:$B$300,$B176),8)))</f>
        <v/>
      </c>
      <c r="K176" s="246">
        <f>IF($B176="","",ROUND(SUMIFS('ИТОГО Торговля'!$K$5:$K$300,'ИТОГО Торговля'!$B$5:$B$300,$B176)+SUMIFS('ИТОГО Лэндинг'!$K$5:$K$300,'ИТОГО Лэндинг'!$B$5:$B$300,$B176),8))</f>
        <v/>
      </c>
      <c r="L176" s="183">
        <f>IF(K176="","",IF(SUMPRODUCT((Закрытые!$E$5:$E$300=$B176)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176/SUMPRODUCT((Закрытые!$E$5:$E$300=$B176)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6" s="183">
        <f>IF(OR(ROUND(N(C176)-N(F176),8)=0,1-N(Ввод!$E$17)/100&lt;=0),"",IF(N(C176)&gt;N(F176),(N(E176)-N(H176))/((N(C176)-N(F176))*(1-N(Ввод!$E$17)/100)),(N(H176)-N(E176))/((N(F176)-N(C176))*(1+N(Ввод!$E$17)/100))))</f>
        <v/>
      </c>
    </row>
    <row r="177" ht="22" customHeight="1">
      <c r="B177" s="315" t="n"/>
      <c r="C177" s="240">
        <f>IF($B177="","",IF(SUMIFS('ИТОГО Торговля'!$C$5:$C$300,'ИТОГО Торговля'!$B$5:$B$300,$B177)+SUMIFS('ИТОГО Лэндинг'!$C$5:$C$300,'ИТОГО Лэндинг'!$B$5:$B$300,$B177)=0,"",SUMIFS('ИТОГО Торговля'!$C$5:$C$300,'ИТОГО Торговля'!$B$5:$B$300,$B177)+SUMIFS('ИТОГО Лэндинг'!$C$5:$C$300,'ИТОГО Лэндинг'!$B$5:$B$300,$B177)))</f>
        <v/>
      </c>
      <c r="D177" s="177">
        <f>IF(C177="","",E177/C177)</f>
        <v/>
      </c>
      <c r="E177" s="241">
        <f>IF(C177="","",SUMIFS('ИТОГО Торговля'!$E$5:$E$300,'ИТОГО Торговля'!$B$5:$B$300,$B177)+SUMIFS('ИТОГО Лэндинг'!$E$5:$E$300,'ИТОГО Лэндинг'!$B$5:$B$300,$B177))</f>
        <v/>
      </c>
      <c r="F177" s="240">
        <f>IF($B177="","",IF(SUMIFS('ИТОГО Торговля'!$F$5:$F$300,'ИТОГО Торговля'!$B$5:$B$300,$B177)+SUMIFS('ИТОГО Лэндинг'!$F$5:$F$300,'ИТОГО Лэндинг'!$B$5:$B$300,$B177)=0,"",SUMIFS('ИТОГО Торговля'!$F$5:$F$300,'ИТОГО Торговля'!$B$5:$B$300,$B177)+SUMIFS('ИТОГО Лэндинг'!$F$5:$F$300,'ИТОГО Лэндинг'!$B$5:$B$300,$B177)))</f>
        <v/>
      </c>
      <c r="G177" s="177">
        <f>IF(F177="","",H177/F177)</f>
        <v/>
      </c>
      <c r="H177" s="241">
        <f>IF(F177="","",SUMIFS('ИТОГО Торговля'!$H$5:$H$300,'ИТОГО Торговля'!$B$5:$B$300,$B177)+SUMIFS('ИТОГО Лэндинг'!$H$5:$H$300,'ИТОГО Лэндинг'!$B$5:$B$300,$B177))</f>
        <v/>
      </c>
      <c r="I177" s="240">
        <f>IF($B177="","",IF(AND(C177="",F177=""),"",ROUND(SUMIFS('ИТОГО Торговля'!$I$5:$I$300,'ИТОГО Торговля'!$B$5:$B$300,$B177)+SUMIFS('ИТОГО Лэндинг'!$I$5:$I$300,'ИТОГО Лэндинг'!$B$5:$B$300,$B177),8)))</f>
        <v/>
      </c>
      <c r="J177" s="241">
        <f>IF($B177="","",IF(AND(C177="",F177=""),"",ROUND(SUMIFS('ИТОГО Торговля'!$J$5:$J$300,'ИТОГО Торговля'!$B$5:$B$300,$B177)+SUMIFS('ИТОГО Лэндинг'!$J$5:$J$300,'ИТОГО Лэндинг'!$B$5:$B$300,$B177),8)))</f>
        <v/>
      </c>
      <c r="K177" s="240">
        <f>IF($B177="","",ROUND(SUMIFS('ИТОГО Торговля'!$K$5:$K$300,'ИТОГО Торговля'!$B$5:$B$300,$B177)+SUMIFS('ИТОГО Лэндинг'!$K$5:$K$300,'ИТОГО Лэндинг'!$B$5:$B$300,$B177),8))</f>
        <v/>
      </c>
      <c r="L177" s="177">
        <f>IF(K177="","",IF(SUMPRODUCT((Закрытые!$E$5:$E$300=$B177)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177/SUMPRODUCT((Закрытые!$E$5:$E$300=$B177)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7" s="177">
        <f>IF(OR(ROUND(N(C177)-N(F177),8)=0,1-N(Ввод!$E$17)/100&lt;=0),"",IF(N(C177)&gt;N(F177),(N(E177)-N(H177))/((N(C177)-N(F177))*(1-N(Ввод!$E$17)/100)),(N(H177)-N(E177))/((N(F177)-N(C177))*(1+N(Ввод!$E$17)/100))))</f>
        <v/>
      </c>
    </row>
    <row r="178" ht="22" customHeight="1">
      <c r="B178" s="320" t="n"/>
      <c r="C178" s="246">
        <f>IF($B178="","",IF(SUMIFS('ИТОГО Торговля'!$C$5:$C$300,'ИТОГО Торговля'!$B$5:$B$300,$B178)+SUMIFS('ИТОГО Лэндинг'!$C$5:$C$300,'ИТОГО Лэндинг'!$B$5:$B$300,$B178)=0,"",SUMIFS('ИТОГО Торговля'!$C$5:$C$300,'ИТОГО Торговля'!$B$5:$B$300,$B178)+SUMIFS('ИТОГО Лэндинг'!$C$5:$C$300,'ИТОГО Лэндинг'!$B$5:$B$300,$B178)))</f>
        <v/>
      </c>
      <c r="D178" s="183">
        <f>IF(C178="","",E178/C178)</f>
        <v/>
      </c>
      <c r="E178" s="247">
        <f>IF(C178="","",SUMIFS('ИТОГО Торговля'!$E$5:$E$300,'ИТОГО Торговля'!$B$5:$B$300,$B178)+SUMIFS('ИТОГО Лэндинг'!$E$5:$E$300,'ИТОГО Лэндинг'!$B$5:$B$300,$B178))</f>
        <v/>
      </c>
      <c r="F178" s="246">
        <f>IF($B178="","",IF(SUMIFS('ИТОГО Торговля'!$F$5:$F$300,'ИТОГО Торговля'!$B$5:$B$300,$B178)+SUMIFS('ИТОГО Лэндинг'!$F$5:$F$300,'ИТОГО Лэндинг'!$B$5:$B$300,$B178)=0,"",SUMIFS('ИТОГО Торговля'!$F$5:$F$300,'ИТОГО Торговля'!$B$5:$B$300,$B178)+SUMIFS('ИТОГО Лэндинг'!$F$5:$F$300,'ИТОГО Лэндинг'!$B$5:$B$300,$B178)))</f>
        <v/>
      </c>
      <c r="G178" s="183">
        <f>IF(F178="","",H178/F178)</f>
        <v/>
      </c>
      <c r="H178" s="247">
        <f>IF(F178="","",SUMIFS('ИТОГО Торговля'!$H$5:$H$300,'ИТОГО Торговля'!$B$5:$B$300,$B178)+SUMIFS('ИТОГО Лэндинг'!$H$5:$H$300,'ИТОГО Лэндинг'!$B$5:$B$300,$B178))</f>
        <v/>
      </c>
      <c r="I178" s="246">
        <f>IF($B178="","",IF(AND(C178="",F178=""),"",ROUND(SUMIFS('ИТОГО Торговля'!$I$5:$I$300,'ИТОГО Торговля'!$B$5:$B$300,$B178)+SUMIFS('ИТОГО Лэндинг'!$I$5:$I$300,'ИТОГО Лэндинг'!$B$5:$B$300,$B178),8)))</f>
        <v/>
      </c>
      <c r="J178" s="247">
        <f>IF($B178="","",IF(AND(C178="",F178=""),"",ROUND(SUMIFS('ИТОГО Торговля'!$J$5:$J$300,'ИТОГО Торговля'!$B$5:$B$300,$B178)+SUMIFS('ИТОГО Лэндинг'!$J$5:$J$300,'ИТОГО Лэндинг'!$B$5:$B$300,$B178),8)))</f>
        <v/>
      </c>
      <c r="K178" s="246">
        <f>IF($B178="","",ROUND(SUMIFS('ИТОГО Торговля'!$K$5:$K$300,'ИТОГО Торговля'!$B$5:$B$300,$B178)+SUMIFS('ИТОГО Лэндинг'!$K$5:$K$300,'ИТОГО Лэндинг'!$B$5:$B$300,$B178),8))</f>
        <v/>
      </c>
      <c r="L178" s="183">
        <f>IF(K178="","",IF(SUMPRODUCT((Закрытые!$E$5:$E$300=$B178)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178/SUMPRODUCT((Закрытые!$E$5:$E$300=$B178)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8" s="183">
        <f>IF(OR(ROUND(N(C178)-N(F178),8)=0,1-N(Ввод!$E$17)/100&lt;=0),"",IF(N(C178)&gt;N(F178),(N(E178)-N(H178))/((N(C178)-N(F178))*(1-N(Ввод!$E$17)/100)),(N(H178)-N(E178))/((N(F178)-N(C178))*(1+N(Ввод!$E$17)/100))))</f>
        <v/>
      </c>
    </row>
    <row r="179" ht="22" customHeight="1">
      <c r="B179" s="315" t="n"/>
      <c r="C179" s="240">
        <f>IF($B179="","",IF(SUMIFS('ИТОГО Торговля'!$C$5:$C$300,'ИТОГО Торговля'!$B$5:$B$300,$B179)+SUMIFS('ИТОГО Лэндинг'!$C$5:$C$300,'ИТОГО Лэндинг'!$B$5:$B$300,$B179)=0,"",SUMIFS('ИТОГО Торговля'!$C$5:$C$300,'ИТОГО Торговля'!$B$5:$B$300,$B179)+SUMIFS('ИТОГО Лэндинг'!$C$5:$C$300,'ИТОГО Лэндинг'!$B$5:$B$300,$B179)))</f>
        <v/>
      </c>
      <c r="D179" s="177">
        <f>IF(C179="","",E179/C179)</f>
        <v/>
      </c>
      <c r="E179" s="241">
        <f>IF(C179="","",SUMIFS('ИТОГО Торговля'!$E$5:$E$300,'ИТОГО Торговля'!$B$5:$B$300,$B179)+SUMIFS('ИТОГО Лэндинг'!$E$5:$E$300,'ИТОГО Лэндинг'!$B$5:$B$300,$B179))</f>
        <v/>
      </c>
      <c r="F179" s="240">
        <f>IF($B179="","",IF(SUMIFS('ИТОГО Торговля'!$F$5:$F$300,'ИТОГО Торговля'!$B$5:$B$300,$B179)+SUMIFS('ИТОГО Лэндинг'!$F$5:$F$300,'ИТОГО Лэндинг'!$B$5:$B$300,$B179)=0,"",SUMIFS('ИТОГО Торговля'!$F$5:$F$300,'ИТОГО Торговля'!$B$5:$B$300,$B179)+SUMIFS('ИТОГО Лэндинг'!$F$5:$F$300,'ИТОГО Лэндинг'!$B$5:$B$300,$B179)))</f>
        <v/>
      </c>
      <c r="G179" s="177">
        <f>IF(F179="","",H179/F179)</f>
        <v/>
      </c>
      <c r="H179" s="241">
        <f>IF(F179="","",SUMIFS('ИТОГО Торговля'!$H$5:$H$300,'ИТОГО Торговля'!$B$5:$B$300,$B179)+SUMIFS('ИТОГО Лэндинг'!$H$5:$H$300,'ИТОГО Лэндинг'!$B$5:$B$300,$B179))</f>
        <v/>
      </c>
      <c r="I179" s="240">
        <f>IF($B179="","",IF(AND(C179="",F179=""),"",ROUND(SUMIFS('ИТОГО Торговля'!$I$5:$I$300,'ИТОГО Торговля'!$B$5:$B$300,$B179)+SUMIFS('ИТОГО Лэндинг'!$I$5:$I$300,'ИТОГО Лэндинг'!$B$5:$B$300,$B179),8)))</f>
        <v/>
      </c>
      <c r="J179" s="241">
        <f>IF($B179="","",IF(AND(C179="",F179=""),"",ROUND(SUMIFS('ИТОГО Торговля'!$J$5:$J$300,'ИТОГО Торговля'!$B$5:$B$300,$B179)+SUMIFS('ИТОГО Лэндинг'!$J$5:$J$300,'ИТОГО Лэндинг'!$B$5:$B$300,$B179),8)))</f>
        <v/>
      </c>
      <c r="K179" s="240">
        <f>IF($B179="","",ROUND(SUMIFS('ИТОГО Торговля'!$K$5:$K$300,'ИТОГО Торговля'!$B$5:$B$300,$B179)+SUMIFS('ИТОГО Лэндинг'!$K$5:$K$300,'ИТОГО Лэндинг'!$B$5:$B$300,$B179),8))</f>
        <v/>
      </c>
      <c r="L179" s="177">
        <f>IF(K179="","",IF(SUMPRODUCT((Закрытые!$E$5:$E$300=$B179)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179/SUMPRODUCT((Закрытые!$E$5:$E$300=$B179)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9" s="177">
        <f>IF(OR(ROUND(N(C179)-N(F179),8)=0,1-N(Ввод!$E$17)/100&lt;=0),"",IF(N(C179)&gt;N(F179),(N(E179)-N(H179))/((N(C179)-N(F179))*(1-N(Ввод!$E$17)/100)),(N(H179)-N(E179))/((N(F179)-N(C179))*(1+N(Ввод!$E$17)/100))))</f>
        <v/>
      </c>
    </row>
    <row r="180" ht="22" customHeight="1">
      <c r="B180" s="320" t="n"/>
      <c r="C180" s="246">
        <f>IF($B180="","",IF(SUMIFS('ИТОГО Торговля'!$C$5:$C$300,'ИТОГО Торговля'!$B$5:$B$300,$B180)+SUMIFS('ИТОГО Лэндинг'!$C$5:$C$300,'ИТОГО Лэндинг'!$B$5:$B$300,$B180)=0,"",SUMIFS('ИТОГО Торговля'!$C$5:$C$300,'ИТОГО Торговля'!$B$5:$B$300,$B180)+SUMIFS('ИТОГО Лэндинг'!$C$5:$C$300,'ИТОГО Лэндинг'!$B$5:$B$300,$B180)))</f>
        <v/>
      </c>
      <c r="D180" s="183">
        <f>IF(C180="","",E180/C180)</f>
        <v/>
      </c>
      <c r="E180" s="247">
        <f>IF(C180="","",SUMIFS('ИТОГО Торговля'!$E$5:$E$300,'ИТОГО Торговля'!$B$5:$B$300,$B180)+SUMIFS('ИТОГО Лэндинг'!$E$5:$E$300,'ИТОГО Лэндинг'!$B$5:$B$300,$B180))</f>
        <v/>
      </c>
      <c r="F180" s="246">
        <f>IF($B180="","",IF(SUMIFS('ИТОГО Торговля'!$F$5:$F$300,'ИТОГО Торговля'!$B$5:$B$300,$B180)+SUMIFS('ИТОГО Лэндинг'!$F$5:$F$300,'ИТОГО Лэндинг'!$B$5:$B$300,$B180)=0,"",SUMIFS('ИТОГО Торговля'!$F$5:$F$300,'ИТОГО Торговля'!$B$5:$B$300,$B180)+SUMIFS('ИТОГО Лэндинг'!$F$5:$F$300,'ИТОГО Лэндинг'!$B$5:$B$300,$B180)))</f>
        <v/>
      </c>
      <c r="G180" s="183">
        <f>IF(F180="","",H180/F180)</f>
        <v/>
      </c>
      <c r="H180" s="247">
        <f>IF(F180="","",SUMIFS('ИТОГО Торговля'!$H$5:$H$300,'ИТОГО Торговля'!$B$5:$B$300,$B180)+SUMIFS('ИТОГО Лэндинг'!$H$5:$H$300,'ИТОГО Лэндинг'!$B$5:$B$300,$B180))</f>
        <v/>
      </c>
      <c r="I180" s="246">
        <f>IF($B180="","",IF(AND(C180="",F180=""),"",ROUND(SUMIFS('ИТОГО Торговля'!$I$5:$I$300,'ИТОГО Торговля'!$B$5:$B$300,$B180)+SUMIFS('ИТОГО Лэндинг'!$I$5:$I$300,'ИТОГО Лэндинг'!$B$5:$B$300,$B180),8)))</f>
        <v/>
      </c>
      <c r="J180" s="247">
        <f>IF($B180="","",IF(AND(C180="",F180=""),"",ROUND(SUMIFS('ИТОГО Торговля'!$J$5:$J$300,'ИТОГО Торговля'!$B$5:$B$300,$B180)+SUMIFS('ИТОГО Лэндинг'!$J$5:$J$300,'ИТОГО Лэндинг'!$B$5:$B$300,$B180),8)))</f>
        <v/>
      </c>
      <c r="K180" s="246">
        <f>IF($B180="","",ROUND(SUMIFS('ИТОГО Торговля'!$K$5:$K$300,'ИТОГО Торговля'!$B$5:$B$300,$B180)+SUMIFS('ИТОГО Лэндинг'!$K$5:$K$300,'ИТОГО Лэндинг'!$B$5:$B$300,$B180),8))</f>
        <v/>
      </c>
      <c r="L180" s="183">
        <f>IF(K180="","",IF(SUMPRODUCT((Закрытые!$E$5:$E$300=$B180)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180/SUMPRODUCT((Закрытые!$E$5:$E$300=$B180)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0" s="183">
        <f>IF(OR(ROUND(N(C180)-N(F180),8)=0,1-N(Ввод!$E$17)/100&lt;=0),"",IF(N(C180)&gt;N(F180),(N(E180)-N(H180))/((N(C180)-N(F180))*(1-N(Ввод!$E$17)/100)),(N(H180)-N(E180))/((N(F180)-N(C180))*(1+N(Ввод!$E$17)/100))))</f>
        <v/>
      </c>
    </row>
    <row r="181" ht="22" customHeight="1">
      <c r="B181" s="315" t="n"/>
      <c r="C181" s="240">
        <f>IF($B181="","",IF(SUMIFS('ИТОГО Торговля'!$C$5:$C$300,'ИТОГО Торговля'!$B$5:$B$300,$B181)+SUMIFS('ИТОГО Лэндинг'!$C$5:$C$300,'ИТОГО Лэндинг'!$B$5:$B$300,$B181)=0,"",SUMIFS('ИТОГО Торговля'!$C$5:$C$300,'ИТОГО Торговля'!$B$5:$B$300,$B181)+SUMIFS('ИТОГО Лэндинг'!$C$5:$C$300,'ИТОГО Лэндинг'!$B$5:$B$300,$B181)))</f>
        <v/>
      </c>
      <c r="D181" s="177">
        <f>IF(C181="","",E181/C181)</f>
        <v/>
      </c>
      <c r="E181" s="241">
        <f>IF(C181="","",SUMIFS('ИТОГО Торговля'!$E$5:$E$300,'ИТОГО Торговля'!$B$5:$B$300,$B181)+SUMIFS('ИТОГО Лэндинг'!$E$5:$E$300,'ИТОГО Лэндинг'!$B$5:$B$300,$B181))</f>
        <v/>
      </c>
      <c r="F181" s="240">
        <f>IF($B181="","",IF(SUMIFS('ИТОГО Торговля'!$F$5:$F$300,'ИТОГО Торговля'!$B$5:$B$300,$B181)+SUMIFS('ИТОГО Лэндинг'!$F$5:$F$300,'ИТОГО Лэндинг'!$B$5:$B$300,$B181)=0,"",SUMIFS('ИТОГО Торговля'!$F$5:$F$300,'ИТОГО Торговля'!$B$5:$B$300,$B181)+SUMIFS('ИТОГО Лэндинг'!$F$5:$F$300,'ИТОГО Лэндинг'!$B$5:$B$300,$B181)))</f>
        <v/>
      </c>
      <c r="G181" s="177">
        <f>IF(F181="","",H181/F181)</f>
        <v/>
      </c>
      <c r="H181" s="241">
        <f>IF(F181="","",SUMIFS('ИТОГО Торговля'!$H$5:$H$300,'ИТОГО Торговля'!$B$5:$B$300,$B181)+SUMIFS('ИТОГО Лэндинг'!$H$5:$H$300,'ИТОГО Лэндинг'!$B$5:$B$300,$B181))</f>
        <v/>
      </c>
      <c r="I181" s="240">
        <f>IF($B181="","",IF(AND(C181="",F181=""),"",ROUND(SUMIFS('ИТОГО Торговля'!$I$5:$I$300,'ИТОГО Торговля'!$B$5:$B$300,$B181)+SUMIFS('ИТОГО Лэндинг'!$I$5:$I$300,'ИТОГО Лэндинг'!$B$5:$B$300,$B181),8)))</f>
        <v/>
      </c>
      <c r="J181" s="241">
        <f>IF($B181="","",IF(AND(C181="",F181=""),"",ROUND(SUMIFS('ИТОГО Торговля'!$J$5:$J$300,'ИТОГО Торговля'!$B$5:$B$300,$B181)+SUMIFS('ИТОГО Лэндинг'!$J$5:$J$300,'ИТОГО Лэндинг'!$B$5:$B$300,$B181),8)))</f>
        <v/>
      </c>
      <c r="K181" s="240">
        <f>IF($B181="","",ROUND(SUMIFS('ИТОГО Торговля'!$K$5:$K$300,'ИТОГО Торговля'!$B$5:$B$300,$B181)+SUMIFS('ИТОГО Лэндинг'!$K$5:$K$300,'ИТОГО Лэндинг'!$B$5:$B$300,$B181),8))</f>
        <v/>
      </c>
      <c r="L181" s="177">
        <f>IF(K181="","",IF(SUMPRODUCT((Закрытые!$E$5:$E$300=$B181)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181/SUMPRODUCT((Закрытые!$E$5:$E$300=$B181)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1" s="177">
        <f>IF(OR(ROUND(N(C181)-N(F181),8)=0,1-N(Ввод!$E$17)/100&lt;=0),"",IF(N(C181)&gt;N(F181),(N(E181)-N(H181))/((N(C181)-N(F181))*(1-N(Ввод!$E$17)/100)),(N(H181)-N(E181))/((N(F181)-N(C181))*(1+N(Ввод!$E$17)/100))))</f>
        <v/>
      </c>
    </row>
    <row r="182" ht="22" customHeight="1">
      <c r="B182" s="320" t="n"/>
      <c r="C182" s="246">
        <f>IF($B182="","",IF(SUMIFS('ИТОГО Торговля'!$C$5:$C$300,'ИТОГО Торговля'!$B$5:$B$300,$B182)+SUMIFS('ИТОГО Лэндинг'!$C$5:$C$300,'ИТОГО Лэндинг'!$B$5:$B$300,$B182)=0,"",SUMIFS('ИТОГО Торговля'!$C$5:$C$300,'ИТОГО Торговля'!$B$5:$B$300,$B182)+SUMIFS('ИТОГО Лэндинг'!$C$5:$C$300,'ИТОГО Лэндинг'!$B$5:$B$300,$B182)))</f>
        <v/>
      </c>
      <c r="D182" s="183">
        <f>IF(C182="","",E182/C182)</f>
        <v/>
      </c>
      <c r="E182" s="247">
        <f>IF(C182="","",SUMIFS('ИТОГО Торговля'!$E$5:$E$300,'ИТОГО Торговля'!$B$5:$B$300,$B182)+SUMIFS('ИТОГО Лэндинг'!$E$5:$E$300,'ИТОГО Лэндинг'!$B$5:$B$300,$B182))</f>
        <v/>
      </c>
      <c r="F182" s="246">
        <f>IF($B182="","",IF(SUMIFS('ИТОГО Торговля'!$F$5:$F$300,'ИТОГО Торговля'!$B$5:$B$300,$B182)+SUMIFS('ИТОГО Лэндинг'!$F$5:$F$300,'ИТОГО Лэндинг'!$B$5:$B$300,$B182)=0,"",SUMIFS('ИТОГО Торговля'!$F$5:$F$300,'ИТОГО Торговля'!$B$5:$B$300,$B182)+SUMIFS('ИТОГО Лэндинг'!$F$5:$F$300,'ИТОГО Лэндинг'!$B$5:$B$300,$B182)))</f>
        <v/>
      </c>
      <c r="G182" s="183">
        <f>IF(F182="","",H182/F182)</f>
        <v/>
      </c>
      <c r="H182" s="247">
        <f>IF(F182="","",SUMIFS('ИТОГО Торговля'!$H$5:$H$300,'ИТОГО Торговля'!$B$5:$B$300,$B182)+SUMIFS('ИТОГО Лэндинг'!$H$5:$H$300,'ИТОГО Лэндинг'!$B$5:$B$300,$B182))</f>
        <v/>
      </c>
      <c r="I182" s="246">
        <f>IF($B182="","",IF(AND(C182="",F182=""),"",ROUND(SUMIFS('ИТОГО Торговля'!$I$5:$I$300,'ИТОГО Торговля'!$B$5:$B$300,$B182)+SUMIFS('ИТОГО Лэндинг'!$I$5:$I$300,'ИТОГО Лэндинг'!$B$5:$B$300,$B182),8)))</f>
        <v/>
      </c>
      <c r="J182" s="247">
        <f>IF($B182="","",IF(AND(C182="",F182=""),"",ROUND(SUMIFS('ИТОГО Торговля'!$J$5:$J$300,'ИТОГО Торговля'!$B$5:$B$300,$B182)+SUMIFS('ИТОГО Лэндинг'!$J$5:$J$300,'ИТОГО Лэндинг'!$B$5:$B$300,$B182),8)))</f>
        <v/>
      </c>
      <c r="K182" s="246">
        <f>IF($B182="","",ROUND(SUMIFS('ИТОГО Торговля'!$K$5:$K$300,'ИТОГО Торговля'!$B$5:$B$300,$B182)+SUMIFS('ИТОГО Лэндинг'!$K$5:$K$300,'ИТОГО Лэндинг'!$B$5:$B$300,$B182),8))</f>
        <v/>
      </c>
      <c r="L182" s="183">
        <f>IF(K182="","",IF(SUMPRODUCT((Закрытые!$E$5:$E$300=$B182)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182/SUMPRODUCT((Закрытые!$E$5:$E$300=$B182)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2" s="183">
        <f>IF(OR(ROUND(N(C182)-N(F182),8)=0,1-N(Ввод!$E$17)/100&lt;=0),"",IF(N(C182)&gt;N(F182),(N(E182)-N(H182))/((N(C182)-N(F182))*(1-N(Ввод!$E$17)/100)),(N(H182)-N(E182))/((N(F182)-N(C182))*(1+N(Ввод!$E$17)/100))))</f>
        <v/>
      </c>
    </row>
    <row r="183" ht="22" customHeight="1">
      <c r="B183" s="315" t="n"/>
      <c r="C183" s="240">
        <f>IF($B183="","",IF(SUMIFS('ИТОГО Торговля'!$C$5:$C$300,'ИТОГО Торговля'!$B$5:$B$300,$B183)+SUMIFS('ИТОГО Лэндинг'!$C$5:$C$300,'ИТОГО Лэндинг'!$B$5:$B$300,$B183)=0,"",SUMIFS('ИТОГО Торговля'!$C$5:$C$300,'ИТОГО Торговля'!$B$5:$B$300,$B183)+SUMIFS('ИТОГО Лэндинг'!$C$5:$C$300,'ИТОГО Лэндинг'!$B$5:$B$300,$B183)))</f>
        <v/>
      </c>
      <c r="D183" s="177">
        <f>IF(C183="","",E183/C183)</f>
        <v/>
      </c>
      <c r="E183" s="241">
        <f>IF(C183="","",SUMIFS('ИТОГО Торговля'!$E$5:$E$300,'ИТОГО Торговля'!$B$5:$B$300,$B183)+SUMIFS('ИТОГО Лэндинг'!$E$5:$E$300,'ИТОГО Лэндинг'!$B$5:$B$300,$B183))</f>
        <v/>
      </c>
      <c r="F183" s="240">
        <f>IF($B183="","",IF(SUMIFS('ИТОГО Торговля'!$F$5:$F$300,'ИТОГО Торговля'!$B$5:$B$300,$B183)+SUMIFS('ИТОГО Лэндинг'!$F$5:$F$300,'ИТОГО Лэндинг'!$B$5:$B$300,$B183)=0,"",SUMIFS('ИТОГО Торговля'!$F$5:$F$300,'ИТОГО Торговля'!$B$5:$B$300,$B183)+SUMIFS('ИТОГО Лэндинг'!$F$5:$F$300,'ИТОГО Лэндинг'!$B$5:$B$300,$B183)))</f>
        <v/>
      </c>
      <c r="G183" s="177">
        <f>IF(F183="","",H183/F183)</f>
        <v/>
      </c>
      <c r="H183" s="241">
        <f>IF(F183="","",SUMIFS('ИТОГО Торговля'!$H$5:$H$300,'ИТОГО Торговля'!$B$5:$B$300,$B183)+SUMIFS('ИТОГО Лэндинг'!$H$5:$H$300,'ИТОГО Лэндинг'!$B$5:$B$300,$B183))</f>
        <v/>
      </c>
      <c r="I183" s="240">
        <f>IF($B183="","",IF(AND(C183="",F183=""),"",ROUND(SUMIFS('ИТОГО Торговля'!$I$5:$I$300,'ИТОГО Торговля'!$B$5:$B$300,$B183)+SUMIFS('ИТОГО Лэндинг'!$I$5:$I$300,'ИТОГО Лэндинг'!$B$5:$B$300,$B183),8)))</f>
        <v/>
      </c>
      <c r="J183" s="241">
        <f>IF($B183="","",IF(AND(C183="",F183=""),"",ROUND(SUMIFS('ИТОГО Торговля'!$J$5:$J$300,'ИТОГО Торговля'!$B$5:$B$300,$B183)+SUMIFS('ИТОГО Лэндинг'!$J$5:$J$300,'ИТОГО Лэндинг'!$B$5:$B$300,$B183),8)))</f>
        <v/>
      </c>
      <c r="K183" s="240">
        <f>IF($B183="","",ROUND(SUMIFS('ИТОГО Торговля'!$K$5:$K$300,'ИТОГО Торговля'!$B$5:$B$300,$B183)+SUMIFS('ИТОГО Лэндинг'!$K$5:$K$300,'ИТОГО Лэндинг'!$B$5:$B$300,$B183),8))</f>
        <v/>
      </c>
      <c r="L183" s="177">
        <f>IF(K183="","",IF(SUMPRODUCT((Закрытые!$E$5:$E$300=$B183)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183/SUMPRODUCT((Закрытые!$E$5:$E$300=$B183)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3" s="177">
        <f>IF(OR(ROUND(N(C183)-N(F183),8)=0,1-N(Ввод!$E$17)/100&lt;=0),"",IF(N(C183)&gt;N(F183),(N(E183)-N(H183))/((N(C183)-N(F183))*(1-N(Ввод!$E$17)/100)),(N(H183)-N(E183))/((N(F183)-N(C183))*(1+N(Ввод!$E$17)/100))))</f>
        <v/>
      </c>
    </row>
    <row r="184" ht="22" customHeight="1">
      <c r="B184" s="320" t="n"/>
      <c r="C184" s="246">
        <f>IF($B184="","",IF(SUMIFS('ИТОГО Торговля'!$C$5:$C$300,'ИТОГО Торговля'!$B$5:$B$300,$B184)+SUMIFS('ИТОГО Лэндинг'!$C$5:$C$300,'ИТОГО Лэндинг'!$B$5:$B$300,$B184)=0,"",SUMIFS('ИТОГО Торговля'!$C$5:$C$300,'ИТОГО Торговля'!$B$5:$B$300,$B184)+SUMIFS('ИТОГО Лэндинг'!$C$5:$C$300,'ИТОГО Лэндинг'!$B$5:$B$300,$B184)))</f>
        <v/>
      </c>
      <c r="D184" s="183">
        <f>IF(C184="","",E184/C184)</f>
        <v/>
      </c>
      <c r="E184" s="247">
        <f>IF(C184="","",SUMIFS('ИТОГО Торговля'!$E$5:$E$300,'ИТОГО Торговля'!$B$5:$B$300,$B184)+SUMIFS('ИТОГО Лэндинг'!$E$5:$E$300,'ИТОГО Лэндинг'!$B$5:$B$300,$B184))</f>
        <v/>
      </c>
      <c r="F184" s="246">
        <f>IF($B184="","",IF(SUMIFS('ИТОГО Торговля'!$F$5:$F$300,'ИТОГО Торговля'!$B$5:$B$300,$B184)+SUMIFS('ИТОГО Лэндинг'!$F$5:$F$300,'ИТОГО Лэндинг'!$B$5:$B$300,$B184)=0,"",SUMIFS('ИТОГО Торговля'!$F$5:$F$300,'ИТОГО Торговля'!$B$5:$B$300,$B184)+SUMIFS('ИТОГО Лэндинг'!$F$5:$F$300,'ИТОГО Лэндинг'!$B$5:$B$300,$B184)))</f>
        <v/>
      </c>
      <c r="G184" s="183">
        <f>IF(F184="","",H184/F184)</f>
        <v/>
      </c>
      <c r="H184" s="247">
        <f>IF(F184="","",SUMIFS('ИТОГО Торговля'!$H$5:$H$300,'ИТОГО Торговля'!$B$5:$B$300,$B184)+SUMIFS('ИТОГО Лэндинг'!$H$5:$H$300,'ИТОГО Лэндинг'!$B$5:$B$300,$B184))</f>
        <v/>
      </c>
      <c r="I184" s="246">
        <f>IF($B184="","",IF(AND(C184="",F184=""),"",ROUND(SUMIFS('ИТОГО Торговля'!$I$5:$I$300,'ИТОГО Торговля'!$B$5:$B$300,$B184)+SUMIFS('ИТОГО Лэндинг'!$I$5:$I$300,'ИТОГО Лэндинг'!$B$5:$B$300,$B184),8)))</f>
        <v/>
      </c>
      <c r="J184" s="247">
        <f>IF($B184="","",IF(AND(C184="",F184=""),"",ROUND(SUMIFS('ИТОГО Торговля'!$J$5:$J$300,'ИТОГО Торговля'!$B$5:$B$300,$B184)+SUMIFS('ИТОГО Лэндинг'!$J$5:$J$300,'ИТОГО Лэндинг'!$B$5:$B$300,$B184),8)))</f>
        <v/>
      </c>
      <c r="K184" s="246">
        <f>IF($B184="","",ROUND(SUMIFS('ИТОГО Торговля'!$K$5:$K$300,'ИТОГО Торговля'!$B$5:$B$300,$B184)+SUMIFS('ИТОГО Лэндинг'!$K$5:$K$300,'ИТОГО Лэндинг'!$B$5:$B$300,$B184),8))</f>
        <v/>
      </c>
      <c r="L184" s="183">
        <f>IF(K184="","",IF(SUMPRODUCT((Закрытые!$E$5:$E$300=$B184)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184/SUMPRODUCT((Закрытые!$E$5:$E$300=$B184)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4" s="183">
        <f>IF(OR(ROUND(N(C184)-N(F184),8)=0,1-N(Ввод!$E$17)/100&lt;=0),"",IF(N(C184)&gt;N(F184),(N(E184)-N(H184))/((N(C184)-N(F184))*(1-N(Ввод!$E$17)/100)),(N(H184)-N(E184))/((N(F184)-N(C184))*(1+N(Ввод!$E$17)/100))))</f>
        <v/>
      </c>
    </row>
    <row r="185" ht="22" customHeight="1">
      <c r="B185" s="315" t="n"/>
      <c r="C185" s="240">
        <f>IF($B185="","",IF(SUMIFS('ИТОГО Торговля'!$C$5:$C$300,'ИТОГО Торговля'!$B$5:$B$300,$B185)+SUMIFS('ИТОГО Лэндинг'!$C$5:$C$300,'ИТОГО Лэндинг'!$B$5:$B$300,$B185)=0,"",SUMIFS('ИТОГО Торговля'!$C$5:$C$300,'ИТОГО Торговля'!$B$5:$B$300,$B185)+SUMIFS('ИТОГО Лэндинг'!$C$5:$C$300,'ИТОГО Лэндинг'!$B$5:$B$300,$B185)))</f>
        <v/>
      </c>
      <c r="D185" s="177">
        <f>IF(C185="","",E185/C185)</f>
        <v/>
      </c>
      <c r="E185" s="241">
        <f>IF(C185="","",SUMIFS('ИТОГО Торговля'!$E$5:$E$300,'ИТОГО Торговля'!$B$5:$B$300,$B185)+SUMIFS('ИТОГО Лэндинг'!$E$5:$E$300,'ИТОГО Лэндинг'!$B$5:$B$300,$B185))</f>
        <v/>
      </c>
      <c r="F185" s="240">
        <f>IF($B185="","",IF(SUMIFS('ИТОГО Торговля'!$F$5:$F$300,'ИТОГО Торговля'!$B$5:$B$300,$B185)+SUMIFS('ИТОГО Лэндинг'!$F$5:$F$300,'ИТОГО Лэндинг'!$B$5:$B$300,$B185)=0,"",SUMIFS('ИТОГО Торговля'!$F$5:$F$300,'ИТОГО Торговля'!$B$5:$B$300,$B185)+SUMIFS('ИТОГО Лэндинг'!$F$5:$F$300,'ИТОГО Лэндинг'!$B$5:$B$300,$B185)))</f>
        <v/>
      </c>
      <c r="G185" s="177">
        <f>IF(F185="","",H185/F185)</f>
        <v/>
      </c>
      <c r="H185" s="241">
        <f>IF(F185="","",SUMIFS('ИТОГО Торговля'!$H$5:$H$300,'ИТОГО Торговля'!$B$5:$B$300,$B185)+SUMIFS('ИТОГО Лэндинг'!$H$5:$H$300,'ИТОГО Лэндинг'!$B$5:$B$300,$B185))</f>
        <v/>
      </c>
      <c r="I185" s="240">
        <f>IF($B185="","",IF(AND(C185="",F185=""),"",ROUND(SUMIFS('ИТОГО Торговля'!$I$5:$I$300,'ИТОГО Торговля'!$B$5:$B$300,$B185)+SUMIFS('ИТОГО Лэндинг'!$I$5:$I$300,'ИТОГО Лэндинг'!$B$5:$B$300,$B185),8)))</f>
        <v/>
      </c>
      <c r="J185" s="241">
        <f>IF($B185="","",IF(AND(C185="",F185=""),"",ROUND(SUMIFS('ИТОГО Торговля'!$J$5:$J$300,'ИТОГО Торговля'!$B$5:$B$300,$B185)+SUMIFS('ИТОГО Лэндинг'!$J$5:$J$300,'ИТОГО Лэндинг'!$B$5:$B$300,$B185),8)))</f>
        <v/>
      </c>
      <c r="K185" s="240">
        <f>IF($B185="","",ROUND(SUMIFS('ИТОГО Торговля'!$K$5:$K$300,'ИТОГО Торговля'!$B$5:$B$300,$B185)+SUMIFS('ИТОГО Лэндинг'!$K$5:$K$300,'ИТОГО Лэндинг'!$B$5:$B$300,$B185),8))</f>
        <v/>
      </c>
      <c r="L185" s="177">
        <f>IF(K185="","",IF(SUMPRODUCT((Закрытые!$E$5:$E$300=$B185)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185/SUMPRODUCT((Закрытые!$E$5:$E$300=$B185)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5" s="177">
        <f>IF(OR(ROUND(N(C185)-N(F185),8)=0,1-N(Ввод!$E$17)/100&lt;=0),"",IF(N(C185)&gt;N(F185),(N(E185)-N(H185))/((N(C185)-N(F185))*(1-N(Ввод!$E$17)/100)),(N(H185)-N(E185))/((N(F185)-N(C185))*(1+N(Ввод!$E$17)/100))))</f>
        <v/>
      </c>
    </row>
    <row r="186" ht="22" customHeight="1">
      <c r="B186" s="320" t="n"/>
      <c r="C186" s="246">
        <f>IF($B186="","",IF(SUMIFS('ИТОГО Торговля'!$C$5:$C$300,'ИТОГО Торговля'!$B$5:$B$300,$B186)+SUMIFS('ИТОГО Лэндинг'!$C$5:$C$300,'ИТОГО Лэндинг'!$B$5:$B$300,$B186)=0,"",SUMIFS('ИТОГО Торговля'!$C$5:$C$300,'ИТОГО Торговля'!$B$5:$B$300,$B186)+SUMIFS('ИТОГО Лэндинг'!$C$5:$C$300,'ИТОГО Лэндинг'!$B$5:$B$300,$B186)))</f>
        <v/>
      </c>
      <c r="D186" s="183">
        <f>IF(C186="","",E186/C186)</f>
        <v/>
      </c>
      <c r="E186" s="247">
        <f>IF(C186="","",SUMIFS('ИТОГО Торговля'!$E$5:$E$300,'ИТОГО Торговля'!$B$5:$B$300,$B186)+SUMIFS('ИТОГО Лэндинг'!$E$5:$E$300,'ИТОГО Лэндинг'!$B$5:$B$300,$B186))</f>
        <v/>
      </c>
      <c r="F186" s="246">
        <f>IF($B186="","",IF(SUMIFS('ИТОГО Торговля'!$F$5:$F$300,'ИТОГО Торговля'!$B$5:$B$300,$B186)+SUMIFS('ИТОГО Лэндинг'!$F$5:$F$300,'ИТОГО Лэндинг'!$B$5:$B$300,$B186)=0,"",SUMIFS('ИТОГО Торговля'!$F$5:$F$300,'ИТОГО Торговля'!$B$5:$B$300,$B186)+SUMIFS('ИТОГО Лэндинг'!$F$5:$F$300,'ИТОГО Лэндинг'!$B$5:$B$300,$B186)))</f>
        <v/>
      </c>
      <c r="G186" s="183">
        <f>IF(F186="","",H186/F186)</f>
        <v/>
      </c>
      <c r="H186" s="247">
        <f>IF(F186="","",SUMIFS('ИТОГО Торговля'!$H$5:$H$300,'ИТОГО Торговля'!$B$5:$B$300,$B186)+SUMIFS('ИТОГО Лэндинг'!$H$5:$H$300,'ИТОГО Лэндинг'!$B$5:$B$300,$B186))</f>
        <v/>
      </c>
      <c r="I186" s="246">
        <f>IF($B186="","",IF(AND(C186="",F186=""),"",ROUND(SUMIFS('ИТОГО Торговля'!$I$5:$I$300,'ИТОГО Торговля'!$B$5:$B$300,$B186)+SUMIFS('ИТОГО Лэндинг'!$I$5:$I$300,'ИТОГО Лэндинг'!$B$5:$B$300,$B186),8)))</f>
        <v/>
      </c>
      <c r="J186" s="247">
        <f>IF($B186="","",IF(AND(C186="",F186=""),"",ROUND(SUMIFS('ИТОГО Торговля'!$J$5:$J$300,'ИТОГО Торговля'!$B$5:$B$300,$B186)+SUMIFS('ИТОГО Лэндинг'!$J$5:$J$300,'ИТОГО Лэндинг'!$B$5:$B$300,$B186),8)))</f>
        <v/>
      </c>
      <c r="K186" s="246">
        <f>IF($B186="","",ROUND(SUMIFS('ИТОГО Торговля'!$K$5:$K$300,'ИТОГО Торговля'!$B$5:$B$300,$B186)+SUMIFS('ИТОГО Лэндинг'!$K$5:$K$300,'ИТОГО Лэндинг'!$B$5:$B$300,$B186),8))</f>
        <v/>
      </c>
      <c r="L186" s="183">
        <f>IF(K186="","",IF(SUMPRODUCT((Закрытые!$E$5:$E$300=$B186)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186/SUMPRODUCT((Закрытые!$E$5:$E$300=$B186)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6" s="183">
        <f>IF(OR(ROUND(N(C186)-N(F186),8)=0,1-N(Ввод!$E$17)/100&lt;=0),"",IF(N(C186)&gt;N(F186),(N(E186)-N(H186))/((N(C186)-N(F186))*(1-N(Ввод!$E$17)/100)),(N(H186)-N(E186))/((N(F186)-N(C186))*(1+N(Ввод!$E$17)/100))))</f>
        <v/>
      </c>
    </row>
    <row r="187" ht="22" customHeight="1">
      <c r="B187" s="315" t="n"/>
      <c r="C187" s="240">
        <f>IF($B187="","",IF(SUMIFS('ИТОГО Торговля'!$C$5:$C$300,'ИТОГО Торговля'!$B$5:$B$300,$B187)+SUMIFS('ИТОГО Лэндинг'!$C$5:$C$300,'ИТОГО Лэндинг'!$B$5:$B$300,$B187)=0,"",SUMIFS('ИТОГО Торговля'!$C$5:$C$300,'ИТОГО Торговля'!$B$5:$B$300,$B187)+SUMIFS('ИТОГО Лэндинг'!$C$5:$C$300,'ИТОГО Лэндинг'!$B$5:$B$300,$B187)))</f>
        <v/>
      </c>
      <c r="D187" s="177">
        <f>IF(C187="","",E187/C187)</f>
        <v/>
      </c>
      <c r="E187" s="241">
        <f>IF(C187="","",SUMIFS('ИТОГО Торговля'!$E$5:$E$300,'ИТОГО Торговля'!$B$5:$B$300,$B187)+SUMIFS('ИТОГО Лэндинг'!$E$5:$E$300,'ИТОГО Лэндинг'!$B$5:$B$300,$B187))</f>
        <v/>
      </c>
      <c r="F187" s="240">
        <f>IF($B187="","",IF(SUMIFS('ИТОГО Торговля'!$F$5:$F$300,'ИТОГО Торговля'!$B$5:$B$300,$B187)+SUMIFS('ИТОГО Лэндинг'!$F$5:$F$300,'ИТОГО Лэндинг'!$B$5:$B$300,$B187)=0,"",SUMIFS('ИТОГО Торговля'!$F$5:$F$300,'ИТОГО Торговля'!$B$5:$B$300,$B187)+SUMIFS('ИТОГО Лэндинг'!$F$5:$F$300,'ИТОГО Лэндинг'!$B$5:$B$300,$B187)))</f>
        <v/>
      </c>
      <c r="G187" s="177">
        <f>IF(F187="","",H187/F187)</f>
        <v/>
      </c>
      <c r="H187" s="241">
        <f>IF(F187="","",SUMIFS('ИТОГО Торговля'!$H$5:$H$300,'ИТОГО Торговля'!$B$5:$B$300,$B187)+SUMIFS('ИТОГО Лэндинг'!$H$5:$H$300,'ИТОГО Лэндинг'!$B$5:$B$300,$B187))</f>
        <v/>
      </c>
      <c r="I187" s="240">
        <f>IF($B187="","",IF(AND(C187="",F187=""),"",ROUND(SUMIFS('ИТОГО Торговля'!$I$5:$I$300,'ИТОГО Торговля'!$B$5:$B$300,$B187)+SUMIFS('ИТОГО Лэндинг'!$I$5:$I$300,'ИТОГО Лэндинг'!$B$5:$B$300,$B187),8)))</f>
        <v/>
      </c>
      <c r="J187" s="241">
        <f>IF($B187="","",IF(AND(C187="",F187=""),"",ROUND(SUMIFS('ИТОГО Торговля'!$J$5:$J$300,'ИТОГО Торговля'!$B$5:$B$300,$B187)+SUMIFS('ИТОГО Лэндинг'!$J$5:$J$300,'ИТОГО Лэндинг'!$B$5:$B$300,$B187),8)))</f>
        <v/>
      </c>
      <c r="K187" s="240">
        <f>IF($B187="","",ROUND(SUMIFS('ИТОГО Торговля'!$K$5:$K$300,'ИТОГО Торговля'!$B$5:$B$300,$B187)+SUMIFS('ИТОГО Лэндинг'!$K$5:$K$300,'ИТОГО Лэндинг'!$B$5:$B$300,$B187),8))</f>
        <v/>
      </c>
      <c r="L187" s="177">
        <f>IF(K187="","",IF(SUMPRODUCT((Закрытые!$E$5:$E$300=$B187)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187/SUMPRODUCT((Закрытые!$E$5:$E$300=$B187)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7" s="177">
        <f>IF(OR(ROUND(N(C187)-N(F187),8)=0,1-N(Ввод!$E$17)/100&lt;=0),"",IF(N(C187)&gt;N(F187),(N(E187)-N(H187))/((N(C187)-N(F187))*(1-N(Ввод!$E$17)/100)),(N(H187)-N(E187))/((N(F187)-N(C187))*(1+N(Ввод!$E$17)/100))))</f>
        <v/>
      </c>
    </row>
    <row r="188" ht="22" customHeight="1">
      <c r="B188" s="320" t="n"/>
      <c r="C188" s="246">
        <f>IF($B188="","",IF(SUMIFS('ИТОГО Торговля'!$C$5:$C$300,'ИТОГО Торговля'!$B$5:$B$300,$B188)+SUMIFS('ИТОГО Лэндинг'!$C$5:$C$300,'ИТОГО Лэндинг'!$B$5:$B$300,$B188)=0,"",SUMIFS('ИТОГО Торговля'!$C$5:$C$300,'ИТОГО Торговля'!$B$5:$B$300,$B188)+SUMIFS('ИТОГО Лэндинг'!$C$5:$C$300,'ИТОГО Лэндинг'!$B$5:$B$300,$B188)))</f>
        <v/>
      </c>
      <c r="D188" s="183">
        <f>IF(C188="","",E188/C188)</f>
        <v/>
      </c>
      <c r="E188" s="247">
        <f>IF(C188="","",SUMIFS('ИТОГО Торговля'!$E$5:$E$300,'ИТОГО Торговля'!$B$5:$B$300,$B188)+SUMIFS('ИТОГО Лэндинг'!$E$5:$E$300,'ИТОГО Лэндинг'!$B$5:$B$300,$B188))</f>
        <v/>
      </c>
      <c r="F188" s="246">
        <f>IF($B188="","",IF(SUMIFS('ИТОГО Торговля'!$F$5:$F$300,'ИТОГО Торговля'!$B$5:$B$300,$B188)+SUMIFS('ИТОГО Лэндинг'!$F$5:$F$300,'ИТОГО Лэндинг'!$B$5:$B$300,$B188)=0,"",SUMIFS('ИТОГО Торговля'!$F$5:$F$300,'ИТОГО Торговля'!$B$5:$B$300,$B188)+SUMIFS('ИТОГО Лэндинг'!$F$5:$F$300,'ИТОГО Лэндинг'!$B$5:$B$300,$B188)))</f>
        <v/>
      </c>
      <c r="G188" s="183">
        <f>IF(F188="","",H188/F188)</f>
        <v/>
      </c>
      <c r="H188" s="247">
        <f>IF(F188="","",SUMIFS('ИТОГО Торговля'!$H$5:$H$300,'ИТОГО Торговля'!$B$5:$B$300,$B188)+SUMIFS('ИТОГО Лэндинг'!$H$5:$H$300,'ИТОГО Лэндинг'!$B$5:$B$300,$B188))</f>
        <v/>
      </c>
      <c r="I188" s="246">
        <f>IF($B188="","",IF(AND(C188="",F188=""),"",ROUND(SUMIFS('ИТОГО Торговля'!$I$5:$I$300,'ИТОГО Торговля'!$B$5:$B$300,$B188)+SUMIFS('ИТОГО Лэндинг'!$I$5:$I$300,'ИТОГО Лэндинг'!$B$5:$B$300,$B188),8)))</f>
        <v/>
      </c>
      <c r="J188" s="247">
        <f>IF($B188="","",IF(AND(C188="",F188=""),"",ROUND(SUMIFS('ИТОГО Торговля'!$J$5:$J$300,'ИТОГО Торговля'!$B$5:$B$300,$B188)+SUMIFS('ИТОГО Лэндинг'!$J$5:$J$300,'ИТОГО Лэндинг'!$B$5:$B$300,$B188),8)))</f>
        <v/>
      </c>
      <c r="K188" s="246">
        <f>IF($B188="","",ROUND(SUMIFS('ИТОГО Торговля'!$K$5:$K$300,'ИТОГО Торговля'!$B$5:$B$300,$B188)+SUMIFS('ИТОГО Лэндинг'!$K$5:$K$300,'ИТОГО Лэндинг'!$B$5:$B$300,$B188),8))</f>
        <v/>
      </c>
      <c r="L188" s="183">
        <f>IF(K188="","",IF(SUMPRODUCT((Закрытые!$E$5:$E$300=$B188)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188/SUMPRODUCT((Закрытые!$E$5:$E$300=$B188)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8" s="183">
        <f>IF(OR(ROUND(N(C188)-N(F188),8)=0,1-N(Ввод!$E$17)/100&lt;=0),"",IF(N(C188)&gt;N(F188),(N(E188)-N(H188))/((N(C188)-N(F188))*(1-N(Ввод!$E$17)/100)),(N(H188)-N(E188))/((N(F188)-N(C188))*(1+N(Ввод!$E$17)/100))))</f>
        <v/>
      </c>
    </row>
    <row r="189" ht="22" customHeight="1">
      <c r="B189" s="315" t="n"/>
      <c r="C189" s="240">
        <f>IF($B189="","",IF(SUMIFS('ИТОГО Торговля'!$C$5:$C$300,'ИТОГО Торговля'!$B$5:$B$300,$B189)+SUMIFS('ИТОГО Лэндинг'!$C$5:$C$300,'ИТОГО Лэндинг'!$B$5:$B$300,$B189)=0,"",SUMIFS('ИТОГО Торговля'!$C$5:$C$300,'ИТОГО Торговля'!$B$5:$B$300,$B189)+SUMIFS('ИТОГО Лэндинг'!$C$5:$C$300,'ИТОГО Лэндинг'!$B$5:$B$300,$B189)))</f>
        <v/>
      </c>
      <c r="D189" s="177">
        <f>IF(C189="","",E189/C189)</f>
        <v/>
      </c>
      <c r="E189" s="241">
        <f>IF(C189="","",SUMIFS('ИТОГО Торговля'!$E$5:$E$300,'ИТОГО Торговля'!$B$5:$B$300,$B189)+SUMIFS('ИТОГО Лэндинг'!$E$5:$E$300,'ИТОГО Лэндинг'!$B$5:$B$300,$B189))</f>
        <v/>
      </c>
      <c r="F189" s="240">
        <f>IF($B189="","",IF(SUMIFS('ИТОГО Торговля'!$F$5:$F$300,'ИТОГО Торговля'!$B$5:$B$300,$B189)+SUMIFS('ИТОГО Лэндинг'!$F$5:$F$300,'ИТОГО Лэндинг'!$B$5:$B$300,$B189)=0,"",SUMIFS('ИТОГО Торговля'!$F$5:$F$300,'ИТОГО Торговля'!$B$5:$B$300,$B189)+SUMIFS('ИТОГО Лэндинг'!$F$5:$F$300,'ИТОГО Лэндинг'!$B$5:$B$300,$B189)))</f>
        <v/>
      </c>
      <c r="G189" s="177">
        <f>IF(F189="","",H189/F189)</f>
        <v/>
      </c>
      <c r="H189" s="241">
        <f>IF(F189="","",SUMIFS('ИТОГО Торговля'!$H$5:$H$300,'ИТОГО Торговля'!$B$5:$B$300,$B189)+SUMIFS('ИТОГО Лэндинг'!$H$5:$H$300,'ИТОГО Лэндинг'!$B$5:$B$300,$B189))</f>
        <v/>
      </c>
      <c r="I189" s="240">
        <f>IF($B189="","",IF(AND(C189="",F189=""),"",ROUND(SUMIFS('ИТОГО Торговля'!$I$5:$I$300,'ИТОГО Торговля'!$B$5:$B$300,$B189)+SUMIFS('ИТОГО Лэндинг'!$I$5:$I$300,'ИТОГО Лэндинг'!$B$5:$B$300,$B189),8)))</f>
        <v/>
      </c>
      <c r="J189" s="241">
        <f>IF($B189="","",IF(AND(C189="",F189=""),"",ROUND(SUMIFS('ИТОГО Торговля'!$J$5:$J$300,'ИТОГО Торговля'!$B$5:$B$300,$B189)+SUMIFS('ИТОГО Лэндинг'!$J$5:$J$300,'ИТОГО Лэндинг'!$B$5:$B$300,$B189),8)))</f>
        <v/>
      </c>
      <c r="K189" s="240">
        <f>IF($B189="","",ROUND(SUMIFS('ИТОГО Торговля'!$K$5:$K$300,'ИТОГО Торговля'!$B$5:$B$300,$B189)+SUMIFS('ИТОГО Лэндинг'!$K$5:$K$300,'ИТОГО Лэндинг'!$B$5:$B$300,$B189),8))</f>
        <v/>
      </c>
      <c r="L189" s="177">
        <f>IF(K189="","",IF(SUMPRODUCT((Закрытые!$E$5:$E$300=$B189)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189/SUMPRODUCT((Закрытые!$E$5:$E$300=$B189)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9" s="177">
        <f>IF(OR(ROUND(N(C189)-N(F189),8)=0,1-N(Ввод!$E$17)/100&lt;=0),"",IF(N(C189)&gt;N(F189),(N(E189)-N(H189))/((N(C189)-N(F189))*(1-N(Ввод!$E$17)/100)),(N(H189)-N(E189))/((N(F189)-N(C189))*(1+N(Ввод!$E$17)/100))))</f>
        <v/>
      </c>
    </row>
    <row r="190" ht="22" customHeight="1">
      <c r="B190" s="320" t="n"/>
      <c r="C190" s="246">
        <f>IF($B190="","",IF(SUMIFS('ИТОГО Торговля'!$C$5:$C$300,'ИТОГО Торговля'!$B$5:$B$300,$B190)+SUMIFS('ИТОГО Лэндинг'!$C$5:$C$300,'ИТОГО Лэндинг'!$B$5:$B$300,$B190)=0,"",SUMIFS('ИТОГО Торговля'!$C$5:$C$300,'ИТОГО Торговля'!$B$5:$B$300,$B190)+SUMIFS('ИТОГО Лэндинг'!$C$5:$C$300,'ИТОГО Лэндинг'!$B$5:$B$300,$B190)))</f>
        <v/>
      </c>
      <c r="D190" s="183">
        <f>IF(C190="","",E190/C190)</f>
        <v/>
      </c>
      <c r="E190" s="247">
        <f>IF(C190="","",SUMIFS('ИТОГО Торговля'!$E$5:$E$300,'ИТОГО Торговля'!$B$5:$B$300,$B190)+SUMIFS('ИТОГО Лэндинг'!$E$5:$E$300,'ИТОГО Лэндинг'!$B$5:$B$300,$B190))</f>
        <v/>
      </c>
      <c r="F190" s="246">
        <f>IF($B190="","",IF(SUMIFS('ИТОГО Торговля'!$F$5:$F$300,'ИТОГО Торговля'!$B$5:$B$300,$B190)+SUMIFS('ИТОГО Лэндинг'!$F$5:$F$300,'ИТОГО Лэндинг'!$B$5:$B$300,$B190)=0,"",SUMIFS('ИТОГО Торговля'!$F$5:$F$300,'ИТОГО Торговля'!$B$5:$B$300,$B190)+SUMIFS('ИТОГО Лэндинг'!$F$5:$F$300,'ИТОГО Лэндинг'!$B$5:$B$300,$B190)))</f>
        <v/>
      </c>
      <c r="G190" s="183">
        <f>IF(F190="","",H190/F190)</f>
        <v/>
      </c>
      <c r="H190" s="247">
        <f>IF(F190="","",SUMIFS('ИТОГО Торговля'!$H$5:$H$300,'ИТОГО Торговля'!$B$5:$B$300,$B190)+SUMIFS('ИТОГО Лэндинг'!$H$5:$H$300,'ИТОГО Лэндинг'!$B$5:$B$300,$B190))</f>
        <v/>
      </c>
      <c r="I190" s="246">
        <f>IF($B190="","",IF(AND(C190="",F190=""),"",ROUND(SUMIFS('ИТОГО Торговля'!$I$5:$I$300,'ИТОГО Торговля'!$B$5:$B$300,$B190)+SUMIFS('ИТОГО Лэндинг'!$I$5:$I$300,'ИТОГО Лэндинг'!$B$5:$B$300,$B190),8)))</f>
        <v/>
      </c>
      <c r="J190" s="247">
        <f>IF($B190="","",IF(AND(C190="",F190=""),"",ROUND(SUMIFS('ИТОГО Торговля'!$J$5:$J$300,'ИТОГО Торговля'!$B$5:$B$300,$B190)+SUMIFS('ИТОГО Лэндинг'!$J$5:$J$300,'ИТОГО Лэндинг'!$B$5:$B$300,$B190),8)))</f>
        <v/>
      </c>
      <c r="K190" s="246">
        <f>IF($B190="","",ROUND(SUMIFS('ИТОГО Торговля'!$K$5:$K$300,'ИТОГО Торговля'!$B$5:$B$300,$B190)+SUMIFS('ИТОГО Лэндинг'!$K$5:$K$300,'ИТОГО Лэндинг'!$B$5:$B$300,$B190),8))</f>
        <v/>
      </c>
      <c r="L190" s="183">
        <f>IF(K190="","",IF(SUMPRODUCT((Закрытые!$E$5:$E$300=$B190)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190/SUMPRODUCT((Закрытые!$E$5:$E$300=$B190)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0" s="183">
        <f>IF(OR(ROUND(N(C190)-N(F190),8)=0,1-N(Ввод!$E$17)/100&lt;=0),"",IF(N(C190)&gt;N(F190),(N(E190)-N(H190))/((N(C190)-N(F190))*(1-N(Ввод!$E$17)/100)),(N(H190)-N(E190))/((N(F190)-N(C190))*(1+N(Ввод!$E$17)/100))))</f>
        <v/>
      </c>
    </row>
    <row r="191" ht="22" customHeight="1">
      <c r="B191" s="315" t="n"/>
      <c r="C191" s="240">
        <f>IF($B191="","",IF(SUMIFS('ИТОГО Торговля'!$C$5:$C$300,'ИТОГО Торговля'!$B$5:$B$300,$B191)+SUMIFS('ИТОГО Лэндинг'!$C$5:$C$300,'ИТОГО Лэндинг'!$B$5:$B$300,$B191)=0,"",SUMIFS('ИТОГО Торговля'!$C$5:$C$300,'ИТОГО Торговля'!$B$5:$B$300,$B191)+SUMIFS('ИТОГО Лэндинг'!$C$5:$C$300,'ИТОГО Лэндинг'!$B$5:$B$300,$B191)))</f>
        <v/>
      </c>
      <c r="D191" s="177">
        <f>IF(C191="","",E191/C191)</f>
        <v/>
      </c>
      <c r="E191" s="241">
        <f>IF(C191="","",SUMIFS('ИТОГО Торговля'!$E$5:$E$300,'ИТОГО Торговля'!$B$5:$B$300,$B191)+SUMIFS('ИТОГО Лэндинг'!$E$5:$E$300,'ИТОГО Лэндинг'!$B$5:$B$300,$B191))</f>
        <v/>
      </c>
      <c r="F191" s="240">
        <f>IF($B191="","",IF(SUMIFS('ИТОГО Торговля'!$F$5:$F$300,'ИТОГО Торговля'!$B$5:$B$300,$B191)+SUMIFS('ИТОГО Лэндинг'!$F$5:$F$300,'ИТОГО Лэндинг'!$B$5:$B$300,$B191)=0,"",SUMIFS('ИТОГО Торговля'!$F$5:$F$300,'ИТОГО Торговля'!$B$5:$B$300,$B191)+SUMIFS('ИТОГО Лэндинг'!$F$5:$F$300,'ИТОГО Лэндинг'!$B$5:$B$300,$B191)))</f>
        <v/>
      </c>
      <c r="G191" s="177">
        <f>IF(F191="","",H191/F191)</f>
        <v/>
      </c>
      <c r="H191" s="241">
        <f>IF(F191="","",SUMIFS('ИТОГО Торговля'!$H$5:$H$300,'ИТОГО Торговля'!$B$5:$B$300,$B191)+SUMIFS('ИТОГО Лэндинг'!$H$5:$H$300,'ИТОГО Лэндинг'!$B$5:$B$300,$B191))</f>
        <v/>
      </c>
      <c r="I191" s="240">
        <f>IF($B191="","",IF(AND(C191="",F191=""),"",ROUND(SUMIFS('ИТОГО Торговля'!$I$5:$I$300,'ИТОГО Торговля'!$B$5:$B$300,$B191)+SUMIFS('ИТОГО Лэндинг'!$I$5:$I$300,'ИТОГО Лэндинг'!$B$5:$B$300,$B191),8)))</f>
        <v/>
      </c>
      <c r="J191" s="241">
        <f>IF($B191="","",IF(AND(C191="",F191=""),"",ROUND(SUMIFS('ИТОГО Торговля'!$J$5:$J$300,'ИТОГО Торговля'!$B$5:$B$300,$B191)+SUMIFS('ИТОГО Лэндинг'!$J$5:$J$300,'ИТОГО Лэндинг'!$B$5:$B$300,$B191),8)))</f>
        <v/>
      </c>
      <c r="K191" s="240">
        <f>IF($B191="","",ROUND(SUMIFS('ИТОГО Торговля'!$K$5:$K$300,'ИТОГО Торговля'!$B$5:$B$300,$B191)+SUMIFS('ИТОГО Лэндинг'!$K$5:$K$300,'ИТОГО Лэндинг'!$B$5:$B$300,$B191),8))</f>
        <v/>
      </c>
      <c r="L191" s="177">
        <f>IF(K191="","",IF(SUMPRODUCT((Закрытые!$E$5:$E$300=$B191)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191/SUMPRODUCT((Закрытые!$E$5:$E$300=$B191)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1" s="177">
        <f>IF(OR(ROUND(N(C191)-N(F191),8)=0,1-N(Ввод!$E$17)/100&lt;=0),"",IF(N(C191)&gt;N(F191),(N(E191)-N(H191))/((N(C191)-N(F191))*(1-N(Ввод!$E$17)/100)),(N(H191)-N(E191))/((N(F191)-N(C191))*(1+N(Ввод!$E$17)/100))))</f>
        <v/>
      </c>
    </row>
    <row r="192" ht="22" customHeight="1">
      <c r="B192" s="320" t="n"/>
      <c r="C192" s="246">
        <f>IF($B192="","",IF(SUMIFS('ИТОГО Торговля'!$C$5:$C$300,'ИТОГО Торговля'!$B$5:$B$300,$B192)+SUMIFS('ИТОГО Лэндинг'!$C$5:$C$300,'ИТОГО Лэндинг'!$B$5:$B$300,$B192)=0,"",SUMIFS('ИТОГО Торговля'!$C$5:$C$300,'ИТОГО Торговля'!$B$5:$B$300,$B192)+SUMIFS('ИТОГО Лэндинг'!$C$5:$C$300,'ИТОГО Лэндинг'!$B$5:$B$300,$B192)))</f>
        <v/>
      </c>
      <c r="D192" s="183">
        <f>IF(C192="","",E192/C192)</f>
        <v/>
      </c>
      <c r="E192" s="247">
        <f>IF(C192="","",SUMIFS('ИТОГО Торговля'!$E$5:$E$300,'ИТОГО Торговля'!$B$5:$B$300,$B192)+SUMIFS('ИТОГО Лэндинг'!$E$5:$E$300,'ИТОГО Лэндинг'!$B$5:$B$300,$B192))</f>
        <v/>
      </c>
      <c r="F192" s="246">
        <f>IF($B192="","",IF(SUMIFS('ИТОГО Торговля'!$F$5:$F$300,'ИТОГО Торговля'!$B$5:$B$300,$B192)+SUMIFS('ИТОГО Лэндинг'!$F$5:$F$300,'ИТОГО Лэндинг'!$B$5:$B$300,$B192)=0,"",SUMIFS('ИТОГО Торговля'!$F$5:$F$300,'ИТОГО Торговля'!$B$5:$B$300,$B192)+SUMIFS('ИТОГО Лэндинг'!$F$5:$F$300,'ИТОГО Лэндинг'!$B$5:$B$300,$B192)))</f>
        <v/>
      </c>
      <c r="G192" s="183">
        <f>IF(F192="","",H192/F192)</f>
        <v/>
      </c>
      <c r="H192" s="247">
        <f>IF(F192="","",SUMIFS('ИТОГО Торговля'!$H$5:$H$300,'ИТОГО Торговля'!$B$5:$B$300,$B192)+SUMIFS('ИТОГО Лэндинг'!$H$5:$H$300,'ИТОГО Лэндинг'!$B$5:$B$300,$B192))</f>
        <v/>
      </c>
      <c r="I192" s="246">
        <f>IF($B192="","",IF(AND(C192="",F192=""),"",ROUND(SUMIFS('ИТОГО Торговля'!$I$5:$I$300,'ИТОГО Торговля'!$B$5:$B$300,$B192)+SUMIFS('ИТОГО Лэндинг'!$I$5:$I$300,'ИТОГО Лэндинг'!$B$5:$B$300,$B192),8)))</f>
        <v/>
      </c>
      <c r="J192" s="247">
        <f>IF($B192="","",IF(AND(C192="",F192=""),"",ROUND(SUMIFS('ИТОГО Торговля'!$J$5:$J$300,'ИТОГО Торговля'!$B$5:$B$300,$B192)+SUMIFS('ИТОГО Лэндинг'!$J$5:$J$300,'ИТОГО Лэндинг'!$B$5:$B$300,$B192),8)))</f>
        <v/>
      </c>
      <c r="K192" s="246">
        <f>IF($B192="","",ROUND(SUMIFS('ИТОГО Торговля'!$K$5:$K$300,'ИТОГО Торговля'!$B$5:$B$300,$B192)+SUMIFS('ИТОГО Лэндинг'!$K$5:$K$300,'ИТОГО Лэндинг'!$B$5:$B$300,$B192),8))</f>
        <v/>
      </c>
      <c r="L192" s="183">
        <f>IF(K192="","",IF(SUMPRODUCT((Закрытые!$E$5:$E$300=$B192)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192/SUMPRODUCT((Закрытые!$E$5:$E$300=$B192)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2" s="183">
        <f>IF(OR(ROUND(N(C192)-N(F192),8)=0,1-N(Ввод!$E$17)/100&lt;=0),"",IF(N(C192)&gt;N(F192),(N(E192)-N(H192))/((N(C192)-N(F192))*(1-N(Ввод!$E$17)/100)),(N(H192)-N(E192))/((N(F192)-N(C192))*(1+N(Ввод!$E$17)/100))))</f>
        <v/>
      </c>
    </row>
    <row r="193" ht="22" customHeight="1">
      <c r="B193" s="315" t="n"/>
      <c r="C193" s="240">
        <f>IF($B193="","",IF(SUMIFS('ИТОГО Торговля'!$C$5:$C$300,'ИТОГО Торговля'!$B$5:$B$300,$B193)+SUMIFS('ИТОГО Лэндинг'!$C$5:$C$300,'ИТОГО Лэндинг'!$B$5:$B$300,$B193)=0,"",SUMIFS('ИТОГО Торговля'!$C$5:$C$300,'ИТОГО Торговля'!$B$5:$B$300,$B193)+SUMIFS('ИТОГО Лэндинг'!$C$5:$C$300,'ИТОГО Лэндинг'!$B$5:$B$300,$B193)))</f>
        <v/>
      </c>
      <c r="D193" s="177">
        <f>IF(C193="","",E193/C193)</f>
        <v/>
      </c>
      <c r="E193" s="241">
        <f>IF(C193="","",SUMIFS('ИТОГО Торговля'!$E$5:$E$300,'ИТОГО Торговля'!$B$5:$B$300,$B193)+SUMIFS('ИТОГО Лэндинг'!$E$5:$E$300,'ИТОГО Лэндинг'!$B$5:$B$300,$B193))</f>
        <v/>
      </c>
      <c r="F193" s="240">
        <f>IF($B193="","",IF(SUMIFS('ИТОГО Торговля'!$F$5:$F$300,'ИТОГО Торговля'!$B$5:$B$300,$B193)+SUMIFS('ИТОГО Лэндинг'!$F$5:$F$300,'ИТОГО Лэндинг'!$B$5:$B$300,$B193)=0,"",SUMIFS('ИТОГО Торговля'!$F$5:$F$300,'ИТОГО Торговля'!$B$5:$B$300,$B193)+SUMIFS('ИТОГО Лэндинг'!$F$5:$F$300,'ИТОГО Лэндинг'!$B$5:$B$300,$B193)))</f>
        <v/>
      </c>
      <c r="G193" s="177">
        <f>IF(F193="","",H193/F193)</f>
        <v/>
      </c>
      <c r="H193" s="241">
        <f>IF(F193="","",SUMIFS('ИТОГО Торговля'!$H$5:$H$300,'ИТОГО Торговля'!$B$5:$B$300,$B193)+SUMIFS('ИТОГО Лэндинг'!$H$5:$H$300,'ИТОГО Лэндинг'!$B$5:$B$300,$B193))</f>
        <v/>
      </c>
      <c r="I193" s="240">
        <f>IF($B193="","",IF(AND(C193="",F193=""),"",ROUND(SUMIFS('ИТОГО Торговля'!$I$5:$I$300,'ИТОГО Торговля'!$B$5:$B$300,$B193)+SUMIFS('ИТОГО Лэндинг'!$I$5:$I$300,'ИТОГО Лэндинг'!$B$5:$B$300,$B193),8)))</f>
        <v/>
      </c>
      <c r="J193" s="241">
        <f>IF($B193="","",IF(AND(C193="",F193=""),"",ROUND(SUMIFS('ИТОГО Торговля'!$J$5:$J$300,'ИТОГО Торговля'!$B$5:$B$300,$B193)+SUMIFS('ИТОГО Лэндинг'!$J$5:$J$300,'ИТОГО Лэндинг'!$B$5:$B$300,$B193),8)))</f>
        <v/>
      </c>
      <c r="K193" s="240">
        <f>IF($B193="","",ROUND(SUMIFS('ИТОГО Торговля'!$K$5:$K$300,'ИТОГО Торговля'!$B$5:$B$300,$B193)+SUMIFS('ИТОГО Лэндинг'!$K$5:$K$300,'ИТОГО Лэндинг'!$B$5:$B$300,$B193),8))</f>
        <v/>
      </c>
      <c r="L193" s="177">
        <f>IF(K193="","",IF(SUMPRODUCT((Закрытые!$E$5:$E$300=$B193)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193/SUMPRODUCT((Закрытые!$E$5:$E$300=$B193)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3" s="177">
        <f>IF(OR(ROUND(N(C193)-N(F193),8)=0,1-N(Ввод!$E$17)/100&lt;=0),"",IF(N(C193)&gt;N(F193),(N(E193)-N(H193))/((N(C193)-N(F193))*(1-N(Ввод!$E$17)/100)),(N(H193)-N(E193))/((N(F193)-N(C193))*(1+N(Ввод!$E$17)/100))))</f>
        <v/>
      </c>
    </row>
    <row r="194" ht="22" customHeight="1">
      <c r="B194" s="320" t="n"/>
      <c r="C194" s="246">
        <f>IF($B194="","",IF(SUMIFS('ИТОГО Торговля'!$C$5:$C$300,'ИТОГО Торговля'!$B$5:$B$300,$B194)+SUMIFS('ИТОГО Лэндинг'!$C$5:$C$300,'ИТОГО Лэндинг'!$B$5:$B$300,$B194)=0,"",SUMIFS('ИТОГО Торговля'!$C$5:$C$300,'ИТОГО Торговля'!$B$5:$B$300,$B194)+SUMIFS('ИТОГО Лэндинг'!$C$5:$C$300,'ИТОГО Лэндинг'!$B$5:$B$300,$B194)))</f>
        <v/>
      </c>
      <c r="D194" s="183">
        <f>IF(C194="","",E194/C194)</f>
        <v/>
      </c>
      <c r="E194" s="247">
        <f>IF(C194="","",SUMIFS('ИТОГО Торговля'!$E$5:$E$300,'ИТОГО Торговля'!$B$5:$B$300,$B194)+SUMIFS('ИТОГО Лэндинг'!$E$5:$E$300,'ИТОГО Лэндинг'!$B$5:$B$300,$B194))</f>
        <v/>
      </c>
      <c r="F194" s="246">
        <f>IF($B194="","",IF(SUMIFS('ИТОГО Торговля'!$F$5:$F$300,'ИТОГО Торговля'!$B$5:$B$300,$B194)+SUMIFS('ИТОГО Лэндинг'!$F$5:$F$300,'ИТОГО Лэндинг'!$B$5:$B$300,$B194)=0,"",SUMIFS('ИТОГО Торговля'!$F$5:$F$300,'ИТОГО Торговля'!$B$5:$B$300,$B194)+SUMIFS('ИТОГО Лэндинг'!$F$5:$F$300,'ИТОГО Лэндинг'!$B$5:$B$300,$B194)))</f>
        <v/>
      </c>
      <c r="G194" s="183">
        <f>IF(F194="","",H194/F194)</f>
        <v/>
      </c>
      <c r="H194" s="247">
        <f>IF(F194="","",SUMIFS('ИТОГО Торговля'!$H$5:$H$300,'ИТОГО Торговля'!$B$5:$B$300,$B194)+SUMIFS('ИТОГО Лэндинг'!$H$5:$H$300,'ИТОГО Лэндинг'!$B$5:$B$300,$B194))</f>
        <v/>
      </c>
      <c r="I194" s="246">
        <f>IF($B194="","",IF(AND(C194="",F194=""),"",ROUND(SUMIFS('ИТОГО Торговля'!$I$5:$I$300,'ИТОГО Торговля'!$B$5:$B$300,$B194)+SUMIFS('ИТОГО Лэндинг'!$I$5:$I$300,'ИТОГО Лэндинг'!$B$5:$B$300,$B194),8)))</f>
        <v/>
      </c>
      <c r="J194" s="247">
        <f>IF($B194="","",IF(AND(C194="",F194=""),"",ROUND(SUMIFS('ИТОГО Торговля'!$J$5:$J$300,'ИТОГО Торговля'!$B$5:$B$300,$B194)+SUMIFS('ИТОГО Лэндинг'!$J$5:$J$300,'ИТОГО Лэндинг'!$B$5:$B$300,$B194),8)))</f>
        <v/>
      </c>
      <c r="K194" s="246">
        <f>IF($B194="","",ROUND(SUMIFS('ИТОГО Торговля'!$K$5:$K$300,'ИТОГО Торговля'!$B$5:$B$300,$B194)+SUMIFS('ИТОГО Лэндинг'!$K$5:$K$300,'ИТОГО Лэндинг'!$B$5:$B$300,$B194),8))</f>
        <v/>
      </c>
      <c r="L194" s="183">
        <f>IF(K194="","",IF(SUMPRODUCT((Закрытые!$E$5:$E$300=$B194)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194/SUMPRODUCT((Закрытые!$E$5:$E$300=$B194)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4" s="183">
        <f>IF(OR(ROUND(N(C194)-N(F194),8)=0,1-N(Ввод!$E$17)/100&lt;=0),"",IF(N(C194)&gt;N(F194),(N(E194)-N(H194))/((N(C194)-N(F194))*(1-N(Ввод!$E$17)/100)),(N(H194)-N(E194))/((N(F194)-N(C194))*(1+N(Ввод!$E$17)/100))))</f>
        <v/>
      </c>
    </row>
    <row r="195" ht="22" customHeight="1">
      <c r="B195" s="315" t="n"/>
      <c r="C195" s="240">
        <f>IF($B195="","",IF(SUMIFS('ИТОГО Торговля'!$C$5:$C$300,'ИТОГО Торговля'!$B$5:$B$300,$B195)+SUMIFS('ИТОГО Лэндинг'!$C$5:$C$300,'ИТОГО Лэндинг'!$B$5:$B$300,$B195)=0,"",SUMIFS('ИТОГО Торговля'!$C$5:$C$300,'ИТОГО Торговля'!$B$5:$B$300,$B195)+SUMIFS('ИТОГО Лэндинг'!$C$5:$C$300,'ИТОГО Лэндинг'!$B$5:$B$300,$B195)))</f>
        <v/>
      </c>
      <c r="D195" s="177">
        <f>IF(C195="","",E195/C195)</f>
        <v/>
      </c>
      <c r="E195" s="241">
        <f>IF(C195="","",SUMIFS('ИТОГО Торговля'!$E$5:$E$300,'ИТОГО Торговля'!$B$5:$B$300,$B195)+SUMIFS('ИТОГО Лэндинг'!$E$5:$E$300,'ИТОГО Лэндинг'!$B$5:$B$300,$B195))</f>
        <v/>
      </c>
      <c r="F195" s="240">
        <f>IF($B195="","",IF(SUMIFS('ИТОГО Торговля'!$F$5:$F$300,'ИТОГО Торговля'!$B$5:$B$300,$B195)+SUMIFS('ИТОГО Лэндинг'!$F$5:$F$300,'ИТОГО Лэндинг'!$B$5:$B$300,$B195)=0,"",SUMIFS('ИТОГО Торговля'!$F$5:$F$300,'ИТОГО Торговля'!$B$5:$B$300,$B195)+SUMIFS('ИТОГО Лэндинг'!$F$5:$F$300,'ИТОГО Лэндинг'!$B$5:$B$300,$B195)))</f>
        <v/>
      </c>
      <c r="G195" s="177">
        <f>IF(F195="","",H195/F195)</f>
        <v/>
      </c>
      <c r="H195" s="241">
        <f>IF(F195="","",SUMIFS('ИТОГО Торговля'!$H$5:$H$300,'ИТОГО Торговля'!$B$5:$B$300,$B195)+SUMIFS('ИТОГО Лэндинг'!$H$5:$H$300,'ИТОГО Лэндинг'!$B$5:$B$300,$B195))</f>
        <v/>
      </c>
      <c r="I195" s="240">
        <f>IF($B195="","",IF(AND(C195="",F195=""),"",ROUND(SUMIFS('ИТОГО Торговля'!$I$5:$I$300,'ИТОГО Торговля'!$B$5:$B$300,$B195)+SUMIFS('ИТОГО Лэндинг'!$I$5:$I$300,'ИТОГО Лэндинг'!$B$5:$B$300,$B195),8)))</f>
        <v/>
      </c>
      <c r="J195" s="241">
        <f>IF($B195="","",IF(AND(C195="",F195=""),"",ROUND(SUMIFS('ИТОГО Торговля'!$J$5:$J$300,'ИТОГО Торговля'!$B$5:$B$300,$B195)+SUMIFS('ИТОГО Лэндинг'!$J$5:$J$300,'ИТОГО Лэндинг'!$B$5:$B$300,$B195),8)))</f>
        <v/>
      </c>
      <c r="K195" s="240">
        <f>IF($B195="","",ROUND(SUMIFS('ИТОГО Торговля'!$K$5:$K$300,'ИТОГО Торговля'!$B$5:$B$300,$B195)+SUMIFS('ИТОГО Лэндинг'!$K$5:$K$300,'ИТОГО Лэндинг'!$B$5:$B$300,$B195),8))</f>
        <v/>
      </c>
      <c r="L195" s="177">
        <f>IF(K195="","",IF(SUMPRODUCT((Закрытые!$E$5:$E$300=$B195)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195/SUMPRODUCT((Закрытые!$E$5:$E$300=$B195)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5" s="177">
        <f>IF(OR(ROUND(N(C195)-N(F195),8)=0,1-N(Ввод!$E$17)/100&lt;=0),"",IF(N(C195)&gt;N(F195),(N(E195)-N(H195))/((N(C195)-N(F195))*(1-N(Ввод!$E$17)/100)),(N(H195)-N(E195))/((N(F195)-N(C195))*(1+N(Ввод!$E$17)/100))))</f>
        <v/>
      </c>
    </row>
    <row r="196" ht="22" customHeight="1">
      <c r="B196" s="320" t="n"/>
      <c r="C196" s="246">
        <f>IF($B196="","",IF(SUMIFS('ИТОГО Торговля'!$C$5:$C$300,'ИТОГО Торговля'!$B$5:$B$300,$B196)+SUMIFS('ИТОГО Лэндинг'!$C$5:$C$300,'ИТОГО Лэндинг'!$B$5:$B$300,$B196)=0,"",SUMIFS('ИТОГО Торговля'!$C$5:$C$300,'ИТОГО Торговля'!$B$5:$B$300,$B196)+SUMIFS('ИТОГО Лэндинг'!$C$5:$C$300,'ИТОГО Лэндинг'!$B$5:$B$300,$B196)))</f>
        <v/>
      </c>
      <c r="D196" s="183">
        <f>IF(C196="","",E196/C196)</f>
        <v/>
      </c>
      <c r="E196" s="247">
        <f>IF(C196="","",SUMIFS('ИТОГО Торговля'!$E$5:$E$300,'ИТОГО Торговля'!$B$5:$B$300,$B196)+SUMIFS('ИТОГО Лэндинг'!$E$5:$E$300,'ИТОГО Лэндинг'!$B$5:$B$300,$B196))</f>
        <v/>
      </c>
      <c r="F196" s="246">
        <f>IF($B196="","",IF(SUMIFS('ИТОГО Торговля'!$F$5:$F$300,'ИТОГО Торговля'!$B$5:$B$300,$B196)+SUMIFS('ИТОГО Лэндинг'!$F$5:$F$300,'ИТОГО Лэндинг'!$B$5:$B$300,$B196)=0,"",SUMIFS('ИТОГО Торговля'!$F$5:$F$300,'ИТОГО Торговля'!$B$5:$B$300,$B196)+SUMIFS('ИТОГО Лэндинг'!$F$5:$F$300,'ИТОГО Лэндинг'!$B$5:$B$300,$B196)))</f>
        <v/>
      </c>
      <c r="G196" s="183">
        <f>IF(F196="","",H196/F196)</f>
        <v/>
      </c>
      <c r="H196" s="247">
        <f>IF(F196="","",SUMIFS('ИТОГО Торговля'!$H$5:$H$300,'ИТОГО Торговля'!$B$5:$B$300,$B196)+SUMIFS('ИТОГО Лэндинг'!$H$5:$H$300,'ИТОГО Лэндинг'!$B$5:$B$300,$B196))</f>
        <v/>
      </c>
      <c r="I196" s="246">
        <f>IF($B196="","",IF(AND(C196="",F196=""),"",ROUND(SUMIFS('ИТОГО Торговля'!$I$5:$I$300,'ИТОГО Торговля'!$B$5:$B$300,$B196)+SUMIFS('ИТОГО Лэндинг'!$I$5:$I$300,'ИТОГО Лэндинг'!$B$5:$B$300,$B196),8)))</f>
        <v/>
      </c>
      <c r="J196" s="247">
        <f>IF($B196="","",IF(AND(C196="",F196=""),"",ROUND(SUMIFS('ИТОГО Торговля'!$J$5:$J$300,'ИТОГО Торговля'!$B$5:$B$300,$B196)+SUMIFS('ИТОГО Лэндинг'!$J$5:$J$300,'ИТОГО Лэндинг'!$B$5:$B$300,$B196),8)))</f>
        <v/>
      </c>
      <c r="K196" s="246">
        <f>IF($B196="","",ROUND(SUMIFS('ИТОГО Торговля'!$K$5:$K$300,'ИТОГО Торговля'!$B$5:$B$300,$B196)+SUMIFS('ИТОГО Лэндинг'!$K$5:$K$300,'ИТОГО Лэндинг'!$B$5:$B$300,$B196),8))</f>
        <v/>
      </c>
      <c r="L196" s="183">
        <f>IF(K196="","",IF(SUMPRODUCT((Закрытые!$E$5:$E$300=$B196)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196/SUMPRODUCT((Закрытые!$E$5:$E$300=$B196)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6" s="183">
        <f>IF(OR(ROUND(N(C196)-N(F196),8)=0,1-N(Ввод!$E$17)/100&lt;=0),"",IF(N(C196)&gt;N(F196),(N(E196)-N(H196))/((N(C196)-N(F196))*(1-N(Ввод!$E$17)/100)),(N(H196)-N(E196))/((N(F196)-N(C196))*(1+N(Ввод!$E$17)/100))))</f>
        <v/>
      </c>
    </row>
    <row r="197" ht="22" customHeight="1">
      <c r="B197" s="315" t="n"/>
      <c r="C197" s="240">
        <f>IF($B197="","",IF(SUMIFS('ИТОГО Торговля'!$C$5:$C$300,'ИТОГО Торговля'!$B$5:$B$300,$B197)+SUMIFS('ИТОГО Лэндинг'!$C$5:$C$300,'ИТОГО Лэндинг'!$B$5:$B$300,$B197)=0,"",SUMIFS('ИТОГО Торговля'!$C$5:$C$300,'ИТОГО Торговля'!$B$5:$B$300,$B197)+SUMIFS('ИТОГО Лэндинг'!$C$5:$C$300,'ИТОГО Лэндинг'!$B$5:$B$300,$B197)))</f>
        <v/>
      </c>
      <c r="D197" s="177">
        <f>IF(C197="","",E197/C197)</f>
        <v/>
      </c>
      <c r="E197" s="241">
        <f>IF(C197="","",SUMIFS('ИТОГО Торговля'!$E$5:$E$300,'ИТОГО Торговля'!$B$5:$B$300,$B197)+SUMIFS('ИТОГО Лэндинг'!$E$5:$E$300,'ИТОГО Лэндинг'!$B$5:$B$300,$B197))</f>
        <v/>
      </c>
      <c r="F197" s="240">
        <f>IF($B197="","",IF(SUMIFS('ИТОГО Торговля'!$F$5:$F$300,'ИТОГО Торговля'!$B$5:$B$300,$B197)+SUMIFS('ИТОГО Лэндинг'!$F$5:$F$300,'ИТОГО Лэндинг'!$B$5:$B$300,$B197)=0,"",SUMIFS('ИТОГО Торговля'!$F$5:$F$300,'ИТОГО Торговля'!$B$5:$B$300,$B197)+SUMIFS('ИТОГО Лэндинг'!$F$5:$F$300,'ИТОГО Лэндинг'!$B$5:$B$300,$B197)))</f>
        <v/>
      </c>
      <c r="G197" s="177">
        <f>IF(F197="","",H197/F197)</f>
        <v/>
      </c>
      <c r="H197" s="241">
        <f>IF(F197="","",SUMIFS('ИТОГО Торговля'!$H$5:$H$300,'ИТОГО Торговля'!$B$5:$B$300,$B197)+SUMIFS('ИТОГО Лэндинг'!$H$5:$H$300,'ИТОГО Лэндинг'!$B$5:$B$300,$B197))</f>
        <v/>
      </c>
      <c r="I197" s="240">
        <f>IF($B197="","",IF(AND(C197="",F197=""),"",ROUND(SUMIFS('ИТОГО Торговля'!$I$5:$I$300,'ИТОГО Торговля'!$B$5:$B$300,$B197)+SUMIFS('ИТОГО Лэндинг'!$I$5:$I$300,'ИТОГО Лэндинг'!$B$5:$B$300,$B197),8)))</f>
        <v/>
      </c>
      <c r="J197" s="241">
        <f>IF($B197="","",IF(AND(C197="",F197=""),"",ROUND(SUMIFS('ИТОГО Торговля'!$J$5:$J$300,'ИТОГО Торговля'!$B$5:$B$300,$B197)+SUMIFS('ИТОГО Лэндинг'!$J$5:$J$300,'ИТОГО Лэндинг'!$B$5:$B$300,$B197),8)))</f>
        <v/>
      </c>
      <c r="K197" s="240">
        <f>IF($B197="","",ROUND(SUMIFS('ИТОГО Торговля'!$K$5:$K$300,'ИТОГО Торговля'!$B$5:$B$300,$B197)+SUMIFS('ИТОГО Лэндинг'!$K$5:$K$300,'ИТОГО Лэндинг'!$B$5:$B$300,$B197),8))</f>
        <v/>
      </c>
      <c r="L197" s="177">
        <f>IF(K197="","",IF(SUMPRODUCT((Закрытые!$E$5:$E$300=$B197)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197/SUMPRODUCT((Закрытые!$E$5:$E$300=$B197)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7" s="177">
        <f>IF(OR(ROUND(N(C197)-N(F197),8)=0,1-N(Ввод!$E$17)/100&lt;=0),"",IF(N(C197)&gt;N(F197),(N(E197)-N(H197))/((N(C197)-N(F197))*(1-N(Ввод!$E$17)/100)),(N(H197)-N(E197))/((N(F197)-N(C197))*(1+N(Ввод!$E$17)/100))))</f>
        <v/>
      </c>
    </row>
    <row r="198" ht="22" customHeight="1">
      <c r="B198" s="320" t="n"/>
      <c r="C198" s="246">
        <f>IF($B198="","",IF(SUMIFS('ИТОГО Торговля'!$C$5:$C$300,'ИТОГО Торговля'!$B$5:$B$300,$B198)+SUMIFS('ИТОГО Лэндинг'!$C$5:$C$300,'ИТОГО Лэндинг'!$B$5:$B$300,$B198)=0,"",SUMIFS('ИТОГО Торговля'!$C$5:$C$300,'ИТОГО Торговля'!$B$5:$B$300,$B198)+SUMIFS('ИТОГО Лэндинг'!$C$5:$C$300,'ИТОГО Лэндинг'!$B$5:$B$300,$B198)))</f>
        <v/>
      </c>
      <c r="D198" s="183">
        <f>IF(C198="","",E198/C198)</f>
        <v/>
      </c>
      <c r="E198" s="247">
        <f>IF(C198="","",SUMIFS('ИТОГО Торговля'!$E$5:$E$300,'ИТОГО Торговля'!$B$5:$B$300,$B198)+SUMIFS('ИТОГО Лэндинг'!$E$5:$E$300,'ИТОГО Лэндинг'!$B$5:$B$300,$B198))</f>
        <v/>
      </c>
      <c r="F198" s="246">
        <f>IF($B198="","",IF(SUMIFS('ИТОГО Торговля'!$F$5:$F$300,'ИТОГО Торговля'!$B$5:$B$300,$B198)+SUMIFS('ИТОГО Лэндинг'!$F$5:$F$300,'ИТОГО Лэндинг'!$B$5:$B$300,$B198)=0,"",SUMIFS('ИТОГО Торговля'!$F$5:$F$300,'ИТОГО Торговля'!$B$5:$B$300,$B198)+SUMIFS('ИТОГО Лэндинг'!$F$5:$F$300,'ИТОГО Лэндинг'!$B$5:$B$300,$B198)))</f>
        <v/>
      </c>
      <c r="G198" s="183">
        <f>IF(F198="","",H198/F198)</f>
        <v/>
      </c>
      <c r="H198" s="247">
        <f>IF(F198="","",SUMIFS('ИТОГО Торговля'!$H$5:$H$300,'ИТОГО Торговля'!$B$5:$B$300,$B198)+SUMIFS('ИТОГО Лэндинг'!$H$5:$H$300,'ИТОГО Лэндинг'!$B$5:$B$300,$B198))</f>
        <v/>
      </c>
      <c r="I198" s="246">
        <f>IF($B198="","",IF(AND(C198="",F198=""),"",ROUND(SUMIFS('ИТОГО Торговля'!$I$5:$I$300,'ИТОГО Торговля'!$B$5:$B$300,$B198)+SUMIFS('ИТОГО Лэндинг'!$I$5:$I$300,'ИТОГО Лэндинг'!$B$5:$B$300,$B198),8)))</f>
        <v/>
      </c>
      <c r="J198" s="247">
        <f>IF($B198="","",IF(AND(C198="",F198=""),"",ROUND(SUMIFS('ИТОГО Торговля'!$J$5:$J$300,'ИТОГО Торговля'!$B$5:$B$300,$B198)+SUMIFS('ИТОГО Лэндинг'!$J$5:$J$300,'ИТОГО Лэндинг'!$B$5:$B$300,$B198),8)))</f>
        <v/>
      </c>
      <c r="K198" s="246">
        <f>IF($B198="","",ROUND(SUMIFS('ИТОГО Торговля'!$K$5:$K$300,'ИТОГО Торговля'!$B$5:$B$300,$B198)+SUMIFS('ИТОГО Лэндинг'!$K$5:$K$300,'ИТОГО Лэндинг'!$B$5:$B$300,$B198),8))</f>
        <v/>
      </c>
      <c r="L198" s="183">
        <f>IF(K198="","",IF(SUMPRODUCT((Закрытые!$E$5:$E$300=$B198)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198/SUMPRODUCT((Закрытые!$E$5:$E$300=$B198)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8" s="183">
        <f>IF(OR(ROUND(N(C198)-N(F198),8)=0,1-N(Ввод!$E$17)/100&lt;=0),"",IF(N(C198)&gt;N(F198),(N(E198)-N(H198))/((N(C198)-N(F198))*(1-N(Ввод!$E$17)/100)),(N(H198)-N(E198))/((N(F198)-N(C198))*(1+N(Ввод!$E$17)/100))))</f>
        <v/>
      </c>
    </row>
    <row r="199" ht="22" customHeight="1">
      <c r="B199" s="315" t="n"/>
      <c r="C199" s="240">
        <f>IF($B199="","",IF(SUMIFS('ИТОГО Торговля'!$C$5:$C$300,'ИТОГО Торговля'!$B$5:$B$300,$B199)+SUMIFS('ИТОГО Лэндинг'!$C$5:$C$300,'ИТОГО Лэндинг'!$B$5:$B$300,$B199)=0,"",SUMIFS('ИТОГО Торговля'!$C$5:$C$300,'ИТОГО Торговля'!$B$5:$B$300,$B199)+SUMIFS('ИТОГО Лэндинг'!$C$5:$C$300,'ИТОГО Лэндинг'!$B$5:$B$300,$B199)))</f>
        <v/>
      </c>
      <c r="D199" s="177">
        <f>IF(C199="","",E199/C199)</f>
        <v/>
      </c>
      <c r="E199" s="241">
        <f>IF(C199="","",SUMIFS('ИТОГО Торговля'!$E$5:$E$300,'ИТОГО Торговля'!$B$5:$B$300,$B199)+SUMIFS('ИТОГО Лэндинг'!$E$5:$E$300,'ИТОГО Лэндинг'!$B$5:$B$300,$B199))</f>
        <v/>
      </c>
      <c r="F199" s="240">
        <f>IF($B199="","",IF(SUMIFS('ИТОГО Торговля'!$F$5:$F$300,'ИТОГО Торговля'!$B$5:$B$300,$B199)+SUMIFS('ИТОГО Лэндинг'!$F$5:$F$300,'ИТОГО Лэндинг'!$B$5:$B$300,$B199)=0,"",SUMIFS('ИТОГО Торговля'!$F$5:$F$300,'ИТОГО Торговля'!$B$5:$B$300,$B199)+SUMIFS('ИТОГО Лэндинг'!$F$5:$F$300,'ИТОГО Лэндинг'!$B$5:$B$300,$B199)))</f>
        <v/>
      </c>
      <c r="G199" s="177">
        <f>IF(F199="","",H199/F199)</f>
        <v/>
      </c>
      <c r="H199" s="241">
        <f>IF(F199="","",SUMIFS('ИТОГО Торговля'!$H$5:$H$300,'ИТОГО Торговля'!$B$5:$B$300,$B199)+SUMIFS('ИТОГО Лэндинг'!$H$5:$H$300,'ИТОГО Лэндинг'!$B$5:$B$300,$B199))</f>
        <v/>
      </c>
      <c r="I199" s="240">
        <f>IF($B199="","",IF(AND(C199="",F199=""),"",ROUND(SUMIFS('ИТОГО Торговля'!$I$5:$I$300,'ИТОГО Торговля'!$B$5:$B$300,$B199)+SUMIFS('ИТОГО Лэндинг'!$I$5:$I$300,'ИТОГО Лэндинг'!$B$5:$B$300,$B199),8)))</f>
        <v/>
      </c>
      <c r="J199" s="241">
        <f>IF($B199="","",IF(AND(C199="",F199=""),"",ROUND(SUMIFS('ИТОГО Торговля'!$J$5:$J$300,'ИТОГО Торговля'!$B$5:$B$300,$B199)+SUMIFS('ИТОГО Лэндинг'!$J$5:$J$300,'ИТОГО Лэндинг'!$B$5:$B$300,$B199),8)))</f>
        <v/>
      </c>
      <c r="K199" s="240">
        <f>IF($B199="","",ROUND(SUMIFS('ИТОГО Торговля'!$K$5:$K$300,'ИТОГО Торговля'!$B$5:$B$300,$B199)+SUMIFS('ИТОГО Лэндинг'!$K$5:$K$300,'ИТОГО Лэндинг'!$B$5:$B$300,$B199),8))</f>
        <v/>
      </c>
      <c r="L199" s="177">
        <f>IF(K199="","",IF(SUMPRODUCT((Закрытые!$E$5:$E$300=$B199)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199/SUMPRODUCT((Закрытые!$E$5:$E$300=$B199)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9" s="177">
        <f>IF(OR(ROUND(N(C199)-N(F199),8)=0,1-N(Ввод!$E$17)/100&lt;=0),"",IF(N(C199)&gt;N(F199),(N(E199)-N(H199))/((N(C199)-N(F199))*(1-N(Ввод!$E$17)/100)),(N(H199)-N(E199))/((N(F199)-N(C199))*(1+N(Ввод!$E$17)/100))))</f>
        <v/>
      </c>
    </row>
    <row r="200" ht="22" customHeight="1">
      <c r="B200" s="320" t="n"/>
      <c r="C200" s="246">
        <f>IF($B200="","",IF(SUMIFS('ИТОГО Торговля'!$C$5:$C$300,'ИТОГО Торговля'!$B$5:$B$300,$B200)+SUMIFS('ИТОГО Лэндинг'!$C$5:$C$300,'ИТОГО Лэндинг'!$B$5:$B$300,$B200)=0,"",SUMIFS('ИТОГО Торговля'!$C$5:$C$300,'ИТОГО Торговля'!$B$5:$B$300,$B200)+SUMIFS('ИТОГО Лэндинг'!$C$5:$C$300,'ИТОГО Лэндинг'!$B$5:$B$300,$B200)))</f>
        <v/>
      </c>
      <c r="D200" s="183">
        <f>IF(C200="","",E200/C200)</f>
        <v/>
      </c>
      <c r="E200" s="247">
        <f>IF(C200="","",SUMIFS('ИТОГО Торговля'!$E$5:$E$300,'ИТОГО Торговля'!$B$5:$B$300,$B200)+SUMIFS('ИТОГО Лэндинг'!$E$5:$E$300,'ИТОГО Лэндинг'!$B$5:$B$300,$B200))</f>
        <v/>
      </c>
      <c r="F200" s="246">
        <f>IF($B200="","",IF(SUMIFS('ИТОГО Торговля'!$F$5:$F$300,'ИТОГО Торговля'!$B$5:$B$300,$B200)+SUMIFS('ИТОГО Лэндинг'!$F$5:$F$300,'ИТОГО Лэндинг'!$B$5:$B$300,$B200)=0,"",SUMIFS('ИТОГО Торговля'!$F$5:$F$300,'ИТОГО Торговля'!$B$5:$B$300,$B200)+SUMIFS('ИТОГО Лэндинг'!$F$5:$F$300,'ИТОГО Лэндинг'!$B$5:$B$300,$B200)))</f>
        <v/>
      </c>
      <c r="G200" s="183">
        <f>IF(F200="","",H200/F200)</f>
        <v/>
      </c>
      <c r="H200" s="247">
        <f>IF(F200="","",SUMIFS('ИТОГО Торговля'!$H$5:$H$300,'ИТОГО Торговля'!$B$5:$B$300,$B200)+SUMIFS('ИТОГО Лэндинг'!$H$5:$H$300,'ИТОГО Лэндинг'!$B$5:$B$300,$B200))</f>
        <v/>
      </c>
      <c r="I200" s="246">
        <f>IF($B200="","",IF(AND(C200="",F200=""),"",ROUND(SUMIFS('ИТОГО Торговля'!$I$5:$I$300,'ИТОГО Торговля'!$B$5:$B$300,$B200)+SUMIFS('ИТОГО Лэндинг'!$I$5:$I$300,'ИТОГО Лэндинг'!$B$5:$B$300,$B200),8)))</f>
        <v/>
      </c>
      <c r="J200" s="247">
        <f>IF($B200="","",IF(AND(C200="",F200=""),"",ROUND(SUMIFS('ИТОГО Торговля'!$J$5:$J$300,'ИТОГО Торговля'!$B$5:$B$300,$B200)+SUMIFS('ИТОГО Лэндинг'!$J$5:$J$300,'ИТОГО Лэндинг'!$B$5:$B$300,$B200),8)))</f>
        <v/>
      </c>
      <c r="K200" s="246">
        <f>IF($B200="","",ROUND(SUMIFS('ИТОГО Торговля'!$K$5:$K$300,'ИТОГО Торговля'!$B$5:$B$300,$B200)+SUMIFS('ИТОГО Лэндинг'!$K$5:$K$300,'ИТОГО Лэндинг'!$B$5:$B$300,$B200),8))</f>
        <v/>
      </c>
      <c r="L200" s="183">
        <f>IF(K200="","",IF(SUMPRODUCT((Закрытые!$E$5:$E$300=$B200)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200/SUMPRODUCT((Закрытые!$E$5:$E$300=$B200)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0" s="183">
        <f>IF(OR(ROUND(N(C200)-N(F200),8)=0,1-N(Ввод!$E$17)/100&lt;=0),"",IF(N(C200)&gt;N(F200),(N(E200)-N(H200))/((N(C200)-N(F200))*(1-N(Ввод!$E$17)/100)),(N(H200)-N(E200))/((N(F200)-N(C200))*(1+N(Ввод!$E$17)/100))))</f>
        <v/>
      </c>
    </row>
    <row r="201" ht="22" customHeight="1">
      <c r="B201" s="315" t="n"/>
      <c r="C201" s="240">
        <f>IF($B201="","",IF(SUMIFS('ИТОГО Торговля'!$C$5:$C$300,'ИТОГО Торговля'!$B$5:$B$300,$B201)+SUMIFS('ИТОГО Лэндинг'!$C$5:$C$300,'ИТОГО Лэндинг'!$B$5:$B$300,$B201)=0,"",SUMIFS('ИТОГО Торговля'!$C$5:$C$300,'ИТОГО Торговля'!$B$5:$B$300,$B201)+SUMIFS('ИТОГО Лэндинг'!$C$5:$C$300,'ИТОГО Лэндинг'!$B$5:$B$300,$B201)))</f>
        <v/>
      </c>
      <c r="D201" s="177">
        <f>IF(C201="","",E201/C201)</f>
        <v/>
      </c>
      <c r="E201" s="241">
        <f>IF(C201="","",SUMIFS('ИТОГО Торговля'!$E$5:$E$300,'ИТОГО Торговля'!$B$5:$B$300,$B201)+SUMIFS('ИТОГО Лэндинг'!$E$5:$E$300,'ИТОГО Лэндинг'!$B$5:$B$300,$B201))</f>
        <v/>
      </c>
      <c r="F201" s="240">
        <f>IF($B201="","",IF(SUMIFS('ИТОГО Торговля'!$F$5:$F$300,'ИТОГО Торговля'!$B$5:$B$300,$B201)+SUMIFS('ИТОГО Лэндинг'!$F$5:$F$300,'ИТОГО Лэндинг'!$B$5:$B$300,$B201)=0,"",SUMIFS('ИТОГО Торговля'!$F$5:$F$300,'ИТОГО Торговля'!$B$5:$B$300,$B201)+SUMIFS('ИТОГО Лэндинг'!$F$5:$F$300,'ИТОГО Лэндинг'!$B$5:$B$300,$B201)))</f>
        <v/>
      </c>
      <c r="G201" s="177">
        <f>IF(F201="","",H201/F201)</f>
        <v/>
      </c>
      <c r="H201" s="241">
        <f>IF(F201="","",SUMIFS('ИТОГО Торговля'!$H$5:$H$300,'ИТОГО Торговля'!$B$5:$B$300,$B201)+SUMIFS('ИТОГО Лэндинг'!$H$5:$H$300,'ИТОГО Лэндинг'!$B$5:$B$300,$B201))</f>
        <v/>
      </c>
      <c r="I201" s="240">
        <f>IF($B201="","",IF(AND(C201="",F201=""),"",ROUND(SUMIFS('ИТОГО Торговля'!$I$5:$I$300,'ИТОГО Торговля'!$B$5:$B$300,$B201)+SUMIFS('ИТОГО Лэндинг'!$I$5:$I$300,'ИТОГО Лэндинг'!$B$5:$B$300,$B201),8)))</f>
        <v/>
      </c>
      <c r="J201" s="241">
        <f>IF($B201="","",IF(AND(C201="",F201=""),"",ROUND(SUMIFS('ИТОГО Торговля'!$J$5:$J$300,'ИТОГО Торговля'!$B$5:$B$300,$B201)+SUMIFS('ИТОГО Лэндинг'!$J$5:$J$300,'ИТОГО Лэндинг'!$B$5:$B$300,$B201),8)))</f>
        <v/>
      </c>
      <c r="K201" s="240">
        <f>IF($B201="","",ROUND(SUMIFS('ИТОГО Торговля'!$K$5:$K$300,'ИТОГО Торговля'!$B$5:$B$300,$B201)+SUMIFS('ИТОГО Лэндинг'!$K$5:$K$300,'ИТОГО Лэндинг'!$B$5:$B$300,$B201),8))</f>
        <v/>
      </c>
      <c r="L201" s="177">
        <f>IF(K201="","",IF(SUMPRODUCT((Закрытые!$E$5:$E$300=$B201)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201/SUMPRODUCT((Закрытые!$E$5:$E$300=$B201)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1" s="177">
        <f>IF(OR(ROUND(N(C201)-N(F201),8)=0,1-N(Ввод!$E$17)/100&lt;=0),"",IF(N(C201)&gt;N(F201),(N(E201)-N(H201))/((N(C201)-N(F201))*(1-N(Ввод!$E$17)/100)),(N(H201)-N(E201))/((N(F201)-N(C201))*(1+N(Ввод!$E$17)/100))))</f>
        <v/>
      </c>
    </row>
    <row r="202" ht="22" customHeight="1">
      <c r="B202" s="320" t="n"/>
      <c r="C202" s="246">
        <f>IF($B202="","",IF(SUMIFS('ИТОГО Торговля'!$C$5:$C$300,'ИТОГО Торговля'!$B$5:$B$300,$B202)+SUMIFS('ИТОГО Лэндинг'!$C$5:$C$300,'ИТОГО Лэндинг'!$B$5:$B$300,$B202)=0,"",SUMIFS('ИТОГО Торговля'!$C$5:$C$300,'ИТОГО Торговля'!$B$5:$B$300,$B202)+SUMIFS('ИТОГО Лэндинг'!$C$5:$C$300,'ИТОГО Лэндинг'!$B$5:$B$300,$B202)))</f>
        <v/>
      </c>
      <c r="D202" s="183">
        <f>IF(C202="","",E202/C202)</f>
        <v/>
      </c>
      <c r="E202" s="247">
        <f>IF(C202="","",SUMIFS('ИТОГО Торговля'!$E$5:$E$300,'ИТОГО Торговля'!$B$5:$B$300,$B202)+SUMIFS('ИТОГО Лэндинг'!$E$5:$E$300,'ИТОГО Лэндинг'!$B$5:$B$300,$B202))</f>
        <v/>
      </c>
      <c r="F202" s="246">
        <f>IF($B202="","",IF(SUMIFS('ИТОГО Торговля'!$F$5:$F$300,'ИТОГО Торговля'!$B$5:$B$300,$B202)+SUMIFS('ИТОГО Лэндинг'!$F$5:$F$300,'ИТОГО Лэндинг'!$B$5:$B$300,$B202)=0,"",SUMIFS('ИТОГО Торговля'!$F$5:$F$300,'ИТОГО Торговля'!$B$5:$B$300,$B202)+SUMIFS('ИТОГО Лэндинг'!$F$5:$F$300,'ИТОГО Лэндинг'!$B$5:$B$300,$B202)))</f>
        <v/>
      </c>
      <c r="G202" s="183">
        <f>IF(F202="","",H202/F202)</f>
        <v/>
      </c>
      <c r="H202" s="247">
        <f>IF(F202="","",SUMIFS('ИТОГО Торговля'!$H$5:$H$300,'ИТОГО Торговля'!$B$5:$B$300,$B202)+SUMIFS('ИТОГО Лэндинг'!$H$5:$H$300,'ИТОГО Лэндинг'!$B$5:$B$300,$B202))</f>
        <v/>
      </c>
      <c r="I202" s="246">
        <f>IF($B202="","",IF(AND(C202="",F202=""),"",ROUND(SUMIFS('ИТОГО Торговля'!$I$5:$I$300,'ИТОГО Торговля'!$B$5:$B$300,$B202)+SUMIFS('ИТОГО Лэндинг'!$I$5:$I$300,'ИТОГО Лэндинг'!$B$5:$B$300,$B202),8)))</f>
        <v/>
      </c>
      <c r="J202" s="247">
        <f>IF($B202="","",IF(AND(C202="",F202=""),"",ROUND(SUMIFS('ИТОГО Торговля'!$J$5:$J$300,'ИТОГО Торговля'!$B$5:$B$300,$B202)+SUMIFS('ИТОГО Лэндинг'!$J$5:$J$300,'ИТОГО Лэндинг'!$B$5:$B$300,$B202),8)))</f>
        <v/>
      </c>
      <c r="K202" s="246">
        <f>IF($B202="","",ROUND(SUMIFS('ИТОГО Торговля'!$K$5:$K$300,'ИТОГО Торговля'!$B$5:$B$300,$B202)+SUMIFS('ИТОГО Лэндинг'!$K$5:$K$300,'ИТОГО Лэндинг'!$B$5:$B$300,$B202),8))</f>
        <v/>
      </c>
      <c r="L202" s="183">
        <f>IF(K202="","",IF(SUMPRODUCT((Закрытые!$E$5:$E$300=$B202)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202/SUMPRODUCT((Закрытые!$E$5:$E$300=$B202)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2" s="183">
        <f>IF(OR(ROUND(N(C202)-N(F202),8)=0,1-N(Ввод!$E$17)/100&lt;=0),"",IF(N(C202)&gt;N(F202),(N(E202)-N(H202))/((N(C202)-N(F202))*(1-N(Ввод!$E$17)/100)),(N(H202)-N(E202))/((N(F202)-N(C202))*(1+N(Ввод!$E$17)/100))))</f>
        <v/>
      </c>
    </row>
    <row r="203" ht="22" customHeight="1">
      <c r="B203" s="315" t="n"/>
      <c r="C203" s="240">
        <f>IF($B203="","",IF(SUMIFS('ИТОГО Торговля'!$C$5:$C$300,'ИТОГО Торговля'!$B$5:$B$300,$B203)+SUMIFS('ИТОГО Лэндинг'!$C$5:$C$300,'ИТОГО Лэндинг'!$B$5:$B$300,$B203)=0,"",SUMIFS('ИТОГО Торговля'!$C$5:$C$300,'ИТОГО Торговля'!$B$5:$B$300,$B203)+SUMIFS('ИТОГО Лэндинг'!$C$5:$C$300,'ИТОГО Лэндинг'!$B$5:$B$300,$B203)))</f>
        <v/>
      </c>
      <c r="D203" s="177">
        <f>IF(C203="","",E203/C203)</f>
        <v/>
      </c>
      <c r="E203" s="241">
        <f>IF(C203="","",SUMIFS('ИТОГО Торговля'!$E$5:$E$300,'ИТОГО Торговля'!$B$5:$B$300,$B203)+SUMIFS('ИТОГО Лэндинг'!$E$5:$E$300,'ИТОГО Лэндинг'!$B$5:$B$300,$B203))</f>
        <v/>
      </c>
      <c r="F203" s="240">
        <f>IF($B203="","",IF(SUMIFS('ИТОГО Торговля'!$F$5:$F$300,'ИТОГО Торговля'!$B$5:$B$300,$B203)+SUMIFS('ИТОГО Лэндинг'!$F$5:$F$300,'ИТОГО Лэндинг'!$B$5:$B$300,$B203)=0,"",SUMIFS('ИТОГО Торговля'!$F$5:$F$300,'ИТОГО Торговля'!$B$5:$B$300,$B203)+SUMIFS('ИТОГО Лэндинг'!$F$5:$F$300,'ИТОГО Лэндинг'!$B$5:$B$300,$B203)))</f>
        <v/>
      </c>
      <c r="G203" s="177">
        <f>IF(F203="","",H203/F203)</f>
        <v/>
      </c>
      <c r="H203" s="241">
        <f>IF(F203="","",SUMIFS('ИТОГО Торговля'!$H$5:$H$300,'ИТОГО Торговля'!$B$5:$B$300,$B203)+SUMIFS('ИТОГО Лэндинг'!$H$5:$H$300,'ИТОГО Лэндинг'!$B$5:$B$300,$B203))</f>
        <v/>
      </c>
      <c r="I203" s="240">
        <f>IF($B203="","",IF(AND(C203="",F203=""),"",ROUND(SUMIFS('ИТОГО Торговля'!$I$5:$I$300,'ИТОГО Торговля'!$B$5:$B$300,$B203)+SUMIFS('ИТОГО Лэндинг'!$I$5:$I$300,'ИТОГО Лэндинг'!$B$5:$B$300,$B203),8)))</f>
        <v/>
      </c>
      <c r="J203" s="241">
        <f>IF($B203="","",IF(AND(C203="",F203=""),"",ROUND(SUMIFS('ИТОГО Торговля'!$J$5:$J$300,'ИТОГО Торговля'!$B$5:$B$300,$B203)+SUMIFS('ИТОГО Лэндинг'!$J$5:$J$300,'ИТОГО Лэндинг'!$B$5:$B$300,$B203),8)))</f>
        <v/>
      </c>
      <c r="K203" s="240">
        <f>IF($B203="","",ROUND(SUMIFS('ИТОГО Торговля'!$K$5:$K$300,'ИТОГО Торговля'!$B$5:$B$300,$B203)+SUMIFS('ИТОГО Лэндинг'!$K$5:$K$300,'ИТОГО Лэндинг'!$B$5:$B$300,$B203),8))</f>
        <v/>
      </c>
      <c r="L203" s="177">
        <f>IF(K203="","",IF(SUMPRODUCT((Закрытые!$E$5:$E$300=$B203)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203/SUMPRODUCT((Закрытые!$E$5:$E$300=$B203)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3" s="177">
        <f>IF(OR(ROUND(N(C203)-N(F203),8)=0,1-N(Ввод!$E$17)/100&lt;=0),"",IF(N(C203)&gt;N(F203),(N(E203)-N(H203))/((N(C203)-N(F203))*(1-N(Ввод!$E$17)/100)),(N(H203)-N(E203))/((N(F203)-N(C203))*(1+N(Ввод!$E$17)/100))))</f>
        <v/>
      </c>
    </row>
    <row r="204" ht="22" customHeight="1">
      <c r="B204" s="320" t="n"/>
      <c r="C204" s="246">
        <f>IF($B204="","",IF(SUMIFS('ИТОГО Торговля'!$C$5:$C$300,'ИТОГО Торговля'!$B$5:$B$300,$B204)+SUMIFS('ИТОГО Лэндинг'!$C$5:$C$300,'ИТОГО Лэндинг'!$B$5:$B$300,$B204)=0,"",SUMIFS('ИТОГО Торговля'!$C$5:$C$300,'ИТОГО Торговля'!$B$5:$B$300,$B204)+SUMIFS('ИТОГО Лэндинг'!$C$5:$C$300,'ИТОГО Лэндинг'!$B$5:$B$300,$B204)))</f>
        <v/>
      </c>
      <c r="D204" s="183">
        <f>IF(C204="","",E204/C204)</f>
        <v/>
      </c>
      <c r="E204" s="247">
        <f>IF(C204="","",SUMIFS('ИТОГО Торговля'!$E$5:$E$300,'ИТОГО Торговля'!$B$5:$B$300,$B204)+SUMIFS('ИТОГО Лэндинг'!$E$5:$E$300,'ИТОГО Лэндинг'!$B$5:$B$300,$B204))</f>
        <v/>
      </c>
      <c r="F204" s="246">
        <f>IF($B204="","",IF(SUMIFS('ИТОГО Торговля'!$F$5:$F$300,'ИТОГО Торговля'!$B$5:$B$300,$B204)+SUMIFS('ИТОГО Лэндинг'!$F$5:$F$300,'ИТОГО Лэндинг'!$B$5:$B$300,$B204)=0,"",SUMIFS('ИТОГО Торговля'!$F$5:$F$300,'ИТОГО Торговля'!$B$5:$B$300,$B204)+SUMIFS('ИТОГО Лэндинг'!$F$5:$F$300,'ИТОГО Лэндинг'!$B$5:$B$300,$B204)))</f>
        <v/>
      </c>
      <c r="G204" s="183">
        <f>IF(F204="","",H204/F204)</f>
        <v/>
      </c>
      <c r="H204" s="247">
        <f>IF(F204="","",SUMIFS('ИТОГО Торговля'!$H$5:$H$300,'ИТОГО Торговля'!$B$5:$B$300,$B204)+SUMIFS('ИТОГО Лэндинг'!$H$5:$H$300,'ИТОГО Лэндинг'!$B$5:$B$300,$B204))</f>
        <v/>
      </c>
      <c r="I204" s="246">
        <f>IF($B204="","",IF(AND(C204="",F204=""),"",ROUND(SUMIFS('ИТОГО Торговля'!$I$5:$I$300,'ИТОГО Торговля'!$B$5:$B$300,$B204)+SUMIFS('ИТОГО Лэндинг'!$I$5:$I$300,'ИТОГО Лэндинг'!$B$5:$B$300,$B204),8)))</f>
        <v/>
      </c>
      <c r="J204" s="247">
        <f>IF($B204="","",IF(AND(C204="",F204=""),"",ROUND(SUMIFS('ИТОГО Торговля'!$J$5:$J$300,'ИТОГО Торговля'!$B$5:$B$300,$B204)+SUMIFS('ИТОГО Лэндинг'!$J$5:$J$300,'ИТОГО Лэндинг'!$B$5:$B$300,$B204),8)))</f>
        <v/>
      </c>
      <c r="K204" s="246">
        <f>IF($B204="","",ROUND(SUMIFS('ИТОГО Торговля'!$K$5:$K$300,'ИТОГО Торговля'!$B$5:$B$300,$B204)+SUMIFS('ИТОГО Лэндинг'!$K$5:$K$300,'ИТОГО Лэндинг'!$B$5:$B$300,$B204),8))</f>
        <v/>
      </c>
      <c r="L204" s="183">
        <f>IF(K204="","",IF(SUMPRODUCT((Закрытые!$E$5:$E$300=$B204)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204/SUMPRODUCT((Закрытые!$E$5:$E$300=$B204)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4" s="183">
        <f>IF(OR(ROUND(N(C204)-N(F204),8)=0,1-N(Ввод!$E$17)/100&lt;=0),"",IF(N(C204)&gt;N(F204),(N(E204)-N(H204))/((N(C204)-N(F204))*(1-N(Ввод!$E$17)/100)),(N(H204)-N(E204))/((N(F204)-N(C204))*(1+N(Ввод!$E$17)/100))))</f>
        <v/>
      </c>
    </row>
    <row r="205" ht="22" customHeight="1">
      <c r="B205" s="315" t="n"/>
      <c r="C205" s="240">
        <f>IF($B205="","",IF(SUMIFS('ИТОГО Торговля'!$C$5:$C$300,'ИТОГО Торговля'!$B$5:$B$300,$B205)+SUMIFS('ИТОГО Лэндинг'!$C$5:$C$300,'ИТОГО Лэндинг'!$B$5:$B$300,$B205)=0,"",SUMIFS('ИТОГО Торговля'!$C$5:$C$300,'ИТОГО Торговля'!$B$5:$B$300,$B205)+SUMIFS('ИТОГО Лэндинг'!$C$5:$C$300,'ИТОГО Лэндинг'!$B$5:$B$300,$B205)))</f>
        <v/>
      </c>
      <c r="D205" s="177">
        <f>IF(C205="","",E205/C205)</f>
        <v/>
      </c>
      <c r="E205" s="241">
        <f>IF(C205="","",SUMIFS('ИТОГО Торговля'!$E$5:$E$300,'ИТОГО Торговля'!$B$5:$B$300,$B205)+SUMIFS('ИТОГО Лэндинг'!$E$5:$E$300,'ИТОГО Лэндинг'!$B$5:$B$300,$B205))</f>
        <v/>
      </c>
      <c r="F205" s="240">
        <f>IF($B205="","",IF(SUMIFS('ИТОГО Торговля'!$F$5:$F$300,'ИТОГО Торговля'!$B$5:$B$300,$B205)+SUMIFS('ИТОГО Лэндинг'!$F$5:$F$300,'ИТОГО Лэндинг'!$B$5:$B$300,$B205)=0,"",SUMIFS('ИТОГО Торговля'!$F$5:$F$300,'ИТОГО Торговля'!$B$5:$B$300,$B205)+SUMIFS('ИТОГО Лэндинг'!$F$5:$F$300,'ИТОГО Лэндинг'!$B$5:$B$300,$B205)))</f>
        <v/>
      </c>
      <c r="G205" s="177">
        <f>IF(F205="","",H205/F205)</f>
        <v/>
      </c>
      <c r="H205" s="241">
        <f>IF(F205="","",SUMIFS('ИТОГО Торговля'!$H$5:$H$300,'ИТОГО Торговля'!$B$5:$B$300,$B205)+SUMIFS('ИТОГО Лэндинг'!$H$5:$H$300,'ИТОГО Лэндинг'!$B$5:$B$300,$B205))</f>
        <v/>
      </c>
      <c r="I205" s="240">
        <f>IF($B205="","",IF(AND(C205="",F205=""),"",ROUND(SUMIFS('ИТОГО Торговля'!$I$5:$I$300,'ИТОГО Торговля'!$B$5:$B$300,$B205)+SUMIFS('ИТОГО Лэндинг'!$I$5:$I$300,'ИТОГО Лэндинг'!$B$5:$B$300,$B205),8)))</f>
        <v/>
      </c>
      <c r="J205" s="241">
        <f>IF($B205="","",IF(AND(C205="",F205=""),"",ROUND(SUMIFS('ИТОГО Торговля'!$J$5:$J$300,'ИТОГО Торговля'!$B$5:$B$300,$B205)+SUMIFS('ИТОГО Лэндинг'!$J$5:$J$300,'ИТОГО Лэндинг'!$B$5:$B$300,$B205),8)))</f>
        <v/>
      </c>
      <c r="K205" s="240">
        <f>IF($B205="","",ROUND(SUMIFS('ИТОГО Торговля'!$K$5:$K$300,'ИТОГО Торговля'!$B$5:$B$300,$B205)+SUMIFS('ИТОГО Лэндинг'!$K$5:$K$300,'ИТОГО Лэндинг'!$B$5:$B$300,$B205),8))</f>
        <v/>
      </c>
      <c r="L205" s="177">
        <f>IF(K205="","",IF(SUMPRODUCT((Закрытые!$E$5:$E$300=$B205)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205/SUMPRODUCT((Закрытые!$E$5:$E$300=$B205)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5" s="177">
        <f>IF(OR(ROUND(N(C205)-N(F205),8)=0,1-N(Ввод!$E$17)/100&lt;=0),"",IF(N(C205)&gt;N(F205),(N(E205)-N(H205))/((N(C205)-N(F205))*(1-N(Ввод!$E$17)/100)),(N(H205)-N(E205))/((N(F205)-N(C205))*(1+N(Ввод!$E$17)/100))))</f>
        <v/>
      </c>
    </row>
    <row r="206" ht="22" customHeight="1">
      <c r="B206" s="320" t="n"/>
      <c r="C206" s="246">
        <f>IF($B206="","",IF(SUMIFS('ИТОГО Торговля'!$C$5:$C$300,'ИТОГО Торговля'!$B$5:$B$300,$B206)+SUMIFS('ИТОГО Лэндинг'!$C$5:$C$300,'ИТОГО Лэндинг'!$B$5:$B$300,$B206)=0,"",SUMIFS('ИТОГО Торговля'!$C$5:$C$300,'ИТОГО Торговля'!$B$5:$B$300,$B206)+SUMIFS('ИТОГО Лэндинг'!$C$5:$C$300,'ИТОГО Лэндинг'!$B$5:$B$300,$B206)))</f>
        <v/>
      </c>
      <c r="D206" s="183">
        <f>IF(C206="","",E206/C206)</f>
        <v/>
      </c>
      <c r="E206" s="247">
        <f>IF(C206="","",SUMIFS('ИТОГО Торговля'!$E$5:$E$300,'ИТОГО Торговля'!$B$5:$B$300,$B206)+SUMIFS('ИТОГО Лэндинг'!$E$5:$E$300,'ИТОГО Лэндинг'!$B$5:$B$300,$B206))</f>
        <v/>
      </c>
      <c r="F206" s="246">
        <f>IF($B206="","",IF(SUMIFS('ИТОГО Торговля'!$F$5:$F$300,'ИТОГО Торговля'!$B$5:$B$300,$B206)+SUMIFS('ИТОГО Лэндинг'!$F$5:$F$300,'ИТОГО Лэндинг'!$B$5:$B$300,$B206)=0,"",SUMIFS('ИТОГО Торговля'!$F$5:$F$300,'ИТОГО Торговля'!$B$5:$B$300,$B206)+SUMIFS('ИТОГО Лэндинг'!$F$5:$F$300,'ИТОГО Лэндинг'!$B$5:$B$300,$B206)))</f>
        <v/>
      </c>
      <c r="G206" s="183">
        <f>IF(F206="","",H206/F206)</f>
        <v/>
      </c>
      <c r="H206" s="247">
        <f>IF(F206="","",SUMIFS('ИТОГО Торговля'!$H$5:$H$300,'ИТОГО Торговля'!$B$5:$B$300,$B206)+SUMIFS('ИТОГО Лэндинг'!$H$5:$H$300,'ИТОГО Лэндинг'!$B$5:$B$300,$B206))</f>
        <v/>
      </c>
      <c r="I206" s="246">
        <f>IF($B206="","",IF(AND(C206="",F206=""),"",ROUND(SUMIFS('ИТОГО Торговля'!$I$5:$I$300,'ИТОГО Торговля'!$B$5:$B$300,$B206)+SUMIFS('ИТОГО Лэндинг'!$I$5:$I$300,'ИТОГО Лэндинг'!$B$5:$B$300,$B206),8)))</f>
        <v/>
      </c>
      <c r="J206" s="247">
        <f>IF($B206="","",IF(AND(C206="",F206=""),"",ROUND(SUMIFS('ИТОГО Торговля'!$J$5:$J$300,'ИТОГО Торговля'!$B$5:$B$300,$B206)+SUMIFS('ИТОГО Лэндинг'!$J$5:$J$300,'ИТОГО Лэндинг'!$B$5:$B$300,$B206),8)))</f>
        <v/>
      </c>
      <c r="K206" s="246">
        <f>IF($B206="","",ROUND(SUMIFS('ИТОГО Торговля'!$K$5:$K$300,'ИТОГО Торговля'!$B$5:$B$300,$B206)+SUMIFS('ИТОГО Лэндинг'!$K$5:$K$300,'ИТОГО Лэндинг'!$B$5:$B$300,$B206),8))</f>
        <v/>
      </c>
      <c r="L206" s="183">
        <f>IF(K206="","",IF(SUMPRODUCT((Закрытые!$E$5:$E$300=$B206)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206/SUMPRODUCT((Закрытые!$E$5:$E$300=$B206)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6" s="183">
        <f>IF(OR(ROUND(N(C206)-N(F206),8)=0,1-N(Ввод!$E$17)/100&lt;=0),"",IF(N(C206)&gt;N(F206),(N(E206)-N(H206))/((N(C206)-N(F206))*(1-N(Ввод!$E$17)/100)),(N(H206)-N(E206))/((N(F206)-N(C206))*(1+N(Ввод!$E$17)/100))))</f>
        <v/>
      </c>
    </row>
    <row r="207" ht="22" customHeight="1">
      <c r="B207" s="315" t="n"/>
      <c r="C207" s="240">
        <f>IF($B207="","",IF(SUMIFS('ИТОГО Торговля'!$C$5:$C$300,'ИТОГО Торговля'!$B$5:$B$300,$B207)+SUMIFS('ИТОГО Лэндинг'!$C$5:$C$300,'ИТОГО Лэндинг'!$B$5:$B$300,$B207)=0,"",SUMIFS('ИТОГО Торговля'!$C$5:$C$300,'ИТОГО Торговля'!$B$5:$B$300,$B207)+SUMIFS('ИТОГО Лэндинг'!$C$5:$C$300,'ИТОГО Лэндинг'!$B$5:$B$300,$B207)))</f>
        <v/>
      </c>
      <c r="D207" s="177">
        <f>IF(C207="","",E207/C207)</f>
        <v/>
      </c>
      <c r="E207" s="241">
        <f>IF(C207="","",SUMIFS('ИТОГО Торговля'!$E$5:$E$300,'ИТОГО Торговля'!$B$5:$B$300,$B207)+SUMIFS('ИТОГО Лэндинг'!$E$5:$E$300,'ИТОГО Лэндинг'!$B$5:$B$300,$B207))</f>
        <v/>
      </c>
      <c r="F207" s="240">
        <f>IF($B207="","",IF(SUMIFS('ИТОГО Торговля'!$F$5:$F$300,'ИТОГО Торговля'!$B$5:$B$300,$B207)+SUMIFS('ИТОГО Лэндинг'!$F$5:$F$300,'ИТОГО Лэндинг'!$B$5:$B$300,$B207)=0,"",SUMIFS('ИТОГО Торговля'!$F$5:$F$300,'ИТОГО Торговля'!$B$5:$B$300,$B207)+SUMIFS('ИТОГО Лэндинг'!$F$5:$F$300,'ИТОГО Лэндинг'!$B$5:$B$300,$B207)))</f>
        <v/>
      </c>
      <c r="G207" s="177">
        <f>IF(F207="","",H207/F207)</f>
        <v/>
      </c>
      <c r="H207" s="241">
        <f>IF(F207="","",SUMIFS('ИТОГО Торговля'!$H$5:$H$300,'ИТОГО Торговля'!$B$5:$B$300,$B207)+SUMIFS('ИТОГО Лэндинг'!$H$5:$H$300,'ИТОГО Лэндинг'!$B$5:$B$300,$B207))</f>
        <v/>
      </c>
      <c r="I207" s="240">
        <f>IF($B207="","",IF(AND(C207="",F207=""),"",ROUND(SUMIFS('ИТОГО Торговля'!$I$5:$I$300,'ИТОГО Торговля'!$B$5:$B$300,$B207)+SUMIFS('ИТОГО Лэндинг'!$I$5:$I$300,'ИТОГО Лэндинг'!$B$5:$B$300,$B207),8)))</f>
        <v/>
      </c>
      <c r="J207" s="241">
        <f>IF($B207="","",IF(AND(C207="",F207=""),"",ROUND(SUMIFS('ИТОГО Торговля'!$J$5:$J$300,'ИТОГО Торговля'!$B$5:$B$300,$B207)+SUMIFS('ИТОГО Лэндинг'!$J$5:$J$300,'ИТОГО Лэндинг'!$B$5:$B$300,$B207),8)))</f>
        <v/>
      </c>
      <c r="K207" s="240">
        <f>IF($B207="","",ROUND(SUMIFS('ИТОГО Торговля'!$K$5:$K$300,'ИТОГО Торговля'!$B$5:$B$300,$B207)+SUMIFS('ИТОГО Лэндинг'!$K$5:$K$300,'ИТОГО Лэндинг'!$B$5:$B$300,$B207),8))</f>
        <v/>
      </c>
      <c r="L207" s="177">
        <f>IF(K207="","",IF(SUMPRODUCT((Закрытые!$E$5:$E$300=$B207)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207/SUMPRODUCT((Закрытые!$E$5:$E$300=$B207)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7" s="177">
        <f>IF(OR(ROUND(N(C207)-N(F207),8)=0,1-N(Ввод!$E$17)/100&lt;=0),"",IF(N(C207)&gt;N(F207),(N(E207)-N(H207))/((N(C207)-N(F207))*(1-N(Ввод!$E$17)/100)),(N(H207)-N(E207))/((N(F207)-N(C207))*(1+N(Ввод!$E$17)/100))))</f>
        <v/>
      </c>
    </row>
    <row r="208" ht="22" customHeight="1">
      <c r="B208" s="320" t="n"/>
      <c r="C208" s="246">
        <f>IF($B208="","",IF(SUMIFS('ИТОГО Торговля'!$C$5:$C$300,'ИТОГО Торговля'!$B$5:$B$300,$B208)+SUMIFS('ИТОГО Лэндинг'!$C$5:$C$300,'ИТОГО Лэндинг'!$B$5:$B$300,$B208)=0,"",SUMIFS('ИТОГО Торговля'!$C$5:$C$300,'ИТОГО Торговля'!$B$5:$B$300,$B208)+SUMIFS('ИТОГО Лэндинг'!$C$5:$C$300,'ИТОГО Лэндинг'!$B$5:$B$300,$B208)))</f>
        <v/>
      </c>
      <c r="D208" s="183">
        <f>IF(C208="","",E208/C208)</f>
        <v/>
      </c>
      <c r="E208" s="247">
        <f>IF(C208="","",SUMIFS('ИТОГО Торговля'!$E$5:$E$300,'ИТОГО Торговля'!$B$5:$B$300,$B208)+SUMIFS('ИТОГО Лэндинг'!$E$5:$E$300,'ИТОГО Лэндинг'!$B$5:$B$300,$B208))</f>
        <v/>
      </c>
      <c r="F208" s="246">
        <f>IF($B208="","",IF(SUMIFS('ИТОГО Торговля'!$F$5:$F$300,'ИТОГО Торговля'!$B$5:$B$300,$B208)+SUMIFS('ИТОГО Лэндинг'!$F$5:$F$300,'ИТОГО Лэндинг'!$B$5:$B$300,$B208)=0,"",SUMIFS('ИТОГО Торговля'!$F$5:$F$300,'ИТОГО Торговля'!$B$5:$B$300,$B208)+SUMIFS('ИТОГО Лэндинг'!$F$5:$F$300,'ИТОГО Лэндинг'!$B$5:$B$300,$B208)))</f>
        <v/>
      </c>
      <c r="G208" s="183">
        <f>IF(F208="","",H208/F208)</f>
        <v/>
      </c>
      <c r="H208" s="247">
        <f>IF(F208="","",SUMIFS('ИТОГО Торговля'!$H$5:$H$300,'ИТОГО Торговля'!$B$5:$B$300,$B208)+SUMIFS('ИТОГО Лэндинг'!$H$5:$H$300,'ИТОГО Лэндинг'!$B$5:$B$300,$B208))</f>
        <v/>
      </c>
      <c r="I208" s="246">
        <f>IF($B208="","",IF(AND(C208="",F208=""),"",ROUND(SUMIFS('ИТОГО Торговля'!$I$5:$I$300,'ИТОГО Торговля'!$B$5:$B$300,$B208)+SUMIFS('ИТОГО Лэндинг'!$I$5:$I$300,'ИТОГО Лэндинг'!$B$5:$B$300,$B208),8)))</f>
        <v/>
      </c>
      <c r="J208" s="247">
        <f>IF($B208="","",IF(AND(C208="",F208=""),"",ROUND(SUMIFS('ИТОГО Торговля'!$J$5:$J$300,'ИТОГО Торговля'!$B$5:$B$300,$B208)+SUMIFS('ИТОГО Лэндинг'!$J$5:$J$300,'ИТОГО Лэндинг'!$B$5:$B$300,$B208),8)))</f>
        <v/>
      </c>
      <c r="K208" s="246">
        <f>IF($B208="","",ROUND(SUMIFS('ИТОГО Торговля'!$K$5:$K$300,'ИТОГО Торговля'!$B$5:$B$300,$B208)+SUMIFS('ИТОГО Лэндинг'!$K$5:$K$300,'ИТОГО Лэндинг'!$B$5:$B$300,$B208),8))</f>
        <v/>
      </c>
      <c r="L208" s="183">
        <f>IF(K208="","",IF(SUMPRODUCT((Закрытые!$E$5:$E$300=$B208)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208/SUMPRODUCT((Закрытые!$E$5:$E$300=$B208)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8" s="183">
        <f>IF(OR(ROUND(N(C208)-N(F208),8)=0,1-N(Ввод!$E$17)/100&lt;=0),"",IF(N(C208)&gt;N(F208),(N(E208)-N(H208))/((N(C208)-N(F208))*(1-N(Ввод!$E$17)/100)),(N(H208)-N(E208))/((N(F208)-N(C208))*(1+N(Ввод!$E$17)/100))))</f>
        <v/>
      </c>
    </row>
    <row r="209" ht="22" customHeight="1">
      <c r="B209" s="315" t="n"/>
      <c r="C209" s="240">
        <f>IF($B209="","",IF(SUMIFS('ИТОГО Торговля'!$C$5:$C$300,'ИТОГО Торговля'!$B$5:$B$300,$B209)+SUMIFS('ИТОГО Лэндинг'!$C$5:$C$300,'ИТОГО Лэндинг'!$B$5:$B$300,$B209)=0,"",SUMIFS('ИТОГО Торговля'!$C$5:$C$300,'ИТОГО Торговля'!$B$5:$B$300,$B209)+SUMIFS('ИТОГО Лэндинг'!$C$5:$C$300,'ИТОГО Лэндинг'!$B$5:$B$300,$B209)))</f>
        <v/>
      </c>
      <c r="D209" s="177">
        <f>IF(C209="","",E209/C209)</f>
        <v/>
      </c>
      <c r="E209" s="241">
        <f>IF(C209="","",SUMIFS('ИТОГО Торговля'!$E$5:$E$300,'ИТОГО Торговля'!$B$5:$B$300,$B209)+SUMIFS('ИТОГО Лэндинг'!$E$5:$E$300,'ИТОГО Лэндинг'!$B$5:$B$300,$B209))</f>
        <v/>
      </c>
      <c r="F209" s="240">
        <f>IF($B209="","",IF(SUMIFS('ИТОГО Торговля'!$F$5:$F$300,'ИТОГО Торговля'!$B$5:$B$300,$B209)+SUMIFS('ИТОГО Лэндинг'!$F$5:$F$300,'ИТОГО Лэндинг'!$B$5:$B$300,$B209)=0,"",SUMIFS('ИТОГО Торговля'!$F$5:$F$300,'ИТОГО Торговля'!$B$5:$B$300,$B209)+SUMIFS('ИТОГО Лэндинг'!$F$5:$F$300,'ИТОГО Лэндинг'!$B$5:$B$300,$B209)))</f>
        <v/>
      </c>
      <c r="G209" s="177">
        <f>IF(F209="","",H209/F209)</f>
        <v/>
      </c>
      <c r="H209" s="241">
        <f>IF(F209="","",SUMIFS('ИТОГО Торговля'!$H$5:$H$300,'ИТОГО Торговля'!$B$5:$B$300,$B209)+SUMIFS('ИТОГО Лэндинг'!$H$5:$H$300,'ИТОГО Лэндинг'!$B$5:$B$300,$B209))</f>
        <v/>
      </c>
      <c r="I209" s="240">
        <f>IF($B209="","",IF(AND(C209="",F209=""),"",ROUND(SUMIFS('ИТОГО Торговля'!$I$5:$I$300,'ИТОГО Торговля'!$B$5:$B$300,$B209)+SUMIFS('ИТОГО Лэндинг'!$I$5:$I$300,'ИТОГО Лэндинг'!$B$5:$B$300,$B209),8)))</f>
        <v/>
      </c>
      <c r="J209" s="241">
        <f>IF($B209="","",IF(AND(C209="",F209=""),"",ROUND(SUMIFS('ИТОГО Торговля'!$J$5:$J$300,'ИТОГО Торговля'!$B$5:$B$300,$B209)+SUMIFS('ИТОГО Лэндинг'!$J$5:$J$300,'ИТОГО Лэндинг'!$B$5:$B$300,$B209),8)))</f>
        <v/>
      </c>
      <c r="K209" s="240">
        <f>IF($B209="","",ROUND(SUMIFS('ИТОГО Торговля'!$K$5:$K$300,'ИТОГО Торговля'!$B$5:$B$300,$B209)+SUMIFS('ИТОГО Лэндинг'!$K$5:$K$300,'ИТОГО Лэндинг'!$B$5:$B$300,$B209),8))</f>
        <v/>
      </c>
      <c r="L209" s="177">
        <f>IF(K209="","",IF(SUMPRODUCT((Закрытые!$E$5:$E$300=$B209)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209/SUMPRODUCT((Закрытые!$E$5:$E$300=$B209)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9" s="177">
        <f>IF(OR(ROUND(N(C209)-N(F209),8)=0,1-N(Ввод!$E$17)/100&lt;=0),"",IF(N(C209)&gt;N(F209),(N(E209)-N(H209))/((N(C209)-N(F209))*(1-N(Ввод!$E$17)/100)),(N(H209)-N(E209))/((N(F209)-N(C209))*(1+N(Ввод!$E$17)/100))))</f>
        <v/>
      </c>
    </row>
    <row r="210" ht="22" customHeight="1">
      <c r="B210" s="320" t="n"/>
      <c r="C210" s="246">
        <f>IF($B210="","",IF(SUMIFS('ИТОГО Торговля'!$C$5:$C$300,'ИТОГО Торговля'!$B$5:$B$300,$B210)+SUMIFS('ИТОГО Лэндинг'!$C$5:$C$300,'ИТОГО Лэндинг'!$B$5:$B$300,$B210)=0,"",SUMIFS('ИТОГО Торговля'!$C$5:$C$300,'ИТОГО Торговля'!$B$5:$B$300,$B210)+SUMIFS('ИТОГО Лэндинг'!$C$5:$C$300,'ИТОГО Лэндинг'!$B$5:$B$300,$B210)))</f>
        <v/>
      </c>
      <c r="D210" s="183">
        <f>IF(C210="","",E210/C210)</f>
        <v/>
      </c>
      <c r="E210" s="247">
        <f>IF(C210="","",SUMIFS('ИТОГО Торговля'!$E$5:$E$300,'ИТОГО Торговля'!$B$5:$B$300,$B210)+SUMIFS('ИТОГО Лэндинг'!$E$5:$E$300,'ИТОГО Лэндинг'!$B$5:$B$300,$B210))</f>
        <v/>
      </c>
      <c r="F210" s="246">
        <f>IF($B210="","",IF(SUMIFS('ИТОГО Торговля'!$F$5:$F$300,'ИТОГО Торговля'!$B$5:$B$300,$B210)+SUMIFS('ИТОГО Лэндинг'!$F$5:$F$300,'ИТОГО Лэндинг'!$B$5:$B$300,$B210)=0,"",SUMIFS('ИТОГО Торговля'!$F$5:$F$300,'ИТОГО Торговля'!$B$5:$B$300,$B210)+SUMIFS('ИТОГО Лэндинг'!$F$5:$F$300,'ИТОГО Лэндинг'!$B$5:$B$300,$B210)))</f>
        <v/>
      </c>
      <c r="G210" s="183">
        <f>IF(F210="","",H210/F210)</f>
        <v/>
      </c>
      <c r="H210" s="247">
        <f>IF(F210="","",SUMIFS('ИТОГО Торговля'!$H$5:$H$300,'ИТОГО Торговля'!$B$5:$B$300,$B210)+SUMIFS('ИТОГО Лэндинг'!$H$5:$H$300,'ИТОГО Лэндинг'!$B$5:$B$300,$B210))</f>
        <v/>
      </c>
      <c r="I210" s="246">
        <f>IF($B210="","",IF(AND(C210="",F210=""),"",ROUND(SUMIFS('ИТОГО Торговля'!$I$5:$I$300,'ИТОГО Торговля'!$B$5:$B$300,$B210)+SUMIFS('ИТОГО Лэндинг'!$I$5:$I$300,'ИТОГО Лэндинг'!$B$5:$B$300,$B210),8)))</f>
        <v/>
      </c>
      <c r="J210" s="247">
        <f>IF($B210="","",IF(AND(C210="",F210=""),"",ROUND(SUMIFS('ИТОГО Торговля'!$J$5:$J$300,'ИТОГО Торговля'!$B$5:$B$300,$B210)+SUMIFS('ИТОГО Лэндинг'!$J$5:$J$300,'ИТОГО Лэндинг'!$B$5:$B$300,$B210),8)))</f>
        <v/>
      </c>
      <c r="K210" s="246">
        <f>IF($B210="","",ROUND(SUMIFS('ИТОГО Торговля'!$K$5:$K$300,'ИТОГО Торговля'!$B$5:$B$300,$B210)+SUMIFS('ИТОГО Лэндинг'!$K$5:$K$300,'ИТОГО Лэндинг'!$B$5:$B$300,$B210),8))</f>
        <v/>
      </c>
      <c r="L210" s="183">
        <f>IF(K210="","",IF(SUMPRODUCT((Закрытые!$E$5:$E$300=$B210)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210/SUMPRODUCT((Закрытые!$E$5:$E$300=$B210)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0" s="183">
        <f>IF(OR(ROUND(N(C210)-N(F210),8)=0,1-N(Ввод!$E$17)/100&lt;=0),"",IF(N(C210)&gt;N(F210),(N(E210)-N(H210))/((N(C210)-N(F210))*(1-N(Ввод!$E$17)/100)),(N(H210)-N(E210))/((N(F210)-N(C210))*(1+N(Ввод!$E$17)/100))))</f>
        <v/>
      </c>
    </row>
    <row r="211" ht="22" customHeight="1">
      <c r="B211" s="315" t="n"/>
      <c r="C211" s="240">
        <f>IF($B211="","",IF(SUMIFS('ИТОГО Торговля'!$C$5:$C$300,'ИТОГО Торговля'!$B$5:$B$300,$B211)+SUMIFS('ИТОГО Лэндинг'!$C$5:$C$300,'ИТОГО Лэндинг'!$B$5:$B$300,$B211)=0,"",SUMIFS('ИТОГО Торговля'!$C$5:$C$300,'ИТОГО Торговля'!$B$5:$B$300,$B211)+SUMIFS('ИТОГО Лэндинг'!$C$5:$C$300,'ИТОГО Лэндинг'!$B$5:$B$300,$B211)))</f>
        <v/>
      </c>
      <c r="D211" s="177">
        <f>IF(C211="","",E211/C211)</f>
        <v/>
      </c>
      <c r="E211" s="241">
        <f>IF(C211="","",SUMIFS('ИТОГО Торговля'!$E$5:$E$300,'ИТОГО Торговля'!$B$5:$B$300,$B211)+SUMIFS('ИТОГО Лэндинг'!$E$5:$E$300,'ИТОГО Лэндинг'!$B$5:$B$300,$B211))</f>
        <v/>
      </c>
      <c r="F211" s="240">
        <f>IF($B211="","",IF(SUMIFS('ИТОГО Торговля'!$F$5:$F$300,'ИТОГО Торговля'!$B$5:$B$300,$B211)+SUMIFS('ИТОГО Лэндинг'!$F$5:$F$300,'ИТОГО Лэндинг'!$B$5:$B$300,$B211)=0,"",SUMIFS('ИТОГО Торговля'!$F$5:$F$300,'ИТОГО Торговля'!$B$5:$B$300,$B211)+SUMIFS('ИТОГО Лэндинг'!$F$5:$F$300,'ИТОГО Лэндинг'!$B$5:$B$300,$B211)))</f>
        <v/>
      </c>
      <c r="G211" s="177">
        <f>IF(F211="","",H211/F211)</f>
        <v/>
      </c>
      <c r="H211" s="241">
        <f>IF(F211="","",SUMIFS('ИТОГО Торговля'!$H$5:$H$300,'ИТОГО Торговля'!$B$5:$B$300,$B211)+SUMIFS('ИТОГО Лэндинг'!$H$5:$H$300,'ИТОГО Лэндинг'!$B$5:$B$300,$B211))</f>
        <v/>
      </c>
      <c r="I211" s="240">
        <f>IF($B211="","",IF(AND(C211="",F211=""),"",ROUND(SUMIFS('ИТОГО Торговля'!$I$5:$I$300,'ИТОГО Торговля'!$B$5:$B$300,$B211)+SUMIFS('ИТОГО Лэндинг'!$I$5:$I$300,'ИТОГО Лэндинг'!$B$5:$B$300,$B211),8)))</f>
        <v/>
      </c>
      <c r="J211" s="241">
        <f>IF($B211="","",IF(AND(C211="",F211=""),"",ROUND(SUMIFS('ИТОГО Торговля'!$J$5:$J$300,'ИТОГО Торговля'!$B$5:$B$300,$B211)+SUMIFS('ИТОГО Лэндинг'!$J$5:$J$300,'ИТОГО Лэндинг'!$B$5:$B$300,$B211),8)))</f>
        <v/>
      </c>
      <c r="K211" s="240">
        <f>IF($B211="","",ROUND(SUMIFS('ИТОГО Торговля'!$K$5:$K$300,'ИТОГО Торговля'!$B$5:$B$300,$B211)+SUMIFS('ИТОГО Лэндинг'!$K$5:$K$300,'ИТОГО Лэндинг'!$B$5:$B$300,$B211),8))</f>
        <v/>
      </c>
      <c r="L211" s="177">
        <f>IF(K211="","",IF(SUMPRODUCT((Закрытые!$E$5:$E$300=$B211)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211/SUMPRODUCT((Закрытые!$E$5:$E$300=$B211)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1" s="177">
        <f>IF(OR(ROUND(N(C211)-N(F211),8)=0,1-N(Ввод!$E$17)/100&lt;=0),"",IF(N(C211)&gt;N(F211),(N(E211)-N(H211))/((N(C211)-N(F211))*(1-N(Ввод!$E$17)/100)),(N(H211)-N(E211))/((N(F211)-N(C211))*(1+N(Ввод!$E$17)/100))))</f>
        <v/>
      </c>
    </row>
    <row r="212" ht="22" customHeight="1">
      <c r="B212" s="320" t="n"/>
      <c r="C212" s="246">
        <f>IF($B212="","",IF(SUMIFS('ИТОГО Торговля'!$C$5:$C$300,'ИТОГО Торговля'!$B$5:$B$300,$B212)+SUMIFS('ИТОГО Лэндинг'!$C$5:$C$300,'ИТОГО Лэндинг'!$B$5:$B$300,$B212)=0,"",SUMIFS('ИТОГО Торговля'!$C$5:$C$300,'ИТОГО Торговля'!$B$5:$B$300,$B212)+SUMIFS('ИТОГО Лэндинг'!$C$5:$C$300,'ИТОГО Лэндинг'!$B$5:$B$300,$B212)))</f>
        <v/>
      </c>
      <c r="D212" s="183">
        <f>IF(C212="","",E212/C212)</f>
        <v/>
      </c>
      <c r="E212" s="247">
        <f>IF(C212="","",SUMIFS('ИТОГО Торговля'!$E$5:$E$300,'ИТОГО Торговля'!$B$5:$B$300,$B212)+SUMIFS('ИТОГО Лэндинг'!$E$5:$E$300,'ИТОГО Лэндинг'!$B$5:$B$300,$B212))</f>
        <v/>
      </c>
      <c r="F212" s="246">
        <f>IF($B212="","",IF(SUMIFS('ИТОГО Торговля'!$F$5:$F$300,'ИТОГО Торговля'!$B$5:$B$300,$B212)+SUMIFS('ИТОГО Лэндинг'!$F$5:$F$300,'ИТОГО Лэндинг'!$B$5:$B$300,$B212)=0,"",SUMIFS('ИТОГО Торговля'!$F$5:$F$300,'ИТОГО Торговля'!$B$5:$B$300,$B212)+SUMIFS('ИТОГО Лэндинг'!$F$5:$F$300,'ИТОГО Лэндинг'!$B$5:$B$300,$B212)))</f>
        <v/>
      </c>
      <c r="G212" s="183">
        <f>IF(F212="","",H212/F212)</f>
        <v/>
      </c>
      <c r="H212" s="247">
        <f>IF(F212="","",SUMIFS('ИТОГО Торговля'!$H$5:$H$300,'ИТОГО Торговля'!$B$5:$B$300,$B212)+SUMIFS('ИТОГО Лэндинг'!$H$5:$H$300,'ИТОГО Лэндинг'!$B$5:$B$300,$B212))</f>
        <v/>
      </c>
      <c r="I212" s="246">
        <f>IF($B212="","",IF(AND(C212="",F212=""),"",ROUND(SUMIFS('ИТОГО Торговля'!$I$5:$I$300,'ИТОГО Торговля'!$B$5:$B$300,$B212)+SUMIFS('ИТОГО Лэндинг'!$I$5:$I$300,'ИТОГО Лэндинг'!$B$5:$B$300,$B212),8)))</f>
        <v/>
      </c>
      <c r="J212" s="247">
        <f>IF($B212="","",IF(AND(C212="",F212=""),"",ROUND(SUMIFS('ИТОГО Торговля'!$J$5:$J$300,'ИТОГО Торговля'!$B$5:$B$300,$B212)+SUMIFS('ИТОГО Лэндинг'!$J$5:$J$300,'ИТОГО Лэндинг'!$B$5:$B$300,$B212),8)))</f>
        <v/>
      </c>
      <c r="K212" s="246">
        <f>IF($B212="","",ROUND(SUMIFS('ИТОГО Торговля'!$K$5:$K$300,'ИТОГО Торговля'!$B$5:$B$300,$B212)+SUMIFS('ИТОГО Лэндинг'!$K$5:$K$300,'ИТОГО Лэндинг'!$B$5:$B$300,$B212),8))</f>
        <v/>
      </c>
      <c r="L212" s="183">
        <f>IF(K212="","",IF(SUMPRODUCT((Закрытые!$E$5:$E$300=$B212)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212/SUMPRODUCT((Закрытые!$E$5:$E$300=$B212)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2" s="183">
        <f>IF(OR(ROUND(N(C212)-N(F212),8)=0,1-N(Ввод!$E$17)/100&lt;=0),"",IF(N(C212)&gt;N(F212),(N(E212)-N(H212))/((N(C212)-N(F212))*(1-N(Ввод!$E$17)/100)),(N(H212)-N(E212))/((N(F212)-N(C212))*(1+N(Ввод!$E$17)/100))))</f>
        <v/>
      </c>
    </row>
    <row r="213" ht="22" customHeight="1">
      <c r="B213" s="315" t="n"/>
      <c r="C213" s="240">
        <f>IF($B213="","",IF(SUMIFS('ИТОГО Торговля'!$C$5:$C$300,'ИТОГО Торговля'!$B$5:$B$300,$B213)+SUMIFS('ИТОГО Лэндинг'!$C$5:$C$300,'ИТОГО Лэндинг'!$B$5:$B$300,$B213)=0,"",SUMIFS('ИТОГО Торговля'!$C$5:$C$300,'ИТОГО Торговля'!$B$5:$B$300,$B213)+SUMIFS('ИТОГО Лэндинг'!$C$5:$C$300,'ИТОГО Лэндинг'!$B$5:$B$300,$B213)))</f>
        <v/>
      </c>
      <c r="D213" s="177">
        <f>IF(C213="","",E213/C213)</f>
        <v/>
      </c>
      <c r="E213" s="241">
        <f>IF(C213="","",SUMIFS('ИТОГО Торговля'!$E$5:$E$300,'ИТОГО Торговля'!$B$5:$B$300,$B213)+SUMIFS('ИТОГО Лэндинг'!$E$5:$E$300,'ИТОГО Лэндинг'!$B$5:$B$300,$B213))</f>
        <v/>
      </c>
      <c r="F213" s="240">
        <f>IF($B213="","",IF(SUMIFS('ИТОГО Торговля'!$F$5:$F$300,'ИТОГО Торговля'!$B$5:$B$300,$B213)+SUMIFS('ИТОГО Лэндинг'!$F$5:$F$300,'ИТОГО Лэндинг'!$B$5:$B$300,$B213)=0,"",SUMIFS('ИТОГО Торговля'!$F$5:$F$300,'ИТОГО Торговля'!$B$5:$B$300,$B213)+SUMIFS('ИТОГО Лэндинг'!$F$5:$F$300,'ИТОГО Лэндинг'!$B$5:$B$300,$B213)))</f>
        <v/>
      </c>
      <c r="G213" s="177">
        <f>IF(F213="","",H213/F213)</f>
        <v/>
      </c>
      <c r="H213" s="241">
        <f>IF(F213="","",SUMIFS('ИТОГО Торговля'!$H$5:$H$300,'ИТОГО Торговля'!$B$5:$B$300,$B213)+SUMIFS('ИТОГО Лэндинг'!$H$5:$H$300,'ИТОГО Лэндинг'!$B$5:$B$300,$B213))</f>
        <v/>
      </c>
      <c r="I213" s="240">
        <f>IF($B213="","",IF(AND(C213="",F213=""),"",ROUND(SUMIFS('ИТОГО Торговля'!$I$5:$I$300,'ИТОГО Торговля'!$B$5:$B$300,$B213)+SUMIFS('ИТОГО Лэндинг'!$I$5:$I$300,'ИТОГО Лэндинг'!$B$5:$B$300,$B213),8)))</f>
        <v/>
      </c>
      <c r="J213" s="241">
        <f>IF($B213="","",IF(AND(C213="",F213=""),"",ROUND(SUMIFS('ИТОГО Торговля'!$J$5:$J$300,'ИТОГО Торговля'!$B$5:$B$300,$B213)+SUMIFS('ИТОГО Лэндинг'!$J$5:$J$300,'ИТОГО Лэндинг'!$B$5:$B$300,$B213),8)))</f>
        <v/>
      </c>
      <c r="K213" s="240">
        <f>IF($B213="","",ROUND(SUMIFS('ИТОГО Торговля'!$K$5:$K$300,'ИТОГО Торговля'!$B$5:$B$300,$B213)+SUMIFS('ИТОГО Лэндинг'!$K$5:$K$300,'ИТОГО Лэндинг'!$B$5:$B$300,$B213),8))</f>
        <v/>
      </c>
      <c r="L213" s="177">
        <f>IF(K213="","",IF(SUMPRODUCT((Закрытые!$E$5:$E$300=$B213)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213/SUMPRODUCT((Закрытые!$E$5:$E$300=$B213)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3" s="177">
        <f>IF(OR(ROUND(N(C213)-N(F213),8)=0,1-N(Ввод!$E$17)/100&lt;=0),"",IF(N(C213)&gt;N(F213),(N(E213)-N(H213))/((N(C213)-N(F213))*(1-N(Ввод!$E$17)/100)),(N(H213)-N(E213))/((N(F213)-N(C213))*(1+N(Ввод!$E$17)/100))))</f>
        <v/>
      </c>
    </row>
    <row r="214" ht="22" customHeight="1">
      <c r="B214" s="320" t="n"/>
      <c r="C214" s="246">
        <f>IF($B214="","",IF(SUMIFS('ИТОГО Торговля'!$C$5:$C$300,'ИТОГО Торговля'!$B$5:$B$300,$B214)+SUMIFS('ИТОГО Лэндинг'!$C$5:$C$300,'ИТОГО Лэндинг'!$B$5:$B$300,$B214)=0,"",SUMIFS('ИТОГО Торговля'!$C$5:$C$300,'ИТОГО Торговля'!$B$5:$B$300,$B214)+SUMIFS('ИТОГО Лэндинг'!$C$5:$C$300,'ИТОГО Лэндинг'!$B$5:$B$300,$B214)))</f>
        <v/>
      </c>
      <c r="D214" s="183">
        <f>IF(C214="","",E214/C214)</f>
        <v/>
      </c>
      <c r="E214" s="247">
        <f>IF(C214="","",SUMIFS('ИТОГО Торговля'!$E$5:$E$300,'ИТОГО Торговля'!$B$5:$B$300,$B214)+SUMIFS('ИТОГО Лэндинг'!$E$5:$E$300,'ИТОГО Лэндинг'!$B$5:$B$300,$B214))</f>
        <v/>
      </c>
      <c r="F214" s="246">
        <f>IF($B214="","",IF(SUMIFS('ИТОГО Торговля'!$F$5:$F$300,'ИТОГО Торговля'!$B$5:$B$300,$B214)+SUMIFS('ИТОГО Лэндинг'!$F$5:$F$300,'ИТОГО Лэндинг'!$B$5:$B$300,$B214)=0,"",SUMIFS('ИТОГО Торговля'!$F$5:$F$300,'ИТОГО Торговля'!$B$5:$B$300,$B214)+SUMIFS('ИТОГО Лэндинг'!$F$5:$F$300,'ИТОГО Лэндинг'!$B$5:$B$300,$B214)))</f>
        <v/>
      </c>
      <c r="G214" s="183">
        <f>IF(F214="","",H214/F214)</f>
        <v/>
      </c>
      <c r="H214" s="247">
        <f>IF(F214="","",SUMIFS('ИТОГО Торговля'!$H$5:$H$300,'ИТОГО Торговля'!$B$5:$B$300,$B214)+SUMIFS('ИТОГО Лэндинг'!$H$5:$H$300,'ИТОГО Лэндинг'!$B$5:$B$300,$B214))</f>
        <v/>
      </c>
      <c r="I214" s="246">
        <f>IF($B214="","",IF(AND(C214="",F214=""),"",ROUND(SUMIFS('ИТОГО Торговля'!$I$5:$I$300,'ИТОГО Торговля'!$B$5:$B$300,$B214)+SUMIFS('ИТОГО Лэндинг'!$I$5:$I$300,'ИТОГО Лэндинг'!$B$5:$B$300,$B214),8)))</f>
        <v/>
      </c>
      <c r="J214" s="247">
        <f>IF($B214="","",IF(AND(C214="",F214=""),"",ROUND(SUMIFS('ИТОГО Торговля'!$J$5:$J$300,'ИТОГО Торговля'!$B$5:$B$300,$B214)+SUMIFS('ИТОГО Лэндинг'!$J$5:$J$300,'ИТОГО Лэндинг'!$B$5:$B$300,$B214),8)))</f>
        <v/>
      </c>
      <c r="K214" s="246">
        <f>IF($B214="","",ROUND(SUMIFS('ИТОГО Торговля'!$K$5:$K$300,'ИТОГО Торговля'!$B$5:$B$300,$B214)+SUMIFS('ИТОГО Лэндинг'!$K$5:$K$300,'ИТОГО Лэндинг'!$B$5:$B$300,$B214),8))</f>
        <v/>
      </c>
      <c r="L214" s="183">
        <f>IF(K214="","",IF(SUMPRODUCT((Закрытые!$E$5:$E$300=$B214)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214/SUMPRODUCT((Закрытые!$E$5:$E$300=$B214)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4" s="183">
        <f>IF(OR(ROUND(N(C214)-N(F214),8)=0,1-N(Ввод!$E$17)/100&lt;=0),"",IF(N(C214)&gt;N(F214),(N(E214)-N(H214))/((N(C214)-N(F214))*(1-N(Ввод!$E$17)/100)),(N(H214)-N(E214))/((N(F214)-N(C214))*(1+N(Ввод!$E$17)/100))))</f>
        <v/>
      </c>
    </row>
    <row r="215" ht="22" customHeight="1">
      <c r="B215" s="315" t="n"/>
      <c r="C215" s="240">
        <f>IF($B215="","",IF(SUMIFS('ИТОГО Торговля'!$C$5:$C$300,'ИТОГО Торговля'!$B$5:$B$300,$B215)+SUMIFS('ИТОГО Лэндинг'!$C$5:$C$300,'ИТОГО Лэндинг'!$B$5:$B$300,$B215)=0,"",SUMIFS('ИТОГО Торговля'!$C$5:$C$300,'ИТОГО Торговля'!$B$5:$B$300,$B215)+SUMIFS('ИТОГО Лэндинг'!$C$5:$C$300,'ИТОГО Лэндинг'!$B$5:$B$300,$B215)))</f>
        <v/>
      </c>
      <c r="D215" s="177">
        <f>IF(C215="","",E215/C215)</f>
        <v/>
      </c>
      <c r="E215" s="241">
        <f>IF(C215="","",SUMIFS('ИТОГО Торговля'!$E$5:$E$300,'ИТОГО Торговля'!$B$5:$B$300,$B215)+SUMIFS('ИТОГО Лэндинг'!$E$5:$E$300,'ИТОГО Лэндинг'!$B$5:$B$300,$B215))</f>
        <v/>
      </c>
      <c r="F215" s="240">
        <f>IF($B215="","",IF(SUMIFS('ИТОГО Торговля'!$F$5:$F$300,'ИТОГО Торговля'!$B$5:$B$300,$B215)+SUMIFS('ИТОГО Лэндинг'!$F$5:$F$300,'ИТОГО Лэндинг'!$B$5:$B$300,$B215)=0,"",SUMIFS('ИТОГО Торговля'!$F$5:$F$300,'ИТОГО Торговля'!$B$5:$B$300,$B215)+SUMIFS('ИТОГО Лэндинг'!$F$5:$F$300,'ИТОГО Лэндинг'!$B$5:$B$300,$B215)))</f>
        <v/>
      </c>
      <c r="G215" s="177">
        <f>IF(F215="","",H215/F215)</f>
        <v/>
      </c>
      <c r="H215" s="241">
        <f>IF(F215="","",SUMIFS('ИТОГО Торговля'!$H$5:$H$300,'ИТОГО Торговля'!$B$5:$B$300,$B215)+SUMIFS('ИТОГО Лэндинг'!$H$5:$H$300,'ИТОГО Лэндинг'!$B$5:$B$300,$B215))</f>
        <v/>
      </c>
      <c r="I215" s="240">
        <f>IF($B215="","",IF(AND(C215="",F215=""),"",ROUND(SUMIFS('ИТОГО Торговля'!$I$5:$I$300,'ИТОГО Торговля'!$B$5:$B$300,$B215)+SUMIFS('ИТОГО Лэндинг'!$I$5:$I$300,'ИТОГО Лэндинг'!$B$5:$B$300,$B215),8)))</f>
        <v/>
      </c>
      <c r="J215" s="241">
        <f>IF($B215="","",IF(AND(C215="",F215=""),"",ROUND(SUMIFS('ИТОГО Торговля'!$J$5:$J$300,'ИТОГО Торговля'!$B$5:$B$300,$B215)+SUMIFS('ИТОГО Лэндинг'!$J$5:$J$300,'ИТОГО Лэндинг'!$B$5:$B$300,$B215),8)))</f>
        <v/>
      </c>
      <c r="K215" s="240">
        <f>IF($B215="","",ROUND(SUMIFS('ИТОГО Торговля'!$K$5:$K$300,'ИТОГО Торговля'!$B$5:$B$300,$B215)+SUMIFS('ИТОГО Лэндинг'!$K$5:$K$300,'ИТОГО Лэндинг'!$B$5:$B$300,$B215),8))</f>
        <v/>
      </c>
      <c r="L215" s="177">
        <f>IF(K215="","",IF(SUMPRODUCT((Закрытые!$E$5:$E$300=$B215)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215/SUMPRODUCT((Закрытые!$E$5:$E$300=$B215)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5" s="177">
        <f>IF(OR(ROUND(N(C215)-N(F215),8)=0,1-N(Ввод!$E$17)/100&lt;=0),"",IF(N(C215)&gt;N(F215),(N(E215)-N(H215))/((N(C215)-N(F215))*(1-N(Ввод!$E$17)/100)),(N(H215)-N(E215))/((N(F215)-N(C215))*(1+N(Ввод!$E$17)/100))))</f>
        <v/>
      </c>
    </row>
    <row r="216" ht="22" customHeight="1">
      <c r="B216" s="320" t="n"/>
      <c r="C216" s="246">
        <f>IF($B216="","",IF(SUMIFS('ИТОГО Торговля'!$C$5:$C$300,'ИТОГО Торговля'!$B$5:$B$300,$B216)+SUMIFS('ИТОГО Лэндинг'!$C$5:$C$300,'ИТОГО Лэндинг'!$B$5:$B$300,$B216)=0,"",SUMIFS('ИТОГО Торговля'!$C$5:$C$300,'ИТОГО Торговля'!$B$5:$B$300,$B216)+SUMIFS('ИТОГО Лэндинг'!$C$5:$C$300,'ИТОГО Лэндинг'!$B$5:$B$300,$B216)))</f>
        <v/>
      </c>
      <c r="D216" s="183">
        <f>IF(C216="","",E216/C216)</f>
        <v/>
      </c>
      <c r="E216" s="247">
        <f>IF(C216="","",SUMIFS('ИТОГО Торговля'!$E$5:$E$300,'ИТОГО Торговля'!$B$5:$B$300,$B216)+SUMIFS('ИТОГО Лэндинг'!$E$5:$E$300,'ИТОГО Лэндинг'!$B$5:$B$300,$B216))</f>
        <v/>
      </c>
      <c r="F216" s="246">
        <f>IF($B216="","",IF(SUMIFS('ИТОГО Торговля'!$F$5:$F$300,'ИТОГО Торговля'!$B$5:$B$300,$B216)+SUMIFS('ИТОГО Лэндинг'!$F$5:$F$300,'ИТОГО Лэндинг'!$B$5:$B$300,$B216)=0,"",SUMIFS('ИТОГО Торговля'!$F$5:$F$300,'ИТОГО Торговля'!$B$5:$B$300,$B216)+SUMIFS('ИТОГО Лэндинг'!$F$5:$F$300,'ИТОГО Лэндинг'!$B$5:$B$300,$B216)))</f>
        <v/>
      </c>
      <c r="G216" s="183">
        <f>IF(F216="","",H216/F216)</f>
        <v/>
      </c>
      <c r="H216" s="247">
        <f>IF(F216="","",SUMIFS('ИТОГО Торговля'!$H$5:$H$300,'ИТОГО Торговля'!$B$5:$B$300,$B216)+SUMIFS('ИТОГО Лэндинг'!$H$5:$H$300,'ИТОГО Лэндинг'!$B$5:$B$300,$B216))</f>
        <v/>
      </c>
      <c r="I216" s="246">
        <f>IF($B216="","",IF(AND(C216="",F216=""),"",ROUND(SUMIFS('ИТОГО Торговля'!$I$5:$I$300,'ИТОГО Торговля'!$B$5:$B$300,$B216)+SUMIFS('ИТОГО Лэндинг'!$I$5:$I$300,'ИТОГО Лэндинг'!$B$5:$B$300,$B216),8)))</f>
        <v/>
      </c>
      <c r="J216" s="247">
        <f>IF($B216="","",IF(AND(C216="",F216=""),"",ROUND(SUMIFS('ИТОГО Торговля'!$J$5:$J$300,'ИТОГО Торговля'!$B$5:$B$300,$B216)+SUMIFS('ИТОГО Лэндинг'!$J$5:$J$300,'ИТОГО Лэндинг'!$B$5:$B$300,$B216),8)))</f>
        <v/>
      </c>
      <c r="K216" s="246">
        <f>IF($B216="","",ROUND(SUMIFS('ИТОГО Торговля'!$K$5:$K$300,'ИТОГО Торговля'!$B$5:$B$300,$B216)+SUMIFS('ИТОГО Лэндинг'!$K$5:$K$300,'ИТОГО Лэндинг'!$B$5:$B$300,$B216),8))</f>
        <v/>
      </c>
      <c r="L216" s="183">
        <f>IF(K216="","",IF(SUMPRODUCT((Закрытые!$E$5:$E$300=$B216)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216/SUMPRODUCT((Закрытые!$E$5:$E$300=$B216)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6" s="183">
        <f>IF(OR(ROUND(N(C216)-N(F216),8)=0,1-N(Ввод!$E$17)/100&lt;=0),"",IF(N(C216)&gt;N(F216),(N(E216)-N(H216))/((N(C216)-N(F216))*(1-N(Ввод!$E$17)/100)),(N(H216)-N(E216))/((N(F216)-N(C216))*(1+N(Ввод!$E$17)/100))))</f>
        <v/>
      </c>
    </row>
    <row r="217" ht="22" customHeight="1">
      <c r="B217" s="315" t="n"/>
      <c r="C217" s="240">
        <f>IF($B217="","",IF(SUMIFS('ИТОГО Торговля'!$C$5:$C$300,'ИТОГО Торговля'!$B$5:$B$300,$B217)+SUMIFS('ИТОГО Лэндинг'!$C$5:$C$300,'ИТОГО Лэндинг'!$B$5:$B$300,$B217)=0,"",SUMIFS('ИТОГО Торговля'!$C$5:$C$300,'ИТОГО Торговля'!$B$5:$B$300,$B217)+SUMIFS('ИТОГО Лэндинг'!$C$5:$C$300,'ИТОГО Лэндинг'!$B$5:$B$300,$B217)))</f>
        <v/>
      </c>
      <c r="D217" s="177">
        <f>IF(C217="","",E217/C217)</f>
        <v/>
      </c>
      <c r="E217" s="241">
        <f>IF(C217="","",SUMIFS('ИТОГО Торговля'!$E$5:$E$300,'ИТОГО Торговля'!$B$5:$B$300,$B217)+SUMIFS('ИТОГО Лэндинг'!$E$5:$E$300,'ИТОГО Лэндинг'!$B$5:$B$300,$B217))</f>
        <v/>
      </c>
      <c r="F217" s="240">
        <f>IF($B217="","",IF(SUMIFS('ИТОГО Торговля'!$F$5:$F$300,'ИТОГО Торговля'!$B$5:$B$300,$B217)+SUMIFS('ИТОГО Лэндинг'!$F$5:$F$300,'ИТОГО Лэндинг'!$B$5:$B$300,$B217)=0,"",SUMIFS('ИТОГО Торговля'!$F$5:$F$300,'ИТОГО Торговля'!$B$5:$B$300,$B217)+SUMIFS('ИТОГО Лэндинг'!$F$5:$F$300,'ИТОГО Лэндинг'!$B$5:$B$300,$B217)))</f>
        <v/>
      </c>
      <c r="G217" s="177">
        <f>IF(F217="","",H217/F217)</f>
        <v/>
      </c>
      <c r="H217" s="241">
        <f>IF(F217="","",SUMIFS('ИТОГО Торговля'!$H$5:$H$300,'ИТОГО Торговля'!$B$5:$B$300,$B217)+SUMIFS('ИТОГО Лэндинг'!$H$5:$H$300,'ИТОГО Лэндинг'!$B$5:$B$300,$B217))</f>
        <v/>
      </c>
      <c r="I217" s="240">
        <f>IF($B217="","",IF(AND(C217="",F217=""),"",ROUND(SUMIFS('ИТОГО Торговля'!$I$5:$I$300,'ИТОГО Торговля'!$B$5:$B$300,$B217)+SUMIFS('ИТОГО Лэндинг'!$I$5:$I$300,'ИТОГО Лэндинг'!$B$5:$B$300,$B217),8)))</f>
        <v/>
      </c>
      <c r="J217" s="241">
        <f>IF($B217="","",IF(AND(C217="",F217=""),"",ROUND(SUMIFS('ИТОГО Торговля'!$J$5:$J$300,'ИТОГО Торговля'!$B$5:$B$300,$B217)+SUMIFS('ИТОГО Лэндинг'!$J$5:$J$300,'ИТОГО Лэндинг'!$B$5:$B$300,$B217),8)))</f>
        <v/>
      </c>
      <c r="K217" s="240">
        <f>IF($B217="","",ROUND(SUMIFS('ИТОГО Торговля'!$K$5:$K$300,'ИТОГО Торговля'!$B$5:$B$300,$B217)+SUMIFS('ИТОГО Лэндинг'!$K$5:$K$300,'ИТОГО Лэндинг'!$B$5:$B$300,$B217),8))</f>
        <v/>
      </c>
      <c r="L217" s="177">
        <f>IF(K217="","",IF(SUMPRODUCT((Закрытые!$E$5:$E$300=$B217)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217/SUMPRODUCT((Закрытые!$E$5:$E$300=$B217)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7" s="177">
        <f>IF(OR(ROUND(N(C217)-N(F217),8)=0,1-N(Ввод!$E$17)/100&lt;=0),"",IF(N(C217)&gt;N(F217),(N(E217)-N(H217))/((N(C217)-N(F217))*(1-N(Ввод!$E$17)/100)),(N(H217)-N(E217))/((N(F217)-N(C217))*(1+N(Ввод!$E$17)/100))))</f>
        <v/>
      </c>
    </row>
    <row r="218" ht="22" customHeight="1">
      <c r="B218" s="320" t="n"/>
      <c r="C218" s="246">
        <f>IF($B218="","",IF(SUMIFS('ИТОГО Торговля'!$C$5:$C$300,'ИТОГО Торговля'!$B$5:$B$300,$B218)+SUMIFS('ИТОГО Лэндинг'!$C$5:$C$300,'ИТОГО Лэндинг'!$B$5:$B$300,$B218)=0,"",SUMIFS('ИТОГО Торговля'!$C$5:$C$300,'ИТОГО Торговля'!$B$5:$B$300,$B218)+SUMIFS('ИТОГО Лэндинг'!$C$5:$C$300,'ИТОГО Лэндинг'!$B$5:$B$300,$B218)))</f>
        <v/>
      </c>
      <c r="D218" s="183">
        <f>IF(C218="","",E218/C218)</f>
        <v/>
      </c>
      <c r="E218" s="247">
        <f>IF(C218="","",SUMIFS('ИТОГО Торговля'!$E$5:$E$300,'ИТОГО Торговля'!$B$5:$B$300,$B218)+SUMIFS('ИТОГО Лэндинг'!$E$5:$E$300,'ИТОГО Лэндинг'!$B$5:$B$300,$B218))</f>
        <v/>
      </c>
      <c r="F218" s="246">
        <f>IF($B218="","",IF(SUMIFS('ИТОГО Торговля'!$F$5:$F$300,'ИТОГО Торговля'!$B$5:$B$300,$B218)+SUMIFS('ИТОГО Лэндинг'!$F$5:$F$300,'ИТОГО Лэндинг'!$B$5:$B$300,$B218)=0,"",SUMIFS('ИТОГО Торговля'!$F$5:$F$300,'ИТОГО Торговля'!$B$5:$B$300,$B218)+SUMIFS('ИТОГО Лэндинг'!$F$5:$F$300,'ИТОГО Лэндинг'!$B$5:$B$300,$B218)))</f>
        <v/>
      </c>
      <c r="G218" s="183">
        <f>IF(F218="","",H218/F218)</f>
        <v/>
      </c>
      <c r="H218" s="247">
        <f>IF(F218="","",SUMIFS('ИТОГО Торговля'!$H$5:$H$300,'ИТОГО Торговля'!$B$5:$B$300,$B218)+SUMIFS('ИТОГО Лэндинг'!$H$5:$H$300,'ИТОГО Лэндинг'!$B$5:$B$300,$B218))</f>
        <v/>
      </c>
      <c r="I218" s="246">
        <f>IF($B218="","",IF(AND(C218="",F218=""),"",ROUND(SUMIFS('ИТОГО Торговля'!$I$5:$I$300,'ИТОГО Торговля'!$B$5:$B$300,$B218)+SUMIFS('ИТОГО Лэндинг'!$I$5:$I$300,'ИТОГО Лэндинг'!$B$5:$B$300,$B218),8)))</f>
        <v/>
      </c>
      <c r="J218" s="247">
        <f>IF($B218="","",IF(AND(C218="",F218=""),"",ROUND(SUMIFS('ИТОГО Торговля'!$J$5:$J$300,'ИТОГО Торговля'!$B$5:$B$300,$B218)+SUMIFS('ИТОГО Лэндинг'!$J$5:$J$300,'ИТОГО Лэндинг'!$B$5:$B$300,$B218),8)))</f>
        <v/>
      </c>
      <c r="K218" s="246">
        <f>IF($B218="","",ROUND(SUMIFS('ИТОГО Торговля'!$K$5:$K$300,'ИТОГО Торговля'!$B$5:$B$300,$B218)+SUMIFS('ИТОГО Лэндинг'!$K$5:$K$300,'ИТОГО Лэндинг'!$B$5:$B$300,$B218),8))</f>
        <v/>
      </c>
      <c r="L218" s="183">
        <f>IF(K218="","",IF(SUMPRODUCT((Закрытые!$E$5:$E$300=$B218)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218/SUMPRODUCT((Закрытые!$E$5:$E$300=$B218)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8" s="183">
        <f>IF(OR(ROUND(N(C218)-N(F218),8)=0,1-N(Ввод!$E$17)/100&lt;=0),"",IF(N(C218)&gt;N(F218),(N(E218)-N(H218))/((N(C218)-N(F218))*(1-N(Ввод!$E$17)/100)),(N(H218)-N(E218))/((N(F218)-N(C218))*(1+N(Ввод!$E$17)/100))))</f>
        <v/>
      </c>
    </row>
    <row r="219" ht="22" customHeight="1">
      <c r="B219" s="315" t="n"/>
      <c r="C219" s="240">
        <f>IF($B219="","",IF(SUMIFS('ИТОГО Торговля'!$C$5:$C$300,'ИТОГО Торговля'!$B$5:$B$300,$B219)+SUMIFS('ИТОГО Лэндинг'!$C$5:$C$300,'ИТОГО Лэндинг'!$B$5:$B$300,$B219)=0,"",SUMIFS('ИТОГО Торговля'!$C$5:$C$300,'ИТОГО Торговля'!$B$5:$B$300,$B219)+SUMIFS('ИТОГО Лэндинг'!$C$5:$C$300,'ИТОГО Лэндинг'!$B$5:$B$300,$B219)))</f>
        <v/>
      </c>
      <c r="D219" s="177">
        <f>IF(C219="","",E219/C219)</f>
        <v/>
      </c>
      <c r="E219" s="241">
        <f>IF(C219="","",SUMIFS('ИТОГО Торговля'!$E$5:$E$300,'ИТОГО Торговля'!$B$5:$B$300,$B219)+SUMIFS('ИТОГО Лэндинг'!$E$5:$E$300,'ИТОГО Лэндинг'!$B$5:$B$300,$B219))</f>
        <v/>
      </c>
      <c r="F219" s="240">
        <f>IF($B219="","",IF(SUMIFS('ИТОГО Торговля'!$F$5:$F$300,'ИТОГО Торговля'!$B$5:$B$300,$B219)+SUMIFS('ИТОГО Лэндинг'!$F$5:$F$300,'ИТОГО Лэндинг'!$B$5:$B$300,$B219)=0,"",SUMIFS('ИТОГО Торговля'!$F$5:$F$300,'ИТОГО Торговля'!$B$5:$B$300,$B219)+SUMIFS('ИТОГО Лэндинг'!$F$5:$F$300,'ИТОГО Лэндинг'!$B$5:$B$300,$B219)))</f>
        <v/>
      </c>
      <c r="G219" s="177">
        <f>IF(F219="","",H219/F219)</f>
        <v/>
      </c>
      <c r="H219" s="241">
        <f>IF(F219="","",SUMIFS('ИТОГО Торговля'!$H$5:$H$300,'ИТОГО Торговля'!$B$5:$B$300,$B219)+SUMIFS('ИТОГО Лэндинг'!$H$5:$H$300,'ИТОГО Лэндинг'!$B$5:$B$300,$B219))</f>
        <v/>
      </c>
      <c r="I219" s="240">
        <f>IF($B219="","",IF(AND(C219="",F219=""),"",ROUND(SUMIFS('ИТОГО Торговля'!$I$5:$I$300,'ИТОГО Торговля'!$B$5:$B$300,$B219)+SUMIFS('ИТОГО Лэндинг'!$I$5:$I$300,'ИТОГО Лэндинг'!$B$5:$B$300,$B219),8)))</f>
        <v/>
      </c>
      <c r="J219" s="241">
        <f>IF($B219="","",IF(AND(C219="",F219=""),"",ROUND(SUMIFS('ИТОГО Торговля'!$J$5:$J$300,'ИТОГО Торговля'!$B$5:$B$300,$B219)+SUMIFS('ИТОГО Лэндинг'!$J$5:$J$300,'ИТОГО Лэндинг'!$B$5:$B$300,$B219),8)))</f>
        <v/>
      </c>
      <c r="K219" s="240">
        <f>IF($B219="","",ROUND(SUMIFS('ИТОГО Торговля'!$K$5:$K$300,'ИТОГО Торговля'!$B$5:$B$300,$B219)+SUMIFS('ИТОГО Лэндинг'!$K$5:$K$300,'ИТОГО Лэндинг'!$B$5:$B$300,$B219),8))</f>
        <v/>
      </c>
      <c r="L219" s="177">
        <f>IF(K219="","",IF(SUMPRODUCT((Закрытые!$E$5:$E$300=$B219)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219/SUMPRODUCT((Закрытые!$E$5:$E$300=$B219)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9" s="177">
        <f>IF(OR(ROUND(N(C219)-N(F219),8)=0,1-N(Ввод!$E$17)/100&lt;=0),"",IF(N(C219)&gt;N(F219),(N(E219)-N(H219))/((N(C219)-N(F219))*(1-N(Ввод!$E$17)/100)),(N(H219)-N(E219))/((N(F219)-N(C219))*(1+N(Ввод!$E$17)/100))))</f>
        <v/>
      </c>
    </row>
    <row r="220" ht="22" customHeight="1">
      <c r="B220" s="320" t="n"/>
      <c r="C220" s="246">
        <f>IF($B220="","",IF(SUMIFS('ИТОГО Торговля'!$C$5:$C$300,'ИТОГО Торговля'!$B$5:$B$300,$B220)+SUMIFS('ИТОГО Лэндинг'!$C$5:$C$300,'ИТОГО Лэндинг'!$B$5:$B$300,$B220)=0,"",SUMIFS('ИТОГО Торговля'!$C$5:$C$300,'ИТОГО Торговля'!$B$5:$B$300,$B220)+SUMIFS('ИТОГО Лэндинг'!$C$5:$C$300,'ИТОГО Лэндинг'!$B$5:$B$300,$B220)))</f>
        <v/>
      </c>
      <c r="D220" s="183">
        <f>IF(C220="","",E220/C220)</f>
        <v/>
      </c>
      <c r="E220" s="247">
        <f>IF(C220="","",SUMIFS('ИТОГО Торговля'!$E$5:$E$300,'ИТОГО Торговля'!$B$5:$B$300,$B220)+SUMIFS('ИТОГО Лэндинг'!$E$5:$E$300,'ИТОГО Лэндинг'!$B$5:$B$300,$B220))</f>
        <v/>
      </c>
      <c r="F220" s="246">
        <f>IF($B220="","",IF(SUMIFS('ИТОГО Торговля'!$F$5:$F$300,'ИТОГО Торговля'!$B$5:$B$300,$B220)+SUMIFS('ИТОГО Лэндинг'!$F$5:$F$300,'ИТОГО Лэндинг'!$B$5:$B$300,$B220)=0,"",SUMIFS('ИТОГО Торговля'!$F$5:$F$300,'ИТОГО Торговля'!$B$5:$B$300,$B220)+SUMIFS('ИТОГО Лэндинг'!$F$5:$F$300,'ИТОГО Лэндинг'!$B$5:$B$300,$B220)))</f>
        <v/>
      </c>
      <c r="G220" s="183">
        <f>IF(F220="","",H220/F220)</f>
        <v/>
      </c>
      <c r="H220" s="247">
        <f>IF(F220="","",SUMIFS('ИТОГО Торговля'!$H$5:$H$300,'ИТОГО Торговля'!$B$5:$B$300,$B220)+SUMIFS('ИТОГО Лэндинг'!$H$5:$H$300,'ИТОГО Лэндинг'!$B$5:$B$300,$B220))</f>
        <v/>
      </c>
      <c r="I220" s="246">
        <f>IF($B220="","",IF(AND(C220="",F220=""),"",ROUND(SUMIFS('ИТОГО Торговля'!$I$5:$I$300,'ИТОГО Торговля'!$B$5:$B$300,$B220)+SUMIFS('ИТОГО Лэндинг'!$I$5:$I$300,'ИТОГО Лэндинг'!$B$5:$B$300,$B220),8)))</f>
        <v/>
      </c>
      <c r="J220" s="247">
        <f>IF($B220="","",IF(AND(C220="",F220=""),"",ROUND(SUMIFS('ИТОГО Торговля'!$J$5:$J$300,'ИТОГО Торговля'!$B$5:$B$300,$B220)+SUMIFS('ИТОГО Лэндинг'!$J$5:$J$300,'ИТОГО Лэндинг'!$B$5:$B$300,$B220),8)))</f>
        <v/>
      </c>
      <c r="K220" s="246">
        <f>IF($B220="","",ROUND(SUMIFS('ИТОГО Торговля'!$K$5:$K$300,'ИТОГО Торговля'!$B$5:$B$300,$B220)+SUMIFS('ИТОГО Лэндинг'!$K$5:$K$300,'ИТОГО Лэндинг'!$B$5:$B$300,$B220),8))</f>
        <v/>
      </c>
      <c r="L220" s="183">
        <f>IF(K220="","",IF(SUMPRODUCT((Закрытые!$E$5:$E$300=$B220)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220/SUMPRODUCT((Закрытые!$E$5:$E$300=$B220)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0" s="183">
        <f>IF(OR(ROUND(N(C220)-N(F220),8)=0,1-N(Ввод!$E$17)/100&lt;=0),"",IF(N(C220)&gt;N(F220),(N(E220)-N(H220))/((N(C220)-N(F220))*(1-N(Ввод!$E$17)/100)),(N(H220)-N(E220))/((N(F220)-N(C220))*(1+N(Ввод!$E$17)/100))))</f>
        <v/>
      </c>
    </row>
    <row r="221" ht="22" customHeight="1">
      <c r="B221" s="315" t="n"/>
      <c r="C221" s="240">
        <f>IF($B221="","",IF(SUMIFS('ИТОГО Торговля'!$C$5:$C$300,'ИТОГО Торговля'!$B$5:$B$300,$B221)+SUMIFS('ИТОГО Лэндинг'!$C$5:$C$300,'ИТОГО Лэндинг'!$B$5:$B$300,$B221)=0,"",SUMIFS('ИТОГО Торговля'!$C$5:$C$300,'ИТОГО Торговля'!$B$5:$B$300,$B221)+SUMIFS('ИТОГО Лэндинг'!$C$5:$C$300,'ИТОГО Лэндинг'!$B$5:$B$300,$B221)))</f>
        <v/>
      </c>
      <c r="D221" s="177">
        <f>IF(C221="","",E221/C221)</f>
        <v/>
      </c>
      <c r="E221" s="241">
        <f>IF(C221="","",SUMIFS('ИТОГО Торговля'!$E$5:$E$300,'ИТОГО Торговля'!$B$5:$B$300,$B221)+SUMIFS('ИТОГО Лэндинг'!$E$5:$E$300,'ИТОГО Лэндинг'!$B$5:$B$300,$B221))</f>
        <v/>
      </c>
      <c r="F221" s="240">
        <f>IF($B221="","",IF(SUMIFS('ИТОГО Торговля'!$F$5:$F$300,'ИТОГО Торговля'!$B$5:$B$300,$B221)+SUMIFS('ИТОГО Лэндинг'!$F$5:$F$300,'ИТОГО Лэндинг'!$B$5:$B$300,$B221)=0,"",SUMIFS('ИТОГО Торговля'!$F$5:$F$300,'ИТОГО Торговля'!$B$5:$B$300,$B221)+SUMIFS('ИТОГО Лэндинг'!$F$5:$F$300,'ИТОГО Лэндинг'!$B$5:$B$300,$B221)))</f>
        <v/>
      </c>
      <c r="G221" s="177">
        <f>IF(F221="","",H221/F221)</f>
        <v/>
      </c>
      <c r="H221" s="241">
        <f>IF(F221="","",SUMIFS('ИТОГО Торговля'!$H$5:$H$300,'ИТОГО Торговля'!$B$5:$B$300,$B221)+SUMIFS('ИТОГО Лэндинг'!$H$5:$H$300,'ИТОГО Лэндинг'!$B$5:$B$300,$B221))</f>
        <v/>
      </c>
      <c r="I221" s="240">
        <f>IF($B221="","",IF(AND(C221="",F221=""),"",ROUND(SUMIFS('ИТОГО Торговля'!$I$5:$I$300,'ИТОГО Торговля'!$B$5:$B$300,$B221)+SUMIFS('ИТОГО Лэндинг'!$I$5:$I$300,'ИТОГО Лэндинг'!$B$5:$B$300,$B221),8)))</f>
        <v/>
      </c>
      <c r="J221" s="241">
        <f>IF($B221="","",IF(AND(C221="",F221=""),"",ROUND(SUMIFS('ИТОГО Торговля'!$J$5:$J$300,'ИТОГО Торговля'!$B$5:$B$300,$B221)+SUMIFS('ИТОГО Лэндинг'!$J$5:$J$300,'ИТОГО Лэндинг'!$B$5:$B$300,$B221),8)))</f>
        <v/>
      </c>
      <c r="K221" s="240">
        <f>IF($B221="","",ROUND(SUMIFS('ИТОГО Торговля'!$K$5:$K$300,'ИТОГО Торговля'!$B$5:$B$300,$B221)+SUMIFS('ИТОГО Лэндинг'!$K$5:$K$300,'ИТОГО Лэндинг'!$B$5:$B$300,$B221),8))</f>
        <v/>
      </c>
      <c r="L221" s="177">
        <f>IF(K221="","",IF(SUMPRODUCT((Закрытые!$E$5:$E$300=$B221)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221/SUMPRODUCT((Закрытые!$E$5:$E$300=$B221)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1" s="177">
        <f>IF(OR(ROUND(N(C221)-N(F221),8)=0,1-N(Ввод!$E$17)/100&lt;=0),"",IF(N(C221)&gt;N(F221),(N(E221)-N(H221))/((N(C221)-N(F221))*(1-N(Ввод!$E$17)/100)),(N(H221)-N(E221))/((N(F221)-N(C221))*(1+N(Ввод!$E$17)/100))))</f>
        <v/>
      </c>
    </row>
    <row r="222" ht="22" customHeight="1">
      <c r="B222" s="320" t="n"/>
      <c r="C222" s="246">
        <f>IF($B222="","",IF(SUMIFS('ИТОГО Торговля'!$C$5:$C$300,'ИТОГО Торговля'!$B$5:$B$300,$B222)+SUMIFS('ИТОГО Лэндинг'!$C$5:$C$300,'ИТОГО Лэндинг'!$B$5:$B$300,$B222)=0,"",SUMIFS('ИТОГО Торговля'!$C$5:$C$300,'ИТОГО Торговля'!$B$5:$B$300,$B222)+SUMIFS('ИТОГО Лэндинг'!$C$5:$C$300,'ИТОГО Лэндинг'!$B$5:$B$300,$B222)))</f>
        <v/>
      </c>
      <c r="D222" s="183">
        <f>IF(C222="","",E222/C222)</f>
        <v/>
      </c>
      <c r="E222" s="247">
        <f>IF(C222="","",SUMIFS('ИТОГО Торговля'!$E$5:$E$300,'ИТОГО Торговля'!$B$5:$B$300,$B222)+SUMIFS('ИТОГО Лэндинг'!$E$5:$E$300,'ИТОГО Лэндинг'!$B$5:$B$300,$B222))</f>
        <v/>
      </c>
      <c r="F222" s="246">
        <f>IF($B222="","",IF(SUMIFS('ИТОГО Торговля'!$F$5:$F$300,'ИТОГО Торговля'!$B$5:$B$300,$B222)+SUMIFS('ИТОГО Лэндинг'!$F$5:$F$300,'ИТОГО Лэндинг'!$B$5:$B$300,$B222)=0,"",SUMIFS('ИТОГО Торговля'!$F$5:$F$300,'ИТОГО Торговля'!$B$5:$B$300,$B222)+SUMIFS('ИТОГО Лэндинг'!$F$5:$F$300,'ИТОГО Лэндинг'!$B$5:$B$300,$B222)))</f>
        <v/>
      </c>
      <c r="G222" s="183">
        <f>IF(F222="","",H222/F222)</f>
        <v/>
      </c>
      <c r="H222" s="247">
        <f>IF(F222="","",SUMIFS('ИТОГО Торговля'!$H$5:$H$300,'ИТОГО Торговля'!$B$5:$B$300,$B222)+SUMIFS('ИТОГО Лэндинг'!$H$5:$H$300,'ИТОГО Лэндинг'!$B$5:$B$300,$B222))</f>
        <v/>
      </c>
      <c r="I222" s="246">
        <f>IF($B222="","",IF(AND(C222="",F222=""),"",ROUND(SUMIFS('ИТОГО Торговля'!$I$5:$I$300,'ИТОГО Торговля'!$B$5:$B$300,$B222)+SUMIFS('ИТОГО Лэндинг'!$I$5:$I$300,'ИТОГО Лэндинг'!$B$5:$B$300,$B222),8)))</f>
        <v/>
      </c>
      <c r="J222" s="247">
        <f>IF($B222="","",IF(AND(C222="",F222=""),"",ROUND(SUMIFS('ИТОГО Торговля'!$J$5:$J$300,'ИТОГО Торговля'!$B$5:$B$300,$B222)+SUMIFS('ИТОГО Лэндинг'!$J$5:$J$300,'ИТОГО Лэндинг'!$B$5:$B$300,$B222),8)))</f>
        <v/>
      </c>
      <c r="K222" s="246">
        <f>IF($B222="","",ROUND(SUMIFS('ИТОГО Торговля'!$K$5:$K$300,'ИТОГО Торговля'!$B$5:$B$300,$B222)+SUMIFS('ИТОГО Лэндинг'!$K$5:$K$300,'ИТОГО Лэндинг'!$B$5:$B$300,$B222),8))</f>
        <v/>
      </c>
      <c r="L222" s="183">
        <f>IF(K222="","",IF(SUMPRODUCT((Закрытые!$E$5:$E$300=$B222)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222/SUMPRODUCT((Закрытые!$E$5:$E$300=$B222)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2" s="183">
        <f>IF(OR(ROUND(N(C222)-N(F222),8)=0,1-N(Ввод!$E$17)/100&lt;=0),"",IF(N(C222)&gt;N(F222),(N(E222)-N(H222))/((N(C222)-N(F222))*(1-N(Ввод!$E$17)/100)),(N(H222)-N(E222))/((N(F222)-N(C222))*(1+N(Ввод!$E$17)/100))))</f>
        <v/>
      </c>
    </row>
    <row r="223" ht="22" customHeight="1">
      <c r="B223" s="315" t="n"/>
      <c r="C223" s="240">
        <f>IF($B223="","",IF(SUMIFS('ИТОГО Торговля'!$C$5:$C$300,'ИТОГО Торговля'!$B$5:$B$300,$B223)+SUMIFS('ИТОГО Лэндинг'!$C$5:$C$300,'ИТОГО Лэндинг'!$B$5:$B$300,$B223)=0,"",SUMIFS('ИТОГО Торговля'!$C$5:$C$300,'ИТОГО Торговля'!$B$5:$B$300,$B223)+SUMIFS('ИТОГО Лэндинг'!$C$5:$C$300,'ИТОГО Лэндинг'!$B$5:$B$300,$B223)))</f>
        <v/>
      </c>
      <c r="D223" s="177">
        <f>IF(C223="","",E223/C223)</f>
        <v/>
      </c>
      <c r="E223" s="241">
        <f>IF(C223="","",SUMIFS('ИТОГО Торговля'!$E$5:$E$300,'ИТОГО Торговля'!$B$5:$B$300,$B223)+SUMIFS('ИТОГО Лэндинг'!$E$5:$E$300,'ИТОГО Лэндинг'!$B$5:$B$300,$B223))</f>
        <v/>
      </c>
      <c r="F223" s="240">
        <f>IF($B223="","",IF(SUMIFS('ИТОГО Торговля'!$F$5:$F$300,'ИТОГО Торговля'!$B$5:$B$300,$B223)+SUMIFS('ИТОГО Лэндинг'!$F$5:$F$300,'ИТОГО Лэндинг'!$B$5:$B$300,$B223)=0,"",SUMIFS('ИТОГО Торговля'!$F$5:$F$300,'ИТОГО Торговля'!$B$5:$B$300,$B223)+SUMIFS('ИТОГО Лэндинг'!$F$5:$F$300,'ИТОГО Лэндинг'!$B$5:$B$300,$B223)))</f>
        <v/>
      </c>
      <c r="G223" s="177">
        <f>IF(F223="","",H223/F223)</f>
        <v/>
      </c>
      <c r="H223" s="241">
        <f>IF(F223="","",SUMIFS('ИТОГО Торговля'!$H$5:$H$300,'ИТОГО Торговля'!$B$5:$B$300,$B223)+SUMIFS('ИТОГО Лэндинг'!$H$5:$H$300,'ИТОГО Лэндинг'!$B$5:$B$300,$B223))</f>
        <v/>
      </c>
      <c r="I223" s="240">
        <f>IF($B223="","",IF(AND(C223="",F223=""),"",ROUND(SUMIFS('ИТОГО Торговля'!$I$5:$I$300,'ИТОГО Торговля'!$B$5:$B$300,$B223)+SUMIFS('ИТОГО Лэндинг'!$I$5:$I$300,'ИТОГО Лэндинг'!$B$5:$B$300,$B223),8)))</f>
        <v/>
      </c>
      <c r="J223" s="241">
        <f>IF($B223="","",IF(AND(C223="",F223=""),"",ROUND(SUMIFS('ИТОГО Торговля'!$J$5:$J$300,'ИТОГО Торговля'!$B$5:$B$300,$B223)+SUMIFS('ИТОГО Лэндинг'!$J$5:$J$300,'ИТОГО Лэндинг'!$B$5:$B$300,$B223),8)))</f>
        <v/>
      </c>
      <c r="K223" s="240">
        <f>IF($B223="","",ROUND(SUMIFS('ИТОГО Торговля'!$K$5:$K$300,'ИТОГО Торговля'!$B$5:$B$300,$B223)+SUMIFS('ИТОГО Лэндинг'!$K$5:$K$300,'ИТОГО Лэндинг'!$B$5:$B$300,$B223),8))</f>
        <v/>
      </c>
      <c r="L223" s="177">
        <f>IF(K223="","",IF(SUMPRODUCT((Закрытые!$E$5:$E$300=$B223)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223/SUMPRODUCT((Закрытые!$E$5:$E$300=$B223)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3" s="177">
        <f>IF(OR(ROUND(N(C223)-N(F223),8)=0,1-N(Ввод!$E$17)/100&lt;=0),"",IF(N(C223)&gt;N(F223),(N(E223)-N(H223))/((N(C223)-N(F223))*(1-N(Ввод!$E$17)/100)),(N(H223)-N(E223))/((N(F223)-N(C223))*(1+N(Ввод!$E$17)/100))))</f>
        <v/>
      </c>
    </row>
    <row r="224" ht="22" customHeight="1">
      <c r="B224" s="320" t="n"/>
      <c r="C224" s="246">
        <f>IF($B224="","",IF(SUMIFS('ИТОГО Торговля'!$C$5:$C$300,'ИТОГО Торговля'!$B$5:$B$300,$B224)+SUMIFS('ИТОГО Лэндинг'!$C$5:$C$300,'ИТОГО Лэндинг'!$B$5:$B$300,$B224)=0,"",SUMIFS('ИТОГО Торговля'!$C$5:$C$300,'ИТОГО Торговля'!$B$5:$B$300,$B224)+SUMIFS('ИТОГО Лэндинг'!$C$5:$C$300,'ИТОГО Лэндинг'!$B$5:$B$300,$B224)))</f>
        <v/>
      </c>
      <c r="D224" s="183">
        <f>IF(C224="","",E224/C224)</f>
        <v/>
      </c>
      <c r="E224" s="247">
        <f>IF(C224="","",SUMIFS('ИТОГО Торговля'!$E$5:$E$300,'ИТОГО Торговля'!$B$5:$B$300,$B224)+SUMIFS('ИТОГО Лэндинг'!$E$5:$E$300,'ИТОГО Лэндинг'!$B$5:$B$300,$B224))</f>
        <v/>
      </c>
      <c r="F224" s="246">
        <f>IF($B224="","",IF(SUMIFS('ИТОГО Торговля'!$F$5:$F$300,'ИТОГО Торговля'!$B$5:$B$300,$B224)+SUMIFS('ИТОГО Лэндинг'!$F$5:$F$300,'ИТОГО Лэндинг'!$B$5:$B$300,$B224)=0,"",SUMIFS('ИТОГО Торговля'!$F$5:$F$300,'ИТОГО Торговля'!$B$5:$B$300,$B224)+SUMIFS('ИТОГО Лэндинг'!$F$5:$F$300,'ИТОГО Лэндинг'!$B$5:$B$300,$B224)))</f>
        <v/>
      </c>
      <c r="G224" s="183">
        <f>IF(F224="","",H224/F224)</f>
        <v/>
      </c>
      <c r="H224" s="247">
        <f>IF(F224="","",SUMIFS('ИТОГО Торговля'!$H$5:$H$300,'ИТОГО Торговля'!$B$5:$B$300,$B224)+SUMIFS('ИТОГО Лэндинг'!$H$5:$H$300,'ИТОГО Лэндинг'!$B$5:$B$300,$B224))</f>
        <v/>
      </c>
      <c r="I224" s="246">
        <f>IF($B224="","",IF(AND(C224="",F224=""),"",ROUND(SUMIFS('ИТОГО Торговля'!$I$5:$I$300,'ИТОГО Торговля'!$B$5:$B$300,$B224)+SUMIFS('ИТОГО Лэндинг'!$I$5:$I$300,'ИТОГО Лэндинг'!$B$5:$B$300,$B224),8)))</f>
        <v/>
      </c>
      <c r="J224" s="247">
        <f>IF($B224="","",IF(AND(C224="",F224=""),"",ROUND(SUMIFS('ИТОГО Торговля'!$J$5:$J$300,'ИТОГО Торговля'!$B$5:$B$300,$B224)+SUMIFS('ИТОГО Лэндинг'!$J$5:$J$300,'ИТОГО Лэндинг'!$B$5:$B$300,$B224),8)))</f>
        <v/>
      </c>
      <c r="K224" s="246">
        <f>IF($B224="","",ROUND(SUMIFS('ИТОГО Торговля'!$K$5:$K$300,'ИТОГО Торговля'!$B$5:$B$300,$B224)+SUMIFS('ИТОГО Лэндинг'!$K$5:$K$300,'ИТОГО Лэндинг'!$B$5:$B$300,$B224),8))</f>
        <v/>
      </c>
      <c r="L224" s="183">
        <f>IF(K224="","",IF(SUMPRODUCT((Закрытые!$E$5:$E$300=$B224)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224/SUMPRODUCT((Закрытые!$E$5:$E$300=$B224)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4" s="183">
        <f>IF(OR(ROUND(N(C224)-N(F224),8)=0,1-N(Ввод!$E$17)/100&lt;=0),"",IF(N(C224)&gt;N(F224),(N(E224)-N(H224))/((N(C224)-N(F224))*(1-N(Ввод!$E$17)/100)),(N(H224)-N(E224))/((N(F224)-N(C224))*(1+N(Ввод!$E$17)/100))))</f>
        <v/>
      </c>
    </row>
    <row r="225" ht="22" customHeight="1">
      <c r="B225" s="315" t="n"/>
      <c r="C225" s="240">
        <f>IF($B225="","",IF(SUMIFS('ИТОГО Торговля'!$C$5:$C$300,'ИТОГО Торговля'!$B$5:$B$300,$B225)+SUMIFS('ИТОГО Лэндинг'!$C$5:$C$300,'ИТОГО Лэндинг'!$B$5:$B$300,$B225)=0,"",SUMIFS('ИТОГО Торговля'!$C$5:$C$300,'ИТОГО Торговля'!$B$5:$B$300,$B225)+SUMIFS('ИТОГО Лэндинг'!$C$5:$C$300,'ИТОГО Лэндинг'!$B$5:$B$300,$B225)))</f>
        <v/>
      </c>
      <c r="D225" s="177">
        <f>IF(C225="","",E225/C225)</f>
        <v/>
      </c>
      <c r="E225" s="241">
        <f>IF(C225="","",SUMIFS('ИТОГО Торговля'!$E$5:$E$300,'ИТОГО Торговля'!$B$5:$B$300,$B225)+SUMIFS('ИТОГО Лэндинг'!$E$5:$E$300,'ИТОГО Лэндинг'!$B$5:$B$300,$B225))</f>
        <v/>
      </c>
      <c r="F225" s="240">
        <f>IF($B225="","",IF(SUMIFS('ИТОГО Торговля'!$F$5:$F$300,'ИТОГО Торговля'!$B$5:$B$300,$B225)+SUMIFS('ИТОГО Лэндинг'!$F$5:$F$300,'ИТОГО Лэндинг'!$B$5:$B$300,$B225)=0,"",SUMIFS('ИТОГО Торговля'!$F$5:$F$300,'ИТОГО Торговля'!$B$5:$B$300,$B225)+SUMIFS('ИТОГО Лэндинг'!$F$5:$F$300,'ИТОГО Лэндинг'!$B$5:$B$300,$B225)))</f>
        <v/>
      </c>
      <c r="G225" s="177">
        <f>IF(F225="","",H225/F225)</f>
        <v/>
      </c>
      <c r="H225" s="241">
        <f>IF(F225="","",SUMIFS('ИТОГО Торговля'!$H$5:$H$300,'ИТОГО Торговля'!$B$5:$B$300,$B225)+SUMIFS('ИТОГО Лэндинг'!$H$5:$H$300,'ИТОГО Лэндинг'!$B$5:$B$300,$B225))</f>
        <v/>
      </c>
      <c r="I225" s="240">
        <f>IF($B225="","",IF(AND(C225="",F225=""),"",ROUND(SUMIFS('ИТОГО Торговля'!$I$5:$I$300,'ИТОГО Торговля'!$B$5:$B$300,$B225)+SUMIFS('ИТОГО Лэндинг'!$I$5:$I$300,'ИТОГО Лэндинг'!$B$5:$B$300,$B225),8)))</f>
        <v/>
      </c>
      <c r="J225" s="241">
        <f>IF($B225="","",IF(AND(C225="",F225=""),"",ROUND(SUMIFS('ИТОГО Торговля'!$J$5:$J$300,'ИТОГО Торговля'!$B$5:$B$300,$B225)+SUMIFS('ИТОГО Лэндинг'!$J$5:$J$300,'ИТОГО Лэндинг'!$B$5:$B$300,$B225),8)))</f>
        <v/>
      </c>
      <c r="K225" s="240">
        <f>IF($B225="","",ROUND(SUMIFS('ИТОГО Торговля'!$K$5:$K$300,'ИТОГО Торговля'!$B$5:$B$300,$B225)+SUMIFS('ИТОГО Лэндинг'!$K$5:$K$300,'ИТОГО Лэндинг'!$B$5:$B$300,$B225),8))</f>
        <v/>
      </c>
      <c r="L225" s="177">
        <f>IF(K225="","",IF(SUMPRODUCT((Закрытые!$E$5:$E$300=$B225)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225/SUMPRODUCT((Закрытые!$E$5:$E$300=$B225)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5" s="177">
        <f>IF(OR(ROUND(N(C225)-N(F225),8)=0,1-N(Ввод!$E$17)/100&lt;=0),"",IF(N(C225)&gt;N(F225),(N(E225)-N(H225))/((N(C225)-N(F225))*(1-N(Ввод!$E$17)/100)),(N(H225)-N(E225))/((N(F225)-N(C225))*(1+N(Ввод!$E$17)/100))))</f>
        <v/>
      </c>
    </row>
    <row r="226" ht="22" customHeight="1">
      <c r="B226" s="320" t="n"/>
      <c r="C226" s="246">
        <f>IF($B226="","",IF(SUMIFS('ИТОГО Торговля'!$C$5:$C$300,'ИТОГО Торговля'!$B$5:$B$300,$B226)+SUMIFS('ИТОГО Лэндинг'!$C$5:$C$300,'ИТОГО Лэндинг'!$B$5:$B$300,$B226)=0,"",SUMIFS('ИТОГО Торговля'!$C$5:$C$300,'ИТОГО Торговля'!$B$5:$B$300,$B226)+SUMIFS('ИТОГО Лэндинг'!$C$5:$C$300,'ИТОГО Лэндинг'!$B$5:$B$300,$B226)))</f>
        <v/>
      </c>
      <c r="D226" s="183">
        <f>IF(C226="","",E226/C226)</f>
        <v/>
      </c>
      <c r="E226" s="247">
        <f>IF(C226="","",SUMIFS('ИТОГО Торговля'!$E$5:$E$300,'ИТОГО Торговля'!$B$5:$B$300,$B226)+SUMIFS('ИТОГО Лэндинг'!$E$5:$E$300,'ИТОГО Лэндинг'!$B$5:$B$300,$B226))</f>
        <v/>
      </c>
      <c r="F226" s="246">
        <f>IF($B226="","",IF(SUMIFS('ИТОГО Торговля'!$F$5:$F$300,'ИТОГО Торговля'!$B$5:$B$300,$B226)+SUMIFS('ИТОГО Лэндинг'!$F$5:$F$300,'ИТОГО Лэндинг'!$B$5:$B$300,$B226)=0,"",SUMIFS('ИТОГО Торговля'!$F$5:$F$300,'ИТОГО Торговля'!$B$5:$B$300,$B226)+SUMIFS('ИТОГО Лэндинг'!$F$5:$F$300,'ИТОГО Лэндинг'!$B$5:$B$300,$B226)))</f>
        <v/>
      </c>
      <c r="G226" s="183">
        <f>IF(F226="","",H226/F226)</f>
        <v/>
      </c>
      <c r="H226" s="247">
        <f>IF(F226="","",SUMIFS('ИТОГО Торговля'!$H$5:$H$300,'ИТОГО Торговля'!$B$5:$B$300,$B226)+SUMIFS('ИТОГО Лэндинг'!$H$5:$H$300,'ИТОГО Лэндинг'!$B$5:$B$300,$B226))</f>
        <v/>
      </c>
      <c r="I226" s="246">
        <f>IF($B226="","",IF(AND(C226="",F226=""),"",ROUND(SUMIFS('ИТОГО Торговля'!$I$5:$I$300,'ИТОГО Торговля'!$B$5:$B$300,$B226)+SUMIFS('ИТОГО Лэндинг'!$I$5:$I$300,'ИТОГО Лэндинг'!$B$5:$B$300,$B226),8)))</f>
        <v/>
      </c>
      <c r="J226" s="247">
        <f>IF($B226="","",IF(AND(C226="",F226=""),"",ROUND(SUMIFS('ИТОГО Торговля'!$J$5:$J$300,'ИТОГО Торговля'!$B$5:$B$300,$B226)+SUMIFS('ИТОГО Лэндинг'!$J$5:$J$300,'ИТОГО Лэндинг'!$B$5:$B$300,$B226),8)))</f>
        <v/>
      </c>
      <c r="K226" s="246">
        <f>IF($B226="","",ROUND(SUMIFS('ИТОГО Торговля'!$K$5:$K$300,'ИТОГО Торговля'!$B$5:$B$300,$B226)+SUMIFS('ИТОГО Лэндинг'!$K$5:$K$300,'ИТОГО Лэндинг'!$B$5:$B$300,$B226),8))</f>
        <v/>
      </c>
      <c r="L226" s="183">
        <f>IF(K226="","",IF(SUMPRODUCT((Закрытые!$E$5:$E$300=$B226)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226/SUMPRODUCT((Закрытые!$E$5:$E$300=$B226)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6" s="183">
        <f>IF(OR(ROUND(N(C226)-N(F226),8)=0,1-N(Ввод!$E$17)/100&lt;=0),"",IF(N(C226)&gt;N(F226),(N(E226)-N(H226))/((N(C226)-N(F226))*(1-N(Ввод!$E$17)/100)),(N(H226)-N(E226))/((N(F226)-N(C226))*(1+N(Ввод!$E$17)/100))))</f>
        <v/>
      </c>
    </row>
    <row r="227" ht="22" customHeight="1">
      <c r="B227" s="315" t="n"/>
      <c r="C227" s="240">
        <f>IF($B227="","",IF(SUMIFS('ИТОГО Торговля'!$C$5:$C$300,'ИТОГО Торговля'!$B$5:$B$300,$B227)+SUMIFS('ИТОГО Лэндинг'!$C$5:$C$300,'ИТОГО Лэндинг'!$B$5:$B$300,$B227)=0,"",SUMIFS('ИТОГО Торговля'!$C$5:$C$300,'ИТОГО Торговля'!$B$5:$B$300,$B227)+SUMIFS('ИТОГО Лэндинг'!$C$5:$C$300,'ИТОГО Лэндинг'!$B$5:$B$300,$B227)))</f>
        <v/>
      </c>
      <c r="D227" s="177">
        <f>IF(C227="","",E227/C227)</f>
        <v/>
      </c>
      <c r="E227" s="241">
        <f>IF(C227="","",SUMIFS('ИТОГО Торговля'!$E$5:$E$300,'ИТОГО Торговля'!$B$5:$B$300,$B227)+SUMIFS('ИТОГО Лэндинг'!$E$5:$E$300,'ИТОГО Лэндинг'!$B$5:$B$300,$B227))</f>
        <v/>
      </c>
      <c r="F227" s="240">
        <f>IF($B227="","",IF(SUMIFS('ИТОГО Торговля'!$F$5:$F$300,'ИТОГО Торговля'!$B$5:$B$300,$B227)+SUMIFS('ИТОГО Лэндинг'!$F$5:$F$300,'ИТОГО Лэндинг'!$B$5:$B$300,$B227)=0,"",SUMIFS('ИТОГО Торговля'!$F$5:$F$300,'ИТОГО Торговля'!$B$5:$B$300,$B227)+SUMIFS('ИТОГО Лэндинг'!$F$5:$F$300,'ИТОГО Лэндинг'!$B$5:$B$300,$B227)))</f>
        <v/>
      </c>
      <c r="G227" s="177">
        <f>IF(F227="","",H227/F227)</f>
        <v/>
      </c>
      <c r="H227" s="241">
        <f>IF(F227="","",SUMIFS('ИТОГО Торговля'!$H$5:$H$300,'ИТОГО Торговля'!$B$5:$B$300,$B227)+SUMIFS('ИТОГО Лэндинг'!$H$5:$H$300,'ИТОГО Лэндинг'!$B$5:$B$300,$B227))</f>
        <v/>
      </c>
      <c r="I227" s="240">
        <f>IF($B227="","",IF(AND(C227="",F227=""),"",ROUND(SUMIFS('ИТОГО Торговля'!$I$5:$I$300,'ИТОГО Торговля'!$B$5:$B$300,$B227)+SUMIFS('ИТОГО Лэндинг'!$I$5:$I$300,'ИТОГО Лэндинг'!$B$5:$B$300,$B227),8)))</f>
        <v/>
      </c>
      <c r="J227" s="241">
        <f>IF($B227="","",IF(AND(C227="",F227=""),"",ROUND(SUMIFS('ИТОГО Торговля'!$J$5:$J$300,'ИТОГО Торговля'!$B$5:$B$300,$B227)+SUMIFS('ИТОГО Лэндинг'!$J$5:$J$300,'ИТОГО Лэндинг'!$B$5:$B$300,$B227),8)))</f>
        <v/>
      </c>
      <c r="K227" s="240">
        <f>IF($B227="","",ROUND(SUMIFS('ИТОГО Торговля'!$K$5:$K$300,'ИТОГО Торговля'!$B$5:$B$300,$B227)+SUMIFS('ИТОГО Лэндинг'!$K$5:$K$300,'ИТОГО Лэндинг'!$B$5:$B$300,$B227),8))</f>
        <v/>
      </c>
      <c r="L227" s="177">
        <f>IF(K227="","",IF(SUMPRODUCT((Закрытые!$E$5:$E$300=$B227)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227/SUMPRODUCT((Закрытые!$E$5:$E$300=$B227)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7" s="177">
        <f>IF(OR(ROUND(N(C227)-N(F227),8)=0,1-N(Ввод!$E$17)/100&lt;=0),"",IF(N(C227)&gt;N(F227),(N(E227)-N(H227))/((N(C227)-N(F227))*(1-N(Ввод!$E$17)/100)),(N(H227)-N(E227))/((N(F227)-N(C227))*(1+N(Ввод!$E$17)/100))))</f>
        <v/>
      </c>
    </row>
    <row r="228" ht="22" customHeight="1">
      <c r="B228" s="320" t="n"/>
      <c r="C228" s="246">
        <f>IF($B228="","",IF(SUMIFS('ИТОГО Торговля'!$C$5:$C$300,'ИТОГО Торговля'!$B$5:$B$300,$B228)+SUMIFS('ИТОГО Лэндинг'!$C$5:$C$300,'ИТОГО Лэндинг'!$B$5:$B$300,$B228)=0,"",SUMIFS('ИТОГО Торговля'!$C$5:$C$300,'ИТОГО Торговля'!$B$5:$B$300,$B228)+SUMIFS('ИТОГО Лэндинг'!$C$5:$C$300,'ИТОГО Лэндинг'!$B$5:$B$300,$B228)))</f>
        <v/>
      </c>
      <c r="D228" s="183">
        <f>IF(C228="","",E228/C228)</f>
        <v/>
      </c>
      <c r="E228" s="247">
        <f>IF(C228="","",SUMIFS('ИТОГО Торговля'!$E$5:$E$300,'ИТОГО Торговля'!$B$5:$B$300,$B228)+SUMIFS('ИТОГО Лэндинг'!$E$5:$E$300,'ИТОГО Лэндинг'!$B$5:$B$300,$B228))</f>
        <v/>
      </c>
      <c r="F228" s="246">
        <f>IF($B228="","",IF(SUMIFS('ИТОГО Торговля'!$F$5:$F$300,'ИТОГО Торговля'!$B$5:$B$300,$B228)+SUMIFS('ИТОГО Лэндинг'!$F$5:$F$300,'ИТОГО Лэндинг'!$B$5:$B$300,$B228)=0,"",SUMIFS('ИТОГО Торговля'!$F$5:$F$300,'ИТОГО Торговля'!$B$5:$B$300,$B228)+SUMIFS('ИТОГО Лэндинг'!$F$5:$F$300,'ИТОГО Лэндинг'!$B$5:$B$300,$B228)))</f>
        <v/>
      </c>
      <c r="G228" s="183">
        <f>IF(F228="","",H228/F228)</f>
        <v/>
      </c>
      <c r="H228" s="247">
        <f>IF(F228="","",SUMIFS('ИТОГО Торговля'!$H$5:$H$300,'ИТОГО Торговля'!$B$5:$B$300,$B228)+SUMIFS('ИТОГО Лэндинг'!$H$5:$H$300,'ИТОГО Лэндинг'!$B$5:$B$300,$B228))</f>
        <v/>
      </c>
      <c r="I228" s="246">
        <f>IF($B228="","",IF(AND(C228="",F228=""),"",ROUND(SUMIFS('ИТОГО Торговля'!$I$5:$I$300,'ИТОГО Торговля'!$B$5:$B$300,$B228)+SUMIFS('ИТОГО Лэндинг'!$I$5:$I$300,'ИТОГО Лэндинг'!$B$5:$B$300,$B228),8)))</f>
        <v/>
      </c>
      <c r="J228" s="247">
        <f>IF($B228="","",IF(AND(C228="",F228=""),"",ROUND(SUMIFS('ИТОГО Торговля'!$J$5:$J$300,'ИТОГО Торговля'!$B$5:$B$300,$B228)+SUMIFS('ИТОГО Лэндинг'!$J$5:$J$300,'ИТОГО Лэндинг'!$B$5:$B$300,$B228),8)))</f>
        <v/>
      </c>
      <c r="K228" s="246">
        <f>IF($B228="","",ROUND(SUMIFS('ИТОГО Торговля'!$K$5:$K$300,'ИТОГО Торговля'!$B$5:$B$300,$B228)+SUMIFS('ИТОГО Лэндинг'!$K$5:$K$300,'ИТОГО Лэндинг'!$B$5:$B$300,$B228),8))</f>
        <v/>
      </c>
      <c r="L228" s="183">
        <f>IF(K228="","",IF(SUMPRODUCT((Закрытые!$E$5:$E$300=$B228)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228/SUMPRODUCT((Закрытые!$E$5:$E$300=$B228)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8" s="183">
        <f>IF(OR(ROUND(N(C228)-N(F228),8)=0,1-N(Ввод!$E$17)/100&lt;=0),"",IF(N(C228)&gt;N(F228),(N(E228)-N(H228))/((N(C228)-N(F228))*(1-N(Ввод!$E$17)/100)),(N(H228)-N(E228))/((N(F228)-N(C228))*(1+N(Ввод!$E$17)/100))))</f>
        <v/>
      </c>
    </row>
    <row r="229" ht="22" customHeight="1">
      <c r="B229" s="315" t="n"/>
      <c r="C229" s="240">
        <f>IF($B229="","",IF(SUMIFS('ИТОГО Торговля'!$C$5:$C$300,'ИТОГО Торговля'!$B$5:$B$300,$B229)+SUMIFS('ИТОГО Лэндинг'!$C$5:$C$300,'ИТОГО Лэндинг'!$B$5:$B$300,$B229)=0,"",SUMIFS('ИТОГО Торговля'!$C$5:$C$300,'ИТОГО Торговля'!$B$5:$B$300,$B229)+SUMIFS('ИТОГО Лэндинг'!$C$5:$C$300,'ИТОГО Лэндинг'!$B$5:$B$300,$B229)))</f>
        <v/>
      </c>
      <c r="D229" s="177">
        <f>IF(C229="","",E229/C229)</f>
        <v/>
      </c>
      <c r="E229" s="241">
        <f>IF(C229="","",SUMIFS('ИТОГО Торговля'!$E$5:$E$300,'ИТОГО Торговля'!$B$5:$B$300,$B229)+SUMIFS('ИТОГО Лэндинг'!$E$5:$E$300,'ИТОГО Лэндинг'!$B$5:$B$300,$B229))</f>
        <v/>
      </c>
      <c r="F229" s="240">
        <f>IF($B229="","",IF(SUMIFS('ИТОГО Торговля'!$F$5:$F$300,'ИТОГО Торговля'!$B$5:$B$300,$B229)+SUMIFS('ИТОГО Лэндинг'!$F$5:$F$300,'ИТОГО Лэндинг'!$B$5:$B$300,$B229)=0,"",SUMIFS('ИТОГО Торговля'!$F$5:$F$300,'ИТОГО Торговля'!$B$5:$B$300,$B229)+SUMIFS('ИТОГО Лэндинг'!$F$5:$F$300,'ИТОГО Лэндинг'!$B$5:$B$300,$B229)))</f>
        <v/>
      </c>
      <c r="G229" s="177">
        <f>IF(F229="","",H229/F229)</f>
        <v/>
      </c>
      <c r="H229" s="241">
        <f>IF(F229="","",SUMIFS('ИТОГО Торговля'!$H$5:$H$300,'ИТОГО Торговля'!$B$5:$B$300,$B229)+SUMIFS('ИТОГО Лэндинг'!$H$5:$H$300,'ИТОГО Лэндинг'!$B$5:$B$300,$B229))</f>
        <v/>
      </c>
      <c r="I229" s="240">
        <f>IF($B229="","",IF(AND(C229="",F229=""),"",ROUND(SUMIFS('ИТОГО Торговля'!$I$5:$I$300,'ИТОГО Торговля'!$B$5:$B$300,$B229)+SUMIFS('ИТОГО Лэндинг'!$I$5:$I$300,'ИТОГО Лэндинг'!$B$5:$B$300,$B229),8)))</f>
        <v/>
      </c>
      <c r="J229" s="241">
        <f>IF($B229="","",IF(AND(C229="",F229=""),"",ROUND(SUMIFS('ИТОГО Торговля'!$J$5:$J$300,'ИТОГО Торговля'!$B$5:$B$300,$B229)+SUMIFS('ИТОГО Лэндинг'!$J$5:$J$300,'ИТОГО Лэндинг'!$B$5:$B$300,$B229),8)))</f>
        <v/>
      </c>
      <c r="K229" s="240">
        <f>IF($B229="","",ROUND(SUMIFS('ИТОГО Торговля'!$K$5:$K$300,'ИТОГО Торговля'!$B$5:$B$300,$B229)+SUMIFS('ИТОГО Лэндинг'!$K$5:$K$300,'ИТОГО Лэндинг'!$B$5:$B$300,$B229),8))</f>
        <v/>
      </c>
      <c r="L229" s="177">
        <f>IF(K229="","",IF(SUMPRODUCT((Закрытые!$E$5:$E$300=$B229)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229/SUMPRODUCT((Закрытые!$E$5:$E$300=$B229)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9" s="177">
        <f>IF(OR(ROUND(N(C229)-N(F229),8)=0,1-N(Ввод!$E$17)/100&lt;=0),"",IF(N(C229)&gt;N(F229),(N(E229)-N(H229))/((N(C229)-N(F229))*(1-N(Ввод!$E$17)/100)),(N(H229)-N(E229))/((N(F229)-N(C229))*(1+N(Ввод!$E$17)/100))))</f>
        <v/>
      </c>
    </row>
    <row r="230" ht="22" customHeight="1">
      <c r="B230" s="320" t="n"/>
      <c r="C230" s="246">
        <f>IF($B230="","",IF(SUMIFS('ИТОГО Торговля'!$C$5:$C$300,'ИТОГО Торговля'!$B$5:$B$300,$B230)+SUMIFS('ИТОГО Лэндинг'!$C$5:$C$300,'ИТОГО Лэндинг'!$B$5:$B$300,$B230)=0,"",SUMIFS('ИТОГО Торговля'!$C$5:$C$300,'ИТОГО Торговля'!$B$5:$B$300,$B230)+SUMIFS('ИТОГО Лэндинг'!$C$5:$C$300,'ИТОГО Лэндинг'!$B$5:$B$300,$B230)))</f>
        <v/>
      </c>
      <c r="D230" s="183">
        <f>IF(C230="","",E230/C230)</f>
        <v/>
      </c>
      <c r="E230" s="247">
        <f>IF(C230="","",SUMIFS('ИТОГО Торговля'!$E$5:$E$300,'ИТОГО Торговля'!$B$5:$B$300,$B230)+SUMIFS('ИТОГО Лэндинг'!$E$5:$E$300,'ИТОГО Лэндинг'!$B$5:$B$300,$B230))</f>
        <v/>
      </c>
      <c r="F230" s="246">
        <f>IF($B230="","",IF(SUMIFS('ИТОГО Торговля'!$F$5:$F$300,'ИТОГО Торговля'!$B$5:$B$300,$B230)+SUMIFS('ИТОГО Лэндинг'!$F$5:$F$300,'ИТОГО Лэндинг'!$B$5:$B$300,$B230)=0,"",SUMIFS('ИТОГО Торговля'!$F$5:$F$300,'ИТОГО Торговля'!$B$5:$B$300,$B230)+SUMIFS('ИТОГО Лэндинг'!$F$5:$F$300,'ИТОГО Лэндинг'!$B$5:$B$300,$B230)))</f>
        <v/>
      </c>
      <c r="G230" s="183">
        <f>IF(F230="","",H230/F230)</f>
        <v/>
      </c>
      <c r="H230" s="247">
        <f>IF(F230="","",SUMIFS('ИТОГО Торговля'!$H$5:$H$300,'ИТОГО Торговля'!$B$5:$B$300,$B230)+SUMIFS('ИТОГО Лэндинг'!$H$5:$H$300,'ИТОГО Лэндинг'!$B$5:$B$300,$B230))</f>
        <v/>
      </c>
      <c r="I230" s="246">
        <f>IF($B230="","",IF(AND(C230="",F230=""),"",ROUND(SUMIFS('ИТОГО Торговля'!$I$5:$I$300,'ИТОГО Торговля'!$B$5:$B$300,$B230)+SUMIFS('ИТОГО Лэндинг'!$I$5:$I$300,'ИТОГО Лэндинг'!$B$5:$B$300,$B230),8)))</f>
        <v/>
      </c>
      <c r="J230" s="247">
        <f>IF($B230="","",IF(AND(C230="",F230=""),"",ROUND(SUMIFS('ИТОГО Торговля'!$J$5:$J$300,'ИТОГО Торговля'!$B$5:$B$300,$B230)+SUMIFS('ИТОГО Лэндинг'!$J$5:$J$300,'ИТОГО Лэндинг'!$B$5:$B$300,$B230),8)))</f>
        <v/>
      </c>
      <c r="K230" s="246">
        <f>IF($B230="","",ROUND(SUMIFS('ИТОГО Торговля'!$K$5:$K$300,'ИТОГО Торговля'!$B$5:$B$300,$B230)+SUMIFS('ИТОГО Лэндинг'!$K$5:$K$300,'ИТОГО Лэндинг'!$B$5:$B$300,$B230),8))</f>
        <v/>
      </c>
      <c r="L230" s="183">
        <f>IF(K230="","",IF(SUMPRODUCT((Закрытые!$E$5:$E$300=$B230)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230/SUMPRODUCT((Закрытые!$E$5:$E$300=$B230)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0" s="183">
        <f>IF(OR(ROUND(N(C230)-N(F230),8)=0,1-N(Ввод!$E$17)/100&lt;=0),"",IF(N(C230)&gt;N(F230),(N(E230)-N(H230))/((N(C230)-N(F230))*(1-N(Ввод!$E$17)/100)),(N(H230)-N(E230))/((N(F230)-N(C230))*(1+N(Ввод!$E$17)/100))))</f>
        <v/>
      </c>
    </row>
    <row r="231" ht="22" customHeight="1">
      <c r="B231" s="315" t="n"/>
      <c r="C231" s="240">
        <f>IF($B231="","",IF(SUMIFS('ИТОГО Торговля'!$C$5:$C$300,'ИТОГО Торговля'!$B$5:$B$300,$B231)+SUMIFS('ИТОГО Лэндинг'!$C$5:$C$300,'ИТОГО Лэндинг'!$B$5:$B$300,$B231)=0,"",SUMIFS('ИТОГО Торговля'!$C$5:$C$300,'ИТОГО Торговля'!$B$5:$B$300,$B231)+SUMIFS('ИТОГО Лэндинг'!$C$5:$C$300,'ИТОГО Лэндинг'!$B$5:$B$300,$B231)))</f>
        <v/>
      </c>
      <c r="D231" s="177">
        <f>IF(C231="","",E231/C231)</f>
        <v/>
      </c>
      <c r="E231" s="241">
        <f>IF(C231="","",SUMIFS('ИТОГО Торговля'!$E$5:$E$300,'ИТОГО Торговля'!$B$5:$B$300,$B231)+SUMIFS('ИТОГО Лэндинг'!$E$5:$E$300,'ИТОГО Лэндинг'!$B$5:$B$300,$B231))</f>
        <v/>
      </c>
      <c r="F231" s="240">
        <f>IF($B231="","",IF(SUMIFS('ИТОГО Торговля'!$F$5:$F$300,'ИТОГО Торговля'!$B$5:$B$300,$B231)+SUMIFS('ИТОГО Лэндинг'!$F$5:$F$300,'ИТОГО Лэндинг'!$B$5:$B$300,$B231)=0,"",SUMIFS('ИТОГО Торговля'!$F$5:$F$300,'ИТОГО Торговля'!$B$5:$B$300,$B231)+SUMIFS('ИТОГО Лэндинг'!$F$5:$F$300,'ИТОГО Лэндинг'!$B$5:$B$300,$B231)))</f>
        <v/>
      </c>
      <c r="G231" s="177">
        <f>IF(F231="","",H231/F231)</f>
        <v/>
      </c>
      <c r="H231" s="241">
        <f>IF(F231="","",SUMIFS('ИТОГО Торговля'!$H$5:$H$300,'ИТОГО Торговля'!$B$5:$B$300,$B231)+SUMIFS('ИТОГО Лэндинг'!$H$5:$H$300,'ИТОГО Лэндинг'!$B$5:$B$300,$B231))</f>
        <v/>
      </c>
      <c r="I231" s="240">
        <f>IF($B231="","",IF(AND(C231="",F231=""),"",ROUND(SUMIFS('ИТОГО Торговля'!$I$5:$I$300,'ИТОГО Торговля'!$B$5:$B$300,$B231)+SUMIFS('ИТОГО Лэндинг'!$I$5:$I$300,'ИТОГО Лэндинг'!$B$5:$B$300,$B231),8)))</f>
        <v/>
      </c>
      <c r="J231" s="241">
        <f>IF($B231="","",IF(AND(C231="",F231=""),"",ROUND(SUMIFS('ИТОГО Торговля'!$J$5:$J$300,'ИТОГО Торговля'!$B$5:$B$300,$B231)+SUMIFS('ИТОГО Лэндинг'!$J$5:$J$300,'ИТОГО Лэндинг'!$B$5:$B$300,$B231),8)))</f>
        <v/>
      </c>
      <c r="K231" s="240">
        <f>IF($B231="","",ROUND(SUMIFS('ИТОГО Торговля'!$K$5:$K$300,'ИТОГО Торговля'!$B$5:$B$300,$B231)+SUMIFS('ИТОГО Лэндинг'!$K$5:$K$300,'ИТОГО Лэндинг'!$B$5:$B$300,$B231),8))</f>
        <v/>
      </c>
      <c r="L231" s="177">
        <f>IF(K231="","",IF(SUMPRODUCT((Закрытые!$E$5:$E$300=$B231)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231/SUMPRODUCT((Закрытые!$E$5:$E$300=$B231)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1" s="177">
        <f>IF(OR(ROUND(N(C231)-N(F231),8)=0,1-N(Ввод!$E$17)/100&lt;=0),"",IF(N(C231)&gt;N(F231),(N(E231)-N(H231))/((N(C231)-N(F231))*(1-N(Ввод!$E$17)/100)),(N(H231)-N(E231))/((N(F231)-N(C231))*(1+N(Ввод!$E$17)/100))))</f>
        <v/>
      </c>
    </row>
    <row r="232" ht="22" customHeight="1">
      <c r="B232" s="320" t="n"/>
      <c r="C232" s="246">
        <f>IF($B232="","",IF(SUMIFS('ИТОГО Торговля'!$C$5:$C$300,'ИТОГО Торговля'!$B$5:$B$300,$B232)+SUMIFS('ИТОГО Лэндинг'!$C$5:$C$300,'ИТОГО Лэндинг'!$B$5:$B$300,$B232)=0,"",SUMIFS('ИТОГО Торговля'!$C$5:$C$300,'ИТОГО Торговля'!$B$5:$B$300,$B232)+SUMIFS('ИТОГО Лэндинг'!$C$5:$C$300,'ИТОГО Лэндинг'!$B$5:$B$300,$B232)))</f>
        <v/>
      </c>
      <c r="D232" s="183">
        <f>IF(C232="","",E232/C232)</f>
        <v/>
      </c>
      <c r="E232" s="247">
        <f>IF(C232="","",SUMIFS('ИТОГО Торговля'!$E$5:$E$300,'ИТОГО Торговля'!$B$5:$B$300,$B232)+SUMIFS('ИТОГО Лэндинг'!$E$5:$E$300,'ИТОГО Лэндинг'!$B$5:$B$300,$B232))</f>
        <v/>
      </c>
      <c r="F232" s="246">
        <f>IF($B232="","",IF(SUMIFS('ИТОГО Торговля'!$F$5:$F$300,'ИТОГО Торговля'!$B$5:$B$300,$B232)+SUMIFS('ИТОГО Лэндинг'!$F$5:$F$300,'ИТОГО Лэндинг'!$B$5:$B$300,$B232)=0,"",SUMIFS('ИТОГО Торговля'!$F$5:$F$300,'ИТОГО Торговля'!$B$5:$B$300,$B232)+SUMIFS('ИТОГО Лэндинг'!$F$5:$F$300,'ИТОГО Лэндинг'!$B$5:$B$300,$B232)))</f>
        <v/>
      </c>
      <c r="G232" s="183">
        <f>IF(F232="","",H232/F232)</f>
        <v/>
      </c>
      <c r="H232" s="247">
        <f>IF(F232="","",SUMIFS('ИТОГО Торговля'!$H$5:$H$300,'ИТОГО Торговля'!$B$5:$B$300,$B232)+SUMIFS('ИТОГО Лэндинг'!$H$5:$H$300,'ИТОГО Лэндинг'!$B$5:$B$300,$B232))</f>
        <v/>
      </c>
      <c r="I232" s="246">
        <f>IF($B232="","",IF(AND(C232="",F232=""),"",ROUND(SUMIFS('ИТОГО Торговля'!$I$5:$I$300,'ИТОГО Торговля'!$B$5:$B$300,$B232)+SUMIFS('ИТОГО Лэндинг'!$I$5:$I$300,'ИТОГО Лэндинг'!$B$5:$B$300,$B232),8)))</f>
        <v/>
      </c>
      <c r="J232" s="247">
        <f>IF($B232="","",IF(AND(C232="",F232=""),"",ROUND(SUMIFS('ИТОГО Торговля'!$J$5:$J$300,'ИТОГО Торговля'!$B$5:$B$300,$B232)+SUMIFS('ИТОГО Лэндинг'!$J$5:$J$300,'ИТОГО Лэндинг'!$B$5:$B$300,$B232),8)))</f>
        <v/>
      </c>
      <c r="K232" s="246">
        <f>IF($B232="","",ROUND(SUMIFS('ИТОГО Торговля'!$K$5:$K$300,'ИТОГО Торговля'!$B$5:$B$300,$B232)+SUMIFS('ИТОГО Лэндинг'!$K$5:$K$300,'ИТОГО Лэндинг'!$B$5:$B$300,$B232),8))</f>
        <v/>
      </c>
      <c r="L232" s="183">
        <f>IF(K232="","",IF(SUMPRODUCT((Закрытые!$E$5:$E$300=$B232)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232/SUMPRODUCT((Закрытые!$E$5:$E$300=$B232)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2" s="183">
        <f>IF(OR(ROUND(N(C232)-N(F232),8)=0,1-N(Ввод!$E$17)/100&lt;=0),"",IF(N(C232)&gt;N(F232),(N(E232)-N(H232))/((N(C232)-N(F232))*(1-N(Ввод!$E$17)/100)),(N(H232)-N(E232))/((N(F232)-N(C232))*(1+N(Ввод!$E$17)/100))))</f>
        <v/>
      </c>
    </row>
    <row r="233" ht="22" customHeight="1">
      <c r="B233" s="315" t="n"/>
      <c r="C233" s="240">
        <f>IF($B233="","",IF(SUMIFS('ИТОГО Торговля'!$C$5:$C$300,'ИТОГО Торговля'!$B$5:$B$300,$B233)+SUMIFS('ИТОГО Лэндинг'!$C$5:$C$300,'ИТОГО Лэндинг'!$B$5:$B$300,$B233)=0,"",SUMIFS('ИТОГО Торговля'!$C$5:$C$300,'ИТОГО Торговля'!$B$5:$B$300,$B233)+SUMIFS('ИТОГО Лэндинг'!$C$5:$C$300,'ИТОГО Лэндинг'!$B$5:$B$300,$B233)))</f>
        <v/>
      </c>
      <c r="D233" s="177">
        <f>IF(C233="","",E233/C233)</f>
        <v/>
      </c>
      <c r="E233" s="241">
        <f>IF(C233="","",SUMIFS('ИТОГО Торговля'!$E$5:$E$300,'ИТОГО Торговля'!$B$5:$B$300,$B233)+SUMIFS('ИТОГО Лэндинг'!$E$5:$E$300,'ИТОГО Лэндинг'!$B$5:$B$300,$B233))</f>
        <v/>
      </c>
      <c r="F233" s="240">
        <f>IF($B233="","",IF(SUMIFS('ИТОГО Торговля'!$F$5:$F$300,'ИТОГО Торговля'!$B$5:$B$300,$B233)+SUMIFS('ИТОГО Лэндинг'!$F$5:$F$300,'ИТОГО Лэндинг'!$B$5:$B$300,$B233)=0,"",SUMIFS('ИТОГО Торговля'!$F$5:$F$300,'ИТОГО Торговля'!$B$5:$B$300,$B233)+SUMIFS('ИТОГО Лэндинг'!$F$5:$F$300,'ИТОГО Лэндинг'!$B$5:$B$300,$B233)))</f>
        <v/>
      </c>
      <c r="G233" s="177">
        <f>IF(F233="","",H233/F233)</f>
        <v/>
      </c>
      <c r="H233" s="241">
        <f>IF(F233="","",SUMIFS('ИТОГО Торговля'!$H$5:$H$300,'ИТОГО Торговля'!$B$5:$B$300,$B233)+SUMIFS('ИТОГО Лэндинг'!$H$5:$H$300,'ИТОГО Лэндинг'!$B$5:$B$300,$B233))</f>
        <v/>
      </c>
      <c r="I233" s="240">
        <f>IF($B233="","",IF(AND(C233="",F233=""),"",ROUND(SUMIFS('ИТОГО Торговля'!$I$5:$I$300,'ИТОГО Торговля'!$B$5:$B$300,$B233)+SUMIFS('ИТОГО Лэндинг'!$I$5:$I$300,'ИТОГО Лэндинг'!$B$5:$B$300,$B233),8)))</f>
        <v/>
      </c>
      <c r="J233" s="241">
        <f>IF($B233="","",IF(AND(C233="",F233=""),"",ROUND(SUMIFS('ИТОГО Торговля'!$J$5:$J$300,'ИТОГО Торговля'!$B$5:$B$300,$B233)+SUMIFS('ИТОГО Лэндинг'!$J$5:$J$300,'ИТОГО Лэндинг'!$B$5:$B$300,$B233),8)))</f>
        <v/>
      </c>
      <c r="K233" s="240">
        <f>IF($B233="","",ROUND(SUMIFS('ИТОГО Торговля'!$K$5:$K$300,'ИТОГО Торговля'!$B$5:$B$300,$B233)+SUMIFS('ИТОГО Лэндинг'!$K$5:$K$300,'ИТОГО Лэндинг'!$B$5:$B$300,$B233),8))</f>
        <v/>
      </c>
      <c r="L233" s="177">
        <f>IF(K233="","",IF(SUMPRODUCT((Закрытые!$E$5:$E$300=$B233)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233/SUMPRODUCT((Закрытые!$E$5:$E$300=$B233)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3" s="177">
        <f>IF(OR(ROUND(N(C233)-N(F233),8)=0,1-N(Ввод!$E$17)/100&lt;=0),"",IF(N(C233)&gt;N(F233),(N(E233)-N(H233))/((N(C233)-N(F233))*(1-N(Ввод!$E$17)/100)),(N(H233)-N(E233))/((N(F233)-N(C233))*(1+N(Ввод!$E$17)/100))))</f>
        <v/>
      </c>
    </row>
    <row r="234" ht="22" customHeight="1">
      <c r="B234" s="320" t="n"/>
      <c r="C234" s="246">
        <f>IF($B234="","",IF(SUMIFS('ИТОГО Торговля'!$C$5:$C$300,'ИТОГО Торговля'!$B$5:$B$300,$B234)+SUMIFS('ИТОГО Лэндинг'!$C$5:$C$300,'ИТОГО Лэндинг'!$B$5:$B$300,$B234)=0,"",SUMIFS('ИТОГО Торговля'!$C$5:$C$300,'ИТОГО Торговля'!$B$5:$B$300,$B234)+SUMIFS('ИТОГО Лэндинг'!$C$5:$C$300,'ИТОГО Лэндинг'!$B$5:$B$300,$B234)))</f>
        <v/>
      </c>
      <c r="D234" s="183">
        <f>IF(C234="","",E234/C234)</f>
        <v/>
      </c>
      <c r="E234" s="247">
        <f>IF(C234="","",SUMIFS('ИТОГО Торговля'!$E$5:$E$300,'ИТОГО Торговля'!$B$5:$B$300,$B234)+SUMIFS('ИТОГО Лэндинг'!$E$5:$E$300,'ИТОГО Лэндинг'!$B$5:$B$300,$B234))</f>
        <v/>
      </c>
      <c r="F234" s="246">
        <f>IF($B234="","",IF(SUMIFS('ИТОГО Торговля'!$F$5:$F$300,'ИТОГО Торговля'!$B$5:$B$300,$B234)+SUMIFS('ИТОГО Лэндинг'!$F$5:$F$300,'ИТОГО Лэндинг'!$B$5:$B$300,$B234)=0,"",SUMIFS('ИТОГО Торговля'!$F$5:$F$300,'ИТОГО Торговля'!$B$5:$B$300,$B234)+SUMIFS('ИТОГО Лэндинг'!$F$5:$F$300,'ИТОГО Лэндинг'!$B$5:$B$300,$B234)))</f>
        <v/>
      </c>
      <c r="G234" s="183">
        <f>IF(F234="","",H234/F234)</f>
        <v/>
      </c>
      <c r="H234" s="247">
        <f>IF(F234="","",SUMIFS('ИТОГО Торговля'!$H$5:$H$300,'ИТОГО Торговля'!$B$5:$B$300,$B234)+SUMIFS('ИТОГО Лэндинг'!$H$5:$H$300,'ИТОГО Лэндинг'!$B$5:$B$300,$B234))</f>
        <v/>
      </c>
      <c r="I234" s="246">
        <f>IF($B234="","",IF(AND(C234="",F234=""),"",ROUND(SUMIFS('ИТОГО Торговля'!$I$5:$I$300,'ИТОГО Торговля'!$B$5:$B$300,$B234)+SUMIFS('ИТОГО Лэндинг'!$I$5:$I$300,'ИТОГО Лэндинг'!$B$5:$B$300,$B234),8)))</f>
        <v/>
      </c>
      <c r="J234" s="247">
        <f>IF($B234="","",IF(AND(C234="",F234=""),"",ROUND(SUMIFS('ИТОГО Торговля'!$J$5:$J$300,'ИТОГО Торговля'!$B$5:$B$300,$B234)+SUMIFS('ИТОГО Лэндинг'!$J$5:$J$300,'ИТОГО Лэндинг'!$B$5:$B$300,$B234),8)))</f>
        <v/>
      </c>
      <c r="K234" s="246">
        <f>IF($B234="","",ROUND(SUMIFS('ИТОГО Торговля'!$K$5:$K$300,'ИТОГО Торговля'!$B$5:$B$300,$B234)+SUMIFS('ИТОГО Лэндинг'!$K$5:$K$300,'ИТОГО Лэндинг'!$B$5:$B$300,$B234),8))</f>
        <v/>
      </c>
      <c r="L234" s="183">
        <f>IF(K234="","",IF(SUMPRODUCT((Закрытые!$E$5:$E$300=$B234)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234/SUMPRODUCT((Закрытые!$E$5:$E$300=$B234)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4" s="183">
        <f>IF(OR(ROUND(N(C234)-N(F234),8)=0,1-N(Ввод!$E$17)/100&lt;=0),"",IF(N(C234)&gt;N(F234),(N(E234)-N(H234))/((N(C234)-N(F234))*(1-N(Ввод!$E$17)/100)),(N(H234)-N(E234))/((N(F234)-N(C234))*(1+N(Ввод!$E$17)/100))))</f>
        <v/>
      </c>
    </row>
    <row r="235" ht="22" customHeight="1">
      <c r="B235" s="315" t="n"/>
      <c r="C235" s="240">
        <f>IF($B235="","",IF(SUMIFS('ИТОГО Торговля'!$C$5:$C$300,'ИТОГО Торговля'!$B$5:$B$300,$B235)+SUMIFS('ИТОГО Лэндинг'!$C$5:$C$300,'ИТОГО Лэндинг'!$B$5:$B$300,$B235)=0,"",SUMIFS('ИТОГО Торговля'!$C$5:$C$300,'ИТОГО Торговля'!$B$5:$B$300,$B235)+SUMIFS('ИТОГО Лэндинг'!$C$5:$C$300,'ИТОГО Лэндинг'!$B$5:$B$300,$B235)))</f>
        <v/>
      </c>
      <c r="D235" s="177">
        <f>IF(C235="","",E235/C235)</f>
        <v/>
      </c>
      <c r="E235" s="241">
        <f>IF(C235="","",SUMIFS('ИТОГО Торговля'!$E$5:$E$300,'ИТОГО Торговля'!$B$5:$B$300,$B235)+SUMIFS('ИТОГО Лэндинг'!$E$5:$E$300,'ИТОГО Лэндинг'!$B$5:$B$300,$B235))</f>
        <v/>
      </c>
      <c r="F235" s="240">
        <f>IF($B235="","",IF(SUMIFS('ИТОГО Торговля'!$F$5:$F$300,'ИТОГО Торговля'!$B$5:$B$300,$B235)+SUMIFS('ИТОГО Лэндинг'!$F$5:$F$300,'ИТОГО Лэндинг'!$B$5:$B$300,$B235)=0,"",SUMIFS('ИТОГО Торговля'!$F$5:$F$300,'ИТОГО Торговля'!$B$5:$B$300,$B235)+SUMIFS('ИТОГО Лэндинг'!$F$5:$F$300,'ИТОГО Лэндинг'!$B$5:$B$300,$B235)))</f>
        <v/>
      </c>
      <c r="G235" s="177">
        <f>IF(F235="","",H235/F235)</f>
        <v/>
      </c>
      <c r="H235" s="241">
        <f>IF(F235="","",SUMIFS('ИТОГО Торговля'!$H$5:$H$300,'ИТОГО Торговля'!$B$5:$B$300,$B235)+SUMIFS('ИТОГО Лэндинг'!$H$5:$H$300,'ИТОГО Лэндинг'!$B$5:$B$300,$B235))</f>
        <v/>
      </c>
      <c r="I235" s="240">
        <f>IF($B235="","",IF(AND(C235="",F235=""),"",ROUND(SUMIFS('ИТОГО Торговля'!$I$5:$I$300,'ИТОГО Торговля'!$B$5:$B$300,$B235)+SUMIFS('ИТОГО Лэндинг'!$I$5:$I$300,'ИТОГО Лэндинг'!$B$5:$B$300,$B235),8)))</f>
        <v/>
      </c>
      <c r="J235" s="241">
        <f>IF($B235="","",IF(AND(C235="",F235=""),"",ROUND(SUMIFS('ИТОГО Торговля'!$J$5:$J$300,'ИТОГО Торговля'!$B$5:$B$300,$B235)+SUMIFS('ИТОГО Лэндинг'!$J$5:$J$300,'ИТОГО Лэндинг'!$B$5:$B$300,$B235),8)))</f>
        <v/>
      </c>
      <c r="K235" s="240">
        <f>IF($B235="","",ROUND(SUMIFS('ИТОГО Торговля'!$K$5:$K$300,'ИТОГО Торговля'!$B$5:$B$300,$B235)+SUMIFS('ИТОГО Лэндинг'!$K$5:$K$300,'ИТОГО Лэндинг'!$B$5:$B$300,$B235),8))</f>
        <v/>
      </c>
      <c r="L235" s="177">
        <f>IF(K235="","",IF(SUMPRODUCT((Закрытые!$E$5:$E$300=$B235)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235/SUMPRODUCT((Закрытые!$E$5:$E$300=$B235)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5" s="177">
        <f>IF(OR(ROUND(N(C235)-N(F235),8)=0,1-N(Ввод!$E$17)/100&lt;=0),"",IF(N(C235)&gt;N(F235),(N(E235)-N(H235))/((N(C235)-N(F235))*(1-N(Ввод!$E$17)/100)),(N(H235)-N(E235))/((N(F235)-N(C235))*(1+N(Ввод!$E$17)/100))))</f>
        <v/>
      </c>
    </row>
    <row r="236" ht="22" customHeight="1">
      <c r="B236" s="320" t="n"/>
      <c r="C236" s="246">
        <f>IF($B236="","",IF(SUMIFS('ИТОГО Торговля'!$C$5:$C$300,'ИТОГО Торговля'!$B$5:$B$300,$B236)+SUMIFS('ИТОГО Лэндинг'!$C$5:$C$300,'ИТОГО Лэндинг'!$B$5:$B$300,$B236)=0,"",SUMIFS('ИТОГО Торговля'!$C$5:$C$300,'ИТОГО Торговля'!$B$5:$B$300,$B236)+SUMIFS('ИТОГО Лэндинг'!$C$5:$C$300,'ИТОГО Лэндинг'!$B$5:$B$300,$B236)))</f>
        <v/>
      </c>
      <c r="D236" s="183">
        <f>IF(C236="","",E236/C236)</f>
        <v/>
      </c>
      <c r="E236" s="247">
        <f>IF(C236="","",SUMIFS('ИТОГО Торговля'!$E$5:$E$300,'ИТОГО Торговля'!$B$5:$B$300,$B236)+SUMIFS('ИТОГО Лэндинг'!$E$5:$E$300,'ИТОГО Лэндинг'!$B$5:$B$300,$B236))</f>
        <v/>
      </c>
      <c r="F236" s="246">
        <f>IF($B236="","",IF(SUMIFS('ИТОГО Торговля'!$F$5:$F$300,'ИТОГО Торговля'!$B$5:$B$300,$B236)+SUMIFS('ИТОГО Лэндинг'!$F$5:$F$300,'ИТОГО Лэндинг'!$B$5:$B$300,$B236)=0,"",SUMIFS('ИТОГО Торговля'!$F$5:$F$300,'ИТОГО Торговля'!$B$5:$B$300,$B236)+SUMIFS('ИТОГО Лэндинг'!$F$5:$F$300,'ИТОГО Лэндинг'!$B$5:$B$300,$B236)))</f>
        <v/>
      </c>
      <c r="G236" s="183">
        <f>IF(F236="","",H236/F236)</f>
        <v/>
      </c>
      <c r="H236" s="247">
        <f>IF(F236="","",SUMIFS('ИТОГО Торговля'!$H$5:$H$300,'ИТОГО Торговля'!$B$5:$B$300,$B236)+SUMIFS('ИТОГО Лэндинг'!$H$5:$H$300,'ИТОГО Лэндинг'!$B$5:$B$300,$B236))</f>
        <v/>
      </c>
      <c r="I236" s="246">
        <f>IF($B236="","",IF(AND(C236="",F236=""),"",ROUND(SUMIFS('ИТОГО Торговля'!$I$5:$I$300,'ИТОГО Торговля'!$B$5:$B$300,$B236)+SUMIFS('ИТОГО Лэндинг'!$I$5:$I$300,'ИТОГО Лэндинг'!$B$5:$B$300,$B236),8)))</f>
        <v/>
      </c>
      <c r="J236" s="247">
        <f>IF($B236="","",IF(AND(C236="",F236=""),"",ROUND(SUMIFS('ИТОГО Торговля'!$J$5:$J$300,'ИТОГО Торговля'!$B$5:$B$300,$B236)+SUMIFS('ИТОГО Лэндинг'!$J$5:$J$300,'ИТОГО Лэндинг'!$B$5:$B$300,$B236),8)))</f>
        <v/>
      </c>
      <c r="K236" s="246">
        <f>IF($B236="","",ROUND(SUMIFS('ИТОГО Торговля'!$K$5:$K$300,'ИТОГО Торговля'!$B$5:$B$300,$B236)+SUMIFS('ИТОГО Лэндинг'!$K$5:$K$300,'ИТОГО Лэндинг'!$B$5:$B$300,$B236),8))</f>
        <v/>
      </c>
      <c r="L236" s="183">
        <f>IF(K236="","",IF(SUMPRODUCT((Закрытые!$E$5:$E$300=$B236)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236/SUMPRODUCT((Закрытые!$E$5:$E$300=$B236)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6" s="183">
        <f>IF(OR(ROUND(N(C236)-N(F236),8)=0,1-N(Ввод!$E$17)/100&lt;=0),"",IF(N(C236)&gt;N(F236),(N(E236)-N(H236))/((N(C236)-N(F236))*(1-N(Ввод!$E$17)/100)),(N(H236)-N(E236))/((N(F236)-N(C236))*(1+N(Ввод!$E$17)/100))))</f>
        <v/>
      </c>
    </row>
    <row r="237" ht="22" customHeight="1">
      <c r="B237" s="315" t="n"/>
      <c r="C237" s="240">
        <f>IF($B237="","",IF(SUMIFS('ИТОГО Торговля'!$C$5:$C$300,'ИТОГО Торговля'!$B$5:$B$300,$B237)+SUMIFS('ИТОГО Лэндинг'!$C$5:$C$300,'ИТОГО Лэндинг'!$B$5:$B$300,$B237)=0,"",SUMIFS('ИТОГО Торговля'!$C$5:$C$300,'ИТОГО Торговля'!$B$5:$B$300,$B237)+SUMIFS('ИТОГО Лэндинг'!$C$5:$C$300,'ИТОГО Лэндинг'!$B$5:$B$300,$B237)))</f>
        <v/>
      </c>
      <c r="D237" s="177">
        <f>IF(C237="","",E237/C237)</f>
        <v/>
      </c>
      <c r="E237" s="241">
        <f>IF(C237="","",SUMIFS('ИТОГО Торговля'!$E$5:$E$300,'ИТОГО Торговля'!$B$5:$B$300,$B237)+SUMIFS('ИТОГО Лэндинг'!$E$5:$E$300,'ИТОГО Лэндинг'!$B$5:$B$300,$B237))</f>
        <v/>
      </c>
      <c r="F237" s="240">
        <f>IF($B237="","",IF(SUMIFS('ИТОГО Торговля'!$F$5:$F$300,'ИТОГО Торговля'!$B$5:$B$300,$B237)+SUMIFS('ИТОГО Лэндинг'!$F$5:$F$300,'ИТОГО Лэндинг'!$B$5:$B$300,$B237)=0,"",SUMIFS('ИТОГО Торговля'!$F$5:$F$300,'ИТОГО Торговля'!$B$5:$B$300,$B237)+SUMIFS('ИТОГО Лэндинг'!$F$5:$F$300,'ИТОГО Лэндинг'!$B$5:$B$300,$B237)))</f>
        <v/>
      </c>
      <c r="G237" s="177">
        <f>IF(F237="","",H237/F237)</f>
        <v/>
      </c>
      <c r="H237" s="241">
        <f>IF(F237="","",SUMIFS('ИТОГО Торговля'!$H$5:$H$300,'ИТОГО Торговля'!$B$5:$B$300,$B237)+SUMIFS('ИТОГО Лэндинг'!$H$5:$H$300,'ИТОГО Лэндинг'!$B$5:$B$300,$B237))</f>
        <v/>
      </c>
      <c r="I237" s="240">
        <f>IF($B237="","",IF(AND(C237="",F237=""),"",ROUND(SUMIFS('ИТОГО Торговля'!$I$5:$I$300,'ИТОГО Торговля'!$B$5:$B$300,$B237)+SUMIFS('ИТОГО Лэндинг'!$I$5:$I$300,'ИТОГО Лэндинг'!$B$5:$B$300,$B237),8)))</f>
        <v/>
      </c>
      <c r="J237" s="241">
        <f>IF($B237="","",IF(AND(C237="",F237=""),"",ROUND(SUMIFS('ИТОГО Торговля'!$J$5:$J$300,'ИТОГО Торговля'!$B$5:$B$300,$B237)+SUMIFS('ИТОГО Лэндинг'!$J$5:$J$300,'ИТОГО Лэндинг'!$B$5:$B$300,$B237),8)))</f>
        <v/>
      </c>
      <c r="K237" s="240">
        <f>IF($B237="","",ROUND(SUMIFS('ИТОГО Торговля'!$K$5:$K$300,'ИТОГО Торговля'!$B$5:$B$300,$B237)+SUMIFS('ИТОГО Лэндинг'!$K$5:$K$300,'ИТОГО Лэндинг'!$B$5:$B$300,$B237),8))</f>
        <v/>
      </c>
      <c r="L237" s="177">
        <f>IF(K237="","",IF(SUMPRODUCT((Закрытые!$E$5:$E$300=$B237)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237/SUMPRODUCT((Закрытые!$E$5:$E$300=$B237)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7" s="177">
        <f>IF(OR(ROUND(N(C237)-N(F237),8)=0,1-N(Ввод!$E$17)/100&lt;=0),"",IF(N(C237)&gt;N(F237),(N(E237)-N(H237))/((N(C237)-N(F237))*(1-N(Ввод!$E$17)/100)),(N(H237)-N(E237))/((N(F237)-N(C237))*(1+N(Ввод!$E$17)/100))))</f>
        <v/>
      </c>
    </row>
    <row r="238" ht="22" customHeight="1">
      <c r="B238" s="320" t="n"/>
      <c r="C238" s="246">
        <f>IF($B238="","",IF(SUMIFS('ИТОГО Торговля'!$C$5:$C$300,'ИТОГО Торговля'!$B$5:$B$300,$B238)+SUMIFS('ИТОГО Лэндинг'!$C$5:$C$300,'ИТОГО Лэндинг'!$B$5:$B$300,$B238)=0,"",SUMIFS('ИТОГО Торговля'!$C$5:$C$300,'ИТОГО Торговля'!$B$5:$B$300,$B238)+SUMIFS('ИТОГО Лэндинг'!$C$5:$C$300,'ИТОГО Лэндинг'!$B$5:$B$300,$B238)))</f>
        <v/>
      </c>
      <c r="D238" s="183">
        <f>IF(C238="","",E238/C238)</f>
        <v/>
      </c>
      <c r="E238" s="247">
        <f>IF(C238="","",SUMIFS('ИТОГО Торговля'!$E$5:$E$300,'ИТОГО Торговля'!$B$5:$B$300,$B238)+SUMIFS('ИТОГО Лэндинг'!$E$5:$E$300,'ИТОГО Лэндинг'!$B$5:$B$300,$B238))</f>
        <v/>
      </c>
      <c r="F238" s="246">
        <f>IF($B238="","",IF(SUMIFS('ИТОГО Торговля'!$F$5:$F$300,'ИТОГО Торговля'!$B$5:$B$300,$B238)+SUMIFS('ИТОГО Лэндинг'!$F$5:$F$300,'ИТОГО Лэндинг'!$B$5:$B$300,$B238)=0,"",SUMIFS('ИТОГО Торговля'!$F$5:$F$300,'ИТОГО Торговля'!$B$5:$B$300,$B238)+SUMIFS('ИТОГО Лэндинг'!$F$5:$F$300,'ИТОГО Лэндинг'!$B$5:$B$300,$B238)))</f>
        <v/>
      </c>
      <c r="G238" s="183">
        <f>IF(F238="","",H238/F238)</f>
        <v/>
      </c>
      <c r="H238" s="247">
        <f>IF(F238="","",SUMIFS('ИТОГО Торговля'!$H$5:$H$300,'ИТОГО Торговля'!$B$5:$B$300,$B238)+SUMIFS('ИТОГО Лэндинг'!$H$5:$H$300,'ИТОГО Лэндинг'!$B$5:$B$300,$B238))</f>
        <v/>
      </c>
      <c r="I238" s="246">
        <f>IF($B238="","",IF(AND(C238="",F238=""),"",ROUND(SUMIFS('ИТОГО Торговля'!$I$5:$I$300,'ИТОГО Торговля'!$B$5:$B$300,$B238)+SUMIFS('ИТОГО Лэндинг'!$I$5:$I$300,'ИТОГО Лэндинг'!$B$5:$B$300,$B238),8)))</f>
        <v/>
      </c>
      <c r="J238" s="247">
        <f>IF($B238="","",IF(AND(C238="",F238=""),"",ROUND(SUMIFS('ИТОГО Торговля'!$J$5:$J$300,'ИТОГО Торговля'!$B$5:$B$300,$B238)+SUMIFS('ИТОГО Лэндинг'!$J$5:$J$300,'ИТОГО Лэндинг'!$B$5:$B$300,$B238),8)))</f>
        <v/>
      </c>
      <c r="K238" s="246">
        <f>IF($B238="","",ROUND(SUMIFS('ИТОГО Торговля'!$K$5:$K$300,'ИТОГО Торговля'!$B$5:$B$300,$B238)+SUMIFS('ИТОГО Лэндинг'!$K$5:$K$300,'ИТОГО Лэндинг'!$B$5:$B$300,$B238),8))</f>
        <v/>
      </c>
      <c r="L238" s="183">
        <f>IF(K238="","",IF(SUMPRODUCT((Закрытые!$E$5:$E$300=$B238)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238/SUMPRODUCT((Закрытые!$E$5:$E$300=$B238)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8" s="183">
        <f>IF(OR(ROUND(N(C238)-N(F238),8)=0,1-N(Ввод!$E$17)/100&lt;=0),"",IF(N(C238)&gt;N(F238),(N(E238)-N(H238))/((N(C238)-N(F238))*(1-N(Ввод!$E$17)/100)),(N(H238)-N(E238))/((N(F238)-N(C238))*(1+N(Ввод!$E$17)/100))))</f>
        <v/>
      </c>
    </row>
    <row r="239" ht="22" customHeight="1">
      <c r="B239" s="315" t="n"/>
      <c r="C239" s="240">
        <f>IF($B239="","",IF(SUMIFS('ИТОГО Торговля'!$C$5:$C$300,'ИТОГО Торговля'!$B$5:$B$300,$B239)+SUMIFS('ИТОГО Лэндинг'!$C$5:$C$300,'ИТОГО Лэндинг'!$B$5:$B$300,$B239)=0,"",SUMIFS('ИТОГО Торговля'!$C$5:$C$300,'ИТОГО Торговля'!$B$5:$B$300,$B239)+SUMIFS('ИТОГО Лэндинг'!$C$5:$C$300,'ИТОГО Лэндинг'!$B$5:$B$300,$B239)))</f>
        <v/>
      </c>
      <c r="D239" s="177">
        <f>IF(C239="","",E239/C239)</f>
        <v/>
      </c>
      <c r="E239" s="241">
        <f>IF(C239="","",SUMIFS('ИТОГО Торговля'!$E$5:$E$300,'ИТОГО Торговля'!$B$5:$B$300,$B239)+SUMIFS('ИТОГО Лэндинг'!$E$5:$E$300,'ИТОГО Лэндинг'!$B$5:$B$300,$B239))</f>
        <v/>
      </c>
      <c r="F239" s="240">
        <f>IF($B239="","",IF(SUMIFS('ИТОГО Торговля'!$F$5:$F$300,'ИТОГО Торговля'!$B$5:$B$300,$B239)+SUMIFS('ИТОГО Лэндинг'!$F$5:$F$300,'ИТОГО Лэндинг'!$B$5:$B$300,$B239)=0,"",SUMIFS('ИТОГО Торговля'!$F$5:$F$300,'ИТОГО Торговля'!$B$5:$B$300,$B239)+SUMIFS('ИТОГО Лэндинг'!$F$5:$F$300,'ИТОГО Лэндинг'!$B$5:$B$300,$B239)))</f>
        <v/>
      </c>
      <c r="G239" s="177">
        <f>IF(F239="","",H239/F239)</f>
        <v/>
      </c>
      <c r="H239" s="241">
        <f>IF(F239="","",SUMIFS('ИТОГО Торговля'!$H$5:$H$300,'ИТОГО Торговля'!$B$5:$B$300,$B239)+SUMIFS('ИТОГО Лэндинг'!$H$5:$H$300,'ИТОГО Лэндинг'!$B$5:$B$300,$B239))</f>
        <v/>
      </c>
      <c r="I239" s="240">
        <f>IF($B239="","",IF(AND(C239="",F239=""),"",ROUND(SUMIFS('ИТОГО Торговля'!$I$5:$I$300,'ИТОГО Торговля'!$B$5:$B$300,$B239)+SUMIFS('ИТОГО Лэндинг'!$I$5:$I$300,'ИТОГО Лэндинг'!$B$5:$B$300,$B239),8)))</f>
        <v/>
      </c>
      <c r="J239" s="241">
        <f>IF($B239="","",IF(AND(C239="",F239=""),"",ROUND(SUMIFS('ИТОГО Торговля'!$J$5:$J$300,'ИТОГО Торговля'!$B$5:$B$300,$B239)+SUMIFS('ИТОГО Лэндинг'!$J$5:$J$300,'ИТОГО Лэндинг'!$B$5:$B$300,$B239),8)))</f>
        <v/>
      </c>
      <c r="K239" s="240">
        <f>IF($B239="","",ROUND(SUMIFS('ИТОГО Торговля'!$K$5:$K$300,'ИТОГО Торговля'!$B$5:$B$300,$B239)+SUMIFS('ИТОГО Лэндинг'!$K$5:$K$300,'ИТОГО Лэндинг'!$B$5:$B$300,$B239),8))</f>
        <v/>
      </c>
      <c r="L239" s="177">
        <f>IF(K239="","",IF(SUMPRODUCT((Закрытые!$E$5:$E$300=$B239)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239/SUMPRODUCT((Закрытые!$E$5:$E$300=$B239)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9" s="177">
        <f>IF(OR(ROUND(N(C239)-N(F239),8)=0,1-N(Ввод!$E$17)/100&lt;=0),"",IF(N(C239)&gt;N(F239),(N(E239)-N(H239))/((N(C239)-N(F239))*(1-N(Ввод!$E$17)/100)),(N(H239)-N(E239))/((N(F239)-N(C239))*(1+N(Ввод!$E$17)/100))))</f>
        <v/>
      </c>
    </row>
    <row r="240" ht="22" customHeight="1">
      <c r="B240" s="320" t="n"/>
      <c r="C240" s="246">
        <f>IF($B240="","",IF(SUMIFS('ИТОГО Торговля'!$C$5:$C$300,'ИТОГО Торговля'!$B$5:$B$300,$B240)+SUMIFS('ИТОГО Лэндинг'!$C$5:$C$300,'ИТОГО Лэндинг'!$B$5:$B$300,$B240)=0,"",SUMIFS('ИТОГО Торговля'!$C$5:$C$300,'ИТОГО Торговля'!$B$5:$B$300,$B240)+SUMIFS('ИТОГО Лэндинг'!$C$5:$C$300,'ИТОГО Лэндинг'!$B$5:$B$300,$B240)))</f>
        <v/>
      </c>
      <c r="D240" s="183">
        <f>IF(C240="","",E240/C240)</f>
        <v/>
      </c>
      <c r="E240" s="247">
        <f>IF(C240="","",SUMIFS('ИТОГО Торговля'!$E$5:$E$300,'ИТОГО Торговля'!$B$5:$B$300,$B240)+SUMIFS('ИТОГО Лэндинг'!$E$5:$E$300,'ИТОГО Лэндинг'!$B$5:$B$300,$B240))</f>
        <v/>
      </c>
      <c r="F240" s="246">
        <f>IF($B240="","",IF(SUMIFS('ИТОГО Торговля'!$F$5:$F$300,'ИТОГО Торговля'!$B$5:$B$300,$B240)+SUMIFS('ИТОГО Лэндинг'!$F$5:$F$300,'ИТОГО Лэндинг'!$B$5:$B$300,$B240)=0,"",SUMIFS('ИТОГО Торговля'!$F$5:$F$300,'ИТОГО Торговля'!$B$5:$B$300,$B240)+SUMIFS('ИТОГО Лэндинг'!$F$5:$F$300,'ИТОГО Лэндинг'!$B$5:$B$300,$B240)))</f>
        <v/>
      </c>
      <c r="G240" s="183">
        <f>IF(F240="","",H240/F240)</f>
        <v/>
      </c>
      <c r="H240" s="247">
        <f>IF(F240="","",SUMIFS('ИТОГО Торговля'!$H$5:$H$300,'ИТОГО Торговля'!$B$5:$B$300,$B240)+SUMIFS('ИТОГО Лэндинг'!$H$5:$H$300,'ИТОГО Лэндинг'!$B$5:$B$300,$B240))</f>
        <v/>
      </c>
      <c r="I240" s="246">
        <f>IF($B240="","",IF(AND(C240="",F240=""),"",ROUND(SUMIFS('ИТОГО Торговля'!$I$5:$I$300,'ИТОГО Торговля'!$B$5:$B$300,$B240)+SUMIFS('ИТОГО Лэндинг'!$I$5:$I$300,'ИТОГО Лэндинг'!$B$5:$B$300,$B240),8)))</f>
        <v/>
      </c>
      <c r="J240" s="247">
        <f>IF($B240="","",IF(AND(C240="",F240=""),"",ROUND(SUMIFS('ИТОГО Торговля'!$J$5:$J$300,'ИТОГО Торговля'!$B$5:$B$300,$B240)+SUMIFS('ИТОГО Лэндинг'!$J$5:$J$300,'ИТОГО Лэндинг'!$B$5:$B$300,$B240),8)))</f>
        <v/>
      </c>
      <c r="K240" s="246">
        <f>IF($B240="","",ROUND(SUMIFS('ИТОГО Торговля'!$K$5:$K$300,'ИТОГО Торговля'!$B$5:$B$300,$B240)+SUMIFS('ИТОГО Лэндинг'!$K$5:$K$300,'ИТОГО Лэндинг'!$B$5:$B$300,$B240),8))</f>
        <v/>
      </c>
      <c r="L240" s="183">
        <f>IF(K240="","",IF(SUMPRODUCT((Закрытые!$E$5:$E$300=$B240)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240/SUMPRODUCT((Закрытые!$E$5:$E$300=$B240)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0" s="183">
        <f>IF(OR(ROUND(N(C240)-N(F240),8)=0,1-N(Ввод!$E$17)/100&lt;=0),"",IF(N(C240)&gt;N(F240),(N(E240)-N(H240))/((N(C240)-N(F240))*(1-N(Ввод!$E$17)/100)),(N(H240)-N(E240))/((N(F240)-N(C240))*(1+N(Ввод!$E$17)/100))))</f>
        <v/>
      </c>
    </row>
    <row r="241" ht="22" customHeight="1">
      <c r="B241" s="315" t="n"/>
      <c r="C241" s="240">
        <f>IF($B241="","",IF(SUMIFS('ИТОГО Торговля'!$C$5:$C$300,'ИТОГО Торговля'!$B$5:$B$300,$B241)+SUMIFS('ИТОГО Лэндинг'!$C$5:$C$300,'ИТОГО Лэндинг'!$B$5:$B$300,$B241)=0,"",SUMIFS('ИТОГО Торговля'!$C$5:$C$300,'ИТОГО Торговля'!$B$5:$B$300,$B241)+SUMIFS('ИТОГО Лэндинг'!$C$5:$C$300,'ИТОГО Лэндинг'!$B$5:$B$300,$B241)))</f>
        <v/>
      </c>
      <c r="D241" s="177">
        <f>IF(C241="","",E241/C241)</f>
        <v/>
      </c>
      <c r="E241" s="241">
        <f>IF(C241="","",SUMIFS('ИТОГО Торговля'!$E$5:$E$300,'ИТОГО Торговля'!$B$5:$B$300,$B241)+SUMIFS('ИТОГО Лэндинг'!$E$5:$E$300,'ИТОГО Лэндинг'!$B$5:$B$300,$B241))</f>
        <v/>
      </c>
      <c r="F241" s="240">
        <f>IF($B241="","",IF(SUMIFS('ИТОГО Торговля'!$F$5:$F$300,'ИТОГО Торговля'!$B$5:$B$300,$B241)+SUMIFS('ИТОГО Лэндинг'!$F$5:$F$300,'ИТОГО Лэндинг'!$B$5:$B$300,$B241)=0,"",SUMIFS('ИТОГО Торговля'!$F$5:$F$300,'ИТОГО Торговля'!$B$5:$B$300,$B241)+SUMIFS('ИТОГО Лэндинг'!$F$5:$F$300,'ИТОГО Лэндинг'!$B$5:$B$300,$B241)))</f>
        <v/>
      </c>
      <c r="G241" s="177">
        <f>IF(F241="","",H241/F241)</f>
        <v/>
      </c>
      <c r="H241" s="241">
        <f>IF(F241="","",SUMIFS('ИТОГО Торговля'!$H$5:$H$300,'ИТОГО Торговля'!$B$5:$B$300,$B241)+SUMIFS('ИТОГО Лэндинг'!$H$5:$H$300,'ИТОГО Лэндинг'!$B$5:$B$300,$B241))</f>
        <v/>
      </c>
      <c r="I241" s="240">
        <f>IF($B241="","",IF(AND(C241="",F241=""),"",ROUND(SUMIFS('ИТОГО Торговля'!$I$5:$I$300,'ИТОГО Торговля'!$B$5:$B$300,$B241)+SUMIFS('ИТОГО Лэндинг'!$I$5:$I$300,'ИТОГО Лэндинг'!$B$5:$B$300,$B241),8)))</f>
        <v/>
      </c>
      <c r="J241" s="241">
        <f>IF($B241="","",IF(AND(C241="",F241=""),"",ROUND(SUMIFS('ИТОГО Торговля'!$J$5:$J$300,'ИТОГО Торговля'!$B$5:$B$300,$B241)+SUMIFS('ИТОГО Лэндинг'!$J$5:$J$300,'ИТОГО Лэндинг'!$B$5:$B$300,$B241),8)))</f>
        <v/>
      </c>
      <c r="K241" s="240">
        <f>IF($B241="","",ROUND(SUMIFS('ИТОГО Торговля'!$K$5:$K$300,'ИТОГО Торговля'!$B$5:$B$300,$B241)+SUMIFS('ИТОГО Лэндинг'!$K$5:$K$300,'ИТОГО Лэндинг'!$B$5:$B$300,$B241),8))</f>
        <v/>
      </c>
      <c r="L241" s="177">
        <f>IF(K241="","",IF(SUMPRODUCT((Закрытые!$E$5:$E$300=$B241)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241/SUMPRODUCT((Закрытые!$E$5:$E$300=$B241)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1" s="177">
        <f>IF(OR(ROUND(N(C241)-N(F241),8)=0,1-N(Ввод!$E$17)/100&lt;=0),"",IF(N(C241)&gt;N(F241),(N(E241)-N(H241))/((N(C241)-N(F241))*(1-N(Ввод!$E$17)/100)),(N(H241)-N(E241))/((N(F241)-N(C241))*(1+N(Ввод!$E$17)/100))))</f>
        <v/>
      </c>
    </row>
    <row r="242" ht="22" customHeight="1">
      <c r="B242" s="320" t="n"/>
      <c r="C242" s="246">
        <f>IF($B242="","",IF(SUMIFS('ИТОГО Торговля'!$C$5:$C$300,'ИТОГО Торговля'!$B$5:$B$300,$B242)+SUMIFS('ИТОГО Лэндинг'!$C$5:$C$300,'ИТОГО Лэндинг'!$B$5:$B$300,$B242)=0,"",SUMIFS('ИТОГО Торговля'!$C$5:$C$300,'ИТОГО Торговля'!$B$5:$B$300,$B242)+SUMIFS('ИТОГО Лэндинг'!$C$5:$C$300,'ИТОГО Лэндинг'!$B$5:$B$300,$B242)))</f>
        <v/>
      </c>
      <c r="D242" s="183">
        <f>IF(C242="","",E242/C242)</f>
        <v/>
      </c>
      <c r="E242" s="247">
        <f>IF(C242="","",SUMIFS('ИТОГО Торговля'!$E$5:$E$300,'ИТОГО Торговля'!$B$5:$B$300,$B242)+SUMIFS('ИТОГО Лэндинг'!$E$5:$E$300,'ИТОГО Лэндинг'!$B$5:$B$300,$B242))</f>
        <v/>
      </c>
      <c r="F242" s="246">
        <f>IF($B242="","",IF(SUMIFS('ИТОГО Торговля'!$F$5:$F$300,'ИТОГО Торговля'!$B$5:$B$300,$B242)+SUMIFS('ИТОГО Лэндинг'!$F$5:$F$300,'ИТОГО Лэндинг'!$B$5:$B$300,$B242)=0,"",SUMIFS('ИТОГО Торговля'!$F$5:$F$300,'ИТОГО Торговля'!$B$5:$B$300,$B242)+SUMIFS('ИТОГО Лэндинг'!$F$5:$F$300,'ИТОГО Лэндинг'!$B$5:$B$300,$B242)))</f>
        <v/>
      </c>
      <c r="G242" s="183">
        <f>IF(F242="","",H242/F242)</f>
        <v/>
      </c>
      <c r="H242" s="247">
        <f>IF(F242="","",SUMIFS('ИТОГО Торговля'!$H$5:$H$300,'ИТОГО Торговля'!$B$5:$B$300,$B242)+SUMIFS('ИТОГО Лэндинг'!$H$5:$H$300,'ИТОГО Лэндинг'!$B$5:$B$300,$B242))</f>
        <v/>
      </c>
      <c r="I242" s="246">
        <f>IF($B242="","",IF(AND(C242="",F242=""),"",ROUND(SUMIFS('ИТОГО Торговля'!$I$5:$I$300,'ИТОГО Торговля'!$B$5:$B$300,$B242)+SUMIFS('ИТОГО Лэндинг'!$I$5:$I$300,'ИТОГО Лэндинг'!$B$5:$B$300,$B242),8)))</f>
        <v/>
      </c>
      <c r="J242" s="247">
        <f>IF($B242="","",IF(AND(C242="",F242=""),"",ROUND(SUMIFS('ИТОГО Торговля'!$J$5:$J$300,'ИТОГО Торговля'!$B$5:$B$300,$B242)+SUMIFS('ИТОГО Лэндинг'!$J$5:$J$300,'ИТОГО Лэндинг'!$B$5:$B$300,$B242),8)))</f>
        <v/>
      </c>
      <c r="K242" s="246">
        <f>IF($B242="","",ROUND(SUMIFS('ИТОГО Торговля'!$K$5:$K$300,'ИТОГО Торговля'!$B$5:$B$300,$B242)+SUMIFS('ИТОГО Лэндинг'!$K$5:$K$300,'ИТОГО Лэндинг'!$B$5:$B$300,$B242),8))</f>
        <v/>
      </c>
      <c r="L242" s="183">
        <f>IF(K242="","",IF(SUMPRODUCT((Закрытые!$E$5:$E$300=$B242)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242/SUMPRODUCT((Закрытые!$E$5:$E$300=$B242)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2" s="183">
        <f>IF(OR(ROUND(N(C242)-N(F242),8)=0,1-N(Ввод!$E$17)/100&lt;=0),"",IF(N(C242)&gt;N(F242),(N(E242)-N(H242))/((N(C242)-N(F242))*(1-N(Ввод!$E$17)/100)),(N(H242)-N(E242))/((N(F242)-N(C242))*(1+N(Ввод!$E$17)/100))))</f>
        <v/>
      </c>
    </row>
    <row r="243" ht="22" customHeight="1">
      <c r="B243" s="315" t="n"/>
      <c r="C243" s="240">
        <f>IF($B243="","",IF(SUMIFS('ИТОГО Торговля'!$C$5:$C$300,'ИТОГО Торговля'!$B$5:$B$300,$B243)+SUMIFS('ИТОГО Лэндинг'!$C$5:$C$300,'ИТОГО Лэндинг'!$B$5:$B$300,$B243)=0,"",SUMIFS('ИТОГО Торговля'!$C$5:$C$300,'ИТОГО Торговля'!$B$5:$B$300,$B243)+SUMIFS('ИТОГО Лэндинг'!$C$5:$C$300,'ИТОГО Лэндинг'!$B$5:$B$300,$B243)))</f>
        <v/>
      </c>
      <c r="D243" s="177">
        <f>IF(C243="","",E243/C243)</f>
        <v/>
      </c>
      <c r="E243" s="241">
        <f>IF(C243="","",SUMIFS('ИТОГО Торговля'!$E$5:$E$300,'ИТОГО Торговля'!$B$5:$B$300,$B243)+SUMIFS('ИТОГО Лэндинг'!$E$5:$E$300,'ИТОГО Лэндинг'!$B$5:$B$300,$B243))</f>
        <v/>
      </c>
      <c r="F243" s="240">
        <f>IF($B243="","",IF(SUMIFS('ИТОГО Торговля'!$F$5:$F$300,'ИТОГО Торговля'!$B$5:$B$300,$B243)+SUMIFS('ИТОГО Лэндинг'!$F$5:$F$300,'ИТОГО Лэндинг'!$B$5:$B$300,$B243)=0,"",SUMIFS('ИТОГО Торговля'!$F$5:$F$300,'ИТОГО Торговля'!$B$5:$B$300,$B243)+SUMIFS('ИТОГО Лэндинг'!$F$5:$F$300,'ИТОГО Лэндинг'!$B$5:$B$300,$B243)))</f>
        <v/>
      </c>
      <c r="G243" s="177">
        <f>IF(F243="","",H243/F243)</f>
        <v/>
      </c>
      <c r="H243" s="241">
        <f>IF(F243="","",SUMIFS('ИТОГО Торговля'!$H$5:$H$300,'ИТОГО Торговля'!$B$5:$B$300,$B243)+SUMIFS('ИТОГО Лэндинг'!$H$5:$H$300,'ИТОГО Лэндинг'!$B$5:$B$300,$B243))</f>
        <v/>
      </c>
      <c r="I243" s="240">
        <f>IF($B243="","",IF(AND(C243="",F243=""),"",ROUND(SUMIFS('ИТОГО Торговля'!$I$5:$I$300,'ИТОГО Торговля'!$B$5:$B$300,$B243)+SUMIFS('ИТОГО Лэндинг'!$I$5:$I$300,'ИТОГО Лэндинг'!$B$5:$B$300,$B243),8)))</f>
        <v/>
      </c>
      <c r="J243" s="241">
        <f>IF($B243="","",IF(AND(C243="",F243=""),"",ROUND(SUMIFS('ИТОГО Торговля'!$J$5:$J$300,'ИТОГО Торговля'!$B$5:$B$300,$B243)+SUMIFS('ИТОГО Лэндинг'!$J$5:$J$300,'ИТОГО Лэндинг'!$B$5:$B$300,$B243),8)))</f>
        <v/>
      </c>
      <c r="K243" s="240">
        <f>IF($B243="","",ROUND(SUMIFS('ИТОГО Торговля'!$K$5:$K$300,'ИТОГО Торговля'!$B$5:$B$300,$B243)+SUMIFS('ИТОГО Лэндинг'!$K$5:$K$300,'ИТОГО Лэндинг'!$B$5:$B$300,$B243),8))</f>
        <v/>
      </c>
      <c r="L243" s="177">
        <f>IF(K243="","",IF(SUMPRODUCT((Закрытые!$E$5:$E$300=$B243)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243/SUMPRODUCT((Закрытые!$E$5:$E$300=$B243)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3" s="177">
        <f>IF(OR(ROUND(N(C243)-N(F243),8)=0,1-N(Ввод!$E$17)/100&lt;=0),"",IF(N(C243)&gt;N(F243),(N(E243)-N(H243))/((N(C243)-N(F243))*(1-N(Ввод!$E$17)/100)),(N(H243)-N(E243))/((N(F243)-N(C243))*(1+N(Ввод!$E$17)/100))))</f>
        <v/>
      </c>
    </row>
    <row r="244" ht="22" customHeight="1">
      <c r="B244" s="320" t="n"/>
      <c r="C244" s="246">
        <f>IF($B244="","",IF(SUMIFS('ИТОГО Торговля'!$C$5:$C$300,'ИТОГО Торговля'!$B$5:$B$300,$B244)+SUMIFS('ИТОГО Лэндинг'!$C$5:$C$300,'ИТОГО Лэндинг'!$B$5:$B$300,$B244)=0,"",SUMIFS('ИТОГО Торговля'!$C$5:$C$300,'ИТОГО Торговля'!$B$5:$B$300,$B244)+SUMIFS('ИТОГО Лэндинг'!$C$5:$C$300,'ИТОГО Лэндинг'!$B$5:$B$300,$B244)))</f>
        <v/>
      </c>
      <c r="D244" s="183">
        <f>IF(C244="","",E244/C244)</f>
        <v/>
      </c>
      <c r="E244" s="247">
        <f>IF(C244="","",SUMIFS('ИТОГО Торговля'!$E$5:$E$300,'ИТОГО Торговля'!$B$5:$B$300,$B244)+SUMIFS('ИТОГО Лэндинг'!$E$5:$E$300,'ИТОГО Лэндинг'!$B$5:$B$300,$B244))</f>
        <v/>
      </c>
      <c r="F244" s="246">
        <f>IF($B244="","",IF(SUMIFS('ИТОГО Торговля'!$F$5:$F$300,'ИТОГО Торговля'!$B$5:$B$300,$B244)+SUMIFS('ИТОГО Лэндинг'!$F$5:$F$300,'ИТОГО Лэндинг'!$B$5:$B$300,$B244)=0,"",SUMIFS('ИТОГО Торговля'!$F$5:$F$300,'ИТОГО Торговля'!$B$5:$B$300,$B244)+SUMIFS('ИТОГО Лэндинг'!$F$5:$F$300,'ИТОГО Лэндинг'!$B$5:$B$300,$B244)))</f>
        <v/>
      </c>
      <c r="G244" s="183">
        <f>IF(F244="","",H244/F244)</f>
        <v/>
      </c>
      <c r="H244" s="247">
        <f>IF(F244="","",SUMIFS('ИТОГО Торговля'!$H$5:$H$300,'ИТОГО Торговля'!$B$5:$B$300,$B244)+SUMIFS('ИТОГО Лэндинг'!$H$5:$H$300,'ИТОГО Лэндинг'!$B$5:$B$300,$B244))</f>
        <v/>
      </c>
      <c r="I244" s="246">
        <f>IF($B244="","",IF(AND(C244="",F244=""),"",ROUND(SUMIFS('ИТОГО Торговля'!$I$5:$I$300,'ИТОГО Торговля'!$B$5:$B$300,$B244)+SUMIFS('ИТОГО Лэндинг'!$I$5:$I$300,'ИТОГО Лэндинг'!$B$5:$B$300,$B244),8)))</f>
        <v/>
      </c>
      <c r="J244" s="247">
        <f>IF($B244="","",IF(AND(C244="",F244=""),"",ROUND(SUMIFS('ИТОГО Торговля'!$J$5:$J$300,'ИТОГО Торговля'!$B$5:$B$300,$B244)+SUMIFS('ИТОГО Лэндинг'!$J$5:$J$300,'ИТОГО Лэндинг'!$B$5:$B$300,$B244),8)))</f>
        <v/>
      </c>
      <c r="K244" s="246">
        <f>IF($B244="","",ROUND(SUMIFS('ИТОГО Торговля'!$K$5:$K$300,'ИТОГО Торговля'!$B$5:$B$300,$B244)+SUMIFS('ИТОГО Лэндинг'!$K$5:$K$300,'ИТОГО Лэндинг'!$B$5:$B$300,$B244),8))</f>
        <v/>
      </c>
      <c r="L244" s="183">
        <f>IF(K244="","",IF(SUMPRODUCT((Закрытые!$E$5:$E$300=$B244)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244/SUMPRODUCT((Закрытые!$E$5:$E$300=$B244)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4" s="183">
        <f>IF(OR(ROUND(N(C244)-N(F244),8)=0,1-N(Ввод!$E$17)/100&lt;=0),"",IF(N(C244)&gt;N(F244),(N(E244)-N(H244))/((N(C244)-N(F244))*(1-N(Ввод!$E$17)/100)),(N(H244)-N(E244))/((N(F244)-N(C244))*(1+N(Ввод!$E$17)/100))))</f>
        <v/>
      </c>
    </row>
    <row r="245" ht="22" customHeight="1">
      <c r="B245" s="315" t="n"/>
      <c r="C245" s="240">
        <f>IF($B245="","",IF(SUMIFS('ИТОГО Торговля'!$C$5:$C$300,'ИТОГО Торговля'!$B$5:$B$300,$B245)+SUMIFS('ИТОГО Лэндинг'!$C$5:$C$300,'ИТОГО Лэндинг'!$B$5:$B$300,$B245)=0,"",SUMIFS('ИТОГО Торговля'!$C$5:$C$300,'ИТОГО Торговля'!$B$5:$B$300,$B245)+SUMIFS('ИТОГО Лэндинг'!$C$5:$C$300,'ИТОГО Лэндинг'!$B$5:$B$300,$B245)))</f>
        <v/>
      </c>
      <c r="D245" s="177">
        <f>IF(C245="","",E245/C245)</f>
        <v/>
      </c>
      <c r="E245" s="241">
        <f>IF(C245="","",SUMIFS('ИТОГО Торговля'!$E$5:$E$300,'ИТОГО Торговля'!$B$5:$B$300,$B245)+SUMIFS('ИТОГО Лэндинг'!$E$5:$E$300,'ИТОГО Лэндинг'!$B$5:$B$300,$B245))</f>
        <v/>
      </c>
      <c r="F245" s="240">
        <f>IF($B245="","",IF(SUMIFS('ИТОГО Торговля'!$F$5:$F$300,'ИТОГО Торговля'!$B$5:$B$300,$B245)+SUMIFS('ИТОГО Лэндинг'!$F$5:$F$300,'ИТОГО Лэндинг'!$B$5:$B$300,$B245)=0,"",SUMIFS('ИТОГО Торговля'!$F$5:$F$300,'ИТОГО Торговля'!$B$5:$B$300,$B245)+SUMIFS('ИТОГО Лэндинг'!$F$5:$F$300,'ИТОГО Лэндинг'!$B$5:$B$300,$B245)))</f>
        <v/>
      </c>
      <c r="G245" s="177">
        <f>IF(F245="","",H245/F245)</f>
        <v/>
      </c>
      <c r="H245" s="241">
        <f>IF(F245="","",SUMIFS('ИТОГО Торговля'!$H$5:$H$300,'ИТОГО Торговля'!$B$5:$B$300,$B245)+SUMIFS('ИТОГО Лэндинг'!$H$5:$H$300,'ИТОГО Лэндинг'!$B$5:$B$300,$B245))</f>
        <v/>
      </c>
      <c r="I245" s="240">
        <f>IF($B245="","",IF(AND(C245="",F245=""),"",ROUND(SUMIFS('ИТОГО Торговля'!$I$5:$I$300,'ИТОГО Торговля'!$B$5:$B$300,$B245)+SUMIFS('ИТОГО Лэндинг'!$I$5:$I$300,'ИТОГО Лэндинг'!$B$5:$B$300,$B245),8)))</f>
        <v/>
      </c>
      <c r="J245" s="241">
        <f>IF($B245="","",IF(AND(C245="",F245=""),"",ROUND(SUMIFS('ИТОГО Торговля'!$J$5:$J$300,'ИТОГО Торговля'!$B$5:$B$300,$B245)+SUMIFS('ИТОГО Лэндинг'!$J$5:$J$300,'ИТОГО Лэндинг'!$B$5:$B$300,$B245),8)))</f>
        <v/>
      </c>
      <c r="K245" s="240">
        <f>IF($B245="","",ROUND(SUMIFS('ИТОГО Торговля'!$K$5:$K$300,'ИТОГО Торговля'!$B$5:$B$300,$B245)+SUMIFS('ИТОГО Лэндинг'!$K$5:$K$300,'ИТОГО Лэндинг'!$B$5:$B$300,$B245),8))</f>
        <v/>
      </c>
      <c r="L245" s="177">
        <f>IF(K245="","",IF(SUMPRODUCT((Закрытые!$E$5:$E$300=$B245)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245/SUMPRODUCT((Закрытые!$E$5:$E$300=$B245)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5" s="177">
        <f>IF(OR(ROUND(N(C245)-N(F245),8)=0,1-N(Ввод!$E$17)/100&lt;=0),"",IF(N(C245)&gt;N(F245),(N(E245)-N(H245))/((N(C245)-N(F245))*(1-N(Ввод!$E$17)/100)),(N(H245)-N(E245))/((N(F245)-N(C245))*(1+N(Ввод!$E$17)/100))))</f>
        <v/>
      </c>
    </row>
    <row r="246" ht="22" customHeight="1">
      <c r="B246" s="320" t="n"/>
      <c r="C246" s="246">
        <f>IF($B246="","",IF(SUMIFS('ИТОГО Торговля'!$C$5:$C$300,'ИТОГО Торговля'!$B$5:$B$300,$B246)+SUMIFS('ИТОГО Лэндинг'!$C$5:$C$300,'ИТОГО Лэндинг'!$B$5:$B$300,$B246)=0,"",SUMIFS('ИТОГО Торговля'!$C$5:$C$300,'ИТОГО Торговля'!$B$5:$B$300,$B246)+SUMIFS('ИТОГО Лэндинг'!$C$5:$C$300,'ИТОГО Лэндинг'!$B$5:$B$300,$B246)))</f>
        <v/>
      </c>
      <c r="D246" s="183">
        <f>IF(C246="","",E246/C246)</f>
        <v/>
      </c>
      <c r="E246" s="247">
        <f>IF(C246="","",SUMIFS('ИТОГО Торговля'!$E$5:$E$300,'ИТОГО Торговля'!$B$5:$B$300,$B246)+SUMIFS('ИТОГО Лэндинг'!$E$5:$E$300,'ИТОГО Лэндинг'!$B$5:$B$300,$B246))</f>
        <v/>
      </c>
      <c r="F246" s="246">
        <f>IF($B246="","",IF(SUMIFS('ИТОГО Торговля'!$F$5:$F$300,'ИТОГО Торговля'!$B$5:$B$300,$B246)+SUMIFS('ИТОГО Лэндинг'!$F$5:$F$300,'ИТОГО Лэндинг'!$B$5:$B$300,$B246)=0,"",SUMIFS('ИТОГО Торговля'!$F$5:$F$300,'ИТОГО Торговля'!$B$5:$B$300,$B246)+SUMIFS('ИТОГО Лэндинг'!$F$5:$F$300,'ИТОГО Лэндинг'!$B$5:$B$300,$B246)))</f>
        <v/>
      </c>
      <c r="G246" s="183">
        <f>IF(F246="","",H246/F246)</f>
        <v/>
      </c>
      <c r="H246" s="247">
        <f>IF(F246="","",SUMIFS('ИТОГО Торговля'!$H$5:$H$300,'ИТОГО Торговля'!$B$5:$B$300,$B246)+SUMIFS('ИТОГО Лэндинг'!$H$5:$H$300,'ИТОГО Лэндинг'!$B$5:$B$300,$B246))</f>
        <v/>
      </c>
      <c r="I246" s="246">
        <f>IF($B246="","",IF(AND(C246="",F246=""),"",ROUND(SUMIFS('ИТОГО Торговля'!$I$5:$I$300,'ИТОГО Торговля'!$B$5:$B$300,$B246)+SUMIFS('ИТОГО Лэндинг'!$I$5:$I$300,'ИТОГО Лэндинг'!$B$5:$B$300,$B246),8)))</f>
        <v/>
      </c>
      <c r="J246" s="247">
        <f>IF($B246="","",IF(AND(C246="",F246=""),"",ROUND(SUMIFS('ИТОГО Торговля'!$J$5:$J$300,'ИТОГО Торговля'!$B$5:$B$300,$B246)+SUMIFS('ИТОГО Лэндинг'!$J$5:$J$300,'ИТОГО Лэндинг'!$B$5:$B$300,$B246),8)))</f>
        <v/>
      </c>
      <c r="K246" s="246">
        <f>IF($B246="","",ROUND(SUMIFS('ИТОГО Торговля'!$K$5:$K$300,'ИТОГО Торговля'!$B$5:$B$300,$B246)+SUMIFS('ИТОГО Лэндинг'!$K$5:$K$300,'ИТОГО Лэндинг'!$B$5:$B$300,$B246),8))</f>
        <v/>
      </c>
      <c r="L246" s="183">
        <f>IF(K246="","",IF(SUMPRODUCT((Закрытые!$E$5:$E$300=$B246)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246/SUMPRODUCT((Закрытые!$E$5:$E$300=$B246)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6" s="183">
        <f>IF(OR(ROUND(N(C246)-N(F246),8)=0,1-N(Ввод!$E$17)/100&lt;=0),"",IF(N(C246)&gt;N(F246),(N(E246)-N(H246))/((N(C246)-N(F246))*(1-N(Ввод!$E$17)/100)),(N(H246)-N(E246))/((N(F246)-N(C246))*(1+N(Ввод!$E$17)/100))))</f>
        <v/>
      </c>
    </row>
    <row r="247" ht="22" customHeight="1">
      <c r="B247" s="315" t="n"/>
      <c r="C247" s="240">
        <f>IF($B247="","",IF(SUMIFS('ИТОГО Торговля'!$C$5:$C$300,'ИТОГО Торговля'!$B$5:$B$300,$B247)+SUMIFS('ИТОГО Лэндинг'!$C$5:$C$300,'ИТОГО Лэндинг'!$B$5:$B$300,$B247)=0,"",SUMIFS('ИТОГО Торговля'!$C$5:$C$300,'ИТОГО Торговля'!$B$5:$B$300,$B247)+SUMIFS('ИТОГО Лэндинг'!$C$5:$C$300,'ИТОГО Лэндинг'!$B$5:$B$300,$B247)))</f>
        <v/>
      </c>
      <c r="D247" s="177">
        <f>IF(C247="","",E247/C247)</f>
        <v/>
      </c>
      <c r="E247" s="241">
        <f>IF(C247="","",SUMIFS('ИТОГО Торговля'!$E$5:$E$300,'ИТОГО Торговля'!$B$5:$B$300,$B247)+SUMIFS('ИТОГО Лэндинг'!$E$5:$E$300,'ИТОГО Лэндинг'!$B$5:$B$300,$B247))</f>
        <v/>
      </c>
      <c r="F247" s="240">
        <f>IF($B247="","",IF(SUMIFS('ИТОГО Торговля'!$F$5:$F$300,'ИТОГО Торговля'!$B$5:$B$300,$B247)+SUMIFS('ИТОГО Лэндинг'!$F$5:$F$300,'ИТОГО Лэндинг'!$B$5:$B$300,$B247)=0,"",SUMIFS('ИТОГО Торговля'!$F$5:$F$300,'ИТОГО Торговля'!$B$5:$B$300,$B247)+SUMIFS('ИТОГО Лэндинг'!$F$5:$F$300,'ИТОГО Лэндинг'!$B$5:$B$300,$B247)))</f>
        <v/>
      </c>
      <c r="G247" s="177">
        <f>IF(F247="","",H247/F247)</f>
        <v/>
      </c>
      <c r="H247" s="241">
        <f>IF(F247="","",SUMIFS('ИТОГО Торговля'!$H$5:$H$300,'ИТОГО Торговля'!$B$5:$B$300,$B247)+SUMIFS('ИТОГО Лэндинг'!$H$5:$H$300,'ИТОГО Лэндинг'!$B$5:$B$300,$B247))</f>
        <v/>
      </c>
      <c r="I247" s="240">
        <f>IF($B247="","",IF(AND(C247="",F247=""),"",ROUND(SUMIFS('ИТОГО Торговля'!$I$5:$I$300,'ИТОГО Торговля'!$B$5:$B$300,$B247)+SUMIFS('ИТОГО Лэндинг'!$I$5:$I$300,'ИТОГО Лэндинг'!$B$5:$B$300,$B247),8)))</f>
        <v/>
      </c>
      <c r="J247" s="241">
        <f>IF($B247="","",IF(AND(C247="",F247=""),"",ROUND(SUMIFS('ИТОГО Торговля'!$J$5:$J$300,'ИТОГО Торговля'!$B$5:$B$300,$B247)+SUMIFS('ИТОГО Лэндинг'!$J$5:$J$300,'ИТОГО Лэндинг'!$B$5:$B$300,$B247),8)))</f>
        <v/>
      </c>
      <c r="K247" s="240">
        <f>IF($B247="","",ROUND(SUMIFS('ИТОГО Торговля'!$K$5:$K$300,'ИТОГО Торговля'!$B$5:$B$300,$B247)+SUMIFS('ИТОГО Лэндинг'!$K$5:$K$300,'ИТОГО Лэндинг'!$B$5:$B$300,$B247),8))</f>
        <v/>
      </c>
      <c r="L247" s="177">
        <f>IF(K247="","",IF(SUMPRODUCT((Закрытые!$E$5:$E$300=$B247)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247/SUMPRODUCT((Закрытые!$E$5:$E$300=$B247)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7" s="177">
        <f>IF(OR(ROUND(N(C247)-N(F247),8)=0,1-N(Ввод!$E$17)/100&lt;=0),"",IF(N(C247)&gt;N(F247),(N(E247)-N(H247))/((N(C247)-N(F247))*(1-N(Ввод!$E$17)/100)),(N(H247)-N(E247))/((N(F247)-N(C247))*(1+N(Ввод!$E$17)/100))))</f>
        <v/>
      </c>
    </row>
    <row r="248" ht="22" customHeight="1">
      <c r="B248" s="320" t="n"/>
      <c r="C248" s="246">
        <f>IF($B248="","",IF(SUMIFS('ИТОГО Торговля'!$C$5:$C$300,'ИТОГО Торговля'!$B$5:$B$300,$B248)+SUMIFS('ИТОГО Лэндинг'!$C$5:$C$300,'ИТОГО Лэндинг'!$B$5:$B$300,$B248)=0,"",SUMIFS('ИТОГО Торговля'!$C$5:$C$300,'ИТОГО Торговля'!$B$5:$B$300,$B248)+SUMIFS('ИТОГО Лэндинг'!$C$5:$C$300,'ИТОГО Лэндинг'!$B$5:$B$300,$B248)))</f>
        <v/>
      </c>
      <c r="D248" s="183">
        <f>IF(C248="","",E248/C248)</f>
        <v/>
      </c>
      <c r="E248" s="247">
        <f>IF(C248="","",SUMIFS('ИТОГО Торговля'!$E$5:$E$300,'ИТОГО Торговля'!$B$5:$B$300,$B248)+SUMIFS('ИТОГО Лэндинг'!$E$5:$E$300,'ИТОГО Лэндинг'!$B$5:$B$300,$B248))</f>
        <v/>
      </c>
      <c r="F248" s="246">
        <f>IF($B248="","",IF(SUMIFS('ИТОГО Торговля'!$F$5:$F$300,'ИТОГО Торговля'!$B$5:$B$300,$B248)+SUMIFS('ИТОГО Лэндинг'!$F$5:$F$300,'ИТОГО Лэндинг'!$B$5:$B$300,$B248)=0,"",SUMIFS('ИТОГО Торговля'!$F$5:$F$300,'ИТОГО Торговля'!$B$5:$B$300,$B248)+SUMIFS('ИТОГО Лэндинг'!$F$5:$F$300,'ИТОГО Лэндинг'!$B$5:$B$300,$B248)))</f>
        <v/>
      </c>
      <c r="G248" s="183">
        <f>IF(F248="","",H248/F248)</f>
        <v/>
      </c>
      <c r="H248" s="247">
        <f>IF(F248="","",SUMIFS('ИТОГО Торговля'!$H$5:$H$300,'ИТОГО Торговля'!$B$5:$B$300,$B248)+SUMIFS('ИТОГО Лэндинг'!$H$5:$H$300,'ИТОГО Лэндинг'!$B$5:$B$300,$B248))</f>
        <v/>
      </c>
      <c r="I248" s="246">
        <f>IF($B248="","",IF(AND(C248="",F248=""),"",ROUND(SUMIFS('ИТОГО Торговля'!$I$5:$I$300,'ИТОГО Торговля'!$B$5:$B$300,$B248)+SUMIFS('ИТОГО Лэндинг'!$I$5:$I$300,'ИТОГО Лэндинг'!$B$5:$B$300,$B248),8)))</f>
        <v/>
      </c>
      <c r="J248" s="247">
        <f>IF($B248="","",IF(AND(C248="",F248=""),"",ROUND(SUMIFS('ИТОГО Торговля'!$J$5:$J$300,'ИТОГО Торговля'!$B$5:$B$300,$B248)+SUMIFS('ИТОГО Лэндинг'!$J$5:$J$300,'ИТОГО Лэндинг'!$B$5:$B$300,$B248),8)))</f>
        <v/>
      </c>
      <c r="K248" s="246">
        <f>IF($B248="","",ROUND(SUMIFS('ИТОГО Торговля'!$K$5:$K$300,'ИТОГО Торговля'!$B$5:$B$300,$B248)+SUMIFS('ИТОГО Лэндинг'!$K$5:$K$300,'ИТОГО Лэндинг'!$B$5:$B$300,$B248),8))</f>
        <v/>
      </c>
      <c r="L248" s="183">
        <f>IF(K248="","",IF(SUMPRODUCT((Закрытые!$E$5:$E$300=$B248)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248/SUMPRODUCT((Закрытые!$E$5:$E$300=$B248)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8" s="183">
        <f>IF(OR(ROUND(N(C248)-N(F248),8)=0,1-N(Ввод!$E$17)/100&lt;=0),"",IF(N(C248)&gt;N(F248),(N(E248)-N(H248))/((N(C248)-N(F248))*(1-N(Ввод!$E$17)/100)),(N(H248)-N(E248))/((N(F248)-N(C248))*(1+N(Ввод!$E$17)/100))))</f>
        <v/>
      </c>
    </row>
    <row r="249" ht="22" customHeight="1">
      <c r="B249" s="315" t="n"/>
      <c r="C249" s="240">
        <f>IF($B249="","",IF(SUMIFS('ИТОГО Торговля'!$C$5:$C$300,'ИТОГО Торговля'!$B$5:$B$300,$B249)+SUMIFS('ИТОГО Лэндинг'!$C$5:$C$300,'ИТОГО Лэндинг'!$B$5:$B$300,$B249)=0,"",SUMIFS('ИТОГО Торговля'!$C$5:$C$300,'ИТОГО Торговля'!$B$5:$B$300,$B249)+SUMIFS('ИТОГО Лэндинг'!$C$5:$C$300,'ИТОГО Лэндинг'!$B$5:$B$300,$B249)))</f>
        <v/>
      </c>
      <c r="D249" s="177">
        <f>IF(C249="","",E249/C249)</f>
        <v/>
      </c>
      <c r="E249" s="241">
        <f>IF(C249="","",SUMIFS('ИТОГО Торговля'!$E$5:$E$300,'ИТОГО Торговля'!$B$5:$B$300,$B249)+SUMIFS('ИТОГО Лэндинг'!$E$5:$E$300,'ИТОГО Лэндинг'!$B$5:$B$300,$B249))</f>
        <v/>
      </c>
      <c r="F249" s="240">
        <f>IF($B249="","",IF(SUMIFS('ИТОГО Торговля'!$F$5:$F$300,'ИТОГО Торговля'!$B$5:$B$300,$B249)+SUMIFS('ИТОГО Лэндинг'!$F$5:$F$300,'ИТОГО Лэндинг'!$B$5:$B$300,$B249)=0,"",SUMIFS('ИТОГО Торговля'!$F$5:$F$300,'ИТОГО Торговля'!$B$5:$B$300,$B249)+SUMIFS('ИТОГО Лэндинг'!$F$5:$F$300,'ИТОГО Лэндинг'!$B$5:$B$300,$B249)))</f>
        <v/>
      </c>
      <c r="G249" s="177">
        <f>IF(F249="","",H249/F249)</f>
        <v/>
      </c>
      <c r="H249" s="241">
        <f>IF(F249="","",SUMIFS('ИТОГО Торговля'!$H$5:$H$300,'ИТОГО Торговля'!$B$5:$B$300,$B249)+SUMIFS('ИТОГО Лэндинг'!$H$5:$H$300,'ИТОГО Лэндинг'!$B$5:$B$300,$B249))</f>
        <v/>
      </c>
      <c r="I249" s="240">
        <f>IF($B249="","",IF(AND(C249="",F249=""),"",ROUND(SUMIFS('ИТОГО Торговля'!$I$5:$I$300,'ИТОГО Торговля'!$B$5:$B$300,$B249)+SUMIFS('ИТОГО Лэндинг'!$I$5:$I$300,'ИТОГО Лэндинг'!$B$5:$B$300,$B249),8)))</f>
        <v/>
      </c>
      <c r="J249" s="241">
        <f>IF($B249="","",IF(AND(C249="",F249=""),"",ROUND(SUMIFS('ИТОГО Торговля'!$J$5:$J$300,'ИТОГО Торговля'!$B$5:$B$300,$B249)+SUMIFS('ИТОГО Лэндинг'!$J$5:$J$300,'ИТОГО Лэндинг'!$B$5:$B$300,$B249),8)))</f>
        <v/>
      </c>
      <c r="K249" s="240">
        <f>IF($B249="","",ROUND(SUMIFS('ИТОГО Торговля'!$K$5:$K$300,'ИТОГО Торговля'!$B$5:$B$300,$B249)+SUMIFS('ИТОГО Лэндинг'!$K$5:$K$300,'ИТОГО Лэндинг'!$B$5:$B$300,$B249),8))</f>
        <v/>
      </c>
      <c r="L249" s="177">
        <f>IF(K249="","",IF(SUMPRODUCT((Закрытые!$E$5:$E$300=$B249)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249/SUMPRODUCT((Закрытые!$E$5:$E$300=$B249)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9" s="177">
        <f>IF(OR(ROUND(N(C249)-N(F249),8)=0,1-N(Ввод!$E$17)/100&lt;=0),"",IF(N(C249)&gt;N(F249),(N(E249)-N(H249))/((N(C249)-N(F249))*(1-N(Ввод!$E$17)/100)),(N(H249)-N(E249))/((N(F249)-N(C249))*(1+N(Ввод!$E$17)/100))))</f>
        <v/>
      </c>
    </row>
    <row r="250" ht="22" customHeight="1">
      <c r="B250" s="320" t="n"/>
      <c r="C250" s="246">
        <f>IF($B250="","",IF(SUMIFS('ИТОГО Торговля'!$C$5:$C$300,'ИТОГО Торговля'!$B$5:$B$300,$B250)+SUMIFS('ИТОГО Лэндинг'!$C$5:$C$300,'ИТОГО Лэндинг'!$B$5:$B$300,$B250)=0,"",SUMIFS('ИТОГО Торговля'!$C$5:$C$300,'ИТОГО Торговля'!$B$5:$B$300,$B250)+SUMIFS('ИТОГО Лэндинг'!$C$5:$C$300,'ИТОГО Лэндинг'!$B$5:$B$300,$B250)))</f>
        <v/>
      </c>
      <c r="D250" s="183">
        <f>IF(C250="","",E250/C250)</f>
        <v/>
      </c>
      <c r="E250" s="247">
        <f>IF(C250="","",SUMIFS('ИТОГО Торговля'!$E$5:$E$300,'ИТОГО Торговля'!$B$5:$B$300,$B250)+SUMIFS('ИТОГО Лэндинг'!$E$5:$E$300,'ИТОГО Лэндинг'!$B$5:$B$300,$B250))</f>
        <v/>
      </c>
      <c r="F250" s="246">
        <f>IF($B250="","",IF(SUMIFS('ИТОГО Торговля'!$F$5:$F$300,'ИТОГО Торговля'!$B$5:$B$300,$B250)+SUMIFS('ИТОГО Лэндинг'!$F$5:$F$300,'ИТОГО Лэндинг'!$B$5:$B$300,$B250)=0,"",SUMIFS('ИТОГО Торговля'!$F$5:$F$300,'ИТОГО Торговля'!$B$5:$B$300,$B250)+SUMIFS('ИТОГО Лэндинг'!$F$5:$F$300,'ИТОГО Лэндинг'!$B$5:$B$300,$B250)))</f>
        <v/>
      </c>
      <c r="G250" s="183">
        <f>IF(F250="","",H250/F250)</f>
        <v/>
      </c>
      <c r="H250" s="247">
        <f>IF(F250="","",SUMIFS('ИТОГО Торговля'!$H$5:$H$300,'ИТОГО Торговля'!$B$5:$B$300,$B250)+SUMIFS('ИТОГО Лэндинг'!$H$5:$H$300,'ИТОГО Лэндинг'!$B$5:$B$300,$B250))</f>
        <v/>
      </c>
      <c r="I250" s="246">
        <f>IF($B250="","",IF(AND(C250="",F250=""),"",ROUND(SUMIFS('ИТОГО Торговля'!$I$5:$I$300,'ИТОГО Торговля'!$B$5:$B$300,$B250)+SUMIFS('ИТОГО Лэндинг'!$I$5:$I$300,'ИТОГО Лэндинг'!$B$5:$B$300,$B250),8)))</f>
        <v/>
      </c>
      <c r="J250" s="247">
        <f>IF($B250="","",IF(AND(C250="",F250=""),"",ROUND(SUMIFS('ИТОГО Торговля'!$J$5:$J$300,'ИТОГО Торговля'!$B$5:$B$300,$B250)+SUMIFS('ИТОГО Лэндинг'!$J$5:$J$300,'ИТОГО Лэндинг'!$B$5:$B$300,$B250),8)))</f>
        <v/>
      </c>
      <c r="K250" s="246">
        <f>IF($B250="","",ROUND(SUMIFS('ИТОГО Торговля'!$K$5:$K$300,'ИТОГО Торговля'!$B$5:$B$300,$B250)+SUMIFS('ИТОГО Лэндинг'!$K$5:$K$300,'ИТОГО Лэндинг'!$B$5:$B$300,$B250),8))</f>
        <v/>
      </c>
      <c r="L250" s="183">
        <f>IF(K250="","",IF(SUMPRODUCT((Закрытые!$E$5:$E$300=$B250)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250/SUMPRODUCT((Закрытые!$E$5:$E$300=$B250)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0" s="183">
        <f>IF(OR(ROUND(N(C250)-N(F250),8)=0,1-N(Ввод!$E$17)/100&lt;=0),"",IF(N(C250)&gt;N(F250),(N(E250)-N(H250))/((N(C250)-N(F250))*(1-N(Ввод!$E$17)/100)),(N(H250)-N(E250))/((N(F250)-N(C250))*(1+N(Ввод!$E$17)/100))))</f>
        <v/>
      </c>
    </row>
    <row r="251" ht="22" customHeight="1">
      <c r="B251" s="315" t="n"/>
      <c r="C251" s="240">
        <f>IF($B251="","",IF(SUMIFS('ИТОГО Торговля'!$C$5:$C$300,'ИТОГО Торговля'!$B$5:$B$300,$B251)+SUMIFS('ИТОГО Лэндинг'!$C$5:$C$300,'ИТОГО Лэндинг'!$B$5:$B$300,$B251)=0,"",SUMIFS('ИТОГО Торговля'!$C$5:$C$300,'ИТОГО Торговля'!$B$5:$B$300,$B251)+SUMIFS('ИТОГО Лэндинг'!$C$5:$C$300,'ИТОГО Лэндинг'!$B$5:$B$300,$B251)))</f>
        <v/>
      </c>
      <c r="D251" s="177">
        <f>IF(C251="","",E251/C251)</f>
        <v/>
      </c>
      <c r="E251" s="241">
        <f>IF(C251="","",SUMIFS('ИТОГО Торговля'!$E$5:$E$300,'ИТОГО Торговля'!$B$5:$B$300,$B251)+SUMIFS('ИТОГО Лэндинг'!$E$5:$E$300,'ИТОГО Лэндинг'!$B$5:$B$300,$B251))</f>
        <v/>
      </c>
      <c r="F251" s="240">
        <f>IF($B251="","",IF(SUMIFS('ИТОГО Торговля'!$F$5:$F$300,'ИТОГО Торговля'!$B$5:$B$300,$B251)+SUMIFS('ИТОГО Лэндинг'!$F$5:$F$300,'ИТОГО Лэндинг'!$B$5:$B$300,$B251)=0,"",SUMIFS('ИТОГО Торговля'!$F$5:$F$300,'ИТОГО Торговля'!$B$5:$B$300,$B251)+SUMIFS('ИТОГО Лэндинг'!$F$5:$F$300,'ИТОГО Лэндинг'!$B$5:$B$300,$B251)))</f>
        <v/>
      </c>
      <c r="G251" s="177">
        <f>IF(F251="","",H251/F251)</f>
        <v/>
      </c>
      <c r="H251" s="241">
        <f>IF(F251="","",SUMIFS('ИТОГО Торговля'!$H$5:$H$300,'ИТОГО Торговля'!$B$5:$B$300,$B251)+SUMIFS('ИТОГО Лэндинг'!$H$5:$H$300,'ИТОГО Лэндинг'!$B$5:$B$300,$B251))</f>
        <v/>
      </c>
      <c r="I251" s="240">
        <f>IF($B251="","",IF(AND(C251="",F251=""),"",ROUND(SUMIFS('ИТОГО Торговля'!$I$5:$I$300,'ИТОГО Торговля'!$B$5:$B$300,$B251)+SUMIFS('ИТОГО Лэндинг'!$I$5:$I$300,'ИТОГО Лэндинг'!$B$5:$B$300,$B251),8)))</f>
        <v/>
      </c>
      <c r="J251" s="241">
        <f>IF($B251="","",IF(AND(C251="",F251=""),"",ROUND(SUMIFS('ИТОГО Торговля'!$J$5:$J$300,'ИТОГО Торговля'!$B$5:$B$300,$B251)+SUMIFS('ИТОГО Лэндинг'!$J$5:$J$300,'ИТОГО Лэндинг'!$B$5:$B$300,$B251),8)))</f>
        <v/>
      </c>
      <c r="K251" s="240">
        <f>IF($B251="","",ROUND(SUMIFS('ИТОГО Торговля'!$K$5:$K$300,'ИТОГО Торговля'!$B$5:$B$300,$B251)+SUMIFS('ИТОГО Лэндинг'!$K$5:$K$300,'ИТОГО Лэндинг'!$B$5:$B$300,$B251),8))</f>
        <v/>
      </c>
      <c r="L251" s="177">
        <f>IF(K251="","",IF(SUMPRODUCT((Закрытые!$E$5:$E$300=$B251)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251/SUMPRODUCT((Закрытые!$E$5:$E$300=$B251)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1" s="177">
        <f>IF(OR(ROUND(N(C251)-N(F251),8)=0,1-N(Ввод!$E$17)/100&lt;=0),"",IF(N(C251)&gt;N(F251),(N(E251)-N(H251))/((N(C251)-N(F251))*(1-N(Ввод!$E$17)/100)),(N(H251)-N(E251))/((N(F251)-N(C251))*(1+N(Ввод!$E$17)/100))))</f>
        <v/>
      </c>
    </row>
    <row r="252" ht="22" customHeight="1">
      <c r="B252" s="320" t="n"/>
      <c r="C252" s="246">
        <f>IF($B252="","",IF(SUMIFS('ИТОГО Торговля'!$C$5:$C$300,'ИТОГО Торговля'!$B$5:$B$300,$B252)+SUMIFS('ИТОГО Лэндинг'!$C$5:$C$300,'ИТОГО Лэндинг'!$B$5:$B$300,$B252)=0,"",SUMIFS('ИТОГО Торговля'!$C$5:$C$300,'ИТОГО Торговля'!$B$5:$B$300,$B252)+SUMIFS('ИТОГО Лэндинг'!$C$5:$C$300,'ИТОГО Лэндинг'!$B$5:$B$300,$B252)))</f>
        <v/>
      </c>
      <c r="D252" s="183">
        <f>IF(C252="","",E252/C252)</f>
        <v/>
      </c>
      <c r="E252" s="247">
        <f>IF(C252="","",SUMIFS('ИТОГО Торговля'!$E$5:$E$300,'ИТОГО Торговля'!$B$5:$B$300,$B252)+SUMIFS('ИТОГО Лэндинг'!$E$5:$E$300,'ИТОГО Лэндинг'!$B$5:$B$300,$B252))</f>
        <v/>
      </c>
      <c r="F252" s="246">
        <f>IF($B252="","",IF(SUMIFS('ИТОГО Торговля'!$F$5:$F$300,'ИТОГО Торговля'!$B$5:$B$300,$B252)+SUMIFS('ИТОГО Лэндинг'!$F$5:$F$300,'ИТОГО Лэндинг'!$B$5:$B$300,$B252)=0,"",SUMIFS('ИТОГО Торговля'!$F$5:$F$300,'ИТОГО Торговля'!$B$5:$B$300,$B252)+SUMIFS('ИТОГО Лэндинг'!$F$5:$F$300,'ИТОГО Лэндинг'!$B$5:$B$300,$B252)))</f>
        <v/>
      </c>
      <c r="G252" s="183">
        <f>IF(F252="","",H252/F252)</f>
        <v/>
      </c>
      <c r="H252" s="247">
        <f>IF(F252="","",SUMIFS('ИТОГО Торговля'!$H$5:$H$300,'ИТОГО Торговля'!$B$5:$B$300,$B252)+SUMIFS('ИТОГО Лэндинг'!$H$5:$H$300,'ИТОГО Лэндинг'!$B$5:$B$300,$B252))</f>
        <v/>
      </c>
      <c r="I252" s="246">
        <f>IF($B252="","",IF(AND(C252="",F252=""),"",ROUND(SUMIFS('ИТОГО Торговля'!$I$5:$I$300,'ИТОГО Торговля'!$B$5:$B$300,$B252)+SUMIFS('ИТОГО Лэндинг'!$I$5:$I$300,'ИТОГО Лэндинг'!$B$5:$B$300,$B252),8)))</f>
        <v/>
      </c>
      <c r="J252" s="247">
        <f>IF($B252="","",IF(AND(C252="",F252=""),"",ROUND(SUMIFS('ИТОГО Торговля'!$J$5:$J$300,'ИТОГО Торговля'!$B$5:$B$300,$B252)+SUMIFS('ИТОГО Лэндинг'!$J$5:$J$300,'ИТОГО Лэндинг'!$B$5:$B$300,$B252),8)))</f>
        <v/>
      </c>
      <c r="K252" s="246">
        <f>IF($B252="","",ROUND(SUMIFS('ИТОГО Торговля'!$K$5:$K$300,'ИТОГО Торговля'!$B$5:$B$300,$B252)+SUMIFS('ИТОГО Лэндинг'!$K$5:$K$300,'ИТОГО Лэндинг'!$B$5:$B$300,$B252),8))</f>
        <v/>
      </c>
      <c r="L252" s="183">
        <f>IF(K252="","",IF(SUMPRODUCT((Закрытые!$E$5:$E$300=$B252)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252/SUMPRODUCT((Закрытые!$E$5:$E$300=$B252)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2" s="183">
        <f>IF(OR(ROUND(N(C252)-N(F252),8)=0,1-N(Ввод!$E$17)/100&lt;=0),"",IF(N(C252)&gt;N(F252),(N(E252)-N(H252))/((N(C252)-N(F252))*(1-N(Ввод!$E$17)/100)),(N(H252)-N(E252))/((N(F252)-N(C252))*(1+N(Ввод!$E$17)/100))))</f>
        <v/>
      </c>
    </row>
    <row r="253" ht="22" customHeight="1">
      <c r="B253" s="315" t="n"/>
      <c r="C253" s="240">
        <f>IF($B253="","",IF(SUMIFS('ИТОГО Торговля'!$C$5:$C$300,'ИТОГО Торговля'!$B$5:$B$300,$B253)+SUMIFS('ИТОГО Лэндинг'!$C$5:$C$300,'ИТОГО Лэндинг'!$B$5:$B$300,$B253)=0,"",SUMIFS('ИТОГО Торговля'!$C$5:$C$300,'ИТОГО Торговля'!$B$5:$B$300,$B253)+SUMIFS('ИТОГО Лэндинг'!$C$5:$C$300,'ИТОГО Лэндинг'!$B$5:$B$300,$B253)))</f>
        <v/>
      </c>
      <c r="D253" s="177">
        <f>IF(C253="","",E253/C253)</f>
        <v/>
      </c>
      <c r="E253" s="241">
        <f>IF(C253="","",SUMIFS('ИТОГО Торговля'!$E$5:$E$300,'ИТОГО Торговля'!$B$5:$B$300,$B253)+SUMIFS('ИТОГО Лэндинг'!$E$5:$E$300,'ИТОГО Лэндинг'!$B$5:$B$300,$B253))</f>
        <v/>
      </c>
      <c r="F253" s="240">
        <f>IF($B253="","",IF(SUMIFS('ИТОГО Торговля'!$F$5:$F$300,'ИТОГО Торговля'!$B$5:$B$300,$B253)+SUMIFS('ИТОГО Лэндинг'!$F$5:$F$300,'ИТОГО Лэндинг'!$B$5:$B$300,$B253)=0,"",SUMIFS('ИТОГО Торговля'!$F$5:$F$300,'ИТОГО Торговля'!$B$5:$B$300,$B253)+SUMIFS('ИТОГО Лэндинг'!$F$5:$F$300,'ИТОГО Лэндинг'!$B$5:$B$300,$B253)))</f>
        <v/>
      </c>
      <c r="G253" s="177">
        <f>IF(F253="","",H253/F253)</f>
        <v/>
      </c>
      <c r="H253" s="241">
        <f>IF(F253="","",SUMIFS('ИТОГО Торговля'!$H$5:$H$300,'ИТОГО Торговля'!$B$5:$B$300,$B253)+SUMIFS('ИТОГО Лэндинг'!$H$5:$H$300,'ИТОГО Лэндинг'!$B$5:$B$300,$B253))</f>
        <v/>
      </c>
      <c r="I253" s="240">
        <f>IF($B253="","",IF(AND(C253="",F253=""),"",ROUND(SUMIFS('ИТОГО Торговля'!$I$5:$I$300,'ИТОГО Торговля'!$B$5:$B$300,$B253)+SUMIFS('ИТОГО Лэндинг'!$I$5:$I$300,'ИТОГО Лэндинг'!$B$5:$B$300,$B253),8)))</f>
        <v/>
      </c>
      <c r="J253" s="241">
        <f>IF($B253="","",IF(AND(C253="",F253=""),"",ROUND(SUMIFS('ИТОГО Торговля'!$J$5:$J$300,'ИТОГО Торговля'!$B$5:$B$300,$B253)+SUMIFS('ИТОГО Лэндинг'!$J$5:$J$300,'ИТОГО Лэндинг'!$B$5:$B$300,$B253),8)))</f>
        <v/>
      </c>
      <c r="K253" s="240">
        <f>IF($B253="","",ROUND(SUMIFS('ИТОГО Торговля'!$K$5:$K$300,'ИТОГО Торговля'!$B$5:$B$300,$B253)+SUMIFS('ИТОГО Лэндинг'!$K$5:$K$300,'ИТОГО Лэндинг'!$B$5:$B$300,$B253),8))</f>
        <v/>
      </c>
      <c r="L253" s="177">
        <f>IF(K253="","",IF(SUMPRODUCT((Закрытые!$E$5:$E$300=$B253)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253/SUMPRODUCT((Закрытые!$E$5:$E$300=$B253)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3" s="177">
        <f>IF(OR(ROUND(N(C253)-N(F253),8)=0,1-N(Ввод!$E$17)/100&lt;=0),"",IF(N(C253)&gt;N(F253),(N(E253)-N(H253))/((N(C253)-N(F253))*(1-N(Ввод!$E$17)/100)),(N(H253)-N(E253))/((N(F253)-N(C253))*(1+N(Ввод!$E$17)/100))))</f>
        <v/>
      </c>
    </row>
    <row r="254" ht="22" customHeight="1">
      <c r="B254" s="320" t="n"/>
      <c r="C254" s="246">
        <f>IF($B254="","",IF(SUMIFS('ИТОГО Торговля'!$C$5:$C$300,'ИТОГО Торговля'!$B$5:$B$300,$B254)+SUMIFS('ИТОГО Лэндинг'!$C$5:$C$300,'ИТОГО Лэндинг'!$B$5:$B$300,$B254)=0,"",SUMIFS('ИТОГО Торговля'!$C$5:$C$300,'ИТОГО Торговля'!$B$5:$B$300,$B254)+SUMIFS('ИТОГО Лэндинг'!$C$5:$C$300,'ИТОГО Лэндинг'!$B$5:$B$300,$B254)))</f>
        <v/>
      </c>
      <c r="D254" s="183">
        <f>IF(C254="","",E254/C254)</f>
        <v/>
      </c>
      <c r="E254" s="247">
        <f>IF(C254="","",SUMIFS('ИТОГО Торговля'!$E$5:$E$300,'ИТОГО Торговля'!$B$5:$B$300,$B254)+SUMIFS('ИТОГО Лэндинг'!$E$5:$E$300,'ИТОГО Лэндинг'!$B$5:$B$300,$B254))</f>
        <v/>
      </c>
      <c r="F254" s="246">
        <f>IF($B254="","",IF(SUMIFS('ИТОГО Торговля'!$F$5:$F$300,'ИТОГО Торговля'!$B$5:$B$300,$B254)+SUMIFS('ИТОГО Лэндинг'!$F$5:$F$300,'ИТОГО Лэндинг'!$B$5:$B$300,$B254)=0,"",SUMIFS('ИТОГО Торговля'!$F$5:$F$300,'ИТОГО Торговля'!$B$5:$B$300,$B254)+SUMIFS('ИТОГО Лэндинг'!$F$5:$F$300,'ИТОГО Лэндинг'!$B$5:$B$300,$B254)))</f>
        <v/>
      </c>
      <c r="G254" s="183">
        <f>IF(F254="","",H254/F254)</f>
        <v/>
      </c>
      <c r="H254" s="247">
        <f>IF(F254="","",SUMIFS('ИТОГО Торговля'!$H$5:$H$300,'ИТОГО Торговля'!$B$5:$B$300,$B254)+SUMIFS('ИТОГО Лэндинг'!$H$5:$H$300,'ИТОГО Лэндинг'!$B$5:$B$300,$B254))</f>
        <v/>
      </c>
      <c r="I254" s="246">
        <f>IF($B254="","",IF(AND(C254="",F254=""),"",ROUND(SUMIFS('ИТОГО Торговля'!$I$5:$I$300,'ИТОГО Торговля'!$B$5:$B$300,$B254)+SUMIFS('ИТОГО Лэндинг'!$I$5:$I$300,'ИТОГО Лэндинг'!$B$5:$B$300,$B254),8)))</f>
        <v/>
      </c>
      <c r="J254" s="247">
        <f>IF($B254="","",IF(AND(C254="",F254=""),"",ROUND(SUMIFS('ИТОГО Торговля'!$J$5:$J$300,'ИТОГО Торговля'!$B$5:$B$300,$B254)+SUMIFS('ИТОГО Лэндинг'!$J$5:$J$300,'ИТОГО Лэндинг'!$B$5:$B$300,$B254),8)))</f>
        <v/>
      </c>
      <c r="K254" s="246">
        <f>IF($B254="","",ROUND(SUMIFS('ИТОГО Торговля'!$K$5:$K$300,'ИТОГО Торговля'!$B$5:$B$300,$B254)+SUMIFS('ИТОГО Лэндинг'!$K$5:$K$300,'ИТОГО Лэндинг'!$B$5:$B$300,$B254),8))</f>
        <v/>
      </c>
      <c r="L254" s="183">
        <f>IF(K254="","",IF(SUMPRODUCT((Закрытые!$E$5:$E$300=$B254)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254/SUMPRODUCT((Закрытые!$E$5:$E$300=$B254)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4" s="183">
        <f>IF(OR(ROUND(N(C254)-N(F254),8)=0,1-N(Ввод!$E$17)/100&lt;=0),"",IF(N(C254)&gt;N(F254),(N(E254)-N(H254))/((N(C254)-N(F254))*(1-N(Ввод!$E$17)/100)),(N(H254)-N(E254))/((N(F254)-N(C254))*(1+N(Ввод!$E$17)/100))))</f>
        <v/>
      </c>
    </row>
    <row r="255" ht="22" customHeight="1">
      <c r="B255" s="315" t="n"/>
      <c r="C255" s="240">
        <f>IF($B255="","",IF(SUMIFS('ИТОГО Торговля'!$C$5:$C$300,'ИТОГО Торговля'!$B$5:$B$300,$B255)+SUMIFS('ИТОГО Лэндинг'!$C$5:$C$300,'ИТОГО Лэндинг'!$B$5:$B$300,$B255)=0,"",SUMIFS('ИТОГО Торговля'!$C$5:$C$300,'ИТОГО Торговля'!$B$5:$B$300,$B255)+SUMIFS('ИТОГО Лэндинг'!$C$5:$C$300,'ИТОГО Лэндинг'!$B$5:$B$300,$B255)))</f>
        <v/>
      </c>
      <c r="D255" s="177">
        <f>IF(C255="","",E255/C255)</f>
        <v/>
      </c>
      <c r="E255" s="241">
        <f>IF(C255="","",SUMIFS('ИТОГО Торговля'!$E$5:$E$300,'ИТОГО Торговля'!$B$5:$B$300,$B255)+SUMIFS('ИТОГО Лэндинг'!$E$5:$E$300,'ИТОГО Лэндинг'!$B$5:$B$300,$B255))</f>
        <v/>
      </c>
      <c r="F255" s="240">
        <f>IF($B255="","",IF(SUMIFS('ИТОГО Торговля'!$F$5:$F$300,'ИТОГО Торговля'!$B$5:$B$300,$B255)+SUMIFS('ИТОГО Лэндинг'!$F$5:$F$300,'ИТОГО Лэндинг'!$B$5:$B$300,$B255)=0,"",SUMIFS('ИТОГО Торговля'!$F$5:$F$300,'ИТОГО Торговля'!$B$5:$B$300,$B255)+SUMIFS('ИТОГО Лэндинг'!$F$5:$F$300,'ИТОГО Лэндинг'!$B$5:$B$300,$B255)))</f>
        <v/>
      </c>
      <c r="G255" s="177">
        <f>IF(F255="","",H255/F255)</f>
        <v/>
      </c>
      <c r="H255" s="241">
        <f>IF(F255="","",SUMIFS('ИТОГО Торговля'!$H$5:$H$300,'ИТОГО Торговля'!$B$5:$B$300,$B255)+SUMIFS('ИТОГО Лэндинг'!$H$5:$H$300,'ИТОГО Лэндинг'!$B$5:$B$300,$B255))</f>
        <v/>
      </c>
      <c r="I255" s="240">
        <f>IF($B255="","",IF(AND(C255="",F255=""),"",ROUND(SUMIFS('ИТОГО Торговля'!$I$5:$I$300,'ИТОГО Торговля'!$B$5:$B$300,$B255)+SUMIFS('ИТОГО Лэндинг'!$I$5:$I$300,'ИТОГО Лэндинг'!$B$5:$B$300,$B255),8)))</f>
        <v/>
      </c>
      <c r="J255" s="241">
        <f>IF($B255="","",IF(AND(C255="",F255=""),"",ROUND(SUMIFS('ИТОГО Торговля'!$J$5:$J$300,'ИТОГО Торговля'!$B$5:$B$300,$B255)+SUMIFS('ИТОГО Лэндинг'!$J$5:$J$300,'ИТОГО Лэндинг'!$B$5:$B$300,$B255),8)))</f>
        <v/>
      </c>
      <c r="K255" s="240">
        <f>IF($B255="","",ROUND(SUMIFS('ИТОГО Торговля'!$K$5:$K$300,'ИТОГО Торговля'!$B$5:$B$300,$B255)+SUMIFS('ИТОГО Лэндинг'!$K$5:$K$300,'ИТОГО Лэндинг'!$B$5:$B$300,$B255),8))</f>
        <v/>
      </c>
      <c r="L255" s="177">
        <f>IF(K255="","",IF(SUMPRODUCT((Закрытые!$E$5:$E$300=$B255)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255/SUMPRODUCT((Закрытые!$E$5:$E$300=$B255)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5" s="177">
        <f>IF(OR(ROUND(N(C255)-N(F255),8)=0,1-N(Ввод!$E$17)/100&lt;=0),"",IF(N(C255)&gt;N(F255),(N(E255)-N(H255))/((N(C255)-N(F255))*(1-N(Ввод!$E$17)/100)),(N(H255)-N(E255))/((N(F255)-N(C255))*(1+N(Ввод!$E$17)/100))))</f>
        <v/>
      </c>
    </row>
    <row r="256" ht="22" customHeight="1">
      <c r="B256" s="320" t="n"/>
      <c r="C256" s="246">
        <f>IF($B256="","",IF(SUMIFS('ИТОГО Торговля'!$C$5:$C$300,'ИТОГО Торговля'!$B$5:$B$300,$B256)+SUMIFS('ИТОГО Лэндинг'!$C$5:$C$300,'ИТОГО Лэндинг'!$B$5:$B$300,$B256)=0,"",SUMIFS('ИТОГО Торговля'!$C$5:$C$300,'ИТОГО Торговля'!$B$5:$B$300,$B256)+SUMIFS('ИТОГО Лэндинг'!$C$5:$C$300,'ИТОГО Лэндинг'!$B$5:$B$300,$B256)))</f>
        <v/>
      </c>
      <c r="D256" s="183">
        <f>IF(C256="","",E256/C256)</f>
        <v/>
      </c>
      <c r="E256" s="247">
        <f>IF(C256="","",SUMIFS('ИТОГО Торговля'!$E$5:$E$300,'ИТОГО Торговля'!$B$5:$B$300,$B256)+SUMIFS('ИТОГО Лэндинг'!$E$5:$E$300,'ИТОГО Лэндинг'!$B$5:$B$300,$B256))</f>
        <v/>
      </c>
      <c r="F256" s="246">
        <f>IF($B256="","",IF(SUMIFS('ИТОГО Торговля'!$F$5:$F$300,'ИТОГО Торговля'!$B$5:$B$300,$B256)+SUMIFS('ИТОГО Лэндинг'!$F$5:$F$300,'ИТОГО Лэндинг'!$B$5:$B$300,$B256)=0,"",SUMIFS('ИТОГО Торговля'!$F$5:$F$300,'ИТОГО Торговля'!$B$5:$B$300,$B256)+SUMIFS('ИТОГО Лэндинг'!$F$5:$F$300,'ИТОГО Лэндинг'!$B$5:$B$300,$B256)))</f>
        <v/>
      </c>
      <c r="G256" s="183">
        <f>IF(F256="","",H256/F256)</f>
        <v/>
      </c>
      <c r="H256" s="247">
        <f>IF(F256="","",SUMIFS('ИТОГО Торговля'!$H$5:$H$300,'ИТОГО Торговля'!$B$5:$B$300,$B256)+SUMIFS('ИТОГО Лэндинг'!$H$5:$H$300,'ИТОГО Лэндинг'!$B$5:$B$300,$B256))</f>
        <v/>
      </c>
      <c r="I256" s="246">
        <f>IF($B256="","",IF(AND(C256="",F256=""),"",ROUND(SUMIFS('ИТОГО Торговля'!$I$5:$I$300,'ИТОГО Торговля'!$B$5:$B$300,$B256)+SUMIFS('ИТОГО Лэндинг'!$I$5:$I$300,'ИТОГО Лэндинг'!$B$5:$B$300,$B256),8)))</f>
        <v/>
      </c>
      <c r="J256" s="247">
        <f>IF($B256="","",IF(AND(C256="",F256=""),"",ROUND(SUMIFS('ИТОГО Торговля'!$J$5:$J$300,'ИТОГО Торговля'!$B$5:$B$300,$B256)+SUMIFS('ИТОГО Лэндинг'!$J$5:$J$300,'ИТОГО Лэндинг'!$B$5:$B$300,$B256),8)))</f>
        <v/>
      </c>
      <c r="K256" s="246">
        <f>IF($B256="","",ROUND(SUMIFS('ИТОГО Торговля'!$K$5:$K$300,'ИТОГО Торговля'!$B$5:$B$300,$B256)+SUMIFS('ИТОГО Лэндинг'!$K$5:$K$300,'ИТОГО Лэндинг'!$B$5:$B$300,$B256),8))</f>
        <v/>
      </c>
      <c r="L256" s="183">
        <f>IF(K256="","",IF(SUMPRODUCT((Закрытые!$E$5:$E$300=$B256)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256/SUMPRODUCT((Закрытые!$E$5:$E$300=$B256)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6" s="183">
        <f>IF(OR(ROUND(N(C256)-N(F256),8)=0,1-N(Ввод!$E$17)/100&lt;=0),"",IF(N(C256)&gt;N(F256),(N(E256)-N(H256))/((N(C256)-N(F256))*(1-N(Ввод!$E$17)/100)),(N(H256)-N(E256))/((N(F256)-N(C256))*(1+N(Ввод!$E$17)/100))))</f>
        <v/>
      </c>
    </row>
    <row r="257" ht="22" customHeight="1">
      <c r="B257" s="315" t="n"/>
      <c r="C257" s="240">
        <f>IF($B257="","",IF(SUMIFS('ИТОГО Торговля'!$C$5:$C$300,'ИТОГО Торговля'!$B$5:$B$300,$B257)+SUMIFS('ИТОГО Лэндинг'!$C$5:$C$300,'ИТОГО Лэндинг'!$B$5:$B$300,$B257)=0,"",SUMIFS('ИТОГО Торговля'!$C$5:$C$300,'ИТОГО Торговля'!$B$5:$B$300,$B257)+SUMIFS('ИТОГО Лэндинг'!$C$5:$C$300,'ИТОГО Лэндинг'!$B$5:$B$300,$B257)))</f>
        <v/>
      </c>
      <c r="D257" s="177">
        <f>IF(C257="","",E257/C257)</f>
        <v/>
      </c>
      <c r="E257" s="241">
        <f>IF(C257="","",SUMIFS('ИТОГО Торговля'!$E$5:$E$300,'ИТОГО Торговля'!$B$5:$B$300,$B257)+SUMIFS('ИТОГО Лэндинг'!$E$5:$E$300,'ИТОГО Лэндинг'!$B$5:$B$300,$B257))</f>
        <v/>
      </c>
      <c r="F257" s="240">
        <f>IF($B257="","",IF(SUMIFS('ИТОГО Торговля'!$F$5:$F$300,'ИТОГО Торговля'!$B$5:$B$300,$B257)+SUMIFS('ИТОГО Лэндинг'!$F$5:$F$300,'ИТОГО Лэндинг'!$B$5:$B$300,$B257)=0,"",SUMIFS('ИТОГО Торговля'!$F$5:$F$300,'ИТОГО Торговля'!$B$5:$B$300,$B257)+SUMIFS('ИТОГО Лэндинг'!$F$5:$F$300,'ИТОГО Лэндинг'!$B$5:$B$300,$B257)))</f>
        <v/>
      </c>
      <c r="G257" s="177">
        <f>IF(F257="","",H257/F257)</f>
        <v/>
      </c>
      <c r="H257" s="241">
        <f>IF(F257="","",SUMIFS('ИТОГО Торговля'!$H$5:$H$300,'ИТОГО Торговля'!$B$5:$B$300,$B257)+SUMIFS('ИТОГО Лэндинг'!$H$5:$H$300,'ИТОГО Лэндинг'!$B$5:$B$300,$B257))</f>
        <v/>
      </c>
      <c r="I257" s="240">
        <f>IF($B257="","",IF(AND(C257="",F257=""),"",ROUND(SUMIFS('ИТОГО Торговля'!$I$5:$I$300,'ИТОГО Торговля'!$B$5:$B$300,$B257)+SUMIFS('ИТОГО Лэндинг'!$I$5:$I$300,'ИТОГО Лэндинг'!$B$5:$B$300,$B257),8)))</f>
        <v/>
      </c>
      <c r="J257" s="241">
        <f>IF($B257="","",IF(AND(C257="",F257=""),"",ROUND(SUMIFS('ИТОГО Торговля'!$J$5:$J$300,'ИТОГО Торговля'!$B$5:$B$300,$B257)+SUMIFS('ИТОГО Лэндинг'!$J$5:$J$300,'ИТОГО Лэндинг'!$B$5:$B$300,$B257),8)))</f>
        <v/>
      </c>
      <c r="K257" s="240">
        <f>IF($B257="","",ROUND(SUMIFS('ИТОГО Торговля'!$K$5:$K$300,'ИТОГО Торговля'!$B$5:$B$300,$B257)+SUMIFS('ИТОГО Лэндинг'!$K$5:$K$300,'ИТОГО Лэндинг'!$B$5:$B$300,$B257),8))</f>
        <v/>
      </c>
      <c r="L257" s="177">
        <f>IF(K257="","",IF(SUMPRODUCT((Закрытые!$E$5:$E$300=$B257)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257/SUMPRODUCT((Закрытые!$E$5:$E$300=$B257)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7" s="177">
        <f>IF(OR(ROUND(N(C257)-N(F257),8)=0,1-N(Ввод!$E$17)/100&lt;=0),"",IF(N(C257)&gt;N(F257),(N(E257)-N(H257))/((N(C257)-N(F257))*(1-N(Ввод!$E$17)/100)),(N(H257)-N(E257))/((N(F257)-N(C257))*(1+N(Ввод!$E$17)/100))))</f>
        <v/>
      </c>
    </row>
    <row r="258" ht="22" customHeight="1">
      <c r="B258" s="320" t="n"/>
      <c r="C258" s="246">
        <f>IF($B258="","",IF(SUMIFS('ИТОГО Торговля'!$C$5:$C$300,'ИТОГО Торговля'!$B$5:$B$300,$B258)+SUMIFS('ИТОГО Лэндинг'!$C$5:$C$300,'ИТОГО Лэндинг'!$B$5:$B$300,$B258)=0,"",SUMIFS('ИТОГО Торговля'!$C$5:$C$300,'ИТОГО Торговля'!$B$5:$B$300,$B258)+SUMIFS('ИТОГО Лэндинг'!$C$5:$C$300,'ИТОГО Лэндинг'!$B$5:$B$300,$B258)))</f>
        <v/>
      </c>
      <c r="D258" s="183">
        <f>IF(C258="","",E258/C258)</f>
        <v/>
      </c>
      <c r="E258" s="247">
        <f>IF(C258="","",SUMIFS('ИТОГО Торговля'!$E$5:$E$300,'ИТОГО Торговля'!$B$5:$B$300,$B258)+SUMIFS('ИТОГО Лэндинг'!$E$5:$E$300,'ИТОГО Лэндинг'!$B$5:$B$300,$B258))</f>
        <v/>
      </c>
      <c r="F258" s="246">
        <f>IF($B258="","",IF(SUMIFS('ИТОГО Торговля'!$F$5:$F$300,'ИТОГО Торговля'!$B$5:$B$300,$B258)+SUMIFS('ИТОГО Лэндинг'!$F$5:$F$300,'ИТОГО Лэндинг'!$B$5:$B$300,$B258)=0,"",SUMIFS('ИТОГО Торговля'!$F$5:$F$300,'ИТОГО Торговля'!$B$5:$B$300,$B258)+SUMIFS('ИТОГО Лэндинг'!$F$5:$F$300,'ИТОГО Лэндинг'!$B$5:$B$300,$B258)))</f>
        <v/>
      </c>
      <c r="G258" s="183">
        <f>IF(F258="","",H258/F258)</f>
        <v/>
      </c>
      <c r="H258" s="247">
        <f>IF(F258="","",SUMIFS('ИТОГО Торговля'!$H$5:$H$300,'ИТОГО Торговля'!$B$5:$B$300,$B258)+SUMIFS('ИТОГО Лэндинг'!$H$5:$H$300,'ИТОГО Лэндинг'!$B$5:$B$300,$B258))</f>
        <v/>
      </c>
      <c r="I258" s="246">
        <f>IF($B258="","",IF(AND(C258="",F258=""),"",ROUND(SUMIFS('ИТОГО Торговля'!$I$5:$I$300,'ИТОГО Торговля'!$B$5:$B$300,$B258)+SUMIFS('ИТОГО Лэндинг'!$I$5:$I$300,'ИТОГО Лэндинг'!$B$5:$B$300,$B258),8)))</f>
        <v/>
      </c>
      <c r="J258" s="247">
        <f>IF($B258="","",IF(AND(C258="",F258=""),"",ROUND(SUMIFS('ИТОГО Торговля'!$J$5:$J$300,'ИТОГО Торговля'!$B$5:$B$300,$B258)+SUMIFS('ИТОГО Лэндинг'!$J$5:$J$300,'ИТОГО Лэндинг'!$B$5:$B$300,$B258),8)))</f>
        <v/>
      </c>
      <c r="K258" s="246">
        <f>IF($B258="","",ROUND(SUMIFS('ИТОГО Торговля'!$K$5:$K$300,'ИТОГО Торговля'!$B$5:$B$300,$B258)+SUMIFS('ИТОГО Лэндинг'!$K$5:$K$300,'ИТОГО Лэндинг'!$B$5:$B$300,$B258),8))</f>
        <v/>
      </c>
      <c r="L258" s="183">
        <f>IF(K258="","",IF(SUMPRODUCT((Закрытые!$E$5:$E$300=$B258)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258/SUMPRODUCT((Закрытые!$E$5:$E$300=$B258)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8" s="183">
        <f>IF(OR(ROUND(N(C258)-N(F258),8)=0,1-N(Ввод!$E$17)/100&lt;=0),"",IF(N(C258)&gt;N(F258),(N(E258)-N(H258))/((N(C258)-N(F258))*(1-N(Ввод!$E$17)/100)),(N(H258)-N(E258))/((N(F258)-N(C258))*(1+N(Ввод!$E$17)/100))))</f>
        <v/>
      </c>
    </row>
    <row r="259" ht="22" customHeight="1">
      <c r="B259" s="315" t="n"/>
      <c r="C259" s="240">
        <f>IF($B259="","",IF(SUMIFS('ИТОГО Торговля'!$C$5:$C$300,'ИТОГО Торговля'!$B$5:$B$300,$B259)+SUMIFS('ИТОГО Лэндинг'!$C$5:$C$300,'ИТОГО Лэндинг'!$B$5:$B$300,$B259)=0,"",SUMIFS('ИТОГО Торговля'!$C$5:$C$300,'ИТОГО Торговля'!$B$5:$B$300,$B259)+SUMIFS('ИТОГО Лэндинг'!$C$5:$C$300,'ИТОГО Лэндинг'!$B$5:$B$300,$B259)))</f>
        <v/>
      </c>
      <c r="D259" s="177">
        <f>IF(C259="","",E259/C259)</f>
        <v/>
      </c>
      <c r="E259" s="241">
        <f>IF(C259="","",SUMIFS('ИТОГО Торговля'!$E$5:$E$300,'ИТОГО Торговля'!$B$5:$B$300,$B259)+SUMIFS('ИТОГО Лэндинг'!$E$5:$E$300,'ИТОГО Лэндинг'!$B$5:$B$300,$B259))</f>
        <v/>
      </c>
      <c r="F259" s="240">
        <f>IF($B259="","",IF(SUMIFS('ИТОГО Торговля'!$F$5:$F$300,'ИТОГО Торговля'!$B$5:$B$300,$B259)+SUMIFS('ИТОГО Лэндинг'!$F$5:$F$300,'ИТОГО Лэндинг'!$B$5:$B$300,$B259)=0,"",SUMIFS('ИТОГО Торговля'!$F$5:$F$300,'ИТОГО Торговля'!$B$5:$B$300,$B259)+SUMIFS('ИТОГО Лэндинг'!$F$5:$F$300,'ИТОГО Лэндинг'!$B$5:$B$300,$B259)))</f>
        <v/>
      </c>
      <c r="G259" s="177">
        <f>IF(F259="","",H259/F259)</f>
        <v/>
      </c>
      <c r="H259" s="241">
        <f>IF(F259="","",SUMIFS('ИТОГО Торговля'!$H$5:$H$300,'ИТОГО Торговля'!$B$5:$B$300,$B259)+SUMIFS('ИТОГО Лэндинг'!$H$5:$H$300,'ИТОГО Лэндинг'!$B$5:$B$300,$B259))</f>
        <v/>
      </c>
      <c r="I259" s="240">
        <f>IF($B259="","",IF(AND(C259="",F259=""),"",ROUND(SUMIFS('ИТОГО Торговля'!$I$5:$I$300,'ИТОГО Торговля'!$B$5:$B$300,$B259)+SUMIFS('ИТОГО Лэндинг'!$I$5:$I$300,'ИТОГО Лэндинг'!$B$5:$B$300,$B259),8)))</f>
        <v/>
      </c>
      <c r="J259" s="241">
        <f>IF($B259="","",IF(AND(C259="",F259=""),"",ROUND(SUMIFS('ИТОГО Торговля'!$J$5:$J$300,'ИТОГО Торговля'!$B$5:$B$300,$B259)+SUMIFS('ИТОГО Лэндинг'!$J$5:$J$300,'ИТОГО Лэндинг'!$B$5:$B$300,$B259),8)))</f>
        <v/>
      </c>
      <c r="K259" s="240">
        <f>IF($B259="","",ROUND(SUMIFS('ИТОГО Торговля'!$K$5:$K$300,'ИТОГО Торговля'!$B$5:$B$300,$B259)+SUMIFS('ИТОГО Лэндинг'!$K$5:$K$300,'ИТОГО Лэндинг'!$B$5:$B$300,$B259),8))</f>
        <v/>
      </c>
      <c r="L259" s="177">
        <f>IF(K259="","",IF(SUMPRODUCT((Закрытые!$E$5:$E$300=$B259)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259/SUMPRODUCT((Закрытые!$E$5:$E$300=$B259)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9" s="177">
        <f>IF(OR(ROUND(N(C259)-N(F259),8)=0,1-N(Ввод!$E$17)/100&lt;=0),"",IF(N(C259)&gt;N(F259),(N(E259)-N(H259))/((N(C259)-N(F259))*(1-N(Ввод!$E$17)/100)),(N(H259)-N(E259))/((N(F259)-N(C259))*(1+N(Ввод!$E$17)/100))))</f>
        <v/>
      </c>
    </row>
    <row r="260" ht="22" customHeight="1">
      <c r="B260" s="320" t="n"/>
      <c r="C260" s="246">
        <f>IF($B260="","",IF(SUMIFS('ИТОГО Торговля'!$C$5:$C$300,'ИТОГО Торговля'!$B$5:$B$300,$B260)+SUMIFS('ИТОГО Лэндинг'!$C$5:$C$300,'ИТОГО Лэндинг'!$B$5:$B$300,$B260)=0,"",SUMIFS('ИТОГО Торговля'!$C$5:$C$300,'ИТОГО Торговля'!$B$5:$B$300,$B260)+SUMIFS('ИТОГО Лэндинг'!$C$5:$C$300,'ИТОГО Лэндинг'!$B$5:$B$300,$B260)))</f>
        <v/>
      </c>
      <c r="D260" s="183">
        <f>IF(C260="","",E260/C260)</f>
        <v/>
      </c>
      <c r="E260" s="247">
        <f>IF(C260="","",SUMIFS('ИТОГО Торговля'!$E$5:$E$300,'ИТОГО Торговля'!$B$5:$B$300,$B260)+SUMIFS('ИТОГО Лэндинг'!$E$5:$E$300,'ИТОГО Лэндинг'!$B$5:$B$300,$B260))</f>
        <v/>
      </c>
      <c r="F260" s="246">
        <f>IF($B260="","",IF(SUMIFS('ИТОГО Торговля'!$F$5:$F$300,'ИТОГО Торговля'!$B$5:$B$300,$B260)+SUMIFS('ИТОГО Лэндинг'!$F$5:$F$300,'ИТОГО Лэндинг'!$B$5:$B$300,$B260)=0,"",SUMIFS('ИТОГО Торговля'!$F$5:$F$300,'ИТОГО Торговля'!$B$5:$B$300,$B260)+SUMIFS('ИТОГО Лэндинг'!$F$5:$F$300,'ИТОГО Лэндинг'!$B$5:$B$300,$B260)))</f>
        <v/>
      </c>
      <c r="G260" s="183">
        <f>IF(F260="","",H260/F260)</f>
        <v/>
      </c>
      <c r="H260" s="247">
        <f>IF(F260="","",SUMIFS('ИТОГО Торговля'!$H$5:$H$300,'ИТОГО Торговля'!$B$5:$B$300,$B260)+SUMIFS('ИТОГО Лэндинг'!$H$5:$H$300,'ИТОГО Лэндинг'!$B$5:$B$300,$B260))</f>
        <v/>
      </c>
      <c r="I260" s="246">
        <f>IF($B260="","",IF(AND(C260="",F260=""),"",ROUND(SUMIFS('ИТОГО Торговля'!$I$5:$I$300,'ИТОГО Торговля'!$B$5:$B$300,$B260)+SUMIFS('ИТОГО Лэндинг'!$I$5:$I$300,'ИТОГО Лэндинг'!$B$5:$B$300,$B260),8)))</f>
        <v/>
      </c>
      <c r="J260" s="247">
        <f>IF($B260="","",IF(AND(C260="",F260=""),"",ROUND(SUMIFS('ИТОГО Торговля'!$J$5:$J$300,'ИТОГО Торговля'!$B$5:$B$300,$B260)+SUMIFS('ИТОГО Лэндинг'!$J$5:$J$300,'ИТОГО Лэндинг'!$B$5:$B$300,$B260),8)))</f>
        <v/>
      </c>
      <c r="K260" s="246">
        <f>IF($B260="","",ROUND(SUMIFS('ИТОГО Торговля'!$K$5:$K$300,'ИТОГО Торговля'!$B$5:$B$300,$B260)+SUMIFS('ИТОГО Лэндинг'!$K$5:$K$300,'ИТОГО Лэндинг'!$B$5:$B$300,$B260),8))</f>
        <v/>
      </c>
      <c r="L260" s="183">
        <f>IF(K260="","",IF(SUMPRODUCT((Закрытые!$E$5:$E$300=$B260)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260/SUMPRODUCT((Закрытые!$E$5:$E$300=$B260)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0" s="183">
        <f>IF(OR(ROUND(N(C260)-N(F260),8)=0,1-N(Ввод!$E$17)/100&lt;=0),"",IF(N(C260)&gt;N(F260),(N(E260)-N(H260))/((N(C260)-N(F260))*(1-N(Ввод!$E$17)/100)),(N(H260)-N(E260))/((N(F260)-N(C260))*(1+N(Ввод!$E$17)/100))))</f>
        <v/>
      </c>
    </row>
    <row r="261" ht="22" customHeight="1">
      <c r="B261" s="315" t="n"/>
      <c r="C261" s="240">
        <f>IF($B261="","",IF(SUMIFS('ИТОГО Торговля'!$C$5:$C$300,'ИТОГО Торговля'!$B$5:$B$300,$B261)+SUMIFS('ИТОГО Лэндинг'!$C$5:$C$300,'ИТОГО Лэндинг'!$B$5:$B$300,$B261)=0,"",SUMIFS('ИТОГО Торговля'!$C$5:$C$300,'ИТОГО Торговля'!$B$5:$B$300,$B261)+SUMIFS('ИТОГО Лэндинг'!$C$5:$C$300,'ИТОГО Лэндинг'!$B$5:$B$300,$B261)))</f>
        <v/>
      </c>
      <c r="D261" s="177">
        <f>IF(C261="","",E261/C261)</f>
        <v/>
      </c>
      <c r="E261" s="241">
        <f>IF(C261="","",SUMIFS('ИТОГО Торговля'!$E$5:$E$300,'ИТОГО Торговля'!$B$5:$B$300,$B261)+SUMIFS('ИТОГО Лэндинг'!$E$5:$E$300,'ИТОГО Лэндинг'!$B$5:$B$300,$B261))</f>
        <v/>
      </c>
      <c r="F261" s="240">
        <f>IF($B261="","",IF(SUMIFS('ИТОГО Торговля'!$F$5:$F$300,'ИТОГО Торговля'!$B$5:$B$300,$B261)+SUMIFS('ИТОГО Лэндинг'!$F$5:$F$300,'ИТОГО Лэндинг'!$B$5:$B$300,$B261)=0,"",SUMIFS('ИТОГО Торговля'!$F$5:$F$300,'ИТОГО Торговля'!$B$5:$B$300,$B261)+SUMIFS('ИТОГО Лэндинг'!$F$5:$F$300,'ИТОГО Лэндинг'!$B$5:$B$300,$B261)))</f>
        <v/>
      </c>
      <c r="G261" s="177">
        <f>IF(F261="","",H261/F261)</f>
        <v/>
      </c>
      <c r="H261" s="241">
        <f>IF(F261="","",SUMIFS('ИТОГО Торговля'!$H$5:$H$300,'ИТОГО Торговля'!$B$5:$B$300,$B261)+SUMIFS('ИТОГО Лэндинг'!$H$5:$H$300,'ИТОГО Лэндинг'!$B$5:$B$300,$B261))</f>
        <v/>
      </c>
      <c r="I261" s="240">
        <f>IF($B261="","",IF(AND(C261="",F261=""),"",ROUND(SUMIFS('ИТОГО Торговля'!$I$5:$I$300,'ИТОГО Торговля'!$B$5:$B$300,$B261)+SUMIFS('ИТОГО Лэндинг'!$I$5:$I$300,'ИТОГО Лэндинг'!$B$5:$B$300,$B261),8)))</f>
        <v/>
      </c>
      <c r="J261" s="241">
        <f>IF($B261="","",IF(AND(C261="",F261=""),"",ROUND(SUMIFS('ИТОГО Торговля'!$J$5:$J$300,'ИТОГО Торговля'!$B$5:$B$300,$B261)+SUMIFS('ИТОГО Лэндинг'!$J$5:$J$300,'ИТОГО Лэндинг'!$B$5:$B$300,$B261),8)))</f>
        <v/>
      </c>
      <c r="K261" s="240">
        <f>IF($B261="","",ROUND(SUMIFS('ИТОГО Торговля'!$K$5:$K$300,'ИТОГО Торговля'!$B$5:$B$300,$B261)+SUMIFS('ИТОГО Лэндинг'!$K$5:$K$300,'ИТОГО Лэндинг'!$B$5:$B$300,$B261),8))</f>
        <v/>
      </c>
      <c r="L261" s="177">
        <f>IF(K261="","",IF(SUMPRODUCT((Закрытые!$E$5:$E$300=$B261)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261/SUMPRODUCT((Закрытые!$E$5:$E$300=$B261)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1" s="177">
        <f>IF(OR(ROUND(N(C261)-N(F261),8)=0,1-N(Ввод!$E$17)/100&lt;=0),"",IF(N(C261)&gt;N(F261),(N(E261)-N(H261))/((N(C261)-N(F261))*(1-N(Ввод!$E$17)/100)),(N(H261)-N(E261))/((N(F261)-N(C261))*(1+N(Ввод!$E$17)/100))))</f>
        <v/>
      </c>
    </row>
    <row r="262" ht="22" customHeight="1">
      <c r="B262" s="320" t="n"/>
      <c r="C262" s="246">
        <f>IF($B262="","",IF(SUMIFS('ИТОГО Торговля'!$C$5:$C$300,'ИТОГО Торговля'!$B$5:$B$300,$B262)+SUMIFS('ИТОГО Лэндинг'!$C$5:$C$300,'ИТОГО Лэндинг'!$B$5:$B$300,$B262)=0,"",SUMIFS('ИТОГО Торговля'!$C$5:$C$300,'ИТОГО Торговля'!$B$5:$B$300,$B262)+SUMIFS('ИТОГО Лэндинг'!$C$5:$C$300,'ИТОГО Лэндинг'!$B$5:$B$300,$B262)))</f>
        <v/>
      </c>
      <c r="D262" s="183">
        <f>IF(C262="","",E262/C262)</f>
        <v/>
      </c>
      <c r="E262" s="247">
        <f>IF(C262="","",SUMIFS('ИТОГО Торговля'!$E$5:$E$300,'ИТОГО Торговля'!$B$5:$B$300,$B262)+SUMIFS('ИТОГО Лэндинг'!$E$5:$E$300,'ИТОГО Лэндинг'!$B$5:$B$300,$B262))</f>
        <v/>
      </c>
      <c r="F262" s="246">
        <f>IF($B262="","",IF(SUMIFS('ИТОГО Торговля'!$F$5:$F$300,'ИТОГО Торговля'!$B$5:$B$300,$B262)+SUMIFS('ИТОГО Лэндинг'!$F$5:$F$300,'ИТОГО Лэндинг'!$B$5:$B$300,$B262)=0,"",SUMIFS('ИТОГО Торговля'!$F$5:$F$300,'ИТОГО Торговля'!$B$5:$B$300,$B262)+SUMIFS('ИТОГО Лэндинг'!$F$5:$F$300,'ИТОГО Лэндинг'!$B$5:$B$300,$B262)))</f>
        <v/>
      </c>
      <c r="G262" s="183">
        <f>IF(F262="","",H262/F262)</f>
        <v/>
      </c>
      <c r="H262" s="247">
        <f>IF(F262="","",SUMIFS('ИТОГО Торговля'!$H$5:$H$300,'ИТОГО Торговля'!$B$5:$B$300,$B262)+SUMIFS('ИТОГО Лэндинг'!$H$5:$H$300,'ИТОГО Лэндинг'!$B$5:$B$300,$B262))</f>
        <v/>
      </c>
      <c r="I262" s="246">
        <f>IF($B262="","",IF(AND(C262="",F262=""),"",ROUND(SUMIFS('ИТОГО Торговля'!$I$5:$I$300,'ИТОГО Торговля'!$B$5:$B$300,$B262)+SUMIFS('ИТОГО Лэндинг'!$I$5:$I$300,'ИТОГО Лэндинг'!$B$5:$B$300,$B262),8)))</f>
        <v/>
      </c>
      <c r="J262" s="247">
        <f>IF($B262="","",IF(AND(C262="",F262=""),"",ROUND(SUMIFS('ИТОГО Торговля'!$J$5:$J$300,'ИТОГО Торговля'!$B$5:$B$300,$B262)+SUMIFS('ИТОГО Лэндинг'!$J$5:$J$300,'ИТОГО Лэндинг'!$B$5:$B$300,$B262),8)))</f>
        <v/>
      </c>
      <c r="K262" s="246">
        <f>IF($B262="","",ROUND(SUMIFS('ИТОГО Торговля'!$K$5:$K$300,'ИТОГО Торговля'!$B$5:$B$300,$B262)+SUMIFS('ИТОГО Лэндинг'!$K$5:$K$300,'ИТОГО Лэндинг'!$B$5:$B$300,$B262),8))</f>
        <v/>
      </c>
      <c r="L262" s="183">
        <f>IF(K262="","",IF(SUMPRODUCT((Закрытые!$E$5:$E$300=$B262)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262/SUMPRODUCT((Закрытые!$E$5:$E$300=$B262)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2" s="183">
        <f>IF(OR(ROUND(N(C262)-N(F262),8)=0,1-N(Ввод!$E$17)/100&lt;=0),"",IF(N(C262)&gt;N(F262),(N(E262)-N(H262))/((N(C262)-N(F262))*(1-N(Ввод!$E$17)/100)),(N(H262)-N(E262))/((N(F262)-N(C262))*(1+N(Ввод!$E$17)/100))))</f>
        <v/>
      </c>
    </row>
    <row r="263" ht="22" customHeight="1">
      <c r="B263" s="315" t="n"/>
      <c r="C263" s="240">
        <f>IF($B263="","",IF(SUMIFS('ИТОГО Торговля'!$C$5:$C$300,'ИТОГО Торговля'!$B$5:$B$300,$B263)+SUMIFS('ИТОГО Лэндинг'!$C$5:$C$300,'ИТОГО Лэндинг'!$B$5:$B$300,$B263)=0,"",SUMIFS('ИТОГО Торговля'!$C$5:$C$300,'ИТОГО Торговля'!$B$5:$B$300,$B263)+SUMIFS('ИТОГО Лэндинг'!$C$5:$C$300,'ИТОГО Лэндинг'!$B$5:$B$300,$B263)))</f>
        <v/>
      </c>
      <c r="D263" s="177">
        <f>IF(C263="","",E263/C263)</f>
        <v/>
      </c>
      <c r="E263" s="241">
        <f>IF(C263="","",SUMIFS('ИТОГО Торговля'!$E$5:$E$300,'ИТОГО Торговля'!$B$5:$B$300,$B263)+SUMIFS('ИТОГО Лэндинг'!$E$5:$E$300,'ИТОГО Лэндинг'!$B$5:$B$300,$B263))</f>
        <v/>
      </c>
      <c r="F263" s="240">
        <f>IF($B263="","",IF(SUMIFS('ИТОГО Торговля'!$F$5:$F$300,'ИТОГО Торговля'!$B$5:$B$300,$B263)+SUMIFS('ИТОГО Лэндинг'!$F$5:$F$300,'ИТОГО Лэндинг'!$B$5:$B$300,$B263)=0,"",SUMIFS('ИТОГО Торговля'!$F$5:$F$300,'ИТОГО Торговля'!$B$5:$B$300,$B263)+SUMIFS('ИТОГО Лэндинг'!$F$5:$F$300,'ИТОГО Лэндинг'!$B$5:$B$300,$B263)))</f>
        <v/>
      </c>
      <c r="G263" s="177">
        <f>IF(F263="","",H263/F263)</f>
        <v/>
      </c>
      <c r="H263" s="241">
        <f>IF(F263="","",SUMIFS('ИТОГО Торговля'!$H$5:$H$300,'ИТОГО Торговля'!$B$5:$B$300,$B263)+SUMIFS('ИТОГО Лэндинг'!$H$5:$H$300,'ИТОГО Лэндинг'!$B$5:$B$300,$B263))</f>
        <v/>
      </c>
      <c r="I263" s="240">
        <f>IF($B263="","",IF(AND(C263="",F263=""),"",ROUND(SUMIFS('ИТОГО Торговля'!$I$5:$I$300,'ИТОГО Торговля'!$B$5:$B$300,$B263)+SUMIFS('ИТОГО Лэндинг'!$I$5:$I$300,'ИТОГО Лэндинг'!$B$5:$B$300,$B263),8)))</f>
        <v/>
      </c>
      <c r="J263" s="241">
        <f>IF($B263="","",IF(AND(C263="",F263=""),"",ROUND(SUMIFS('ИТОГО Торговля'!$J$5:$J$300,'ИТОГО Торговля'!$B$5:$B$300,$B263)+SUMIFS('ИТОГО Лэндинг'!$J$5:$J$300,'ИТОГО Лэндинг'!$B$5:$B$300,$B263),8)))</f>
        <v/>
      </c>
      <c r="K263" s="240">
        <f>IF($B263="","",ROUND(SUMIFS('ИТОГО Торговля'!$K$5:$K$300,'ИТОГО Торговля'!$B$5:$B$300,$B263)+SUMIFS('ИТОГО Лэндинг'!$K$5:$K$300,'ИТОГО Лэндинг'!$B$5:$B$300,$B263),8))</f>
        <v/>
      </c>
      <c r="L263" s="177">
        <f>IF(K263="","",IF(SUMPRODUCT((Закрытые!$E$5:$E$300=$B263)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263/SUMPRODUCT((Закрытые!$E$5:$E$300=$B263)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3" s="177">
        <f>IF(OR(ROUND(N(C263)-N(F263),8)=0,1-N(Ввод!$E$17)/100&lt;=0),"",IF(N(C263)&gt;N(F263),(N(E263)-N(H263))/((N(C263)-N(F263))*(1-N(Ввод!$E$17)/100)),(N(H263)-N(E263))/((N(F263)-N(C263))*(1+N(Ввод!$E$17)/100))))</f>
        <v/>
      </c>
    </row>
    <row r="264" ht="22" customHeight="1">
      <c r="B264" s="320" t="n"/>
      <c r="C264" s="246">
        <f>IF($B264="","",IF(SUMIFS('ИТОГО Торговля'!$C$5:$C$300,'ИТОГО Торговля'!$B$5:$B$300,$B264)+SUMIFS('ИТОГО Лэндинг'!$C$5:$C$300,'ИТОГО Лэндинг'!$B$5:$B$300,$B264)=0,"",SUMIFS('ИТОГО Торговля'!$C$5:$C$300,'ИТОГО Торговля'!$B$5:$B$300,$B264)+SUMIFS('ИТОГО Лэндинг'!$C$5:$C$300,'ИТОГО Лэндинг'!$B$5:$B$300,$B264)))</f>
        <v/>
      </c>
      <c r="D264" s="183">
        <f>IF(C264="","",E264/C264)</f>
        <v/>
      </c>
      <c r="E264" s="247">
        <f>IF(C264="","",SUMIFS('ИТОГО Торговля'!$E$5:$E$300,'ИТОГО Торговля'!$B$5:$B$300,$B264)+SUMIFS('ИТОГО Лэндинг'!$E$5:$E$300,'ИТОГО Лэндинг'!$B$5:$B$300,$B264))</f>
        <v/>
      </c>
      <c r="F264" s="246">
        <f>IF($B264="","",IF(SUMIFS('ИТОГО Торговля'!$F$5:$F$300,'ИТОГО Торговля'!$B$5:$B$300,$B264)+SUMIFS('ИТОГО Лэндинг'!$F$5:$F$300,'ИТОГО Лэндинг'!$B$5:$B$300,$B264)=0,"",SUMIFS('ИТОГО Торговля'!$F$5:$F$300,'ИТОГО Торговля'!$B$5:$B$300,$B264)+SUMIFS('ИТОГО Лэндинг'!$F$5:$F$300,'ИТОГО Лэндинг'!$B$5:$B$300,$B264)))</f>
        <v/>
      </c>
      <c r="G264" s="183">
        <f>IF(F264="","",H264/F264)</f>
        <v/>
      </c>
      <c r="H264" s="247">
        <f>IF(F264="","",SUMIFS('ИТОГО Торговля'!$H$5:$H$300,'ИТОГО Торговля'!$B$5:$B$300,$B264)+SUMIFS('ИТОГО Лэндинг'!$H$5:$H$300,'ИТОГО Лэндинг'!$B$5:$B$300,$B264))</f>
        <v/>
      </c>
      <c r="I264" s="246">
        <f>IF($B264="","",IF(AND(C264="",F264=""),"",ROUND(SUMIFS('ИТОГО Торговля'!$I$5:$I$300,'ИТОГО Торговля'!$B$5:$B$300,$B264)+SUMIFS('ИТОГО Лэндинг'!$I$5:$I$300,'ИТОГО Лэндинг'!$B$5:$B$300,$B264),8)))</f>
        <v/>
      </c>
      <c r="J264" s="247">
        <f>IF($B264="","",IF(AND(C264="",F264=""),"",ROUND(SUMIFS('ИТОГО Торговля'!$J$5:$J$300,'ИТОГО Торговля'!$B$5:$B$300,$B264)+SUMIFS('ИТОГО Лэндинг'!$J$5:$J$300,'ИТОГО Лэндинг'!$B$5:$B$300,$B264),8)))</f>
        <v/>
      </c>
      <c r="K264" s="246">
        <f>IF($B264="","",ROUND(SUMIFS('ИТОГО Торговля'!$K$5:$K$300,'ИТОГО Торговля'!$B$5:$B$300,$B264)+SUMIFS('ИТОГО Лэндинг'!$K$5:$K$300,'ИТОГО Лэндинг'!$B$5:$B$300,$B264),8))</f>
        <v/>
      </c>
      <c r="L264" s="183">
        <f>IF(K264="","",IF(SUMPRODUCT((Закрытые!$E$5:$E$300=$B264)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264/SUMPRODUCT((Закрытые!$E$5:$E$300=$B264)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4" s="183">
        <f>IF(OR(ROUND(N(C264)-N(F264),8)=0,1-N(Ввод!$E$17)/100&lt;=0),"",IF(N(C264)&gt;N(F264),(N(E264)-N(H264))/((N(C264)-N(F264))*(1-N(Ввод!$E$17)/100)),(N(H264)-N(E264))/((N(F264)-N(C264))*(1+N(Ввод!$E$17)/100))))</f>
        <v/>
      </c>
    </row>
    <row r="265" ht="22" customHeight="1">
      <c r="B265" s="315" t="n"/>
      <c r="C265" s="240">
        <f>IF($B265="","",IF(SUMIFS('ИТОГО Торговля'!$C$5:$C$300,'ИТОГО Торговля'!$B$5:$B$300,$B265)+SUMIFS('ИТОГО Лэндинг'!$C$5:$C$300,'ИТОГО Лэндинг'!$B$5:$B$300,$B265)=0,"",SUMIFS('ИТОГО Торговля'!$C$5:$C$300,'ИТОГО Торговля'!$B$5:$B$300,$B265)+SUMIFS('ИТОГО Лэндинг'!$C$5:$C$300,'ИТОГО Лэндинг'!$B$5:$B$300,$B265)))</f>
        <v/>
      </c>
      <c r="D265" s="177">
        <f>IF(C265="","",E265/C265)</f>
        <v/>
      </c>
      <c r="E265" s="241">
        <f>IF(C265="","",SUMIFS('ИТОГО Торговля'!$E$5:$E$300,'ИТОГО Торговля'!$B$5:$B$300,$B265)+SUMIFS('ИТОГО Лэндинг'!$E$5:$E$300,'ИТОГО Лэндинг'!$B$5:$B$300,$B265))</f>
        <v/>
      </c>
      <c r="F265" s="240">
        <f>IF($B265="","",IF(SUMIFS('ИТОГО Торговля'!$F$5:$F$300,'ИТОГО Торговля'!$B$5:$B$300,$B265)+SUMIFS('ИТОГО Лэндинг'!$F$5:$F$300,'ИТОГО Лэндинг'!$B$5:$B$300,$B265)=0,"",SUMIFS('ИТОГО Торговля'!$F$5:$F$300,'ИТОГО Торговля'!$B$5:$B$300,$B265)+SUMIFS('ИТОГО Лэндинг'!$F$5:$F$300,'ИТОГО Лэндинг'!$B$5:$B$300,$B265)))</f>
        <v/>
      </c>
      <c r="G265" s="177">
        <f>IF(F265="","",H265/F265)</f>
        <v/>
      </c>
      <c r="H265" s="241">
        <f>IF(F265="","",SUMIFS('ИТОГО Торговля'!$H$5:$H$300,'ИТОГО Торговля'!$B$5:$B$300,$B265)+SUMIFS('ИТОГО Лэндинг'!$H$5:$H$300,'ИТОГО Лэндинг'!$B$5:$B$300,$B265))</f>
        <v/>
      </c>
      <c r="I265" s="240">
        <f>IF($B265="","",IF(AND(C265="",F265=""),"",ROUND(SUMIFS('ИТОГО Торговля'!$I$5:$I$300,'ИТОГО Торговля'!$B$5:$B$300,$B265)+SUMIFS('ИТОГО Лэндинг'!$I$5:$I$300,'ИТОГО Лэндинг'!$B$5:$B$300,$B265),8)))</f>
        <v/>
      </c>
      <c r="J265" s="241">
        <f>IF($B265="","",IF(AND(C265="",F265=""),"",ROUND(SUMIFS('ИТОГО Торговля'!$J$5:$J$300,'ИТОГО Торговля'!$B$5:$B$300,$B265)+SUMIFS('ИТОГО Лэндинг'!$J$5:$J$300,'ИТОГО Лэндинг'!$B$5:$B$300,$B265),8)))</f>
        <v/>
      </c>
      <c r="K265" s="240">
        <f>IF($B265="","",ROUND(SUMIFS('ИТОГО Торговля'!$K$5:$K$300,'ИТОГО Торговля'!$B$5:$B$300,$B265)+SUMIFS('ИТОГО Лэндинг'!$K$5:$K$300,'ИТОГО Лэндинг'!$B$5:$B$300,$B265),8))</f>
        <v/>
      </c>
      <c r="L265" s="177">
        <f>IF(K265="","",IF(SUMPRODUCT((Закрытые!$E$5:$E$300=$B265)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265/SUMPRODUCT((Закрытые!$E$5:$E$300=$B265)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5" s="177">
        <f>IF(OR(ROUND(N(C265)-N(F265),8)=0,1-N(Ввод!$E$17)/100&lt;=0),"",IF(N(C265)&gt;N(F265),(N(E265)-N(H265))/((N(C265)-N(F265))*(1-N(Ввод!$E$17)/100)),(N(H265)-N(E265))/((N(F265)-N(C265))*(1+N(Ввод!$E$17)/100))))</f>
        <v/>
      </c>
    </row>
    <row r="266" ht="22" customHeight="1">
      <c r="B266" s="320" t="n"/>
      <c r="C266" s="246">
        <f>IF($B266="","",IF(SUMIFS('ИТОГО Торговля'!$C$5:$C$300,'ИТОГО Торговля'!$B$5:$B$300,$B266)+SUMIFS('ИТОГО Лэндинг'!$C$5:$C$300,'ИТОГО Лэндинг'!$B$5:$B$300,$B266)=0,"",SUMIFS('ИТОГО Торговля'!$C$5:$C$300,'ИТОГО Торговля'!$B$5:$B$300,$B266)+SUMIFS('ИТОГО Лэндинг'!$C$5:$C$300,'ИТОГО Лэндинг'!$B$5:$B$300,$B266)))</f>
        <v/>
      </c>
      <c r="D266" s="183">
        <f>IF(C266="","",E266/C266)</f>
        <v/>
      </c>
      <c r="E266" s="247">
        <f>IF(C266="","",SUMIFS('ИТОГО Торговля'!$E$5:$E$300,'ИТОГО Торговля'!$B$5:$B$300,$B266)+SUMIFS('ИТОГО Лэндинг'!$E$5:$E$300,'ИТОГО Лэндинг'!$B$5:$B$300,$B266))</f>
        <v/>
      </c>
      <c r="F266" s="246">
        <f>IF($B266="","",IF(SUMIFS('ИТОГО Торговля'!$F$5:$F$300,'ИТОГО Торговля'!$B$5:$B$300,$B266)+SUMIFS('ИТОГО Лэндинг'!$F$5:$F$300,'ИТОГО Лэндинг'!$B$5:$B$300,$B266)=0,"",SUMIFS('ИТОГО Торговля'!$F$5:$F$300,'ИТОГО Торговля'!$B$5:$B$300,$B266)+SUMIFS('ИТОГО Лэндинг'!$F$5:$F$300,'ИТОГО Лэндинг'!$B$5:$B$300,$B266)))</f>
        <v/>
      </c>
      <c r="G266" s="183">
        <f>IF(F266="","",H266/F266)</f>
        <v/>
      </c>
      <c r="H266" s="247">
        <f>IF(F266="","",SUMIFS('ИТОГО Торговля'!$H$5:$H$300,'ИТОГО Торговля'!$B$5:$B$300,$B266)+SUMIFS('ИТОГО Лэндинг'!$H$5:$H$300,'ИТОГО Лэндинг'!$B$5:$B$300,$B266))</f>
        <v/>
      </c>
      <c r="I266" s="246">
        <f>IF($B266="","",IF(AND(C266="",F266=""),"",ROUND(SUMIFS('ИТОГО Торговля'!$I$5:$I$300,'ИТОГО Торговля'!$B$5:$B$300,$B266)+SUMIFS('ИТОГО Лэндинг'!$I$5:$I$300,'ИТОГО Лэндинг'!$B$5:$B$300,$B266),8)))</f>
        <v/>
      </c>
      <c r="J266" s="247">
        <f>IF($B266="","",IF(AND(C266="",F266=""),"",ROUND(SUMIFS('ИТОГО Торговля'!$J$5:$J$300,'ИТОГО Торговля'!$B$5:$B$300,$B266)+SUMIFS('ИТОГО Лэндинг'!$J$5:$J$300,'ИТОГО Лэндинг'!$B$5:$B$300,$B266),8)))</f>
        <v/>
      </c>
      <c r="K266" s="246">
        <f>IF($B266="","",ROUND(SUMIFS('ИТОГО Торговля'!$K$5:$K$300,'ИТОГО Торговля'!$B$5:$B$300,$B266)+SUMIFS('ИТОГО Лэндинг'!$K$5:$K$300,'ИТОГО Лэндинг'!$B$5:$B$300,$B266),8))</f>
        <v/>
      </c>
      <c r="L266" s="183">
        <f>IF(K266="","",IF(SUMPRODUCT((Закрытые!$E$5:$E$300=$B266)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266/SUMPRODUCT((Закрытые!$E$5:$E$300=$B266)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6" s="183">
        <f>IF(OR(ROUND(N(C266)-N(F266),8)=0,1-N(Ввод!$E$17)/100&lt;=0),"",IF(N(C266)&gt;N(F266),(N(E266)-N(H266))/((N(C266)-N(F266))*(1-N(Ввод!$E$17)/100)),(N(H266)-N(E266))/((N(F266)-N(C266))*(1+N(Ввод!$E$17)/100))))</f>
        <v/>
      </c>
    </row>
    <row r="267" ht="22" customHeight="1">
      <c r="B267" s="315" t="n"/>
      <c r="C267" s="240">
        <f>IF($B267="","",IF(SUMIFS('ИТОГО Торговля'!$C$5:$C$300,'ИТОГО Торговля'!$B$5:$B$300,$B267)+SUMIFS('ИТОГО Лэндинг'!$C$5:$C$300,'ИТОГО Лэндинг'!$B$5:$B$300,$B267)=0,"",SUMIFS('ИТОГО Торговля'!$C$5:$C$300,'ИТОГО Торговля'!$B$5:$B$300,$B267)+SUMIFS('ИТОГО Лэндинг'!$C$5:$C$300,'ИТОГО Лэндинг'!$B$5:$B$300,$B267)))</f>
        <v/>
      </c>
      <c r="D267" s="177">
        <f>IF(C267="","",E267/C267)</f>
        <v/>
      </c>
      <c r="E267" s="241">
        <f>IF(C267="","",SUMIFS('ИТОГО Торговля'!$E$5:$E$300,'ИТОГО Торговля'!$B$5:$B$300,$B267)+SUMIFS('ИТОГО Лэндинг'!$E$5:$E$300,'ИТОГО Лэндинг'!$B$5:$B$300,$B267))</f>
        <v/>
      </c>
      <c r="F267" s="240">
        <f>IF($B267="","",IF(SUMIFS('ИТОГО Торговля'!$F$5:$F$300,'ИТОГО Торговля'!$B$5:$B$300,$B267)+SUMIFS('ИТОГО Лэндинг'!$F$5:$F$300,'ИТОГО Лэндинг'!$B$5:$B$300,$B267)=0,"",SUMIFS('ИТОГО Торговля'!$F$5:$F$300,'ИТОГО Торговля'!$B$5:$B$300,$B267)+SUMIFS('ИТОГО Лэндинг'!$F$5:$F$300,'ИТОГО Лэндинг'!$B$5:$B$300,$B267)))</f>
        <v/>
      </c>
      <c r="G267" s="177">
        <f>IF(F267="","",H267/F267)</f>
        <v/>
      </c>
      <c r="H267" s="241">
        <f>IF(F267="","",SUMIFS('ИТОГО Торговля'!$H$5:$H$300,'ИТОГО Торговля'!$B$5:$B$300,$B267)+SUMIFS('ИТОГО Лэндинг'!$H$5:$H$300,'ИТОГО Лэндинг'!$B$5:$B$300,$B267))</f>
        <v/>
      </c>
      <c r="I267" s="240">
        <f>IF($B267="","",IF(AND(C267="",F267=""),"",ROUND(SUMIFS('ИТОГО Торговля'!$I$5:$I$300,'ИТОГО Торговля'!$B$5:$B$300,$B267)+SUMIFS('ИТОГО Лэндинг'!$I$5:$I$300,'ИТОГО Лэндинг'!$B$5:$B$300,$B267),8)))</f>
        <v/>
      </c>
      <c r="J267" s="241">
        <f>IF($B267="","",IF(AND(C267="",F267=""),"",ROUND(SUMIFS('ИТОГО Торговля'!$J$5:$J$300,'ИТОГО Торговля'!$B$5:$B$300,$B267)+SUMIFS('ИТОГО Лэндинг'!$J$5:$J$300,'ИТОГО Лэндинг'!$B$5:$B$300,$B267),8)))</f>
        <v/>
      </c>
      <c r="K267" s="240">
        <f>IF($B267="","",ROUND(SUMIFS('ИТОГО Торговля'!$K$5:$K$300,'ИТОГО Торговля'!$B$5:$B$300,$B267)+SUMIFS('ИТОГО Лэндинг'!$K$5:$K$300,'ИТОГО Лэндинг'!$B$5:$B$300,$B267),8))</f>
        <v/>
      </c>
      <c r="L267" s="177">
        <f>IF(K267="","",IF(SUMPRODUCT((Закрытые!$E$5:$E$300=$B267)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267/SUMPRODUCT((Закрытые!$E$5:$E$300=$B267)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7" s="177">
        <f>IF(OR(ROUND(N(C267)-N(F267),8)=0,1-N(Ввод!$E$17)/100&lt;=0),"",IF(N(C267)&gt;N(F267),(N(E267)-N(H267))/((N(C267)-N(F267))*(1-N(Ввод!$E$17)/100)),(N(H267)-N(E267))/((N(F267)-N(C267))*(1+N(Ввод!$E$17)/100))))</f>
        <v/>
      </c>
    </row>
    <row r="268" ht="22" customHeight="1">
      <c r="B268" s="320" t="n"/>
      <c r="C268" s="246">
        <f>IF($B268="","",IF(SUMIFS('ИТОГО Торговля'!$C$5:$C$300,'ИТОГО Торговля'!$B$5:$B$300,$B268)+SUMIFS('ИТОГО Лэндинг'!$C$5:$C$300,'ИТОГО Лэндинг'!$B$5:$B$300,$B268)=0,"",SUMIFS('ИТОГО Торговля'!$C$5:$C$300,'ИТОГО Торговля'!$B$5:$B$300,$B268)+SUMIFS('ИТОГО Лэндинг'!$C$5:$C$300,'ИТОГО Лэндинг'!$B$5:$B$300,$B268)))</f>
        <v/>
      </c>
      <c r="D268" s="183">
        <f>IF(C268="","",E268/C268)</f>
        <v/>
      </c>
      <c r="E268" s="247">
        <f>IF(C268="","",SUMIFS('ИТОГО Торговля'!$E$5:$E$300,'ИТОГО Торговля'!$B$5:$B$300,$B268)+SUMIFS('ИТОГО Лэндинг'!$E$5:$E$300,'ИТОГО Лэндинг'!$B$5:$B$300,$B268))</f>
        <v/>
      </c>
      <c r="F268" s="246">
        <f>IF($B268="","",IF(SUMIFS('ИТОГО Торговля'!$F$5:$F$300,'ИТОГО Торговля'!$B$5:$B$300,$B268)+SUMIFS('ИТОГО Лэндинг'!$F$5:$F$300,'ИТОГО Лэндинг'!$B$5:$B$300,$B268)=0,"",SUMIFS('ИТОГО Торговля'!$F$5:$F$300,'ИТОГО Торговля'!$B$5:$B$300,$B268)+SUMIFS('ИТОГО Лэндинг'!$F$5:$F$300,'ИТОГО Лэндинг'!$B$5:$B$300,$B268)))</f>
        <v/>
      </c>
      <c r="G268" s="183">
        <f>IF(F268="","",H268/F268)</f>
        <v/>
      </c>
      <c r="H268" s="247">
        <f>IF(F268="","",SUMIFS('ИТОГО Торговля'!$H$5:$H$300,'ИТОГО Торговля'!$B$5:$B$300,$B268)+SUMIFS('ИТОГО Лэндинг'!$H$5:$H$300,'ИТОГО Лэндинг'!$B$5:$B$300,$B268))</f>
        <v/>
      </c>
      <c r="I268" s="246">
        <f>IF($B268="","",IF(AND(C268="",F268=""),"",ROUND(SUMIFS('ИТОГО Торговля'!$I$5:$I$300,'ИТОГО Торговля'!$B$5:$B$300,$B268)+SUMIFS('ИТОГО Лэндинг'!$I$5:$I$300,'ИТОГО Лэндинг'!$B$5:$B$300,$B268),8)))</f>
        <v/>
      </c>
      <c r="J268" s="247">
        <f>IF($B268="","",IF(AND(C268="",F268=""),"",ROUND(SUMIFS('ИТОГО Торговля'!$J$5:$J$300,'ИТОГО Торговля'!$B$5:$B$300,$B268)+SUMIFS('ИТОГО Лэндинг'!$J$5:$J$300,'ИТОГО Лэндинг'!$B$5:$B$300,$B268),8)))</f>
        <v/>
      </c>
      <c r="K268" s="246">
        <f>IF($B268="","",ROUND(SUMIFS('ИТОГО Торговля'!$K$5:$K$300,'ИТОГО Торговля'!$B$5:$B$300,$B268)+SUMIFS('ИТОГО Лэндинг'!$K$5:$K$300,'ИТОГО Лэндинг'!$B$5:$B$300,$B268),8))</f>
        <v/>
      </c>
      <c r="L268" s="183">
        <f>IF(K268="","",IF(SUMPRODUCT((Закрытые!$E$5:$E$300=$B268)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268/SUMPRODUCT((Закрытые!$E$5:$E$300=$B268)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8" s="183">
        <f>IF(OR(ROUND(N(C268)-N(F268),8)=0,1-N(Ввод!$E$17)/100&lt;=0),"",IF(N(C268)&gt;N(F268),(N(E268)-N(H268))/((N(C268)-N(F268))*(1-N(Ввод!$E$17)/100)),(N(H268)-N(E268))/((N(F268)-N(C268))*(1+N(Ввод!$E$17)/100))))</f>
        <v/>
      </c>
    </row>
    <row r="269" ht="22" customHeight="1">
      <c r="B269" s="315" t="n"/>
      <c r="C269" s="240">
        <f>IF($B269="","",IF(SUMIFS('ИТОГО Торговля'!$C$5:$C$300,'ИТОГО Торговля'!$B$5:$B$300,$B269)+SUMIFS('ИТОГО Лэндинг'!$C$5:$C$300,'ИТОГО Лэндинг'!$B$5:$B$300,$B269)=0,"",SUMIFS('ИТОГО Торговля'!$C$5:$C$300,'ИТОГО Торговля'!$B$5:$B$300,$B269)+SUMIFS('ИТОГО Лэндинг'!$C$5:$C$300,'ИТОГО Лэндинг'!$B$5:$B$300,$B269)))</f>
        <v/>
      </c>
      <c r="D269" s="177">
        <f>IF(C269="","",E269/C269)</f>
        <v/>
      </c>
      <c r="E269" s="241">
        <f>IF(C269="","",SUMIFS('ИТОГО Торговля'!$E$5:$E$300,'ИТОГО Торговля'!$B$5:$B$300,$B269)+SUMIFS('ИТОГО Лэндинг'!$E$5:$E$300,'ИТОГО Лэндинг'!$B$5:$B$300,$B269))</f>
        <v/>
      </c>
      <c r="F269" s="240">
        <f>IF($B269="","",IF(SUMIFS('ИТОГО Торговля'!$F$5:$F$300,'ИТОГО Торговля'!$B$5:$B$300,$B269)+SUMIFS('ИТОГО Лэндинг'!$F$5:$F$300,'ИТОГО Лэндинг'!$B$5:$B$300,$B269)=0,"",SUMIFS('ИТОГО Торговля'!$F$5:$F$300,'ИТОГО Торговля'!$B$5:$B$300,$B269)+SUMIFS('ИТОГО Лэндинг'!$F$5:$F$300,'ИТОГО Лэндинг'!$B$5:$B$300,$B269)))</f>
        <v/>
      </c>
      <c r="G269" s="177">
        <f>IF(F269="","",H269/F269)</f>
        <v/>
      </c>
      <c r="H269" s="241">
        <f>IF(F269="","",SUMIFS('ИТОГО Торговля'!$H$5:$H$300,'ИТОГО Торговля'!$B$5:$B$300,$B269)+SUMIFS('ИТОГО Лэндинг'!$H$5:$H$300,'ИТОГО Лэндинг'!$B$5:$B$300,$B269))</f>
        <v/>
      </c>
      <c r="I269" s="240">
        <f>IF($B269="","",IF(AND(C269="",F269=""),"",ROUND(SUMIFS('ИТОГО Торговля'!$I$5:$I$300,'ИТОГО Торговля'!$B$5:$B$300,$B269)+SUMIFS('ИТОГО Лэндинг'!$I$5:$I$300,'ИТОГО Лэндинг'!$B$5:$B$300,$B269),8)))</f>
        <v/>
      </c>
      <c r="J269" s="241">
        <f>IF($B269="","",IF(AND(C269="",F269=""),"",ROUND(SUMIFS('ИТОГО Торговля'!$J$5:$J$300,'ИТОГО Торговля'!$B$5:$B$300,$B269)+SUMIFS('ИТОГО Лэндинг'!$J$5:$J$300,'ИТОГО Лэндинг'!$B$5:$B$300,$B269),8)))</f>
        <v/>
      </c>
      <c r="K269" s="240">
        <f>IF($B269="","",ROUND(SUMIFS('ИТОГО Торговля'!$K$5:$K$300,'ИТОГО Торговля'!$B$5:$B$300,$B269)+SUMIFS('ИТОГО Лэндинг'!$K$5:$K$300,'ИТОГО Лэндинг'!$B$5:$B$300,$B269),8))</f>
        <v/>
      </c>
      <c r="L269" s="177">
        <f>IF(K269="","",IF(SUMPRODUCT((Закрытые!$E$5:$E$300=$B269)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269/SUMPRODUCT((Закрытые!$E$5:$E$300=$B269)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9" s="177">
        <f>IF(OR(ROUND(N(C269)-N(F269),8)=0,1-N(Ввод!$E$17)/100&lt;=0),"",IF(N(C269)&gt;N(F269),(N(E269)-N(H269))/((N(C269)-N(F269))*(1-N(Ввод!$E$17)/100)),(N(H269)-N(E269))/((N(F269)-N(C269))*(1+N(Ввод!$E$17)/100))))</f>
        <v/>
      </c>
    </row>
    <row r="270" ht="22" customHeight="1">
      <c r="B270" s="320" t="n"/>
      <c r="C270" s="246">
        <f>IF($B270="","",IF(SUMIFS('ИТОГО Торговля'!$C$5:$C$300,'ИТОГО Торговля'!$B$5:$B$300,$B270)+SUMIFS('ИТОГО Лэндинг'!$C$5:$C$300,'ИТОГО Лэндинг'!$B$5:$B$300,$B270)=0,"",SUMIFS('ИТОГО Торговля'!$C$5:$C$300,'ИТОГО Торговля'!$B$5:$B$300,$B270)+SUMIFS('ИТОГО Лэндинг'!$C$5:$C$300,'ИТОГО Лэндинг'!$B$5:$B$300,$B270)))</f>
        <v/>
      </c>
      <c r="D270" s="183">
        <f>IF(C270="","",E270/C270)</f>
        <v/>
      </c>
      <c r="E270" s="247">
        <f>IF(C270="","",SUMIFS('ИТОГО Торговля'!$E$5:$E$300,'ИТОГО Торговля'!$B$5:$B$300,$B270)+SUMIFS('ИТОГО Лэндинг'!$E$5:$E$300,'ИТОГО Лэндинг'!$B$5:$B$300,$B270))</f>
        <v/>
      </c>
      <c r="F270" s="246">
        <f>IF($B270="","",IF(SUMIFS('ИТОГО Торговля'!$F$5:$F$300,'ИТОГО Торговля'!$B$5:$B$300,$B270)+SUMIFS('ИТОГО Лэндинг'!$F$5:$F$300,'ИТОГО Лэндинг'!$B$5:$B$300,$B270)=0,"",SUMIFS('ИТОГО Торговля'!$F$5:$F$300,'ИТОГО Торговля'!$B$5:$B$300,$B270)+SUMIFS('ИТОГО Лэндинг'!$F$5:$F$300,'ИТОГО Лэндинг'!$B$5:$B$300,$B270)))</f>
        <v/>
      </c>
      <c r="G270" s="183">
        <f>IF(F270="","",H270/F270)</f>
        <v/>
      </c>
      <c r="H270" s="247">
        <f>IF(F270="","",SUMIFS('ИТОГО Торговля'!$H$5:$H$300,'ИТОГО Торговля'!$B$5:$B$300,$B270)+SUMIFS('ИТОГО Лэндинг'!$H$5:$H$300,'ИТОГО Лэндинг'!$B$5:$B$300,$B270))</f>
        <v/>
      </c>
      <c r="I270" s="246">
        <f>IF($B270="","",IF(AND(C270="",F270=""),"",ROUND(SUMIFS('ИТОГО Торговля'!$I$5:$I$300,'ИТОГО Торговля'!$B$5:$B$300,$B270)+SUMIFS('ИТОГО Лэндинг'!$I$5:$I$300,'ИТОГО Лэндинг'!$B$5:$B$300,$B270),8)))</f>
        <v/>
      </c>
      <c r="J270" s="247">
        <f>IF($B270="","",IF(AND(C270="",F270=""),"",ROUND(SUMIFS('ИТОГО Торговля'!$J$5:$J$300,'ИТОГО Торговля'!$B$5:$B$300,$B270)+SUMIFS('ИТОГО Лэндинг'!$J$5:$J$300,'ИТОГО Лэндинг'!$B$5:$B$300,$B270),8)))</f>
        <v/>
      </c>
      <c r="K270" s="246">
        <f>IF($B270="","",ROUND(SUMIFS('ИТОГО Торговля'!$K$5:$K$300,'ИТОГО Торговля'!$B$5:$B$300,$B270)+SUMIFS('ИТОГО Лэндинг'!$K$5:$K$300,'ИТОГО Лэндинг'!$B$5:$B$300,$B270),8))</f>
        <v/>
      </c>
      <c r="L270" s="183">
        <f>IF(K270="","",IF(SUMPRODUCT((Закрытые!$E$5:$E$300=$B270)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270/SUMPRODUCT((Закрытые!$E$5:$E$300=$B270)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0" s="183">
        <f>IF(OR(ROUND(N(C270)-N(F270),8)=0,1-N(Ввод!$E$17)/100&lt;=0),"",IF(N(C270)&gt;N(F270),(N(E270)-N(H270))/((N(C270)-N(F270))*(1-N(Ввод!$E$17)/100)),(N(H270)-N(E270))/((N(F270)-N(C270))*(1+N(Ввод!$E$17)/100))))</f>
        <v/>
      </c>
    </row>
    <row r="271" ht="22" customHeight="1">
      <c r="B271" s="315" t="n"/>
      <c r="C271" s="240">
        <f>IF($B271="","",IF(SUMIFS('ИТОГО Торговля'!$C$5:$C$300,'ИТОГО Торговля'!$B$5:$B$300,$B271)+SUMIFS('ИТОГО Лэндинг'!$C$5:$C$300,'ИТОГО Лэндинг'!$B$5:$B$300,$B271)=0,"",SUMIFS('ИТОГО Торговля'!$C$5:$C$300,'ИТОГО Торговля'!$B$5:$B$300,$B271)+SUMIFS('ИТОГО Лэндинг'!$C$5:$C$300,'ИТОГО Лэндинг'!$B$5:$B$300,$B271)))</f>
        <v/>
      </c>
      <c r="D271" s="177">
        <f>IF(C271="","",E271/C271)</f>
        <v/>
      </c>
      <c r="E271" s="241">
        <f>IF(C271="","",SUMIFS('ИТОГО Торговля'!$E$5:$E$300,'ИТОГО Торговля'!$B$5:$B$300,$B271)+SUMIFS('ИТОГО Лэндинг'!$E$5:$E$300,'ИТОГО Лэндинг'!$B$5:$B$300,$B271))</f>
        <v/>
      </c>
      <c r="F271" s="240">
        <f>IF($B271="","",IF(SUMIFS('ИТОГО Торговля'!$F$5:$F$300,'ИТОГО Торговля'!$B$5:$B$300,$B271)+SUMIFS('ИТОГО Лэндинг'!$F$5:$F$300,'ИТОГО Лэндинг'!$B$5:$B$300,$B271)=0,"",SUMIFS('ИТОГО Торговля'!$F$5:$F$300,'ИТОГО Торговля'!$B$5:$B$300,$B271)+SUMIFS('ИТОГО Лэндинг'!$F$5:$F$300,'ИТОГО Лэндинг'!$B$5:$B$300,$B271)))</f>
        <v/>
      </c>
      <c r="G271" s="177">
        <f>IF(F271="","",H271/F271)</f>
        <v/>
      </c>
      <c r="H271" s="241">
        <f>IF(F271="","",SUMIFS('ИТОГО Торговля'!$H$5:$H$300,'ИТОГО Торговля'!$B$5:$B$300,$B271)+SUMIFS('ИТОГО Лэндинг'!$H$5:$H$300,'ИТОГО Лэндинг'!$B$5:$B$300,$B271))</f>
        <v/>
      </c>
      <c r="I271" s="240">
        <f>IF($B271="","",IF(AND(C271="",F271=""),"",ROUND(SUMIFS('ИТОГО Торговля'!$I$5:$I$300,'ИТОГО Торговля'!$B$5:$B$300,$B271)+SUMIFS('ИТОГО Лэндинг'!$I$5:$I$300,'ИТОГО Лэндинг'!$B$5:$B$300,$B271),8)))</f>
        <v/>
      </c>
      <c r="J271" s="241">
        <f>IF($B271="","",IF(AND(C271="",F271=""),"",ROUND(SUMIFS('ИТОГО Торговля'!$J$5:$J$300,'ИТОГО Торговля'!$B$5:$B$300,$B271)+SUMIFS('ИТОГО Лэндинг'!$J$5:$J$300,'ИТОГО Лэндинг'!$B$5:$B$300,$B271),8)))</f>
        <v/>
      </c>
      <c r="K271" s="240">
        <f>IF($B271="","",ROUND(SUMIFS('ИТОГО Торговля'!$K$5:$K$300,'ИТОГО Торговля'!$B$5:$B$300,$B271)+SUMIFS('ИТОГО Лэндинг'!$K$5:$K$300,'ИТОГО Лэндинг'!$B$5:$B$300,$B271),8))</f>
        <v/>
      </c>
      <c r="L271" s="177">
        <f>IF(K271="","",IF(SUMPRODUCT((Закрытые!$E$5:$E$300=$B271)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271/SUMPRODUCT((Закрытые!$E$5:$E$300=$B271)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1" s="177">
        <f>IF(OR(ROUND(N(C271)-N(F271),8)=0,1-N(Ввод!$E$17)/100&lt;=0),"",IF(N(C271)&gt;N(F271),(N(E271)-N(H271))/((N(C271)-N(F271))*(1-N(Ввод!$E$17)/100)),(N(H271)-N(E271))/((N(F271)-N(C271))*(1+N(Ввод!$E$17)/100))))</f>
        <v/>
      </c>
    </row>
    <row r="272" ht="22" customHeight="1">
      <c r="B272" s="320" t="n"/>
      <c r="C272" s="246">
        <f>IF($B272="","",IF(SUMIFS('ИТОГО Торговля'!$C$5:$C$300,'ИТОГО Торговля'!$B$5:$B$300,$B272)+SUMIFS('ИТОГО Лэндинг'!$C$5:$C$300,'ИТОГО Лэндинг'!$B$5:$B$300,$B272)=0,"",SUMIFS('ИТОГО Торговля'!$C$5:$C$300,'ИТОГО Торговля'!$B$5:$B$300,$B272)+SUMIFS('ИТОГО Лэндинг'!$C$5:$C$300,'ИТОГО Лэндинг'!$B$5:$B$300,$B272)))</f>
        <v/>
      </c>
      <c r="D272" s="183">
        <f>IF(C272="","",E272/C272)</f>
        <v/>
      </c>
      <c r="E272" s="247">
        <f>IF(C272="","",SUMIFS('ИТОГО Торговля'!$E$5:$E$300,'ИТОГО Торговля'!$B$5:$B$300,$B272)+SUMIFS('ИТОГО Лэндинг'!$E$5:$E$300,'ИТОГО Лэндинг'!$B$5:$B$300,$B272))</f>
        <v/>
      </c>
      <c r="F272" s="246">
        <f>IF($B272="","",IF(SUMIFS('ИТОГО Торговля'!$F$5:$F$300,'ИТОГО Торговля'!$B$5:$B$300,$B272)+SUMIFS('ИТОГО Лэндинг'!$F$5:$F$300,'ИТОГО Лэндинг'!$B$5:$B$300,$B272)=0,"",SUMIFS('ИТОГО Торговля'!$F$5:$F$300,'ИТОГО Торговля'!$B$5:$B$300,$B272)+SUMIFS('ИТОГО Лэндинг'!$F$5:$F$300,'ИТОГО Лэндинг'!$B$5:$B$300,$B272)))</f>
        <v/>
      </c>
      <c r="G272" s="183">
        <f>IF(F272="","",H272/F272)</f>
        <v/>
      </c>
      <c r="H272" s="247">
        <f>IF(F272="","",SUMIFS('ИТОГО Торговля'!$H$5:$H$300,'ИТОГО Торговля'!$B$5:$B$300,$B272)+SUMIFS('ИТОГО Лэндинг'!$H$5:$H$300,'ИТОГО Лэндинг'!$B$5:$B$300,$B272))</f>
        <v/>
      </c>
      <c r="I272" s="246">
        <f>IF($B272="","",IF(AND(C272="",F272=""),"",ROUND(SUMIFS('ИТОГО Торговля'!$I$5:$I$300,'ИТОГО Торговля'!$B$5:$B$300,$B272)+SUMIFS('ИТОГО Лэндинг'!$I$5:$I$300,'ИТОГО Лэндинг'!$B$5:$B$300,$B272),8)))</f>
        <v/>
      </c>
      <c r="J272" s="247">
        <f>IF($B272="","",IF(AND(C272="",F272=""),"",ROUND(SUMIFS('ИТОГО Торговля'!$J$5:$J$300,'ИТОГО Торговля'!$B$5:$B$300,$B272)+SUMIFS('ИТОГО Лэндинг'!$J$5:$J$300,'ИТОГО Лэндинг'!$B$5:$B$300,$B272),8)))</f>
        <v/>
      </c>
      <c r="K272" s="246">
        <f>IF($B272="","",ROUND(SUMIFS('ИТОГО Торговля'!$K$5:$K$300,'ИТОГО Торговля'!$B$5:$B$300,$B272)+SUMIFS('ИТОГО Лэндинг'!$K$5:$K$300,'ИТОГО Лэндинг'!$B$5:$B$300,$B272),8))</f>
        <v/>
      </c>
      <c r="L272" s="183">
        <f>IF(K272="","",IF(SUMPRODUCT((Закрытые!$E$5:$E$300=$B272)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272/SUMPRODUCT((Закрытые!$E$5:$E$300=$B272)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2" s="183">
        <f>IF(OR(ROUND(N(C272)-N(F272),8)=0,1-N(Ввод!$E$17)/100&lt;=0),"",IF(N(C272)&gt;N(F272),(N(E272)-N(H272))/((N(C272)-N(F272))*(1-N(Ввод!$E$17)/100)),(N(H272)-N(E272))/((N(F272)-N(C272))*(1+N(Ввод!$E$17)/100))))</f>
        <v/>
      </c>
    </row>
    <row r="273" ht="22" customHeight="1">
      <c r="B273" s="315" t="n"/>
      <c r="C273" s="240">
        <f>IF($B273="","",IF(SUMIFS('ИТОГО Торговля'!$C$5:$C$300,'ИТОГО Торговля'!$B$5:$B$300,$B273)+SUMIFS('ИТОГО Лэндинг'!$C$5:$C$300,'ИТОГО Лэндинг'!$B$5:$B$300,$B273)=0,"",SUMIFS('ИТОГО Торговля'!$C$5:$C$300,'ИТОГО Торговля'!$B$5:$B$300,$B273)+SUMIFS('ИТОГО Лэндинг'!$C$5:$C$300,'ИТОГО Лэндинг'!$B$5:$B$300,$B273)))</f>
        <v/>
      </c>
      <c r="D273" s="177">
        <f>IF(C273="","",E273/C273)</f>
        <v/>
      </c>
      <c r="E273" s="241">
        <f>IF(C273="","",SUMIFS('ИТОГО Торговля'!$E$5:$E$300,'ИТОГО Торговля'!$B$5:$B$300,$B273)+SUMIFS('ИТОГО Лэндинг'!$E$5:$E$300,'ИТОГО Лэндинг'!$B$5:$B$300,$B273))</f>
        <v/>
      </c>
      <c r="F273" s="240">
        <f>IF($B273="","",IF(SUMIFS('ИТОГО Торговля'!$F$5:$F$300,'ИТОГО Торговля'!$B$5:$B$300,$B273)+SUMIFS('ИТОГО Лэндинг'!$F$5:$F$300,'ИТОГО Лэндинг'!$B$5:$B$300,$B273)=0,"",SUMIFS('ИТОГО Торговля'!$F$5:$F$300,'ИТОГО Торговля'!$B$5:$B$300,$B273)+SUMIFS('ИТОГО Лэндинг'!$F$5:$F$300,'ИТОГО Лэндинг'!$B$5:$B$300,$B273)))</f>
        <v/>
      </c>
      <c r="G273" s="177">
        <f>IF(F273="","",H273/F273)</f>
        <v/>
      </c>
      <c r="H273" s="241">
        <f>IF(F273="","",SUMIFS('ИТОГО Торговля'!$H$5:$H$300,'ИТОГО Торговля'!$B$5:$B$300,$B273)+SUMIFS('ИТОГО Лэндинг'!$H$5:$H$300,'ИТОГО Лэндинг'!$B$5:$B$300,$B273))</f>
        <v/>
      </c>
      <c r="I273" s="240">
        <f>IF($B273="","",IF(AND(C273="",F273=""),"",ROUND(SUMIFS('ИТОГО Торговля'!$I$5:$I$300,'ИТОГО Торговля'!$B$5:$B$300,$B273)+SUMIFS('ИТОГО Лэндинг'!$I$5:$I$300,'ИТОГО Лэндинг'!$B$5:$B$300,$B273),8)))</f>
        <v/>
      </c>
      <c r="J273" s="241">
        <f>IF($B273="","",IF(AND(C273="",F273=""),"",ROUND(SUMIFS('ИТОГО Торговля'!$J$5:$J$300,'ИТОГО Торговля'!$B$5:$B$300,$B273)+SUMIFS('ИТОГО Лэндинг'!$J$5:$J$300,'ИТОГО Лэндинг'!$B$5:$B$300,$B273),8)))</f>
        <v/>
      </c>
      <c r="K273" s="240">
        <f>IF($B273="","",ROUND(SUMIFS('ИТОГО Торговля'!$K$5:$K$300,'ИТОГО Торговля'!$B$5:$B$300,$B273)+SUMIFS('ИТОГО Лэндинг'!$K$5:$K$300,'ИТОГО Лэндинг'!$B$5:$B$300,$B273),8))</f>
        <v/>
      </c>
      <c r="L273" s="177">
        <f>IF(K273="","",IF(SUMPRODUCT((Закрытые!$E$5:$E$300=$B273)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273/SUMPRODUCT((Закрытые!$E$5:$E$300=$B273)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3" s="177">
        <f>IF(OR(ROUND(N(C273)-N(F273),8)=0,1-N(Ввод!$E$17)/100&lt;=0),"",IF(N(C273)&gt;N(F273),(N(E273)-N(H273))/((N(C273)-N(F273))*(1-N(Ввод!$E$17)/100)),(N(H273)-N(E273))/((N(F273)-N(C273))*(1+N(Ввод!$E$17)/100))))</f>
        <v/>
      </c>
    </row>
    <row r="274" ht="22" customHeight="1">
      <c r="B274" s="320" t="n"/>
      <c r="C274" s="246">
        <f>IF($B274="","",IF(SUMIFS('ИТОГО Торговля'!$C$5:$C$300,'ИТОГО Торговля'!$B$5:$B$300,$B274)+SUMIFS('ИТОГО Лэндинг'!$C$5:$C$300,'ИТОГО Лэндинг'!$B$5:$B$300,$B274)=0,"",SUMIFS('ИТОГО Торговля'!$C$5:$C$300,'ИТОГО Торговля'!$B$5:$B$300,$B274)+SUMIFS('ИТОГО Лэндинг'!$C$5:$C$300,'ИТОГО Лэндинг'!$B$5:$B$300,$B274)))</f>
        <v/>
      </c>
      <c r="D274" s="183">
        <f>IF(C274="","",E274/C274)</f>
        <v/>
      </c>
      <c r="E274" s="247">
        <f>IF(C274="","",SUMIFS('ИТОГО Торговля'!$E$5:$E$300,'ИТОГО Торговля'!$B$5:$B$300,$B274)+SUMIFS('ИТОГО Лэндинг'!$E$5:$E$300,'ИТОГО Лэндинг'!$B$5:$B$300,$B274))</f>
        <v/>
      </c>
      <c r="F274" s="246">
        <f>IF($B274="","",IF(SUMIFS('ИТОГО Торговля'!$F$5:$F$300,'ИТОГО Торговля'!$B$5:$B$300,$B274)+SUMIFS('ИТОГО Лэндинг'!$F$5:$F$300,'ИТОГО Лэндинг'!$B$5:$B$300,$B274)=0,"",SUMIFS('ИТОГО Торговля'!$F$5:$F$300,'ИТОГО Торговля'!$B$5:$B$300,$B274)+SUMIFS('ИТОГО Лэндинг'!$F$5:$F$300,'ИТОГО Лэндинг'!$B$5:$B$300,$B274)))</f>
        <v/>
      </c>
      <c r="G274" s="183">
        <f>IF(F274="","",H274/F274)</f>
        <v/>
      </c>
      <c r="H274" s="247">
        <f>IF(F274="","",SUMIFS('ИТОГО Торговля'!$H$5:$H$300,'ИТОГО Торговля'!$B$5:$B$300,$B274)+SUMIFS('ИТОГО Лэндинг'!$H$5:$H$300,'ИТОГО Лэндинг'!$B$5:$B$300,$B274))</f>
        <v/>
      </c>
      <c r="I274" s="246">
        <f>IF($B274="","",IF(AND(C274="",F274=""),"",ROUND(SUMIFS('ИТОГО Торговля'!$I$5:$I$300,'ИТОГО Торговля'!$B$5:$B$300,$B274)+SUMIFS('ИТОГО Лэндинг'!$I$5:$I$300,'ИТОГО Лэндинг'!$B$5:$B$300,$B274),8)))</f>
        <v/>
      </c>
      <c r="J274" s="247">
        <f>IF($B274="","",IF(AND(C274="",F274=""),"",ROUND(SUMIFS('ИТОГО Торговля'!$J$5:$J$300,'ИТОГО Торговля'!$B$5:$B$300,$B274)+SUMIFS('ИТОГО Лэндинг'!$J$5:$J$300,'ИТОГО Лэндинг'!$B$5:$B$300,$B274),8)))</f>
        <v/>
      </c>
      <c r="K274" s="246">
        <f>IF($B274="","",ROUND(SUMIFS('ИТОГО Торговля'!$K$5:$K$300,'ИТОГО Торговля'!$B$5:$B$300,$B274)+SUMIFS('ИТОГО Лэндинг'!$K$5:$K$300,'ИТОГО Лэндинг'!$B$5:$B$300,$B274),8))</f>
        <v/>
      </c>
      <c r="L274" s="183">
        <f>IF(K274="","",IF(SUMPRODUCT((Закрытые!$E$5:$E$300=$B274)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274/SUMPRODUCT((Закрытые!$E$5:$E$300=$B274)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4" s="183">
        <f>IF(OR(ROUND(N(C274)-N(F274),8)=0,1-N(Ввод!$E$17)/100&lt;=0),"",IF(N(C274)&gt;N(F274),(N(E274)-N(H274))/((N(C274)-N(F274))*(1-N(Ввод!$E$17)/100)),(N(H274)-N(E274))/((N(F274)-N(C274))*(1+N(Ввод!$E$17)/100))))</f>
        <v/>
      </c>
    </row>
    <row r="275" ht="22" customHeight="1">
      <c r="B275" s="315" t="n"/>
      <c r="C275" s="240">
        <f>IF($B275="","",IF(SUMIFS('ИТОГО Торговля'!$C$5:$C$300,'ИТОГО Торговля'!$B$5:$B$300,$B275)+SUMIFS('ИТОГО Лэндинг'!$C$5:$C$300,'ИТОГО Лэндинг'!$B$5:$B$300,$B275)=0,"",SUMIFS('ИТОГО Торговля'!$C$5:$C$300,'ИТОГО Торговля'!$B$5:$B$300,$B275)+SUMIFS('ИТОГО Лэндинг'!$C$5:$C$300,'ИТОГО Лэндинг'!$B$5:$B$300,$B275)))</f>
        <v/>
      </c>
      <c r="D275" s="177">
        <f>IF(C275="","",E275/C275)</f>
        <v/>
      </c>
      <c r="E275" s="241">
        <f>IF(C275="","",SUMIFS('ИТОГО Торговля'!$E$5:$E$300,'ИТОГО Торговля'!$B$5:$B$300,$B275)+SUMIFS('ИТОГО Лэндинг'!$E$5:$E$300,'ИТОГО Лэндинг'!$B$5:$B$300,$B275))</f>
        <v/>
      </c>
      <c r="F275" s="240">
        <f>IF($B275="","",IF(SUMIFS('ИТОГО Торговля'!$F$5:$F$300,'ИТОГО Торговля'!$B$5:$B$300,$B275)+SUMIFS('ИТОГО Лэндинг'!$F$5:$F$300,'ИТОГО Лэндинг'!$B$5:$B$300,$B275)=0,"",SUMIFS('ИТОГО Торговля'!$F$5:$F$300,'ИТОГО Торговля'!$B$5:$B$300,$B275)+SUMIFS('ИТОГО Лэндинг'!$F$5:$F$300,'ИТОГО Лэндинг'!$B$5:$B$300,$B275)))</f>
        <v/>
      </c>
      <c r="G275" s="177">
        <f>IF(F275="","",H275/F275)</f>
        <v/>
      </c>
      <c r="H275" s="241">
        <f>IF(F275="","",SUMIFS('ИТОГО Торговля'!$H$5:$H$300,'ИТОГО Торговля'!$B$5:$B$300,$B275)+SUMIFS('ИТОГО Лэндинг'!$H$5:$H$300,'ИТОГО Лэндинг'!$B$5:$B$300,$B275))</f>
        <v/>
      </c>
      <c r="I275" s="240">
        <f>IF($B275="","",IF(AND(C275="",F275=""),"",ROUND(SUMIFS('ИТОГО Торговля'!$I$5:$I$300,'ИТОГО Торговля'!$B$5:$B$300,$B275)+SUMIFS('ИТОГО Лэндинг'!$I$5:$I$300,'ИТОГО Лэндинг'!$B$5:$B$300,$B275),8)))</f>
        <v/>
      </c>
      <c r="J275" s="241">
        <f>IF($B275="","",IF(AND(C275="",F275=""),"",ROUND(SUMIFS('ИТОГО Торговля'!$J$5:$J$300,'ИТОГО Торговля'!$B$5:$B$300,$B275)+SUMIFS('ИТОГО Лэндинг'!$J$5:$J$300,'ИТОГО Лэндинг'!$B$5:$B$300,$B275),8)))</f>
        <v/>
      </c>
      <c r="K275" s="240">
        <f>IF($B275="","",ROUND(SUMIFS('ИТОГО Торговля'!$K$5:$K$300,'ИТОГО Торговля'!$B$5:$B$300,$B275)+SUMIFS('ИТОГО Лэндинг'!$K$5:$K$300,'ИТОГО Лэндинг'!$B$5:$B$300,$B275),8))</f>
        <v/>
      </c>
      <c r="L275" s="177">
        <f>IF(K275="","",IF(SUMPRODUCT((Закрытые!$E$5:$E$300=$B275)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275/SUMPRODUCT((Закрытые!$E$5:$E$300=$B275)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5" s="177">
        <f>IF(OR(ROUND(N(C275)-N(F275),8)=0,1-N(Ввод!$E$17)/100&lt;=0),"",IF(N(C275)&gt;N(F275),(N(E275)-N(H275))/((N(C275)-N(F275))*(1-N(Ввод!$E$17)/100)),(N(H275)-N(E275))/((N(F275)-N(C275))*(1+N(Ввод!$E$17)/100))))</f>
        <v/>
      </c>
    </row>
    <row r="276" ht="22" customHeight="1">
      <c r="B276" s="320" t="n"/>
      <c r="C276" s="246">
        <f>IF($B276="","",IF(SUMIFS('ИТОГО Торговля'!$C$5:$C$300,'ИТОГО Торговля'!$B$5:$B$300,$B276)+SUMIFS('ИТОГО Лэндинг'!$C$5:$C$300,'ИТОГО Лэндинг'!$B$5:$B$300,$B276)=0,"",SUMIFS('ИТОГО Торговля'!$C$5:$C$300,'ИТОГО Торговля'!$B$5:$B$300,$B276)+SUMIFS('ИТОГО Лэндинг'!$C$5:$C$300,'ИТОГО Лэндинг'!$B$5:$B$300,$B276)))</f>
        <v/>
      </c>
      <c r="D276" s="183">
        <f>IF(C276="","",E276/C276)</f>
        <v/>
      </c>
      <c r="E276" s="247">
        <f>IF(C276="","",SUMIFS('ИТОГО Торговля'!$E$5:$E$300,'ИТОГО Торговля'!$B$5:$B$300,$B276)+SUMIFS('ИТОГО Лэндинг'!$E$5:$E$300,'ИТОГО Лэндинг'!$B$5:$B$300,$B276))</f>
        <v/>
      </c>
      <c r="F276" s="246">
        <f>IF($B276="","",IF(SUMIFS('ИТОГО Торговля'!$F$5:$F$300,'ИТОГО Торговля'!$B$5:$B$300,$B276)+SUMIFS('ИТОГО Лэндинг'!$F$5:$F$300,'ИТОГО Лэндинг'!$B$5:$B$300,$B276)=0,"",SUMIFS('ИТОГО Торговля'!$F$5:$F$300,'ИТОГО Торговля'!$B$5:$B$300,$B276)+SUMIFS('ИТОГО Лэндинг'!$F$5:$F$300,'ИТОГО Лэндинг'!$B$5:$B$300,$B276)))</f>
        <v/>
      </c>
      <c r="G276" s="183">
        <f>IF(F276="","",H276/F276)</f>
        <v/>
      </c>
      <c r="H276" s="247">
        <f>IF(F276="","",SUMIFS('ИТОГО Торговля'!$H$5:$H$300,'ИТОГО Торговля'!$B$5:$B$300,$B276)+SUMIFS('ИТОГО Лэндинг'!$H$5:$H$300,'ИТОГО Лэндинг'!$B$5:$B$300,$B276))</f>
        <v/>
      </c>
      <c r="I276" s="246">
        <f>IF($B276="","",IF(AND(C276="",F276=""),"",ROUND(SUMIFS('ИТОГО Торговля'!$I$5:$I$300,'ИТОГО Торговля'!$B$5:$B$300,$B276)+SUMIFS('ИТОГО Лэндинг'!$I$5:$I$300,'ИТОГО Лэндинг'!$B$5:$B$300,$B276),8)))</f>
        <v/>
      </c>
      <c r="J276" s="247">
        <f>IF($B276="","",IF(AND(C276="",F276=""),"",ROUND(SUMIFS('ИТОГО Торговля'!$J$5:$J$300,'ИТОГО Торговля'!$B$5:$B$300,$B276)+SUMIFS('ИТОГО Лэндинг'!$J$5:$J$300,'ИТОГО Лэндинг'!$B$5:$B$300,$B276),8)))</f>
        <v/>
      </c>
      <c r="K276" s="246">
        <f>IF($B276="","",ROUND(SUMIFS('ИТОГО Торговля'!$K$5:$K$300,'ИТОГО Торговля'!$B$5:$B$300,$B276)+SUMIFS('ИТОГО Лэндинг'!$K$5:$K$300,'ИТОГО Лэндинг'!$B$5:$B$300,$B276),8))</f>
        <v/>
      </c>
      <c r="L276" s="183">
        <f>IF(K276="","",IF(SUMPRODUCT((Закрытые!$E$5:$E$300=$B276)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276/SUMPRODUCT((Закрытые!$E$5:$E$300=$B276)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6" s="183">
        <f>IF(OR(ROUND(N(C276)-N(F276),8)=0,1-N(Ввод!$E$17)/100&lt;=0),"",IF(N(C276)&gt;N(F276),(N(E276)-N(H276))/((N(C276)-N(F276))*(1-N(Ввод!$E$17)/100)),(N(H276)-N(E276))/((N(F276)-N(C276))*(1+N(Ввод!$E$17)/100))))</f>
        <v/>
      </c>
    </row>
    <row r="277" ht="22" customHeight="1">
      <c r="B277" s="315" t="n"/>
      <c r="C277" s="240">
        <f>IF($B277="","",IF(SUMIFS('ИТОГО Торговля'!$C$5:$C$300,'ИТОГО Торговля'!$B$5:$B$300,$B277)+SUMIFS('ИТОГО Лэндинг'!$C$5:$C$300,'ИТОГО Лэндинг'!$B$5:$B$300,$B277)=0,"",SUMIFS('ИТОГО Торговля'!$C$5:$C$300,'ИТОГО Торговля'!$B$5:$B$300,$B277)+SUMIFS('ИТОГО Лэндинг'!$C$5:$C$300,'ИТОГО Лэндинг'!$B$5:$B$300,$B277)))</f>
        <v/>
      </c>
      <c r="D277" s="177">
        <f>IF(C277="","",E277/C277)</f>
        <v/>
      </c>
      <c r="E277" s="241">
        <f>IF(C277="","",SUMIFS('ИТОГО Торговля'!$E$5:$E$300,'ИТОГО Торговля'!$B$5:$B$300,$B277)+SUMIFS('ИТОГО Лэндинг'!$E$5:$E$300,'ИТОГО Лэндинг'!$B$5:$B$300,$B277))</f>
        <v/>
      </c>
      <c r="F277" s="240">
        <f>IF($B277="","",IF(SUMIFS('ИТОГО Торговля'!$F$5:$F$300,'ИТОГО Торговля'!$B$5:$B$300,$B277)+SUMIFS('ИТОГО Лэндинг'!$F$5:$F$300,'ИТОГО Лэндинг'!$B$5:$B$300,$B277)=0,"",SUMIFS('ИТОГО Торговля'!$F$5:$F$300,'ИТОГО Торговля'!$B$5:$B$300,$B277)+SUMIFS('ИТОГО Лэндинг'!$F$5:$F$300,'ИТОГО Лэндинг'!$B$5:$B$300,$B277)))</f>
        <v/>
      </c>
      <c r="G277" s="177">
        <f>IF(F277="","",H277/F277)</f>
        <v/>
      </c>
      <c r="H277" s="241">
        <f>IF(F277="","",SUMIFS('ИТОГО Торговля'!$H$5:$H$300,'ИТОГО Торговля'!$B$5:$B$300,$B277)+SUMIFS('ИТОГО Лэндинг'!$H$5:$H$300,'ИТОГО Лэндинг'!$B$5:$B$300,$B277))</f>
        <v/>
      </c>
      <c r="I277" s="240">
        <f>IF($B277="","",IF(AND(C277="",F277=""),"",ROUND(SUMIFS('ИТОГО Торговля'!$I$5:$I$300,'ИТОГО Торговля'!$B$5:$B$300,$B277)+SUMIFS('ИТОГО Лэндинг'!$I$5:$I$300,'ИТОГО Лэндинг'!$B$5:$B$300,$B277),8)))</f>
        <v/>
      </c>
      <c r="J277" s="241">
        <f>IF($B277="","",IF(AND(C277="",F277=""),"",ROUND(SUMIFS('ИТОГО Торговля'!$J$5:$J$300,'ИТОГО Торговля'!$B$5:$B$300,$B277)+SUMIFS('ИТОГО Лэндинг'!$J$5:$J$300,'ИТОГО Лэндинг'!$B$5:$B$300,$B277),8)))</f>
        <v/>
      </c>
      <c r="K277" s="240">
        <f>IF($B277="","",ROUND(SUMIFS('ИТОГО Торговля'!$K$5:$K$300,'ИТОГО Торговля'!$B$5:$B$300,$B277)+SUMIFS('ИТОГО Лэндинг'!$K$5:$K$300,'ИТОГО Лэндинг'!$B$5:$B$300,$B277),8))</f>
        <v/>
      </c>
      <c r="L277" s="177">
        <f>IF(K277="","",IF(SUMPRODUCT((Закрытые!$E$5:$E$300=$B277)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277/SUMPRODUCT((Закрытые!$E$5:$E$300=$B277)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7" s="177">
        <f>IF(OR(ROUND(N(C277)-N(F277),8)=0,1-N(Ввод!$E$17)/100&lt;=0),"",IF(N(C277)&gt;N(F277),(N(E277)-N(H277))/((N(C277)-N(F277))*(1-N(Ввод!$E$17)/100)),(N(H277)-N(E277))/((N(F277)-N(C277))*(1+N(Ввод!$E$17)/100))))</f>
        <v/>
      </c>
    </row>
    <row r="278" ht="22" customHeight="1">
      <c r="B278" s="320" t="n"/>
      <c r="C278" s="246">
        <f>IF($B278="","",IF(SUMIFS('ИТОГО Торговля'!$C$5:$C$300,'ИТОГО Торговля'!$B$5:$B$300,$B278)+SUMIFS('ИТОГО Лэндинг'!$C$5:$C$300,'ИТОГО Лэндинг'!$B$5:$B$300,$B278)=0,"",SUMIFS('ИТОГО Торговля'!$C$5:$C$300,'ИТОГО Торговля'!$B$5:$B$300,$B278)+SUMIFS('ИТОГО Лэндинг'!$C$5:$C$300,'ИТОГО Лэндинг'!$B$5:$B$300,$B278)))</f>
        <v/>
      </c>
      <c r="D278" s="183">
        <f>IF(C278="","",E278/C278)</f>
        <v/>
      </c>
      <c r="E278" s="247">
        <f>IF(C278="","",SUMIFS('ИТОГО Торговля'!$E$5:$E$300,'ИТОГО Торговля'!$B$5:$B$300,$B278)+SUMIFS('ИТОГО Лэндинг'!$E$5:$E$300,'ИТОГО Лэндинг'!$B$5:$B$300,$B278))</f>
        <v/>
      </c>
      <c r="F278" s="246">
        <f>IF($B278="","",IF(SUMIFS('ИТОГО Торговля'!$F$5:$F$300,'ИТОГО Торговля'!$B$5:$B$300,$B278)+SUMIFS('ИТОГО Лэндинг'!$F$5:$F$300,'ИТОГО Лэндинг'!$B$5:$B$300,$B278)=0,"",SUMIFS('ИТОГО Торговля'!$F$5:$F$300,'ИТОГО Торговля'!$B$5:$B$300,$B278)+SUMIFS('ИТОГО Лэндинг'!$F$5:$F$300,'ИТОГО Лэндинг'!$B$5:$B$300,$B278)))</f>
        <v/>
      </c>
      <c r="G278" s="183">
        <f>IF(F278="","",H278/F278)</f>
        <v/>
      </c>
      <c r="H278" s="247">
        <f>IF(F278="","",SUMIFS('ИТОГО Торговля'!$H$5:$H$300,'ИТОГО Торговля'!$B$5:$B$300,$B278)+SUMIFS('ИТОГО Лэндинг'!$H$5:$H$300,'ИТОГО Лэндинг'!$B$5:$B$300,$B278))</f>
        <v/>
      </c>
      <c r="I278" s="246">
        <f>IF($B278="","",IF(AND(C278="",F278=""),"",ROUND(SUMIFS('ИТОГО Торговля'!$I$5:$I$300,'ИТОГО Торговля'!$B$5:$B$300,$B278)+SUMIFS('ИТОГО Лэндинг'!$I$5:$I$300,'ИТОГО Лэндинг'!$B$5:$B$300,$B278),8)))</f>
        <v/>
      </c>
      <c r="J278" s="247">
        <f>IF($B278="","",IF(AND(C278="",F278=""),"",ROUND(SUMIFS('ИТОГО Торговля'!$J$5:$J$300,'ИТОГО Торговля'!$B$5:$B$300,$B278)+SUMIFS('ИТОГО Лэндинг'!$J$5:$J$300,'ИТОГО Лэндинг'!$B$5:$B$300,$B278),8)))</f>
        <v/>
      </c>
      <c r="K278" s="246">
        <f>IF($B278="","",ROUND(SUMIFS('ИТОГО Торговля'!$K$5:$K$300,'ИТОГО Торговля'!$B$5:$B$300,$B278)+SUMIFS('ИТОГО Лэндинг'!$K$5:$K$300,'ИТОГО Лэндинг'!$B$5:$B$300,$B278),8))</f>
        <v/>
      </c>
      <c r="L278" s="183">
        <f>IF(K278="","",IF(SUMPRODUCT((Закрытые!$E$5:$E$300=$B278)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278/SUMPRODUCT((Закрытые!$E$5:$E$300=$B278)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8" s="183">
        <f>IF(OR(ROUND(N(C278)-N(F278),8)=0,1-N(Ввод!$E$17)/100&lt;=0),"",IF(N(C278)&gt;N(F278),(N(E278)-N(H278))/((N(C278)-N(F278))*(1-N(Ввод!$E$17)/100)),(N(H278)-N(E278))/((N(F278)-N(C278))*(1+N(Ввод!$E$17)/100))))</f>
        <v/>
      </c>
    </row>
    <row r="279" ht="22" customHeight="1">
      <c r="B279" s="315" t="n"/>
      <c r="C279" s="240">
        <f>IF($B279="","",IF(SUMIFS('ИТОГО Торговля'!$C$5:$C$300,'ИТОГО Торговля'!$B$5:$B$300,$B279)+SUMIFS('ИТОГО Лэндинг'!$C$5:$C$300,'ИТОГО Лэндинг'!$B$5:$B$300,$B279)=0,"",SUMIFS('ИТОГО Торговля'!$C$5:$C$300,'ИТОГО Торговля'!$B$5:$B$300,$B279)+SUMIFS('ИТОГО Лэндинг'!$C$5:$C$300,'ИТОГО Лэндинг'!$B$5:$B$300,$B279)))</f>
        <v/>
      </c>
      <c r="D279" s="177">
        <f>IF(C279="","",E279/C279)</f>
        <v/>
      </c>
      <c r="E279" s="241">
        <f>IF(C279="","",SUMIFS('ИТОГО Торговля'!$E$5:$E$300,'ИТОГО Торговля'!$B$5:$B$300,$B279)+SUMIFS('ИТОГО Лэндинг'!$E$5:$E$300,'ИТОГО Лэндинг'!$B$5:$B$300,$B279))</f>
        <v/>
      </c>
      <c r="F279" s="240">
        <f>IF($B279="","",IF(SUMIFS('ИТОГО Торговля'!$F$5:$F$300,'ИТОГО Торговля'!$B$5:$B$300,$B279)+SUMIFS('ИТОГО Лэндинг'!$F$5:$F$300,'ИТОГО Лэндинг'!$B$5:$B$300,$B279)=0,"",SUMIFS('ИТОГО Торговля'!$F$5:$F$300,'ИТОГО Торговля'!$B$5:$B$300,$B279)+SUMIFS('ИТОГО Лэндинг'!$F$5:$F$300,'ИТОГО Лэндинг'!$B$5:$B$300,$B279)))</f>
        <v/>
      </c>
      <c r="G279" s="177">
        <f>IF(F279="","",H279/F279)</f>
        <v/>
      </c>
      <c r="H279" s="241">
        <f>IF(F279="","",SUMIFS('ИТОГО Торговля'!$H$5:$H$300,'ИТОГО Торговля'!$B$5:$B$300,$B279)+SUMIFS('ИТОГО Лэндинг'!$H$5:$H$300,'ИТОГО Лэндинг'!$B$5:$B$300,$B279))</f>
        <v/>
      </c>
      <c r="I279" s="240">
        <f>IF($B279="","",IF(AND(C279="",F279=""),"",ROUND(SUMIFS('ИТОГО Торговля'!$I$5:$I$300,'ИТОГО Торговля'!$B$5:$B$300,$B279)+SUMIFS('ИТОГО Лэндинг'!$I$5:$I$300,'ИТОГО Лэндинг'!$B$5:$B$300,$B279),8)))</f>
        <v/>
      </c>
      <c r="J279" s="241">
        <f>IF($B279="","",IF(AND(C279="",F279=""),"",ROUND(SUMIFS('ИТОГО Торговля'!$J$5:$J$300,'ИТОГО Торговля'!$B$5:$B$300,$B279)+SUMIFS('ИТОГО Лэндинг'!$J$5:$J$300,'ИТОГО Лэндинг'!$B$5:$B$300,$B279),8)))</f>
        <v/>
      </c>
      <c r="K279" s="240">
        <f>IF($B279="","",ROUND(SUMIFS('ИТОГО Торговля'!$K$5:$K$300,'ИТОГО Торговля'!$B$5:$B$300,$B279)+SUMIFS('ИТОГО Лэндинг'!$K$5:$K$300,'ИТОГО Лэндинг'!$B$5:$B$300,$B279),8))</f>
        <v/>
      </c>
      <c r="L279" s="177">
        <f>IF(K279="","",IF(SUMPRODUCT((Закрытые!$E$5:$E$300=$B279)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279/SUMPRODUCT((Закрытые!$E$5:$E$300=$B279)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9" s="177">
        <f>IF(OR(ROUND(N(C279)-N(F279),8)=0,1-N(Ввод!$E$17)/100&lt;=0),"",IF(N(C279)&gt;N(F279),(N(E279)-N(H279))/((N(C279)-N(F279))*(1-N(Ввод!$E$17)/100)),(N(H279)-N(E279))/((N(F279)-N(C279))*(1+N(Ввод!$E$17)/100))))</f>
        <v/>
      </c>
    </row>
    <row r="280" ht="22" customHeight="1">
      <c r="B280" s="320" t="n"/>
      <c r="C280" s="246">
        <f>IF($B280="","",IF(SUMIFS('ИТОГО Торговля'!$C$5:$C$300,'ИТОГО Торговля'!$B$5:$B$300,$B280)+SUMIFS('ИТОГО Лэндинг'!$C$5:$C$300,'ИТОГО Лэндинг'!$B$5:$B$300,$B280)=0,"",SUMIFS('ИТОГО Торговля'!$C$5:$C$300,'ИТОГО Торговля'!$B$5:$B$300,$B280)+SUMIFS('ИТОГО Лэндинг'!$C$5:$C$300,'ИТОГО Лэндинг'!$B$5:$B$300,$B280)))</f>
        <v/>
      </c>
      <c r="D280" s="183">
        <f>IF(C280="","",E280/C280)</f>
        <v/>
      </c>
      <c r="E280" s="247">
        <f>IF(C280="","",SUMIFS('ИТОГО Торговля'!$E$5:$E$300,'ИТОГО Торговля'!$B$5:$B$300,$B280)+SUMIFS('ИТОГО Лэндинг'!$E$5:$E$300,'ИТОГО Лэндинг'!$B$5:$B$300,$B280))</f>
        <v/>
      </c>
      <c r="F280" s="246">
        <f>IF($B280="","",IF(SUMIFS('ИТОГО Торговля'!$F$5:$F$300,'ИТОГО Торговля'!$B$5:$B$300,$B280)+SUMIFS('ИТОГО Лэндинг'!$F$5:$F$300,'ИТОГО Лэндинг'!$B$5:$B$300,$B280)=0,"",SUMIFS('ИТОГО Торговля'!$F$5:$F$300,'ИТОГО Торговля'!$B$5:$B$300,$B280)+SUMIFS('ИТОГО Лэндинг'!$F$5:$F$300,'ИТОГО Лэндинг'!$B$5:$B$300,$B280)))</f>
        <v/>
      </c>
      <c r="G280" s="183">
        <f>IF(F280="","",H280/F280)</f>
        <v/>
      </c>
      <c r="H280" s="247">
        <f>IF(F280="","",SUMIFS('ИТОГО Торговля'!$H$5:$H$300,'ИТОГО Торговля'!$B$5:$B$300,$B280)+SUMIFS('ИТОГО Лэндинг'!$H$5:$H$300,'ИТОГО Лэндинг'!$B$5:$B$300,$B280))</f>
        <v/>
      </c>
      <c r="I280" s="246">
        <f>IF($B280="","",IF(AND(C280="",F280=""),"",ROUND(SUMIFS('ИТОГО Торговля'!$I$5:$I$300,'ИТОГО Торговля'!$B$5:$B$300,$B280)+SUMIFS('ИТОГО Лэндинг'!$I$5:$I$300,'ИТОГО Лэндинг'!$B$5:$B$300,$B280),8)))</f>
        <v/>
      </c>
      <c r="J280" s="247">
        <f>IF($B280="","",IF(AND(C280="",F280=""),"",ROUND(SUMIFS('ИТОГО Торговля'!$J$5:$J$300,'ИТОГО Торговля'!$B$5:$B$300,$B280)+SUMIFS('ИТОГО Лэндинг'!$J$5:$J$300,'ИТОГО Лэндинг'!$B$5:$B$300,$B280),8)))</f>
        <v/>
      </c>
      <c r="K280" s="246">
        <f>IF($B280="","",ROUND(SUMIFS('ИТОГО Торговля'!$K$5:$K$300,'ИТОГО Торговля'!$B$5:$B$300,$B280)+SUMIFS('ИТОГО Лэндинг'!$K$5:$K$300,'ИТОГО Лэндинг'!$B$5:$B$300,$B280),8))</f>
        <v/>
      </c>
      <c r="L280" s="183">
        <f>IF(K280="","",IF(SUMPRODUCT((Закрытые!$E$5:$E$300=$B280)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280/SUMPRODUCT((Закрытые!$E$5:$E$300=$B280)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0" s="183">
        <f>IF(OR(ROUND(N(C280)-N(F280),8)=0,1-N(Ввод!$E$17)/100&lt;=0),"",IF(N(C280)&gt;N(F280),(N(E280)-N(H280))/((N(C280)-N(F280))*(1-N(Ввод!$E$17)/100)),(N(H280)-N(E280))/((N(F280)-N(C280))*(1+N(Ввод!$E$17)/100))))</f>
        <v/>
      </c>
    </row>
    <row r="281" ht="22" customHeight="1">
      <c r="B281" s="315" t="n"/>
      <c r="C281" s="240">
        <f>IF($B281="","",IF(SUMIFS('ИТОГО Торговля'!$C$5:$C$300,'ИТОГО Торговля'!$B$5:$B$300,$B281)+SUMIFS('ИТОГО Лэндинг'!$C$5:$C$300,'ИТОГО Лэндинг'!$B$5:$B$300,$B281)=0,"",SUMIFS('ИТОГО Торговля'!$C$5:$C$300,'ИТОГО Торговля'!$B$5:$B$300,$B281)+SUMIFS('ИТОГО Лэндинг'!$C$5:$C$300,'ИТОГО Лэндинг'!$B$5:$B$300,$B281)))</f>
        <v/>
      </c>
      <c r="D281" s="177">
        <f>IF(C281="","",E281/C281)</f>
        <v/>
      </c>
      <c r="E281" s="241">
        <f>IF(C281="","",SUMIFS('ИТОГО Торговля'!$E$5:$E$300,'ИТОГО Торговля'!$B$5:$B$300,$B281)+SUMIFS('ИТОГО Лэндинг'!$E$5:$E$300,'ИТОГО Лэндинг'!$B$5:$B$300,$B281))</f>
        <v/>
      </c>
      <c r="F281" s="240">
        <f>IF($B281="","",IF(SUMIFS('ИТОГО Торговля'!$F$5:$F$300,'ИТОГО Торговля'!$B$5:$B$300,$B281)+SUMIFS('ИТОГО Лэндинг'!$F$5:$F$300,'ИТОГО Лэндинг'!$B$5:$B$300,$B281)=0,"",SUMIFS('ИТОГО Торговля'!$F$5:$F$300,'ИТОГО Торговля'!$B$5:$B$300,$B281)+SUMIFS('ИТОГО Лэндинг'!$F$5:$F$300,'ИТОГО Лэндинг'!$B$5:$B$300,$B281)))</f>
        <v/>
      </c>
      <c r="G281" s="177">
        <f>IF(F281="","",H281/F281)</f>
        <v/>
      </c>
      <c r="H281" s="241">
        <f>IF(F281="","",SUMIFS('ИТОГО Торговля'!$H$5:$H$300,'ИТОГО Торговля'!$B$5:$B$300,$B281)+SUMIFS('ИТОГО Лэндинг'!$H$5:$H$300,'ИТОГО Лэндинг'!$B$5:$B$300,$B281))</f>
        <v/>
      </c>
      <c r="I281" s="240">
        <f>IF($B281="","",IF(AND(C281="",F281=""),"",ROUND(SUMIFS('ИТОГО Торговля'!$I$5:$I$300,'ИТОГО Торговля'!$B$5:$B$300,$B281)+SUMIFS('ИТОГО Лэндинг'!$I$5:$I$300,'ИТОГО Лэндинг'!$B$5:$B$300,$B281),8)))</f>
        <v/>
      </c>
      <c r="J281" s="241">
        <f>IF($B281="","",IF(AND(C281="",F281=""),"",ROUND(SUMIFS('ИТОГО Торговля'!$J$5:$J$300,'ИТОГО Торговля'!$B$5:$B$300,$B281)+SUMIFS('ИТОГО Лэндинг'!$J$5:$J$300,'ИТОГО Лэндинг'!$B$5:$B$300,$B281),8)))</f>
        <v/>
      </c>
      <c r="K281" s="240">
        <f>IF($B281="","",ROUND(SUMIFS('ИТОГО Торговля'!$K$5:$K$300,'ИТОГО Торговля'!$B$5:$B$300,$B281)+SUMIFS('ИТОГО Лэндинг'!$K$5:$K$300,'ИТОГО Лэндинг'!$B$5:$B$300,$B281),8))</f>
        <v/>
      </c>
      <c r="L281" s="177">
        <f>IF(K281="","",IF(SUMPRODUCT((Закрытые!$E$5:$E$300=$B281)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281/SUMPRODUCT((Закрытые!$E$5:$E$300=$B281)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1" s="177">
        <f>IF(OR(ROUND(N(C281)-N(F281),8)=0,1-N(Ввод!$E$17)/100&lt;=0),"",IF(N(C281)&gt;N(F281),(N(E281)-N(H281))/((N(C281)-N(F281))*(1-N(Ввод!$E$17)/100)),(N(H281)-N(E281))/((N(F281)-N(C281))*(1+N(Ввод!$E$17)/100))))</f>
        <v/>
      </c>
    </row>
    <row r="282" ht="22" customHeight="1">
      <c r="B282" s="320" t="n"/>
      <c r="C282" s="246">
        <f>IF($B282="","",IF(SUMIFS('ИТОГО Торговля'!$C$5:$C$300,'ИТОГО Торговля'!$B$5:$B$300,$B282)+SUMIFS('ИТОГО Лэндинг'!$C$5:$C$300,'ИТОГО Лэндинг'!$B$5:$B$300,$B282)=0,"",SUMIFS('ИТОГО Торговля'!$C$5:$C$300,'ИТОГО Торговля'!$B$5:$B$300,$B282)+SUMIFS('ИТОГО Лэндинг'!$C$5:$C$300,'ИТОГО Лэндинг'!$B$5:$B$300,$B282)))</f>
        <v/>
      </c>
      <c r="D282" s="183">
        <f>IF(C282="","",E282/C282)</f>
        <v/>
      </c>
      <c r="E282" s="247">
        <f>IF(C282="","",SUMIFS('ИТОГО Торговля'!$E$5:$E$300,'ИТОГО Торговля'!$B$5:$B$300,$B282)+SUMIFS('ИТОГО Лэндинг'!$E$5:$E$300,'ИТОГО Лэндинг'!$B$5:$B$300,$B282))</f>
        <v/>
      </c>
      <c r="F282" s="246">
        <f>IF($B282="","",IF(SUMIFS('ИТОГО Торговля'!$F$5:$F$300,'ИТОГО Торговля'!$B$5:$B$300,$B282)+SUMIFS('ИТОГО Лэндинг'!$F$5:$F$300,'ИТОГО Лэндинг'!$B$5:$B$300,$B282)=0,"",SUMIFS('ИТОГО Торговля'!$F$5:$F$300,'ИТОГО Торговля'!$B$5:$B$300,$B282)+SUMIFS('ИТОГО Лэндинг'!$F$5:$F$300,'ИТОГО Лэндинг'!$B$5:$B$300,$B282)))</f>
        <v/>
      </c>
      <c r="G282" s="183">
        <f>IF(F282="","",H282/F282)</f>
        <v/>
      </c>
      <c r="H282" s="247">
        <f>IF(F282="","",SUMIFS('ИТОГО Торговля'!$H$5:$H$300,'ИТОГО Торговля'!$B$5:$B$300,$B282)+SUMIFS('ИТОГО Лэндинг'!$H$5:$H$300,'ИТОГО Лэндинг'!$B$5:$B$300,$B282))</f>
        <v/>
      </c>
      <c r="I282" s="246">
        <f>IF($B282="","",IF(AND(C282="",F282=""),"",ROUND(SUMIFS('ИТОГО Торговля'!$I$5:$I$300,'ИТОГО Торговля'!$B$5:$B$300,$B282)+SUMIFS('ИТОГО Лэндинг'!$I$5:$I$300,'ИТОГО Лэндинг'!$B$5:$B$300,$B282),8)))</f>
        <v/>
      </c>
      <c r="J282" s="247">
        <f>IF($B282="","",IF(AND(C282="",F282=""),"",ROUND(SUMIFS('ИТОГО Торговля'!$J$5:$J$300,'ИТОГО Торговля'!$B$5:$B$300,$B282)+SUMIFS('ИТОГО Лэндинг'!$J$5:$J$300,'ИТОГО Лэндинг'!$B$5:$B$300,$B282),8)))</f>
        <v/>
      </c>
      <c r="K282" s="246">
        <f>IF($B282="","",ROUND(SUMIFS('ИТОГО Торговля'!$K$5:$K$300,'ИТОГО Торговля'!$B$5:$B$300,$B282)+SUMIFS('ИТОГО Лэндинг'!$K$5:$K$300,'ИТОГО Лэндинг'!$B$5:$B$300,$B282),8))</f>
        <v/>
      </c>
      <c r="L282" s="183">
        <f>IF(K282="","",IF(SUMPRODUCT((Закрытые!$E$5:$E$300=$B282)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282/SUMPRODUCT((Закрытые!$E$5:$E$300=$B282)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2" s="183">
        <f>IF(OR(ROUND(N(C282)-N(F282),8)=0,1-N(Ввод!$E$17)/100&lt;=0),"",IF(N(C282)&gt;N(F282),(N(E282)-N(H282))/((N(C282)-N(F282))*(1-N(Ввод!$E$17)/100)),(N(H282)-N(E282))/((N(F282)-N(C282))*(1+N(Ввод!$E$17)/100))))</f>
        <v/>
      </c>
    </row>
    <row r="283" ht="22" customHeight="1">
      <c r="B283" s="315" t="n"/>
      <c r="C283" s="240">
        <f>IF($B283="","",IF(SUMIFS('ИТОГО Торговля'!$C$5:$C$300,'ИТОГО Торговля'!$B$5:$B$300,$B283)+SUMIFS('ИТОГО Лэндинг'!$C$5:$C$300,'ИТОГО Лэндинг'!$B$5:$B$300,$B283)=0,"",SUMIFS('ИТОГО Торговля'!$C$5:$C$300,'ИТОГО Торговля'!$B$5:$B$300,$B283)+SUMIFS('ИТОГО Лэндинг'!$C$5:$C$300,'ИТОГО Лэндинг'!$B$5:$B$300,$B283)))</f>
        <v/>
      </c>
      <c r="D283" s="177">
        <f>IF(C283="","",E283/C283)</f>
        <v/>
      </c>
      <c r="E283" s="241">
        <f>IF(C283="","",SUMIFS('ИТОГО Торговля'!$E$5:$E$300,'ИТОГО Торговля'!$B$5:$B$300,$B283)+SUMIFS('ИТОГО Лэндинг'!$E$5:$E$300,'ИТОГО Лэндинг'!$B$5:$B$300,$B283))</f>
        <v/>
      </c>
      <c r="F283" s="240">
        <f>IF($B283="","",IF(SUMIFS('ИТОГО Торговля'!$F$5:$F$300,'ИТОГО Торговля'!$B$5:$B$300,$B283)+SUMIFS('ИТОГО Лэндинг'!$F$5:$F$300,'ИТОГО Лэндинг'!$B$5:$B$300,$B283)=0,"",SUMIFS('ИТОГО Торговля'!$F$5:$F$300,'ИТОГО Торговля'!$B$5:$B$300,$B283)+SUMIFS('ИТОГО Лэндинг'!$F$5:$F$300,'ИТОГО Лэндинг'!$B$5:$B$300,$B283)))</f>
        <v/>
      </c>
      <c r="G283" s="177">
        <f>IF(F283="","",H283/F283)</f>
        <v/>
      </c>
      <c r="H283" s="241">
        <f>IF(F283="","",SUMIFS('ИТОГО Торговля'!$H$5:$H$300,'ИТОГО Торговля'!$B$5:$B$300,$B283)+SUMIFS('ИТОГО Лэндинг'!$H$5:$H$300,'ИТОГО Лэндинг'!$B$5:$B$300,$B283))</f>
        <v/>
      </c>
      <c r="I283" s="240">
        <f>IF($B283="","",IF(AND(C283="",F283=""),"",ROUND(SUMIFS('ИТОГО Торговля'!$I$5:$I$300,'ИТОГО Торговля'!$B$5:$B$300,$B283)+SUMIFS('ИТОГО Лэндинг'!$I$5:$I$300,'ИТОГО Лэндинг'!$B$5:$B$300,$B283),8)))</f>
        <v/>
      </c>
      <c r="J283" s="241">
        <f>IF($B283="","",IF(AND(C283="",F283=""),"",ROUND(SUMIFS('ИТОГО Торговля'!$J$5:$J$300,'ИТОГО Торговля'!$B$5:$B$300,$B283)+SUMIFS('ИТОГО Лэндинг'!$J$5:$J$300,'ИТОГО Лэндинг'!$B$5:$B$300,$B283),8)))</f>
        <v/>
      </c>
      <c r="K283" s="240">
        <f>IF($B283="","",ROUND(SUMIFS('ИТОГО Торговля'!$K$5:$K$300,'ИТОГО Торговля'!$B$5:$B$300,$B283)+SUMIFS('ИТОГО Лэндинг'!$K$5:$K$300,'ИТОГО Лэндинг'!$B$5:$B$300,$B283),8))</f>
        <v/>
      </c>
      <c r="L283" s="177">
        <f>IF(K283="","",IF(SUMPRODUCT((Закрытые!$E$5:$E$300=$B283)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283/SUMPRODUCT((Закрытые!$E$5:$E$300=$B283)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3" s="177">
        <f>IF(OR(ROUND(N(C283)-N(F283),8)=0,1-N(Ввод!$E$17)/100&lt;=0),"",IF(N(C283)&gt;N(F283),(N(E283)-N(H283))/((N(C283)-N(F283))*(1-N(Ввод!$E$17)/100)),(N(H283)-N(E283))/((N(F283)-N(C283))*(1+N(Ввод!$E$17)/100))))</f>
        <v/>
      </c>
    </row>
    <row r="284" ht="22" customHeight="1">
      <c r="B284" s="320" t="n"/>
      <c r="C284" s="246">
        <f>IF($B284="","",IF(SUMIFS('ИТОГО Торговля'!$C$5:$C$300,'ИТОГО Торговля'!$B$5:$B$300,$B284)+SUMIFS('ИТОГО Лэндинг'!$C$5:$C$300,'ИТОГО Лэндинг'!$B$5:$B$300,$B284)=0,"",SUMIFS('ИТОГО Торговля'!$C$5:$C$300,'ИТОГО Торговля'!$B$5:$B$300,$B284)+SUMIFS('ИТОГО Лэндинг'!$C$5:$C$300,'ИТОГО Лэндинг'!$B$5:$B$300,$B284)))</f>
        <v/>
      </c>
      <c r="D284" s="183">
        <f>IF(C284="","",E284/C284)</f>
        <v/>
      </c>
      <c r="E284" s="247">
        <f>IF(C284="","",SUMIFS('ИТОГО Торговля'!$E$5:$E$300,'ИТОГО Торговля'!$B$5:$B$300,$B284)+SUMIFS('ИТОГО Лэндинг'!$E$5:$E$300,'ИТОГО Лэндинг'!$B$5:$B$300,$B284))</f>
        <v/>
      </c>
      <c r="F284" s="246">
        <f>IF($B284="","",IF(SUMIFS('ИТОГО Торговля'!$F$5:$F$300,'ИТОГО Торговля'!$B$5:$B$300,$B284)+SUMIFS('ИТОГО Лэндинг'!$F$5:$F$300,'ИТОГО Лэндинг'!$B$5:$B$300,$B284)=0,"",SUMIFS('ИТОГО Торговля'!$F$5:$F$300,'ИТОГО Торговля'!$B$5:$B$300,$B284)+SUMIFS('ИТОГО Лэндинг'!$F$5:$F$300,'ИТОГО Лэндинг'!$B$5:$B$300,$B284)))</f>
        <v/>
      </c>
      <c r="G284" s="183">
        <f>IF(F284="","",H284/F284)</f>
        <v/>
      </c>
      <c r="H284" s="247">
        <f>IF(F284="","",SUMIFS('ИТОГО Торговля'!$H$5:$H$300,'ИТОГО Торговля'!$B$5:$B$300,$B284)+SUMIFS('ИТОГО Лэндинг'!$H$5:$H$300,'ИТОГО Лэндинг'!$B$5:$B$300,$B284))</f>
        <v/>
      </c>
      <c r="I284" s="246">
        <f>IF($B284="","",IF(AND(C284="",F284=""),"",ROUND(SUMIFS('ИТОГО Торговля'!$I$5:$I$300,'ИТОГО Торговля'!$B$5:$B$300,$B284)+SUMIFS('ИТОГО Лэндинг'!$I$5:$I$300,'ИТОГО Лэндинг'!$B$5:$B$300,$B284),8)))</f>
        <v/>
      </c>
      <c r="J284" s="247">
        <f>IF($B284="","",IF(AND(C284="",F284=""),"",ROUND(SUMIFS('ИТОГО Торговля'!$J$5:$J$300,'ИТОГО Торговля'!$B$5:$B$300,$B284)+SUMIFS('ИТОГО Лэндинг'!$J$5:$J$300,'ИТОГО Лэндинг'!$B$5:$B$300,$B284),8)))</f>
        <v/>
      </c>
      <c r="K284" s="246">
        <f>IF($B284="","",ROUND(SUMIFS('ИТОГО Торговля'!$K$5:$K$300,'ИТОГО Торговля'!$B$5:$B$300,$B284)+SUMIFS('ИТОГО Лэндинг'!$K$5:$K$300,'ИТОГО Лэндинг'!$B$5:$B$300,$B284),8))</f>
        <v/>
      </c>
      <c r="L284" s="183">
        <f>IF(K284="","",IF(SUMPRODUCT((Закрытые!$E$5:$E$300=$B284)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284/SUMPRODUCT((Закрытые!$E$5:$E$300=$B284)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4" s="183">
        <f>IF(OR(ROUND(N(C284)-N(F284),8)=0,1-N(Ввод!$E$17)/100&lt;=0),"",IF(N(C284)&gt;N(F284),(N(E284)-N(H284))/((N(C284)-N(F284))*(1-N(Ввод!$E$17)/100)),(N(H284)-N(E284))/((N(F284)-N(C284))*(1+N(Ввод!$E$17)/100))))</f>
        <v/>
      </c>
    </row>
    <row r="285" ht="22" customHeight="1">
      <c r="B285" s="315" t="n"/>
      <c r="C285" s="240">
        <f>IF($B285="","",IF(SUMIFS('ИТОГО Торговля'!$C$5:$C$300,'ИТОГО Торговля'!$B$5:$B$300,$B285)+SUMIFS('ИТОГО Лэндинг'!$C$5:$C$300,'ИТОГО Лэндинг'!$B$5:$B$300,$B285)=0,"",SUMIFS('ИТОГО Торговля'!$C$5:$C$300,'ИТОГО Торговля'!$B$5:$B$300,$B285)+SUMIFS('ИТОГО Лэндинг'!$C$5:$C$300,'ИТОГО Лэндинг'!$B$5:$B$300,$B285)))</f>
        <v/>
      </c>
      <c r="D285" s="177">
        <f>IF(C285="","",E285/C285)</f>
        <v/>
      </c>
      <c r="E285" s="241">
        <f>IF(C285="","",SUMIFS('ИТОГО Торговля'!$E$5:$E$300,'ИТОГО Торговля'!$B$5:$B$300,$B285)+SUMIFS('ИТОГО Лэндинг'!$E$5:$E$300,'ИТОГО Лэндинг'!$B$5:$B$300,$B285))</f>
        <v/>
      </c>
      <c r="F285" s="240">
        <f>IF($B285="","",IF(SUMIFS('ИТОГО Торговля'!$F$5:$F$300,'ИТОГО Торговля'!$B$5:$B$300,$B285)+SUMIFS('ИТОГО Лэндинг'!$F$5:$F$300,'ИТОГО Лэндинг'!$B$5:$B$300,$B285)=0,"",SUMIFS('ИТОГО Торговля'!$F$5:$F$300,'ИТОГО Торговля'!$B$5:$B$300,$B285)+SUMIFS('ИТОГО Лэндинг'!$F$5:$F$300,'ИТОГО Лэндинг'!$B$5:$B$300,$B285)))</f>
        <v/>
      </c>
      <c r="G285" s="177">
        <f>IF(F285="","",H285/F285)</f>
        <v/>
      </c>
      <c r="H285" s="241">
        <f>IF(F285="","",SUMIFS('ИТОГО Торговля'!$H$5:$H$300,'ИТОГО Торговля'!$B$5:$B$300,$B285)+SUMIFS('ИТОГО Лэндинг'!$H$5:$H$300,'ИТОГО Лэндинг'!$B$5:$B$300,$B285))</f>
        <v/>
      </c>
      <c r="I285" s="240">
        <f>IF($B285="","",IF(AND(C285="",F285=""),"",ROUND(SUMIFS('ИТОГО Торговля'!$I$5:$I$300,'ИТОГО Торговля'!$B$5:$B$300,$B285)+SUMIFS('ИТОГО Лэндинг'!$I$5:$I$300,'ИТОГО Лэндинг'!$B$5:$B$300,$B285),8)))</f>
        <v/>
      </c>
      <c r="J285" s="241">
        <f>IF($B285="","",IF(AND(C285="",F285=""),"",ROUND(SUMIFS('ИТОГО Торговля'!$J$5:$J$300,'ИТОГО Торговля'!$B$5:$B$300,$B285)+SUMIFS('ИТОГО Лэндинг'!$J$5:$J$300,'ИТОГО Лэндинг'!$B$5:$B$300,$B285),8)))</f>
        <v/>
      </c>
      <c r="K285" s="240">
        <f>IF($B285="","",ROUND(SUMIFS('ИТОГО Торговля'!$K$5:$K$300,'ИТОГО Торговля'!$B$5:$B$300,$B285)+SUMIFS('ИТОГО Лэндинг'!$K$5:$K$300,'ИТОГО Лэндинг'!$B$5:$B$300,$B285),8))</f>
        <v/>
      </c>
      <c r="L285" s="177">
        <f>IF(K285="","",IF(SUMPRODUCT((Закрытые!$E$5:$E$300=$B285)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285/SUMPRODUCT((Закрытые!$E$5:$E$300=$B285)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5" s="177">
        <f>IF(OR(ROUND(N(C285)-N(F285),8)=0,1-N(Ввод!$E$17)/100&lt;=0),"",IF(N(C285)&gt;N(F285),(N(E285)-N(H285))/((N(C285)-N(F285))*(1-N(Ввод!$E$17)/100)),(N(H285)-N(E285))/((N(F285)-N(C285))*(1+N(Ввод!$E$17)/100))))</f>
        <v/>
      </c>
    </row>
    <row r="286" ht="22" customHeight="1">
      <c r="B286" s="320" t="n"/>
      <c r="C286" s="246">
        <f>IF($B286="","",IF(SUMIFS('ИТОГО Торговля'!$C$5:$C$300,'ИТОГО Торговля'!$B$5:$B$300,$B286)+SUMIFS('ИТОГО Лэндинг'!$C$5:$C$300,'ИТОГО Лэндинг'!$B$5:$B$300,$B286)=0,"",SUMIFS('ИТОГО Торговля'!$C$5:$C$300,'ИТОГО Торговля'!$B$5:$B$300,$B286)+SUMIFS('ИТОГО Лэндинг'!$C$5:$C$300,'ИТОГО Лэндинг'!$B$5:$B$300,$B286)))</f>
        <v/>
      </c>
      <c r="D286" s="183">
        <f>IF(C286="","",E286/C286)</f>
        <v/>
      </c>
      <c r="E286" s="247">
        <f>IF(C286="","",SUMIFS('ИТОГО Торговля'!$E$5:$E$300,'ИТОГО Торговля'!$B$5:$B$300,$B286)+SUMIFS('ИТОГО Лэндинг'!$E$5:$E$300,'ИТОГО Лэндинг'!$B$5:$B$300,$B286))</f>
        <v/>
      </c>
      <c r="F286" s="246">
        <f>IF($B286="","",IF(SUMIFS('ИТОГО Торговля'!$F$5:$F$300,'ИТОГО Торговля'!$B$5:$B$300,$B286)+SUMIFS('ИТОГО Лэндинг'!$F$5:$F$300,'ИТОГО Лэндинг'!$B$5:$B$300,$B286)=0,"",SUMIFS('ИТОГО Торговля'!$F$5:$F$300,'ИТОГО Торговля'!$B$5:$B$300,$B286)+SUMIFS('ИТОГО Лэндинг'!$F$5:$F$300,'ИТОГО Лэндинг'!$B$5:$B$300,$B286)))</f>
        <v/>
      </c>
      <c r="G286" s="183">
        <f>IF(F286="","",H286/F286)</f>
        <v/>
      </c>
      <c r="H286" s="247">
        <f>IF(F286="","",SUMIFS('ИТОГО Торговля'!$H$5:$H$300,'ИТОГО Торговля'!$B$5:$B$300,$B286)+SUMIFS('ИТОГО Лэндинг'!$H$5:$H$300,'ИТОГО Лэндинг'!$B$5:$B$300,$B286))</f>
        <v/>
      </c>
      <c r="I286" s="246">
        <f>IF($B286="","",IF(AND(C286="",F286=""),"",ROUND(SUMIFS('ИТОГО Торговля'!$I$5:$I$300,'ИТОГО Торговля'!$B$5:$B$300,$B286)+SUMIFS('ИТОГО Лэндинг'!$I$5:$I$300,'ИТОГО Лэндинг'!$B$5:$B$300,$B286),8)))</f>
        <v/>
      </c>
      <c r="J286" s="247">
        <f>IF($B286="","",IF(AND(C286="",F286=""),"",ROUND(SUMIFS('ИТОГО Торговля'!$J$5:$J$300,'ИТОГО Торговля'!$B$5:$B$300,$B286)+SUMIFS('ИТОГО Лэндинг'!$J$5:$J$300,'ИТОГО Лэндинг'!$B$5:$B$300,$B286),8)))</f>
        <v/>
      </c>
      <c r="K286" s="246">
        <f>IF($B286="","",ROUND(SUMIFS('ИТОГО Торговля'!$K$5:$K$300,'ИТОГО Торговля'!$B$5:$B$300,$B286)+SUMIFS('ИТОГО Лэндинг'!$K$5:$K$300,'ИТОГО Лэндинг'!$B$5:$B$300,$B286),8))</f>
        <v/>
      </c>
      <c r="L286" s="183">
        <f>IF(K286="","",IF(SUMPRODUCT((Закрытые!$E$5:$E$300=$B286)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286/SUMPRODUCT((Закрытые!$E$5:$E$300=$B286)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6" s="183">
        <f>IF(OR(ROUND(N(C286)-N(F286),8)=0,1-N(Ввод!$E$17)/100&lt;=0),"",IF(N(C286)&gt;N(F286),(N(E286)-N(H286))/((N(C286)-N(F286))*(1-N(Ввод!$E$17)/100)),(N(H286)-N(E286))/((N(F286)-N(C286))*(1+N(Ввод!$E$17)/100))))</f>
        <v/>
      </c>
    </row>
    <row r="287" ht="22" customHeight="1">
      <c r="B287" s="315" t="n"/>
      <c r="C287" s="240">
        <f>IF($B287="","",IF(SUMIFS('ИТОГО Торговля'!$C$5:$C$300,'ИТОГО Торговля'!$B$5:$B$300,$B287)+SUMIFS('ИТОГО Лэндинг'!$C$5:$C$300,'ИТОГО Лэндинг'!$B$5:$B$300,$B287)=0,"",SUMIFS('ИТОГО Торговля'!$C$5:$C$300,'ИТОГО Торговля'!$B$5:$B$300,$B287)+SUMIFS('ИТОГО Лэндинг'!$C$5:$C$300,'ИТОГО Лэндинг'!$B$5:$B$300,$B287)))</f>
        <v/>
      </c>
      <c r="D287" s="177">
        <f>IF(C287="","",E287/C287)</f>
        <v/>
      </c>
      <c r="E287" s="241">
        <f>IF(C287="","",SUMIFS('ИТОГО Торговля'!$E$5:$E$300,'ИТОГО Торговля'!$B$5:$B$300,$B287)+SUMIFS('ИТОГО Лэндинг'!$E$5:$E$300,'ИТОГО Лэндинг'!$B$5:$B$300,$B287))</f>
        <v/>
      </c>
      <c r="F287" s="240">
        <f>IF($B287="","",IF(SUMIFS('ИТОГО Торговля'!$F$5:$F$300,'ИТОГО Торговля'!$B$5:$B$300,$B287)+SUMIFS('ИТОГО Лэндинг'!$F$5:$F$300,'ИТОГО Лэндинг'!$B$5:$B$300,$B287)=0,"",SUMIFS('ИТОГО Торговля'!$F$5:$F$300,'ИТОГО Торговля'!$B$5:$B$300,$B287)+SUMIFS('ИТОГО Лэндинг'!$F$5:$F$300,'ИТОГО Лэндинг'!$B$5:$B$300,$B287)))</f>
        <v/>
      </c>
      <c r="G287" s="177">
        <f>IF(F287="","",H287/F287)</f>
        <v/>
      </c>
      <c r="H287" s="241">
        <f>IF(F287="","",SUMIFS('ИТОГО Торговля'!$H$5:$H$300,'ИТОГО Торговля'!$B$5:$B$300,$B287)+SUMIFS('ИТОГО Лэндинг'!$H$5:$H$300,'ИТОГО Лэндинг'!$B$5:$B$300,$B287))</f>
        <v/>
      </c>
      <c r="I287" s="240">
        <f>IF($B287="","",IF(AND(C287="",F287=""),"",ROUND(SUMIFS('ИТОГО Торговля'!$I$5:$I$300,'ИТОГО Торговля'!$B$5:$B$300,$B287)+SUMIFS('ИТОГО Лэндинг'!$I$5:$I$300,'ИТОГО Лэндинг'!$B$5:$B$300,$B287),8)))</f>
        <v/>
      </c>
      <c r="J287" s="241">
        <f>IF($B287="","",IF(AND(C287="",F287=""),"",ROUND(SUMIFS('ИТОГО Торговля'!$J$5:$J$300,'ИТОГО Торговля'!$B$5:$B$300,$B287)+SUMIFS('ИТОГО Лэндинг'!$J$5:$J$300,'ИТОГО Лэндинг'!$B$5:$B$300,$B287),8)))</f>
        <v/>
      </c>
      <c r="K287" s="240">
        <f>IF($B287="","",ROUND(SUMIFS('ИТОГО Торговля'!$K$5:$K$300,'ИТОГО Торговля'!$B$5:$B$300,$B287)+SUMIFS('ИТОГО Лэндинг'!$K$5:$K$300,'ИТОГО Лэндинг'!$B$5:$B$300,$B287),8))</f>
        <v/>
      </c>
      <c r="L287" s="177">
        <f>IF(K287="","",IF(SUMPRODUCT((Закрытые!$E$5:$E$300=$B287)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287/SUMPRODUCT((Закрытые!$E$5:$E$300=$B287)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7" s="177">
        <f>IF(OR(ROUND(N(C287)-N(F287),8)=0,1-N(Ввод!$E$17)/100&lt;=0),"",IF(N(C287)&gt;N(F287),(N(E287)-N(H287))/((N(C287)-N(F287))*(1-N(Ввод!$E$17)/100)),(N(H287)-N(E287))/((N(F287)-N(C287))*(1+N(Ввод!$E$17)/100))))</f>
        <v/>
      </c>
    </row>
    <row r="288" ht="22" customHeight="1">
      <c r="B288" s="320" t="n"/>
      <c r="C288" s="246">
        <f>IF($B288="","",IF(SUMIFS('ИТОГО Торговля'!$C$5:$C$300,'ИТОГО Торговля'!$B$5:$B$300,$B288)+SUMIFS('ИТОГО Лэндинг'!$C$5:$C$300,'ИТОГО Лэндинг'!$B$5:$B$300,$B288)=0,"",SUMIFS('ИТОГО Торговля'!$C$5:$C$300,'ИТОГО Торговля'!$B$5:$B$300,$B288)+SUMIFS('ИТОГО Лэндинг'!$C$5:$C$300,'ИТОГО Лэндинг'!$B$5:$B$300,$B288)))</f>
        <v/>
      </c>
      <c r="D288" s="183">
        <f>IF(C288="","",E288/C288)</f>
        <v/>
      </c>
      <c r="E288" s="247">
        <f>IF(C288="","",SUMIFS('ИТОГО Торговля'!$E$5:$E$300,'ИТОГО Торговля'!$B$5:$B$300,$B288)+SUMIFS('ИТОГО Лэндинг'!$E$5:$E$300,'ИТОГО Лэндинг'!$B$5:$B$300,$B288))</f>
        <v/>
      </c>
      <c r="F288" s="246">
        <f>IF($B288="","",IF(SUMIFS('ИТОГО Торговля'!$F$5:$F$300,'ИТОГО Торговля'!$B$5:$B$300,$B288)+SUMIFS('ИТОГО Лэндинг'!$F$5:$F$300,'ИТОГО Лэндинг'!$B$5:$B$300,$B288)=0,"",SUMIFS('ИТОГО Торговля'!$F$5:$F$300,'ИТОГО Торговля'!$B$5:$B$300,$B288)+SUMIFS('ИТОГО Лэндинг'!$F$5:$F$300,'ИТОГО Лэндинг'!$B$5:$B$300,$B288)))</f>
        <v/>
      </c>
      <c r="G288" s="183">
        <f>IF(F288="","",H288/F288)</f>
        <v/>
      </c>
      <c r="H288" s="247">
        <f>IF(F288="","",SUMIFS('ИТОГО Торговля'!$H$5:$H$300,'ИТОГО Торговля'!$B$5:$B$300,$B288)+SUMIFS('ИТОГО Лэндинг'!$H$5:$H$300,'ИТОГО Лэндинг'!$B$5:$B$300,$B288))</f>
        <v/>
      </c>
      <c r="I288" s="246">
        <f>IF($B288="","",IF(AND(C288="",F288=""),"",ROUND(SUMIFS('ИТОГО Торговля'!$I$5:$I$300,'ИТОГО Торговля'!$B$5:$B$300,$B288)+SUMIFS('ИТОГО Лэндинг'!$I$5:$I$300,'ИТОГО Лэндинг'!$B$5:$B$300,$B288),8)))</f>
        <v/>
      </c>
      <c r="J288" s="247">
        <f>IF($B288="","",IF(AND(C288="",F288=""),"",ROUND(SUMIFS('ИТОГО Торговля'!$J$5:$J$300,'ИТОГО Торговля'!$B$5:$B$300,$B288)+SUMIFS('ИТОГО Лэндинг'!$J$5:$J$300,'ИТОГО Лэндинг'!$B$5:$B$300,$B288),8)))</f>
        <v/>
      </c>
      <c r="K288" s="246">
        <f>IF($B288="","",ROUND(SUMIFS('ИТОГО Торговля'!$K$5:$K$300,'ИТОГО Торговля'!$B$5:$B$300,$B288)+SUMIFS('ИТОГО Лэндинг'!$K$5:$K$300,'ИТОГО Лэндинг'!$B$5:$B$300,$B288),8))</f>
        <v/>
      </c>
      <c r="L288" s="183">
        <f>IF(K288="","",IF(SUMPRODUCT((Закрытые!$E$5:$E$300=$B288)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288/SUMPRODUCT((Закрытые!$E$5:$E$300=$B288)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8" s="183">
        <f>IF(OR(ROUND(N(C288)-N(F288),8)=0,1-N(Ввод!$E$17)/100&lt;=0),"",IF(N(C288)&gt;N(F288),(N(E288)-N(H288))/((N(C288)-N(F288))*(1-N(Ввод!$E$17)/100)),(N(H288)-N(E288))/((N(F288)-N(C288))*(1+N(Ввод!$E$17)/100))))</f>
        <v/>
      </c>
    </row>
    <row r="289" ht="22" customHeight="1">
      <c r="B289" s="315" t="n"/>
      <c r="C289" s="240">
        <f>IF($B289="","",IF(SUMIFS('ИТОГО Торговля'!$C$5:$C$300,'ИТОГО Торговля'!$B$5:$B$300,$B289)+SUMIFS('ИТОГО Лэндинг'!$C$5:$C$300,'ИТОГО Лэндинг'!$B$5:$B$300,$B289)=0,"",SUMIFS('ИТОГО Торговля'!$C$5:$C$300,'ИТОГО Торговля'!$B$5:$B$300,$B289)+SUMIFS('ИТОГО Лэндинг'!$C$5:$C$300,'ИТОГО Лэндинг'!$B$5:$B$300,$B289)))</f>
        <v/>
      </c>
      <c r="D289" s="177">
        <f>IF(C289="","",E289/C289)</f>
        <v/>
      </c>
      <c r="E289" s="241">
        <f>IF(C289="","",SUMIFS('ИТОГО Торговля'!$E$5:$E$300,'ИТОГО Торговля'!$B$5:$B$300,$B289)+SUMIFS('ИТОГО Лэндинг'!$E$5:$E$300,'ИТОГО Лэндинг'!$B$5:$B$300,$B289))</f>
        <v/>
      </c>
      <c r="F289" s="240">
        <f>IF($B289="","",IF(SUMIFS('ИТОГО Торговля'!$F$5:$F$300,'ИТОГО Торговля'!$B$5:$B$300,$B289)+SUMIFS('ИТОГО Лэндинг'!$F$5:$F$300,'ИТОГО Лэндинг'!$B$5:$B$300,$B289)=0,"",SUMIFS('ИТОГО Торговля'!$F$5:$F$300,'ИТОГО Торговля'!$B$5:$B$300,$B289)+SUMIFS('ИТОГО Лэндинг'!$F$5:$F$300,'ИТОГО Лэндинг'!$B$5:$B$300,$B289)))</f>
        <v/>
      </c>
      <c r="G289" s="177">
        <f>IF(F289="","",H289/F289)</f>
        <v/>
      </c>
      <c r="H289" s="241">
        <f>IF(F289="","",SUMIFS('ИТОГО Торговля'!$H$5:$H$300,'ИТОГО Торговля'!$B$5:$B$300,$B289)+SUMIFS('ИТОГО Лэндинг'!$H$5:$H$300,'ИТОГО Лэндинг'!$B$5:$B$300,$B289))</f>
        <v/>
      </c>
      <c r="I289" s="240">
        <f>IF($B289="","",IF(AND(C289="",F289=""),"",ROUND(SUMIFS('ИТОГО Торговля'!$I$5:$I$300,'ИТОГО Торговля'!$B$5:$B$300,$B289)+SUMIFS('ИТОГО Лэндинг'!$I$5:$I$300,'ИТОГО Лэндинг'!$B$5:$B$300,$B289),8)))</f>
        <v/>
      </c>
      <c r="J289" s="241">
        <f>IF($B289="","",IF(AND(C289="",F289=""),"",ROUND(SUMIFS('ИТОГО Торговля'!$J$5:$J$300,'ИТОГО Торговля'!$B$5:$B$300,$B289)+SUMIFS('ИТОГО Лэндинг'!$J$5:$J$300,'ИТОГО Лэндинг'!$B$5:$B$300,$B289),8)))</f>
        <v/>
      </c>
      <c r="K289" s="240">
        <f>IF($B289="","",ROUND(SUMIFS('ИТОГО Торговля'!$K$5:$K$300,'ИТОГО Торговля'!$B$5:$B$300,$B289)+SUMIFS('ИТОГО Лэндинг'!$K$5:$K$300,'ИТОГО Лэндинг'!$B$5:$B$300,$B289),8))</f>
        <v/>
      </c>
      <c r="L289" s="177">
        <f>IF(K289="","",IF(SUMPRODUCT((Закрытые!$E$5:$E$300=$B289)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289/SUMPRODUCT((Закрытые!$E$5:$E$300=$B289)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9" s="177">
        <f>IF(OR(ROUND(N(C289)-N(F289),8)=0,1-N(Ввод!$E$17)/100&lt;=0),"",IF(N(C289)&gt;N(F289),(N(E289)-N(H289))/((N(C289)-N(F289))*(1-N(Ввод!$E$17)/100)),(N(H289)-N(E289))/((N(F289)-N(C289))*(1+N(Ввод!$E$17)/100))))</f>
        <v/>
      </c>
    </row>
    <row r="290" ht="22" customHeight="1">
      <c r="B290" s="320" t="n"/>
      <c r="C290" s="246">
        <f>IF($B290="","",IF(SUMIFS('ИТОГО Торговля'!$C$5:$C$300,'ИТОГО Торговля'!$B$5:$B$300,$B290)+SUMIFS('ИТОГО Лэндинг'!$C$5:$C$300,'ИТОГО Лэндинг'!$B$5:$B$300,$B290)=0,"",SUMIFS('ИТОГО Торговля'!$C$5:$C$300,'ИТОГО Торговля'!$B$5:$B$300,$B290)+SUMIFS('ИТОГО Лэндинг'!$C$5:$C$300,'ИТОГО Лэндинг'!$B$5:$B$300,$B290)))</f>
        <v/>
      </c>
      <c r="D290" s="183">
        <f>IF(C290="","",E290/C290)</f>
        <v/>
      </c>
      <c r="E290" s="247">
        <f>IF(C290="","",SUMIFS('ИТОГО Торговля'!$E$5:$E$300,'ИТОГО Торговля'!$B$5:$B$300,$B290)+SUMIFS('ИТОГО Лэндинг'!$E$5:$E$300,'ИТОГО Лэндинг'!$B$5:$B$300,$B290))</f>
        <v/>
      </c>
      <c r="F290" s="246">
        <f>IF($B290="","",IF(SUMIFS('ИТОГО Торговля'!$F$5:$F$300,'ИТОГО Торговля'!$B$5:$B$300,$B290)+SUMIFS('ИТОГО Лэндинг'!$F$5:$F$300,'ИТОГО Лэндинг'!$B$5:$B$300,$B290)=0,"",SUMIFS('ИТОГО Торговля'!$F$5:$F$300,'ИТОГО Торговля'!$B$5:$B$300,$B290)+SUMIFS('ИТОГО Лэндинг'!$F$5:$F$300,'ИТОГО Лэндинг'!$B$5:$B$300,$B290)))</f>
        <v/>
      </c>
      <c r="G290" s="183">
        <f>IF(F290="","",H290/F290)</f>
        <v/>
      </c>
      <c r="H290" s="247">
        <f>IF(F290="","",SUMIFS('ИТОГО Торговля'!$H$5:$H$300,'ИТОГО Торговля'!$B$5:$B$300,$B290)+SUMIFS('ИТОГО Лэндинг'!$H$5:$H$300,'ИТОГО Лэндинг'!$B$5:$B$300,$B290))</f>
        <v/>
      </c>
      <c r="I290" s="246">
        <f>IF($B290="","",IF(AND(C290="",F290=""),"",ROUND(SUMIFS('ИТОГО Торговля'!$I$5:$I$300,'ИТОГО Торговля'!$B$5:$B$300,$B290)+SUMIFS('ИТОГО Лэндинг'!$I$5:$I$300,'ИТОГО Лэндинг'!$B$5:$B$300,$B290),8)))</f>
        <v/>
      </c>
      <c r="J290" s="247">
        <f>IF($B290="","",IF(AND(C290="",F290=""),"",ROUND(SUMIFS('ИТОГО Торговля'!$J$5:$J$300,'ИТОГО Торговля'!$B$5:$B$300,$B290)+SUMIFS('ИТОГО Лэндинг'!$J$5:$J$300,'ИТОГО Лэндинг'!$B$5:$B$300,$B290),8)))</f>
        <v/>
      </c>
      <c r="K290" s="246">
        <f>IF($B290="","",ROUND(SUMIFS('ИТОГО Торговля'!$K$5:$K$300,'ИТОГО Торговля'!$B$5:$B$300,$B290)+SUMIFS('ИТОГО Лэндинг'!$K$5:$K$300,'ИТОГО Лэндинг'!$B$5:$B$300,$B290),8))</f>
        <v/>
      </c>
      <c r="L290" s="183">
        <f>IF(K290="","",IF(SUMPRODUCT((Закрытые!$E$5:$E$300=$B290)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290/SUMPRODUCT((Закрытые!$E$5:$E$300=$B290)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0" s="183">
        <f>IF(OR(ROUND(N(C290)-N(F290),8)=0,1-N(Ввод!$E$17)/100&lt;=0),"",IF(N(C290)&gt;N(F290),(N(E290)-N(H290))/((N(C290)-N(F290))*(1-N(Ввод!$E$17)/100)),(N(H290)-N(E290))/((N(F290)-N(C290))*(1+N(Ввод!$E$17)/100))))</f>
        <v/>
      </c>
    </row>
    <row r="291" ht="22" customHeight="1">
      <c r="B291" s="315" t="n"/>
      <c r="C291" s="240">
        <f>IF($B291="","",IF(SUMIFS('ИТОГО Торговля'!$C$5:$C$300,'ИТОГО Торговля'!$B$5:$B$300,$B291)+SUMIFS('ИТОГО Лэндинг'!$C$5:$C$300,'ИТОГО Лэндинг'!$B$5:$B$300,$B291)=0,"",SUMIFS('ИТОГО Торговля'!$C$5:$C$300,'ИТОГО Торговля'!$B$5:$B$300,$B291)+SUMIFS('ИТОГО Лэндинг'!$C$5:$C$300,'ИТОГО Лэндинг'!$B$5:$B$300,$B291)))</f>
        <v/>
      </c>
      <c r="D291" s="177">
        <f>IF(C291="","",E291/C291)</f>
        <v/>
      </c>
      <c r="E291" s="241">
        <f>IF(C291="","",SUMIFS('ИТОГО Торговля'!$E$5:$E$300,'ИТОГО Торговля'!$B$5:$B$300,$B291)+SUMIFS('ИТОГО Лэндинг'!$E$5:$E$300,'ИТОГО Лэндинг'!$B$5:$B$300,$B291))</f>
        <v/>
      </c>
      <c r="F291" s="240">
        <f>IF($B291="","",IF(SUMIFS('ИТОГО Торговля'!$F$5:$F$300,'ИТОГО Торговля'!$B$5:$B$300,$B291)+SUMIFS('ИТОГО Лэндинг'!$F$5:$F$300,'ИТОГО Лэндинг'!$B$5:$B$300,$B291)=0,"",SUMIFS('ИТОГО Торговля'!$F$5:$F$300,'ИТОГО Торговля'!$B$5:$B$300,$B291)+SUMIFS('ИТОГО Лэндинг'!$F$5:$F$300,'ИТОГО Лэндинг'!$B$5:$B$300,$B291)))</f>
        <v/>
      </c>
      <c r="G291" s="177">
        <f>IF(F291="","",H291/F291)</f>
        <v/>
      </c>
      <c r="H291" s="241">
        <f>IF(F291="","",SUMIFS('ИТОГО Торговля'!$H$5:$H$300,'ИТОГО Торговля'!$B$5:$B$300,$B291)+SUMIFS('ИТОГО Лэндинг'!$H$5:$H$300,'ИТОГО Лэндинг'!$B$5:$B$300,$B291))</f>
        <v/>
      </c>
      <c r="I291" s="240">
        <f>IF($B291="","",IF(AND(C291="",F291=""),"",ROUND(SUMIFS('ИТОГО Торговля'!$I$5:$I$300,'ИТОГО Торговля'!$B$5:$B$300,$B291)+SUMIFS('ИТОГО Лэндинг'!$I$5:$I$300,'ИТОГО Лэндинг'!$B$5:$B$300,$B291),8)))</f>
        <v/>
      </c>
      <c r="J291" s="241">
        <f>IF($B291="","",IF(AND(C291="",F291=""),"",ROUND(SUMIFS('ИТОГО Торговля'!$J$5:$J$300,'ИТОГО Торговля'!$B$5:$B$300,$B291)+SUMIFS('ИТОГО Лэндинг'!$J$5:$J$300,'ИТОГО Лэндинг'!$B$5:$B$300,$B291),8)))</f>
        <v/>
      </c>
      <c r="K291" s="240">
        <f>IF($B291="","",ROUND(SUMIFS('ИТОГО Торговля'!$K$5:$K$300,'ИТОГО Торговля'!$B$5:$B$300,$B291)+SUMIFS('ИТОГО Лэндинг'!$K$5:$K$300,'ИТОГО Лэндинг'!$B$5:$B$300,$B291),8))</f>
        <v/>
      </c>
      <c r="L291" s="177">
        <f>IF(K291="","",IF(SUMPRODUCT((Закрытые!$E$5:$E$300=$B291)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291/SUMPRODUCT((Закрытые!$E$5:$E$300=$B291)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1" s="177">
        <f>IF(OR(ROUND(N(C291)-N(F291),8)=0,1-N(Ввод!$E$17)/100&lt;=0),"",IF(N(C291)&gt;N(F291),(N(E291)-N(H291))/((N(C291)-N(F291))*(1-N(Ввод!$E$17)/100)),(N(H291)-N(E291))/((N(F291)-N(C291))*(1+N(Ввод!$E$17)/100))))</f>
        <v/>
      </c>
    </row>
    <row r="292" ht="22" customHeight="1">
      <c r="B292" s="320" t="n"/>
      <c r="C292" s="246">
        <f>IF($B292="","",IF(SUMIFS('ИТОГО Торговля'!$C$5:$C$300,'ИТОГО Торговля'!$B$5:$B$300,$B292)+SUMIFS('ИТОГО Лэндинг'!$C$5:$C$300,'ИТОГО Лэндинг'!$B$5:$B$300,$B292)=0,"",SUMIFS('ИТОГО Торговля'!$C$5:$C$300,'ИТОГО Торговля'!$B$5:$B$300,$B292)+SUMIFS('ИТОГО Лэндинг'!$C$5:$C$300,'ИТОГО Лэндинг'!$B$5:$B$300,$B292)))</f>
        <v/>
      </c>
      <c r="D292" s="183">
        <f>IF(C292="","",E292/C292)</f>
        <v/>
      </c>
      <c r="E292" s="247">
        <f>IF(C292="","",SUMIFS('ИТОГО Торговля'!$E$5:$E$300,'ИТОГО Торговля'!$B$5:$B$300,$B292)+SUMIFS('ИТОГО Лэндинг'!$E$5:$E$300,'ИТОГО Лэндинг'!$B$5:$B$300,$B292))</f>
        <v/>
      </c>
      <c r="F292" s="246">
        <f>IF($B292="","",IF(SUMIFS('ИТОГО Торговля'!$F$5:$F$300,'ИТОГО Торговля'!$B$5:$B$300,$B292)+SUMIFS('ИТОГО Лэндинг'!$F$5:$F$300,'ИТОГО Лэндинг'!$B$5:$B$300,$B292)=0,"",SUMIFS('ИТОГО Торговля'!$F$5:$F$300,'ИТОГО Торговля'!$B$5:$B$300,$B292)+SUMIFS('ИТОГО Лэндинг'!$F$5:$F$300,'ИТОГО Лэндинг'!$B$5:$B$300,$B292)))</f>
        <v/>
      </c>
      <c r="G292" s="183">
        <f>IF(F292="","",H292/F292)</f>
        <v/>
      </c>
      <c r="H292" s="247">
        <f>IF(F292="","",SUMIFS('ИТОГО Торговля'!$H$5:$H$300,'ИТОГО Торговля'!$B$5:$B$300,$B292)+SUMIFS('ИТОГО Лэндинг'!$H$5:$H$300,'ИТОГО Лэндинг'!$B$5:$B$300,$B292))</f>
        <v/>
      </c>
      <c r="I292" s="246">
        <f>IF($B292="","",IF(AND(C292="",F292=""),"",ROUND(SUMIFS('ИТОГО Торговля'!$I$5:$I$300,'ИТОГО Торговля'!$B$5:$B$300,$B292)+SUMIFS('ИТОГО Лэндинг'!$I$5:$I$300,'ИТОГО Лэндинг'!$B$5:$B$300,$B292),8)))</f>
        <v/>
      </c>
      <c r="J292" s="247">
        <f>IF($B292="","",IF(AND(C292="",F292=""),"",ROUND(SUMIFS('ИТОГО Торговля'!$J$5:$J$300,'ИТОГО Торговля'!$B$5:$B$300,$B292)+SUMIFS('ИТОГО Лэндинг'!$J$5:$J$300,'ИТОГО Лэндинг'!$B$5:$B$300,$B292),8)))</f>
        <v/>
      </c>
      <c r="K292" s="246">
        <f>IF($B292="","",ROUND(SUMIFS('ИТОГО Торговля'!$K$5:$K$300,'ИТОГО Торговля'!$B$5:$B$300,$B292)+SUMIFS('ИТОГО Лэндинг'!$K$5:$K$300,'ИТОГО Лэндинг'!$B$5:$B$300,$B292),8))</f>
        <v/>
      </c>
      <c r="L292" s="183">
        <f>IF(K292="","",IF(SUMPRODUCT((Закрытые!$E$5:$E$300=$B292)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292/SUMPRODUCT((Закрытые!$E$5:$E$300=$B292)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2" s="183">
        <f>IF(OR(ROUND(N(C292)-N(F292),8)=0,1-N(Ввод!$E$17)/100&lt;=0),"",IF(N(C292)&gt;N(F292),(N(E292)-N(H292))/((N(C292)-N(F292))*(1-N(Ввод!$E$17)/100)),(N(H292)-N(E292))/((N(F292)-N(C292))*(1+N(Ввод!$E$17)/100))))</f>
        <v/>
      </c>
    </row>
    <row r="293" ht="22" customHeight="1">
      <c r="B293" s="315" t="n"/>
      <c r="C293" s="240">
        <f>IF($B293="","",IF(SUMIFS('ИТОГО Торговля'!$C$5:$C$300,'ИТОГО Торговля'!$B$5:$B$300,$B293)+SUMIFS('ИТОГО Лэндинг'!$C$5:$C$300,'ИТОГО Лэндинг'!$B$5:$B$300,$B293)=0,"",SUMIFS('ИТОГО Торговля'!$C$5:$C$300,'ИТОГО Торговля'!$B$5:$B$300,$B293)+SUMIFS('ИТОГО Лэндинг'!$C$5:$C$300,'ИТОГО Лэндинг'!$B$5:$B$300,$B293)))</f>
        <v/>
      </c>
      <c r="D293" s="177">
        <f>IF(C293="","",E293/C293)</f>
        <v/>
      </c>
      <c r="E293" s="241">
        <f>IF(C293="","",SUMIFS('ИТОГО Торговля'!$E$5:$E$300,'ИТОГО Торговля'!$B$5:$B$300,$B293)+SUMIFS('ИТОГО Лэндинг'!$E$5:$E$300,'ИТОГО Лэндинг'!$B$5:$B$300,$B293))</f>
        <v/>
      </c>
      <c r="F293" s="240">
        <f>IF($B293="","",IF(SUMIFS('ИТОГО Торговля'!$F$5:$F$300,'ИТОГО Торговля'!$B$5:$B$300,$B293)+SUMIFS('ИТОГО Лэндинг'!$F$5:$F$300,'ИТОГО Лэндинг'!$B$5:$B$300,$B293)=0,"",SUMIFS('ИТОГО Торговля'!$F$5:$F$300,'ИТОГО Торговля'!$B$5:$B$300,$B293)+SUMIFS('ИТОГО Лэндинг'!$F$5:$F$300,'ИТОГО Лэндинг'!$B$5:$B$300,$B293)))</f>
        <v/>
      </c>
      <c r="G293" s="177">
        <f>IF(F293="","",H293/F293)</f>
        <v/>
      </c>
      <c r="H293" s="241">
        <f>IF(F293="","",SUMIFS('ИТОГО Торговля'!$H$5:$H$300,'ИТОГО Торговля'!$B$5:$B$300,$B293)+SUMIFS('ИТОГО Лэндинг'!$H$5:$H$300,'ИТОГО Лэндинг'!$B$5:$B$300,$B293))</f>
        <v/>
      </c>
      <c r="I293" s="240">
        <f>IF($B293="","",IF(AND(C293="",F293=""),"",ROUND(SUMIFS('ИТОГО Торговля'!$I$5:$I$300,'ИТОГО Торговля'!$B$5:$B$300,$B293)+SUMIFS('ИТОГО Лэндинг'!$I$5:$I$300,'ИТОГО Лэндинг'!$B$5:$B$300,$B293),8)))</f>
        <v/>
      </c>
      <c r="J293" s="241">
        <f>IF($B293="","",IF(AND(C293="",F293=""),"",ROUND(SUMIFS('ИТОГО Торговля'!$J$5:$J$300,'ИТОГО Торговля'!$B$5:$B$300,$B293)+SUMIFS('ИТОГО Лэндинг'!$J$5:$J$300,'ИТОГО Лэндинг'!$B$5:$B$300,$B293),8)))</f>
        <v/>
      </c>
      <c r="K293" s="240">
        <f>IF($B293="","",ROUND(SUMIFS('ИТОГО Торговля'!$K$5:$K$300,'ИТОГО Торговля'!$B$5:$B$300,$B293)+SUMIFS('ИТОГО Лэндинг'!$K$5:$K$300,'ИТОГО Лэндинг'!$B$5:$B$300,$B293),8))</f>
        <v/>
      </c>
      <c r="L293" s="177">
        <f>IF(K293="","",IF(SUMPRODUCT((Закрытые!$E$5:$E$300=$B293)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293/SUMPRODUCT((Закрытые!$E$5:$E$300=$B293)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3" s="177">
        <f>IF(OR(ROUND(N(C293)-N(F293),8)=0,1-N(Ввод!$E$17)/100&lt;=0),"",IF(N(C293)&gt;N(F293),(N(E293)-N(H293))/((N(C293)-N(F293))*(1-N(Ввод!$E$17)/100)),(N(H293)-N(E293))/((N(F293)-N(C293))*(1+N(Ввод!$E$17)/100))))</f>
        <v/>
      </c>
    </row>
    <row r="294" ht="22" customHeight="1">
      <c r="B294" s="320" t="n"/>
      <c r="C294" s="246">
        <f>IF($B294="","",IF(SUMIFS('ИТОГО Торговля'!$C$5:$C$300,'ИТОГО Торговля'!$B$5:$B$300,$B294)+SUMIFS('ИТОГО Лэндинг'!$C$5:$C$300,'ИТОГО Лэндинг'!$B$5:$B$300,$B294)=0,"",SUMIFS('ИТОГО Торговля'!$C$5:$C$300,'ИТОГО Торговля'!$B$5:$B$300,$B294)+SUMIFS('ИТОГО Лэндинг'!$C$5:$C$300,'ИТОГО Лэндинг'!$B$5:$B$300,$B294)))</f>
        <v/>
      </c>
      <c r="D294" s="183">
        <f>IF(C294="","",E294/C294)</f>
        <v/>
      </c>
      <c r="E294" s="247">
        <f>IF(C294="","",SUMIFS('ИТОГО Торговля'!$E$5:$E$300,'ИТОГО Торговля'!$B$5:$B$300,$B294)+SUMIFS('ИТОГО Лэндинг'!$E$5:$E$300,'ИТОГО Лэндинг'!$B$5:$B$300,$B294))</f>
        <v/>
      </c>
      <c r="F294" s="246">
        <f>IF($B294="","",IF(SUMIFS('ИТОГО Торговля'!$F$5:$F$300,'ИТОГО Торговля'!$B$5:$B$300,$B294)+SUMIFS('ИТОГО Лэндинг'!$F$5:$F$300,'ИТОГО Лэндинг'!$B$5:$B$300,$B294)=0,"",SUMIFS('ИТОГО Торговля'!$F$5:$F$300,'ИТОГО Торговля'!$B$5:$B$300,$B294)+SUMIFS('ИТОГО Лэндинг'!$F$5:$F$300,'ИТОГО Лэндинг'!$B$5:$B$300,$B294)))</f>
        <v/>
      </c>
      <c r="G294" s="183">
        <f>IF(F294="","",H294/F294)</f>
        <v/>
      </c>
      <c r="H294" s="247">
        <f>IF(F294="","",SUMIFS('ИТОГО Торговля'!$H$5:$H$300,'ИТОГО Торговля'!$B$5:$B$300,$B294)+SUMIFS('ИТОГО Лэндинг'!$H$5:$H$300,'ИТОГО Лэндинг'!$B$5:$B$300,$B294))</f>
        <v/>
      </c>
      <c r="I294" s="246">
        <f>IF($B294="","",IF(AND(C294="",F294=""),"",ROUND(SUMIFS('ИТОГО Торговля'!$I$5:$I$300,'ИТОГО Торговля'!$B$5:$B$300,$B294)+SUMIFS('ИТОГО Лэндинг'!$I$5:$I$300,'ИТОГО Лэндинг'!$B$5:$B$300,$B294),8)))</f>
        <v/>
      </c>
      <c r="J294" s="247">
        <f>IF($B294="","",IF(AND(C294="",F294=""),"",ROUND(SUMIFS('ИТОГО Торговля'!$J$5:$J$300,'ИТОГО Торговля'!$B$5:$B$300,$B294)+SUMIFS('ИТОГО Лэндинг'!$J$5:$J$300,'ИТОГО Лэндинг'!$B$5:$B$300,$B294),8)))</f>
        <v/>
      </c>
      <c r="K294" s="246">
        <f>IF($B294="","",ROUND(SUMIFS('ИТОГО Торговля'!$K$5:$K$300,'ИТОГО Торговля'!$B$5:$B$300,$B294)+SUMIFS('ИТОГО Лэндинг'!$K$5:$K$300,'ИТОГО Лэндинг'!$B$5:$B$300,$B294),8))</f>
        <v/>
      </c>
      <c r="L294" s="183">
        <f>IF(K294="","",IF(SUMPRODUCT((Закрытые!$E$5:$E$300=$B294)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294/SUMPRODUCT((Закрытые!$E$5:$E$300=$B294)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4" s="183">
        <f>IF(OR(ROUND(N(C294)-N(F294),8)=0,1-N(Ввод!$E$17)/100&lt;=0),"",IF(N(C294)&gt;N(F294),(N(E294)-N(H294))/((N(C294)-N(F294))*(1-N(Ввод!$E$17)/100)),(N(H294)-N(E294))/((N(F294)-N(C294))*(1+N(Ввод!$E$17)/100))))</f>
        <v/>
      </c>
    </row>
    <row r="295" ht="22" customHeight="1">
      <c r="B295" s="315" t="n"/>
      <c r="C295" s="240">
        <f>IF($B295="","",IF(SUMIFS('ИТОГО Торговля'!$C$5:$C$300,'ИТОГО Торговля'!$B$5:$B$300,$B295)+SUMIFS('ИТОГО Лэндинг'!$C$5:$C$300,'ИТОГО Лэндинг'!$B$5:$B$300,$B295)=0,"",SUMIFS('ИТОГО Торговля'!$C$5:$C$300,'ИТОГО Торговля'!$B$5:$B$300,$B295)+SUMIFS('ИТОГО Лэндинг'!$C$5:$C$300,'ИТОГО Лэндинг'!$B$5:$B$300,$B295)))</f>
        <v/>
      </c>
      <c r="D295" s="177">
        <f>IF(C295="","",E295/C295)</f>
        <v/>
      </c>
      <c r="E295" s="241">
        <f>IF(C295="","",SUMIFS('ИТОГО Торговля'!$E$5:$E$300,'ИТОГО Торговля'!$B$5:$B$300,$B295)+SUMIFS('ИТОГО Лэндинг'!$E$5:$E$300,'ИТОГО Лэндинг'!$B$5:$B$300,$B295))</f>
        <v/>
      </c>
      <c r="F295" s="240">
        <f>IF($B295="","",IF(SUMIFS('ИТОГО Торговля'!$F$5:$F$300,'ИТОГО Торговля'!$B$5:$B$300,$B295)+SUMIFS('ИТОГО Лэндинг'!$F$5:$F$300,'ИТОГО Лэндинг'!$B$5:$B$300,$B295)=0,"",SUMIFS('ИТОГО Торговля'!$F$5:$F$300,'ИТОГО Торговля'!$B$5:$B$300,$B295)+SUMIFS('ИТОГО Лэндинг'!$F$5:$F$300,'ИТОГО Лэндинг'!$B$5:$B$300,$B295)))</f>
        <v/>
      </c>
      <c r="G295" s="177">
        <f>IF(F295="","",H295/F295)</f>
        <v/>
      </c>
      <c r="H295" s="241">
        <f>IF(F295="","",SUMIFS('ИТОГО Торговля'!$H$5:$H$300,'ИТОГО Торговля'!$B$5:$B$300,$B295)+SUMIFS('ИТОГО Лэндинг'!$H$5:$H$300,'ИТОГО Лэндинг'!$B$5:$B$300,$B295))</f>
        <v/>
      </c>
      <c r="I295" s="240">
        <f>IF($B295="","",IF(AND(C295="",F295=""),"",ROUND(SUMIFS('ИТОГО Торговля'!$I$5:$I$300,'ИТОГО Торговля'!$B$5:$B$300,$B295)+SUMIFS('ИТОГО Лэндинг'!$I$5:$I$300,'ИТОГО Лэндинг'!$B$5:$B$300,$B295),8)))</f>
        <v/>
      </c>
      <c r="J295" s="241">
        <f>IF($B295="","",IF(AND(C295="",F295=""),"",ROUND(SUMIFS('ИТОГО Торговля'!$J$5:$J$300,'ИТОГО Торговля'!$B$5:$B$300,$B295)+SUMIFS('ИТОГО Лэндинг'!$J$5:$J$300,'ИТОГО Лэндинг'!$B$5:$B$300,$B295),8)))</f>
        <v/>
      </c>
      <c r="K295" s="240">
        <f>IF($B295="","",ROUND(SUMIFS('ИТОГО Торговля'!$K$5:$K$300,'ИТОГО Торговля'!$B$5:$B$300,$B295)+SUMIFS('ИТОГО Лэндинг'!$K$5:$K$300,'ИТОГО Лэндинг'!$B$5:$B$300,$B295),8))</f>
        <v/>
      </c>
      <c r="L295" s="177">
        <f>IF(K295="","",IF(SUMPRODUCT((Закрытые!$E$5:$E$300=$B295)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295/SUMPRODUCT((Закрытые!$E$5:$E$300=$B295)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5" s="177">
        <f>IF(OR(ROUND(N(C295)-N(F295),8)=0,1-N(Ввод!$E$17)/100&lt;=0),"",IF(N(C295)&gt;N(F295),(N(E295)-N(H295))/((N(C295)-N(F295))*(1-N(Ввод!$E$17)/100)),(N(H295)-N(E295))/((N(F295)-N(C295))*(1+N(Ввод!$E$17)/100))))</f>
        <v/>
      </c>
    </row>
    <row r="296" ht="22" customHeight="1">
      <c r="B296" s="320" t="n"/>
      <c r="C296" s="246">
        <f>IF($B296="","",IF(SUMIFS('ИТОГО Торговля'!$C$5:$C$300,'ИТОГО Торговля'!$B$5:$B$300,$B296)+SUMIFS('ИТОГО Лэндинг'!$C$5:$C$300,'ИТОГО Лэндинг'!$B$5:$B$300,$B296)=0,"",SUMIFS('ИТОГО Торговля'!$C$5:$C$300,'ИТОГО Торговля'!$B$5:$B$300,$B296)+SUMIFS('ИТОГО Лэндинг'!$C$5:$C$300,'ИТОГО Лэндинг'!$B$5:$B$300,$B296)))</f>
        <v/>
      </c>
      <c r="D296" s="183">
        <f>IF(C296="","",E296/C296)</f>
        <v/>
      </c>
      <c r="E296" s="247">
        <f>IF(C296="","",SUMIFS('ИТОГО Торговля'!$E$5:$E$300,'ИТОГО Торговля'!$B$5:$B$300,$B296)+SUMIFS('ИТОГО Лэндинг'!$E$5:$E$300,'ИТОГО Лэндинг'!$B$5:$B$300,$B296))</f>
        <v/>
      </c>
      <c r="F296" s="246">
        <f>IF($B296="","",IF(SUMIFS('ИТОГО Торговля'!$F$5:$F$300,'ИТОГО Торговля'!$B$5:$B$300,$B296)+SUMIFS('ИТОГО Лэндинг'!$F$5:$F$300,'ИТОГО Лэндинг'!$B$5:$B$300,$B296)=0,"",SUMIFS('ИТОГО Торговля'!$F$5:$F$300,'ИТОГО Торговля'!$B$5:$B$300,$B296)+SUMIFS('ИТОГО Лэндинг'!$F$5:$F$300,'ИТОГО Лэндинг'!$B$5:$B$300,$B296)))</f>
        <v/>
      </c>
      <c r="G296" s="183">
        <f>IF(F296="","",H296/F296)</f>
        <v/>
      </c>
      <c r="H296" s="247">
        <f>IF(F296="","",SUMIFS('ИТОГО Торговля'!$H$5:$H$300,'ИТОГО Торговля'!$B$5:$B$300,$B296)+SUMIFS('ИТОГО Лэндинг'!$H$5:$H$300,'ИТОГО Лэндинг'!$B$5:$B$300,$B296))</f>
        <v/>
      </c>
      <c r="I296" s="246">
        <f>IF($B296="","",IF(AND(C296="",F296=""),"",ROUND(SUMIFS('ИТОГО Торговля'!$I$5:$I$300,'ИТОГО Торговля'!$B$5:$B$300,$B296)+SUMIFS('ИТОГО Лэндинг'!$I$5:$I$300,'ИТОГО Лэндинг'!$B$5:$B$300,$B296),8)))</f>
        <v/>
      </c>
      <c r="J296" s="247">
        <f>IF($B296="","",IF(AND(C296="",F296=""),"",ROUND(SUMIFS('ИТОГО Торговля'!$J$5:$J$300,'ИТОГО Торговля'!$B$5:$B$300,$B296)+SUMIFS('ИТОГО Лэндинг'!$J$5:$J$300,'ИТОГО Лэндинг'!$B$5:$B$300,$B296),8)))</f>
        <v/>
      </c>
      <c r="K296" s="246">
        <f>IF($B296="","",ROUND(SUMIFS('ИТОГО Торговля'!$K$5:$K$300,'ИТОГО Торговля'!$B$5:$B$300,$B296)+SUMIFS('ИТОГО Лэндинг'!$K$5:$K$300,'ИТОГО Лэндинг'!$B$5:$B$300,$B296),8))</f>
        <v/>
      </c>
      <c r="L296" s="183">
        <f>IF(K296="","",IF(SUMPRODUCT((Закрытые!$E$5:$E$300=$B296)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296/SUMPRODUCT((Закрытые!$E$5:$E$300=$B296)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6" s="183">
        <f>IF(OR(ROUND(N(C296)-N(F296),8)=0,1-N(Ввод!$E$17)/100&lt;=0),"",IF(N(C296)&gt;N(F296),(N(E296)-N(H296))/((N(C296)-N(F296))*(1-N(Ввод!$E$17)/100)),(N(H296)-N(E296))/((N(F296)-N(C296))*(1+N(Ввод!$E$17)/100))))</f>
        <v/>
      </c>
    </row>
    <row r="297" ht="22" customHeight="1">
      <c r="B297" s="315" t="n"/>
      <c r="C297" s="240">
        <f>IF($B297="","",IF(SUMIFS('ИТОГО Торговля'!$C$5:$C$300,'ИТОГО Торговля'!$B$5:$B$300,$B297)+SUMIFS('ИТОГО Лэндинг'!$C$5:$C$300,'ИТОГО Лэндинг'!$B$5:$B$300,$B297)=0,"",SUMIFS('ИТОГО Торговля'!$C$5:$C$300,'ИТОГО Торговля'!$B$5:$B$300,$B297)+SUMIFS('ИТОГО Лэндинг'!$C$5:$C$300,'ИТОГО Лэндинг'!$B$5:$B$300,$B297)))</f>
        <v/>
      </c>
      <c r="D297" s="177">
        <f>IF(C297="","",E297/C297)</f>
        <v/>
      </c>
      <c r="E297" s="241">
        <f>IF(C297="","",SUMIFS('ИТОГО Торговля'!$E$5:$E$300,'ИТОГО Торговля'!$B$5:$B$300,$B297)+SUMIFS('ИТОГО Лэндинг'!$E$5:$E$300,'ИТОГО Лэндинг'!$B$5:$B$300,$B297))</f>
        <v/>
      </c>
      <c r="F297" s="240">
        <f>IF($B297="","",IF(SUMIFS('ИТОГО Торговля'!$F$5:$F$300,'ИТОГО Торговля'!$B$5:$B$300,$B297)+SUMIFS('ИТОГО Лэндинг'!$F$5:$F$300,'ИТОГО Лэндинг'!$B$5:$B$300,$B297)=0,"",SUMIFS('ИТОГО Торговля'!$F$5:$F$300,'ИТОГО Торговля'!$B$5:$B$300,$B297)+SUMIFS('ИТОГО Лэндинг'!$F$5:$F$300,'ИТОГО Лэндинг'!$B$5:$B$300,$B297)))</f>
        <v/>
      </c>
      <c r="G297" s="177">
        <f>IF(F297="","",H297/F297)</f>
        <v/>
      </c>
      <c r="H297" s="241">
        <f>IF(F297="","",SUMIFS('ИТОГО Торговля'!$H$5:$H$300,'ИТОГО Торговля'!$B$5:$B$300,$B297)+SUMIFS('ИТОГО Лэндинг'!$H$5:$H$300,'ИТОГО Лэндинг'!$B$5:$B$300,$B297))</f>
        <v/>
      </c>
      <c r="I297" s="240">
        <f>IF($B297="","",IF(AND(C297="",F297=""),"",ROUND(SUMIFS('ИТОГО Торговля'!$I$5:$I$300,'ИТОГО Торговля'!$B$5:$B$300,$B297)+SUMIFS('ИТОГО Лэндинг'!$I$5:$I$300,'ИТОГО Лэндинг'!$B$5:$B$300,$B297),8)))</f>
        <v/>
      </c>
      <c r="J297" s="241">
        <f>IF($B297="","",IF(AND(C297="",F297=""),"",ROUND(SUMIFS('ИТОГО Торговля'!$J$5:$J$300,'ИТОГО Торговля'!$B$5:$B$300,$B297)+SUMIFS('ИТОГО Лэндинг'!$J$5:$J$300,'ИТОГО Лэндинг'!$B$5:$B$300,$B297),8)))</f>
        <v/>
      </c>
      <c r="K297" s="240">
        <f>IF($B297="","",ROUND(SUMIFS('ИТОГО Торговля'!$K$5:$K$300,'ИТОГО Торговля'!$B$5:$B$300,$B297)+SUMIFS('ИТОГО Лэндинг'!$K$5:$K$300,'ИТОГО Лэндинг'!$B$5:$B$300,$B297),8))</f>
        <v/>
      </c>
      <c r="L297" s="177">
        <f>IF(K297="","",IF(SUMPRODUCT((Закрытые!$E$5:$E$300=$B297)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297/SUMPRODUCT((Закрытые!$E$5:$E$300=$B297)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7" s="177">
        <f>IF(OR(ROUND(N(C297)-N(F297),8)=0,1-N(Ввод!$E$17)/100&lt;=0),"",IF(N(C297)&gt;N(F297),(N(E297)-N(H297))/((N(C297)-N(F297))*(1-N(Ввод!$E$17)/100)),(N(H297)-N(E297))/((N(F297)-N(C297))*(1+N(Ввод!$E$17)/100))))</f>
        <v/>
      </c>
    </row>
    <row r="298" ht="22" customHeight="1">
      <c r="B298" s="320" t="n"/>
      <c r="C298" s="246">
        <f>IF($B298="","",IF(SUMIFS('ИТОГО Торговля'!$C$5:$C$300,'ИТОГО Торговля'!$B$5:$B$300,$B298)+SUMIFS('ИТОГО Лэндинг'!$C$5:$C$300,'ИТОГО Лэндинг'!$B$5:$B$300,$B298)=0,"",SUMIFS('ИТОГО Торговля'!$C$5:$C$300,'ИТОГО Торговля'!$B$5:$B$300,$B298)+SUMIFS('ИТОГО Лэндинг'!$C$5:$C$300,'ИТОГО Лэндинг'!$B$5:$B$300,$B298)))</f>
        <v/>
      </c>
      <c r="D298" s="183">
        <f>IF(C298="","",E298/C298)</f>
        <v/>
      </c>
      <c r="E298" s="247">
        <f>IF(C298="","",SUMIFS('ИТОГО Торговля'!$E$5:$E$300,'ИТОГО Торговля'!$B$5:$B$300,$B298)+SUMIFS('ИТОГО Лэндинг'!$E$5:$E$300,'ИТОГО Лэндинг'!$B$5:$B$300,$B298))</f>
        <v/>
      </c>
      <c r="F298" s="246">
        <f>IF($B298="","",IF(SUMIFS('ИТОГО Торговля'!$F$5:$F$300,'ИТОГО Торговля'!$B$5:$B$300,$B298)+SUMIFS('ИТОГО Лэндинг'!$F$5:$F$300,'ИТОГО Лэндинг'!$B$5:$B$300,$B298)=0,"",SUMIFS('ИТОГО Торговля'!$F$5:$F$300,'ИТОГО Торговля'!$B$5:$B$300,$B298)+SUMIFS('ИТОГО Лэндинг'!$F$5:$F$300,'ИТОГО Лэндинг'!$B$5:$B$300,$B298)))</f>
        <v/>
      </c>
      <c r="G298" s="183">
        <f>IF(F298="","",H298/F298)</f>
        <v/>
      </c>
      <c r="H298" s="247">
        <f>IF(F298="","",SUMIFS('ИТОГО Торговля'!$H$5:$H$300,'ИТОГО Торговля'!$B$5:$B$300,$B298)+SUMIFS('ИТОГО Лэндинг'!$H$5:$H$300,'ИТОГО Лэндинг'!$B$5:$B$300,$B298))</f>
        <v/>
      </c>
      <c r="I298" s="246">
        <f>IF($B298="","",IF(AND(C298="",F298=""),"",ROUND(SUMIFS('ИТОГО Торговля'!$I$5:$I$300,'ИТОГО Торговля'!$B$5:$B$300,$B298)+SUMIFS('ИТОГО Лэндинг'!$I$5:$I$300,'ИТОГО Лэндинг'!$B$5:$B$300,$B298),8)))</f>
        <v/>
      </c>
      <c r="J298" s="247">
        <f>IF($B298="","",IF(AND(C298="",F298=""),"",ROUND(SUMIFS('ИТОГО Торговля'!$J$5:$J$300,'ИТОГО Торговля'!$B$5:$B$300,$B298)+SUMIFS('ИТОГО Лэндинг'!$J$5:$J$300,'ИТОГО Лэндинг'!$B$5:$B$300,$B298),8)))</f>
        <v/>
      </c>
      <c r="K298" s="246">
        <f>IF($B298="","",ROUND(SUMIFS('ИТОГО Торговля'!$K$5:$K$300,'ИТОГО Торговля'!$B$5:$B$300,$B298)+SUMIFS('ИТОГО Лэндинг'!$K$5:$K$300,'ИТОГО Лэндинг'!$B$5:$B$300,$B298),8))</f>
        <v/>
      </c>
      <c r="L298" s="183">
        <f>IF(K298="","",IF(SUMPRODUCT((Закрытые!$E$5:$E$300=$B298)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298/SUMPRODUCT((Закрытые!$E$5:$E$300=$B298)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8" s="183">
        <f>IF(OR(ROUND(N(C298)-N(F298),8)=0,1-N(Ввод!$E$17)/100&lt;=0),"",IF(N(C298)&gt;N(F298),(N(E298)-N(H298))/((N(C298)-N(F298))*(1-N(Ввод!$E$17)/100)),(N(H298)-N(E298))/((N(F298)-N(C298))*(1+N(Ввод!$E$17)/100))))</f>
        <v/>
      </c>
    </row>
    <row r="299" ht="22" customHeight="1">
      <c r="B299" s="315" t="n"/>
      <c r="C299" s="240">
        <f>IF($B299="","",IF(SUMIFS('ИТОГО Торговля'!$C$5:$C$300,'ИТОГО Торговля'!$B$5:$B$300,$B299)+SUMIFS('ИТОГО Лэндинг'!$C$5:$C$300,'ИТОГО Лэндинг'!$B$5:$B$300,$B299)=0,"",SUMIFS('ИТОГО Торговля'!$C$5:$C$300,'ИТОГО Торговля'!$B$5:$B$300,$B299)+SUMIFS('ИТОГО Лэндинг'!$C$5:$C$300,'ИТОГО Лэндинг'!$B$5:$B$300,$B299)))</f>
        <v/>
      </c>
      <c r="D299" s="177">
        <f>IF(C299="","",E299/C299)</f>
        <v/>
      </c>
      <c r="E299" s="241">
        <f>IF(C299="","",SUMIFS('ИТОГО Торговля'!$E$5:$E$300,'ИТОГО Торговля'!$B$5:$B$300,$B299)+SUMIFS('ИТОГО Лэндинг'!$E$5:$E$300,'ИТОГО Лэндинг'!$B$5:$B$300,$B299))</f>
        <v/>
      </c>
      <c r="F299" s="240">
        <f>IF($B299="","",IF(SUMIFS('ИТОГО Торговля'!$F$5:$F$300,'ИТОГО Торговля'!$B$5:$B$300,$B299)+SUMIFS('ИТОГО Лэндинг'!$F$5:$F$300,'ИТОГО Лэндинг'!$B$5:$B$300,$B299)=0,"",SUMIFS('ИТОГО Торговля'!$F$5:$F$300,'ИТОГО Торговля'!$B$5:$B$300,$B299)+SUMIFS('ИТОГО Лэндинг'!$F$5:$F$300,'ИТОГО Лэндинг'!$B$5:$B$300,$B299)))</f>
        <v/>
      </c>
      <c r="G299" s="177">
        <f>IF(F299="","",H299/F299)</f>
        <v/>
      </c>
      <c r="H299" s="241">
        <f>IF(F299="","",SUMIFS('ИТОГО Торговля'!$H$5:$H$300,'ИТОГО Торговля'!$B$5:$B$300,$B299)+SUMIFS('ИТОГО Лэндинг'!$H$5:$H$300,'ИТОГО Лэндинг'!$B$5:$B$300,$B299))</f>
        <v/>
      </c>
      <c r="I299" s="240">
        <f>IF($B299="","",IF(AND(C299="",F299=""),"",ROUND(SUMIFS('ИТОГО Торговля'!$I$5:$I$300,'ИТОГО Торговля'!$B$5:$B$300,$B299)+SUMIFS('ИТОГО Лэндинг'!$I$5:$I$300,'ИТОГО Лэндинг'!$B$5:$B$300,$B299),8)))</f>
        <v/>
      </c>
      <c r="J299" s="241">
        <f>IF($B299="","",IF(AND(C299="",F299=""),"",ROUND(SUMIFS('ИТОГО Торговля'!$J$5:$J$300,'ИТОГО Торговля'!$B$5:$B$300,$B299)+SUMIFS('ИТОГО Лэндинг'!$J$5:$J$300,'ИТОГО Лэндинг'!$B$5:$B$300,$B299),8)))</f>
        <v/>
      </c>
      <c r="K299" s="240">
        <f>IF($B299="","",ROUND(SUMIFS('ИТОГО Торговля'!$K$5:$K$300,'ИТОГО Торговля'!$B$5:$B$300,$B299)+SUMIFS('ИТОГО Лэндинг'!$K$5:$K$300,'ИТОГО Лэндинг'!$B$5:$B$300,$B299),8))</f>
        <v/>
      </c>
      <c r="L299" s="177">
        <f>IF(K299="","",IF(SUMPRODUCT((Закрытые!$E$5:$E$300=$B299)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299/SUMPRODUCT((Закрытые!$E$5:$E$300=$B299)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9" s="177">
        <f>IF(OR(ROUND(N(C299)-N(F299),8)=0,1-N(Ввод!$E$17)/100&lt;=0),"",IF(N(C299)&gt;N(F299),(N(E299)-N(H299))/((N(C299)-N(F299))*(1-N(Ввод!$E$17)/100)),(N(H299)-N(E299))/((N(F299)-N(C299))*(1+N(Ввод!$E$17)/100))))</f>
        <v/>
      </c>
    </row>
    <row r="300" ht="22" customHeight="1">
      <c r="B300" s="320" t="n"/>
      <c r="C300" s="246">
        <f>IF($B300="","",IF(SUMIFS('ИТОГО Торговля'!$C$5:$C$300,'ИТОГО Торговля'!$B$5:$B$300,$B300)+SUMIFS('ИТОГО Лэндинг'!$C$5:$C$300,'ИТОГО Лэндинг'!$B$5:$B$300,$B300)=0,"",SUMIFS('ИТОГО Торговля'!$C$5:$C$300,'ИТОГО Торговля'!$B$5:$B$300,$B300)+SUMIFS('ИТОГО Лэндинг'!$C$5:$C$300,'ИТОГО Лэндинг'!$B$5:$B$300,$B300)))</f>
        <v/>
      </c>
      <c r="D300" s="183">
        <f>IF(C300="","",E300/C300)</f>
        <v/>
      </c>
      <c r="E300" s="247">
        <f>IF(C300="","",SUMIFS('ИТОГО Торговля'!$E$5:$E$300,'ИТОГО Торговля'!$B$5:$B$300,$B300)+SUMIFS('ИТОГО Лэндинг'!$E$5:$E$300,'ИТОГО Лэндинг'!$B$5:$B$300,$B300))</f>
        <v/>
      </c>
      <c r="F300" s="246">
        <f>IF($B300="","",IF(SUMIFS('ИТОГО Торговля'!$F$5:$F$300,'ИТОГО Торговля'!$B$5:$B$300,$B300)+SUMIFS('ИТОГО Лэндинг'!$F$5:$F$300,'ИТОГО Лэндинг'!$B$5:$B$300,$B300)=0,"",SUMIFS('ИТОГО Торговля'!$F$5:$F$300,'ИТОГО Торговля'!$B$5:$B$300,$B300)+SUMIFS('ИТОГО Лэндинг'!$F$5:$F$300,'ИТОГО Лэндинг'!$B$5:$B$300,$B300)))</f>
        <v/>
      </c>
      <c r="G300" s="183">
        <f>IF(F300="","",H300/F300)</f>
        <v/>
      </c>
      <c r="H300" s="247">
        <f>IF(F300="","",SUMIFS('ИТОГО Торговля'!$H$5:$H$300,'ИТОГО Торговля'!$B$5:$B$300,$B300)+SUMIFS('ИТОГО Лэндинг'!$H$5:$H$300,'ИТОГО Лэндинг'!$B$5:$B$300,$B300))</f>
        <v/>
      </c>
      <c r="I300" s="246">
        <f>IF($B300="","",IF(AND(C300="",F300=""),"",ROUND(SUMIFS('ИТОГО Торговля'!$I$5:$I$300,'ИТОГО Торговля'!$B$5:$B$300,$B300)+SUMIFS('ИТОГО Лэндинг'!$I$5:$I$300,'ИТОГО Лэндинг'!$B$5:$B$300,$B300),8)))</f>
        <v/>
      </c>
      <c r="J300" s="247">
        <f>IF($B300="","",IF(AND(C300="",F300=""),"",ROUND(SUMIFS('ИТОГО Торговля'!$J$5:$J$300,'ИТОГО Торговля'!$B$5:$B$300,$B300)+SUMIFS('ИТОГО Лэндинг'!$J$5:$J$300,'ИТОГО Лэндинг'!$B$5:$B$300,$B300),8)))</f>
        <v/>
      </c>
      <c r="K300" s="246">
        <f>IF($B300="","",ROUND(SUMIFS('ИТОГО Торговля'!$K$5:$K$300,'ИТОГО Торговля'!$B$5:$B$300,$B300)+SUMIFS('ИТОГО Лэндинг'!$K$5:$K$300,'ИТОГО Лэндинг'!$B$5:$B$300,$B300),8))</f>
        <v/>
      </c>
      <c r="L300" s="183">
        <f>IF(K300="","",IF(SUMPRODUCT((Закрытые!$E$5:$E$300=$B300)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300/SUMPRODUCT((Закрытые!$E$5:$E$300=$B300)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00" s="183">
        <f>IF(OR(ROUND(N(C300)-N(F300),8)=0,1-N(Ввод!$E$17)/100&lt;=0),"",IF(N(C300)&gt;N(F300),(N(E300)-N(H300))/((N(C300)-N(F300))*(1-N(Ввод!$E$17)/100)),(N(H300)-N(E300))/((N(F300)-N(C300))*(1+N(Ввод!$E$17)/100))))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M300"/>
  <mergeCells count="1">
    <mergeCell ref="B1:M2"/>
  </mergeCells>
  <conditionalFormatting sqref="B5:M300">
    <cfRule type="expression" priority="1" dxfId="2">
      <formula>MOD(ROW(),2)=1</formula>
    </cfRule>
    <cfRule type="expression" priority="2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 codeName="Sheet10">
    <tabColor rgb="006F9EB3"/>
    <outlinePr summaryBelow="1" summaryRight="1"/>
    <pageSetUpPr fitToPage="1"/>
  </sheetPr>
  <dimension ref="B1:H1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1" customHeight="1">
      <c r="B1" s="1" t="inlineStr">
        <is>
          <t>CRYPTO JOURNAL • СПРАВОЧНИКИ</t>
        </is>
      </c>
    </row>
    <row r="2" ht="21" customHeight="1"/>
    <row r="3" ht="22" customHeight="1">
      <c r="E3" s="205" t="inlineStr">
        <is>
          <t>Счётчики ID</t>
        </is>
      </c>
      <c r="F3" s="56" t="n"/>
      <c r="G3" s="57" t="n"/>
    </row>
    <row r="4" ht="22" customHeight="1">
      <c r="B4" s="205" t="inlineStr">
        <is>
          <t>Протокол</t>
        </is>
      </c>
      <c r="C4" s="205" t="inlineStr">
        <is>
          <t>Действие (Торговля)</t>
        </is>
      </c>
      <c r="E4" s="205" t="inlineStr">
        <is>
          <t>Раздел</t>
        </is>
      </c>
      <c r="F4" s="205" t="inlineStr">
        <is>
          <t>Буква</t>
        </is>
      </c>
      <c r="G4" s="205" t="inlineStr">
        <is>
          <t>Последний номер</t>
        </is>
      </c>
    </row>
    <row r="5" ht="22" customHeight="1">
      <c r="B5" s="206" t="inlineStr">
        <is>
          <t>Binance</t>
        </is>
      </c>
      <c r="C5" s="206" t="inlineStr">
        <is>
          <t>Buy</t>
        </is>
      </c>
      <c r="E5" s="206" t="inlineStr">
        <is>
          <t>Торговля</t>
        </is>
      </c>
      <c r="F5" s="206" t="inlineStr">
        <is>
          <t>T</t>
        </is>
      </c>
      <c r="G5" s="206" t="n">
        <v>29</v>
      </c>
    </row>
    <row r="6" ht="22" customHeight="1">
      <c r="B6" s="206" t="inlineStr">
        <is>
          <t>Bybit</t>
        </is>
      </c>
      <c r="C6" s="206" t="inlineStr">
        <is>
          <t>Sell</t>
        </is>
      </c>
      <c r="E6" s="206" t="inlineStr">
        <is>
          <t>Лэндинг</t>
        </is>
      </c>
      <c r="F6" s="206" t="inlineStr">
        <is>
          <t>L</t>
        </is>
      </c>
      <c r="G6" s="206" t="n">
        <v>30</v>
      </c>
    </row>
    <row r="7" ht="22" customHeight="1">
      <c r="B7" s="206" t="inlineStr">
        <is>
          <t>OKX</t>
        </is>
      </c>
      <c r="C7" s="207" t="n"/>
      <c r="E7" s="206" t="inlineStr">
        <is>
          <t>Пулы</t>
        </is>
      </c>
      <c r="F7" s="206" t="inlineStr">
        <is>
          <t>P</t>
        </is>
      </c>
      <c r="G7" s="206" t="n">
        <v>23</v>
      </c>
    </row>
    <row r="8" ht="22" customHeight="1">
      <c r="B8" s="206" t="inlineStr">
        <is>
          <t>Uniswap</t>
        </is>
      </c>
      <c r="C8" s="207" t="n"/>
    </row>
    <row r="9" ht="22" customHeight="1">
      <c r="B9" s="206" t="inlineStr">
        <is>
          <t>AAVE</t>
        </is>
      </c>
      <c r="C9" s="207" t="n"/>
    </row>
    <row r="10" ht="22" customHeight="1">
      <c r="B10" s="206" t="inlineStr">
        <is>
          <t>Raydium</t>
        </is>
      </c>
      <c r="C10" s="207" t="n"/>
    </row>
    <row r="11" ht="22" customHeight="1">
      <c r="B11" s="206" t="inlineStr">
        <is>
          <t>PancakeSwap</t>
        </is>
      </c>
      <c r="C11" s="207" t="n"/>
    </row>
    <row r="12" ht="22" customHeight="1">
      <c r="B12" s="206" t="inlineStr">
        <is>
          <t>Orca</t>
        </is>
      </c>
      <c r="C12" s="207" t="n"/>
    </row>
  </sheetData>
  <mergeCells count="2">
    <mergeCell ref="B1:H2"/>
    <mergeCell ref="E3:G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2026-10-04T12:04:20Z</dcterms:created>
  <dcterms:modified xmlns:dcterms="http://purl.org/dc/terms/" xmlns:xsi="http://www.w3.org/2001/XMLSchema-instance" xsi:type="dcterms:W3CDTF">2026-10-10T22:00:26Z</dcterms:modified>
</cp:coreProperties>
</file>