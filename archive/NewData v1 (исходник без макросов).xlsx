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T-0034</t>
        </is>
      </c>
      <c r="C5" s="314" t="n">
        <v>44835</v>
      </c>
      <c r="D5" s="313" t="n"/>
      <c r="E5" s="315" t="inlineStr">
        <is>
          <t>WAVES/BTC</t>
        </is>
      </c>
      <c r="F5" s="316" t="n">
        <v>320.86399486</v>
      </c>
      <c r="G5" s="317" t="n">
        <v>0.00023434</v>
      </c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T-0035</t>
        </is>
      </c>
      <c r="C6" s="319" t="n">
        <v>44836</v>
      </c>
      <c r="D6" s="318" t="n"/>
      <c r="E6" s="320" t="inlineStr">
        <is>
          <t>BCH/BTC</t>
        </is>
      </c>
      <c r="F6" s="321" t="n">
        <v>3.44702689</v>
      </c>
      <c r="G6" s="322" t="n">
        <v>0.01395865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T-0036</t>
        </is>
      </c>
      <c r="C7" s="314" t="n">
        <v>44837</v>
      </c>
      <c r="D7" s="313" t="n"/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1.60668304</v>
      </c>
      <c r="J7" s="317" t="n">
        <v>0.05198743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T-0037</t>
        </is>
      </c>
      <c r="C8" s="319" t="n">
        <v>45223</v>
      </c>
      <c r="D8" s="318" t="n"/>
      <c r="E8" s="320" t="inlineStr">
        <is>
          <t>LTC/ETH</t>
        </is>
      </c>
      <c r="F8" s="321" t="n">
        <v>21.548</v>
      </c>
      <c r="G8" s="322" t="n">
        <v>0.07803206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T-0038</t>
        </is>
      </c>
      <c r="C9" s="314" t="n">
        <v>45358</v>
      </c>
      <c r="D9" s="313" t="n"/>
      <c r="E9" s="315" t="inlineStr">
        <is>
          <t>LTC/BCH</t>
        </is>
      </c>
      <c r="F9" s="316" t="n">
        <v>7.38497355</v>
      </c>
      <c r="G9" s="317" t="n">
        <v>0.20521071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T-0039</t>
        </is>
      </c>
      <c r="C10" s="319" t="n">
        <v>45374</v>
      </c>
      <c r="D10" s="318" t="n"/>
      <c r="E10" s="320" t="inlineStr">
        <is>
          <t>XRP/BTC</t>
        </is>
      </c>
      <c r="F10" s="321" t="n">
        <v>374.43186582</v>
      </c>
      <c r="G10" s="322" t="n">
        <v>1.071e-05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T-0040</t>
        </is>
      </c>
      <c r="C11" s="314" t="n">
        <v>45440</v>
      </c>
      <c r="D11" s="313" t="n"/>
      <c r="E11" s="315" t="inlineStr">
        <is>
          <t>BCH/USD</t>
        </is>
      </c>
      <c r="F11" s="316" t="n"/>
      <c r="G11" s="317" t="n"/>
      <c r="H11" s="271">
        <f>IF(AND(ISNUMBER(F11),ISNUMBER(G11)),F11*G11,"")</f>
        <v/>
      </c>
      <c r="I11" s="316" t="n">
        <v>2.58441121</v>
      </c>
      <c r="J11" s="317" t="n">
        <v>522.28254087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T-0041</t>
        </is>
      </c>
      <c r="C12" s="319" t="n">
        <v>45525</v>
      </c>
      <c r="D12" s="318" t="n"/>
      <c r="E12" s="320" t="inlineStr">
        <is>
          <t>LTC/USD</t>
        </is>
      </c>
      <c r="F12" s="321" t="n"/>
      <c r="G12" s="322" t="n"/>
      <c r="H12" s="271">
        <f>IF(AND(ISNUMBER(F12),ISNUMBER(G12)),F12*G12,"")</f>
        <v/>
      </c>
      <c r="I12" s="321" t="n">
        <v>14.2505603</v>
      </c>
      <c r="J12" s="322" t="n">
        <v>79.93060267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T-0042</t>
        </is>
      </c>
      <c r="C13" s="314" t="n">
        <v>45528</v>
      </c>
      <c r="D13" s="313" t="n"/>
      <c r="E13" s="315" t="inlineStr">
        <is>
          <t>BCH/BNB</t>
        </is>
      </c>
      <c r="F13" s="316" t="n"/>
      <c r="G13" s="317" t="n"/>
      <c r="H13" s="271">
        <f>IF(AND(ISNUMBER(F13),ISNUMBER(G13)),F13*G13,"")</f>
        <v/>
      </c>
      <c r="I13" s="316" t="n">
        <v>2.907</v>
      </c>
      <c r="J13" s="317" t="n">
        <v>0.604395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T-0043</t>
        </is>
      </c>
      <c r="C14" s="319" t="n">
        <v>45630</v>
      </c>
      <c r="D14" s="318" t="n"/>
      <c r="E14" s="320" t="inlineStr">
        <is>
          <t>TRX/XRP</t>
        </is>
      </c>
      <c r="F14" s="321" t="n">
        <v>6425.2</v>
      </c>
      <c r="G14" s="322" t="n">
        <v>0.10875161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T-0044</t>
        </is>
      </c>
      <c r="C15" s="314" t="n">
        <v>45667</v>
      </c>
      <c r="D15" s="313" t="n"/>
      <c r="E15" s="315" t="inlineStr">
        <is>
          <t>BNB/BTC</t>
        </is>
      </c>
      <c r="F15" s="316" t="n"/>
      <c r="G15" s="317" t="n"/>
      <c r="H15" s="271">
        <f>IF(AND(ISNUMBER(F15),ISNUMBER(G15)),F15*G15,"")</f>
        <v/>
      </c>
      <c r="I15" s="316" t="n">
        <v>0.2</v>
      </c>
      <c r="J15" s="317" t="n">
        <v>0.00611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T-0045</t>
        </is>
      </c>
      <c r="C16" s="319" t="n">
        <v>45671</v>
      </c>
      <c r="D16" s="318" t="n"/>
      <c r="E16" s="320" t="inlineStr">
        <is>
          <t>WAVES/USD</t>
        </is>
      </c>
      <c r="F16" s="321" t="n"/>
      <c r="G16" s="322" t="n"/>
      <c r="H16" s="271">
        <f>IF(AND(ISNUMBER(F16),ISNUMBER(G16)),F16*G16,"")</f>
        <v/>
      </c>
      <c r="I16" s="321" t="n">
        <v>203.59580305</v>
      </c>
      <c r="J16" s="322" t="n">
        <v>1.935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T-0046</t>
        </is>
      </c>
      <c r="C17" s="314" t="n">
        <v>45672</v>
      </c>
      <c r="D17" s="313" t="n"/>
      <c r="E17" s="315" t="inlineStr">
        <is>
          <t>XRP/ETH</t>
        </is>
      </c>
      <c r="F17" s="316" t="n"/>
      <c r="G17" s="317" t="n"/>
      <c r="H17" s="271">
        <f>IF(AND(ISNUMBER(F17),ISNUMBER(G17)),F17*G17,"")</f>
        <v/>
      </c>
      <c r="I17" s="316" t="n">
        <v>502</v>
      </c>
      <c r="J17" s="317" t="n">
        <v>0.0007200900000000001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T-0047</t>
        </is>
      </c>
      <c r="C18" s="319" t="n">
        <v>45675</v>
      </c>
      <c r="D18" s="318" t="n"/>
      <c r="E18" s="320" t="inlineStr">
        <is>
          <t>SOL/USD</t>
        </is>
      </c>
      <c r="F18" s="321" t="n">
        <v>4.09736162</v>
      </c>
      <c r="G18" s="322" t="n">
        <v>205.33984095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T-0048</t>
        </is>
      </c>
      <c r="C19" s="314" t="n">
        <v>45675</v>
      </c>
      <c r="D19" s="313" t="n"/>
      <c r="E19" s="315" t="inlineStr">
        <is>
          <t>SOL/BNB</t>
        </is>
      </c>
      <c r="F19" s="316" t="n">
        <v>0.545</v>
      </c>
      <c r="G19" s="317" t="n">
        <v>0.28477064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T-0049</t>
        </is>
      </c>
      <c r="C20" s="319" t="n">
        <v>45675</v>
      </c>
      <c r="D20" s="318" t="n"/>
      <c r="E20" s="320" t="inlineStr">
        <is>
          <t>SOL/BTC</t>
        </is>
      </c>
      <c r="F20" s="321" t="n">
        <v>0.19</v>
      </c>
      <c r="G20" s="322" t="n">
        <v>0.0020934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T-0050</t>
        </is>
      </c>
      <c r="C21" s="314" t="n">
        <v>45677</v>
      </c>
      <c r="D21" s="313" t="n"/>
      <c r="E21" s="315" t="inlineStr">
        <is>
          <t>MNT/USDT</t>
        </is>
      </c>
      <c r="F21" s="316" t="n"/>
      <c r="G21" s="317" t="n"/>
      <c r="H21" s="271">
        <f>IF(AND(ISNUMBER(F21),ISNUMBER(G21)),F21*G21,"")</f>
        <v/>
      </c>
      <c r="I21" s="316" t="n">
        <v>114.81</v>
      </c>
      <c r="J21" s="317" t="n">
        <v>0.992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T-0051</t>
        </is>
      </c>
      <c r="C22" s="319" t="n">
        <v>45677</v>
      </c>
      <c r="D22" s="318" t="n"/>
      <c r="E22" s="320" t="inlineStr">
        <is>
          <t>ELIZAOS/USD</t>
        </is>
      </c>
      <c r="F22" s="321" t="n">
        <v>64000</v>
      </c>
      <c r="G22" s="322" t="n">
        <v>0.00182483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T-0052</t>
        </is>
      </c>
      <c r="C23" s="314" t="n">
        <v>45687</v>
      </c>
      <c r="D23" s="313" t="n"/>
      <c r="E23" s="315" t="inlineStr">
        <is>
          <t>ELIZA/SOL</t>
        </is>
      </c>
      <c r="F23" s="316" t="n">
        <v>26600</v>
      </c>
      <c r="G23" s="317" t="n">
        <v>0.00510771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T-0053</t>
        </is>
      </c>
      <c r="C24" s="319" t="n">
        <v>45692</v>
      </c>
      <c r="D24" s="318" t="n"/>
      <c r="E24" s="320" t="inlineStr">
        <is>
          <t>BCH/BNB</t>
        </is>
      </c>
      <c r="F24" s="321" t="n">
        <v>1.588</v>
      </c>
      <c r="G24" s="322" t="n">
        <v>0.72040302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T-0054</t>
        </is>
      </c>
      <c r="C25" s="314" t="n">
        <v>45720</v>
      </c>
      <c r="D25" s="313" t="n"/>
      <c r="E25" s="315" t="inlineStr">
        <is>
          <t>XLM/USD</t>
        </is>
      </c>
      <c r="F25" s="316" t="n"/>
      <c r="G25" s="317" t="n"/>
      <c r="H25" s="271">
        <f>IF(AND(ISNUMBER(F25),ISNUMBER(G25)),F25*G25,"")</f>
        <v/>
      </c>
      <c r="I25" s="316" t="n">
        <v>450</v>
      </c>
      <c r="J25" s="317" t="n">
        <v>0.15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T-0055</t>
        </is>
      </c>
      <c r="C26" s="319" t="n">
        <v>45734</v>
      </c>
      <c r="D26" s="318" t="n"/>
      <c r="E26" s="320" t="inlineStr">
        <is>
          <t>SHIB/DOGE</t>
        </is>
      </c>
      <c r="F26" s="321" t="n">
        <v>11894483</v>
      </c>
      <c r="G26" s="322" t="n">
        <v>8.698e-05</v>
      </c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T-0056</t>
        </is>
      </c>
      <c r="C27" s="314" t="n">
        <v>45734</v>
      </c>
      <c r="D27" s="313" t="n"/>
      <c r="E27" s="315" t="inlineStr">
        <is>
          <t>CAKE/BTC</t>
        </is>
      </c>
      <c r="F27" s="316" t="n">
        <v>117.96</v>
      </c>
      <c r="G27" s="317" t="n">
        <v>3.261e-05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T-0057</t>
        </is>
      </c>
      <c r="C28" s="319" t="n">
        <v>45747</v>
      </c>
      <c r="D28" s="318" t="n"/>
      <c r="E28" s="320" t="inlineStr">
        <is>
          <t>CAKE/USD</t>
        </is>
      </c>
      <c r="F28" s="321" t="n"/>
      <c r="G28" s="322" t="n"/>
      <c r="H28" s="271">
        <f>IF(AND(ISNUMBER(F28),ISNUMBER(G28)),F28*G28,"")</f>
        <v/>
      </c>
      <c r="I28" s="321" t="n">
        <v>351</v>
      </c>
      <c r="J28" s="322" t="n">
        <v>1.9325858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T-0058</t>
        </is>
      </c>
      <c r="C29" s="314" t="n">
        <v>45754</v>
      </c>
      <c r="D29" s="313" t="n"/>
      <c r="E29" s="315" t="inlineStr">
        <is>
          <t>ETH/USD</t>
        </is>
      </c>
      <c r="F29" s="316" t="n"/>
      <c r="G29" s="317" t="n"/>
      <c r="H29" s="271">
        <f>IF(AND(ISNUMBER(F29),ISNUMBER(G29)),F29*G29,"")</f>
        <v/>
      </c>
      <c r="I29" s="316" t="n">
        <v>1.54105781</v>
      </c>
      <c r="J29" s="317" t="n">
        <v>1823.70719687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T-0059</t>
        </is>
      </c>
      <c r="C30" s="319" t="n">
        <v>45755</v>
      </c>
      <c r="D30" s="318" t="n"/>
      <c r="E30" s="320" t="inlineStr">
        <is>
          <t>LTC/BTC</t>
        </is>
      </c>
      <c r="F30" s="321" t="n">
        <v>10.3761063</v>
      </c>
      <c r="G30" s="322" t="n">
        <v>0.00287154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T-0060</t>
        </is>
      </c>
      <c r="C31" s="314" t="n">
        <v>45767</v>
      </c>
      <c r="D31" s="313" t="n"/>
      <c r="E31" s="315" t="inlineStr">
        <is>
          <t>SOL/USD</t>
        </is>
      </c>
      <c r="F31" s="316" t="n"/>
      <c r="G31" s="317" t="n"/>
      <c r="H31" s="271">
        <f>IF(AND(ISNUMBER(F31),ISNUMBER(G31)),F31*G31,"")</f>
        <v/>
      </c>
      <c r="I31" s="316" t="n">
        <v>0.602</v>
      </c>
      <c r="J31" s="317" t="n">
        <v>134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T-0061</t>
        </is>
      </c>
      <c r="C32" s="319" t="n">
        <v>45776</v>
      </c>
      <c r="D32" s="318" t="n"/>
      <c r="E32" s="320" t="inlineStr">
        <is>
          <t>TRX/ETH</t>
        </is>
      </c>
      <c r="F32" s="321" t="n">
        <v>200</v>
      </c>
      <c r="G32" s="322" t="n">
        <v>0.000136</v>
      </c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T-0062</t>
        </is>
      </c>
      <c r="C33" s="314" t="n">
        <v>45791</v>
      </c>
      <c r="D33" s="313" t="n"/>
      <c r="E33" s="315" t="inlineStr">
        <is>
          <t>SOL/ETH</t>
        </is>
      </c>
      <c r="F33" s="316" t="n">
        <v>6.291</v>
      </c>
      <c r="G33" s="317" t="n">
        <v>0.0620326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T-0063</t>
        </is>
      </c>
      <c r="C34" s="319" t="n">
        <v>45813</v>
      </c>
      <c r="D34" s="318" t="n"/>
      <c r="E34" s="320" t="inlineStr">
        <is>
          <t>TRX/BTC</t>
        </is>
      </c>
      <c r="F34" s="321" t="n"/>
      <c r="G34" s="322" t="n"/>
      <c r="H34" s="271">
        <f>IF(AND(ISNUMBER(F34),ISNUMBER(G34)),F34*G34,"")</f>
        <v/>
      </c>
      <c r="I34" s="321" t="n">
        <v>524</v>
      </c>
      <c r="J34" s="322" t="n">
        <v>2.66e-06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T-0064</t>
        </is>
      </c>
      <c r="C35" s="314" t="n">
        <v>45857</v>
      </c>
      <c r="D35" s="313" t="n"/>
      <c r="E35" s="315" t="inlineStr">
        <is>
          <t>LINK/USD</t>
        </is>
      </c>
      <c r="F35" s="316" t="n"/>
      <c r="G35" s="317" t="n"/>
      <c r="H35" s="271">
        <f>IF(AND(ISNUMBER(F35),ISNUMBER(G35)),F35*G35,"")</f>
        <v/>
      </c>
      <c r="I35" s="316" t="n">
        <v>9.07</v>
      </c>
      <c r="J35" s="317" t="n">
        <v>18.47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T-0065</t>
        </is>
      </c>
      <c r="C36" s="319" t="n">
        <v>45885</v>
      </c>
      <c r="D36" s="318" t="n"/>
      <c r="E36" s="320" t="inlineStr">
        <is>
          <t>ADA/ETH</t>
        </is>
      </c>
      <c r="F36" s="321" t="n"/>
      <c r="G36" s="322" t="n"/>
      <c r="H36" s="271">
        <f>IF(AND(ISNUMBER(F36),ISNUMBER(G36)),F36*G36,"")</f>
        <v/>
      </c>
      <c r="I36" s="321" t="n">
        <v>100</v>
      </c>
      <c r="J36" s="322" t="n">
        <v>0.0002122</v>
      </c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T-0066</t>
        </is>
      </c>
      <c r="C37" s="314" t="n">
        <v>45886</v>
      </c>
      <c r="D37" s="313" t="n"/>
      <c r="E37" s="315" t="inlineStr">
        <is>
          <t>ADA/USD</t>
        </is>
      </c>
      <c r="F37" s="316" t="n"/>
      <c r="G37" s="317" t="n"/>
      <c r="H37" s="271">
        <f>IF(AND(ISNUMBER(F37),ISNUMBER(G37)),F37*G37,"")</f>
        <v/>
      </c>
      <c r="I37" s="316" t="n">
        <v>300</v>
      </c>
      <c r="J37" s="317" t="n">
        <v>0.9</v>
      </c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T-0067</t>
        </is>
      </c>
      <c r="C38" s="319" t="n">
        <v>45889</v>
      </c>
      <c r="D38" s="318" t="n"/>
      <c r="E38" s="320" t="inlineStr">
        <is>
          <t>MAGIC/BTC</t>
        </is>
      </c>
      <c r="F38" s="321" t="n">
        <v>863.4</v>
      </c>
      <c r="G38" s="322" t="n">
        <v>2.01e-06</v>
      </c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T-0068</t>
        </is>
      </c>
      <c r="C39" s="314" t="n">
        <v>45891</v>
      </c>
      <c r="D39" s="313" t="n"/>
      <c r="E39" s="315" t="inlineStr">
        <is>
          <t>BTC/USD</t>
        </is>
      </c>
      <c r="F39" s="316" t="n"/>
      <c r="G39" s="317" t="n"/>
      <c r="H39" s="271">
        <f>IF(AND(ISNUMBER(F39),ISNUMBER(G39)),F39*G39,"")</f>
        <v/>
      </c>
      <c r="I39" s="316" t="n">
        <v>0.06151</v>
      </c>
      <c r="J39" s="317" t="n">
        <v>84797.25338834</v>
      </c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T-0069</t>
        </is>
      </c>
      <c r="C40" s="319" t="n">
        <v>45913</v>
      </c>
      <c r="D40" s="318" t="n"/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0.936698</v>
      </c>
      <c r="J40" s="322" t="n">
        <v>890.83973703</v>
      </c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T-0070</t>
        </is>
      </c>
      <c r="C41" s="314" t="n">
        <v>45931</v>
      </c>
      <c r="D41" s="313" t="n"/>
      <c r="E41" s="315" t="inlineStr">
        <is>
          <t>DOGE/BTC</t>
        </is>
      </c>
      <c r="F41" s="316" t="n">
        <v>680</v>
      </c>
      <c r="G41" s="317" t="n">
        <v>2.31e-06</v>
      </c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T-0071</t>
        </is>
      </c>
      <c r="C42" s="319" t="n">
        <v>45931</v>
      </c>
      <c r="D42" s="318" t="n"/>
      <c r="E42" s="320" t="inlineStr">
        <is>
          <t>DOGE/USD</t>
        </is>
      </c>
      <c r="F42" s="321" t="n"/>
      <c r="G42" s="322" t="n"/>
      <c r="H42" s="271">
        <f>IF(AND(ISNUMBER(F42),ISNUMBER(G42)),F42*G42,"")</f>
        <v/>
      </c>
      <c r="I42" s="321" t="n">
        <v>431</v>
      </c>
      <c r="J42" s="322" t="n">
        <v>0.15121</v>
      </c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T-0072</t>
        </is>
      </c>
      <c r="C43" s="314" t="n">
        <v>45931</v>
      </c>
      <c r="D43" s="313" t="n"/>
      <c r="E43" s="315" t="inlineStr">
        <is>
          <t>CAKE/USD</t>
        </is>
      </c>
      <c r="F43" s="316" t="n">
        <v>24</v>
      </c>
      <c r="G43" s="317" t="n">
        <v>9.33208333</v>
      </c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T-0073</t>
        </is>
      </c>
      <c r="C44" s="319" t="n">
        <v>45952</v>
      </c>
      <c r="D44" s="318" t="n"/>
      <c r="E44" s="320" t="inlineStr">
        <is>
          <t>XRP/BNB</t>
        </is>
      </c>
      <c r="F44" s="321" t="n">
        <v>72.35380000000001</v>
      </c>
      <c r="G44" s="322" t="n">
        <v>0.00254955</v>
      </c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T-0074</t>
        </is>
      </c>
      <c r="C45" s="314" t="n">
        <v>45964</v>
      </c>
      <c r="D45" s="313" t="n"/>
      <c r="E45" s="315" t="inlineStr">
        <is>
          <t>BNB/USD</t>
        </is>
      </c>
      <c r="F45" s="316" t="n">
        <v>0.159</v>
      </c>
      <c r="G45" s="317" t="n">
        <v>1083.07</v>
      </c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T-0075</t>
        </is>
      </c>
      <c r="C46" s="319" t="n">
        <v>45967</v>
      </c>
      <c r="D46" s="318" t="n"/>
      <c r="E46" s="320" t="inlineStr">
        <is>
          <t>DASH/USD</t>
        </is>
      </c>
      <c r="F46" s="321" t="n"/>
      <c r="G46" s="322" t="n"/>
      <c r="H46" s="271">
        <f>IF(AND(ISNUMBER(F46),ISNUMBER(G46)),F46*G46,"")</f>
        <v/>
      </c>
      <c r="I46" s="321" t="n">
        <v>3</v>
      </c>
      <c r="J46" s="322" t="n">
        <v>59.92002</v>
      </c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T-0076</t>
        </is>
      </c>
      <c r="C47" s="314" t="n">
        <v>45981</v>
      </c>
      <c r="D47" s="313" t="n"/>
      <c r="E47" s="315" t="inlineStr">
        <is>
          <t>ZEC/USD</t>
        </is>
      </c>
      <c r="F47" s="316" t="n"/>
      <c r="G47" s="317" t="n"/>
      <c r="H47" s="271">
        <f>IF(AND(ISNUMBER(F47),ISNUMBER(G47)),F47*G47,"")</f>
        <v/>
      </c>
      <c r="I47" s="316" t="n">
        <v>0.28</v>
      </c>
      <c r="J47" s="317" t="n">
        <v>668.96428571</v>
      </c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T-0077</t>
        </is>
      </c>
      <c r="C48" s="319" t="n">
        <v>46007</v>
      </c>
      <c r="D48" s="318" t="n"/>
      <c r="E48" s="320" t="inlineStr">
        <is>
          <t>HBAR/BTC</t>
        </is>
      </c>
      <c r="F48" s="321" t="n">
        <v>433</v>
      </c>
      <c r="G48" s="322" t="n">
        <v>1.32e-06</v>
      </c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T-0078</t>
        </is>
      </c>
      <c r="C49" s="314" t="n">
        <v>46008</v>
      </c>
      <c r="D49" s="313" t="n"/>
      <c r="E49" s="315" t="inlineStr">
        <is>
          <t>BCH/BTC</t>
        </is>
      </c>
      <c r="F49" s="316" t="n"/>
      <c r="G49" s="317" t="n"/>
      <c r="H49" s="271">
        <f>IF(AND(ISNUMBER(F49),ISNUMBER(G49)),F49*G49,"")</f>
        <v/>
      </c>
      <c r="I49" s="316" t="n">
        <v>8.20261</v>
      </c>
      <c r="J49" s="317" t="n">
        <v>0.00504588</v>
      </c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T-0079</t>
        </is>
      </c>
      <c r="C50" s="319" t="n">
        <v>46008</v>
      </c>
      <c r="D50" s="318" t="n"/>
      <c r="E50" s="320" t="inlineStr">
        <is>
          <t>SOL/ETH</t>
        </is>
      </c>
      <c r="F50" s="321" t="n"/>
      <c r="G50" s="322" t="n"/>
      <c r="H50" s="271">
        <f>IF(AND(ISNUMBER(F50),ISNUMBER(G50)),F50*G50,"")</f>
        <v/>
      </c>
      <c r="I50" s="321" t="n">
        <v>2.69</v>
      </c>
      <c r="J50" s="322" t="n">
        <v>0.043</v>
      </c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T-0080</t>
        </is>
      </c>
      <c r="C51" s="314" t="n">
        <v>46113</v>
      </c>
      <c r="D51" s="313" t="n"/>
      <c r="E51" s="315" t="inlineStr">
        <is>
          <t>XRP/USD</t>
        </is>
      </c>
      <c r="F51" s="316" t="n"/>
      <c r="G51" s="317" t="n"/>
      <c r="H51" s="271">
        <f>IF(AND(ISNUMBER(F51),ISNUMBER(G51)),F51*G51,"")</f>
        <v/>
      </c>
      <c r="I51" s="316" t="n">
        <v>859.53</v>
      </c>
      <c r="J51" s="317" t="n">
        <v>1.81231104</v>
      </c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T-0081</t>
        </is>
      </c>
      <c r="C52" s="319" t="n">
        <v>46144</v>
      </c>
      <c r="D52" s="318" t="n"/>
      <c r="E52" s="320" t="inlineStr">
        <is>
          <t>DASH/BTC</t>
        </is>
      </c>
      <c r="F52" s="321" t="n"/>
      <c r="G52" s="322" t="n"/>
      <c r="H52" s="271">
        <f>IF(AND(ISNUMBER(F52),ISNUMBER(G52)),F52*G52,"")</f>
        <v/>
      </c>
      <c r="I52" s="321" t="n">
        <v>4</v>
      </c>
      <c r="J52" s="322" t="n">
        <v>0.00054855</v>
      </c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T-0082</t>
        </is>
      </c>
      <c r="C53" s="314" t="n">
        <v>46289</v>
      </c>
      <c r="D53" s="313" t="n"/>
      <c r="E53" s="315" t="inlineStr">
        <is>
          <t>LTC/BTC</t>
        </is>
      </c>
      <c r="F53" s="316" t="n"/>
      <c r="G53" s="317" t="n"/>
      <c r="H53" s="271">
        <f>IF(AND(ISNUMBER(F53),ISNUMBER(G53)),F53*G53,"")</f>
        <v/>
      </c>
      <c r="I53" s="316" t="n">
        <v>1</v>
      </c>
      <c r="J53" s="317" t="n">
        <v>0.000812</v>
      </c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T-0083</t>
        </is>
      </c>
      <c r="C54" s="319" t="n">
        <v>46290</v>
      </c>
      <c r="D54" s="318" t="n"/>
      <c r="E54" s="320" t="inlineStr">
        <is>
          <t>DASH/BTC</t>
        </is>
      </c>
      <c r="F54" s="321" t="n">
        <v>1</v>
      </c>
      <c r="G54" s="322" t="n">
        <v>0.0007219</v>
      </c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ADA/BTC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ADA/ETH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ALGO/BTC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ATOM/USD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BCH/BNB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BCH/BTC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BCH/USD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BNB/BTC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BNB/ETH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BNB/USD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BTC/USD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CAKE/BNB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CAKE/BTC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CAKE/ETH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CAKE/USD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DASH/BTC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DASH/USD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DOGE/BTC</t>
        </is>
      </c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DOGE/USD</t>
        </is>
      </c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ELIZA/SOL</t>
        </is>
      </c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ELIZAOS/USD</t>
        </is>
      </c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ETC/BNB</t>
        </is>
      </c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ETH/BTC</t>
        </is>
      </c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ETH/USD</t>
        </is>
      </c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HBAR/BTC</t>
        </is>
      </c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LINK/BTC</t>
        </is>
      </c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LINK/USD</t>
        </is>
      </c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LTC/BCH</t>
        </is>
      </c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LTC/BTC</t>
        </is>
      </c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LTC/ETH</t>
        </is>
      </c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LTC/USD</t>
        </is>
      </c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MAGIC/BTC</t>
        </is>
      </c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MNT/USDT</t>
        </is>
      </c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PAXG/USD</t>
        </is>
      </c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PYTH/SOL</t>
        </is>
      </c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SHIB/DOGE</t>
        </is>
      </c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SOL/BNB</t>
        </is>
      </c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SOL/BTC</t>
        </is>
      </c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SOL/ETH</t>
        </is>
      </c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SOL/USD</t>
        </is>
      </c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TRX/BTC</t>
        </is>
      </c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TRX/ETH</t>
        </is>
      </c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TRX/XRP</t>
        </is>
      </c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WAVES/BTC</t>
        </is>
      </c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WAVES/USD</t>
        </is>
      </c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XLM/USD</t>
        </is>
      </c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XRP/BNB</t>
        </is>
      </c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XRP/BTC</t>
        </is>
      </c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XRP/ETH</t>
        </is>
      </c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XRP/USD</t>
        </is>
      </c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ZEC/BTC</t>
        </is>
      </c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ZEC/USD</t>
        </is>
      </c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T-0001</t>
        </is>
      </c>
      <c r="C15" s="314" t="n">
        <v>46306</v>
      </c>
      <c r="D15" s="313" t="n"/>
      <c r="E15" s="315" t="inlineStr">
        <is>
          <t>ETC/BNB</t>
        </is>
      </c>
      <c r="F15" s="316" t="n">
        <v>29.5</v>
      </c>
      <c r="G15" s="317" t="n">
        <v>0.0442449</v>
      </c>
      <c r="H15" s="271">
        <f>IF(AND(ISNUMBER(F15),ISNUMBER(G15)),F15*G15,"")</f>
        <v/>
      </c>
      <c r="I15" s="316" t="n">
        <v>29.5</v>
      </c>
      <c r="J15" s="317" t="n">
        <v>0.04661334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T-0002</t>
        </is>
      </c>
      <c r="C16" s="319" t="n">
        <v>46306</v>
      </c>
      <c r="D16" s="318" t="n"/>
      <c r="E16" s="320" t="inlineStr">
        <is>
          <t>TRX/XRP</t>
        </is>
      </c>
      <c r="F16" s="321" t="n">
        <v>17720.3</v>
      </c>
      <c r="G16" s="322" t="n">
        <v>0.11607616</v>
      </c>
      <c r="H16" s="271">
        <f>IF(AND(ISNUMBER(F16),ISNUMBER(G16)),F16*G16,"")</f>
        <v/>
      </c>
      <c r="I16" s="321" t="n">
        <v>17062</v>
      </c>
      <c r="J16" s="322" t="n">
        <v>0.1355196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T-0003</t>
        </is>
      </c>
      <c r="C17" s="314" t="n">
        <v>46306</v>
      </c>
      <c r="D17" s="313" t="n"/>
      <c r="E17" s="315" t="inlineStr">
        <is>
          <t>TRX/ETH</t>
        </is>
      </c>
      <c r="F17" s="316" t="n">
        <v>100</v>
      </c>
      <c r="G17" s="317" t="n">
        <v>5.027e-05</v>
      </c>
      <c r="H17" s="271">
        <f>IF(AND(ISNUMBER(F17),ISNUMBER(G17)),F17*G17,"")</f>
        <v/>
      </c>
      <c r="I17" s="316" t="n">
        <v>100</v>
      </c>
      <c r="J17" s="317" t="n">
        <v>0.00015303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T-0004</t>
        </is>
      </c>
      <c r="C18" s="319" t="n">
        <v>46306</v>
      </c>
      <c r="D18" s="318" t="n"/>
      <c r="E18" s="320" t="inlineStr">
        <is>
          <t>TRX/BTC</t>
        </is>
      </c>
      <c r="F18" s="321" t="n">
        <v>630</v>
      </c>
      <c r="G18" s="322" t="n">
        <v>2.53e-06</v>
      </c>
      <c r="H18" s="271">
        <f>IF(AND(ISNUMBER(F18),ISNUMBER(G18)),F18*G18,"")</f>
        <v/>
      </c>
      <c r="I18" s="321" t="n">
        <v>630</v>
      </c>
      <c r="J18" s="322" t="n">
        <v>2.66e-06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T-0005</t>
        </is>
      </c>
      <c r="C19" s="314" t="n">
        <v>46306</v>
      </c>
      <c r="D19" s="313" t="n"/>
      <c r="E19" s="315" t="inlineStr">
        <is>
          <t>DOGE/USD</t>
        </is>
      </c>
      <c r="F19" s="316" t="n">
        <v>621</v>
      </c>
      <c r="G19" s="317" t="n">
        <v>0.25897118</v>
      </c>
      <c r="H19" s="271">
        <f>IF(AND(ISNUMBER(F19),ISNUMBER(G19)),F19*G19,"")</f>
        <v/>
      </c>
      <c r="I19" s="316" t="n">
        <v>621</v>
      </c>
      <c r="J19" s="317" t="n">
        <v>0.32632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T-0006</t>
        </is>
      </c>
      <c r="C20" s="319" t="n">
        <v>46306</v>
      </c>
      <c r="D20" s="318" t="n"/>
      <c r="E20" s="320" t="inlineStr">
        <is>
          <t>XRP/BTC</t>
        </is>
      </c>
      <c r="F20" s="321" t="n">
        <v>181</v>
      </c>
      <c r="G20" s="322" t="n">
        <v>1.611e-05</v>
      </c>
      <c r="H20" s="271">
        <f>IF(AND(ISNUMBER(F20),ISNUMBER(G20)),F20*G20,"")</f>
        <v/>
      </c>
      <c r="I20" s="321" t="n">
        <v>180</v>
      </c>
      <c r="J20" s="322" t="n">
        <v>2.377e-05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T-0007</t>
        </is>
      </c>
      <c r="C21" s="314" t="n">
        <v>46306</v>
      </c>
      <c r="D21" s="313" t="n"/>
      <c r="E21" s="315" t="inlineStr">
        <is>
          <t>XRP/USD</t>
        </is>
      </c>
      <c r="F21" s="316" t="n">
        <v>2007.87</v>
      </c>
      <c r="G21" s="317" t="n">
        <v>0.67031646</v>
      </c>
      <c r="H21" s="271">
        <f>IF(AND(ISNUMBER(F21),ISNUMBER(G21)),F21*G21,"")</f>
        <v/>
      </c>
      <c r="I21" s="316" t="n">
        <v>2007.87</v>
      </c>
      <c r="J21" s="317" t="n">
        <v>2.585997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T-0008</t>
        </is>
      </c>
      <c r="C22" s="319" t="n">
        <v>46306</v>
      </c>
      <c r="D22" s="318" t="n"/>
      <c r="E22" s="320" t="inlineStr">
        <is>
          <t>XRP/BNB</t>
        </is>
      </c>
      <c r="F22" s="321" t="n">
        <v>638</v>
      </c>
      <c r="G22" s="322" t="n">
        <v>0.00323821</v>
      </c>
      <c r="H22" s="271">
        <f>IF(AND(ISNUMBER(F22),ISNUMBER(G22)),F22*G22,"")</f>
        <v/>
      </c>
      <c r="I22" s="321" t="n">
        <v>638</v>
      </c>
      <c r="J22" s="322" t="n">
        <v>0.00343764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T-0009</t>
        </is>
      </c>
      <c r="C23" s="314" t="n">
        <v>46306</v>
      </c>
      <c r="D23" s="313" t="n"/>
      <c r="E23" s="315" t="inlineStr">
        <is>
          <t>ZEC/BTC</t>
        </is>
      </c>
      <c r="F23" s="316" t="n">
        <v>3.93</v>
      </c>
      <c r="G23" s="317" t="n">
        <v>0.00030486</v>
      </c>
      <c r="H23" s="271">
        <f>IF(AND(ISNUMBER(F23),ISNUMBER(G23)),F23*G23,"")</f>
        <v/>
      </c>
      <c r="I23" s="316" t="n">
        <v>3.93</v>
      </c>
      <c r="J23" s="317" t="n">
        <v>0.0003614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T-0010</t>
        </is>
      </c>
      <c r="C24" s="319" t="n">
        <v>46306</v>
      </c>
      <c r="D24" s="318" t="n"/>
      <c r="E24" s="320" t="inlineStr">
        <is>
          <t>ALGO/BTC</t>
        </is>
      </c>
      <c r="F24" s="321" t="n">
        <v>1169</v>
      </c>
      <c r="G24" s="322" t="n">
        <v>2.73e-06</v>
      </c>
      <c r="H24" s="271">
        <f>IF(AND(ISNUMBER(F24),ISNUMBER(G24)),F24*G24,"")</f>
        <v/>
      </c>
      <c r="I24" s="321" t="n">
        <v>1169</v>
      </c>
      <c r="J24" s="322" t="n">
        <v>2.72e-06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T-0011</t>
        </is>
      </c>
      <c r="C25" s="314" t="n">
        <v>46306</v>
      </c>
      <c r="D25" s="313" t="n"/>
      <c r="E25" s="315" t="inlineStr">
        <is>
          <t>HBAR/BTC</t>
        </is>
      </c>
      <c r="F25" s="316" t="n">
        <v>1118</v>
      </c>
      <c r="G25" s="317" t="n">
        <v>2.1e-06</v>
      </c>
      <c r="H25" s="271">
        <f>IF(AND(ISNUMBER(F25),ISNUMBER(G25)),F25*G25,"")</f>
        <v/>
      </c>
      <c r="I25" s="316" t="n">
        <v>1118</v>
      </c>
      <c r="J25" s="317" t="n">
        <v>2.26e-06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T-0012</t>
        </is>
      </c>
      <c r="C26" s="319" t="n">
        <v>46306</v>
      </c>
      <c r="D26" s="318" t="n"/>
      <c r="E26" s="320" t="inlineStr">
        <is>
          <t>ATOM/USD</t>
        </is>
      </c>
      <c r="F26" s="321" t="n">
        <v>20</v>
      </c>
      <c r="G26" s="322" t="n">
        <v>4.742</v>
      </c>
      <c r="H26" s="271">
        <f>IF(AND(ISNUMBER(F26),ISNUMBER(G26)),F26*G26,"")</f>
        <v/>
      </c>
      <c r="I26" s="321" t="n">
        <v>20</v>
      </c>
      <c r="J26" s="322" t="n">
        <v>4.92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T-0013</t>
        </is>
      </c>
      <c r="C27" s="314" t="n">
        <v>46306</v>
      </c>
      <c r="D27" s="313" t="n"/>
      <c r="E27" s="315" t="inlineStr">
        <is>
          <t>ADA/BTC</t>
        </is>
      </c>
      <c r="F27" s="316" t="n">
        <v>100</v>
      </c>
      <c r="G27" s="317" t="n">
        <v>7.97e-06</v>
      </c>
      <c r="H27" s="271">
        <f>IF(AND(ISNUMBER(F27),ISNUMBER(G27)),F27*G27,"")</f>
        <v/>
      </c>
      <c r="I27" s="316" t="n">
        <v>100</v>
      </c>
      <c r="J27" s="317" t="n">
        <v>1.19e-05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T-0014</t>
        </is>
      </c>
      <c r="C28" s="319" t="n">
        <v>46306</v>
      </c>
      <c r="D28" s="318" t="n"/>
      <c r="E28" s="320" t="inlineStr">
        <is>
          <t>PYTH/SOL</t>
        </is>
      </c>
      <c r="F28" s="321" t="n">
        <v>100</v>
      </c>
      <c r="G28" s="322" t="n">
        <v>0.001291</v>
      </c>
      <c r="H28" s="271">
        <f>IF(AND(ISNUMBER(F28),ISNUMBER(G28)),F28*G28,"")</f>
        <v/>
      </c>
      <c r="I28" s="321" t="n">
        <v>100</v>
      </c>
      <c r="J28" s="322" t="n">
        <v>0.00142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T-0015</t>
        </is>
      </c>
      <c r="C29" s="314" t="n">
        <v>46306</v>
      </c>
      <c r="D29" s="313" t="n"/>
      <c r="E29" s="315" t="inlineStr">
        <is>
          <t>BTC/USD</t>
        </is>
      </c>
      <c r="F29" s="316" t="n">
        <v>0.00786247</v>
      </c>
      <c r="G29" s="317" t="n">
        <v>80392.41493807</v>
      </c>
      <c r="H29" s="271">
        <f>IF(AND(ISNUMBER(F29),ISNUMBER(G29)),F29*G29,"")</f>
        <v/>
      </c>
      <c r="I29" s="316" t="n">
        <v>0.00786047</v>
      </c>
      <c r="J29" s="317" t="n">
        <v>92654.3487834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T-0016</t>
        </is>
      </c>
      <c r="C30" s="319" t="n">
        <v>46306</v>
      </c>
      <c r="D30" s="318" t="n"/>
      <c r="E30" s="320" t="inlineStr">
        <is>
          <t>BNB/USD</t>
        </is>
      </c>
      <c r="F30" s="321" t="n">
        <v>1.66421673</v>
      </c>
      <c r="G30" s="322" t="n">
        <v>606.20242287</v>
      </c>
      <c r="H30" s="271">
        <f>IF(AND(ISNUMBER(F30),ISNUMBER(G30)),F30*G30,"")</f>
        <v/>
      </c>
      <c r="I30" s="321" t="n">
        <v>1.6560812</v>
      </c>
      <c r="J30" s="322" t="n">
        <v>627.44927483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T-0017</t>
        </is>
      </c>
      <c r="C31" s="314" t="n">
        <v>46306</v>
      </c>
      <c r="D31" s="313" t="n"/>
      <c r="E31" s="315" t="inlineStr">
        <is>
          <t>BNB/BTC</t>
        </is>
      </c>
      <c r="F31" s="316" t="n">
        <v>0.3</v>
      </c>
      <c r="G31" s="317" t="n">
        <v>0.00767534</v>
      </c>
      <c r="H31" s="271">
        <f>IF(AND(ISNUMBER(F31),ISNUMBER(G31)),F31*G31,"")</f>
        <v/>
      </c>
      <c r="I31" s="316" t="n">
        <v>0.3</v>
      </c>
      <c r="J31" s="317" t="n">
        <v>0.01404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T-0018</t>
        </is>
      </c>
      <c r="C32" s="319" t="n">
        <v>46306</v>
      </c>
      <c r="D32" s="318" t="n"/>
      <c r="E32" s="320" t="inlineStr">
        <is>
          <t>BCH/BTC</t>
        </is>
      </c>
      <c r="F32" s="321" t="n">
        <v>0.403</v>
      </c>
      <c r="G32" s="322" t="n">
        <v>0.003775</v>
      </c>
      <c r="H32" s="271">
        <f>IF(AND(ISNUMBER(F32),ISNUMBER(G32)),F32*G32,"")</f>
        <v/>
      </c>
      <c r="I32" s="321" t="n">
        <v>0.40130092</v>
      </c>
      <c r="J32" s="322" t="n">
        <v>0.00392302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T-0019</t>
        </is>
      </c>
      <c r="C33" s="314" t="n">
        <v>46306</v>
      </c>
      <c r="D33" s="313" t="n"/>
      <c r="E33" s="315" t="inlineStr">
        <is>
          <t>BNB/ETH</t>
        </is>
      </c>
      <c r="F33" s="316" t="n">
        <v>0.29</v>
      </c>
      <c r="G33" s="317" t="n">
        <v>0.193006</v>
      </c>
      <c r="H33" s="271">
        <f>IF(AND(ISNUMBER(F33),ISNUMBER(G33)),F33*G33,"")</f>
        <v/>
      </c>
      <c r="I33" s="316" t="n">
        <v>0.28629</v>
      </c>
      <c r="J33" s="317" t="n">
        <v>0.21928813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T-0020</t>
        </is>
      </c>
      <c r="C34" s="319" t="n">
        <v>46306</v>
      </c>
      <c r="D34" s="318" t="n"/>
      <c r="E34" s="320" t="inlineStr">
        <is>
          <t>ETH/BTC</t>
        </is>
      </c>
      <c r="F34" s="321" t="n">
        <v>1.20929859</v>
      </c>
      <c r="G34" s="322" t="n">
        <v>0.03205338</v>
      </c>
      <c r="H34" s="271">
        <f>IF(AND(ISNUMBER(F34),ISNUMBER(G34)),F34*G34,"")</f>
        <v/>
      </c>
      <c r="I34" s="321" t="n">
        <v>1.19886859</v>
      </c>
      <c r="J34" s="322" t="n">
        <v>0.05514341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T-0021</t>
        </is>
      </c>
      <c r="C35" s="314" t="n">
        <v>46306</v>
      </c>
      <c r="D35" s="313" t="n"/>
      <c r="E35" s="315" t="inlineStr">
        <is>
          <t>ETH/USD</t>
        </is>
      </c>
      <c r="F35" s="316" t="n">
        <v>1.22841877</v>
      </c>
      <c r="G35" s="317" t="n">
        <v>2305.29556289</v>
      </c>
      <c r="H35" s="271">
        <f>IF(AND(ISNUMBER(F35),ISNUMBER(G35)),F35*G35,"")</f>
        <v/>
      </c>
      <c r="I35" s="316" t="n">
        <v>1.2167922</v>
      </c>
      <c r="J35" s="317" t="n">
        <v>2701.07197061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inlineStr">
        <is>
          <t>T-0022</t>
        </is>
      </c>
      <c r="C36" s="319" t="n">
        <v>46306</v>
      </c>
      <c r="D36" s="318" t="n"/>
      <c r="E36" s="320" t="inlineStr">
        <is>
          <t>CAKE/USD</t>
        </is>
      </c>
      <c r="F36" s="321" t="n">
        <v>249</v>
      </c>
      <c r="G36" s="322" t="n">
        <v>1.94317748</v>
      </c>
      <c r="H36" s="271">
        <f>IF(AND(ISNUMBER(F36),ISNUMBER(G36)),F36*G36,"")</f>
        <v/>
      </c>
      <c r="I36" s="321" t="n">
        <v>238</v>
      </c>
      <c r="J36" s="322" t="n">
        <v>2.10339714</v>
      </c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inlineStr">
        <is>
          <t>T-0023</t>
        </is>
      </c>
      <c r="C37" s="314" t="n">
        <v>46306</v>
      </c>
      <c r="D37" s="313" t="n"/>
      <c r="E37" s="315" t="inlineStr">
        <is>
          <t>CAKE/BNB</t>
        </is>
      </c>
      <c r="F37" s="316" t="n">
        <v>152.1159</v>
      </c>
      <c r="G37" s="317" t="n">
        <v>0.00327053</v>
      </c>
      <c r="H37" s="271">
        <f>IF(AND(ISNUMBER(F37),ISNUMBER(G37)),F37*G37,"")</f>
        <v/>
      </c>
      <c r="I37" s="316" t="n">
        <v>152.1159</v>
      </c>
      <c r="J37" s="317" t="n">
        <v>0.00351796</v>
      </c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inlineStr">
        <is>
          <t>T-0024</t>
        </is>
      </c>
      <c r="C38" s="319" t="n">
        <v>46306</v>
      </c>
      <c r="D38" s="318" t="n"/>
      <c r="E38" s="320" t="inlineStr">
        <is>
          <t>CAKE/ETH</t>
        </is>
      </c>
      <c r="F38" s="321" t="n">
        <v>200</v>
      </c>
      <c r="G38" s="322" t="n">
        <v>0.00108396</v>
      </c>
      <c r="H38" s="271">
        <f>IF(AND(ISNUMBER(F38),ISNUMBER(G38)),F38*G38,"")</f>
        <v/>
      </c>
      <c r="I38" s="321" t="n">
        <v>200</v>
      </c>
      <c r="J38" s="322" t="n">
        <v>0.001123</v>
      </c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inlineStr">
        <is>
          <t>T-0025</t>
        </is>
      </c>
      <c r="C39" s="314" t="n">
        <v>46306</v>
      </c>
      <c r="D39" s="313" t="n"/>
      <c r="E39" s="315" t="inlineStr">
        <is>
          <t>LTC/USD</t>
        </is>
      </c>
      <c r="F39" s="316" t="n">
        <v>1.948</v>
      </c>
      <c r="G39" s="317" t="n">
        <v>68.94437372</v>
      </c>
      <c r="H39" s="271">
        <f>IF(AND(ISNUMBER(F39),ISNUMBER(G39)),F39*G39,"")</f>
        <v/>
      </c>
      <c r="I39" s="316" t="n">
        <v>1.948</v>
      </c>
      <c r="J39" s="317" t="n">
        <v>77.19706843</v>
      </c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inlineStr">
        <is>
          <t>T-0026</t>
        </is>
      </c>
      <c r="C40" s="319" t="n">
        <v>46306</v>
      </c>
      <c r="D40" s="318" t="n"/>
      <c r="E40" s="320" t="inlineStr">
        <is>
          <t>LTC/BTC</t>
        </is>
      </c>
      <c r="F40" s="321" t="n">
        <v>5.17606199</v>
      </c>
      <c r="G40" s="322" t="n">
        <v>0.00086764</v>
      </c>
      <c r="H40" s="271">
        <f>IF(AND(ISNUMBER(F40),ISNUMBER(G40)),F40*G40,"")</f>
        <v/>
      </c>
      <c r="I40" s="321" t="n">
        <v>5.17906199</v>
      </c>
      <c r="J40" s="322" t="n">
        <v>0.0009988099999999999</v>
      </c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inlineStr">
        <is>
          <t>T-0027</t>
        </is>
      </c>
      <c r="C41" s="314" t="n">
        <v>46306</v>
      </c>
      <c r="D41" s="313" t="n"/>
      <c r="E41" s="315" t="inlineStr">
        <is>
          <t>LTC/ETH</t>
        </is>
      </c>
      <c r="F41" s="316" t="n">
        <v>4.672</v>
      </c>
      <c r="G41" s="317" t="n">
        <v>0.04259548</v>
      </c>
      <c r="H41" s="271">
        <f>IF(AND(ISNUMBER(F41),ISNUMBER(G41)),F41*G41,"")</f>
        <v/>
      </c>
      <c r="I41" s="316" t="n">
        <v>4.63</v>
      </c>
      <c r="J41" s="317" t="n">
        <v>0.04946258</v>
      </c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inlineStr">
        <is>
          <t>T-0028</t>
        </is>
      </c>
      <c r="C42" s="319" t="n">
        <v>46306</v>
      </c>
      <c r="D42" s="318" t="n"/>
      <c r="E42" s="320" t="inlineStr">
        <is>
          <t>LINK/USD</t>
        </is>
      </c>
      <c r="F42" s="321" t="n">
        <v>4</v>
      </c>
      <c r="G42" s="322" t="n">
        <v>14.28</v>
      </c>
      <c r="H42" s="271">
        <f>IF(AND(ISNUMBER(F42),ISNUMBER(G42)),F42*G42,"")</f>
        <v/>
      </c>
      <c r="I42" s="321" t="n">
        <v>4</v>
      </c>
      <c r="J42" s="322" t="n">
        <v>18.47</v>
      </c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inlineStr">
        <is>
          <t>T-0029</t>
        </is>
      </c>
      <c r="C43" s="314" t="n">
        <v>46306</v>
      </c>
      <c r="D43" s="313" t="n"/>
      <c r="E43" s="315" t="inlineStr">
        <is>
          <t>LINK/BTC</t>
        </is>
      </c>
      <c r="F43" s="316" t="n">
        <v>9.119999999999999</v>
      </c>
      <c r="G43" s="317" t="n">
        <v>0.000147</v>
      </c>
      <c r="H43" s="271">
        <f>IF(AND(ISNUMBER(F43),ISNUMBER(G43)),F43*G43,"")</f>
        <v/>
      </c>
      <c r="I43" s="316" t="n">
        <v>9.109999999999999</v>
      </c>
      <c r="J43" s="317" t="n">
        <v>0.00017</v>
      </c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inlineStr">
        <is>
          <t>T-0030</t>
        </is>
      </c>
      <c r="C44" s="319" t="n">
        <v>46306</v>
      </c>
      <c r="D44" s="318" t="n"/>
      <c r="E44" s="320" t="inlineStr">
        <is>
          <t>SOL/ETH</t>
        </is>
      </c>
      <c r="F44" s="321" t="n">
        <v>3.082</v>
      </c>
      <c r="G44" s="322" t="n">
        <v>0.07544127</v>
      </c>
      <c r="H44" s="271">
        <f>IF(AND(ISNUMBER(F44),ISNUMBER(G44)),F44*G44,"")</f>
        <v/>
      </c>
      <c r="I44" s="321" t="n">
        <v>3</v>
      </c>
      <c r="J44" s="322" t="n">
        <v>0.0851</v>
      </c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inlineStr">
        <is>
          <t>T-0031</t>
        </is>
      </c>
      <c r="C45" s="314" t="n">
        <v>46306</v>
      </c>
      <c r="D45" s="313" t="n"/>
      <c r="E45" s="315" t="inlineStr">
        <is>
          <t>XLM/USD</t>
        </is>
      </c>
      <c r="F45" s="316" t="n">
        <v>850</v>
      </c>
      <c r="G45" s="317" t="n">
        <v>0.146455</v>
      </c>
      <c r="H45" s="271">
        <f>IF(AND(ISNUMBER(F45),ISNUMBER(G45)),F45*G45,"")</f>
        <v/>
      </c>
      <c r="I45" s="316" t="n">
        <v>850</v>
      </c>
      <c r="J45" s="317" t="n">
        <v>0.15</v>
      </c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inlineStr">
        <is>
          <t>T-0032</t>
        </is>
      </c>
      <c r="C46" s="319" t="n">
        <v>46306</v>
      </c>
      <c r="D46" s="318" t="n"/>
      <c r="E46" s="320" t="inlineStr">
        <is>
          <t>PAXG/USD</t>
        </is>
      </c>
      <c r="F46" s="321" t="n">
        <v>0.0296</v>
      </c>
      <c r="G46" s="322" t="n">
        <v>3406.30594595</v>
      </c>
      <c r="H46" s="271">
        <f>IF(AND(ISNUMBER(F46),ISNUMBER(G46)),F46*G46,"")</f>
        <v/>
      </c>
      <c r="I46" s="321" t="n">
        <v>0.02880752</v>
      </c>
      <c r="J46" s="322" t="n">
        <v>4267.25984099</v>
      </c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inlineStr">
        <is>
          <t>T-0033</t>
        </is>
      </c>
      <c r="C47" s="314" t="n">
        <v>46306</v>
      </c>
      <c r="D47" s="313" t="n"/>
      <c r="E47" s="315" t="inlineStr">
        <is>
          <t>DASH/BTC</t>
        </is>
      </c>
      <c r="F47" s="316" t="n">
        <v>2</v>
      </c>
      <c r="G47" s="317" t="n">
        <v>0.000478</v>
      </c>
      <c r="H47" s="271">
        <f>IF(AND(ISNUMBER(F47),ISNUMBER(G47)),F47*G47,"")</f>
        <v/>
      </c>
      <c r="I47" s="316" t="n">
        <v>2</v>
      </c>
      <c r="J47" s="317" t="n">
        <v>0.0004921</v>
      </c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BCH/BNB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BCH/BTC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BCH/ETH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BCH/USD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BCH/WAVES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BNB/BTC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BNB/ETH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BNB/USD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BTC/USD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CAKE/BNB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CAKE/BTC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CAKE/ETH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CAKE/USD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DASH/BTC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DASH/ETH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DASH/LTC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DASH/USD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DOGE/BTC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DOGE/USD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DOGS/USD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DOT/BTC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DOT/USD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DYDX/USD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EGLD/USD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ELIZA/SOL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ELIZAOS/USD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EOS/BTC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EOS/ETH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EOS/USD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ETC/BNB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ETC/BTC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ETC/ETH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ETC/USD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ETH/BTC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ETH/USD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ETHW/USD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FUN/ETH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HBAR/BTC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INJ/USD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IOTX/ETH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JUV/USD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LEVER/USD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LINK/BTC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LINK/ETH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LINK/USD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LOOM/ETH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LTC/BCH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LTC/BTC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LTC/ETH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LTC/USD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LUNA/USD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MAGIC/BTC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MATIC/BTC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MATIC/USD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MNT/USDT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NEAR/BTC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NEAR/ETH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NEAR/USD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NEO/BTC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NEO/ETH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NEO/USD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NFT/USD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PAXG/USD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PHA/BTC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PHA/USD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PYTH/SOL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SAND/BTC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SAND/USD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SC/BTC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SC/ETH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SC/USD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SHIB/DOGE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SHIB/USD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SOL/BNB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SOL/BTC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SOL/ETH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SOL/USD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STRAX/BTC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STX/USD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SUI/USD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TON/USD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TRX/BTC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TRX/ETH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TRX/USD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TRX/XRP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UNI/BTC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UNI/USD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WAVES/BTC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WAVES/ETH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WAVES/USD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XEM/BTC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XEM/ETH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XEM/USD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inlineStr">
        <is>
          <t>XLM/BTC</t>
        </is>
      </c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inlineStr">
        <is>
          <t>XLM/USD</t>
        </is>
      </c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inlineStr">
        <is>
          <t>XMR/ETH</t>
        </is>
      </c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inlineStr">
        <is>
          <t>XMR/USD</t>
        </is>
      </c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inlineStr">
        <is>
          <t>XRP/BNB</t>
        </is>
      </c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inlineStr">
        <is>
          <t>XRP/BTC</t>
        </is>
      </c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inlineStr">
        <is>
          <t>XRP/ETH</t>
        </is>
      </c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inlineStr">
        <is>
          <t>XRP/USD</t>
        </is>
      </c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inlineStr">
        <is>
          <t>XTZ/BTC</t>
        </is>
      </c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inlineStr">
        <is>
          <t>ZEC/BTC</t>
        </is>
      </c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inlineStr">
        <is>
          <t>ZEC/USD</t>
        </is>
      </c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inlineStr">
        <is>
          <t>ZRX/BTC</t>
        </is>
      </c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inlineStr">
        <is>
          <t>ZRX/ETH</t>
        </is>
      </c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inlineStr">
        <is>
          <t>ZRX/USD</t>
        </is>
      </c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83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10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2026-10-11T15:00:11Z</dcterms:modified>
</cp:coreProperties>
</file>