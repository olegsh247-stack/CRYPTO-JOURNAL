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  <sheet xmlns:r="http://schemas.openxmlformats.org/officeDocument/2006/relationships" name="История" sheetId="11" state="visible" r:id="rId11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Список_Монеты">OFFSET(Справочники!$I$5,0,0,MAX(1,COUNTA(Справочники!$I$5:$I$304)),1)</definedName>
    <definedName name="_xlnm.Print_Area" localSheetId="0">'Ввод'!$A$1:$H$25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'Пул'!$B$4:$N$300</definedName>
    <definedName name="_xlnm.Print_Area" localSheetId="5">'Пул'!$A$1:$N$13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  <definedName name="_xlnm._FilterDatabase" localSheetId="10" hidden="1">'История'!$B$4:$M$300</definedName>
    <definedName name="_xlnm.Print_Area" localSheetId="10">'История'!$A$1:$N$13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  <font>
      <name val="Calibri"/>
      <b val="1"/>
      <i val="1"/>
      <color rgb="FF244E62"/>
      <sz val="11"/>
    </font>
    <font>
      <name val="Calibri"/>
      <b val="1"/>
      <color rgb="00722F37"/>
      <sz val="14"/>
    </font>
    <font>
      <name val="Calibri"/>
      <color rgb="005B8499"/>
      <sz val="8"/>
    </font>
    <font>
      <name val="Calibri"/>
      <color rgb="00000000"/>
      <sz val="8"/>
    </font>
    <font>
      <name val="Calibri"/>
      <color rgb="00000000"/>
      <sz val="10"/>
    </font>
  </fonts>
  <fills count="22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  <fill>
      <patternFill patternType="solid">
        <fgColor rgb="FF722F37"/>
        <bgColor rgb="FF722F37"/>
      </patternFill>
    </fill>
    <fill>
      <patternFill patternType="solid">
        <fgColor rgb="00E8C8CD"/>
      </patternFill>
    </fill>
    <fill>
      <patternFill patternType="solid">
        <fgColor rgb="008B1A1A"/>
      </patternFill>
    </fill>
  </fills>
  <borders count="69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  <border>
      <left style="medium">
        <color rgb="FFFFFFFF"/>
      </left>
    </border>
    <border>
      <left style="thin">
        <color rgb="FF6F9EB3"/>
      </left>
      <right style="thin">
        <color rgb="FF6F9EB3"/>
      </right>
      <top style="thin">
        <color rgb="FF6F9EB3"/>
      </top>
      <bottom style="thin">
        <color rgb="FF6F9EB3"/>
      </bottom>
    </border>
    <border>
      <bottom style="medium">
        <color rgb="FF5E9E72"/>
      </bottom>
    </border>
    <border>
      <left style="medium">
        <color rgb="FFFFFFFF"/>
      </left>
      <bottom style="medium">
        <color rgb="FF5E9E72"/>
      </bottom>
    </border>
    <border>
      <left style="medium">
        <color rgb="FFFFFFFF"/>
      </left>
      <bottom style="medium">
        <color rgb="FF8064A2"/>
      </bottom>
    </border>
    <border>
      <bottom style="medium">
        <color rgb="FF8064A2"/>
      </bottom>
    </border>
    <border>
      <bottom style="medium">
        <color rgb="FF255B78"/>
      </bottom>
    </border>
    <border>
      <left/>
      <right/>
      <top/>
      <bottom style="medium">
        <color rgb="FF5E9E72"/>
      </bottom>
      <diagonal/>
    </border>
    <border>
      <left/>
      <right/>
      <top/>
      <bottom style="medium">
        <color rgb="FF255B78"/>
      </bottom>
      <diagonal/>
    </border>
    <border>
      <left/>
      <right/>
      <top/>
      <bottom style="medium">
        <color rgb="FF8064A2"/>
      </bottom>
      <diagonal/>
    </border>
    <border>
      <left style="medium">
        <color rgb="FFFFFFFF"/>
      </left>
      <right/>
      <top/>
      <bottom/>
      <diagonal/>
    </border>
    <border>
      <left style="thin">
        <color rgb="006F9EB3"/>
      </left>
      <right style="medium">
        <color rgb="FF255B78"/>
      </right>
      <top style="thin">
        <color rgb="006F9EB3"/>
      </top>
      <bottom style="thin">
        <color rgb="006F9EB3"/>
      </bottom>
    </border>
    <border>
      <left style="medium">
        <color rgb="FFFFFFFF"/>
      </left>
      <right/>
      <bottom style="medium">
        <color rgb="FF5E9E72"/>
      </bottom>
    </border>
    <border>
      <right/>
      <bottom style="medium">
        <color rgb="FF5E9E72"/>
      </bottom>
    </border>
    <border>
      <right/>
      <bottom style="medium">
        <color rgb="FF255B78"/>
      </bottom>
    </border>
    <border>
      <left style="medium">
        <color rgb="FFFFFFFF"/>
      </left>
      <right/>
      <bottom/>
    </border>
    <border>
      <left style="medium">
        <color rgb="FFFFFFFF"/>
      </left>
      <right/>
      <bottom style="medium">
        <color rgb="FF8064A2"/>
      </bottom>
    </border>
    <border>
      <right/>
      <bottom/>
    </border>
  </borders>
  <cellStyleXfs count="1">
    <xf numFmtId="0" fontId="0" fillId="0" borderId="0"/>
  </cellStyleXfs>
  <cellXfs count="33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  <xf numFmtId="0" fontId="1" fillId="2" borderId="40" applyAlignment="1" pivotButton="0" quotePrefix="0" xfId="0">
      <alignment horizontal="left" vertical="center" indent="1"/>
    </xf>
    <xf numFmtId="0" fontId="2" fillId="3" borderId="40" applyAlignment="1" pivotButton="0" quotePrefix="0" xfId="0">
      <alignment horizontal="left" vertical="center" indent="1"/>
    </xf>
    <xf numFmtId="0" fontId="3" fillId="3" borderId="40" applyAlignment="1" pivotButton="0" quotePrefix="0" xfId="0">
      <alignment horizontal="left" vertical="center" indent="1"/>
    </xf>
    <xf numFmtId="0" fontId="3" fillId="3" borderId="51" applyAlignment="1" pivotButton="0" quotePrefix="0" xfId="0">
      <alignment horizontal="left" vertical="center" indent="1"/>
    </xf>
    <xf numFmtId="166" fontId="4" fillId="4" borderId="52" applyAlignment="1" applyProtection="1" pivotButton="0" quotePrefix="0" xfId="0">
      <alignment horizontal="left" vertical="center" indent="1"/>
      <protection locked="0" hidden="0"/>
    </xf>
    <xf numFmtId="0" fontId="4" fillId="4" borderId="52" applyAlignment="1" applyProtection="1" pivotButton="0" quotePrefix="0" xfId="0">
      <alignment horizontal="left" vertical="center" indent="1"/>
      <protection locked="0" hidden="0"/>
    </xf>
    <xf numFmtId="0" fontId="5" fillId="12" borderId="52" applyAlignment="1" pivotButton="0" quotePrefix="0" xfId="0">
      <alignment horizontal="left" vertical="center" indent="1"/>
    </xf>
    <xf numFmtId="0" fontId="4" fillId="4" borderId="52" applyAlignment="1" pivotButton="0" quotePrefix="0" xfId="0">
      <alignment horizontal="left" vertical="center" wrapText="1" indent="1"/>
    </xf>
    <xf numFmtId="0" fontId="2" fillId="5" borderId="53" applyAlignment="1" pivotButton="0" quotePrefix="0" xfId="0">
      <alignment horizontal="left" vertical="center" indent="1"/>
    </xf>
    <xf numFmtId="0" fontId="2" fillId="5" borderId="54" applyAlignment="1" pivotButton="0" quotePrefix="0" xfId="0">
      <alignment horizontal="left" vertical="center" indent="1"/>
    </xf>
    <xf numFmtId="0" fontId="2" fillId="6" borderId="55" applyAlignment="1" pivotButton="0" quotePrefix="0" xfId="0">
      <alignment horizontal="left" vertical="center" indent="1"/>
    </xf>
    <xf numFmtId="0" fontId="2" fillId="6" borderId="56" applyAlignment="1" pivotButton="0" quotePrefix="0" xfId="0">
      <alignment horizontal="left" vertical="center" indent="1"/>
    </xf>
    <xf numFmtId="167" fontId="4" fillId="4" borderId="52" applyAlignment="1" applyProtection="1" pivotButton="0" quotePrefix="0" xfId="0">
      <alignment horizontal="right" vertical="center" indent="1"/>
      <protection locked="0" hidden="0"/>
    </xf>
    <xf numFmtId="1" fontId="4" fillId="4" borderId="52" applyAlignment="1" applyProtection="1" pivotButton="0" quotePrefix="0" xfId="0">
      <alignment horizontal="right" vertical="center" indent="1"/>
      <protection locked="0" hidden="0"/>
    </xf>
    <xf numFmtId="167" fontId="4" fillId="12" borderId="52" applyAlignment="1" pivotButton="0" quotePrefix="0" xfId="0">
      <alignment horizontal="right" vertical="center" indent="1"/>
    </xf>
    <xf numFmtId="0" fontId="2" fillId="3" borderId="57" applyAlignment="1" pivotButton="0" quotePrefix="0" xfId="0">
      <alignment horizontal="left" vertical="center" indent="1"/>
    </xf>
    <xf numFmtId="0" fontId="8" fillId="10" borderId="40" applyAlignment="1" pivotButton="0" quotePrefix="0" xfId="0">
      <alignment horizontal="center" vertical="center"/>
    </xf>
    <xf numFmtId="0" fontId="8" fillId="10" borderId="5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 vertical="center"/>
    </xf>
    <xf numFmtId="0" fontId="6" fillId="3" borderId="51" applyAlignment="1" pivotButton="0" quotePrefix="0" xfId="0">
      <alignment horizontal="center" vertical="center"/>
    </xf>
    <xf numFmtId="0" fontId="4" fillId="11" borderId="52" applyAlignment="1" applyProtection="1" pivotButton="0" quotePrefix="0" xfId="0">
      <alignment horizontal="center" vertical="center"/>
      <protection locked="0" hidden="0"/>
    </xf>
    <xf numFmtId="167" fontId="4" fillId="12" borderId="5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0" fillId="0" borderId="58" pivotButton="0" quotePrefix="0" xfId="0"/>
    <xf numFmtId="0" fontId="0" fillId="0" borderId="60" pivotButton="0" quotePrefix="0" xfId="0"/>
    <xf numFmtId="0" fontId="0" fillId="0" borderId="59" pivotButton="0" quotePrefix="0" xfId="0"/>
    <xf numFmtId="0" fontId="0" fillId="0" borderId="61" pivotButton="0" quotePrefix="0" xfId="0"/>
    <xf numFmtId="0" fontId="8" fillId="19" borderId="43" applyAlignment="1" pivotButton="0" quotePrefix="0" xfId="0">
      <alignment horizontal="center" vertical="center"/>
    </xf>
    <xf numFmtId="0" fontId="8" fillId="19" borderId="45" applyAlignment="1" pivotButton="0" quotePrefix="0" xfId="0">
      <alignment horizontal="center" vertical="center"/>
    </xf>
    <xf numFmtId="0" fontId="4" fillId="4" borderId="62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0" fontId="2" fillId="5" borderId="64" applyAlignment="1" pivotButton="0" quotePrefix="0" xfId="0">
      <alignment horizontal="left" vertical="center" indent="1"/>
    </xf>
    <xf numFmtId="0" fontId="2" fillId="5" borderId="63" applyAlignment="1" pivotButton="0" quotePrefix="0" xfId="0">
      <alignment horizontal="left" vertical="center" indent="1"/>
    </xf>
    <xf numFmtId="0" fontId="2" fillId="6" borderId="67" applyAlignment="1" pivotButton="0" quotePrefix="0" xfId="0">
      <alignment horizontal="left" vertical="center" indent="1"/>
    </xf>
    <xf numFmtId="0" fontId="2" fillId="3" borderId="65" applyAlignment="1" pivotButton="0" quotePrefix="0" xfId="0">
      <alignment horizontal="left" vertical="center" indent="1"/>
    </xf>
    <xf numFmtId="0" fontId="6" fillId="3" borderId="66" applyAlignment="1" pivotButton="0" quotePrefix="0" xfId="0">
      <alignment horizontal="center" vertical="center"/>
    </xf>
    <xf numFmtId="0" fontId="10" fillId="18" borderId="43" applyAlignment="1" pivotButton="0" quotePrefix="0" xfId="0">
      <alignment horizontal="center" vertical="center"/>
    </xf>
    <xf numFmtId="0" fontId="10" fillId="18" borderId="45" applyAlignment="1" pivotButton="0" quotePrefix="0" xfId="0">
      <alignment horizontal="center" vertical="center"/>
    </xf>
    <xf numFmtId="0" fontId="4" fillId="4" borderId="52" applyAlignment="1" pivotButton="0" quotePrefix="0" xfId="0">
      <alignment horizontal="left" vertical="center" shrinkToFit="1" inden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166" fontId="4" fillId="4" borderId="1" applyAlignment="1" applyProtection="1" pivotButton="0" quotePrefix="0" xfId="0">
      <alignment horizontal="center" vertical="center"/>
      <protection locked="0" hidden="0"/>
    </xf>
    <xf numFmtId="0" fontId="4" fillId="4" borderId="20" applyAlignment="1" applyProtection="1" pivotButton="0" quotePrefix="0" xfId="0">
      <alignment horizontal="center" vertical="center"/>
      <protection locked="0" hidden="0"/>
    </xf>
    <xf numFmtId="165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1" applyAlignment="1" applyProtection="1" pivotButton="0" quotePrefix="0" xfId="0">
      <alignment horizontal="center" vertical="center"/>
      <protection locked="0" hidden="0"/>
    </xf>
    <xf numFmtId="0" fontId="4" fillId="7" borderId="1" applyAlignment="1" applyProtection="1" pivotButton="0" quotePrefix="0" xfId="0">
      <alignment horizontal="center" vertical="center"/>
      <protection locked="0" hidden="0"/>
    </xf>
    <xf numFmtId="166" fontId="4" fillId="7" borderId="1" applyAlignment="1" applyProtection="1" pivotButton="0" quotePrefix="0" xfId="0">
      <alignment horizontal="center" vertical="center"/>
      <protection locked="0" hidden="0"/>
    </xf>
    <xf numFmtId="0" fontId="4" fillId="7" borderId="20" applyAlignment="1" applyProtection="1" pivotButton="0" quotePrefix="0" xfId="0">
      <alignment horizontal="center" vertical="center"/>
      <protection locked="0" hidden="0"/>
    </xf>
    <xf numFmtId="165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1" applyAlignment="1" applyProtection="1" pivotButton="0" quotePrefix="0" xfId="0">
      <alignment horizontal="center" vertical="center"/>
      <protection locked="0" hidden="0"/>
    </xf>
    <xf numFmtId="0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20" applyAlignment="1" applyProtection="1" pivotButton="0" quotePrefix="0" xfId="0">
      <alignment horizontal="center" vertical="center"/>
      <protection locked="0" hidden="0"/>
    </xf>
    <xf numFmtId="0" fontId="4" fillId="4" borderId="62" applyAlignment="1" applyProtection="1" pivotButton="0" quotePrefix="0" xfId="0">
      <alignment horizontal="center" vertical="center"/>
      <protection locked="0" hidden="0"/>
    </xf>
    <xf numFmtId="0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20" applyAlignment="1" applyProtection="1" pivotButton="0" quotePrefix="0" xfId="0">
      <alignment horizontal="center" vertical="center"/>
      <protection locked="0" hidden="0"/>
    </xf>
    <xf numFmtId="0" fontId="4" fillId="7" borderId="62" applyAlignment="1" applyProtection="1" pivotButton="0" quotePrefix="0" xfId="0">
      <alignment horizontal="center" vertical="center"/>
      <protection locked="0" hidden="0"/>
    </xf>
    <xf numFmtId="0" fontId="11" fillId="20" borderId="40" applyAlignment="1" pivotButton="0" quotePrefix="0" xfId="0">
      <alignment horizontal="center" vertical="center"/>
    </xf>
    <xf numFmtId="0" fontId="0" fillId="2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4" fillId="4" borderId="52" applyAlignment="1" applyProtection="1" pivotButton="0" quotePrefix="0" xfId="0">
      <alignment horizontal="center" vertical="center"/>
      <protection locked="0" hidden="0"/>
    </xf>
    <xf numFmtId="0" fontId="6" fillId="16" borderId="68" applyAlignment="1" pivotButton="0" quotePrefix="0" xfId="0">
      <alignment horizontal="center" vertical="center"/>
    </xf>
    <xf numFmtId="0" fontId="6" fillId="21" borderId="66" applyAlignment="1" pivotButton="0" quotePrefix="0" xfId="0">
      <alignment horizontal="center" vertical="center"/>
    </xf>
    <xf numFmtId="0" fontId="0" fillId="16" borderId="0" pivotButton="0" quotePrefix="0" xfId="0"/>
    <xf numFmtId="0" fontId="0" fillId="21" borderId="61" pivotButton="0" quotePrefix="0" xfId="0"/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8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  <dxf>
      <font>
        <b val="1"/>
        <color rgb="FF722F37"/>
      </font>
    </dxf>
    <dxf>
      <fill>
        <patternFill patternType="solid">
          <bgColor rgb="FFFFFDF3"/>
        </patternFill>
      </fill>
    </dxf>
    <dxf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G24"/>
  <sheetViews>
    <sheetView showGridLines="0" zoomScale="100" zoomScaleNormal="100" workbookViewId="0">
      <selection activeCell="B5" sqref="B5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1" customHeight="1">
      <c r="B1" s="274" t="inlineStr">
        <is>
          <t>CRYPTO JOURNAL • ВВОД</t>
        </is>
      </c>
    </row>
    <row r="2" ht="21" customHeight="1"/>
    <row r="3" ht="22" customHeight="1">
      <c r="B3" s="275" t="inlineStr">
        <is>
          <t>ОСНОВНЫЕ ДАННЫЕ</t>
        </is>
      </c>
    </row>
    <row r="4" ht="22" customHeight="1">
      <c r="B4" s="276" t="inlineStr">
        <is>
          <t>Дата</t>
        </is>
      </c>
      <c r="C4" s="277" t="inlineStr">
        <is>
          <t>Актив 1</t>
        </is>
      </c>
      <c r="D4" s="277" t="inlineStr">
        <is>
          <t>Актив 2</t>
        </is>
      </c>
      <c r="E4" s="277" t="inlineStr">
        <is>
          <t>Пара (авто)</t>
        </is>
      </c>
      <c r="F4" s="277" t="inlineStr">
        <is>
          <t>Протокол</t>
        </is>
      </c>
      <c r="G4" s="277" t="inlineStr">
        <is>
          <t>Статус</t>
        </is>
      </c>
    </row>
    <row r="5" ht="22" customHeight="1">
      <c r="B5" s="278" t="n"/>
      <c r="C5" s="279" t="n"/>
      <c r="D5" s="279" t="n"/>
      <c r="E5" s="280">
        <f>IF(AND(TRIM(C5)&lt;&gt;"",TRIM(D5)&lt;&gt;""),UPPER(TRIM(C5))&amp;"/"&amp;UPPER(TRIM(D5)),"")</f>
        <v/>
      </c>
      <c r="F5" s="279" t="n"/>
      <c r="G5" s="312">
        <f>IF((COUNTA($C$9,$C$10,$C$12,$C$13)&gt;0)+(COUNTA($E$9,$E$10,$E$12,$E$13)&gt;0)+(COUNTA($G$9:$G$13)&gt;0)&gt;1,"Два раздела",IF(COUNTA($C$9,$C$10,$C$12,$C$13)&gt;0,IF(C8="","Нет действия",IF(NOT(ISNUMBER(C9)),"Нет Кол-ва",IF(C12="",IF(C13&lt;&gt;"","Нет ID",IF(NOT(ISNUMBER(C10)),"Нет курса","Новая позиция")),IF(ISNA(MATCH(C12,Торговля!$B$5:$B$300,0)),"Нет ID",IF(NOT(ISNUMBER(C10)),"Нет курса",IF(ISNUMBER(INDEX(Торговля!$F$5:$F$300,MATCH(C12,Торговля!$B$5:$B$300,0)))=(C8="Buy"),"Увеличение",IF(C13="Полностью","Закрытие полностью","Закрытие частично"))))))),IF(COUNTA($E$9,$E$10,$E$12,$E$13)&gt;0,IF(E8="","Нет действия",IF(NOT(ISNUMBER(E9)),"Нет Кол-ва",IF(E12="",IF(E13&lt;&gt;"","Нет ID",IF(NOT(ISNUMBER(E10)),"Нет суммы","Новая позиция")),IF(ISNA(MATCH(E12,Лэндинг!$B$5:$B$300,0)),"Нет ID",IF(NOT(ISNUMBER(E10)),"Нет суммы",IF(ISNUMBER(INDEX(Лэндинг!$F$5:$F$300,MATCH(E12,Лэндинг!$B$5:$B$300,0)))=(E8="Buy"),"Увеличение",IF(E13="Полностью","Закрытие полностью","Закрытие частично"))))))),IF(COUNTA($G$9:$G$13)&gt;0,IF(G8="","Нет действия",IF(OR(NOT(ISNUMBER(G10)),NOT(ISNUMBER(G11))),"Нет Кол-ва",IF(COUNT(G12,G13)=1,"Нужны Min и Max",IF(AND(G8="Добавить",G9=""),"Новый пул",IF(G9="","Нет ID пула",IF(ISNA(MATCH(G9,Пул!$B$5:$B$300,0)),"Нет ID пула",IF(INDEX(Пул!$L$5:$L$300,MATCH(G9,Пул!$B$5:$B$300,0))="Закрыт","Пул закрыт",IF(G8="Добавить","Добавить в пул",IF(G8="Частично","Частично","Закрытие пула"))))))))),"Готово"))))</f>
        <v/>
      </c>
    </row>
    <row r="6" ht="14" customHeight="1"/>
    <row r="7" ht="22" customHeight="1">
      <c r="B7" s="305" t="inlineStr">
        <is>
          <t>ТОРГОВЛЯ</t>
        </is>
      </c>
      <c r="C7" s="297" t="n"/>
      <c r="D7" s="306" t="inlineStr">
        <is>
          <t>ЛЭНДИНГ</t>
        </is>
      </c>
      <c r="E7" s="297" t="n"/>
      <c r="F7" s="307" t="inlineStr">
        <is>
          <t>ПУЛ</t>
        </is>
      </c>
      <c r="G7" s="298" t="n"/>
    </row>
    <row r="8" ht="22" customHeight="1">
      <c r="B8" s="276" t="inlineStr">
        <is>
          <t>Действие</t>
        </is>
      </c>
      <c r="C8" s="279" t="n"/>
      <c r="D8" s="277" t="inlineStr">
        <is>
          <t>Действие</t>
        </is>
      </c>
      <c r="E8" s="279" t="n"/>
      <c r="F8" s="277" t="inlineStr">
        <is>
          <t>Действие</t>
        </is>
      </c>
      <c r="G8" s="279" t="n"/>
    </row>
    <row r="9" ht="22" customHeight="1">
      <c r="B9" s="276" t="inlineStr">
        <is>
          <t>Кол-во</t>
        </is>
      </c>
      <c r="C9" s="286" t="n"/>
      <c r="D9" s="277" t="inlineStr">
        <is>
          <t>Кол-во</t>
        </is>
      </c>
      <c r="E9" s="286" t="n"/>
      <c r="F9" s="277" t="inlineStr">
        <is>
          <t>ID пула</t>
        </is>
      </c>
      <c r="G9" s="287" t="n"/>
    </row>
    <row r="10" ht="22" customHeight="1">
      <c r="B10" s="276" t="inlineStr">
        <is>
          <t>Курс</t>
        </is>
      </c>
      <c r="C10" s="286" t="n"/>
      <c r="D10" s="277" t="inlineStr">
        <is>
          <t>Сумма</t>
        </is>
      </c>
      <c r="E10" s="286" t="n"/>
      <c r="F10" s="277" t="inlineStr">
        <is>
          <t>Кол-во 1</t>
        </is>
      </c>
      <c r="G10" s="286" t="n"/>
    </row>
    <row r="11" ht="22" customHeight="1">
      <c r="B11" s="276" t="inlineStr">
        <is>
          <t>Сумма (авто)</t>
        </is>
      </c>
      <c r="C11" s="288">
        <f>IF(AND(ISNUMBER(C9),ISNUMBER(C10),OR(C8="Buy",C8="Sell")),C9*C10*(1+IF(C8="Buy",1,-1)*N($E$17)/100),"")</f>
        <v/>
      </c>
      <c r="D11" s="277" t="inlineStr">
        <is>
          <t>Курс (авто)</t>
        </is>
      </c>
      <c r="E11" s="288">
        <f>IF(AND(ISNUMBER(E9),ISNUMBER(E10),E9&lt;&gt;0),IF(E8="Buy",E10/(E9*(1+N($E$17)/100)),IF(AND(E8="Sell",1-N($E$17)/100&lt;&gt;0),E10/(E9*(1-N($E$17)/100)),"")),"")</f>
        <v/>
      </c>
      <c r="F11" s="277" t="inlineStr">
        <is>
          <t>Кол-во 2</t>
        </is>
      </c>
      <c r="G11" s="286" t="n"/>
    </row>
    <row r="12" ht="22" customHeight="1">
      <c r="B12" s="276" t="inlineStr">
        <is>
          <t>ID позиции</t>
        </is>
      </c>
      <c r="C12" s="287" t="n"/>
      <c r="D12" s="277" t="inlineStr">
        <is>
          <t>ID позиции</t>
        </is>
      </c>
      <c r="E12" s="287" t="n"/>
      <c r="F12" s="277" t="inlineStr">
        <is>
          <t>Min</t>
        </is>
      </c>
      <c r="G12" s="286" t="n"/>
    </row>
    <row r="13" ht="22" customHeight="1">
      <c r="B13" s="276" t="inlineStr">
        <is>
          <t>Закрыть</t>
        </is>
      </c>
      <c r="C13" s="332" t="n"/>
      <c r="D13" s="277" t="inlineStr">
        <is>
          <t>Закрыть</t>
        </is>
      </c>
      <c r="E13" s="332" t="n"/>
      <c r="F13" s="277" t="inlineStr">
        <is>
          <t>Max</t>
        </is>
      </c>
      <c r="G13" s="286" t="n"/>
    </row>
    <row r="14" ht="14" customHeight="1"/>
    <row r="15" ht="22" customHeight="1">
      <c r="B15" s="308" t="inlineStr">
        <is>
          <t>ОБРАТНЫЙ РАСЧЁТ</t>
        </is>
      </c>
      <c r="C15" s="299" t="n"/>
      <c r="D15" s="299" t="n"/>
      <c r="E15" s="299" t="n"/>
      <c r="F15" s="299" t="n"/>
      <c r="G15" s="299" t="n"/>
    </row>
    <row r="16" ht="26" customHeight="1">
      <c r="B16" s="290" t="inlineStr">
        <is>
          <t>Сумма</t>
        </is>
      </c>
      <c r="C16" s="291" t="inlineStr">
        <is>
          <t>Курс</t>
        </is>
      </c>
      <c r="D16" s="291" t="inlineStr">
        <is>
          <t>Кол-во (авто)</t>
        </is>
      </c>
      <c r="E16" s="291" t="inlineStr">
        <is>
          <t>Комиссия</t>
        </is>
      </c>
      <c r="F16" s="333" t="inlineStr">
        <is>
          <t>ЗАПИСАТЬ</t>
        </is>
      </c>
      <c r="G16" s="334" t="inlineStr">
        <is>
          <t>ОЧИСТИТЬ</t>
        </is>
      </c>
    </row>
    <row r="17" ht="26" customHeight="1">
      <c r="B17" s="294" t="n"/>
      <c r="C17" s="294" t="n"/>
      <c r="D17" s="295">
        <f>IF(AND(ISNUMBER(B17),ISNUMBER(C17),C17&lt;&gt;0,1-N(E17)/100&lt;&gt;0),B17/(C17*(1-N(E17)/100)),"")</f>
        <v/>
      </c>
      <c r="E17" s="294" t="n">
        <v>0.2</v>
      </c>
      <c r="G17" s="300" t="n"/>
    </row>
    <row r="18" ht="14" customHeight="1"/>
    <row r="19" ht="34" customHeight="1">
      <c r="B19" s="338" t="inlineStr">
        <is>
          <t>Торговля / Лэндинг: ID пусто — новая позиция; ID и то же Действие (Buy к Buy) — увеличение; ID и противоположное — закрытие.</t>
        </is>
      </c>
    </row>
    <row r="20" ht="34" customHeight="1">
      <c r="B20" s="338" t="inlineStr">
        <is>
          <t>Закрыть (только при ID): «Частично» списывает проданное Кол-во (пусто = Частично), «Полностью» закрывает весь остаток; разница с проданным остаётся прибылью в монетах.</t>
        </is>
      </c>
    </row>
    <row r="21" ht="34" customHeight="1">
      <c r="B21" s="338" t="inlineStr">
        <is>
          <t>Торговля: курс биржевой, без комиссии (Комиссия E17 уже учитывается в курсе журнала). Лэндинг: вводятся Кол-во и Сумма.</t>
        </is>
      </c>
    </row>
    <row r="22" ht="34" customHeight="1">
      <c r="B22" s="338" t="inlineStr">
        <is>
          <t>Пул: Min и Max — только для Web3 (могут быть дробными, меньше 1), оба поля или ни одного. Действия: Добавить, Частично (вывод части), Закрыть.</t>
        </is>
      </c>
    </row>
    <row r="23" ht="34" customHeight="1">
      <c r="B23" s="338" t="inlineStr">
        <is>
          <t>ЗАПИСАТЬ переносит данные в журнал и очищает поля (Дата и Комиссия остаются). ОЧИСТИТЬ только очищает поля. Заполняется только один раздел.</t>
        </is>
      </c>
    </row>
    <row r="24" ht="34" customHeight="1">
      <c r="B24" s="338" t="inlineStr">
        <is>
          <t>Протокол не обязателен. Новые монеты и пары добавляются в «Справочники» и в листы ИТОГО при ЗАПИСАТЬ. Актив 1 / Актив 2 можно выбрать из списка или ввести вручную.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">
    <mergeCell ref="B3:G3"/>
    <mergeCell ref="B19:G19"/>
    <mergeCell ref="B20:G20"/>
    <mergeCell ref="B1:G2"/>
    <mergeCell ref="B24:G24"/>
    <mergeCell ref="D7:E7"/>
    <mergeCell ref="B7:C7"/>
    <mergeCell ref="B22:G22"/>
    <mergeCell ref="B23:G23"/>
    <mergeCell ref="B21:G21"/>
    <mergeCell ref="F16:F17"/>
    <mergeCell ref="B15:G15"/>
    <mergeCell ref="G16:G17"/>
    <mergeCell ref="F7:G7"/>
  </mergeCells>
  <conditionalFormatting sqref="B7:C13">
    <cfRule type="expression" priority="1" dxfId="4">
      <formula>COUNTA($E$9,$E$10,$E$12,$E$13,$G$9,$G$10,$G$11,$G$12,$G$13)&gt;0</formula>
    </cfRule>
  </conditionalFormatting>
  <conditionalFormatting sqref="D7:E13">
    <cfRule type="expression" priority="2" dxfId="4">
      <formula>COUNTA($C$9,$C$10,$C$12,$C$13,$G$9,$G$10,$G$11,$G$12,$G$13)&gt;0</formula>
    </cfRule>
  </conditionalFormatting>
  <conditionalFormatting sqref="F7:G13">
    <cfRule type="expression" priority="3" dxfId="4">
      <formula>COUNTA($C$9,$C$10,$C$12,$C$13,$E$9,$E$10,$E$12,$E$13)&gt;0</formula>
    </cfRule>
  </conditionalFormatting>
  <conditionalFormatting sqref="G5">
    <cfRule type="expression" priority="4" dxfId="5">
      <formula>OR(LEFT(G5,3)="Нет",LEFT(G5,6)="Нужны",G5="Два раздела",G5="Пул закрыт")</formula>
    </cfRule>
  </conditionalFormatting>
  <dataValidations count="20">
    <dataValidation sqref="B5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F5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C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17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C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AND(AND(ISNUMBER(C9),C9&gt;0),COUNTA($E$9,$E$10,$E$12,$E$13,$G$9,$G$10,$G$11,$G$12,$G$13)=0)</formula1>
    </dataValidation>
    <dataValidation sqref="C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AND(AND(ISNUMBER(C10),C10&gt;0),COUNTA($E$9,$E$10,$E$12,$E$13,$G$9,$G$10,$G$11,$G$12,$G$13)=0)</formula1>
    </dataValidation>
    <dataValidation sqref="C12" showDropDown="0" showInputMessage="0" showErrorMessage="1" allowBlank="1" errorTitle="Один раздел" error="Введите ID в формате T-0001. Заполнять можно только один раздел: другой раздел уже заполнен, сначала очистите его." type="custom">
      <formula1>AND(IFERROR(AND(EXACT(LEFT(C12,2),"T-"),ISNUMBER(--MID(C12,3,20)),MID(C12,3,20)=TEXT(--MID(C12,3,20),"0000")),FALSE),COUNTA($E$9,$E$10,$E$12,$E$13,$G$9,$G$10,$G$11,$G$12,$G$13)=0)</formula1>
    </dataValidation>
    <dataValidation sqref="E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AND(AND(ISNUMBER(E9),E9&gt;0),COUNTA($C$9,$C$10,$C$12,$C$13,$G$9,$G$10,$G$11,$G$12,$G$13)=0)</formula1>
    </dataValidation>
    <dataValidation sqref="E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AND(AND(ISNUMBER(E10),E10&gt;0),COUNTA($C$9,$C$10,$C$12,$C$13,$G$9,$G$10,$G$11,$G$12,$G$13)=0)</formula1>
    </dataValidation>
    <dataValidation sqref="E12" showDropDown="0" showInputMessage="0" showErrorMessage="1" allowBlank="1" errorTitle="Один раздел" error="Введите ID в формате L-0001. Заполнять можно только один раздел: другой раздел уже заполнен, сначала очистите его." type="custom">
      <formula1>AND(IFERROR(AND(EXACT(LEFT(E12,2),"L-"),ISNUMBER(--MID(E12,3,20)),MID(E12,3,20)=TEXT(--MID(E12,3,20),"0000")),FALSE),COUNTA($C$9,$C$10,$C$12,$C$13,$G$9,$G$10,$G$11,$G$12,$G$13)=0)</formula1>
    </dataValidation>
    <dataValidation sqref="G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AND(AND(ISNUMBER(G10),G10&gt;0),COUNTA($C$9,$C$10,$C$12,$C$13,$E$9,$E$10,$E$12,$E$13)=0)</formula1>
    </dataValidation>
    <dataValidation sqref="G11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AND(AND(ISNUMBER(G11),G11&gt;0),COUNTA($C$9,$C$10,$C$12,$C$13,$E$9,$E$10,$E$12,$E$13)=0)</formula1>
    </dataValidation>
    <dataValidation sqref="G9" showDropDown="0" showInputMessage="0" showErrorMessage="1" allowBlank="1" errorTitle="Один раздел" error="Введите ID пула в формате P-0001. Заполнять можно только один раздел: другой раздел уже заполнен, сначала очистите его." type="custom">
      <formula1>AND(IFERROR(AND(EXACT(LEFT(G9,2),"P-"),ISNUMBER(--MID(G9,3,20)),MID(G9,3,20)=TEXT(--MID(G9,3,20),"0000")),FALSE),COUNTA($C$9,$C$10,$C$12,$C$13,$E$9,$E$10,$E$12,$E$13)=0)</formula1>
    </dataValidation>
    <dataValidation sqref="G12" showDropDown="0" showInputMessage="0" showErrorMessage="1" allowBlank="1" errorTitle="Один раздел" error="Введите число меньше Max (допустимы дробные и любые значения). Другие разделы должны быть пустыми." type="custom">
      <formula1>AND(ISNUMBER(G12),OR(NOT(ISNUMBER($G$13)),G12&lt;$G$13),COUNTA($C$9,$C$10,$C$12,$C$13,$E$9,$E$10,$E$12,$E$13)=0)</formula1>
    </dataValidation>
    <dataValidation sqref="G13" showDropDown="0" showInputMessage="0" showErrorMessage="1" allowBlank="1" errorTitle="Один раздел" error="Введите число больше Min (допустимы дробные и любые значения). Другие разделы должны быть пустыми." type="custom">
      <formula1>AND(ISNUMBER(G13),OR(NOT(ISNUMBER($G$12)),G13&gt;$G$12),COUNTA($C$9,$C$10,$C$12,$C$13,$E$9,$E$10,$E$12,$E$13)=0)</formula1>
    </dataValidation>
    <dataValidation sqref="G8" showDropDown="0" showInputMessage="0" showErrorMessage="1" allowBlank="1" errorTitle="Действие" error="Выберите значение из списка: Добавить, Частично или Закрыть." type="list">
      <formula1>"Добавить,Частично,Закрыть"</formula1>
    </dataValidation>
    <dataValidation sqref="C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E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C5 D5" showDropDown="0" showInputMessage="0" showErrorMessage="0" allowBlank="1" type="list">
      <formula1>=Список_Монеты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n"/>
      <c r="C5" s="314" t="n"/>
      <c r="D5" s="313" t="n"/>
      <c r="E5" s="315" t="n"/>
      <c r="F5" s="316" t="n"/>
      <c r="G5" s="317" t="n"/>
      <c r="H5" s="271">
        <f>IF(AND(ISNUMBER(F5),ISNUMBER(G5)),F5*G5,"")</f>
        <v/>
      </c>
      <c r="I5" s="316" t="n"/>
      <c r="J5" s="317" t="n"/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n"/>
      <c r="C6" s="319" t="n"/>
      <c r="D6" s="318" t="n"/>
      <c r="E6" s="320" t="n"/>
      <c r="F6" s="321" t="n"/>
      <c r="G6" s="322" t="n"/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n"/>
      <c r="C7" s="314" t="n"/>
      <c r="D7" s="313" t="n"/>
      <c r="E7" s="315" t="n"/>
      <c r="F7" s="316" t="n"/>
      <c r="G7" s="317" t="n"/>
      <c r="H7" s="271">
        <f>IF(AND(ISNUMBER(F7),ISNUMBER(G7)),F7*G7,"")</f>
        <v/>
      </c>
      <c r="I7" s="316" t="n"/>
      <c r="J7" s="317" t="n"/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n"/>
      <c r="C8" s="319" t="n"/>
      <c r="D8" s="318" t="n"/>
      <c r="E8" s="320" t="n"/>
      <c r="F8" s="321" t="n"/>
      <c r="G8" s="322" t="n"/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n"/>
      <c r="C9" s="314" t="n"/>
      <c r="D9" s="313" t="n"/>
      <c r="E9" s="315" t="n"/>
      <c r="F9" s="316" t="n"/>
      <c r="G9" s="317" t="n"/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n"/>
      <c r="C10" s="319" t="n"/>
      <c r="D10" s="318" t="n"/>
      <c r="E10" s="320" t="n"/>
      <c r="F10" s="321" t="n"/>
      <c r="G10" s="322" t="n"/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n"/>
      <c r="C11" s="314" t="n"/>
      <c r="D11" s="313" t="n"/>
      <c r="E11" s="315" t="n"/>
      <c r="F11" s="316" t="n"/>
      <c r="G11" s="317" t="n"/>
      <c r="H11" s="271">
        <f>IF(AND(ISNUMBER(F11),ISNUMBER(G11)),F11*G11,"")</f>
        <v/>
      </c>
      <c r="I11" s="316" t="n"/>
      <c r="J11" s="317" t="n"/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n"/>
      <c r="C12" s="319" t="n"/>
      <c r="D12" s="318" t="n"/>
      <c r="E12" s="320" t="n"/>
      <c r="F12" s="321" t="n"/>
      <c r="G12" s="322" t="n"/>
      <c r="H12" s="271">
        <f>IF(AND(ISNUMBER(F12),ISNUMBER(G12)),F12*G12,"")</f>
        <v/>
      </c>
      <c r="I12" s="321" t="n"/>
      <c r="J12" s="322" t="n"/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n"/>
      <c r="C13" s="314" t="n"/>
      <c r="D13" s="313" t="n"/>
      <c r="E13" s="315" t="n"/>
      <c r="F13" s="316" t="n"/>
      <c r="G13" s="317" t="n"/>
      <c r="H13" s="271">
        <f>IF(AND(ISNUMBER(F13),ISNUMBER(G13)),F13*G13,"")</f>
        <v/>
      </c>
      <c r="I13" s="316" t="n"/>
      <c r="J13" s="317" t="n"/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n"/>
      <c r="C14" s="319" t="n"/>
      <c r="D14" s="318" t="n"/>
      <c r="E14" s="320" t="n"/>
      <c r="F14" s="321" t="n"/>
      <c r="G14" s="322" t="n"/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n"/>
      <c r="C15" s="314" t="n"/>
      <c r="D15" s="313" t="n"/>
      <c r="E15" s="315" t="n"/>
      <c r="F15" s="316" t="n"/>
      <c r="G15" s="317" t="n"/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n"/>
      <c r="C16" s="319" t="n"/>
      <c r="D16" s="318" t="n"/>
      <c r="E16" s="320" t="n"/>
      <c r="F16" s="321" t="n"/>
      <c r="G16" s="322" t="n"/>
      <c r="H16" s="271">
        <f>IF(AND(ISNUMBER(F16),ISNUMBER(G16)),F16*G16,"")</f>
        <v/>
      </c>
      <c r="I16" s="321" t="n"/>
      <c r="J16" s="322" t="n"/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n"/>
      <c r="C17" s="314" t="n"/>
      <c r="D17" s="313" t="n"/>
      <c r="E17" s="315" t="n"/>
      <c r="F17" s="316" t="n"/>
      <c r="G17" s="317" t="n"/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n"/>
      <c r="C18" s="319" t="n"/>
      <c r="D18" s="318" t="n"/>
      <c r="E18" s="320" t="n"/>
      <c r="F18" s="321" t="n"/>
      <c r="G18" s="322" t="n"/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n"/>
      <c r="C19" s="314" t="n"/>
      <c r="D19" s="313" t="n"/>
      <c r="E19" s="315" t="n"/>
      <c r="F19" s="316" t="n"/>
      <c r="G19" s="317" t="n"/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n"/>
      <c r="C20" s="319" t="n"/>
      <c r="D20" s="318" t="n"/>
      <c r="E20" s="320" t="n"/>
      <c r="F20" s="321" t="n"/>
      <c r="G20" s="322" t="n"/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n"/>
      <c r="C21" s="314" t="n"/>
      <c r="D21" s="313" t="n"/>
      <c r="E21" s="315" t="n"/>
      <c r="F21" s="316" t="n"/>
      <c r="G21" s="317" t="n"/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n"/>
      <c r="C22" s="319" t="n"/>
      <c r="D22" s="318" t="n"/>
      <c r="E22" s="320" t="n"/>
      <c r="F22" s="321" t="n"/>
      <c r="G22" s="322" t="n"/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n"/>
      <c r="C23" s="314" t="n"/>
      <c r="D23" s="313" t="n"/>
      <c r="E23" s="315" t="n"/>
      <c r="F23" s="316" t="n"/>
      <c r="G23" s="317" t="n"/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n"/>
      <c r="C24" s="319" t="n"/>
      <c r="D24" s="318" t="n"/>
      <c r="E24" s="320" t="n"/>
      <c r="F24" s="321" t="n"/>
      <c r="G24" s="322" t="n"/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n"/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/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/>
      </c>
      <c r="E5" s="241">
        <f>IF(C5="","",SUMIFS(Торговля!$H$5:$H$300,Торговля!$E$5:$E$300,$B5)+SUMIFS(Закрытые!$H$5:$H$300,Закрытые!$E$5:$E$300,$B5,Закрытые!$B$5:$B$300,"T-*"))</f>
        <v/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>
        <f>IF(F5="","",SUMIFS(Торговля!$K$5:$K$300,Торговля!$E$5:$E$300,$B5)+SUMIFS(Закрытые!$K$5:$K$300,Закрытые!$E$5:$E$300,$B5,Закрытые!$B$5:$B$300,"T-*"))</f>
        <v/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/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/>
      </c>
      <c r="K5" s="240">
        <f>IF($B5="","",ROUND(SUMIFS(Закрытые!$N$5:$N$300,Закрытые!$E$5:$E$300,$B5,Закрытые!$B$5:$B$300,"T-*"),8))</f>
        <v/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n"/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/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/>
      </c>
      <c r="E6" s="247">
        <f>IF(C6="","",SUMIFS(Торговля!$H$5:$H$300,Торговля!$E$5:$E$300,$B6)+SUMIFS(Закрытые!$H$5:$H$300,Закрытые!$E$5:$E$300,$B6,Закрытые!$B$5:$B$300,"T-*"))</f>
        <v/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/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/>
      </c>
      <c r="H6" s="247">
        <f>IF(F6="","",SUMIFS(Торговля!$K$5:$K$300,Торговля!$E$5:$E$300,$B6)+SUMIFS(Закрытые!$K$5:$K$300,Закрытые!$E$5:$E$300,$B6,Закрытые!$B$5:$B$300,"T-*"))</f>
        <v/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/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/>
      </c>
      <c r="K6" s="246">
        <f>IF($B6="","",ROUND(SUMIFS(Закрытые!$N$5:$N$300,Закрытые!$E$5:$E$300,$B6,Закрытые!$B$5:$B$300,"T-*"),8))</f>
        <v/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n"/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/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/>
      </c>
      <c r="H7" s="241">
        <f>IF(F7="","",SUMIFS(Торговля!$K$5:$K$300,Торговля!$E$5:$E$300,$B7)+SUMIFS(Закрытые!$K$5:$K$300,Закрытые!$E$5:$E$300,$B7,Закрытые!$B$5:$B$300,"T-*"))</f>
        <v/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/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/>
      </c>
      <c r="K7" s="240">
        <f>IF($B7="","",ROUND(SUMIFS(Закрытые!$N$5:$N$300,Закрытые!$E$5:$E$300,$B7,Закрытые!$B$5:$B$300,"T-*"),8))</f>
        <v/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n"/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/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/>
      </c>
      <c r="E8" s="247">
        <f>IF(C8="","",SUMIFS(Торговля!$H$5:$H$300,Торговля!$E$5:$E$300,$B8)+SUMIFS(Закрытые!$H$5:$H$300,Закрытые!$E$5:$E$300,$B8,Закрытые!$B$5:$B$300,"T-*"))</f>
        <v/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/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/>
      </c>
      <c r="H8" s="247">
        <f>IF(F8="","",SUMIFS(Торговля!$K$5:$K$300,Торговля!$E$5:$E$300,$B8)+SUMIFS(Закрытые!$K$5:$K$300,Закрытые!$E$5:$E$300,$B8,Закрытые!$B$5:$B$300,"T-*"))</f>
        <v/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/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/>
      </c>
      <c r="K8" s="246">
        <f>IF($B8="","",ROUND(SUMIFS(Закрытые!$N$5:$N$300,Закрытые!$E$5:$E$300,$B8,Закрытые!$B$5:$B$300,"T-*"),8))</f>
        <v/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n"/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/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/>
      </c>
      <c r="E9" s="241">
        <f>IF(C9="","",SUMIFS(Торговля!$H$5:$H$300,Торговля!$E$5:$E$300,$B9)+SUMIFS(Закрытые!$H$5:$H$300,Закрытые!$E$5:$E$300,$B9,Закрытые!$B$5:$B$300,"T-*"))</f>
        <v/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/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/>
      </c>
      <c r="H9" s="241">
        <f>IF(F9="","",SUMIFS(Торговля!$K$5:$K$300,Торговля!$E$5:$E$300,$B9)+SUMIFS(Закрытые!$K$5:$K$300,Закрытые!$E$5:$E$300,$B9,Закрытые!$B$5:$B$300,"T-*"))</f>
        <v/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/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/>
      </c>
      <c r="K9" s="240">
        <f>IF($B9="","",ROUND(SUMIFS(Закрытые!$N$5:$N$300,Закрытые!$E$5:$E$300,$B9,Закрытые!$B$5:$B$300,"T-*"),8))</f>
        <v/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n"/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>
        <f>IF(C10="","",SUMIFS(Торговля!$H$5:$H$300,Торговля!$E$5:$E$300,$B10)+SUMIFS(Закрытые!$H$5:$H$300,Закрытые!$E$5:$E$300,$B10,Закрытые!$B$5:$B$300,"T-*"))</f>
        <v/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>
        <f>IF(F10="","",SUMIFS(Торговля!$K$5:$K$300,Торговля!$E$5:$E$300,$B10)+SUMIFS(Закрытые!$K$5:$K$300,Закрытые!$E$5:$E$300,$B10,Закрытые!$B$5:$B$300,"T-*"))</f>
        <v/>
      </c>
      <c r="I10" s="246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>
        <f>IF($B10="","",ROUND(SUMIFS(Закрытые!$N$5:$N$300,Закрытые!$E$5:$E$300,$B10,Закрытые!$B$5:$B$300,"T-*"),8))</f>
        <v/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n"/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>
        <f>IF(C11="","",SUMIFS(Торговля!$H$5:$H$300,Торговля!$E$5:$E$300,$B11)+SUMIFS(Закрытые!$H$5:$H$300,Закрытые!$E$5:$E$300,$B11,Закрытые!$B$5:$B$300,"T-*"))</f>
        <v/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>
        <f>IF(F11="","",SUMIFS(Торговля!$K$5:$K$300,Торговля!$E$5:$E$300,$B11)+SUMIFS(Закрытые!$K$5:$K$300,Закрытые!$E$5:$E$300,$B11,Закрытые!$B$5:$B$300,"T-*"))</f>
        <v/>
      </c>
      <c r="I11" s="240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>
        <f>IF($B11="","",ROUND(SUMIFS(Закрытые!$N$5:$N$300,Закрытые!$E$5:$E$300,$B11,Закрытые!$B$5:$B$300,"T-*"),8))</f>
        <v/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n"/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>
        <f>IF(C12="","",SUMIFS(Торговля!$H$5:$H$300,Торговля!$E$5:$E$300,$B12)+SUMIFS(Закрытые!$H$5:$H$300,Закрытые!$E$5:$E$300,$B12,Закрытые!$B$5:$B$300,"T-*"))</f>
        <v/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>
        <f>IF(F12="","",SUMIFS(Торговля!$K$5:$K$300,Торговля!$E$5:$E$300,$B12)+SUMIFS(Закрытые!$K$5:$K$300,Закрытые!$E$5:$E$300,$B12,Закрытые!$B$5:$B$300,"T-*"))</f>
        <v/>
      </c>
      <c r="I12" s="246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>
        <f>IF($B12="","",ROUND(SUMIFS(Закрытые!$N$5:$N$300,Закрытые!$E$5:$E$300,$B12,Закрытые!$B$5:$B$300,"T-*"),8))</f>
        <v/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n"/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>
        <f>IF(C13="","",SUMIFS(Торговля!$H$5:$H$300,Торговля!$E$5:$E$300,$B13)+SUMIFS(Закрытые!$H$5:$H$300,Закрытые!$E$5:$E$300,$B13,Закрытые!$B$5:$B$300,"T-*"))</f>
        <v/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>
        <f>IF(F13="","",SUMIFS(Торговля!$K$5:$K$300,Торговля!$E$5:$E$300,$B13)+SUMIFS(Закрытые!$K$5:$K$300,Закрытые!$E$5:$E$300,$B13,Закрытые!$B$5:$B$300,"T-*"))</f>
        <v/>
      </c>
      <c r="I13" s="240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>
        <f>IF($B13="","",ROUND(SUMIFS(Закрытые!$N$5:$N$300,Закрытые!$E$5:$E$300,$B13,Закрытые!$B$5:$B$300,"T-*"),8))</f>
        <v/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n"/>
      <c r="C14" s="246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>
        <f>IF(F14="","",SUMIFS(Торговля!$K$5:$K$300,Торговля!$E$5:$E$300,$B14)+SUMIFS(Закрытые!$K$5:$K$300,Закрытые!$E$5:$E$300,$B14,Закрытые!$B$5:$B$300,"T-*"))</f>
        <v/>
      </c>
      <c r="I14" s="246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>
        <f>IF($B14="","",ROUND(SUMIFS(Закрытые!$N$5:$N$300,Закрытые!$E$5:$E$300,$B14,Закрытые!$B$5:$B$300,"T-*"),8))</f>
        <v/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n"/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>
        <f>IF(C15="","",SUMIFS(Торговля!$H$5:$H$300,Торговля!$E$5:$E$300,$B15)+SUMIFS(Закрытые!$H$5:$H$300,Закрытые!$E$5:$E$300,$B15,Закрытые!$B$5:$B$300,"T-*"))</f>
        <v/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>
        <f>IF(F15="","",SUMIFS(Торговля!$K$5:$K$300,Торговля!$E$5:$E$300,$B15)+SUMIFS(Закрытые!$K$5:$K$300,Закрытые!$E$5:$E$300,$B15,Закрытые!$B$5:$B$300,"T-*"))</f>
        <v/>
      </c>
      <c r="I15" s="240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>
        <f>IF($B15="","",ROUND(SUMIFS(Закрытые!$N$5:$N$300,Закрытые!$E$5:$E$300,$B15,Закрытые!$B$5:$B$300,"T-*"),8))</f>
        <v/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>
        <f>IF(C16="","",SUMIFS(Торговля!$H$5:$H$300,Торговля!$E$5:$E$300,$B16)+SUMIFS(Закрытые!$H$5:$H$300,Закрытые!$E$5:$E$300,$B16,Закрытые!$B$5:$B$300,"T-*"))</f>
        <v/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>
        <f>IF(F16="","",SUMIFS(Торговля!$K$5:$K$300,Торговля!$E$5:$E$300,$B16)+SUMIFS(Закрытые!$K$5:$K$300,Закрытые!$E$5:$E$300,$B16,Закрытые!$B$5:$B$300,"T-*"))</f>
        <v/>
      </c>
      <c r="I16" s="246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>
        <f>IF($B16="","",ROUND(SUMIFS(Закрытые!$N$5:$N$300,Закрытые!$E$5:$E$300,$B16,Закрытые!$B$5:$B$300,"T-*"),8))</f>
        <v/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>
        <f>IF(C17="","",SUMIFS(Торговля!$H$5:$H$300,Торговля!$E$5:$E$300,$B17)+SUMIFS(Закрытые!$H$5:$H$300,Закрытые!$E$5:$E$300,$B17,Закрытые!$B$5:$B$300,"T-*"))</f>
        <v/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>
        <f>IF(F17="","",SUMIFS(Торговля!$K$5:$K$300,Торговля!$E$5:$E$300,$B17)+SUMIFS(Закрытые!$K$5:$K$300,Закрытые!$E$5:$E$300,$B17,Закрытые!$B$5:$B$300,"T-*"))</f>
        <v/>
      </c>
      <c r="I17" s="240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>
        <f>IF($B17="","",ROUND(SUMIFS(Закрытые!$N$5:$N$300,Закрытые!$E$5:$E$300,$B17,Закрытые!$B$5:$B$300,"T-*"),8))</f>
        <v/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>
        <f>IF(C18="","",SUMIFS(Торговля!$H$5:$H$300,Торговля!$E$5:$E$300,$B18)+SUMIFS(Закрытые!$H$5:$H$300,Закрытые!$E$5:$E$300,$B18,Закрытые!$B$5:$B$300,"T-*"))</f>
        <v/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>
        <f>IF(F18="","",SUMIFS(Торговля!$K$5:$K$300,Торговля!$E$5:$E$300,$B18)+SUMIFS(Закрытые!$K$5:$K$300,Закрытые!$E$5:$E$300,$B18,Закрытые!$B$5:$B$300,"T-*"))</f>
        <v/>
      </c>
      <c r="I18" s="246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>
        <f>IF($B18="","",ROUND(SUMIFS(Закрытые!$N$5:$N$300,Закрытые!$E$5:$E$300,$B18,Закрытые!$B$5:$B$300,"T-*"),8))</f>
        <v/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>
        <f>IF(C19="","",SUMIFS(Торговля!$H$5:$H$300,Торговля!$E$5:$E$300,$B19)+SUMIFS(Закрытые!$H$5:$H$300,Закрытые!$E$5:$E$300,$B19,Закрытые!$B$5:$B$300,"T-*"))</f>
        <v/>
      </c>
      <c r="F19" s="240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>
        <f>IF(F19="","",SUMIFS(Торговля!$K$5:$K$300,Торговля!$E$5:$E$300,$B19)+SUMIFS(Закрытые!$K$5:$K$300,Закрытые!$E$5:$E$300,$B19,Закрытые!$B$5:$B$300,"T-*"))</f>
        <v/>
      </c>
      <c r="I19" s="240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>
        <f>IF($B19="","",ROUND(SUMIFS(Закрытые!$N$5:$N$300,Закрытые!$E$5:$E$300,$B19,Закрытые!$B$5:$B$300,"T-*"),8))</f>
        <v/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>
        <f>IF(C20="","",SUMIFS(Торговля!$H$5:$H$300,Торговля!$E$5:$E$300,$B20)+SUMIFS(Закрытые!$H$5:$H$300,Закрытые!$E$5:$E$300,$B20,Закрытые!$B$5:$B$300,"T-*"))</f>
        <v/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>
        <f>IF(F20="","",SUMIFS(Торговля!$K$5:$K$300,Торговля!$E$5:$E$300,$B20)+SUMIFS(Закрытые!$K$5:$K$300,Закрытые!$E$5:$E$300,$B20,Закрытые!$B$5:$B$300,"T-*"))</f>
        <v/>
      </c>
      <c r="I20" s="246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>
        <f>IF($B20="","",ROUND(SUMIFS(Закрытые!$N$5:$N$300,Закрытые!$E$5:$E$300,$B20,Закрытые!$B$5:$B$300,"T-*"),8))</f>
        <v/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>
        <f>IF(F21="","",SUMIFS(Торговля!$K$5:$K$300,Торговля!$E$5:$E$300,$B21)+SUMIFS(Закрытые!$K$5:$K$300,Закрытые!$E$5:$E$300,$B21,Закрытые!$B$5:$B$300,"T-*"))</f>
        <v/>
      </c>
      <c r="I21" s="240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>
        <f>IF($B21="","",ROUND(SUMIFS(Закрытые!$N$5:$N$300,Закрытые!$E$5:$E$300,$B21,Закрытые!$B$5:$B$300,"T-*"),8))</f>
        <v/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>
        <f>IF(C22="","",SUMIFS(Торговля!$H$5:$H$300,Торговля!$E$5:$E$300,$B22)+SUMIFS(Закрытые!$H$5:$H$300,Закрытые!$E$5:$E$300,$B22,Закрытые!$B$5:$B$300,"T-*"))</f>
        <v/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>
        <f>IF(F22="","",SUMIFS(Торговля!$K$5:$K$300,Торговля!$E$5:$E$300,$B22)+SUMIFS(Закрытые!$K$5:$K$300,Закрытые!$E$5:$E$300,$B22,Закрытые!$B$5:$B$300,"T-*"))</f>
        <v/>
      </c>
      <c r="I22" s="246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>
        <f>IF($B22="","",ROUND(SUMIFS(Закрытые!$N$5:$N$300,Закрытые!$E$5:$E$300,$B22,Закрытые!$B$5:$B$300,"T-*"),8))</f>
        <v/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>
        <f>IF(C23="","",SUMIFS(Торговля!$H$5:$H$300,Торговля!$E$5:$E$300,$B23)+SUMIFS(Закрытые!$H$5:$H$300,Закрытые!$E$5:$E$300,$B23,Закрытые!$B$5:$B$300,"T-*"))</f>
        <v/>
      </c>
      <c r="F23" s="240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>
        <f>IF(F23="","",SUMIFS(Торговля!$K$5:$K$300,Торговля!$E$5:$E$300,$B23)+SUMIFS(Закрытые!$K$5:$K$300,Закрытые!$E$5:$E$300,$B23,Закрытые!$B$5:$B$300,"T-*"))</f>
        <v/>
      </c>
      <c r="I23" s="240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>
        <f>IF($B23="","",ROUND(SUMIFS(Закрытые!$N$5:$N$300,Закрытые!$E$5:$E$300,$B23,Закрытые!$B$5:$B$300,"T-*"),8))</f>
        <v/>
      </c>
      <c r="L23" s="177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>
        <f>IF(C24="","",SUMIFS(Торговля!$H$5:$H$300,Торговля!$E$5:$E$300,$B24)+SUMIFS(Закрытые!$H$5:$H$300,Закрытые!$E$5:$E$300,$B24,Закрытые!$B$5:$B$300,"T-*"))</f>
        <v/>
      </c>
      <c r="F24" s="246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>
        <f>IF(F24="","",SUMIFS(Торговля!$K$5:$K$300,Торговля!$E$5:$E$300,$B24)+SUMIFS(Закрытые!$K$5:$K$300,Закрытые!$E$5:$E$300,$B24,Закрытые!$B$5:$B$300,"T-*"))</f>
        <v/>
      </c>
      <c r="I24" s="246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>
        <f>IF($B24="","",ROUND(SUMIFS(Закрытые!$N$5:$N$300,Закрытые!$E$5:$E$300,$B24,Закрытые!$B$5:$B$300,"T-*"),8))</f>
        <v/>
      </c>
      <c r="L24" s="183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>
        <f>IF(C25="","",SUMIFS(Торговля!$H$5:$H$300,Торговля!$E$5:$E$300,$B25)+SUMIFS(Закрытые!$H$5:$H$300,Закрытые!$E$5:$E$300,$B25,Закрытые!$B$5:$B$300,"T-*"))</f>
        <v/>
      </c>
      <c r="F25" s="240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>
        <f>IF(F25="","",SUMIFS(Торговля!$K$5:$K$300,Торговля!$E$5:$E$300,$B25)+SUMIFS(Закрытые!$K$5:$K$300,Закрытые!$E$5:$E$300,$B25,Закрытые!$B$5:$B$300,"T-*"))</f>
        <v/>
      </c>
      <c r="I25" s="240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>
        <f>IF($B25="","",ROUND(SUMIFS(Закрытые!$N$5:$N$300,Закрытые!$E$5:$E$300,$B25,Закрытые!$B$5:$B$300,"T-*"),8))</f>
        <v/>
      </c>
      <c r="L25" s="177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>
        <f>IF(C26="","",SUMIFS(Торговля!$H$5:$H$300,Торговля!$E$5:$E$300,$B26)+SUMIFS(Закрытые!$H$5:$H$300,Закрытые!$E$5:$E$300,$B26,Закрытые!$B$5:$B$300,"T-*"))</f>
        <v/>
      </c>
      <c r="F26" s="246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>
        <f>IF(F26="","",SUMIFS(Торговля!$K$5:$K$300,Торговля!$E$5:$E$300,$B26)+SUMIFS(Закрытые!$K$5:$K$300,Закрытые!$E$5:$E$300,$B26,Закрытые!$B$5:$B$300,"T-*"))</f>
        <v/>
      </c>
      <c r="I26" s="246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>
        <f>IF($B26="","",ROUND(SUMIFS(Закрытые!$N$5:$N$300,Закрытые!$E$5:$E$300,$B26,Закрытые!$B$5:$B$300,"T-*"),8))</f>
        <v/>
      </c>
      <c r="L26" s="183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>
        <f>IF(C27="","",SUMIFS(Торговля!$H$5:$H$300,Торговля!$E$5:$E$300,$B27)+SUMIFS(Закрытые!$H$5:$H$300,Закрытые!$E$5:$E$300,$B27,Закрытые!$B$5:$B$300,"T-*"))</f>
        <v/>
      </c>
      <c r="F27" s="240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>
        <f>IF(F27="","",SUMIFS(Торговля!$K$5:$K$300,Торговля!$E$5:$E$300,$B27)+SUMIFS(Закрытые!$K$5:$K$300,Закрытые!$E$5:$E$300,$B27,Закрытые!$B$5:$B$300,"T-*"))</f>
        <v/>
      </c>
      <c r="I27" s="240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>
        <f>IF($B27="","",ROUND(SUMIFS(Закрытые!$N$5:$N$300,Закрытые!$E$5:$E$300,$B27,Закрытые!$B$5:$B$300,"T-*"),8))</f>
        <v/>
      </c>
      <c r="L27" s="177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>
        <f>IF(C28="","",SUMIFS(Торговля!$H$5:$H$300,Торговля!$E$5:$E$300,$B28)+SUMIFS(Закрытые!$H$5:$H$300,Закрытые!$E$5:$E$300,$B28,Закрытые!$B$5:$B$300,"T-*"))</f>
        <v/>
      </c>
      <c r="F28" s="246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>
        <f>IF(F28="","",SUMIFS(Торговля!$K$5:$K$300,Торговля!$E$5:$E$300,$B28)+SUMIFS(Закрытые!$K$5:$K$300,Закрытые!$E$5:$E$300,$B28,Закрытые!$B$5:$B$300,"T-*"))</f>
        <v/>
      </c>
      <c r="I28" s="246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>
        <f>IF($B28="","",ROUND(SUMIFS(Закрытые!$N$5:$N$300,Закрытые!$E$5:$E$300,$B28,Закрытые!$B$5:$B$300,"T-*"),8))</f>
        <v/>
      </c>
      <c r="L28" s="183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>
        <f>IF(C29="","",SUMIFS(Торговля!$H$5:$H$300,Торговля!$E$5:$E$300,$B29)+SUMIFS(Закрытые!$H$5:$H$300,Закрытые!$E$5:$E$300,$B29,Закрытые!$B$5:$B$300,"T-*"))</f>
        <v/>
      </c>
      <c r="F29" s="240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>
        <f>IF(F29="","",SUMIFS(Торговля!$K$5:$K$300,Торговля!$E$5:$E$300,$B29)+SUMIFS(Закрытые!$K$5:$K$300,Закрытые!$E$5:$E$300,$B29,Закрытые!$B$5:$B$300,"T-*"))</f>
        <v/>
      </c>
      <c r="I29" s="240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>
        <f>IF($B29="","",ROUND(SUMIFS(Закрытые!$N$5:$N$300,Закрытые!$E$5:$E$300,$B29,Закрытые!$B$5:$B$300,"T-*"),8))</f>
        <v/>
      </c>
      <c r="L29" s="177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>
        <f>IF(C30="","",SUMIFS(Торговля!$H$5:$H$300,Торговля!$E$5:$E$300,$B30)+SUMIFS(Закрытые!$H$5:$H$300,Закрытые!$E$5:$E$300,$B30,Закрытые!$B$5:$B$300,"T-*"))</f>
        <v/>
      </c>
      <c r="F30" s="246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>
        <f>IF(F30="","",SUMIFS(Торговля!$K$5:$K$300,Торговля!$E$5:$E$300,$B30)+SUMIFS(Закрытые!$K$5:$K$300,Закрытые!$E$5:$E$300,$B30,Закрытые!$B$5:$B$300,"T-*"))</f>
        <v/>
      </c>
      <c r="I30" s="246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>
        <f>IF($B30="","",ROUND(SUMIFS(Закрытые!$N$5:$N$300,Закрытые!$E$5:$E$300,$B30,Закрытые!$B$5:$B$300,"T-*"),8))</f>
        <v/>
      </c>
      <c r="L30" s="183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>
        <f>IF(C31="","",SUMIFS(Торговля!$H$5:$H$300,Торговля!$E$5:$E$300,$B31)+SUMIFS(Закрытые!$H$5:$H$300,Закрытые!$E$5:$E$300,$B31,Закрытые!$B$5:$B$300,"T-*"))</f>
        <v/>
      </c>
      <c r="F31" s="240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>
        <f>IF(F31="","",SUMIFS(Торговля!$K$5:$K$300,Торговля!$E$5:$E$300,$B31)+SUMIFS(Закрытые!$K$5:$K$300,Закрытые!$E$5:$E$300,$B31,Закрытые!$B$5:$B$300,"T-*"))</f>
        <v/>
      </c>
      <c r="I31" s="240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>
        <f>IF($B31="","",ROUND(SUMIFS(Закрытые!$N$5:$N$300,Закрытые!$E$5:$E$300,$B31,Закрытые!$B$5:$B$300,"T-*"),8))</f>
        <v/>
      </c>
      <c r="L31" s="177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>
        <f>IF(C32="","",SUMIFS(Торговля!$H$5:$H$300,Торговля!$E$5:$E$300,$B32)+SUMIFS(Закрытые!$H$5:$H$300,Закрытые!$E$5:$E$300,$B32,Закрытые!$B$5:$B$300,"T-*"))</f>
        <v/>
      </c>
      <c r="F32" s="246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>
        <f>IF(F32="","",SUMIFS(Торговля!$K$5:$K$300,Торговля!$E$5:$E$300,$B32)+SUMIFS(Закрытые!$K$5:$K$300,Закрытые!$E$5:$E$300,$B32,Закрытые!$B$5:$B$300,"T-*"))</f>
        <v/>
      </c>
      <c r="I32" s="246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>
        <f>IF($B32="","",ROUND(SUMIFS(Закрытые!$N$5:$N$300,Закрытые!$E$5:$E$300,$B32,Закрытые!$B$5:$B$300,"T-*"),8))</f>
        <v/>
      </c>
      <c r="L32" s="183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>
        <f>IF(C33="","",SUMIFS(Торговля!$H$5:$H$300,Торговля!$E$5:$E$300,$B33)+SUMIFS(Закрытые!$H$5:$H$300,Закрытые!$E$5:$E$300,$B33,Закрытые!$B$5:$B$300,"T-*"))</f>
        <v/>
      </c>
      <c r="F33" s="240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>
        <f>IF(F33="","",SUMIFS(Торговля!$K$5:$K$300,Торговля!$E$5:$E$300,$B33)+SUMIFS(Закрытые!$K$5:$K$300,Закрытые!$E$5:$E$300,$B33,Закрытые!$B$5:$B$300,"T-*"))</f>
        <v/>
      </c>
      <c r="I33" s="240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>
        <f>IF($B33="","",ROUND(SUMIFS(Закрытые!$N$5:$N$300,Закрытые!$E$5:$E$300,$B33,Закрытые!$B$5:$B$300,"T-*"),8))</f>
        <v/>
      </c>
      <c r="L33" s="177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>
        <f>IF(C34="","",SUMIFS(Торговля!$H$5:$H$300,Торговля!$E$5:$E$300,$B34)+SUMIFS(Закрытые!$H$5:$H$300,Закрытые!$E$5:$E$300,$B34,Закрытые!$B$5:$B$300,"T-*"))</f>
        <v/>
      </c>
      <c r="F34" s="246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>
        <f>IF(F34="","",SUMIFS(Торговля!$K$5:$K$300,Торговля!$E$5:$E$300,$B34)+SUMIFS(Закрытые!$K$5:$K$300,Закрытые!$E$5:$E$300,$B34,Закрытые!$B$5:$B$300,"T-*"))</f>
        <v/>
      </c>
      <c r="I34" s="246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>
        <f>IF($B34="","",ROUND(SUMIFS(Закрытые!$N$5:$N$300,Закрытые!$E$5:$E$300,$B34,Закрытые!$B$5:$B$300,"T-*"),8))</f>
        <v/>
      </c>
      <c r="L34" s="183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>
        <f>IF(C35="","",SUMIFS(Торговля!$H$5:$H$300,Торговля!$E$5:$E$300,$B35)+SUMIFS(Закрытые!$H$5:$H$300,Закрытые!$E$5:$E$300,$B35,Закрытые!$B$5:$B$300,"T-*"))</f>
        <v/>
      </c>
      <c r="F35" s="240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>
        <f>IF(F35="","",SUMIFS(Торговля!$K$5:$K$300,Торговля!$E$5:$E$300,$B35)+SUMIFS(Закрытые!$K$5:$K$300,Закрытые!$E$5:$E$300,$B35,Закрытые!$B$5:$B$300,"T-*"))</f>
        <v/>
      </c>
      <c r="I35" s="240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>
        <f>IF($B35="","",ROUND(SUMIFS(Закрытые!$N$5:$N$300,Закрытые!$E$5:$E$300,$B35,Закрытые!$B$5:$B$300,"T-*"),8))</f>
        <v/>
      </c>
      <c r="L35" s="177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>
        <f>IF(C36="","",SUMIFS(Торговля!$H$5:$H$300,Торговля!$E$5:$E$300,$B36)+SUMIFS(Закрытые!$H$5:$H$300,Закрытые!$E$5:$E$300,$B36,Закрытые!$B$5:$B$300,"T-*"))</f>
        <v/>
      </c>
      <c r="F36" s="246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>
        <f>IF(F36="","",SUMIFS(Торговля!$K$5:$K$300,Торговля!$E$5:$E$300,$B36)+SUMIFS(Закрытые!$K$5:$K$300,Закрытые!$E$5:$E$300,$B36,Закрытые!$B$5:$B$300,"T-*"))</f>
        <v/>
      </c>
      <c r="I36" s="246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>
        <f>IF($B36="","",ROUND(SUMIFS(Закрытые!$N$5:$N$300,Закрытые!$E$5:$E$300,$B36,Закрытые!$B$5:$B$300,"T-*"),8))</f>
        <v/>
      </c>
      <c r="L36" s="183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>
        <f>IF(C37="","",SUMIFS(Торговля!$H$5:$H$300,Торговля!$E$5:$E$300,$B37)+SUMIFS(Закрытые!$H$5:$H$300,Закрытые!$E$5:$E$300,$B37,Закрытые!$B$5:$B$300,"T-*"))</f>
        <v/>
      </c>
      <c r="F37" s="240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>
        <f>IF(F37="","",SUMIFS(Торговля!$K$5:$K$300,Торговля!$E$5:$E$300,$B37)+SUMIFS(Закрытые!$K$5:$K$300,Закрытые!$E$5:$E$300,$B37,Закрытые!$B$5:$B$300,"T-*"))</f>
        <v/>
      </c>
      <c r="I37" s="240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>
        <f>IF($B37="","",ROUND(SUMIFS(Закрытые!$N$5:$N$300,Закрытые!$E$5:$E$300,$B37,Закрытые!$B$5:$B$300,"T-*"),8))</f>
        <v/>
      </c>
      <c r="L37" s="177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>
        <f>IF(C38="","",SUMIFS(Торговля!$H$5:$H$300,Торговля!$E$5:$E$300,$B38)+SUMIFS(Закрытые!$H$5:$H$300,Закрытые!$E$5:$E$300,$B38,Закрытые!$B$5:$B$300,"T-*"))</f>
        <v/>
      </c>
      <c r="F38" s="246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>
        <f>IF(F38="","",SUMIFS(Торговля!$K$5:$K$300,Торговля!$E$5:$E$300,$B38)+SUMIFS(Закрытые!$K$5:$K$300,Закрытые!$E$5:$E$300,$B38,Закрытые!$B$5:$B$300,"T-*"))</f>
        <v/>
      </c>
      <c r="I38" s="246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>
        <f>IF($B38="","",ROUND(SUMIFS(Закрытые!$N$5:$N$300,Закрытые!$E$5:$E$300,$B38,Закрытые!$B$5:$B$300,"T-*"),8))</f>
        <v/>
      </c>
      <c r="L38" s="183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>
        <f>IF(C39="","",SUMIFS(Торговля!$H$5:$H$300,Торговля!$E$5:$E$300,$B39)+SUMIFS(Закрытые!$H$5:$H$300,Закрытые!$E$5:$E$300,$B39,Закрытые!$B$5:$B$300,"T-*"))</f>
        <v/>
      </c>
      <c r="F39" s="240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>
        <f>IF(F39="","",SUMIFS(Торговля!$K$5:$K$300,Торговля!$E$5:$E$300,$B39)+SUMIFS(Закрытые!$K$5:$K$300,Закрытые!$E$5:$E$300,$B39,Закрытые!$B$5:$B$300,"T-*"))</f>
        <v/>
      </c>
      <c r="I39" s="240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>
        <f>IF($B39="","",ROUND(SUMIFS(Закрытые!$N$5:$N$300,Закрытые!$E$5:$E$300,$B39,Закрытые!$B$5:$B$300,"T-*"),8))</f>
        <v/>
      </c>
      <c r="L39" s="177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>
        <f>IF(C40="","",SUMIFS(Торговля!$H$5:$H$300,Торговля!$E$5:$E$300,$B40)+SUMIFS(Закрытые!$H$5:$H$300,Закрытые!$E$5:$E$300,$B40,Закрытые!$B$5:$B$300,"T-*"))</f>
        <v/>
      </c>
      <c r="F40" s="246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>
        <f>IF(F40="","",SUMIFS(Торговля!$K$5:$K$300,Торговля!$E$5:$E$300,$B40)+SUMIFS(Закрытые!$K$5:$K$300,Закрытые!$E$5:$E$300,$B40,Закрытые!$B$5:$B$300,"T-*"))</f>
        <v/>
      </c>
      <c r="I40" s="246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>
        <f>IF($B40="","",ROUND(SUMIFS(Закрытые!$N$5:$N$300,Закрытые!$E$5:$E$300,$B40,Закрытые!$B$5:$B$300,"T-*"),8))</f>
        <v/>
      </c>
      <c r="L40" s="183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>
        <f>IF(C41="","",SUMIFS(Торговля!$H$5:$H$300,Торговля!$E$5:$E$300,$B41)+SUMIFS(Закрытые!$H$5:$H$300,Закрытые!$E$5:$E$300,$B41,Закрытые!$B$5:$B$300,"T-*"))</f>
        <v/>
      </c>
      <c r="F41" s="240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>
        <f>IF(F41="","",SUMIFS(Торговля!$K$5:$K$300,Торговля!$E$5:$E$300,$B41)+SUMIFS(Закрытые!$K$5:$K$300,Закрытые!$E$5:$E$300,$B41,Закрытые!$B$5:$B$300,"T-*"))</f>
        <v/>
      </c>
      <c r="I41" s="240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>
        <f>IF($B41="","",ROUND(SUMIFS(Закрытые!$N$5:$N$300,Закрытые!$E$5:$E$300,$B41,Закрытые!$B$5:$B$300,"T-*"),8))</f>
        <v/>
      </c>
      <c r="L41" s="177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>
        <f>IF(C42="","",SUMIFS(Торговля!$H$5:$H$300,Торговля!$E$5:$E$300,$B42)+SUMIFS(Закрытые!$H$5:$H$300,Закрытые!$E$5:$E$300,$B42,Закрытые!$B$5:$B$300,"T-*"))</f>
        <v/>
      </c>
      <c r="F42" s="246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>
        <f>IF(F42="","",SUMIFS(Торговля!$K$5:$K$300,Торговля!$E$5:$E$300,$B42)+SUMIFS(Закрытые!$K$5:$K$300,Закрытые!$E$5:$E$300,$B42,Закрытые!$B$5:$B$300,"T-*"))</f>
        <v/>
      </c>
      <c r="I42" s="246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>
        <f>IF($B42="","",ROUND(SUMIFS(Закрытые!$N$5:$N$300,Закрытые!$E$5:$E$300,$B42,Закрытые!$B$5:$B$300,"T-*"),8))</f>
        <v/>
      </c>
      <c r="L42" s="183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>
        <f>IF(C43="","",SUMIFS(Торговля!$H$5:$H$300,Торговля!$E$5:$E$300,$B43)+SUMIFS(Закрытые!$H$5:$H$300,Закрытые!$E$5:$E$300,$B43,Закрытые!$B$5:$B$300,"T-*"))</f>
        <v/>
      </c>
      <c r="F43" s="240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>
        <f>IF(F43="","",SUMIFS(Торговля!$K$5:$K$300,Торговля!$E$5:$E$300,$B43)+SUMIFS(Закрытые!$K$5:$K$300,Закрытые!$E$5:$E$300,$B43,Закрытые!$B$5:$B$300,"T-*"))</f>
        <v/>
      </c>
      <c r="I43" s="240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>
        <f>IF($B43="","",ROUND(SUMIFS(Закрытые!$N$5:$N$300,Закрытые!$E$5:$E$300,$B43,Закрытые!$B$5:$B$300,"T-*"),8))</f>
        <v/>
      </c>
      <c r="L43" s="177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>
        <f>IF(C44="","",SUMIFS(Торговля!$H$5:$H$300,Торговля!$E$5:$E$300,$B44)+SUMIFS(Закрытые!$H$5:$H$300,Закрытые!$E$5:$E$300,$B44,Закрытые!$B$5:$B$300,"T-*"))</f>
        <v/>
      </c>
      <c r="F44" s="246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>
        <f>IF(F44="","",SUMIFS(Торговля!$K$5:$K$300,Торговля!$E$5:$E$300,$B44)+SUMIFS(Закрытые!$K$5:$K$300,Закрытые!$E$5:$E$300,$B44,Закрытые!$B$5:$B$300,"T-*"))</f>
        <v/>
      </c>
      <c r="I44" s="246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>
        <f>IF($B44="","",ROUND(SUMIFS(Закрытые!$N$5:$N$300,Закрытые!$E$5:$E$300,$B44,Закрытые!$B$5:$B$300,"T-*"),8))</f>
        <v/>
      </c>
      <c r="L44" s="183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>
        <f>IF(C45="","",SUMIFS(Торговля!$H$5:$H$300,Торговля!$E$5:$E$300,$B45)+SUMIFS(Закрытые!$H$5:$H$300,Закрытые!$E$5:$E$300,$B45,Закрытые!$B$5:$B$300,"T-*"))</f>
        <v/>
      </c>
      <c r="F45" s="240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>
        <f>IF(F45="","",SUMIFS(Торговля!$K$5:$K$300,Торговля!$E$5:$E$300,$B45)+SUMIFS(Закрытые!$K$5:$K$300,Закрытые!$E$5:$E$300,$B45,Закрытые!$B$5:$B$300,"T-*"))</f>
        <v/>
      </c>
      <c r="I45" s="240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>
        <f>IF($B45="","",ROUND(SUMIFS(Закрытые!$N$5:$N$300,Закрытые!$E$5:$E$300,$B45,Закрытые!$B$5:$B$300,"T-*"),8))</f>
        <v/>
      </c>
      <c r="L45" s="177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>
        <f>IF(C46="","",SUMIFS(Торговля!$H$5:$H$300,Торговля!$E$5:$E$300,$B46)+SUMIFS(Закрытые!$H$5:$H$300,Закрытые!$E$5:$E$300,$B46,Закрытые!$B$5:$B$300,"T-*"))</f>
        <v/>
      </c>
      <c r="F46" s="246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>
        <f>IF(F46="","",SUMIFS(Торговля!$K$5:$K$300,Торговля!$E$5:$E$300,$B46)+SUMIFS(Закрытые!$K$5:$K$300,Закрытые!$E$5:$E$300,$B46,Закрытые!$B$5:$B$300,"T-*"))</f>
        <v/>
      </c>
      <c r="I46" s="246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>
        <f>IF($B46="","",ROUND(SUMIFS(Закрытые!$N$5:$N$300,Закрытые!$E$5:$E$300,$B46,Закрытые!$B$5:$B$300,"T-*"),8))</f>
        <v/>
      </c>
      <c r="L46" s="183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>
        <f>IF(C47="","",SUMIFS(Торговля!$H$5:$H$300,Торговля!$E$5:$E$300,$B47)+SUMIFS(Закрытые!$H$5:$H$300,Закрытые!$E$5:$E$300,$B47,Закрытые!$B$5:$B$300,"T-*"))</f>
        <v/>
      </c>
      <c r="F47" s="240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>
        <f>IF(F47="","",SUMIFS(Торговля!$K$5:$K$300,Торговля!$E$5:$E$300,$B47)+SUMIFS(Закрытые!$K$5:$K$300,Закрытые!$E$5:$E$300,$B47,Закрытые!$B$5:$B$300,"T-*"))</f>
        <v/>
      </c>
      <c r="I47" s="240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>
        <f>IF($B47="","",ROUND(SUMIFS(Закрытые!$N$5:$N$300,Закрытые!$E$5:$E$300,$B47,Закрытые!$B$5:$B$300,"T-*"),8))</f>
        <v/>
      </c>
      <c r="L47" s="177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>
        <f>IF(C48="","",SUMIFS(Торговля!$H$5:$H$300,Торговля!$E$5:$E$300,$B48)+SUMIFS(Закрытые!$H$5:$H$300,Закрытые!$E$5:$E$300,$B48,Закрытые!$B$5:$B$300,"T-*"))</f>
        <v/>
      </c>
      <c r="F48" s="246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>
        <f>IF(F48="","",SUMIFS(Торговля!$K$5:$K$300,Торговля!$E$5:$E$300,$B48)+SUMIFS(Закрытые!$K$5:$K$300,Закрытые!$E$5:$E$300,$B48,Закрытые!$B$5:$B$300,"T-*"))</f>
        <v/>
      </c>
      <c r="I48" s="246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>
        <f>IF($B48="","",ROUND(SUMIFS(Закрытые!$N$5:$N$300,Закрытые!$E$5:$E$300,$B48,Закрытые!$B$5:$B$300,"T-*"),8))</f>
        <v/>
      </c>
      <c r="L48" s="183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>
        <f>IF(C49="","",SUMIFS(Торговля!$H$5:$H$300,Торговля!$E$5:$E$300,$B49)+SUMIFS(Закрытые!$H$5:$H$300,Закрытые!$E$5:$E$300,$B49,Закрытые!$B$5:$B$300,"T-*"))</f>
        <v/>
      </c>
      <c r="F49" s="240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>
        <f>IF(F49="","",SUMIFS(Торговля!$K$5:$K$300,Торговля!$E$5:$E$300,$B49)+SUMIFS(Закрытые!$K$5:$K$300,Закрытые!$E$5:$E$300,$B49,Закрытые!$B$5:$B$300,"T-*"))</f>
        <v/>
      </c>
      <c r="I49" s="240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>
        <f>IF($B49="","",ROUND(SUMIFS(Закрытые!$N$5:$N$300,Закрытые!$E$5:$E$300,$B49,Закрытые!$B$5:$B$300,"T-*"),8))</f>
        <v/>
      </c>
      <c r="L49" s="177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>
        <f>IF(C50="","",SUMIFS(Торговля!$H$5:$H$300,Торговля!$E$5:$E$300,$B50)+SUMIFS(Закрытые!$H$5:$H$300,Закрытые!$E$5:$E$300,$B50,Закрытые!$B$5:$B$300,"T-*"))</f>
        <v/>
      </c>
      <c r="F50" s="246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>
        <f>IF(F50="","",SUMIFS(Торговля!$K$5:$K$300,Торговля!$E$5:$E$300,$B50)+SUMIFS(Закрытые!$K$5:$K$300,Закрытые!$E$5:$E$300,$B50,Закрытые!$B$5:$B$300,"T-*"))</f>
        <v/>
      </c>
      <c r="I50" s="246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>
        <f>IF($B50="","",ROUND(SUMIFS(Закрытые!$N$5:$N$300,Закрытые!$E$5:$E$300,$B50,Закрытые!$B$5:$B$300,"T-*"),8))</f>
        <v/>
      </c>
      <c r="L50" s="183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>
        <f>IF(C51="","",SUMIFS(Торговля!$H$5:$H$300,Торговля!$E$5:$E$300,$B51)+SUMIFS(Закрытые!$H$5:$H$300,Закрытые!$E$5:$E$300,$B51,Закрытые!$B$5:$B$300,"T-*"))</f>
        <v/>
      </c>
      <c r="F51" s="240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>
        <f>IF(F51="","",SUMIFS(Торговля!$K$5:$K$300,Торговля!$E$5:$E$300,$B51)+SUMIFS(Закрытые!$K$5:$K$300,Закрытые!$E$5:$E$300,$B51,Закрытые!$B$5:$B$300,"T-*"))</f>
        <v/>
      </c>
      <c r="I51" s="240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>
        <f>IF($B51="","",ROUND(SUMIFS(Закрытые!$N$5:$N$300,Закрытые!$E$5:$E$300,$B51,Закрытые!$B$5:$B$300,"T-*"),8))</f>
        <v/>
      </c>
      <c r="L51" s="177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>
        <f>IF(C52="","",SUMIFS(Торговля!$H$5:$H$300,Торговля!$E$5:$E$300,$B52)+SUMIFS(Закрытые!$H$5:$H$300,Закрытые!$E$5:$E$300,$B52,Закрытые!$B$5:$B$300,"T-*"))</f>
        <v/>
      </c>
      <c r="F52" s="246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>
        <f>IF(F52="","",SUMIFS(Торговля!$K$5:$K$300,Торговля!$E$5:$E$300,$B52)+SUMIFS(Закрытые!$K$5:$K$300,Закрытые!$E$5:$E$300,$B52,Закрытые!$B$5:$B$300,"T-*"))</f>
        <v/>
      </c>
      <c r="I52" s="246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>
        <f>IF($B52="","",ROUND(SUMIFS(Закрытые!$N$5:$N$300,Закрытые!$E$5:$E$300,$B52,Закрытые!$B$5:$B$300,"T-*"),8))</f>
        <v/>
      </c>
      <c r="L52" s="183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>
        <f>IF(C53="","",SUMIFS(Торговля!$H$5:$H$300,Торговля!$E$5:$E$300,$B53)+SUMIFS(Закрытые!$H$5:$H$300,Закрытые!$E$5:$E$300,$B53,Закрытые!$B$5:$B$300,"T-*"))</f>
        <v/>
      </c>
      <c r="F53" s="240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>
        <f>IF(F53="","",SUMIFS(Торговля!$K$5:$K$300,Торговля!$E$5:$E$300,$B53)+SUMIFS(Закрытые!$K$5:$K$300,Закрытые!$E$5:$E$300,$B53,Закрытые!$B$5:$B$300,"T-*"))</f>
        <v/>
      </c>
      <c r="I53" s="240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>
        <f>IF($B53="","",ROUND(SUMIFS(Закрытые!$N$5:$N$300,Закрытые!$E$5:$E$300,$B53,Закрытые!$B$5:$B$300,"T-*"),8))</f>
        <v/>
      </c>
      <c r="L53" s="177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>
        <f>IF(C54="","",SUMIFS(Торговля!$H$5:$H$300,Торговля!$E$5:$E$300,$B54)+SUMIFS(Закрытые!$H$5:$H$300,Закрытые!$E$5:$E$300,$B54,Закрытые!$B$5:$B$300,"T-*"))</f>
        <v/>
      </c>
      <c r="F54" s="246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>
        <f>IF(F54="","",SUMIFS(Торговля!$K$5:$K$300,Торговля!$E$5:$E$300,$B54)+SUMIFS(Закрытые!$K$5:$K$300,Закрытые!$E$5:$E$300,$B54,Закрытые!$B$5:$B$300,"T-*"))</f>
        <v/>
      </c>
      <c r="I54" s="246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>
        <f>IF($B54="","",ROUND(SUMIFS(Закрытые!$N$5:$N$300,Закрытые!$E$5:$E$300,$B54,Закрытые!$B$5:$B$300,"T-*"),8))</f>
        <v/>
      </c>
      <c r="L54" s="183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>
        <f>IF(C55="","",SUMIFS(Торговля!$H$5:$H$300,Торговля!$E$5:$E$300,$B55)+SUMIFS(Закрытые!$H$5:$H$300,Закрытые!$E$5:$E$300,$B55,Закрытые!$B$5:$B$300,"T-*"))</f>
        <v/>
      </c>
      <c r="F55" s="240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>
        <f>IF(F55="","",SUMIFS(Торговля!$K$5:$K$300,Торговля!$E$5:$E$300,$B55)+SUMIFS(Закрытые!$K$5:$K$300,Закрытые!$E$5:$E$300,$B55,Закрытые!$B$5:$B$300,"T-*"))</f>
        <v/>
      </c>
      <c r="I55" s="240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>
        <f>IF($B55="","",ROUND(SUMIFS(Закрытые!$N$5:$N$300,Закрытые!$E$5:$E$300,$B55,Закрытые!$B$5:$B$300,"T-*"),8))</f>
        <v/>
      </c>
      <c r="L55" s="177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>
        <f>IF(C56="","",SUMIFS(Торговля!$H$5:$H$300,Торговля!$E$5:$E$300,$B56)+SUMIFS(Закрытые!$H$5:$H$300,Закрытые!$E$5:$E$300,$B56,Закрытые!$B$5:$B$300,"T-*"))</f>
        <v/>
      </c>
      <c r="F56" s="246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>
        <f>IF(F56="","",SUMIFS(Торговля!$K$5:$K$300,Торговля!$E$5:$E$300,$B56)+SUMIFS(Закрытые!$K$5:$K$300,Закрытые!$E$5:$E$300,$B56,Закрытые!$B$5:$B$300,"T-*"))</f>
        <v/>
      </c>
      <c r="I56" s="246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>
        <f>IF($B56="","",ROUND(SUMIFS(Закрытые!$N$5:$N$300,Закрытые!$E$5:$E$300,$B56,Закрытые!$B$5:$B$300,"T-*"),8))</f>
        <v/>
      </c>
      <c r="L56" s="183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>
        <f>IF(C57="","",SUMIFS(Торговля!$H$5:$H$300,Торговля!$E$5:$E$300,$B57)+SUMIFS(Закрытые!$H$5:$H$300,Закрытые!$E$5:$E$300,$B57,Закрытые!$B$5:$B$300,"T-*"))</f>
        <v/>
      </c>
      <c r="F57" s="240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>
        <f>IF(F57="","",SUMIFS(Торговля!$K$5:$K$300,Торговля!$E$5:$E$300,$B57)+SUMIFS(Закрытые!$K$5:$K$300,Закрытые!$E$5:$E$300,$B57,Закрытые!$B$5:$B$300,"T-*"))</f>
        <v/>
      </c>
      <c r="I57" s="240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>
        <f>IF($B57="","",ROUND(SUMIFS(Закрытые!$N$5:$N$300,Закрытые!$E$5:$E$300,$B57,Закрытые!$B$5:$B$300,"T-*"),8))</f>
        <v/>
      </c>
      <c r="L57" s="177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>
        <f>IF(C58="","",SUMIFS(Торговля!$H$5:$H$300,Торговля!$E$5:$E$300,$B58)+SUMIFS(Закрытые!$H$5:$H$300,Закрытые!$E$5:$E$300,$B58,Закрытые!$B$5:$B$300,"T-*"))</f>
        <v/>
      </c>
      <c r="F58" s="246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>
        <f>IF(F58="","",SUMIFS(Торговля!$K$5:$K$300,Торговля!$E$5:$E$300,$B58)+SUMIFS(Закрытые!$K$5:$K$300,Закрытые!$E$5:$E$300,$B58,Закрытые!$B$5:$B$300,"T-*"))</f>
        <v/>
      </c>
      <c r="I58" s="246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>
        <f>IF($B58="","",ROUND(SUMIFS(Закрытые!$N$5:$N$300,Закрытые!$E$5:$E$300,$B58,Закрытые!$B$5:$B$300,"T-*"),8))</f>
        <v/>
      </c>
      <c r="L58" s="183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>
        <f>IF(C59="","",SUMIFS(Торговля!$H$5:$H$300,Торговля!$E$5:$E$300,$B59)+SUMIFS(Закрытые!$H$5:$H$300,Закрытые!$E$5:$E$300,$B59,Закрытые!$B$5:$B$300,"T-*"))</f>
        <v/>
      </c>
      <c r="F59" s="240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>
        <f>IF(F59="","",SUMIFS(Торговля!$K$5:$K$300,Торговля!$E$5:$E$300,$B59)+SUMIFS(Закрытые!$K$5:$K$300,Закрытые!$E$5:$E$300,$B59,Закрытые!$B$5:$B$300,"T-*"))</f>
        <v/>
      </c>
      <c r="I59" s="240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>
        <f>IF($B59="","",ROUND(SUMIFS(Закрытые!$N$5:$N$300,Закрытые!$E$5:$E$300,$B59,Закрытые!$B$5:$B$300,"T-*"),8))</f>
        <v/>
      </c>
      <c r="L59" s="177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>
        <f>IF(C60="","",SUMIFS(Торговля!$H$5:$H$300,Торговля!$E$5:$E$300,$B60)+SUMIFS(Закрытые!$H$5:$H$300,Закрытые!$E$5:$E$300,$B60,Закрытые!$B$5:$B$300,"T-*"))</f>
        <v/>
      </c>
      <c r="F60" s="246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>
        <f>IF(F60="","",SUMIFS(Торговля!$K$5:$K$300,Торговля!$E$5:$E$300,$B60)+SUMIFS(Закрытые!$K$5:$K$300,Закрытые!$E$5:$E$300,$B60,Закрытые!$B$5:$B$300,"T-*"))</f>
        <v/>
      </c>
      <c r="I60" s="246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>
        <f>IF($B60="","",ROUND(SUMIFS(Закрытые!$N$5:$N$300,Закрытые!$E$5:$E$300,$B60,Закрытые!$B$5:$B$300,"T-*"),8))</f>
        <v/>
      </c>
      <c r="L60" s="183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>
        <f>IF(C61="","",SUMIFS(Торговля!$H$5:$H$300,Торговля!$E$5:$E$300,$B61)+SUMIFS(Закрытые!$H$5:$H$300,Закрытые!$E$5:$E$300,$B61,Закрытые!$B$5:$B$300,"T-*"))</f>
        <v/>
      </c>
      <c r="F61" s="240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>
        <f>IF(F61="","",SUMIFS(Торговля!$K$5:$K$300,Торговля!$E$5:$E$300,$B61)+SUMIFS(Закрытые!$K$5:$K$300,Закрытые!$E$5:$E$300,$B61,Закрытые!$B$5:$B$300,"T-*"))</f>
        <v/>
      </c>
      <c r="I61" s="240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>
        <f>IF($B61="","",ROUND(SUMIFS(Закрытые!$N$5:$N$300,Закрытые!$E$5:$E$300,$B61,Закрытые!$B$5:$B$300,"T-*"),8))</f>
        <v/>
      </c>
      <c r="L61" s="177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>
        <f>IF(C62="","",SUMIFS(Торговля!$H$5:$H$300,Торговля!$E$5:$E$300,$B62)+SUMIFS(Закрытые!$H$5:$H$300,Закрытые!$E$5:$E$300,$B62,Закрытые!$B$5:$B$300,"T-*"))</f>
        <v/>
      </c>
      <c r="F62" s="246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>
        <f>IF(F62="","",SUMIFS(Торговля!$K$5:$K$300,Торговля!$E$5:$E$300,$B62)+SUMIFS(Закрытые!$K$5:$K$300,Закрытые!$E$5:$E$300,$B62,Закрытые!$B$5:$B$300,"T-*"))</f>
        <v/>
      </c>
      <c r="I62" s="246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>
        <f>IF($B62="","",ROUND(SUMIFS(Закрытые!$N$5:$N$300,Закрытые!$E$5:$E$300,$B62,Закрытые!$B$5:$B$300,"T-*"),8))</f>
        <v/>
      </c>
      <c r="L62" s="183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>
        <f>IF(C63="","",SUMIFS(Торговля!$H$5:$H$300,Торговля!$E$5:$E$300,$B63)+SUMIFS(Закрытые!$H$5:$H$300,Закрытые!$E$5:$E$300,$B63,Закрытые!$B$5:$B$300,"T-*"))</f>
        <v/>
      </c>
      <c r="F63" s="240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>
        <f>IF(F63="","",SUMIFS(Торговля!$K$5:$K$300,Торговля!$E$5:$E$300,$B63)+SUMIFS(Закрытые!$K$5:$K$300,Закрытые!$E$5:$E$300,$B63,Закрытые!$B$5:$B$300,"T-*"))</f>
        <v/>
      </c>
      <c r="I63" s="240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>
        <f>IF($B63="","",ROUND(SUMIFS(Закрытые!$N$5:$N$300,Закрытые!$E$5:$E$300,$B63,Закрытые!$B$5:$B$300,"T-*"),8))</f>
        <v/>
      </c>
      <c r="L63" s="177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>
        <f>IF(C64="","",SUMIFS(Торговля!$H$5:$H$300,Торговля!$E$5:$E$300,$B64)+SUMIFS(Закрытые!$H$5:$H$300,Закрытые!$E$5:$E$300,$B64,Закрытые!$B$5:$B$300,"T-*"))</f>
        <v/>
      </c>
      <c r="F64" s="246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>
        <f>IF(F64="","",SUMIFS(Торговля!$K$5:$K$300,Торговля!$E$5:$E$300,$B64)+SUMIFS(Закрытые!$K$5:$K$300,Закрытые!$E$5:$E$300,$B64,Закрытые!$B$5:$B$300,"T-*"))</f>
        <v/>
      </c>
      <c r="I64" s="246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>
        <f>IF($B64="","",ROUND(SUMIFS(Закрытые!$N$5:$N$300,Закрытые!$E$5:$E$300,$B64,Закрытые!$B$5:$B$300,"T-*"),8))</f>
        <v/>
      </c>
      <c r="L64" s="183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>
        <f>IF(C65="","",SUMIFS(Торговля!$H$5:$H$300,Торговля!$E$5:$E$300,$B65)+SUMIFS(Закрытые!$H$5:$H$300,Закрытые!$E$5:$E$300,$B65,Закрытые!$B$5:$B$300,"T-*"))</f>
        <v/>
      </c>
      <c r="F65" s="240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>
        <f>IF(F65="","",SUMIFS(Торговля!$K$5:$K$300,Торговля!$E$5:$E$300,$B65)+SUMIFS(Закрытые!$K$5:$K$300,Закрытые!$E$5:$E$300,$B65,Закрытые!$B$5:$B$300,"T-*"))</f>
        <v/>
      </c>
      <c r="I65" s="240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>
        <f>IF($B65="","",ROUND(SUMIFS(Закрытые!$N$5:$N$300,Закрытые!$E$5:$E$300,$B65,Закрытые!$B$5:$B$300,"T-*"),8))</f>
        <v/>
      </c>
      <c r="L65" s="177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>
        <f>IF(C66="","",SUMIFS(Торговля!$H$5:$H$300,Торговля!$E$5:$E$300,$B66)+SUMIFS(Закрытые!$H$5:$H$300,Закрытые!$E$5:$E$300,$B66,Закрытые!$B$5:$B$300,"T-*"))</f>
        <v/>
      </c>
      <c r="F66" s="246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>
        <f>IF(F66="","",SUMIFS(Торговля!$K$5:$K$300,Торговля!$E$5:$E$300,$B66)+SUMIFS(Закрытые!$K$5:$K$300,Закрытые!$E$5:$E$300,$B66,Закрытые!$B$5:$B$300,"T-*"))</f>
        <v/>
      </c>
      <c r="I66" s="246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>
        <f>IF($B66="","",ROUND(SUMIFS(Закрытые!$N$5:$N$300,Закрытые!$E$5:$E$300,$B66,Закрытые!$B$5:$B$300,"T-*"),8))</f>
        <v/>
      </c>
      <c r="L66" s="183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>
        <f>IF(C67="","",SUMIFS(Торговля!$H$5:$H$300,Торговля!$E$5:$E$300,$B67)+SUMIFS(Закрытые!$H$5:$H$300,Закрытые!$E$5:$E$300,$B67,Закрытые!$B$5:$B$300,"T-*"))</f>
        <v/>
      </c>
      <c r="F67" s="240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>
        <f>IF(F67="","",SUMIFS(Торговля!$K$5:$K$300,Торговля!$E$5:$E$300,$B67)+SUMIFS(Закрытые!$K$5:$K$300,Закрытые!$E$5:$E$300,$B67,Закрытые!$B$5:$B$300,"T-*"))</f>
        <v/>
      </c>
      <c r="I67" s="240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>
        <f>IF($B67="","",ROUND(SUMIFS(Закрытые!$N$5:$N$300,Закрытые!$E$5:$E$300,$B67,Закрытые!$B$5:$B$300,"T-*"),8))</f>
        <v/>
      </c>
      <c r="L67" s="177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>
        <f>IF(C68="","",SUMIFS(Торговля!$H$5:$H$300,Торговля!$E$5:$E$300,$B68)+SUMIFS(Закрытые!$H$5:$H$300,Закрытые!$E$5:$E$300,$B68,Закрытые!$B$5:$B$300,"T-*"))</f>
        <v/>
      </c>
      <c r="F68" s="246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>
        <f>IF(F68="","",SUMIFS(Торговля!$K$5:$K$300,Торговля!$E$5:$E$300,$B68)+SUMIFS(Закрытые!$K$5:$K$300,Закрытые!$E$5:$E$300,$B68,Закрытые!$B$5:$B$300,"T-*"))</f>
        <v/>
      </c>
      <c r="I68" s="246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>
        <f>IF($B68="","",ROUND(SUMIFS(Закрытые!$N$5:$N$300,Закрытые!$E$5:$E$300,$B68,Закрытые!$B$5:$B$300,"T-*"),8))</f>
        <v/>
      </c>
      <c r="L68" s="183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>
        <f>IF(C69="","",SUMIFS(Торговля!$H$5:$H$300,Торговля!$E$5:$E$300,$B69)+SUMIFS(Закрытые!$H$5:$H$300,Закрытые!$E$5:$E$300,$B69,Закрытые!$B$5:$B$300,"T-*"))</f>
        <v/>
      </c>
      <c r="F69" s="240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>
        <f>IF(F69="","",SUMIFS(Торговля!$K$5:$K$300,Торговля!$E$5:$E$300,$B69)+SUMIFS(Закрытые!$K$5:$K$300,Закрытые!$E$5:$E$300,$B69,Закрытые!$B$5:$B$300,"T-*"))</f>
        <v/>
      </c>
      <c r="I69" s="240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>
        <f>IF($B69="","",ROUND(SUMIFS(Закрытые!$N$5:$N$300,Закрытые!$E$5:$E$300,$B69,Закрытые!$B$5:$B$300,"T-*"),8))</f>
        <v/>
      </c>
      <c r="L69" s="177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>
        <f>IF(C70="","",SUMIFS(Торговля!$H$5:$H$300,Торговля!$E$5:$E$300,$B70)+SUMIFS(Закрытые!$H$5:$H$300,Закрытые!$E$5:$E$300,$B70,Закрытые!$B$5:$B$300,"T-*"))</f>
        <v/>
      </c>
      <c r="F70" s="246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>
        <f>IF(F70="","",SUMIFS(Торговля!$K$5:$K$300,Торговля!$E$5:$E$300,$B70)+SUMIFS(Закрытые!$K$5:$K$300,Закрытые!$E$5:$E$300,$B70,Закрытые!$B$5:$B$300,"T-*"))</f>
        <v/>
      </c>
      <c r="I70" s="246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>
        <f>IF($B70="","",ROUND(SUMIFS(Закрытые!$N$5:$N$300,Закрытые!$E$5:$E$300,$B70,Закрытые!$B$5:$B$300,"T-*"),8))</f>
        <v/>
      </c>
      <c r="L70" s="183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>
        <f>IF(C71="","",SUMIFS(Торговля!$H$5:$H$300,Торговля!$E$5:$E$300,$B71)+SUMIFS(Закрытые!$H$5:$H$300,Закрытые!$E$5:$E$300,$B71,Закрытые!$B$5:$B$300,"T-*"))</f>
        <v/>
      </c>
      <c r="F71" s="240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>
        <f>IF(F71="","",SUMIFS(Торговля!$K$5:$K$300,Торговля!$E$5:$E$300,$B71)+SUMIFS(Закрытые!$K$5:$K$300,Закрытые!$E$5:$E$300,$B71,Закрытые!$B$5:$B$300,"T-*"))</f>
        <v/>
      </c>
      <c r="I71" s="240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>
        <f>IF($B71="","",ROUND(SUMIFS(Закрытые!$N$5:$N$300,Закрытые!$E$5:$E$300,$B71,Закрытые!$B$5:$B$300,"T-*"),8))</f>
        <v/>
      </c>
      <c r="L71" s="177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>
        <f>IF(C72="","",SUMIFS(Торговля!$H$5:$H$300,Торговля!$E$5:$E$300,$B72)+SUMIFS(Закрытые!$H$5:$H$300,Закрытые!$E$5:$E$300,$B72,Закрытые!$B$5:$B$300,"T-*"))</f>
        <v/>
      </c>
      <c r="F72" s="246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>
        <f>IF(F72="","",SUMIFS(Торговля!$K$5:$K$300,Торговля!$E$5:$E$300,$B72)+SUMIFS(Закрытые!$K$5:$K$300,Закрытые!$E$5:$E$300,$B72,Закрытые!$B$5:$B$300,"T-*"))</f>
        <v/>
      </c>
      <c r="I72" s="246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>
        <f>IF($B72="","",ROUND(SUMIFS(Закрытые!$N$5:$N$300,Закрытые!$E$5:$E$300,$B72,Закрытые!$B$5:$B$300,"T-*"),8))</f>
        <v/>
      </c>
      <c r="L72" s="183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>
        <f>IF(C73="","",SUMIFS(Торговля!$H$5:$H$300,Торговля!$E$5:$E$300,$B73)+SUMIFS(Закрытые!$H$5:$H$300,Закрытые!$E$5:$E$300,$B73,Закрытые!$B$5:$B$300,"T-*"))</f>
        <v/>
      </c>
      <c r="F73" s="240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>
        <f>IF(F73="","",SUMIFS(Торговля!$K$5:$K$300,Торговля!$E$5:$E$300,$B73)+SUMIFS(Закрытые!$K$5:$K$300,Закрытые!$E$5:$E$300,$B73,Закрытые!$B$5:$B$300,"T-*"))</f>
        <v/>
      </c>
      <c r="I73" s="240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>
        <f>IF($B73="","",ROUND(SUMIFS(Закрытые!$N$5:$N$300,Закрытые!$E$5:$E$300,$B73,Закрытые!$B$5:$B$300,"T-*"),8))</f>
        <v/>
      </c>
      <c r="L73" s="177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>
        <f>IF(C74="","",SUMIFS(Торговля!$H$5:$H$300,Торговля!$E$5:$E$300,$B74)+SUMIFS(Закрытые!$H$5:$H$300,Закрытые!$E$5:$E$300,$B74,Закрытые!$B$5:$B$300,"T-*"))</f>
        <v/>
      </c>
      <c r="F74" s="246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>
        <f>IF(F74="","",SUMIFS(Торговля!$K$5:$K$300,Торговля!$E$5:$E$300,$B74)+SUMIFS(Закрытые!$K$5:$K$300,Закрытые!$E$5:$E$300,$B74,Закрытые!$B$5:$B$300,"T-*"))</f>
        <v/>
      </c>
      <c r="I74" s="246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>
        <f>IF($B74="","",ROUND(SUMIFS(Закрытые!$N$5:$N$300,Закрытые!$E$5:$E$300,$B74,Закрытые!$B$5:$B$300,"T-*"),8))</f>
        <v/>
      </c>
      <c r="L74" s="183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>
        <f>IF(C75="","",SUMIFS(Торговля!$H$5:$H$300,Торговля!$E$5:$E$300,$B75)+SUMIFS(Закрытые!$H$5:$H$300,Закрытые!$E$5:$E$300,$B75,Закрытые!$B$5:$B$300,"T-*"))</f>
        <v/>
      </c>
      <c r="F75" s="240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>
        <f>IF(F75="","",SUMIFS(Торговля!$K$5:$K$300,Торговля!$E$5:$E$300,$B75)+SUMIFS(Закрытые!$K$5:$K$300,Закрытые!$E$5:$E$300,$B75,Закрытые!$B$5:$B$300,"T-*"))</f>
        <v/>
      </c>
      <c r="I75" s="240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>
        <f>IF($B75="","",ROUND(SUMIFS(Закрытые!$N$5:$N$300,Закрытые!$E$5:$E$300,$B75,Закрытые!$B$5:$B$300,"T-*"),8))</f>
        <v/>
      </c>
      <c r="L75" s="177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>
        <f>IF(C76="","",SUMIFS(Торговля!$H$5:$H$300,Торговля!$E$5:$E$300,$B76)+SUMIFS(Закрытые!$H$5:$H$300,Закрытые!$E$5:$E$300,$B76,Закрытые!$B$5:$B$300,"T-*"))</f>
        <v/>
      </c>
      <c r="F76" s="246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>
        <f>IF(F76="","",SUMIFS(Торговля!$K$5:$K$300,Торговля!$E$5:$E$300,$B76)+SUMIFS(Закрытые!$K$5:$K$300,Закрытые!$E$5:$E$300,$B76,Закрытые!$B$5:$B$300,"T-*"))</f>
        <v/>
      </c>
      <c r="I76" s="246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>
        <f>IF($B76="","",ROUND(SUMIFS(Закрытые!$N$5:$N$300,Закрытые!$E$5:$E$300,$B76,Закрытые!$B$5:$B$300,"T-*"),8))</f>
        <v/>
      </c>
      <c r="L76" s="183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>
        <f>IF(C77="","",SUMIFS(Торговля!$H$5:$H$300,Торговля!$E$5:$E$300,$B77)+SUMIFS(Закрытые!$H$5:$H$300,Закрытые!$E$5:$E$300,$B77,Закрытые!$B$5:$B$300,"T-*"))</f>
        <v/>
      </c>
      <c r="F77" s="240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>
        <f>IF(F77="","",SUMIFS(Торговля!$K$5:$K$300,Торговля!$E$5:$E$300,$B77)+SUMIFS(Закрытые!$K$5:$K$300,Закрытые!$E$5:$E$300,$B77,Закрытые!$B$5:$B$300,"T-*"))</f>
        <v/>
      </c>
      <c r="I77" s="240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>
        <f>IF($B77="","",ROUND(SUMIFS(Закрытые!$N$5:$N$300,Закрытые!$E$5:$E$300,$B77,Закрытые!$B$5:$B$300,"T-*"),8))</f>
        <v/>
      </c>
      <c r="L77" s="177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>
        <f>IF(C78="","",SUMIFS(Торговля!$H$5:$H$300,Торговля!$E$5:$E$300,$B78)+SUMIFS(Закрытые!$H$5:$H$300,Закрытые!$E$5:$E$300,$B78,Закрытые!$B$5:$B$300,"T-*"))</f>
        <v/>
      </c>
      <c r="F78" s="246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>
        <f>IF(F78="","",SUMIFS(Торговля!$K$5:$K$300,Торговля!$E$5:$E$300,$B78)+SUMIFS(Закрытые!$K$5:$K$300,Закрытые!$E$5:$E$300,$B78,Закрытые!$B$5:$B$300,"T-*"))</f>
        <v/>
      </c>
      <c r="I78" s="246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>
        <f>IF($B78="","",ROUND(SUMIFS(Закрытые!$N$5:$N$300,Закрытые!$E$5:$E$300,$B78,Закрытые!$B$5:$B$300,"T-*"),8))</f>
        <v/>
      </c>
      <c r="L78" s="183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>
        <f>IF(C79="","",SUMIFS(Торговля!$H$5:$H$300,Торговля!$E$5:$E$300,$B79)+SUMIFS(Закрытые!$H$5:$H$300,Закрытые!$E$5:$E$300,$B79,Закрытые!$B$5:$B$300,"T-*"))</f>
        <v/>
      </c>
      <c r="F79" s="240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>
        <f>IF(F79="","",SUMIFS(Торговля!$K$5:$K$300,Торговля!$E$5:$E$300,$B79)+SUMIFS(Закрытые!$K$5:$K$300,Закрытые!$E$5:$E$300,$B79,Закрытые!$B$5:$B$300,"T-*"))</f>
        <v/>
      </c>
      <c r="I79" s="240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>
        <f>IF($B79="","",ROUND(SUMIFS(Закрытые!$N$5:$N$300,Закрытые!$E$5:$E$300,$B79,Закрытые!$B$5:$B$300,"T-*"),8))</f>
        <v/>
      </c>
      <c r="L79" s="177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>
        <f>IF(C80="","",SUMIFS(Торговля!$H$5:$H$300,Торговля!$E$5:$E$300,$B80)+SUMIFS(Закрытые!$H$5:$H$300,Закрытые!$E$5:$E$300,$B80,Закрытые!$B$5:$B$300,"T-*"))</f>
        <v/>
      </c>
      <c r="F80" s="246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>
        <f>IF(F80="","",SUMIFS(Торговля!$K$5:$K$300,Торговля!$E$5:$E$300,$B80)+SUMIFS(Закрытые!$K$5:$K$300,Закрытые!$E$5:$E$300,$B80,Закрытые!$B$5:$B$300,"T-*"))</f>
        <v/>
      </c>
      <c r="I80" s="246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>
        <f>IF($B80="","",ROUND(SUMIFS(Закрытые!$N$5:$N$300,Закрытые!$E$5:$E$300,$B80,Закрытые!$B$5:$B$300,"T-*"),8))</f>
        <v/>
      </c>
      <c r="L80" s="183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>
        <f>IF(C81="","",SUMIFS(Торговля!$H$5:$H$300,Торговля!$E$5:$E$300,$B81)+SUMIFS(Закрытые!$H$5:$H$300,Закрытые!$E$5:$E$300,$B81,Закрытые!$B$5:$B$300,"T-*"))</f>
        <v/>
      </c>
      <c r="F81" s="240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>
        <f>IF(F81="","",SUMIFS(Торговля!$K$5:$K$300,Торговля!$E$5:$E$300,$B81)+SUMIFS(Закрытые!$K$5:$K$300,Закрытые!$E$5:$E$300,$B81,Закрытые!$B$5:$B$300,"T-*"))</f>
        <v/>
      </c>
      <c r="I81" s="240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>
        <f>IF($B81="","",ROUND(SUMIFS(Закрытые!$N$5:$N$300,Закрытые!$E$5:$E$300,$B81,Закрытые!$B$5:$B$300,"T-*"),8))</f>
        <v/>
      </c>
      <c r="L81" s="177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>
        <f>IF(C82="","",SUMIFS(Торговля!$H$5:$H$300,Торговля!$E$5:$E$300,$B82)+SUMIFS(Закрытые!$H$5:$H$300,Закрытые!$E$5:$E$300,$B82,Закрытые!$B$5:$B$300,"T-*"))</f>
        <v/>
      </c>
      <c r="F82" s="246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>
        <f>IF(F82="","",SUMIFS(Торговля!$K$5:$K$300,Торговля!$E$5:$E$300,$B82)+SUMIFS(Закрытые!$K$5:$K$300,Закрытые!$E$5:$E$300,$B82,Закрытые!$B$5:$B$300,"T-*"))</f>
        <v/>
      </c>
      <c r="I82" s="246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>
        <f>IF($B82="","",ROUND(SUMIFS(Закрытые!$N$5:$N$300,Закрытые!$E$5:$E$300,$B82,Закрытые!$B$5:$B$300,"T-*"),8))</f>
        <v/>
      </c>
      <c r="L82" s="183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>
        <f>IF(C83="","",SUMIFS(Торговля!$H$5:$H$300,Торговля!$E$5:$E$300,$B83)+SUMIFS(Закрытые!$H$5:$H$300,Закрытые!$E$5:$E$300,$B83,Закрытые!$B$5:$B$300,"T-*"))</f>
        <v/>
      </c>
      <c r="F83" s="240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>
        <f>IF(F83="","",SUMIFS(Торговля!$K$5:$K$300,Торговля!$E$5:$E$300,$B83)+SUMIFS(Закрытые!$K$5:$K$300,Закрытые!$E$5:$E$300,$B83,Закрытые!$B$5:$B$300,"T-*"))</f>
        <v/>
      </c>
      <c r="I83" s="240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>
        <f>IF($B83="","",ROUND(SUMIFS(Закрытые!$N$5:$N$300,Закрытые!$E$5:$E$300,$B83,Закрытые!$B$5:$B$300,"T-*"),8))</f>
        <v/>
      </c>
      <c r="L83" s="177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>
        <f>IF(C84="","",SUMIFS(Торговля!$H$5:$H$300,Торговля!$E$5:$E$300,$B84)+SUMIFS(Закрытые!$H$5:$H$300,Закрытые!$E$5:$E$300,$B84,Закрытые!$B$5:$B$300,"T-*"))</f>
        <v/>
      </c>
      <c r="F84" s="246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>
        <f>IF(F84="","",SUMIFS(Торговля!$K$5:$K$300,Торговля!$E$5:$E$300,$B84)+SUMIFS(Закрытые!$K$5:$K$300,Закрытые!$E$5:$E$300,$B84,Закрытые!$B$5:$B$300,"T-*"))</f>
        <v/>
      </c>
      <c r="I84" s="246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>
        <f>IF($B84="","",ROUND(SUMIFS(Закрытые!$N$5:$N$300,Закрытые!$E$5:$E$300,$B84,Закрытые!$B$5:$B$300,"T-*"),8))</f>
        <v/>
      </c>
      <c r="L84" s="183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>
        <f>IF(C85="","",SUMIFS(Торговля!$H$5:$H$300,Торговля!$E$5:$E$300,$B85)+SUMIFS(Закрытые!$H$5:$H$300,Закрытые!$E$5:$E$300,$B85,Закрытые!$B$5:$B$300,"T-*"))</f>
        <v/>
      </c>
      <c r="F85" s="240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>
        <f>IF(F85="","",SUMIFS(Торговля!$K$5:$K$300,Торговля!$E$5:$E$300,$B85)+SUMIFS(Закрытые!$K$5:$K$300,Закрытые!$E$5:$E$300,$B85,Закрытые!$B$5:$B$300,"T-*"))</f>
        <v/>
      </c>
      <c r="I85" s="240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>
        <f>IF($B85="","",ROUND(SUMIFS(Закрытые!$N$5:$N$300,Закрытые!$E$5:$E$300,$B85,Закрытые!$B$5:$B$300,"T-*"),8))</f>
        <v/>
      </c>
      <c r="L85" s="177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>
        <f>IF(C86="","",SUMIFS(Торговля!$H$5:$H$300,Торговля!$E$5:$E$300,$B86)+SUMIFS(Закрытые!$H$5:$H$300,Закрытые!$E$5:$E$300,$B86,Закрытые!$B$5:$B$300,"T-*"))</f>
        <v/>
      </c>
      <c r="F86" s="246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>
        <f>IF(F86="","",SUMIFS(Торговля!$K$5:$K$300,Торговля!$E$5:$E$300,$B86)+SUMIFS(Закрытые!$K$5:$K$300,Закрытые!$E$5:$E$300,$B86,Закрытые!$B$5:$B$300,"T-*"))</f>
        <v/>
      </c>
      <c r="I86" s="246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>
        <f>IF($B86="","",ROUND(SUMIFS(Закрытые!$N$5:$N$300,Закрытые!$E$5:$E$300,$B86,Закрытые!$B$5:$B$300,"T-*"),8))</f>
        <v/>
      </c>
      <c r="L86" s="183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>
        <f>IF(C87="","",SUMIFS(Торговля!$H$5:$H$300,Торговля!$E$5:$E$300,$B87)+SUMIFS(Закрытые!$H$5:$H$300,Закрытые!$E$5:$E$300,$B87,Закрытые!$B$5:$B$300,"T-*"))</f>
        <v/>
      </c>
      <c r="F87" s="240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>
        <f>IF(F87="","",SUMIFS(Торговля!$K$5:$K$300,Торговля!$E$5:$E$300,$B87)+SUMIFS(Закрытые!$K$5:$K$300,Закрытые!$E$5:$E$300,$B87,Закрытые!$B$5:$B$300,"T-*"))</f>
        <v/>
      </c>
      <c r="I87" s="240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>
        <f>IF($B87="","",ROUND(SUMIFS(Закрытые!$N$5:$N$300,Закрытые!$E$5:$E$300,$B87,Закрытые!$B$5:$B$300,"T-*"),8))</f>
        <v/>
      </c>
      <c r="L87" s="177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>
        <f>IF(C88="","",SUMIFS(Торговля!$H$5:$H$300,Торговля!$E$5:$E$300,$B88)+SUMIFS(Закрытые!$H$5:$H$300,Закрытые!$E$5:$E$300,$B88,Закрытые!$B$5:$B$300,"T-*"))</f>
        <v/>
      </c>
      <c r="F88" s="246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>
        <f>IF(F88="","",SUMIFS(Торговля!$K$5:$K$300,Торговля!$E$5:$E$300,$B88)+SUMIFS(Закрытые!$K$5:$K$300,Закрытые!$E$5:$E$300,$B88,Закрытые!$B$5:$B$300,"T-*"))</f>
        <v/>
      </c>
      <c r="I88" s="246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>
        <f>IF($B88="","",ROUND(SUMIFS(Закрытые!$N$5:$N$300,Закрытые!$E$5:$E$300,$B88,Закрытые!$B$5:$B$300,"T-*"),8))</f>
        <v/>
      </c>
      <c r="L88" s="183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>
        <f>IF(C89="","",SUMIFS(Торговля!$H$5:$H$300,Торговля!$E$5:$E$300,$B89)+SUMIFS(Закрытые!$H$5:$H$300,Закрытые!$E$5:$E$300,$B89,Закрытые!$B$5:$B$300,"T-*"))</f>
        <v/>
      </c>
      <c r="F89" s="240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>
        <f>IF(F89="","",SUMIFS(Торговля!$K$5:$K$300,Торговля!$E$5:$E$300,$B89)+SUMIFS(Закрытые!$K$5:$K$300,Закрытые!$E$5:$E$300,$B89,Закрытые!$B$5:$B$300,"T-*"))</f>
        <v/>
      </c>
      <c r="I89" s="240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>
        <f>IF($B89="","",ROUND(SUMIFS(Закрытые!$N$5:$N$300,Закрытые!$E$5:$E$300,$B89,Закрытые!$B$5:$B$300,"T-*"),8))</f>
        <v/>
      </c>
      <c r="L89" s="177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>
        <f>IF(C90="","",SUMIFS(Торговля!$H$5:$H$300,Торговля!$E$5:$E$300,$B90)+SUMIFS(Закрытые!$H$5:$H$300,Закрытые!$E$5:$E$300,$B90,Закрытые!$B$5:$B$300,"T-*"))</f>
        <v/>
      </c>
      <c r="F90" s="246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>
        <f>IF(F90="","",SUMIFS(Торговля!$K$5:$K$300,Торговля!$E$5:$E$300,$B90)+SUMIFS(Закрытые!$K$5:$K$300,Закрытые!$E$5:$E$300,$B90,Закрытые!$B$5:$B$300,"T-*"))</f>
        <v/>
      </c>
      <c r="I90" s="246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>
        <f>IF($B90="","",ROUND(SUMIFS(Закрытые!$N$5:$N$300,Закрытые!$E$5:$E$300,$B90,Закрытые!$B$5:$B$300,"T-*"),8))</f>
        <v/>
      </c>
      <c r="L90" s="183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>
        <f>IF(C91="","",SUMIFS(Торговля!$H$5:$H$300,Торговля!$E$5:$E$300,$B91)+SUMIFS(Закрытые!$H$5:$H$300,Закрытые!$E$5:$E$300,$B91,Закрытые!$B$5:$B$300,"T-*"))</f>
        <v/>
      </c>
      <c r="F91" s="240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>
        <f>IF(F91="","",SUMIFS(Торговля!$K$5:$K$300,Торговля!$E$5:$E$300,$B91)+SUMIFS(Закрытые!$K$5:$K$300,Закрытые!$E$5:$E$300,$B91,Закрытые!$B$5:$B$300,"T-*"))</f>
        <v/>
      </c>
      <c r="I91" s="240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>
        <f>IF($B91="","",ROUND(SUMIFS(Закрытые!$N$5:$N$300,Закрытые!$E$5:$E$300,$B91,Закрытые!$B$5:$B$300,"T-*"),8))</f>
        <v/>
      </c>
      <c r="L91" s="177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>
        <f>IF(C92="","",SUMIFS(Торговля!$H$5:$H$300,Торговля!$E$5:$E$300,$B92)+SUMIFS(Закрытые!$H$5:$H$300,Закрытые!$E$5:$E$300,$B92,Закрытые!$B$5:$B$300,"T-*"))</f>
        <v/>
      </c>
      <c r="F92" s="246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>
        <f>IF(F92="","",SUMIFS(Торговля!$K$5:$K$300,Торговля!$E$5:$E$300,$B92)+SUMIFS(Закрытые!$K$5:$K$300,Закрытые!$E$5:$E$300,$B92,Закрытые!$B$5:$B$300,"T-*"))</f>
        <v/>
      </c>
      <c r="I92" s="246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>
        <f>IF($B92="","",ROUND(SUMIFS(Закрытые!$N$5:$N$300,Закрытые!$E$5:$E$300,$B92,Закрытые!$B$5:$B$300,"T-*"),8))</f>
        <v/>
      </c>
      <c r="L92" s="183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>
        <f>IF(C93="","",SUMIFS(Торговля!$H$5:$H$300,Торговля!$E$5:$E$300,$B93)+SUMIFS(Закрытые!$H$5:$H$300,Закрытые!$E$5:$E$300,$B93,Закрытые!$B$5:$B$300,"T-*"))</f>
        <v/>
      </c>
      <c r="F93" s="240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>
        <f>IF(F93="","",SUMIFS(Торговля!$K$5:$K$300,Торговля!$E$5:$E$300,$B93)+SUMIFS(Закрытые!$K$5:$K$300,Закрытые!$E$5:$E$300,$B93,Закрытые!$B$5:$B$300,"T-*"))</f>
        <v/>
      </c>
      <c r="I93" s="240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>
        <f>IF($B93="","",ROUND(SUMIFS(Закрытые!$N$5:$N$300,Закрытые!$E$5:$E$300,$B93,Закрытые!$B$5:$B$300,"T-*"),8))</f>
        <v/>
      </c>
      <c r="L93" s="177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>
        <f>IF(C94="","",SUMIFS(Торговля!$H$5:$H$300,Торговля!$E$5:$E$300,$B94)+SUMIFS(Закрытые!$H$5:$H$300,Закрытые!$E$5:$E$300,$B94,Закрытые!$B$5:$B$300,"T-*"))</f>
        <v/>
      </c>
      <c r="F94" s="246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>
        <f>IF(F94="","",SUMIFS(Торговля!$K$5:$K$300,Торговля!$E$5:$E$300,$B94)+SUMIFS(Закрытые!$K$5:$K$300,Закрытые!$E$5:$E$300,$B94,Закрытые!$B$5:$B$300,"T-*"))</f>
        <v/>
      </c>
      <c r="I94" s="246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>
        <f>IF($B94="","",ROUND(SUMIFS(Закрытые!$N$5:$N$300,Закрытые!$E$5:$E$300,$B94,Закрытые!$B$5:$B$300,"T-*"),8))</f>
        <v/>
      </c>
      <c r="L94" s="183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>
        <f>IF(C95="","",SUMIFS(Торговля!$H$5:$H$300,Торговля!$E$5:$E$300,$B95)+SUMIFS(Закрытые!$H$5:$H$300,Закрытые!$E$5:$E$300,$B95,Закрытые!$B$5:$B$300,"T-*"))</f>
        <v/>
      </c>
      <c r="F95" s="240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>
        <f>IF(F95="","",SUMIFS(Торговля!$K$5:$K$300,Торговля!$E$5:$E$300,$B95)+SUMIFS(Закрытые!$K$5:$K$300,Закрытые!$E$5:$E$300,$B95,Закрытые!$B$5:$B$300,"T-*"))</f>
        <v/>
      </c>
      <c r="I95" s="240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>
        <f>IF($B95="","",ROUND(SUMIFS(Закрытые!$N$5:$N$300,Закрытые!$E$5:$E$300,$B95,Закрытые!$B$5:$B$300,"T-*"),8))</f>
        <v/>
      </c>
      <c r="L95" s="177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>
        <f>IF(C96="","",SUMIFS(Торговля!$H$5:$H$300,Торговля!$E$5:$E$300,$B96)+SUMIFS(Закрытые!$H$5:$H$300,Закрытые!$E$5:$E$300,$B96,Закрытые!$B$5:$B$300,"T-*"))</f>
        <v/>
      </c>
      <c r="F96" s="246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>
        <f>IF(F96="","",SUMIFS(Торговля!$K$5:$K$300,Торговля!$E$5:$E$300,$B96)+SUMIFS(Закрытые!$K$5:$K$300,Закрытые!$E$5:$E$300,$B96,Закрытые!$B$5:$B$300,"T-*"))</f>
        <v/>
      </c>
      <c r="I96" s="246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>
        <f>IF($B96="","",ROUND(SUMIFS(Закрытые!$N$5:$N$300,Закрытые!$E$5:$E$300,$B96,Закрытые!$B$5:$B$300,"T-*"),8))</f>
        <v/>
      </c>
      <c r="L96" s="183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>
        <f>IF(C97="","",SUMIFS(Торговля!$H$5:$H$300,Торговля!$E$5:$E$300,$B97)+SUMIFS(Закрытые!$H$5:$H$300,Закрытые!$E$5:$E$300,$B97,Закрытые!$B$5:$B$300,"T-*"))</f>
        <v/>
      </c>
      <c r="F97" s="240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>
        <f>IF(F97="","",SUMIFS(Торговля!$K$5:$K$300,Торговля!$E$5:$E$300,$B97)+SUMIFS(Закрытые!$K$5:$K$300,Закрытые!$E$5:$E$300,$B97,Закрытые!$B$5:$B$300,"T-*"))</f>
        <v/>
      </c>
      <c r="I97" s="240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>
        <f>IF($B97="","",ROUND(SUMIFS(Закрытые!$N$5:$N$300,Закрытые!$E$5:$E$300,$B97,Закрытые!$B$5:$B$300,"T-*"),8))</f>
        <v/>
      </c>
      <c r="L97" s="177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>
        <f>IF(C98="","",SUMIFS(Торговля!$H$5:$H$300,Торговля!$E$5:$E$300,$B98)+SUMIFS(Закрытые!$H$5:$H$300,Закрытые!$E$5:$E$300,$B98,Закрытые!$B$5:$B$300,"T-*"))</f>
        <v/>
      </c>
      <c r="F98" s="246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>
        <f>IF(F98="","",SUMIFS(Торговля!$K$5:$K$300,Торговля!$E$5:$E$300,$B98)+SUMIFS(Закрытые!$K$5:$K$300,Закрытые!$E$5:$E$300,$B98,Закрытые!$B$5:$B$300,"T-*"))</f>
        <v/>
      </c>
      <c r="I98" s="246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>
        <f>IF($B98="","",ROUND(SUMIFS(Закрытые!$N$5:$N$300,Закрытые!$E$5:$E$300,$B98,Закрытые!$B$5:$B$300,"T-*"),8))</f>
        <v/>
      </c>
      <c r="L98" s="183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>
        <f>IF(C99="","",SUMIFS(Торговля!$H$5:$H$300,Торговля!$E$5:$E$300,$B99)+SUMIFS(Закрытые!$H$5:$H$300,Закрытые!$E$5:$E$300,$B99,Закрытые!$B$5:$B$300,"T-*"))</f>
        <v/>
      </c>
      <c r="F99" s="240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>
        <f>IF(F99="","",SUMIFS(Торговля!$K$5:$K$300,Торговля!$E$5:$E$300,$B99)+SUMIFS(Закрытые!$K$5:$K$300,Закрытые!$E$5:$E$300,$B99,Закрытые!$B$5:$B$300,"T-*"))</f>
        <v/>
      </c>
      <c r="I99" s="240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>
        <f>IF($B99="","",ROUND(SUMIFS(Закрытые!$N$5:$N$300,Закрытые!$E$5:$E$300,$B99,Закрытые!$B$5:$B$300,"T-*"),8))</f>
        <v/>
      </c>
      <c r="L99" s="177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>
        <f>IF(C100="","",SUMIFS(Торговля!$H$5:$H$300,Торговля!$E$5:$E$300,$B100)+SUMIFS(Закрытые!$H$5:$H$300,Закрытые!$E$5:$E$300,$B100,Закрытые!$B$5:$B$300,"T-*"))</f>
        <v/>
      </c>
      <c r="F100" s="246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>
        <f>IF(F100="","",SUMIFS(Торговля!$K$5:$K$300,Торговля!$E$5:$E$300,$B100)+SUMIFS(Закрытые!$K$5:$K$300,Закрытые!$E$5:$E$300,$B100,Закрытые!$B$5:$B$300,"T-*"))</f>
        <v/>
      </c>
      <c r="I100" s="246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>
        <f>IF($B100="","",ROUND(SUMIFS(Закрытые!$N$5:$N$300,Закрытые!$E$5:$E$300,$B100,Закрытые!$B$5:$B$300,"T-*"),8))</f>
        <v/>
      </c>
      <c r="L100" s="183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>
        <f>IF(C101="","",SUMIFS(Торговля!$H$5:$H$300,Торговля!$E$5:$E$300,$B101)+SUMIFS(Закрытые!$H$5:$H$300,Закрытые!$E$5:$E$300,$B101,Закрытые!$B$5:$B$300,"T-*"))</f>
        <v/>
      </c>
      <c r="F101" s="240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>
        <f>IF(F101="","",SUMIFS(Торговля!$K$5:$K$300,Торговля!$E$5:$E$300,$B101)+SUMIFS(Закрытые!$K$5:$K$300,Закрытые!$E$5:$E$300,$B101,Закрытые!$B$5:$B$300,"T-*"))</f>
        <v/>
      </c>
      <c r="I101" s="240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>
        <f>IF($B101="","",ROUND(SUMIFS(Закрытые!$N$5:$N$300,Закрытые!$E$5:$E$300,$B101,Закрытые!$B$5:$B$300,"T-*"),8))</f>
        <v/>
      </c>
      <c r="L101" s="177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>
        <f>IF(C102="","",SUMIFS(Торговля!$H$5:$H$300,Торговля!$E$5:$E$300,$B102)+SUMIFS(Закрытые!$H$5:$H$300,Закрытые!$E$5:$E$300,$B102,Закрытые!$B$5:$B$300,"T-*"))</f>
        <v/>
      </c>
      <c r="F102" s="246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>
        <f>IF(F102="","",SUMIFS(Торговля!$K$5:$K$300,Торговля!$E$5:$E$300,$B102)+SUMIFS(Закрытые!$K$5:$K$300,Закрытые!$E$5:$E$300,$B102,Закрытые!$B$5:$B$300,"T-*"))</f>
        <v/>
      </c>
      <c r="I102" s="246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>
        <f>IF($B102="","",ROUND(SUMIFS(Закрытые!$N$5:$N$300,Закрытые!$E$5:$E$300,$B102,Закрытые!$B$5:$B$300,"T-*"),8))</f>
        <v/>
      </c>
      <c r="L102" s="183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>
        <f>IF(C103="","",SUMIFS(Торговля!$H$5:$H$300,Торговля!$E$5:$E$300,$B103)+SUMIFS(Закрытые!$H$5:$H$300,Закрытые!$E$5:$E$300,$B103,Закрытые!$B$5:$B$300,"T-*"))</f>
        <v/>
      </c>
      <c r="F103" s="240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>
        <f>IF(F103="","",SUMIFS(Торговля!$K$5:$K$300,Торговля!$E$5:$E$300,$B103)+SUMIFS(Закрытые!$K$5:$K$300,Закрытые!$E$5:$E$300,$B103,Закрытые!$B$5:$B$300,"T-*"))</f>
        <v/>
      </c>
      <c r="I103" s="240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>
        <f>IF($B103="","",ROUND(SUMIFS(Закрытые!$N$5:$N$300,Закрытые!$E$5:$E$300,$B103,Закрытые!$B$5:$B$300,"T-*"),8))</f>
        <v/>
      </c>
      <c r="L103" s="177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>
        <f>IF(C104="","",SUMIFS(Торговля!$H$5:$H$300,Торговля!$E$5:$E$300,$B104)+SUMIFS(Закрытые!$H$5:$H$300,Закрытые!$E$5:$E$300,$B104,Закрытые!$B$5:$B$300,"T-*"))</f>
        <v/>
      </c>
      <c r="F104" s="246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>
        <f>IF(F104="","",SUMIFS(Торговля!$K$5:$K$300,Торговля!$E$5:$E$300,$B104)+SUMIFS(Закрытые!$K$5:$K$300,Закрытые!$E$5:$E$300,$B104,Закрытые!$B$5:$B$300,"T-*"))</f>
        <v/>
      </c>
      <c r="I104" s="246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>
        <f>IF($B104="","",ROUND(SUMIFS(Закрытые!$N$5:$N$300,Закрытые!$E$5:$E$300,$B104,Закрытые!$B$5:$B$300,"T-*"),8))</f>
        <v/>
      </c>
      <c r="L104" s="183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>
        <f>IF(C105="","",SUMIFS(Торговля!$H$5:$H$300,Торговля!$E$5:$E$300,$B105)+SUMIFS(Закрытые!$H$5:$H$300,Закрытые!$E$5:$E$300,$B105,Закрытые!$B$5:$B$300,"T-*"))</f>
        <v/>
      </c>
      <c r="F105" s="240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>
        <f>IF(F105="","",SUMIFS(Торговля!$K$5:$K$300,Торговля!$E$5:$E$300,$B105)+SUMIFS(Закрытые!$K$5:$K$300,Закрытые!$E$5:$E$300,$B105,Закрытые!$B$5:$B$300,"T-*"))</f>
        <v/>
      </c>
      <c r="I105" s="240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>
        <f>IF($B105="","",ROUND(SUMIFS(Закрытые!$N$5:$N$300,Закрытые!$E$5:$E$300,$B105,Закрытые!$B$5:$B$300,"T-*"),8))</f>
        <v/>
      </c>
      <c r="L105" s="177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>
        <f>IF(C106="","",SUMIFS(Торговля!$H$5:$H$300,Торговля!$E$5:$E$300,$B106)+SUMIFS(Закрытые!$H$5:$H$300,Закрытые!$E$5:$E$300,$B106,Закрытые!$B$5:$B$300,"T-*"))</f>
        <v/>
      </c>
      <c r="F106" s="246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>
        <f>IF(F106="","",SUMIFS(Торговля!$K$5:$K$300,Торговля!$E$5:$E$300,$B106)+SUMIFS(Закрытые!$K$5:$K$300,Закрытые!$E$5:$E$300,$B106,Закрытые!$B$5:$B$300,"T-*"))</f>
        <v/>
      </c>
      <c r="I106" s="246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>
        <f>IF($B106="","",ROUND(SUMIFS(Закрытые!$N$5:$N$300,Закрытые!$E$5:$E$300,$B106,Закрытые!$B$5:$B$300,"T-*"),8))</f>
        <v/>
      </c>
      <c r="L106" s="183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>
        <f>IF(C107="","",SUMIFS(Торговля!$H$5:$H$300,Торговля!$E$5:$E$300,$B107)+SUMIFS(Закрытые!$H$5:$H$300,Закрытые!$E$5:$E$300,$B107,Закрытые!$B$5:$B$300,"T-*"))</f>
        <v/>
      </c>
      <c r="F107" s="240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>
        <f>IF(F107="","",SUMIFS(Торговля!$K$5:$K$300,Торговля!$E$5:$E$300,$B107)+SUMIFS(Закрытые!$K$5:$K$300,Закрытые!$E$5:$E$300,$B107,Закрытые!$B$5:$B$300,"T-*"))</f>
        <v/>
      </c>
      <c r="I107" s="240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>
        <f>IF($B107="","",ROUND(SUMIFS(Закрытые!$N$5:$N$300,Закрытые!$E$5:$E$300,$B107,Закрытые!$B$5:$B$300,"T-*"),8))</f>
        <v/>
      </c>
      <c r="L107" s="177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>
        <f>IF(C108="","",SUMIFS(Торговля!$H$5:$H$300,Торговля!$E$5:$E$300,$B108)+SUMIFS(Закрытые!$H$5:$H$300,Закрытые!$E$5:$E$300,$B108,Закрытые!$B$5:$B$300,"T-*"))</f>
        <v/>
      </c>
      <c r="F108" s="246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>
        <f>IF(F108="","",SUMIFS(Торговля!$K$5:$K$300,Торговля!$E$5:$E$300,$B108)+SUMIFS(Закрытые!$K$5:$K$300,Закрытые!$E$5:$E$300,$B108,Закрытые!$B$5:$B$300,"T-*"))</f>
        <v/>
      </c>
      <c r="I108" s="246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>
        <f>IF($B108="","",ROUND(SUMIFS(Закрытые!$N$5:$N$300,Закрытые!$E$5:$E$300,$B108,Закрытые!$B$5:$B$300,"T-*"),8))</f>
        <v/>
      </c>
      <c r="L108" s="183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>
        <f>IF(C109="","",SUMIFS(Торговля!$H$5:$H$300,Торговля!$E$5:$E$300,$B109)+SUMIFS(Закрытые!$H$5:$H$300,Закрытые!$E$5:$E$300,$B109,Закрытые!$B$5:$B$300,"T-*"))</f>
        <v/>
      </c>
      <c r="F109" s="240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>
        <f>IF(F109="","",SUMIFS(Торговля!$K$5:$K$300,Торговля!$E$5:$E$300,$B109)+SUMIFS(Закрытые!$K$5:$K$300,Закрытые!$E$5:$E$300,$B109,Закрытые!$B$5:$B$300,"T-*"))</f>
        <v/>
      </c>
      <c r="I109" s="240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>
        <f>IF($B109="","",ROUND(SUMIFS(Закрытые!$N$5:$N$300,Закрытые!$E$5:$E$300,$B109,Закрытые!$B$5:$B$300,"T-*"),8))</f>
        <v/>
      </c>
      <c r="L109" s="177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>
        <f>IF(C110="","",SUMIFS(Торговля!$H$5:$H$300,Торговля!$E$5:$E$300,$B110)+SUMIFS(Закрытые!$H$5:$H$300,Закрытые!$E$5:$E$300,$B110,Закрытые!$B$5:$B$300,"T-*"))</f>
        <v/>
      </c>
      <c r="F110" s="246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>
        <f>IF(F110="","",SUMIFS(Торговля!$K$5:$K$300,Торговля!$E$5:$E$300,$B110)+SUMIFS(Закрытые!$K$5:$K$300,Закрытые!$E$5:$E$300,$B110,Закрытые!$B$5:$B$300,"T-*"))</f>
        <v/>
      </c>
      <c r="I110" s="246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>
        <f>IF($B110="","",ROUND(SUMIFS(Закрытые!$N$5:$N$300,Закрытые!$E$5:$E$300,$B110,Закрытые!$B$5:$B$300,"T-*"),8))</f>
        <v/>
      </c>
      <c r="L110" s="183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>
        <f>IF(C111="","",SUMIFS(Торговля!$H$5:$H$300,Торговля!$E$5:$E$300,$B111)+SUMIFS(Закрытые!$H$5:$H$300,Закрытые!$E$5:$E$300,$B111,Закрытые!$B$5:$B$300,"T-*"))</f>
        <v/>
      </c>
      <c r="F111" s="240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>
        <f>IF(F111="","",SUMIFS(Торговля!$K$5:$K$300,Торговля!$E$5:$E$300,$B111)+SUMIFS(Закрытые!$K$5:$K$300,Закрытые!$E$5:$E$300,$B111,Закрытые!$B$5:$B$300,"T-*"))</f>
        <v/>
      </c>
      <c r="I111" s="240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>
        <f>IF($B111="","",ROUND(SUMIFS(Закрытые!$N$5:$N$300,Закрытые!$E$5:$E$300,$B111,Закрытые!$B$5:$B$300,"T-*"),8))</f>
        <v/>
      </c>
      <c r="L111" s="177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>
        <f>IF(C112="","",SUMIFS(Торговля!$H$5:$H$300,Торговля!$E$5:$E$300,$B112)+SUMIFS(Закрытые!$H$5:$H$300,Закрытые!$E$5:$E$300,$B112,Закрытые!$B$5:$B$300,"T-*"))</f>
        <v/>
      </c>
      <c r="F112" s="246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>
        <f>IF(F112="","",SUMIFS(Торговля!$K$5:$K$300,Торговля!$E$5:$E$300,$B112)+SUMIFS(Закрытые!$K$5:$K$300,Закрытые!$E$5:$E$300,$B112,Закрытые!$B$5:$B$300,"T-*"))</f>
        <v/>
      </c>
      <c r="I112" s="246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>
        <f>IF($B112="","",ROUND(SUMIFS(Закрытые!$N$5:$N$300,Закрытые!$E$5:$E$300,$B112,Закрытые!$B$5:$B$300,"T-*"),8))</f>
        <v/>
      </c>
      <c r="L112" s="183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>
        <f>IF(C113="","",SUMIFS(Торговля!$H$5:$H$300,Торговля!$E$5:$E$300,$B113)+SUMIFS(Закрытые!$H$5:$H$300,Закрытые!$E$5:$E$300,$B113,Закрытые!$B$5:$B$300,"T-*"))</f>
        <v/>
      </c>
      <c r="F113" s="240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>
        <f>IF(F113="","",SUMIFS(Торговля!$K$5:$K$300,Торговля!$E$5:$E$300,$B113)+SUMIFS(Закрытые!$K$5:$K$300,Закрытые!$E$5:$E$300,$B113,Закрытые!$B$5:$B$300,"T-*"))</f>
        <v/>
      </c>
      <c r="I113" s="240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>
        <f>IF($B113="","",ROUND(SUMIFS(Закрытые!$N$5:$N$300,Закрытые!$E$5:$E$300,$B113,Закрытые!$B$5:$B$300,"T-*"),8))</f>
        <v/>
      </c>
      <c r="L113" s="177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>
        <f>IF(C114="","",SUMIFS(Торговля!$H$5:$H$300,Торговля!$E$5:$E$300,$B114)+SUMIFS(Закрытые!$H$5:$H$300,Закрытые!$E$5:$E$300,$B114,Закрытые!$B$5:$B$300,"T-*"))</f>
        <v/>
      </c>
      <c r="F114" s="246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>
        <f>IF(F114="","",SUMIFS(Торговля!$K$5:$K$300,Торговля!$E$5:$E$300,$B114)+SUMIFS(Закрытые!$K$5:$K$300,Закрытые!$E$5:$E$300,$B114,Закрытые!$B$5:$B$300,"T-*"))</f>
        <v/>
      </c>
      <c r="I114" s="246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>
        <f>IF($B114="","",ROUND(SUMIFS(Закрытые!$N$5:$N$300,Закрытые!$E$5:$E$300,$B114,Закрытые!$B$5:$B$300,"T-*"),8))</f>
        <v/>
      </c>
      <c r="L114" s="183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>
        <f>IF(C115="","",SUMIFS(Торговля!$H$5:$H$300,Торговля!$E$5:$E$300,$B115)+SUMIFS(Закрытые!$H$5:$H$300,Закрытые!$E$5:$E$300,$B115,Закрытые!$B$5:$B$300,"T-*"))</f>
        <v/>
      </c>
      <c r="F115" s="240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>
        <f>IF(F115="","",SUMIFS(Торговля!$K$5:$K$300,Торговля!$E$5:$E$300,$B115)+SUMIFS(Закрытые!$K$5:$K$300,Закрытые!$E$5:$E$300,$B115,Закрытые!$B$5:$B$300,"T-*"))</f>
        <v/>
      </c>
      <c r="I115" s="240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>
        <f>IF($B115="","",ROUND(SUMIFS(Закрытые!$N$5:$N$300,Закрытые!$E$5:$E$300,$B115,Закрытые!$B$5:$B$300,"T-*"),8))</f>
        <v/>
      </c>
      <c r="L115" s="177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>
        <f>IF(C116="","",SUMIFS(Торговля!$H$5:$H$300,Торговля!$E$5:$E$300,$B116)+SUMIFS(Закрытые!$H$5:$H$300,Закрытые!$E$5:$E$300,$B116,Закрытые!$B$5:$B$300,"T-*"))</f>
        <v/>
      </c>
      <c r="F116" s="246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>
        <f>IF(F116="","",SUMIFS(Торговля!$K$5:$K$300,Торговля!$E$5:$E$300,$B116)+SUMIFS(Закрытые!$K$5:$K$300,Закрытые!$E$5:$E$300,$B116,Закрытые!$B$5:$B$300,"T-*"))</f>
        <v/>
      </c>
      <c r="I116" s="246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>
        <f>IF($B116="","",ROUND(SUMIFS(Закрытые!$N$5:$N$300,Закрытые!$E$5:$E$300,$B116,Закрытые!$B$5:$B$300,"T-*"),8))</f>
        <v/>
      </c>
      <c r="L116" s="183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>
        <f>IF(C117="","",SUMIFS(Торговля!$H$5:$H$300,Торговля!$E$5:$E$300,$B117)+SUMIFS(Закрытые!$H$5:$H$300,Закрытые!$E$5:$E$300,$B117,Закрытые!$B$5:$B$300,"T-*"))</f>
        <v/>
      </c>
      <c r="F117" s="240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>
        <f>IF(F117="","",SUMIFS(Торговля!$K$5:$K$300,Торговля!$E$5:$E$300,$B117)+SUMIFS(Закрытые!$K$5:$K$300,Закрытые!$E$5:$E$300,$B117,Закрытые!$B$5:$B$300,"T-*"))</f>
        <v/>
      </c>
      <c r="I117" s="240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>
        <f>IF($B117="","",ROUND(SUMIFS(Закрытые!$N$5:$N$300,Закрытые!$E$5:$E$300,$B117,Закрытые!$B$5:$B$300,"T-*"),8))</f>
        <v/>
      </c>
      <c r="L117" s="177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>
        <f>IF(C118="","",SUMIFS(Торговля!$H$5:$H$300,Торговля!$E$5:$E$300,$B118)+SUMIFS(Закрытые!$H$5:$H$300,Закрытые!$E$5:$E$300,$B118,Закрытые!$B$5:$B$300,"T-*"))</f>
        <v/>
      </c>
      <c r="F118" s="246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>
        <f>IF(F118="","",SUMIFS(Торговля!$K$5:$K$300,Торговля!$E$5:$E$300,$B118)+SUMIFS(Закрытые!$K$5:$K$300,Закрытые!$E$5:$E$300,$B118,Закрытые!$B$5:$B$300,"T-*"))</f>
        <v/>
      </c>
      <c r="I118" s="246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>
        <f>IF($B118="","",ROUND(SUMIFS(Закрытые!$N$5:$N$300,Закрытые!$E$5:$E$300,$B118,Закрытые!$B$5:$B$300,"T-*"),8))</f>
        <v/>
      </c>
      <c r="L118" s="183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>
        <f>IF(C119="","",SUMIFS(Торговля!$H$5:$H$300,Торговля!$E$5:$E$300,$B119)+SUMIFS(Закрытые!$H$5:$H$300,Закрытые!$E$5:$E$300,$B119,Закрытые!$B$5:$B$300,"T-*"))</f>
        <v/>
      </c>
      <c r="F119" s="240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>
        <f>IF(F119="","",SUMIFS(Торговля!$K$5:$K$300,Торговля!$E$5:$E$300,$B119)+SUMIFS(Закрытые!$K$5:$K$300,Закрытые!$E$5:$E$300,$B119,Закрытые!$B$5:$B$300,"T-*"))</f>
        <v/>
      </c>
      <c r="I119" s="240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>
        <f>IF($B119="","",ROUND(SUMIFS(Закрытые!$N$5:$N$300,Закрытые!$E$5:$E$300,$B119,Закрытые!$B$5:$B$300,"T-*"),8))</f>
        <v/>
      </c>
      <c r="L119" s="177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>
        <f>IF(C120="","",SUMIFS(Торговля!$H$5:$H$300,Торговля!$E$5:$E$300,$B120)+SUMIFS(Закрытые!$H$5:$H$300,Закрытые!$E$5:$E$300,$B120,Закрытые!$B$5:$B$300,"T-*"))</f>
        <v/>
      </c>
      <c r="F120" s="246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>
        <f>IF(F120="","",SUMIFS(Торговля!$K$5:$K$300,Торговля!$E$5:$E$300,$B120)+SUMIFS(Закрытые!$K$5:$K$300,Закрытые!$E$5:$E$300,$B120,Закрытые!$B$5:$B$300,"T-*"))</f>
        <v/>
      </c>
      <c r="I120" s="246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>
        <f>IF($B120="","",ROUND(SUMIFS(Закрытые!$N$5:$N$300,Закрытые!$E$5:$E$300,$B120,Закрытые!$B$5:$B$300,"T-*"),8))</f>
        <v/>
      </c>
      <c r="L120" s="183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>
        <f>IF(C121="","",SUMIFS(Торговля!$H$5:$H$300,Торговля!$E$5:$E$300,$B121)+SUMIFS(Закрытые!$H$5:$H$300,Закрытые!$E$5:$E$300,$B121,Закрытые!$B$5:$B$300,"T-*"))</f>
        <v/>
      </c>
      <c r="F121" s="240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>
        <f>IF(F121="","",SUMIFS(Торговля!$K$5:$K$300,Торговля!$E$5:$E$300,$B121)+SUMIFS(Закрытые!$K$5:$K$300,Закрытые!$E$5:$E$300,$B121,Закрытые!$B$5:$B$300,"T-*"))</f>
        <v/>
      </c>
      <c r="I121" s="240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>
        <f>IF($B121="","",ROUND(SUMIFS(Закрытые!$N$5:$N$300,Закрытые!$E$5:$E$300,$B121,Закрытые!$B$5:$B$300,"T-*"),8))</f>
        <v/>
      </c>
      <c r="L121" s="177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>
        <f>IF(C122="","",SUMIFS(Торговля!$H$5:$H$300,Торговля!$E$5:$E$300,$B122)+SUMIFS(Закрытые!$H$5:$H$300,Закрытые!$E$5:$E$300,$B122,Закрытые!$B$5:$B$300,"T-*"))</f>
        <v/>
      </c>
      <c r="F122" s="246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>
        <f>IF(F122="","",SUMIFS(Торговля!$K$5:$K$300,Торговля!$E$5:$E$300,$B122)+SUMIFS(Закрытые!$K$5:$K$300,Закрытые!$E$5:$E$300,$B122,Закрытые!$B$5:$B$300,"T-*"))</f>
        <v/>
      </c>
      <c r="I122" s="246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>
        <f>IF($B122="","",ROUND(SUMIFS(Закрытые!$N$5:$N$300,Закрытые!$E$5:$E$300,$B122,Закрытые!$B$5:$B$300,"T-*"),8))</f>
        <v/>
      </c>
      <c r="L122" s="183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>
        <f>IF(C123="","",SUMIFS(Торговля!$H$5:$H$300,Торговля!$E$5:$E$300,$B123)+SUMIFS(Закрытые!$H$5:$H$300,Закрытые!$E$5:$E$300,$B123,Закрытые!$B$5:$B$300,"T-*"))</f>
        <v/>
      </c>
      <c r="F123" s="240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>
        <f>IF(F123="","",SUMIFS(Торговля!$K$5:$K$300,Торговля!$E$5:$E$300,$B123)+SUMIFS(Закрытые!$K$5:$K$300,Закрытые!$E$5:$E$300,$B123,Закрытые!$B$5:$B$300,"T-*"))</f>
        <v/>
      </c>
      <c r="I123" s="240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>
        <f>IF($B123="","",ROUND(SUMIFS(Закрытые!$N$5:$N$300,Закрытые!$E$5:$E$300,$B123,Закрытые!$B$5:$B$300,"T-*"),8))</f>
        <v/>
      </c>
      <c r="L123" s="177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>
        <f>IF(C124="","",SUMIFS(Торговля!$H$5:$H$300,Торговля!$E$5:$E$300,$B124)+SUMIFS(Закрытые!$H$5:$H$300,Закрытые!$E$5:$E$300,$B124,Закрытые!$B$5:$B$300,"T-*"))</f>
        <v/>
      </c>
      <c r="F124" s="246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>
        <f>IF(F124="","",SUMIFS(Торговля!$K$5:$K$300,Торговля!$E$5:$E$300,$B124)+SUMIFS(Закрытые!$K$5:$K$300,Закрытые!$E$5:$E$300,$B124,Закрытые!$B$5:$B$300,"T-*"))</f>
        <v/>
      </c>
      <c r="I124" s="246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>
        <f>IF($B124="","",ROUND(SUMIFS(Закрытые!$N$5:$N$300,Закрытые!$E$5:$E$300,$B124,Закрытые!$B$5:$B$300,"T-*"),8))</f>
        <v/>
      </c>
      <c r="L124" s="183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>
        <f>IF(C125="","",SUMIFS(Торговля!$H$5:$H$300,Торговля!$E$5:$E$300,$B125)+SUMIFS(Закрытые!$H$5:$H$300,Закрытые!$E$5:$E$300,$B125,Закрытые!$B$5:$B$300,"T-*"))</f>
        <v/>
      </c>
      <c r="F125" s="240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>
        <f>IF(F125="","",SUMIFS(Торговля!$K$5:$K$300,Торговля!$E$5:$E$300,$B125)+SUMIFS(Закрытые!$K$5:$K$300,Закрытые!$E$5:$E$300,$B125,Закрытые!$B$5:$B$300,"T-*"))</f>
        <v/>
      </c>
      <c r="I125" s="240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>
        <f>IF($B125="","",ROUND(SUMIFS(Закрытые!$N$5:$N$300,Закрытые!$E$5:$E$300,$B125,Закрытые!$B$5:$B$300,"T-*"),8))</f>
        <v/>
      </c>
      <c r="L125" s="177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>
        <f>IF(C126="","",SUMIFS(Торговля!$H$5:$H$300,Торговля!$E$5:$E$300,$B126)+SUMIFS(Закрытые!$H$5:$H$300,Закрытые!$E$5:$E$300,$B126,Закрытые!$B$5:$B$300,"T-*"))</f>
        <v/>
      </c>
      <c r="F126" s="246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>
        <f>IF(F126="","",SUMIFS(Торговля!$K$5:$K$300,Торговля!$E$5:$E$300,$B126)+SUMIFS(Закрытые!$K$5:$K$300,Закрытые!$E$5:$E$300,$B126,Закрытые!$B$5:$B$300,"T-*"))</f>
        <v/>
      </c>
      <c r="I126" s="246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>
        <f>IF($B126="","",ROUND(SUMIFS(Закрытые!$N$5:$N$300,Закрытые!$E$5:$E$300,$B126,Закрытые!$B$5:$B$300,"T-*"),8))</f>
        <v/>
      </c>
      <c r="L126" s="183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>
        <f>IF(C127="","",SUMIFS(Торговля!$H$5:$H$300,Торговля!$E$5:$E$300,$B127)+SUMIFS(Закрытые!$H$5:$H$300,Закрытые!$E$5:$E$300,$B127,Закрытые!$B$5:$B$300,"T-*"))</f>
        <v/>
      </c>
      <c r="F127" s="240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>
        <f>IF(F127="","",SUMIFS(Торговля!$K$5:$K$300,Торговля!$E$5:$E$300,$B127)+SUMIFS(Закрытые!$K$5:$K$300,Закрытые!$E$5:$E$300,$B127,Закрытые!$B$5:$B$300,"T-*"))</f>
        <v/>
      </c>
      <c r="I127" s="240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>
        <f>IF($B127="","",ROUND(SUMIFS(Закрытые!$N$5:$N$300,Закрытые!$E$5:$E$300,$B127,Закрытые!$B$5:$B$300,"T-*"),8))</f>
        <v/>
      </c>
      <c r="L127" s="177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>
        <f>IF(C128="","",SUMIFS(Торговля!$H$5:$H$300,Торговля!$E$5:$E$300,$B128)+SUMIFS(Закрытые!$H$5:$H$300,Закрытые!$E$5:$E$300,$B128,Закрытые!$B$5:$B$300,"T-*"))</f>
        <v/>
      </c>
      <c r="F128" s="246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>
        <f>IF(F128="","",SUMIFS(Торговля!$K$5:$K$300,Торговля!$E$5:$E$300,$B128)+SUMIFS(Закрытые!$K$5:$K$300,Закрытые!$E$5:$E$300,$B128,Закрытые!$B$5:$B$300,"T-*"))</f>
        <v/>
      </c>
      <c r="I128" s="246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>
        <f>IF($B128="","",ROUND(SUMIFS(Закрытые!$N$5:$N$300,Закрытые!$E$5:$E$300,$B128,Закрытые!$B$5:$B$300,"T-*"),8))</f>
        <v/>
      </c>
      <c r="L128" s="183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>
        <f>IF(C129="","",SUMIFS(Торговля!$H$5:$H$300,Торговля!$E$5:$E$300,$B129)+SUMIFS(Закрытые!$H$5:$H$300,Закрытые!$E$5:$E$300,$B129,Закрытые!$B$5:$B$300,"T-*"))</f>
        <v/>
      </c>
      <c r="F129" s="240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>
        <f>IF(F129="","",SUMIFS(Торговля!$K$5:$K$300,Торговля!$E$5:$E$300,$B129)+SUMIFS(Закрытые!$K$5:$K$300,Закрытые!$E$5:$E$300,$B129,Закрытые!$B$5:$B$300,"T-*"))</f>
        <v/>
      </c>
      <c r="I129" s="240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>
        <f>IF($B129="","",ROUND(SUMIFS(Закрытые!$N$5:$N$300,Закрытые!$E$5:$E$300,$B129,Закрытые!$B$5:$B$300,"T-*"),8))</f>
        <v/>
      </c>
      <c r="L129" s="177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>
        <f>IF(C130="","",SUMIFS(Торговля!$H$5:$H$300,Торговля!$E$5:$E$300,$B130)+SUMIFS(Закрытые!$H$5:$H$300,Закрытые!$E$5:$E$300,$B130,Закрытые!$B$5:$B$300,"T-*"))</f>
        <v/>
      </c>
      <c r="F130" s="246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>
        <f>IF(F130="","",SUMIFS(Торговля!$K$5:$K$300,Торговля!$E$5:$E$300,$B130)+SUMIFS(Закрытые!$K$5:$K$300,Закрытые!$E$5:$E$300,$B130,Закрытые!$B$5:$B$300,"T-*"))</f>
        <v/>
      </c>
      <c r="I130" s="246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>
        <f>IF($B130="","",ROUND(SUMIFS(Закрытые!$N$5:$N$300,Закрытые!$E$5:$E$300,$B130,Закрытые!$B$5:$B$300,"T-*"),8))</f>
        <v/>
      </c>
      <c r="L130" s="183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>
        <f>IF(C131="","",SUMIFS(Торговля!$H$5:$H$300,Торговля!$E$5:$E$300,$B131)+SUMIFS(Закрытые!$H$5:$H$300,Закрытые!$E$5:$E$300,$B131,Закрытые!$B$5:$B$300,"T-*"))</f>
        <v/>
      </c>
      <c r="F131" s="240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>
        <f>IF(F131="","",SUMIFS(Торговля!$K$5:$K$300,Торговля!$E$5:$E$300,$B131)+SUMIFS(Закрытые!$K$5:$K$300,Закрытые!$E$5:$E$300,$B131,Закрытые!$B$5:$B$300,"T-*"))</f>
        <v/>
      </c>
      <c r="I131" s="240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>
        <f>IF($B131="","",ROUND(SUMIFS(Закрытые!$N$5:$N$300,Закрытые!$E$5:$E$300,$B131,Закрытые!$B$5:$B$300,"T-*"),8))</f>
        <v/>
      </c>
      <c r="L131" s="177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>
        <f>IF(C132="","",SUMIFS(Торговля!$H$5:$H$300,Торговля!$E$5:$E$300,$B132)+SUMIFS(Закрытые!$H$5:$H$300,Закрытые!$E$5:$E$300,$B132,Закрытые!$B$5:$B$300,"T-*"))</f>
        <v/>
      </c>
      <c r="F132" s="246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>
        <f>IF(F132="","",SUMIFS(Торговля!$K$5:$K$300,Торговля!$E$5:$E$300,$B132)+SUMIFS(Закрытые!$K$5:$K$300,Закрытые!$E$5:$E$300,$B132,Закрытые!$B$5:$B$300,"T-*"))</f>
        <v/>
      </c>
      <c r="I132" s="246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>
        <f>IF($B132="","",ROUND(SUMIFS(Закрытые!$N$5:$N$300,Закрытые!$E$5:$E$300,$B132,Закрытые!$B$5:$B$300,"T-*"),8))</f>
        <v/>
      </c>
      <c r="L132" s="183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>
        <f>IF(C133="","",SUMIFS(Торговля!$H$5:$H$300,Торговля!$E$5:$E$300,$B133)+SUMIFS(Закрытые!$H$5:$H$300,Закрытые!$E$5:$E$300,$B133,Закрытые!$B$5:$B$300,"T-*"))</f>
        <v/>
      </c>
      <c r="F133" s="240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>
        <f>IF(F133="","",SUMIFS(Торговля!$K$5:$K$300,Торговля!$E$5:$E$300,$B133)+SUMIFS(Закрытые!$K$5:$K$300,Закрытые!$E$5:$E$300,$B133,Закрытые!$B$5:$B$300,"T-*"))</f>
        <v/>
      </c>
      <c r="I133" s="240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>
        <f>IF($B133="","",ROUND(SUMIFS(Закрытые!$N$5:$N$300,Закрытые!$E$5:$E$300,$B133,Закрытые!$B$5:$B$300,"T-*"),8))</f>
        <v/>
      </c>
      <c r="L133" s="177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>
        <f>IF(C134="","",SUMIFS(Торговля!$H$5:$H$300,Торговля!$E$5:$E$300,$B134)+SUMIFS(Закрытые!$H$5:$H$300,Закрытые!$E$5:$E$300,$B134,Закрытые!$B$5:$B$300,"T-*"))</f>
        <v/>
      </c>
      <c r="F134" s="246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>
        <f>IF(F134="","",SUMIFS(Торговля!$K$5:$K$300,Торговля!$E$5:$E$300,$B134)+SUMIFS(Закрытые!$K$5:$K$300,Закрытые!$E$5:$E$300,$B134,Закрытые!$B$5:$B$300,"T-*"))</f>
        <v/>
      </c>
      <c r="I134" s="246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>
        <f>IF($B134="","",ROUND(SUMIFS(Закрытые!$N$5:$N$300,Закрытые!$E$5:$E$300,$B134,Закрытые!$B$5:$B$300,"T-*"),8))</f>
        <v/>
      </c>
      <c r="L134" s="183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>
        <f>IF(C135="","",SUMIFS(Торговля!$H$5:$H$300,Торговля!$E$5:$E$300,$B135)+SUMIFS(Закрытые!$H$5:$H$300,Закрытые!$E$5:$E$300,$B135,Закрытые!$B$5:$B$300,"T-*"))</f>
        <v/>
      </c>
      <c r="F135" s="240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>
        <f>IF(F135="","",SUMIFS(Торговля!$K$5:$K$300,Торговля!$E$5:$E$300,$B135)+SUMIFS(Закрытые!$K$5:$K$300,Закрытые!$E$5:$E$300,$B135,Закрытые!$B$5:$B$300,"T-*"))</f>
        <v/>
      </c>
      <c r="I135" s="240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>
        <f>IF($B135="","",ROUND(SUMIFS(Закрытые!$N$5:$N$300,Закрытые!$E$5:$E$300,$B135,Закрытые!$B$5:$B$300,"T-*"),8))</f>
        <v/>
      </c>
      <c r="L135" s="177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>
        <f>IF(C136="","",SUMIFS(Торговля!$H$5:$H$300,Торговля!$E$5:$E$300,$B136)+SUMIFS(Закрытые!$H$5:$H$300,Закрытые!$E$5:$E$300,$B136,Закрытые!$B$5:$B$300,"T-*"))</f>
        <v/>
      </c>
      <c r="F136" s="246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>
        <f>IF(F136="","",SUMIFS(Торговля!$K$5:$K$300,Торговля!$E$5:$E$300,$B136)+SUMIFS(Закрытые!$K$5:$K$300,Закрытые!$E$5:$E$300,$B136,Закрытые!$B$5:$B$300,"T-*"))</f>
        <v/>
      </c>
      <c r="I136" s="246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>
        <f>IF($B136="","",ROUND(SUMIFS(Закрытые!$N$5:$N$300,Закрытые!$E$5:$E$300,$B136,Закрытые!$B$5:$B$300,"T-*"),8))</f>
        <v/>
      </c>
      <c r="L136" s="183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>
        <f>IF(C137="","",SUMIFS(Торговля!$H$5:$H$300,Торговля!$E$5:$E$300,$B137)+SUMIFS(Закрытые!$H$5:$H$300,Закрытые!$E$5:$E$300,$B137,Закрытые!$B$5:$B$300,"T-*"))</f>
        <v/>
      </c>
      <c r="F137" s="240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>
        <f>IF(F137="","",SUMIFS(Торговля!$K$5:$K$300,Торговля!$E$5:$E$300,$B137)+SUMIFS(Закрытые!$K$5:$K$300,Закрытые!$E$5:$E$300,$B137,Закрытые!$B$5:$B$300,"T-*"))</f>
        <v/>
      </c>
      <c r="I137" s="240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>
        <f>IF($B137="","",ROUND(SUMIFS(Закрытые!$N$5:$N$300,Закрытые!$E$5:$E$300,$B137,Закрытые!$B$5:$B$300,"T-*"),8))</f>
        <v/>
      </c>
      <c r="L137" s="177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>
        <f>IF(C138="","",SUMIFS(Торговля!$H$5:$H$300,Торговля!$E$5:$E$300,$B138)+SUMIFS(Закрытые!$H$5:$H$300,Закрытые!$E$5:$E$300,$B138,Закрытые!$B$5:$B$300,"T-*"))</f>
        <v/>
      </c>
      <c r="F138" s="246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>
        <f>IF(F138="","",SUMIFS(Торговля!$K$5:$K$300,Торговля!$E$5:$E$300,$B138)+SUMIFS(Закрытые!$K$5:$K$300,Закрытые!$E$5:$E$300,$B138,Закрытые!$B$5:$B$300,"T-*"))</f>
        <v/>
      </c>
      <c r="I138" s="246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>
        <f>IF($B138="","",ROUND(SUMIFS(Закрытые!$N$5:$N$300,Закрытые!$E$5:$E$300,$B138,Закрытые!$B$5:$B$300,"T-*"),8))</f>
        <v/>
      </c>
      <c r="L138" s="183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>
        <f>IF(C139="","",SUMIFS(Торговля!$H$5:$H$300,Торговля!$E$5:$E$300,$B139)+SUMIFS(Закрытые!$H$5:$H$300,Закрытые!$E$5:$E$300,$B139,Закрытые!$B$5:$B$300,"T-*"))</f>
        <v/>
      </c>
      <c r="F139" s="240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>
        <f>IF(F139="","",SUMIFS(Торговля!$K$5:$K$300,Торговля!$E$5:$E$300,$B139)+SUMIFS(Закрытые!$K$5:$K$300,Закрытые!$E$5:$E$300,$B139,Закрытые!$B$5:$B$300,"T-*"))</f>
        <v/>
      </c>
      <c r="I139" s="240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>
        <f>IF($B139="","",ROUND(SUMIFS(Закрытые!$N$5:$N$300,Закрытые!$E$5:$E$300,$B139,Закрытые!$B$5:$B$300,"T-*"),8))</f>
        <v/>
      </c>
      <c r="L139" s="177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>
        <f>IF(C140="","",SUMIFS(Торговля!$H$5:$H$300,Торговля!$E$5:$E$300,$B140)+SUMIFS(Закрытые!$H$5:$H$300,Закрытые!$E$5:$E$300,$B140,Закрытые!$B$5:$B$300,"T-*"))</f>
        <v/>
      </c>
      <c r="F140" s="246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>
        <f>IF(F140="","",SUMIFS(Торговля!$K$5:$K$300,Торговля!$E$5:$E$300,$B140)+SUMIFS(Закрытые!$K$5:$K$300,Закрытые!$E$5:$E$300,$B140,Закрытые!$B$5:$B$300,"T-*"))</f>
        <v/>
      </c>
      <c r="I140" s="246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>
        <f>IF($B140="","",ROUND(SUMIFS(Закрытые!$N$5:$N$300,Закрытые!$E$5:$E$300,$B140,Закрытые!$B$5:$B$300,"T-*"),8))</f>
        <v/>
      </c>
      <c r="L140" s="183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>
        <f>IF(C141="","",SUMIFS(Торговля!$H$5:$H$300,Торговля!$E$5:$E$300,$B141)+SUMIFS(Закрытые!$H$5:$H$300,Закрытые!$E$5:$E$300,$B141,Закрытые!$B$5:$B$300,"T-*"))</f>
        <v/>
      </c>
      <c r="F141" s="240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>
        <f>IF(F141="","",SUMIFS(Торговля!$K$5:$K$300,Торговля!$E$5:$E$300,$B141)+SUMIFS(Закрытые!$K$5:$K$300,Закрытые!$E$5:$E$300,$B141,Закрытые!$B$5:$B$300,"T-*"))</f>
        <v/>
      </c>
      <c r="I141" s="240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>
        <f>IF($B141="","",ROUND(SUMIFS(Закрытые!$N$5:$N$300,Закрытые!$E$5:$E$300,$B141,Закрытые!$B$5:$B$300,"T-*"),8))</f>
        <v/>
      </c>
      <c r="L141" s="177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>
        <f>IF(C142="","",SUMIFS(Торговля!$H$5:$H$300,Торговля!$E$5:$E$300,$B142)+SUMIFS(Закрытые!$H$5:$H$300,Закрытые!$E$5:$E$300,$B142,Закрытые!$B$5:$B$300,"T-*"))</f>
        <v/>
      </c>
      <c r="F142" s="246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>
        <f>IF(F142="","",SUMIFS(Торговля!$K$5:$K$300,Торговля!$E$5:$E$300,$B142)+SUMIFS(Закрытые!$K$5:$K$300,Закрытые!$E$5:$E$300,$B142,Закрытые!$B$5:$B$300,"T-*"))</f>
        <v/>
      </c>
      <c r="I142" s="246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>
        <f>IF($B142="","",ROUND(SUMIFS(Закрытые!$N$5:$N$300,Закрытые!$E$5:$E$300,$B142,Закрытые!$B$5:$B$300,"T-*"),8))</f>
        <v/>
      </c>
      <c r="L142" s="183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>
        <f>IF(C143="","",SUMIFS(Торговля!$H$5:$H$300,Торговля!$E$5:$E$300,$B143)+SUMIFS(Закрытые!$H$5:$H$300,Закрытые!$E$5:$E$300,$B143,Закрытые!$B$5:$B$300,"T-*"))</f>
        <v/>
      </c>
      <c r="F143" s="240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>
        <f>IF(F143="","",SUMIFS(Торговля!$K$5:$K$300,Торговля!$E$5:$E$300,$B143)+SUMIFS(Закрытые!$K$5:$K$300,Закрытые!$E$5:$E$300,$B143,Закрытые!$B$5:$B$300,"T-*"))</f>
        <v/>
      </c>
      <c r="I143" s="240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>
        <f>IF($B143="","",ROUND(SUMIFS(Закрытые!$N$5:$N$300,Закрытые!$E$5:$E$300,$B143,Закрытые!$B$5:$B$300,"T-*"),8))</f>
        <v/>
      </c>
      <c r="L143" s="177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>
        <f>IF(C144="","",SUMIFS(Торговля!$H$5:$H$300,Торговля!$E$5:$E$300,$B144)+SUMIFS(Закрытые!$H$5:$H$300,Закрытые!$E$5:$E$300,$B144,Закрытые!$B$5:$B$300,"T-*"))</f>
        <v/>
      </c>
      <c r="F144" s="246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>
        <f>IF(F144="","",SUMIFS(Торговля!$K$5:$K$300,Торговля!$E$5:$E$300,$B144)+SUMIFS(Закрытые!$K$5:$K$300,Закрытые!$E$5:$E$300,$B144,Закрытые!$B$5:$B$300,"T-*"))</f>
        <v/>
      </c>
      <c r="I144" s="246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>
        <f>IF($B144="","",ROUND(SUMIFS(Закрытые!$N$5:$N$300,Закрытые!$E$5:$E$300,$B144,Закрытые!$B$5:$B$300,"T-*"),8))</f>
        <v/>
      </c>
      <c r="L144" s="183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>
        <f>IF(C145="","",SUMIFS(Торговля!$H$5:$H$300,Торговля!$E$5:$E$300,$B145)+SUMIFS(Закрытые!$H$5:$H$300,Закрытые!$E$5:$E$300,$B145,Закрытые!$B$5:$B$300,"T-*"))</f>
        <v/>
      </c>
      <c r="F145" s="240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>
        <f>IF(F145="","",SUMIFS(Торговля!$K$5:$K$300,Торговля!$E$5:$E$300,$B145)+SUMIFS(Закрытые!$K$5:$K$300,Закрытые!$E$5:$E$300,$B145,Закрытые!$B$5:$B$300,"T-*"))</f>
        <v/>
      </c>
      <c r="I145" s="240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>
        <f>IF($B145="","",ROUND(SUMIFS(Закрытые!$N$5:$N$300,Закрытые!$E$5:$E$300,$B145,Закрытые!$B$5:$B$300,"T-*"),8))</f>
        <v/>
      </c>
      <c r="L145" s="177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>
        <f>IF(C146="","",SUMIFS(Торговля!$H$5:$H$300,Торговля!$E$5:$E$300,$B146)+SUMIFS(Закрытые!$H$5:$H$300,Закрытые!$E$5:$E$300,$B146,Закрытые!$B$5:$B$300,"T-*"))</f>
        <v/>
      </c>
      <c r="F146" s="246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>
        <f>IF(F146="","",SUMIFS(Торговля!$K$5:$K$300,Торговля!$E$5:$E$300,$B146)+SUMIFS(Закрытые!$K$5:$K$300,Закрытые!$E$5:$E$300,$B146,Закрытые!$B$5:$B$300,"T-*"))</f>
        <v/>
      </c>
      <c r="I146" s="246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>
        <f>IF($B146="","",ROUND(SUMIFS(Закрытые!$N$5:$N$300,Закрытые!$E$5:$E$300,$B146,Закрытые!$B$5:$B$300,"T-*"),8))</f>
        <v/>
      </c>
      <c r="L146" s="183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>
        <f>IF(C147="","",SUMIFS(Торговля!$H$5:$H$300,Торговля!$E$5:$E$300,$B147)+SUMIFS(Закрытые!$H$5:$H$300,Закрытые!$E$5:$E$300,$B147,Закрытые!$B$5:$B$300,"T-*"))</f>
        <v/>
      </c>
      <c r="F147" s="240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>
        <f>IF(F147="","",SUMIFS(Торговля!$K$5:$K$300,Торговля!$E$5:$E$300,$B147)+SUMIFS(Закрытые!$K$5:$K$300,Закрытые!$E$5:$E$300,$B147,Закрытые!$B$5:$B$300,"T-*"))</f>
        <v/>
      </c>
      <c r="I147" s="240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>
        <f>IF($B147="","",ROUND(SUMIFS(Закрытые!$N$5:$N$300,Закрытые!$E$5:$E$300,$B147,Закрытые!$B$5:$B$300,"T-*"),8))</f>
        <v/>
      </c>
      <c r="L147" s="177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>
        <f>IF(C148="","",SUMIFS(Торговля!$H$5:$H$300,Торговля!$E$5:$E$300,$B148)+SUMIFS(Закрытые!$H$5:$H$300,Закрытые!$E$5:$E$300,$B148,Закрытые!$B$5:$B$300,"T-*"))</f>
        <v/>
      </c>
      <c r="F148" s="246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>
        <f>IF(F148="","",SUMIFS(Торговля!$K$5:$K$300,Торговля!$E$5:$E$300,$B148)+SUMIFS(Закрытые!$K$5:$K$300,Закрытые!$E$5:$E$300,$B148,Закрытые!$B$5:$B$300,"T-*"))</f>
        <v/>
      </c>
      <c r="I148" s="246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>
        <f>IF($B148="","",ROUND(SUMIFS(Закрытые!$N$5:$N$300,Закрытые!$E$5:$E$300,$B148,Закрытые!$B$5:$B$300,"T-*"),8))</f>
        <v/>
      </c>
      <c r="L148" s="183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>
        <f>IF(C149="","",SUMIFS(Торговля!$H$5:$H$300,Торговля!$E$5:$E$300,$B149)+SUMIFS(Закрытые!$H$5:$H$300,Закрытые!$E$5:$E$300,$B149,Закрытые!$B$5:$B$300,"T-*"))</f>
        <v/>
      </c>
      <c r="F149" s="240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>
        <f>IF(F149="","",SUMIFS(Торговля!$K$5:$K$300,Торговля!$E$5:$E$300,$B149)+SUMIFS(Закрытые!$K$5:$K$300,Закрытые!$E$5:$E$300,$B149,Закрытые!$B$5:$B$300,"T-*"))</f>
        <v/>
      </c>
      <c r="I149" s="240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>
        <f>IF($B149="","",ROUND(SUMIFS(Закрытые!$N$5:$N$300,Закрытые!$E$5:$E$300,$B149,Закрытые!$B$5:$B$300,"T-*"),8))</f>
        <v/>
      </c>
      <c r="L149" s="177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>
        <f>IF(C150="","",SUMIFS(Торговля!$H$5:$H$300,Торговля!$E$5:$E$300,$B150)+SUMIFS(Закрытые!$H$5:$H$300,Закрытые!$E$5:$E$300,$B150,Закрытые!$B$5:$B$300,"T-*"))</f>
        <v/>
      </c>
      <c r="F150" s="246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>
        <f>IF(F150="","",SUMIFS(Торговля!$K$5:$K$300,Торговля!$E$5:$E$300,$B150)+SUMIFS(Закрытые!$K$5:$K$300,Закрытые!$E$5:$E$300,$B150,Закрытые!$B$5:$B$300,"T-*"))</f>
        <v/>
      </c>
      <c r="I150" s="246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>
        <f>IF($B150="","",ROUND(SUMIFS(Закрытые!$N$5:$N$300,Закрытые!$E$5:$E$300,$B150,Закрытые!$B$5:$B$300,"T-*"),8))</f>
        <v/>
      </c>
      <c r="L150" s="183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>
        <f>IF(C151="","",SUMIFS(Торговля!$H$5:$H$300,Торговля!$E$5:$E$300,$B151)+SUMIFS(Закрытые!$H$5:$H$300,Закрытые!$E$5:$E$300,$B151,Закрытые!$B$5:$B$300,"T-*"))</f>
        <v/>
      </c>
      <c r="F151" s="240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>
        <f>IF(F151="","",SUMIFS(Торговля!$K$5:$K$300,Торговля!$E$5:$E$300,$B151)+SUMIFS(Закрытые!$K$5:$K$300,Закрытые!$E$5:$E$300,$B151,Закрытые!$B$5:$B$300,"T-*"))</f>
        <v/>
      </c>
      <c r="I151" s="240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>
        <f>IF($B151="","",ROUND(SUMIFS(Закрытые!$N$5:$N$300,Закрытые!$E$5:$E$300,$B151,Закрытые!$B$5:$B$300,"T-*"),8))</f>
        <v/>
      </c>
      <c r="L151" s="177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>
        <f>IF(C152="","",SUMIFS(Торговля!$H$5:$H$300,Торговля!$E$5:$E$300,$B152)+SUMIFS(Закрытые!$H$5:$H$300,Закрытые!$E$5:$E$300,$B152,Закрытые!$B$5:$B$300,"T-*"))</f>
        <v/>
      </c>
      <c r="F152" s="246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>
        <f>IF(F152="","",SUMIFS(Торговля!$K$5:$K$300,Торговля!$E$5:$E$300,$B152)+SUMIFS(Закрытые!$K$5:$K$300,Закрытые!$E$5:$E$300,$B152,Закрытые!$B$5:$B$300,"T-*"))</f>
        <v/>
      </c>
      <c r="I152" s="246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>
        <f>IF($B152="","",ROUND(SUMIFS(Закрытые!$N$5:$N$300,Закрытые!$E$5:$E$300,$B152,Закрытые!$B$5:$B$300,"T-*"),8))</f>
        <v/>
      </c>
      <c r="L152" s="183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>
        <f>IF(C153="","",SUMIFS(Торговля!$H$5:$H$300,Торговля!$E$5:$E$300,$B153)+SUMIFS(Закрытые!$H$5:$H$300,Закрытые!$E$5:$E$300,$B153,Закрытые!$B$5:$B$300,"T-*"))</f>
        <v/>
      </c>
      <c r="F153" s="240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>
        <f>IF(F153="","",SUMIFS(Торговля!$K$5:$K$300,Торговля!$E$5:$E$300,$B153)+SUMIFS(Закрытые!$K$5:$K$300,Закрытые!$E$5:$E$300,$B153,Закрытые!$B$5:$B$300,"T-*"))</f>
        <v/>
      </c>
      <c r="I153" s="240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>
        <f>IF($B153="","",ROUND(SUMIFS(Закрытые!$N$5:$N$300,Закрытые!$E$5:$E$300,$B153,Закрытые!$B$5:$B$300,"T-*"),8))</f>
        <v/>
      </c>
      <c r="L153" s="177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>
        <f>IF(C154="","",SUMIFS(Торговля!$H$5:$H$300,Торговля!$E$5:$E$300,$B154)+SUMIFS(Закрытые!$H$5:$H$300,Закрытые!$E$5:$E$300,$B154,Закрытые!$B$5:$B$300,"T-*"))</f>
        <v/>
      </c>
      <c r="F154" s="246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>
        <f>IF(F154="","",SUMIFS(Торговля!$K$5:$K$300,Торговля!$E$5:$E$300,$B154)+SUMIFS(Закрытые!$K$5:$K$300,Закрытые!$E$5:$E$300,$B154,Закрытые!$B$5:$B$300,"T-*"))</f>
        <v/>
      </c>
      <c r="I154" s="246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>
        <f>IF($B154="","",ROUND(SUMIFS(Закрытые!$N$5:$N$300,Закрытые!$E$5:$E$300,$B154,Закрытые!$B$5:$B$300,"T-*"),8))</f>
        <v/>
      </c>
      <c r="L154" s="183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>
        <f>IF(C155="","",SUMIFS(Торговля!$H$5:$H$300,Торговля!$E$5:$E$300,$B155)+SUMIFS(Закрытые!$H$5:$H$300,Закрытые!$E$5:$E$300,$B155,Закрытые!$B$5:$B$300,"T-*"))</f>
        <v/>
      </c>
      <c r="F155" s="240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>
        <f>IF(F155="","",SUMIFS(Торговля!$K$5:$K$300,Торговля!$E$5:$E$300,$B155)+SUMIFS(Закрытые!$K$5:$K$300,Закрытые!$E$5:$E$300,$B155,Закрытые!$B$5:$B$300,"T-*"))</f>
        <v/>
      </c>
      <c r="I155" s="240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>
        <f>IF($B155="","",ROUND(SUMIFS(Закрытые!$N$5:$N$300,Закрытые!$E$5:$E$300,$B155,Закрытые!$B$5:$B$300,"T-*"),8))</f>
        <v/>
      </c>
      <c r="L155" s="177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>
        <f>IF(C156="","",SUMIFS(Торговля!$H$5:$H$300,Торговля!$E$5:$E$300,$B156)+SUMIFS(Закрытые!$H$5:$H$300,Закрытые!$E$5:$E$300,$B156,Закрытые!$B$5:$B$300,"T-*"))</f>
        <v/>
      </c>
      <c r="F156" s="246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>
        <f>IF(F156="","",SUMIFS(Торговля!$K$5:$K$300,Торговля!$E$5:$E$300,$B156)+SUMIFS(Закрытые!$K$5:$K$300,Закрытые!$E$5:$E$300,$B156,Закрытые!$B$5:$B$300,"T-*"))</f>
        <v/>
      </c>
      <c r="I156" s="246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>
        <f>IF($B156="","",ROUND(SUMIFS(Закрытые!$N$5:$N$300,Закрытые!$E$5:$E$300,$B156,Закрытые!$B$5:$B$300,"T-*"),8))</f>
        <v/>
      </c>
      <c r="L156" s="183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>
        <f>IF(C157="","",SUMIFS(Торговля!$H$5:$H$300,Торговля!$E$5:$E$300,$B157)+SUMIFS(Закрытые!$H$5:$H$300,Закрытые!$E$5:$E$300,$B157,Закрытые!$B$5:$B$300,"T-*"))</f>
        <v/>
      </c>
      <c r="F157" s="240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>
        <f>IF(F157="","",SUMIFS(Торговля!$K$5:$K$300,Торговля!$E$5:$E$300,$B157)+SUMIFS(Закрытые!$K$5:$K$300,Закрытые!$E$5:$E$300,$B157,Закрытые!$B$5:$B$300,"T-*"))</f>
        <v/>
      </c>
      <c r="I157" s="240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>
        <f>IF($B157="","",ROUND(SUMIFS(Закрытые!$N$5:$N$300,Закрытые!$E$5:$E$300,$B157,Закрытые!$B$5:$B$300,"T-*"),8))</f>
        <v/>
      </c>
      <c r="L157" s="177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>
        <f>IF(C158="","",SUMIFS(Торговля!$H$5:$H$300,Торговля!$E$5:$E$300,$B158)+SUMIFS(Закрытые!$H$5:$H$300,Закрытые!$E$5:$E$300,$B158,Закрытые!$B$5:$B$300,"T-*"))</f>
        <v/>
      </c>
      <c r="F158" s="246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>
        <f>IF(F158="","",SUMIFS(Торговля!$K$5:$K$300,Торговля!$E$5:$E$300,$B158)+SUMIFS(Закрытые!$K$5:$K$300,Закрытые!$E$5:$E$300,$B158,Закрытые!$B$5:$B$300,"T-*"))</f>
        <v/>
      </c>
      <c r="I158" s="246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>
        <f>IF($B158="","",ROUND(SUMIFS(Закрытые!$N$5:$N$300,Закрытые!$E$5:$E$300,$B158,Закрытые!$B$5:$B$300,"T-*"),8))</f>
        <v/>
      </c>
      <c r="L158" s="183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>
        <f>IF(C159="","",SUMIFS(Торговля!$H$5:$H$300,Торговля!$E$5:$E$300,$B159)+SUMIFS(Закрытые!$H$5:$H$300,Закрытые!$E$5:$E$300,$B159,Закрытые!$B$5:$B$300,"T-*"))</f>
        <v/>
      </c>
      <c r="F159" s="240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>
        <f>IF(F159="","",SUMIFS(Торговля!$K$5:$K$300,Торговля!$E$5:$E$300,$B159)+SUMIFS(Закрытые!$K$5:$K$300,Закрытые!$E$5:$E$300,$B159,Закрытые!$B$5:$B$300,"T-*"))</f>
        <v/>
      </c>
      <c r="I159" s="240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>
        <f>IF($B159="","",ROUND(SUMIFS(Закрытые!$N$5:$N$300,Закрытые!$E$5:$E$300,$B159,Закрытые!$B$5:$B$300,"T-*"),8))</f>
        <v/>
      </c>
      <c r="L159" s="177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>
        <f>IF(C160="","",SUMIFS(Торговля!$H$5:$H$300,Торговля!$E$5:$E$300,$B160)+SUMIFS(Закрытые!$H$5:$H$300,Закрытые!$E$5:$E$300,$B160,Закрытые!$B$5:$B$300,"T-*"))</f>
        <v/>
      </c>
      <c r="F160" s="246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>
        <f>IF(F160="","",SUMIFS(Торговля!$K$5:$K$300,Торговля!$E$5:$E$300,$B160)+SUMIFS(Закрытые!$K$5:$K$300,Закрытые!$E$5:$E$300,$B160,Закрытые!$B$5:$B$300,"T-*"))</f>
        <v/>
      </c>
      <c r="I160" s="246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>
        <f>IF($B160="","",ROUND(SUMIFS(Закрытые!$N$5:$N$300,Закрытые!$E$5:$E$300,$B160,Закрытые!$B$5:$B$300,"T-*"),8))</f>
        <v/>
      </c>
      <c r="L160" s="183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>
        <f>IF(C161="","",SUMIFS(Торговля!$H$5:$H$300,Торговля!$E$5:$E$300,$B161)+SUMIFS(Закрытые!$H$5:$H$300,Закрытые!$E$5:$E$300,$B161,Закрытые!$B$5:$B$300,"T-*"))</f>
        <v/>
      </c>
      <c r="F161" s="240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>
        <f>IF(F161="","",SUMIFS(Торговля!$K$5:$K$300,Торговля!$E$5:$E$300,$B161)+SUMIFS(Закрытые!$K$5:$K$300,Закрытые!$E$5:$E$300,$B161,Закрытые!$B$5:$B$300,"T-*"))</f>
        <v/>
      </c>
      <c r="I161" s="240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>
        <f>IF($B161="","",ROUND(SUMIFS(Закрытые!$N$5:$N$300,Закрытые!$E$5:$E$300,$B161,Закрытые!$B$5:$B$300,"T-*"),8))</f>
        <v/>
      </c>
      <c r="L161" s="177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>
        <f>IF(C162="","",SUMIFS(Торговля!$H$5:$H$300,Торговля!$E$5:$E$300,$B162)+SUMIFS(Закрытые!$H$5:$H$300,Закрытые!$E$5:$E$300,$B162,Закрытые!$B$5:$B$300,"T-*"))</f>
        <v/>
      </c>
      <c r="F162" s="246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>
        <f>IF(F162="","",SUMIFS(Торговля!$K$5:$K$300,Торговля!$E$5:$E$300,$B162)+SUMIFS(Закрытые!$K$5:$K$300,Закрытые!$E$5:$E$300,$B162,Закрытые!$B$5:$B$300,"T-*"))</f>
        <v/>
      </c>
      <c r="I162" s="246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>
        <f>IF($B162="","",ROUND(SUMIFS(Закрытые!$N$5:$N$300,Закрытые!$E$5:$E$300,$B162,Закрытые!$B$5:$B$300,"T-*"),8))</f>
        <v/>
      </c>
      <c r="L162" s="183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>
        <f>IF(C163="","",SUMIFS(Торговля!$H$5:$H$300,Торговля!$E$5:$E$300,$B163)+SUMIFS(Закрытые!$H$5:$H$300,Закрытые!$E$5:$E$300,$B163,Закрытые!$B$5:$B$300,"T-*"))</f>
        <v/>
      </c>
      <c r="F163" s="240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>
        <f>IF(F163="","",SUMIFS(Торговля!$K$5:$K$300,Торговля!$E$5:$E$300,$B163)+SUMIFS(Закрытые!$K$5:$K$300,Закрытые!$E$5:$E$300,$B163,Закрытые!$B$5:$B$300,"T-*"))</f>
        <v/>
      </c>
      <c r="I163" s="240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>
        <f>IF($B163="","",ROUND(SUMIFS(Закрытые!$N$5:$N$300,Закрытые!$E$5:$E$300,$B163,Закрытые!$B$5:$B$300,"T-*"),8))</f>
        <v/>
      </c>
      <c r="L163" s="177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>
        <f>IF(C164="","",SUMIFS(Торговля!$H$5:$H$300,Торговля!$E$5:$E$300,$B164)+SUMIFS(Закрытые!$H$5:$H$300,Закрытые!$E$5:$E$300,$B164,Закрытые!$B$5:$B$300,"T-*"))</f>
        <v/>
      </c>
      <c r="F164" s="246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>
        <f>IF(F164="","",SUMIFS(Торговля!$K$5:$K$300,Торговля!$E$5:$E$300,$B164)+SUMIFS(Закрытые!$K$5:$K$300,Закрытые!$E$5:$E$300,$B164,Закрытые!$B$5:$B$300,"T-*"))</f>
        <v/>
      </c>
      <c r="I164" s="246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>
        <f>IF($B164="","",ROUND(SUMIFS(Закрытые!$N$5:$N$300,Закрытые!$E$5:$E$300,$B164,Закрытые!$B$5:$B$300,"T-*"),8))</f>
        <v/>
      </c>
      <c r="L164" s="183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>
        <f>IF(C165="","",SUMIFS(Торговля!$H$5:$H$300,Торговля!$E$5:$E$300,$B165)+SUMIFS(Закрытые!$H$5:$H$300,Закрытые!$E$5:$E$300,$B165,Закрытые!$B$5:$B$300,"T-*"))</f>
        <v/>
      </c>
      <c r="F165" s="240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>
        <f>IF(F165="","",SUMIFS(Торговля!$K$5:$K$300,Торговля!$E$5:$E$300,$B165)+SUMIFS(Закрытые!$K$5:$K$300,Закрытые!$E$5:$E$300,$B165,Закрытые!$B$5:$B$300,"T-*"))</f>
        <v/>
      </c>
      <c r="I165" s="240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>
        <f>IF($B165="","",ROUND(SUMIFS(Закрытые!$N$5:$N$300,Закрытые!$E$5:$E$300,$B165,Закрытые!$B$5:$B$300,"T-*"),8))</f>
        <v/>
      </c>
      <c r="L165" s="177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>
        <f>IF(C166="","",SUMIFS(Торговля!$H$5:$H$300,Торговля!$E$5:$E$300,$B166)+SUMIFS(Закрытые!$H$5:$H$300,Закрытые!$E$5:$E$300,$B166,Закрытые!$B$5:$B$300,"T-*"))</f>
        <v/>
      </c>
      <c r="F166" s="246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>
        <f>IF(F166="","",SUMIFS(Торговля!$K$5:$K$300,Торговля!$E$5:$E$300,$B166)+SUMIFS(Закрытые!$K$5:$K$300,Закрытые!$E$5:$E$300,$B166,Закрытые!$B$5:$B$300,"T-*"))</f>
        <v/>
      </c>
      <c r="I166" s="246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>
        <f>IF($B166="","",ROUND(SUMIFS(Закрытые!$N$5:$N$300,Закрытые!$E$5:$E$300,$B166,Закрытые!$B$5:$B$300,"T-*"),8))</f>
        <v/>
      </c>
      <c r="L166" s="183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>
        <f>IF(C167="","",SUMIFS(Торговля!$H$5:$H$300,Торговля!$E$5:$E$300,$B167)+SUMIFS(Закрытые!$H$5:$H$300,Закрытые!$E$5:$E$300,$B167,Закрытые!$B$5:$B$300,"T-*"))</f>
        <v/>
      </c>
      <c r="F167" s="240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>
        <f>IF(F167="","",SUMIFS(Торговля!$K$5:$K$300,Торговля!$E$5:$E$300,$B167)+SUMIFS(Закрытые!$K$5:$K$300,Закрытые!$E$5:$E$300,$B167,Закрытые!$B$5:$B$300,"T-*"))</f>
        <v/>
      </c>
      <c r="I167" s="240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>
        <f>IF($B167="","",ROUND(SUMIFS(Закрытые!$N$5:$N$300,Закрытые!$E$5:$E$300,$B167,Закрытые!$B$5:$B$300,"T-*"),8))</f>
        <v/>
      </c>
      <c r="L167" s="177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>
        <f>IF(C168="","",SUMIFS(Торговля!$H$5:$H$300,Торговля!$E$5:$E$300,$B168)+SUMIFS(Закрытые!$H$5:$H$300,Закрытые!$E$5:$E$300,$B168,Закрытые!$B$5:$B$300,"T-*"))</f>
        <v/>
      </c>
      <c r="F168" s="246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>
        <f>IF(F168="","",SUMIFS(Торговля!$K$5:$K$300,Торговля!$E$5:$E$300,$B168)+SUMIFS(Закрытые!$K$5:$K$300,Закрытые!$E$5:$E$300,$B168,Закрытые!$B$5:$B$300,"T-*"))</f>
        <v/>
      </c>
      <c r="I168" s="246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>
        <f>IF($B168="","",ROUND(SUMIFS(Закрытые!$N$5:$N$300,Закрытые!$E$5:$E$300,$B168,Закрытые!$B$5:$B$300,"T-*"),8))</f>
        <v/>
      </c>
      <c r="L168" s="183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>
        <f>IF(C169="","",SUMIFS(Торговля!$H$5:$H$300,Торговля!$E$5:$E$300,$B169)+SUMIFS(Закрытые!$H$5:$H$300,Закрытые!$E$5:$E$300,$B169,Закрытые!$B$5:$B$300,"T-*"))</f>
        <v/>
      </c>
      <c r="F169" s="240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>
        <f>IF(F169="","",SUMIFS(Торговля!$K$5:$K$300,Торговля!$E$5:$E$300,$B169)+SUMIFS(Закрытые!$K$5:$K$300,Закрытые!$E$5:$E$300,$B169,Закрытые!$B$5:$B$300,"T-*"))</f>
        <v/>
      </c>
      <c r="I169" s="240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>
        <f>IF($B169="","",ROUND(SUMIFS(Закрытые!$N$5:$N$300,Закрытые!$E$5:$E$300,$B169,Закрытые!$B$5:$B$300,"T-*"),8))</f>
        <v/>
      </c>
      <c r="L169" s="177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>
        <f>IF(C170="","",SUMIFS(Торговля!$H$5:$H$300,Торговля!$E$5:$E$300,$B170)+SUMIFS(Закрытые!$H$5:$H$300,Закрытые!$E$5:$E$300,$B170,Закрытые!$B$5:$B$300,"T-*"))</f>
        <v/>
      </c>
      <c r="F170" s="246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>
        <f>IF(F170="","",SUMIFS(Торговля!$K$5:$K$300,Торговля!$E$5:$E$300,$B170)+SUMIFS(Закрытые!$K$5:$K$300,Закрытые!$E$5:$E$300,$B170,Закрытые!$B$5:$B$300,"T-*"))</f>
        <v/>
      </c>
      <c r="I170" s="246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>
        <f>IF($B170="","",ROUND(SUMIFS(Закрытые!$N$5:$N$300,Закрытые!$E$5:$E$300,$B170,Закрытые!$B$5:$B$300,"T-*"),8))</f>
        <v/>
      </c>
      <c r="L170" s="183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>
        <f>IF(C171="","",SUMIFS(Торговля!$H$5:$H$300,Торговля!$E$5:$E$300,$B171)+SUMIFS(Закрытые!$H$5:$H$300,Закрытые!$E$5:$E$300,$B171,Закрытые!$B$5:$B$300,"T-*"))</f>
        <v/>
      </c>
      <c r="F171" s="240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>
        <f>IF(F171="","",SUMIFS(Торговля!$K$5:$K$300,Торговля!$E$5:$E$300,$B171)+SUMIFS(Закрытые!$K$5:$K$300,Закрытые!$E$5:$E$300,$B171,Закрытые!$B$5:$B$300,"T-*"))</f>
        <v/>
      </c>
      <c r="I171" s="240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>
        <f>IF($B171="","",ROUND(SUMIFS(Закрытые!$N$5:$N$300,Закрытые!$E$5:$E$300,$B171,Закрытые!$B$5:$B$300,"T-*"),8))</f>
        <v/>
      </c>
      <c r="L171" s="177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>
        <f>IF(C172="","",SUMIFS(Торговля!$H$5:$H$300,Торговля!$E$5:$E$300,$B172)+SUMIFS(Закрытые!$H$5:$H$300,Закрытые!$E$5:$E$300,$B172,Закрытые!$B$5:$B$300,"T-*"))</f>
        <v/>
      </c>
      <c r="F172" s="246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>
        <f>IF(F172="","",SUMIFS(Торговля!$K$5:$K$300,Торговля!$E$5:$E$300,$B172)+SUMIFS(Закрытые!$K$5:$K$300,Закрытые!$E$5:$E$300,$B172,Закрытые!$B$5:$B$300,"T-*"))</f>
        <v/>
      </c>
      <c r="I172" s="246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>
        <f>IF($B172="","",ROUND(SUMIFS(Закрытые!$N$5:$N$300,Закрытые!$E$5:$E$300,$B172,Закрытые!$B$5:$B$300,"T-*"),8))</f>
        <v/>
      </c>
      <c r="L172" s="183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>
        <f>IF(C173="","",SUMIFS(Торговля!$H$5:$H$300,Торговля!$E$5:$E$300,$B173)+SUMIFS(Закрытые!$H$5:$H$300,Закрытые!$E$5:$E$300,$B173,Закрытые!$B$5:$B$300,"T-*"))</f>
        <v/>
      </c>
      <c r="F173" s="240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>
        <f>IF(F173="","",SUMIFS(Торговля!$K$5:$K$300,Торговля!$E$5:$E$300,$B173)+SUMIFS(Закрытые!$K$5:$K$300,Закрытые!$E$5:$E$300,$B173,Закрытые!$B$5:$B$300,"T-*"))</f>
        <v/>
      </c>
      <c r="I173" s="240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>
        <f>IF($B173="","",ROUND(SUMIFS(Закрытые!$N$5:$N$300,Закрытые!$E$5:$E$300,$B173,Закрытые!$B$5:$B$300,"T-*"),8))</f>
        <v/>
      </c>
      <c r="L173" s="177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>
        <f>IF(C174="","",SUMIFS(Торговля!$H$5:$H$300,Торговля!$E$5:$E$300,$B174)+SUMIFS(Закрытые!$H$5:$H$300,Закрытые!$E$5:$E$300,$B174,Закрытые!$B$5:$B$300,"T-*"))</f>
        <v/>
      </c>
      <c r="F174" s="246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>
        <f>IF(F174="","",SUMIFS(Торговля!$K$5:$K$300,Торговля!$E$5:$E$300,$B174)+SUMIFS(Закрытые!$K$5:$K$300,Закрытые!$E$5:$E$300,$B174,Закрытые!$B$5:$B$300,"T-*"))</f>
        <v/>
      </c>
      <c r="I174" s="246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>
        <f>IF($B174="","",ROUND(SUMIFS(Закрытые!$N$5:$N$300,Закрытые!$E$5:$E$300,$B174,Закрытые!$B$5:$B$300,"T-*"),8))</f>
        <v/>
      </c>
      <c r="L174" s="183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>
        <f>IF(C175="","",SUMIFS(Торговля!$H$5:$H$300,Торговля!$E$5:$E$300,$B175)+SUMIFS(Закрытые!$H$5:$H$300,Закрытые!$E$5:$E$300,$B175,Закрытые!$B$5:$B$300,"T-*"))</f>
        <v/>
      </c>
      <c r="F175" s="240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>
        <f>IF(F175="","",SUMIFS(Торговля!$K$5:$K$300,Торговля!$E$5:$E$300,$B175)+SUMIFS(Закрытые!$K$5:$K$300,Закрытые!$E$5:$E$300,$B175,Закрытые!$B$5:$B$300,"T-*"))</f>
        <v/>
      </c>
      <c r="I175" s="240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>
        <f>IF($B175="","",ROUND(SUMIFS(Закрытые!$N$5:$N$300,Закрытые!$E$5:$E$300,$B175,Закрытые!$B$5:$B$300,"T-*"),8))</f>
        <v/>
      </c>
      <c r="L175" s="177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>
        <f>IF(C176="","",SUMIFS(Торговля!$H$5:$H$300,Торговля!$E$5:$E$300,$B176)+SUMIFS(Закрытые!$H$5:$H$300,Закрытые!$E$5:$E$300,$B176,Закрытые!$B$5:$B$300,"T-*"))</f>
        <v/>
      </c>
      <c r="F176" s="246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>
        <f>IF(F176="","",SUMIFS(Торговля!$K$5:$K$300,Торговля!$E$5:$E$300,$B176)+SUMIFS(Закрытые!$K$5:$K$300,Закрытые!$E$5:$E$300,$B176,Закрытые!$B$5:$B$300,"T-*"))</f>
        <v/>
      </c>
      <c r="I176" s="246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>
        <f>IF($B176="","",ROUND(SUMIFS(Закрытые!$N$5:$N$300,Закрытые!$E$5:$E$300,$B176,Закрытые!$B$5:$B$300,"T-*"),8))</f>
        <v/>
      </c>
      <c r="L176" s="183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>
        <f>IF(C177="","",SUMIFS(Торговля!$H$5:$H$300,Торговля!$E$5:$E$300,$B177)+SUMIFS(Закрытые!$H$5:$H$300,Закрытые!$E$5:$E$300,$B177,Закрытые!$B$5:$B$300,"T-*"))</f>
        <v/>
      </c>
      <c r="F177" s="240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>
        <f>IF(F177="","",SUMIFS(Торговля!$K$5:$K$300,Торговля!$E$5:$E$300,$B177)+SUMIFS(Закрытые!$K$5:$K$300,Закрытые!$E$5:$E$300,$B177,Закрытые!$B$5:$B$300,"T-*"))</f>
        <v/>
      </c>
      <c r="I177" s="240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>
        <f>IF($B177="","",ROUND(SUMIFS(Закрытые!$N$5:$N$300,Закрытые!$E$5:$E$300,$B177,Закрытые!$B$5:$B$300,"T-*"),8))</f>
        <v/>
      </c>
      <c r="L177" s="177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>
        <f>IF(C178="","",SUMIFS(Торговля!$H$5:$H$300,Торговля!$E$5:$E$300,$B178)+SUMIFS(Закрытые!$H$5:$H$300,Закрытые!$E$5:$E$300,$B178,Закрытые!$B$5:$B$300,"T-*"))</f>
        <v/>
      </c>
      <c r="F178" s="246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>
        <f>IF(F178="","",SUMIFS(Торговля!$K$5:$K$300,Торговля!$E$5:$E$300,$B178)+SUMIFS(Закрытые!$K$5:$K$300,Закрытые!$E$5:$E$300,$B178,Закрытые!$B$5:$B$300,"T-*"))</f>
        <v/>
      </c>
      <c r="I178" s="246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>
        <f>IF($B178="","",ROUND(SUMIFS(Закрытые!$N$5:$N$300,Закрытые!$E$5:$E$300,$B178,Закрытые!$B$5:$B$300,"T-*"),8))</f>
        <v/>
      </c>
      <c r="L178" s="183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>
        <f>IF(C179="","",SUMIFS(Торговля!$H$5:$H$300,Торговля!$E$5:$E$300,$B179)+SUMIFS(Закрытые!$H$5:$H$300,Закрытые!$E$5:$E$300,$B179,Закрытые!$B$5:$B$300,"T-*"))</f>
        <v/>
      </c>
      <c r="F179" s="240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>
        <f>IF(F179="","",SUMIFS(Торговля!$K$5:$K$300,Торговля!$E$5:$E$300,$B179)+SUMIFS(Закрытые!$K$5:$K$300,Закрытые!$E$5:$E$300,$B179,Закрытые!$B$5:$B$300,"T-*"))</f>
        <v/>
      </c>
      <c r="I179" s="240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>
        <f>IF($B179="","",ROUND(SUMIFS(Закрытые!$N$5:$N$300,Закрытые!$E$5:$E$300,$B179,Закрытые!$B$5:$B$300,"T-*"),8))</f>
        <v/>
      </c>
      <c r="L179" s="177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>
        <f>IF(C180="","",SUMIFS(Торговля!$H$5:$H$300,Торговля!$E$5:$E$300,$B180)+SUMIFS(Закрытые!$H$5:$H$300,Закрытые!$E$5:$E$300,$B180,Закрытые!$B$5:$B$300,"T-*"))</f>
        <v/>
      </c>
      <c r="F180" s="246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>
        <f>IF(F180="","",SUMIFS(Торговля!$K$5:$K$300,Торговля!$E$5:$E$300,$B180)+SUMIFS(Закрытые!$K$5:$K$300,Закрытые!$E$5:$E$300,$B180,Закрытые!$B$5:$B$300,"T-*"))</f>
        <v/>
      </c>
      <c r="I180" s="246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>
        <f>IF($B180="","",ROUND(SUMIFS(Закрытые!$N$5:$N$300,Закрытые!$E$5:$E$300,$B180,Закрытые!$B$5:$B$300,"T-*"),8))</f>
        <v/>
      </c>
      <c r="L180" s="183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>
        <f>IF(C181="","",SUMIFS(Торговля!$H$5:$H$300,Торговля!$E$5:$E$300,$B181)+SUMIFS(Закрытые!$H$5:$H$300,Закрытые!$E$5:$E$300,$B181,Закрытые!$B$5:$B$300,"T-*"))</f>
        <v/>
      </c>
      <c r="F181" s="240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>
        <f>IF(F181="","",SUMIFS(Торговля!$K$5:$K$300,Торговля!$E$5:$E$300,$B181)+SUMIFS(Закрытые!$K$5:$K$300,Закрытые!$E$5:$E$300,$B181,Закрытые!$B$5:$B$300,"T-*"))</f>
        <v/>
      </c>
      <c r="I181" s="240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>
        <f>IF($B181="","",ROUND(SUMIFS(Закрытые!$N$5:$N$300,Закрытые!$E$5:$E$300,$B181,Закрытые!$B$5:$B$300,"T-*"),8))</f>
        <v/>
      </c>
      <c r="L181" s="177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>
        <f>IF(C182="","",SUMIFS(Торговля!$H$5:$H$300,Торговля!$E$5:$E$300,$B182)+SUMIFS(Закрытые!$H$5:$H$300,Закрытые!$E$5:$E$300,$B182,Закрытые!$B$5:$B$300,"T-*"))</f>
        <v/>
      </c>
      <c r="F182" s="246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>
        <f>IF(F182="","",SUMIFS(Торговля!$K$5:$K$300,Торговля!$E$5:$E$300,$B182)+SUMIFS(Закрытые!$K$5:$K$300,Закрытые!$E$5:$E$300,$B182,Закрытые!$B$5:$B$300,"T-*"))</f>
        <v/>
      </c>
      <c r="I182" s="246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>
        <f>IF($B182="","",ROUND(SUMIFS(Закрытые!$N$5:$N$300,Закрытые!$E$5:$E$300,$B182,Закрытые!$B$5:$B$300,"T-*"),8))</f>
        <v/>
      </c>
      <c r="L182" s="183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>
        <f>IF(C183="","",SUMIFS(Торговля!$H$5:$H$300,Торговля!$E$5:$E$300,$B183)+SUMIFS(Закрытые!$H$5:$H$300,Закрытые!$E$5:$E$300,$B183,Закрытые!$B$5:$B$300,"T-*"))</f>
        <v/>
      </c>
      <c r="F183" s="240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>
        <f>IF(F183="","",SUMIFS(Торговля!$K$5:$K$300,Торговля!$E$5:$E$300,$B183)+SUMIFS(Закрытые!$K$5:$K$300,Закрытые!$E$5:$E$300,$B183,Закрытые!$B$5:$B$300,"T-*"))</f>
        <v/>
      </c>
      <c r="I183" s="240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>
        <f>IF($B183="","",ROUND(SUMIFS(Закрытые!$N$5:$N$300,Закрытые!$E$5:$E$300,$B183,Закрытые!$B$5:$B$300,"T-*"),8))</f>
        <v/>
      </c>
      <c r="L183" s="177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>
        <f>IF(C184="","",SUMIFS(Торговля!$H$5:$H$300,Торговля!$E$5:$E$300,$B184)+SUMIFS(Закрытые!$H$5:$H$300,Закрытые!$E$5:$E$300,$B184,Закрытые!$B$5:$B$300,"T-*"))</f>
        <v/>
      </c>
      <c r="F184" s="246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>
        <f>IF(F184="","",SUMIFS(Торговля!$K$5:$K$300,Торговля!$E$5:$E$300,$B184)+SUMIFS(Закрытые!$K$5:$K$300,Закрытые!$E$5:$E$300,$B184,Закрытые!$B$5:$B$300,"T-*"))</f>
        <v/>
      </c>
      <c r="I184" s="246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>
        <f>IF($B184="","",ROUND(SUMIFS(Закрытые!$N$5:$N$300,Закрытые!$E$5:$E$300,$B184,Закрытые!$B$5:$B$300,"T-*"),8))</f>
        <v/>
      </c>
      <c r="L184" s="183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>
        <f>IF(C185="","",SUMIFS(Торговля!$H$5:$H$300,Торговля!$E$5:$E$300,$B185)+SUMIFS(Закрытые!$H$5:$H$300,Закрытые!$E$5:$E$300,$B185,Закрытые!$B$5:$B$300,"T-*"))</f>
        <v/>
      </c>
      <c r="F185" s="240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>
        <f>IF(F185="","",SUMIFS(Торговля!$K$5:$K$300,Торговля!$E$5:$E$300,$B185)+SUMIFS(Закрытые!$K$5:$K$300,Закрытые!$E$5:$E$300,$B185,Закрытые!$B$5:$B$300,"T-*"))</f>
        <v/>
      </c>
      <c r="I185" s="240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>
        <f>IF($B185="","",ROUND(SUMIFS(Закрытые!$N$5:$N$300,Закрытые!$E$5:$E$300,$B185,Закрытые!$B$5:$B$300,"T-*"),8))</f>
        <v/>
      </c>
      <c r="L185" s="177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>
        <f>IF(C186="","",SUMIFS(Торговля!$H$5:$H$300,Торговля!$E$5:$E$300,$B186)+SUMIFS(Закрытые!$H$5:$H$300,Закрытые!$E$5:$E$300,$B186,Закрытые!$B$5:$B$300,"T-*"))</f>
        <v/>
      </c>
      <c r="F186" s="246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>
        <f>IF(F186="","",SUMIFS(Торговля!$K$5:$K$300,Торговля!$E$5:$E$300,$B186)+SUMIFS(Закрытые!$K$5:$K$300,Закрытые!$E$5:$E$300,$B186,Закрытые!$B$5:$B$300,"T-*"))</f>
        <v/>
      </c>
      <c r="I186" s="246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>
        <f>IF($B186="","",ROUND(SUMIFS(Закрытые!$N$5:$N$300,Закрытые!$E$5:$E$300,$B186,Закрытые!$B$5:$B$300,"T-*"),8))</f>
        <v/>
      </c>
      <c r="L186" s="183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>
        <f>IF(C187="","",SUMIFS(Торговля!$H$5:$H$300,Торговля!$E$5:$E$300,$B187)+SUMIFS(Закрытые!$H$5:$H$300,Закрытые!$E$5:$E$300,$B187,Закрытые!$B$5:$B$300,"T-*"))</f>
        <v/>
      </c>
      <c r="F187" s="240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>
        <f>IF(F187="","",SUMIFS(Торговля!$K$5:$K$300,Торговля!$E$5:$E$300,$B187)+SUMIFS(Закрытые!$K$5:$K$300,Закрытые!$E$5:$E$300,$B187,Закрытые!$B$5:$B$300,"T-*"))</f>
        <v/>
      </c>
      <c r="I187" s="240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>
        <f>IF($B187="","",ROUND(SUMIFS(Закрытые!$N$5:$N$300,Закрытые!$E$5:$E$300,$B187,Закрытые!$B$5:$B$300,"T-*"),8))</f>
        <v/>
      </c>
      <c r="L187" s="177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>
        <f>IF(C188="","",SUMIFS(Торговля!$H$5:$H$300,Торговля!$E$5:$E$300,$B188)+SUMIFS(Закрытые!$H$5:$H$300,Закрытые!$E$5:$E$300,$B188,Закрытые!$B$5:$B$300,"T-*"))</f>
        <v/>
      </c>
      <c r="F188" s="246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>
        <f>IF(F188="","",SUMIFS(Торговля!$K$5:$K$300,Торговля!$E$5:$E$300,$B188)+SUMIFS(Закрытые!$K$5:$K$300,Закрытые!$E$5:$E$300,$B188,Закрытые!$B$5:$B$300,"T-*"))</f>
        <v/>
      </c>
      <c r="I188" s="246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>
        <f>IF($B188="","",ROUND(SUMIFS(Закрытые!$N$5:$N$300,Закрытые!$E$5:$E$300,$B188,Закрытые!$B$5:$B$300,"T-*"),8))</f>
        <v/>
      </c>
      <c r="L188" s="183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>
        <f>IF(C189="","",SUMIFS(Торговля!$H$5:$H$300,Торговля!$E$5:$E$300,$B189)+SUMIFS(Закрытые!$H$5:$H$300,Закрытые!$E$5:$E$300,$B189,Закрытые!$B$5:$B$300,"T-*"))</f>
        <v/>
      </c>
      <c r="F189" s="240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>
        <f>IF(F189="","",SUMIFS(Торговля!$K$5:$K$300,Торговля!$E$5:$E$300,$B189)+SUMIFS(Закрытые!$K$5:$K$300,Закрытые!$E$5:$E$300,$B189,Закрытые!$B$5:$B$300,"T-*"))</f>
        <v/>
      </c>
      <c r="I189" s="240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>
        <f>IF($B189="","",ROUND(SUMIFS(Закрытые!$N$5:$N$300,Закрытые!$E$5:$E$300,$B189,Закрытые!$B$5:$B$300,"T-*"),8))</f>
        <v/>
      </c>
      <c r="L189" s="177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>
        <f>IF(C190="","",SUMIFS(Торговля!$H$5:$H$300,Торговля!$E$5:$E$300,$B190)+SUMIFS(Закрытые!$H$5:$H$300,Закрытые!$E$5:$E$300,$B190,Закрытые!$B$5:$B$300,"T-*"))</f>
        <v/>
      </c>
      <c r="F190" s="246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>
        <f>IF(F190="","",SUMIFS(Торговля!$K$5:$K$300,Торговля!$E$5:$E$300,$B190)+SUMIFS(Закрытые!$K$5:$K$300,Закрытые!$E$5:$E$300,$B190,Закрытые!$B$5:$B$300,"T-*"))</f>
        <v/>
      </c>
      <c r="I190" s="246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>
        <f>IF($B190="","",ROUND(SUMIFS(Закрытые!$N$5:$N$300,Закрытые!$E$5:$E$300,$B190,Закрытые!$B$5:$B$300,"T-*"),8))</f>
        <v/>
      </c>
      <c r="L190" s="183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>
        <f>IF(C191="","",SUMIFS(Торговля!$H$5:$H$300,Торговля!$E$5:$E$300,$B191)+SUMIFS(Закрытые!$H$5:$H$300,Закрытые!$E$5:$E$300,$B191,Закрытые!$B$5:$B$300,"T-*"))</f>
        <v/>
      </c>
      <c r="F191" s="240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>
        <f>IF(F191="","",SUMIFS(Торговля!$K$5:$K$300,Торговля!$E$5:$E$300,$B191)+SUMIFS(Закрытые!$K$5:$K$300,Закрытые!$E$5:$E$300,$B191,Закрытые!$B$5:$B$300,"T-*"))</f>
        <v/>
      </c>
      <c r="I191" s="240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>
        <f>IF($B191="","",ROUND(SUMIFS(Закрытые!$N$5:$N$300,Закрытые!$E$5:$E$300,$B191,Закрытые!$B$5:$B$300,"T-*"),8))</f>
        <v/>
      </c>
      <c r="L191" s="177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>
        <f>IF(C192="","",SUMIFS(Торговля!$H$5:$H$300,Торговля!$E$5:$E$300,$B192)+SUMIFS(Закрытые!$H$5:$H$300,Закрытые!$E$5:$E$300,$B192,Закрытые!$B$5:$B$300,"T-*"))</f>
        <v/>
      </c>
      <c r="F192" s="246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>
        <f>IF(F192="","",SUMIFS(Торговля!$K$5:$K$300,Торговля!$E$5:$E$300,$B192)+SUMIFS(Закрытые!$K$5:$K$300,Закрытые!$E$5:$E$300,$B192,Закрытые!$B$5:$B$300,"T-*"))</f>
        <v/>
      </c>
      <c r="I192" s="246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>
        <f>IF($B192="","",ROUND(SUMIFS(Закрытые!$N$5:$N$300,Закрытые!$E$5:$E$300,$B192,Закрытые!$B$5:$B$300,"T-*"),8))</f>
        <v/>
      </c>
      <c r="L192" s="183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>
        <f>IF(C193="","",SUMIFS(Торговля!$H$5:$H$300,Торговля!$E$5:$E$300,$B193)+SUMIFS(Закрытые!$H$5:$H$300,Закрытые!$E$5:$E$300,$B193,Закрытые!$B$5:$B$300,"T-*"))</f>
        <v/>
      </c>
      <c r="F193" s="240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>
        <f>IF(F193="","",SUMIFS(Торговля!$K$5:$K$300,Торговля!$E$5:$E$300,$B193)+SUMIFS(Закрытые!$K$5:$K$300,Закрытые!$E$5:$E$300,$B193,Закрытые!$B$5:$B$300,"T-*"))</f>
        <v/>
      </c>
      <c r="I193" s="240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>
        <f>IF($B193="","",ROUND(SUMIFS(Закрытые!$N$5:$N$300,Закрытые!$E$5:$E$300,$B193,Закрытые!$B$5:$B$300,"T-*"),8))</f>
        <v/>
      </c>
      <c r="L193" s="177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>
        <f>IF(C194="","",SUMIFS(Торговля!$H$5:$H$300,Торговля!$E$5:$E$300,$B194)+SUMIFS(Закрытые!$H$5:$H$300,Закрытые!$E$5:$E$300,$B194,Закрытые!$B$5:$B$300,"T-*"))</f>
        <v/>
      </c>
      <c r="F194" s="246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>
        <f>IF(F194="","",SUMIFS(Торговля!$K$5:$K$300,Торговля!$E$5:$E$300,$B194)+SUMIFS(Закрытые!$K$5:$K$300,Закрытые!$E$5:$E$300,$B194,Закрытые!$B$5:$B$300,"T-*"))</f>
        <v/>
      </c>
      <c r="I194" s="246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>
        <f>IF($B194="","",ROUND(SUMIFS(Закрытые!$N$5:$N$300,Закрытые!$E$5:$E$300,$B194,Закрытые!$B$5:$B$300,"T-*"),8))</f>
        <v/>
      </c>
      <c r="L194" s="183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>
        <f>IF(C195="","",SUMIFS(Торговля!$H$5:$H$300,Торговля!$E$5:$E$300,$B195)+SUMIFS(Закрытые!$H$5:$H$300,Закрытые!$E$5:$E$300,$B195,Закрытые!$B$5:$B$300,"T-*"))</f>
        <v/>
      </c>
      <c r="F195" s="240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>
        <f>IF(F195="","",SUMIFS(Торговля!$K$5:$K$300,Торговля!$E$5:$E$300,$B195)+SUMIFS(Закрытые!$K$5:$K$300,Закрытые!$E$5:$E$300,$B195,Закрытые!$B$5:$B$300,"T-*"))</f>
        <v/>
      </c>
      <c r="I195" s="240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>
        <f>IF($B195="","",ROUND(SUMIFS(Закрытые!$N$5:$N$300,Закрытые!$E$5:$E$300,$B195,Закрытые!$B$5:$B$300,"T-*"),8))</f>
        <v/>
      </c>
      <c r="L195" s="177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>
        <f>IF(C196="","",SUMIFS(Торговля!$H$5:$H$300,Торговля!$E$5:$E$300,$B196)+SUMIFS(Закрытые!$H$5:$H$300,Закрытые!$E$5:$E$300,$B196,Закрытые!$B$5:$B$300,"T-*"))</f>
        <v/>
      </c>
      <c r="F196" s="246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>
        <f>IF(F196="","",SUMIFS(Торговля!$K$5:$K$300,Торговля!$E$5:$E$300,$B196)+SUMIFS(Закрытые!$K$5:$K$300,Закрытые!$E$5:$E$300,$B196,Закрытые!$B$5:$B$300,"T-*"))</f>
        <v/>
      </c>
      <c r="I196" s="246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>
        <f>IF($B196="","",ROUND(SUMIFS(Закрытые!$N$5:$N$300,Закрытые!$E$5:$E$300,$B196,Закрытые!$B$5:$B$300,"T-*"),8))</f>
        <v/>
      </c>
      <c r="L196" s="183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>
        <f>IF(C197="","",SUMIFS(Торговля!$H$5:$H$300,Торговля!$E$5:$E$300,$B197)+SUMIFS(Закрытые!$H$5:$H$300,Закрытые!$E$5:$E$300,$B197,Закрытые!$B$5:$B$300,"T-*"))</f>
        <v/>
      </c>
      <c r="F197" s="240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>
        <f>IF(F197="","",SUMIFS(Торговля!$K$5:$K$300,Торговля!$E$5:$E$300,$B197)+SUMIFS(Закрытые!$K$5:$K$300,Закрытые!$E$5:$E$300,$B197,Закрытые!$B$5:$B$300,"T-*"))</f>
        <v/>
      </c>
      <c r="I197" s="240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>
        <f>IF($B197="","",ROUND(SUMIFS(Закрытые!$N$5:$N$300,Закрытые!$E$5:$E$300,$B197,Закрытые!$B$5:$B$300,"T-*"),8))</f>
        <v/>
      </c>
      <c r="L197" s="177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>
        <f>IF(C198="","",SUMIFS(Торговля!$H$5:$H$300,Торговля!$E$5:$E$300,$B198)+SUMIFS(Закрытые!$H$5:$H$300,Закрытые!$E$5:$E$300,$B198,Закрытые!$B$5:$B$300,"T-*"))</f>
        <v/>
      </c>
      <c r="F198" s="246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>
        <f>IF(F198="","",SUMIFS(Торговля!$K$5:$K$300,Торговля!$E$5:$E$300,$B198)+SUMIFS(Закрытые!$K$5:$K$300,Закрытые!$E$5:$E$300,$B198,Закрытые!$B$5:$B$300,"T-*"))</f>
        <v/>
      </c>
      <c r="I198" s="246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>
        <f>IF($B198="","",ROUND(SUMIFS(Закрытые!$N$5:$N$300,Закрытые!$E$5:$E$300,$B198,Закрытые!$B$5:$B$300,"T-*"),8))</f>
        <v/>
      </c>
      <c r="L198" s="183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>
        <f>IF(C199="","",SUMIFS(Торговля!$H$5:$H$300,Торговля!$E$5:$E$300,$B199)+SUMIFS(Закрытые!$H$5:$H$300,Закрытые!$E$5:$E$300,$B199,Закрытые!$B$5:$B$300,"T-*"))</f>
        <v/>
      </c>
      <c r="F199" s="240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>
        <f>IF(F199="","",SUMIFS(Торговля!$K$5:$K$300,Торговля!$E$5:$E$300,$B199)+SUMIFS(Закрытые!$K$5:$K$300,Закрытые!$E$5:$E$300,$B199,Закрытые!$B$5:$B$300,"T-*"))</f>
        <v/>
      </c>
      <c r="I199" s="240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>
        <f>IF($B199="","",ROUND(SUMIFS(Закрытые!$N$5:$N$300,Закрытые!$E$5:$E$300,$B199,Закрытые!$B$5:$B$300,"T-*"),8))</f>
        <v/>
      </c>
      <c r="L199" s="177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>
        <f>IF(C200="","",SUMIFS(Торговля!$H$5:$H$300,Торговля!$E$5:$E$300,$B200)+SUMIFS(Закрытые!$H$5:$H$300,Закрытые!$E$5:$E$300,$B200,Закрытые!$B$5:$B$300,"T-*"))</f>
        <v/>
      </c>
      <c r="F200" s="246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>
        <f>IF(F200="","",SUMIFS(Торговля!$K$5:$K$300,Торговля!$E$5:$E$300,$B200)+SUMIFS(Закрытые!$K$5:$K$300,Закрытые!$E$5:$E$300,$B200,Закрытые!$B$5:$B$300,"T-*"))</f>
        <v/>
      </c>
      <c r="I200" s="246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>
        <f>IF($B200="","",ROUND(SUMIFS(Закрытые!$N$5:$N$300,Закрытые!$E$5:$E$300,$B200,Закрытые!$B$5:$B$300,"T-*"),8))</f>
        <v/>
      </c>
      <c r="L200" s="183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>
        <f>IF(C201="","",SUMIFS(Торговля!$H$5:$H$300,Торговля!$E$5:$E$300,$B201)+SUMIFS(Закрытые!$H$5:$H$300,Закрытые!$E$5:$E$300,$B201,Закрытые!$B$5:$B$300,"T-*"))</f>
        <v/>
      </c>
      <c r="F201" s="240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>
        <f>IF(F201="","",SUMIFS(Торговля!$K$5:$K$300,Торговля!$E$5:$E$300,$B201)+SUMIFS(Закрытые!$K$5:$K$300,Закрытые!$E$5:$E$300,$B201,Закрытые!$B$5:$B$300,"T-*"))</f>
        <v/>
      </c>
      <c r="I201" s="240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>
        <f>IF($B201="","",ROUND(SUMIFS(Закрытые!$N$5:$N$300,Закрытые!$E$5:$E$300,$B201,Закрытые!$B$5:$B$300,"T-*"),8))</f>
        <v/>
      </c>
      <c r="L201" s="177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>
        <f>IF(C202="","",SUMIFS(Торговля!$H$5:$H$300,Торговля!$E$5:$E$300,$B202)+SUMIFS(Закрытые!$H$5:$H$300,Закрытые!$E$5:$E$300,$B202,Закрытые!$B$5:$B$300,"T-*"))</f>
        <v/>
      </c>
      <c r="F202" s="246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>
        <f>IF(F202="","",SUMIFS(Торговля!$K$5:$K$300,Торговля!$E$5:$E$300,$B202)+SUMIFS(Закрытые!$K$5:$K$300,Закрытые!$E$5:$E$300,$B202,Закрытые!$B$5:$B$300,"T-*"))</f>
        <v/>
      </c>
      <c r="I202" s="246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>
        <f>IF($B202="","",ROUND(SUMIFS(Закрытые!$N$5:$N$300,Закрытые!$E$5:$E$300,$B202,Закрытые!$B$5:$B$300,"T-*"),8))</f>
        <v/>
      </c>
      <c r="L202" s="183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>
        <f>IF(C203="","",SUMIFS(Торговля!$H$5:$H$300,Торговля!$E$5:$E$300,$B203)+SUMIFS(Закрытые!$H$5:$H$300,Закрытые!$E$5:$E$300,$B203,Закрытые!$B$5:$B$300,"T-*"))</f>
        <v/>
      </c>
      <c r="F203" s="240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>
        <f>IF(F203="","",SUMIFS(Торговля!$K$5:$K$300,Торговля!$E$5:$E$300,$B203)+SUMIFS(Закрытые!$K$5:$K$300,Закрытые!$E$5:$E$300,$B203,Закрытые!$B$5:$B$300,"T-*"))</f>
        <v/>
      </c>
      <c r="I203" s="240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>
        <f>IF($B203="","",ROUND(SUMIFS(Закрытые!$N$5:$N$300,Закрытые!$E$5:$E$300,$B203,Закрытые!$B$5:$B$300,"T-*"),8))</f>
        <v/>
      </c>
      <c r="L203" s="177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>
        <f>IF(C204="","",SUMIFS(Торговля!$H$5:$H$300,Торговля!$E$5:$E$300,$B204)+SUMIFS(Закрытые!$H$5:$H$300,Закрытые!$E$5:$E$300,$B204,Закрытые!$B$5:$B$300,"T-*"))</f>
        <v/>
      </c>
      <c r="F204" s="246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>
        <f>IF(F204="","",SUMIFS(Торговля!$K$5:$K$300,Торговля!$E$5:$E$300,$B204)+SUMIFS(Закрытые!$K$5:$K$300,Закрытые!$E$5:$E$300,$B204,Закрытые!$B$5:$B$300,"T-*"))</f>
        <v/>
      </c>
      <c r="I204" s="246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>
        <f>IF($B204="","",ROUND(SUMIFS(Закрытые!$N$5:$N$300,Закрытые!$E$5:$E$300,$B204,Закрытые!$B$5:$B$300,"T-*"),8))</f>
        <v/>
      </c>
      <c r="L204" s="183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>
        <f>IF(C205="","",SUMIFS(Торговля!$H$5:$H$300,Торговля!$E$5:$E$300,$B205)+SUMIFS(Закрытые!$H$5:$H$300,Закрытые!$E$5:$E$300,$B205,Закрытые!$B$5:$B$300,"T-*"))</f>
        <v/>
      </c>
      <c r="F205" s="240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>
        <f>IF(F205="","",SUMIFS(Торговля!$K$5:$K$300,Торговля!$E$5:$E$300,$B205)+SUMIFS(Закрытые!$K$5:$K$300,Закрытые!$E$5:$E$300,$B205,Закрытые!$B$5:$B$300,"T-*"))</f>
        <v/>
      </c>
      <c r="I205" s="240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>
        <f>IF($B205="","",ROUND(SUMIFS(Закрытые!$N$5:$N$300,Закрытые!$E$5:$E$300,$B205,Закрытые!$B$5:$B$300,"T-*"),8))</f>
        <v/>
      </c>
      <c r="L205" s="177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>
        <f>IF(C206="","",SUMIFS(Торговля!$H$5:$H$300,Торговля!$E$5:$E$300,$B206)+SUMIFS(Закрытые!$H$5:$H$300,Закрытые!$E$5:$E$300,$B206,Закрытые!$B$5:$B$300,"T-*"))</f>
        <v/>
      </c>
      <c r="F206" s="246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>
        <f>IF(F206="","",SUMIFS(Торговля!$K$5:$K$300,Торговля!$E$5:$E$300,$B206)+SUMIFS(Закрытые!$K$5:$K$300,Закрытые!$E$5:$E$300,$B206,Закрытые!$B$5:$B$300,"T-*"))</f>
        <v/>
      </c>
      <c r="I206" s="246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>
        <f>IF($B206="","",ROUND(SUMIFS(Закрытые!$N$5:$N$300,Закрытые!$E$5:$E$300,$B206,Закрытые!$B$5:$B$300,"T-*"),8))</f>
        <v/>
      </c>
      <c r="L206" s="183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>
        <f>IF(C207="","",SUMIFS(Торговля!$H$5:$H$300,Торговля!$E$5:$E$300,$B207)+SUMIFS(Закрытые!$H$5:$H$300,Закрытые!$E$5:$E$300,$B207,Закрытые!$B$5:$B$300,"T-*"))</f>
        <v/>
      </c>
      <c r="F207" s="240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>
        <f>IF(F207="","",SUMIFS(Торговля!$K$5:$K$300,Торговля!$E$5:$E$300,$B207)+SUMIFS(Закрытые!$K$5:$K$300,Закрытые!$E$5:$E$300,$B207,Закрытые!$B$5:$B$300,"T-*"))</f>
        <v/>
      </c>
      <c r="I207" s="240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>
        <f>IF($B207="","",ROUND(SUMIFS(Закрытые!$N$5:$N$300,Закрытые!$E$5:$E$300,$B207,Закрытые!$B$5:$B$300,"T-*"),8))</f>
        <v/>
      </c>
      <c r="L207" s="177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>
        <f>IF(C208="","",SUMIFS(Торговля!$H$5:$H$300,Торговля!$E$5:$E$300,$B208)+SUMIFS(Закрытые!$H$5:$H$300,Закрытые!$E$5:$E$300,$B208,Закрытые!$B$5:$B$300,"T-*"))</f>
        <v/>
      </c>
      <c r="F208" s="246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>
        <f>IF(F208="","",SUMIFS(Торговля!$K$5:$K$300,Торговля!$E$5:$E$300,$B208)+SUMIFS(Закрытые!$K$5:$K$300,Закрытые!$E$5:$E$300,$B208,Закрытые!$B$5:$B$300,"T-*"))</f>
        <v/>
      </c>
      <c r="I208" s="246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>
        <f>IF($B208="","",ROUND(SUMIFS(Закрытые!$N$5:$N$300,Закрытые!$E$5:$E$300,$B208,Закрытые!$B$5:$B$300,"T-*"),8))</f>
        <v/>
      </c>
      <c r="L208" s="183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>
        <f>IF(C209="","",SUMIFS(Торговля!$H$5:$H$300,Торговля!$E$5:$E$300,$B209)+SUMIFS(Закрытые!$H$5:$H$300,Закрытые!$E$5:$E$300,$B209,Закрытые!$B$5:$B$300,"T-*"))</f>
        <v/>
      </c>
      <c r="F209" s="240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>
        <f>IF(F209="","",SUMIFS(Торговля!$K$5:$K$300,Торговля!$E$5:$E$300,$B209)+SUMIFS(Закрытые!$K$5:$K$300,Закрытые!$E$5:$E$300,$B209,Закрытые!$B$5:$B$300,"T-*"))</f>
        <v/>
      </c>
      <c r="I209" s="240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>
        <f>IF($B209="","",ROUND(SUMIFS(Закрытые!$N$5:$N$300,Закрытые!$E$5:$E$300,$B209,Закрытые!$B$5:$B$300,"T-*"),8))</f>
        <v/>
      </c>
      <c r="L209" s="177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>
        <f>IF(C210="","",SUMIFS(Торговля!$H$5:$H$300,Торговля!$E$5:$E$300,$B210)+SUMIFS(Закрытые!$H$5:$H$300,Закрытые!$E$5:$E$300,$B210,Закрытые!$B$5:$B$300,"T-*"))</f>
        <v/>
      </c>
      <c r="F210" s="246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>
        <f>IF(F210="","",SUMIFS(Торговля!$K$5:$K$300,Торговля!$E$5:$E$300,$B210)+SUMIFS(Закрытые!$K$5:$K$300,Закрытые!$E$5:$E$300,$B210,Закрытые!$B$5:$B$300,"T-*"))</f>
        <v/>
      </c>
      <c r="I210" s="246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>
        <f>IF($B210="","",ROUND(SUMIFS(Закрытые!$N$5:$N$300,Закрытые!$E$5:$E$300,$B210,Закрытые!$B$5:$B$300,"T-*"),8))</f>
        <v/>
      </c>
      <c r="L210" s="183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>
        <f>IF(C211="","",SUMIFS(Торговля!$H$5:$H$300,Торговля!$E$5:$E$300,$B211)+SUMIFS(Закрытые!$H$5:$H$300,Закрытые!$E$5:$E$300,$B211,Закрытые!$B$5:$B$300,"T-*"))</f>
        <v/>
      </c>
      <c r="F211" s="240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>
        <f>IF(F211="","",SUMIFS(Торговля!$K$5:$K$300,Торговля!$E$5:$E$300,$B211)+SUMIFS(Закрытые!$K$5:$K$300,Закрытые!$E$5:$E$300,$B211,Закрытые!$B$5:$B$300,"T-*"))</f>
        <v/>
      </c>
      <c r="I211" s="240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>
        <f>IF($B211="","",ROUND(SUMIFS(Закрытые!$N$5:$N$300,Закрытые!$E$5:$E$300,$B211,Закрытые!$B$5:$B$300,"T-*"),8))</f>
        <v/>
      </c>
      <c r="L211" s="177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>
        <f>IF(C212="","",SUMIFS(Торговля!$H$5:$H$300,Торговля!$E$5:$E$300,$B212)+SUMIFS(Закрытые!$H$5:$H$300,Закрытые!$E$5:$E$300,$B212,Закрытые!$B$5:$B$300,"T-*"))</f>
        <v/>
      </c>
      <c r="F212" s="246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>
        <f>IF(F212="","",SUMIFS(Торговля!$K$5:$K$300,Торговля!$E$5:$E$300,$B212)+SUMIFS(Закрытые!$K$5:$K$300,Закрытые!$E$5:$E$300,$B212,Закрытые!$B$5:$B$300,"T-*"))</f>
        <v/>
      </c>
      <c r="I212" s="246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>
        <f>IF($B212="","",ROUND(SUMIFS(Закрытые!$N$5:$N$300,Закрытые!$E$5:$E$300,$B212,Закрытые!$B$5:$B$300,"T-*"),8))</f>
        <v/>
      </c>
      <c r="L212" s="183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>
        <f>IF(C213="","",SUMIFS(Торговля!$H$5:$H$300,Торговля!$E$5:$E$300,$B213)+SUMIFS(Закрытые!$H$5:$H$300,Закрытые!$E$5:$E$300,$B213,Закрытые!$B$5:$B$300,"T-*"))</f>
        <v/>
      </c>
      <c r="F213" s="240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>
        <f>IF(F213="","",SUMIFS(Торговля!$K$5:$K$300,Торговля!$E$5:$E$300,$B213)+SUMIFS(Закрытые!$K$5:$K$300,Закрытые!$E$5:$E$300,$B213,Закрытые!$B$5:$B$300,"T-*"))</f>
        <v/>
      </c>
      <c r="I213" s="240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>
        <f>IF($B213="","",ROUND(SUMIFS(Закрытые!$N$5:$N$300,Закрытые!$E$5:$E$300,$B213,Закрытые!$B$5:$B$300,"T-*"),8))</f>
        <v/>
      </c>
      <c r="L213" s="177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>
        <f>IF(C214="","",SUMIFS(Торговля!$H$5:$H$300,Торговля!$E$5:$E$300,$B214)+SUMIFS(Закрытые!$H$5:$H$300,Закрытые!$E$5:$E$300,$B214,Закрытые!$B$5:$B$300,"T-*"))</f>
        <v/>
      </c>
      <c r="F214" s="246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>
        <f>IF(F214="","",SUMIFS(Торговля!$K$5:$K$300,Торговля!$E$5:$E$300,$B214)+SUMIFS(Закрытые!$K$5:$K$300,Закрытые!$E$5:$E$300,$B214,Закрытые!$B$5:$B$300,"T-*"))</f>
        <v/>
      </c>
      <c r="I214" s="246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>
        <f>IF($B214="","",ROUND(SUMIFS(Закрытые!$N$5:$N$300,Закрытые!$E$5:$E$300,$B214,Закрытые!$B$5:$B$300,"T-*"),8))</f>
        <v/>
      </c>
      <c r="L214" s="183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>
        <f>IF(C215="","",SUMIFS(Торговля!$H$5:$H$300,Торговля!$E$5:$E$300,$B215)+SUMIFS(Закрытые!$H$5:$H$300,Закрытые!$E$5:$E$300,$B215,Закрытые!$B$5:$B$300,"T-*"))</f>
        <v/>
      </c>
      <c r="F215" s="240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>
        <f>IF(F215="","",SUMIFS(Торговля!$K$5:$K$300,Торговля!$E$5:$E$300,$B215)+SUMIFS(Закрытые!$K$5:$K$300,Закрытые!$E$5:$E$300,$B215,Закрытые!$B$5:$B$300,"T-*"))</f>
        <v/>
      </c>
      <c r="I215" s="240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>
        <f>IF($B215="","",ROUND(SUMIFS(Закрытые!$N$5:$N$300,Закрытые!$E$5:$E$300,$B215,Закрытые!$B$5:$B$300,"T-*"),8))</f>
        <v/>
      </c>
      <c r="L215" s="177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>
        <f>IF(C216="","",SUMIFS(Торговля!$H$5:$H$300,Торговля!$E$5:$E$300,$B216)+SUMIFS(Закрытые!$H$5:$H$300,Закрытые!$E$5:$E$300,$B216,Закрытые!$B$5:$B$300,"T-*"))</f>
        <v/>
      </c>
      <c r="F216" s="246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>
        <f>IF(F216="","",SUMIFS(Торговля!$K$5:$K$300,Торговля!$E$5:$E$300,$B216)+SUMIFS(Закрытые!$K$5:$K$300,Закрытые!$E$5:$E$300,$B216,Закрытые!$B$5:$B$300,"T-*"))</f>
        <v/>
      </c>
      <c r="I216" s="246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>
        <f>IF($B216="","",ROUND(SUMIFS(Закрытые!$N$5:$N$300,Закрытые!$E$5:$E$300,$B216,Закрытые!$B$5:$B$300,"T-*"),8))</f>
        <v/>
      </c>
      <c r="L216" s="183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>
        <f>IF(C217="","",SUMIFS(Торговля!$H$5:$H$300,Торговля!$E$5:$E$300,$B217)+SUMIFS(Закрытые!$H$5:$H$300,Закрытые!$E$5:$E$300,$B217,Закрытые!$B$5:$B$300,"T-*"))</f>
        <v/>
      </c>
      <c r="F217" s="240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>
        <f>IF(F217="","",SUMIFS(Торговля!$K$5:$K$300,Торговля!$E$5:$E$300,$B217)+SUMIFS(Закрытые!$K$5:$K$300,Закрытые!$E$5:$E$300,$B217,Закрытые!$B$5:$B$300,"T-*"))</f>
        <v/>
      </c>
      <c r="I217" s="240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>
        <f>IF($B217="","",ROUND(SUMIFS(Закрытые!$N$5:$N$300,Закрытые!$E$5:$E$300,$B217,Закрытые!$B$5:$B$300,"T-*"),8))</f>
        <v/>
      </c>
      <c r="L217" s="177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>
        <f>IF(C218="","",SUMIFS(Торговля!$H$5:$H$300,Торговля!$E$5:$E$300,$B218)+SUMIFS(Закрытые!$H$5:$H$300,Закрытые!$E$5:$E$300,$B218,Закрытые!$B$5:$B$300,"T-*"))</f>
        <v/>
      </c>
      <c r="F218" s="246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>
        <f>IF(F218="","",SUMIFS(Торговля!$K$5:$K$300,Торговля!$E$5:$E$300,$B218)+SUMIFS(Закрытые!$K$5:$K$300,Закрытые!$E$5:$E$300,$B218,Закрытые!$B$5:$B$300,"T-*"))</f>
        <v/>
      </c>
      <c r="I218" s="246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>
        <f>IF($B218="","",ROUND(SUMIFS(Закрытые!$N$5:$N$300,Закрытые!$E$5:$E$300,$B218,Закрытые!$B$5:$B$300,"T-*"),8))</f>
        <v/>
      </c>
      <c r="L218" s="183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>
        <f>IF(C219="","",SUMIFS(Торговля!$H$5:$H$300,Торговля!$E$5:$E$300,$B219)+SUMIFS(Закрытые!$H$5:$H$300,Закрытые!$E$5:$E$300,$B219,Закрытые!$B$5:$B$300,"T-*"))</f>
        <v/>
      </c>
      <c r="F219" s="240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>
        <f>IF(F219="","",SUMIFS(Торговля!$K$5:$K$300,Торговля!$E$5:$E$300,$B219)+SUMIFS(Закрытые!$K$5:$K$300,Закрытые!$E$5:$E$300,$B219,Закрытые!$B$5:$B$300,"T-*"))</f>
        <v/>
      </c>
      <c r="I219" s="240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>
        <f>IF($B219="","",ROUND(SUMIFS(Закрытые!$N$5:$N$300,Закрытые!$E$5:$E$300,$B219,Закрытые!$B$5:$B$300,"T-*"),8))</f>
        <v/>
      </c>
      <c r="L219" s="177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>
        <f>IF(C220="","",SUMIFS(Торговля!$H$5:$H$300,Торговля!$E$5:$E$300,$B220)+SUMIFS(Закрытые!$H$5:$H$300,Закрытые!$E$5:$E$300,$B220,Закрытые!$B$5:$B$300,"T-*"))</f>
        <v/>
      </c>
      <c r="F220" s="246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>
        <f>IF(F220="","",SUMIFS(Торговля!$K$5:$K$300,Торговля!$E$5:$E$300,$B220)+SUMIFS(Закрытые!$K$5:$K$300,Закрытые!$E$5:$E$300,$B220,Закрытые!$B$5:$B$300,"T-*"))</f>
        <v/>
      </c>
      <c r="I220" s="246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>
        <f>IF($B220="","",ROUND(SUMIFS(Закрытые!$N$5:$N$300,Закрытые!$E$5:$E$300,$B220,Закрытые!$B$5:$B$300,"T-*"),8))</f>
        <v/>
      </c>
      <c r="L220" s="183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>
        <f>IF(C221="","",SUMIFS(Торговля!$H$5:$H$300,Торговля!$E$5:$E$300,$B221)+SUMIFS(Закрытые!$H$5:$H$300,Закрытые!$E$5:$E$300,$B221,Закрытые!$B$5:$B$300,"T-*"))</f>
        <v/>
      </c>
      <c r="F221" s="240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>
        <f>IF(F221="","",SUMIFS(Торговля!$K$5:$K$300,Торговля!$E$5:$E$300,$B221)+SUMIFS(Закрытые!$K$5:$K$300,Закрытые!$E$5:$E$300,$B221,Закрытые!$B$5:$B$300,"T-*"))</f>
        <v/>
      </c>
      <c r="I221" s="240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>
        <f>IF($B221="","",ROUND(SUMIFS(Закрытые!$N$5:$N$300,Закрытые!$E$5:$E$300,$B221,Закрытые!$B$5:$B$300,"T-*"),8))</f>
        <v/>
      </c>
      <c r="L221" s="177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>
        <f>IF(C222="","",SUMIFS(Торговля!$H$5:$H$300,Торговля!$E$5:$E$300,$B222)+SUMIFS(Закрытые!$H$5:$H$300,Закрытые!$E$5:$E$300,$B222,Закрытые!$B$5:$B$300,"T-*"))</f>
        <v/>
      </c>
      <c r="F222" s="246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>
        <f>IF(F222="","",SUMIFS(Торговля!$K$5:$K$300,Торговля!$E$5:$E$300,$B222)+SUMIFS(Закрытые!$K$5:$K$300,Закрытые!$E$5:$E$300,$B222,Закрытые!$B$5:$B$300,"T-*"))</f>
        <v/>
      </c>
      <c r="I222" s="246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>
        <f>IF($B222="","",ROUND(SUMIFS(Закрытые!$N$5:$N$300,Закрытые!$E$5:$E$300,$B222,Закрытые!$B$5:$B$300,"T-*"),8))</f>
        <v/>
      </c>
      <c r="L222" s="183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>
        <f>IF(C223="","",SUMIFS(Торговля!$H$5:$H$300,Торговля!$E$5:$E$300,$B223)+SUMIFS(Закрытые!$H$5:$H$300,Закрытые!$E$5:$E$300,$B223,Закрытые!$B$5:$B$300,"T-*"))</f>
        <v/>
      </c>
      <c r="F223" s="240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>
        <f>IF(F223="","",SUMIFS(Торговля!$K$5:$K$300,Торговля!$E$5:$E$300,$B223)+SUMIFS(Закрытые!$K$5:$K$300,Закрытые!$E$5:$E$300,$B223,Закрытые!$B$5:$B$300,"T-*"))</f>
        <v/>
      </c>
      <c r="I223" s="240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>
        <f>IF($B223="","",ROUND(SUMIFS(Закрытые!$N$5:$N$300,Закрытые!$E$5:$E$300,$B223,Закрытые!$B$5:$B$300,"T-*"),8))</f>
        <v/>
      </c>
      <c r="L223" s="177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>
        <f>IF(C224="","",SUMIFS(Торговля!$H$5:$H$300,Торговля!$E$5:$E$300,$B224)+SUMIFS(Закрытые!$H$5:$H$300,Закрытые!$E$5:$E$300,$B224,Закрытые!$B$5:$B$300,"T-*"))</f>
        <v/>
      </c>
      <c r="F224" s="246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>
        <f>IF(F224="","",SUMIFS(Торговля!$K$5:$K$300,Торговля!$E$5:$E$300,$B224)+SUMIFS(Закрытые!$K$5:$K$300,Закрытые!$E$5:$E$300,$B224,Закрытые!$B$5:$B$300,"T-*"))</f>
        <v/>
      </c>
      <c r="I224" s="246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>
        <f>IF($B224="","",ROUND(SUMIFS(Закрытые!$N$5:$N$300,Закрытые!$E$5:$E$300,$B224,Закрытые!$B$5:$B$300,"T-*"),8))</f>
        <v/>
      </c>
      <c r="L224" s="183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>
        <f>IF(C225="","",SUMIFS(Торговля!$H$5:$H$300,Торговля!$E$5:$E$300,$B225)+SUMIFS(Закрытые!$H$5:$H$300,Закрытые!$E$5:$E$300,$B225,Закрытые!$B$5:$B$300,"T-*"))</f>
        <v/>
      </c>
      <c r="F225" s="240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>
        <f>IF(F225="","",SUMIFS(Торговля!$K$5:$K$300,Торговля!$E$5:$E$300,$B225)+SUMIFS(Закрытые!$K$5:$K$300,Закрытые!$E$5:$E$300,$B225,Закрытые!$B$5:$B$300,"T-*"))</f>
        <v/>
      </c>
      <c r="I225" s="240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>
        <f>IF($B225="","",ROUND(SUMIFS(Закрытые!$N$5:$N$300,Закрытые!$E$5:$E$300,$B225,Закрытые!$B$5:$B$300,"T-*"),8))</f>
        <v/>
      </c>
      <c r="L225" s="177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>
        <f>IF(C226="","",SUMIFS(Торговля!$H$5:$H$300,Торговля!$E$5:$E$300,$B226)+SUMIFS(Закрытые!$H$5:$H$300,Закрытые!$E$5:$E$300,$B226,Закрытые!$B$5:$B$300,"T-*"))</f>
        <v/>
      </c>
      <c r="F226" s="246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>
        <f>IF(F226="","",SUMIFS(Торговля!$K$5:$K$300,Торговля!$E$5:$E$300,$B226)+SUMIFS(Закрытые!$K$5:$K$300,Закрытые!$E$5:$E$300,$B226,Закрытые!$B$5:$B$300,"T-*"))</f>
        <v/>
      </c>
      <c r="I226" s="246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>
        <f>IF($B226="","",ROUND(SUMIFS(Закрытые!$N$5:$N$300,Закрытые!$E$5:$E$300,$B226,Закрытые!$B$5:$B$300,"T-*"),8))</f>
        <v/>
      </c>
      <c r="L226" s="183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>
        <f>IF(C227="","",SUMIFS(Торговля!$H$5:$H$300,Торговля!$E$5:$E$300,$B227)+SUMIFS(Закрытые!$H$5:$H$300,Закрытые!$E$5:$E$300,$B227,Закрытые!$B$5:$B$300,"T-*"))</f>
        <v/>
      </c>
      <c r="F227" s="240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>
        <f>IF(F227="","",SUMIFS(Торговля!$K$5:$K$300,Торговля!$E$5:$E$300,$B227)+SUMIFS(Закрытые!$K$5:$K$300,Закрытые!$E$5:$E$300,$B227,Закрытые!$B$5:$B$300,"T-*"))</f>
        <v/>
      </c>
      <c r="I227" s="240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>
        <f>IF($B227="","",ROUND(SUMIFS(Закрытые!$N$5:$N$300,Закрытые!$E$5:$E$300,$B227,Закрытые!$B$5:$B$300,"T-*"),8))</f>
        <v/>
      </c>
      <c r="L227" s="177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>
        <f>IF(C228="","",SUMIFS(Торговля!$H$5:$H$300,Торговля!$E$5:$E$300,$B228)+SUMIFS(Закрытые!$H$5:$H$300,Закрытые!$E$5:$E$300,$B228,Закрытые!$B$5:$B$300,"T-*"))</f>
        <v/>
      </c>
      <c r="F228" s="246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>
        <f>IF(F228="","",SUMIFS(Торговля!$K$5:$K$300,Торговля!$E$5:$E$300,$B228)+SUMIFS(Закрытые!$K$5:$K$300,Закрытые!$E$5:$E$300,$B228,Закрытые!$B$5:$B$300,"T-*"))</f>
        <v/>
      </c>
      <c r="I228" s="246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>
        <f>IF($B228="","",ROUND(SUMIFS(Закрытые!$N$5:$N$300,Закрытые!$E$5:$E$300,$B228,Закрытые!$B$5:$B$300,"T-*"),8))</f>
        <v/>
      </c>
      <c r="L228" s="183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>
        <f>IF(C229="","",SUMIFS(Торговля!$H$5:$H$300,Торговля!$E$5:$E$300,$B229)+SUMIFS(Закрытые!$H$5:$H$300,Закрытые!$E$5:$E$300,$B229,Закрытые!$B$5:$B$300,"T-*"))</f>
        <v/>
      </c>
      <c r="F229" s="240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>
        <f>IF(F229="","",SUMIFS(Торговля!$K$5:$K$300,Торговля!$E$5:$E$300,$B229)+SUMIFS(Закрытые!$K$5:$K$300,Закрытые!$E$5:$E$300,$B229,Закрытые!$B$5:$B$300,"T-*"))</f>
        <v/>
      </c>
      <c r="I229" s="240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>
        <f>IF($B229="","",ROUND(SUMIFS(Закрытые!$N$5:$N$300,Закрытые!$E$5:$E$300,$B229,Закрытые!$B$5:$B$300,"T-*"),8))</f>
        <v/>
      </c>
      <c r="L229" s="177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>
        <f>IF(C230="","",SUMIFS(Торговля!$H$5:$H$300,Торговля!$E$5:$E$300,$B230)+SUMIFS(Закрытые!$H$5:$H$300,Закрытые!$E$5:$E$300,$B230,Закрытые!$B$5:$B$300,"T-*"))</f>
        <v/>
      </c>
      <c r="F230" s="246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>
        <f>IF(F230="","",SUMIFS(Торговля!$K$5:$K$300,Торговля!$E$5:$E$300,$B230)+SUMIFS(Закрытые!$K$5:$K$300,Закрытые!$E$5:$E$300,$B230,Закрытые!$B$5:$B$300,"T-*"))</f>
        <v/>
      </c>
      <c r="I230" s="246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>
        <f>IF($B230="","",ROUND(SUMIFS(Закрытые!$N$5:$N$300,Закрытые!$E$5:$E$300,$B230,Закрытые!$B$5:$B$300,"T-*"),8))</f>
        <v/>
      </c>
      <c r="L230" s="183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>
        <f>IF(C231="","",SUMIFS(Торговля!$H$5:$H$300,Торговля!$E$5:$E$300,$B231)+SUMIFS(Закрытые!$H$5:$H$300,Закрытые!$E$5:$E$300,$B231,Закрытые!$B$5:$B$300,"T-*"))</f>
        <v/>
      </c>
      <c r="F231" s="240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>
        <f>IF(F231="","",SUMIFS(Торговля!$K$5:$K$300,Торговля!$E$5:$E$300,$B231)+SUMIFS(Закрытые!$K$5:$K$300,Закрытые!$E$5:$E$300,$B231,Закрытые!$B$5:$B$300,"T-*"))</f>
        <v/>
      </c>
      <c r="I231" s="240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>
        <f>IF($B231="","",ROUND(SUMIFS(Закрытые!$N$5:$N$300,Закрытые!$E$5:$E$300,$B231,Закрытые!$B$5:$B$300,"T-*"),8))</f>
        <v/>
      </c>
      <c r="L231" s="177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>
        <f>IF(C232="","",SUMIFS(Торговля!$H$5:$H$300,Торговля!$E$5:$E$300,$B232)+SUMIFS(Закрытые!$H$5:$H$300,Закрытые!$E$5:$E$300,$B232,Закрытые!$B$5:$B$300,"T-*"))</f>
        <v/>
      </c>
      <c r="F232" s="246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>
        <f>IF(F232="","",SUMIFS(Торговля!$K$5:$K$300,Торговля!$E$5:$E$300,$B232)+SUMIFS(Закрытые!$K$5:$K$300,Закрытые!$E$5:$E$300,$B232,Закрытые!$B$5:$B$300,"T-*"))</f>
        <v/>
      </c>
      <c r="I232" s="246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>
        <f>IF($B232="","",ROUND(SUMIFS(Закрытые!$N$5:$N$300,Закрытые!$E$5:$E$300,$B232,Закрытые!$B$5:$B$300,"T-*"),8))</f>
        <v/>
      </c>
      <c r="L232" s="183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>
        <f>IF(C233="","",SUMIFS(Торговля!$H$5:$H$300,Торговля!$E$5:$E$300,$B233)+SUMIFS(Закрытые!$H$5:$H$300,Закрытые!$E$5:$E$300,$B233,Закрытые!$B$5:$B$300,"T-*"))</f>
        <v/>
      </c>
      <c r="F233" s="240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>
        <f>IF(F233="","",SUMIFS(Торговля!$K$5:$K$300,Торговля!$E$5:$E$300,$B233)+SUMIFS(Закрытые!$K$5:$K$300,Закрытые!$E$5:$E$300,$B233,Закрытые!$B$5:$B$300,"T-*"))</f>
        <v/>
      </c>
      <c r="I233" s="240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>
        <f>IF($B233="","",ROUND(SUMIFS(Закрытые!$N$5:$N$300,Закрытые!$E$5:$E$300,$B233,Закрытые!$B$5:$B$300,"T-*"),8))</f>
        <v/>
      </c>
      <c r="L233" s="177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>
        <f>IF(C234="","",SUMIFS(Торговля!$H$5:$H$300,Торговля!$E$5:$E$300,$B234)+SUMIFS(Закрытые!$H$5:$H$300,Закрытые!$E$5:$E$300,$B234,Закрытые!$B$5:$B$300,"T-*"))</f>
        <v/>
      </c>
      <c r="F234" s="246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>
        <f>IF(F234="","",SUMIFS(Торговля!$K$5:$K$300,Торговля!$E$5:$E$300,$B234)+SUMIFS(Закрытые!$K$5:$K$300,Закрытые!$E$5:$E$300,$B234,Закрытые!$B$5:$B$300,"T-*"))</f>
        <v/>
      </c>
      <c r="I234" s="246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>
        <f>IF($B234="","",ROUND(SUMIFS(Закрытые!$N$5:$N$300,Закрытые!$E$5:$E$300,$B234,Закрытые!$B$5:$B$300,"T-*"),8))</f>
        <v/>
      </c>
      <c r="L234" s="183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>
        <f>IF(C235="","",SUMIFS(Торговля!$H$5:$H$300,Торговля!$E$5:$E$300,$B235)+SUMIFS(Закрытые!$H$5:$H$300,Закрытые!$E$5:$E$300,$B235,Закрытые!$B$5:$B$300,"T-*"))</f>
        <v/>
      </c>
      <c r="F235" s="240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>
        <f>IF(F235="","",SUMIFS(Торговля!$K$5:$K$300,Торговля!$E$5:$E$300,$B235)+SUMIFS(Закрытые!$K$5:$K$300,Закрытые!$E$5:$E$300,$B235,Закрытые!$B$5:$B$300,"T-*"))</f>
        <v/>
      </c>
      <c r="I235" s="240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>
        <f>IF($B235="","",ROUND(SUMIFS(Закрытые!$N$5:$N$300,Закрытые!$E$5:$E$300,$B235,Закрытые!$B$5:$B$300,"T-*"),8))</f>
        <v/>
      </c>
      <c r="L235" s="177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>
        <f>IF(C236="","",SUMIFS(Торговля!$H$5:$H$300,Торговля!$E$5:$E$300,$B236)+SUMIFS(Закрытые!$H$5:$H$300,Закрытые!$E$5:$E$300,$B236,Закрытые!$B$5:$B$300,"T-*"))</f>
        <v/>
      </c>
      <c r="F236" s="246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>
        <f>IF(F236="","",SUMIFS(Торговля!$K$5:$K$300,Торговля!$E$5:$E$300,$B236)+SUMIFS(Закрытые!$K$5:$K$300,Закрытые!$E$5:$E$300,$B236,Закрытые!$B$5:$B$300,"T-*"))</f>
        <v/>
      </c>
      <c r="I236" s="246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>
        <f>IF($B236="","",ROUND(SUMIFS(Закрытые!$N$5:$N$300,Закрытые!$E$5:$E$300,$B236,Закрытые!$B$5:$B$300,"T-*"),8))</f>
        <v/>
      </c>
      <c r="L236" s="183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>
        <f>IF(C237="","",SUMIFS(Торговля!$H$5:$H$300,Торговля!$E$5:$E$300,$B237)+SUMIFS(Закрытые!$H$5:$H$300,Закрытые!$E$5:$E$300,$B237,Закрытые!$B$5:$B$300,"T-*"))</f>
        <v/>
      </c>
      <c r="F237" s="240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>
        <f>IF(F237="","",SUMIFS(Торговля!$K$5:$K$300,Торговля!$E$5:$E$300,$B237)+SUMIFS(Закрытые!$K$5:$K$300,Закрытые!$E$5:$E$300,$B237,Закрытые!$B$5:$B$300,"T-*"))</f>
        <v/>
      </c>
      <c r="I237" s="240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>
        <f>IF($B237="","",ROUND(SUMIFS(Закрытые!$N$5:$N$300,Закрытые!$E$5:$E$300,$B237,Закрытые!$B$5:$B$300,"T-*"),8))</f>
        <v/>
      </c>
      <c r="L237" s="177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>
        <f>IF(C238="","",SUMIFS(Торговля!$H$5:$H$300,Торговля!$E$5:$E$300,$B238)+SUMIFS(Закрытые!$H$5:$H$300,Закрытые!$E$5:$E$300,$B238,Закрытые!$B$5:$B$300,"T-*"))</f>
        <v/>
      </c>
      <c r="F238" s="246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>
        <f>IF(F238="","",SUMIFS(Торговля!$K$5:$K$300,Торговля!$E$5:$E$300,$B238)+SUMIFS(Закрытые!$K$5:$K$300,Закрытые!$E$5:$E$300,$B238,Закрытые!$B$5:$B$300,"T-*"))</f>
        <v/>
      </c>
      <c r="I238" s="246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>
        <f>IF($B238="","",ROUND(SUMIFS(Закрытые!$N$5:$N$300,Закрытые!$E$5:$E$300,$B238,Закрытые!$B$5:$B$300,"T-*"),8))</f>
        <v/>
      </c>
      <c r="L238" s="183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>
        <f>IF(C239="","",SUMIFS(Торговля!$H$5:$H$300,Торговля!$E$5:$E$300,$B239)+SUMIFS(Закрытые!$H$5:$H$300,Закрытые!$E$5:$E$300,$B239,Закрытые!$B$5:$B$300,"T-*"))</f>
        <v/>
      </c>
      <c r="F239" s="240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>
        <f>IF(F239="","",SUMIFS(Торговля!$K$5:$K$300,Торговля!$E$5:$E$300,$B239)+SUMIFS(Закрытые!$K$5:$K$300,Закрытые!$E$5:$E$300,$B239,Закрытые!$B$5:$B$300,"T-*"))</f>
        <v/>
      </c>
      <c r="I239" s="240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>
        <f>IF($B239="","",ROUND(SUMIFS(Закрытые!$N$5:$N$300,Закрытые!$E$5:$E$300,$B239,Закрытые!$B$5:$B$300,"T-*"),8))</f>
        <v/>
      </c>
      <c r="L239" s="177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>
        <f>IF(C240="","",SUMIFS(Торговля!$H$5:$H$300,Торговля!$E$5:$E$300,$B240)+SUMIFS(Закрытые!$H$5:$H$300,Закрытые!$E$5:$E$300,$B240,Закрытые!$B$5:$B$300,"T-*"))</f>
        <v/>
      </c>
      <c r="F240" s="246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>
        <f>IF(F240="","",SUMIFS(Торговля!$K$5:$K$300,Торговля!$E$5:$E$300,$B240)+SUMIFS(Закрытые!$K$5:$K$300,Закрытые!$E$5:$E$300,$B240,Закрытые!$B$5:$B$300,"T-*"))</f>
        <v/>
      </c>
      <c r="I240" s="246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>
        <f>IF($B240="","",ROUND(SUMIFS(Закрытые!$N$5:$N$300,Закрытые!$E$5:$E$300,$B240,Закрытые!$B$5:$B$300,"T-*"),8))</f>
        <v/>
      </c>
      <c r="L240" s="183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>
        <f>IF(C241="","",SUMIFS(Торговля!$H$5:$H$300,Торговля!$E$5:$E$300,$B241)+SUMIFS(Закрытые!$H$5:$H$300,Закрытые!$E$5:$E$300,$B241,Закрытые!$B$5:$B$300,"T-*"))</f>
        <v/>
      </c>
      <c r="F241" s="240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>
        <f>IF(F241="","",SUMIFS(Торговля!$K$5:$K$300,Торговля!$E$5:$E$300,$B241)+SUMIFS(Закрытые!$K$5:$K$300,Закрытые!$E$5:$E$300,$B241,Закрытые!$B$5:$B$300,"T-*"))</f>
        <v/>
      </c>
      <c r="I241" s="240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>
        <f>IF($B241="","",ROUND(SUMIFS(Закрытые!$N$5:$N$300,Закрытые!$E$5:$E$300,$B241,Закрытые!$B$5:$B$300,"T-*"),8))</f>
        <v/>
      </c>
      <c r="L241" s="177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>
        <f>IF(C242="","",SUMIFS(Торговля!$H$5:$H$300,Торговля!$E$5:$E$300,$B242)+SUMIFS(Закрытые!$H$5:$H$300,Закрытые!$E$5:$E$300,$B242,Закрытые!$B$5:$B$300,"T-*"))</f>
        <v/>
      </c>
      <c r="F242" s="246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>
        <f>IF(F242="","",SUMIFS(Торговля!$K$5:$K$300,Торговля!$E$5:$E$300,$B242)+SUMIFS(Закрытые!$K$5:$K$300,Закрытые!$E$5:$E$300,$B242,Закрытые!$B$5:$B$300,"T-*"))</f>
        <v/>
      </c>
      <c r="I242" s="246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>
        <f>IF($B242="","",ROUND(SUMIFS(Закрытые!$N$5:$N$300,Закрытые!$E$5:$E$300,$B242,Закрытые!$B$5:$B$300,"T-*"),8))</f>
        <v/>
      </c>
      <c r="L242" s="183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>
        <f>IF(C243="","",SUMIFS(Торговля!$H$5:$H$300,Торговля!$E$5:$E$300,$B243)+SUMIFS(Закрытые!$H$5:$H$300,Закрытые!$E$5:$E$300,$B243,Закрытые!$B$5:$B$300,"T-*"))</f>
        <v/>
      </c>
      <c r="F243" s="240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>
        <f>IF(F243="","",SUMIFS(Торговля!$K$5:$K$300,Торговля!$E$5:$E$300,$B243)+SUMIFS(Закрытые!$K$5:$K$300,Закрытые!$E$5:$E$300,$B243,Закрытые!$B$5:$B$300,"T-*"))</f>
        <v/>
      </c>
      <c r="I243" s="240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>
        <f>IF($B243="","",ROUND(SUMIFS(Закрытые!$N$5:$N$300,Закрытые!$E$5:$E$300,$B243,Закрытые!$B$5:$B$300,"T-*"),8))</f>
        <v/>
      </c>
      <c r="L243" s="177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>
        <f>IF(C244="","",SUMIFS(Торговля!$H$5:$H$300,Торговля!$E$5:$E$300,$B244)+SUMIFS(Закрытые!$H$5:$H$300,Закрытые!$E$5:$E$300,$B244,Закрытые!$B$5:$B$300,"T-*"))</f>
        <v/>
      </c>
      <c r="F244" s="246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>
        <f>IF(F244="","",SUMIFS(Торговля!$K$5:$K$300,Торговля!$E$5:$E$300,$B244)+SUMIFS(Закрытые!$K$5:$K$300,Закрытые!$E$5:$E$300,$B244,Закрытые!$B$5:$B$300,"T-*"))</f>
        <v/>
      </c>
      <c r="I244" s="246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>
        <f>IF($B244="","",ROUND(SUMIFS(Закрытые!$N$5:$N$300,Закрытые!$E$5:$E$300,$B244,Закрытые!$B$5:$B$300,"T-*"),8))</f>
        <v/>
      </c>
      <c r="L244" s="183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>
        <f>IF(C245="","",SUMIFS(Торговля!$H$5:$H$300,Торговля!$E$5:$E$300,$B245)+SUMIFS(Закрытые!$H$5:$H$300,Закрытые!$E$5:$E$300,$B245,Закрытые!$B$5:$B$300,"T-*"))</f>
        <v/>
      </c>
      <c r="F245" s="240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>
        <f>IF(F245="","",SUMIFS(Торговля!$K$5:$K$300,Торговля!$E$5:$E$300,$B245)+SUMIFS(Закрытые!$K$5:$K$300,Закрытые!$E$5:$E$300,$B245,Закрытые!$B$5:$B$300,"T-*"))</f>
        <v/>
      </c>
      <c r="I245" s="240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>
        <f>IF($B245="","",ROUND(SUMIFS(Закрытые!$N$5:$N$300,Закрытые!$E$5:$E$300,$B245,Закрытые!$B$5:$B$300,"T-*"),8))</f>
        <v/>
      </c>
      <c r="L245" s="177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>
        <f>IF(C246="","",SUMIFS(Торговля!$H$5:$H$300,Торговля!$E$5:$E$300,$B246)+SUMIFS(Закрытые!$H$5:$H$300,Закрытые!$E$5:$E$300,$B246,Закрытые!$B$5:$B$300,"T-*"))</f>
        <v/>
      </c>
      <c r="F246" s="246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>
        <f>IF(F246="","",SUMIFS(Торговля!$K$5:$K$300,Торговля!$E$5:$E$300,$B246)+SUMIFS(Закрытые!$K$5:$K$300,Закрытые!$E$5:$E$300,$B246,Закрытые!$B$5:$B$300,"T-*"))</f>
        <v/>
      </c>
      <c r="I246" s="246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>
        <f>IF($B246="","",ROUND(SUMIFS(Закрытые!$N$5:$N$300,Закрытые!$E$5:$E$300,$B246,Закрытые!$B$5:$B$300,"T-*"),8))</f>
        <v/>
      </c>
      <c r="L246" s="183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>
        <f>IF(C247="","",SUMIFS(Торговля!$H$5:$H$300,Торговля!$E$5:$E$300,$B247)+SUMIFS(Закрытые!$H$5:$H$300,Закрытые!$E$5:$E$300,$B247,Закрытые!$B$5:$B$300,"T-*"))</f>
        <v/>
      </c>
      <c r="F247" s="240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>
        <f>IF(F247="","",SUMIFS(Торговля!$K$5:$K$300,Торговля!$E$5:$E$300,$B247)+SUMIFS(Закрытые!$K$5:$K$300,Закрытые!$E$5:$E$300,$B247,Закрытые!$B$5:$B$300,"T-*"))</f>
        <v/>
      </c>
      <c r="I247" s="240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>
        <f>IF($B247="","",ROUND(SUMIFS(Закрытые!$N$5:$N$300,Закрытые!$E$5:$E$300,$B247,Закрытые!$B$5:$B$300,"T-*"),8))</f>
        <v/>
      </c>
      <c r="L247" s="177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>
        <f>IF(C248="","",SUMIFS(Торговля!$H$5:$H$300,Торговля!$E$5:$E$300,$B248)+SUMIFS(Закрытые!$H$5:$H$300,Закрытые!$E$5:$E$300,$B248,Закрытые!$B$5:$B$300,"T-*"))</f>
        <v/>
      </c>
      <c r="F248" s="246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>
        <f>IF(F248="","",SUMIFS(Торговля!$K$5:$K$300,Торговля!$E$5:$E$300,$B248)+SUMIFS(Закрытые!$K$5:$K$300,Закрытые!$E$5:$E$300,$B248,Закрытые!$B$5:$B$300,"T-*"))</f>
        <v/>
      </c>
      <c r="I248" s="246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>
        <f>IF($B248="","",ROUND(SUMIFS(Закрытые!$N$5:$N$300,Закрытые!$E$5:$E$300,$B248,Закрытые!$B$5:$B$300,"T-*"),8))</f>
        <v/>
      </c>
      <c r="L248" s="183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>
        <f>IF(C249="","",SUMIFS(Торговля!$H$5:$H$300,Торговля!$E$5:$E$300,$B249)+SUMIFS(Закрытые!$H$5:$H$300,Закрытые!$E$5:$E$300,$B249,Закрытые!$B$5:$B$300,"T-*"))</f>
        <v/>
      </c>
      <c r="F249" s="240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>
        <f>IF(F249="","",SUMIFS(Торговля!$K$5:$K$300,Торговля!$E$5:$E$300,$B249)+SUMIFS(Закрытые!$K$5:$K$300,Закрытые!$E$5:$E$300,$B249,Закрытые!$B$5:$B$300,"T-*"))</f>
        <v/>
      </c>
      <c r="I249" s="240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>
        <f>IF($B249="","",ROUND(SUMIFS(Закрытые!$N$5:$N$300,Закрытые!$E$5:$E$300,$B249,Закрытые!$B$5:$B$300,"T-*"),8))</f>
        <v/>
      </c>
      <c r="L249" s="177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>
        <f>IF(C250="","",SUMIFS(Торговля!$H$5:$H$300,Торговля!$E$5:$E$300,$B250)+SUMIFS(Закрытые!$H$5:$H$300,Закрытые!$E$5:$E$300,$B250,Закрытые!$B$5:$B$300,"T-*"))</f>
        <v/>
      </c>
      <c r="F250" s="246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>
        <f>IF(F250="","",SUMIFS(Торговля!$K$5:$K$300,Торговля!$E$5:$E$300,$B250)+SUMIFS(Закрытые!$K$5:$K$300,Закрытые!$E$5:$E$300,$B250,Закрытые!$B$5:$B$300,"T-*"))</f>
        <v/>
      </c>
      <c r="I250" s="246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>
        <f>IF($B250="","",ROUND(SUMIFS(Закрытые!$N$5:$N$300,Закрытые!$E$5:$E$300,$B250,Закрытые!$B$5:$B$300,"T-*"),8))</f>
        <v/>
      </c>
      <c r="L250" s="183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>
        <f>IF(C251="","",SUMIFS(Торговля!$H$5:$H$300,Торговля!$E$5:$E$300,$B251)+SUMIFS(Закрытые!$H$5:$H$300,Закрытые!$E$5:$E$300,$B251,Закрытые!$B$5:$B$300,"T-*"))</f>
        <v/>
      </c>
      <c r="F251" s="240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>
        <f>IF(F251="","",SUMIFS(Торговля!$K$5:$K$300,Торговля!$E$5:$E$300,$B251)+SUMIFS(Закрытые!$K$5:$K$300,Закрытые!$E$5:$E$300,$B251,Закрытые!$B$5:$B$300,"T-*"))</f>
        <v/>
      </c>
      <c r="I251" s="240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>
        <f>IF($B251="","",ROUND(SUMIFS(Закрытые!$N$5:$N$300,Закрытые!$E$5:$E$300,$B251,Закрытые!$B$5:$B$300,"T-*"),8))</f>
        <v/>
      </c>
      <c r="L251" s="177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>
        <f>IF(C252="","",SUMIFS(Торговля!$H$5:$H$300,Торговля!$E$5:$E$300,$B252)+SUMIFS(Закрытые!$H$5:$H$300,Закрытые!$E$5:$E$300,$B252,Закрытые!$B$5:$B$300,"T-*"))</f>
        <v/>
      </c>
      <c r="F252" s="246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>
        <f>IF(F252="","",SUMIFS(Торговля!$K$5:$K$300,Торговля!$E$5:$E$300,$B252)+SUMIFS(Закрытые!$K$5:$K$300,Закрытые!$E$5:$E$300,$B252,Закрытые!$B$5:$B$300,"T-*"))</f>
        <v/>
      </c>
      <c r="I252" s="246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>
        <f>IF($B252="","",ROUND(SUMIFS(Закрытые!$N$5:$N$300,Закрытые!$E$5:$E$300,$B252,Закрытые!$B$5:$B$300,"T-*"),8))</f>
        <v/>
      </c>
      <c r="L252" s="183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>
        <f>IF(C253="","",SUMIFS(Торговля!$H$5:$H$300,Торговля!$E$5:$E$300,$B253)+SUMIFS(Закрытые!$H$5:$H$300,Закрытые!$E$5:$E$300,$B253,Закрытые!$B$5:$B$300,"T-*"))</f>
        <v/>
      </c>
      <c r="F253" s="240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>
        <f>IF(F253="","",SUMIFS(Торговля!$K$5:$K$300,Торговля!$E$5:$E$300,$B253)+SUMIFS(Закрытые!$K$5:$K$300,Закрытые!$E$5:$E$300,$B253,Закрытые!$B$5:$B$300,"T-*"))</f>
        <v/>
      </c>
      <c r="I253" s="240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>
        <f>IF($B253="","",ROUND(SUMIFS(Закрытые!$N$5:$N$300,Закрытые!$E$5:$E$300,$B253,Закрытые!$B$5:$B$300,"T-*"),8))</f>
        <v/>
      </c>
      <c r="L253" s="177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>
        <f>IF(C254="","",SUMIFS(Торговля!$H$5:$H$300,Торговля!$E$5:$E$300,$B254)+SUMIFS(Закрытые!$H$5:$H$300,Закрытые!$E$5:$E$300,$B254,Закрытые!$B$5:$B$300,"T-*"))</f>
        <v/>
      </c>
      <c r="F254" s="246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>
        <f>IF(F254="","",SUMIFS(Торговля!$K$5:$K$300,Торговля!$E$5:$E$300,$B254)+SUMIFS(Закрытые!$K$5:$K$300,Закрытые!$E$5:$E$300,$B254,Закрытые!$B$5:$B$300,"T-*"))</f>
        <v/>
      </c>
      <c r="I254" s="246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>
        <f>IF($B254="","",ROUND(SUMIFS(Закрытые!$N$5:$N$300,Закрытые!$E$5:$E$300,$B254,Закрытые!$B$5:$B$300,"T-*"),8))</f>
        <v/>
      </c>
      <c r="L254" s="183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>
        <f>IF(C255="","",SUMIFS(Торговля!$H$5:$H$300,Торговля!$E$5:$E$300,$B255)+SUMIFS(Закрытые!$H$5:$H$300,Закрытые!$E$5:$E$300,$B255,Закрытые!$B$5:$B$300,"T-*"))</f>
        <v/>
      </c>
      <c r="F255" s="240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>
        <f>IF(F255="","",SUMIFS(Торговля!$K$5:$K$300,Торговля!$E$5:$E$300,$B255)+SUMIFS(Закрытые!$K$5:$K$300,Закрытые!$E$5:$E$300,$B255,Закрытые!$B$5:$B$300,"T-*"))</f>
        <v/>
      </c>
      <c r="I255" s="240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>
        <f>IF($B255="","",ROUND(SUMIFS(Закрытые!$N$5:$N$300,Закрытые!$E$5:$E$300,$B255,Закрытые!$B$5:$B$300,"T-*"),8))</f>
        <v/>
      </c>
      <c r="L255" s="177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>
        <f>IF(C256="","",SUMIFS(Торговля!$H$5:$H$300,Торговля!$E$5:$E$300,$B256)+SUMIFS(Закрытые!$H$5:$H$300,Закрытые!$E$5:$E$300,$B256,Закрытые!$B$5:$B$300,"T-*"))</f>
        <v/>
      </c>
      <c r="F256" s="246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>
        <f>IF(F256="","",SUMIFS(Торговля!$K$5:$K$300,Торговля!$E$5:$E$300,$B256)+SUMIFS(Закрытые!$K$5:$K$300,Закрытые!$E$5:$E$300,$B256,Закрытые!$B$5:$B$300,"T-*"))</f>
        <v/>
      </c>
      <c r="I256" s="246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>
        <f>IF($B256="","",ROUND(SUMIFS(Закрытые!$N$5:$N$300,Закрытые!$E$5:$E$300,$B256,Закрытые!$B$5:$B$300,"T-*"),8))</f>
        <v/>
      </c>
      <c r="L256" s="183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>
        <f>IF(C257="","",SUMIFS(Торговля!$H$5:$H$300,Торговля!$E$5:$E$300,$B257)+SUMIFS(Закрытые!$H$5:$H$300,Закрытые!$E$5:$E$300,$B257,Закрытые!$B$5:$B$300,"T-*"))</f>
        <v/>
      </c>
      <c r="F257" s="240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>
        <f>IF(F257="","",SUMIFS(Торговля!$K$5:$K$300,Торговля!$E$5:$E$300,$B257)+SUMIFS(Закрытые!$K$5:$K$300,Закрытые!$E$5:$E$300,$B257,Закрытые!$B$5:$B$300,"T-*"))</f>
        <v/>
      </c>
      <c r="I257" s="240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>
        <f>IF($B257="","",ROUND(SUMIFS(Закрытые!$N$5:$N$300,Закрытые!$E$5:$E$300,$B257,Закрытые!$B$5:$B$300,"T-*"),8))</f>
        <v/>
      </c>
      <c r="L257" s="177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>
        <f>IF(C258="","",SUMIFS(Торговля!$H$5:$H$300,Торговля!$E$5:$E$300,$B258)+SUMIFS(Закрытые!$H$5:$H$300,Закрытые!$E$5:$E$300,$B258,Закрытые!$B$5:$B$300,"T-*"))</f>
        <v/>
      </c>
      <c r="F258" s="246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>
        <f>IF(F258="","",SUMIFS(Торговля!$K$5:$K$300,Торговля!$E$5:$E$300,$B258)+SUMIFS(Закрытые!$K$5:$K$300,Закрытые!$E$5:$E$300,$B258,Закрытые!$B$5:$B$300,"T-*"))</f>
        <v/>
      </c>
      <c r="I258" s="246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>
        <f>IF($B258="","",ROUND(SUMIFS(Закрытые!$N$5:$N$300,Закрытые!$E$5:$E$300,$B258,Закрытые!$B$5:$B$300,"T-*"),8))</f>
        <v/>
      </c>
      <c r="L258" s="183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>
        <f>IF(C259="","",SUMIFS(Торговля!$H$5:$H$300,Торговля!$E$5:$E$300,$B259)+SUMIFS(Закрытые!$H$5:$H$300,Закрытые!$E$5:$E$300,$B259,Закрытые!$B$5:$B$300,"T-*"))</f>
        <v/>
      </c>
      <c r="F259" s="240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>
        <f>IF(F259="","",SUMIFS(Торговля!$K$5:$K$300,Торговля!$E$5:$E$300,$B259)+SUMIFS(Закрытые!$K$5:$K$300,Закрытые!$E$5:$E$300,$B259,Закрытые!$B$5:$B$300,"T-*"))</f>
        <v/>
      </c>
      <c r="I259" s="240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>
        <f>IF($B259="","",ROUND(SUMIFS(Закрытые!$N$5:$N$300,Закрытые!$E$5:$E$300,$B259,Закрытые!$B$5:$B$300,"T-*"),8))</f>
        <v/>
      </c>
      <c r="L259" s="177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>
        <f>IF(C260="","",SUMIFS(Торговля!$H$5:$H$300,Торговля!$E$5:$E$300,$B260)+SUMIFS(Закрытые!$H$5:$H$300,Закрытые!$E$5:$E$300,$B260,Закрытые!$B$5:$B$300,"T-*"))</f>
        <v/>
      </c>
      <c r="F260" s="246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>
        <f>IF(F260="","",SUMIFS(Торговля!$K$5:$K$300,Торговля!$E$5:$E$300,$B260)+SUMIFS(Закрытые!$K$5:$K$300,Закрытые!$E$5:$E$300,$B260,Закрытые!$B$5:$B$300,"T-*"))</f>
        <v/>
      </c>
      <c r="I260" s="246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>
        <f>IF($B260="","",ROUND(SUMIFS(Закрытые!$N$5:$N$300,Закрытые!$E$5:$E$300,$B260,Закрытые!$B$5:$B$300,"T-*"),8))</f>
        <v/>
      </c>
      <c r="L260" s="183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>
        <f>IF(C261="","",SUMIFS(Торговля!$H$5:$H$300,Торговля!$E$5:$E$300,$B261)+SUMIFS(Закрытые!$H$5:$H$300,Закрытые!$E$5:$E$300,$B261,Закрытые!$B$5:$B$300,"T-*"))</f>
        <v/>
      </c>
      <c r="F261" s="240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>
        <f>IF(F261="","",SUMIFS(Торговля!$K$5:$K$300,Торговля!$E$5:$E$300,$B261)+SUMIFS(Закрытые!$K$5:$K$300,Закрытые!$E$5:$E$300,$B261,Закрытые!$B$5:$B$300,"T-*"))</f>
        <v/>
      </c>
      <c r="I261" s="240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>
        <f>IF($B261="","",ROUND(SUMIFS(Закрытые!$N$5:$N$300,Закрытые!$E$5:$E$300,$B261,Закрытые!$B$5:$B$300,"T-*"),8))</f>
        <v/>
      </c>
      <c r="L261" s="177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>
        <f>IF(C262="","",SUMIFS(Торговля!$H$5:$H$300,Торговля!$E$5:$E$300,$B262)+SUMIFS(Закрытые!$H$5:$H$300,Закрытые!$E$5:$E$300,$B262,Закрытые!$B$5:$B$300,"T-*"))</f>
        <v/>
      </c>
      <c r="F262" s="246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>
        <f>IF(F262="","",SUMIFS(Торговля!$K$5:$K$300,Торговля!$E$5:$E$300,$B262)+SUMIFS(Закрытые!$K$5:$K$300,Закрытые!$E$5:$E$300,$B262,Закрытые!$B$5:$B$300,"T-*"))</f>
        <v/>
      </c>
      <c r="I262" s="246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>
        <f>IF($B262="","",ROUND(SUMIFS(Закрытые!$N$5:$N$300,Закрытые!$E$5:$E$300,$B262,Закрытые!$B$5:$B$300,"T-*"),8))</f>
        <v/>
      </c>
      <c r="L262" s="183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>
        <f>IF(C263="","",SUMIFS(Торговля!$H$5:$H$300,Торговля!$E$5:$E$300,$B263)+SUMIFS(Закрытые!$H$5:$H$300,Закрытые!$E$5:$E$300,$B263,Закрытые!$B$5:$B$300,"T-*"))</f>
        <v/>
      </c>
      <c r="F263" s="240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>
        <f>IF(F263="","",SUMIFS(Торговля!$K$5:$K$300,Торговля!$E$5:$E$300,$B263)+SUMIFS(Закрытые!$K$5:$K$300,Закрытые!$E$5:$E$300,$B263,Закрытые!$B$5:$B$300,"T-*"))</f>
        <v/>
      </c>
      <c r="I263" s="240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>
        <f>IF($B263="","",ROUND(SUMIFS(Закрытые!$N$5:$N$300,Закрытые!$E$5:$E$300,$B263,Закрытые!$B$5:$B$300,"T-*"),8))</f>
        <v/>
      </c>
      <c r="L263" s="177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>
        <f>IF(C264="","",SUMIFS(Торговля!$H$5:$H$300,Торговля!$E$5:$E$300,$B264)+SUMIFS(Закрытые!$H$5:$H$300,Закрытые!$E$5:$E$300,$B264,Закрытые!$B$5:$B$300,"T-*"))</f>
        <v/>
      </c>
      <c r="F264" s="246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>
        <f>IF(F264="","",SUMIFS(Торговля!$K$5:$K$300,Торговля!$E$5:$E$300,$B264)+SUMIFS(Закрытые!$K$5:$K$300,Закрытые!$E$5:$E$300,$B264,Закрытые!$B$5:$B$300,"T-*"))</f>
        <v/>
      </c>
      <c r="I264" s="246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>
        <f>IF($B264="","",ROUND(SUMIFS(Закрытые!$N$5:$N$300,Закрытые!$E$5:$E$300,$B264,Закрытые!$B$5:$B$300,"T-*"),8))</f>
        <v/>
      </c>
      <c r="L264" s="183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>
        <f>IF(C265="","",SUMIFS(Торговля!$H$5:$H$300,Торговля!$E$5:$E$300,$B265)+SUMIFS(Закрытые!$H$5:$H$300,Закрытые!$E$5:$E$300,$B265,Закрытые!$B$5:$B$300,"T-*"))</f>
        <v/>
      </c>
      <c r="F265" s="240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>
        <f>IF(F265="","",SUMIFS(Торговля!$K$5:$K$300,Торговля!$E$5:$E$300,$B265)+SUMIFS(Закрытые!$K$5:$K$300,Закрытые!$E$5:$E$300,$B265,Закрытые!$B$5:$B$300,"T-*"))</f>
        <v/>
      </c>
      <c r="I265" s="240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>
        <f>IF($B265="","",ROUND(SUMIFS(Закрытые!$N$5:$N$300,Закрытые!$E$5:$E$300,$B265,Закрытые!$B$5:$B$300,"T-*"),8))</f>
        <v/>
      </c>
      <c r="L265" s="177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>
        <f>IF(C266="","",SUMIFS(Торговля!$H$5:$H$300,Торговля!$E$5:$E$300,$B266)+SUMIFS(Закрытые!$H$5:$H$300,Закрытые!$E$5:$E$300,$B266,Закрытые!$B$5:$B$300,"T-*"))</f>
        <v/>
      </c>
      <c r="F266" s="246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>
        <f>IF(F266="","",SUMIFS(Торговля!$K$5:$K$300,Торговля!$E$5:$E$300,$B266)+SUMIFS(Закрытые!$K$5:$K$300,Закрытые!$E$5:$E$300,$B266,Закрытые!$B$5:$B$300,"T-*"))</f>
        <v/>
      </c>
      <c r="I266" s="246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>
        <f>IF($B266="","",ROUND(SUMIFS(Закрытые!$N$5:$N$300,Закрытые!$E$5:$E$300,$B266,Закрытые!$B$5:$B$300,"T-*"),8))</f>
        <v/>
      </c>
      <c r="L266" s="183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>
        <f>IF(C267="","",SUMIFS(Торговля!$H$5:$H$300,Торговля!$E$5:$E$300,$B267)+SUMIFS(Закрытые!$H$5:$H$300,Закрытые!$E$5:$E$300,$B267,Закрытые!$B$5:$B$300,"T-*"))</f>
        <v/>
      </c>
      <c r="F267" s="240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>
        <f>IF(F267="","",SUMIFS(Торговля!$K$5:$K$300,Торговля!$E$5:$E$300,$B267)+SUMIFS(Закрытые!$K$5:$K$300,Закрытые!$E$5:$E$300,$B267,Закрытые!$B$5:$B$300,"T-*"))</f>
        <v/>
      </c>
      <c r="I267" s="240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>
        <f>IF($B267="","",ROUND(SUMIFS(Закрытые!$N$5:$N$300,Закрытые!$E$5:$E$300,$B267,Закрытые!$B$5:$B$300,"T-*"),8))</f>
        <v/>
      </c>
      <c r="L267" s="177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>
        <f>IF(C268="","",SUMIFS(Торговля!$H$5:$H$300,Торговля!$E$5:$E$300,$B268)+SUMIFS(Закрытые!$H$5:$H$300,Закрытые!$E$5:$E$300,$B268,Закрытые!$B$5:$B$300,"T-*"))</f>
        <v/>
      </c>
      <c r="F268" s="246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>
        <f>IF(F268="","",SUMIFS(Торговля!$K$5:$K$300,Торговля!$E$5:$E$300,$B268)+SUMIFS(Закрытые!$K$5:$K$300,Закрытые!$E$5:$E$300,$B268,Закрытые!$B$5:$B$300,"T-*"))</f>
        <v/>
      </c>
      <c r="I268" s="246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>
        <f>IF($B268="","",ROUND(SUMIFS(Закрытые!$N$5:$N$300,Закрытые!$E$5:$E$300,$B268,Закрытые!$B$5:$B$300,"T-*"),8))</f>
        <v/>
      </c>
      <c r="L268" s="183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>
        <f>IF(C269="","",SUMIFS(Торговля!$H$5:$H$300,Торговля!$E$5:$E$300,$B269)+SUMIFS(Закрытые!$H$5:$H$300,Закрытые!$E$5:$E$300,$B269,Закрытые!$B$5:$B$300,"T-*"))</f>
        <v/>
      </c>
      <c r="F269" s="240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>
        <f>IF(F269="","",SUMIFS(Торговля!$K$5:$K$300,Торговля!$E$5:$E$300,$B269)+SUMIFS(Закрытые!$K$5:$K$300,Закрытые!$E$5:$E$300,$B269,Закрытые!$B$5:$B$300,"T-*"))</f>
        <v/>
      </c>
      <c r="I269" s="240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>
        <f>IF($B269="","",ROUND(SUMIFS(Закрытые!$N$5:$N$300,Закрытые!$E$5:$E$300,$B269,Закрытые!$B$5:$B$300,"T-*"),8))</f>
        <v/>
      </c>
      <c r="L269" s="177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>
        <f>IF(C270="","",SUMIFS(Торговля!$H$5:$H$300,Торговля!$E$5:$E$300,$B270)+SUMIFS(Закрытые!$H$5:$H$300,Закрытые!$E$5:$E$300,$B270,Закрытые!$B$5:$B$300,"T-*"))</f>
        <v/>
      </c>
      <c r="F270" s="246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>
        <f>IF(F270="","",SUMIFS(Торговля!$K$5:$K$300,Торговля!$E$5:$E$300,$B270)+SUMIFS(Закрытые!$K$5:$K$300,Закрытые!$E$5:$E$300,$B270,Закрытые!$B$5:$B$300,"T-*"))</f>
        <v/>
      </c>
      <c r="I270" s="246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>
        <f>IF($B270="","",ROUND(SUMIFS(Закрытые!$N$5:$N$300,Закрытые!$E$5:$E$300,$B270,Закрытые!$B$5:$B$300,"T-*"),8))</f>
        <v/>
      </c>
      <c r="L270" s="183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>
        <f>IF(C271="","",SUMIFS(Торговля!$H$5:$H$300,Торговля!$E$5:$E$300,$B271)+SUMIFS(Закрытые!$H$5:$H$300,Закрытые!$E$5:$E$300,$B271,Закрытые!$B$5:$B$300,"T-*"))</f>
        <v/>
      </c>
      <c r="F271" s="240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>
        <f>IF(F271="","",SUMIFS(Торговля!$K$5:$K$300,Торговля!$E$5:$E$300,$B271)+SUMIFS(Закрытые!$K$5:$K$300,Закрытые!$E$5:$E$300,$B271,Закрытые!$B$5:$B$300,"T-*"))</f>
        <v/>
      </c>
      <c r="I271" s="240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>
        <f>IF($B271="","",ROUND(SUMIFS(Закрытые!$N$5:$N$300,Закрытые!$E$5:$E$300,$B271,Закрытые!$B$5:$B$300,"T-*"),8))</f>
        <v/>
      </c>
      <c r="L271" s="177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>
        <f>IF(C272="","",SUMIFS(Торговля!$H$5:$H$300,Торговля!$E$5:$E$300,$B272)+SUMIFS(Закрытые!$H$5:$H$300,Закрытые!$E$5:$E$300,$B272,Закрытые!$B$5:$B$300,"T-*"))</f>
        <v/>
      </c>
      <c r="F272" s="246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>
        <f>IF(F272="","",SUMIFS(Торговля!$K$5:$K$300,Торговля!$E$5:$E$300,$B272)+SUMIFS(Закрытые!$K$5:$K$300,Закрытые!$E$5:$E$300,$B272,Закрытые!$B$5:$B$300,"T-*"))</f>
        <v/>
      </c>
      <c r="I272" s="246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>
        <f>IF($B272="","",ROUND(SUMIFS(Закрытые!$N$5:$N$300,Закрытые!$E$5:$E$300,$B272,Закрытые!$B$5:$B$300,"T-*"),8))</f>
        <v/>
      </c>
      <c r="L272" s="183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>
        <f>IF(C273="","",SUMIFS(Торговля!$H$5:$H$300,Торговля!$E$5:$E$300,$B273)+SUMIFS(Закрытые!$H$5:$H$300,Закрытые!$E$5:$E$300,$B273,Закрытые!$B$5:$B$300,"T-*"))</f>
        <v/>
      </c>
      <c r="F273" s="240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>
        <f>IF(F273="","",SUMIFS(Торговля!$K$5:$K$300,Торговля!$E$5:$E$300,$B273)+SUMIFS(Закрытые!$K$5:$K$300,Закрытые!$E$5:$E$300,$B273,Закрытые!$B$5:$B$300,"T-*"))</f>
        <v/>
      </c>
      <c r="I273" s="240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>
        <f>IF($B273="","",ROUND(SUMIFS(Закрытые!$N$5:$N$300,Закрытые!$E$5:$E$300,$B273,Закрытые!$B$5:$B$300,"T-*"),8))</f>
        <v/>
      </c>
      <c r="L273" s="177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>
        <f>IF(C274="","",SUMIFS(Торговля!$H$5:$H$300,Торговля!$E$5:$E$300,$B274)+SUMIFS(Закрытые!$H$5:$H$300,Закрытые!$E$5:$E$300,$B274,Закрытые!$B$5:$B$300,"T-*"))</f>
        <v/>
      </c>
      <c r="F274" s="246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>
        <f>IF(F274="","",SUMIFS(Торговля!$K$5:$K$300,Торговля!$E$5:$E$300,$B274)+SUMIFS(Закрытые!$K$5:$K$300,Закрытые!$E$5:$E$300,$B274,Закрытые!$B$5:$B$300,"T-*"))</f>
        <v/>
      </c>
      <c r="I274" s="246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>
        <f>IF($B274="","",ROUND(SUMIFS(Закрытые!$N$5:$N$300,Закрытые!$E$5:$E$300,$B274,Закрытые!$B$5:$B$300,"T-*"),8))</f>
        <v/>
      </c>
      <c r="L274" s="183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>
        <f>IF(C275="","",SUMIFS(Торговля!$H$5:$H$300,Торговля!$E$5:$E$300,$B275)+SUMIFS(Закрытые!$H$5:$H$300,Закрытые!$E$5:$E$300,$B275,Закрытые!$B$5:$B$300,"T-*"))</f>
        <v/>
      </c>
      <c r="F275" s="240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>
        <f>IF(F275="","",SUMIFS(Торговля!$K$5:$K$300,Торговля!$E$5:$E$300,$B275)+SUMIFS(Закрытые!$K$5:$K$300,Закрытые!$E$5:$E$300,$B275,Закрытые!$B$5:$B$300,"T-*"))</f>
        <v/>
      </c>
      <c r="I275" s="240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>
        <f>IF($B275="","",ROUND(SUMIFS(Закрытые!$N$5:$N$300,Закрытые!$E$5:$E$300,$B275,Закрытые!$B$5:$B$300,"T-*"),8))</f>
        <v/>
      </c>
      <c r="L275" s="177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>
        <f>IF(C276="","",SUMIFS(Торговля!$H$5:$H$300,Торговля!$E$5:$E$300,$B276)+SUMIFS(Закрытые!$H$5:$H$300,Закрытые!$E$5:$E$300,$B276,Закрытые!$B$5:$B$300,"T-*"))</f>
        <v/>
      </c>
      <c r="F276" s="246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>
        <f>IF(F276="","",SUMIFS(Торговля!$K$5:$K$300,Торговля!$E$5:$E$300,$B276)+SUMIFS(Закрытые!$K$5:$K$300,Закрытые!$E$5:$E$300,$B276,Закрытые!$B$5:$B$300,"T-*"))</f>
        <v/>
      </c>
      <c r="I276" s="246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>
        <f>IF($B276="","",ROUND(SUMIFS(Закрытые!$N$5:$N$300,Закрытые!$E$5:$E$300,$B276,Закрытые!$B$5:$B$300,"T-*"),8))</f>
        <v/>
      </c>
      <c r="L276" s="183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>
        <f>IF(C277="","",SUMIFS(Торговля!$H$5:$H$300,Торговля!$E$5:$E$300,$B277)+SUMIFS(Закрытые!$H$5:$H$300,Закрытые!$E$5:$E$300,$B277,Закрытые!$B$5:$B$300,"T-*"))</f>
        <v/>
      </c>
      <c r="F277" s="240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>
        <f>IF(F277="","",SUMIFS(Торговля!$K$5:$K$300,Торговля!$E$5:$E$300,$B277)+SUMIFS(Закрытые!$K$5:$K$300,Закрытые!$E$5:$E$300,$B277,Закрытые!$B$5:$B$300,"T-*"))</f>
        <v/>
      </c>
      <c r="I277" s="240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>
        <f>IF($B277="","",ROUND(SUMIFS(Закрытые!$N$5:$N$300,Закрытые!$E$5:$E$300,$B277,Закрытые!$B$5:$B$300,"T-*"),8))</f>
        <v/>
      </c>
      <c r="L277" s="177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>
        <f>IF(C278="","",SUMIFS(Торговля!$H$5:$H$300,Торговля!$E$5:$E$300,$B278)+SUMIFS(Закрытые!$H$5:$H$300,Закрытые!$E$5:$E$300,$B278,Закрытые!$B$5:$B$300,"T-*"))</f>
        <v/>
      </c>
      <c r="F278" s="246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>
        <f>IF(F278="","",SUMIFS(Торговля!$K$5:$K$300,Торговля!$E$5:$E$300,$B278)+SUMIFS(Закрытые!$K$5:$K$300,Закрытые!$E$5:$E$300,$B278,Закрытые!$B$5:$B$300,"T-*"))</f>
        <v/>
      </c>
      <c r="I278" s="246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>
        <f>IF($B278="","",ROUND(SUMIFS(Закрытые!$N$5:$N$300,Закрытые!$E$5:$E$300,$B278,Закрытые!$B$5:$B$300,"T-*"),8))</f>
        <v/>
      </c>
      <c r="L278" s="183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>
        <f>IF(C279="","",SUMIFS(Торговля!$H$5:$H$300,Торговля!$E$5:$E$300,$B279)+SUMIFS(Закрытые!$H$5:$H$300,Закрытые!$E$5:$E$300,$B279,Закрытые!$B$5:$B$300,"T-*"))</f>
        <v/>
      </c>
      <c r="F279" s="240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>
        <f>IF(F279="","",SUMIFS(Торговля!$K$5:$K$300,Торговля!$E$5:$E$300,$B279)+SUMIFS(Закрытые!$K$5:$K$300,Закрытые!$E$5:$E$300,$B279,Закрытые!$B$5:$B$300,"T-*"))</f>
        <v/>
      </c>
      <c r="I279" s="240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>
        <f>IF($B279="","",ROUND(SUMIFS(Закрытые!$N$5:$N$300,Закрытые!$E$5:$E$300,$B279,Закрытые!$B$5:$B$300,"T-*"),8))</f>
        <v/>
      </c>
      <c r="L279" s="177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>
        <f>IF(C280="","",SUMIFS(Торговля!$H$5:$H$300,Торговля!$E$5:$E$300,$B280)+SUMIFS(Закрытые!$H$5:$H$300,Закрытые!$E$5:$E$300,$B280,Закрытые!$B$5:$B$300,"T-*"))</f>
        <v/>
      </c>
      <c r="F280" s="246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>
        <f>IF(F280="","",SUMIFS(Торговля!$K$5:$K$300,Торговля!$E$5:$E$300,$B280)+SUMIFS(Закрытые!$K$5:$K$300,Закрытые!$E$5:$E$300,$B280,Закрытые!$B$5:$B$300,"T-*"))</f>
        <v/>
      </c>
      <c r="I280" s="246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>
        <f>IF($B280="","",ROUND(SUMIFS(Закрытые!$N$5:$N$300,Закрытые!$E$5:$E$300,$B280,Закрытые!$B$5:$B$300,"T-*"),8))</f>
        <v/>
      </c>
      <c r="L280" s="183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>
        <f>IF(C281="","",SUMIFS(Торговля!$H$5:$H$300,Торговля!$E$5:$E$300,$B281)+SUMIFS(Закрытые!$H$5:$H$300,Закрытые!$E$5:$E$300,$B281,Закрытые!$B$5:$B$300,"T-*"))</f>
        <v/>
      </c>
      <c r="F281" s="240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>
        <f>IF(F281="","",SUMIFS(Торговля!$K$5:$K$300,Торговля!$E$5:$E$300,$B281)+SUMIFS(Закрытые!$K$5:$K$300,Закрытые!$E$5:$E$300,$B281,Закрытые!$B$5:$B$300,"T-*"))</f>
        <v/>
      </c>
      <c r="I281" s="240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>
        <f>IF($B281="","",ROUND(SUMIFS(Закрытые!$N$5:$N$300,Закрытые!$E$5:$E$300,$B281,Закрытые!$B$5:$B$300,"T-*"),8))</f>
        <v/>
      </c>
      <c r="L281" s="177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>
        <f>IF(C282="","",SUMIFS(Торговля!$H$5:$H$300,Торговля!$E$5:$E$300,$B282)+SUMIFS(Закрытые!$H$5:$H$300,Закрытые!$E$5:$E$300,$B282,Закрытые!$B$5:$B$300,"T-*"))</f>
        <v/>
      </c>
      <c r="F282" s="246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>
        <f>IF(F282="","",SUMIFS(Торговля!$K$5:$K$300,Торговля!$E$5:$E$300,$B282)+SUMIFS(Закрытые!$K$5:$K$300,Закрытые!$E$5:$E$300,$B282,Закрытые!$B$5:$B$300,"T-*"))</f>
        <v/>
      </c>
      <c r="I282" s="246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>
        <f>IF($B282="","",ROUND(SUMIFS(Закрытые!$N$5:$N$300,Закрытые!$E$5:$E$300,$B282,Закрытые!$B$5:$B$300,"T-*"),8))</f>
        <v/>
      </c>
      <c r="L282" s="183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>
        <f>IF(C283="","",SUMIFS(Торговля!$H$5:$H$300,Торговля!$E$5:$E$300,$B283)+SUMIFS(Закрытые!$H$5:$H$300,Закрытые!$E$5:$E$300,$B283,Закрытые!$B$5:$B$300,"T-*"))</f>
        <v/>
      </c>
      <c r="F283" s="240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>
        <f>IF(F283="","",SUMIFS(Торговля!$K$5:$K$300,Торговля!$E$5:$E$300,$B283)+SUMIFS(Закрытые!$K$5:$K$300,Закрытые!$E$5:$E$300,$B283,Закрытые!$B$5:$B$300,"T-*"))</f>
        <v/>
      </c>
      <c r="I283" s="240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>
        <f>IF($B283="","",ROUND(SUMIFS(Закрытые!$N$5:$N$300,Закрытые!$E$5:$E$300,$B283,Закрытые!$B$5:$B$300,"T-*"),8))</f>
        <v/>
      </c>
      <c r="L283" s="177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>
        <f>IF(C284="","",SUMIFS(Торговля!$H$5:$H$300,Торговля!$E$5:$E$300,$B284)+SUMIFS(Закрытые!$H$5:$H$300,Закрытые!$E$5:$E$300,$B284,Закрытые!$B$5:$B$300,"T-*"))</f>
        <v/>
      </c>
      <c r="F284" s="246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>
        <f>IF(F284="","",SUMIFS(Торговля!$K$5:$K$300,Торговля!$E$5:$E$300,$B284)+SUMIFS(Закрытые!$K$5:$K$300,Закрытые!$E$5:$E$300,$B284,Закрытые!$B$5:$B$300,"T-*"))</f>
        <v/>
      </c>
      <c r="I284" s="246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>
        <f>IF($B284="","",ROUND(SUMIFS(Закрытые!$N$5:$N$300,Закрытые!$E$5:$E$300,$B284,Закрытые!$B$5:$B$300,"T-*"),8))</f>
        <v/>
      </c>
      <c r="L284" s="183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>
        <f>IF(C285="","",SUMIFS(Торговля!$H$5:$H$300,Торговля!$E$5:$E$300,$B285)+SUMIFS(Закрытые!$H$5:$H$300,Закрытые!$E$5:$E$300,$B285,Закрытые!$B$5:$B$300,"T-*"))</f>
        <v/>
      </c>
      <c r="F285" s="240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>
        <f>IF(F285="","",SUMIFS(Торговля!$K$5:$K$300,Торговля!$E$5:$E$300,$B285)+SUMIFS(Закрытые!$K$5:$K$300,Закрытые!$E$5:$E$300,$B285,Закрытые!$B$5:$B$300,"T-*"))</f>
        <v/>
      </c>
      <c r="I285" s="240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>
        <f>IF($B285="","",ROUND(SUMIFS(Закрытые!$N$5:$N$300,Закрытые!$E$5:$E$300,$B285,Закрытые!$B$5:$B$300,"T-*"),8))</f>
        <v/>
      </c>
      <c r="L285" s="177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>
        <f>IF(C286="","",SUMIFS(Торговля!$H$5:$H$300,Торговля!$E$5:$E$300,$B286)+SUMIFS(Закрытые!$H$5:$H$300,Закрытые!$E$5:$E$300,$B286,Закрытые!$B$5:$B$300,"T-*"))</f>
        <v/>
      </c>
      <c r="F286" s="246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>
        <f>IF(F286="","",SUMIFS(Торговля!$K$5:$K$300,Торговля!$E$5:$E$300,$B286)+SUMIFS(Закрытые!$K$5:$K$300,Закрытые!$E$5:$E$300,$B286,Закрытые!$B$5:$B$300,"T-*"))</f>
        <v/>
      </c>
      <c r="I286" s="246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>
        <f>IF($B286="","",ROUND(SUMIFS(Закрытые!$N$5:$N$300,Закрытые!$E$5:$E$300,$B286,Закрытые!$B$5:$B$300,"T-*"),8))</f>
        <v/>
      </c>
      <c r="L286" s="183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>
        <f>IF(C287="","",SUMIFS(Торговля!$H$5:$H$300,Торговля!$E$5:$E$300,$B287)+SUMIFS(Закрытые!$H$5:$H$300,Закрытые!$E$5:$E$300,$B287,Закрытые!$B$5:$B$300,"T-*"))</f>
        <v/>
      </c>
      <c r="F287" s="240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>
        <f>IF(F287="","",SUMIFS(Торговля!$K$5:$K$300,Торговля!$E$5:$E$300,$B287)+SUMIFS(Закрытые!$K$5:$K$300,Закрытые!$E$5:$E$300,$B287,Закрытые!$B$5:$B$300,"T-*"))</f>
        <v/>
      </c>
      <c r="I287" s="240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>
        <f>IF($B287="","",ROUND(SUMIFS(Закрытые!$N$5:$N$300,Закрытые!$E$5:$E$300,$B287,Закрытые!$B$5:$B$300,"T-*"),8))</f>
        <v/>
      </c>
      <c r="L287" s="177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>
        <f>IF(C288="","",SUMIFS(Торговля!$H$5:$H$300,Торговля!$E$5:$E$300,$B288)+SUMIFS(Закрытые!$H$5:$H$300,Закрытые!$E$5:$E$300,$B288,Закрытые!$B$5:$B$300,"T-*"))</f>
        <v/>
      </c>
      <c r="F288" s="246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>
        <f>IF(F288="","",SUMIFS(Торговля!$K$5:$K$300,Торговля!$E$5:$E$300,$B288)+SUMIFS(Закрытые!$K$5:$K$300,Закрытые!$E$5:$E$300,$B288,Закрытые!$B$5:$B$300,"T-*"))</f>
        <v/>
      </c>
      <c r="I288" s="246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>
        <f>IF($B288="","",ROUND(SUMIFS(Закрытые!$N$5:$N$300,Закрытые!$E$5:$E$300,$B288,Закрытые!$B$5:$B$300,"T-*"),8))</f>
        <v/>
      </c>
      <c r="L288" s="183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>
        <f>IF(C289="","",SUMIFS(Торговля!$H$5:$H$300,Торговля!$E$5:$E$300,$B289)+SUMIFS(Закрытые!$H$5:$H$300,Закрытые!$E$5:$E$300,$B289,Закрытые!$B$5:$B$300,"T-*"))</f>
        <v/>
      </c>
      <c r="F289" s="240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>
        <f>IF(F289="","",SUMIFS(Торговля!$K$5:$K$300,Торговля!$E$5:$E$300,$B289)+SUMIFS(Закрытые!$K$5:$K$300,Закрытые!$E$5:$E$300,$B289,Закрытые!$B$5:$B$300,"T-*"))</f>
        <v/>
      </c>
      <c r="I289" s="240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>
        <f>IF($B289="","",ROUND(SUMIFS(Закрытые!$N$5:$N$300,Закрытые!$E$5:$E$300,$B289,Закрытые!$B$5:$B$300,"T-*"),8))</f>
        <v/>
      </c>
      <c r="L289" s="177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>
        <f>IF(C290="","",SUMIFS(Торговля!$H$5:$H$300,Торговля!$E$5:$E$300,$B290)+SUMIFS(Закрытые!$H$5:$H$300,Закрытые!$E$5:$E$300,$B290,Закрытые!$B$5:$B$300,"T-*"))</f>
        <v/>
      </c>
      <c r="F290" s="246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>
        <f>IF(F290="","",SUMIFS(Торговля!$K$5:$K$300,Торговля!$E$5:$E$300,$B290)+SUMIFS(Закрытые!$K$5:$K$300,Закрытые!$E$5:$E$300,$B290,Закрытые!$B$5:$B$300,"T-*"))</f>
        <v/>
      </c>
      <c r="I290" s="246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>
        <f>IF($B290="","",ROUND(SUMIFS(Закрытые!$N$5:$N$300,Закрытые!$E$5:$E$300,$B290,Закрытые!$B$5:$B$300,"T-*"),8))</f>
        <v/>
      </c>
      <c r="L290" s="183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>
        <f>IF(C291="","",SUMIFS(Торговля!$H$5:$H$300,Торговля!$E$5:$E$300,$B291)+SUMIFS(Закрытые!$H$5:$H$300,Закрытые!$E$5:$E$300,$B291,Закрытые!$B$5:$B$300,"T-*"))</f>
        <v/>
      </c>
      <c r="F291" s="240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>
        <f>IF(F291="","",SUMIFS(Торговля!$K$5:$K$300,Торговля!$E$5:$E$300,$B291)+SUMIFS(Закрытые!$K$5:$K$300,Закрытые!$E$5:$E$300,$B291,Закрытые!$B$5:$B$300,"T-*"))</f>
        <v/>
      </c>
      <c r="I291" s="240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>
        <f>IF($B291="","",ROUND(SUMIFS(Закрытые!$N$5:$N$300,Закрытые!$E$5:$E$300,$B291,Закрытые!$B$5:$B$300,"T-*"),8))</f>
        <v/>
      </c>
      <c r="L291" s="177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>
        <f>IF(C292="","",SUMIFS(Торговля!$H$5:$H$300,Торговля!$E$5:$E$300,$B292)+SUMIFS(Закрытые!$H$5:$H$300,Закрытые!$E$5:$E$300,$B292,Закрытые!$B$5:$B$300,"T-*"))</f>
        <v/>
      </c>
      <c r="F292" s="246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>
        <f>IF(F292="","",SUMIFS(Торговля!$K$5:$K$300,Торговля!$E$5:$E$300,$B292)+SUMIFS(Закрытые!$K$5:$K$300,Закрытые!$E$5:$E$300,$B292,Закрытые!$B$5:$B$300,"T-*"))</f>
        <v/>
      </c>
      <c r="I292" s="246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>
        <f>IF($B292="","",ROUND(SUMIFS(Закрытые!$N$5:$N$300,Закрытые!$E$5:$E$300,$B292,Закрытые!$B$5:$B$300,"T-*"),8))</f>
        <v/>
      </c>
      <c r="L292" s="183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>
        <f>IF(C293="","",SUMIFS(Торговля!$H$5:$H$300,Торговля!$E$5:$E$300,$B293)+SUMIFS(Закрытые!$H$5:$H$300,Закрытые!$E$5:$E$300,$B293,Закрытые!$B$5:$B$300,"T-*"))</f>
        <v/>
      </c>
      <c r="F293" s="240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>
        <f>IF(F293="","",SUMIFS(Торговля!$K$5:$K$300,Торговля!$E$5:$E$300,$B293)+SUMIFS(Закрытые!$K$5:$K$300,Закрытые!$E$5:$E$300,$B293,Закрытые!$B$5:$B$300,"T-*"))</f>
        <v/>
      </c>
      <c r="I293" s="240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>
        <f>IF($B293="","",ROUND(SUMIFS(Закрытые!$N$5:$N$300,Закрытые!$E$5:$E$300,$B293,Закрытые!$B$5:$B$300,"T-*"),8))</f>
        <v/>
      </c>
      <c r="L293" s="177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>
        <f>IF(C294="","",SUMIFS(Торговля!$H$5:$H$300,Торговля!$E$5:$E$300,$B294)+SUMIFS(Закрытые!$H$5:$H$300,Закрытые!$E$5:$E$300,$B294,Закрытые!$B$5:$B$300,"T-*"))</f>
        <v/>
      </c>
      <c r="F294" s="246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>
        <f>IF(F294="","",SUMIFS(Торговля!$K$5:$K$300,Торговля!$E$5:$E$300,$B294)+SUMIFS(Закрытые!$K$5:$K$300,Закрытые!$E$5:$E$300,$B294,Закрытые!$B$5:$B$300,"T-*"))</f>
        <v/>
      </c>
      <c r="I294" s="246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>
        <f>IF($B294="","",ROUND(SUMIFS(Закрытые!$N$5:$N$300,Закрытые!$E$5:$E$300,$B294,Закрытые!$B$5:$B$300,"T-*"),8))</f>
        <v/>
      </c>
      <c r="L294" s="183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>
        <f>IF(C295="","",SUMIFS(Торговля!$H$5:$H$300,Торговля!$E$5:$E$300,$B295)+SUMIFS(Закрытые!$H$5:$H$300,Закрытые!$E$5:$E$300,$B295,Закрытые!$B$5:$B$300,"T-*"))</f>
        <v/>
      </c>
      <c r="F295" s="240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>
        <f>IF(F295="","",SUMIFS(Торговля!$K$5:$K$300,Торговля!$E$5:$E$300,$B295)+SUMIFS(Закрытые!$K$5:$K$300,Закрытые!$E$5:$E$300,$B295,Закрытые!$B$5:$B$300,"T-*"))</f>
        <v/>
      </c>
      <c r="I295" s="240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>
        <f>IF($B295="","",ROUND(SUMIFS(Закрытые!$N$5:$N$300,Закрытые!$E$5:$E$300,$B295,Закрытые!$B$5:$B$300,"T-*"),8))</f>
        <v/>
      </c>
      <c r="L295" s="177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>
        <f>IF(C296="","",SUMIFS(Торговля!$H$5:$H$300,Торговля!$E$5:$E$300,$B296)+SUMIFS(Закрытые!$H$5:$H$300,Закрытые!$E$5:$E$300,$B296,Закрытые!$B$5:$B$300,"T-*"))</f>
        <v/>
      </c>
      <c r="F296" s="246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>
        <f>IF(F296="","",SUMIFS(Торговля!$K$5:$K$300,Торговля!$E$5:$E$300,$B296)+SUMIFS(Закрытые!$K$5:$K$300,Закрытые!$E$5:$E$300,$B296,Закрытые!$B$5:$B$300,"T-*"))</f>
        <v/>
      </c>
      <c r="I296" s="246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>
        <f>IF($B296="","",ROUND(SUMIFS(Закрытые!$N$5:$N$300,Закрытые!$E$5:$E$300,$B296,Закрытые!$B$5:$B$300,"T-*"),8))</f>
        <v/>
      </c>
      <c r="L296" s="183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>
        <f>IF(C297="","",SUMIFS(Торговля!$H$5:$H$300,Торговля!$E$5:$E$300,$B297)+SUMIFS(Закрытые!$H$5:$H$300,Закрытые!$E$5:$E$300,$B297,Закрытые!$B$5:$B$300,"T-*"))</f>
        <v/>
      </c>
      <c r="F297" s="240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>
        <f>IF(F297="","",SUMIFS(Торговля!$K$5:$K$300,Торговля!$E$5:$E$300,$B297)+SUMIFS(Закрытые!$K$5:$K$300,Закрытые!$E$5:$E$300,$B297,Закрытые!$B$5:$B$300,"T-*"))</f>
        <v/>
      </c>
      <c r="I297" s="240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>
        <f>IF($B297="","",ROUND(SUMIFS(Закрытые!$N$5:$N$300,Закрытые!$E$5:$E$300,$B297,Закрытые!$B$5:$B$300,"T-*"),8))</f>
        <v/>
      </c>
      <c r="L297" s="177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>
        <f>IF(C298="","",SUMIFS(Торговля!$H$5:$H$300,Торговля!$E$5:$E$300,$B298)+SUMIFS(Закрытые!$H$5:$H$300,Закрытые!$E$5:$E$300,$B298,Закрытые!$B$5:$B$300,"T-*"))</f>
        <v/>
      </c>
      <c r="F298" s="246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>
        <f>IF(F298="","",SUMIFS(Торговля!$K$5:$K$300,Торговля!$E$5:$E$300,$B298)+SUMIFS(Закрытые!$K$5:$K$300,Закрытые!$E$5:$E$300,$B298,Закрытые!$B$5:$B$300,"T-*"))</f>
        <v/>
      </c>
      <c r="I298" s="246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>
        <f>IF($B298="","",ROUND(SUMIFS(Закрытые!$N$5:$N$300,Закрытые!$E$5:$E$300,$B298,Закрытые!$B$5:$B$300,"T-*"),8))</f>
        <v/>
      </c>
      <c r="L298" s="183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>
        <f>IF(C299="","",SUMIFS(Торговля!$H$5:$H$300,Торговля!$E$5:$E$300,$B299)+SUMIFS(Закрытые!$H$5:$H$300,Закрытые!$E$5:$E$300,$B299,Закрытые!$B$5:$B$300,"T-*"))</f>
        <v/>
      </c>
      <c r="F299" s="240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>
        <f>IF(F299="","",SUMIFS(Торговля!$K$5:$K$300,Торговля!$E$5:$E$300,$B299)+SUMIFS(Закрытые!$K$5:$K$300,Закрытые!$E$5:$E$300,$B299,Закрытые!$B$5:$B$300,"T-*"))</f>
        <v/>
      </c>
      <c r="I299" s="240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>
        <f>IF($B299="","",ROUND(SUMIFS(Закрытые!$N$5:$N$300,Закрытые!$E$5:$E$300,$B299,Закрытые!$B$5:$B$300,"T-*"),8))</f>
        <v/>
      </c>
      <c r="L299" s="177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>
        <f>IF(C300="","",SUMIFS(Торговля!$H$5:$H$300,Торговля!$E$5:$E$300,$B300)+SUMIFS(Закрытые!$H$5:$H$300,Закрытые!$E$5:$E$300,$B300,Закрытые!$B$5:$B$300,"T-*"))</f>
        <v/>
      </c>
      <c r="F300" s="246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>
        <f>IF(F300="","",SUMIFS(Торговля!$K$5:$K$300,Торговля!$E$5:$E$300,$B300)+SUMIFS(Закрытые!$K$5:$K$300,Закрытые!$E$5:$E$300,$B300,Закрытые!$B$5:$B$300,"T-*"))</f>
        <v/>
      </c>
      <c r="I300" s="246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>
        <f>IF($B300="","",ROUND(SUMIFS(Закрытые!$N$5:$N$300,Закрытые!$E$5:$E$300,$B300,Закрытые!$B$5:$B$300,"T-*"),8))</f>
        <v/>
      </c>
      <c r="L300" s="183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n"/>
      <c r="C5" s="314" t="n"/>
      <c r="D5" s="313" t="n"/>
      <c r="E5" s="315" t="n"/>
      <c r="F5" s="316" t="n"/>
      <c r="G5" s="317" t="n"/>
      <c r="H5" s="271">
        <f>IF(AND(ISNUMBER(F5),ISNUMBER(G5)),F5*G5,"")</f>
        <v/>
      </c>
      <c r="I5" s="316" t="n"/>
      <c r="J5" s="317" t="n"/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n"/>
      <c r="C6" s="319" t="n"/>
      <c r="D6" s="318" t="n"/>
      <c r="E6" s="320" t="n"/>
      <c r="F6" s="321" t="n"/>
      <c r="G6" s="322" t="n"/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n"/>
      <c r="C7" s="314" t="n"/>
      <c r="D7" s="313" t="n"/>
      <c r="E7" s="315" t="n"/>
      <c r="F7" s="316" t="n"/>
      <c r="G7" s="317" t="n"/>
      <c r="H7" s="271">
        <f>IF(AND(ISNUMBER(F7),ISNUMBER(G7)),F7*G7,"")</f>
        <v/>
      </c>
      <c r="I7" s="316" t="n"/>
      <c r="J7" s="317" t="n"/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n"/>
      <c r="C8" s="319" t="n"/>
      <c r="D8" s="318" t="n"/>
      <c r="E8" s="320" t="n"/>
      <c r="F8" s="321" t="n"/>
      <c r="G8" s="322" t="n"/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n"/>
      <c r="C9" s="314" t="n"/>
      <c r="D9" s="313" t="n"/>
      <c r="E9" s="315" t="n"/>
      <c r="F9" s="316" t="n"/>
      <c r="G9" s="317" t="n"/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n"/>
      <c r="C10" s="319" t="n"/>
      <c r="D10" s="318" t="n"/>
      <c r="E10" s="320" t="n"/>
      <c r="F10" s="321" t="n"/>
      <c r="G10" s="322" t="n"/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n"/>
      <c r="C11" s="314" t="n"/>
      <c r="D11" s="313" t="n"/>
      <c r="E11" s="315" t="n"/>
      <c r="F11" s="316" t="n"/>
      <c r="G11" s="317" t="n"/>
      <c r="H11" s="271">
        <f>IF(AND(ISNUMBER(F11),ISNUMBER(G11)),F11*G11,"")</f>
        <v/>
      </c>
      <c r="I11" s="316" t="n"/>
      <c r="J11" s="317" t="n"/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n"/>
      <c r="C12" s="319" t="n"/>
      <c r="D12" s="318" t="n"/>
      <c r="E12" s="320" t="n"/>
      <c r="F12" s="321" t="n"/>
      <c r="G12" s="322" t="n"/>
      <c r="H12" s="271">
        <f>IF(AND(ISNUMBER(F12),ISNUMBER(G12)),F12*G12,"")</f>
        <v/>
      </c>
      <c r="I12" s="321" t="n"/>
      <c r="J12" s="322" t="n"/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n"/>
      <c r="C13" s="314" t="n"/>
      <c r="D13" s="313" t="n"/>
      <c r="E13" s="315" t="n"/>
      <c r="F13" s="316" t="n"/>
      <c r="G13" s="317" t="n"/>
      <c r="H13" s="271">
        <f>IF(AND(ISNUMBER(F13),ISNUMBER(G13)),F13*G13,"")</f>
        <v/>
      </c>
      <c r="I13" s="316" t="n"/>
      <c r="J13" s="317" t="n"/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n"/>
      <c r="C14" s="319" t="n"/>
      <c r="D14" s="318" t="n"/>
      <c r="E14" s="320" t="n"/>
      <c r="F14" s="321" t="n"/>
      <c r="G14" s="322" t="n"/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n"/>
      <c r="C15" s="314" t="n"/>
      <c r="D15" s="313" t="n"/>
      <c r="E15" s="315" t="n"/>
      <c r="F15" s="316" t="n"/>
      <c r="G15" s="317" t="n"/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n"/>
      <c r="C16" s="319" t="n"/>
      <c r="D16" s="318" t="n"/>
      <c r="E16" s="320" t="n"/>
      <c r="F16" s="321" t="n"/>
      <c r="G16" s="322" t="n"/>
      <c r="H16" s="271">
        <f>IF(AND(ISNUMBER(F16),ISNUMBER(G16)),F16*G16,"")</f>
        <v/>
      </c>
      <c r="I16" s="321" t="n"/>
      <c r="J16" s="322" t="n"/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n"/>
      <c r="C17" s="314" t="n"/>
      <c r="D17" s="313" t="n"/>
      <c r="E17" s="315" t="n"/>
      <c r="F17" s="316" t="n"/>
      <c r="G17" s="317" t="n"/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n"/>
      <c r="C18" s="319" t="n"/>
      <c r="D18" s="318" t="n"/>
      <c r="E18" s="320" t="n"/>
      <c r="F18" s="321" t="n"/>
      <c r="G18" s="322" t="n"/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n"/>
      <c r="C19" s="314" t="n"/>
      <c r="D19" s="313" t="n"/>
      <c r="E19" s="315" t="n"/>
      <c r="F19" s="316" t="n"/>
      <c r="G19" s="317" t="n"/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n"/>
      <c r="C20" s="319" t="n"/>
      <c r="D20" s="318" t="n"/>
      <c r="E20" s="320" t="n"/>
      <c r="F20" s="321" t="n"/>
      <c r="G20" s="322" t="n"/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n"/>
      <c r="C21" s="314" t="n"/>
      <c r="D21" s="313" t="n"/>
      <c r="E21" s="315" t="n"/>
      <c r="F21" s="316" t="n"/>
      <c r="G21" s="317" t="n"/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n"/>
      <c r="C22" s="319" t="n"/>
      <c r="D22" s="318" t="n"/>
      <c r="E22" s="320" t="n"/>
      <c r="F22" s="321" t="n"/>
      <c r="G22" s="322" t="n"/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n"/>
      <c r="C23" s="314" t="n"/>
      <c r="D23" s="313" t="n"/>
      <c r="E23" s="315" t="n"/>
      <c r="F23" s="316" t="n"/>
      <c r="G23" s="317" t="n"/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n"/>
      <c r="C24" s="319" t="n"/>
      <c r="D24" s="318" t="n"/>
      <c r="E24" s="320" t="n"/>
      <c r="F24" s="321" t="n"/>
      <c r="G24" s="322" t="n"/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n"/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/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/>
      </c>
      <c r="E5" s="241">
        <f>IF(C5="","",SUMIFS(Лэндинг!$H$5:$H$300,Лэндинг!$E$5:$E$300,$B5)+SUMIFS(Закрытые!$H$5:$H$300,Закрытые!$E$5:$E$300,$B5,Закрытые!$B$5:$B$300,"L-*"))</f>
        <v/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/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/>
      </c>
      <c r="H5" s="241">
        <f>IF(F5="","",SUMIFS(Лэндинг!$K$5:$K$300,Лэндинг!$E$5:$E$300,$B5)+SUMIFS(Закрытые!$K$5:$K$300,Закрытые!$E$5:$E$300,$B5,Закрытые!$B$5:$B$300,"L-*"))</f>
        <v/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/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/>
      </c>
      <c r="K5" s="240">
        <f>IF($B5="","",ROUND(SUMIFS(Закрытые!$N$5:$N$300,Закрытые!$E$5:$E$300,$B5,Закрытые!$B$5:$B$300,"L-*"),8))</f>
        <v/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n"/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/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/>
      </c>
      <c r="K6" s="246">
        <f>IF($B6="","",ROUND(SUMIFS(Закрытые!$N$5:$N$300,Закрытые!$E$5:$E$300,$B6,Закрытые!$B$5:$B$300,"L-*"),8))</f>
        <v/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n"/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/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/>
      </c>
      <c r="H7" s="241">
        <f>IF(F7="","",SUMIFS(Лэндинг!$K$5:$K$300,Лэндинг!$E$5:$E$300,$B7)+SUMIFS(Закрытые!$K$5:$K$300,Закрытые!$E$5:$E$300,$B7,Закрытые!$B$5:$B$300,"L-*"))</f>
        <v/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/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/>
      </c>
      <c r="K7" s="240">
        <f>IF($B7="","",ROUND(SUMIFS(Закрытые!$N$5:$N$300,Закрытые!$E$5:$E$300,$B7,Закрытые!$B$5:$B$300,"L-*"),8))</f>
        <v/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n"/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/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/>
      </c>
      <c r="E8" s="247">
        <f>IF(C8="","",SUMIFS(Лэндинг!$H$5:$H$300,Лэндинг!$E$5:$E$300,$B8)+SUMIFS(Закрытые!$H$5:$H$300,Закрытые!$E$5:$E$300,$B8,Закрытые!$B$5:$B$300,"L-*"))</f>
        <v/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/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/>
      </c>
      <c r="H8" s="247">
        <f>IF(F8="","",SUMIFS(Лэндинг!$K$5:$K$300,Лэндинг!$E$5:$E$300,$B8)+SUMIFS(Закрытые!$K$5:$K$300,Закрытые!$E$5:$E$300,$B8,Закрытые!$B$5:$B$300,"L-*"))</f>
        <v/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/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/>
      </c>
      <c r="K8" s="246">
        <f>IF($B8="","",ROUND(SUMIFS(Закрытые!$N$5:$N$300,Закрытые!$E$5:$E$300,$B8,Закрытые!$B$5:$B$300,"L-*"),8))</f>
        <v/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n"/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/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/>
      </c>
      <c r="E9" s="241">
        <f>IF(C9="","",SUMIFS(Лэндинг!$H$5:$H$300,Лэндинг!$E$5:$E$300,$B9)+SUMIFS(Закрытые!$H$5:$H$300,Закрытые!$E$5:$E$300,$B9,Закрытые!$B$5:$B$300,"L-*"))</f>
        <v/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/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/>
      </c>
      <c r="H9" s="241">
        <f>IF(F9="","",SUMIFS(Лэндинг!$K$5:$K$300,Лэндинг!$E$5:$E$300,$B9)+SUMIFS(Закрытые!$K$5:$K$300,Закрытые!$E$5:$E$300,$B9,Закрытые!$B$5:$B$300,"L-*"))</f>
        <v/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/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/>
      </c>
      <c r="K9" s="240">
        <f>IF($B9="","",ROUND(SUMIFS(Закрытые!$N$5:$N$300,Закрытые!$E$5:$E$300,$B9,Закрытые!$B$5:$B$300,"L-*"),8))</f>
        <v/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n"/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>
        <f>IF(C10="","",SUMIFS(Лэндинг!$H$5:$H$300,Лэндинг!$E$5:$E$300,$B10)+SUMIFS(Закрытые!$H$5:$H$300,Закрытые!$E$5:$E$300,$B10,Закрытые!$B$5:$B$300,"L-*"))</f>
        <v/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>
        <f>IF(F10="","",SUMIFS(Лэндинг!$K$5:$K$300,Лэндинг!$E$5:$E$300,$B10)+SUMIFS(Закрытые!$K$5:$K$300,Закрытые!$E$5:$E$300,$B10,Закрытые!$B$5:$B$300,"L-*"))</f>
        <v/>
      </c>
      <c r="I10" s="246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>
        <f>IF($B10="","",ROUND(SUMIFS(Закрытые!$N$5:$N$300,Закрытые!$E$5:$E$300,$B10,Закрытые!$B$5:$B$300,"L-*"),8))</f>
        <v/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n"/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>
        <f>IF(C11="","",SUMIFS(Лэндинг!$H$5:$H$300,Лэндинг!$E$5:$E$300,$B11)+SUMIFS(Закрытые!$H$5:$H$300,Закрытые!$E$5:$E$300,$B11,Закрытые!$B$5:$B$300,"L-*"))</f>
        <v/>
      </c>
      <c r="F11" s="240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>
        <f>IF(F11="","",SUMIFS(Лэндинг!$K$5:$K$300,Лэндинг!$E$5:$E$300,$B11)+SUMIFS(Закрытые!$K$5:$K$300,Закрытые!$E$5:$E$300,$B11,Закрытые!$B$5:$B$300,"L-*"))</f>
        <v/>
      </c>
      <c r="I11" s="240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>
        <f>IF($B11="","",ROUND(SUMIFS(Закрытые!$N$5:$N$300,Закрытые!$E$5:$E$300,$B11,Закрытые!$B$5:$B$300,"L-*"),8))</f>
        <v/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n"/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>
        <f>IF(C12="","",SUMIFS(Лэндинг!$H$5:$H$300,Лэндинг!$E$5:$E$300,$B12)+SUMIFS(Закрытые!$H$5:$H$300,Закрытые!$E$5:$E$300,$B12,Закрытые!$B$5:$B$300,"L-*"))</f>
        <v/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>
        <f>IF(F12="","",SUMIFS(Лэндинг!$K$5:$K$300,Лэндинг!$E$5:$E$300,$B12)+SUMIFS(Закрытые!$K$5:$K$300,Закрытые!$E$5:$E$300,$B12,Закрытые!$B$5:$B$300,"L-*"))</f>
        <v/>
      </c>
      <c r="I12" s="246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>
        <f>IF($B12="","",ROUND(SUMIFS(Закрытые!$N$5:$N$300,Закрытые!$E$5:$E$300,$B12,Закрытые!$B$5:$B$300,"L-*"),8))</f>
        <v/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n"/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>
        <f>IF(C13="","",SUMIFS(Лэндинг!$H$5:$H$300,Лэндинг!$E$5:$E$300,$B13)+SUMIFS(Закрытые!$H$5:$H$300,Закрытые!$E$5:$E$300,$B13,Закрытые!$B$5:$B$300,"L-*"))</f>
        <v/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>
        <f>IF(F13="","",SUMIFS(Лэндинг!$K$5:$K$300,Лэндинг!$E$5:$E$300,$B13)+SUMIFS(Закрытые!$K$5:$K$300,Закрытые!$E$5:$E$300,$B13,Закрытые!$B$5:$B$300,"L-*"))</f>
        <v/>
      </c>
      <c r="I13" s="240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>
        <f>IF($B13="","",ROUND(SUMIFS(Закрытые!$N$5:$N$300,Закрытые!$E$5:$E$300,$B13,Закрытые!$B$5:$B$300,"L-*"),8))</f>
        <v/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n"/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>
        <f>IF(C14="","",SUMIFS(Лэндинг!$H$5:$H$300,Лэндинг!$E$5:$E$300,$B14)+SUMIFS(Закрытые!$H$5:$H$300,Закрытые!$E$5:$E$300,$B14,Закрытые!$B$5:$B$300,"L-*"))</f>
        <v/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>
        <f>IF(F14="","",SUMIFS(Лэндинг!$K$5:$K$300,Лэндинг!$E$5:$E$300,$B14)+SUMIFS(Закрытые!$K$5:$K$300,Закрытые!$E$5:$E$300,$B14,Закрытые!$B$5:$B$300,"L-*"))</f>
        <v/>
      </c>
      <c r="I14" s="246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>
        <f>IF($B14="","",ROUND(SUMIFS(Закрытые!$N$5:$N$300,Закрытые!$E$5:$E$300,$B14,Закрытые!$B$5:$B$300,"L-*"),8))</f>
        <v/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n"/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>
        <f>IF(C15="","",SUMIFS(Лэндинг!$H$5:$H$300,Лэндинг!$E$5:$E$300,$B15)+SUMIFS(Закрытые!$H$5:$H$300,Закрытые!$E$5:$E$300,$B15,Закрытые!$B$5:$B$300,"L-*"))</f>
        <v/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>
        <f>IF(F15="","",SUMIFS(Лэндинг!$K$5:$K$300,Лэндинг!$E$5:$E$300,$B15)+SUMIFS(Закрытые!$K$5:$K$300,Закрытые!$E$5:$E$300,$B15,Закрытые!$B$5:$B$300,"L-*"))</f>
        <v/>
      </c>
      <c r="I15" s="240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>
        <f>IF($B15="","",ROUND(SUMIFS(Закрытые!$N$5:$N$300,Закрытые!$E$5:$E$300,$B15,Закрытые!$B$5:$B$300,"L-*"),8))</f>
        <v/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>
        <f>IF(C16="","",SUMIFS(Лэндинг!$H$5:$H$300,Лэндинг!$E$5:$E$300,$B16)+SUMIFS(Закрытые!$H$5:$H$300,Закрытые!$E$5:$E$300,$B16,Закрытые!$B$5:$B$300,"L-*"))</f>
        <v/>
      </c>
      <c r="F16" s="246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>
        <f>IF(F16="","",SUMIFS(Лэндинг!$K$5:$K$300,Лэндинг!$E$5:$E$300,$B16)+SUMIFS(Закрытые!$K$5:$K$300,Закрытые!$E$5:$E$300,$B16,Закрытые!$B$5:$B$300,"L-*"))</f>
        <v/>
      </c>
      <c r="I16" s="246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>
        <f>IF($B16="","",ROUND(SUMIFS(Закрытые!$N$5:$N$300,Закрытые!$E$5:$E$300,$B16,Закрытые!$B$5:$B$300,"L-*"),8))</f>
        <v/>
      </c>
      <c r="L16" s="183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>
        <f>IF(C17="","",SUMIFS(Лэндинг!$H$5:$H$300,Лэндинг!$E$5:$E$300,$B17)+SUMIFS(Закрытые!$H$5:$H$300,Закрытые!$E$5:$E$300,$B17,Закрытые!$B$5:$B$300,"L-*"))</f>
        <v/>
      </c>
      <c r="F17" s="240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>
        <f>IF(F17="","",SUMIFS(Лэндинг!$K$5:$K$300,Лэндинг!$E$5:$E$300,$B17)+SUMIFS(Закрытые!$K$5:$K$300,Закрытые!$E$5:$E$300,$B17,Закрытые!$B$5:$B$300,"L-*"))</f>
        <v/>
      </c>
      <c r="I17" s="240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>
        <f>IF($B17="","",ROUND(SUMIFS(Закрытые!$N$5:$N$300,Закрытые!$E$5:$E$300,$B17,Закрытые!$B$5:$B$300,"L-*"),8))</f>
        <v/>
      </c>
      <c r="L17" s="177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>
        <f>IF(C18="","",SUMIFS(Лэндинг!$H$5:$H$300,Лэндинг!$E$5:$E$300,$B18)+SUMIFS(Закрытые!$H$5:$H$300,Закрытые!$E$5:$E$300,$B18,Закрытые!$B$5:$B$300,"L-*"))</f>
        <v/>
      </c>
      <c r="F18" s="246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>
        <f>IF(F18="","",SUMIFS(Лэндинг!$K$5:$K$300,Лэндинг!$E$5:$E$300,$B18)+SUMIFS(Закрытые!$K$5:$K$300,Закрытые!$E$5:$E$300,$B18,Закрытые!$B$5:$B$300,"L-*"))</f>
        <v/>
      </c>
      <c r="I18" s="246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>
        <f>IF($B18="","",ROUND(SUMIFS(Закрытые!$N$5:$N$300,Закрытые!$E$5:$E$300,$B18,Закрытые!$B$5:$B$300,"L-*"),8))</f>
        <v/>
      </c>
      <c r="L18" s="183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>
        <f>IF(C19="","",SUMIFS(Лэндинг!$H$5:$H$300,Лэндинг!$E$5:$E$300,$B19)+SUMIFS(Закрытые!$H$5:$H$300,Закрытые!$E$5:$E$300,$B19,Закрытые!$B$5:$B$300,"L-*"))</f>
        <v/>
      </c>
      <c r="F19" s="240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>
        <f>IF(F19="","",SUMIFS(Лэндинг!$K$5:$K$300,Лэндинг!$E$5:$E$300,$B19)+SUMIFS(Закрытые!$K$5:$K$300,Закрытые!$E$5:$E$300,$B19,Закрытые!$B$5:$B$300,"L-*"))</f>
        <v/>
      </c>
      <c r="I19" s="240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>
        <f>IF($B19="","",ROUND(SUMIFS(Закрытые!$N$5:$N$300,Закрытые!$E$5:$E$300,$B19,Закрытые!$B$5:$B$300,"L-*"),8))</f>
        <v/>
      </c>
      <c r="L19" s="177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>
        <f>IF(C20="","",SUMIFS(Лэндинг!$H$5:$H$300,Лэндинг!$E$5:$E$300,$B20)+SUMIFS(Закрытые!$H$5:$H$300,Закрытые!$E$5:$E$300,$B20,Закрытые!$B$5:$B$300,"L-*"))</f>
        <v/>
      </c>
      <c r="F20" s="246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>
        <f>IF(F20="","",SUMIFS(Лэндинг!$K$5:$K$300,Лэндинг!$E$5:$E$300,$B20)+SUMIFS(Закрытые!$K$5:$K$300,Закрытые!$E$5:$E$300,$B20,Закрытые!$B$5:$B$300,"L-*"))</f>
        <v/>
      </c>
      <c r="I20" s="246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>
        <f>IF($B20="","",ROUND(SUMIFS(Закрытые!$N$5:$N$300,Закрытые!$E$5:$E$300,$B20,Закрытые!$B$5:$B$300,"L-*"),8))</f>
        <v/>
      </c>
      <c r="L20" s="183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>
        <f>IF(C21="","",SUMIFS(Лэндинг!$H$5:$H$300,Лэндинг!$E$5:$E$300,$B21)+SUMIFS(Закрытые!$H$5:$H$300,Закрытые!$E$5:$E$300,$B21,Закрытые!$B$5:$B$300,"L-*"))</f>
        <v/>
      </c>
      <c r="F21" s="240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>
        <f>IF(F21="","",SUMIFS(Лэндинг!$K$5:$K$300,Лэндинг!$E$5:$E$300,$B21)+SUMIFS(Закрытые!$K$5:$K$300,Закрытые!$E$5:$E$300,$B21,Закрытые!$B$5:$B$300,"L-*"))</f>
        <v/>
      </c>
      <c r="I21" s="240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>
        <f>IF($B21="","",ROUND(SUMIFS(Закрытые!$N$5:$N$300,Закрытые!$E$5:$E$300,$B21,Закрытые!$B$5:$B$300,"L-*"),8))</f>
        <v/>
      </c>
      <c r="L21" s="177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>
        <f>IF(C22="","",SUMIFS(Лэндинг!$H$5:$H$300,Лэндинг!$E$5:$E$300,$B22)+SUMIFS(Закрытые!$H$5:$H$300,Закрытые!$E$5:$E$300,$B22,Закрытые!$B$5:$B$300,"L-*"))</f>
        <v/>
      </c>
      <c r="F22" s="246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>
        <f>IF(F22="","",SUMIFS(Лэндинг!$K$5:$K$300,Лэндинг!$E$5:$E$300,$B22)+SUMIFS(Закрытые!$K$5:$K$300,Закрытые!$E$5:$E$300,$B22,Закрытые!$B$5:$B$300,"L-*"))</f>
        <v/>
      </c>
      <c r="I22" s="246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>
        <f>IF($B22="","",ROUND(SUMIFS(Закрытые!$N$5:$N$300,Закрытые!$E$5:$E$300,$B22,Закрытые!$B$5:$B$300,"L-*"),8))</f>
        <v/>
      </c>
      <c r="L22" s="183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>
        <f>IF(C23="","",SUMIFS(Лэндинг!$H$5:$H$300,Лэндинг!$E$5:$E$300,$B23)+SUMIFS(Закрытые!$H$5:$H$300,Закрытые!$E$5:$E$300,$B23,Закрытые!$B$5:$B$300,"L-*"))</f>
        <v/>
      </c>
      <c r="F23" s="240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>
        <f>IF(F23="","",SUMIFS(Лэндинг!$K$5:$K$300,Лэндинг!$E$5:$E$300,$B23)+SUMIFS(Закрытые!$K$5:$K$300,Закрытые!$E$5:$E$300,$B23,Закрытые!$B$5:$B$300,"L-*"))</f>
        <v/>
      </c>
      <c r="I23" s="240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>
        <f>IF($B23="","",ROUND(SUMIFS(Закрытые!$N$5:$N$300,Закрытые!$E$5:$E$300,$B23,Закрытые!$B$5:$B$300,"L-*"),8))</f>
        <v/>
      </c>
      <c r="L23" s="177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>
        <f>IF(C24="","",SUMIFS(Лэндинг!$H$5:$H$300,Лэндинг!$E$5:$E$300,$B24)+SUMIFS(Закрытые!$H$5:$H$300,Закрытые!$E$5:$E$300,$B24,Закрытые!$B$5:$B$300,"L-*"))</f>
        <v/>
      </c>
      <c r="F24" s="246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>
        <f>IF(F24="","",SUMIFS(Лэндинг!$K$5:$K$300,Лэндинг!$E$5:$E$300,$B24)+SUMIFS(Закрытые!$K$5:$K$300,Закрытые!$E$5:$E$300,$B24,Закрытые!$B$5:$B$300,"L-*"))</f>
        <v/>
      </c>
      <c r="I24" s="246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>
        <f>IF($B24="","",ROUND(SUMIFS(Закрытые!$N$5:$N$300,Закрытые!$E$5:$E$300,$B24,Закрытые!$B$5:$B$300,"L-*"),8))</f>
        <v/>
      </c>
      <c r="L24" s="183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>
        <f>IF(C25="","",SUMIFS(Лэндинг!$H$5:$H$300,Лэндинг!$E$5:$E$300,$B25)+SUMIFS(Закрытые!$H$5:$H$300,Закрытые!$E$5:$E$300,$B25,Закрытые!$B$5:$B$300,"L-*"))</f>
        <v/>
      </c>
      <c r="F25" s="240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>
        <f>IF(F25="","",SUMIFS(Лэндинг!$K$5:$K$300,Лэндинг!$E$5:$E$300,$B25)+SUMIFS(Закрытые!$K$5:$K$300,Закрытые!$E$5:$E$300,$B25,Закрытые!$B$5:$B$300,"L-*"))</f>
        <v/>
      </c>
      <c r="I25" s="240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>
        <f>IF($B25="","",ROUND(SUMIFS(Закрытые!$N$5:$N$300,Закрытые!$E$5:$E$300,$B25,Закрытые!$B$5:$B$300,"L-*"),8))</f>
        <v/>
      </c>
      <c r="L25" s="177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>
        <f>IF(C26="","",SUMIFS(Лэндинг!$H$5:$H$300,Лэндинг!$E$5:$E$300,$B26)+SUMIFS(Закрытые!$H$5:$H$300,Закрытые!$E$5:$E$300,$B26,Закрытые!$B$5:$B$300,"L-*"))</f>
        <v/>
      </c>
      <c r="F26" s="246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>
        <f>IF(F26="","",SUMIFS(Лэндинг!$K$5:$K$300,Лэндинг!$E$5:$E$300,$B26)+SUMIFS(Закрытые!$K$5:$K$300,Закрытые!$E$5:$E$300,$B26,Закрытые!$B$5:$B$300,"L-*"))</f>
        <v/>
      </c>
      <c r="I26" s="246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>
        <f>IF($B26="","",ROUND(SUMIFS(Закрытые!$N$5:$N$300,Закрытые!$E$5:$E$300,$B26,Закрытые!$B$5:$B$300,"L-*"),8))</f>
        <v/>
      </c>
      <c r="L26" s="183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>
        <f>IF(C27="","",SUMIFS(Лэндинг!$H$5:$H$300,Лэндинг!$E$5:$E$300,$B27)+SUMIFS(Закрытые!$H$5:$H$300,Закрытые!$E$5:$E$300,$B27,Закрытые!$B$5:$B$300,"L-*"))</f>
        <v/>
      </c>
      <c r="F27" s="240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>
        <f>IF(F27="","",SUMIFS(Лэндинг!$K$5:$K$300,Лэндинг!$E$5:$E$300,$B27)+SUMIFS(Закрытые!$K$5:$K$300,Закрытые!$E$5:$E$300,$B27,Закрытые!$B$5:$B$300,"L-*"))</f>
        <v/>
      </c>
      <c r="I27" s="240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>
        <f>IF($B27="","",ROUND(SUMIFS(Закрытые!$N$5:$N$300,Закрытые!$E$5:$E$300,$B27,Закрытые!$B$5:$B$300,"L-*"),8))</f>
        <v/>
      </c>
      <c r="L27" s="177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>
        <f>IF(C28="","",SUMIFS(Лэндинг!$H$5:$H$300,Лэндинг!$E$5:$E$300,$B28)+SUMIFS(Закрытые!$H$5:$H$300,Закрытые!$E$5:$E$300,$B28,Закрытые!$B$5:$B$300,"L-*"))</f>
        <v/>
      </c>
      <c r="F28" s="246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>
        <f>IF(F28="","",SUMIFS(Лэндинг!$K$5:$K$300,Лэндинг!$E$5:$E$300,$B28)+SUMIFS(Закрытые!$K$5:$K$300,Закрытые!$E$5:$E$300,$B28,Закрытые!$B$5:$B$300,"L-*"))</f>
        <v/>
      </c>
      <c r="I28" s="246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>
        <f>IF($B28="","",ROUND(SUMIFS(Закрытые!$N$5:$N$300,Закрытые!$E$5:$E$300,$B28,Закрытые!$B$5:$B$300,"L-*"),8))</f>
        <v/>
      </c>
      <c r="L28" s="183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>
        <f>IF(C29="","",SUMIFS(Лэндинг!$H$5:$H$300,Лэндинг!$E$5:$E$300,$B29)+SUMIFS(Закрытые!$H$5:$H$300,Закрытые!$E$5:$E$300,$B29,Закрытые!$B$5:$B$300,"L-*"))</f>
        <v/>
      </c>
      <c r="F29" s="240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>
        <f>IF(F29="","",SUMIFS(Лэндинг!$K$5:$K$300,Лэндинг!$E$5:$E$300,$B29)+SUMIFS(Закрытые!$K$5:$K$300,Закрытые!$E$5:$E$300,$B29,Закрытые!$B$5:$B$300,"L-*"))</f>
        <v/>
      </c>
      <c r="I29" s="240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>
        <f>IF($B29="","",ROUND(SUMIFS(Закрытые!$N$5:$N$300,Закрытые!$E$5:$E$300,$B29,Закрытые!$B$5:$B$300,"L-*"),8))</f>
        <v/>
      </c>
      <c r="L29" s="177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>
        <f>IF(C30="","",SUMIFS(Лэндинг!$H$5:$H$300,Лэндинг!$E$5:$E$300,$B30)+SUMIFS(Закрытые!$H$5:$H$300,Закрытые!$E$5:$E$300,$B30,Закрытые!$B$5:$B$300,"L-*"))</f>
        <v/>
      </c>
      <c r="F30" s="246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>
        <f>IF(F30="","",SUMIFS(Лэндинг!$K$5:$K$300,Лэндинг!$E$5:$E$300,$B30)+SUMIFS(Закрытые!$K$5:$K$300,Закрытые!$E$5:$E$300,$B30,Закрытые!$B$5:$B$300,"L-*"))</f>
        <v/>
      </c>
      <c r="I30" s="246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>
        <f>IF($B30="","",ROUND(SUMIFS(Закрытые!$N$5:$N$300,Закрытые!$E$5:$E$300,$B30,Закрытые!$B$5:$B$300,"L-*"),8))</f>
        <v/>
      </c>
      <c r="L30" s="183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>
        <f>IF(C31="","",SUMIFS(Лэндинг!$H$5:$H$300,Лэндинг!$E$5:$E$300,$B31)+SUMIFS(Закрытые!$H$5:$H$300,Закрытые!$E$5:$E$300,$B31,Закрытые!$B$5:$B$300,"L-*"))</f>
        <v/>
      </c>
      <c r="F31" s="240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>
        <f>IF(F31="","",SUMIFS(Лэндинг!$K$5:$K$300,Лэндинг!$E$5:$E$300,$B31)+SUMIFS(Закрытые!$K$5:$K$300,Закрытые!$E$5:$E$300,$B31,Закрытые!$B$5:$B$300,"L-*"))</f>
        <v/>
      </c>
      <c r="I31" s="240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>
        <f>IF($B31="","",ROUND(SUMIFS(Закрытые!$N$5:$N$300,Закрытые!$E$5:$E$300,$B31,Закрытые!$B$5:$B$300,"L-*"),8))</f>
        <v/>
      </c>
      <c r="L31" s="177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>
        <f>IF(C32="","",SUMIFS(Лэндинг!$H$5:$H$300,Лэндинг!$E$5:$E$300,$B32)+SUMIFS(Закрытые!$H$5:$H$300,Закрытые!$E$5:$E$300,$B32,Закрытые!$B$5:$B$300,"L-*"))</f>
        <v/>
      </c>
      <c r="F32" s="246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>
        <f>IF(F32="","",SUMIFS(Лэндинг!$K$5:$K$300,Лэндинг!$E$5:$E$300,$B32)+SUMIFS(Закрытые!$K$5:$K$300,Закрытые!$E$5:$E$300,$B32,Закрытые!$B$5:$B$300,"L-*"))</f>
        <v/>
      </c>
      <c r="I32" s="246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>
        <f>IF($B32="","",ROUND(SUMIFS(Закрытые!$N$5:$N$300,Закрытые!$E$5:$E$300,$B32,Закрытые!$B$5:$B$300,"L-*"),8))</f>
        <v/>
      </c>
      <c r="L32" s="183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>
        <f>IF(C33="","",SUMIFS(Лэндинг!$H$5:$H$300,Лэндинг!$E$5:$E$300,$B33)+SUMIFS(Закрытые!$H$5:$H$300,Закрытые!$E$5:$E$300,$B33,Закрытые!$B$5:$B$300,"L-*"))</f>
        <v/>
      </c>
      <c r="F33" s="240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>
        <f>IF(F33="","",SUMIFS(Лэндинг!$K$5:$K$300,Лэндинг!$E$5:$E$300,$B33)+SUMIFS(Закрытые!$K$5:$K$300,Закрытые!$E$5:$E$300,$B33,Закрытые!$B$5:$B$300,"L-*"))</f>
        <v/>
      </c>
      <c r="I33" s="240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>
        <f>IF($B33="","",ROUND(SUMIFS(Закрытые!$N$5:$N$300,Закрытые!$E$5:$E$300,$B33,Закрытые!$B$5:$B$300,"L-*"),8))</f>
        <v/>
      </c>
      <c r="L33" s="177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>
        <f>IF(C34="","",SUMIFS(Лэндинг!$H$5:$H$300,Лэндинг!$E$5:$E$300,$B34)+SUMIFS(Закрытые!$H$5:$H$300,Закрытые!$E$5:$E$300,$B34,Закрытые!$B$5:$B$300,"L-*"))</f>
        <v/>
      </c>
      <c r="F34" s="246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>
        <f>IF(F34="","",SUMIFS(Лэндинг!$K$5:$K$300,Лэндинг!$E$5:$E$300,$B34)+SUMIFS(Закрытые!$K$5:$K$300,Закрытые!$E$5:$E$300,$B34,Закрытые!$B$5:$B$300,"L-*"))</f>
        <v/>
      </c>
      <c r="I34" s="246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>
        <f>IF($B34="","",ROUND(SUMIFS(Закрытые!$N$5:$N$300,Закрытые!$E$5:$E$300,$B34,Закрытые!$B$5:$B$300,"L-*"),8))</f>
        <v/>
      </c>
      <c r="L34" s="183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>
        <f>IF(C35="","",SUMIFS(Лэндинг!$H$5:$H$300,Лэндинг!$E$5:$E$300,$B35)+SUMIFS(Закрытые!$H$5:$H$300,Закрытые!$E$5:$E$300,$B35,Закрытые!$B$5:$B$300,"L-*"))</f>
        <v/>
      </c>
      <c r="F35" s="240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>
        <f>IF(F35="","",SUMIFS(Лэндинг!$K$5:$K$300,Лэндинг!$E$5:$E$300,$B35)+SUMIFS(Закрытые!$K$5:$K$300,Закрытые!$E$5:$E$300,$B35,Закрытые!$B$5:$B$300,"L-*"))</f>
        <v/>
      </c>
      <c r="I35" s="240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>
        <f>IF($B35="","",ROUND(SUMIFS(Закрытые!$N$5:$N$300,Закрытые!$E$5:$E$300,$B35,Закрытые!$B$5:$B$300,"L-*"),8))</f>
        <v/>
      </c>
      <c r="L35" s="177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>
        <f>IF(C36="","",SUMIFS(Лэндинг!$H$5:$H$300,Лэндинг!$E$5:$E$300,$B36)+SUMIFS(Закрытые!$H$5:$H$300,Закрытые!$E$5:$E$300,$B36,Закрытые!$B$5:$B$300,"L-*"))</f>
        <v/>
      </c>
      <c r="F36" s="246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>
        <f>IF(F36="","",SUMIFS(Лэндинг!$K$5:$K$300,Лэндинг!$E$5:$E$300,$B36)+SUMIFS(Закрытые!$K$5:$K$300,Закрытые!$E$5:$E$300,$B36,Закрытые!$B$5:$B$300,"L-*"))</f>
        <v/>
      </c>
      <c r="I36" s="246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>
        <f>IF($B36="","",ROUND(SUMIFS(Закрытые!$N$5:$N$300,Закрытые!$E$5:$E$300,$B36,Закрытые!$B$5:$B$300,"L-*"),8))</f>
        <v/>
      </c>
      <c r="L36" s="183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>
        <f>IF(C37="","",SUMIFS(Лэндинг!$H$5:$H$300,Лэндинг!$E$5:$E$300,$B37)+SUMIFS(Закрытые!$H$5:$H$300,Закрытые!$E$5:$E$300,$B37,Закрытые!$B$5:$B$300,"L-*"))</f>
        <v/>
      </c>
      <c r="F37" s="240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>
        <f>IF(F37="","",SUMIFS(Лэндинг!$K$5:$K$300,Лэндинг!$E$5:$E$300,$B37)+SUMIFS(Закрытые!$K$5:$K$300,Закрытые!$E$5:$E$300,$B37,Закрытые!$B$5:$B$300,"L-*"))</f>
        <v/>
      </c>
      <c r="I37" s="240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>
        <f>IF($B37="","",ROUND(SUMIFS(Закрытые!$N$5:$N$300,Закрытые!$E$5:$E$300,$B37,Закрытые!$B$5:$B$300,"L-*"),8))</f>
        <v/>
      </c>
      <c r="L37" s="177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>
        <f>IF(C38="","",SUMIFS(Лэндинг!$H$5:$H$300,Лэндинг!$E$5:$E$300,$B38)+SUMIFS(Закрытые!$H$5:$H$300,Закрытые!$E$5:$E$300,$B38,Закрытые!$B$5:$B$300,"L-*"))</f>
        <v/>
      </c>
      <c r="F38" s="246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>
        <f>IF(F38="","",SUMIFS(Лэндинг!$K$5:$K$300,Лэндинг!$E$5:$E$300,$B38)+SUMIFS(Закрытые!$K$5:$K$300,Закрытые!$E$5:$E$300,$B38,Закрытые!$B$5:$B$300,"L-*"))</f>
        <v/>
      </c>
      <c r="I38" s="246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>
        <f>IF($B38="","",ROUND(SUMIFS(Закрытые!$N$5:$N$300,Закрытые!$E$5:$E$300,$B38,Закрытые!$B$5:$B$300,"L-*"),8))</f>
        <v/>
      </c>
      <c r="L38" s="183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>
        <f>IF(C39="","",SUMIFS(Лэндинг!$H$5:$H$300,Лэндинг!$E$5:$E$300,$B39)+SUMIFS(Закрытые!$H$5:$H$300,Закрытые!$E$5:$E$300,$B39,Закрытые!$B$5:$B$300,"L-*"))</f>
        <v/>
      </c>
      <c r="F39" s="240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>
        <f>IF(F39="","",SUMIFS(Лэндинг!$K$5:$K$300,Лэндинг!$E$5:$E$300,$B39)+SUMIFS(Закрытые!$K$5:$K$300,Закрытые!$E$5:$E$300,$B39,Закрытые!$B$5:$B$300,"L-*"))</f>
        <v/>
      </c>
      <c r="I39" s="240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>
        <f>IF($B39="","",ROUND(SUMIFS(Закрытые!$N$5:$N$300,Закрытые!$E$5:$E$300,$B39,Закрытые!$B$5:$B$300,"L-*"),8))</f>
        <v/>
      </c>
      <c r="L39" s="177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>
        <f>IF(C40="","",SUMIFS(Лэндинг!$H$5:$H$300,Лэндинг!$E$5:$E$300,$B40)+SUMIFS(Закрытые!$H$5:$H$300,Закрытые!$E$5:$E$300,$B40,Закрытые!$B$5:$B$300,"L-*"))</f>
        <v/>
      </c>
      <c r="F40" s="246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>
        <f>IF(F40="","",SUMIFS(Лэндинг!$K$5:$K$300,Лэндинг!$E$5:$E$300,$B40)+SUMIFS(Закрытые!$K$5:$K$300,Закрытые!$E$5:$E$300,$B40,Закрытые!$B$5:$B$300,"L-*"))</f>
        <v/>
      </c>
      <c r="I40" s="246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>
        <f>IF($B40="","",ROUND(SUMIFS(Закрытые!$N$5:$N$300,Закрытые!$E$5:$E$300,$B40,Закрытые!$B$5:$B$300,"L-*"),8))</f>
        <v/>
      </c>
      <c r="L40" s="183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>
        <f>IF(C41="","",SUMIFS(Лэндинг!$H$5:$H$300,Лэндинг!$E$5:$E$300,$B41)+SUMIFS(Закрытые!$H$5:$H$300,Закрытые!$E$5:$E$300,$B41,Закрытые!$B$5:$B$300,"L-*"))</f>
        <v/>
      </c>
      <c r="F41" s="240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>
        <f>IF(F41="","",SUMIFS(Лэндинг!$K$5:$K$300,Лэндинг!$E$5:$E$300,$B41)+SUMIFS(Закрытые!$K$5:$K$300,Закрытые!$E$5:$E$300,$B41,Закрытые!$B$5:$B$300,"L-*"))</f>
        <v/>
      </c>
      <c r="I41" s="240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>
        <f>IF($B41="","",ROUND(SUMIFS(Закрытые!$N$5:$N$300,Закрытые!$E$5:$E$300,$B41,Закрытые!$B$5:$B$300,"L-*"),8))</f>
        <v/>
      </c>
      <c r="L41" s="177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>
        <f>IF(C42="","",SUMIFS(Лэндинг!$H$5:$H$300,Лэндинг!$E$5:$E$300,$B42)+SUMIFS(Закрытые!$H$5:$H$300,Закрытые!$E$5:$E$300,$B42,Закрытые!$B$5:$B$300,"L-*"))</f>
        <v/>
      </c>
      <c r="F42" s="246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>
        <f>IF(F42="","",SUMIFS(Лэндинг!$K$5:$K$300,Лэндинг!$E$5:$E$300,$B42)+SUMIFS(Закрытые!$K$5:$K$300,Закрытые!$E$5:$E$300,$B42,Закрытые!$B$5:$B$300,"L-*"))</f>
        <v/>
      </c>
      <c r="I42" s="246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>
        <f>IF($B42="","",ROUND(SUMIFS(Закрытые!$N$5:$N$300,Закрытые!$E$5:$E$300,$B42,Закрытые!$B$5:$B$300,"L-*"),8))</f>
        <v/>
      </c>
      <c r="L42" s="183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>
        <f>IF(C43="","",SUMIFS(Лэндинг!$H$5:$H$300,Лэндинг!$E$5:$E$300,$B43)+SUMIFS(Закрытые!$H$5:$H$300,Закрытые!$E$5:$E$300,$B43,Закрытые!$B$5:$B$300,"L-*"))</f>
        <v/>
      </c>
      <c r="F43" s="240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>
        <f>IF(F43="","",SUMIFS(Лэндинг!$K$5:$K$300,Лэндинг!$E$5:$E$300,$B43)+SUMIFS(Закрытые!$K$5:$K$300,Закрытые!$E$5:$E$300,$B43,Закрытые!$B$5:$B$300,"L-*"))</f>
        <v/>
      </c>
      <c r="I43" s="240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>
        <f>IF($B43="","",ROUND(SUMIFS(Закрытые!$N$5:$N$300,Закрытые!$E$5:$E$300,$B43,Закрытые!$B$5:$B$300,"L-*"),8))</f>
        <v/>
      </c>
      <c r="L43" s="177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>
        <f>IF(C44="","",SUMIFS(Лэндинг!$H$5:$H$300,Лэндинг!$E$5:$E$300,$B44)+SUMIFS(Закрытые!$H$5:$H$300,Закрытые!$E$5:$E$300,$B44,Закрытые!$B$5:$B$300,"L-*"))</f>
        <v/>
      </c>
      <c r="F44" s="246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>
        <f>IF(F44="","",SUMIFS(Лэндинг!$K$5:$K$300,Лэндинг!$E$5:$E$300,$B44)+SUMIFS(Закрытые!$K$5:$K$300,Закрытые!$E$5:$E$300,$B44,Закрытые!$B$5:$B$300,"L-*"))</f>
        <v/>
      </c>
      <c r="I44" s="246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>
        <f>IF($B44="","",ROUND(SUMIFS(Закрытые!$N$5:$N$300,Закрытые!$E$5:$E$300,$B44,Закрытые!$B$5:$B$300,"L-*"),8))</f>
        <v/>
      </c>
      <c r="L44" s="183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>
        <f>IF(C45="","",SUMIFS(Лэндинг!$H$5:$H$300,Лэндинг!$E$5:$E$300,$B45)+SUMIFS(Закрытые!$H$5:$H$300,Закрытые!$E$5:$E$300,$B45,Закрытые!$B$5:$B$300,"L-*"))</f>
        <v/>
      </c>
      <c r="F45" s="240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>
        <f>IF(F45="","",SUMIFS(Лэндинг!$K$5:$K$300,Лэндинг!$E$5:$E$300,$B45)+SUMIFS(Закрытые!$K$5:$K$300,Закрытые!$E$5:$E$300,$B45,Закрытые!$B$5:$B$300,"L-*"))</f>
        <v/>
      </c>
      <c r="I45" s="240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>
        <f>IF($B45="","",ROUND(SUMIFS(Закрытые!$N$5:$N$300,Закрытые!$E$5:$E$300,$B45,Закрытые!$B$5:$B$300,"L-*"),8))</f>
        <v/>
      </c>
      <c r="L45" s="177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>
        <f>IF(C46="","",SUMIFS(Лэндинг!$H$5:$H$300,Лэндинг!$E$5:$E$300,$B46)+SUMIFS(Закрытые!$H$5:$H$300,Закрытые!$E$5:$E$300,$B46,Закрытые!$B$5:$B$300,"L-*"))</f>
        <v/>
      </c>
      <c r="F46" s="246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>
        <f>IF(F46="","",SUMIFS(Лэндинг!$K$5:$K$300,Лэндинг!$E$5:$E$300,$B46)+SUMIFS(Закрытые!$K$5:$K$300,Закрытые!$E$5:$E$300,$B46,Закрытые!$B$5:$B$300,"L-*"))</f>
        <v/>
      </c>
      <c r="I46" s="246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>
        <f>IF($B46="","",ROUND(SUMIFS(Закрытые!$N$5:$N$300,Закрытые!$E$5:$E$300,$B46,Закрытые!$B$5:$B$300,"L-*"),8))</f>
        <v/>
      </c>
      <c r="L46" s="183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>
        <f>IF(C47="","",SUMIFS(Лэндинг!$H$5:$H$300,Лэндинг!$E$5:$E$300,$B47)+SUMIFS(Закрытые!$H$5:$H$300,Закрытые!$E$5:$E$300,$B47,Закрытые!$B$5:$B$300,"L-*"))</f>
        <v/>
      </c>
      <c r="F47" s="240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>
        <f>IF(F47="","",SUMIFS(Лэндинг!$K$5:$K$300,Лэндинг!$E$5:$E$300,$B47)+SUMIFS(Закрытые!$K$5:$K$300,Закрытые!$E$5:$E$300,$B47,Закрытые!$B$5:$B$300,"L-*"))</f>
        <v/>
      </c>
      <c r="I47" s="240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>
        <f>IF($B47="","",ROUND(SUMIFS(Закрытые!$N$5:$N$300,Закрытые!$E$5:$E$300,$B47,Закрытые!$B$5:$B$300,"L-*"),8))</f>
        <v/>
      </c>
      <c r="L47" s="177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>
        <f>IF(C48="","",SUMIFS(Лэндинг!$H$5:$H$300,Лэндинг!$E$5:$E$300,$B48)+SUMIFS(Закрытые!$H$5:$H$300,Закрытые!$E$5:$E$300,$B48,Закрытые!$B$5:$B$300,"L-*"))</f>
        <v/>
      </c>
      <c r="F48" s="246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>
        <f>IF(F48="","",SUMIFS(Лэндинг!$K$5:$K$300,Лэндинг!$E$5:$E$300,$B48)+SUMIFS(Закрытые!$K$5:$K$300,Закрытые!$E$5:$E$300,$B48,Закрытые!$B$5:$B$300,"L-*"))</f>
        <v/>
      </c>
      <c r="I48" s="246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>
        <f>IF($B48="","",ROUND(SUMIFS(Закрытые!$N$5:$N$300,Закрытые!$E$5:$E$300,$B48,Закрытые!$B$5:$B$300,"L-*"),8))</f>
        <v/>
      </c>
      <c r="L48" s="183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>
        <f>IF(C49="","",SUMIFS(Лэндинг!$H$5:$H$300,Лэндинг!$E$5:$E$300,$B49)+SUMIFS(Закрытые!$H$5:$H$300,Закрытые!$E$5:$E$300,$B49,Закрытые!$B$5:$B$300,"L-*"))</f>
        <v/>
      </c>
      <c r="F49" s="240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>
        <f>IF(F49="","",SUMIFS(Лэндинг!$K$5:$K$300,Лэндинг!$E$5:$E$300,$B49)+SUMIFS(Закрытые!$K$5:$K$300,Закрытые!$E$5:$E$300,$B49,Закрытые!$B$5:$B$300,"L-*"))</f>
        <v/>
      </c>
      <c r="I49" s="240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>
        <f>IF($B49="","",ROUND(SUMIFS(Закрытые!$N$5:$N$300,Закрытые!$E$5:$E$300,$B49,Закрытые!$B$5:$B$300,"L-*"),8))</f>
        <v/>
      </c>
      <c r="L49" s="177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>
        <f>IF(C50="","",SUMIFS(Лэндинг!$H$5:$H$300,Лэндинг!$E$5:$E$300,$B50)+SUMIFS(Закрытые!$H$5:$H$300,Закрытые!$E$5:$E$300,$B50,Закрытые!$B$5:$B$300,"L-*"))</f>
        <v/>
      </c>
      <c r="F50" s="246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>
        <f>IF(F50="","",SUMIFS(Лэндинг!$K$5:$K$300,Лэндинг!$E$5:$E$300,$B50)+SUMIFS(Закрытые!$K$5:$K$300,Закрытые!$E$5:$E$300,$B50,Закрытые!$B$5:$B$300,"L-*"))</f>
        <v/>
      </c>
      <c r="I50" s="246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>
        <f>IF($B50="","",ROUND(SUMIFS(Закрытые!$N$5:$N$300,Закрытые!$E$5:$E$300,$B50,Закрытые!$B$5:$B$300,"L-*"),8))</f>
        <v/>
      </c>
      <c r="L50" s="183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>
        <f>IF(C51="","",SUMIFS(Лэндинг!$H$5:$H$300,Лэндинг!$E$5:$E$300,$B51)+SUMIFS(Закрытые!$H$5:$H$300,Закрытые!$E$5:$E$300,$B51,Закрытые!$B$5:$B$300,"L-*"))</f>
        <v/>
      </c>
      <c r="F51" s="240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>
        <f>IF(F51="","",SUMIFS(Лэндинг!$K$5:$K$300,Лэндинг!$E$5:$E$300,$B51)+SUMIFS(Закрытые!$K$5:$K$300,Закрытые!$E$5:$E$300,$B51,Закрытые!$B$5:$B$300,"L-*"))</f>
        <v/>
      </c>
      <c r="I51" s="240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>
        <f>IF($B51="","",ROUND(SUMIFS(Закрытые!$N$5:$N$300,Закрытые!$E$5:$E$300,$B51,Закрытые!$B$5:$B$300,"L-*"),8))</f>
        <v/>
      </c>
      <c r="L51" s="177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>
        <f>IF(C52="","",SUMIFS(Лэндинг!$H$5:$H$300,Лэндинг!$E$5:$E$300,$B52)+SUMIFS(Закрытые!$H$5:$H$300,Закрытые!$E$5:$E$300,$B52,Закрытые!$B$5:$B$300,"L-*"))</f>
        <v/>
      </c>
      <c r="F52" s="246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>
        <f>IF(F52="","",SUMIFS(Лэндинг!$K$5:$K$300,Лэндинг!$E$5:$E$300,$B52)+SUMIFS(Закрытые!$K$5:$K$300,Закрытые!$E$5:$E$300,$B52,Закрытые!$B$5:$B$300,"L-*"))</f>
        <v/>
      </c>
      <c r="I52" s="246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>
        <f>IF($B52="","",ROUND(SUMIFS(Закрытые!$N$5:$N$300,Закрытые!$E$5:$E$300,$B52,Закрытые!$B$5:$B$300,"L-*"),8))</f>
        <v/>
      </c>
      <c r="L52" s="183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>
        <f>IF(C53="","",SUMIFS(Лэндинг!$H$5:$H$300,Лэндинг!$E$5:$E$300,$B53)+SUMIFS(Закрытые!$H$5:$H$300,Закрытые!$E$5:$E$300,$B53,Закрытые!$B$5:$B$300,"L-*"))</f>
        <v/>
      </c>
      <c r="F53" s="240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>
        <f>IF(F53="","",SUMIFS(Лэндинг!$K$5:$K$300,Лэндинг!$E$5:$E$300,$B53)+SUMIFS(Закрытые!$K$5:$K$300,Закрытые!$E$5:$E$300,$B53,Закрытые!$B$5:$B$300,"L-*"))</f>
        <v/>
      </c>
      <c r="I53" s="240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>
        <f>IF($B53="","",ROUND(SUMIFS(Закрытые!$N$5:$N$300,Закрытые!$E$5:$E$300,$B53,Закрытые!$B$5:$B$300,"L-*"),8))</f>
        <v/>
      </c>
      <c r="L53" s="177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>
        <f>IF(C54="","",SUMIFS(Лэндинг!$H$5:$H$300,Лэндинг!$E$5:$E$300,$B54)+SUMIFS(Закрытые!$H$5:$H$300,Закрытые!$E$5:$E$300,$B54,Закрытые!$B$5:$B$300,"L-*"))</f>
        <v/>
      </c>
      <c r="F54" s="246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>
        <f>IF(F54="","",SUMIFS(Лэндинг!$K$5:$K$300,Лэндинг!$E$5:$E$300,$B54)+SUMIFS(Закрытые!$K$5:$K$300,Закрытые!$E$5:$E$300,$B54,Закрытые!$B$5:$B$300,"L-*"))</f>
        <v/>
      </c>
      <c r="I54" s="246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>
        <f>IF($B54="","",ROUND(SUMIFS(Закрытые!$N$5:$N$300,Закрытые!$E$5:$E$300,$B54,Закрытые!$B$5:$B$300,"L-*"),8))</f>
        <v/>
      </c>
      <c r="L54" s="183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>
        <f>IF(C55="","",SUMIFS(Лэндинг!$H$5:$H$300,Лэндинг!$E$5:$E$300,$B55)+SUMIFS(Закрытые!$H$5:$H$300,Закрытые!$E$5:$E$300,$B55,Закрытые!$B$5:$B$300,"L-*"))</f>
        <v/>
      </c>
      <c r="F55" s="240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>
        <f>IF(F55="","",SUMIFS(Лэндинг!$K$5:$K$300,Лэндинг!$E$5:$E$300,$B55)+SUMIFS(Закрытые!$K$5:$K$300,Закрытые!$E$5:$E$300,$B55,Закрытые!$B$5:$B$300,"L-*"))</f>
        <v/>
      </c>
      <c r="I55" s="240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>
        <f>IF($B55="","",ROUND(SUMIFS(Закрытые!$N$5:$N$300,Закрытые!$E$5:$E$300,$B55,Закрытые!$B$5:$B$300,"L-*"),8))</f>
        <v/>
      </c>
      <c r="L55" s="177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>
        <f>IF(C56="","",SUMIFS(Лэндинг!$H$5:$H$300,Лэндинг!$E$5:$E$300,$B56)+SUMIFS(Закрытые!$H$5:$H$300,Закрытые!$E$5:$E$300,$B56,Закрытые!$B$5:$B$300,"L-*"))</f>
        <v/>
      </c>
      <c r="F56" s="246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>
        <f>IF(F56="","",SUMIFS(Лэндинг!$K$5:$K$300,Лэндинг!$E$5:$E$300,$B56)+SUMIFS(Закрытые!$K$5:$K$300,Закрытые!$E$5:$E$300,$B56,Закрытые!$B$5:$B$300,"L-*"))</f>
        <v/>
      </c>
      <c r="I56" s="246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>
        <f>IF($B56="","",ROUND(SUMIFS(Закрытые!$N$5:$N$300,Закрытые!$E$5:$E$300,$B56,Закрытые!$B$5:$B$300,"L-*"),8))</f>
        <v/>
      </c>
      <c r="L56" s="183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>
        <f>IF(C57="","",SUMIFS(Лэндинг!$H$5:$H$300,Лэндинг!$E$5:$E$300,$B57)+SUMIFS(Закрытые!$H$5:$H$300,Закрытые!$E$5:$E$300,$B57,Закрытые!$B$5:$B$300,"L-*"))</f>
        <v/>
      </c>
      <c r="F57" s="240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>
        <f>IF(F57="","",SUMIFS(Лэндинг!$K$5:$K$300,Лэндинг!$E$5:$E$300,$B57)+SUMIFS(Закрытые!$K$5:$K$300,Закрытые!$E$5:$E$300,$B57,Закрытые!$B$5:$B$300,"L-*"))</f>
        <v/>
      </c>
      <c r="I57" s="240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>
        <f>IF($B57="","",ROUND(SUMIFS(Закрытые!$N$5:$N$300,Закрытые!$E$5:$E$300,$B57,Закрытые!$B$5:$B$300,"L-*"),8))</f>
        <v/>
      </c>
      <c r="L57" s="177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>
        <f>IF(C58="","",SUMIFS(Лэндинг!$H$5:$H$300,Лэндинг!$E$5:$E$300,$B58)+SUMIFS(Закрытые!$H$5:$H$300,Закрытые!$E$5:$E$300,$B58,Закрытые!$B$5:$B$300,"L-*"))</f>
        <v/>
      </c>
      <c r="F58" s="246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>
        <f>IF(F58="","",SUMIFS(Лэндинг!$K$5:$K$300,Лэндинг!$E$5:$E$300,$B58)+SUMIFS(Закрытые!$K$5:$K$300,Закрытые!$E$5:$E$300,$B58,Закрытые!$B$5:$B$300,"L-*"))</f>
        <v/>
      </c>
      <c r="I58" s="246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>
        <f>IF($B58="","",ROUND(SUMIFS(Закрытые!$N$5:$N$300,Закрытые!$E$5:$E$300,$B58,Закрытые!$B$5:$B$300,"L-*"),8))</f>
        <v/>
      </c>
      <c r="L58" s="183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>
        <f>IF(C59="","",SUMIFS(Лэндинг!$H$5:$H$300,Лэндинг!$E$5:$E$300,$B59)+SUMIFS(Закрытые!$H$5:$H$300,Закрытые!$E$5:$E$300,$B59,Закрытые!$B$5:$B$300,"L-*"))</f>
        <v/>
      </c>
      <c r="F59" s="240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>
        <f>IF(F59="","",SUMIFS(Лэндинг!$K$5:$K$300,Лэндинг!$E$5:$E$300,$B59)+SUMIFS(Закрытые!$K$5:$K$300,Закрытые!$E$5:$E$300,$B59,Закрытые!$B$5:$B$300,"L-*"))</f>
        <v/>
      </c>
      <c r="I59" s="240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>
        <f>IF($B59="","",ROUND(SUMIFS(Закрытые!$N$5:$N$300,Закрытые!$E$5:$E$300,$B59,Закрытые!$B$5:$B$300,"L-*"),8))</f>
        <v/>
      </c>
      <c r="L59" s="177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>
        <f>IF(C60="","",SUMIFS(Лэндинг!$H$5:$H$300,Лэндинг!$E$5:$E$300,$B60)+SUMIFS(Закрытые!$H$5:$H$300,Закрытые!$E$5:$E$300,$B60,Закрытые!$B$5:$B$300,"L-*"))</f>
        <v/>
      </c>
      <c r="F60" s="246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>
        <f>IF(F60="","",SUMIFS(Лэндинг!$K$5:$K$300,Лэндинг!$E$5:$E$300,$B60)+SUMIFS(Закрытые!$K$5:$K$300,Закрытые!$E$5:$E$300,$B60,Закрытые!$B$5:$B$300,"L-*"))</f>
        <v/>
      </c>
      <c r="I60" s="246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>
        <f>IF($B60="","",ROUND(SUMIFS(Закрытые!$N$5:$N$300,Закрытые!$E$5:$E$300,$B60,Закрытые!$B$5:$B$300,"L-*"),8))</f>
        <v/>
      </c>
      <c r="L60" s="183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>
        <f>IF(C61="","",SUMIFS(Лэндинг!$H$5:$H$300,Лэндинг!$E$5:$E$300,$B61)+SUMIFS(Закрытые!$H$5:$H$300,Закрытые!$E$5:$E$300,$B61,Закрытые!$B$5:$B$300,"L-*"))</f>
        <v/>
      </c>
      <c r="F61" s="240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>
        <f>IF(F61="","",SUMIFS(Лэндинг!$K$5:$K$300,Лэндинг!$E$5:$E$300,$B61)+SUMIFS(Закрытые!$K$5:$K$300,Закрытые!$E$5:$E$300,$B61,Закрытые!$B$5:$B$300,"L-*"))</f>
        <v/>
      </c>
      <c r="I61" s="240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>
        <f>IF($B61="","",ROUND(SUMIFS(Закрытые!$N$5:$N$300,Закрытые!$E$5:$E$300,$B61,Закрытые!$B$5:$B$300,"L-*"),8))</f>
        <v/>
      </c>
      <c r="L61" s="177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>
        <f>IF(C62="","",SUMIFS(Лэндинг!$H$5:$H$300,Лэндинг!$E$5:$E$300,$B62)+SUMIFS(Закрытые!$H$5:$H$300,Закрытые!$E$5:$E$300,$B62,Закрытые!$B$5:$B$300,"L-*"))</f>
        <v/>
      </c>
      <c r="F62" s="246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>
        <f>IF(F62="","",SUMIFS(Лэндинг!$K$5:$K$300,Лэндинг!$E$5:$E$300,$B62)+SUMIFS(Закрытые!$K$5:$K$300,Закрытые!$E$5:$E$300,$B62,Закрытые!$B$5:$B$300,"L-*"))</f>
        <v/>
      </c>
      <c r="I62" s="246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>
        <f>IF($B62="","",ROUND(SUMIFS(Закрытые!$N$5:$N$300,Закрытые!$E$5:$E$300,$B62,Закрытые!$B$5:$B$300,"L-*"),8))</f>
        <v/>
      </c>
      <c r="L62" s="183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>
        <f>IF(C63="","",SUMIFS(Лэндинг!$H$5:$H$300,Лэндинг!$E$5:$E$300,$B63)+SUMIFS(Закрытые!$H$5:$H$300,Закрытые!$E$5:$E$300,$B63,Закрытые!$B$5:$B$300,"L-*"))</f>
        <v/>
      </c>
      <c r="F63" s="240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>
        <f>IF(F63="","",SUMIFS(Лэндинг!$K$5:$K$300,Лэндинг!$E$5:$E$300,$B63)+SUMIFS(Закрытые!$K$5:$K$300,Закрытые!$E$5:$E$300,$B63,Закрытые!$B$5:$B$300,"L-*"))</f>
        <v/>
      </c>
      <c r="I63" s="240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>
        <f>IF($B63="","",ROUND(SUMIFS(Закрытые!$N$5:$N$300,Закрытые!$E$5:$E$300,$B63,Закрытые!$B$5:$B$300,"L-*"),8))</f>
        <v/>
      </c>
      <c r="L63" s="177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>
        <f>IF(C64="","",SUMIFS(Лэндинг!$H$5:$H$300,Лэндинг!$E$5:$E$300,$B64)+SUMIFS(Закрытые!$H$5:$H$300,Закрытые!$E$5:$E$300,$B64,Закрытые!$B$5:$B$300,"L-*"))</f>
        <v/>
      </c>
      <c r="F64" s="246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>
        <f>IF(F64="","",SUMIFS(Лэндинг!$K$5:$K$300,Лэндинг!$E$5:$E$300,$B64)+SUMIFS(Закрытые!$K$5:$K$300,Закрытые!$E$5:$E$300,$B64,Закрытые!$B$5:$B$300,"L-*"))</f>
        <v/>
      </c>
      <c r="I64" s="246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>
        <f>IF($B64="","",ROUND(SUMIFS(Закрытые!$N$5:$N$300,Закрытые!$E$5:$E$300,$B64,Закрытые!$B$5:$B$300,"L-*"),8))</f>
        <v/>
      </c>
      <c r="L64" s="183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>
        <f>IF(C65="","",SUMIFS(Лэндинг!$H$5:$H$300,Лэндинг!$E$5:$E$300,$B65)+SUMIFS(Закрытые!$H$5:$H$300,Закрытые!$E$5:$E$300,$B65,Закрытые!$B$5:$B$300,"L-*"))</f>
        <v/>
      </c>
      <c r="F65" s="240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>
        <f>IF(F65="","",SUMIFS(Лэндинг!$K$5:$K$300,Лэндинг!$E$5:$E$300,$B65)+SUMIFS(Закрытые!$K$5:$K$300,Закрытые!$E$5:$E$300,$B65,Закрытые!$B$5:$B$300,"L-*"))</f>
        <v/>
      </c>
      <c r="I65" s="240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>
        <f>IF($B65="","",ROUND(SUMIFS(Закрытые!$N$5:$N$300,Закрытые!$E$5:$E$300,$B65,Закрытые!$B$5:$B$300,"L-*"),8))</f>
        <v/>
      </c>
      <c r="L65" s="177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>
        <f>IF(C66="","",SUMIFS(Лэндинг!$H$5:$H$300,Лэндинг!$E$5:$E$300,$B66)+SUMIFS(Закрытые!$H$5:$H$300,Закрытые!$E$5:$E$300,$B66,Закрытые!$B$5:$B$300,"L-*"))</f>
        <v/>
      </c>
      <c r="F66" s="246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>
        <f>IF(F66="","",SUMIFS(Лэндинг!$K$5:$K$300,Лэндинг!$E$5:$E$300,$B66)+SUMIFS(Закрытые!$K$5:$K$300,Закрытые!$E$5:$E$300,$B66,Закрытые!$B$5:$B$300,"L-*"))</f>
        <v/>
      </c>
      <c r="I66" s="246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>
        <f>IF($B66="","",ROUND(SUMIFS(Закрытые!$N$5:$N$300,Закрытые!$E$5:$E$300,$B66,Закрытые!$B$5:$B$300,"L-*"),8))</f>
        <v/>
      </c>
      <c r="L66" s="183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>
        <f>IF(C67="","",SUMIFS(Лэндинг!$H$5:$H$300,Лэндинг!$E$5:$E$300,$B67)+SUMIFS(Закрытые!$H$5:$H$300,Закрытые!$E$5:$E$300,$B67,Закрытые!$B$5:$B$300,"L-*"))</f>
        <v/>
      </c>
      <c r="F67" s="240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>
        <f>IF(F67="","",SUMIFS(Лэндинг!$K$5:$K$300,Лэндинг!$E$5:$E$300,$B67)+SUMIFS(Закрытые!$K$5:$K$300,Закрытые!$E$5:$E$300,$B67,Закрытые!$B$5:$B$300,"L-*"))</f>
        <v/>
      </c>
      <c r="I67" s="240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>
        <f>IF($B67="","",ROUND(SUMIFS(Закрытые!$N$5:$N$300,Закрытые!$E$5:$E$300,$B67,Закрытые!$B$5:$B$300,"L-*"),8))</f>
        <v/>
      </c>
      <c r="L67" s="177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>
        <f>IF(C68="","",SUMIFS(Лэндинг!$H$5:$H$300,Лэндинг!$E$5:$E$300,$B68)+SUMIFS(Закрытые!$H$5:$H$300,Закрытые!$E$5:$E$300,$B68,Закрытые!$B$5:$B$300,"L-*"))</f>
        <v/>
      </c>
      <c r="F68" s="246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>
        <f>IF(F68="","",SUMIFS(Лэндинг!$K$5:$K$300,Лэндинг!$E$5:$E$300,$B68)+SUMIFS(Закрытые!$K$5:$K$300,Закрытые!$E$5:$E$300,$B68,Закрытые!$B$5:$B$300,"L-*"))</f>
        <v/>
      </c>
      <c r="I68" s="246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>
        <f>IF($B68="","",ROUND(SUMIFS(Закрытые!$N$5:$N$300,Закрытые!$E$5:$E$300,$B68,Закрытые!$B$5:$B$300,"L-*"),8))</f>
        <v/>
      </c>
      <c r="L68" s="183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>
        <f>IF(C69="","",SUMIFS(Лэндинг!$H$5:$H$300,Лэндинг!$E$5:$E$300,$B69)+SUMIFS(Закрытые!$H$5:$H$300,Закрытые!$E$5:$E$300,$B69,Закрытые!$B$5:$B$300,"L-*"))</f>
        <v/>
      </c>
      <c r="F69" s="240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>
        <f>IF(F69="","",SUMIFS(Лэндинг!$K$5:$K$300,Лэндинг!$E$5:$E$300,$B69)+SUMIFS(Закрытые!$K$5:$K$300,Закрытые!$E$5:$E$300,$B69,Закрытые!$B$5:$B$300,"L-*"))</f>
        <v/>
      </c>
      <c r="I69" s="240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>
        <f>IF($B69="","",ROUND(SUMIFS(Закрытые!$N$5:$N$300,Закрытые!$E$5:$E$300,$B69,Закрытые!$B$5:$B$300,"L-*"),8))</f>
        <v/>
      </c>
      <c r="L69" s="177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>
        <f>IF(C70="","",SUMIFS(Лэндинг!$H$5:$H$300,Лэндинг!$E$5:$E$300,$B70)+SUMIFS(Закрытые!$H$5:$H$300,Закрытые!$E$5:$E$300,$B70,Закрытые!$B$5:$B$300,"L-*"))</f>
        <v/>
      </c>
      <c r="F70" s="246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>
        <f>IF(F70="","",SUMIFS(Лэндинг!$K$5:$K$300,Лэндинг!$E$5:$E$300,$B70)+SUMIFS(Закрытые!$K$5:$K$300,Закрытые!$E$5:$E$300,$B70,Закрытые!$B$5:$B$300,"L-*"))</f>
        <v/>
      </c>
      <c r="I70" s="246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>
        <f>IF($B70="","",ROUND(SUMIFS(Закрытые!$N$5:$N$300,Закрытые!$E$5:$E$300,$B70,Закрытые!$B$5:$B$300,"L-*"),8))</f>
        <v/>
      </c>
      <c r="L70" s="183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>
        <f>IF(C71="","",SUMIFS(Лэндинг!$H$5:$H$300,Лэндинг!$E$5:$E$300,$B71)+SUMIFS(Закрытые!$H$5:$H$300,Закрытые!$E$5:$E$300,$B71,Закрытые!$B$5:$B$300,"L-*"))</f>
        <v/>
      </c>
      <c r="F71" s="240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>
        <f>IF(F71="","",SUMIFS(Лэндинг!$K$5:$K$300,Лэндинг!$E$5:$E$300,$B71)+SUMIFS(Закрытые!$K$5:$K$300,Закрытые!$E$5:$E$300,$B71,Закрытые!$B$5:$B$300,"L-*"))</f>
        <v/>
      </c>
      <c r="I71" s="240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>
        <f>IF($B71="","",ROUND(SUMIFS(Закрытые!$N$5:$N$300,Закрытые!$E$5:$E$300,$B71,Закрытые!$B$5:$B$300,"L-*"),8))</f>
        <v/>
      </c>
      <c r="L71" s="177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>
        <f>IF(C72="","",SUMIFS(Лэндинг!$H$5:$H$300,Лэндинг!$E$5:$E$300,$B72)+SUMIFS(Закрытые!$H$5:$H$300,Закрытые!$E$5:$E$300,$B72,Закрытые!$B$5:$B$300,"L-*"))</f>
        <v/>
      </c>
      <c r="F72" s="246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>
        <f>IF(F72="","",SUMIFS(Лэндинг!$K$5:$K$300,Лэндинг!$E$5:$E$300,$B72)+SUMIFS(Закрытые!$K$5:$K$300,Закрытые!$E$5:$E$300,$B72,Закрытые!$B$5:$B$300,"L-*"))</f>
        <v/>
      </c>
      <c r="I72" s="246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>
        <f>IF($B72="","",ROUND(SUMIFS(Закрытые!$N$5:$N$300,Закрытые!$E$5:$E$300,$B72,Закрытые!$B$5:$B$300,"L-*"),8))</f>
        <v/>
      </c>
      <c r="L72" s="183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>
        <f>IF(C73="","",SUMIFS(Лэндинг!$H$5:$H$300,Лэндинг!$E$5:$E$300,$B73)+SUMIFS(Закрытые!$H$5:$H$300,Закрытые!$E$5:$E$300,$B73,Закрытые!$B$5:$B$300,"L-*"))</f>
        <v/>
      </c>
      <c r="F73" s="240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>
        <f>IF(F73="","",SUMIFS(Лэндинг!$K$5:$K$300,Лэндинг!$E$5:$E$300,$B73)+SUMIFS(Закрытые!$K$5:$K$300,Закрытые!$E$5:$E$300,$B73,Закрытые!$B$5:$B$300,"L-*"))</f>
        <v/>
      </c>
      <c r="I73" s="240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>
        <f>IF($B73="","",ROUND(SUMIFS(Закрытые!$N$5:$N$300,Закрытые!$E$5:$E$300,$B73,Закрытые!$B$5:$B$300,"L-*"),8))</f>
        <v/>
      </c>
      <c r="L73" s="177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>
        <f>IF(C74="","",SUMIFS(Лэндинг!$H$5:$H$300,Лэндинг!$E$5:$E$300,$B74)+SUMIFS(Закрытые!$H$5:$H$300,Закрытые!$E$5:$E$300,$B74,Закрытые!$B$5:$B$300,"L-*"))</f>
        <v/>
      </c>
      <c r="F74" s="246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>
        <f>IF(F74="","",SUMIFS(Лэндинг!$K$5:$K$300,Лэндинг!$E$5:$E$300,$B74)+SUMIFS(Закрытые!$K$5:$K$300,Закрытые!$E$5:$E$300,$B74,Закрытые!$B$5:$B$300,"L-*"))</f>
        <v/>
      </c>
      <c r="I74" s="246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>
        <f>IF($B74="","",ROUND(SUMIFS(Закрытые!$N$5:$N$300,Закрытые!$E$5:$E$300,$B74,Закрытые!$B$5:$B$300,"L-*"),8))</f>
        <v/>
      </c>
      <c r="L74" s="183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>
        <f>IF(C75="","",SUMIFS(Лэндинг!$H$5:$H$300,Лэндинг!$E$5:$E$300,$B75)+SUMIFS(Закрытые!$H$5:$H$300,Закрытые!$E$5:$E$300,$B75,Закрытые!$B$5:$B$300,"L-*"))</f>
        <v/>
      </c>
      <c r="F75" s="240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>
        <f>IF(F75="","",SUMIFS(Лэндинг!$K$5:$K$300,Лэндинг!$E$5:$E$300,$B75)+SUMIFS(Закрытые!$K$5:$K$300,Закрытые!$E$5:$E$300,$B75,Закрытые!$B$5:$B$300,"L-*"))</f>
        <v/>
      </c>
      <c r="I75" s="240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>
        <f>IF($B75="","",ROUND(SUMIFS(Закрытые!$N$5:$N$300,Закрытые!$E$5:$E$300,$B75,Закрытые!$B$5:$B$300,"L-*"),8))</f>
        <v/>
      </c>
      <c r="L75" s="177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>
        <f>IF(C76="","",SUMIFS(Лэндинг!$H$5:$H$300,Лэндинг!$E$5:$E$300,$B76)+SUMIFS(Закрытые!$H$5:$H$300,Закрытые!$E$5:$E$300,$B76,Закрытые!$B$5:$B$300,"L-*"))</f>
        <v/>
      </c>
      <c r="F76" s="246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>
        <f>IF(F76="","",SUMIFS(Лэндинг!$K$5:$K$300,Лэндинг!$E$5:$E$300,$B76)+SUMIFS(Закрытые!$K$5:$K$300,Закрытые!$E$5:$E$300,$B76,Закрытые!$B$5:$B$300,"L-*"))</f>
        <v/>
      </c>
      <c r="I76" s="246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>
        <f>IF($B76="","",ROUND(SUMIFS(Закрытые!$N$5:$N$300,Закрытые!$E$5:$E$300,$B76,Закрытые!$B$5:$B$300,"L-*"),8))</f>
        <v/>
      </c>
      <c r="L76" s="183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>
        <f>IF(C77="","",SUMIFS(Лэндинг!$H$5:$H$300,Лэндинг!$E$5:$E$300,$B77)+SUMIFS(Закрытые!$H$5:$H$300,Закрытые!$E$5:$E$300,$B77,Закрытые!$B$5:$B$300,"L-*"))</f>
        <v/>
      </c>
      <c r="F77" s="240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>
        <f>IF(F77="","",SUMIFS(Лэндинг!$K$5:$K$300,Лэндинг!$E$5:$E$300,$B77)+SUMIFS(Закрытые!$K$5:$K$300,Закрытые!$E$5:$E$300,$B77,Закрытые!$B$5:$B$300,"L-*"))</f>
        <v/>
      </c>
      <c r="I77" s="240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>
        <f>IF($B77="","",ROUND(SUMIFS(Закрытые!$N$5:$N$300,Закрытые!$E$5:$E$300,$B77,Закрытые!$B$5:$B$300,"L-*"),8))</f>
        <v/>
      </c>
      <c r="L77" s="177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>
        <f>IF(C78="","",SUMIFS(Лэндинг!$H$5:$H$300,Лэндинг!$E$5:$E$300,$B78)+SUMIFS(Закрытые!$H$5:$H$300,Закрытые!$E$5:$E$300,$B78,Закрытые!$B$5:$B$300,"L-*"))</f>
        <v/>
      </c>
      <c r="F78" s="246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>
        <f>IF(F78="","",SUMIFS(Лэндинг!$K$5:$K$300,Лэндинг!$E$5:$E$300,$B78)+SUMIFS(Закрытые!$K$5:$K$300,Закрытые!$E$5:$E$300,$B78,Закрытые!$B$5:$B$300,"L-*"))</f>
        <v/>
      </c>
      <c r="I78" s="246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>
        <f>IF($B78="","",ROUND(SUMIFS(Закрытые!$N$5:$N$300,Закрытые!$E$5:$E$300,$B78,Закрытые!$B$5:$B$300,"L-*"),8))</f>
        <v/>
      </c>
      <c r="L78" s="183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>
        <f>IF(C79="","",SUMIFS(Лэндинг!$H$5:$H$300,Лэндинг!$E$5:$E$300,$B79)+SUMIFS(Закрытые!$H$5:$H$300,Закрытые!$E$5:$E$300,$B79,Закрытые!$B$5:$B$300,"L-*"))</f>
        <v/>
      </c>
      <c r="F79" s="240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>
        <f>IF(F79="","",SUMIFS(Лэндинг!$K$5:$K$300,Лэндинг!$E$5:$E$300,$B79)+SUMIFS(Закрытые!$K$5:$K$300,Закрытые!$E$5:$E$300,$B79,Закрытые!$B$5:$B$300,"L-*"))</f>
        <v/>
      </c>
      <c r="I79" s="240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>
        <f>IF($B79="","",ROUND(SUMIFS(Закрытые!$N$5:$N$300,Закрытые!$E$5:$E$300,$B79,Закрытые!$B$5:$B$300,"L-*"),8))</f>
        <v/>
      </c>
      <c r="L79" s="177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>
        <f>IF(C80="","",SUMIFS(Лэндинг!$H$5:$H$300,Лэндинг!$E$5:$E$300,$B80)+SUMIFS(Закрытые!$H$5:$H$300,Закрытые!$E$5:$E$300,$B80,Закрытые!$B$5:$B$300,"L-*"))</f>
        <v/>
      </c>
      <c r="F80" s="246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>
        <f>IF(F80="","",SUMIFS(Лэндинг!$K$5:$K$300,Лэндинг!$E$5:$E$300,$B80)+SUMIFS(Закрытые!$K$5:$K$300,Закрытые!$E$5:$E$300,$B80,Закрытые!$B$5:$B$300,"L-*"))</f>
        <v/>
      </c>
      <c r="I80" s="246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>
        <f>IF($B80="","",ROUND(SUMIFS(Закрытые!$N$5:$N$300,Закрытые!$E$5:$E$300,$B80,Закрытые!$B$5:$B$300,"L-*"),8))</f>
        <v/>
      </c>
      <c r="L80" s="183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>
        <f>IF(C81="","",SUMIFS(Лэндинг!$H$5:$H$300,Лэндинг!$E$5:$E$300,$B81)+SUMIFS(Закрытые!$H$5:$H$300,Закрытые!$E$5:$E$300,$B81,Закрытые!$B$5:$B$300,"L-*"))</f>
        <v/>
      </c>
      <c r="F81" s="240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>
        <f>IF(F81="","",SUMIFS(Лэндинг!$K$5:$K$300,Лэндинг!$E$5:$E$300,$B81)+SUMIFS(Закрытые!$K$5:$K$300,Закрытые!$E$5:$E$300,$B81,Закрытые!$B$5:$B$300,"L-*"))</f>
        <v/>
      </c>
      <c r="I81" s="240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>
        <f>IF($B81="","",ROUND(SUMIFS(Закрытые!$N$5:$N$300,Закрытые!$E$5:$E$300,$B81,Закрытые!$B$5:$B$300,"L-*"),8))</f>
        <v/>
      </c>
      <c r="L81" s="177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>
        <f>IF(C82="","",SUMIFS(Лэндинг!$H$5:$H$300,Лэндинг!$E$5:$E$300,$B82)+SUMIFS(Закрытые!$H$5:$H$300,Закрытые!$E$5:$E$300,$B82,Закрытые!$B$5:$B$300,"L-*"))</f>
        <v/>
      </c>
      <c r="F82" s="246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>
        <f>IF(F82="","",SUMIFS(Лэндинг!$K$5:$K$300,Лэндинг!$E$5:$E$300,$B82)+SUMIFS(Закрытые!$K$5:$K$300,Закрытые!$E$5:$E$300,$B82,Закрытые!$B$5:$B$300,"L-*"))</f>
        <v/>
      </c>
      <c r="I82" s="246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>
        <f>IF($B82="","",ROUND(SUMIFS(Закрытые!$N$5:$N$300,Закрытые!$E$5:$E$300,$B82,Закрытые!$B$5:$B$300,"L-*"),8))</f>
        <v/>
      </c>
      <c r="L82" s="183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>
        <f>IF(C83="","",SUMIFS(Лэндинг!$H$5:$H$300,Лэндинг!$E$5:$E$300,$B83)+SUMIFS(Закрытые!$H$5:$H$300,Закрытые!$E$5:$E$300,$B83,Закрытые!$B$5:$B$300,"L-*"))</f>
        <v/>
      </c>
      <c r="F83" s="240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>
        <f>IF(F83="","",SUMIFS(Лэндинг!$K$5:$K$300,Лэндинг!$E$5:$E$300,$B83)+SUMIFS(Закрытые!$K$5:$K$300,Закрытые!$E$5:$E$300,$B83,Закрытые!$B$5:$B$300,"L-*"))</f>
        <v/>
      </c>
      <c r="I83" s="240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>
        <f>IF($B83="","",ROUND(SUMIFS(Закрытые!$N$5:$N$300,Закрытые!$E$5:$E$300,$B83,Закрытые!$B$5:$B$300,"L-*"),8))</f>
        <v/>
      </c>
      <c r="L83" s="177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>
        <f>IF(C84="","",SUMIFS(Лэндинг!$H$5:$H$300,Лэндинг!$E$5:$E$300,$B84)+SUMIFS(Закрытые!$H$5:$H$300,Закрытые!$E$5:$E$300,$B84,Закрытые!$B$5:$B$300,"L-*"))</f>
        <v/>
      </c>
      <c r="F84" s="246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>
        <f>IF(F84="","",SUMIFS(Лэндинг!$K$5:$K$300,Лэндинг!$E$5:$E$300,$B84)+SUMIFS(Закрытые!$K$5:$K$300,Закрытые!$E$5:$E$300,$B84,Закрытые!$B$5:$B$300,"L-*"))</f>
        <v/>
      </c>
      <c r="I84" s="246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>
        <f>IF($B84="","",ROUND(SUMIFS(Закрытые!$N$5:$N$300,Закрытые!$E$5:$E$300,$B84,Закрытые!$B$5:$B$300,"L-*"),8))</f>
        <v/>
      </c>
      <c r="L84" s="183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>
        <f>IF(C85="","",SUMIFS(Лэндинг!$H$5:$H$300,Лэндинг!$E$5:$E$300,$B85)+SUMIFS(Закрытые!$H$5:$H$300,Закрытые!$E$5:$E$300,$B85,Закрытые!$B$5:$B$300,"L-*"))</f>
        <v/>
      </c>
      <c r="F85" s="240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>
        <f>IF(F85="","",SUMIFS(Лэндинг!$K$5:$K$300,Лэндинг!$E$5:$E$300,$B85)+SUMIFS(Закрытые!$K$5:$K$300,Закрытые!$E$5:$E$300,$B85,Закрытые!$B$5:$B$300,"L-*"))</f>
        <v/>
      </c>
      <c r="I85" s="240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>
        <f>IF($B85="","",ROUND(SUMIFS(Закрытые!$N$5:$N$300,Закрытые!$E$5:$E$300,$B85,Закрытые!$B$5:$B$300,"L-*"),8))</f>
        <v/>
      </c>
      <c r="L85" s="177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>
        <f>IF(C86="","",SUMIFS(Лэндинг!$H$5:$H$300,Лэндинг!$E$5:$E$300,$B86)+SUMIFS(Закрытые!$H$5:$H$300,Закрытые!$E$5:$E$300,$B86,Закрытые!$B$5:$B$300,"L-*"))</f>
        <v/>
      </c>
      <c r="F86" s="246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>
        <f>IF(F86="","",SUMIFS(Лэндинг!$K$5:$K$300,Лэндинг!$E$5:$E$300,$B86)+SUMIFS(Закрытые!$K$5:$K$300,Закрытые!$E$5:$E$300,$B86,Закрытые!$B$5:$B$300,"L-*"))</f>
        <v/>
      </c>
      <c r="I86" s="246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>
        <f>IF($B86="","",ROUND(SUMIFS(Закрытые!$N$5:$N$300,Закрытые!$E$5:$E$300,$B86,Закрытые!$B$5:$B$300,"L-*"),8))</f>
        <v/>
      </c>
      <c r="L86" s="183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>
        <f>IF(C87="","",SUMIFS(Лэндинг!$H$5:$H$300,Лэндинг!$E$5:$E$300,$B87)+SUMIFS(Закрытые!$H$5:$H$300,Закрытые!$E$5:$E$300,$B87,Закрытые!$B$5:$B$300,"L-*"))</f>
        <v/>
      </c>
      <c r="F87" s="240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>
        <f>IF(F87="","",SUMIFS(Лэндинг!$K$5:$K$300,Лэндинг!$E$5:$E$300,$B87)+SUMIFS(Закрытые!$K$5:$K$300,Закрытые!$E$5:$E$300,$B87,Закрытые!$B$5:$B$300,"L-*"))</f>
        <v/>
      </c>
      <c r="I87" s="240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>
        <f>IF($B87="","",ROUND(SUMIFS(Закрытые!$N$5:$N$300,Закрытые!$E$5:$E$300,$B87,Закрытые!$B$5:$B$300,"L-*"),8))</f>
        <v/>
      </c>
      <c r="L87" s="177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>
        <f>IF(C88="","",SUMIFS(Лэндинг!$H$5:$H$300,Лэндинг!$E$5:$E$300,$B88)+SUMIFS(Закрытые!$H$5:$H$300,Закрытые!$E$5:$E$300,$B88,Закрытые!$B$5:$B$300,"L-*"))</f>
        <v/>
      </c>
      <c r="F88" s="246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>
        <f>IF(F88="","",SUMIFS(Лэндинг!$K$5:$K$300,Лэндинг!$E$5:$E$300,$B88)+SUMIFS(Закрытые!$K$5:$K$300,Закрытые!$E$5:$E$300,$B88,Закрытые!$B$5:$B$300,"L-*"))</f>
        <v/>
      </c>
      <c r="I88" s="246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>
        <f>IF($B88="","",ROUND(SUMIFS(Закрытые!$N$5:$N$300,Закрытые!$E$5:$E$300,$B88,Закрытые!$B$5:$B$300,"L-*"),8))</f>
        <v/>
      </c>
      <c r="L88" s="183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>
        <f>IF(C89="","",SUMIFS(Лэндинг!$H$5:$H$300,Лэндинг!$E$5:$E$300,$B89)+SUMIFS(Закрытые!$H$5:$H$300,Закрытые!$E$5:$E$300,$B89,Закрытые!$B$5:$B$300,"L-*"))</f>
        <v/>
      </c>
      <c r="F89" s="240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>
        <f>IF(F89="","",SUMIFS(Лэндинг!$K$5:$K$300,Лэндинг!$E$5:$E$300,$B89)+SUMIFS(Закрытые!$K$5:$K$300,Закрытые!$E$5:$E$300,$B89,Закрытые!$B$5:$B$300,"L-*"))</f>
        <v/>
      </c>
      <c r="I89" s="240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>
        <f>IF($B89="","",ROUND(SUMIFS(Закрытые!$N$5:$N$300,Закрытые!$E$5:$E$300,$B89,Закрытые!$B$5:$B$300,"L-*"),8))</f>
        <v/>
      </c>
      <c r="L89" s="177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>
        <f>IF(C90="","",SUMIFS(Лэндинг!$H$5:$H$300,Лэндинг!$E$5:$E$300,$B90)+SUMIFS(Закрытые!$H$5:$H$300,Закрытые!$E$5:$E$300,$B90,Закрытые!$B$5:$B$300,"L-*"))</f>
        <v/>
      </c>
      <c r="F90" s="246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>
        <f>IF(F90="","",SUMIFS(Лэндинг!$K$5:$K$300,Лэндинг!$E$5:$E$300,$B90)+SUMIFS(Закрытые!$K$5:$K$300,Закрытые!$E$5:$E$300,$B90,Закрытые!$B$5:$B$300,"L-*"))</f>
        <v/>
      </c>
      <c r="I90" s="246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>
        <f>IF($B90="","",ROUND(SUMIFS(Закрытые!$N$5:$N$300,Закрытые!$E$5:$E$300,$B90,Закрытые!$B$5:$B$300,"L-*"),8))</f>
        <v/>
      </c>
      <c r="L90" s="183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>
        <f>IF(C91="","",SUMIFS(Лэндинг!$H$5:$H$300,Лэндинг!$E$5:$E$300,$B91)+SUMIFS(Закрытые!$H$5:$H$300,Закрытые!$E$5:$E$300,$B91,Закрытые!$B$5:$B$300,"L-*"))</f>
        <v/>
      </c>
      <c r="F91" s="240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>
        <f>IF(F91="","",SUMIFS(Лэндинг!$K$5:$K$300,Лэндинг!$E$5:$E$300,$B91)+SUMIFS(Закрытые!$K$5:$K$300,Закрытые!$E$5:$E$300,$B91,Закрытые!$B$5:$B$300,"L-*"))</f>
        <v/>
      </c>
      <c r="I91" s="240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>
        <f>IF($B91="","",ROUND(SUMIFS(Закрытые!$N$5:$N$300,Закрытые!$E$5:$E$300,$B91,Закрытые!$B$5:$B$300,"L-*"),8))</f>
        <v/>
      </c>
      <c r="L91" s="177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>
        <f>IF(C92="","",SUMIFS(Лэндинг!$H$5:$H$300,Лэндинг!$E$5:$E$300,$B92)+SUMIFS(Закрытые!$H$5:$H$300,Закрытые!$E$5:$E$300,$B92,Закрытые!$B$5:$B$300,"L-*"))</f>
        <v/>
      </c>
      <c r="F92" s="246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>
        <f>IF(F92="","",SUMIFS(Лэндинг!$K$5:$K$300,Лэндинг!$E$5:$E$300,$B92)+SUMIFS(Закрытые!$K$5:$K$300,Закрытые!$E$5:$E$300,$B92,Закрытые!$B$5:$B$300,"L-*"))</f>
        <v/>
      </c>
      <c r="I92" s="246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>
        <f>IF($B92="","",ROUND(SUMIFS(Закрытые!$N$5:$N$300,Закрытые!$E$5:$E$300,$B92,Закрытые!$B$5:$B$300,"L-*"),8))</f>
        <v/>
      </c>
      <c r="L92" s="183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>
        <f>IF(C93="","",SUMIFS(Лэндинг!$H$5:$H$300,Лэндинг!$E$5:$E$300,$B93)+SUMIFS(Закрытые!$H$5:$H$300,Закрытые!$E$5:$E$300,$B93,Закрытые!$B$5:$B$300,"L-*"))</f>
        <v/>
      </c>
      <c r="F93" s="240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>
        <f>IF(F93="","",SUMIFS(Лэндинг!$K$5:$K$300,Лэндинг!$E$5:$E$300,$B93)+SUMIFS(Закрытые!$K$5:$K$300,Закрытые!$E$5:$E$300,$B93,Закрытые!$B$5:$B$300,"L-*"))</f>
        <v/>
      </c>
      <c r="I93" s="240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>
        <f>IF($B93="","",ROUND(SUMIFS(Закрытые!$N$5:$N$300,Закрытые!$E$5:$E$300,$B93,Закрытые!$B$5:$B$300,"L-*"),8))</f>
        <v/>
      </c>
      <c r="L93" s="177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>
        <f>IF(C94="","",SUMIFS(Лэндинг!$H$5:$H$300,Лэндинг!$E$5:$E$300,$B94)+SUMIFS(Закрытые!$H$5:$H$300,Закрытые!$E$5:$E$300,$B94,Закрытые!$B$5:$B$300,"L-*"))</f>
        <v/>
      </c>
      <c r="F94" s="246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>
        <f>IF(F94="","",SUMIFS(Лэндинг!$K$5:$K$300,Лэндинг!$E$5:$E$300,$B94)+SUMIFS(Закрытые!$K$5:$K$300,Закрытые!$E$5:$E$300,$B94,Закрытые!$B$5:$B$300,"L-*"))</f>
        <v/>
      </c>
      <c r="I94" s="246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>
        <f>IF($B94="","",ROUND(SUMIFS(Закрытые!$N$5:$N$300,Закрытые!$E$5:$E$300,$B94,Закрытые!$B$5:$B$300,"L-*"),8))</f>
        <v/>
      </c>
      <c r="L94" s="183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>
        <f>IF(C95="","",SUMIFS(Лэндинг!$H$5:$H$300,Лэндинг!$E$5:$E$300,$B95)+SUMIFS(Закрытые!$H$5:$H$300,Закрытые!$E$5:$E$300,$B95,Закрытые!$B$5:$B$300,"L-*"))</f>
        <v/>
      </c>
      <c r="F95" s="240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>
        <f>IF(F95="","",SUMIFS(Лэндинг!$K$5:$K$300,Лэндинг!$E$5:$E$300,$B95)+SUMIFS(Закрытые!$K$5:$K$300,Закрытые!$E$5:$E$300,$B95,Закрытые!$B$5:$B$300,"L-*"))</f>
        <v/>
      </c>
      <c r="I95" s="240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>
        <f>IF($B95="","",ROUND(SUMIFS(Закрытые!$N$5:$N$300,Закрытые!$E$5:$E$300,$B95,Закрытые!$B$5:$B$300,"L-*"),8))</f>
        <v/>
      </c>
      <c r="L95" s="177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>
        <f>IF(C96="","",SUMIFS(Лэндинг!$H$5:$H$300,Лэндинг!$E$5:$E$300,$B96)+SUMIFS(Закрытые!$H$5:$H$300,Закрытые!$E$5:$E$300,$B96,Закрытые!$B$5:$B$300,"L-*"))</f>
        <v/>
      </c>
      <c r="F96" s="246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>
        <f>IF(F96="","",SUMIFS(Лэндинг!$K$5:$K$300,Лэндинг!$E$5:$E$300,$B96)+SUMIFS(Закрытые!$K$5:$K$300,Закрытые!$E$5:$E$300,$B96,Закрытые!$B$5:$B$300,"L-*"))</f>
        <v/>
      </c>
      <c r="I96" s="246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>
        <f>IF($B96="","",ROUND(SUMIFS(Закрытые!$N$5:$N$300,Закрытые!$E$5:$E$300,$B96,Закрытые!$B$5:$B$300,"L-*"),8))</f>
        <v/>
      </c>
      <c r="L96" s="183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>
        <f>IF(C97="","",SUMIFS(Лэндинг!$H$5:$H$300,Лэндинг!$E$5:$E$300,$B97)+SUMIFS(Закрытые!$H$5:$H$300,Закрытые!$E$5:$E$300,$B97,Закрытые!$B$5:$B$300,"L-*"))</f>
        <v/>
      </c>
      <c r="F97" s="240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>
        <f>IF(F97="","",SUMIFS(Лэндинг!$K$5:$K$300,Лэндинг!$E$5:$E$300,$B97)+SUMIFS(Закрытые!$K$5:$K$300,Закрытые!$E$5:$E$300,$B97,Закрытые!$B$5:$B$300,"L-*"))</f>
        <v/>
      </c>
      <c r="I97" s="240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>
        <f>IF($B97="","",ROUND(SUMIFS(Закрытые!$N$5:$N$300,Закрытые!$E$5:$E$300,$B97,Закрытые!$B$5:$B$300,"L-*"),8))</f>
        <v/>
      </c>
      <c r="L97" s="177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>
        <f>IF(C98="","",SUMIFS(Лэндинг!$H$5:$H$300,Лэндинг!$E$5:$E$300,$B98)+SUMIFS(Закрытые!$H$5:$H$300,Закрытые!$E$5:$E$300,$B98,Закрытые!$B$5:$B$300,"L-*"))</f>
        <v/>
      </c>
      <c r="F98" s="246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>
        <f>IF(F98="","",SUMIFS(Лэндинг!$K$5:$K$300,Лэндинг!$E$5:$E$300,$B98)+SUMIFS(Закрытые!$K$5:$K$300,Закрытые!$E$5:$E$300,$B98,Закрытые!$B$5:$B$300,"L-*"))</f>
        <v/>
      </c>
      <c r="I98" s="246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>
        <f>IF($B98="","",ROUND(SUMIFS(Закрытые!$N$5:$N$300,Закрытые!$E$5:$E$300,$B98,Закрытые!$B$5:$B$300,"L-*"),8))</f>
        <v/>
      </c>
      <c r="L98" s="183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>
        <f>IF(C99="","",SUMIFS(Лэндинг!$H$5:$H$300,Лэндинг!$E$5:$E$300,$B99)+SUMIFS(Закрытые!$H$5:$H$300,Закрытые!$E$5:$E$300,$B99,Закрытые!$B$5:$B$300,"L-*"))</f>
        <v/>
      </c>
      <c r="F99" s="240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>
        <f>IF(F99="","",SUMIFS(Лэндинг!$K$5:$K$300,Лэндинг!$E$5:$E$300,$B99)+SUMIFS(Закрытые!$K$5:$K$300,Закрытые!$E$5:$E$300,$B99,Закрытые!$B$5:$B$300,"L-*"))</f>
        <v/>
      </c>
      <c r="I99" s="240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>
        <f>IF($B99="","",ROUND(SUMIFS(Закрытые!$N$5:$N$300,Закрытые!$E$5:$E$300,$B99,Закрытые!$B$5:$B$300,"L-*"),8))</f>
        <v/>
      </c>
      <c r="L99" s="177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>
        <f>IF(C100="","",SUMIFS(Лэндинг!$H$5:$H$300,Лэндинг!$E$5:$E$300,$B100)+SUMIFS(Закрытые!$H$5:$H$300,Закрытые!$E$5:$E$300,$B100,Закрытые!$B$5:$B$300,"L-*"))</f>
        <v/>
      </c>
      <c r="F100" s="246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>
        <f>IF(F100="","",SUMIFS(Лэндинг!$K$5:$K$300,Лэндинг!$E$5:$E$300,$B100)+SUMIFS(Закрытые!$K$5:$K$300,Закрытые!$E$5:$E$300,$B100,Закрытые!$B$5:$B$300,"L-*"))</f>
        <v/>
      </c>
      <c r="I100" s="246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>
        <f>IF($B100="","",ROUND(SUMIFS(Закрытые!$N$5:$N$300,Закрытые!$E$5:$E$300,$B100,Закрытые!$B$5:$B$300,"L-*"),8))</f>
        <v/>
      </c>
      <c r="L100" s="183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>
        <f>IF(C101="","",SUMIFS(Лэндинг!$H$5:$H$300,Лэндинг!$E$5:$E$300,$B101)+SUMIFS(Закрытые!$H$5:$H$300,Закрытые!$E$5:$E$300,$B101,Закрытые!$B$5:$B$300,"L-*"))</f>
        <v/>
      </c>
      <c r="F101" s="240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>
        <f>IF(F101="","",SUMIFS(Лэндинг!$K$5:$K$300,Лэндинг!$E$5:$E$300,$B101)+SUMIFS(Закрытые!$K$5:$K$300,Закрытые!$E$5:$E$300,$B101,Закрытые!$B$5:$B$300,"L-*"))</f>
        <v/>
      </c>
      <c r="I101" s="240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>
        <f>IF($B101="","",ROUND(SUMIFS(Закрытые!$N$5:$N$300,Закрытые!$E$5:$E$300,$B101,Закрытые!$B$5:$B$300,"L-*"),8))</f>
        <v/>
      </c>
      <c r="L101" s="177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>
        <f>IF(C102="","",SUMIFS(Лэндинг!$H$5:$H$300,Лэндинг!$E$5:$E$300,$B102)+SUMIFS(Закрытые!$H$5:$H$300,Закрытые!$E$5:$E$300,$B102,Закрытые!$B$5:$B$300,"L-*"))</f>
        <v/>
      </c>
      <c r="F102" s="246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>
        <f>IF(F102="","",SUMIFS(Лэндинг!$K$5:$K$300,Лэндинг!$E$5:$E$300,$B102)+SUMIFS(Закрытые!$K$5:$K$300,Закрытые!$E$5:$E$300,$B102,Закрытые!$B$5:$B$300,"L-*"))</f>
        <v/>
      </c>
      <c r="I102" s="246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>
        <f>IF($B102="","",ROUND(SUMIFS(Закрытые!$N$5:$N$300,Закрытые!$E$5:$E$300,$B102,Закрытые!$B$5:$B$300,"L-*"),8))</f>
        <v/>
      </c>
      <c r="L102" s="183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>
        <f>IF(C103="","",SUMIFS(Лэндинг!$H$5:$H$300,Лэндинг!$E$5:$E$300,$B103)+SUMIFS(Закрытые!$H$5:$H$300,Закрытые!$E$5:$E$300,$B103,Закрытые!$B$5:$B$300,"L-*"))</f>
        <v/>
      </c>
      <c r="F103" s="240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>
        <f>IF(F103="","",SUMIFS(Лэндинг!$K$5:$K$300,Лэндинг!$E$5:$E$300,$B103)+SUMIFS(Закрытые!$K$5:$K$300,Закрытые!$E$5:$E$300,$B103,Закрытые!$B$5:$B$300,"L-*"))</f>
        <v/>
      </c>
      <c r="I103" s="240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>
        <f>IF($B103="","",ROUND(SUMIFS(Закрытые!$N$5:$N$300,Закрытые!$E$5:$E$300,$B103,Закрытые!$B$5:$B$300,"L-*"),8))</f>
        <v/>
      </c>
      <c r="L103" s="177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>
        <f>IF(C104="","",SUMIFS(Лэндинг!$H$5:$H$300,Лэндинг!$E$5:$E$300,$B104)+SUMIFS(Закрытые!$H$5:$H$300,Закрытые!$E$5:$E$300,$B104,Закрытые!$B$5:$B$300,"L-*"))</f>
        <v/>
      </c>
      <c r="F104" s="246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>
        <f>IF(F104="","",SUMIFS(Лэндинг!$K$5:$K$300,Лэндинг!$E$5:$E$300,$B104)+SUMIFS(Закрытые!$K$5:$K$300,Закрытые!$E$5:$E$300,$B104,Закрытые!$B$5:$B$300,"L-*"))</f>
        <v/>
      </c>
      <c r="I104" s="246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>
        <f>IF($B104="","",ROUND(SUMIFS(Закрытые!$N$5:$N$300,Закрытые!$E$5:$E$300,$B104,Закрытые!$B$5:$B$300,"L-*"),8))</f>
        <v/>
      </c>
      <c r="L104" s="183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>
        <f>IF(C105="","",SUMIFS(Лэндинг!$H$5:$H$300,Лэндинг!$E$5:$E$300,$B105)+SUMIFS(Закрытые!$H$5:$H$300,Закрытые!$E$5:$E$300,$B105,Закрытые!$B$5:$B$300,"L-*"))</f>
        <v/>
      </c>
      <c r="F105" s="240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>
        <f>IF(F105="","",SUMIFS(Лэндинг!$K$5:$K$300,Лэндинг!$E$5:$E$300,$B105)+SUMIFS(Закрытые!$K$5:$K$300,Закрытые!$E$5:$E$300,$B105,Закрытые!$B$5:$B$300,"L-*"))</f>
        <v/>
      </c>
      <c r="I105" s="240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>
        <f>IF($B105="","",ROUND(SUMIFS(Закрытые!$N$5:$N$300,Закрытые!$E$5:$E$300,$B105,Закрытые!$B$5:$B$300,"L-*"),8))</f>
        <v/>
      </c>
      <c r="L105" s="177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>
        <f>IF(C106="","",SUMIFS(Лэндинг!$H$5:$H$300,Лэндинг!$E$5:$E$300,$B106)+SUMIFS(Закрытые!$H$5:$H$300,Закрытые!$E$5:$E$300,$B106,Закрытые!$B$5:$B$300,"L-*"))</f>
        <v/>
      </c>
      <c r="F106" s="246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>
        <f>IF(F106="","",SUMIFS(Лэндинг!$K$5:$K$300,Лэндинг!$E$5:$E$300,$B106)+SUMIFS(Закрытые!$K$5:$K$300,Закрытые!$E$5:$E$300,$B106,Закрытые!$B$5:$B$300,"L-*"))</f>
        <v/>
      </c>
      <c r="I106" s="246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>
        <f>IF($B106="","",ROUND(SUMIFS(Закрытые!$N$5:$N$300,Закрытые!$E$5:$E$300,$B106,Закрытые!$B$5:$B$300,"L-*"),8))</f>
        <v/>
      </c>
      <c r="L106" s="183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>
        <f>IF(C107="","",SUMIFS(Лэндинг!$H$5:$H$300,Лэндинг!$E$5:$E$300,$B107)+SUMIFS(Закрытые!$H$5:$H$300,Закрытые!$E$5:$E$300,$B107,Закрытые!$B$5:$B$300,"L-*"))</f>
        <v/>
      </c>
      <c r="F107" s="240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>
        <f>IF(F107="","",SUMIFS(Лэндинг!$K$5:$K$300,Лэндинг!$E$5:$E$300,$B107)+SUMIFS(Закрытые!$K$5:$K$300,Закрытые!$E$5:$E$300,$B107,Закрытые!$B$5:$B$300,"L-*"))</f>
        <v/>
      </c>
      <c r="I107" s="240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>
        <f>IF($B107="","",ROUND(SUMIFS(Закрытые!$N$5:$N$300,Закрытые!$E$5:$E$300,$B107,Закрытые!$B$5:$B$300,"L-*"),8))</f>
        <v/>
      </c>
      <c r="L107" s="177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>
        <f>IF(C108="","",SUMIFS(Лэндинг!$H$5:$H$300,Лэндинг!$E$5:$E$300,$B108)+SUMIFS(Закрытые!$H$5:$H$300,Закрытые!$E$5:$E$300,$B108,Закрытые!$B$5:$B$300,"L-*"))</f>
        <v/>
      </c>
      <c r="F108" s="246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>
        <f>IF(F108="","",SUMIFS(Лэндинг!$K$5:$K$300,Лэндинг!$E$5:$E$300,$B108)+SUMIFS(Закрытые!$K$5:$K$300,Закрытые!$E$5:$E$300,$B108,Закрытые!$B$5:$B$300,"L-*"))</f>
        <v/>
      </c>
      <c r="I108" s="246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>
        <f>IF($B108="","",ROUND(SUMIFS(Закрытые!$N$5:$N$300,Закрытые!$E$5:$E$300,$B108,Закрытые!$B$5:$B$300,"L-*"),8))</f>
        <v/>
      </c>
      <c r="L108" s="183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>
        <f>IF(C109="","",SUMIFS(Лэндинг!$H$5:$H$300,Лэндинг!$E$5:$E$300,$B109)+SUMIFS(Закрытые!$H$5:$H$300,Закрытые!$E$5:$E$300,$B109,Закрытые!$B$5:$B$300,"L-*"))</f>
        <v/>
      </c>
      <c r="F109" s="240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>
        <f>IF(F109="","",SUMIFS(Лэндинг!$K$5:$K$300,Лэндинг!$E$5:$E$300,$B109)+SUMIFS(Закрытые!$K$5:$K$300,Закрытые!$E$5:$E$300,$B109,Закрытые!$B$5:$B$300,"L-*"))</f>
        <v/>
      </c>
      <c r="I109" s="240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>
        <f>IF($B109="","",ROUND(SUMIFS(Закрытые!$N$5:$N$300,Закрытые!$E$5:$E$300,$B109,Закрытые!$B$5:$B$300,"L-*"),8))</f>
        <v/>
      </c>
      <c r="L109" s="177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>
        <f>IF(C110="","",SUMIFS(Лэндинг!$H$5:$H$300,Лэндинг!$E$5:$E$300,$B110)+SUMIFS(Закрытые!$H$5:$H$300,Закрытые!$E$5:$E$300,$B110,Закрытые!$B$5:$B$300,"L-*"))</f>
        <v/>
      </c>
      <c r="F110" s="246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>
        <f>IF(F110="","",SUMIFS(Лэндинг!$K$5:$K$300,Лэндинг!$E$5:$E$300,$B110)+SUMIFS(Закрытые!$K$5:$K$300,Закрытые!$E$5:$E$300,$B110,Закрытые!$B$5:$B$300,"L-*"))</f>
        <v/>
      </c>
      <c r="I110" s="246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>
        <f>IF($B110="","",ROUND(SUMIFS(Закрытые!$N$5:$N$300,Закрытые!$E$5:$E$300,$B110,Закрытые!$B$5:$B$300,"L-*"),8))</f>
        <v/>
      </c>
      <c r="L110" s="183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>
        <f>IF(C111="","",SUMIFS(Лэндинг!$H$5:$H$300,Лэндинг!$E$5:$E$300,$B111)+SUMIFS(Закрытые!$H$5:$H$300,Закрытые!$E$5:$E$300,$B111,Закрытые!$B$5:$B$300,"L-*"))</f>
        <v/>
      </c>
      <c r="F111" s="240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>
        <f>IF(F111="","",SUMIFS(Лэндинг!$K$5:$K$300,Лэндинг!$E$5:$E$300,$B111)+SUMIFS(Закрытые!$K$5:$K$300,Закрытые!$E$5:$E$300,$B111,Закрытые!$B$5:$B$300,"L-*"))</f>
        <v/>
      </c>
      <c r="I111" s="240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>
        <f>IF($B111="","",ROUND(SUMIFS(Закрытые!$N$5:$N$300,Закрытые!$E$5:$E$300,$B111,Закрытые!$B$5:$B$300,"L-*"),8))</f>
        <v/>
      </c>
      <c r="L111" s="177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>
        <f>IF(C112="","",SUMIFS(Лэндинг!$H$5:$H$300,Лэндинг!$E$5:$E$300,$B112)+SUMIFS(Закрытые!$H$5:$H$300,Закрытые!$E$5:$E$300,$B112,Закрытые!$B$5:$B$300,"L-*"))</f>
        <v/>
      </c>
      <c r="F112" s="246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>
        <f>IF(F112="","",SUMIFS(Лэндинг!$K$5:$K$300,Лэндинг!$E$5:$E$300,$B112)+SUMIFS(Закрытые!$K$5:$K$300,Закрытые!$E$5:$E$300,$B112,Закрытые!$B$5:$B$300,"L-*"))</f>
        <v/>
      </c>
      <c r="I112" s="246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>
        <f>IF($B112="","",ROUND(SUMIFS(Закрытые!$N$5:$N$300,Закрытые!$E$5:$E$300,$B112,Закрытые!$B$5:$B$300,"L-*"),8))</f>
        <v/>
      </c>
      <c r="L112" s="183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>
        <f>IF(C113="","",SUMIFS(Лэндинг!$H$5:$H$300,Лэндинг!$E$5:$E$300,$B113)+SUMIFS(Закрытые!$H$5:$H$300,Закрытые!$E$5:$E$300,$B113,Закрытые!$B$5:$B$300,"L-*"))</f>
        <v/>
      </c>
      <c r="F113" s="240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>
        <f>IF(F113="","",SUMIFS(Лэндинг!$K$5:$K$300,Лэндинг!$E$5:$E$300,$B113)+SUMIFS(Закрытые!$K$5:$K$300,Закрытые!$E$5:$E$300,$B113,Закрытые!$B$5:$B$300,"L-*"))</f>
        <v/>
      </c>
      <c r="I113" s="240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>
        <f>IF($B113="","",ROUND(SUMIFS(Закрытые!$N$5:$N$300,Закрытые!$E$5:$E$300,$B113,Закрытые!$B$5:$B$300,"L-*"),8))</f>
        <v/>
      </c>
      <c r="L113" s="177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>
        <f>IF(C114="","",SUMIFS(Лэндинг!$H$5:$H$300,Лэндинг!$E$5:$E$300,$B114)+SUMIFS(Закрытые!$H$5:$H$300,Закрытые!$E$5:$E$300,$B114,Закрытые!$B$5:$B$300,"L-*"))</f>
        <v/>
      </c>
      <c r="F114" s="246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>
        <f>IF(F114="","",SUMIFS(Лэндинг!$K$5:$K$300,Лэндинг!$E$5:$E$300,$B114)+SUMIFS(Закрытые!$K$5:$K$300,Закрытые!$E$5:$E$300,$B114,Закрытые!$B$5:$B$300,"L-*"))</f>
        <v/>
      </c>
      <c r="I114" s="246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>
        <f>IF($B114="","",ROUND(SUMIFS(Закрытые!$N$5:$N$300,Закрытые!$E$5:$E$300,$B114,Закрытые!$B$5:$B$300,"L-*"),8))</f>
        <v/>
      </c>
      <c r="L114" s="183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>
        <f>IF(C115="","",SUMIFS(Лэндинг!$H$5:$H$300,Лэндинг!$E$5:$E$300,$B115)+SUMIFS(Закрытые!$H$5:$H$300,Закрытые!$E$5:$E$300,$B115,Закрытые!$B$5:$B$300,"L-*"))</f>
        <v/>
      </c>
      <c r="F115" s="240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>
        <f>IF(F115="","",SUMIFS(Лэндинг!$K$5:$K$300,Лэндинг!$E$5:$E$300,$B115)+SUMIFS(Закрытые!$K$5:$K$300,Закрытые!$E$5:$E$300,$B115,Закрытые!$B$5:$B$300,"L-*"))</f>
        <v/>
      </c>
      <c r="I115" s="240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>
        <f>IF($B115="","",ROUND(SUMIFS(Закрытые!$N$5:$N$300,Закрытые!$E$5:$E$300,$B115,Закрытые!$B$5:$B$300,"L-*"),8))</f>
        <v/>
      </c>
      <c r="L115" s="177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>
        <f>IF(C116="","",SUMIFS(Лэндинг!$H$5:$H$300,Лэндинг!$E$5:$E$300,$B116)+SUMIFS(Закрытые!$H$5:$H$300,Закрытые!$E$5:$E$300,$B116,Закрытые!$B$5:$B$300,"L-*"))</f>
        <v/>
      </c>
      <c r="F116" s="246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>
        <f>IF(F116="","",SUMIFS(Лэндинг!$K$5:$K$300,Лэндинг!$E$5:$E$300,$B116)+SUMIFS(Закрытые!$K$5:$K$300,Закрытые!$E$5:$E$300,$B116,Закрытые!$B$5:$B$300,"L-*"))</f>
        <v/>
      </c>
      <c r="I116" s="246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>
        <f>IF($B116="","",ROUND(SUMIFS(Закрытые!$N$5:$N$300,Закрытые!$E$5:$E$300,$B116,Закрытые!$B$5:$B$300,"L-*"),8))</f>
        <v/>
      </c>
      <c r="L116" s="183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>
        <f>IF(C117="","",SUMIFS(Лэндинг!$H$5:$H$300,Лэндинг!$E$5:$E$300,$B117)+SUMIFS(Закрытые!$H$5:$H$300,Закрытые!$E$5:$E$300,$B117,Закрытые!$B$5:$B$300,"L-*"))</f>
        <v/>
      </c>
      <c r="F117" s="240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>
        <f>IF(F117="","",SUMIFS(Лэндинг!$K$5:$K$300,Лэндинг!$E$5:$E$300,$B117)+SUMIFS(Закрытые!$K$5:$K$300,Закрытые!$E$5:$E$300,$B117,Закрытые!$B$5:$B$300,"L-*"))</f>
        <v/>
      </c>
      <c r="I117" s="240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>
        <f>IF($B117="","",ROUND(SUMIFS(Закрытые!$N$5:$N$300,Закрытые!$E$5:$E$300,$B117,Закрытые!$B$5:$B$300,"L-*"),8))</f>
        <v/>
      </c>
      <c r="L117" s="177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>
        <f>IF(C118="","",SUMIFS(Лэндинг!$H$5:$H$300,Лэндинг!$E$5:$E$300,$B118)+SUMIFS(Закрытые!$H$5:$H$300,Закрытые!$E$5:$E$300,$B118,Закрытые!$B$5:$B$300,"L-*"))</f>
        <v/>
      </c>
      <c r="F118" s="246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>
        <f>IF(F118="","",SUMIFS(Лэндинг!$K$5:$K$300,Лэндинг!$E$5:$E$300,$B118)+SUMIFS(Закрытые!$K$5:$K$300,Закрытые!$E$5:$E$300,$B118,Закрытые!$B$5:$B$300,"L-*"))</f>
        <v/>
      </c>
      <c r="I118" s="246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>
        <f>IF($B118="","",ROUND(SUMIFS(Закрытые!$N$5:$N$300,Закрытые!$E$5:$E$300,$B118,Закрытые!$B$5:$B$300,"L-*"),8))</f>
        <v/>
      </c>
      <c r="L118" s="183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>
        <f>IF(C119="","",SUMIFS(Лэндинг!$H$5:$H$300,Лэндинг!$E$5:$E$300,$B119)+SUMIFS(Закрытые!$H$5:$H$300,Закрытые!$E$5:$E$300,$B119,Закрытые!$B$5:$B$300,"L-*"))</f>
        <v/>
      </c>
      <c r="F119" s="240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>
        <f>IF(F119="","",SUMIFS(Лэндинг!$K$5:$K$300,Лэндинг!$E$5:$E$300,$B119)+SUMIFS(Закрытые!$K$5:$K$300,Закрытые!$E$5:$E$300,$B119,Закрытые!$B$5:$B$300,"L-*"))</f>
        <v/>
      </c>
      <c r="I119" s="240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>
        <f>IF($B119="","",ROUND(SUMIFS(Закрытые!$N$5:$N$300,Закрытые!$E$5:$E$300,$B119,Закрытые!$B$5:$B$300,"L-*"),8))</f>
        <v/>
      </c>
      <c r="L119" s="177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>
        <f>IF(C120="","",SUMIFS(Лэндинг!$H$5:$H$300,Лэндинг!$E$5:$E$300,$B120)+SUMIFS(Закрытые!$H$5:$H$300,Закрытые!$E$5:$E$300,$B120,Закрытые!$B$5:$B$300,"L-*"))</f>
        <v/>
      </c>
      <c r="F120" s="246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>
        <f>IF(F120="","",SUMIFS(Лэндинг!$K$5:$K$300,Лэндинг!$E$5:$E$300,$B120)+SUMIFS(Закрытые!$K$5:$K$300,Закрытые!$E$5:$E$300,$B120,Закрытые!$B$5:$B$300,"L-*"))</f>
        <v/>
      </c>
      <c r="I120" s="246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>
        <f>IF($B120="","",ROUND(SUMIFS(Закрытые!$N$5:$N$300,Закрытые!$E$5:$E$300,$B120,Закрытые!$B$5:$B$300,"L-*"),8))</f>
        <v/>
      </c>
      <c r="L120" s="183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>
        <f>IF(C121="","",SUMIFS(Лэндинг!$H$5:$H$300,Лэндинг!$E$5:$E$300,$B121)+SUMIFS(Закрытые!$H$5:$H$300,Закрытые!$E$5:$E$300,$B121,Закрытые!$B$5:$B$300,"L-*"))</f>
        <v/>
      </c>
      <c r="F121" s="240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>
        <f>IF(F121="","",SUMIFS(Лэндинг!$K$5:$K$300,Лэндинг!$E$5:$E$300,$B121)+SUMIFS(Закрытые!$K$5:$K$300,Закрытые!$E$5:$E$300,$B121,Закрытые!$B$5:$B$300,"L-*"))</f>
        <v/>
      </c>
      <c r="I121" s="240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>
        <f>IF($B121="","",ROUND(SUMIFS(Закрытые!$N$5:$N$300,Закрытые!$E$5:$E$300,$B121,Закрытые!$B$5:$B$300,"L-*"),8))</f>
        <v/>
      </c>
      <c r="L121" s="177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>
        <f>IF(C122="","",SUMIFS(Лэндинг!$H$5:$H$300,Лэндинг!$E$5:$E$300,$B122)+SUMIFS(Закрытые!$H$5:$H$300,Закрытые!$E$5:$E$300,$B122,Закрытые!$B$5:$B$300,"L-*"))</f>
        <v/>
      </c>
      <c r="F122" s="246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>
        <f>IF(F122="","",SUMIFS(Лэндинг!$K$5:$K$300,Лэндинг!$E$5:$E$300,$B122)+SUMIFS(Закрытые!$K$5:$K$300,Закрытые!$E$5:$E$300,$B122,Закрытые!$B$5:$B$300,"L-*"))</f>
        <v/>
      </c>
      <c r="I122" s="246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>
        <f>IF($B122="","",ROUND(SUMIFS(Закрытые!$N$5:$N$300,Закрытые!$E$5:$E$300,$B122,Закрытые!$B$5:$B$300,"L-*"),8))</f>
        <v/>
      </c>
      <c r="L122" s="183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>
        <f>IF(C123="","",SUMIFS(Лэндинг!$H$5:$H$300,Лэндинг!$E$5:$E$300,$B123)+SUMIFS(Закрытые!$H$5:$H$300,Закрытые!$E$5:$E$300,$B123,Закрытые!$B$5:$B$300,"L-*"))</f>
        <v/>
      </c>
      <c r="F123" s="240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>
        <f>IF(F123="","",SUMIFS(Лэндинг!$K$5:$K$300,Лэндинг!$E$5:$E$300,$B123)+SUMIFS(Закрытые!$K$5:$K$300,Закрытые!$E$5:$E$300,$B123,Закрытые!$B$5:$B$300,"L-*"))</f>
        <v/>
      </c>
      <c r="I123" s="240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>
        <f>IF($B123="","",ROUND(SUMIFS(Закрытые!$N$5:$N$300,Закрытые!$E$5:$E$300,$B123,Закрытые!$B$5:$B$300,"L-*"),8))</f>
        <v/>
      </c>
      <c r="L123" s="177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>
        <f>IF(C124="","",SUMIFS(Лэндинг!$H$5:$H$300,Лэндинг!$E$5:$E$300,$B124)+SUMIFS(Закрытые!$H$5:$H$300,Закрытые!$E$5:$E$300,$B124,Закрытые!$B$5:$B$300,"L-*"))</f>
        <v/>
      </c>
      <c r="F124" s="246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>
        <f>IF(F124="","",SUMIFS(Лэндинг!$K$5:$K$300,Лэндинг!$E$5:$E$300,$B124)+SUMIFS(Закрытые!$K$5:$K$300,Закрытые!$E$5:$E$300,$B124,Закрытые!$B$5:$B$300,"L-*"))</f>
        <v/>
      </c>
      <c r="I124" s="246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>
        <f>IF($B124="","",ROUND(SUMIFS(Закрытые!$N$5:$N$300,Закрытые!$E$5:$E$300,$B124,Закрытые!$B$5:$B$300,"L-*"),8))</f>
        <v/>
      </c>
      <c r="L124" s="183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>
        <f>IF(C125="","",SUMIFS(Лэндинг!$H$5:$H$300,Лэндинг!$E$5:$E$300,$B125)+SUMIFS(Закрытые!$H$5:$H$300,Закрытые!$E$5:$E$300,$B125,Закрытые!$B$5:$B$300,"L-*"))</f>
        <v/>
      </c>
      <c r="F125" s="240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>
        <f>IF(F125="","",SUMIFS(Лэндинг!$K$5:$K$300,Лэндинг!$E$5:$E$300,$B125)+SUMIFS(Закрытые!$K$5:$K$300,Закрытые!$E$5:$E$300,$B125,Закрытые!$B$5:$B$300,"L-*"))</f>
        <v/>
      </c>
      <c r="I125" s="240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>
        <f>IF($B125="","",ROUND(SUMIFS(Закрытые!$N$5:$N$300,Закрытые!$E$5:$E$300,$B125,Закрытые!$B$5:$B$300,"L-*"),8))</f>
        <v/>
      </c>
      <c r="L125" s="177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>
        <f>IF(C126="","",SUMIFS(Лэндинг!$H$5:$H$300,Лэндинг!$E$5:$E$300,$B126)+SUMIFS(Закрытые!$H$5:$H$300,Закрытые!$E$5:$E$300,$B126,Закрытые!$B$5:$B$300,"L-*"))</f>
        <v/>
      </c>
      <c r="F126" s="246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>
        <f>IF(F126="","",SUMIFS(Лэндинг!$K$5:$K$300,Лэндинг!$E$5:$E$300,$B126)+SUMIFS(Закрытые!$K$5:$K$300,Закрытые!$E$5:$E$300,$B126,Закрытые!$B$5:$B$300,"L-*"))</f>
        <v/>
      </c>
      <c r="I126" s="246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>
        <f>IF($B126="","",ROUND(SUMIFS(Закрытые!$N$5:$N$300,Закрытые!$E$5:$E$300,$B126,Закрытые!$B$5:$B$300,"L-*"),8))</f>
        <v/>
      </c>
      <c r="L126" s="183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>
        <f>IF(C127="","",SUMIFS(Лэндинг!$H$5:$H$300,Лэндинг!$E$5:$E$300,$B127)+SUMIFS(Закрытые!$H$5:$H$300,Закрытые!$E$5:$E$300,$B127,Закрытые!$B$5:$B$300,"L-*"))</f>
        <v/>
      </c>
      <c r="F127" s="240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>
        <f>IF(F127="","",SUMIFS(Лэндинг!$K$5:$K$300,Лэндинг!$E$5:$E$300,$B127)+SUMIFS(Закрытые!$K$5:$K$300,Закрытые!$E$5:$E$300,$B127,Закрытые!$B$5:$B$300,"L-*"))</f>
        <v/>
      </c>
      <c r="I127" s="240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>
        <f>IF($B127="","",ROUND(SUMIFS(Закрытые!$N$5:$N$300,Закрытые!$E$5:$E$300,$B127,Закрытые!$B$5:$B$300,"L-*"),8))</f>
        <v/>
      </c>
      <c r="L127" s="177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>
        <f>IF(C128="","",SUMIFS(Лэндинг!$H$5:$H$300,Лэндинг!$E$5:$E$300,$B128)+SUMIFS(Закрытые!$H$5:$H$300,Закрытые!$E$5:$E$300,$B128,Закрытые!$B$5:$B$300,"L-*"))</f>
        <v/>
      </c>
      <c r="F128" s="246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>
        <f>IF(F128="","",SUMIFS(Лэндинг!$K$5:$K$300,Лэндинг!$E$5:$E$300,$B128)+SUMIFS(Закрытые!$K$5:$K$300,Закрытые!$E$5:$E$300,$B128,Закрытые!$B$5:$B$300,"L-*"))</f>
        <v/>
      </c>
      <c r="I128" s="246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>
        <f>IF($B128="","",ROUND(SUMIFS(Закрытые!$N$5:$N$300,Закрытые!$E$5:$E$300,$B128,Закрытые!$B$5:$B$300,"L-*"),8))</f>
        <v/>
      </c>
      <c r="L128" s="183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>
        <f>IF(C129="","",SUMIFS(Лэндинг!$H$5:$H$300,Лэндинг!$E$5:$E$300,$B129)+SUMIFS(Закрытые!$H$5:$H$300,Закрытые!$E$5:$E$300,$B129,Закрытые!$B$5:$B$300,"L-*"))</f>
        <v/>
      </c>
      <c r="F129" s="240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>
        <f>IF(F129="","",SUMIFS(Лэндинг!$K$5:$K$300,Лэндинг!$E$5:$E$300,$B129)+SUMIFS(Закрытые!$K$5:$K$300,Закрытые!$E$5:$E$300,$B129,Закрытые!$B$5:$B$300,"L-*"))</f>
        <v/>
      </c>
      <c r="I129" s="240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>
        <f>IF($B129="","",ROUND(SUMIFS(Закрытые!$N$5:$N$300,Закрытые!$E$5:$E$300,$B129,Закрытые!$B$5:$B$300,"L-*"),8))</f>
        <v/>
      </c>
      <c r="L129" s="177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>
        <f>IF(C130="","",SUMIFS(Лэндинг!$H$5:$H$300,Лэндинг!$E$5:$E$300,$B130)+SUMIFS(Закрытые!$H$5:$H$300,Закрытые!$E$5:$E$300,$B130,Закрытые!$B$5:$B$300,"L-*"))</f>
        <v/>
      </c>
      <c r="F130" s="246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>
        <f>IF(F130="","",SUMIFS(Лэндинг!$K$5:$K$300,Лэндинг!$E$5:$E$300,$B130)+SUMIFS(Закрытые!$K$5:$K$300,Закрытые!$E$5:$E$300,$B130,Закрытые!$B$5:$B$300,"L-*"))</f>
        <v/>
      </c>
      <c r="I130" s="246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>
        <f>IF($B130="","",ROUND(SUMIFS(Закрытые!$N$5:$N$300,Закрытые!$E$5:$E$300,$B130,Закрытые!$B$5:$B$300,"L-*"),8))</f>
        <v/>
      </c>
      <c r="L130" s="183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>
        <f>IF(C131="","",SUMIFS(Лэндинг!$H$5:$H$300,Лэндинг!$E$5:$E$300,$B131)+SUMIFS(Закрытые!$H$5:$H$300,Закрытые!$E$5:$E$300,$B131,Закрытые!$B$5:$B$300,"L-*"))</f>
        <v/>
      </c>
      <c r="F131" s="240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>
        <f>IF(F131="","",SUMIFS(Лэндинг!$K$5:$K$300,Лэндинг!$E$5:$E$300,$B131)+SUMIFS(Закрытые!$K$5:$K$300,Закрытые!$E$5:$E$300,$B131,Закрытые!$B$5:$B$300,"L-*"))</f>
        <v/>
      </c>
      <c r="I131" s="240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>
        <f>IF($B131="","",ROUND(SUMIFS(Закрытые!$N$5:$N$300,Закрытые!$E$5:$E$300,$B131,Закрытые!$B$5:$B$300,"L-*"),8))</f>
        <v/>
      </c>
      <c r="L131" s="177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>
        <f>IF(C132="","",SUMIFS(Лэндинг!$H$5:$H$300,Лэндинг!$E$5:$E$300,$B132)+SUMIFS(Закрытые!$H$5:$H$300,Закрытые!$E$5:$E$300,$B132,Закрытые!$B$5:$B$300,"L-*"))</f>
        <v/>
      </c>
      <c r="F132" s="246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>
        <f>IF(F132="","",SUMIFS(Лэндинг!$K$5:$K$300,Лэндинг!$E$5:$E$300,$B132)+SUMIFS(Закрытые!$K$5:$K$300,Закрытые!$E$5:$E$300,$B132,Закрытые!$B$5:$B$300,"L-*"))</f>
        <v/>
      </c>
      <c r="I132" s="246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>
        <f>IF($B132="","",ROUND(SUMIFS(Закрытые!$N$5:$N$300,Закрытые!$E$5:$E$300,$B132,Закрытые!$B$5:$B$300,"L-*"),8))</f>
        <v/>
      </c>
      <c r="L132" s="183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>
        <f>IF(C133="","",SUMIFS(Лэндинг!$H$5:$H$300,Лэндинг!$E$5:$E$300,$B133)+SUMIFS(Закрытые!$H$5:$H$300,Закрытые!$E$5:$E$300,$B133,Закрытые!$B$5:$B$300,"L-*"))</f>
        <v/>
      </c>
      <c r="F133" s="240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>
        <f>IF(F133="","",SUMIFS(Лэндинг!$K$5:$K$300,Лэндинг!$E$5:$E$300,$B133)+SUMIFS(Закрытые!$K$5:$K$300,Закрытые!$E$5:$E$300,$B133,Закрытые!$B$5:$B$300,"L-*"))</f>
        <v/>
      </c>
      <c r="I133" s="240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>
        <f>IF($B133="","",ROUND(SUMIFS(Закрытые!$N$5:$N$300,Закрытые!$E$5:$E$300,$B133,Закрытые!$B$5:$B$300,"L-*"),8))</f>
        <v/>
      </c>
      <c r="L133" s="177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>
        <f>IF(C134="","",SUMIFS(Лэндинг!$H$5:$H$300,Лэндинг!$E$5:$E$300,$B134)+SUMIFS(Закрытые!$H$5:$H$300,Закрытые!$E$5:$E$300,$B134,Закрытые!$B$5:$B$300,"L-*"))</f>
        <v/>
      </c>
      <c r="F134" s="246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>
        <f>IF(F134="","",SUMIFS(Лэндинг!$K$5:$K$300,Лэндинг!$E$5:$E$300,$B134)+SUMIFS(Закрытые!$K$5:$K$300,Закрытые!$E$5:$E$300,$B134,Закрытые!$B$5:$B$300,"L-*"))</f>
        <v/>
      </c>
      <c r="I134" s="246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>
        <f>IF($B134="","",ROUND(SUMIFS(Закрытые!$N$5:$N$300,Закрытые!$E$5:$E$300,$B134,Закрытые!$B$5:$B$300,"L-*"),8))</f>
        <v/>
      </c>
      <c r="L134" s="183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>
        <f>IF(C135="","",SUMIFS(Лэндинг!$H$5:$H$300,Лэндинг!$E$5:$E$300,$B135)+SUMIFS(Закрытые!$H$5:$H$300,Закрытые!$E$5:$E$300,$B135,Закрытые!$B$5:$B$300,"L-*"))</f>
        <v/>
      </c>
      <c r="F135" s="240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>
        <f>IF(F135="","",SUMIFS(Лэндинг!$K$5:$K$300,Лэндинг!$E$5:$E$300,$B135)+SUMIFS(Закрытые!$K$5:$K$300,Закрытые!$E$5:$E$300,$B135,Закрытые!$B$5:$B$300,"L-*"))</f>
        <v/>
      </c>
      <c r="I135" s="240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>
        <f>IF($B135="","",ROUND(SUMIFS(Закрытые!$N$5:$N$300,Закрытые!$E$5:$E$300,$B135,Закрытые!$B$5:$B$300,"L-*"),8))</f>
        <v/>
      </c>
      <c r="L135" s="177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>
        <f>IF(C136="","",SUMIFS(Лэндинг!$H$5:$H$300,Лэндинг!$E$5:$E$300,$B136)+SUMIFS(Закрытые!$H$5:$H$300,Закрытые!$E$5:$E$300,$B136,Закрытые!$B$5:$B$300,"L-*"))</f>
        <v/>
      </c>
      <c r="F136" s="246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>
        <f>IF(F136="","",SUMIFS(Лэндинг!$K$5:$K$300,Лэндинг!$E$5:$E$300,$B136)+SUMIFS(Закрытые!$K$5:$K$300,Закрытые!$E$5:$E$300,$B136,Закрытые!$B$5:$B$300,"L-*"))</f>
        <v/>
      </c>
      <c r="I136" s="246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>
        <f>IF($B136="","",ROUND(SUMIFS(Закрытые!$N$5:$N$300,Закрытые!$E$5:$E$300,$B136,Закрытые!$B$5:$B$300,"L-*"),8))</f>
        <v/>
      </c>
      <c r="L136" s="183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>
        <f>IF(C137="","",SUMIFS(Лэндинг!$H$5:$H$300,Лэндинг!$E$5:$E$300,$B137)+SUMIFS(Закрытые!$H$5:$H$300,Закрытые!$E$5:$E$300,$B137,Закрытые!$B$5:$B$300,"L-*"))</f>
        <v/>
      </c>
      <c r="F137" s="240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>
        <f>IF(F137="","",SUMIFS(Лэндинг!$K$5:$K$300,Лэндинг!$E$5:$E$300,$B137)+SUMIFS(Закрытые!$K$5:$K$300,Закрытые!$E$5:$E$300,$B137,Закрытые!$B$5:$B$300,"L-*"))</f>
        <v/>
      </c>
      <c r="I137" s="240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>
        <f>IF($B137="","",ROUND(SUMIFS(Закрытые!$N$5:$N$300,Закрытые!$E$5:$E$300,$B137,Закрытые!$B$5:$B$300,"L-*"),8))</f>
        <v/>
      </c>
      <c r="L137" s="177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>
        <f>IF(C138="","",SUMIFS(Лэндинг!$H$5:$H$300,Лэндинг!$E$5:$E$300,$B138)+SUMIFS(Закрытые!$H$5:$H$300,Закрытые!$E$5:$E$300,$B138,Закрытые!$B$5:$B$300,"L-*"))</f>
        <v/>
      </c>
      <c r="F138" s="246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>
        <f>IF(F138="","",SUMIFS(Лэндинг!$K$5:$K$300,Лэндинг!$E$5:$E$300,$B138)+SUMIFS(Закрытые!$K$5:$K$300,Закрытые!$E$5:$E$300,$B138,Закрытые!$B$5:$B$300,"L-*"))</f>
        <v/>
      </c>
      <c r="I138" s="246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>
        <f>IF($B138="","",ROUND(SUMIFS(Закрытые!$N$5:$N$300,Закрытые!$E$5:$E$300,$B138,Закрытые!$B$5:$B$300,"L-*"),8))</f>
        <v/>
      </c>
      <c r="L138" s="183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>
        <f>IF(C139="","",SUMIFS(Лэндинг!$H$5:$H$300,Лэндинг!$E$5:$E$300,$B139)+SUMIFS(Закрытые!$H$5:$H$300,Закрытые!$E$5:$E$300,$B139,Закрытые!$B$5:$B$300,"L-*"))</f>
        <v/>
      </c>
      <c r="F139" s="240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>
        <f>IF(F139="","",SUMIFS(Лэндинг!$K$5:$K$300,Лэндинг!$E$5:$E$300,$B139)+SUMIFS(Закрытые!$K$5:$K$300,Закрытые!$E$5:$E$300,$B139,Закрытые!$B$5:$B$300,"L-*"))</f>
        <v/>
      </c>
      <c r="I139" s="240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>
        <f>IF($B139="","",ROUND(SUMIFS(Закрытые!$N$5:$N$300,Закрытые!$E$5:$E$300,$B139,Закрытые!$B$5:$B$300,"L-*"),8))</f>
        <v/>
      </c>
      <c r="L139" s="177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>
        <f>IF(C140="","",SUMIFS(Лэндинг!$H$5:$H$300,Лэндинг!$E$5:$E$300,$B140)+SUMIFS(Закрытые!$H$5:$H$300,Закрытые!$E$5:$E$300,$B140,Закрытые!$B$5:$B$300,"L-*"))</f>
        <v/>
      </c>
      <c r="F140" s="246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>
        <f>IF(F140="","",SUMIFS(Лэндинг!$K$5:$K$300,Лэндинг!$E$5:$E$300,$B140)+SUMIFS(Закрытые!$K$5:$K$300,Закрытые!$E$5:$E$300,$B140,Закрытые!$B$5:$B$300,"L-*"))</f>
        <v/>
      </c>
      <c r="I140" s="246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>
        <f>IF($B140="","",ROUND(SUMIFS(Закрытые!$N$5:$N$300,Закрытые!$E$5:$E$300,$B140,Закрытые!$B$5:$B$300,"L-*"),8))</f>
        <v/>
      </c>
      <c r="L140" s="183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>
        <f>IF(C141="","",SUMIFS(Лэндинг!$H$5:$H$300,Лэндинг!$E$5:$E$300,$B141)+SUMIFS(Закрытые!$H$5:$H$300,Закрытые!$E$5:$E$300,$B141,Закрытые!$B$5:$B$300,"L-*"))</f>
        <v/>
      </c>
      <c r="F141" s="240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>
        <f>IF(F141="","",SUMIFS(Лэндинг!$K$5:$K$300,Лэндинг!$E$5:$E$300,$B141)+SUMIFS(Закрытые!$K$5:$K$300,Закрытые!$E$5:$E$300,$B141,Закрытые!$B$5:$B$300,"L-*"))</f>
        <v/>
      </c>
      <c r="I141" s="240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>
        <f>IF($B141="","",ROUND(SUMIFS(Закрытые!$N$5:$N$300,Закрытые!$E$5:$E$300,$B141,Закрытые!$B$5:$B$300,"L-*"),8))</f>
        <v/>
      </c>
      <c r="L141" s="177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>
        <f>IF(C142="","",SUMIFS(Лэндинг!$H$5:$H$300,Лэндинг!$E$5:$E$300,$B142)+SUMIFS(Закрытые!$H$5:$H$300,Закрытые!$E$5:$E$300,$B142,Закрытые!$B$5:$B$300,"L-*"))</f>
        <v/>
      </c>
      <c r="F142" s="246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>
        <f>IF(F142="","",SUMIFS(Лэндинг!$K$5:$K$300,Лэндинг!$E$5:$E$300,$B142)+SUMIFS(Закрытые!$K$5:$K$300,Закрытые!$E$5:$E$300,$B142,Закрытые!$B$5:$B$300,"L-*"))</f>
        <v/>
      </c>
      <c r="I142" s="246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>
        <f>IF($B142="","",ROUND(SUMIFS(Закрытые!$N$5:$N$300,Закрытые!$E$5:$E$300,$B142,Закрытые!$B$5:$B$300,"L-*"),8))</f>
        <v/>
      </c>
      <c r="L142" s="183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>
        <f>IF(C143="","",SUMIFS(Лэндинг!$H$5:$H$300,Лэндинг!$E$5:$E$300,$B143)+SUMIFS(Закрытые!$H$5:$H$300,Закрытые!$E$5:$E$300,$B143,Закрытые!$B$5:$B$300,"L-*"))</f>
        <v/>
      </c>
      <c r="F143" s="240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>
        <f>IF(F143="","",SUMIFS(Лэндинг!$K$5:$K$300,Лэндинг!$E$5:$E$300,$B143)+SUMIFS(Закрытые!$K$5:$K$300,Закрытые!$E$5:$E$300,$B143,Закрытые!$B$5:$B$300,"L-*"))</f>
        <v/>
      </c>
      <c r="I143" s="240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>
        <f>IF($B143="","",ROUND(SUMIFS(Закрытые!$N$5:$N$300,Закрытые!$E$5:$E$300,$B143,Закрытые!$B$5:$B$300,"L-*"),8))</f>
        <v/>
      </c>
      <c r="L143" s="177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>
        <f>IF(C144="","",SUMIFS(Лэндинг!$H$5:$H$300,Лэндинг!$E$5:$E$300,$B144)+SUMIFS(Закрытые!$H$5:$H$300,Закрытые!$E$5:$E$300,$B144,Закрытые!$B$5:$B$300,"L-*"))</f>
        <v/>
      </c>
      <c r="F144" s="246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>
        <f>IF(F144="","",SUMIFS(Лэндинг!$K$5:$K$300,Лэндинг!$E$5:$E$300,$B144)+SUMIFS(Закрытые!$K$5:$K$300,Закрытые!$E$5:$E$300,$B144,Закрытые!$B$5:$B$300,"L-*"))</f>
        <v/>
      </c>
      <c r="I144" s="246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>
        <f>IF($B144="","",ROUND(SUMIFS(Закрытые!$N$5:$N$300,Закрытые!$E$5:$E$300,$B144,Закрытые!$B$5:$B$300,"L-*"),8))</f>
        <v/>
      </c>
      <c r="L144" s="183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>
        <f>IF(C145="","",SUMIFS(Лэндинг!$H$5:$H$300,Лэндинг!$E$5:$E$300,$B145)+SUMIFS(Закрытые!$H$5:$H$300,Закрытые!$E$5:$E$300,$B145,Закрытые!$B$5:$B$300,"L-*"))</f>
        <v/>
      </c>
      <c r="F145" s="240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>
        <f>IF(F145="","",SUMIFS(Лэндинг!$K$5:$K$300,Лэндинг!$E$5:$E$300,$B145)+SUMIFS(Закрытые!$K$5:$K$300,Закрытые!$E$5:$E$300,$B145,Закрытые!$B$5:$B$300,"L-*"))</f>
        <v/>
      </c>
      <c r="I145" s="240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>
        <f>IF($B145="","",ROUND(SUMIFS(Закрытые!$N$5:$N$300,Закрытые!$E$5:$E$300,$B145,Закрытые!$B$5:$B$300,"L-*"),8))</f>
        <v/>
      </c>
      <c r="L145" s="177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>
        <f>IF(C146="","",SUMIFS(Лэндинг!$H$5:$H$300,Лэндинг!$E$5:$E$300,$B146)+SUMIFS(Закрытые!$H$5:$H$300,Закрытые!$E$5:$E$300,$B146,Закрытые!$B$5:$B$300,"L-*"))</f>
        <v/>
      </c>
      <c r="F146" s="246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>
        <f>IF(F146="","",SUMIFS(Лэндинг!$K$5:$K$300,Лэндинг!$E$5:$E$300,$B146)+SUMIFS(Закрытые!$K$5:$K$300,Закрытые!$E$5:$E$300,$B146,Закрытые!$B$5:$B$300,"L-*"))</f>
        <v/>
      </c>
      <c r="I146" s="246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>
        <f>IF($B146="","",ROUND(SUMIFS(Закрытые!$N$5:$N$300,Закрытые!$E$5:$E$300,$B146,Закрытые!$B$5:$B$300,"L-*"),8))</f>
        <v/>
      </c>
      <c r="L146" s="183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>
        <f>IF(C147="","",SUMIFS(Лэндинг!$H$5:$H$300,Лэндинг!$E$5:$E$300,$B147)+SUMIFS(Закрытые!$H$5:$H$300,Закрытые!$E$5:$E$300,$B147,Закрытые!$B$5:$B$300,"L-*"))</f>
        <v/>
      </c>
      <c r="F147" s="240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>
        <f>IF(F147="","",SUMIFS(Лэндинг!$K$5:$K$300,Лэндинг!$E$5:$E$300,$B147)+SUMIFS(Закрытые!$K$5:$K$300,Закрытые!$E$5:$E$300,$B147,Закрытые!$B$5:$B$300,"L-*"))</f>
        <v/>
      </c>
      <c r="I147" s="240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>
        <f>IF($B147="","",ROUND(SUMIFS(Закрытые!$N$5:$N$300,Закрытые!$E$5:$E$300,$B147,Закрытые!$B$5:$B$300,"L-*"),8))</f>
        <v/>
      </c>
      <c r="L147" s="177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>
        <f>IF(C148="","",SUMIFS(Лэндинг!$H$5:$H$300,Лэндинг!$E$5:$E$300,$B148)+SUMIFS(Закрытые!$H$5:$H$300,Закрытые!$E$5:$E$300,$B148,Закрытые!$B$5:$B$300,"L-*"))</f>
        <v/>
      </c>
      <c r="F148" s="246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>
        <f>IF(F148="","",SUMIFS(Лэндинг!$K$5:$K$300,Лэндинг!$E$5:$E$300,$B148)+SUMIFS(Закрытые!$K$5:$K$300,Закрытые!$E$5:$E$300,$B148,Закрытые!$B$5:$B$300,"L-*"))</f>
        <v/>
      </c>
      <c r="I148" s="246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>
        <f>IF($B148="","",ROUND(SUMIFS(Закрытые!$N$5:$N$300,Закрытые!$E$5:$E$300,$B148,Закрытые!$B$5:$B$300,"L-*"),8))</f>
        <v/>
      </c>
      <c r="L148" s="183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>
        <f>IF(C149="","",SUMIFS(Лэндинг!$H$5:$H$300,Лэндинг!$E$5:$E$300,$B149)+SUMIFS(Закрытые!$H$5:$H$300,Закрытые!$E$5:$E$300,$B149,Закрытые!$B$5:$B$300,"L-*"))</f>
        <v/>
      </c>
      <c r="F149" s="240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>
        <f>IF(F149="","",SUMIFS(Лэндинг!$K$5:$K$300,Лэндинг!$E$5:$E$300,$B149)+SUMIFS(Закрытые!$K$5:$K$300,Закрытые!$E$5:$E$300,$B149,Закрытые!$B$5:$B$300,"L-*"))</f>
        <v/>
      </c>
      <c r="I149" s="240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>
        <f>IF($B149="","",ROUND(SUMIFS(Закрытые!$N$5:$N$300,Закрытые!$E$5:$E$300,$B149,Закрытые!$B$5:$B$300,"L-*"),8))</f>
        <v/>
      </c>
      <c r="L149" s="177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>
        <f>IF(C150="","",SUMIFS(Лэндинг!$H$5:$H$300,Лэндинг!$E$5:$E$300,$B150)+SUMIFS(Закрытые!$H$5:$H$300,Закрытые!$E$5:$E$300,$B150,Закрытые!$B$5:$B$300,"L-*"))</f>
        <v/>
      </c>
      <c r="F150" s="246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>
        <f>IF(F150="","",SUMIFS(Лэндинг!$K$5:$K$300,Лэндинг!$E$5:$E$300,$B150)+SUMIFS(Закрытые!$K$5:$K$300,Закрытые!$E$5:$E$300,$B150,Закрытые!$B$5:$B$300,"L-*"))</f>
        <v/>
      </c>
      <c r="I150" s="246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>
        <f>IF($B150="","",ROUND(SUMIFS(Закрытые!$N$5:$N$300,Закрытые!$E$5:$E$300,$B150,Закрытые!$B$5:$B$300,"L-*"),8))</f>
        <v/>
      </c>
      <c r="L150" s="183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>
        <f>IF(C151="","",SUMIFS(Лэндинг!$H$5:$H$300,Лэндинг!$E$5:$E$300,$B151)+SUMIFS(Закрытые!$H$5:$H$300,Закрытые!$E$5:$E$300,$B151,Закрытые!$B$5:$B$300,"L-*"))</f>
        <v/>
      </c>
      <c r="F151" s="240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>
        <f>IF(F151="","",SUMIFS(Лэндинг!$K$5:$K$300,Лэндинг!$E$5:$E$300,$B151)+SUMIFS(Закрытые!$K$5:$K$300,Закрытые!$E$5:$E$300,$B151,Закрытые!$B$5:$B$300,"L-*"))</f>
        <v/>
      </c>
      <c r="I151" s="240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>
        <f>IF($B151="","",ROUND(SUMIFS(Закрытые!$N$5:$N$300,Закрытые!$E$5:$E$300,$B151,Закрытые!$B$5:$B$300,"L-*"),8))</f>
        <v/>
      </c>
      <c r="L151" s="177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>
        <f>IF(C152="","",SUMIFS(Лэндинг!$H$5:$H$300,Лэндинг!$E$5:$E$300,$B152)+SUMIFS(Закрытые!$H$5:$H$300,Закрытые!$E$5:$E$300,$B152,Закрытые!$B$5:$B$300,"L-*"))</f>
        <v/>
      </c>
      <c r="F152" s="246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>
        <f>IF(F152="","",SUMIFS(Лэндинг!$K$5:$K$300,Лэндинг!$E$5:$E$300,$B152)+SUMIFS(Закрытые!$K$5:$K$300,Закрытые!$E$5:$E$300,$B152,Закрытые!$B$5:$B$300,"L-*"))</f>
        <v/>
      </c>
      <c r="I152" s="246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>
        <f>IF($B152="","",ROUND(SUMIFS(Закрытые!$N$5:$N$300,Закрытые!$E$5:$E$300,$B152,Закрытые!$B$5:$B$300,"L-*"),8))</f>
        <v/>
      </c>
      <c r="L152" s="183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>
        <f>IF(C153="","",SUMIFS(Лэндинг!$H$5:$H$300,Лэндинг!$E$5:$E$300,$B153)+SUMIFS(Закрытые!$H$5:$H$300,Закрытые!$E$5:$E$300,$B153,Закрытые!$B$5:$B$300,"L-*"))</f>
        <v/>
      </c>
      <c r="F153" s="240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>
        <f>IF(F153="","",SUMIFS(Лэндинг!$K$5:$K$300,Лэндинг!$E$5:$E$300,$B153)+SUMIFS(Закрытые!$K$5:$K$300,Закрытые!$E$5:$E$300,$B153,Закрытые!$B$5:$B$300,"L-*"))</f>
        <v/>
      </c>
      <c r="I153" s="240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>
        <f>IF($B153="","",ROUND(SUMIFS(Закрытые!$N$5:$N$300,Закрытые!$E$5:$E$300,$B153,Закрытые!$B$5:$B$300,"L-*"),8))</f>
        <v/>
      </c>
      <c r="L153" s="177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>
        <f>IF(C154="","",SUMIFS(Лэндинг!$H$5:$H$300,Лэндинг!$E$5:$E$300,$B154)+SUMIFS(Закрытые!$H$5:$H$300,Закрытые!$E$5:$E$300,$B154,Закрытые!$B$5:$B$300,"L-*"))</f>
        <v/>
      </c>
      <c r="F154" s="246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>
        <f>IF(F154="","",SUMIFS(Лэндинг!$K$5:$K$300,Лэндинг!$E$5:$E$300,$B154)+SUMIFS(Закрытые!$K$5:$K$300,Закрытые!$E$5:$E$300,$B154,Закрытые!$B$5:$B$300,"L-*"))</f>
        <v/>
      </c>
      <c r="I154" s="246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>
        <f>IF($B154="","",ROUND(SUMIFS(Закрытые!$N$5:$N$300,Закрытые!$E$5:$E$300,$B154,Закрытые!$B$5:$B$300,"L-*"),8))</f>
        <v/>
      </c>
      <c r="L154" s="183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>
        <f>IF(C155="","",SUMIFS(Лэндинг!$H$5:$H$300,Лэндинг!$E$5:$E$300,$B155)+SUMIFS(Закрытые!$H$5:$H$300,Закрытые!$E$5:$E$300,$B155,Закрытые!$B$5:$B$300,"L-*"))</f>
        <v/>
      </c>
      <c r="F155" s="240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>
        <f>IF(F155="","",SUMIFS(Лэндинг!$K$5:$K$300,Лэндинг!$E$5:$E$300,$B155)+SUMIFS(Закрытые!$K$5:$K$300,Закрытые!$E$5:$E$300,$B155,Закрытые!$B$5:$B$300,"L-*"))</f>
        <v/>
      </c>
      <c r="I155" s="240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>
        <f>IF($B155="","",ROUND(SUMIFS(Закрытые!$N$5:$N$300,Закрытые!$E$5:$E$300,$B155,Закрытые!$B$5:$B$300,"L-*"),8))</f>
        <v/>
      </c>
      <c r="L155" s="177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>
        <f>IF(C156="","",SUMIFS(Лэндинг!$H$5:$H$300,Лэндинг!$E$5:$E$300,$B156)+SUMIFS(Закрытые!$H$5:$H$300,Закрытые!$E$5:$E$300,$B156,Закрытые!$B$5:$B$300,"L-*"))</f>
        <v/>
      </c>
      <c r="F156" s="246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>
        <f>IF(F156="","",SUMIFS(Лэндинг!$K$5:$K$300,Лэндинг!$E$5:$E$300,$B156)+SUMIFS(Закрытые!$K$5:$K$300,Закрытые!$E$5:$E$300,$B156,Закрытые!$B$5:$B$300,"L-*"))</f>
        <v/>
      </c>
      <c r="I156" s="246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>
        <f>IF($B156="","",ROUND(SUMIFS(Закрытые!$N$5:$N$300,Закрытые!$E$5:$E$300,$B156,Закрытые!$B$5:$B$300,"L-*"),8))</f>
        <v/>
      </c>
      <c r="L156" s="183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>
        <f>IF(C157="","",SUMIFS(Лэндинг!$H$5:$H$300,Лэндинг!$E$5:$E$300,$B157)+SUMIFS(Закрытые!$H$5:$H$300,Закрытые!$E$5:$E$300,$B157,Закрытые!$B$5:$B$300,"L-*"))</f>
        <v/>
      </c>
      <c r="F157" s="240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>
        <f>IF(F157="","",SUMIFS(Лэндинг!$K$5:$K$300,Лэндинг!$E$5:$E$300,$B157)+SUMIFS(Закрытые!$K$5:$K$300,Закрытые!$E$5:$E$300,$B157,Закрытые!$B$5:$B$300,"L-*"))</f>
        <v/>
      </c>
      <c r="I157" s="240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>
        <f>IF($B157="","",ROUND(SUMIFS(Закрытые!$N$5:$N$300,Закрытые!$E$5:$E$300,$B157,Закрытые!$B$5:$B$300,"L-*"),8))</f>
        <v/>
      </c>
      <c r="L157" s="177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>
        <f>IF(C158="","",SUMIFS(Лэндинг!$H$5:$H$300,Лэндинг!$E$5:$E$300,$B158)+SUMIFS(Закрытые!$H$5:$H$300,Закрытые!$E$5:$E$300,$B158,Закрытые!$B$5:$B$300,"L-*"))</f>
        <v/>
      </c>
      <c r="F158" s="246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>
        <f>IF(F158="","",SUMIFS(Лэндинг!$K$5:$K$300,Лэндинг!$E$5:$E$300,$B158)+SUMIFS(Закрытые!$K$5:$K$300,Закрытые!$E$5:$E$300,$B158,Закрытые!$B$5:$B$300,"L-*"))</f>
        <v/>
      </c>
      <c r="I158" s="246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>
        <f>IF($B158="","",ROUND(SUMIFS(Закрытые!$N$5:$N$300,Закрытые!$E$5:$E$300,$B158,Закрытые!$B$5:$B$300,"L-*"),8))</f>
        <v/>
      </c>
      <c r="L158" s="183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>
        <f>IF(C159="","",SUMIFS(Лэндинг!$H$5:$H$300,Лэндинг!$E$5:$E$300,$B159)+SUMIFS(Закрытые!$H$5:$H$300,Закрытые!$E$5:$E$300,$B159,Закрытые!$B$5:$B$300,"L-*"))</f>
        <v/>
      </c>
      <c r="F159" s="240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>
        <f>IF(F159="","",SUMIFS(Лэндинг!$K$5:$K$300,Лэндинг!$E$5:$E$300,$B159)+SUMIFS(Закрытые!$K$5:$K$300,Закрытые!$E$5:$E$300,$B159,Закрытые!$B$5:$B$300,"L-*"))</f>
        <v/>
      </c>
      <c r="I159" s="240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>
        <f>IF($B159="","",ROUND(SUMIFS(Закрытые!$N$5:$N$300,Закрытые!$E$5:$E$300,$B159,Закрытые!$B$5:$B$300,"L-*"),8))</f>
        <v/>
      </c>
      <c r="L159" s="177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>
        <f>IF(C160="","",SUMIFS(Лэндинг!$H$5:$H$300,Лэндинг!$E$5:$E$300,$B160)+SUMIFS(Закрытые!$H$5:$H$300,Закрытые!$E$5:$E$300,$B160,Закрытые!$B$5:$B$300,"L-*"))</f>
        <v/>
      </c>
      <c r="F160" s="246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>
        <f>IF(F160="","",SUMIFS(Лэндинг!$K$5:$K$300,Лэндинг!$E$5:$E$300,$B160)+SUMIFS(Закрытые!$K$5:$K$300,Закрытые!$E$5:$E$300,$B160,Закрытые!$B$5:$B$300,"L-*"))</f>
        <v/>
      </c>
      <c r="I160" s="246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>
        <f>IF($B160="","",ROUND(SUMIFS(Закрытые!$N$5:$N$300,Закрытые!$E$5:$E$300,$B160,Закрытые!$B$5:$B$300,"L-*"),8))</f>
        <v/>
      </c>
      <c r="L160" s="183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>
        <f>IF(C161="","",SUMIFS(Лэндинг!$H$5:$H$300,Лэндинг!$E$5:$E$300,$B161)+SUMIFS(Закрытые!$H$5:$H$300,Закрытые!$E$5:$E$300,$B161,Закрытые!$B$5:$B$300,"L-*"))</f>
        <v/>
      </c>
      <c r="F161" s="240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>
        <f>IF(F161="","",SUMIFS(Лэндинг!$K$5:$K$300,Лэндинг!$E$5:$E$300,$B161)+SUMIFS(Закрытые!$K$5:$K$300,Закрытые!$E$5:$E$300,$B161,Закрытые!$B$5:$B$300,"L-*"))</f>
        <v/>
      </c>
      <c r="I161" s="240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>
        <f>IF($B161="","",ROUND(SUMIFS(Закрытые!$N$5:$N$300,Закрытые!$E$5:$E$300,$B161,Закрытые!$B$5:$B$300,"L-*"),8))</f>
        <v/>
      </c>
      <c r="L161" s="177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>
        <f>IF(C162="","",SUMIFS(Лэндинг!$H$5:$H$300,Лэндинг!$E$5:$E$300,$B162)+SUMIFS(Закрытые!$H$5:$H$300,Закрытые!$E$5:$E$300,$B162,Закрытые!$B$5:$B$300,"L-*"))</f>
        <v/>
      </c>
      <c r="F162" s="246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>
        <f>IF(F162="","",SUMIFS(Лэндинг!$K$5:$K$300,Лэндинг!$E$5:$E$300,$B162)+SUMIFS(Закрытые!$K$5:$K$300,Закрытые!$E$5:$E$300,$B162,Закрытые!$B$5:$B$300,"L-*"))</f>
        <v/>
      </c>
      <c r="I162" s="246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>
        <f>IF($B162="","",ROUND(SUMIFS(Закрытые!$N$5:$N$300,Закрытые!$E$5:$E$300,$B162,Закрытые!$B$5:$B$300,"L-*"),8))</f>
        <v/>
      </c>
      <c r="L162" s="183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>
        <f>IF(C163="","",SUMIFS(Лэндинг!$H$5:$H$300,Лэндинг!$E$5:$E$300,$B163)+SUMIFS(Закрытые!$H$5:$H$300,Закрытые!$E$5:$E$300,$B163,Закрытые!$B$5:$B$300,"L-*"))</f>
        <v/>
      </c>
      <c r="F163" s="240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>
        <f>IF(F163="","",SUMIFS(Лэндинг!$K$5:$K$300,Лэндинг!$E$5:$E$300,$B163)+SUMIFS(Закрытые!$K$5:$K$300,Закрытые!$E$5:$E$300,$B163,Закрытые!$B$5:$B$300,"L-*"))</f>
        <v/>
      </c>
      <c r="I163" s="240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>
        <f>IF($B163="","",ROUND(SUMIFS(Закрытые!$N$5:$N$300,Закрытые!$E$5:$E$300,$B163,Закрытые!$B$5:$B$300,"L-*"),8))</f>
        <v/>
      </c>
      <c r="L163" s="177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>
        <f>IF(C164="","",SUMIFS(Лэндинг!$H$5:$H$300,Лэндинг!$E$5:$E$300,$B164)+SUMIFS(Закрытые!$H$5:$H$300,Закрытые!$E$5:$E$300,$B164,Закрытые!$B$5:$B$300,"L-*"))</f>
        <v/>
      </c>
      <c r="F164" s="246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>
        <f>IF(F164="","",SUMIFS(Лэндинг!$K$5:$K$300,Лэндинг!$E$5:$E$300,$B164)+SUMIFS(Закрытые!$K$5:$K$300,Закрытые!$E$5:$E$300,$B164,Закрытые!$B$5:$B$300,"L-*"))</f>
        <v/>
      </c>
      <c r="I164" s="246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>
        <f>IF($B164="","",ROUND(SUMIFS(Закрытые!$N$5:$N$300,Закрытые!$E$5:$E$300,$B164,Закрытые!$B$5:$B$300,"L-*"),8))</f>
        <v/>
      </c>
      <c r="L164" s="183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>
        <f>IF(C165="","",SUMIFS(Лэндинг!$H$5:$H$300,Лэндинг!$E$5:$E$300,$B165)+SUMIFS(Закрытые!$H$5:$H$300,Закрытые!$E$5:$E$300,$B165,Закрытые!$B$5:$B$300,"L-*"))</f>
        <v/>
      </c>
      <c r="F165" s="240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>
        <f>IF(F165="","",SUMIFS(Лэндинг!$K$5:$K$300,Лэндинг!$E$5:$E$300,$B165)+SUMIFS(Закрытые!$K$5:$K$300,Закрытые!$E$5:$E$300,$B165,Закрытые!$B$5:$B$300,"L-*"))</f>
        <v/>
      </c>
      <c r="I165" s="240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>
        <f>IF($B165="","",ROUND(SUMIFS(Закрытые!$N$5:$N$300,Закрытые!$E$5:$E$300,$B165,Закрытые!$B$5:$B$300,"L-*"),8))</f>
        <v/>
      </c>
      <c r="L165" s="177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>
        <f>IF(C166="","",SUMIFS(Лэндинг!$H$5:$H$300,Лэндинг!$E$5:$E$300,$B166)+SUMIFS(Закрытые!$H$5:$H$300,Закрытые!$E$5:$E$300,$B166,Закрытые!$B$5:$B$300,"L-*"))</f>
        <v/>
      </c>
      <c r="F166" s="246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>
        <f>IF(F166="","",SUMIFS(Лэндинг!$K$5:$K$300,Лэндинг!$E$5:$E$300,$B166)+SUMIFS(Закрытые!$K$5:$K$300,Закрытые!$E$5:$E$300,$B166,Закрытые!$B$5:$B$300,"L-*"))</f>
        <v/>
      </c>
      <c r="I166" s="246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>
        <f>IF($B166="","",ROUND(SUMIFS(Закрытые!$N$5:$N$300,Закрытые!$E$5:$E$300,$B166,Закрытые!$B$5:$B$300,"L-*"),8))</f>
        <v/>
      </c>
      <c r="L166" s="183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>
        <f>IF(C167="","",SUMIFS(Лэндинг!$H$5:$H$300,Лэндинг!$E$5:$E$300,$B167)+SUMIFS(Закрытые!$H$5:$H$300,Закрытые!$E$5:$E$300,$B167,Закрытые!$B$5:$B$300,"L-*"))</f>
        <v/>
      </c>
      <c r="F167" s="240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>
        <f>IF(F167="","",SUMIFS(Лэндинг!$K$5:$K$300,Лэндинг!$E$5:$E$300,$B167)+SUMIFS(Закрытые!$K$5:$K$300,Закрытые!$E$5:$E$300,$B167,Закрытые!$B$5:$B$300,"L-*"))</f>
        <v/>
      </c>
      <c r="I167" s="240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>
        <f>IF($B167="","",ROUND(SUMIFS(Закрытые!$N$5:$N$300,Закрытые!$E$5:$E$300,$B167,Закрытые!$B$5:$B$300,"L-*"),8))</f>
        <v/>
      </c>
      <c r="L167" s="177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>
        <f>IF(C168="","",SUMIFS(Лэндинг!$H$5:$H$300,Лэндинг!$E$5:$E$300,$B168)+SUMIFS(Закрытые!$H$5:$H$300,Закрытые!$E$5:$E$300,$B168,Закрытые!$B$5:$B$300,"L-*"))</f>
        <v/>
      </c>
      <c r="F168" s="246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>
        <f>IF(F168="","",SUMIFS(Лэндинг!$K$5:$K$300,Лэндинг!$E$5:$E$300,$B168)+SUMIFS(Закрытые!$K$5:$K$300,Закрытые!$E$5:$E$300,$B168,Закрытые!$B$5:$B$300,"L-*"))</f>
        <v/>
      </c>
      <c r="I168" s="246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>
        <f>IF($B168="","",ROUND(SUMIFS(Закрытые!$N$5:$N$300,Закрытые!$E$5:$E$300,$B168,Закрытые!$B$5:$B$300,"L-*"),8))</f>
        <v/>
      </c>
      <c r="L168" s="183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>
        <f>IF(C169="","",SUMIFS(Лэндинг!$H$5:$H$300,Лэндинг!$E$5:$E$300,$B169)+SUMIFS(Закрытые!$H$5:$H$300,Закрытые!$E$5:$E$300,$B169,Закрытые!$B$5:$B$300,"L-*"))</f>
        <v/>
      </c>
      <c r="F169" s="240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>
        <f>IF(F169="","",SUMIFS(Лэндинг!$K$5:$K$300,Лэндинг!$E$5:$E$300,$B169)+SUMIFS(Закрытые!$K$5:$K$300,Закрытые!$E$5:$E$300,$B169,Закрытые!$B$5:$B$300,"L-*"))</f>
        <v/>
      </c>
      <c r="I169" s="240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>
        <f>IF($B169="","",ROUND(SUMIFS(Закрытые!$N$5:$N$300,Закрытые!$E$5:$E$300,$B169,Закрытые!$B$5:$B$300,"L-*"),8))</f>
        <v/>
      </c>
      <c r="L169" s="177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>
        <f>IF(C170="","",SUMIFS(Лэндинг!$H$5:$H$300,Лэндинг!$E$5:$E$300,$B170)+SUMIFS(Закрытые!$H$5:$H$300,Закрытые!$E$5:$E$300,$B170,Закрытые!$B$5:$B$300,"L-*"))</f>
        <v/>
      </c>
      <c r="F170" s="246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>
        <f>IF(F170="","",SUMIFS(Лэндинг!$K$5:$K$300,Лэндинг!$E$5:$E$300,$B170)+SUMIFS(Закрытые!$K$5:$K$300,Закрытые!$E$5:$E$300,$B170,Закрытые!$B$5:$B$300,"L-*"))</f>
        <v/>
      </c>
      <c r="I170" s="246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>
        <f>IF($B170="","",ROUND(SUMIFS(Закрытые!$N$5:$N$300,Закрытые!$E$5:$E$300,$B170,Закрытые!$B$5:$B$300,"L-*"),8))</f>
        <v/>
      </c>
      <c r="L170" s="183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>
        <f>IF(C171="","",SUMIFS(Лэндинг!$H$5:$H$300,Лэндинг!$E$5:$E$300,$B171)+SUMIFS(Закрытые!$H$5:$H$300,Закрытые!$E$5:$E$300,$B171,Закрытые!$B$5:$B$300,"L-*"))</f>
        <v/>
      </c>
      <c r="F171" s="240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>
        <f>IF(F171="","",SUMIFS(Лэндинг!$K$5:$K$300,Лэндинг!$E$5:$E$300,$B171)+SUMIFS(Закрытые!$K$5:$K$300,Закрытые!$E$5:$E$300,$B171,Закрытые!$B$5:$B$300,"L-*"))</f>
        <v/>
      </c>
      <c r="I171" s="240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>
        <f>IF($B171="","",ROUND(SUMIFS(Закрытые!$N$5:$N$300,Закрытые!$E$5:$E$300,$B171,Закрытые!$B$5:$B$300,"L-*"),8))</f>
        <v/>
      </c>
      <c r="L171" s="177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>
        <f>IF(C172="","",SUMIFS(Лэндинг!$H$5:$H$300,Лэндинг!$E$5:$E$300,$B172)+SUMIFS(Закрытые!$H$5:$H$300,Закрытые!$E$5:$E$300,$B172,Закрытые!$B$5:$B$300,"L-*"))</f>
        <v/>
      </c>
      <c r="F172" s="246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>
        <f>IF(F172="","",SUMIFS(Лэндинг!$K$5:$K$300,Лэндинг!$E$5:$E$300,$B172)+SUMIFS(Закрытые!$K$5:$K$300,Закрытые!$E$5:$E$300,$B172,Закрытые!$B$5:$B$300,"L-*"))</f>
        <v/>
      </c>
      <c r="I172" s="246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>
        <f>IF($B172="","",ROUND(SUMIFS(Закрытые!$N$5:$N$300,Закрытые!$E$5:$E$300,$B172,Закрытые!$B$5:$B$300,"L-*"),8))</f>
        <v/>
      </c>
      <c r="L172" s="183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>
        <f>IF(C173="","",SUMIFS(Лэндинг!$H$5:$H$300,Лэндинг!$E$5:$E$300,$B173)+SUMIFS(Закрытые!$H$5:$H$300,Закрытые!$E$5:$E$300,$B173,Закрытые!$B$5:$B$300,"L-*"))</f>
        <v/>
      </c>
      <c r="F173" s="240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>
        <f>IF(F173="","",SUMIFS(Лэндинг!$K$5:$K$300,Лэндинг!$E$5:$E$300,$B173)+SUMIFS(Закрытые!$K$5:$K$300,Закрытые!$E$5:$E$300,$B173,Закрытые!$B$5:$B$300,"L-*"))</f>
        <v/>
      </c>
      <c r="I173" s="240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>
        <f>IF($B173="","",ROUND(SUMIFS(Закрытые!$N$5:$N$300,Закрытые!$E$5:$E$300,$B173,Закрытые!$B$5:$B$300,"L-*"),8))</f>
        <v/>
      </c>
      <c r="L173" s="177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>
        <f>IF(C174="","",SUMIFS(Лэндинг!$H$5:$H$300,Лэндинг!$E$5:$E$300,$B174)+SUMIFS(Закрытые!$H$5:$H$300,Закрытые!$E$5:$E$300,$B174,Закрытые!$B$5:$B$300,"L-*"))</f>
        <v/>
      </c>
      <c r="F174" s="246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>
        <f>IF(F174="","",SUMIFS(Лэндинг!$K$5:$K$300,Лэндинг!$E$5:$E$300,$B174)+SUMIFS(Закрытые!$K$5:$K$300,Закрытые!$E$5:$E$300,$B174,Закрытые!$B$5:$B$300,"L-*"))</f>
        <v/>
      </c>
      <c r="I174" s="246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>
        <f>IF($B174="","",ROUND(SUMIFS(Закрытые!$N$5:$N$300,Закрытые!$E$5:$E$300,$B174,Закрытые!$B$5:$B$300,"L-*"),8))</f>
        <v/>
      </c>
      <c r="L174" s="183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>
        <f>IF(C175="","",SUMIFS(Лэндинг!$H$5:$H$300,Лэндинг!$E$5:$E$300,$B175)+SUMIFS(Закрытые!$H$5:$H$300,Закрытые!$E$5:$E$300,$B175,Закрытые!$B$5:$B$300,"L-*"))</f>
        <v/>
      </c>
      <c r="F175" s="240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>
        <f>IF(F175="","",SUMIFS(Лэндинг!$K$5:$K$300,Лэндинг!$E$5:$E$300,$B175)+SUMIFS(Закрытые!$K$5:$K$300,Закрытые!$E$5:$E$300,$B175,Закрытые!$B$5:$B$300,"L-*"))</f>
        <v/>
      </c>
      <c r="I175" s="240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>
        <f>IF($B175="","",ROUND(SUMIFS(Закрытые!$N$5:$N$300,Закрытые!$E$5:$E$300,$B175,Закрытые!$B$5:$B$300,"L-*"),8))</f>
        <v/>
      </c>
      <c r="L175" s="177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>
        <f>IF(C176="","",SUMIFS(Лэндинг!$H$5:$H$300,Лэндинг!$E$5:$E$300,$B176)+SUMIFS(Закрытые!$H$5:$H$300,Закрытые!$E$5:$E$300,$B176,Закрытые!$B$5:$B$300,"L-*"))</f>
        <v/>
      </c>
      <c r="F176" s="246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>
        <f>IF(F176="","",SUMIFS(Лэндинг!$K$5:$K$300,Лэндинг!$E$5:$E$300,$B176)+SUMIFS(Закрытые!$K$5:$K$300,Закрытые!$E$5:$E$300,$B176,Закрытые!$B$5:$B$300,"L-*"))</f>
        <v/>
      </c>
      <c r="I176" s="246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>
        <f>IF($B176="","",ROUND(SUMIFS(Закрытые!$N$5:$N$300,Закрытые!$E$5:$E$300,$B176,Закрытые!$B$5:$B$300,"L-*"),8))</f>
        <v/>
      </c>
      <c r="L176" s="183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>
        <f>IF(C177="","",SUMIFS(Лэндинг!$H$5:$H$300,Лэндинг!$E$5:$E$300,$B177)+SUMIFS(Закрытые!$H$5:$H$300,Закрытые!$E$5:$E$300,$B177,Закрытые!$B$5:$B$300,"L-*"))</f>
        <v/>
      </c>
      <c r="F177" s="240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>
        <f>IF(F177="","",SUMIFS(Лэндинг!$K$5:$K$300,Лэндинг!$E$5:$E$300,$B177)+SUMIFS(Закрытые!$K$5:$K$300,Закрытые!$E$5:$E$300,$B177,Закрытые!$B$5:$B$300,"L-*"))</f>
        <v/>
      </c>
      <c r="I177" s="240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>
        <f>IF($B177="","",ROUND(SUMIFS(Закрытые!$N$5:$N$300,Закрытые!$E$5:$E$300,$B177,Закрытые!$B$5:$B$300,"L-*"),8))</f>
        <v/>
      </c>
      <c r="L177" s="177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>
        <f>IF(C178="","",SUMIFS(Лэндинг!$H$5:$H$300,Лэндинг!$E$5:$E$300,$B178)+SUMIFS(Закрытые!$H$5:$H$300,Закрытые!$E$5:$E$300,$B178,Закрытые!$B$5:$B$300,"L-*"))</f>
        <v/>
      </c>
      <c r="F178" s="246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>
        <f>IF(F178="","",SUMIFS(Лэндинг!$K$5:$K$300,Лэндинг!$E$5:$E$300,$B178)+SUMIFS(Закрытые!$K$5:$K$300,Закрытые!$E$5:$E$300,$B178,Закрытые!$B$5:$B$300,"L-*"))</f>
        <v/>
      </c>
      <c r="I178" s="246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>
        <f>IF($B178="","",ROUND(SUMIFS(Закрытые!$N$5:$N$300,Закрытые!$E$5:$E$300,$B178,Закрытые!$B$5:$B$300,"L-*"),8))</f>
        <v/>
      </c>
      <c r="L178" s="183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>
        <f>IF(C179="","",SUMIFS(Лэндинг!$H$5:$H$300,Лэндинг!$E$5:$E$300,$B179)+SUMIFS(Закрытые!$H$5:$H$300,Закрытые!$E$5:$E$300,$B179,Закрытые!$B$5:$B$300,"L-*"))</f>
        <v/>
      </c>
      <c r="F179" s="240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>
        <f>IF(F179="","",SUMIFS(Лэндинг!$K$5:$K$300,Лэндинг!$E$5:$E$300,$B179)+SUMIFS(Закрытые!$K$5:$K$300,Закрытые!$E$5:$E$300,$B179,Закрытые!$B$5:$B$300,"L-*"))</f>
        <v/>
      </c>
      <c r="I179" s="240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>
        <f>IF($B179="","",ROUND(SUMIFS(Закрытые!$N$5:$N$300,Закрытые!$E$5:$E$300,$B179,Закрытые!$B$5:$B$300,"L-*"),8))</f>
        <v/>
      </c>
      <c r="L179" s="177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>
        <f>IF(C180="","",SUMIFS(Лэндинг!$H$5:$H$300,Лэндинг!$E$5:$E$300,$B180)+SUMIFS(Закрытые!$H$5:$H$300,Закрытые!$E$5:$E$300,$B180,Закрытые!$B$5:$B$300,"L-*"))</f>
        <v/>
      </c>
      <c r="F180" s="246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>
        <f>IF(F180="","",SUMIFS(Лэндинг!$K$5:$K$300,Лэндинг!$E$5:$E$300,$B180)+SUMIFS(Закрытые!$K$5:$K$300,Закрытые!$E$5:$E$300,$B180,Закрытые!$B$5:$B$300,"L-*"))</f>
        <v/>
      </c>
      <c r="I180" s="246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>
        <f>IF($B180="","",ROUND(SUMIFS(Закрытые!$N$5:$N$300,Закрытые!$E$5:$E$300,$B180,Закрытые!$B$5:$B$300,"L-*"),8))</f>
        <v/>
      </c>
      <c r="L180" s="183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>
        <f>IF(C181="","",SUMIFS(Лэндинг!$H$5:$H$300,Лэндинг!$E$5:$E$300,$B181)+SUMIFS(Закрытые!$H$5:$H$300,Закрытые!$E$5:$E$300,$B181,Закрытые!$B$5:$B$300,"L-*"))</f>
        <v/>
      </c>
      <c r="F181" s="240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>
        <f>IF(F181="","",SUMIFS(Лэндинг!$K$5:$K$300,Лэндинг!$E$5:$E$300,$B181)+SUMIFS(Закрытые!$K$5:$K$300,Закрытые!$E$5:$E$300,$B181,Закрытые!$B$5:$B$300,"L-*"))</f>
        <v/>
      </c>
      <c r="I181" s="240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>
        <f>IF($B181="","",ROUND(SUMIFS(Закрытые!$N$5:$N$300,Закрытые!$E$5:$E$300,$B181,Закрытые!$B$5:$B$300,"L-*"),8))</f>
        <v/>
      </c>
      <c r="L181" s="177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>
        <f>IF(C182="","",SUMIFS(Лэндинг!$H$5:$H$300,Лэндинг!$E$5:$E$300,$B182)+SUMIFS(Закрытые!$H$5:$H$300,Закрытые!$E$5:$E$300,$B182,Закрытые!$B$5:$B$300,"L-*"))</f>
        <v/>
      </c>
      <c r="F182" s="246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>
        <f>IF(F182="","",SUMIFS(Лэндинг!$K$5:$K$300,Лэндинг!$E$5:$E$300,$B182)+SUMIFS(Закрытые!$K$5:$K$300,Закрытые!$E$5:$E$300,$B182,Закрытые!$B$5:$B$300,"L-*"))</f>
        <v/>
      </c>
      <c r="I182" s="246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>
        <f>IF($B182="","",ROUND(SUMIFS(Закрытые!$N$5:$N$300,Закрытые!$E$5:$E$300,$B182,Закрытые!$B$5:$B$300,"L-*"),8))</f>
        <v/>
      </c>
      <c r="L182" s="183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>
        <f>IF(C183="","",SUMIFS(Лэндинг!$H$5:$H$300,Лэндинг!$E$5:$E$300,$B183)+SUMIFS(Закрытые!$H$5:$H$300,Закрытые!$E$5:$E$300,$B183,Закрытые!$B$5:$B$300,"L-*"))</f>
        <v/>
      </c>
      <c r="F183" s="240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>
        <f>IF(F183="","",SUMIFS(Лэндинг!$K$5:$K$300,Лэндинг!$E$5:$E$300,$B183)+SUMIFS(Закрытые!$K$5:$K$300,Закрытые!$E$5:$E$300,$B183,Закрытые!$B$5:$B$300,"L-*"))</f>
        <v/>
      </c>
      <c r="I183" s="240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>
        <f>IF($B183="","",ROUND(SUMIFS(Закрытые!$N$5:$N$300,Закрытые!$E$5:$E$300,$B183,Закрытые!$B$5:$B$300,"L-*"),8))</f>
        <v/>
      </c>
      <c r="L183" s="177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>
        <f>IF(C184="","",SUMIFS(Лэндинг!$H$5:$H$300,Лэндинг!$E$5:$E$300,$B184)+SUMIFS(Закрытые!$H$5:$H$300,Закрытые!$E$5:$E$300,$B184,Закрытые!$B$5:$B$300,"L-*"))</f>
        <v/>
      </c>
      <c r="F184" s="246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>
        <f>IF(F184="","",SUMIFS(Лэндинг!$K$5:$K$300,Лэндинг!$E$5:$E$300,$B184)+SUMIFS(Закрытые!$K$5:$K$300,Закрытые!$E$5:$E$300,$B184,Закрытые!$B$5:$B$300,"L-*"))</f>
        <v/>
      </c>
      <c r="I184" s="246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>
        <f>IF($B184="","",ROUND(SUMIFS(Закрытые!$N$5:$N$300,Закрытые!$E$5:$E$300,$B184,Закрытые!$B$5:$B$300,"L-*"),8))</f>
        <v/>
      </c>
      <c r="L184" s="183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>
        <f>IF(C185="","",SUMIFS(Лэндинг!$H$5:$H$300,Лэндинг!$E$5:$E$300,$B185)+SUMIFS(Закрытые!$H$5:$H$300,Закрытые!$E$5:$E$300,$B185,Закрытые!$B$5:$B$300,"L-*"))</f>
        <v/>
      </c>
      <c r="F185" s="240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>
        <f>IF(F185="","",SUMIFS(Лэндинг!$K$5:$K$300,Лэндинг!$E$5:$E$300,$B185)+SUMIFS(Закрытые!$K$5:$K$300,Закрытые!$E$5:$E$300,$B185,Закрытые!$B$5:$B$300,"L-*"))</f>
        <v/>
      </c>
      <c r="I185" s="240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>
        <f>IF($B185="","",ROUND(SUMIFS(Закрытые!$N$5:$N$300,Закрытые!$E$5:$E$300,$B185,Закрытые!$B$5:$B$300,"L-*"),8))</f>
        <v/>
      </c>
      <c r="L185" s="177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>
        <f>IF(C186="","",SUMIFS(Лэндинг!$H$5:$H$300,Лэндинг!$E$5:$E$300,$B186)+SUMIFS(Закрытые!$H$5:$H$300,Закрытые!$E$5:$E$300,$B186,Закрытые!$B$5:$B$300,"L-*"))</f>
        <v/>
      </c>
      <c r="F186" s="246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>
        <f>IF(F186="","",SUMIFS(Лэндинг!$K$5:$K$300,Лэндинг!$E$5:$E$300,$B186)+SUMIFS(Закрытые!$K$5:$K$300,Закрытые!$E$5:$E$300,$B186,Закрытые!$B$5:$B$300,"L-*"))</f>
        <v/>
      </c>
      <c r="I186" s="246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>
        <f>IF($B186="","",ROUND(SUMIFS(Закрытые!$N$5:$N$300,Закрытые!$E$5:$E$300,$B186,Закрытые!$B$5:$B$300,"L-*"),8))</f>
        <v/>
      </c>
      <c r="L186" s="183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>
        <f>IF(C187="","",SUMIFS(Лэндинг!$H$5:$H$300,Лэндинг!$E$5:$E$300,$B187)+SUMIFS(Закрытые!$H$5:$H$300,Закрытые!$E$5:$E$300,$B187,Закрытые!$B$5:$B$300,"L-*"))</f>
        <v/>
      </c>
      <c r="F187" s="240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>
        <f>IF(F187="","",SUMIFS(Лэндинг!$K$5:$K$300,Лэндинг!$E$5:$E$300,$B187)+SUMIFS(Закрытые!$K$5:$K$300,Закрытые!$E$5:$E$300,$B187,Закрытые!$B$5:$B$300,"L-*"))</f>
        <v/>
      </c>
      <c r="I187" s="240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>
        <f>IF($B187="","",ROUND(SUMIFS(Закрытые!$N$5:$N$300,Закрытые!$E$5:$E$300,$B187,Закрытые!$B$5:$B$300,"L-*"),8))</f>
        <v/>
      </c>
      <c r="L187" s="177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>
        <f>IF(C188="","",SUMIFS(Лэндинг!$H$5:$H$300,Лэндинг!$E$5:$E$300,$B188)+SUMIFS(Закрытые!$H$5:$H$300,Закрытые!$E$5:$E$300,$B188,Закрытые!$B$5:$B$300,"L-*"))</f>
        <v/>
      </c>
      <c r="F188" s="246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>
        <f>IF(F188="","",SUMIFS(Лэндинг!$K$5:$K$300,Лэндинг!$E$5:$E$300,$B188)+SUMIFS(Закрытые!$K$5:$K$300,Закрытые!$E$5:$E$300,$B188,Закрытые!$B$5:$B$300,"L-*"))</f>
        <v/>
      </c>
      <c r="I188" s="246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>
        <f>IF($B188="","",ROUND(SUMIFS(Закрытые!$N$5:$N$300,Закрытые!$E$5:$E$300,$B188,Закрытые!$B$5:$B$300,"L-*"),8))</f>
        <v/>
      </c>
      <c r="L188" s="183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>
        <f>IF(C189="","",SUMIFS(Лэндинг!$H$5:$H$300,Лэндинг!$E$5:$E$300,$B189)+SUMIFS(Закрытые!$H$5:$H$300,Закрытые!$E$5:$E$300,$B189,Закрытые!$B$5:$B$300,"L-*"))</f>
        <v/>
      </c>
      <c r="F189" s="240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>
        <f>IF(F189="","",SUMIFS(Лэндинг!$K$5:$K$300,Лэндинг!$E$5:$E$300,$B189)+SUMIFS(Закрытые!$K$5:$K$300,Закрытые!$E$5:$E$300,$B189,Закрытые!$B$5:$B$300,"L-*"))</f>
        <v/>
      </c>
      <c r="I189" s="240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>
        <f>IF($B189="","",ROUND(SUMIFS(Закрытые!$N$5:$N$300,Закрытые!$E$5:$E$300,$B189,Закрытые!$B$5:$B$300,"L-*"),8))</f>
        <v/>
      </c>
      <c r="L189" s="177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>
        <f>IF(C190="","",SUMIFS(Лэндинг!$H$5:$H$300,Лэндинг!$E$5:$E$300,$B190)+SUMIFS(Закрытые!$H$5:$H$300,Закрытые!$E$5:$E$300,$B190,Закрытые!$B$5:$B$300,"L-*"))</f>
        <v/>
      </c>
      <c r="F190" s="246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>
        <f>IF(F190="","",SUMIFS(Лэндинг!$K$5:$K$300,Лэндинг!$E$5:$E$300,$B190)+SUMIFS(Закрытые!$K$5:$K$300,Закрытые!$E$5:$E$300,$B190,Закрытые!$B$5:$B$300,"L-*"))</f>
        <v/>
      </c>
      <c r="I190" s="246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>
        <f>IF($B190="","",ROUND(SUMIFS(Закрытые!$N$5:$N$300,Закрытые!$E$5:$E$300,$B190,Закрытые!$B$5:$B$300,"L-*"),8))</f>
        <v/>
      </c>
      <c r="L190" s="183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>
        <f>IF(C191="","",SUMIFS(Лэндинг!$H$5:$H$300,Лэндинг!$E$5:$E$300,$B191)+SUMIFS(Закрытые!$H$5:$H$300,Закрытые!$E$5:$E$300,$B191,Закрытые!$B$5:$B$300,"L-*"))</f>
        <v/>
      </c>
      <c r="F191" s="240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>
        <f>IF(F191="","",SUMIFS(Лэндинг!$K$5:$K$300,Лэндинг!$E$5:$E$300,$B191)+SUMIFS(Закрытые!$K$5:$K$300,Закрытые!$E$5:$E$300,$B191,Закрытые!$B$5:$B$300,"L-*"))</f>
        <v/>
      </c>
      <c r="I191" s="240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>
        <f>IF($B191="","",ROUND(SUMIFS(Закрытые!$N$5:$N$300,Закрытые!$E$5:$E$300,$B191,Закрытые!$B$5:$B$300,"L-*"),8))</f>
        <v/>
      </c>
      <c r="L191" s="177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>
        <f>IF(C192="","",SUMIFS(Лэндинг!$H$5:$H$300,Лэндинг!$E$5:$E$300,$B192)+SUMIFS(Закрытые!$H$5:$H$300,Закрытые!$E$5:$E$300,$B192,Закрытые!$B$5:$B$300,"L-*"))</f>
        <v/>
      </c>
      <c r="F192" s="246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>
        <f>IF(F192="","",SUMIFS(Лэндинг!$K$5:$K$300,Лэндинг!$E$5:$E$300,$B192)+SUMIFS(Закрытые!$K$5:$K$300,Закрытые!$E$5:$E$300,$B192,Закрытые!$B$5:$B$300,"L-*"))</f>
        <v/>
      </c>
      <c r="I192" s="246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>
        <f>IF($B192="","",ROUND(SUMIFS(Закрытые!$N$5:$N$300,Закрытые!$E$5:$E$300,$B192,Закрытые!$B$5:$B$300,"L-*"),8))</f>
        <v/>
      </c>
      <c r="L192" s="183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>
        <f>IF(C193="","",SUMIFS(Лэндинг!$H$5:$H$300,Лэндинг!$E$5:$E$300,$B193)+SUMIFS(Закрытые!$H$5:$H$300,Закрытые!$E$5:$E$300,$B193,Закрытые!$B$5:$B$300,"L-*"))</f>
        <v/>
      </c>
      <c r="F193" s="240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>
        <f>IF(F193="","",SUMIFS(Лэндинг!$K$5:$K$300,Лэндинг!$E$5:$E$300,$B193)+SUMIFS(Закрытые!$K$5:$K$300,Закрытые!$E$5:$E$300,$B193,Закрытые!$B$5:$B$300,"L-*"))</f>
        <v/>
      </c>
      <c r="I193" s="240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>
        <f>IF($B193="","",ROUND(SUMIFS(Закрытые!$N$5:$N$300,Закрытые!$E$5:$E$300,$B193,Закрытые!$B$5:$B$300,"L-*"),8))</f>
        <v/>
      </c>
      <c r="L193" s="177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>
        <f>IF(C194="","",SUMIFS(Лэндинг!$H$5:$H$300,Лэндинг!$E$5:$E$300,$B194)+SUMIFS(Закрытые!$H$5:$H$300,Закрытые!$E$5:$E$300,$B194,Закрытые!$B$5:$B$300,"L-*"))</f>
        <v/>
      </c>
      <c r="F194" s="246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>
        <f>IF(F194="","",SUMIFS(Лэндинг!$K$5:$K$300,Лэндинг!$E$5:$E$300,$B194)+SUMIFS(Закрытые!$K$5:$K$300,Закрытые!$E$5:$E$300,$B194,Закрытые!$B$5:$B$300,"L-*"))</f>
        <v/>
      </c>
      <c r="I194" s="246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>
        <f>IF($B194="","",ROUND(SUMIFS(Закрытые!$N$5:$N$300,Закрытые!$E$5:$E$300,$B194,Закрытые!$B$5:$B$300,"L-*"),8))</f>
        <v/>
      </c>
      <c r="L194" s="183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>
        <f>IF(C195="","",SUMIFS(Лэндинг!$H$5:$H$300,Лэндинг!$E$5:$E$300,$B195)+SUMIFS(Закрытые!$H$5:$H$300,Закрытые!$E$5:$E$300,$B195,Закрытые!$B$5:$B$300,"L-*"))</f>
        <v/>
      </c>
      <c r="F195" s="240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>
        <f>IF(F195="","",SUMIFS(Лэндинг!$K$5:$K$300,Лэндинг!$E$5:$E$300,$B195)+SUMIFS(Закрытые!$K$5:$K$300,Закрытые!$E$5:$E$300,$B195,Закрытые!$B$5:$B$300,"L-*"))</f>
        <v/>
      </c>
      <c r="I195" s="240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>
        <f>IF($B195="","",ROUND(SUMIFS(Закрытые!$N$5:$N$300,Закрытые!$E$5:$E$300,$B195,Закрытые!$B$5:$B$300,"L-*"),8))</f>
        <v/>
      </c>
      <c r="L195" s="177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>
        <f>IF(C196="","",SUMIFS(Лэндинг!$H$5:$H$300,Лэндинг!$E$5:$E$300,$B196)+SUMIFS(Закрытые!$H$5:$H$300,Закрытые!$E$5:$E$300,$B196,Закрытые!$B$5:$B$300,"L-*"))</f>
        <v/>
      </c>
      <c r="F196" s="246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>
        <f>IF(F196="","",SUMIFS(Лэндинг!$K$5:$K$300,Лэндинг!$E$5:$E$300,$B196)+SUMIFS(Закрытые!$K$5:$K$300,Закрытые!$E$5:$E$300,$B196,Закрытые!$B$5:$B$300,"L-*"))</f>
        <v/>
      </c>
      <c r="I196" s="246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>
        <f>IF($B196="","",ROUND(SUMIFS(Закрытые!$N$5:$N$300,Закрытые!$E$5:$E$300,$B196,Закрытые!$B$5:$B$300,"L-*"),8))</f>
        <v/>
      </c>
      <c r="L196" s="183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>
        <f>IF(C197="","",SUMIFS(Лэндинг!$H$5:$H$300,Лэндинг!$E$5:$E$300,$B197)+SUMIFS(Закрытые!$H$5:$H$300,Закрытые!$E$5:$E$300,$B197,Закрытые!$B$5:$B$300,"L-*"))</f>
        <v/>
      </c>
      <c r="F197" s="240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>
        <f>IF(F197="","",SUMIFS(Лэндинг!$K$5:$K$300,Лэндинг!$E$5:$E$300,$B197)+SUMIFS(Закрытые!$K$5:$K$300,Закрытые!$E$5:$E$300,$B197,Закрытые!$B$5:$B$300,"L-*"))</f>
        <v/>
      </c>
      <c r="I197" s="240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>
        <f>IF($B197="","",ROUND(SUMIFS(Закрытые!$N$5:$N$300,Закрытые!$E$5:$E$300,$B197,Закрытые!$B$5:$B$300,"L-*"),8))</f>
        <v/>
      </c>
      <c r="L197" s="177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>
        <f>IF(C198="","",SUMIFS(Лэндинг!$H$5:$H$300,Лэндинг!$E$5:$E$300,$B198)+SUMIFS(Закрытые!$H$5:$H$300,Закрытые!$E$5:$E$300,$B198,Закрытые!$B$5:$B$300,"L-*"))</f>
        <v/>
      </c>
      <c r="F198" s="246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>
        <f>IF(F198="","",SUMIFS(Лэндинг!$K$5:$K$300,Лэндинг!$E$5:$E$300,$B198)+SUMIFS(Закрытые!$K$5:$K$300,Закрытые!$E$5:$E$300,$B198,Закрытые!$B$5:$B$300,"L-*"))</f>
        <v/>
      </c>
      <c r="I198" s="246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>
        <f>IF($B198="","",ROUND(SUMIFS(Закрытые!$N$5:$N$300,Закрытые!$E$5:$E$300,$B198,Закрытые!$B$5:$B$300,"L-*"),8))</f>
        <v/>
      </c>
      <c r="L198" s="183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>
        <f>IF(C199="","",SUMIFS(Лэндинг!$H$5:$H$300,Лэндинг!$E$5:$E$300,$B199)+SUMIFS(Закрытые!$H$5:$H$300,Закрытые!$E$5:$E$300,$B199,Закрытые!$B$5:$B$300,"L-*"))</f>
        <v/>
      </c>
      <c r="F199" s="240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>
        <f>IF(F199="","",SUMIFS(Лэндинг!$K$5:$K$300,Лэндинг!$E$5:$E$300,$B199)+SUMIFS(Закрытые!$K$5:$K$300,Закрытые!$E$5:$E$300,$B199,Закрытые!$B$5:$B$300,"L-*"))</f>
        <v/>
      </c>
      <c r="I199" s="240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>
        <f>IF($B199="","",ROUND(SUMIFS(Закрытые!$N$5:$N$300,Закрытые!$E$5:$E$300,$B199,Закрытые!$B$5:$B$300,"L-*"),8))</f>
        <v/>
      </c>
      <c r="L199" s="177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>
        <f>IF(C200="","",SUMIFS(Лэндинг!$H$5:$H$300,Лэндинг!$E$5:$E$300,$B200)+SUMIFS(Закрытые!$H$5:$H$300,Закрытые!$E$5:$E$300,$B200,Закрытые!$B$5:$B$300,"L-*"))</f>
        <v/>
      </c>
      <c r="F200" s="246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>
        <f>IF(F200="","",SUMIFS(Лэндинг!$K$5:$K$300,Лэндинг!$E$5:$E$300,$B200)+SUMIFS(Закрытые!$K$5:$K$300,Закрытые!$E$5:$E$300,$B200,Закрытые!$B$5:$B$300,"L-*"))</f>
        <v/>
      </c>
      <c r="I200" s="246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>
        <f>IF($B200="","",ROUND(SUMIFS(Закрытые!$N$5:$N$300,Закрытые!$E$5:$E$300,$B200,Закрытые!$B$5:$B$300,"L-*"),8))</f>
        <v/>
      </c>
      <c r="L200" s="183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>
        <f>IF(C201="","",SUMIFS(Лэндинг!$H$5:$H$300,Лэндинг!$E$5:$E$300,$B201)+SUMIFS(Закрытые!$H$5:$H$300,Закрытые!$E$5:$E$300,$B201,Закрытые!$B$5:$B$300,"L-*"))</f>
        <v/>
      </c>
      <c r="F201" s="240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>
        <f>IF(F201="","",SUMIFS(Лэндинг!$K$5:$K$300,Лэндинг!$E$5:$E$300,$B201)+SUMIFS(Закрытые!$K$5:$K$300,Закрытые!$E$5:$E$300,$B201,Закрытые!$B$5:$B$300,"L-*"))</f>
        <v/>
      </c>
      <c r="I201" s="240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>
        <f>IF($B201="","",ROUND(SUMIFS(Закрытые!$N$5:$N$300,Закрытые!$E$5:$E$300,$B201,Закрытые!$B$5:$B$300,"L-*"),8))</f>
        <v/>
      </c>
      <c r="L201" s="177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>
        <f>IF(C202="","",SUMIFS(Лэндинг!$H$5:$H$300,Лэндинг!$E$5:$E$300,$B202)+SUMIFS(Закрытые!$H$5:$H$300,Закрытые!$E$5:$E$300,$B202,Закрытые!$B$5:$B$300,"L-*"))</f>
        <v/>
      </c>
      <c r="F202" s="246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>
        <f>IF(F202="","",SUMIFS(Лэндинг!$K$5:$K$300,Лэндинг!$E$5:$E$300,$B202)+SUMIFS(Закрытые!$K$5:$K$300,Закрытые!$E$5:$E$300,$B202,Закрытые!$B$5:$B$300,"L-*"))</f>
        <v/>
      </c>
      <c r="I202" s="246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>
        <f>IF($B202="","",ROUND(SUMIFS(Закрытые!$N$5:$N$300,Закрытые!$E$5:$E$300,$B202,Закрытые!$B$5:$B$300,"L-*"),8))</f>
        <v/>
      </c>
      <c r="L202" s="183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>
        <f>IF(C203="","",SUMIFS(Лэндинг!$H$5:$H$300,Лэндинг!$E$5:$E$300,$B203)+SUMIFS(Закрытые!$H$5:$H$300,Закрытые!$E$5:$E$300,$B203,Закрытые!$B$5:$B$300,"L-*"))</f>
        <v/>
      </c>
      <c r="F203" s="240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>
        <f>IF(F203="","",SUMIFS(Лэндинг!$K$5:$K$300,Лэндинг!$E$5:$E$300,$B203)+SUMIFS(Закрытые!$K$5:$K$300,Закрытые!$E$5:$E$300,$B203,Закрытые!$B$5:$B$300,"L-*"))</f>
        <v/>
      </c>
      <c r="I203" s="240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>
        <f>IF($B203="","",ROUND(SUMIFS(Закрытые!$N$5:$N$300,Закрытые!$E$5:$E$300,$B203,Закрытые!$B$5:$B$300,"L-*"),8))</f>
        <v/>
      </c>
      <c r="L203" s="177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>
        <f>IF(C204="","",SUMIFS(Лэндинг!$H$5:$H$300,Лэндинг!$E$5:$E$300,$B204)+SUMIFS(Закрытые!$H$5:$H$300,Закрытые!$E$5:$E$300,$B204,Закрытые!$B$5:$B$300,"L-*"))</f>
        <v/>
      </c>
      <c r="F204" s="246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>
        <f>IF(F204="","",SUMIFS(Лэндинг!$K$5:$K$300,Лэндинг!$E$5:$E$300,$B204)+SUMIFS(Закрытые!$K$5:$K$300,Закрытые!$E$5:$E$300,$B204,Закрытые!$B$5:$B$300,"L-*"))</f>
        <v/>
      </c>
      <c r="I204" s="246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>
        <f>IF($B204="","",ROUND(SUMIFS(Закрытые!$N$5:$N$300,Закрытые!$E$5:$E$300,$B204,Закрытые!$B$5:$B$300,"L-*"),8))</f>
        <v/>
      </c>
      <c r="L204" s="183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>
        <f>IF(C205="","",SUMIFS(Лэндинг!$H$5:$H$300,Лэндинг!$E$5:$E$300,$B205)+SUMIFS(Закрытые!$H$5:$H$300,Закрытые!$E$5:$E$300,$B205,Закрытые!$B$5:$B$300,"L-*"))</f>
        <v/>
      </c>
      <c r="F205" s="240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>
        <f>IF(F205="","",SUMIFS(Лэндинг!$K$5:$K$300,Лэндинг!$E$5:$E$300,$B205)+SUMIFS(Закрытые!$K$5:$K$300,Закрытые!$E$5:$E$300,$B205,Закрытые!$B$5:$B$300,"L-*"))</f>
        <v/>
      </c>
      <c r="I205" s="240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>
        <f>IF($B205="","",ROUND(SUMIFS(Закрытые!$N$5:$N$300,Закрытые!$E$5:$E$300,$B205,Закрытые!$B$5:$B$300,"L-*"),8))</f>
        <v/>
      </c>
      <c r="L205" s="177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>
        <f>IF(C206="","",SUMIFS(Лэндинг!$H$5:$H$300,Лэндинг!$E$5:$E$300,$B206)+SUMIFS(Закрытые!$H$5:$H$300,Закрытые!$E$5:$E$300,$B206,Закрытые!$B$5:$B$300,"L-*"))</f>
        <v/>
      </c>
      <c r="F206" s="246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>
        <f>IF(F206="","",SUMIFS(Лэндинг!$K$5:$K$300,Лэндинг!$E$5:$E$300,$B206)+SUMIFS(Закрытые!$K$5:$K$300,Закрытые!$E$5:$E$300,$B206,Закрытые!$B$5:$B$300,"L-*"))</f>
        <v/>
      </c>
      <c r="I206" s="246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>
        <f>IF($B206="","",ROUND(SUMIFS(Закрытые!$N$5:$N$300,Закрытые!$E$5:$E$300,$B206,Закрытые!$B$5:$B$300,"L-*"),8))</f>
        <v/>
      </c>
      <c r="L206" s="183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>
        <f>IF(C207="","",SUMIFS(Лэндинг!$H$5:$H$300,Лэндинг!$E$5:$E$300,$B207)+SUMIFS(Закрытые!$H$5:$H$300,Закрытые!$E$5:$E$300,$B207,Закрытые!$B$5:$B$300,"L-*"))</f>
        <v/>
      </c>
      <c r="F207" s="240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>
        <f>IF(F207="","",SUMIFS(Лэндинг!$K$5:$K$300,Лэндинг!$E$5:$E$300,$B207)+SUMIFS(Закрытые!$K$5:$K$300,Закрытые!$E$5:$E$300,$B207,Закрытые!$B$5:$B$300,"L-*"))</f>
        <v/>
      </c>
      <c r="I207" s="240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>
        <f>IF($B207="","",ROUND(SUMIFS(Закрытые!$N$5:$N$300,Закрытые!$E$5:$E$300,$B207,Закрытые!$B$5:$B$300,"L-*"),8))</f>
        <v/>
      </c>
      <c r="L207" s="177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>
        <f>IF(C208="","",SUMIFS(Лэндинг!$H$5:$H$300,Лэндинг!$E$5:$E$300,$B208)+SUMIFS(Закрытые!$H$5:$H$300,Закрытые!$E$5:$E$300,$B208,Закрытые!$B$5:$B$300,"L-*"))</f>
        <v/>
      </c>
      <c r="F208" s="246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>
        <f>IF(F208="","",SUMIFS(Лэндинг!$K$5:$K$300,Лэндинг!$E$5:$E$300,$B208)+SUMIFS(Закрытые!$K$5:$K$300,Закрытые!$E$5:$E$300,$B208,Закрытые!$B$5:$B$300,"L-*"))</f>
        <v/>
      </c>
      <c r="I208" s="246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>
        <f>IF($B208="","",ROUND(SUMIFS(Закрытые!$N$5:$N$300,Закрытые!$E$5:$E$300,$B208,Закрытые!$B$5:$B$300,"L-*"),8))</f>
        <v/>
      </c>
      <c r="L208" s="183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>
        <f>IF(C209="","",SUMIFS(Лэндинг!$H$5:$H$300,Лэндинг!$E$5:$E$300,$B209)+SUMIFS(Закрытые!$H$5:$H$300,Закрытые!$E$5:$E$300,$B209,Закрытые!$B$5:$B$300,"L-*"))</f>
        <v/>
      </c>
      <c r="F209" s="240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>
        <f>IF(F209="","",SUMIFS(Лэндинг!$K$5:$K$300,Лэндинг!$E$5:$E$300,$B209)+SUMIFS(Закрытые!$K$5:$K$300,Закрытые!$E$5:$E$300,$B209,Закрытые!$B$5:$B$300,"L-*"))</f>
        <v/>
      </c>
      <c r="I209" s="240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>
        <f>IF($B209="","",ROUND(SUMIFS(Закрытые!$N$5:$N$300,Закрытые!$E$5:$E$300,$B209,Закрытые!$B$5:$B$300,"L-*"),8))</f>
        <v/>
      </c>
      <c r="L209" s="177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>
        <f>IF(C210="","",SUMIFS(Лэндинг!$H$5:$H$300,Лэндинг!$E$5:$E$300,$B210)+SUMIFS(Закрытые!$H$5:$H$300,Закрытые!$E$5:$E$300,$B210,Закрытые!$B$5:$B$300,"L-*"))</f>
        <v/>
      </c>
      <c r="F210" s="246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>
        <f>IF(F210="","",SUMIFS(Лэндинг!$K$5:$K$300,Лэндинг!$E$5:$E$300,$B210)+SUMIFS(Закрытые!$K$5:$K$300,Закрытые!$E$5:$E$300,$B210,Закрытые!$B$5:$B$300,"L-*"))</f>
        <v/>
      </c>
      <c r="I210" s="246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>
        <f>IF($B210="","",ROUND(SUMIFS(Закрытые!$N$5:$N$300,Закрытые!$E$5:$E$300,$B210,Закрытые!$B$5:$B$300,"L-*"),8))</f>
        <v/>
      </c>
      <c r="L210" s="183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>
        <f>IF(C211="","",SUMIFS(Лэндинг!$H$5:$H$300,Лэндинг!$E$5:$E$300,$B211)+SUMIFS(Закрытые!$H$5:$H$300,Закрытые!$E$5:$E$300,$B211,Закрытые!$B$5:$B$300,"L-*"))</f>
        <v/>
      </c>
      <c r="F211" s="240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>
        <f>IF(F211="","",SUMIFS(Лэндинг!$K$5:$K$300,Лэндинг!$E$5:$E$300,$B211)+SUMIFS(Закрытые!$K$5:$K$300,Закрытые!$E$5:$E$300,$B211,Закрытые!$B$5:$B$300,"L-*"))</f>
        <v/>
      </c>
      <c r="I211" s="240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>
        <f>IF($B211="","",ROUND(SUMIFS(Закрытые!$N$5:$N$300,Закрытые!$E$5:$E$300,$B211,Закрытые!$B$5:$B$300,"L-*"),8))</f>
        <v/>
      </c>
      <c r="L211" s="177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>
        <f>IF(C212="","",SUMIFS(Лэндинг!$H$5:$H$300,Лэндинг!$E$5:$E$300,$B212)+SUMIFS(Закрытые!$H$5:$H$300,Закрытые!$E$5:$E$300,$B212,Закрытые!$B$5:$B$300,"L-*"))</f>
        <v/>
      </c>
      <c r="F212" s="246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>
        <f>IF(F212="","",SUMIFS(Лэндинг!$K$5:$K$300,Лэндинг!$E$5:$E$300,$B212)+SUMIFS(Закрытые!$K$5:$K$300,Закрытые!$E$5:$E$300,$B212,Закрытые!$B$5:$B$300,"L-*"))</f>
        <v/>
      </c>
      <c r="I212" s="246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>
        <f>IF($B212="","",ROUND(SUMIFS(Закрытые!$N$5:$N$300,Закрытые!$E$5:$E$300,$B212,Закрытые!$B$5:$B$300,"L-*"),8))</f>
        <v/>
      </c>
      <c r="L212" s="183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>
        <f>IF(C213="","",SUMIFS(Лэндинг!$H$5:$H$300,Лэндинг!$E$5:$E$300,$B213)+SUMIFS(Закрытые!$H$5:$H$300,Закрытые!$E$5:$E$300,$B213,Закрытые!$B$5:$B$300,"L-*"))</f>
        <v/>
      </c>
      <c r="F213" s="240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>
        <f>IF(F213="","",SUMIFS(Лэндинг!$K$5:$K$300,Лэндинг!$E$5:$E$300,$B213)+SUMIFS(Закрытые!$K$5:$K$300,Закрытые!$E$5:$E$300,$B213,Закрытые!$B$5:$B$300,"L-*"))</f>
        <v/>
      </c>
      <c r="I213" s="240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>
        <f>IF($B213="","",ROUND(SUMIFS(Закрытые!$N$5:$N$300,Закрытые!$E$5:$E$300,$B213,Закрытые!$B$5:$B$300,"L-*"),8))</f>
        <v/>
      </c>
      <c r="L213" s="177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>
        <f>IF(C214="","",SUMIFS(Лэндинг!$H$5:$H$300,Лэндинг!$E$5:$E$300,$B214)+SUMIFS(Закрытые!$H$5:$H$300,Закрытые!$E$5:$E$300,$B214,Закрытые!$B$5:$B$300,"L-*"))</f>
        <v/>
      </c>
      <c r="F214" s="246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>
        <f>IF(F214="","",SUMIFS(Лэндинг!$K$5:$K$300,Лэндинг!$E$5:$E$300,$B214)+SUMIFS(Закрытые!$K$5:$K$300,Закрытые!$E$5:$E$300,$B214,Закрытые!$B$5:$B$300,"L-*"))</f>
        <v/>
      </c>
      <c r="I214" s="246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>
        <f>IF($B214="","",ROUND(SUMIFS(Закрытые!$N$5:$N$300,Закрытые!$E$5:$E$300,$B214,Закрытые!$B$5:$B$300,"L-*"),8))</f>
        <v/>
      </c>
      <c r="L214" s="183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>
        <f>IF(C215="","",SUMIFS(Лэндинг!$H$5:$H$300,Лэндинг!$E$5:$E$300,$B215)+SUMIFS(Закрытые!$H$5:$H$300,Закрытые!$E$5:$E$300,$B215,Закрытые!$B$5:$B$300,"L-*"))</f>
        <v/>
      </c>
      <c r="F215" s="240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>
        <f>IF(F215="","",SUMIFS(Лэндинг!$K$5:$K$300,Лэндинг!$E$5:$E$300,$B215)+SUMIFS(Закрытые!$K$5:$K$300,Закрытые!$E$5:$E$300,$B215,Закрытые!$B$5:$B$300,"L-*"))</f>
        <v/>
      </c>
      <c r="I215" s="240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>
        <f>IF($B215="","",ROUND(SUMIFS(Закрытые!$N$5:$N$300,Закрытые!$E$5:$E$300,$B215,Закрытые!$B$5:$B$300,"L-*"),8))</f>
        <v/>
      </c>
      <c r="L215" s="177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>
        <f>IF(C216="","",SUMIFS(Лэндинг!$H$5:$H$300,Лэндинг!$E$5:$E$300,$B216)+SUMIFS(Закрытые!$H$5:$H$300,Закрытые!$E$5:$E$300,$B216,Закрытые!$B$5:$B$300,"L-*"))</f>
        <v/>
      </c>
      <c r="F216" s="246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>
        <f>IF(F216="","",SUMIFS(Лэндинг!$K$5:$K$300,Лэндинг!$E$5:$E$300,$B216)+SUMIFS(Закрытые!$K$5:$K$300,Закрытые!$E$5:$E$300,$B216,Закрытые!$B$5:$B$300,"L-*"))</f>
        <v/>
      </c>
      <c r="I216" s="246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>
        <f>IF($B216="","",ROUND(SUMIFS(Закрытые!$N$5:$N$300,Закрытые!$E$5:$E$300,$B216,Закрытые!$B$5:$B$300,"L-*"),8))</f>
        <v/>
      </c>
      <c r="L216" s="183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>
        <f>IF(C217="","",SUMIFS(Лэндинг!$H$5:$H$300,Лэндинг!$E$5:$E$300,$B217)+SUMIFS(Закрытые!$H$5:$H$300,Закрытые!$E$5:$E$300,$B217,Закрытые!$B$5:$B$300,"L-*"))</f>
        <v/>
      </c>
      <c r="F217" s="240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>
        <f>IF(F217="","",SUMIFS(Лэндинг!$K$5:$K$300,Лэндинг!$E$5:$E$300,$B217)+SUMIFS(Закрытые!$K$5:$K$300,Закрытые!$E$5:$E$300,$B217,Закрытые!$B$5:$B$300,"L-*"))</f>
        <v/>
      </c>
      <c r="I217" s="240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>
        <f>IF($B217="","",ROUND(SUMIFS(Закрытые!$N$5:$N$300,Закрытые!$E$5:$E$300,$B217,Закрытые!$B$5:$B$300,"L-*"),8))</f>
        <v/>
      </c>
      <c r="L217" s="177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>
        <f>IF(C218="","",SUMIFS(Лэндинг!$H$5:$H$300,Лэндинг!$E$5:$E$300,$B218)+SUMIFS(Закрытые!$H$5:$H$300,Закрытые!$E$5:$E$300,$B218,Закрытые!$B$5:$B$300,"L-*"))</f>
        <v/>
      </c>
      <c r="F218" s="246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>
        <f>IF(F218="","",SUMIFS(Лэндинг!$K$5:$K$300,Лэндинг!$E$5:$E$300,$B218)+SUMIFS(Закрытые!$K$5:$K$300,Закрытые!$E$5:$E$300,$B218,Закрытые!$B$5:$B$300,"L-*"))</f>
        <v/>
      </c>
      <c r="I218" s="246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>
        <f>IF($B218="","",ROUND(SUMIFS(Закрытые!$N$5:$N$300,Закрытые!$E$5:$E$300,$B218,Закрытые!$B$5:$B$300,"L-*"),8))</f>
        <v/>
      </c>
      <c r="L218" s="183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>
        <f>IF(C219="","",SUMIFS(Лэндинг!$H$5:$H$300,Лэндинг!$E$5:$E$300,$B219)+SUMIFS(Закрытые!$H$5:$H$300,Закрытые!$E$5:$E$300,$B219,Закрытые!$B$5:$B$300,"L-*"))</f>
        <v/>
      </c>
      <c r="F219" s="240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>
        <f>IF(F219="","",SUMIFS(Лэндинг!$K$5:$K$300,Лэндинг!$E$5:$E$300,$B219)+SUMIFS(Закрытые!$K$5:$K$300,Закрытые!$E$5:$E$300,$B219,Закрытые!$B$5:$B$300,"L-*"))</f>
        <v/>
      </c>
      <c r="I219" s="240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>
        <f>IF($B219="","",ROUND(SUMIFS(Закрытые!$N$5:$N$300,Закрытые!$E$5:$E$300,$B219,Закрытые!$B$5:$B$300,"L-*"),8))</f>
        <v/>
      </c>
      <c r="L219" s="177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>
        <f>IF(C220="","",SUMIFS(Лэндинг!$H$5:$H$300,Лэндинг!$E$5:$E$300,$B220)+SUMIFS(Закрытые!$H$5:$H$300,Закрытые!$E$5:$E$300,$B220,Закрытые!$B$5:$B$300,"L-*"))</f>
        <v/>
      </c>
      <c r="F220" s="246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>
        <f>IF(F220="","",SUMIFS(Лэндинг!$K$5:$K$300,Лэндинг!$E$5:$E$300,$B220)+SUMIFS(Закрытые!$K$5:$K$300,Закрытые!$E$5:$E$300,$B220,Закрытые!$B$5:$B$300,"L-*"))</f>
        <v/>
      </c>
      <c r="I220" s="246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>
        <f>IF($B220="","",ROUND(SUMIFS(Закрытые!$N$5:$N$300,Закрытые!$E$5:$E$300,$B220,Закрытые!$B$5:$B$300,"L-*"),8))</f>
        <v/>
      </c>
      <c r="L220" s="183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>
        <f>IF(C221="","",SUMIFS(Лэндинг!$H$5:$H$300,Лэндинг!$E$5:$E$300,$B221)+SUMIFS(Закрытые!$H$5:$H$300,Закрытые!$E$5:$E$300,$B221,Закрытые!$B$5:$B$300,"L-*"))</f>
        <v/>
      </c>
      <c r="F221" s="240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>
        <f>IF(F221="","",SUMIFS(Лэндинг!$K$5:$K$300,Лэндинг!$E$5:$E$300,$B221)+SUMIFS(Закрытые!$K$5:$K$300,Закрытые!$E$5:$E$300,$B221,Закрытые!$B$5:$B$300,"L-*"))</f>
        <v/>
      </c>
      <c r="I221" s="240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>
        <f>IF($B221="","",ROUND(SUMIFS(Закрытые!$N$5:$N$300,Закрытые!$E$5:$E$300,$B221,Закрытые!$B$5:$B$300,"L-*"),8))</f>
        <v/>
      </c>
      <c r="L221" s="177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>
        <f>IF(C222="","",SUMIFS(Лэндинг!$H$5:$H$300,Лэндинг!$E$5:$E$300,$B222)+SUMIFS(Закрытые!$H$5:$H$300,Закрытые!$E$5:$E$300,$B222,Закрытые!$B$5:$B$300,"L-*"))</f>
        <v/>
      </c>
      <c r="F222" s="246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>
        <f>IF(F222="","",SUMIFS(Лэндинг!$K$5:$K$300,Лэндинг!$E$5:$E$300,$B222)+SUMIFS(Закрытые!$K$5:$K$300,Закрытые!$E$5:$E$300,$B222,Закрытые!$B$5:$B$300,"L-*"))</f>
        <v/>
      </c>
      <c r="I222" s="246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>
        <f>IF($B222="","",ROUND(SUMIFS(Закрытые!$N$5:$N$300,Закрытые!$E$5:$E$300,$B222,Закрытые!$B$5:$B$300,"L-*"),8))</f>
        <v/>
      </c>
      <c r="L222" s="183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>
        <f>IF(C223="","",SUMIFS(Лэндинг!$H$5:$H$300,Лэндинг!$E$5:$E$300,$B223)+SUMIFS(Закрытые!$H$5:$H$300,Закрытые!$E$5:$E$300,$B223,Закрытые!$B$5:$B$300,"L-*"))</f>
        <v/>
      </c>
      <c r="F223" s="240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>
        <f>IF(F223="","",SUMIFS(Лэндинг!$K$5:$K$300,Лэндинг!$E$5:$E$300,$B223)+SUMIFS(Закрытые!$K$5:$K$300,Закрытые!$E$5:$E$300,$B223,Закрытые!$B$5:$B$300,"L-*"))</f>
        <v/>
      </c>
      <c r="I223" s="240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>
        <f>IF($B223="","",ROUND(SUMIFS(Закрытые!$N$5:$N$300,Закрытые!$E$5:$E$300,$B223,Закрытые!$B$5:$B$300,"L-*"),8))</f>
        <v/>
      </c>
      <c r="L223" s="177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>
        <f>IF(C224="","",SUMIFS(Лэндинг!$H$5:$H$300,Лэндинг!$E$5:$E$300,$B224)+SUMIFS(Закрытые!$H$5:$H$300,Закрытые!$E$5:$E$300,$B224,Закрытые!$B$5:$B$300,"L-*"))</f>
        <v/>
      </c>
      <c r="F224" s="246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>
        <f>IF(F224="","",SUMIFS(Лэндинг!$K$5:$K$300,Лэндинг!$E$5:$E$300,$B224)+SUMIFS(Закрытые!$K$5:$K$300,Закрытые!$E$5:$E$300,$B224,Закрытые!$B$5:$B$300,"L-*"))</f>
        <v/>
      </c>
      <c r="I224" s="246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>
        <f>IF($B224="","",ROUND(SUMIFS(Закрытые!$N$5:$N$300,Закрытые!$E$5:$E$300,$B224,Закрытые!$B$5:$B$300,"L-*"),8))</f>
        <v/>
      </c>
      <c r="L224" s="183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>
        <f>IF(C225="","",SUMIFS(Лэндинг!$H$5:$H$300,Лэндинг!$E$5:$E$300,$B225)+SUMIFS(Закрытые!$H$5:$H$300,Закрытые!$E$5:$E$300,$B225,Закрытые!$B$5:$B$300,"L-*"))</f>
        <v/>
      </c>
      <c r="F225" s="240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>
        <f>IF(F225="","",SUMIFS(Лэндинг!$K$5:$K$300,Лэндинг!$E$5:$E$300,$B225)+SUMIFS(Закрытые!$K$5:$K$300,Закрытые!$E$5:$E$300,$B225,Закрытые!$B$5:$B$300,"L-*"))</f>
        <v/>
      </c>
      <c r="I225" s="240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>
        <f>IF($B225="","",ROUND(SUMIFS(Закрытые!$N$5:$N$300,Закрытые!$E$5:$E$300,$B225,Закрытые!$B$5:$B$300,"L-*"),8))</f>
        <v/>
      </c>
      <c r="L225" s="177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>
        <f>IF(C226="","",SUMIFS(Лэндинг!$H$5:$H$300,Лэндинг!$E$5:$E$300,$B226)+SUMIFS(Закрытые!$H$5:$H$300,Закрытые!$E$5:$E$300,$B226,Закрытые!$B$5:$B$300,"L-*"))</f>
        <v/>
      </c>
      <c r="F226" s="246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>
        <f>IF(F226="","",SUMIFS(Лэндинг!$K$5:$K$300,Лэндинг!$E$5:$E$300,$B226)+SUMIFS(Закрытые!$K$5:$K$300,Закрытые!$E$5:$E$300,$B226,Закрытые!$B$5:$B$300,"L-*"))</f>
        <v/>
      </c>
      <c r="I226" s="246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>
        <f>IF($B226="","",ROUND(SUMIFS(Закрытые!$N$5:$N$300,Закрытые!$E$5:$E$300,$B226,Закрытые!$B$5:$B$300,"L-*"),8))</f>
        <v/>
      </c>
      <c r="L226" s="183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>
        <f>IF(C227="","",SUMIFS(Лэндинг!$H$5:$H$300,Лэндинг!$E$5:$E$300,$B227)+SUMIFS(Закрытые!$H$5:$H$300,Закрытые!$E$5:$E$300,$B227,Закрытые!$B$5:$B$300,"L-*"))</f>
        <v/>
      </c>
      <c r="F227" s="240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>
        <f>IF(F227="","",SUMIFS(Лэндинг!$K$5:$K$300,Лэндинг!$E$5:$E$300,$B227)+SUMIFS(Закрытые!$K$5:$K$300,Закрытые!$E$5:$E$300,$B227,Закрытые!$B$5:$B$300,"L-*"))</f>
        <v/>
      </c>
      <c r="I227" s="240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>
        <f>IF($B227="","",ROUND(SUMIFS(Закрытые!$N$5:$N$300,Закрытые!$E$5:$E$300,$B227,Закрытые!$B$5:$B$300,"L-*"),8))</f>
        <v/>
      </c>
      <c r="L227" s="177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>
        <f>IF(C228="","",SUMIFS(Лэндинг!$H$5:$H$300,Лэндинг!$E$5:$E$300,$B228)+SUMIFS(Закрытые!$H$5:$H$300,Закрытые!$E$5:$E$300,$B228,Закрытые!$B$5:$B$300,"L-*"))</f>
        <v/>
      </c>
      <c r="F228" s="246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>
        <f>IF(F228="","",SUMIFS(Лэндинг!$K$5:$K$300,Лэндинг!$E$5:$E$300,$B228)+SUMIFS(Закрытые!$K$5:$K$300,Закрытые!$E$5:$E$300,$B228,Закрытые!$B$5:$B$300,"L-*"))</f>
        <v/>
      </c>
      <c r="I228" s="246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>
        <f>IF($B228="","",ROUND(SUMIFS(Закрытые!$N$5:$N$300,Закрытые!$E$5:$E$300,$B228,Закрытые!$B$5:$B$300,"L-*"),8))</f>
        <v/>
      </c>
      <c r="L228" s="183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>
        <f>IF(C229="","",SUMIFS(Лэндинг!$H$5:$H$300,Лэндинг!$E$5:$E$300,$B229)+SUMIFS(Закрытые!$H$5:$H$300,Закрытые!$E$5:$E$300,$B229,Закрытые!$B$5:$B$300,"L-*"))</f>
        <v/>
      </c>
      <c r="F229" s="240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>
        <f>IF(F229="","",SUMIFS(Лэндинг!$K$5:$K$300,Лэндинг!$E$5:$E$300,$B229)+SUMIFS(Закрытые!$K$5:$K$300,Закрытые!$E$5:$E$300,$B229,Закрытые!$B$5:$B$300,"L-*"))</f>
        <v/>
      </c>
      <c r="I229" s="240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>
        <f>IF($B229="","",ROUND(SUMIFS(Закрытые!$N$5:$N$300,Закрытые!$E$5:$E$300,$B229,Закрытые!$B$5:$B$300,"L-*"),8))</f>
        <v/>
      </c>
      <c r="L229" s="177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>
        <f>IF(C230="","",SUMIFS(Лэндинг!$H$5:$H$300,Лэндинг!$E$5:$E$300,$B230)+SUMIFS(Закрытые!$H$5:$H$300,Закрытые!$E$5:$E$300,$B230,Закрытые!$B$5:$B$300,"L-*"))</f>
        <v/>
      </c>
      <c r="F230" s="246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>
        <f>IF(F230="","",SUMIFS(Лэндинг!$K$5:$K$300,Лэндинг!$E$5:$E$300,$B230)+SUMIFS(Закрытые!$K$5:$K$300,Закрытые!$E$5:$E$300,$B230,Закрытые!$B$5:$B$300,"L-*"))</f>
        <v/>
      </c>
      <c r="I230" s="246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>
        <f>IF($B230="","",ROUND(SUMIFS(Закрытые!$N$5:$N$300,Закрытые!$E$5:$E$300,$B230,Закрытые!$B$5:$B$300,"L-*"),8))</f>
        <v/>
      </c>
      <c r="L230" s="183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>
        <f>IF(C231="","",SUMIFS(Лэндинг!$H$5:$H$300,Лэндинг!$E$5:$E$300,$B231)+SUMIFS(Закрытые!$H$5:$H$300,Закрытые!$E$5:$E$300,$B231,Закрытые!$B$5:$B$300,"L-*"))</f>
        <v/>
      </c>
      <c r="F231" s="240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>
        <f>IF(F231="","",SUMIFS(Лэндинг!$K$5:$K$300,Лэндинг!$E$5:$E$300,$B231)+SUMIFS(Закрытые!$K$5:$K$300,Закрытые!$E$5:$E$300,$B231,Закрытые!$B$5:$B$300,"L-*"))</f>
        <v/>
      </c>
      <c r="I231" s="240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>
        <f>IF($B231="","",ROUND(SUMIFS(Закрытые!$N$5:$N$300,Закрытые!$E$5:$E$300,$B231,Закрытые!$B$5:$B$300,"L-*"),8))</f>
        <v/>
      </c>
      <c r="L231" s="177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>
        <f>IF(C232="","",SUMIFS(Лэндинг!$H$5:$H$300,Лэндинг!$E$5:$E$300,$B232)+SUMIFS(Закрытые!$H$5:$H$300,Закрытые!$E$5:$E$300,$B232,Закрытые!$B$5:$B$300,"L-*"))</f>
        <v/>
      </c>
      <c r="F232" s="246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>
        <f>IF(F232="","",SUMIFS(Лэндинг!$K$5:$K$300,Лэндинг!$E$5:$E$300,$B232)+SUMIFS(Закрытые!$K$5:$K$300,Закрытые!$E$5:$E$300,$B232,Закрытые!$B$5:$B$300,"L-*"))</f>
        <v/>
      </c>
      <c r="I232" s="246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>
        <f>IF($B232="","",ROUND(SUMIFS(Закрытые!$N$5:$N$300,Закрытые!$E$5:$E$300,$B232,Закрытые!$B$5:$B$300,"L-*"),8))</f>
        <v/>
      </c>
      <c r="L232" s="183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>
        <f>IF(C233="","",SUMIFS(Лэндинг!$H$5:$H$300,Лэндинг!$E$5:$E$300,$B233)+SUMIFS(Закрытые!$H$5:$H$300,Закрытые!$E$5:$E$300,$B233,Закрытые!$B$5:$B$300,"L-*"))</f>
        <v/>
      </c>
      <c r="F233" s="240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>
        <f>IF(F233="","",SUMIFS(Лэндинг!$K$5:$K$300,Лэндинг!$E$5:$E$300,$B233)+SUMIFS(Закрытые!$K$5:$K$300,Закрытые!$E$5:$E$300,$B233,Закрытые!$B$5:$B$300,"L-*"))</f>
        <v/>
      </c>
      <c r="I233" s="240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>
        <f>IF($B233="","",ROUND(SUMIFS(Закрытые!$N$5:$N$300,Закрытые!$E$5:$E$300,$B233,Закрытые!$B$5:$B$300,"L-*"),8))</f>
        <v/>
      </c>
      <c r="L233" s="177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>
        <f>IF(C234="","",SUMIFS(Лэндинг!$H$5:$H$300,Лэндинг!$E$5:$E$300,$B234)+SUMIFS(Закрытые!$H$5:$H$300,Закрытые!$E$5:$E$300,$B234,Закрытые!$B$5:$B$300,"L-*"))</f>
        <v/>
      </c>
      <c r="F234" s="246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>
        <f>IF(F234="","",SUMIFS(Лэндинг!$K$5:$K$300,Лэндинг!$E$5:$E$300,$B234)+SUMIFS(Закрытые!$K$5:$K$300,Закрытые!$E$5:$E$300,$B234,Закрытые!$B$5:$B$300,"L-*"))</f>
        <v/>
      </c>
      <c r="I234" s="246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>
        <f>IF($B234="","",ROUND(SUMIFS(Закрытые!$N$5:$N$300,Закрытые!$E$5:$E$300,$B234,Закрытые!$B$5:$B$300,"L-*"),8))</f>
        <v/>
      </c>
      <c r="L234" s="183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>
        <f>IF(C235="","",SUMIFS(Лэндинг!$H$5:$H$300,Лэндинг!$E$5:$E$300,$B235)+SUMIFS(Закрытые!$H$5:$H$300,Закрытые!$E$5:$E$300,$B235,Закрытые!$B$5:$B$300,"L-*"))</f>
        <v/>
      </c>
      <c r="F235" s="240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>
        <f>IF(F235="","",SUMIFS(Лэндинг!$K$5:$K$300,Лэндинг!$E$5:$E$300,$B235)+SUMIFS(Закрытые!$K$5:$K$300,Закрытые!$E$5:$E$300,$B235,Закрытые!$B$5:$B$300,"L-*"))</f>
        <v/>
      </c>
      <c r="I235" s="240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>
        <f>IF($B235="","",ROUND(SUMIFS(Закрытые!$N$5:$N$300,Закрытые!$E$5:$E$300,$B235,Закрытые!$B$5:$B$300,"L-*"),8))</f>
        <v/>
      </c>
      <c r="L235" s="177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>
        <f>IF(C236="","",SUMIFS(Лэндинг!$H$5:$H$300,Лэндинг!$E$5:$E$300,$B236)+SUMIFS(Закрытые!$H$5:$H$300,Закрытые!$E$5:$E$300,$B236,Закрытые!$B$5:$B$300,"L-*"))</f>
        <v/>
      </c>
      <c r="F236" s="246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>
        <f>IF(F236="","",SUMIFS(Лэндинг!$K$5:$K$300,Лэндинг!$E$5:$E$300,$B236)+SUMIFS(Закрытые!$K$5:$K$300,Закрытые!$E$5:$E$300,$B236,Закрытые!$B$5:$B$300,"L-*"))</f>
        <v/>
      </c>
      <c r="I236" s="246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>
        <f>IF($B236="","",ROUND(SUMIFS(Закрытые!$N$5:$N$300,Закрытые!$E$5:$E$300,$B236,Закрытые!$B$5:$B$300,"L-*"),8))</f>
        <v/>
      </c>
      <c r="L236" s="183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>
        <f>IF(C237="","",SUMIFS(Лэндинг!$H$5:$H$300,Лэндинг!$E$5:$E$300,$B237)+SUMIFS(Закрытые!$H$5:$H$300,Закрытые!$E$5:$E$300,$B237,Закрытые!$B$5:$B$300,"L-*"))</f>
        <v/>
      </c>
      <c r="F237" s="240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>
        <f>IF(F237="","",SUMIFS(Лэндинг!$K$5:$K$300,Лэндинг!$E$5:$E$300,$B237)+SUMIFS(Закрытые!$K$5:$K$300,Закрытые!$E$5:$E$300,$B237,Закрытые!$B$5:$B$300,"L-*"))</f>
        <v/>
      </c>
      <c r="I237" s="240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>
        <f>IF($B237="","",ROUND(SUMIFS(Закрытые!$N$5:$N$300,Закрытые!$E$5:$E$300,$B237,Закрытые!$B$5:$B$300,"L-*"),8))</f>
        <v/>
      </c>
      <c r="L237" s="177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>
        <f>IF(C238="","",SUMIFS(Лэндинг!$H$5:$H$300,Лэндинг!$E$5:$E$300,$B238)+SUMIFS(Закрытые!$H$5:$H$300,Закрытые!$E$5:$E$300,$B238,Закрытые!$B$5:$B$300,"L-*"))</f>
        <v/>
      </c>
      <c r="F238" s="246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>
        <f>IF(F238="","",SUMIFS(Лэндинг!$K$5:$K$300,Лэндинг!$E$5:$E$300,$B238)+SUMIFS(Закрытые!$K$5:$K$300,Закрытые!$E$5:$E$300,$B238,Закрытые!$B$5:$B$300,"L-*"))</f>
        <v/>
      </c>
      <c r="I238" s="246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>
        <f>IF($B238="","",ROUND(SUMIFS(Закрытые!$N$5:$N$300,Закрытые!$E$5:$E$300,$B238,Закрытые!$B$5:$B$300,"L-*"),8))</f>
        <v/>
      </c>
      <c r="L238" s="183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>
        <f>IF(C239="","",SUMIFS(Лэндинг!$H$5:$H$300,Лэндинг!$E$5:$E$300,$B239)+SUMIFS(Закрытые!$H$5:$H$300,Закрытые!$E$5:$E$300,$B239,Закрытые!$B$5:$B$300,"L-*"))</f>
        <v/>
      </c>
      <c r="F239" s="240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>
        <f>IF(F239="","",SUMIFS(Лэндинг!$K$5:$K$300,Лэндинг!$E$5:$E$300,$B239)+SUMIFS(Закрытые!$K$5:$K$300,Закрытые!$E$5:$E$300,$B239,Закрытые!$B$5:$B$300,"L-*"))</f>
        <v/>
      </c>
      <c r="I239" s="240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>
        <f>IF($B239="","",ROUND(SUMIFS(Закрытые!$N$5:$N$300,Закрытые!$E$5:$E$300,$B239,Закрытые!$B$5:$B$300,"L-*"),8))</f>
        <v/>
      </c>
      <c r="L239" s="177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>
        <f>IF(C240="","",SUMIFS(Лэндинг!$H$5:$H$300,Лэндинг!$E$5:$E$300,$B240)+SUMIFS(Закрытые!$H$5:$H$300,Закрытые!$E$5:$E$300,$B240,Закрытые!$B$5:$B$300,"L-*"))</f>
        <v/>
      </c>
      <c r="F240" s="246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>
        <f>IF(F240="","",SUMIFS(Лэндинг!$K$5:$K$300,Лэндинг!$E$5:$E$300,$B240)+SUMIFS(Закрытые!$K$5:$K$300,Закрытые!$E$5:$E$300,$B240,Закрытые!$B$5:$B$300,"L-*"))</f>
        <v/>
      </c>
      <c r="I240" s="246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>
        <f>IF($B240="","",ROUND(SUMIFS(Закрытые!$N$5:$N$300,Закрытые!$E$5:$E$300,$B240,Закрытые!$B$5:$B$300,"L-*"),8))</f>
        <v/>
      </c>
      <c r="L240" s="183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>
        <f>IF(C241="","",SUMIFS(Лэндинг!$H$5:$H$300,Лэндинг!$E$5:$E$300,$B241)+SUMIFS(Закрытые!$H$5:$H$300,Закрытые!$E$5:$E$300,$B241,Закрытые!$B$5:$B$300,"L-*"))</f>
        <v/>
      </c>
      <c r="F241" s="240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>
        <f>IF(F241="","",SUMIFS(Лэндинг!$K$5:$K$300,Лэндинг!$E$5:$E$300,$B241)+SUMIFS(Закрытые!$K$5:$K$300,Закрытые!$E$5:$E$300,$B241,Закрытые!$B$5:$B$300,"L-*"))</f>
        <v/>
      </c>
      <c r="I241" s="240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>
        <f>IF($B241="","",ROUND(SUMIFS(Закрытые!$N$5:$N$300,Закрытые!$E$5:$E$300,$B241,Закрытые!$B$5:$B$300,"L-*"),8))</f>
        <v/>
      </c>
      <c r="L241" s="177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>
        <f>IF(C242="","",SUMIFS(Лэндинг!$H$5:$H$300,Лэндинг!$E$5:$E$300,$B242)+SUMIFS(Закрытые!$H$5:$H$300,Закрытые!$E$5:$E$300,$B242,Закрытые!$B$5:$B$300,"L-*"))</f>
        <v/>
      </c>
      <c r="F242" s="246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>
        <f>IF(F242="","",SUMIFS(Лэндинг!$K$5:$K$300,Лэндинг!$E$5:$E$300,$B242)+SUMIFS(Закрытые!$K$5:$K$300,Закрытые!$E$5:$E$300,$B242,Закрытые!$B$5:$B$300,"L-*"))</f>
        <v/>
      </c>
      <c r="I242" s="246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>
        <f>IF($B242="","",ROUND(SUMIFS(Закрытые!$N$5:$N$300,Закрытые!$E$5:$E$300,$B242,Закрытые!$B$5:$B$300,"L-*"),8))</f>
        <v/>
      </c>
      <c r="L242" s="183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>
        <f>IF(C243="","",SUMIFS(Лэндинг!$H$5:$H$300,Лэндинг!$E$5:$E$300,$B243)+SUMIFS(Закрытые!$H$5:$H$300,Закрытые!$E$5:$E$300,$B243,Закрытые!$B$5:$B$300,"L-*"))</f>
        <v/>
      </c>
      <c r="F243" s="240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>
        <f>IF(F243="","",SUMIFS(Лэндинг!$K$5:$K$300,Лэндинг!$E$5:$E$300,$B243)+SUMIFS(Закрытые!$K$5:$K$300,Закрытые!$E$5:$E$300,$B243,Закрытые!$B$5:$B$300,"L-*"))</f>
        <v/>
      </c>
      <c r="I243" s="240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>
        <f>IF($B243="","",ROUND(SUMIFS(Закрытые!$N$5:$N$300,Закрытые!$E$5:$E$300,$B243,Закрытые!$B$5:$B$300,"L-*"),8))</f>
        <v/>
      </c>
      <c r="L243" s="177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>
        <f>IF(C244="","",SUMIFS(Лэндинг!$H$5:$H$300,Лэндинг!$E$5:$E$300,$B244)+SUMIFS(Закрытые!$H$5:$H$300,Закрытые!$E$5:$E$300,$B244,Закрытые!$B$5:$B$300,"L-*"))</f>
        <v/>
      </c>
      <c r="F244" s="246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>
        <f>IF(F244="","",SUMIFS(Лэндинг!$K$5:$K$300,Лэндинг!$E$5:$E$300,$B244)+SUMIFS(Закрытые!$K$5:$K$300,Закрытые!$E$5:$E$300,$B244,Закрытые!$B$5:$B$300,"L-*"))</f>
        <v/>
      </c>
      <c r="I244" s="246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>
        <f>IF($B244="","",ROUND(SUMIFS(Закрытые!$N$5:$N$300,Закрытые!$E$5:$E$300,$B244,Закрытые!$B$5:$B$300,"L-*"),8))</f>
        <v/>
      </c>
      <c r="L244" s="183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>
        <f>IF(C245="","",SUMIFS(Лэндинг!$H$5:$H$300,Лэндинг!$E$5:$E$300,$B245)+SUMIFS(Закрытые!$H$5:$H$300,Закрытые!$E$5:$E$300,$B245,Закрытые!$B$5:$B$300,"L-*"))</f>
        <v/>
      </c>
      <c r="F245" s="240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>
        <f>IF(F245="","",SUMIFS(Лэндинг!$K$5:$K$300,Лэндинг!$E$5:$E$300,$B245)+SUMIFS(Закрытые!$K$5:$K$300,Закрытые!$E$5:$E$300,$B245,Закрытые!$B$5:$B$300,"L-*"))</f>
        <v/>
      </c>
      <c r="I245" s="240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>
        <f>IF($B245="","",ROUND(SUMIFS(Закрытые!$N$5:$N$300,Закрытые!$E$5:$E$300,$B245,Закрытые!$B$5:$B$300,"L-*"),8))</f>
        <v/>
      </c>
      <c r="L245" s="177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>
        <f>IF(C246="","",SUMIFS(Лэндинг!$H$5:$H$300,Лэндинг!$E$5:$E$300,$B246)+SUMIFS(Закрытые!$H$5:$H$300,Закрытые!$E$5:$E$300,$B246,Закрытые!$B$5:$B$300,"L-*"))</f>
        <v/>
      </c>
      <c r="F246" s="246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>
        <f>IF(F246="","",SUMIFS(Лэндинг!$K$5:$K$300,Лэндинг!$E$5:$E$300,$B246)+SUMIFS(Закрытые!$K$5:$K$300,Закрытые!$E$5:$E$300,$B246,Закрытые!$B$5:$B$300,"L-*"))</f>
        <v/>
      </c>
      <c r="I246" s="246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>
        <f>IF($B246="","",ROUND(SUMIFS(Закрытые!$N$5:$N$300,Закрытые!$E$5:$E$300,$B246,Закрытые!$B$5:$B$300,"L-*"),8))</f>
        <v/>
      </c>
      <c r="L246" s="183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>
        <f>IF(C247="","",SUMIFS(Лэндинг!$H$5:$H$300,Лэндинг!$E$5:$E$300,$B247)+SUMIFS(Закрытые!$H$5:$H$300,Закрытые!$E$5:$E$300,$B247,Закрытые!$B$5:$B$300,"L-*"))</f>
        <v/>
      </c>
      <c r="F247" s="240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>
        <f>IF(F247="","",SUMIFS(Лэндинг!$K$5:$K$300,Лэндинг!$E$5:$E$300,$B247)+SUMIFS(Закрытые!$K$5:$K$300,Закрытые!$E$5:$E$300,$B247,Закрытые!$B$5:$B$300,"L-*"))</f>
        <v/>
      </c>
      <c r="I247" s="240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>
        <f>IF($B247="","",ROUND(SUMIFS(Закрытые!$N$5:$N$300,Закрытые!$E$5:$E$300,$B247,Закрытые!$B$5:$B$300,"L-*"),8))</f>
        <v/>
      </c>
      <c r="L247" s="177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>
        <f>IF(C248="","",SUMIFS(Лэндинг!$H$5:$H$300,Лэндинг!$E$5:$E$300,$B248)+SUMIFS(Закрытые!$H$5:$H$300,Закрытые!$E$5:$E$300,$B248,Закрытые!$B$5:$B$300,"L-*"))</f>
        <v/>
      </c>
      <c r="F248" s="246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>
        <f>IF(F248="","",SUMIFS(Лэндинг!$K$5:$K$300,Лэндинг!$E$5:$E$300,$B248)+SUMIFS(Закрытые!$K$5:$K$300,Закрытые!$E$5:$E$300,$B248,Закрытые!$B$5:$B$300,"L-*"))</f>
        <v/>
      </c>
      <c r="I248" s="246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>
        <f>IF($B248="","",ROUND(SUMIFS(Закрытые!$N$5:$N$300,Закрытые!$E$5:$E$300,$B248,Закрытые!$B$5:$B$300,"L-*"),8))</f>
        <v/>
      </c>
      <c r="L248" s="183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>
        <f>IF(C249="","",SUMIFS(Лэндинг!$H$5:$H$300,Лэндинг!$E$5:$E$300,$B249)+SUMIFS(Закрытые!$H$5:$H$300,Закрытые!$E$5:$E$300,$B249,Закрытые!$B$5:$B$300,"L-*"))</f>
        <v/>
      </c>
      <c r="F249" s="240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>
        <f>IF(F249="","",SUMIFS(Лэндинг!$K$5:$K$300,Лэндинг!$E$5:$E$300,$B249)+SUMIFS(Закрытые!$K$5:$K$300,Закрытые!$E$5:$E$300,$B249,Закрытые!$B$5:$B$300,"L-*"))</f>
        <v/>
      </c>
      <c r="I249" s="240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>
        <f>IF($B249="","",ROUND(SUMIFS(Закрытые!$N$5:$N$300,Закрытые!$E$5:$E$300,$B249,Закрытые!$B$5:$B$300,"L-*"),8))</f>
        <v/>
      </c>
      <c r="L249" s="177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>
        <f>IF(C250="","",SUMIFS(Лэндинг!$H$5:$H$300,Лэндинг!$E$5:$E$300,$B250)+SUMIFS(Закрытые!$H$5:$H$300,Закрытые!$E$5:$E$300,$B250,Закрытые!$B$5:$B$300,"L-*"))</f>
        <v/>
      </c>
      <c r="F250" s="246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>
        <f>IF(F250="","",SUMIFS(Лэндинг!$K$5:$K$300,Лэндинг!$E$5:$E$300,$B250)+SUMIFS(Закрытые!$K$5:$K$300,Закрытые!$E$5:$E$300,$B250,Закрытые!$B$5:$B$300,"L-*"))</f>
        <v/>
      </c>
      <c r="I250" s="246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>
        <f>IF($B250="","",ROUND(SUMIFS(Закрытые!$N$5:$N$300,Закрытые!$E$5:$E$300,$B250,Закрытые!$B$5:$B$300,"L-*"),8))</f>
        <v/>
      </c>
      <c r="L250" s="183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>
        <f>IF(C251="","",SUMIFS(Лэндинг!$H$5:$H$300,Лэндинг!$E$5:$E$300,$B251)+SUMIFS(Закрытые!$H$5:$H$300,Закрытые!$E$5:$E$300,$B251,Закрытые!$B$5:$B$300,"L-*"))</f>
        <v/>
      </c>
      <c r="F251" s="240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>
        <f>IF(F251="","",SUMIFS(Лэндинг!$K$5:$K$300,Лэндинг!$E$5:$E$300,$B251)+SUMIFS(Закрытые!$K$5:$K$300,Закрытые!$E$5:$E$300,$B251,Закрытые!$B$5:$B$300,"L-*"))</f>
        <v/>
      </c>
      <c r="I251" s="240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>
        <f>IF($B251="","",ROUND(SUMIFS(Закрытые!$N$5:$N$300,Закрытые!$E$5:$E$300,$B251,Закрытые!$B$5:$B$300,"L-*"),8))</f>
        <v/>
      </c>
      <c r="L251" s="177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>
        <f>IF(C252="","",SUMIFS(Лэндинг!$H$5:$H$300,Лэндинг!$E$5:$E$300,$B252)+SUMIFS(Закрытые!$H$5:$H$300,Закрытые!$E$5:$E$300,$B252,Закрытые!$B$5:$B$300,"L-*"))</f>
        <v/>
      </c>
      <c r="F252" s="246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>
        <f>IF(F252="","",SUMIFS(Лэндинг!$K$5:$K$300,Лэндинг!$E$5:$E$300,$B252)+SUMIFS(Закрытые!$K$5:$K$300,Закрытые!$E$5:$E$300,$B252,Закрытые!$B$5:$B$300,"L-*"))</f>
        <v/>
      </c>
      <c r="I252" s="246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>
        <f>IF($B252="","",ROUND(SUMIFS(Закрытые!$N$5:$N$300,Закрытые!$E$5:$E$300,$B252,Закрытые!$B$5:$B$300,"L-*"),8))</f>
        <v/>
      </c>
      <c r="L252" s="183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>
        <f>IF(C253="","",SUMIFS(Лэндинг!$H$5:$H$300,Лэндинг!$E$5:$E$300,$B253)+SUMIFS(Закрытые!$H$5:$H$300,Закрытые!$E$5:$E$300,$B253,Закрытые!$B$5:$B$300,"L-*"))</f>
        <v/>
      </c>
      <c r="F253" s="240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>
        <f>IF(F253="","",SUMIFS(Лэндинг!$K$5:$K$300,Лэндинг!$E$5:$E$300,$B253)+SUMIFS(Закрытые!$K$5:$K$300,Закрытые!$E$5:$E$300,$B253,Закрытые!$B$5:$B$300,"L-*"))</f>
        <v/>
      </c>
      <c r="I253" s="240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>
        <f>IF($B253="","",ROUND(SUMIFS(Закрытые!$N$5:$N$300,Закрытые!$E$5:$E$300,$B253,Закрытые!$B$5:$B$300,"L-*"),8))</f>
        <v/>
      </c>
      <c r="L253" s="177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>
        <f>IF(C254="","",SUMIFS(Лэндинг!$H$5:$H$300,Лэндинг!$E$5:$E$300,$B254)+SUMIFS(Закрытые!$H$5:$H$300,Закрытые!$E$5:$E$300,$B254,Закрытые!$B$5:$B$300,"L-*"))</f>
        <v/>
      </c>
      <c r="F254" s="246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>
        <f>IF(F254="","",SUMIFS(Лэндинг!$K$5:$K$300,Лэндинг!$E$5:$E$300,$B254)+SUMIFS(Закрытые!$K$5:$K$300,Закрытые!$E$5:$E$300,$B254,Закрытые!$B$5:$B$300,"L-*"))</f>
        <v/>
      </c>
      <c r="I254" s="246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>
        <f>IF($B254="","",ROUND(SUMIFS(Закрытые!$N$5:$N$300,Закрытые!$E$5:$E$300,$B254,Закрытые!$B$5:$B$300,"L-*"),8))</f>
        <v/>
      </c>
      <c r="L254" s="183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>
        <f>IF(C255="","",SUMIFS(Лэндинг!$H$5:$H$300,Лэндинг!$E$5:$E$300,$B255)+SUMIFS(Закрытые!$H$5:$H$300,Закрытые!$E$5:$E$300,$B255,Закрытые!$B$5:$B$300,"L-*"))</f>
        <v/>
      </c>
      <c r="F255" s="240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>
        <f>IF(F255="","",SUMIFS(Лэндинг!$K$5:$K$300,Лэндинг!$E$5:$E$300,$B255)+SUMIFS(Закрытые!$K$5:$K$300,Закрытые!$E$5:$E$300,$B255,Закрытые!$B$5:$B$300,"L-*"))</f>
        <v/>
      </c>
      <c r="I255" s="240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>
        <f>IF($B255="","",ROUND(SUMIFS(Закрытые!$N$5:$N$300,Закрытые!$E$5:$E$300,$B255,Закрытые!$B$5:$B$300,"L-*"),8))</f>
        <v/>
      </c>
      <c r="L255" s="177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>
        <f>IF(C256="","",SUMIFS(Лэндинг!$H$5:$H$300,Лэндинг!$E$5:$E$300,$B256)+SUMIFS(Закрытые!$H$5:$H$300,Закрытые!$E$5:$E$300,$B256,Закрытые!$B$5:$B$300,"L-*"))</f>
        <v/>
      </c>
      <c r="F256" s="246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>
        <f>IF(F256="","",SUMIFS(Лэндинг!$K$5:$K$300,Лэндинг!$E$5:$E$300,$B256)+SUMIFS(Закрытые!$K$5:$K$300,Закрытые!$E$5:$E$300,$B256,Закрытые!$B$5:$B$300,"L-*"))</f>
        <v/>
      </c>
      <c r="I256" s="246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>
        <f>IF($B256="","",ROUND(SUMIFS(Закрытые!$N$5:$N$300,Закрытые!$E$5:$E$300,$B256,Закрытые!$B$5:$B$300,"L-*"),8))</f>
        <v/>
      </c>
      <c r="L256" s="183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>
        <f>IF(C257="","",SUMIFS(Лэндинг!$H$5:$H$300,Лэндинг!$E$5:$E$300,$B257)+SUMIFS(Закрытые!$H$5:$H$300,Закрытые!$E$5:$E$300,$B257,Закрытые!$B$5:$B$300,"L-*"))</f>
        <v/>
      </c>
      <c r="F257" s="240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>
        <f>IF(F257="","",SUMIFS(Лэндинг!$K$5:$K$300,Лэндинг!$E$5:$E$300,$B257)+SUMIFS(Закрытые!$K$5:$K$300,Закрытые!$E$5:$E$300,$B257,Закрытые!$B$5:$B$300,"L-*"))</f>
        <v/>
      </c>
      <c r="I257" s="240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>
        <f>IF($B257="","",ROUND(SUMIFS(Закрытые!$N$5:$N$300,Закрытые!$E$5:$E$300,$B257,Закрытые!$B$5:$B$300,"L-*"),8))</f>
        <v/>
      </c>
      <c r="L257" s="177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>
        <f>IF(C258="","",SUMIFS(Лэндинг!$H$5:$H$300,Лэндинг!$E$5:$E$300,$B258)+SUMIFS(Закрытые!$H$5:$H$300,Закрытые!$E$5:$E$300,$B258,Закрытые!$B$5:$B$300,"L-*"))</f>
        <v/>
      </c>
      <c r="F258" s="246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>
        <f>IF(F258="","",SUMIFS(Лэндинг!$K$5:$K$300,Лэндинг!$E$5:$E$300,$B258)+SUMIFS(Закрытые!$K$5:$K$300,Закрытые!$E$5:$E$300,$B258,Закрытые!$B$5:$B$300,"L-*"))</f>
        <v/>
      </c>
      <c r="I258" s="246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>
        <f>IF($B258="","",ROUND(SUMIFS(Закрытые!$N$5:$N$300,Закрытые!$E$5:$E$300,$B258,Закрытые!$B$5:$B$300,"L-*"),8))</f>
        <v/>
      </c>
      <c r="L258" s="183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>
        <f>IF(C259="","",SUMIFS(Лэндинг!$H$5:$H$300,Лэндинг!$E$5:$E$300,$B259)+SUMIFS(Закрытые!$H$5:$H$300,Закрытые!$E$5:$E$300,$B259,Закрытые!$B$5:$B$300,"L-*"))</f>
        <v/>
      </c>
      <c r="F259" s="240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>
        <f>IF(F259="","",SUMIFS(Лэндинг!$K$5:$K$300,Лэндинг!$E$5:$E$300,$B259)+SUMIFS(Закрытые!$K$5:$K$300,Закрытые!$E$5:$E$300,$B259,Закрытые!$B$5:$B$300,"L-*"))</f>
        <v/>
      </c>
      <c r="I259" s="240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>
        <f>IF($B259="","",ROUND(SUMIFS(Закрытые!$N$5:$N$300,Закрытые!$E$5:$E$300,$B259,Закрытые!$B$5:$B$300,"L-*"),8))</f>
        <v/>
      </c>
      <c r="L259" s="177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>
        <f>IF(C260="","",SUMIFS(Лэндинг!$H$5:$H$300,Лэндинг!$E$5:$E$300,$B260)+SUMIFS(Закрытые!$H$5:$H$300,Закрытые!$E$5:$E$300,$B260,Закрытые!$B$5:$B$300,"L-*"))</f>
        <v/>
      </c>
      <c r="F260" s="246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>
        <f>IF(F260="","",SUMIFS(Лэндинг!$K$5:$K$300,Лэндинг!$E$5:$E$300,$B260)+SUMIFS(Закрытые!$K$5:$K$300,Закрытые!$E$5:$E$300,$B260,Закрытые!$B$5:$B$300,"L-*"))</f>
        <v/>
      </c>
      <c r="I260" s="246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>
        <f>IF($B260="","",ROUND(SUMIFS(Закрытые!$N$5:$N$300,Закрытые!$E$5:$E$300,$B260,Закрытые!$B$5:$B$300,"L-*"),8))</f>
        <v/>
      </c>
      <c r="L260" s="183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>
        <f>IF(C261="","",SUMIFS(Лэндинг!$H$5:$H$300,Лэндинг!$E$5:$E$300,$B261)+SUMIFS(Закрытые!$H$5:$H$300,Закрытые!$E$5:$E$300,$B261,Закрытые!$B$5:$B$300,"L-*"))</f>
        <v/>
      </c>
      <c r="F261" s="240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>
        <f>IF(F261="","",SUMIFS(Лэндинг!$K$5:$K$300,Лэндинг!$E$5:$E$300,$B261)+SUMIFS(Закрытые!$K$5:$K$300,Закрытые!$E$5:$E$300,$B261,Закрытые!$B$5:$B$300,"L-*"))</f>
        <v/>
      </c>
      <c r="I261" s="240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>
        <f>IF($B261="","",ROUND(SUMIFS(Закрытые!$N$5:$N$300,Закрытые!$E$5:$E$300,$B261,Закрытые!$B$5:$B$300,"L-*"),8))</f>
        <v/>
      </c>
      <c r="L261" s="177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>
        <f>IF(C262="","",SUMIFS(Лэндинг!$H$5:$H$300,Лэндинг!$E$5:$E$300,$B262)+SUMIFS(Закрытые!$H$5:$H$300,Закрытые!$E$5:$E$300,$B262,Закрытые!$B$5:$B$300,"L-*"))</f>
        <v/>
      </c>
      <c r="F262" s="246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>
        <f>IF(F262="","",SUMIFS(Лэндинг!$K$5:$K$300,Лэндинг!$E$5:$E$300,$B262)+SUMIFS(Закрытые!$K$5:$K$300,Закрытые!$E$5:$E$300,$B262,Закрытые!$B$5:$B$300,"L-*"))</f>
        <v/>
      </c>
      <c r="I262" s="246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>
        <f>IF($B262="","",ROUND(SUMIFS(Закрытые!$N$5:$N$300,Закрытые!$E$5:$E$300,$B262,Закрытые!$B$5:$B$300,"L-*"),8))</f>
        <v/>
      </c>
      <c r="L262" s="183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>
        <f>IF(C263="","",SUMIFS(Лэндинг!$H$5:$H$300,Лэндинг!$E$5:$E$300,$B263)+SUMIFS(Закрытые!$H$5:$H$300,Закрытые!$E$5:$E$300,$B263,Закрытые!$B$5:$B$300,"L-*"))</f>
        <v/>
      </c>
      <c r="F263" s="240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>
        <f>IF(F263="","",SUMIFS(Лэндинг!$K$5:$K$300,Лэндинг!$E$5:$E$300,$B263)+SUMIFS(Закрытые!$K$5:$K$300,Закрытые!$E$5:$E$300,$B263,Закрытые!$B$5:$B$300,"L-*"))</f>
        <v/>
      </c>
      <c r="I263" s="240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>
        <f>IF($B263="","",ROUND(SUMIFS(Закрытые!$N$5:$N$300,Закрытые!$E$5:$E$300,$B263,Закрытые!$B$5:$B$300,"L-*"),8))</f>
        <v/>
      </c>
      <c r="L263" s="177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>
        <f>IF(C264="","",SUMIFS(Лэндинг!$H$5:$H$300,Лэндинг!$E$5:$E$300,$B264)+SUMIFS(Закрытые!$H$5:$H$300,Закрытые!$E$5:$E$300,$B264,Закрытые!$B$5:$B$300,"L-*"))</f>
        <v/>
      </c>
      <c r="F264" s="246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>
        <f>IF(F264="","",SUMIFS(Лэндинг!$K$5:$K$300,Лэндинг!$E$5:$E$300,$B264)+SUMIFS(Закрытые!$K$5:$K$300,Закрытые!$E$5:$E$300,$B264,Закрытые!$B$5:$B$300,"L-*"))</f>
        <v/>
      </c>
      <c r="I264" s="246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>
        <f>IF($B264="","",ROUND(SUMIFS(Закрытые!$N$5:$N$300,Закрытые!$E$5:$E$300,$B264,Закрытые!$B$5:$B$300,"L-*"),8))</f>
        <v/>
      </c>
      <c r="L264" s="183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>
        <f>IF(C265="","",SUMIFS(Лэндинг!$H$5:$H$300,Лэндинг!$E$5:$E$300,$B265)+SUMIFS(Закрытые!$H$5:$H$300,Закрытые!$E$5:$E$300,$B265,Закрытые!$B$5:$B$300,"L-*"))</f>
        <v/>
      </c>
      <c r="F265" s="240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>
        <f>IF(F265="","",SUMIFS(Лэндинг!$K$5:$K$300,Лэндинг!$E$5:$E$300,$B265)+SUMIFS(Закрытые!$K$5:$K$300,Закрытые!$E$5:$E$300,$B265,Закрытые!$B$5:$B$300,"L-*"))</f>
        <v/>
      </c>
      <c r="I265" s="240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>
        <f>IF($B265="","",ROUND(SUMIFS(Закрытые!$N$5:$N$300,Закрытые!$E$5:$E$300,$B265,Закрытые!$B$5:$B$300,"L-*"),8))</f>
        <v/>
      </c>
      <c r="L265" s="177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>
        <f>IF(C266="","",SUMIFS(Лэндинг!$H$5:$H$300,Лэндинг!$E$5:$E$300,$B266)+SUMIFS(Закрытые!$H$5:$H$300,Закрытые!$E$5:$E$300,$B266,Закрытые!$B$5:$B$300,"L-*"))</f>
        <v/>
      </c>
      <c r="F266" s="246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>
        <f>IF(F266="","",SUMIFS(Лэндинг!$K$5:$K$300,Лэндинг!$E$5:$E$300,$B266)+SUMIFS(Закрытые!$K$5:$K$300,Закрытые!$E$5:$E$300,$B266,Закрытые!$B$5:$B$300,"L-*"))</f>
        <v/>
      </c>
      <c r="I266" s="246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>
        <f>IF($B266="","",ROUND(SUMIFS(Закрытые!$N$5:$N$300,Закрытые!$E$5:$E$300,$B266,Закрытые!$B$5:$B$300,"L-*"),8))</f>
        <v/>
      </c>
      <c r="L266" s="183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>
        <f>IF(C267="","",SUMIFS(Лэндинг!$H$5:$H$300,Лэндинг!$E$5:$E$300,$B267)+SUMIFS(Закрытые!$H$5:$H$300,Закрытые!$E$5:$E$300,$B267,Закрытые!$B$5:$B$300,"L-*"))</f>
        <v/>
      </c>
      <c r="F267" s="240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>
        <f>IF(F267="","",SUMIFS(Лэндинг!$K$5:$K$300,Лэндинг!$E$5:$E$300,$B267)+SUMIFS(Закрытые!$K$5:$K$300,Закрытые!$E$5:$E$300,$B267,Закрытые!$B$5:$B$300,"L-*"))</f>
        <v/>
      </c>
      <c r="I267" s="240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>
        <f>IF($B267="","",ROUND(SUMIFS(Закрытые!$N$5:$N$300,Закрытые!$E$5:$E$300,$B267,Закрытые!$B$5:$B$300,"L-*"),8))</f>
        <v/>
      </c>
      <c r="L267" s="177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>
        <f>IF(C268="","",SUMIFS(Лэндинг!$H$5:$H$300,Лэндинг!$E$5:$E$300,$B268)+SUMIFS(Закрытые!$H$5:$H$300,Закрытые!$E$5:$E$300,$B268,Закрытые!$B$5:$B$300,"L-*"))</f>
        <v/>
      </c>
      <c r="F268" s="246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>
        <f>IF(F268="","",SUMIFS(Лэндинг!$K$5:$K$300,Лэндинг!$E$5:$E$300,$B268)+SUMIFS(Закрытые!$K$5:$K$300,Закрытые!$E$5:$E$300,$B268,Закрытые!$B$5:$B$300,"L-*"))</f>
        <v/>
      </c>
      <c r="I268" s="246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>
        <f>IF($B268="","",ROUND(SUMIFS(Закрытые!$N$5:$N$300,Закрытые!$E$5:$E$300,$B268,Закрытые!$B$5:$B$300,"L-*"),8))</f>
        <v/>
      </c>
      <c r="L268" s="183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>
        <f>IF(C269="","",SUMIFS(Лэндинг!$H$5:$H$300,Лэндинг!$E$5:$E$300,$B269)+SUMIFS(Закрытые!$H$5:$H$300,Закрытые!$E$5:$E$300,$B269,Закрытые!$B$5:$B$300,"L-*"))</f>
        <v/>
      </c>
      <c r="F269" s="240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>
        <f>IF(F269="","",SUMIFS(Лэндинг!$K$5:$K$300,Лэндинг!$E$5:$E$300,$B269)+SUMIFS(Закрытые!$K$5:$K$300,Закрытые!$E$5:$E$300,$B269,Закрытые!$B$5:$B$300,"L-*"))</f>
        <v/>
      </c>
      <c r="I269" s="240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>
        <f>IF($B269="","",ROUND(SUMIFS(Закрытые!$N$5:$N$300,Закрытые!$E$5:$E$300,$B269,Закрытые!$B$5:$B$300,"L-*"),8))</f>
        <v/>
      </c>
      <c r="L269" s="177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>
        <f>IF(C270="","",SUMIFS(Лэндинг!$H$5:$H$300,Лэндинг!$E$5:$E$300,$B270)+SUMIFS(Закрытые!$H$5:$H$300,Закрытые!$E$5:$E$300,$B270,Закрытые!$B$5:$B$300,"L-*"))</f>
        <v/>
      </c>
      <c r="F270" s="246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>
        <f>IF(F270="","",SUMIFS(Лэндинг!$K$5:$K$300,Лэндинг!$E$5:$E$300,$B270)+SUMIFS(Закрытые!$K$5:$K$300,Закрытые!$E$5:$E$300,$B270,Закрытые!$B$5:$B$300,"L-*"))</f>
        <v/>
      </c>
      <c r="I270" s="246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>
        <f>IF($B270="","",ROUND(SUMIFS(Закрытые!$N$5:$N$300,Закрытые!$E$5:$E$300,$B270,Закрытые!$B$5:$B$300,"L-*"),8))</f>
        <v/>
      </c>
      <c r="L270" s="183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>
        <f>IF(C271="","",SUMIFS(Лэндинг!$H$5:$H$300,Лэндинг!$E$5:$E$300,$B271)+SUMIFS(Закрытые!$H$5:$H$300,Закрытые!$E$5:$E$300,$B271,Закрытые!$B$5:$B$300,"L-*"))</f>
        <v/>
      </c>
      <c r="F271" s="240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>
        <f>IF(F271="","",SUMIFS(Лэндинг!$K$5:$K$300,Лэндинг!$E$5:$E$300,$B271)+SUMIFS(Закрытые!$K$5:$K$300,Закрытые!$E$5:$E$300,$B271,Закрытые!$B$5:$B$300,"L-*"))</f>
        <v/>
      </c>
      <c r="I271" s="240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>
        <f>IF($B271="","",ROUND(SUMIFS(Закрытые!$N$5:$N$300,Закрытые!$E$5:$E$300,$B271,Закрытые!$B$5:$B$300,"L-*"),8))</f>
        <v/>
      </c>
      <c r="L271" s="177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>
        <f>IF(C272="","",SUMIFS(Лэндинг!$H$5:$H$300,Лэндинг!$E$5:$E$300,$B272)+SUMIFS(Закрытые!$H$5:$H$300,Закрытые!$E$5:$E$300,$B272,Закрытые!$B$5:$B$300,"L-*"))</f>
        <v/>
      </c>
      <c r="F272" s="246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>
        <f>IF(F272="","",SUMIFS(Лэндинг!$K$5:$K$300,Лэндинг!$E$5:$E$300,$B272)+SUMIFS(Закрытые!$K$5:$K$300,Закрытые!$E$5:$E$300,$B272,Закрытые!$B$5:$B$300,"L-*"))</f>
        <v/>
      </c>
      <c r="I272" s="246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>
        <f>IF($B272="","",ROUND(SUMIFS(Закрытые!$N$5:$N$300,Закрытые!$E$5:$E$300,$B272,Закрытые!$B$5:$B$300,"L-*"),8))</f>
        <v/>
      </c>
      <c r="L272" s="183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>
        <f>IF(C273="","",SUMIFS(Лэндинг!$H$5:$H$300,Лэндинг!$E$5:$E$300,$B273)+SUMIFS(Закрытые!$H$5:$H$300,Закрытые!$E$5:$E$300,$B273,Закрытые!$B$5:$B$300,"L-*"))</f>
        <v/>
      </c>
      <c r="F273" s="240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>
        <f>IF(F273="","",SUMIFS(Лэндинг!$K$5:$K$300,Лэндинг!$E$5:$E$300,$B273)+SUMIFS(Закрытые!$K$5:$K$300,Закрытые!$E$5:$E$300,$B273,Закрытые!$B$5:$B$300,"L-*"))</f>
        <v/>
      </c>
      <c r="I273" s="240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>
        <f>IF($B273="","",ROUND(SUMIFS(Закрытые!$N$5:$N$300,Закрытые!$E$5:$E$300,$B273,Закрытые!$B$5:$B$300,"L-*"),8))</f>
        <v/>
      </c>
      <c r="L273" s="177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>
        <f>IF(C274="","",SUMIFS(Лэндинг!$H$5:$H$300,Лэндинг!$E$5:$E$300,$B274)+SUMIFS(Закрытые!$H$5:$H$300,Закрытые!$E$5:$E$300,$B274,Закрытые!$B$5:$B$300,"L-*"))</f>
        <v/>
      </c>
      <c r="F274" s="246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>
        <f>IF(F274="","",SUMIFS(Лэндинг!$K$5:$K$300,Лэндинг!$E$5:$E$300,$B274)+SUMIFS(Закрытые!$K$5:$K$300,Закрытые!$E$5:$E$300,$B274,Закрытые!$B$5:$B$300,"L-*"))</f>
        <v/>
      </c>
      <c r="I274" s="246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>
        <f>IF($B274="","",ROUND(SUMIFS(Закрытые!$N$5:$N$300,Закрытые!$E$5:$E$300,$B274,Закрытые!$B$5:$B$300,"L-*"),8))</f>
        <v/>
      </c>
      <c r="L274" s="183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>
        <f>IF(C275="","",SUMIFS(Лэндинг!$H$5:$H$300,Лэндинг!$E$5:$E$300,$B275)+SUMIFS(Закрытые!$H$5:$H$300,Закрытые!$E$5:$E$300,$B275,Закрытые!$B$5:$B$300,"L-*"))</f>
        <v/>
      </c>
      <c r="F275" s="240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>
        <f>IF(F275="","",SUMIFS(Лэндинг!$K$5:$K$300,Лэндинг!$E$5:$E$300,$B275)+SUMIFS(Закрытые!$K$5:$K$300,Закрытые!$E$5:$E$300,$B275,Закрытые!$B$5:$B$300,"L-*"))</f>
        <v/>
      </c>
      <c r="I275" s="240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>
        <f>IF($B275="","",ROUND(SUMIFS(Закрытые!$N$5:$N$300,Закрытые!$E$5:$E$300,$B275,Закрытые!$B$5:$B$300,"L-*"),8))</f>
        <v/>
      </c>
      <c r="L275" s="177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>
        <f>IF(C276="","",SUMIFS(Лэндинг!$H$5:$H$300,Лэндинг!$E$5:$E$300,$B276)+SUMIFS(Закрытые!$H$5:$H$300,Закрытые!$E$5:$E$300,$B276,Закрытые!$B$5:$B$300,"L-*"))</f>
        <v/>
      </c>
      <c r="F276" s="246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>
        <f>IF(F276="","",SUMIFS(Лэндинг!$K$5:$K$300,Лэндинг!$E$5:$E$300,$B276)+SUMIFS(Закрытые!$K$5:$K$300,Закрытые!$E$5:$E$300,$B276,Закрытые!$B$5:$B$300,"L-*"))</f>
        <v/>
      </c>
      <c r="I276" s="246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>
        <f>IF($B276="","",ROUND(SUMIFS(Закрытые!$N$5:$N$300,Закрытые!$E$5:$E$300,$B276,Закрытые!$B$5:$B$300,"L-*"),8))</f>
        <v/>
      </c>
      <c r="L276" s="183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>
        <f>IF(C277="","",SUMIFS(Лэндинг!$H$5:$H$300,Лэндинг!$E$5:$E$300,$B277)+SUMIFS(Закрытые!$H$5:$H$300,Закрытые!$E$5:$E$300,$B277,Закрытые!$B$5:$B$300,"L-*"))</f>
        <v/>
      </c>
      <c r="F277" s="240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>
        <f>IF(F277="","",SUMIFS(Лэндинг!$K$5:$K$300,Лэндинг!$E$5:$E$300,$B277)+SUMIFS(Закрытые!$K$5:$K$300,Закрытые!$E$5:$E$300,$B277,Закрытые!$B$5:$B$300,"L-*"))</f>
        <v/>
      </c>
      <c r="I277" s="240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>
        <f>IF($B277="","",ROUND(SUMIFS(Закрытые!$N$5:$N$300,Закрытые!$E$5:$E$300,$B277,Закрытые!$B$5:$B$300,"L-*"),8))</f>
        <v/>
      </c>
      <c r="L277" s="177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>
        <f>IF(C278="","",SUMIFS(Лэндинг!$H$5:$H$300,Лэндинг!$E$5:$E$300,$B278)+SUMIFS(Закрытые!$H$5:$H$300,Закрытые!$E$5:$E$300,$B278,Закрытые!$B$5:$B$300,"L-*"))</f>
        <v/>
      </c>
      <c r="F278" s="246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>
        <f>IF(F278="","",SUMIFS(Лэндинг!$K$5:$K$300,Лэндинг!$E$5:$E$300,$B278)+SUMIFS(Закрытые!$K$5:$K$300,Закрытые!$E$5:$E$300,$B278,Закрытые!$B$5:$B$300,"L-*"))</f>
        <v/>
      </c>
      <c r="I278" s="246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>
        <f>IF($B278="","",ROUND(SUMIFS(Закрытые!$N$5:$N$300,Закрытые!$E$5:$E$300,$B278,Закрытые!$B$5:$B$300,"L-*"),8))</f>
        <v/>
      </c>
      <c r="L278" s="183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>
        <f>IF(C279="","",SUMIFS(Лэндинг!$H$5:$H$300,Лэндинг!$E$5:$E$300,$B279)+SUMIFS(Закрытые!$H$5:$H$300,Закрытые!$E$5:$E$300,$B279,Закрытые!$B$5:$B$300,"L-*"))</f>
        <v/>
      </c>
      <c r="F279" s="240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>
        <f>IF(F279="","",SUMIFS(Лэндинг!$K$5:$K$300,Лэндинг!$E$5:$E$300,$B279)+SUMIFS(Закрытые!$K$5:$K$300,Закрытые!$E$5:$E$300,$B279,Закрытые!$B$5:$B$300,"L-*"))</f>
        <v/>
      </c>
      <c r="I279" s="240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>
        <f>IF($B279="","",ROUND(SUMIFS(Закрытые!$N$5:$N$300,Закрытые!$E$5:$E$300,$B279,Закрытые!$B$5:$B$300,"L-*"),8))</f>
        <v/>
      </c>
      <c r="L279" s="177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>
        <f>IF(C280="","",SUMIFS(Лэндинг!$H$5:$H$300,Лэндинг!$E$5:$E$300,$B280)+SUMIFS(Закрытые!$H$5:$H$300,Закрытые!$E$5:$E$300,$B280,Закрытые!$B$5:$B$300,"L-*"))</f>
        <v/>
      </c>
      <c r="F280" s="246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>
        <f>IF(F280="","",SUMIFS(Лэндинг!$K$5:$K$300,Лэндинг!$E$5:$E$300,$B280)+SUMIFS(Закрытые!$K$5:$K$300,Закрытые!$E$5:$E$300,$B280,Закрытые!$B$5:$B$300,"L-*"))</f>
        <v/>
      </c>
      <c r="I280" s="246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>
        <f>IF($B280="","",ROUND(SUMIFS(Закрытые!$N$5:$N$300,Закрытые!$E$5:$E$300,$B280,Закрытые!$B$5:$B$300,"L-*"),8))</f>
        <v/>
      </c>
      <c r="L280" s="183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>
        <f>IF(C281="","",SUMIFS(Лэндинг!$H$5:$H$300,Лэндинг!$E$5:$E$300,$B281)+SUMIFS(Закрытые!$H$5:$H$300,Закрытые!$E$5:$E$300,$B281,Закрытые!$B$5:$B$300,"L-*"))</f>
        <v/>
      </c>
      <c r="F281" s="240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>
        <f>IF(F281="","",SUMIFS(Лэндинг!$K$5:$K$300,Лэндинг!$E$5:$E$300,$B281)+SUMIFS(Закрытые!$K$5:$K$300,Закрытые!$E$5:$E$300,$B281,Закрытые!$B$5:$B$300,"L-*"))</f>
        <v/>
      </c>
      <c r="I281" s="240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>
        <f>IF($B281="","",ROUND(SUMIFS(Закрытые!$N$5:$N$300,Закрытые!$E$5:$E$300,$B281,Закрытые!$B$5:$B$300,"L-*"),8))</f>
        <v/>
      </c>
      <c r="L281" s="177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>
        <f>IF(C282="","",SUMIFS(Лэндинг!$H$5:$H$300,Лэндинг!$E$5:$E$300,$B282)+SUMIFS(Закрытые!$H$5:$H$300,Закрытые!$E$5:$E$300,$B282,Закрытые!$B$5:$B$300,"L-*"))</f>
        <v/>
      </c>
      <c r="F282" s="246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>
        <f>IF(F282="","",SUMIFS(Лэндинг!$K$5:$K$300,Лэндинг!$E$5:$E$300,$B282)+SUMIFS(Закрытые!$K$5:$K$300,Закрытые!$E$5:$E$300,$B282,Закрытые!$B$5:$B$300,"L-*"))</f>
        <v/>
      </c>
      <c r="I282" s="246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>
        <f>IF($B282="","",ROUND(SUMIFS(Закрытые!$N$5:$N$300,Закрытые!$E$5:$E$300,$B282,Закрытые!$B$5:$B$300,"L-*"),8))</f>
        <v/>
      </c>
      <c r="L282" s="183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>
        <f>IF(C283="","",SUMIFS(Лэндинг!$H$5:$H$300,Лэндинг!$E$5:$E$300,$B283)+SUMIFS(Закрытые!$H$5:$H$300,Закрытые!$E$5:$E$300,$B283,Закрытые!$B$5:$B$300,"L-*"))</f>
        <v/>
      </c>
      <c r="F283" s="240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>
        <f>IF(F283="","",SUMIFS(Лэндинг!$K$5:$K$300,Лэндинг!$E$5:$E$300,$B283)+SUMIFS(Закрытые!$K$5:$K$300,Закрытые!$E$5:$E$300,$B283,Закрытые!$B$5:$B$300,"L-*"))</f>
        <v/>
      </c>
      <c r="I283" s="240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>
        <f>IF($B283="","",ROUND(SUMIFS(Закрытые!$N$5:$N$300,Закрытые!$E$5:$E$300,$B283,Закрытые!$B$5:$B$300,"L-*"),8))</f>
        <v/>
      </c>
      <c r="L283" s="177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>
        <f>IF(C284="","",SUMIFS(Лэндинг!$H$5:$H$300,Лэндинг!$E$5:$E$300,$B284)+SUMIFS(Закрытые!$H$5:$H$300,Закрытые!$E$5:$E$300,$B284,Закрытые!$B$5:$B$300,"L-*"))</f>
        <v/>
      </c>
      <c r="F284" s="246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>
        <f>IF(F284="","",SUMIFS(Лэндинг!$K$5:$K$300,Лэндинг!$E$5:$E$300,$B284)+SUMIFS(Закрытые!$K$5:$K$300,Закрытые!$E$5:$E$300,$B284,Закрытые!$B$5:$B$300,"L-*"))</f>
        <v/>
      </c>
      <c r="I284" s="246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>
        <f>IF($B284="","",ROUND(SUMIFS(Закрытые!$N$5:$N$300,Закрытые!$E$5:$E$300,$B284,Закрытые!$B$5:$B$300,"L-*"),8))</f>
        <v/>
      </c>
      <c r="L284" s="183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>
        <f>IF(C285="","",SUMIFS(Лэндинг!$H$5:$H$300,Лэндинг!$E$5:$E$300,$B285)+SUMIFS(Закрытые!$H$5:$H$300,Закрытые!$E$5:$E$300,$B285,Закрытые!$B$5:$B$300,"L-*"))</f>
        <v/>
      </c>
      <c r="F285" s="240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>
        <f>IF(F285="","",SUMIFS(Лэндинг!$K$5:$K$300,Лэндинг!$E$5:$E$300,$B285)+SUMIFS(Закрытые!$K$5:$K$300,Закрытые!$E$5:$E$300,$B285,Закрытые!$B$5:$B$300,"L-*"))</f>
        <v/>
      </c>
      <c r="I285" s="240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>
        <f>IF($B285="","",ROUND(SUMIFS(Закрытые!$N$5:$N$300,Закрытые!$E$5:$E$300,$B285,Закрытые!$B$5:$B$300,"L-*"),8))</f>
        <v/>
      </c>
      <c r="L285" s="177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>
        <f>IF(C286="","",SUMIFS(Лэндинг!$H$5:$H$300,Лэндинг!$E$5:$E$300,$B286)+SUMIFS(Закрытые!$H$5:$H$300,Закрытые!$E$5:$E$300,$B286,Закрытые!$B$5:$B$300,"L-*"))</f>
        <v/>
      </c>
      <c r="F286" s="246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>
        <f>IF(F286="","",SUMIFS(Лэндинг!$K$5:$K$300,Лэндинг!$E$5:$E$300,$B286)+SUMIFS(Закрытые!$K$5:$K$300,Закрытые!$E$5:$E$300,$B286,Закрытые!$B$5:$B$300,"L-*"))</f>
        <v/>
      </c>
      <c r="I286" s="246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>
        <f>IF($B286="","",ROUND(SUMIFS(Закрытые!$N$5:$N$300,Закрытые!$E$5:$E$300,$B286,Закрытые!$B$5:$B$300,"L-*"),8))</f>
        <v/>
      </c>
      <c r="L286" s="183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>
        <f>IF(C287="","",SUMIFS(Лэндинг!$H$5:$H$300,Лэндинг!$E$5:$E$300,$B287)+SUMIFS(Закрытые!$H$5:$H$300,Закрытые!$E$5:$E$300,$B287,Закрытые!$B$5:$B$300,"L-*"))</f>
        <v/>
      </c>
      <c r="F287" s="240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>
        <f>IF(F287="","",SUMIFS(Лэндинг!$K$5:$K$300,Лэндинг!$E$5:$E$300,$B287)+SUMIFS(Закрытые!$K$5:$K$300,Закрытые!$E$5:$E$300,$B287,Закрытые!$B$5:$B$300,"L-*"))</f>
        <v/>
      </c>
      <c r="I287" s="240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>
        <f>IF($B287="","",ROUND(SUMIFS(Закрытые!$N$5:$N$300,Закрытые!$E$5:$E$300,$B287,Закрытые!$B$5:$B$300,"L-*"),8))</f>
        <v/>
      </c>
      <c r="L287" s="177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>
        <f>IF(C288="","",SUMIFS(Лэндинг!$H$5:$H$300,Лэндинг!$E$5:$E$300,$B288)+SUMIFS(Закрытые!$H$5:$H$300,Закрытые!$E$5:$E$300,$B288,Закрытые!$B$5:$B$300,"L-*"))</f>
        <v/>
      </c>
      <c r="F288" s="246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>
        <f>IF(F288="","",SUMIFS(Лэндинг!$K$5:$K$300,Лэндинг!$E$5:$E$300,$B288)+SUMIFS(Закрытые!$K$5:$K$300,Закрытые!$E$5:$E$300,$B288,Закрытые!$B$5:$B$300,"L-*"))</f>
        <v/>
      </c>
      <c r="I288" s="246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>
        <f>IF($B288="","",ROUND(SUMIFS(Закрытые!$N$5:$N$300,Закрытые!$E$5:$E$300,$B288,Закрытые!$B$5:$B$300,"L-*"),8))</f>
        <v/>
      </c>
      <c r="L288" s="183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>
        <f>IF(C289="","",SUMIFS(Лэндинг!$H$5:$H$300,Лэндинг!$E$5:$E$300,$B289)+SUMIFS(Закрытые!$H$5:$H$300,Закрытые!$E$5:$E$300,$B289,Закрытые!$B$5:$B$300,"L-*"))</f>
        <v/>
      </c>
      <c r="F289" s="240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>
        <f>IF(F289="","",SUMIFS(Лэндинг!$K$5:$K$300,Лэндинг!$E$5:$E$300,$B289)+SUMIFS(Закрытые!$K$5:$K$300,Закрытые!$E$5:$E$300,$B289,Закрытые!$B$5:$B$300,"L-*"))</f>
        <v/>
      </c>
      <c r="I289" s="240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>
        <f>IF($B289="","",ROUND(SUMIFS(Закрытые!$N$5:$N$300,Закрытые!$E$5:$E$300,$B289,Закрытые!$B$5:$B$300,"L-*"),8))</f>
        <v/>
      </c>
      <c r="L289" s="177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>
        <f>IF(C290="","",SUMIFS(Лэндинг!$H$5:$H$300,Лэндинг!$E$5:$E$300,$B290)+SUMIFS(Закрытые!$H$5:$H$300,Закрытые!$E$5:$E$300,$B290,Закрытые!$B$5:$B$300,"L-*"))</f>
        <v/>
      </c>
      <c r="F290" s="246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>
        <f>IF(F290="","",SUMIFS(Лэндинг!$K$5:$K$300,Лэндинг!$E$5:$E$300,$B290)+SUMIFS(Закрытые!$K$5:$K$300,Закрытые!$E$5:$E$300,$B290,Закрытые!$B$5:$B$300,"L-*"))</f>
        <v/>
      </c>
      <c r="I290" s="246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>
        <f>IF($B290="","",ROUND(SUMIFS(Закрытые!$N$5:$N$300,Закрытые!$E$5:$E$300,$B290,Закрытые!$B$5:$B$300,"L-*"),8))</f>
        <v/>
      </c>
      <c r="L290" s="183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>
        <f>IF(C291="","",SUMIFS(Лэндинг!$H$5:$H$300,Лэндинг!$E$5:$E$300,$B291)+SUMIFS(Закрытые!$H$5:$H$300,Закрытые!$E$5:$E$300,$B291,Закрытые!$B$5:$B$300,"L-*"))</f>
        <v/>
      </c>
      <c r="F291" s="240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>
        <f>IF(F291="","",SUMIFS(Лэндинг!$K$5:$K$300,Лэндинг!$E$5:$E$300,$B291)+SUMIFS(Закрытые!$K$5:$K$300,Закрытые!$E$5:$E$300,$B291,Закрытые!$B$5:$B$300,"L-*"))</f>
        <v/>
      </c>
      <c r="I291" s="240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>
        <f>IF($B291="","",ROUND(SUMIFS(Закрытые!$N$5:$N$300,Закрытые!$E$5:$E$300,$B291,Закрытые!$B$5:$B$300,"L-*"),8))</f>
        <v/>
      </c>
      <c r="L291" s="177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>
        <f>IF(C292="","",SUMIFS(Лэндинг!$H$5:$H$300,Лэндинг!$E$5:$E$300,$B292)+SUMIFS(Закрытые!$H$5:$H$300,Закрытые!$E$5:$E$300,$B292,Закрытые!$B$5:$B$300,"L-*"))</f>
        <v/>
      </c>
      <c r="F292" s="246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>
        <f>IF(F292="","",SUMIFS(Лэндинг!$K$5:$K$300,Лэндинг!$E$5:$E$300,$B292)+SUMIFS(Закрытые!$K$5:$K$300,Закрытые!$E$5:$E$300,$B292,Закрытые!$B$5:$B$300,"L-*"))</f>
        <v/>
      </c>
      <c r="I292" s="246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>
        <f>IF($B292="","",ROUND(SUMIFS(Закрытые!$N$5:$N$300,Закрытые!$E$5:$E$300,$B292,Закрытые!$B$5:$B$300,"L-*"),8))</f>
        <v/>
      </c>
      <c r="L292" s="183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>
        <f>IF(C293="","",SUMIFS(Лэндинг!$H$5:$H$300,Лэндинг!$E$5:$E$300,$B293)+SUMIFS(Закрытые!$H$5:$H$300,Закрытые!$E$5:$E$300,$B293,Закрытые!$B$5:$B$300,"L-*"))</f>
        <v/>
      </c>
      <c r="F293" s="240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>
        <f>IF(F293="","",SUMIFS(Лэндинг!$K$5:$K$300,Лэндинг!$E$5:$E$300,$B293)+SUMIFS(Закрытые!$K$5:$K$300,Закрытые!$E$5:$E$300,$B293,Закрытые!$B$5:$B$300,"L-*"))</f>
        <v/>
      </c>
      <c r="I293" s="240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>
        <f>IF($B293="","",ROUND(SUMIFS(Закрытые!$N$5:$N$300,Закрытые!$E$5:$E$300,$B293,Закрытые!$B$5:$B$300,"L-*"),8))</f>
        <v/>
      </c>
      <c r="L293" s="177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>
        <f>IF(C294="","",SUMIFS(Лэндинг!$H$5:$H$300,Лэндинг!$E$5:$E$300,$B294)+SUMIFS(Закрытые!$H$5:$H$300,Закрытые!$E$5:$E$300,$B294,Закрытые!$B$5:$B$300,"L-*"))</f>
        <v/>
      </c>
      <c r="F294" s="246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>
        <f>IF(F294="","",SUMIFS(Лэндинг!$K$5:$K$300,Лэндинг!$E$5:$E$300,$B294)+SUMIFS(Закрытые!$K$5:$K$300,Закрытые!$E$5:$E$300,$B294,Закрытые!$B$5:$B$300,"L-*"))</f>
        <v/>
      </c>
      <c r="I294" s="246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>
        <f>IF($B294="","",ROUND(SUMIFS(Закрытые!$N$5:$N$300,Закрытые!$E$5:$E$300,$B294,Закрытые!$B$5:$B$300,"L-*"),8))</f>
        <v/>
      </c>
      <c r="L294" s="183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>
        <f>IF(C295="","",SUMIFS(Лэндинг!$H$5:$H$300,Лэндинг!$E$5:$E$300,$B295)+SUMIFS(Закрытые!$H$5:$H$300,Закрытые!$E$5:$E$300,$B295,Закрытые!$B$5:$B$300,"L-*"))</f>
        <v/>
      </c>
      <c r="F295" s="240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>
        <f>IF(F295="","",SUMIFS(Лэндинг!$K$5:$K$300,Лэндинг!$E$5:$E$300,$B295)+SUMIFS(Закрытые!$K$5:$K$300,Закрытые!$E$5:$E$300,$B295,Закрытые!$B$5:$B$300,"L-*"))</f>
        <v/>
      </c>
      <c r="I295" s="240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>
        <f>IF($B295="","",ROUND(SUMIFS(Закрытые!$N$5:$N$300,Закрытые!$E$5:$E$300,$B295,Закрытые!$B$5:$B$300,"L-*"),8))</f>
        <v/>
      </c>
      <c r="L295" s="177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>
        <f>IF(C296="","",SUMIFS(Лэндинг!$H$5:$H$300,Лэндинг!$E$5:$E$300,$B296)+SUMIFS(Закрытые!$H$5:$H$300,Закрытые!$E$5:$E$300,$B296,Закрытые!$B$5:$B$300,"L-*"))</f>
        <v/>
      </c>
      <c r="F296" s="246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>
        <f>IF(F296="","",SUMIFS(Лэндинг!$K$5:$K$300,Лэндинг!$E$5:$E$300,$B296)+SUMIFS(Закрытые!$K$5:$K$300,Закрытые!$E$5:$E$300,$B296,Закрытые!$B$5:$B$300,"L-*"))</f>
        <v/>
      </c>
      <c r="I296" s="246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>
        <f>IF($B296="","",ROUND(SUMIFS(Закрытые!$N$5:$N$300,Закрытые!$E$5:$E$300,$B296,Закрытые!$B$5:$B$300,"L-*"),8))</f>
        <v/>
      </c>
      <c r="L296" s="183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>
        <f>IF(C297="","",SUMIFS(Лэндинг!$H$5:$H$300,Лэндинг!$E$5:$E$300,$B297)+SUMIFS(Закрытые!$H$5:$H$300,Закрытые!$E$5:$E$300,$B297,Закрытые!$B$5:$B$300,"L-*"))</f>
        <v/>
      </c>
      <c r="F297" s="240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>
        <f>IF(F297="","",SUMIFS(Лэндинг!$K$5:$K$300,Лэндинг!$E$5:$E$300,$B297)+SUMIFS(Закрытые!$K$5:$K$300,Закрытые!$E$5:$E$300,$B297,Закрытые!$B$5:$B$300,"L-*"))</f>
        <v/>
      </c>
      <c r="I297" s="240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>
        <f>IF($B297="","",ROUND(SUMIFS(Закрытые!$N$5:$N$300,Закрытые!$E$5:$E$300,$B297,Закрытые!$B$5:$B$300,"L-*"),8))</f>
        <v/>
      </c>
      <c r="L297" s="177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>
        <f>IF(C298="","",SUMIFS(Лэндинг!$H$5:$H$300,Лэндинг!$E$5:$E$300,$B298)+SUMIFS(Закрытые!$H$5:$H$300,Закрытые!$E$5:$E$300,$B298,Закрытые!$B$5:$B$300,"L-*"))</f>
        <v/>
      </c>
      <c r="F298" s="246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>
        <f>IF(F298="","",SUMIFS(Лэндинг!$K$5:$K$300,Лэндинг!$E$5:$E$300,$B298)+SUMIFS(Закрытые!$K$5:$K$300,Закрытые!$E$5:$E$300,$B298,Закрытые!$B$5:$B$300,"L-*"))</f>
        <v/>
      </c>
      <c r="I298" s="246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>
        <f>IF($B298="","",ROUND(SUMIFS(Закрытые!$N$5:$N$300,Закрытые!$E$5:$E$300,$B298,Закрытые!$B$5:$B$300,"L-*"),8))</f>
        <v/>
      </c>
      <c r="L298" s="183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>
        <f>IF(C299="","",SUMIFS(Лэндинг!$H$5:$H$300,Лэндинг!$E$5:$E$300,$B299)+SUMIFS(Закрытые!$H$5:$H$300,Закрытые!$E$5:$E$300,$B299,Закрытые!$B$5:$B$300,"L-*"))</f>
        <v/>
      </c>
      <c r="F299" s="240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>
        <f>IF(F299="","",SUMIFS(Лэндинг!$K$5:$K$300,Лэндинг!$E$5:$E$300,$B299)+SUMIFS(Закрытые!$K$5:$K$300,Закрытые!$E$5:$E$300,$B299,Закрытые!$B$5:$B$300,"L-*"))</f>
        <v/>
      </c>
      <c r="I299" s="240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>
        <f>IF($B299="","",ROUND(SUMIFS(Закрытые!$N$5:$N$300,Закрытые!$E$5:$E$300,$B299,Закрытые!$B$5:$B$300,"L-*"),8))</f>
        <v/>
      </c>
      <c r="L299" s="177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>
        <f>IF(C300="","",SUMIFS(Лэндинг!$H$5:$H$300,Лэндинг!$E$5:$E$300,$B300)+SUMIFS(Закрытые!$H$5:$H$300,Закрытые!$E$5:$E$300,$B300,Закрытые!$B$5:$B$300,"L-*"))</f>
        <v/>
      </c>
      <c r="F300" s="246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>
        <f>IF(F300="","",SUMIFS(Лэндинг!$K$5:$K$300,Лэндинг!$E$5:$E$300,$B300)+SUMIFS(Закрытые!$K$5:$K$300,Закрытые!$E$5:$E$300,$B300,Закрытые!$B$5:$B$300,"L-*"))</f>
        <v/>
      </c>
      <c r="I300" s="246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>
        <f>IF($B300="","",ROUND(SUMIFS(Закрытые!$N$5:$N$300,Закрытые!$E$5:$E$300,$B300,Закрытые!$B$5:$B$300,"L-*"),8))</f>
        <v/>
      </c>
      <c r="L300" s="183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  <col width="12" customWidth="1" min="12" max="12"/>
    <col width="13" customWidth="1" min="13" max="13"/>
    <col width="13" customWidth="1" min="14" max="14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  <c r="M4" s="310" t="inlineStr">
        <is>
          <t>Min</t>
        </is>
      </c>
      <c r="N4" s="311" t="inlineStr">
        <is>
          <t>Max</t>
        </is>
      </c>
    </row>
    <row r="5" ht="22" customHeight="1">
      <c r="B5" s="323" t="n"/>
      <c r="C5" s="314" t="n"/>
      <c r="D5" s="313" t="n"/>
      <c r="E5" s="315" t="n"/>
      <c r="F5" s="316" t="n"/>
      <c r="G5" s="324" t="n"/>
      <c r="H5" s="316" t="n"/>
      <c r="I5" s="324" t="n"/>
      <c r="J5" s="240">
        <f>IF(AND(L5="Закрыт",ISNUMBER(F5),ISNUMBER(H5)),ROUND(H5-F5,8),"")</f>
        <v/>
      </c>
      <c r="K5" s="241">
        <f>IF(AND(L5="Закрыт",ISNUMBER(G5),ISNUMBER(I5)),ROUND(I5-G5,8),"")</f>
        <v/>
      </c>
      <c r="L5" s="325" t="n"/>
      <c r="M5" s="316" t="n"/>
      <c r="N5" s="324" t="n"/>
    </row>
    <row r="6" ht="22" customHeight="1">
      <c r="B6" s="326" t="n"/>
      <c r="C6" s="319" t="n"/>
      <c r="D6" s="318" t="n"/>
      <c r="E6" s="320" t="n"/>
      <c r="F6" s="321" t="n"/>
      <c r="G6" s="327" t="n"/>
      <c r="H6" s="321" t="n"/>
      <c r="I6" s="327" t="n"/>
      <c r="J6" s="246">
        <f>IF(AND(L6="Закрыт",ISNUMBER(F6),ISNUMBER(H6)),ROUND(H6-F6,8),"")</f>
        <v/>
      </c>
      <c r="K6" s="247">
        <f>IF(AND(L6="Закрыт",ISNUMBER(G6),ISNUMBER(I6)),ROUND(I6-G6,8),"")</f>
        <v/>
      </c>
      <c r="L6" s="328" t="n"/>
      <c r="M6" s="321" t="n"/>
      <c r="N6" s="327" t="n"/>
    </row>
    <row r="7" ht="22" customHeight="1">
      <c r="B7" s="323" t="n"/>
      <c r="C7" s="314" t="n"/>
      <c r="D7" s="313" t="n"/>
      <c r="E7" s="315" t="n"/>
      <c r="F7" s="316" t="n"/>
      <c r="G7" s="324" t="n"/>
      <c r="H7" s="316" t="n"/>
      <c r="I7" s="324" t="n"/>
      <c r="J7" s="240">
        <f>IF(AND(L7="Закрыт",ISNUMBER(F7),ISNUMBER(H7)),ROUND(H7-F7,8),"")</f>
        <v/>
      </c>
      <c r="K7" s="241">
        <f>IF(AND(L7="Закрыт",ISNUMBER(G7),ISNUMBER(I7)),ROUND(I7-G7,8),"")</f>
        <v/>
      </c>
      <c r="L7" s="325" t="n"/>
      <c r="M7" s="316" t="n"/>
      <c r="N7" s="324" t="n"/>
    </row>
    <row r="8" ht="22" customHeight="1">
      <c r="B8" s="326" t="n"/>
      <c r="C8" s="319" t="n"/>
      <c r="D8" s="318" t="n"/>
      <c r="E8" s="320" t="n"/>
      <c r="F8" s="321" t="n"/>
      <c r="G8" s="327" t="n"/>
      <c r="H8" s="321" t="n"/>
      <c r="I8" s="327" t="n"/>
      <c r="J8" s="246">
        <f>IF(AND(L8="Закрыт",ISNUMBER(F8),ISNUMBER(H8)),ROUND(H8-F8,8),"")</f>
        <v/>
      </c>
      <c r="K8" s="247">
        <f>IF(AND(L8="Закрыт",ISNUMBER(G8),ISNUMBER(I8)),ROUND(I8-G8,8),"")</f>
        <v/>
      </c>
      <c r="L8" s="328" t="n"/>
      <c r="M8" s="321" t="n"/>
      <c r="N8" s="327" t="n"/>
    </row>
    <row r="9" ht="22" customHeight="1">
      <c r="B9" s="323" t="n"/>
      <c r="C9" s="314" t="n"/>
      <c r="D9" s="313" t="n"/>
      <c r="E9" s="315" t="n"/>
      <c r="F9" s="316" t="n"/>
      <c r="G9" s="324" t="n"/>
      <c r="H9" s="316" t="n"/>
      <c r="I9" s="324" t="n"/>
      <c r="J9" s="240">
        <f>IF(AND(L9="Закрыт",ISNUMBER(F9),ISNUMBER(H9)),ROUND(H9-F9,8),"")</f>
        <v/>
      </c>
      <c r="K9" s="241">
        <f>IF(AND(L9="Закрыт",ISNUMBER(G9),ISNUMBER(I9)),ROUND(I9-G9,8),"")</f>
        <v/>
      </c>
      <c r="L9" s="325" t="n"/>
      <c r="M9" s="316" t="n"/>
      <c r="N9" s="324" t="n"/>
    </row>
    <row r="10" ht="22" customHeight="1">
      <c r="B10" s="326" t="n"/>
      <c r="C10" s="319" t="n"/>
      <c r="D10" s="318" t="n"/>
      <c r="E10" s="320" t="n"/>
      <c r="F10" s="321" t="n"/>
      <c r="G10" s="327" t="n"/>
      <c r="H10" s="321" t="n"/>
      <c r="I10" s="327" t="n"/>
      <c r="J10" s="246">
        <f>IF(AND(L10="Закрыт",ISNUMBER(F10),ISNUMBER(H10)),ROUND(H10-F10,8),"")</f>
        <v/>
      </c>
      <c r="K10" s="247">
        <f>IF(AND(L10="Закрыт",ISNUMBER(G10),ISNUMBER(I10)),ROUND(I10-G10,8),"")</f>
        <v/>
      </c>
      <c r="L10" s="328" t="n"/>
      <c r="M10" s="321" t="n"/>
      <c r="N10" s="327" t="n"/>
    </row>
    <row r="11" ht="22" customHeight="1">
      <c r="B11" s="323" t="n"/>
      <c r="C11" s="314" t="n"/>
      <c r="D11" s="313" t="n"/>
      <c r="E11" s="315" t="n"/>
      <c r="F11" s="316" t="n"/>
      <c r="G11" s="324" t="n"/>
      <c r="H11" s="316" t="n"/>
      <c r="I11" s="324" t="n"/>
      <c r="J11" s="240">
        <f>IF(AND(L11="Закрыт",ISNUMBER(F11),ISNUMBER(H11)),ROUND(H11-F11,8),"")</f>
        <v/>
      </c>
      <c r="K11" s="241">
        <f>IF(AND(L11="Закрыт",ISNUMBER(G11),ISNUMBER(I11)),ROUND(I11-G11,8),"")</f>
        <v/>
      </c>
      <c r="L11" s="325" t="n"/>
      <c r="M11" s="316" t="n"/>
      <c r="N11" s="324" t="n"/>
    </row>
    <row r="12" ht="22" customHeight="1">
      <c r="B12" s="326" t="n"/>
      <c r="C12" s="319" t="n"/>
      <c r="D12" s="318" t="n"/>
      <c r="E12" s="320" t="n"/>
      <c r="F12" s="321" t="n"/>
      <c r="G12" s="327" t="n"/>
      <c r="H12" s="321" t="n"/>
      <c r="I12" s="327" t="n"/>
      <c r="J12" s="246">
        <f>IF(AND(L12="Закрыт",ISNUMBER(F12),ISNUMBER(H12)),ROUND(H12-F12,8),"")</f>
        <v/>
      </c>
      <c r="K12" s="247">
        <f>IF(AND(L12="Закрыт",ISNUMBER(G12),ISNUMBER(I12)),ROUND(I12-G12,8),"")</f>
        <v/>
      </c>
      <c r="L12" s="328" t="n"/>
      <c r="M12" s="321" t="n"/>
      <c r="N12" s="327" t="n"/>
    </row>
    <row r="13" ht="22" customHeight="1">
      <c r="B13" s="323" t="n"/>
      <c r="C13" s="314" t="n"/>
      <c r="D13" s="313" t="n"/>
      <c r="E13" s="315" t="n"/>
      <c r="F13" s="316" t="n"/>
      <c r="G13" s="324" t="n"/>
      <c r="H13" s="316" t="n"/>
      <c r="I13" s="324" t="n"/>
      <c r="J13" s="240">
        <f>IF(AND(L13="Закрыт",ISNUMBER(F13),ISNUMBER(H13)),ROUND(H13-F13,8),"")</f>
        <v/>
      </c>
      <c r="K13" s="241">
        <f>IF(AND(L13="Закрыт",ISNUMBER(G13),ISNUMBER(I13)),ROUND(I13-G13,8),"")</f>
        <v/>
      </c>
      <c r="L13" s="325" t="n"/>
      <c r="M13" s="316" t="n"/>
      <c r="N13" s="324" t="n"/>
    </row>
    <row r="14" ht="22" customHeight="1">
      <c r="B14" s="326" t="n"/>
      <c r="C14" s="319" t="n"/>
      <c r="D14" s="318" t="n"/>
      <c r="E14" s="320" t="n"/>
      <c r="F14" s="321" t="n"/>
      <c r="G14" s="327" t="n"/>
      <c r="H14" s="321" t="n"/>
      <c r="I14" s="327" t="n"/>
      <c r="J14" s="246">
        <f>IF(AND(L14="Закрыт",ISNUMBER(F14),ISNUMBER(H14)),ROUND(H14-F14,8),"")</f>
        <v/>
      </c>
      <c r="K14" s="247">
        <f>IF(AND(L14="Закрыт",ISNUMBER(G14),ISNUMBER(I14)),ROUND(I14-G14,8),"")</f>
        <v/>
      </c>
      <c r="L14" s="328" t="n"/>
      <c r="M14" s="321" t="n"/>
      <c r="N14" s="327" t="n"/>
    </row>
    <row r="15" ht="22" customHeight="1">
      <c r="B15" s="323" t="n"/>
      <c r="C15" s="314" t="n"/>
      <c r="D15" s="313" t="n"/>
      <c r="E15" s="315" t="n"/>
      <c r="F15" s="316" t="n"/>
      <c r="G15" s="324" t="n"/>
      <c r="H15" s="316" t="n"/>
      <c r="I15" s="324" t="n"/>
      <c r="J15" s="240">
        <f>IF(AND(L15="Закрыт",ISNUMBER(F15),ISNUMBER(H15)),ROUND(H15-F15,8),"")</f>
        <v/>
      </c>
      <c r="K15" s="241">
        <f>IF(AND(L15="Закрыт",ISNUMBER(G15),ISNUMBER(I15)),ROUND(I15-G15,8),"")</f>
        <v/>
      </c>
      <c r="L15" s="325" t="n"/>
      <c r="M15" s="316" t="n"/>
      <c r="N15" s="324" t="n"/>
    </row>
    <row r="16" ht="22" customHeight="1">
      <c r="B16" s="326" t="n"/>
      <c r="C16" s="319" t="n"/>
      <c r="D16" s="318" t="n"/>
      <c r="E16" s="320" t="n"/>
      <c r="F16" s="321" t="n"/>
      <c r="G16" s="327" t="n"/>
      <c r="H16" s="321" t="n"/>
      <c r="I16" s="327" t="n"/>
      <c r="J16" s="246">
        <f>IF(AND(L16="Закрыт",ISNUMBER(F16),ISNUMBER(H16)),ROUND(H16-F16,8),"")</f>
        <v/>
      </c>
      <c r="K16" s="247">
        <f>IF(AND(L16="Закрыт",ISNUMBER(G16),ISNUMBER(I16)),ROUND(I16-G16,8),"")</f>
        <v/>
      </c>
      <c r="L16" s="328" t="n"/>
      <c r="M16" s="321" t="n"/>
      <c r="N16" s="327" t="n"/>
    </row>
    <row r="17" ht="22" customHeight="1">
      <c r="B17" s="323" t="n"/>
      <c r="C17" s="314" t="n"/>
      <c r="D17" s="313" t="n"/>
      <c r="E17" s="315" t="n"/>
      <c r="F17" s="316" t="n"/>
      <c r="G17" s="324" t="n"/>
      <c r="H17" s="316" t="n"/>
      <c r="I17" s="324" t="n"/>
      <c r="J17" s="240">
        <f>IF(AND(L17="Закрыт",ISNUMBER(F17),ISNUMBER(H17)),ROUND(H17-F17,8),"")</f>
        <v/>
      </c>
      <c r="K17" s="241">
        <f>IF(AND(L17="Закрыт",ISNUMBER(G17),ISNUMBER(I17)),ROUND(I17-G17,8),"")</f>
        <v/>
      </c>
      <c r="L17" s="325" t="n"/>
      <c r="M17" s="316" t="n"/>
      <c r="N17" s="324" t="n"/>
    </row>
    <row r="18" ht="22" customHeight="1">
      <c r="B18" s="326" t="n"/>
      <c r="C18" s="319" t="n"/>
      <c r="D18" s="318" t="n"/>
      <c r="E18" s="320" t="n"/>
      <c r="F18" s="321" t="n"/>
      <c r="G18" s="327" t="n"/>
      <c r="H18" s="321" t="n"/>
      <c r="I18" s="327" t="n"/>
      <c r="J18" s="246">
        <f>IF(AND(L18="Закрыт",ISNUMBER(F18),ISNUMBER(H18)),ROUND(H18-F18,8),"")</f>
        <v/>
      </c>
      <c r="K18" s="247">
        <f>IF(AND(L18="Закрыт",ISNUMBER(G18),ISNUMBER(I18)),ROUND(I18-G18,8),"")</f>
        <v/>
      </c>
      <c r="L18" s="328" t="n"/>
      <c r="M18" s="321" t="n"/>
      <c r="N18" s="327" t="n"/>
    </row>
    <row r="19" ht="22" customHeight="1">
      <c r="B19" s="323" t="n"/>
      <c r="C19" s="314" t="n"/>
      <c r="D19" s="313" t="n"/>
      <c r="E19" s="315" t="n"/>
      <c r="F19" s="316" t="n"/>
      <c r="G19" s="324" t="n"/>
      <c r="H19" s="316" t="n"/>
      <c r="I19" s="324" t="n"/>
      <c r="J19" s="240">
        <f>IF(AND(L19="Закрыт",ISNUMBER(F19),ISNUMBER(H19)),ROUND(H19-F19,8),"")</f>
        <v/>
      </c>
      <c r="K19" s="241">
        <f>IF(AND(L19="Закрыт",ISNUMBER(G19),ISNUMBER(I19)),ROUND(I19-G19,8),"")</f>
        <v/>
      </c>
      <c r="L19" s="325" t="n"/>
      <c r="M19" s="316" t="n"/>
      <c r="N19" s="324" t="n"/>
    </row>
    <row r="20" ht="22" customHeight="1">
      <c r="B20" s="326" t="n"/>
      <c r="C20" s="319" t="n"/>
      <c r="D20" s="318" t="n"/>
      <c r="E20" s="320" t="n"/>
      <c r="F20" s="321" t="n"/>
      <c r="G20" s="327" t="n"/>
      <c r="H20" s="321" t="n"/>
      <c r="I20" s="327" t="n"/>
      <c r="J20" s="246">
        <f>IF(AND(L20="Закрыт",ISNUMBER(F20),ISNUMBER(H20)),ROUND(H20-F20,8),"")</f>
        <v/>
      </c>
      <c r="K20" s="247">
        <f>IF(AND(L20="Закрыт",ISNUMBER(G20),ISNUMBER(I20)),ROUND(I20-G20,8),"")</f>
        <v/>
      </c>
      <c r="L20" s="328" t="n"/>
      <c r="M20" s="321" t="n"/>
      <c r="N20" s="327" t="n"/>
    </row>
    <row r="21" ht="22" customHeight="1">
      <c r="B21" s="323" t="n"/>
      <c r="C21" s="314" t="n"/>
      <c r="D21" s="313" t="n"/>
      <c r="E21" s="315" t="n"/>
      <c r="F21" s="316" t="n"/>
      <c r="G21" s="324" t="n"/>
      <c r="H21" s="316" t="n"/>
      <c r="I21" s="324" t="n"/>
      <c r="J21" s="240">
        <f>IF(AND(L21="Закрыт",ISNUMBER(F21),ISNUMBER(H21)),ROUND(H21-F21,8),"")</f>
        <v/>
      </c>
      <c r="K21" s="241">
        <f>IF(AND(L21="Закрыт",ISNUMBER(G21),ISNUMBER(I21)),ROUND(I21-G21,8),"")</f>
        <v/>
      </c>
      <c r="L21" s="325" t="n"/>
      <c r="M21" s="316" t="n"/>
      <c r="N21" s="324" t="n"/>
    </row>
    <row r="22" ht="22" customHeight="1">
      <c r="B22" s="326" t="n"/>
      <c r="C22" s="319" t="n"/>
      <c r="D22" s="318" t="n"/>
      <c r="E22" s="320" t="n"/>
      <c r="F22" s="321" t="n"/>
      <c r="G22" s="327" t="n"/>
      <c r="H22" s="321" t="n"/>
      <c r="I22" s="327" t="n"/>
      <c r="J22" s="246">
        <f>IF(AND(L22="Закрыт",ISNUMBER(F22),ISNUMBER(H22)),ROUND(H22-F22,8),"")</f>
        <v/>
      </c>
      <c r="K22" s="247">
        <f>IF(AND(L22="Закрыт",ISNUMBER(G22),ISNUMBER(I22)),ROUND(I22-G22,8),"")</f>
        <v/>
      </c>
      <c r="L22" s="328" t="n"/>
      <c r="M22" s="321" t="n"/>
      <c r="N22" s="327" t="n"/>
    </row>
    <row r="23" ht="22" customHeight="1">
      <c r="B23" s="323" t="n"/>
      <c r="C23" s="314" t="n"/>
      <c r="D23" s="313" t="n"/>
      <c r="E23" s="315" t="n"/>
      <c r="F23" s="316" t="n"/>
      <c r="G23" s="324" t="n"/>
      <c r="H23" s="316" t="n"/>
      <c r="I23" s="324" t="n"/>
      <c r="J23" s="240">
        <f>IF(AND(L23="Закрыт",ISNUMBER(F23),ISNUMBER(H23)),ROUND(H23-F23,8),"")</f>
        <v/>
      </c>
      <c r="K23" s="241">
        <f>IF(AND(L23="Закрыт",ISNUMBER(G23),ISNUMBER(I23)),ROUND(I23-G23,8),"")</f>
        <v/>
      </c>
      <c r="L23" s="325" t="n"/>
      <c r="M23" s="316" t="n"/>
      <c r="N23" s="324" t="n"/>
    </row>
    <row r="24" ht="22" customHeight="1">
      <c r="B24" s="326" t="n"/>
      <c r="C24" s="319" t="n"/>
      <c r="D24" s="318" t="n"/>
      <c r="E24" s="320" t="n"/>
      <c r="F24" s="321" t="n"/>
      <c r="G24" s="327" t="n"/>
      <c r="H24" s="321" t="n"/>
      <c r="I24" s="327" t="n"/>
      <c r="J24" s="246">
        <f>IF(AND(L24="Закрыт",ISNUMBER(F24),ISNUMBER(H24)),ROUND(H24-F24,8),"")</f>
        <v/>
      </c>
      <c r="K24" s="247">
        <f>IF(AND(L24="Закрыт",ISNUMBER(G24),ISNUMBER(I24)),ROUND(I24-G24,8),"")</f>
        <v/>
      </c>
      <c r="L24" s="328" t="n"/>
      <c r="M24" s="321" t="n"/>
      <c r="N24" s="327" t="n"/>
    </row>
    <row r="25" ht="22" customHeight="1">
      <c r="B25" s="323" t="n"/>
      <c r="C25" s="314" t="n"/>
      <c r="D25" s="313" t="n"/>
      <c r="E25" s="315" t="n"/>
      <c r="F25" s="316" t="n"/>
      <c r="G25" s="324" t="n"/>
      <c r="H25" s="316" t="n"/>
      <c r="I25" s="324" t="n"/>
      <c r="J25" s="240">
        <f>IF(AND(L25="Закрыт",ISNUMBER(F25),ISNUMBER(H25)),ROUND(H25-F25,8),"")</f>
        <v/>
      </c>
      <c r="K25" s="241">
        <f>IF(AND(L25="Закрыт",ISNUMBER(G25),ISNUMBER(I25)),ROUND(I25-G25,8),"")</f>
        <v/>
      </c>
      <c r="L25" s="325" t="n"/>
      <c r="M25" s="316" t="n"/>
      <c r="N25" s="324" t="n"/>
    </row>
    <row r="26" ht="22" customHeight="1">
      <c r="B26" s="326" t="n"/>
      <c r="C26" s="319" t="n"/>
      <c r="D26" s="318" t="n"/>
      <c r="E26" s="320" t="n"/>
      <c r="F26" s="321" t="n"/>
      <c r="G26" s="327" t="n"/>
      <c r="H26" s="321" t="n"/>
      <c r="I26" s="327" t="n"/>
      <c r="J26" s="246">
        <f>IF(AND(L26="Закрыт",ISNUMBER(F26),ISNUMBER(H26)),ROUND(H26-F26,8),"")</f>
        <v/>
      </c>
      <c r="K26" s="247">
        <f>IF(AND(L26="Закрыт",ISNUMBER(G26),ISNUMBER(I26)),ROUND(I26-G26,8),"")</f>
        <v/>
      </c>
      <c r="L26" s="328" t="n"/>
      <c r="M26" s="321" t="n"/>
      <c r="N26" s="327" t="n"/>
    </row>
    <row r="27" ht="22" customHeight="1">
      <c r="B27" s="323" t="n"/>
      <c r="C27" s="314" t="n"/>
      <c r="D27" s="313" t="n"/>
      <c r="E27" s="315" t="n"/>
      <c r="F27" s="316" t="n"/>
      <c r="G27" s="324" t="n"/>
      <c r="H27" s="316" t="n"/>
      <c r="I27" s="324" t="n"/>
      <c r="J27" s="240">
        <f>IF(AND(L27="Закрыт",ISNUMBER(F27),ISNUMBER(H27)),ROUND(H27-F27,8),"")</f>
        <v/>
      </c>
      <c r="K27" s="241">
        <f>IF(AND(L27="Закрыт",ISNUMBER(G27),ISNUMBER(I27)),ROUND(I27-G27,8),"")</f>
        <v/>
      </c>
      <c r="L27" s="325" t="n"/>
      <c r="M27" s="316" t="n"/>
      <c r="N27" s="324" t="n"/>
    </row>
    <row r="28" ht="22" customHeight="1">
      <c r="B28" s="326" t="n"/>
      <c r="C28" s="319" t="n"/>
      <c r="D28" s="318" t="n"/>
      <c r="E28" s="320" t="n"/>
      <c r="F28" s="321" t="n"/>
      <c r="G28" s="327" t="n"/>
      <c r="H28" s="321" t="n"/>
      <c r="I28" s="327" t="n"/>
      <c r="J28" s="246">
        <f>IF(AND(L28="Закрыт",ISNUMBER(F28),ISNUMBER(H28)),ROUND(H28-F28,8),"")</f>
        <v/>
      </c>
      <c r="K28" s="247">
        <f>IF(AND(L28="Закрыт",ISNUMBER(G28),ISNUMBER(I28)),ROUND(I28-G28,8),"")</f>
        <v/>
      </c>
      <c r="L28" s="328" t="n"/>
      <c r="M28" s="321" t="n"/>
      <c r="N28" s="327" t="n"/>
    </row>
    <row r="29" ht="22" customHeight="1">
      <c r="B29" s="323" t="n"/>
      <c r="C29" s="314" t="n"/>
      <c r="D29" s="313" t="n"/>
      <c r="E29" s="315" t="n"/>
      <c r="F29" s="316" t="n"/>
      <c r="G29" s="324" t="n"/>
      <c r="H29" s="316" t="n"/>
      <c r="I29" s="324" t="n"/>
      <c r="J29" s="240">
        <f>IF(AND(L29="Закрыт",ISNUMBER(F29),ISNUMBER(H29)),ROUND(H29-F29,8),"")</f>
        <v/>
      </c>
      <c r="K29" s="241">
        <f>IF(AND(L29="Закрыт",ISNUMBER(G29),ISNUMBER(I29)),ROUND(I29-G29,8),"")</f>
        <v/>
      </c>
      <c r="L29" s="325" t="n"/>
      <c r="M29" s="316" t="n"/>
      <c r="N29" s="324" t="n"/>
    </row>
    <row r="30" ht="22" customHeight="1">
      <c r="B30" s="326" t="n"/>
      <c r="C30" s="319" t="n"/>
      <c r="D30" s="318" t="n"/>
      <c r="E30" s="320" t="n"/>
      <c r="F30" s="321" t="n"/>
      <c r="G30" s="327" t="n"/>
      <c r="H30" s="321" t="n"/>
      <c r="I30" s="327" t="n"/>
      <c r="J30" s="246">
        <f>IF(AND(L30="Закрыт",ISNUMBER(F30),ISNUMBER(H30)),ROUND(H30-F30,8),"")</f>
        <v/>
      </c>
      <c r="K30" s="247">
        <f>IF(AND(L30="Закрыт",ISNUMBER(G30),ISNUMBER(I30)),ROUND(I30-G30,8),"")</f>
        <v/>
      </c>
      <c r="L30" s="328" t="n"/>
      <c r="M30" s="321" t="n"/>
      <c r="N30" s="327" t="n"/>
    </row>
    <row r="31" ht="22" customHeight="1">
      <c r="B31" s="323" t="n"/>
      <c r="C31" s="314" t="n"/>
      <c r="D31" s="313" t="n"/>
      <c r="E31" s="315" t="n"/>
      <c r="F31" s="316" t="n"/>
      <c r="G31" s="324" t="n"/>
      <c r="H31" s="316" t="n"/>
      <c r="I31" s="324" t="n"/>
      <c r="J31" s="240">
        <f>IF(AND(L31="Закрыт",ISNUMBER(F31),ISNUMBER(H31)),ROUND(H31-F31,8),"")</f>
        <v/>
      </c>
      <c r="K31" s="241">
        <f>IF(AND(L31="Закрыт",ISNUMBER(G31),ISNUMBER(I31)),ROUND(I31-G31,8),"")</f>
        <v/>
      </c>
      <c r="L31" s="325" t="n"/>
      <c r="M31" s="316" t="n"/>
      <c r="N31" s="324" t="n"/>
    </row>
    <row r="32" ht="22" customHeight="1">
      <c r="B32" s="326" t="n"/>
      <c r="C32" s="319" t="n"/>
      <c r="D32" s="318" t="n"/>
      <c r="E32" s="320" t="n"/>
      <c r="F32" s="321" t="n"/>
      <c r="G32" s="327" t="n"/>
      <c r="H32" s="321" t="n"/>
      <c r="I32" s="327" t="n"/>
      <c r="J32" s="246">
        <f>IF(AND(L32="Закрыт",ISNUMBER(F32),ISNUMBER(H32)),ROUND(H32-F32,8),"")</f>
        <v/>
      </c>
      <c r="K32" s="247">
        <f>IF(AND(L32="Закрыт",ISNUMBER(G32),ISNUMBER(I32)),ROUND(I32-G32,8),"")</f>
        <v/>
      </c>
      <c r="L32" s="328" t="n"/>
      <c r="M32" s="321" t="n"/>
      <c r="N32" s="327" t="n"/>
    </row>
    <row r="33" ht="22" customHeight="1">
      <c r="B33" s="323" t="n"/>
      <c r="C33" s="314" t="n"/>
      <c r="D33" s="313" t="n"/>
      <c r="E33" s="315" t="n"/>
      <c r="F33" s="316" t="n"/>
      <c r="G33" s="324" t="n"/>
      <c r="H33" s="316" t="n"/>
      <c r="I33" s="324" t="n"/>
      <c r="J33" s="240">
        <f>IF(AND(L33="Закрыт",ISNUMBER(F33),ISNUMBER(H33)),ROUND(H33-F33,8),"")</f>
        <v/>
      </c>
      <c r="K33" s="241">
        <f>IF(AND(L33="Закрыт",ISNUMBER(G33),ISNUMBER(I33)),ROUND(I33-G33,8),"")</f>
        <v/>
      </c>
      <c r="L33" s="325" t="n"/>
      <c r="M33" s="316" t="n"/>
      <c r="N33" s="324" t="n"/>
    </row>
    <row r="34" ht="22" customHeight="1">
      <c r="B34" s="326" t="n"/>
      <c r="C34" s="319" t="n"/>
      <c r="D34" s="318" t="n"/>
      <c r="E34" s="320" t="n"/>
      <c r="F34" s="321" t="n"/>
      <c r="G34" s="327" t="n"/>
      <c r="H34" s="321" t="n"/>
      <c r="I34" s="327" t="n"/>
      <c r="J34" s="246">
        <f>IF(AND(L34="Закрыт",ISNUMBER(F34),ISNUMBER(H34)),ROUND(H34-F34,8),"")</f>
        <v/>
      </c>
      <c r="K34" s="247">
        <f>IF(AND(L34="Закрыт",ISNUMBER(G34),ISNUMBER(I34)),ROUND(I34-G34,8),"")</f>
        <v/>
      </c>
      <c r="L34" s="328" t="n"/>
      <c r="M34" s="321" t="n"/>
      <c r="N34" s="327" t="n"/>
    </row>
    <row r="35" ht="22" customHeight="1">
      <c r="B35" s="323" t="n"/>
      <c r="C35" s="314" t="n"/>
      <c r="D35" s="313" t="n"/>
      <c r="E35" s="315" t="n"/>
      <c r="F35" s="316" t="n"/>
      <c r="G35" s="324" t="n"/>
      <c r="H35" s="316" t="n"/>
      <c r="I35" s="324" t="n"/>
      <c r="J35" s="240">
        <f>IF(AND(L35="Закрыт",ISNUMBER(F35),ISNUMBER(H35)),ROUND(H35-F35,8),"")</f>
        <v/>
      </c>
      <c r="K35" s="241">
        <f>IF(AND(L35="Закрыт",ISNUMBER(G35),ISNUMBER(I35)),ROUND(I35-G35,8),"")</f>
        <v/>
      </c>
      <c r="L35" s="325" t="n"/>
      <c r="M35" s="316" t="n"/>
      <c r="N35" s="324" t="n"/>
    </row>
    <row r="36" ht="22" customHeight="1">
      <c r="B36" s="326" t="n"/>
      <c r="C36" s="319" t="n"/>
      <c r="D36" s="318" t="n"/>
      <c r="E36" s="320" t="n"/>
      <c r="F36" s="321" t="n"/>
      <c r="G36" s="327" t="n"/>
      <c r="H36" s="321" t="n"/>
      <c r="I36" s="327" t="n"/>
      <c r="J36" s="246">
        <f>IF(AND(L36="Закрыт",ISNUMBER(F36),ISNUMBER(H36)),ROUND(H36-F36,8),"")</f>
        <v/>
      </c>
      <c r="K36" s="247">
        <f>IF(AND(L36="Закрыт",ISNUMBER(G36),ISNUMBER(I36)),ROUND(I36-G36,8),"")</f>
        <v/>
      </c>
      <c r="L36" s="328" t="n"/>
      <c r="M36" s="321" t="n"/>
      <c r="N36" s="327" t="n"/>
    </row>
    <row r="37" ht="22" customHeight="1">
      <c r="B37" s="323" t="n"/>
      <c r="C37" s="314" t="n"/>
      <c r="D37" s="313" t="n"/>
      <c r="E37" s="315" t="n"/>
      <c r="F37" s="316" t="n"/>
      <c r="G37" s="324" t="n"/>
      <c r="H37" s="316" t="n"/>
      <c r="I37" s="324" t="n"/>
      <c r="J37" s="240">
        <f>IF(AND(L37="Закрыт",ISNUMBER(F37),ISNUMBER(H37)),ROUND(H37-F37,8),"")</f>
        <v/>
      </c>
      <c r="K37" s="241">
        <f>IF(AND(L37="Закрыт",ISNUMBER(G37),ISNUMBER(I37)),ROUND(I37-G37,8),"")</f>
        <v/>
      </c>
      <c r="L37" s="325" t="n"/>
      <c r="M37" s="316" t="n"/>
      <c r="N37" s="324" t="n"/>
    </row>
    <row r="38" ht="22" customHeight="1">
      <c r="B38" s="326" t="n"/>
      <c r="C38" s="319" t="n"/>
      <c r="D38" s="318" t="n"/>
      <c r="E38" s="320" t="n"/>
      <c r="F38" s="321" t="n"/>
      <c r="G38" s="327" t="n"/>
      <c r="H38" s="321" t="n"/>
      <c r="I38" s="327" t="n"/>
      <c r="J38" s="246">
        <f>IF(AND(L38="Закрыт",ISNUMBER(F38),ISNUMBER(H38)),ROUND(H38-F38,8),"")</f>
        <v/>
      </c>
      <c r="K38" s="247">
        <f>IF(AND(L38="Закрыт",ISNUMBER(G38),ISNUMBER(I38)),ROUND(I38-G38,8),"")</f>
        <v/>
      </c>
      <c r="L38" s="328" t="n"/>
      <c r="M38" s="321" t="n"/>
      <c r="N38" s="327" t="n"/>
    </row>
    <row r="39" ht="22" customHeight="1">
      <c r="B39" s="323" t="n"/>
      <c r="C39" s="314" t="n"/>
      <c r="D39" s="313" t="n"/>
      <c r="E39" s="315" t="n"/>
      <c r="F39" s="316" t="n"/>
      <c r="G39" s="324" t="n"/>
      <c r="H39" s="316" t="n"/>
      <c r="I39" s="324" t="n"/>
      <c r="J39" s="240">
        <f>IF(AND(L39="Закрыт",ISNUMBER(F39),ISNUMBER(H39)),ROUND(H39-F39,8),"")</f>
        <v/>
      </c>
      <c r="K39" s="241">
        <f>IF(AND(L39="Закрыт",ISNUMBER(G39),ISNUMBER(I39)),ROUND(I39-G39,8),"")</f>
        <v/>
      </c>
      <c r="L39" s="325" t="n"/>
      <c r="M39" s="316" t="n"/>
      <c r="N39" s="324" t="n"/>
    </row>
    <row r="40" ht="22" customHeight="1">
      <c r="B40" s="326" t="n"/>
      <c r="C40" s="319" t="n"/>
      <c r="D40" s="318" t="n"/>
      <c r="E40" s="320" t="n"/>
      <c r="F40" s="321" t="n"/>
      <c r="G40" s="327" t="n"/>
      <c r="H40" s="321" t="n"/>
      <c r="I40" s="327" t="n"/>
      <c r="J40" s="246">
        <f>IF(AND(L40="Закрыт",ISNUMBER(F40),ISNUMBER(H40)),ROUND(H40-F40,8),"")</f>
        <v/>
      </c>
      <c r="K40" s="247">
        <f>IF(AND(L40="Закрыт",ISNUMBER(G40),ISNUMBER(I40)),ROUND(I40-G40,8),"")</f>
        <v/>
      </c>
      <c r="L40" s="328" t="n"/>
      <c r="M40" s="321" t="n"/>
      <c r="N40" s="327" t="n"/>
    </row>
    <row r="41" ht="22" customHeight="1">
      <c r="B41" s="323" t="n"/>
      <c r="C41" s="314" t="n"/>
      <c r="D41" s="313" t="n"/>
      <c r="E41" s="315" t="n"/>
      <c r="F41" s="316" t="n"/>
      <c r="G41" s="324" t="n"/>
      <c r="H41" s="316" t="n"/>
      <c r="I41" s="324" t="n"/>
      <c r="J41" s="240">
        <f>IF(AND(L41="Закрыт",ISNUMBER(F41),ISNUMBER(H41)),ROUND(H41-F41,8),"")</f>
        <v/>
      </c>
      <c r="K41" s="241">
        <f>IF(AND(L41="Закрыт",ISNUMBER(G41),ISNUMBER(I41)),ROUND(I41-G41,8),"")</f>
        <v/>
      </c>
      <c r="L41" s="325" t="n"/>
      <c r="M41" s="316" t="n"/>
      <c r="N41" s="324" t="n"/>
    </row>
    <row r="42" ht="22" customHeight="1">
      <c r="B42" s="326" t="n"/>
      <c r="C42" s="319" t="n"/>
      <c r="D42" s="318" t="n"/>
      <c r="E42" s="320" t="n"/>
      <c r="F42" s="321" t="n"/>
      <c r="G42" s="327" t="n"/>
      <c r="H42" s="321" t="n"/>
      <c r="I42" s="327" t="n"/>
      <c r="J42" s="246">
        <f>IF(AND(L42="Закрыт",ISNUMBER(F42),ISNUMBER(H42)),ROUND(H42-F42,8),"")</f>
        <v/>
      </c>
      <c r="K42" s="247">
        <f>IF(AND(L42="Закрыт",ISNUMBER(G42),ISNUMBER(I42)),ROUND(I42-G42,8),"")</f>
        <v/>
      </c>
      <c r="L42" s="328" t="n"/>
      <c r="M42" s="321" t="n"/>
      <c r="N42" s="327" t="n"/>
    </row>
    <row r="43" ht="22" customHeight="1">
      <c r="B43" s="323" t="n"/>
      <c r="C43" s="314" t="n"/>
      <c r="D43" s="313" t="n"/>
      <c r="E43" s="315" t="n"/>
      <c r="F43" s="316" t="n"/>
      <c r="G43" s="324" t="n"/>
      <c r="H43" s="316" t="n"/>
      <c r="I43" s="324" t="n"/>
      <c r="J43" s="240">
        <f>IF(AND(L43="Закрыт",ISNUMBER(F43),ISNUMBER(H43)),ROUND(H43-F43,8),"")</f>
        <v/>
      </c>
      <c r="K43" s="241">
        <f>IF(AND(L43="Закрыт",ISNUMBER(G43),ISNUMBER(I43)),ROUND(I43-G43,8),"")</f>
        <v/>
      </c>
      <c r="L43" s="325" t="n"/>
      <c r="M43" s="316" t="n"/>
      <c r="N43" s="324" t="n"/>
    </row>
    <row r="44" ht="22" customHeight="1">
      <c r="B44" s="326" t="n"/>
      <c r="C44" s="319" t="n"/>
      <c r="D44" s="318" t="n"/>
      <c r="E44" s="320" t="n"/>
      <c r="F44" s="321" t="n"/>
      <c r="G44" s="327" t="n"/>
      <c r="H44" s="321" t="n"/>
      <c r="I44" s="327" t="n"/>
      <c r="J44" s="246">
        <f>IF(AND(L44="Закрыт",ISNUMBER(F44),ISNUMBER(H44)),ROUND(H44-F44,8),"")</f>
        <v/>
      </c>
      <c r="K44" s="247">
        <f>IF(AND(L44="Закрыт",ISNUMBER(G44),ISNUMBER(I44)),ROUND(I44-G44,8),"")</f>
        <v/>
      </c>
      <c r="L44" s="328" t="n"/>
      <c r="M44" s="321" t="n"/>
      <c r="N44" s="327" t="n"/>
    </row>
    <row r="45" ht="22" customHeight="1">
      <c r="B45" s="323" t="n"/>
      <c r="C45" s="314" t="n"/>
      <c r="D45" s="313" t="n"/>
      <c r="E45" s="315" t="n"/>
      <c r="F45" s="316" t="n"/>
      <c r="G45" s="324" t="n"/>
      <c r="H45" s="316" t="n"/>
      <c r="I45" s="324" t="n"/>
      <c r="J45" s="240">
        <f>IF(AND(L45="Закрыт",ISNUMBER(F45),ISNUMBER(H45)),ROUND(H45-F45,8),"")</f>
        <v/>
      </c>
      <c r="K45" s="241">
        <f>IF(AND(L45="Закрыт",ISNUMBER(G45),ISNUMBER(I45)),ROUND(I45-G45,8),"")</f>
        <v/>
      </c>
      <c r="L45" s="325" t="n"/>
      <c r="M45" s="316" t="n"/>
      <c r="N45" s="324" t="n"/>
    </row>
    <row r="46" ht="22" customHeight="1">
      <c r="B46" s="326" t="n"/>
      <c r="C46" s="319" t="n"/>
      <c r="D46" s="318" t="n"/>
      <c r="E46" s="320" t="n"/>
      <c r="F46" s="321" t="n"/>
      <c r="G46" s="327" t="n"/>
      <c r="H46" s="321" t="n"/>
      <c r="I46" s="327" t="n"/>
      <c r="J46" s="246">
        <f>IF(AND(L46="Закрыт",ISNUMBER(F46),ISNUMBER(H46)),ROUND(H46-F46,8),"")</f>
        <v/>
      </c>
      <c r="K46" s="247">
        <f>IF(AND(L46="Закрыт",ISNUMBER(G46),ISNUMBER(I46)),ROUND(I46-G46,8),"")</f>
        <v/>
      </c>
      <c r="L46" s="328" t="n"/>
      <c r="M46" s="321" t="n"/>
      <c r="N46" s="327" t="n"/>
    </row>
    <row r="47" ht="22" customHeight="1">
      <c r="B47" s="323" t="n"/>
      <c r="C47" s="314" t="n"/>
      <c r="D47" s="313" t="n"/>
      <c r="E47" s="315" t="n"/>
      <c r="F47" s="316" t="n"/>
      <c r="G47" s="324" t="n"/>
      <c r="H47" s="316" t="n"/>
      <c r="I47" s="324" t="n"/>
      <c r="J47" s="240">
        <f>IF(AND(L47="Закрыт",ISNUMBER(F47),ISNUMBER(H47)),ROUND(H47-F47,8),"")</f>
        <v/>
      </c>
      <c r="K47" s="241">
        <f>IF(AND(L47="Закрыт",ISNUMBER(G47),ISNUMBER(I47)),ROUND(I47-G47,8),"")</f>
        <v/>
      </c>
      <c r="L47" s="325" t="n"/>
      <c r="M47" s="316" t="n"/>
      <c r="N47" s="324" t="n"/>
    </row>
    <row r="48" ht="22" customHeight="1">
      <c r="B48" s="326" t="n"/>
      <c r="C48" s="319" t="n"/>
      <c r="D48" s="318" t="n"/>
      <c r="E48" s="320" t="n"/>
      <c r="F48" s="321" t="n"/>
      <c r="G48" s="327" t="n"/>
      <c r="H48" s="321" t="n"/>
      <c r="I48" s="327" t="n"/>
      <c r="J48" s="246">
        <f>IF(AND(L48="Закрыт",ISNUMBER(F48),ISNUMBER(H48)),ROUND(H48-F48,8),"")</f>
        <v/>
      </c>
      <c r="K48" s="247">
        <f>IF(AND(L48="Закрыт",ISNUMBER(G48),ISNUMBER(I48)),ROUND(I48-G48,8),"")</f>
        <v/>
      </c>
      <c r="L48" s="328" t="n"/>
      <c r="M48" s="321" t="n"/>
      <c r="N48" s="327" t="n"/>
    </row>
    <row r="49" ht="22" customHeight="1">
      <c r="B49" s="323" t="n"/>
      <c r="C49" s="314" t="n"/>
      <c r="D49" s="313" t="n"/>
      <c r="E49" s="315" t="n"/>
      <c r="F49" s="316" t="n"/>
      <c r="G49" s="324" t="n"/>
      <c r="H49" s="316" t="n"/>
      <c r="I49" s="324" t="n"/>
      <c r="J49" s="240">
        <f>IF(AND(L49="Закрыт",ISNUMBER(F49),ISNUMBER(H49)),ROUND(H49-F49,8),"")</f>
        <v/>
      </c>
      <c r="K49" s="241">
        <f>IF(AND(L49="Закрыт",ISNUMBER(G49),ISNUMBER(I49)),ROUND(I49-G49,8),"")</f>
        <v/>
      </c>
      <c r="L49" s="325" t="n"/>
      <c r="M49" s="316" t="n"/>
      <c r="N49" s="324" t="n"/>
    </row>
    <row r="50" ht="22" customHeight="1">
      <c r="B50" s="326" t="n"/>
      <c r="C50" s="319" t="n"/>
      <c r="D50" s="318" t="n"/>
      <c r="E50" s="320" t="n"/>
      <c r="F50" s="321" t="n"/>
      <c r="G50" s="327" t="n"/>
      <c r="H50" s="321" t="n"/>
      <c r="I50" s="327" t="n"/>
      <c r="J50" s="246">
        <f>IF(AND(L50="Закрыт",ISNUMBER(F50),ISNUMBER(H50)),ROUND(H50-F50,8),"")</f>
        <v/>
      </c>
      <c r="K50" s="247">
        <f>IF(AND(L50="Закрыт",ISNUMBER(G50),ISNUMBER(I50)),ROUND(I50-G50,8),"")</f>
        <v/>
      </c>
      <c r="L50" s="328" t="n"/>
      <c r="M50" s="321" t="n"/>
      <c r="N50" s="327" t="n"/>
    </row>
    <row r="51" ht="22" customHeight="1">
      <c r="B51" s="323" t="n"/>
      <c r="C51" s="314" t="n"/>
      <c r="D51" s="313" t="n"/>
      <c r="E51" s="315" t="n"/>
      <c r="F51" s="316" t="n"/>
      <c r="G51" s="324" t="n"/>
      <c r="H51" s="316" t="n"/>
      <c r="I51" s="324" t="n"/>
      <c r="J51" s="240">
        <f>IF(AND(L51="Закрыт",ISNUMBER(F51),ISNUMBER(H51)),ROUND(H51-F51,8),"")</f>
        <v/>
      </c>
      <c r="K51" s="241">
        <f>IF(AND(L51="Закрыт",ISNUMBER(G51),ISNUMBER(I51)),ROUND(I51-G51,8),"")</f>
        <v/>
      </c>
      <c r="L51" s="325" t="n"/>
      <c r="M51" s="316" t="n"/>
      <c r="N51" s="324" t="n"/>
    </row>
    <row r="52" ht="22" customHeight="1">
      <c r="B52" s="326" t="n"/>
      <c r="C52" s="319" t="n"/>
      <c r="D52" s="318" t="n"/>
      <c r="E52" s="320" t="n"/>
      <c r="F52" s="321" t="n"/>
      <c r="G52" s="327" t="n"/>
      <c r="H52" s="321" t="n"/>
      <c r="I52" s="327" t="n"/>
      <c r="J52" s="246">
        <f>IF(AND(L52="Закрыт",ISNUMBER(F52),ISNUMBER(H52)),ROUND(H52-F52,8),"")</f>
        <v/>
      </c>
      <c r="K52" s="247">
        <f>IF(AND(L52="Закрыт",ISNUMBER(G52),ISNUMBER(I52)),ROUND(I52-G52,8),"")</f>
        <v/>
      </c>
      <c r="L52" s="328" t="n"/>
      <c r="M52" s="321" t="n"/>
      <c r="N52" s="327" t="n"/>
    </row>
    <row r="53" ht="22" customHeight="1">
      <c r="B53" s="323" t="n"/>
      <c r="C53" s="314" t="n"/>
      <c r="D53" s="313" t="n"/>
      <c r="E53" s="315" t="n"/>
      <c r="F53" s="316" t="n"/>
      <c r="G53" s="324" t="n"/>
      <c r="H53" s="316" t="n"/>
      <c r="I53" s="324" t="n"/>
      <c r="J53" s="240">
        <f>IF(AND(L53="Закрыт",ISNUMBER(F53),ISNUMBER(H53)),ROUND(H53-F53,8),"")</f>
        <v/>
      </c>
      <c r="K53" s="241">
        <f>IF(AND(L53="Закрыт",ISNUMBER(G53),ISNUMBER(I53)),ROUND(I53-G53,8),"")</f>
        <v/>
      </c>
      <c r="L53" s="325" t="n"/>
      <c r="M53" s="316" t="n"/>
      <c r="N53" s="324" t="n"/>
    </row>
    <row r="54" ht="22" customHeight="1">
      <c r="B54" s="326" t="n"/>
      <c r="C54" s="319" t="n"/>
      <c r="D54" s="318" t="n"/>
      <c r="E54" s="320" t="n"/>
      <c r="F54" s="321" t="n"/>
      <c r="G54" s="327" t="n"/>
      <c r="H54" s="321" t="n"/>
      <c r="I54" s="327" t="n"/>
      <c r="J54" s="246">
        <f>IF(AND(L54="Закрыт",ISNUMBER(F54),ISNUMBER(H54)),ROUND(H54-F54,8),"")</f>
        <v/>
      </c>
      <c r="K54" s="247">
        <f>IF(AND(L54="Закрыт",ISNUMBER(G54),ISNUMBER(I54)),ROUND(I54-G54,8),"")</f>
        <v/>
      </c>
      <c r="L54" s="328" t="n"/>
      <c r="M54" s="321" t="n"/>
      <c r="N54" s="327" t="n"/>
    </row>
    <row r="55" ht="22" customHeight="1">
      <c r="B55" s="323" t="n"/>
      <c r="C55" s="314" t="n"/>
      <c r="D55" s="313" t="n"/>
      <c r="E55" s="315" t="n"/>
      <c r="F55" s="316" t="n"/>
      <c r="G55" s="324" t="n"/>
      <c r="H55" s="316" t="n"/>
      <c r="I55" s="324" t="n"/>
      <c r="J55" s="240">
        <f>IF(AND(L55="Закрыт",ISNUMBER(F55),ISNUMBER(H55)),ROUND(H55-F55,8),"")</f>
        <v/>
      </c>
      <c r="K55" s="241">
        <f>IF(AND(L55="Закрыт",ISNUMBER(G55),ISNUMBER(I55)),ROUND(I55-G55,8),"")</f>
        <v/>
      </c>
      <c r="L55" s="325" t="n"/>
      <c r="M55" s="316" t="n"/>
      <c r="N55" s="324" t="n"/>
    </row>
    <row r="56" ht="22" customHeight="1">
      <c r="B56" s="326" t="n"/>
      <c r="C56" s="319" t="n"/>
      <c r="D56" s="318" t="n"/>
      <c r="E56" s="320" t="n"/>
      <c r="F56" s="321" t="n"/>
      <c r="G56" s="327" t="n"/>
      <c r="H56" s="321" t="n"/>
      <c r="I56" s="327" t="n"/>
      <c r="J56" s="246">
        <f>IF(AND(L56="Закрыт",ISNUMBER(F56),ISNUMBER(H56)),ROUND(H56-F56,8),"")</f>
        <v/>
      </c>
      <c r="K56" s="247">
        <f>IF(AND(L56="Закрыт",ISNUMBER(G56),ISNUMBER(I56)),ROUND(I56-G56,8),"")</f>
        <v/>
      </c>
      <c r="L56" s="328" t="n"/>
      <c r="M56" s="321" t="n"/>
      <c r="N56" s="327" t="n"/>
    </row>
    <row r="57" ht="22" customHeight="1">
      <c r="B57" s="323" t="n"/>
      <c r="C57" s="314" t="n"/>
      <c r="D57" s="313" t="n"/>
      <c r="E57" s="315" t="n"/>
      <c r="F57" s="316" t="n"/>
      <c r="G57" s="324" t="n"/>
      <c r="H57" s="316" t="n"/>
      <c r="I57" s="324" t="n"/>
      <c r="J57" s="240">
        <f>IF(AND(L57="Закрыт",ISNUMBER(F57),ISNUMBER(H57)),ROUND(H57-F57,8),"")</f>
        <v/>
      </c>
      <c r="K57" s="241">
        <f>IF(AND(L57="Закрыт",ISNUMBER(G57),ISNUMBER(I57)),ROUND(I57-G57,8),"")</f>
        <v/>
      </c>
      <c r="L57" s="325" t="n"/>
      <c r="M57" s="316" t="n"/>
      <c r="N57" s="324" t="n"/>
    </row>
    <row r="58" ht="22" customHeight="1">
      <c r="B58" s="326" t="n"/>
      <c r="C58" s="319" t="n"/>
      <c r="D58" s="318" t="n"/>
      <c r="E58" s="320" t="n"/>
      <c r="F58" s="321" t="n"/>
      <c r="G58" s="327" t="n"/>
      <c r="H58" s="321" t="n"/>
      <c r="I58" s="327" t="n"/>
      <c r="J58" s="246">
        <f>IF(AND(L58="Закрыт",ISNUMBER(F58),ISNUMBER(H58)),ROUND(H58-F58,8),"")</f>
        <v/>
      </c>
      <c r="K58" s="247">
        <f>IF(AND(L58="Закрыт",ISNUMBER(G58),ISNUMBER(I58)),ROUND(I58-G58,8),"")</f>
        <v/>
      </c>
      <c r="L58" s="328" t="n"/>
      <c r="M58" s="321" t="n"/>
      <c r="N58" s="327" t="n"/>
    </row>
    <row r="59" ht="22" customHeight="1">
      <c r="B59" s="323" t="n"/>
      <c r="C59" s="314" t="n"/>
      <c r="D59" s="313" t="n"/>
      <c r="E59" s="315" t="n"/>
      <c r="F59" s="316" t="n"/>
      <c r="G59" s="324" t="n"/>
      <c r="H59" s="316" t="n"/>
      <c r="I59" s="324" t="n"/>
      <c r="J59" s="240">
        <f>IF(AND(L59="Закрыт",ISNUMBER(F59),ISNUMBER(H59)),ROUND(H59-F59,8),"")</f>
        <v/>
      </c>
      <c r="K59" s="241">
        <f>IF(AND(L59="Закрыт",ISNUMBER(G59),ISNUMBER(I59)),ROUND(I59-G59,8),"")</f>
        <v/>
      </c>
      <c r="L59" s="325" t="n"/>
      <c r="M59" s="316" t="n"/>
      <c r="N59" s="324" t="n"/>
    </row>
    <row r="60" ht="22" customHeight="1">
      <c r="B60" s="326" t="n"/>
      <c r="C60" s="319" t="n"/>
      <c r="D60" s="318" t="n"/>
      <c r="E60" s="320" t="n"/>
      <c r="F60" s="321" t="n"/>
      <c r="G60" s="327" t="n"/>
      <c r="H60" s="321" t="n"/>
      <c r="I60" s="327" t="n"/>
      <c r="J60" s="246">
        <f>IF(AND(L60="Закрыт",ISNUMBER(F60),ISNUMBER(H60)),ROUND(H60-F60,8),"")</f>
        <v/>
      </c>
      <c r="K60" s="247">
        <f>IF(AND(L60="Закрыт",ISNUMBER(G60),ISNUMBER(I60)),ROUND(I60-G60,8),"")</f>
        <v/>
      </c>
      <c r="L60" s="328" t="n"/>
      <c r="M60" s="321" t="n"/>
      <c r="N60" s="327" t="n"/>
    </row>
    <row r="61" ht="22" customHeight="1">
      <c r="B61" s="323" t="n"/>
      <c r="C61" s="314" t="n"/>
      <c r="D61" s="313" t="n"/>
      <c r="E61" s="315" t="n"/>
      <c r="F61" s="316" t="n"/>
      <c r="G61" s="324" t="n"/>
      <c r="H61" s="316" t="n"/>
      <c r="I61" s="324" t="n"/>
      <c r="J61" s="240">
        <f>IF(AND(L61="Закрыт",ISNUMBER(F61),ISNUMBER(H61)),ROUND(H61-F61,8),"")</f>
        <v/>
      </c>
      <c r="K61" s="241">
        <f>IF(AND(L61="Закрыт",ISNUMBER(G61),ISNUMBER(I61)),ROUND(I61-G61,8),"")</f>
        <v/>
      </c>
      <c r="L61" s="325" t="n"/>
      <c r="M61" s="316" t="n"/>
      <c r="N61" s="324" t="n"/>
    </row>
    <row r="62" ht="22" customHeight="1">
      <c r="B62" s="326" t="n"/>
      <c r="C62" s="319" t="n"/>
      <c r="D62" s="318" t="n"/>
      <c r="E62" s="320" t="n"/>
      <c r="F62" s="321" t="n"/>
      <c r="G62" s="327" t="n"/>
      <c r="H62" s="321" t="n"/>
      <c r="I62" s="327" t="n"/>
      <c r="J62" s="246">
        <f>IF(AND(L62="Закрыт",ISNUMBER(F62),ISNUMBER(H62)),ROUND(H62-F62,8),"")</f>
        <v/>
      </c>
      <c r="K62" s="247">
        <f>IF(AND(L62="Закрыт",ISNUMBER(G62),ISNUMBER(I62)),ROUND(I62-G62,8),"")</f>
        <v/>
      </c>
      <c r="L62" s="328" t="n"/>
      <c r="M62" s="321" t="n"/>
      <c r="N62" s="327" t="n"/>
    </row>
    <row r="63" ht="22" customHeight="1">
      <c r="B63" s="323" t="n"/>
      <c r="C63" s="314" t="n"/>
      <c r="D63" s="313" t="n"/>
      <c r="E63" s="315" t="n"/>
      <c r="F63" s="316" t="n"/>
      <c r="G63" s="324" t="n"/>
      <c r="H63" s="316" t="n"/>
      <c r="I63" s="324" t="n"/>
      <c r="J63" s="240">
        <f>IF(AND(L63="Закрыт",ISNUMBER(F63),ISNUMBER(H63)),ROUND(H63-F63,8),"")</f>
        <v/>
      </c>
      <c r="K63" s="241">
        <f>IF(AND(L63="Закрыт",ISNUMBER(G63),ISNUMBER(I63)),ROUND(I63-G63,8),"")</f>
        <v/>
      </c>
      <c r="L63" s="325" t="n"/>
      <c r="M63" s="316" t="n"/>
      <c r="N63" s="324" t="n"/>
    </row>
    <row r="64" ht="22" customHeight="1">
      <c r="B64" s="326" t="n"/>
      <c r="C64" s="319" t="n"/>
      <c r="D64" s="318" t="n"/>
      <c r="E64" s="320" t="n"/>
      <c r="F64" s="321" t="n"/>
      <c r="G64" s="327" t="n"/>
      <c r="H64" s="321" t="n"/>
      <c r="I64" s="327" t="n"/>
      <c r="J64" s="246">
        <f>IF(AND(L64="Закрыт",ISNUMBER(F64),ISNUMBER(H64)),ROUND(H64-F64,8),"")</f>
        <v/>
      </c>
      <c r="K64" s="247">
        <f>IF(AND(L64="Закрыт",ISNUMBER(G64),ISNUMBER(I64)),ROUND(I64-G64,8),"")</f>
        <v/>
      </c>
      <c r="L64" s="328" t="n"/>
      <c r="M64" s="321" t="n"/>
      <c r="N64" s="327" t="n"/>
    </row>
    <row r="65" ht="22" customHeight="1">
      <c r="B65" s="323" t="n"/>
      <c r="C65" s="314" t="n"/>
      <c r="D65" s="313" t="n"/>
      <c r="E65" s="315" t="n"/>
      <c r="F65" s="316" t="n"/>
      <c r="G65" s="324" t="n"/>
      <c r="H65" s="316" t="n"/>
      <c r="I65" s="324" t="n"/>
      <c r="J65" s="240">
        <f>IF(AND(L65="Закрыт",ISNUMBER(F65),ISNUMBER(H65)),ROUND(H65-F65,8),"")</f>
        <v/>
      </c>
      <c r="K65" s="241">
        <f>IF(AND(L65="Закрыт",ISNUMBER(G65),ISNUMBER(I65)),ROUND(I65-G65,8),"")</f>
        <v/>
      </c>
      <c r="L65" s="325" t="n"/>
      <c r="M65" s="316" t="n"/>
      <c r="N65" s="324" t="n"/>
    </row>
    <row r="66" ht="22" customHeight="1">
      <c r="B66" s="326" t="n"/>
      <c r="C66" s="319" t="n"/>
      <c r="D66" s="318" t="n"/>
      <c r="E66" s="320" t="n"/>
      <c r="F66" s="321" t="n"/>
      <c r="G66" s="327" t="n"/>
      <c r="H66" s="321" t="n"/>
      <c r="I66" s="327" t="n"/>
      <c r="J66" s="246">
        <f>IF(AND(L66="Закрыт",ISNUMBER(F66),ISNUMBER(H66)),ROUND(H66-F66,8),"")</f>
        <v/>
      </c>
      <c r="K66" s="247">
        <f>IF(AND(L66="Закрыт",ISNUMBER(G66),ISNUMBER(I66)),ROUND(I66-G66,8),"")</f>
        <v/>
      </c>
      <c r="L66" s="328" t="n"/>
      <c r="M66" s="321" t="n"/>
      <c r="N66" s="327" t="n"/>
    </row>
    <row r="67" ht="22" customHeight="1">
      <c r="B67" s="323" t="n"/>
      <c r="C67" s="314" t="n"/>
      <c r="D67" s="313" t="n"/>
      <c r="E67" s="315" t="n"/>
      <c r="F67" s="316" t="n"/>
      <c r="G67" s="324" t="n"/>
      <c r="H67" s="316" t="n"/>
      <c r="I67" s="324" t="n"/>
      <c r="J67" s="240">
        <f>IF(AND(L67="Закрыт",ISNUMBER(F67),ISNUMBER(H67)),ROUND(H67-F67,8),"")</f>
        <v/>
      </c>
      <c r="K67" s="241">
        <f>IF(AND(L67="Закрыт",ISNUMBER(G67),ISNUMBER(I67)),ROUND(I67-G67,8),"")</f>
        <v/>
      </c>
      <c r="L67" s="325" t="n"/>
      <c r="M67" s="316" t="n"/>
      <c r="N67" s="324" t="n"/>
    </row>
    <row r="68" ht="22" customHeight="1">
      <c r="B68" s="326" t="n"/>
      <c r="C68" s="319" t="n"/>
      <c r="D68" s="318" t="n"/>
      <c r="E68" s="320" t="n"/>
      <c r="F68" s="321" t="n"/>
      <c r="G68" s="327" t="n"/>
      <c r="H68" s="321" t="n"/>
      <c r="I68" s="327" t="n"/>
      <c r="J68" s="246">
        <f>IF(AND(L68="Закрыт",ISNUMBER(F68),ISNUMBER(H68)),ROUND(H68-F68,8),"")</f>
        <v/>
      </c>
      <c r="K68" s="247">
        <f>IF(AND(L68="Закрыт",ISNUMBER(G68),ISNUMBER(I68)),ROUND(I68-G68,8),"")</f>
        <v/>
      </c>
      <c r="L68" s="328" t="n"/>
      <c r="M68" s="321" t="n"/>
      <c r="N68" s="327" t="n"/>
    </row>
    <row r="69" ht="22" customHeight="1">
      <c r="B69" s="323" t="n"/>
      <c r="C69" s="314" t="n"/>
      <c r="D69" s="313" t="n"/>
      <c r="E69" s="315" t="n"/>
      <c r="F69" s="316" t="n"/>
      <c r="G69" s="324" t="n"/>
      <c r="H69" s="316" t="n"/>
      <c r="I69" s="324" t="n"/>
      <c r="J69" s="240">
        <f>IF(AND(L69="Закрыт",ISNUMBER(F69),ISNUMBER(H69)),ROUND(H69-F69,8),"")</f>
        <v/>
      </c>
      <c r="K69" s="241">
        <f>IF(AND(L69="Закрыт",ISNUMBER(G69),ISNUMBER(I69)),ROUND(I69-G69,8),"")</f>
        <v/>
      </c>
      <c r="L69" s="325" t="n"/>
      <c r="M69" s="316" t="n"/>
      <c r="N69" s="324" t="n"/>
    </row>
    <row r="70" ht="22" customHeight="1">
      <c r="B70" s="326" t="n"/>
      <c r="C70" s="319" t="n"/>
      <c r="D70" s="318" t="n"/>
      <c r="E70" s="320" t="n"/>
      <c r="F70" s="321" t="n"/>
      <c r="G70" s="327" t="n"/>
      <c r="H70" s="321" t="n"/>
      <c r="I70" s="327" t="n"/>
      <c r="J70" s="246">
        <f>IF(AND(L70="Закрыт",ISNUMBER(F70),ISNUMBER(H70)),ROUND(H70-F70,8),"")</f>
        <v/>
      </c>
      <c r="K70" s="247">
        <f>IF(AND(L70="Закрыт",ISNUMBER(G70),ISNUMBER(I70)),ROUND(I70-G70,8),"")</f>
        <v/>
      </c>
      <c r="L70" s="328" t="n"/>
      <c r="M70" s="321" t="n"/>
      <c r="N70" s="327" t="n"/>
    </row>
    <row r="71" ht="22" customHeight="1">
      <c r="B71" s="323" t="n"/>
      <c r="C71" s="314" t="n"/>
      <c r="D71" s="313" t="n"/>
      <c r="E71" s="315" t="n"/>
      <c r="F71" s="316" t="n"/>
      <c r="G71" s="324" t="n"/>
      <c r="H71" s="316" t="n"/>
      <c r="I71" s="324" t="n"/>
      <c r="J71" s="240">
        <f>IF(AND(L71="Закрыт",ISNUMBER(F71),ISNUMBER(H71)),ROUND(H71-F71,8),"")</f>
        <v/>
      </c>
      <c r="K71" s="241">
        <f>IF(AND(L71="Закрыт",ISNUMBER(G71),ISNUMBER(I71)),ROUND(I71-G71,8),"")</f>
        <v/>
      </c>
      <c r="L71" s="325" t="n"/>
      <c r="M71" s="316" t="n"/>
      <c r="N71" s="324" t="n"/>
    </row>
    <row r="72" ht="22" customHeight="1">
      <c r="B72" s="326" t="n"/>
      <c r="C72" s="319" t="n"/>
      <c r="D72" s="318" t="n"/>
      <c r="E72" s="320" t="n"/>
      <c r="F72" s="321" t="n"/>
      <c r="G72" s="327" t="n"/>
      <c r="H72" s="321" t="n"/>
      <c r="I72" s="327" t="n"/>
      <c r="J72" s="246">
        <f>IF(AND(L72="Закрыт",ISNUMBER(F72),ISNUMBER(H72)),ROUND(H72-F72,8),"")</f>
        <v/>
      </c>
      <c r="K72" s="247">
        <f>IF(AND(L72="Закрыт",ISNUMBER(G72),ISNUMBER(I72)),ROUND(I72-G72,8),"")</f>
        <v/>
      </c>
      <c r="L72" s="328" t="n"/>
      <c r="M72" s="321" t="n"/>
      <c r="N72" s="327" t="n"/>
    </row>
    <row r="73" ht="22" customHeight="1">
      <c r="B73" s="323" t="n"/>
      <c r="C73" s="314" t="n"/>
      <c r="D73" s="313" t="n"/>
      <c r="E73" s="315" t="n"/>
      <c r="F73" s="316" t="n"/>
      <c r="G73" s="324" t="n"/>
      <c r="H73" s="316" t="n"/>
      <c r="I73" s="324" t="n"/>
      <c r="J73" s="240">
        <f>IF(AND(L73="Закрыт",ISNUMBER(F73),ISNUMBER(H73)),ROUND(H73-F73,8),"")</f>
        <v/>
      </c>
      <c r="K73" s="241">
        <f>IF(AND(L73="Закрыт",ISNUMBER(G73),ISNUMBER(I73)),ROUND(I73-G73,8),"")</f>
        <v/>
      </c>
      <c r="L73" s="325" t="n"/>
      <c r="M73" s="316" t="n"/>
      <c r="N73" s="324" t="n"/>
    </row>
    <row r="74" ht="22" customHeight="1">
      <c r="B74" s="326" t="n"/>
      <c r="C74" s="319" t="n"/>
      <c r="D74" s="318" t="n"/>
      <c r="E74" s="320" t="n"/>
      <c r="F74" s="321" t="n"/>
      <c r="G74" s="327" t="n"/>
      <c r="H74" s="321" t="n"/>
      <c r="I74" s="327" t="n"/>
      <c r="J74" s="246">
        <f>IF(AND(L74="Закрыт",ISNUMBER(F74),ISNUMBER(H74)),ROUND(H74-F74,8),"")</f>
        <v/>
      </c>
      <c r="K74" s="247">
        <f>IF(AND(L74="Закрыт",ISNUMBER(G74),ISNUMBER(I74)),ROUND(I74-G74,8),"")</f>
        <v/>
      </c>
      <c r="L74" s="328" t="n"/>
      <c r="M74" s="321" t="n"/>
      <c r="N74" s="327" t="n"/>
    </row>
    <row r="75" ht="22" customHeight="1">
      <c r="B75" s="323" t="n"/>
      <c r="C75" s="314" t="n"/>
      <c r="D75" s="313" t="n"/>
      <c r="E75" s="315" t="n"/>
      <c r="F75" s="316" t="n"/>
      <c r="G75" s="324" t="n"/>
      <c r="H75" s="316" t="n"/>
      <c r="I75" s="324" t="n"/>
      <c r="J75" s="240">
        <f>IF(AND(L75="Закрыт",ISNUMBER(F75),ISNUMBER(H75)),ROUND(H75-F75,8),"")</f>
        <v/>
      </c>
      <c r="K75" s="241">
        <f>IF(AND(L75="Закрыт",ISNUMBER(G75),ISNUMBER(I75)),ROUND(I75-G75,8),"")</f>
        <v/>
      </c>
      <c r="L75" s="325" t="n"/>
      <c r="M75" s="316" t="n"/>
      <c r="N75" s="324" t="n"/>
    </row>
    <row r="76" ht="22" customHeight="1">
      <c r="B76" s="326" t="n"/>
      <c r="C76" s="319" t="n"/>
      <c r="D76" s="318" t="n"/>
      <c r="E76" s="320" t="n"/>
      <c r="F76" s="321" t="n"/>
      <c r="G76" s="327" t="n"/>
      <c r="H76" s="321" t="n"/>
      <c r="I76" s="327" t="n"/>
      <c r="J76" s="246">
        <f>IF(AND(L76="Закрыт",ISNUMBER(F76),ISNUMBER(H76)),ROUND(H76-F76,8),"")</f>
        <v/>
      </c>
      <c r="K76" s="247">
        <f>IF(AND(L76="Закрыт",ISNUMBER(G76),ISNUMBER(I76)),ROUND(I76-G76,8),"")</f>
        <v/>
      </c>
      <c r="L76" s="328" t="n"/>
      <c r="M76" s="321" t="n"/>
      <c r="N76" s="327" t="n"/>
    </row>
    <row r="77" ht="22" customHeight="1">
      <c r="B77" s="323" t="n"/>
      <c r="C77" s="314" t="n"/>
      <c r="D77" s="313" t="n"/>
      <c r="E77" s="315" t="n"/>
      <c r="F77" s="316" t="n"/>
      <c r="G77" s="324" t="n"/>
      <c r="H77" s="316" t="n"/>
      <c r="I77" s="324" t="n"/>
      <c r="J77" s="240">
        <f>IF(AND(L77="Закрыт",ISNUMBER(F77),ISNUMBER(H77)),ROUND(H77-F77,8),"")</f>
        <v/>
      </c>
      <c r="K77" s="241">
        <f>IF(AND(L77="Закрыт",ISNUMBER(G77),ISNUMBER(I77)),ROUND(I77-G77,8),"")</f>
        <v/>
      </c>
      <c r="L77" s="325" t="n"/>
      <c r="M77" s="316" t="n"/>
      <c r="N77" s="324" t="n"/>
    </row>
    <row r="78" ht="22" customHeight="1">
      <c r="B78" s="326" t="n"/>
      <c r="C78" s="319" t="n"/>
      <c r="D78" s="318" t="n"/>
      <c r="E78" s="320" t="n"/>
      <c r="F78" s="321" t="n"/>
      <c r="G78" s="327" t="n"/>
      <c r="H78" s="321" t="n"/>
      <c r="I78" s="327" t="n"/>
      <c r="J78" s="246">
        <f>IF(AND(L78="Закрыт",ISNUMBER(F78),ISNUMBER(H78)),ROUND(H78-F78,8),"")</f>
        <v/>
      </c>
      <c r="K78" s="247">
        <f>IF(AND(L78="Закрыт",ISNUMBER(G78),ISNUMBER(I78)),ROUND(I78-G78,8),"")</f>
        <v/>
      </c>
      <c r="L78" s="328" t="n"/>
      <c r="M78" s="321" t="n"/>
      <c r="N78" s="327" t="n"/>
    </row>
    <row r="79" ht="22" customHeight="1">
      <c r="B79" s="323" t="n"/>
      <c r="C79" s="314" t="n"/>
      <c r="D79" s="313" t="n"/>
      <c r="E79" s="315" t="n"/>
      <c r="F79" s="316" t="n"/>
      <c r="G79" s="324" t="n"/>
      <c r="H79" s="316" t="n"/>
      <c r="I79" s="324" t="n"/>
      <c r="J79" s="240">
        <f>IF(AND(L79="Закрыт",ISNUMBER(F79),ISNUMBER(H79)),ROUND(H79-F79,8),"")</f>
        <v/>
      </c>
      <c r="K79" s="241">
        <f>IF(AND(L79="Закрыт",ISNUMBER(G79),ISNUMBER(I79)),ROUND(I79-G79,8),"")</f>
        <v/>
      </c>
      <c r="L79" s="325" t="n"/>
      <c r="M79" s="316" t="n"/>
      <c r="N79" s="324" t="n"/>
    </row>
    <row r="80" ht="22" customHeight="1">
      <c r="B80" s="326" t="n"/>
      <c r="C80" s="319" t="n"/>
      <c r="D80" s="318" t="n"/>
      <c r="E80" s="320" t="n"/>
      <c r="F80" s="321" t="n"/>
      <c r="G80" s="327" t="n"/>
      <c r="H80" s="321" t="n"/>
      <c r="I80" s="327" t="n"/>
      <c r="J80" s="246">
        <f>IF(AND(L80="Закрыт",ISNUMBER(F80),ISNUMBER(H80)),ROUND(H80-F80,8),"")</f>
        <v/>
      </c>
      <c r="K80" s="247">
        <f>IF(AND(L80="Закрыт",ISNUMBER(G80),ISNUMBER(I80)),ROUND(I80-G80,8),"")</f>
        <v/>
      </c>
      <c r="L80" s="328" t="n"/>
      <c r="M80" s="321" t="n"/>
      <c r="N80" s="327" t="n"/>
    </row>
    <row r="81" ht="22" customHeight="1">
      <c r="B81" s="323" t="n"/>
      <c r="C81" s="314" t="n"/>
      <c r="D81" s="313" t="n"/>
      <c r="E81" s="315" t="n"/>
      <c r="F81" s="316" t="n"/>
      <c r="G81" s="324" t="n"/>
      <c r="H81" s="316" t="n"/>
      <c r="I81" s="324" t="n"/>
      <c r="J81" s="240">
        <f>IF(AND(L81="Закрыт",ISNUMBER(F81),ISNUMBER(H81)),ROUND(H81-F81,8),"")</f>
        <v/>
      </c>
      <c r="K81" s="241">
        <f>IF(AND(L81="Закрыт",ISNUMBER(G81),ISNUMBER(I81)),ROUND(I81-G81,8),"")</f>
        <v/>
      </c>
      <c r="L81" s="325" t="n"/>
      <c r="M81" s="316" t="n"/>
      <c r="N81" s="324" t="n"/>
    </row>
    <row r="82" ht="22" customHeight="1">
      <c r="B82" s="326" t="n"/>
      <c r="C82" s="319" t="n"/>
      <c r="D82" s="318" t="n"/>
      <c r="E82" s="320" t="n"/>
      <c r="F82" s="321" t="n"/>
      <c r="G82" s="327" t="n"/>
      <c r="H82" s="321" t="n"/>
      <c r="I82" s="327" t="n"/>
      <c r="J82" s="246">
        <f>IF(AND(L82="Закрыт",ISNUMBER(F82),ISNUMBER(H82)),ROUND(H82-F82,8),"")</f>
        <v/>
      </c>
      <c r="K82" s="247">
        <f>IF(AND(L82="Закрыт",ISNUMBER(G82),ISNUMBER(I82)),ROUND(I82-G82,8),"")</f>
        <v/>
      </c>
      <c r="L82" s="328" t="n"/>
      <c r="M82" s="321" t="n"/>
      <c r="N82" s="327" t="n"/>
    </row>
    <row r="83" ht="22" customHeight="1">
      <c r="B83" s="323" t="n"/>
      <c r="C83" s="314" t="n"/>
      <c r="D83" s="313" t="n"/>
      <c r="E83" s="315" t="n"/>
      <c r="F83" s="316" t="n"/>
      <c r="G83" s="324" t="n"/>
      <c r="H83" s="316" t="n"/>
      <c r="I83" s="324" t="n"/>
      <c r="J83" s="240">
        <f>IF(AND(L83="Закрыт",ISNUMBER(F83),ISNUMBER(H83)),ROUND(H83-F83,8),"")</f>
        <v/>
      </c>
      <c r="K83" s="241">
        <f>IF(AND(L83="Закрыт",ISNUMBER(G83),ISNUMBER(I83)),ROUND(I83-G83,8),"")</f>
        <v/>
      </c>
      <c r="L83" s="325" t="n"/>
      <c r="M83" s="316" t="n"/>
      <c r="N83" s="324" t="n"/>
    </row>
    <row r="84" ht="22" customHeight="1">
      <c r="B84" s="326" t="n"/>
      <c r="C84" s="319" t="n"/>
      <c r="D84" s="318" t="n"/>
      <c r="E84" s="320" t="n"/>
      <c r="F84" s="321" t="n"/>
      <c r="G84" s="327" t="n"/>
      <c r="H84" s="321" t="n"/>
      <c r="I84" s="327" t="n"/>
      <c r="J84" s="246">
        <f>IF(AND(L84="Закрыт",ISNUMBER(F84),ISNUMBER(H84)),ROUND(H84-F84,8),"")</f>
        <v/>
      </c>
      <c r="K84" s="247">
        <f>IF(AND(L84="Закрыт",ISNUMBER(G84),ISNUMBER(I84)),ROUND(I84-G84,8),"")</f>
        <v/>
      </c>
      <c r="L84" s="328" t="n"/>
      <c r="M84" s="321" t="n"/>
      <c r="N84" s="327" t="n"/>
    </row>
    <row r="85" ht="22" customHeight="1">
      <c r="B85" s="323" t="n"/>
      <c r="C85" s="314" t="n"/>
      <c r="D85" s="313" t="n"/>
      <c r="E85" s="315" t="n"/>
      <c r="F85" s="316" t="n"/>
      <c r="G85" s="324" t="n"/>
      <c r="H85" s="316" t="n"/>
      <c r="I85" s="324" t="n"/>
      <c r="J85" s="240">
        <f>IF(AND(L85="Закрыт",ISNUMBER(F85),ISNUMBER(H85)),ROUND(H85-F85,8),"")</f>
        <v/>
      </c>
      <c r="K85" s="241">
        <f>IF(AND(L85="Закрыт",ISNUMBER(G85),ISNUMBER(I85)),ROUND(I85-G85,8),"")</f>
        <v/>
      </c>
      <c r="L85" s="325" t="n"/>
      <c r="M85" s="316" t="n"/>
      <c r="N85" s="324" t="n"/>
    </row>
    <row r="86" ht="22" customHeight="1">
      <c r="B86" s="326" t="n"/>
      <c r="C86" s="319" t="n"/>
      <c r="D86" s="318" t="n"/>
      <c r="E86" s="320" t="n"/>
      <c r="F86" s="321" t="n"/>
      <c r="G86" s="327" t="n"/>
      <c r="H86" s="321" t="n"/>
      <c r="I86" s="327" t="n"/>
      <c r="J86" s="246">
        <f>IF(AND(L86="Закрыт",ISNUMBER(F86),ISNUMBER(H86)),ROUND(H86-F86,8),"")</f>
        <v/>
      </c>
      <c r="K86" s="247">
        <f>IF(AND(L86="Закрыт",ISNUMBER(G86),ISNUMBER(I86)),ROUND(I86-G86,8),"")</f>
        <v/>
      </c>
      <c r="L86" s="328" t="n"/>
      <c r="M86" s="321" t="n"/>
      <c r="N86" s="327" t="n"/>
    </row>
    <row r="87" ht="22" customHeight="1">
      <c r="B87" s="323" t="n"/>
      <c r="C87" s="314" t="n"/>
      <c r="D87" s="313" t="n"/>
      <c r="E87" s="315" t="n"/>
      <c r="F87" s="316" t="n"/>
      <c r="G87" s="324" t="n"/>
      <c r="H87" s="316" t="n"/>
      <c r="I87" s="324" t="n"/>
      <c r="J87" s="240">
        <f>IF(AND(L87="Закрыт",ISNUMBER(F87),ISNUMBER(H87)),ROUND(H87-F87,8),"")</f>
        <v/>
      </c>
      <c r="K87" s="241">
        <f>IF(AND(L87="Закрыт",ISNUMBER(G87),ISNUMBER(I87)),ROUND(I87-G87,8),"")</f>
        <v/>
      </c>
      <c r="L87" s="325" t="n"/>
      <c r="M87" s="316" t="n"/>
      <c r="N87" s="324" t="n"/>
    </row>
    <row r="88" ht="22" customHeight="1">
      <c r="B88" s="326" t="n"/>
      <c r="C88" s="319" t="n"/>
      <c r="D88" s="318" t="n"/>
      <c r="E88" s="320" t="n"/>
      <c r="F88" s="321" t="n"/>
      <c r="G88" s="327" t="n"/>
      <c r="H88" s="321" t="n"/>
      <c r="I88" s="327" t="n"/>
      <c r="J88" s="246">
        <f>IF(AND(L88="Закрыт",ISNUMBER(F88),ISNUMBER(H88)),ROUND(H88-F88,8),"")</f>
        <v/>
      </c>
      <c r="K88" s="247">
        <f>IF(AND(L88="Закрыт",ISNUMBER(G88),ISNUMBER(I88)),ROUND(I88-G88,8),"")</f>
        <v/>
      </c>
      <c r="L88" s="328" t="n"/>
      <c r="M88" s="321" t="n"/>
      <c r="N88" s="327" t="n"/>
    </row>
    <row r="89" ht="22" customHeight="1">
      <c r="B89" s="323" t="n"/>
      <c r="C89" s="314" t="n"/>
      <c r="D89" s="313" t="n"/>
      <c r="E89" s="315" t="n"/>
      <c r="F89" s="316" t="n"/>
      <c r="G89" s="324" t="n"/>
      <c r="H89" s="316" t="n"/>
      <c r="I89" s="324" t="n"/>
      <c r="J89" s="240">
        <f>IF(AND(L89="Закрыт",ISNUMBER(F89),ISNUMBER(H89)),ROUND(H89-F89,8),"")</f>
        <v/>
      </c>
      <c r="K89" s="241">
        <f>IF(AND(L89="Закрыт",ISNUMBER(G89),ISNUMBER(I89)),ROUND(I89-G89,8),"")</f>
        <v/>
      </c>
      <c r="L89" s="325" t="n"/>
      <c r="M89" s="316" t="n"/>
      <c r="N89" s="324" t="n"/>
    </row>
    <row r="90" ht="22" customHeight="1">
      <c r="B90" s="326" t="n"/>
      <c r="C90" s="319" t="n"/>
      <c r="D90" s="318" t="n"/>
      <c r="E90" s="320" t="n"/>
      <c r="F90" s="321" t="n"/>
      <c r="G90" s="327" t="n"/>
      <c r="H90" s="321" t="n"/>
      <c r="I90" s="327" t="n"/>
      <c r="J90" s="246">
        <f>IF(AND(L90="Закрыт",ISNUMBER(F90),ISNUMBER(H90)),ROUND(H90-F90,8),"")</f>
        <v/>
      </c>
      <c r="K90" s="247">
        <f>IF(AND(L90="Закрыт",ISNUMBER(G90),ISNUMBER(I90)),ROUND(I90-G90,8),"")</f>
        <v/>
      </c>
      <c r="L90" s="328" t="n"/>
      <c r="M90" s="321" t="n"/>
      <c r="N90" s="327" t="n"/>
    </row>
    <row r="91" ht="22" customHeight="1">
      <c r="B91" s="323" t="n"/>
      <c r="C91" s="314" t="n"/>
      <c r="D91" s="313" t="n"/>
      <c r="E91" s="315" t="n"/>
      <c r="F91" s="316" t="n"/>
      <c r="G91" s="324" t="n"/>
      <c r="H91" s="316" t="n"/>
      <c r="I91" s="324" t="n"/>
      <c r="J91" s="240">
        <f>IF(AND(L91="Закрыт",ISNUMBER(F91),ISNUMBER(H91)),ROUND(H91-F91,8),"")</f>
        <v/>
      </c>
      <c r="K91" s="241">
        <f>IF(AND(L91="Закрыт",ISNUMBER(G91),ISNUMBER(I91)),ROUND(I91-G91,8),"")</f>
        <v/>
      </c>
      <c r="L91" s="325" t="n"/>
      <c r="M91" s="316" t="n"/>
      <c r="N91" s="324" t="n"/>
    </row>
    <row r="92" ht="22" customHeight="1">
      <c r="B92" s="326" t="n"/>
      <c r="C92" s="319" t="n"/>
      <c r="D92" s="318" t="n"/>
      <c r="E92" s="320" t="n"/>
      <c r="F92" s="321" t="n"/>
      <c r="G92" s="327" t="n"/>
      <c r="H92" s="321" t="n"/>
      <c r="I92" s="327" t="n"/>
      <c r="J92" s="246">
        <f>IF(AND(L92="Закрыт",ISNUMBER(F92),ISNUMBER(H92)),ROUND(H92-F92,8),"")</f>
        <v/>
      </c>
      <c r="K92" s="247">
        <f>IF(AND(L92="Закрыт",ISNUMBER(G92),ISNUMBER(I92)),ROUND(I92-G92,8),"")</f>
        <v/>
      </c>
      <c r="L92" s="328" t="n"/>
      <c r="M92" s="321" t="n"/>
      <c r="N92" s="327" t="n"/>
    </row>
    <row r="93" ht="22" customHeight="1">
      <c r="B93" s="323" t="n"/>
      <c r="C93" s="314" t="n"/>
      <c r="D93" s="313" t="n"/>
      <c r="E93" s="315" t="n"/>
      <c r="F93" s="316" t="n"/>
      <c r="G93" s="324" t="n"/>
      <c r="H93" s="316" t="n"/>
      <c r="I93" s="324" t="n"/>
      <c r="J93" s="240">
        <f>IF(AND(L93="Закрыт",ISNUMBER(F93),ISNUMBER(H93)),ROUND(H93-F93,8),"")</f>
        <v/>
      </c>
      <c r="K93" s="241">
        <f>IF(AND(L93="Закрыт",ISNUMBER(G93),ISNUMBER(I93)),ROUND(I93-G93,8),"")</f>
        <v/>
      </c>
      <c r="L93" s="325" t="n"/>
      <c r="M93" s="316" t="n"/>
      <c r="N93" s="324" t="n"/>
    </row>
    <row r="94" ht="22" customHeight="1">
      <c r="B94" s="326" t="n"/>
      <c r="C94" s="319" t="n"/>
      <c r="D94" s="318" t="n"/>
      <c r="E94" s="320" t="n"/>
      <c r="F94" s="321" t="n"/>
      <c r="G94" s="327" t="n"/>
      <c r="H94" s="321" t="n"/>
      <c r="I94" s="327" t="n"/>
      <c r="J94" s="246">
        <f>IF(AND(L94="Закрыт",ISNUMBER(F94),ISNUMBER(H94)),ROUND(H94-F94,8),"")</f>
        <v/>
      </c>
      <c r="K94" s="247">
        <f>IF(AND(L94="Закрыт",ISNUMBER(G94),ISNUMBER(I94)),ROUND(I94-G94,8),"")</f>
        <v/>
      </c>
      <c r="L94" s="328" t="n"/>
      <c r="M94" s="321" t="n"/>
      <c r="N94" s="327" t="n"/>
    </row>
    <row r="95" ht="22" customHeight="1">
      <c r="B95" s="323" t="n"/>
      <c r="C95" s="314" t="n"/>
      <c r="D95" s="313" t="n"/>
      <c r="E95" s="315" t="n"/>
      <c r="F95" s="316" t="n"/>
      <c r="G95" s="324" t="n"/>
      <c r="H95" s="316" t="n"/>
      <c r="I95" s="324" t="n"/>
      <c r="J95" s="240">
        <f>IF(AND(L95="Закрыт",ISNUMBER(F95),ISNUMBER(H95)),ROUND(H95-F95,8),"")</f>
        <v/>
      </c>
      <c r="K95" s="241">
        <f>IF(AND(L95="Закрыт",ISNUMBER(G95),ISNUMBER(I95)),ROUND(I95-G95,8),"")</f>
        <v/>
      </c>
      <c r="L95" s="325" t="n"/>
      <c r="M95" s="316" t="n"/>
      <c r="N95" s="324" t="n"/>
    </row>
    <row r="96" ht="22" customHeight="1">
      <c r="B96" s="326" t="n"/>
      <c r="C96" s="319" t="n"/>
      <c r="D96" s="318" t="n"/>
      <c r="E96" s="320" t="n"/>
      <c r="F96" s="321" t="n"/>
      <c r="G96" s="327" t="n"/>
      <c r="H96" s="321" t="n"/>
      <c r="I96" s="327" t="n"/>
      <c r="J96" s="246">
        <f>IF(AND(L96="Закрыт",ISNUMBER(F96),ISNUMBER(H96)),ROUND(H96-F96,8),"")</f>
        <v/>
      </c>
      <c r="K96" s="247">
        <f>IF(AND(L96="Закрыт",ISNUMBER(G96),ISNUMBER(I96)),ROUND(I96-G96,8),"")</f>
        <v/>
      </c>
      <c r="L96" s="328" t="n"/>
      <c r="M96" s="321" t="n"/>
      <c r="N96" s="327" t="n"/>
    </row>
    <row r="97" ht="22" customHeight="1">
      <c r="B97" s="323" t="n"/>
      <c r="C97" s="314" t="n"/>
      <c r="D97" s="313" t="n"/>
      <c r="E97" s="315" t="n"/>
      <c r="F97" s="316" t="n"/>
      <c r="G97" s="324" t="n"/>
      <c r="H97" s="316" t="n"/>
      <c r="I97" s="324" t="n"/>
      <c r="J97" s="240">
        <f>IF(AND(L97="Закрыт",ISNUMBER(F97),ISNUMBER(H97)),ROUND(H97-F97,8),"")</f>
        <v/>
      </c>
      <c r="K97" s="241">
        <f>IF(AND(L97="Закрыт",ISNUMBER(G97),ISNUMBER(I97)),ROUND(I97-G97,8),"")</f>
        <v/>
      </c>
      <c r="L97" s="325" t="n"/>
      <c r="M97" s="316" t="n"/>
      <c r="N97" s="324" t="n"/>
    </row>
    <row r="98" ht="22" customHeight="1">
      <c r="B98" s="326" t="n"/>
      <c r="C98" s="319" t="n"/>
      <c r="D98" s="318" t="n"/>
      <c r="E98" s="320" t="n"/>
      <c r="F98" s="321" t="n"/>
      <c r="G98" s="327" t="n"/>
      <c r="H98" s="321" t="n"/>
      <c r="I98" s="327" t="n"/>
      <c r="J98" s="246">
        <f>IF(AND(L98="Закрыт",ISNUMBER(F98),ISNUMBER(H98)),ROUND(H98-F98,8),"")</f>
        <v/>
      </c>
      <c r="K98" s="247">
        <f>IF(AND(L98="Закрыт",ISNUMBER(G98),ISNUMBER(I98)),ROUND(I98-G98,8),"")</f>
        <v/>
      </c>
      <c r="L98" s="328" t="n"/>
      <c r="M98" s="321" t="n"/>
      <c r="N98" s="327" t="n"/>
    </row>
    <row r="99" ht="22" customHeight="1">
      <c r="B99" s="323" t="n"/>
      <c r="C99" s="314" t="n"/>
      <c r="D99" s="313" t="n"/>
      <c r="E99" s="315" t="n"/>
      <c r="F99" s="316" t="n"/>
      <c r="G99" s="324" t="n"/>
      <c r="H99" s="316" t="n"/>
      <c r="I99" s="324" t="n"/>
      <c r="J99" s="240">
        <f>IF(AND(L99="Закрыт",ISNUMBER(F99),ISNUMBER(H99)),ROUND(H99-F99,8),"")</f>
        <v/>
      </c>
      <c r="K99" s="241">
        <f>IF(AND(L99="Закрыт",ISNUMBER(G99),ISNUMBER(I99)),ROUND(I99-G99,8),"")</f>
        <v/>
      </c>
      <c r="L99" s="325" t="n"/>
      <c r="M99" s="316" t="n"/>
      <c r="N99" s="324" t="n"/>
    </row>
    <row r="100" ht="22" customHeight="1">
      <c r="B100" s="326" t="n"/>
      <c r="C100" s="319" t="n"/>
      <c r="D100" s="318" t="n"/>
      <c r="E100" s="320" t="n"/>
      <c r="F100" s="321" t="n"/>
      <c r="G100" s="327" t="n"/>
      <c r="H100" s="321" t="n"/>
      <c r="I100" s="327" t="n"/>
      <c r="J100" s="246">
        <f>IF(AND(L100="Закрыт",ISNUMBER(F100),ISNUMBER(H100)),ROUND(H100-F100,8),"")</f>
        <v/>
      </c>
      <c r="K100" s="247">
        <f>IF(AND(L100="Закрыт",ISNUMBER(G100),ISNUMBER(I100)),ROUND(I100-G100,8),"")</f>
        <v/>
      </c>
      <c r="L100" s="328" t="n"/>
      <c r="M100" s="321" t="n"/>
      <c r="N100" s="327" t="n"/>
    </row>
    <row r="101" ht="22" customHeight="1">
      <c r="B101" s="323" t="n"/>
      <c r="C101" s="314" t="n"/>
      <c r="D101" s="313" t="n"/>
      <c r="E101" s="315" t="n"/>
      <c r="F101" s="316" t="n"/>
      <c r="G101" s="324" t="n"/>
      <c r="H101" s="316" t="n"/>
      <c r="I101" s="324" t="n"/>
      <c r="J101" s="240">
        <f>IF(AND(L101="Закрыт",ISNUMBER(F101),ISNUMBER(H101)),ROUND(H101-F101,8),"")</f>
        <v/>
      </c>
      <c r="K101" s="241">
        <f>IF(AND(L101="Закрыт",ISNUMBER(G101),ISNUMBER(I101)),ROUND(I101-G101,8),"")</f>
        <v/>
      </c>
      <c r="L101" s="325" t="n"/>
      <c r="M101" s="316" t="n"/>
      <c r="N101" s="324" t="n"/>
    </row>
    <row r="102" ht="22" customHeight="1">
      <c r="B102" s="326" t="n"/>
      <c r="C102" s="319" t="n"/>
      <c r="D102" s="318" t="n"/>
      <c r="E102" s="320" t="n"/>
      <c r="F102" s="321" t="n"/>
      <c r="G102" s="327" t="n"/>
      <c r="H102" s="321" t="n"/>
      <c r="I102" s="327" t="n"/>
      <c r="J102" s="246">
        <f>IF(AND(L102="Закрыт",ISNUMBER(F102),ISNUMBER(H102)),ROUND(H102-F102,8),"")</f>
        <v/>
      </c>
      <c r="K102" s="247">
        <f>IF(AND(L102="Закрыт",ISNUMBER(G102),ISNUMBER(I102)),ROUND(I102-G102,8),"")</f>
        <v/>
      </c>
      <c r="L102" s="328" t="n"/>
      <c r="M102" s="321" t="n"/>
      <c r="N102" s="327" t="n"/>
    </row>
    <row r="103" ht="22" customHeight="1">
      <c r="B103" s="323" t="n"/>
      <c r="C103" s="314" t="n"/>
      <c r="D103" s="313" t="n"/>
      <c r="E103" s="315" t="n"/>
      <c r="F103" s="316" t="n"/>
      <c r="G103" s="324" t="n"/>
      <c r="H103" s="316" t="n"/>
      <c r="I103" s="324" t="n"/>
      <c r="J103" s="240">
        <f>IF(AND(L103="Закрыт",ISNUMBER(F103),ISNUMBER(H103)),ROUND(H103-F103,8),"")</f>
        <v/>
      </c>
      <c r="K103" s="241">
        <f>IF(AND(L103="Закрыт",ISNUMBER(G103),ISNUMBER(I103)),ROUND(I103-G103,8),"")</f>
        <v/>
      </c>
      <c r="L103" s="325" t="n"/>
      <c r="M103" s="316" t="n"/>
      <c r="N103" s="324" t="n"/>
    </row>
    <row r="104" ht="22" customHeight="1">
      <c r="B104" s="326" t="n"/>
      <c r="C104" s="319" t="n"/>
      <c r="D104" s="318" t="n"/>
      <c r="E104" s="320" t="n"/>
      <c r="F104" s="321" t="n"/>
      <c r="G104" s="327" t="n"/>
      <c r="H104" s="321" t="n"/>
      <c r="I104" s="327" t="n"/>
      <c r="J104" s="246">
        <f>IF(AND(L104="Закрыт",ISNUMBER(F104),ISNUMBER(H104)),ROUND(H104-F104,8),"")</f>
        <v/>
      </c>
      <c r="K104" s="247">
        <f>IF(AND(L104="Закрыт",ISNUMBER(G104),ISNUMBER(I104)),ROUND(I104-G104,8),"")</f>
        <v/>
      </c>
      <c r="L104" s="328" t="n"/>
      <c r="M104" s="321" t="n"/>
      <c r="N104" s="327" t="n"/>
    </row>
    <row r="105" ht="22" customHeight="1">
      <c r="B105" s="323" t="n"/>
      <c r="C105" s="314" t="n"/>
      <c r="D105" s="313" t="n"/>
      <c r="E105" s="315" t="n"/>
      <c r="F105" s="316" t="n"/>
      <c r="G105" s="324" t="n"/>
      <c r="H105" s="316" t="n"/>
      <c r="I105" s="324" t="n"/>
      <c r="J105" s="240">
        <f>IF(AND(L105="Закрыт",ISNUMBER(F105),ISNUMBER(H105)),ROUND(H105-F105,8),"")</f>
        <v/>
      </c>
      <c r="K105" s="241">
        <f>IF(AND(L105="Закрыт",ISNUMBER(G105),ISNUMBER(I105)),ROUND(I105-G105,8),"")</f>
        <v/>
      </c>
      <c r="L105" s="325" t="n"/>
      <c r="M105" s="316" t="n"/>
      <c r="N105" s="324" t="n"/>
    </row>
    <row r="106" ht="22" customHeight="1">
      <c r="B106" s="326" t="n"/>
      <c r="C106" s="319" t="n"/>
      <c r="D106" s="318" t="n"/>
      <c r="E106" s="320" t="n"/>
      <c r="F106" s="321" t="n"/>
      <c r="G106" s="327" t="n"/>
      <c r="H106" s="321" t="n"/>
      <c r="I106" s="327" t="n"/>
      <c r="J106" s="246">
        <f>IF(AND(L106="Закрыт",ISNUMBER(F106),ISNUMBER(H106)),ROUND(H106-F106,8),"")</f>
        <v/>
      </c>
      <c r="K106" s="247">
        <f>IF(AND(L106="Закрыт",ISNUMBER(G106),ISNUMBER(I106)),ROUND(I106-G106,8),"")</f>
        <v/>
      </c>
      <c r="L106" s="328" t="n"/>
      <c r="M106" s="321" t="n"/>
      <c r="N106" s="327" t="n"/>
    </row>
    <row r="107" ht="22" customHeight="1">
      <c r="B107" s="323" t="n"/>
      <c r="C107" s="314" t="n"/>
      <c r="D107" s="313" t="n"/>
      <c r="E107" s="315" t="n"/>
      <c r="F107" s="316" t="n"/>
      <c r="G107" s="324" t="n"/>
      <c r="H107" s="316" t="n"/>
      <c r="I107" s="324" t="n"/>
      <c r="J107" s="240">
        <f>IF(AND(L107="Закрыт",ISNUMBER(F107),ISNUMBER(H107)),ROUND(H107-F107,8),"")</f>
        <v/>
      </c>
      <c r="K107" s="241">
        <f>IF(AND(L107="Закрыт",ISNUMBER(G107),ISNUMBER(I107)),ROUND(I107-G107,8),"")</f>
        <v/>
      </c>
      <c r="L107" s="325" t="n"/>
      <c r="M107" s="316" t="n"/>
      <c r="N107" s="324" t="n"/>
    </row>
    <row r="108" ht="22" customHeight="1">
      <c r="B108" s="326" t="n"/>
      <c r="C108" s="319" t="n"/>
      <c r="D108" s="318" t="n"/>
      <c r="E108" s="320" t="n"/>
      <c r="F108" s="321" t="n"/>
      <c r="G108" s="327" t="n"/>
      <c r="H108" s="321" t="n"/>
      <c r="I108" s="327" t="n"/>
      <c r="J108" s="246">
        <f>IF(AND(L108="Закрыт",ISNUMBER(F108),ISNUMBER(H108)),ROUND(H108-F108,8),"")</f>
        <v/>
      </c>
      <c r="K108" s="247">
        <f>IF(AND(L108="Закрыт",ISNUMBER(G108),ISNUMBER(I108)),ROUND(I108-G108,8),"")</f>
        <v/>
      </c>
      <c r="L108" s="328" t="n"/>
      <c r="M108" s="321" t="n"/>
      <c r="N108" s="327" t="n"/>
    </row>
    <row r="109" ht="22" customHeight="1">
      <c r="B109" s="323" t="n"/>
      <c r="C109" s="314" t="n"/>
      <c r="D109" s="313" t="n"/>
      <c r="E109" s="315" t="n"/>
      <c r="F109" s="316" t="n"/>
      <c r="G109" s="324" t="n"/>
      <c r="H109" s="316" t="n"/>
      <c r="I109" s="324" t="n"/>
      <c r="J109" s="240">
        <f>IF(AND(L109="Закрыт",ISNUMBER(F109),ISNUMBER(H109)),ROUND(H109-F109,8),"")</f>
        <v/>
      </c>
      <c r="K109" s="241">
        <f>IF(AND(L109="Закрыт",ISNUMBER(G109),ISNUMBER(I109)),ROUND(I109-G109,8),"")</f>
        <v/>
      </c>
      <c r="L109" s="325" t="n"/>
      <c r="M109" s="316" t="n"/>
      <c r="N109" s="324" t="n"/>
    </row>
    <row r="110" ht="22" customHeight="1">
      <c r="B110" s="326" t="n"/>
      <c r="C110" s="319" t="n"/>
      <c r="D110" s="318" t="n"/>
      <c r="E110" s="320" t="n"/>
      <c r="F110" s="321" t="n"/>
      <c r="G110" s="327" t="n"/>
      <c r="H110" s="321" t="n"/>
      <c r="I110" s="327" t="n"/>
      <c r="J110" s="246">
        <f>IF(AND(L110="Закрыт",ISNUMBER(F110),ISNUMBER(H110)),ROUND(H110-F110,8),"")</f>
        <v/>
      </c>
      <c r="K110" s="247">
        <f>IF(AND(L110="Закрыт",ISNUMBER(G110),ISNUMBER(I110)),ROUND(I110-G110,8),"")</f>
        <v/>
      </c>
      <c r="L110" s="328" t="n"/>
      <c r="M110" s="321" t="n"/>
      <c r="N110" s="327" t="n"/>
    </row>
    <row r="111" ht="22" customHeight="1">
      <c r="B111" s="323" t="n"/>
      <c r="C111" s="314" t="n"/>
      <c r="D111" s="313" t="n"/>
      <c r="E111" s="315" t="n"/>
      <c r="F111" s="316" t="n"/>
      <c r="G111" s="324" t="n"/>
      <c r="H111" s="316" t="n"/>
      <c r="I111" s="324" t="n"/>
      <c r="J111" s="240">
        <f>IF(AND(L111="Закрыт",ISNUMBER(F111),ISNUMBER(H111)),ROUND(H111-F111,8),"")</f>
        <v/>
      </c>
      <c r="K111" s="241">
        <f>IF(AND(L111="Закрыт",ISNUMBER(G111),ISNUMBER(I111)),ROUND(I111-G111,8),"")</f>
        <v/>
      </c>
      <c r="L111" s="325" t="n"/>
      <c r="M111" s="316" t="n"/>
      <c r="N111" s="324" t="n"/>
    </row>
    <row r="112" ht="22" customHeight="1">
      <c r="B112" s="326" t="n"/>
      <c r="C112" s="319" t="n"/>
      <c r="D112" s="318" t="n"/>
      <c r="E112" s="320" t="n"/>
      <c r="F112" s="321" t="n"/>
      <c r="G112" s="327" t="n"/>
      <c r="H112" s="321" t="n"/>
      <c r="I112" s="327" t="n"/>
      <c r="J112" s="246">
        <f>IF(AND(L112="Закрыт",ISNUMBER(F112),ISNUMBER(H112)),ROUND(H112-F112,8),"")</f>
        <v/>
      </c>
      <c r="K112" s="247">
        <f>IF(AND(L112="Закрыт",ISNUMBER(G112),ISNUMBER(I112)),ROUND(I112-G112,8),"")</f>
        <v/>
      </c>
      <c r="L112" s="328" t="n"/>
      <c r="M112" s="321" t="n"/>
      <c r="N112" s="327" t="n"/>
    </row>
    <row r="113" ht="22" customHeight="1">
      <c r="B113" s="323" t="n"/>
      <c r="C113" s="314" t="n"/>
      <c r="D113" s="313" t="n"/>
      <c r="E113" s="315" t="n"/>
      <c r="F113" s="316" t="n"/>
      <c r="G113" s="324" t="n"/>
      <c r="H113" s="316" t="n"/>
      <c r="I113" s="324" t="n"/>
      <c r="J113" s="240">
        <f>IF(AND(L113="Закрыт",ISNUMBER(F113),ISNUMBER(H113)),ROUND(H113-F113,8),"")</f>
        <v/>
      </c>
      <c r="K113" s="241">
        <f>IF(AND(L113="Закрыт",ISNUMBER(G113),ISNUMBER(I113)),ROUND(I113-G113,8),"")</f>
        <v/>
      </c>
      <c r="L113" s="325" t="n"/>
      <c r="M113" s="316" t="n"/>
      <c r="N113" s="324" t="n"/>
    </row>
    <row r="114" ht="22" customHeight="1">
      <c r="B114" s="326" t="n"/>
      <c r="C114" s="319" t="n"/>
      <c r="D114" s="318" t="n"/>
      <c r="E114" s="320" t="n"/>
      <c r="F114" s="321" t="n"/>
      <c r="G114" s="327" t="n"/>
      <c r="H114" s="321" t="n"/>
      <c r="I114" s="327" t="n"/>
      <c r="J114" s="246">
        <f>IF(AND(L114="Закрыт",ISNUMBER(F114),ISNUMBER(H114)),ROUND(H114-F114,8),"")</f>
        <v/>
      </c>
      <c r="K114" s="247">
        <f>IF(AND(L114="Закрыт",ISNUMBER(G114),ISNUMBER(I114)),ROUND(I114-G114,8),"")</f>
        <v/>
      </c>
      <c r="L114" s="328" t="n"/>
      <c r="M114" s="321" t="n"/>
      <c r="N114" s="327" t="n"/>
    </row>
    <row r="115" ht="22" customHeight="1">
      <c r="B115" s="323" t="n"/>
      <c r="C115" s="314" t="n"/>
      <c r="D115" s="313" t="n"/>
      <c r="E115" s="315" t="n"/>
      <c r="F115" s="316" t="n"/>
      <c r="G115" s="324" t="n"/>
      <c r="H115" s="316" t="n"/>
      <c r="I115" s="324" t="n"/>
      <c r="J115" s="240">
        <f>IF(AND(L115="Закрыт",ISNUMBER(F115),ISNUMBER(H115)),ROUND(H115-F115,8),"")</f>
        <v/>
      </c>
      <c r="K115" s="241">
        <f>IF(AND(L115="Закрыт",ISNUMBER(G115),ISNUMBER(I115)),ROUND(I115-G115,8),"")</f>
        <v/>
      </c>
      <c r="L115" s="325" t="n"/>
      <c r="M115" s="316" t="n"/>
      <c r="N115" s="324" t="n"/>
    </row>
    <row r="116" ht="22" customHeight="1">
      <c r="B116" s="326" t="n"/>
      <c r="C116" s="319" t="n"/>
      <c r="D116" s="318" t="n"/>
      <c r="E116" s="320" t="n"/>
      <c r="F116" s="321" t="n"/>
      <c r="G116" s="327" t="n"/>
      <c r="H116" s="321" t="n"/>
      <c r="I116" s="327" t="n"/>
      <c r="J116" s="246">
        <f>IF(AND(L116="Закрыт",ISNUMBER(F116),ISNUMBER(H116)),ROUND(H116-F116,8),"")</f>
        <v/>
      </c>
      <c r="K116" s="247">
        <f>IF(AND(L116="Закрыт",ISNUMBER(G116),ISNUMBER(I116)),ROUND(I116-G116,8),"")</f>
        <v/>
      </c>
      <c r="L116" s="328" t="n"/>
      <c r="M116" s="321" t="n"/>
      <c r="N116" s="327" t="n"/>
    </row>
    <row r="117" ht="22" customHeight="1">
      <c r="B117" s="323" t="n"/>
      <c r="C117" s="314" t="n"/>
      <c r="D117" s="313" t="n"/>
      <c r="E117" s="315" t="n"/>
      <c r="F117" s="316" t="n"/>
      <c r="G117" s="324" t="n"/>
      <c r="H117" s="316" t="n"/>
      <c r="I117" s="324" t="n"/>
      <c r="J117" s="240">
        <f>IF(AND(L117="Закрыт",ISNUMBER(F117),ISNUMBER(H117)),ROUND(H117-F117,8),"")</f>
        <v/>
      </c>
      <c r="K117" s="241">
        <f>IF(AND(L117="Закрыт",ISNUMBER(G117),ISNUMBER(I117)),ROUND(I117-G117,8),"")</f>
        <v/>
      </c>
      <c r="L117" s="325" t="n"/>
      <c r="M117" s="316" t="n"/>
      <c r="N117" s="324" t="n"/>
    </row>
    <row r="118" ht="22" customHeight="1">
      <c r="B118" s="326" t="n"/>
      <c r="C118" s="319" t="n"/>
      <c r="D118" s="318" t="n"/>
      <c r="E118" s="320" t="n"/>
      <c r="F118" s="321" t="n"/>
      <c r="G118" s="327" t="n"/>
      <c r="H118" s="321" t="n"/>
      <c r="I118" s="327" t="n"/>
      <c r="J118" s="246">
        <f>IF(AND(L118="Закрыт",ISNUMBER(F118),ISNUMBER(H118)),ROUND(H118-F118,8),"")</f>
        <v/>
      </c>
      <c r="K118" s="247">
        <f>IF(AND(L118="Закрыт",ISNUMBER(G118),ISNUMBER(I118)),ROUND(I118-G118,8),"")</f>
        <v/>
      </c>
      <c r="L118" s="328" t="n"/>
      <c r="M118" s="321" t="n"/>
      <c r="N118" s="327" t="n"/>
    </row>
    <row r="119" ht="22" customHeight="1">
      <c r="B119" s="323" t="n"/>
      <c r="C119" s="314" t="n"/>
      <c r="D119" s="313" t="n"/>
      <c r="E119" s="315" t="n"/>
      <c r="F119" s="316" t="n"/>
      <c r="G119" s="324" t="n"/>
      <c r="H119" s="316" t="n"/>
      <c r="I119" s="324" t="n"/>
      <c r="J119" s="240">
        <f>IF(AND(L119="Закрыт",ISNUMBER(F119),ISNUMBER(H119)),ROUND(H119-F119,8),"")</f>
        <v/>
      </c>
      <c r="K119" s="241">
        <f>IF(AND(L119="Закрыт",ISNUMBER(G119),ISNUMBER(I119)),ROUND(I119-G119,8),"")</f>
        <v/>
      </c>
      <c r="L119" s="325" t="n"/>
      <c r="M119" s="316" t="n"/>
      <c r="N119" s="324" t="n"/>
    </row>
    <row r="120" ht="22" customHeight="1">
      <c r="B120" s="326" t="n"/>
      <c r="C120" s="319" t="n"/>
      <c r="D120" s="318" t="n"/>
      <c r="E120" s="320" t="n"/>
      <c r="F120" s="321" t="n"/>
      <c r="G120" s="327" t="n"/>
      <c r="H120" s="321" t="n"/>
      <c r="I120" s="327" t="n"/>
      <c r="J120" s="246">
        <f>IF(AND(L120="Закрыт",ISNUMBER(F120),ISNUMBER(H120)),ROUND(H120-F120,8),"")</f>
        <v/>
      </c>
      <c r="K120" s="247">
        <f>IF(AND(L120="Закрыт",ISNUMBER(G120),ISNUMBER(I120)),ROUND(I120-G120,8),"")</f>
        <v/>
      </c>
      <c r="L120" s="328" t="n"/>
      <c r="M120" s="321" t="n"/>
      <c r="N120" s="327" t="n"/>
    </row>
    <row r="121" ht="22" customHeight="1">
      <c r="B121" s="323" t="n"/>
      <c r="C121" s="314" t="n"/>
      <c r="D121" s="313" t="n"/>
      <c r="E121" s="315" t="n"/>
      <c r="F121" s="316" t="n"/>
      <c r="G121" s="324" t="n"/>
      <c r="H121" s="316" t="n"/>
      <c r="I121" s="324" t="n"/>
      <c r="J121" s="240">
        <f>IF(AND(L121="Закрыт",ISNUMBER(F121),ISNUMBER(H121)),ROUND(H121-F121,8),"")</f>
        <v/>
      </c>
      <c r="K121" s="241">
        <f>IF(AND(L121="Закрыт",ISNUMBER(G121),ISNUMBER(I121)),ROUND(I121-G121,8),"")</f>
        <v/>
      </c>
      <c r="L121" s="325" t="n"/>
      <c r="M121" s="316" t="n"/>
      <c r="N121" s="324" t="n"/>
    </row>
    <row r="122" ht="22" customHeight="1">
      <c r="B122" s="326" t="n"/>
      <c r="C122" s="319" t="n"/>
      <c r="D122" s="318" t="n"/>
      <c r="E122" s="320" t="n"/>
      <c r="F122" s="321" t="n"/>
      <c r="G122" s="327" t="n"/>
      <c r="H122" s="321" t="n"/>
      <c r="I122" s="327" t="n"/>
      <c r="J122" s="246">
        <f>IF(AND(L122="Закрыт",ISNUMBER(F122),ISNUMBER(H122)),ROUND(H122-F122,8),"")</f>
        <v/>
      </c>
      <c r="K122" s="247">
        <f>IF(AND(L122="Закрыт",ISNUMBER(G122),ISNUMBER(I122)),ROUND(I122-G122,8),"")</f>
        <v/>
      </c>
      <c r="L122" s="328" t="n"/>
      <c r="M122" s="321" t="n"/>
      <c r="N122" s="327" t="n"/>
    </row>
    <row r="123" ht="22" customHeight="1">
      <c r="B123" s="323" t="n"/>
      <c r="C123" s="314" t="n"/>
      <c r="D123" s="313" t="n"/>
      <c r="E123" s="315" t="n"/>
      <c r="F123" s="316" t="n"/>
      <c r="G123" s="324" t="n"/>
      <c r="H123" s="316" t="n"/>
      <c r="I123" s="324" t="n"/>
      <c r="J123" s="240">
        <f>IF(AND(L123="Закрыт",ISNUMBER(F123),ISNUMBER(H123)),ROUND(H123-F123,8),"")</f>
        <v/>
      </c>
      <c r="K123" s="241">
        <f>IF(AND(L123="Закрыт",ISNUMBER(G123),ISNUMBER(I123)),ROUND(I123-G123,8),"")</f>
        <v/>
      </c>
      <c r="L123" s="325" t="n"/>
      <c r="M123" s="316" t="n"/>
      <c r="N123" s="324" t="n"/>
    </row>
    <row r="124" ht="22" customHeight="1">
      <c r="B124" s="326" t="n"/>
      <c r="C124" s="319" t="n"/>
      <c r="D124" s="318" t="n"/>
      <c r="E124" s="320" t="n"/>
      <c r="F124" s="321" t="n"/>
      <c r="G124" s="327" t="n"/>
      <c r="H124" s="321" t="n"/>
      <c r="I124" s="327" t="n"/>
      <c r="J124" s="246">
        <f>IF(AND(L124="Закрыт",ISNUMBER(F124),ISNUMBER(H124)),ROUND(H124-F124,8),"")</f>
        <v/>
      </c>
      <c r="K124" s="247">
        <f>IF(AND(L124="Закрыт",ISNUMBER(G124),ISNUMBER(I124)),ROUND(I124-G124,8),"")</f>
        <v/>
      </c>
      <c r="L124" s="328" t="n"/>
      <c r="M124" s="321" t="n"/>
      <c r="N124" s="327" t="n"/>
    </row>
    <row r="125" ht="22" customHeight="1">
      <c r="B125" s="323" t="n"/>
      <c r="C125" s="314" t="n"/>
      <c r="D125" s="313" t="n"/>
      <c r="E125" s="315" t="n"/>
      <c r="F125" s="316" t="n"/>
      <c r="G125" s="324" t="n"/>
      <c r="H125" s="316" t="n"/>
      <c r="I125" s="324" t="n"/>
      <c r="J125" s="240">
        <f>IF(AND(L125="Закрыт",ISNUMBER(F125),ISNUMBER(H125)),ROUND(H125-F125,8),"")</f>
        <v/>
      </c>
      <c r="K125" s="241">
        <f>IF(AND(L125="Закрыт",ISNUMBER(G125),ISNUMBER(I125)),ROUND(I125-G125,8),"")</f>
        <v/>
      </c>
      <c r="L125" s="325" t="n"/>
      <c r="M125" s="316" t="n"/>
      <c r="N125" s="324" t="n"/>
    </row>
    <row r="126" ht="22" customHeight="1">
      <c r="B126" s="326" t="n"/>
      <c r="C126" s="319" t="n"/>
      <c r="D126" s="318" t="n"/>
      <c r="E126" s="320" t="n"/>
      <c r="F126" s="321" t="n"/>
      <c r="G126" s="327" t="n"/>
      <c r="H126" s="321" t="n"/>
      <c r="I126" s="327" t="n"/>
      <c r="J126" s="246">
        <f>IF(AND(L126="Закрыт",ISNUMBER(F126),ISNUMBER(H126)),ROUND(H126-F126,8),"")</f>
        <v/>
      </c>
      <c r="K126" s="247">
        <f>IF(AND(L126="Закрыт",ISNUMBER(G126),ISNUMBER(I126)),ROUND(I126-G126,8),"")</f>
        <v/>
      </c>
      <c r="L126" s="328" t="n"/>
      <c r="M126" s="321" t="n"/>
      <c r="N126" s="327" t="n"/>
    </row>
    <row r="127" ht="22" customHeight="1">
      <c r="B127" s="323" t="n"/>
      <c r="C127" s="314" t="n"/>
      <c r="D127" s="313" t="n"/>
      <c r="E127" s="315" t="n"/>
      <c r="F127" s="316" t="n"/>
      <c r="G127" s="324" t="n"/>
      <c r="H127" s="316" t="n"/>
      <c r="I127" s="324" t="n"/>
      <c r="J127" s="240">
        <f>IF(AND(L127="Закрыт",ISNUMBER(F127),ISNUMBER(H127)),ROUND(H127-F127,8),"")</f>
        <v/>
      </c>
      <c r="K127" s="241">
        <f>IF(AND(L127="Закрыт",ISNUMBER(G127),ISNUMBER(I127)),ROUND(I127-G127,8),"")</f>
        <v/>
      </c>
      <c r="L127" s="325" t="n"/>
      <c r="M127" s="316" t="n"/>
      <c r="N127" s="324" t="n"/>
    </row>
    <row r="128" ht="22" customHeight="1">
      <c r="B128" s="326" t="n"/>
      <c r="C128" s="319" t="n"/>
      <c r="D128" s="318" t="n"/>
      <c r="E128" s="320" t="n"/>
      <c r="F128" s="321" t="n"/>
      <c r="G128" s="327" t="n"/>
      <c r="H128" s="321" t="n"/>
      <c r="I128" s="327" t="n"/>
      <c r="J128" s="246">
        <f>IF(AND(L128="Закрыт",ISNUMBER(F128),ISNUMBER(H128)),ROUND(H128-F128,8),"")</f>
        <v/>
      </c>
      <c r="K128" s="247">
        <f>IF(AND(L128="Закрыт",ISNUMBER(G128),ISNUMBER(I128)),ROUND(I128-G128,8),"")</f>
        <v/>
      </c>
      <c r="L128" s="328" t="n"/>
      <c r="M128" s="321" t="n"/>
      <c r="N128" s="327" t="n"/>
    </row>
    <row r="129" ht="22" customHeight="1">
      <c r="B129" s="323" t="n"/>
      <c r="C129" s="314" t="n"/>
      <c r="D129" s="313" t="n"/>
      <c r="E129" s="315" t="n"/>
      <c r="F129" s="316" t="n"/>
      <c r="G129" s="324" t="n"/>
      <c r="H129" s="316" t="n"/>
      <c r="I129" s="324" t="n"/>
      <c r="J129" s="240">
        <f>IF(AND(L129="Закрыт",ISNUMBER(F129),ISNUMBER(H129)),ROUND(H129-F129,8),"")</f>
        <v/>
      </c>
      <c r="K129" s="241">
        <f>IF(AND(L129="Закрыт",ISNUMBER(G129),ISNUMBER(I129)),ROUND(I129-G129,8),"")</f>
        <v/>
      </c>
      <c r="L129" s="325" t="n"/>
      <c r="M129" s="316" t="n"/>
      <c r="N129" s="324" t="n"/>
    </row>
    <row r="130" ht="22" customHeight="1">
      <c r="B130" s="326" t="n"/>
      <c r="C130" s="319" t="n"/>
      <c r="D130" s="318" t="n"/>
      <c r="E130" s="320" t="n"/>
      <c r="F130" s="321" t="n"/>
      <c r="G130" s="327" t="n"/>
      <c r="H130" s="321" t="n"/>
      <c r="I130" s="327" t="n"/>
      <c r="J130" s="246">
        <f>IF(AND(L130="Закрыт",ISNUMBER(F130),ISNUMBER(H130)),ROUND(H130-F130,8),"")</f>
        <v/>
      </c>
      <c r="K130" s="247">
        <f>IF(AND(L130="Закрыт",ISNUMBER(G130),ISNUMBER(I130)),ROUND(I130-G130,8),"")</f>
        <v/>
      </c>
      <c r="L130" s="328" t="n"/>
      <c r="M130" s="321" t="n"/>
      <c r="N130" s="327" t="n"/>
    </row>
    <row r="131" ht="22" customHeight="1">
      <c r="B131" s="323" t="n"/>
      <c r="C131" s="314" t="n"/>
      <c r="D131" s="313" t="n"/>
      <c r="E131" s="315" t="n"/>
      <c r="F131" s="316" t="n"/>
      <c r="G131" s="324" t="n"/>
      <c r="H131" s="316" t="n"/>
      <c r="I131" s="324" t="n"/>
      <c r="J131" s="240">
        <f>IF(AND(L131="Закрыт",ISNUMBER(F131),ISNUMBER(H131)),ROUND(H131-F131,8),"")</f>
        <v/>
      </c>
      <c r="K131" s="241">
        <f>IF(AND(L131="Закрыт",ISNUMBER(G131),ISNUMBER(I131)),ROUND(I131-G131,8),"")</f>
        <v/>
      </c>
      <c r="L131" s="325" t="n"/>
      <c r="M131" s="316" t="n"/>
      <c r="N131" s="324" t="n"/>
    </row>
    <row r="132" ht="22" customHeight="1">
      <c r="B132" s="326" t="n"/>
      <c r="C132" s="319" t="n"/>
      <c r="D132" s="318" t="n"/>
      <c r="E132" s="320" t="n"/>
      <c r="F132" s="321" t="n"/>
      <c r="G132" s="327" t="n"/>
      <c r="H132" s="321" t="n"/>
      <c r="I132" s="327" t="n"/>
      <c r="J132" s="246">
        <f>IF(AND(L132="Закрыт",ISNUMBER(F132),ISNUMBER(H132)),ROUND(H132-F132,8),"")</f>
        <v/>
      </c>
      <c r="K132" s="247">
        <f>IF(AND(L132="Закрыт",ISNUMBER(G132),ISNUMBER(I132)),ROUND(I132-G132,8),"")</f>
        <v/>
      </c>
      <c r="L132" s="328" t="n"/>
      <c r="M132" s="321" t="n"/>
      <c r="N132" s="327" t="n"/>
    </row>
    <row r="133" ht="22" customHeight="1">
      <c r="B133" s="323" t="n"/>
      <c r="C133" s="314" t="n"/>
      <c r="D133" s="313" t="n"/>
      <c r="E133" s="315" t="n"/>
      <c r="F133" s="316" t="n"/>
      <c r="G133" s="324" t="n"/>
      <c r="H133" s="316" t="n"/>
      <c r="I133" s="324" t="n"/>
      <c r="J133" s="240">
        <f>IF(AND(L133="Закрыт",ISNUMBER(F133),ISNUMBER(H133)),ROUND(H133-F133,8),"")</f>
        <v/>
      </c>
      <c r="K133" s="241">
        <f>IF(AND(L133="Закрыт",ISNUMBER(G133),ISNUMBER(I133)),ROUND(I133-G133,8),"")</f>
        <v/>
      </c>
      <c r="L133" s="325" t="n"/>
      <c r="M133" s="316" t="n"/>
      <c r="N133" s="324" t="n"/>
    </row>
    <row r="134" ht="22" customHeight="1">
      <c r="B134" s="326" t="n"/>
      <c r="C134" s="319" t="n"/>
      <c r="D134" s="318" t="n"/>
      <c r="E134" s="320" t="n"/>
      <c r="F134" s="321" t="n"/>
      <c r="G134" s="327" t="n"/>
      <c r="H134" s="321" t="n"/>
      <c r="I134" s="327" t="n"/>
      <c r="J134" s="246">
        <f>IF(AND(L134="Закрыт",ISNUMBER(F134),ISNUMBER(H134)),ROUND(H134-F134,8),"")</f>
        <v/>
      </c>
      <c r="K134" s="247">
        <f>IF(AND(L134="Закрыт",ISNUMBER(G134),ISNUMBER(I134)),ROUND(I134-G134,8),"")</f>
        <v/>
      </c>
      <c r="L134" s="328" t="n"/>
      <c r="M134" s="321" t="n"/>
      <c r="N134" s="327" t="n"/>
    </row>
    <row r="135" ht="22" customHeight="1">
      <c r="B135" s="323" t="n"/>
      <c r="C135" s="314" t="n"/>
      <c r="D135" s="313" t="n"/>
      <c r="E135" s="315" t="n"/>
      <c r="F135" s="316" t="n"/>
      <c r="G135" s="324" t="n"/>
      <c r="H135" s="316" t="n"/>
      <c r="I135" s="324" t="n"/>
      <c r="J135" s="240">
        <f>IF(AND(L135="Закрыт",ISNUMBER(F135),ISNUMBER(H135)),ROUND(H135-F135,8),"")</f>
        <v/>
      </c>
      <c r="K135" s="241">
        <f>IF(AND(L135="Закрыт",ISNUMBER(G135),ISNUMBER(I135)),ROUND(I135-G135,8),"")</f>
        <v/>
      </c>
      <c r="L135" s="325" t="n"/>
      <c r="M135" s="316" t="n"/>
      <c r="N135" s="324" t="n"/>
    </row>
    <row r="136" ht="22" customHeight="1">
      <c r="B136" s="326" t="n"/>
      <c r="C136" s="319" t="n"/>
      <c r="D136" s="318" t="n"/>
      <c r="E136" s="320" t="n"/>
      <c r="F136" s="321" t="n"/>
      <c r="G136" s="327" t="n"/>
      <c r="H136" s="321" t="n"/>
      <c r="I136" s="327" t="n"/>
      <c r="J136" s="246">
        <f>IF(AND(L136="Закрыт",ISNUMBER(F136),ISNUMBER(H136)),ROUND(H136-F136,8),"")</f>
        <v/>
      </c>
      <c r="K136" s="247">
        <f>IF(AND(L136="Закрыт",ISNUMBER(G136),ISNUMBER(I136)),ROUND(I136-G136,8),"")</f>
        <v/>
      </c>
      <c r="L136" s="328" t="n"/>
      <c r="M136" s="321" t="n"/>
      <c r="N136" s="327" t="n"/>
    </row>
    <row r="137" ht="22" customHeight="1">
      <c r="B137" s="323" t="n"/>
      <c r="C137" s="314" t="n"/>
      <c r="D137" s="313" t="n"/>
      <c r="E137" s="315" t="n"/>
      <c r="F137" s="316" t="n"/>
      <c r="G137" s="324" t="n"/>
      <c r="H137" s="316" t="n"/>
      <c r="I137" s="324" t="n"/>
      <c r="J137" s="240">
        <f>IF(AND(L137="Закрыт",ISNUMBER(F137),ISNUMBER(H137)),ROUND(H137-F137,8),"")</f>
        <v/>
      </c>
      <c r="K137" s="241">
        <f>IF(AND(L137="Закрыт",ISNUMBER(G137),ISNUMBER(I137)),ROUND(I137-G137,8),"")</f>
        <v/>
      </c>
      <c r="L137" s="325" t="n"/>
      <c r="M137" s="316" t="n"/>
      <c r="N137" s="324" t="n"/>
    </row>
    <row r="138" ht="22" customHeight="1">
      <c r="B138" s="326" t="n"/>
      <c r="C138" s="319" t="n"/>
      <c r="D138" s="318" t="n"/>
      <c r="E138" s="320" t="n"/>
      <c r="F138" s="321" t="n"/>
      <c r="G138" s="327" t="n"/>
      <c r="H138" s="321" t="n"/>
      <c r="I138" s="327" t="n"/>
      <c r="J138" s="246">
        <f>IF(AND(L138="Закрыт",ISNUMBER(F138),ISNUMBER(H138)),ROUND(H138-F138,8),"")</f>
        <v/>
      </c>
      <c r="K138" s="247">
        <f>IF(AND(L138="Закрыт",ISNUMBER(G138),ISNUMBER(I138)),ROUND(I138-G138,8),"")</f>
        <v/>
      </c>
      <c r="L138" s="328" t="n"/>
      <c r="M138" s="321" t="n"/>
      <c r="N138" s="327" t="n"/>
    </row>
    <row r="139" ht="22" customHeight="1">
      <c r="B139" s="323" t="n"/>
      <c r="C139" s="314" t="n"/>
      <c r="D139" s="313" t="n"/>
      <c r="E139" s="315" t="n"/>
      <c r="F139" s="316" t="n"/>
      <c r="G139" s="324" t="n"/>
      <c r="H139" s="316" t="n"/>
      <c r="I139" s="324" t="n"/>
      <c r="J139" s="240">
        <f>IF(AND(L139="Закрыт",ISNUMBER(F139),ISNUMBER(H139)),ROUND(H139-F139,8),"")</f>
        <v/>
      </c>
      <c r="K139" s="241">
        <f>IF(AND(L139="Закрыт",ISNUMBER(G139),ISNUMBER(I139)),ROUND(I139-G139,8),"")</f>
        <v/>
      </c>
      <c r="L139" s="325" t="n"/>
      <c r="M139" s="316" t="n"/>
      <c r="N139" s="324" t="n"/>
    </row>
    <row r="140" ht="22" customHeight="1">
      <c r="B140" s="326" t="n"/>
      <c r="C140" s="319" t="n"/>
      <c r="D140" s="318" t="n"/>
      <c r="E140" s="320" t="n"/>
      <c r="F140" s="321" t="n"/>
      <c r="G140" s="327" t="n"/>
      <c r="H140" s="321" t="n"/>
      <c r="I140" s="327" t="n"/>
      <c r="J140" s="246">
        <f>IF(AND(L140="Закрыт",ISNUMBER(F140),ISNUMBER(H140)),ROUND(H140-F140,8),"")</f>
        <v/>
      </c>
      <c r="K140" s="247">
        <f>IF(AND(L140="Закрыт",ISNUMBER(G140),ISNUMBER(I140)),ROUND(I140-G140,8),"")</f>
        <v/>
      </c>
      <c r="L140" s="328" t="n"/>
      <c r="M140" s="321" t="n"/>
      <c r="N140" s="327" t="n"/>
    </row>
    <row r="141" ht="22" customHeight="1">
      <c r="B141" s="323" t="n"/>
      <c r="C141" s="314" t="n"/>
      <c r="D141" s="313" t="n"/>
      <c r="E141" s="315" t="n"/>
      <c r="F141" s="316" t="n"/>
      <c r="G141" s="324" t="n"/>
      <c r="H141" s="316" t="n"/>
      <c r="I141" s="324" t="n"/>
      <c r="J141" s="240">
        <f>IF(AND(L141="Закрыт",ISNUMBER(F141),ISNUMBER(H141)),ROUND(H141-F141,8),"")</f>
        <v/>
      </c>
      <c r="K141" s="241">
        <f>IF(AND(L141="Закрыт",ISNUMBER(G141),ISNUMBER(I141)),ROUND(I141-G141,8),"")</f>
        <v/>
      </c>
      <c r="L141" s="325" t="n"/>
      <c r="M141" s="316" t="n"/>
      <c r="N141" s="324" t="n"/>
    </row>
    <row r="142" ht="22" customHeight="1">
      <c r="B142" s="326" t="n"/>
      <c r="C142" s="319" t="n"/>
      <c r="D142" s="318" t="n"/>
      <c r="E142" s="320" t="n"/>
      <c r="F142" s="321" t="n"/>
      <c r="G142" s="327" t="n"/>
      <c r="H142" s="321" t="n"/>
      <c r="I142" s="327" t="n"/>
      <c r="J142" s="246">
        <f>IF(AND(L142="Закрыт",ISNUMBER(F142),ISNUMBER(H142)),ROUND(H142-F142,8),"")</f>
        <v/>
      </c>
      <c r="K142" s="247">
        <f>IF(AND(L142="Закрыт",ISNUMBER(G142),ISNUMBER(I142)),ROUND(I142-G142,8),"")</f>
        <v/>
      </c>
      <c r="L142" s="328" t="n"/>
      <c r="M142" s="321" t="n"/>
      <c r="N142" s="327" t="n"/>
    </row>
    <row r="143" ht="22" customHeight="1">
      <c r="B143" s="323" t="n"/>
      <c r="C143" s="314" t="n"/>
      <c r="D143" s="313" t="n"/>
      <c r="E143" s="315" t="n"/>
      <c r="F143" s="316" t="n"/>
      <c r="G143" s="324" t="n"/>
      <c r="H143" s="316" t="n"/>
      <c r="I143" s="324" t="n"/>
      <c r="J143" s="240">
        <f>IF(AND(L143="Закрыт",ISNUMBER(F143),ISNUMBER(H143)),ROUND(H143-F143,8),"")</f>
        <v/>
      </c>
      <c r="K143" s="241">
        <f>IF(AND(L143="Закрыт",ISNUMBER(G143),ISNUMBER(I143)),ROUND(I143-G143,8),"")</f>
        <v/>
      </c>
      <c r="L143" s="325" t="n"/>
      <c r="M143" s="316" t="n"/>
      <c r="N143" s="324" t="n"/>
    </row>
    <row r="144" ht="22" customHeight="1">
      <c r="B144" s="326" t="n"/>
      <c r="C144" s="319" t="n"/>
      <c r="D144" s="318" t="n"/>
      <c r="E144" s="320" t="n"/>
      <c r="F144" s="321" t="n"/>
      <c r="G144" s="327" t="n"/>
      <c r="H144" s="321" t="n"/>
      <c r="I144" s="327" t="n"/>
      <c r="J144" s="246">
        <f>IF(AND(L144="Закрыт",ISNUMBER(F144),ISNUMBER(H144)),ROUND(H144-F144,8),"")</f>
        <v/>
      </c>
      <c r="K144" s="247">
        <f>IF(AND(L144="Закрыт",ISNUMBER(G144),ISNUMBER(I144)),ROUND(I144-G144,8),"")</f>
        <v/>
      </c>
      <c r="L144" s="328" t="n"/>
      <c r="M144" s="321" t="n"/>
      <c r="N144" s="327" t="n"/>
    </row>
    <row r="145" ht="22" customHeight="1">
      <c r="B145" s="323" t="n"/>
      <c r="C145" s="314" t="n"/>
      <c r="D145" s="313" t="n"/>
      <c r="E145" s="315" t="n"/>
      <c r="F145" s="316" t="n"/>
      <c r="G145" s="324" t="n"/>
      <c r="H145" s="316" t="n"/>
      <c r="I145" s="324" t="n"/>
      <c r="J145" s="240">
        <f>IF(AND(L145="Закрыт",ISNUMBER(F145),ISNUMBER(H145)),ROUND(H145-F145,8),"")</f>
        <v/>
      </c>
      <c r="K145" s="241">
        <f>IF(AND(L145="Закрыт",ISNUMBER(G145),ISNUMBER(I145)),ROUND(I145-G145,8),"")</f>
        <v/>
      </c>
      <c r="L145" s="325" t="n"/>
      <c r="M145" s="316" t="n"/>
      <c r="N145" s="324" t="n"/>
    </row>
    <row r="146" ht="22" customHeight="1">
      <c r="B146" s="326" t="n"/>
      <c r="C146" s="319" t="n"/>
      <c r="D146" s="318" t="n"/>
      <c r="E146" s="320" t="n"/>
      <c r="F146" s="321" t="n"/>
      <c r="G146" s="327" t="n"/>
      <c r="H146" s="321" t="n"/>
      <c r="I146" s="327" t="n"/>
      <c r="J146" s="246">
        <f>IF(AND(L146="Закрыт",ISNUMBER(F146),ISNUMBER(H146)),ROUND(H146-F146,8),"")</f>
        <v/>
      </c>
      <c r="K146" s="247">
        <f>IF(AND(L146="Закрыт",ISNUMBER(G146),ISNUMBER(I146)),ROUND(I146-G146,8),"")</f>
        <v/>
      </c>
      <c r="L146" s="328" t="n"/>
      <c r="M146" s="321" t="n"/>
      <c r="N146" s="327" t="n"/>
    </row>
    <row r="147" ht="22" customHeight="1">
      <c r="B147" s="323" t="n"/>
      <c r="C147" s="314" t="n"/>
      <c r="D147" s="313" t="n"/>
      <c r="E147" s="315" t="n"/>
      <c r="F147" s="316" t="n"/>
      <c r="G147" s="324" t="n"/>
      <c r="H147" s="316" t="n"/>
      <c r="I147" s="324" t="n"/>
      <c r="J147" s="240">
        <f>IF(AND(L147="Закрыт",ISNUMBER(F147),ISNUMBER(H147)),ROUND(H147-F147,8),"")</f>
        <v/>
      </c>
      <c r="K147" s="241">
        <f>IF(AND(L147="Закрыт",ISNUMBER(G147),ISNUMBER(I147)),ROUND(I147-G147,8),"")</f>
        <v/>
      </c>
      <c r="L147" s="325" t="n"/>
      <c r="M147" s="316" t="n"/>
      <c r="N147" s="324" t="n"/>
    </row>
    <row r="148" ht="22" customHeight="1">
      <c r="B148" s="326" t="n"/>
      <c r="C148" s="319" t="n"/>
      <c r="D148" s="318" t="n"/>
      <c r="E148" s="320" t="n"/>
      <c r="F148" s="321" t="n"/>
      <c r="G148" s="327" t="n"/>
      <c r="H148" s="321" t="n"/>
      <c r="I148" s="327" t="n"/>
      <c r="J148" s="246">
        <f>IF(AND(L148="Закрыт",ISNUMBER(F148),ISNUMBER(H148)),ROUND(H148-F148,8),"")</f>
        <v/>
      </c>
      <c r="K148" s="247">
        <f>IF(AND(L148="Закрыт",ISNUMBER(G148),ISNUMBER(I148)),ROUND(I148-G148,8),"")</f>
        <v/>
      </c>
      <c r="L148" s="328" t="n"/>
      <c r="M148" s="321" t="n"/>
      <c r="N148" s="327" t="n"/>
    </row>
    <row r="149" ht="22" customHeight="1">
      <c r="B149" s="323" t="n"/>
      <c r="C149" s="314" t="n"/>
      <c r="D149" s="313" t="n"/>
      <c r="E149" s="315" t="n"/>
      <c r="F149" s="316" t="n"/>
      <c r="G149" s="324" t="n"/>
      <c r="H149" s="316" t="n"/>
      <c r="I149" s="324" t="n"/>
      <c r="J149" s="240">
        <f>IF(AND(L149="Закрыт",ISNUMBER(F149),ISNUMBER(H149)),ROUND(H149-F149,8),"")</f>
        <v/>
      </c>
      <c r="K149" s="241">
        <f>IF(AND(L149="Закрыт",ISNUMBER(G149),ISNUMBER(I149)),ROUND(I149-G149,8),"")</f>
        <v/>
      </c>
      <c r="L149" s="325" t="n"/>
      <c r="M149" s="316" t="n"/>
      <c r="N149" s="324" t="n"/>
    </row>
    <row r="150" ht="22" customHeight="1">
      <c r="B150" s="326" t="n"/>
      <c r="C150" s="319" t="n"/>
      <c r="D150" s="318" t="n"/>
      <c r="E150" s="320" t="n"/>
      <c r="F150" s="321" t="n"/>
      <c r="G150" s="327" t="n"/>
      <c r="H150" s="321" t="n"/>
      <c r="I150" s="327" t="n"/>
      <c r="J150" s="246">
        <f>IF(AND(L150="Закрыт",ISNUMBER(F150),ISNUMBER(H150)),ROUND(H150-F150,8),"")</f>
        <v/>
      </c>
      <c r="K150" s="247">
        <f>IF(AND(L150="Закрыт",ISNUMBER(G150),ISNUMBER(I150)),ROUND(I150-G150,8),"")</f>
        <v/>
      </c>
      <c r="L150" s="328" t="n"/>
      <c r="M150" s="321" t="n"/>
      <c r="N150" s="327" t="n"/>
    </row>
    <row r="151" ht="22" customHeight="1">
      <c r="B151" s="323" t="n"/>
      <c r="C151" s="314" t="n"/>
      <c r="D151" s="313" t="n"/>
      <c r="E151" s="315" t="n"/>
      <c r="F151" s="316" t="n"/>
      <c r="G151" s="324" t="n"/>
      <c r="H151" s="316" t="n"/>
      <c r="I151" s="324" t="n"/>
      <c r="J151" s="240">
        <f>IF(AND(L151="Закрыт",ISNUMBER(F151),ISNUMBER(H151)),ROUND(H151-F151,8),"")</f>
        <v/>
      </c>
      <c r="K151" s="241">
        <f>IF(AND(L151="Закрыт",ISNUMBER(G151),ISNUMBER(I151)),ROUND(I151-G151,8),"")</f>
        <v/>
      </c>
      <c r="L151" s="325" t="n"/>
      <c r="M151" s="316" t="n"/>
      <c r="N151" s="324" t="n"/>
    </row>
    <row r="152" ht="22" customHeight="1">
      <c r="B152" s="326" t="n"/>
      <c r="C152" s="319" t="n"/>
      <c r="D152" s="318" t="n"/>
      <c r="E152" s="320" t="n"/>
      <c r="F152" s="321" t="n"/>
      <c r="G152" s="327" t="n"/>
      <c r="H152" s="321" t="n"/>
      <c r="I152" s="327" t="n"/>
      <c r="J152" s="246">
        <f>IF(AND(L152="Закрыт",ISNUMBER(F152),ISNUMBER(H152)),ROUND(H152-F152,8),"")</f>
        <v/>
      </c>
      <c r="K152" s="247">
        <f>IF(AND(L152="Закрыт",ISNUMBER(G152),ISNUMBER(I152)),ROUND(I152-G152,8),"")</f>
        <v/>
      </c>
      <c r="L152" s="328" t="n"/>
      <c r="M152" s="321" t="n"/>
      <c r="N152" s="327" t="n"/>
    </row>
    <row r="153" ht="22" customHeight="1">
      <c r="B153" s="323" t="n"/>
      <c r="C153" s="314" t="n"/>
      <c r="D153" s="313" t="n"/>
      <c r="E153" s="315" t="n"/>
      <c r="F153" s="316" t="n"/>
      <c r="G153" s="324" t="n"/>
      <c r="H153" s="316" t="n"/>
      <c r="I153" s="324" t="n"/>
      <c r="J153" s="240">
        <f>IF(AND(L153="Закрыт",ISNUMBER(F153),ISNUMBER(H153)),ROUND(H153-F153,8),"")</f>
        <v/>
      </c>
      <c r="K153" s="241">
        <f>IF(AND(L153="Закрыт",ISNUMBER(G153),ISNUMBER(I153)),ROUND(I153-G153,8),"")</f>
        <v/>
      </c>
      <c r="L153" s="325" t="n"/>
      <c r="M153" s="316" t="n"/>
      <c r="N153" s="324" t="n"/>
    </row>
    <row r="154" ht="22" customHeight="1">
      <c r="B154" s="326" t="n"/>
      <c r="C154" s="319" t="n"/>
      <c r="D154" s="318" t="n"/>
      <c r="E154" s="320" t="n"/>
      <c r="F154" s="321" t="n"/>
      <c r="G154" s="327" t="n"/>
      <c r="H154" s="321" t="n"/>
      <c r="I154" s="327" t="n"/>
      <c r="J154" s="246">
        <f>IF(AND(L154="Закрыт",ISNUMBER(F154),ISNUMBER(H154)),ROUND(H154-F154,8),"")</f>
        <v/>
      </c>
      <c r="K154" s="247">
        <f>IF(AND(L154="Закрыт",ISNUMBER(G154),ISNUMBER(I154)),ROUND(I154-G154,8),"")</f>
        <v/>
      </c>
      <c r="L154" s="328" t="n"/>
      <c r="M154" s="321" t="n"/>
      <c r="N154" s="327" t="n"/>
    </row>
    <row r="155" ht="22" customHeight="1">
      <c r="B155" s="323" t="n"/>
      <c r="C155" s="314" t="n"/>
      <c r="D155" s="313" t="n"/>
      <c r="E155" s="315" t="n"/>
      <c r="F155" s="316" t="n"/>
      <c r="G155" s="324" t="n"/>
      <c r="H155" s="316" t="n"/>
      <c r="I155" s="324" t="n"/>
      <c r="J155" s="240">
        <f>IF(AND(L155="Закрыт",ISNUMBER(F155),ISNUMBER(H155)),ROUND(H155-F155,8),"")</f>
        <v/>
      </c>
      <c r="K155" s="241">
        <f>IF(AND(L155="Закрыт",ISNUMBER(G155),ISNUMBER(I155)),ROUND(I155-G155,8),"")</f>
        <v/>
      </c>
      <c r="L155" s="325" t="n"/>
      <c r="M155" s="316" t="n"/>
      <c r="N155" s="324" t="n"/>
    </row>
    <row r="156" ht="22" customHeight="1">
      <c r="B156" s="326" t="n"/>
      <c r="C156" s="319" t="n"/>
      <c r="D156" s="318" t="n"/>
      <c r="E156" s="320" t="n"/>
      <c r="F156" s="321" t="n"/>
      <c r="G156" s="327" t="n"/>
      <c r="H156" s="321" t="n"/>
      <c r="I156" s="327" t="n"/>
      <c r="J156" s="246">
        <f>IF(AND(L156="Закрыт",ISNUMBER(F156),ISNUMBER(H156)),ROUND(H156-F156,8),"")</f>
        <v/>
      </c>
      <c r="K156" s="247">
        <f>IF(AND(L156="Закрыт",ISNUMBER(G156),ISNUMBER(I156)),ROUND(I156-G156,8),"")</f>
        <v/>
      </c>
      <c r="L156" s="328" t="n"/>
      <c r="M156" s="321" t="n"/>
      <c r="N156" s="327" t="n"/>
    </row>
    <row r="157" ht="22" customHeight="1">
      <c r="B157" s="323" t="n"/>
      <c r="C157" s="314" t="n"/>
      <c r="D157" s="313" t="n"/>
      <c r="E157" s="315" t="n"/>
      <c r="F157" s="316" t="n"/>
      <c r="G157" s="324" t="n"/>
      <c r="H157" s="316" t="n"/>
      <c r="I157" s="324" t="n"/>
      <c r="J157" s="240">
        <f>IF(AND(L157="Закрыт",ISNUMBER(F157),ISNUMBER(H157)),ROUND(H157-F157,8),"")</f>
        <v/>
      </c>
      <c r="K157" s="241">
        <f>IF(AND(L157="Закрыт",ISNUMBER(G157),ISNUMBER(I157)),ROUND(I157-G157,8),"")</f>
        <v/>
      </c>
      <c r="L157" s="325" t="n"/>
      <c r="M157" s="316" t="n"/>
      <c r="N157" s="324" t="n"/>
    </row>
    <row r="158" ht="22" customHeight="1">
      <c r="B158" s="326" t="n"/>
      <c r="C158" s="319" t="n"/>
      <c r="D158" s="318" t="n"/>
      <c r="E158" s="320" t="n"/>
      <c r="F158" s="321" t="n"/>
      <c r="G158" s="327" t="n"/>
      <c r="H158" s="321" t="n"/>
      <c r="I158" s="327" t="n"/>
      <c r="J158" s="246">
        <f>IF(AND(L158="Закрыт",ISNUMBER(F158),ISNUMBER(H158)),ROUND(H158-F158,8),"")</f>
        <v/>
      </c>
      <c r="K158" s="247">
        <f>IF(AND(L158="Закрыт",ISNUMBER(G158),ISNUMBER(I158)),ROUND(I158-G158,8),"")</f>
        <v/>
      </c>
      <c r="L158" s="328" t="n"/>
      <c r="M158" s="321" t="n"/>
      <c r="N158" s="327" t="n"/>
    </row>
    <row r="159" ht="22" customHeight="1">
      <c r="B159" s="323" t="n"/>
      <c r="C159" s="314" t="n"/>
      <c r="D159" s="313" t="n"/>
      <c r="E159" s="315" t="n"/>
      <c r="F159" s="316" t="n"/>
      <c r="G159" s="324" t="n"/>
      <c r="H159" s="316" t="n"/>
      <c r="I159" s="324" t="n"/>
      <c r="J159" s="240">
        <f>IF(AND(L159="Закрыт",ISNUMBER(F159),ISNUMBER(H159)),ROUND(H159-F159,8),"")</f>
        <v/>
      </c>
      <c r="K159" s="241">
        <f>IF(AND(L159="Закрыт",ISNUMBER(G159),ISNUMBER(I159)),ROUND(I159-G159,8),"")</f>
        <v/>
      </c>
      <c r="L159" s="325" t="n"/>
      <c r="M159" s="316" t="n"/>
      <c r="N159" s="324" t="n"/>
    </row>
    <row r="160" ht="22" customHeight="1">
      <c r="B160" s="326" t="n"/>
      <c r="C160" s="319" t="n"/>
      <c r="D160" s="318" t="n"/>
      <c r="E160" s="320" t="n"/>
      <c r="F160" s="321" t="n"/>
      <c r="G160" s="327" t="n"/>
      <c r="H160" s="321" t="n"/>
      <c r="I160" s="327" t="n"/>
      <c r="J160" s="246">
        <f>IF(AND(L160="Закрыт",ISNUMBER(F160),ISNUMBER(H160)),ROUND(H160-F160,8),"")</f>
        <v/>
      </c>
      <c r="K160" s="247">
        <f>IF(AND(L160="Закрыт",ISNUMBER(G160),ISNUMBER(I160)),ROUND(I160-G160,8),"")</f>
        <v/>
      </c>
      <c r="L160" s="328" t="n"/>
      <c r="M160" s="321" t="n"/>
      <c r="N160" s="327" t="n"/>
    </row>
    <row r="161" ht="22" customHeight="1">
      <c r="B161" s="323" t="n"/>
      <c r="C161" s="314" t="n"/>
      <c r="D161" s="313" t="n"/>
      <c r="E161" s="315" t="n"/>
      <c r="F161" s="316" t="n"/>
      <c r="G161" s="324" t="n"/>
      <c r="H161" s="316" t="n"/>
      <c r="I161" s="324" t="n"/>
      <c r="J161" s="240">
        <f>IF(AND(L161="Закрыт",ISNUMBER(F161),ISNUMBER(H161)),ROUND(H161-F161,8),"")</f>
        <v/>
      </c>
      <c r="K161" s="241">
        <f>IF(AND(L161="Закрыт",ISNUMBER(G161),ISNUMBER(I161)),ROUND(I161-G161,8),"")</f>
        <v/>
      </c>
      <c r="L161" s="325" t="n"/>
      <c r="M161" s="316" t="n"/>
      <c r="N161" s="324" t="n"/>
    </row>
    <row r="162" ht="22" customHeight="1">
      <c r="B162" s="326" t="n"/>
      <c r="C162" s="319" t="n"/>
      <c r="D162" s="318" t="n"/>
      <c r="E162" s="320" t="n"/>
      <c r="F162" s="321" t="n"/>
      <c r="G162" s="327" t="n"/>
      <c r="H162" s="321" t="n"/>
      <c r="I162" s="327" t="n"/>
      <c r="J162" s="246">
        <f>IF(AND(L162="Закрыт",ISNUMBER(F162),ISNUMBER(H162)),ROUND(H162-F162,8),"")</f>
        <v/>
      </c>
      <c r="K162" s="247">
        <f>IF(AND(L162="Закрыт",ISNUMBER(G162),ISNUMBER(I162)),ROUND(I162-G162,8),"")</f>
        <v/>
      </c>
      <c r="L162" s="328" t="n"/>
      <c r="M162" s="321" t="n"/>
      <c r="N162" s="327" t="n"/>
    </row>
    <row r="163" ht="22" customHeight="1">
      <c r="B163" s="323" t="n"/>
      <c r="C163" s="314" t="n"/>
      <c r="D163" s="313" t="n"/>
      <c r="E163" s="315" t="n"/>
      <c r="F163" s="316" t="n"/>
      <c r="G163" s="324" t="n"/>
      <c r="H163" s="316" t="n"/>
      <c r="I163" s="324" t="n"/>
      <c r="J163" s="240">
        <f>IF(AND(L163="Закрыт",ISNUMBER(F163),ISNUMBER(H163)),ROUND(H163-F163,8),"")</f>
        <v/>
      </c>
      <c r="K163" s="241">
        <f>IF(AND(L163="Закрыт",ISNUMBER(G163),ISNUMBER(I163)),ROUND(I163-G163,8),"")</f>
        <v/>
      </c>
      <c r="L163" s="325" t="n"/>
      <c r="M163" s="316" t="n"/>
      <c r="N163" s="324" t="n"/>
    </row>
    <row r="164" ht="22" customHeight="1">
      <c r="B164" s="326" t="n"/>
      <c r="C164" s="319" t="n"/>
      <c r="D164" s="318" t="n"/>
      <c r="E164" s="320" t="n"/>
      <c r="F164" s="321" t="n"/>
      <c r="G164" s="327" t="n"/>
      <c r="H164" s="321" t="n"/>
      <c r="I164" s="327" t="n"/>
      <c r="J164" s="246">
        <f>IF(AND(L164="Закрыт",ISNUMBER(F164),ISNUMBER(H164)),ROUND(H164-F164,8),"")</f>
        <v/>
      </c>
      <c r="K164" s="247">
        <f>IF(AND(L164="Закрыт",ISNUMBER(G164),ISNUMBER(I164)),ROUND(I164-G164,8),"")</f>
        <v/>
      </c>
      <c r="L164" s="328" t="n"/>
      <c r="M164" s="321" t="n"/>
      <c r="N164" s="327" t="n"/>
    </row>
    <row r="165" ht="22" customHeight="1">
      <c r="B165" s="323" t="n"/>
      <c r="C165" s="314" t="n"/>
      <c r="D165" s="313" t="n"/>
      <c r="E165" s="315" t="n"/>
      <c r="F165" s="316" t="n"/>
      <c r="G165" s="324" t="n"/>
      <c r="H165" s="316" t="n"/>
      <c r="I165" s="324" t="n"/>
      <c r="J165" s="240">
        <f>IF(AND(L165="Закрыт",ISNUMBER(F165),ISNUMBER(H165)),ROUND(H165-F165,8),"")</f>
        <v/>
      </c>
      <c r="K165" s="241">
        <f>IF(AND(L165="Закрыт",ISNUMBER(G165),ISNUMBER(I165)),ROUND(I165-G165,8),"")</f>
        <v/>
      </c>
      <c r="L165" s="325" t="n"/>
      <c r="M165" s="316" t="n"/>
      <c r="N165" s="324" t="n"/>
    </row>
    <row r="166" ht="22" customHeight="1">
      <c r="B166" s="326" t="n"/>
      <c r="C166" s="319" t="n"/>
      <c r="D166" s="318" t="n"/>
      <c r="E166" s="320" t="n"/>
      <c r="F166" s="321" t="n"/>
      <c r="G166" s="327" t="n"/>
      <c r="H166" s="321" t="n"/>
      <c r="I166" s="327" t="n"/>
      <c r="J166" s="246">
        <f>IF(AND(L166="Закрыт",ISNUMBER(F166),ISNUMBER(H166)),ROUND(H166-F166,8),"")</f>
        <v/>
      </c>
      <c r="K166" s="247">
        <f>IF(AND(L166="Закрыт",ISNUMBER(G166),ISNUMBER(I166)),ROUND(I166-G166,8),"")</f>
        <v/>
      </c>
      <c r="L166" s="328" t="n"/>
      <c r="M166" s="321" t="n"/>
      <c r="N166" s="327" t="n"/>
    </row>
    <row r="167" ht="22" customHeight="1">
      <c r="B167" s="323" t="n"/>
      <c r="C167" s="314" t="n"/>
      <c r="D167" s="313" t="n"/>
      <c r="E167" s="315" t="n"/>
      <c r="F167" s="316" t="n"/>
      <c r="G167" s="324" t="n"/>
      <c r="H167" s="316" t="n"/>
      <c r="I167" s="324" t="n"/>
      <c r="J167" s="240">
        <f>IF(AND(L167="Закрыт",ISNUMBER(F167),ISNUMBER(H167)),ROUND(H167-F167,8),"")</f>
        <v/>
      </c>
      <c r="K167" s="241">
        <f>IF(AND(L167="Закрыт",ISNUMBER(G167),ISNUMBER(I167)),ROUND(I167-G167,8),"")</f>
        <v/>
      </c>
      <c r="L167" s="325" t="n"/>
      <c r="M167" s="316" t="n"/>
      <c r="N167" s="324" t="n"/>
    </row>
    <row r="168" ht="22" customHeight="1">
      <c r="B168" s="326" t="n"/>
      <c r="C168" s="319" t="n"/>
      <c r="D168" s="318" t="n"/>
      <c r="E168" s="320" t="n"/>
      <c r="F168" s="321" t="n"/>
      <c r="G168" s="327" t="n"/>
      <c r="H168" s="321" t="n"/>
      <c r="I168" s="327" t="n"/>
      <c r="J168" s="246">
        <f>IF(AND(L168="Закрыт",ISNUMBER(F168),ISNUMBER(H168)),ROUND(H168-F168,8),"")</f>
        <v/>
      </c>
      <c r="K168" s="247">
        <f>IF(AND(L168="Закрыт",ISNUMBER(G168),ISNUMBER(I168)),ROUND(I168-G168,8),"")</f>
        <v/>
      </c>
      <c r="L168" s="328" t="n"/>
      <c r="M168" s="321" t="n"/>
      <c r="N168" s="327" t="n"/>
    </row>
    <row r="169" ht="22" customHeight="1">
      <c r="B169" s="323" t="n"/>
      <c r="C169" s="314" t="n"/>
      <c r="D169" s="313" t="n"/>
      <c r="E169" s="315" t="n"/>
      <c r="F169" s="316" t="n"/>
      <c r="G169" s="324" t="n"/>
      <c r="H169" s="316" t="n"/>
      <c r="I169" s="324" t="n"/>
      <c r="J169" s="240">
        <f>IF(AND(L169="Закрыт",ISNUMBER(F169),ISNUMBER(H169)),ROUND(H169-F169,8),"")</f>
        <v/>
      </c>
      <c r="K169" s="241">
        <f>IF(AND(L169="Закрыт",ISNUMBER(G169),ISNUMBER(I169)),ROUND(I169-G169,8),"")</f>
        <v/>
      </c>
      <c r="L169" s="325" t="n"/>
      <c r="M169" s="316" t="n"/>
      <c r="N169" s="324" t="n"/>
    </row>
    <row r="170" ht="22" customHeight="1">
      <c r="B170" s="326" t="n"/>
      <c r="C170" s="319" t="n"/>
      <c r="D170" s="318" t="n"/>
      <c r="E170" s="320" t="n"/>
      <c r="F170" s="321" t="n"/>
      <c r="G170" s="327" t="n"/>
      <c r="H170" s="321" t="n"/>
      <c r="I170" s="327" t="n"/>
      <c r="J170" s="246">
        <f>IF(AND(L170="Закрыт",ISNUMBER(F170),ISNUMBER(H170)),ROUND(H170-F170,8),"")</f>
        <v/>
      </c>
      <c r="K170" s="247">
        <f>IF(AND(L170="Закрыт",ISNUMBER(G170),ISNUMBER(I170)),ROUND(I170-G170,8),"")</f>
        <v/>
      </c>
      <c r="L170" s="328" t="n"/>
      <c r="M170" s="321" t="n"/>
      <c r="N170" s="327" t="n"/>
    </row>
    <row r="171" ht="22" customHeight="1">
      <c r="B171" s="323" t="n"/>
      <c r="C171" s="314" t="n"/>
      <c r="D171" s="313" t="n"/>
      <c r="E171" s="315" t="n"/>
      <c r="F171" s="316" t="n"/>
      <c r="G171" s="324" t="n"/>
      <c r="H171" s="316" t="n"/>
      <c r="I171" s="324" t="n"/>
      <c r="J171" s="240">
        <f>IF(AND(L171="Закрыт",ISNUMBER(F171),ISNUMBER(H171)),ROUND(H171-F171,8),"")</f>
        <v/>
      </c>
      <c r="K171" s="241">
        <f>IF(AND(L171="Закрыт",ISNUMBER(G171),ISNUMBER(I171)),ROUND(I171-G171,8),"")</f>
        <v/>
      </c>
      <c r="L171" s="325" t="n"/>
      <c r="M171" s="316" t="n"/>
      <c r="N171" s="324" t="n"/>
    </row>
    <row r="172" ht="22" customHeight="1">
      <c r="B172" s="326" t="n"/>
      <c r="C172" s="319" t="n"/>
      <c r="D172" s="318" t="n"/>
      <c r="E172" s="320" t="n"/>
      <c r="F172" s="321" t="n"/>
      <c r="G172" s="327" t="n"/>
      <c r="H172" s="321" t="n"/>
      <c r="I172" s="327" t="n"/>
      <c r="J172" s="246">
        <f>IF(AND(L172="Закрыт",ISNUMBER(F172),ISNUMBER(H172)),ROUND(H172-F172,8),"")</f>
        <v/>
      </c>
      <c r="K172" s="247">
        <f>IF(AND(L172="Закрыт",ISNUMBER(G172),ISNUMBER(I172)),ROUND(I172-G172,8),"")</f>
        <v/>
      </c>
      <c r="L172" s="328" t="n"/>
      <c r="M172" s="321" t="n"/>
      <c r="N172" s="327" t="n"/>
    </row>
    <row r="173" ht="22" customHeight="1">
      <c r="B173" s="323" t="n"/>
      <c r="C173" s="314" t="n"/>
      <c r="D173" s="313" t="n"/>
      <c r="E173" s="315" t="n"/>
      <c r="F173" s="316" t="n"/>
      <c r="G173" s="324" t="n"/>
      <c r="H173" s="316" t="n"/>
      <c r="I173" s="324" t="n"/>
      <c r="J173" s="240">
        <f>IF(AND(L173="Закрыт",ISNUMBER(F173),ISNUMBER(H173)),ROUND(H173-F173,8),"")</f>
        <v/>
      </c>
      <c r="K173" s="241">
        <f>IF(AND(L173="Закрыт",ISNUMBER(G173),ISNUMBER(I173)),ROUND(I173-G173,8),"")</f>
        <v/>
      </c>
      <c r="L173" s="325" t="n"/>
      <c r="M173" s="316" t="n"/>
      <c r="N173" s="324" t="n"/>
    </row>
    <row r="174" ht="22" customHeight="1">
      <c r="B174" s="326" t="n"/>
      <c r="C174" s="319" t="n"/>
      <c r="D174" s="318" t="n"/>
      <c r="E174" s="320" t="n"/>
      <c r="F174" s="321" t="n"/>
      <c r="G174" s="327" t="n"/>
      <c r="H174" s="321" t="n"/>
      <c r="I174" s="327" t="n"/>
      <c r="J174" s="246">
        <f>IF(AND(L174="Закрыт",ISNUMBER(F174),ISNUMBER(H174)),ROUND(H174-F174,8),"")</f>
        <v/>
      </c>
      <c r="K174" s="247">
        <f>IF(AND(L174="Закрыт",ISNUMBER(G174),ISNUMBER(I174)),ROUND(I174-G174,8),"")</f>
        <v/>
      </c>
      <c r="L174" s="328" t="n"/>
      <c r="M174" s="321" t="n"/>
      <c r="N174" s="327" t="n"/>
    </row>
    <row r="175" ht="22" customHeight="1">
      <c r="B175" s="323" t="n"/>
      <c r="C175" s="314" t="n"/>
      <c r="D175" s="313" t="n"/>
      <c r="E175" s="315" t="n"/>
      <c r="F175" s="316" t="n"/>
      <c r="G175" s="324" t="n"/>
      <c r="H175" s="316" t="n"/>
      <c r="I175" s="324" t="n"/>
      <c r="J175" s="240">
        <f>IF(AND(L175="Закрыт",ISNUMBER(F175),ISNUMBER(H175)),ROUND(H175-F175,8),"")</f>
        <v/>
      </c>
      <c r="K175" s="241">
        <f>IF(AND(L175="Закрыт",ISNUMBER(G175),ISNUMBER(I175)),ROUND(I175-G175,8),"")</f>
        <v/>
      </c>
      <c r="L175" s="325" t="n"/>
      <c r="M175" s="316" t="n"/>
      <c r="N175" s="324" t="n"/>
    </row>
    <row r="176" ht="22" customHeight="1">
      <c r="B176" s="326" t="n"/>
      <c r="C176" s="319" t="n"/>
      <c r="D176" s="318" t="n"/>
      <c r="E176" s="320" t="n"/>
      <c r="F176" s="321" t="n"/>
      <c r="G176" s="327" t="n"/>
      <c r="H176" s="321" t="n"/>
      <c r="I176" s="327" t="n"/>
      <c r="J176" s="246">
        <f>IF(AND(L176="Закрыт",ISNUMBER(F176),ISNUMBER(H176)),ROUND(H176-F176,8),"")</f>
        <v/>
      </c>
      <c r="K176" s="247">
        <f>IF(AND(L176="Закрыт",ISNUMBER(G176),ISNUMBER(I176)),ROUND(I176-G176,8),"")</f>
        <v/>
      </c>
      <c r="L176" s="328" t="n"/>
      <c r="M176" s="321" t="n"/>
      <c r="N176" s="327" t="n"/>
    </row>
    <row r="177" ht="22" customHeight="1">
      <c r="B177" s="323" t="n"/>
      <c r="C177" s="314" t="n"/>
      <c r="D177" s="313" t="n"/>
      <c r="E177" s="315" t="n"/>
      <c r="F177" s="316" t="n"/>
      <c r="G177" s="324" t="n"/>
      <c r="H177" s="316" t="n"/>
      <c r="I177" s="324" t="n"/>
      <c r="J177" s="240">
        <f>IF(AND(L177="Закрыт",ISNUMBER(F177),ISNUMBER(H177)),ROUND(H177-F177,8),"")</f>
        <v/>
      </c>
      <c r="K177" s="241">
        <f>IF(AND(L177="Закрыт",ISNUMBER(G177),ISNUMBER(I177)),ROUND(I177-G177,8),"")</f>
        <v/>
      </c>
      <c r="L177" s="325" t="n"/>
      <c r="M177" s="316" t="n"/>
      <c r="N177" s="324" t="n"/>
    </row>
    <row r="178" ht="22" customHeight="1">
      <c r="B178" s="326" t="n"/>
      <c r="C178" s="319" t="n"/>
      <c r="D178" s="318" t="n"/>
      <c r="E178" s="320" t="n"/>
      <c r="F178" s="321" t="n"/>
      <c r="G178" s="327" t="n"/>
      <c r="H178" s="321" t="n"/>
      <c r="I178" s="327" t="n"/>
      <c r="J178" s="246">
        <f>IF(AND(L178="Закрыт",ISNUMBER(F178),ISNUMBER(H178)),ROUND(H178-F178,8),"")</f>
        <v/>
      </c>
      <c r="K178" s="247">
        <f>IF(AND(L178="Закрыт",ISNUMBER(G178),ISNUMBER(I178)),ROUND(I178-G178,8),"")</f>
        <v/>
      </c>
      <c r="L178" s="328" t="n"/>
      <c r="M178" s="321" t="n"/>
      <c r="N178" s="327" t="n"/>
    </row>
    <row r="179" ht="22" customHeight="1">
      <c r="B179" s="323" t="n"/>
      <c r="C179" s="314" t="n"/>
      <c r="D179" s="313" t="n"/>
      <c r="E179" s="315" t="n"/>
      <c r="F179" s="316" t="n"/>
      <c r="G179" s="324" t="n"/>
      <c r="H179" s="316" t="n"/>
      <c r="I179" s="324" t="n"/>
      <c r="J179" s="240">
        <f>IF(AND(L179="Закрыт",ISNUMBER(F179),ISNUMBER(H179)),ROUND(H179-F179,8),"")</f>
        <v/>
      </c>
      <c r="K179" s="241">
        <f>IF(AND(L179="Закрыт",ISNUMBER(G179),ISNUMBER(I179)),ROUND(I179-G179,8),"")</f>
        <v/>
      </c>
      <c r="L179" s="325" t="n"/>
      <c r="M179" s="316" t="n"/>
      <c r="N179" s="324" t="n"/>
    </row>
    <row r="180" ht="22" customHeight="1">
      <c r="B180" s="326" t="n"/>
      <c r="C180" s="319" t="n"/>
      <c r="D180" s="318" t="n"/>
      <c r="E180" s="320" t="n"/>
      <c r="F180" s="321" t="n"/>
      <c r="G180" s="327" t="n"/>
      <c r="H180" s="321" t="n"/>
      <c r="I180" s="327" t="n"/>
      <c r="J180" s="246">
        <f>IF(AND(L180="Закрыт",ISNUMBER(F180),ISNUMBER(H180)),ROUND(H180-F180,8),"")</f>
        <v/>
      </c>
      <c r="K180" s="247">
        <f>IF(AND(L180="Закрыт",ISNUMBER(G180),ISNUMBER(I180)),ROUND(I180-G180,8),"")</f>
        <v/>
      </c>
      <c r="L180" s="328" t="n"/>
      <c r="M180" s="321" t="n"/>
      <c r="N180" s="327" t="n"/>
    </row>
    <row r="181" ht="22" customHeight="1">
      <c r="B181" s="323" t="n"/>
      <c r="C181" s="314" t="n"/>
      <c r="D181" s="313" t="n"/>
      <c r="E181" s="315" t="n"/>
      <c r="F181" s="316" t="n"/>
      <c r="G181" s="324" t="n"/>
      <c r="H181" s="316" t="n"/>
      <c r="I181" s="324" t="n"/>
      <c r="J181" s="240">
        <f>IF(AND(L181="Закрыт",ISNUMBER(F181),ISNUMBER(H181)),ROUND(H181-F181,8),"")</f>
        <v/>
      </c>
      <c r="K181" s="241">
        <f>IF(AND(L181="Закрыт",ISNUMBER(G181),ISNUMBER(I181)),ROUND(I181-G181,8),"")</f>
        <v/>
      </c>
      <c r="L181" s="325" t="n"/>
      <c r="M181" s="316" t="n"/>
      <c r="N181" s="324" t="n"/>
    </row>
    <row r="182" ht="22" customHeight="1">
      <c r="B182" s="326" t="n"/>
      <c r="C182" s="319" t="n"/>
      <c r="D182" s="318" t="n"/>
      <c r="E182" s="320" t="n"/>
      <c r="F182" s="321" t="n"/>
      <c r="G182" s="327" t="n"/>
      <c r="H182" s="321" t="n"/>
      <c r="I182" s="327" t="n"/>
      <c r="J182" s="246">
        <f>IF(AND(L182="Закрыт",ISNUMBER(F182),ISNUMBER(H182)),ROUND(H182-F182,8),"")</f>
        <v/>
      </c>
      <c r="K182" s="247">
        <f>IF(AND(L182="Закрыт",ISNUMBER(G182),ISNUMBER(I182)),ROUND(I182-G182,8),"")</f>
        <v/>
      </c>
      <c r="L182" s="328" t="n"/>
      <c r="M182" s="321" t="n"/>
      <c r="N182" s="327" t="n"/>
    </row>
    <row r="183" ht="22" customHeight="1">
      <c r="B183" s="323" t="n"/>
      <c r="C183" s="314" t="n"/>
      <c r="D183" s="313" t="n"/>
      <c r="E183" s="315" t="n"/>
      <c r="F183" s="316" t="n"/>
      <c r="G183" s="324" t="n"/>
      <c r="H183" s="316" t="n"/>
      <c r="I183" s="324" t="n"/>
      <c r="J183" s="240">
        <f>IF(AND(L183="Закрыт",ISNUMBER(F183),ISNUMBER(H183)),ROUND(H183-F183,8),"")</f>
        <v/>
      </c>
      <c r="K183" s="241">
        <f>IF(AND(L183="Закрыт",ISNUMBER(G183),ISNUMBER(I183)),ROUND(I183-G183,8),"")</f>
        <v/>
      </c>
      <c r="L183" s="325" t="n"/>
      <c r="M183" s="316" t="n"/>
      <c r="N183" s="324" t="n"/>
    </row>
    <row r="184" ht="22" customHeight="1">
      <c r="B184" s="326" t="n"/>
      <c r="C184" s="319" t="n"/>
      <c r="D184" s="318" t="n"/>
      <c r="E184" s="320" t="n"/>
      <c r="F184" s="321" t="n"/>
      <c r="G184" s="327" t="n"/>
      <c r="H184" s="321" t="n"/>
      <c r="I184" s="327" t="n"/>
      <c r="J184" s="246">
        <f>IF(AND(L184="Закрыт",ISNUMBER(F184),ISNUMBER(H184)),ROUND(H184-F184,8),"")</f>
        <v/>
      </c>
      <c r="K184" s="247">
        <f>IF(AND(L184="Закрыт",ISNUMBER(G184),ISNUMBER(I184)),ROUND(I184-G184,8),"")</f>
        <v/>
      </c>
      <c r="L184" s="328" t="n"/>
      <c r="M184" s="321" t="n"/>
      <c r="N184" s="327" t="n"/>
    </row>
    <row r="185" ht="22" customHeight="1">
      <c r="B185" s="323" t="n"/>
      <c r="C185" s="314" t="n"/>
      <c r="D185" s="313" t="n"/>
      <c r="E185" s="315" t="n"/>
      <c r="F185" s="316" t="n"/>
      <c r="G185" s="324" t="n"/>
      <c r="H185" s="316" t="n"/>
      <c r="I185" s="324" t="n"/>
      <c r="J185" s="240">
        <f>IF(AND(L185="Закрыт",ISNUMBER(F185),ISNUMBER(H185)),ROUND(H185-F185,8),"")</f>
        <v/>
      </c>
      <c r="K185" s="241">
        <f>IF(AND(L185="Закрыт",ISNUMBER(G185),ISNUMBER(I185)),ROUND(I185-G185,8),"")</f>
        <v/>
      </c>
      <c r="L185" s="325" t="n"/>
      <c r="M185" s="316" t="n"/>
      <c r="N185" s="324" t="n"/>
    </row>
    <row r="186" ht="22" customHeight="1">
      <c r="B186" s="326" t="n"/>
      <c r="C186" s="319" t="n"/>
      <c r="D186" s="318" t="n"/>
      <c r="E186" s="320" t="n"/>
      <c r="F186" s="321" t="n"/>
      <c r="G186" s="327" t="n"/>
      <c r="H186" s="321" t="n"/>
      <c r="I186" s="327" t="n"/>
      <c r="J186" s="246">
        <f>IF(AND(L186="Закрыт",ISNUMBER(F186),ISNUMBER(H186)),ROUND(H186-F186,8),"")</f>
        <v/>
      </c>
      <c r="K186" s="247">
        <f>IF(AND(L186="Закрыт",ISNUMBER(G186),ISNUMBER(I186)),ROUND(I186-G186,8),"")</f>
        <v/>
      </c>
      <c r="L186" s="328" t="n"/>
      <c r="M186" s="321" t="n"/>
      <c r="N186" s="327" t="n"/>
    </row>
    <row r="187" ht="22" customHeight="1">
      <c r="B187" s="323" t="n"/>
      <c r="C187" s="314" t="n"/>
      <c r="D187" s="313" t="n"/>
      <c r="E187" s="315" t="n"/>
      <c r="F187" s="316" t="n"/>
      <c r="G187" s="324" t="n"/>
      <c r="H187" s="316" t="n"/>
      <c r="I187" s="324" t="n"/>
      <c r="J187" s="240">
        <f>IF(AND(L187="Закрыт",ISNUMBER(F187),ISNUMBER(H187)),ROUND(H187-F187,8),"")</f>
        <v/>
      </c>
      <c r="K187" s="241">
        <f>IF(AND(L187="Закрыт",ISNUMBER(G187),ISNUMBER(I187)),ROUND(I187-G187,8),"")</f>
        <v/>
      </c>
      <c r="L187" s="325" t="n"/>
      <c r="M187" s="316" t="n"/>
      <c r="N187" s="324" t="n"/>
    </row>
    <row r="188" ht="22" customHeight="1">
      <c r="B188" s="326" t="n"/>
      <c r="C188" s="319" t="n"/>
      <c r="D188" s="318" t="n"/>
      <c r="E188" s="320" t="n"/>
      <c r="F188" s="321" t="n"/>
      <c r="G188" s="327" t="n"/>
      <c r="H188" s="321" t="n"/>
      <c r="I188" s="327" t="n"/>
      <c r="J188" s="246">
        <f>IF(AND(L188="Закрыт",ISNUMBER(F188),ISNUMBER(H188)),ROUND(H188-F188,8),"")</f>
        <v/>
      </c>
      <c r="K188" s="247">
        <f>IF(AND(L188="Закрыт",ISNUMBER(G188),ISNUMBER(I188)),ROUND(I188-G188,8),"")</f>
        <v/>
      </c>
      <c r="L188" s="328" t="n"/>
      <c r="M188" s="321" t="n"/>
      <c r="N188" s="327" t="n"/>
    </row>
    <row r="189" ht="22" customHeight="1">
      <c r="B189" s="323" t="n"/>
      <c r="C189" s="314" t="n"/>
      <c r="D189" s="313" t="n"/>
      <c r="E189" s="315" t="n"/>
      <c r="F189" s="316" t="n"/>
      <c r="G189" s="324" t="n"/>
      <c r="H189" s="316" t="n"/>
      <c r="I189" s="324" t="n"/>
      <c r="J189" s="240">
        <f>IF(AND(L189="Закрыт",ISNUMBER(F189),ISNUMBER(H189)),ROUND(H189-F189,8),"")</f>
        <v/>
      </c>
      <c r="K189" s="241">
        <f>IF(AND(L189="Закрыт",ISNUMBER(G189),ISNUMBER(I189)),ROUND(I189-G189,8),"")</f>
        <v/>
      </c>
      <c r="L189" s="325" t="n"/>
      <c r="M189" s="316" t="n"/>
      <c r="N189" s="324" t="n"/>
    </row>
    <row r="190" ht="22" customHeight="1">
      <c r="B190" s="326" t="n"/>
      <c r="C190" s="319" t="n"/>
      <c r="D190" s="318" t="n"/>
      <c r="E190" s="320" t="n"/>
      <c r="F190" s="321" t="n"/>
      <c r="G190" s="327" t="n"/>
      <c r="H190" s="321" t="n"/>
      <c r="I190" s="327" t="n"/>
      <c r="J190" s="246">
        <f>IF(AND(L190="Закрыт",ISNUMBER(F190),ISNUMBER(H190)),ROUND(H190-F190,8),"")</f>
        <v/>
      </c>
      <c r="K190" s="247">
        <f>IF(AND(L190="Закрыт",ISNUMBER(G190),ISNUMBER(I190)),ROUND(I190-G190,8),"")</f>
        <v/>
      </c>
      <c r="L190" s="328" t="n"/>
      <c r="M190" s="321" t="n"/>
      <c r="N190" s="327" t="n"/>
    </row>
    <row r="191" ht="22" customHeight="1">
      <c r="B191" s="323" t="n"/>
      <c r="C191" s="314" t="n"/>
      <c r="D191" s="313" t="n"/>
      <c r="E191" s="315" t="n"/>
      <c r="F191" s="316" t="n"/>
      <c r="G191" s="324" t="n"/>
      <c r="H191" s="316" t="n"/>
      <c r="I191" s="324" t="n"/>
      <c r="J191" s="240">
        <f>IF(AND(L191="Закрыт",ISNUMBER(F191),ISNUMBER(H191)),ROUND(H191-F191,8),"")</f>
        <v/>
      </c>
      <c r="K191" s="241">
        <f>IF(AND(L191="Закрыт",ISNUMBER(G191),ISNUMBER(I191)),ROUND(I191-G191,8),"")</f>
        <v/>
      </c>
      <c r="L191" s="325" t="n"/>
      <c r="M191" s="316" t="n"/>
      <c r="N191" s="324" t="n"/>
    </row>
    <row r="192" ht="22" customHeight="1">
      <c r="B192" s="326" t="n"/>
      <c r="C192" s="319" t="n"/>
      <c r="D192" s="318" t="n"/>
      <c r="E192" s="320" t="n"/>
      <c r="F192" s="321" t="n"/>
      <c r="G192" s="327" t="n"/>
      <c r="H192" s="321" t="n"/>
      <c r="I192" s="327" t="n"/>
      <c r="J192" s="246">
        <f>IF(AND(L192="Закрыт",ISNUMBER(F192),ISNUMBER(H192)),ROUND(H192-F192,8),"")</f>
        <v/>
      </c>
      <c r="K192" s="247">
        <f>IF(AND(L192="Закрыт",ISNUMBER(G192),ISNUMBER(I192)),ROUND(I192-G192,8),"")</f>
        <v/>
      </c>
      <c r="L192" s="328" t="n"/>
      <c r="M192" s="321" t="n"/>
      <c r="N192" s="327" t="n"/>
    </row>
    <row r="193" ht="22" customHeight="1">
      <c r="B193" s="323" t="n"/>
      <c r="C193" s="314" t="n"/>
      <c r="D193" s="313" t="n"/>
      <c r="E193" s="315" t="n"/>
      <c r="F193" s="316" t="n"/>
      <c r="G193" s="324" t="n"/>
      <c r="H193" s="316" t="n"/>
      <c r="I193" s="324" t="n"/>
      <c r="J193" s="240">
        <f>IF(AND(L193="Закрыт",ISNUMBER(F193),ISNUMBER(H193)),ROUND(H193-F193,8),"")</f>
        <v/>
      </c>
      <c r="K193" s="241">
        <f>IF(AND(L193="Закрыт",ISNUMBER(G193),ISNUMBER(I193)),ROUND(I193-G193,8),"")</f>
        <v/>
      </c>
      <c r="L193" s="325" t="n"/>
      <c r="M193" s="316" t="n"/>
      <c r="N193" s="324" t="n"/>
    </row>
    <row r="194" ht="22" customHeight="1">
      <c r="B194" s="326" t="n"/>
      <c r="C194" s="319" t="n"/>
      <c r="D194" s="318" t="n"/>
      <c r="E194" s="320" t="n"/>
      <c r="F194" s="321" t="n"/>
      <c r="G194" s="327" t="n"/>
      <c r="H194" s="321" t="n"/>
      <c r="I194" s="327" t="n"/>
      <c r="J194" s="246">
        <f>IF(AND(L194="Закрыт",ISNUMBER(F194),ISNUMBER(H194)),ROUND(H194-F194,8),"")</f>
        <v/>
      </c>
      <c r="K194" s="247">
        <f>IF(AND(L194="Закрыт",ISNUMBER(G194),ISNUMBER(I194)),ROUND(I194-G194,8),"")</f>
        <v/>
      </c>
      <c r="L194" s="328" t="n"/>
      <c r="M194" s="321" t="n"/>
      <c r="N194" s="327" t="n"/>
    </row>
    <row r="195" ht="22" customHeight="1">
      <c r="B195" s="323" t="n"/>
      <c r="C195" s="314" t="n"/>
      <c r="D195" s="313" t="n"/>
      <c r="E195" s="315" t="n"/>
      <c r="F195" s="316" t="n"/>
      <c r="G195" s="324" t="n"/>
      <c r="H195" s="316" t="n"/>
      <c r="I195" s="324" t="n"/>
      <c r="J195" s="240">
        <f>IF(AND(L195="Закрыт",ISNUMBER(F195),ISNUMBER(H195)),ROUND(H195-F195,8),"")</f>
        <v/>
      </c>
      <c r="K195" s="241">
        <f>IF(AND(L195="Закрыт",ISNUMBER(G195),ISNUMBER(I195)),ROUND(I195-G195,8),"")</f>
        <v/>
      </c>
      <c r="L195" s="325" t="n"/>
      <c r="M195" s="316" t="n"/>
      <c r="N195" s="324" t="n"/>
    </row>
    <row r="196" ht="22" customHeight="1">
      <c r="B196" s="326" t="n"/>
      <c r="C196" s="319" t="n"/>
      <c r="D196" s="318" t="n"/>
      <c r="E196" s="320" t="n"/>
      <c r="F196" s="321" t="n"/>
      <c r="G196" s="327" t="n"/>
      <c r="H196" s="321" t="n"/>
      <c r="I196" s="327" t="n"/>
      <c r="J196" s="246">
        <f>IF(AND(L196="Закрыт",ISNUMBER(F196),ISNUMBER(H196)),ROUND(H196-F196,8),"")</f>
        <v/>
      </c>
      <c r="K196" s="247">
        <f>IF(AND(L196="Закрыт",ISNUMBER(G196),ISNUMBER(I196)),ROUND(I196-G196,8),"")</f>
        <v/>
      </c>
      <c r="L196" s="328" t="n"/>
      <c r="M196" s="321" t="n"/>
      <c r="N196" s="327" t="n"/>
    </row>
    <row r="197" ht="22" customHeight="1">
      <c r="B197" s="323" t="n"/>
      <c r="C197" s="314" t="n"/>
      <c r="D197" s="313" t="n"/>
      <c r="E197" s="315" t="n"/>
      <c r="F197" s="316" t="n"/>
      <c r="G197" s="324" t="n"/>
      <c r="H197" s="316" t="n"/>
      <c r="I197" s="324" t="n"/>
      <c r="J197" s="240">
        <f>IF(AND(L197="Закрыт",ISNUMBER(F197),ISNUMBER(H197)),ROUND(H197-F197,8),"")</f>
        <v/>
      </c>
      <c r="K197" s="241">
        <f>IF(AND(L197="Закрыт",ISNUMBER(G197),ISNUMBER(I197)),ROUND(I197-G197,8),"")</f>
        <v/>
      </c>
      <c r="L197" s="325" t="n"/>
      <c r="M197" s="316" t="n"/>
      <c r="N197" s="324" t="n"/>
    </row>
    <row r="198" ht="22" customHeight="1">
      <c r="B198" s="326" t="n"/>
      <c r="C198" s="319" t="n"/>
      <c r="D198" s="318" t="n"/>
      <c r="E198" s="320" t="n"/>
      <c r="F198" s="321" t="n"/>
      <c r="G198" s="327" t="n"/>
      <c r="H198" s="321" t="n"/>
      <c r="I198" s="327" t="n"/>
      <c r="J198" s="246">
        <f>IF(AND(L198="Закрыт",ISNUMBER(F198),ISNUMBER(H198)),ROUND(H198-F198,8),"")</f>
        <v/>
      </c>
      <c r="K198" s="247">
        <f>IF(AND(L198="Закрыт",ISNUMBER(G198),ISNUMBER(I198)),ROUND(I198-G198,8),"")</f>
        <v/>
      </c>
      <c r="L198" s="328" t="n"/>
      <c r="M198" s="321" t="n"/>
      <c r="N198" s="327" t="n"/>
    </row>
    <row r="199" ht="22" customHeight="1">
      <c r="B199" s="323" t="n"/>
      <c r="C199" s="314" t="n"/>
      <c r="D199" s="313" t="n"/>
      <c r="E199" s="315" t="n"/>
      <c r="F199" s="316" t="n"/>
      <c r="G199" s="324" t="n"/>
      <c r="H199" s="316" t="n"/>
      <c r="I199" s="324" t="n"/>
      <c r="J199" s="240">
        <f>IF(AND(L199="Закрыт",ISNUMBER(F199),ISNUMBER(H199)),ROUND(H199-F199,8),"")</f>
        <v/>
      </c>
      <c r="K199" s="241">
        <f>IF(AND(L199="Закрыт",ISNUMBER(G199),ISNUMBER(I199)),ROUND(I199-G199,8),"")</f>
        <v/>
      </c>
      <c r="L199" s="325" t="n"/>
      <c r="M199" s="316" t="n"/>
      <c r="N199" s="324" t="n"/>
    </row>
    <row r="200" ht="22" customHeight="1">
      <c r="B200" s="326" t="n"/>
      <c r="C200" s="319" t="n"/>
      <c r="D200" s="318" t="n"/>
      <c r="E200" s="320" t="n"/>
      <c r="F200" s="321" t="n"/>
      <c r="G200" s="327" t="n"/>
      <c r="H200" s="321" t="n"/>
      <c r="I200" s="327" t="n"/>
      <c r="J200" s="246">
        <f>IF(AND(L200="Закрыт",ISNUMBER(F200),ISNUMBER(H200)),ROUND(H200-F200,8),"")</f>
        <v/>
      </c>
      <c r="K200" s="247">
        <f>IF(AND(L200="Закрыт",ISNUMBER(G200),ISNUMBER(I200)),ROUND(I200-G200,8),"")</f>
        <v/>
      </c>
      <c r="L200" s="328" t="n"/>
      <c r="M200" s="321" t="n"/>
      <c r="N200" s="327" t="n"/>
    </row>
    <row r="201" ht="22" customHeight="1">
      <c r="B201" s="323" t="n"/>
      <c r="C201" s="314" t="n"/>
      <c r="D201" s="313" t="n"/>
      <c r="E201" s="315" t="n"/>
      <c r="F201" s="316" t="n"/>
      <c r="G201" s="324" t="n"/>
      <c r="H201" s="316" t="n"/>
      <c r="I201" s="324" t="n"/>
      <c r="J201" s="240">
        <f>IF(AND(L201="Закрыт",ISNUMBER(F201),ISNUMBER(H201)),ROUND(H201-F201,8),"")</f>
        <v/>
      </c>
      <c r="K201" s="241">
        <f>IF(AND(L201="Закрыт",ISNUMBER(G201),ISNUMBER(I201)),ROUND(I201-G201,8),"")</f>
        <v/>
      </c>
      <c r="L201" s="325" t="n"/>
      <c r="M201" s="316" t="n"/>
      <c r="N201" s="324" t="n"/>
    </row>
    <row r="202" ht="22" customHeight="1">
      <c r="B202" s="326" t="n"/>
      <c r="C202" s="319" t="n"/>
      <c r="D202" s="318" t="n"/>
      <c r="E202" s="320" t="n"/>
      <c r="F202" s="321" t="n"/>
      <c r="G202" s="327" t="n"/>
      <c r="H202" s="321" t="n"/>
      <c r="I202" s="327" t="n"/>
      <c r="J202" s="246">
        <f>IF(AND(L202="Закрыт",ISNUMBER(F202),ISNUMBER(H202)),ROUND(H202-F202,8),"")</f>
        <v/>
      </c>
      <c r="K202" s="247">
        <f>IF(AND(L202="Закрыт",ISNUMBER(G202),ISNUMBER(I202)),ROUND(I202-G202,8),"")</f>
        <v/>
      </c>
      <c r="L202" s="328" t="n"/>
      <c r="M202" s="321" t="n"/>
      <c r="N202" s="327" t="n"/>
    </row>
    <row r="203" ht="22" customHeight="1">
      <c r="B203" s="323" t="n"/>
      <c r="C203" s="314" t="n"/>
      <c r="D203" s="313" t="n"/>
      <c r="E203" s="315" t="n"/>
      <c r="F203" s="316" t="n"/>
      <c r="G203" s="324" t="n"/>
      <c r="H203" s="316" t="n"/>
      <c r="I203" s="324" t="n"/>
      <c r="J203" s="240">
        <f>IF(AND(L203="Закрыт",ISNUMBER(F203),ISNUMBER(H203)),ROUND(H203-F203,8),"")</f>
        <v/>
      </c>
      <c r="K203" s="241">
        <f>IF(AND(L203="Закрыт",ISNUMBER(G203),ISNUMBER(I203)),ROUND(I203-G203,8),"")</f>
        <v/>
      </c>
      <c r="L203" s="325" t="n"/>
      <c r="M203" s="316" t="n"/>
      <c r="N203" s="324" t="n"/>
    </row>
    <row r="204" ht="22" customHeight="1">
      <c r="B204" s="326" t="n"/>
      <c r="C204" s="319" t="n"/>
      <c r="D204" s="318" t="n"/>
      <c r="E204" s="320" t="n"/>
      <c r="F204" s="321" t="n"/>
      <c r="G204" s="327" t="n"/>
      <c r="H204" s="321" t="n"/>
      <c r="I204" s="327" t="n"/>
      <c r="J204" s="246">
        <f>IF(AND(L204="Закрыт",ISNUMBER(F204),ISNUMBER(H204)),ROUND(H204-F204,8),"")</f>
        <v/>
      </c>
      <c r="K204" s="247">
        <f>IF(AND(L204="Закрыт",ISNUMBER(G204),ISNUMBER(I204)),ROUND(I204-G204,8),"")</f>
        <v/>
      </c>
      <c r="L204" s="328" t="n"/>
      <c r="M204" s="321" t="n"/>
      <c r="N204" s="327" t="n"/>
    </row>
    <row r="205" ht="22" customHeight="1">
      <c r="B205" s="323" t="n"/>
      <c r="C205" s="314" t="n"/>
      <c r="D205" s="313" t="n"/>
      <c r="E205" s="315" t="n"/>
      <c r="F205" s="316" t="n"/>
      <c r="G205" s="324" t="n"/>
      <c r="H205" s="316" t="n"/>
      <c r="I205" s="324" t="n"/>
      <c r="J205" s="240">
        <f>IF(AND(L205="Закрыт",ISNUMBER(F205),ISNUMBER(H205)),ROUND(H205-F205,8),"")</f>
        <v/>
      </c>
      <c r="K205" s="241">
        <f>IF(AND(L205="Закрыт",ISNUMBER(G205),ISNUMBER(I205)),ROUND(I205-G205,8),"")</f>
        <v/>
      </c>
      <c r="L205" s="325" t="n"/>
      <c r="M205" s="316" t="n"/>
      <c r="N205" s="324" t="n"/>
    </row>
    <row r="206" ht="22" customHeight="1">
      <c r="B206" s="326" t="n"/>
      <c r="C206" s="319" t="n"/>
      <c r="D206" s="318" t="n"/>
      <c r="E206" s="320" t="n"/>
      <c r="F206" s="321" t="n"/>
      <c r="G206" s="327" t="n"/>
      <c r="H206" s="321" t="n"/>
      <c r="I206" s="327" t="n"/>
      <c r="J206" s="246">
        <f>IF(AND(L206="Закрыт",ISNUMBER(F206),ISNUMBER(H206)),ROUND(H206-F206,8),"")</f>
        <v/>
      </c>
      <c r="K206" s="247">
        <f>IF(AND(L206="Закрыт",ISNUMBER(G206),ISNUMBER(I206)),ROUND(I206-G206,8),"")</f>
        <v/>
      </c>
      <c r="L206" s="328" t="n"/>
      <c r="M206" s="321" t="n"/>
      <c r="N206" s="327" t="n"/>
    </row>
    <row r="207" ht="22" customHeight="1">
      <c r="B207" s="323" t="n"/>
      <c r="C207" s="314" t="n"/>
      <c r="D207" s="313" t="n"/>
      <c r="E207" s="315" t="n"/>
      <c r="F207" s="316" t="n"/>
      <c r="G207" s="324" t="n"/>
      <c r="H207" s="316" t="n"/>
      <c r="I207" s="324" t="n"/>
      <c r="J207" s="240">
        <f>IF(AND(L207="Закрыт",ISNUMBER(F207),ISNUMBER(H207)),ROUND(H207-F207,8),"")</f>
        <v/>
      </c>
      <c r="K207" s="241">
        <f>IF(AND(L207="Закрыт",ISNUMBER(G207),ISNUMBER(I207)),ROUND(I207-G207,8),"")</f>
        <v/>
      </c>
      <c r="L207" s="325" t="n"/>
      <c r="M207" s="316" t="n"/>
      <c r="N207" s="324" t="n"/>
    </row>
    <row r="208" ht="22" customHeight="1">
      <c r="B208" s="326" t="n"/>
      <c r="C208" s="319" t="n"/>
      <c r="D208" s="318" t="n"/>
      <c r="E208" s="320" t="n"/>
      <c r="F208" s="321" t="n"/>
      <c r="G208" s="327" t="n"/>
      <c r="H208" s="321" t="n"/>
      <c r="I208" s="327" t="n"/>
      <c r="J208" s="246">
        <f>IF(AND(L208="Закрыт",ISNUMBER(F208),ISNUMBER(H208)),ROUND(H208-F208,8),"")</f>
        <v/>
      </c>
      <c r="K208" s="247">
        <f>IF(AND(L208="Закрыт",ISNUMBER(G208),ISNUMBER(I208)),ROUND(I208-G208,8),"")</f>
        <v/>
      </c>
      <c r="L208" s="328" t="n"/>
      <c r="M208" s="321" t="n"/>
      <c r="N208" s="327" t="n"/>
    </row>
    <row r="209" ht="22" customHeight="1">
      <c r="B209" s="323" t="n"/>
      <c r="C209" s="314" t="n"/>
      <c r="D209" s="313" t="n"/>
      <c r="E209" s="315" t="n"/>
      <c r="F209" s="316" t="n"/>
      <c r="G209" s="324" t="n"/>
      <c r="H209" s="316" t="n"/>
      <c r="I209" s="324" t="n"/>
      <c r="J209" s="240">
        <f>IF(AND(L209="Закрыт",ISNUMBER(F209),ISNUMBER(H209)),ROUND(H209-F209,8),"")</f>
        <v/>
      </c>
      <c r="K209" s="241">
        <f>IF(AND(L209="Закрыт",ISNUMBER(G209),ISNUMBER(I209)),ROUND(I209-G209,8),"")</f>
        <v/>
      </c>
      <c r="L209" s="325" t="n"/>
      <c r="M209" s="316" t="n"/>
      <c r="N209" s="324" t="n"/>
    </row>
    <row r="210" ht="22" customHeight="1">
      <c r="B210" s="326" t="n"/>
      <c r="C210" s="319" t="n"/>
      <c r="D210" s="318" t="n"/>
      <c r="E210" s="320" t="n"/>
      <c r="F210" s="321" t="n"/>
      <c r="G210" s="327" t="n"/>
      <c r="H210" s="321" t="n"/>
      <c r="I210" s="327" t="n"/>
      <c r="J210" s="246">
        <f>IF(AND(L210="Закрыт",ISNUMBER(F210),ISNUMBER(H210)),ROUND(H210-F210,8),"")</f>
        <v/>
      </c>
      <c r="K210" s="247">
        <f>IF(AND(L210="Закрыт",ISNUMBER(G210),ISNUMBER(I210)),ROUND(I210-G210,8),"")</f>
        <v/>
      </c>
      <c r="L210" s="328" t="n"/>
      <c r="M210" s="321" t="n"/>
      <c r="N210" s="327" t="n"/>
    </row>
    <row r="211" ht="22" customHeight="1">
      <c r="B211" s="323" t="n"/>
      <c r="C211" s="314" t="n"/>
      <c r="D211" s="313" t="n"/>
      <c r="E211" s="315" t="n"/>
      <c r="F211" s="316" t="n"/>
      <c r="G211" s="324" t="n"/>
      <c r="H211" s="316" t="n"/>
      <c r="I211" s="324" t="n"/>
      <c r="J211" s="240">
        <f>IF(AND(L211="Закрыт",ISNUMBER(F211),ISNUMBER(H211)),ROUND(H211-F211,8),"")</f>
        <v/>
      </c>
      <c r="K211" s="241">
        <f>IF(AND(L211="Закрыт",ISNUMBER(G211),ISNUMBER(I211)),ROUND(I211-G211,8),"")</f>
        <v/>
      </c>
      <c r="L211" s="325" t="n"/>
      <c r="M211" s="316" t="n"/>
      <c r="N211" s="324" t="n"/>
    </row>
    <row r="212" ht="22" customHeight="1">
      <c r="B212" s="326" t="n"/>
      <c r="C212" s="319" t="n"/>
      <c r="D212" s="318" t="n"/>
      <c r="E212" s="320" t="n"/>
      <c r="F212" s="321" t="n"/>
      <c r="G212" s="327" t="n"/>
      <c r="H212" s="321" t="n"/>
      <c r="I212" s="327" t="n"/>
      <c r="J212" s="246">
        <f>IF(AND(L212="Закрыт",ISNUMBER(F212),ISNUMBER(H212)),ROUND(H212-F212,8),"")</f>
        <v/>
      </c>
      <c r="K212" s="247">
        <f>IF(AND(L212="Закрыт",ISNUMBER(G212),ISNUMBER(I212)),ROUND(I212-G212,8),"")</f>
        <v/>
      </c>
      <c r="L212" s="328" t="n"/>
      <c r="M212" s="321" t="n"/>
      <c r="N212" s="327" t="n"/>
    </row>
    <row r="213" ht="22" customHeight="1">
      <c r="B213" s="323" t="n"/>
      <c r="C213" s="314" t="n"/>
      <c r="D213" s="313" t="n"/>
      <c r="E213" s="315" t="n"/>
      <c r="F213" s="316" t="n"/>
      <c r="G213" s="324" t="n"/>
      <c r="H213" s="316" t="n"/>
      <c r="I213" s="324" t="n"/>
      <c r="J213" s="240">
        <f>IF(AND(L213="Закрыт",ISNUMBER(F213),ISNUMBER(H213)),ROUND(H213-F213,8),"")</f>
        <v/>
      </c>
      <c r="K213" s="241">
        <f>IF(AND(L213="Закрыт",ISNUMBER(G213),ISNUMBER(I213)),ROUND(I213-G213,8),"")</f>
        <v/>
      </c>
      <c r="L213" s="325" t="n"/>
      <c r="M213" s="316" t="n"/>
      <c r="N213" s="324" t="n"/>
    </row>
    <row r="214" ht="22" customHeight="1">
      <c r="B214" s="326" t="n"/>
      <c r="C214" s="319" t="n"/>
      <c r="D214" s="318" t="n"/>
      <c r="E214" s="320" t="n"/>
      <c r="F214" s="321" t="n"/>
      <c r="G214" s="327" t="n"/>
      <c r="H214" s="321" t="n"/>
      <c r="I214" s="327" t="n"/>
      <c r="J214" s="246">
        <f>IF(AND(L214="Закрыт",ISNUMBER(F214),ISNUMBER(H214)),ROUND(H214-F214,8),"")</f>
        <v/>
      </c>
      <c r="K214" s="247">
        <f>IF(AND(L214="Закрыт",ISNUMBER(G214),ISNUMBER(I214)),ROUND(I214-G214,8),"")</f>
        <v/>
      </c>
      <c r="L214" s="328" t="n"/>
      <c r="M214" s="321" t="n"/>
      <c r="N214" s="327" t="n"/>
    </row>
    <row r="215" ht="22" customHeight="1">
      <c r="B215" s="323" t="n"/>
      <c r="C215" s="314" t="n"/>
      <c r="D215" s="313" t="n"/>
      <c r="E215" s="315" t="n"/>
      <c r="F215" s="316" t="n"/>
      <c r="G215" s="324" t="n"/>
      <c r="H215" s="316" t="n"/>
      <c r="I215" s="324" t="n"/>
      <c r="J215" s="240">
        <f>IF(AND(L215="Закрыт",ISNUMBER(F215),ISNUMBER(H215)),ROUND(H215-F215,8),"")</f>
        <v/>
      </c>
      <c r="K215" s="241">
        <f>IF(AND(L215="Закрыт",ISNUMBER(G215),ISNUMBER(I215)),ROUND(I215-G215,8),"")</f>
        <v/>
      </c>
      <c r="L215" s="325" t="n"/>
      <c r="M215" s="316" t="n"/>
      <c r="N215" s="324" t="n"/>
    </row>
    <row r="216" ht="22" customHeight="1">
      <c r="B216" s="326" t="n"/>
      <c r="C216" s="319" t="n"/>
      <c r="D216" s="318" t="n"/>
      <c r="E216" s="320" t="n"/>
      <c r="F216" s="321" t="n"/>
      <c r="G216" s="327" t="n"/>
      <c r="H216" s="321" t="n"/>
      <c r="I216" s="327" t="n"/>
      <c r="J216" s="246">
        <f>IF(AND(L216="Закрыт",ISNUMBER(F216),ISNUMBER(H216)),ROUND(H216-F216,8),"")</f>
        <v/>
      </c>
      <c r="K216" s="247">
        <f>IF(AND(L216="Закрыт",ISNUMBER(G216),ISNUMBER(I216)),ROUND(I216-G216,8),"")</f>
        <v/>
      </c>
      <c r="L216" s="328" t="n"/>
      <c r="M216" s="321" t="n"/>
      <c r="N216" s="327" t="n"/>
    </row>
    <row r="217" ht="22" customHeight="1">
      <c r="B217" s="323" t="n"/>
      <c r="C217" s="314" t="n"/>
      <c r="D217" s="313" t="n"/>
      <c r="E217" s="315" t="n"/>
      <c r="F217" s="316" t="n"/>
      <c r="G217" s="324" t="n"/>
      <c r="H217" s="316" t="n"/>
      <c r="I217" s="324" t="n"/>
      <c r="J217" s="240">
        <f>IF(AND(L217="Закрыт",ISNUMBER(F217),ISNUMBER(H217)),ROUND(H217-F217,8),"")</f>
        <v/>
      </c>
      <c r="K217" s="241">
        <f>IF(AND(L217="Закрыт",ISNUMBER(G217),ISNUMBER(I217)),ROUND(I217-G217,8),"")</f>
        <v/>
      </c>
      <c r="L217" s="325" t="n"/>
      <c r="M217" s="316" t="n"/>
      <c r="N217" s="324" t="n"/>
    </row>
    <row r="218" ht="22" customHeight="1">
      <c r="B218" s="326" t="n"/>
      <c r="C218" s="319" t="n"/>
      <c r="D218" s="318" t="n"/>
      <c r="E218" s="320" t="n"/>
      <c r="F218" s="321" t="n"/>
      <c r="G218" s="327" t="n"/>
      <c r="H218" s="321" t="n"/>
      <c r="I218" s="327" t="n"/>
      <c r="J218" s="246">
        <f>IF(AND(L218="Закрыт",ISNUMBER(F218),ISNUMBER(H218)),ROUND(H218-F218,8),"")</f>
        <v/>
      </c>
      <c r="K218" s="247">
        <f>IF(AND(L218="Закрыт",ISNUMBER(G218),ISNUMBER(I218)),ROUND(I218-G218,8),"")</f>
        <v/>
      </c>
      <c r="L218" s="328" t="n"/>
      <c r="M218" s="321" t="n"/>
      <c r="N218" s="327" t="n"/>
    </row>
    <row r="219" ht="22" customHeight="1">
      <c r="B219" s="323" t="n"/>
      <c r="C219" s="314" t="n"/>
      <c r="D219" s="313" t="n"/>
      <c r="E219" s="315" t="n"/>
      <c r="F219" s="316" t="n"/>
      <c r="G219" s="324" t="n"/>
      <c r="H219" s="316" t="n"/>
      <c r="I219" s="324" t="n"/>
      <c r="J219" s="240">
        <f>IF(AND(L219="Закрыт",ISNUMBER(F219),ISNUMBER(H219)),ROUND(H219-F219,8),"")</f>
        <v/>
      </c>
      <c r="K219" s="241">
        <f>IF(AND(L219="Закрыт",ISNUMBER(G219),ISNUMBER(I219)),ROUND(I219-G219,8),"")</f>
        <v/>
      </c>
      <c r="L219" s="325" t="n"/>
      <c r="M219" s="316" t="n"/>
      <c r="N219" s="324" t="n"/>
    </row>
    <row r="220" ht="22" customHeight="1">
      <c r="B220" s="326" t="n"/>
      <c r="C220" s="319" t="n"/>
      <c r="D220" s="318" t="n"/>
      <c r="E220" s="320" t="n"/>
      <c r="F220" s="321" t="n"/>
      <c r="G220" s="327" t="n"/>
      <c r="H220" s="321" t="n"/>
      <c r="I220" s="327" t="n"/>
      <c r="J220" s="246">
        <f>IF(AND(L220="Закрыт",ISNUMBER(F220),ISNUMBER(H220)),ROUND(H220-F220,8),"")</f>
        <v/>
      </c>
      <c r="K220" s="247">
        <f>IF(AND(L220="Закрыт",ISNUMBER(G220),ISNUMBER(I220)),ROUND(I220-G220,8),"")</f>
        <v/>
      </c>
      <c r="L220" s="328" t="n"/>
      <c r="M220" s="321" t="n"/>
      <c r="N220" s="327" t="n"/>
    </row>
    <row r="221" ht="22" customHeight="1">
      <c r="B221" s="323" t="n"/>
      <c r="C221" s="314" t="n"/>
      <c r="D221" s="313" t="n"/>
      <c r="E221" s="315" t="n"/>
      <c r="F221" s="316" t="n"/>
      <c r="G221" s="324" t="n"/>
      <c r="H221" s="316" t="n"/>
      <c r="I221" s="324" t="n"/>
      <c r="J221" s="240">
        <f>IF(AND(L221="Закрыт",ISNUMBER(F221),ISNUMBER(H221)),ROUND(H221-F221,8),"")</f>
        <v/>
      </c>
      <c r="K221" s="241">
        <f>IF(AND(L221="Закрыт",ISNUMBER(G221),ISNUMBER(I221)),ROUND(I221-G221,8),"")</f>
        <v/>
      </c>
      <c r="L221" s="325" t="n"/>
      <c r="M221" s="316" t="n"/>
      <c r="N221" s="324" t="n"/>
    </row>
    <row r="222" ht="22" customHeight="1">
      <c r="B222" s="326" t="n"/>
      <c r="C222" s="319" t="n"/>
      <c r="D222" s="318" t="n"/>
      <c r="E222" s="320" t="n"/>
      <c r="F222" s="321" t="n"/>
      <c r="G222" s="327" t="n"/>
      <c r="H222" s="321" t="n"/>
      <c r="I222" s="327" t="n"/>
      <c r="J222" s="246">
        <f>IF(AND(L222="Закрыт",ISNUMBER(F222),ISNUMBER(H222)),ROUND(H222-F222,8),"")</f>
        <v/>
      </c>
      <c r="K222" s="247">
        <f>IF(AND(L222="Закрыт",ISNUMBER(G222),ISNUMBER(I222)),ROUND(I222-G222,8),"")</f>
        <v/>
      </c>
      <c r="L222" s="328" t="n"/>
      <c r="M222" s="321" t="n"/>
      <c r="N222" s="327" t="n"/>
    </row>
    <row r="223" ht="22" customHeight="1">
      <c r="B223" s="323" t="n"/>
      <c r="C223" s="314" t="n"/>
      <c r="D223" s="313" t="n"/>
      <c r="E223" s="315" t="n"/>
      <c r="F223" s="316" t="n"/>
      <c r="G223" s="324" t="n"/>
      <c r="H223" s="316" t="n"/>
      <c r="I223" s="324" t="n"/>
      <c r="J223" s="240">
        <f>IF(AND(L223="Закрыт",ISNUMBER(F223),ISNUMBER(H223)),ROUND(H223-F223,8),"")</f>
        <v/>
      </c>
      <c r="K223" s="241">
        <f>IF(AND(L223="Закрыт",ISNUMBER(G223),ISNUMBER(I223)),ROUND(I223-G223,8),"")</f>
        <v/>
      </c>
      <c r="L223" s="325" t="n"/>
      <c r="M223" s="316" t="n"/>
      <c r="N223" s="324" t="n"/>
    </row>
    <row r="224" ht="22" customHeight="1">
      <c r="B224" s="326" t="n"/>
      <c r="C224" s="319" t="n"/>
      <c r="D224" s="318" t="n"/>
      <c r="E224" s="320" t="n"/>
      <c r="F224" s="321" t="n"/>
      <c r="G224" s="327" t="n"/>
      <c r="H224" s="321" t="n"/>
      <c r="I224" s="327" t="n"/>
      <c r="J224" s="246">
        <f>IF(AND(L224="Закрыт",ISNUMBER(F224),ISNUMBER(H224)),ROUND(H224-F224,8),"")</f>
        <v/>
      </c>
      <c r="K224" s="247">
        <f>IF(AND(L224="Закрыт",ISNUMBER(G224),ISNUMBER(I224)),ROUND(I224-G224,8),"")</f>
        <v/>
      </c>
      <c r="L224" s="328" t="n"/>
      <c r="M224" s="321" t="n"/>
      <c r="N224" s="327" t="n"/>
    </row>
    <row r="225" ht="22" customHeight="1">
      <c r="B225" s="323" t="n"/>
      <c r="C225" s="314" t="n"/>
      <c r="D225" s="313" t="n"/>
      <c r="E225" s="315" t="n"/>
      <c r="F225" s="316" t="n"/>
      <c r="G225" s="324" t="n"/>
      <c r="H225" s="316" t="n"/>
      <c r="I225" s="324" t="n"/>
      <c r="J225" s="240">
        <f>IF(AND(L225="Закрыт",ISNUMBER(F225),ISNUMBER(H225)),ROUND(H225-F225,8),"")</f>
        <v/>
      </c>
      <c r="K225" s="241">
        <f>IF(AND(L225="Закрыт",ISNUMBER(G225),ISNUMBER(I225)),ROUND(I225-G225,8),"")</f>
        <v/>
      </c>
      <c r="L225" s="325" t="n"/>
      <c r="M225" s="316" t="n"/>
      <c r="N225" s="324" t="n"/>
    </row>
    <row r="226" ht="22" customHeight="1">
      <c r="B226" s="326" t="n"/>
      <c r="C226" s="319" t="n"/>
      <c r="D226" s="318" t="n"/>
      <c r="E226" s="320" t="n"/>
      <c r="F226" s="321" t="n"/>
      <c r="G226" s="327" t="n"/>
      <c r="H226" s="321" t="n"/>
      <c r="I226" s="327" t="n"/>
      <c r="J226" s="246">
        <f>IF(AND(L226="Закрыт",ISNUMBER(F226),ISNUMBER(H226)),ROUND(H226-F226,8),"")</f>
        <v/>
      </c>
      <c r="K226" s="247">
        <f>IF(AND(L226="Закрыт",ISNUMBER(G226),ISNUMBER(I226)),ROUND(I226-G226,8),"")</f>
        <v/>
      </c>
      <c r="L226" s="328" t="n"/>
      <c r="M226" s="321" t="n"/>
      <c r="N226" s="327" t="n"/>
    </row>
    <row r="227" ht="22" customHeight="1">
      <c r="B227" s="323" t="n"/>
      <c r="C227" s="314" t="n"/>
      <c r="D227" s="313" t="n"/>
      <c r="E227" s="315" t="n"/>
      <c r="F227" s="316" t="n"/>
      <c r="G227" s="324" t="n"/>
      <c r="H227" s="316" t="n"/>
      <c r="I227" s="324" t="n"/>
      <c r="J227" s="240">
        <f>IF(AND(L227="Закрыт",ISNUMBER(F227),ISNUMBER(H227)),ROUND(H227-F227,8),"")</f>
        <v/>
      </c>
      <c r="K227" s="241">
        <f>IF(AND(L227="Закрыт",ISNUMBER(G227),ISNUMBER(I227)),ROUND(I227-G227,8),"")</f>
        <v/>
      </c>
      <c r="L227" s="325" t="n"/>
      <c r="M227" s="316" t="n"/>
      <c r="N227" s="324" t="n"/>
    </row>
    <row r="228" ht="22" customHeight="1">
      <c r="B228" s="326" t="n"/>
      <c r="C228" s="319" t="n"/>
      <c r="D228" s="318" t="n"/>
      <c r="E228" s="320" t="n"/>
      <c r="F228" s="321" t="n"/>
      <c r="G228" s="327" t="n"/>
      <c r="H228" s="321" t="n"/>
      <c r="I228" s="327" t="n"/>
      <c r="J228" s="246">
        <f>IF(AND(L228="Закрыт",ISNUMBER(F228),ISNUMBER(H228)),ROUND(H228-F228,8),"")</f>
        <v/>
      </c>
      <c r="K228" s="247">
        <f>IF(AND(L228="Закрыт",ISNUMBER(G228),ISNUMBER(I228)),ROUND(I228-G228,8),"")</f>
        <v/>
      </c>
      <c r="L228" s="328" t="n"/>
      <c r="M228" s="321" t="n"/>
      <c r="N228" s="327" t="n"/>
    </row>
    <row r="229" ht="22" customHeight="1">
      <c r="B229" s="323" t="n"/>
      <c r="C229" s="314" t="n"/>
      <c r="D229" s="313" t="n"/>
      <c r="E229" s="315" t="n"/>
      <c r="F229" s="316" t="n"/>
      <c r="G229" s="324" t="n"/>
      <c r="H229" s="316" t="n"/>
      <c r="I229" s="324" t="n"/>
      <c r="J229" s="240">
        <f>IF(AND(L229="Закрыт",ISNUMBER(F229),ISNUMBER(H229)),ROUND(H229-F229,8),"")</f>
        <v/>
      </c>
      <c r="K229" s="241">
        <f>IF(AND(L229="Закрыт",ISNUMBER(G229),ISNUMBER(I229)),ROUND(I229-G229,8),"")</f>
        <v/>
      </c>
      <c r="L229" s="325" t="n"/>
      <c r="M229" s="316" t="n"/>
      <c r="N229" s="324" t="n"/>
    </row>
    <row r="230" ht="22" customHeight="1">
      <c r="B230" s="326" t="n"/>
      <c r="C230" s="319" t="n"/>
      <c r="D230" s="318" t="n"/>
      <c r="E230" s="320" t="n"/>
      <c r="F230" s="321" t="n"/>
      <c r="G230" s="327" t="n"/>
      <c r="H230" s="321" t="n"/>
      <c r="I230" s="327" t="n"/>
      <c r="J230" s="246">
        <f>IF(AND(L230="Закрыт",ISNUMBER(F230),ISNUMBER(H230)),ROUND(H230-F230,8),"")</f>
        <v/>
      </c>
      <c r="K230" s="247">
        <f>IF(AND(L230="Закрыт",ISNUMBER(G230),ISNUMBER(I230)),ROUND(I230-G230,8),"")</f>
        <v/>
      </c>
      <c r="L230" s="328" t="n"/>
      <c r="M230" s="321" t="n"/>
      <c r="N230" s="327" t="n"/>
    </row>
    <row r="231" ht="22" customHeight="1">
      <c r="B231" s="323" t="n"/>
      <c r="C231" s="314" t="n"/>
      <c r="D231" s="313" t="n"/>
      <c r="E231" s="315" t="n"/>
      <c r="F231" s="316" t="n"/>
      <c r="G231" s="324" t="n"/>
      <c r="H231" s="316" t="n"/>
      <c r="I231" s="324" t="n"/>
      <c r="J231" s="240">
        <f>IF(AND(L231="Закрыт",ISNUMBER(F231),ISNUMBER(H231)),ROUND(H231-F231,8),"")</f>
        <v/>
      </c>
      <c r="K231" s="241">
        <f>IF(AND(L231="Закрыт",ISNUMBER(G231),ISNUMBER(I231)),ROUND(I231-G231,8),"")</f>
        <v/>
      </c>
      <c r="L231" s="325" t="n"/>
      <c r="M231" s="316" t="n"/>
      <c r="N231" s="324" t="n"/>
    </row>
    <row r="232" ht="22" customHeight="1">
      <c r="B232" s="326" t="n"/>
      <c r="C232" s="319" t="n"/>
      <c r="D232" s="318" t="n"/>
      <c r="E232" s="320" t="n"/>
      <c r="F232" s="321" t="n"/>
      <c r="G232" s="327" t="n"/>
      <c r="H232" s="321" t="n"/>
      <c r="I232" s="327" t="n"/>
      <c r="J232" s="246">
        <f>IF(AND(L232="Закрыт",ISNUMBER(F232),ISNUMBER(H232)),ROUND(H232-F232,8),"")</f>
        <v/>
      </c>
      <c r="K232" s="247">
        <f>IF(AND(L232="Закрыт",ISNUMBER(G232),ISNUMBER(I232)),ROUND(I232-G232,8),"")</f>
        <v/>
      </c>
      <c r="L232" s="328" t="n"/>
      <c r="M232" s="321" t="n"/>
      <c r="N232" s="327" t="n"/>
    </row>
    <row r="233" ht="22" customHeight="1">
      <c r="B233" s="323" t="n"/>
      <c r="C233" s="314" t="n"/>
      <c r="D233" s="313" t="n"/>
      <c r="E233" s="315" t="n"/>
      <c r="F233" s="316" t="n"/>
      <c r="G233" s="324" t="n"/>
      <c r="H233" s="316" t="n"/>
      <c r="I233" s="324" t="n"/>
      <c r="J233" s="240">
        <f>IF(AND(L233="Закрыт",ISNUMBER(F233),ISNUMBER(H233)),ROUND(H233-F233,8),"")</f>
        <v/>
      </c>
      <c r="K233" s="241">
        <f>IF(AND(L233="Закрыт",ISNUMBER(G233),ISNUMBER(I233)),ROUND(I233-G233,8),"")</f>
        <v/>
      </c>
      <c r="L233" s="325" t="n"/>
      <c r="M233" s="316" t="n"/>
      <c r="N233" s="324" t="n"/>
    </row>
    <row r="234" ht="22" customHeight="1">
      <c r="B234" s="326" t="n"/>
      <c r="C234" s="319" t="n"/>
      <c r="D234" s="318" t="n"/>
      <c r="E234" s="320" t="n"/>
      <c r="F234" s="321" t="n"/>
      <c r="G234" s="327" t="n"/>
      <c r="H234" s="321" t="n"/>
      <c r="I234" s="327" t="n"/>
      <c r="J234" s="246">
        <f>IF(AND(L234="Закрыт",ISNUMBER(F234),ISNUMBER(H234)),ROUND(H234-F234,8),"")</f>
        <v/>
      </c>
      <c r="K234" s="247">
        <f>IF(AND(L234="Закрыт",ISNUMBER(G234),ISNUMBER(I234)),ROUND(I234-G234,8),"")</f>
        <v/>
      </c>
      <c r="L234" s="328" t="n"/>
      <c r="M234" s="321" t="n"/>
      <c r="N234" s="327" t="n"/>
    </row>
    <row r="235" ht="22" customHeight="1">
      <c r="B235" s="323" t="n"/>
      <c r="C235" s="314" t="n"/>
      <c r="D235" s="313" t="n"/>
      <c r="E235" s="315" t="n"/>
      <c r="F235" s="316" t="n"/>
      <c r="G235" s="324" t="n"/>
      <c r="H235" s="316" t="n"/>
      <c r="I235" s="324" t="n"/>
      <c r="J235" s="240">
        <f>IF(AND(L235="Закрыт",ISNUMBER(F235),ISNUMBER(H235)),ROUND(H235-F235,8),"")</f>
        <v/>
      </c>
      <c r="K235" s="241">
        <f>IF(AND(L235="Закрыт",ISNUMBER(G235),ISNUMBER(I235)),ROUND(I235-G235,8),"")</f>
        <v/>
      </c>
      <c r="L235" s="325" t="n"/>
      <c r="M235" s="316" t="n"/>
      <c r="N235" s="324" t="n"/>
    </row>
    <row r="236" ht="22" customHeight="1">
      <c r="B236" s="326" t="n"/>
      <c r="C236" s="319" t="n"/>
      <c r="D236" s="318" t="n"/>
      <c r="E236" s="320" t="n"/>
      <c r="F236" s="321" t="n"/>
      <c r="G236" s="327" t="n"/>
      <c r="H236" s="321" t="n"/>
      <c r="I236" s="327" t="n"/>
      <c r="J236" s="246">
        <f>IF(AND(L236="Закрыт",ISNUMBER(F236),ISNUMBER(H236)),ROUND(H236-F236,8),"")</f>
        <v/>
      </c>
      <c r="K236" s="247">
        <f>IF(AND(L236="Закрыт",ISNUMBER(G236),ISNUMBER(I236)),ROUND(I236-G236,8),"")</f>
        <v/>
      </c>
      <c r="L236" s="328" t="n"/>
      <c r="M236" s="321" t="n"/>
      <c r="N236" s="327" t="n"/>
    </row>
    <row r="237" ht="22" customHeight="1">
      <c r="B237" s="323" t="n"/>
      <c r="C237" s="314" t="n"/>
      <c r="D237" s="313" t="n"/>
      <c r="E237" s="315" t="n"/>
      <c r="F237" s="316" t="n"/>
      <c r="G237" s="324" t="n"/>
      <c r="H237" s="316" t="n"/>
      <c r="I237" s="324" t="n"/>
      <c r="J237" s="240">
        <f>IF(AND(L237="Закрыт",ISNUMBER(F237),ISNUMBER(H237)),ROUND(H237-F237,8),"")</f>
        <v/>
      </c>
      <c r="K237" s="241">
        <f>IF(AND(L237="Закрыт",ISNUMBER(G237),ISNUMBER(I237)),ROUND(I237-G237,8),"")</f>
        <v/>
      </c>
      <c r="L237" s="325" t="n"/>
      <c r="M237" s="316" t="n"/>
      <c r="N237" s="324" t="n"/>
    </row>
    <row r="238" ht="22" customHeight="1">
      <c r="B238" s="326" t="n"/>
      <c r="C238" s="319" t="n"/>
      <c r="D238" s="318" t="n"/>
      <c r="E238" s="320" t="n"/>
      <c r="F238" s="321" t="n"/>
      <c r="G238" s="327" t="n"/>
      <c r="H238" s="321" t="n"/>
      <c r="I238" s="327" t="n"/>
      <c r="J238" s="246">
        <f>IF(AND(L238="Закрыт",ISNUMBER(F238),ISNUMBER(H238)),ROUND(H238-F238,8),"")</f>
        <v/>
      </c>
      <c r="K238" s="247">
        <f>IF(AND(L238="Закрыт",ISNUMBER(G238),ISNUMBER(I238)),ROUND(I238-G238,8),"")</f>
        <v/>
      </c>
      <c r="L238" s="328" t="n"/>
      <c r="M238" s="321" t="n"/>
      <c r="N238" s="327" t="n"/>
    </row>
    <row r="239" ht="22" customHeight="1">
      <c r="B239" s="323" t="n"/>
      <c r="C239" s="314" t="n"/>
      <c r="D239" s="313" t="n"/>
      <c r="E239" s="315" t="n"/>
      <c r="F239" s="316" t="n"/>
      <c r="G239" s="324" t="n"/>
      <c r="H239" s="316" t="n"/>
      <c r="I239" s="324" t="n"/>
      <c r="J239" s="240">
        <f>IF(AND(L239="Закрыт",ISNUMBER(F239),ISNUMBER(H239)),ROUND(H239-F239,8),"")</f>
        <v/>
      </c>
      <c r="K239" s="241">
        <f>IF(AND(L239="Закрыт",ISNUMBER(G239),ISNUMBER(I239)),ROUND(I239-G239,8),"")</f>
        <v/>
      </c>
      <c r="L239" s="325" t="n"/>
      <c r="M239" s="316" t="n"/>
      <c r="N239" s="324" t="n"/>
    </row>
    <row r="240" ht="22" customHeight="1">
      <c r="B240" s="326" t="n"/>
      <c r="C240" s="319" t="n"/>
      <c r="D240" s="318" t="n"/>
      <c r="E240" s="320" t="n"/>
      <c r="F240" s="321" t="n"/>
      <c r="G240" s="327" t="n"/>
      <c r="H240" s="321" t="n"/>
      <c r="I240" s="327" t="n"/>
      <c r="J240" s="246">
        <f>IF(AND(L240="Закрыт",ISNUMBER(F240),ISNUMBER(H240)),ROUND(H240-F240,8),"")</f>
        <v/>
      </c>
      <c r="K240" s="247">
        <f>IF(AND(L240="Закрыт",ISNUMBER(G240),ISNUMBER(I240)),ROUND(I240-G240,8),"")</f>
        <v/>
      </c>
      <c r="L240" s="328" t="n"/>
      <c r="M240" s="321" t="n"/>
      <c r="N240" s="327" t="n"/>
    </row>
    <row r="241" ht="22" customHeight="1">
      <c r="B241" s="323" t="n"/>
      <c r="C241" s="314" t="n"/>
      <c r="D241" s="313" t="n"/>
      <c r="E241" s="315" t="n"/>
      <c r="F241" s="316" t="n"/>
      <c r="G241" s="324" t="n"/>
      <c r="H241" s="316" t="n"/>
      <c r="I241" s="324" t="n"/>
      <c r="J241" s="240">
        <f>IF(AND(L241="Закрыт",ISNUMBER(F241),ISNUMBER(H241)),ROUND(H241-F241,8),"")</f>
        <v/>
      </c>
      <c r="K241" s="241">
        <f>IF(AND(L241="Закрыт",ISNUMBER(G241),ISNUMBER(I241)),ROUND(I241-G241,8),"")</f>
        <v/>
      </c>
      <c r="L241" s="325" t="n"/>
      <c r="M241" s="316" t="n"/>
      <c r="N241" s="324" t="n"/>
    </row>
    <row r="242" ht="22" customHeight="1">
      <c r="B242" s="326" t="n"/>
      <c r="C242" s="319" t="n"/>
      <c r="D242" s="318" t="n"/>
      <c r="E242" s="320" t="n"/>
      <c r="F242" s="321" t="n"/>
      <c r="G242" s="327" t="n"/>
      <c r="H242" s="321" t="n"/>
      <c r="I242" s="327" t="n"/>
      <c r="J242" s="246">
        <f>IF(AND(L242="Закрыт",ISNUMBER(F242),ISNUMBER(H242)),ROUND(H242-F242,8),"")</f>
        <v/>
      </c>
      <c r="K242" s="247">
        <f>IF(AND(L242="Закрыт",ISNUMBER(G242),ISNUMBER(I242)),ROUND(I242-G242,8),"")</f>
        <v/>
      </c>
      <c r="L242" s="328" t="n"/>
      <c r="M242" s="321" t="n"/>
      <c r="N242" s="327" t="n"/>
    </row>
    <row r="243" ht="22" customHeight="1">
      <c r="B243" s="323" t="n"/>
      <c r="C243" s="314" t="n"/>
      <c r="D243" s="313" t="n"/>
      <c r="E243" s="315" t="n"/>
      <c r="F243" s="316" t="n"/>
      <c r="G243" s="324" t="n"/>
      <c r="H243" s="316" t="n"/>
      <c r="I243" s="324" t="n"/>
      <c r="J243" s="240">
        <f>IF(AND(L243="Закрыт",ISNUMBER(F243),ISNUMBER(H243)),ROUND(H243-F243,8),"")</f>
        <v/>
      </c>
      <c r="K243" s="241">
        <f>IF(AND(L243="Закрыт",ISNUMBER(G243),ISNUMBER(I243)),ROUND(I243-G243,8),"")</f>
        <v/>
      </c>
      <c r="L243" s="325" t="n"/>
      <c r="M243" s="316" t="n"/>
      <c r="N243" s="324" t="n"/>
    </row>
    <row r="244" ht="22" customHeight="1">
      <c r="B244" s="326" t="n"/>
      <c r="C244" s="319" t="n"/>
      <c r="D244" s="318" t="n"/>
      <c r="E244" s="320" t="n"/>
      <c r="F244" s="321" t="n"/>
      <c r="G244" s="327" t="n"/>
      <c r="H244" s="321" t="n"/>
      <c r="I244" s="327" t="n"/>
      <c r="J244" s="246">
        <f>IF(AND(L244="Закрыт",ISNUMBER(F244),ISNUMBER(H244)),ROUND(H244-F244,8),"")</f>
        <v/>
      </c>
      <c r="K244" s="247">
        <f>IF(AND(L244="Закрыт",ISNUMBER(G244),ISNUMBER(I244)),ROUND(I244-G244,8),"")</f>
        <v/>
      </c>
      <c r="L244" s="328" t="n"/>
      <c r="M244" s="321" t="n"/>
      <c r="N244" s="327" t="n"/>
    </row>
    <row r="245" ht="22" customHeight="1">
      <c r="B245" s="323" t="n"/>
      <c r="C245" s="314" t="n"/>
      <c r="D245" s="313" t="n"/>
      <c r="E245" s="315" t="n"/>
      <c r="F245" s="316" t="n"/>
      <c r="G245" s="324" t="n"/>
      <c r="H245" s="316" t="n"/>
      <c r="I245" s="324" t="n"/>
      <c r="J245" s="240">
        <f>IF(AND(L245="Закрыт",ISNUMBER(F245),ISNUMBER(H245)),ROUND(H245-F245,8),"")</f>
        <v/>
      </c>
      <c r="K245" s="241">
        <f>IF(AND(L245="Закрыт",ISNUMBER(G245),ISNUMBER(I245)),ROUND(I245-G245,8),"")</f>
        <v/>
      </c>
      <c r="L245" s="325" t="n"/>
      <c r="M245" s="316" t="n"/>
      <c r="N245" s="324" t="n"/>
    </row>
    <row r="246" ht="22" customHeight="1">
      <c r="B246" s="326" t="n"/>
      <c r="C246" s="319" t="n"/>
      <c r="D246" s="318" t="n"/>
      <c r="E246" s="320" t="n"/>
      <c r="F246" s="321" t="n"/>
      <c r="G246" s="327" t="n"/>
      <c r="H246" s="321" t="n"/>
      <c r="I246" s="327" t="n"/>
      <c r="J246" s="246">
        <f>IF(AND(L246="Закрыт",ISNUMBER(F246),ISNUMBER(H246)),ROUND(H246-F246,8),"")</f>
        <v/>
      </c>
      <c r="K246" s="247">
        <f>IF(AND(L246="Закрыт",ISNUMBER(G246),ISNUMBER(I246)),ROUND(I246-G246,8),"")</f>
        <v/>
      </c>
      <c r="L246" s="328" t="n"/>
      <c r="M246" s="321" t="n"/>
      <c r="N246" s="327" t="n"/>
    </row>
    <row r="247" ht="22" customHeight="1">
      <c r="B247" s="323" t="n"/>
      <c r="C247" s="314" t="n"/>
      <c r="D247" s="313" t="n"/>
      <c r="E247" s="315" t="n"/>
      <c r="F247" s="316" t="n"/>
      <c r="G247" s="324" t="n"/>
      <c r="H247" s="316" t="n"/>
      <c r="I247" s="324" t="n"/>
      <c r="J247" s="240">
        <f>IF(AND(L247="Закрыт",ISNUMBER(F247),ISNUMBER(H247)),ROUND(H247-F247,8),"")</f>
        <v/>
      </c>
      <c r="K247" s="241">
        <f>IF(AND(L247="Закрыт",ISNUMBER(G247),ISNUMBER(I247)),ROUND(I247-G247,8),"")</f>
        <v/>
      </c>
      <c r="L247" s="325" t="n"/>
      <c r="M247" s="316" t="n"/>
      <c r="N247" s="324" t="n"/>
    </row>
    <row r="248" ht="22" customHeight="1">
      <c r="B248" s="326" t="n"/>
      <c r="C248" s="319" t="n"/>
      <c r="D248" s="318" t="n"/>
      <c r="E248" s="320" t="n"/>
      <c r="F248" s="321" t="n"/>
      <c r="G248" s="327" t="n"/>
      <c r="H248" s="321" t="n"/>
      <c r="I248" s="327" t="n"/>
      <c r="J248" s="246">
        <f>IF(AND(L248="Закрыт",ISNUMBER(F248),ISNUMBER(H248)),ROUND(H248-F248,8),"")</f>
        <v/>
      </c>
      <c r="K248" s="247">
        <f>IF(AND(L248="Закрыт",ISNUMBER(G248),ISNUMBER(I248)),ROUND(I248-G248,8),"")</f>
        <v/>
      </c>
      <c r="L248" s="328" t="n"/>
      <c r="M248" s="321" t="n"/>
      <c r="N248" s="327" t="n"/>
    </row>
    <row r="249" ht="22" customHeight="1">
      <c r="B249" s="323" t="n"/>
      <c r="C249" s="314" t="n"/>
      <c r="D249" s="313" t="n"/>
      <c r="E249" s="315" t="n"/>
      <c r="F249" s="316" t="n"/>
      <c r="G249" s="324" t="n"/>
      <c r="H249" s="316" t="n"/>
      <c r="I249" s="324" t="n"/>
      <c r="J249" s="240">
        <f>IF(AND(L249="Закрыт",ISNUMBER(F249),ISNUMBER(H249)),ROUND(H249-F249,8),"")</f>
        <v/>
      </c>
      <c r="K249" s="241">
        <f>IF(AND(L249="Закрыт",ISNUMBER(G249),ISNUMBER(I249)),ROUND(I249-G249,8),"")</f>
        <v/>
      </c>
      <c r="L249" s="325" t="n"/>
      <c r="M249" s="316" t="n"/>
      <c r="N249" s="324" t="n"/>
    </row>
    <row r="250" ht="22" customHeight="1">
      <c r="B250" s="326" t="n"/>
      <c r="C250" s="319" t="n"/>
      <c r="D250" s="318" t="n"/>
      <c r="E250" s="320" t="n"/>
      <c r="F250" s="321" t="n"/>
      <c r="G250" s="327" t="n"/>
      <c r="H250" s="321" t="n"/>
      <c r="I250" s="327" t="n"/>
      <c r="J250" s="246">
        <f>IF(AND(L250="Закрыт",ISNUMBER(F250),ISNUMBER(H250)),ROUND(H250-F250,8),"")</f>
        <v/>
      </c>
      <c r="K250" s="247">
        <f>IF(AND(L250="Закрыт",ISNUMBER(G250),ISNUMBER(I250)),ROUND(I250-G250,8),"")</f>
        <v/>
      </c>
      <c r="L250" s="328" t="n"/>
      <c r="M250" s="321" t="n"/>
      <c r="N250" s="327" t="n"/>
    </row>
    <row r="251" ht="22" customHeight="1">
      <c r="B251" s="323" t="n"/>
      <c r="C251" s="314" t="n"/>
      <c r="D251" s="313" t="n"/>
      <c r="E251" s="315" t="n"/>
      <c r="F251" s="316" t="n"/>
      <c r="G251" s="324" t="n"/>
      <c r="H251" s="316" t="n"/>
      <c r="I251" s="324" t="n"/>
      <c r="J251" s="240">
        <f>IF(AND(L251="Закрыт",ISNUMBER(F251),ISNUMBER(H251)),ROUND(H251-F251,8),"")</f>
        <v/>
      </c>
      <c r="K251" s="241">
        <f>IF(AND(L251="Закрыт",ISNUMBER(G251),ISNUMBER(I251)),ROUND(I251-G251,8),"")</f>
        <v/>
      </c>
      <c r="L251" s="325" t="n"/>
      <c r="M251" s="316" t="n"/>
      <c r="N251" s="324" t="n"/>
    </row>
    <row r="252" ht="22" customHeight="1">
      <c r="B252" s="326" t="n"/>
      <c r="C252" s="319" t="n"/>
      <c r="D252" s="318" t="n"/>
      <c r="E252" s="320" t="n"/>
      <c r="F252" s="321" t="n"/>
      <c r="G252" s="327" t="n"/>
      <c r="H252" s="321" t="n"/>
      <c r="I252" s="327" t="n"/>
      <c r="J252" s="246">
        <f>IF(AND(L252="Закрыт",ISNUMBER(F252),ISNUMBER(H252)),ROUND(H252-F252,8),"")</f>
        <v/>
      </c>
      <c r="K252" s="247">
        <f>IF(AND(L252="Закрыт",ISNUMBER(G252),ISNUMBER(I252)),ROUND(I252-G252,8),"")</f>
        <v/>
      </c>
      <c r="L252" s="328" t="n"/>
      <c r="M252" s="321" t="n"/>
      <c r="N252" s="327" t="n"/>
    </row>
    <row r="253" ht="22" customHeight="1">
      <c r="B253" s="323" t="n"/>
      <c r="C253" s="314" t="n"/>
      <c r="D253" s="313" t="n"/>
      <c r="E253" s="315" t="n"/>
      <c r="F253" s="316" t="n"/>
      <c r="G253" s="324" t="n"/>
      <c r="H253" s="316" t="n"/>
      <c r="I253" s="324" t="n"/>
      <c r="J253" s="240">
        <f>IF(AND(L253="Закрыт",ISNUMBER(F253),ISNUMBER(H253)),ROUND(H253-F253,8),"")</f>
        <v/>
      </c>
      <c r="K253" s="241">
        <f>IF(AND(L253="Закрыт",ISNUMBER(G253),ISNUMBER(I253)),ROUND(I253-G253,8),"")</f>
        <v/>
      </c>
      <c r="L253" s="325" t="n"/>
      <c r="M253" s="316" t="n"/>
      <c r="N253" s="324" t="n"/>
    </row>
    <row r="254" ht="22" customHeight="1">
      <c r="B254" s="326" t="n"/>
      <c r="C254" s="319" t="n"/>
      <c r="D254" s="318" t="n"/>
      <c r="E254" s="320" t="n"/>
      <c r="F254" s="321" t="n"/>
      <c r="G254" s="327" t="n"/>
      <c r="H254" s="321" t="n"/>
      <c r="I254" s="327" t="n"/>
      <c r="J254" s="246">
        <f>IF(AND(L254="Закрыт",ISNUMBER(F254),ISNUMBER(H254)),ROUND(H254-F254,8),"")</f>
        <v/>
      </c>
      <c r="K254" s="247">
        <f>IF(AND(L254="Закрыт",ISNUMBER(G254),ISNUMBER(I254)),ROUND(I254-G254,8),"")</f>
        <v/>
      </c>
      <c r="L254" s="328" t="n"/>
      <c r="M254" s="321" t="n"/>
      <c r="N254" s="327" t="n"/>
    </row>
    <row r="255" ht="22" customHeight="1">
      <c r="B255" s="323" t="n"/>
      <c r="C255" s="314" t="n"/>
      <c r="D255" s="313" t="n"/>
      <c r="E255" s="315" t="n"/>
      <c r="F255" s="316" t="n"/>
      <c r="G255" s="324" t="n"/>
      <c r="H255" s="316" t="n"/>
      <c r="I255" s="324" t="n"/>
      <c r="J255" s="240">
        <f>IF(AND(L255="Закрыт",ISNUMBER(F255),ISNUMBER(H255)),ROUND(H255-F255,8),"")</f>
        <v/>
      </c>
      <c r="K255" s="241">
        <f>IF(AND(L255="Закрыт",ISNUMBER(G255),ISNUMBER(I255)),ROUND(I255-G255,8),"")</f>
        <v/>
      </c>
      <c r="L255" s="325" t="n"/>
      <c r="M255" s="316" t="n"/>
      <c r="N255" s="324" t="n"/>
    </row>
    <row r="256" ht="22" customHeight="1">
      <c r="B256" s="326" t="n"/>
      <c r="C256" s="319" t="n"/>
      <c r="D256" s="318" t="n"/>
      <c r="E256" s="320" t="n"/>
      <c r="F256" s="321" t="n"/>
      <c r="G256" s="327" t="n"/>
      <c r="H256" s="321" t="n"/>
      <c r="I256" s="327" t="n"/>
      <c r="J256" s="246">
        <f>IF(AND(L256="Закрыт",ISNUMBER(F256),ISNUMBER(H256)),ROUND(H256-F256,8),"")</f>
        <v/>
      </c>
      <c r="K256" s="247">
        <f>IF(AND(L256="Закрыт",ISNUMBER(G256),ISNUMBER(I256)),ROUND(I256-G256,8),"")</f>
        <v/>
      </c>
      <c r="L256" s="328" t="n"/>
      <c r="M256" s="321" t="n"/>
      <c r="N256" s="327" t="n"/>
    </row>
    <row r="257" ht="22" customHeight="1">
      <c r="B257" s="323" t="n"/>
      <c r="C257" s="314" t="n"/>
      <c r="D257" s="313" t="n"/>
      <c r="E257" s="315" t="n"/>
      <c r="F257" s="316" t="n"/>
      <c r="G257" s="324" t="n"/>
      <c r="H257" s="316" t="n"/>
      <c r="I257" s="324" t="n"/>
      <c r="J257" s="240">
        <f>IF(AND(L257="Закрыт",ISNUMBER(F257),ISNUMBER(H257)),ROUND(H257-F257,8),"")</f>
        <v/>
      </c>
      <c r="K257" s="241">
        <f>IF(AND(L257="Закрыт",ISNUMBER(G257),ISNUMBER(I257)),ROUND(I257-G257,8),"")</f>
        <v/>
      </c>
      <c r="L257" s="325" t="n"/>
      <c r="M257" s="316" t="n"/>
      <c r="N257" s="324" t="n"/>
    </row>
    <row r="258" ht="22" customHeight="1">
      <c r="B258" s="326" t="n"/>
      <c r="C258" s="319" t="n"/>
      <c r="D258" s="318" t="n"/>
      <c r="E258" s="320" t="n"/>
      <c r="F258" s="321" t="n"/>
      <c r="G258" s="327" t="n"/>
      <c r="H258" s="321" t="n"/>
      <c r="I258" s="327" t="n"/>
      <c r="J258" s="246">
        <f>IF(AND(L258="Закрыт",ISNUMBER(F258),ISNUMBER(H258)),ROUND(H258-F258,8),"")</f>
        <v/>
      </c>
      <c r="K258" s="247">
        <f>IF(AND(L258="Закрыт",ISNUMBER(G258),ISNUMBER(I258)),ROUND(I258-G258,8),"")</f>
        <v/>
      </c>
      <c r="L258" s="328" t="n"/>
      <c r="M258" s="321" t="n"/>
      <c r="N258" s="327" t="n"/>
    </row>
    <row r="259" ht="22" customHeight="1">
      <c r="B259" s="323" t="n"/>
      <c r="C259" s="314" t="n"/>
      <c r="D259" s="313" t="n"/>
      <c r="E259" s="315" t="n"/>
      <c r="F259" s="316" t="n"/>
      <c r="G259" s="324" t="n"/>
      <c r="H259" s="316" t="n"/>
      <c r="I259" s="324" t="n"/>
      <c r="J259" s="240">
        <f>IF(AND(L259="Закрыт",ISNUMBER(F259),ISNUMBER(H259)),ROUND(H259-F259,8),"")</f>
        <v/>
      </c>
      <c r="K259" s="241">
        <f>IF(AND(L259="Закрыт",ISNUMBER(G259),ISNUMBER(I259)),ROUND(I259-G259,8),"")</f>
        <v/>
      </c>
      <c r="L259" s="325" t="n"/>
      <c r="M259" s="316" t="n"/>
      <c r="N259" s="324" t="n"/>
    </row>
    <row r="260" ht="22" customHeight="1">
      <c r="B260" s="326" t="n"/>
      <c r="C260" s="319" t="n"/>
      <c r="D260" s="318" t="n"/>
      <c r="E260" s="320" t="n"/>
      <c r="F260" s="321" t="n"/>
      <c r="G260" s="327" t="n"/>
      <c r="H260" s="321" t="n"/>
      <c r="I260" s="327" t="n"/>
      <c r="J260" s="246">
        <f>IF(AND(L260="Закрыт",ISNUMBER(F260),ISNUMBER(H260)),ROUND(H260-F260,8),"")</f>
        <v/>
      </c>
      <c r="K260" s="247">
        <f>IF(AND(L260="Закрыт",ISNUMBER(G260),ISNUMBER(I260)),ROUND(I260-G260,8),"")</f>
        <v/>
      </c>
      <c r="L260" s="328" t="n"/>
      <c r="M260" s="321" t="n"/>
      <c r="N260" s="327" t="n"/>
    </row>
    <row r="261" ht="22" customHeight="1">
      <c r="B261" s="323" t="n"/>
      <c r="C261" s="314" t="n"/>
      <c r="D261" s="313" t="n"/>
      <c r="E261" s="315" t="n"/>
      <c r="F261" s="316" t="n"/>
      <c r="G261" s="324" t="n"/>
      <c r="H261" s="316" t="n"/>
      <c r="I261" s="324" t="n"/>
      <c r="J261" s="240">
        <f>IF(AND(L261="Закрыт",ISNUMBER(F261),ISNUMBER(H261)),ROUND(H261-F261,8),"")</f>
        <v/>
      </c>
      <c r="K261" s="241">
        <f>IF(AND(L261="Закрыт",ISNUMBER(G261),ISNUMBER(I261)),ROUND(I261-G261,8),"")</f>
        <v/>
      </c>
      <c r="L261" s="325" t="n"/>
      <c r="M261" s="316" t="n"/>
      <c r="N261" s="324" t="n"/>
    </row>
    <row r="262" ht="22" customHeight="1">
      <c r="B262" s="326" t="n"/>
      <c r="C262" s="319" t="n"/>
      <c r="D262" s="318" t="n"/>
      <c r="E262" s="320" t="n"/>
      <c r="F262" s="321" t="n"/>
      <c r="G262" s="327" t="n"/>
      <c r="H262" s="321" t="n"/>
      <c r="I262" s="327" t="n"/>
      <c r="J262" s="246">
        <f>IF(AND(L262="Закрыт",ISNUMBER(F262),ISNUMBER(H262)),ROUND(H262-F262,8),"")</f>
        <v/>
      </c>
      <c r="K262" s="247">
        <f>IF(AND(L262="Закрыт",ISNUMBER(G262),ISNUMBER(I262)),ROUND(I262-G262,8),"")</f>
        <v/>
      </c>
      <c r="L262" s="328" t="n"/>
      <c r="M262" s="321" t="n"/>
      <c r="N262" s="327" t="n"/>
    </row>
    <row r="263" ht="22" customHeight="1">
      <c r="B263" s="323" t="n"/>
      <c r="C263" s="314" t="n"/>
      <c r="D263" s="313" t="n"/>
      <c r="E263" s="315" t="n"/>
      <c r="F263" s="316" t="n"/>
      <c r="G263" s="324" t="n"/>
      <c r="H263" s="316" t="n"/>
      <c r="I263" s="324" t="n"/>
      <c r="J263" s="240">
        <f>IF(AND(L263="Закрыт",ISNUMBER(F263),ISNUMBER(H263)),ROUND(H263-F263,8),"")</f>
        <v/>
      </c>
      <c r="K263" s="241">
        <f>IF(AND(L263="Закрыт",ISNUMBER(G263),ISNUMBER(I263)),ROUND(I263-G263,8),"")</f>
        <v/>
      </c>
      <c r="L263" s="325" t="n"/>
      <c r="M263" s="316" t="n"/>
      <c r="N263" s="324" t="n"/>
    </row>
    <row r="264" ht="22" customHeight="1">
      <c r="B264" s="326" t="n"/>
      <c r="C264" s="319" t="n"/>
      <c r="D264" s="318" t="n"/>
      <c r="E264" s="320" t="n"/>
      <c r="F264" s="321" t="n"/>
      <c r="G264" s="327" t="n"/>
      <c r="H264" s="321" t="n"/>
      <c r="I264" s="327" t="n"/>
      <c r="J264" s="246">
        <f>IF(AND(L264="Закрыт",ISNUMBER(F264),ISNUMBER(H264)),ROUND(H264-F264,8),"")</f>
        <v/>
      </c>
      <c r="K264" s="247">
        <f>IF(AND(L264="Закрыт",ISNUMBER(G264),ISNUMBER(I264)),ROUND(I264-G264,8),"")</f>
        <v/>
      </c>
      <c r="L264" s="328" t="n"/>
      <c r="M264" s="321" t="n"/>
      <c r="N264" s="327" t="n"/>
    </row>
    <row r="265" ht="22" customHeight="1">
      <c r="B265" s="323" t="n"/>
      <c r="C265" s="314" t="n"/>
      <c r="D265" s="313" t="n"/>
      <c r="E265" s="315" t="n"/>
      <c r="F265" s="316" t="n"/>
      <c r="G265" s="324" t="n"/>
      <c r="H265" s="316" t="n"/>
      <c r="I265" s="324" t="n"/>
      <c r="J265" s="240">
        <f>IF(AND(L265="Закрыт",ISNUMBER(F265),ISNUMBER(H265)),ROUND(H265-F265,8),"")</f>
        <v/>
      </c>
      <c r="K265" s="241">
        <f>IF(AND(L265="Закрыт",ISNUMBER(G265),ISNUMBER(I265)),ROUND(I265-G265,8),"")</f>
        <v/>
      </c>
      <c r="L265" s="325" t="n"/>
      <c r="M265" s="316" t="n"/>
      <c r="N265" s="324" t="n"/>
    </row>
    <row r="266" ht="22" customHeight="1">
      <c r="B266" s="326" t="n"/>
      <c r="C266" s="319" t="n"/>
      <c r="D266" s="318" t="n"/>
      <c r="E266" s="320" t="n"/>
      <c r="F266" s="321" t="n"/>
      <c r="G266" s="327" t="n"/>
      <c r="H266" s="321" t="n"/>
      <c r="I266" s="327" t="n"/>
      <c r="J266" s="246">
        <f>IF(AND(L266="Закрыт",ISNUMBER(F266),ISNUMBER(H266)),ROUND(H266-F266,8),"")</f>
        <v/>
      </c>
      <c r="K266" s="247">
        <f>IF(AND(L266="Закрыт",ISNUMBER(G266),ISNUMBER(I266)),ROUND(I266-G266,8),"")</f>
        <v/>
      </c>
      <c r="L266" s="328" t="n"/>
      <c r="M266" s="321" t="n"/>
      <c r="N266" s="327" t="n"/>
    </row>
    <row r="267" ht="22" customHeight="1">
      <c r="B267" s="323" t="n"/>
      <c r="C267" s="314" t="n"/>
      <c r="D267" s="313" t="n"/>
      <c r="E267" s="315" t="n"/>
      <c r="F267" s="316" t="n"/>
      <c r="G267" s="324" t="n"/>
      <c r="H267" s="316" t="n"/>
      <c r="I267" s="324" t="n"/>
      <c r="J267" s="240">
        <f>IF(AND(L267="Закрыт",ISNUMBER(F267),ISNUMBER(H267)),ROUND(H267-F267,8),"")</f>
        <v/>
      </c>
      <c r="K267" s="241">
        <f>IF(AND(L267="Закрыт",ISNUMBER(G267),ISNUMBER(I267)),ROUND(I267-G267,8),"")</f>
        <v/>
      </c>
      <c r="L267" s="325" t="n"/>
      <c r="M267" s="316" t="n"/>
      <c r="N267" s="324" t="n"/>
    </row>
    <row r="268" ht="22" customHeight="1">
      <c r="B268" s="326" t="n"/>
      <c r="C268" s="319" t="n"/>
      <c r="D268" s="318" t="n"/>
      <c r="E268" s="320" t="n"/>
      <c r="F268" s="321" t="n"/>
      <c r="G268" s="327" t="n"/>
      <c r="H268" s="321" t="n"/>
      <c r="I268" s="327" t="n"/>
      <c r="J268" s="246">
        <f>IF(AND(L268="Закрыт",ISNUMBER(F268),ISNUMBER(H268)),ROUND(H268-F268,8),"")</f>
        <v/>
      </c>
      <c r="K268" s="247">
        <f>IF(AND(L268="Закрыт",ISNUMBER(G268),ISNUMBER(I268)),ROUND(I268-G268,8),"")</f>
        <v/>
      </c>
      <c r="L268" s="328" t="n"/>
      <c r="M268" s="321" t="n"/>
      <c r="N268" s="327" t="n"/>
    </row>
    <row r="269" ht="22" customHeight="1">
      <c r="B269" s="323" t="n"/>
      <c r="C269" s="314" t="n"/>
      <c r="D269" s="313" t="n"/>
      <c r="E269" s="315" t="n"/>
      <c r="F269" s="316" t="n"/>
      <c r="G269" s="324" t="n"/>
      <c r="H269" s="316" t="n"/>
      <c r="I269" s="324" t="n"/>
      <c r="J269" s="240">
        <f>IF(AND(L269="Закрыт",ISNUMBER(F269),ISNUMBER(H269)),ROUND(H269-F269,8),"")</f>
        <v/>
      </c>
      <c r="K269" s="241">
        <f>IF(AND(L269="Закрыт",ISNUMBER(G269),ISNUMBER(I269)),ROUND(I269-G269,8),"")</f>
        <v/>
      </c>
      <c r="L269" s="325" t="n"/>
      <c r="M269" s="316" t="n"/>
      <c r="N269" s="324" t="n"/>
    </row>
    <row r="270" ht="22" customHeight="1">
      <c r="B270" s="326" t="n"/>
      <c r="C270" s="319" t="n"/>
      <c r="D270" s="318" t="n"/>
      <c r="E270" s="320" t="n"/>
      <c r="F270" s="321" t="n"/>
      <c r="G270" s="327" t="n"/>
      <c r="H270" s="321" t="n"/>
      <c r="I270" s="327" t="n"/>
      <c r="J270" s="246">
        <f>IF(AND(L270="Закрыт",ISNUMBER(F270),ISNUMBER(H270)),ROUND(H270-F270,8),"")</f>
        <v/>
      </c>
      <c r="K270" s="247">
        <f>IF(AND(L270="Закрыт",ISNUMBER(G270),ISNUMBER(I270)),ROUND(I270-G270,8),"")</f>
        <v/>
      </c>
      <c r="L270" s="328" t="n"/>
      <c r="M270" s="321" t="n"/>
      <c r="N270" s="327" t="n"/>
    </row>
    <row r="271" ht="22" customHeight="1">
      <c r="B271" s="323" t="n"/>
      <c r="C271" s="314" t="n"/>
      <c r="D271" s="313" t="n"/>
      <c r="E271" s="315" t="n"/>
      <c r="F271" s="316" t="n"/>
      <c r="G271" s="324" t="n"/>
      <c r="H271" s="316" t="n"/>
      <c r="I271" s="324" t="n"/>
      <c r="J271" s="240">
        <f>IF(AND(L271="Закрыт",ISNUMBER(F271),ISNUMBER(H271)),ROUND(H271-F271,8),"")</f>
        <v/>
      </c>
      <c r="K271" s="241">
        <f>IF(AND(L271="Закрыт",ISNUMBER(G271),ISNUMBER(I271)),ROUND(I271-G271,8),"")</f>
        <v/>
      </c>
      <c r="L271" s="325" t="n"/>
      <c r="M271" s="316" t="n"/>
      <c r="N271" s="324" t="n"/>
    </row>
    <row r="272" ht="22" customHeight="1">
      <c r="B272" s="326" t="n"/>
      <c r="C272" s="319" t="n"/>
      <c r="D272" s="318" t="n"/>
      <c r="E272" s="320" t="n"/>
      <c r="F272" s="321" t="n"/>
      <c r="G272" s="327" t="n"/>
      <c r="H272" s="321" t="n"/>
      <c r="I272" s="327" t="n"/>
      <c r="J272" s="246">
        <f>IF(AND(L272="Закрыт",ISNUMBER(F272),ISNUMBER(H272)),ROUND(H272-F272,8),"")</f>
        <v/>
      </c>
      <c r="K272" s="247">
        <f>IF(AND(L272="Закрыт",ISNUMBER(G272),ISNUMBER(I272)),ROUND(I272-G272,8),"")</f>
        <v/>
      </c>
      <c r="L272" s="328" t="n"/>
      <c r="M272" s="321" t="n"/>
      <c r="N272" s="327" t="n"/>
    </row>
    <row r="273" ht="22" customHeight="1">
      <c r="B273" s="323" t="n"/>
      <c r="C273" s="314" t="n"/>
      <c r="D273" s="313" t="n"/>
      <c r="E273" s="315" t="n"/>
      <c r="F273" s="316" t="n"/>
      <c r="G273" s="324" t="n"/>
      <c r="H273" s="316" t="n"/>
      <c r="I273" s="324" t="n"/>
      <c r="J273" s="240">
        <f>IF(AND(L273="Закрыт",ISNUMBER(F273),ISNUMBER(H273)),ROUND(H273-F273,8),"")</f>
        <v/>
      </c>
      <c r="K273" s="241">
        <f>IF(AND(L273="Закрыт",ISNUMBER(G273),ISNUMBER(I273)),ROUND(I273-G273,8),"")</f>
        <v/>
      </c>
      <c r="L273" s="325" t="n"/>
      <c r="M273" s="316" t="n"/>
      <c r="N273" s="324" t="n"/>
    </row>
    <row r="274" ht="22" customHeight="1">
      <c r="B274" s="326" t="n"/>
      <c r="C274" s="319" t="n"/>
      <c r="D274" s="318" t="n"/>
      <c r="E274" s="320" t="n"/>
      <c r="F274" s="321" t="n"/>
      <c r="G274" s="327" t="n"/>
      <c r="H274" s="321" t="n"/>
      <c r="I274" s="327" t="n"/>
      <c r="J274" s="246">
        <f>IF(AND(L274="Закрыт",ISNUMBER(F274),ISNUMBER(H274)),ROUND(H274-F274,8),"")</f>
        <v/>
      </c>
      <c r="K274" s="247">
        <f>IF(AND(L274="Закрыт",ISNUMBER(G274),ISNUMBER(I274)),ROUND(I274-G274,8),"")</f>
        <v/>
      </c>
      <c r="L274" s="328" t="n"/>
      <c r="M274" s="321" t="n"/>
      <c r="N274" s="327" t="n"/>
    </row>
    <row r="275" ht="22" customHeight="1">
      <c r="B275" s="323" t="n"/>
      <c r="C275" s="314" t="n"/>
      <c r="D275" s="313" t="n"/>
      <c r="E275" s="315" t="n"/>
      <c r="F275" s="316" t="n"/>
      <c r="G275" s="324" t="n"/>
      <c r="H275" s="316" t="n"/>
      <c r="I275" s="324" t="n"/>
      <c r="J275" s="240">
        <f>IF(AND(L275="Закрыт",ISNUMBER(F275),ISNUMBER(H275)),ROUND(H275-F275,8),"")</f>
        <v/>
      </c>
      <c r="K275" s="241">
        <f>IF(AND(L275="Закрыт",ISNUMBER(G275),ISNUMBER(I275)),ROUND(I275-G275,8),"")</f>
        <v/>
      </c>
      <c r="L275" s="325" t="n"/>
      <c r="M275" s="316" t="n"/>
      <c r="N275" s="324" t="n"/>
    </row>
    <row r="276" ht="22" customHeight="1">
      <c r="B276" s="326" t="n"/>
      <c r="C276" s="319" t="n"/>
      <c r="D276" s="318" t="n"/>
      <c r="E276" s="320" t="n"/>
      <c r="F276" s="321" t="n"/>
      <c r="G276" s="327" t="n"/>
      <c r="H276" s="321" t="n"/>
      <c r="I276" s="327" t="n"/>
      <c r="J276" s="246">
        <f>IF(AND(L276="Закрыт",ISNUMBER(F276),ISNUMBER(H276)),ROUND(H276-F276,8),"")</f>
        <v/>
      </c>
      <c r="K276" s="247">
        <f>IF(AND(L276="Закрыт",ISNUMBER(G276),ISNUMBER(I276)),ROUND(I276-G276,8),"")</f>
        <v/>
      </c>
      <c r="L276" s="328" t="n"/>
      <c r="M276" s="321" t="n"/>
      <c r="N276" s="327" t="n"/>
    </row>
    <row r="277" ht="22" customHeight="1">
      <c r="B277" s="323" t="n"/>
      <c r="C277" s="314" t="n"/>
      <c r="D277" s="313" t="n"/>
      <c r="E277" s="315" t="n"/>
      <c r="F277" s="316" t="n"/>
      <c r="G277" s="324" t="n"/>
      <c r="H277" s="316" t="n"/>
      <c r="I277" s="324" t="n"/>
      <c r="J277" s="240">
        <f>IF(AND(L277="Закрыт",ISNUMBER(F277),ISNUMBER(H277)),ROUND(H277-F277,8),"")</f>
        <v/>
      </c>
      <c r="K277" s="241">
        <f>IF(AND(L277="Закрыт",ISNUMBER(G277),ISNUMBER(I277)),ROUND(I277-G277,8),"")</f>
        <v/>
      </c>
      <c r="L277" s="325" t="n"/>
      <c r="M277" s="316" t="n"/>
      <c r="N277" s="324" t="n"/>
    </row>
    <row r="278" ht="22" customHeight="1">
      <c r="B278" s="326" t="n"/>
      <c r="C278" s="319" t="n"/>
      <c r="D278" s="318" t="n"/>
      <c r="E278" s="320" t="n"/>
      <c r="F278" s="321" t="n"/>
      <c r="G278" s="327" t="n"/>
      <c r="H278" s="321" t="n"/>
      <c r="I278" s="327" t="n"/>
      <c r="J278" s="246">
        <f>IF(AND(L278="Закрыт",ISNUMBER(F278),ISNUMBER(H278)),ROUND(H278-F278,8),"")</f>
        <v/>
      </c>
      <c r="K278" s="247">
        <f>IF(AND(L278="Закрыт",ISNUMBER(G278),ISNUMBER(I278)),ROUND(I278-G278,8),"")</f>
        <v/>
      </c>
      <c r="L278" s="328" t="n"/>
      <c r="M278" s="321" t="n"/>
      <c r="N278" s="327" t="n"/>
    </row>
    <row r="279" ht="22" customHeight="1">
      <c r="B279" s="323" t="n"/>
      <c r="C279" s="314" t="n"/>
      <c r="D279" s="313" t="n"/>
      <c r="E279" s="315" t="n"/>
      <c r="F279" s="316" t="n"/>
      <c r="G279" s="324" t="n"/>
      <c r="H279" s="316" t="n"/>
      <c r="I279" s="324" t="n"/>
      <c r="J279" s="240">
        <f>IF(AND(L279="Закрыт",ISNUMBER(F279),ISNUMBER(H279)),ROUND(H279-F279,8),"")</f>
        <v/>
      </c>
      <c r="K279" s="241">
        <f>IF(AND(L279="Закрыт",ISNUMBER(G279),ISNUMBER(I279)),ROUND(I279-G279,8),"")</f>
        <v/>
      </c>
      <c r="L279" s="325" t="n"/>
      <c r="M279" s="316" t="n"/>
      <c r="N279" s="324" t="n"/>
    </row>
    <row r="280" ht="22" customHeight="1">
      <c r="B280" s="326" t="n"/>
      <c r="C280" s="319" t="n"/>
      <c r="D280" s="318" t="n"/>
      <c r="E280" s="320" t="n"/>
      <c r="F280" s="321" t="n"/>
      <c r="G280" s="327" t="n"/>
      <c r="H280" s="321" t="n"/>
      <c r="I280" s="327" t="n"/>
      <c r="J280" s="246">
        <f>IF(AND(L280="Закрыт",ISNUMBER(F280),ISNUMBER(H280)),ROUND(H280-F280,8),"")</f>
        <v/>
      </c>
      <c r="K280" s="247">
        <f>IF(AND(L280="Закрыт",ISNUMBER(G280),ISNUMBER(I280)),ROUND(I280-G280,8),"")</f>
        <v/>
      </c>
      <c r="L280" s="328" t="n"/>
      <c r="M280" s="321" t="n"/>
      <c r="N280" s="327" t="n"/>
    </row>
    <row r="281" ht="22" customHeight="1">
      <c r="B281" s="323" t="n"/>
      <c r="C281" s="314" t="n"/>
      <c r="D281" s="313" t="n"/>
      <c r="E281" s="315" t="n"/>
      <c r="F281" s="316" t="n"/>
      <c r="G281" s="324" t="n"/>
      <c r="H281" s="316" t="n"/>
      <c r="I281" s="324" t="n"/>
      <c r="J281" s="240">
        <f>IF(AND(L281="Закрыт",ISNUMBER(F281),ISNUMBER(H281)),ROUND(H281-F281,8),"")</f>
        <v/>
      </c>
      <c r="K281" s="241">
        <f>IF(AND(L281="Закрыт",ISNUMBER(G281),ISNUMBER(I281)),ROUND(I281-G281,8),"")</f>
        <v/>
      </c>
      <c r="L281" s="325" t="n"/>
      <c r="M281" s="316" t="n"/>
      <c r="N281" s="324" t="n"/>
    </row>
    <row r="282" ht="22" customHeight="1">
      <c r="B282" s="326" t="n"/>
      <c r="C282" s="319" t="n"/>
      <c r="D282" s="318" t="n"/>
      <c r="E282" s="320" t="n"/>
      <c r="F282" s="321" t="n"/>
      <c r="G282" s="327" t="n"/>
      <c r="H282" s="321" t="n"/>
      <c r="I282" s="327" t="n"/>
      <c r="J282" s="246">
        <f>IF(AND(L282="Закрыт",ISNUMBER(F282),ISNUMBER(H282)),ROUND(H282-F282,8),"")</f>
        <v/>
      </c>
      <c r="K282" s="247">
        <f>IF(AND(L282="Закрыт",ISNUMBER(G282),ISNUMBER(I282)),ROUND(I282-G282,8),"")</f>
        <v/>
      </c>
      <c r="L282" s="328" t="n"/>
      <c r="M282" s="321" t="n"/>
      <c r="N282" s="327" t="n"/>
    </row>
    <row r="283" ht="22" customHeight="1">
      <c r="B283" s="323" t="n"/>
      <c r="C283" s="314" t="n"/>
      <c r="D283" s="313" t="n"/>
      <c r="E283" s="315" t="n"/>
      <c r="F283" s="316" t="n"/>
      <c r="G283" s="324" t="n"/>
      <c r="H283" s="316" t="n"/>
      <c r="I283" s="324" t="n"/>
      <c r="J283" s="240">
        <f>IF(AND(L283="Закрыт",ISNUMBER(F283),ISNUMBER(H283)),ROUND(H283-F283,8),"")</f>
        <v/>
      </c>
      <c r="K283" s="241">
        <f>IF(AND(L283="Закрыт",ISNUMBER(G283),ISNUMBER(I283)),ROUND(I283-G283,8),"")</f>
        <v/>
      </c>
      <c r="L283" s="325" t="n"/>
      <c r="M283" s="316" t="n"/>
      <c r="N283" s="324" t="n"/>
    </row>
    <row r="284" ht="22" customHeight="1">
      <c r="B284" s="326" t="n"/>
      <c r="C284" s="319" t="n"/>
      <c r="D284" s="318" t="n"/>
      <c r="E284" s="320" t="n"/>
      <c r="F284" s="321" t="n"/>
      <c r="G284" s="327" t="n"/>
      <c r="H284" s="321" t="n"/>
      <c r="I284" s="327" t="n"/>
      <c r="J284" s="246">
        <f>IF(AND(L284="Закрыт",ISNUMBER(F284),ISNUMBER(H284)),ROUND(H284-F284,8),"")</f>
        <v/>
      </c>
      <c r="K284" s="247">
        <f>IF(AND(L284="Закрыт",ISNUMBER(G284),ISNUMBER(I284)),ROUND(I284-G284,8),"")</f>
        <v/>
      </c>
      <c r="L284" s="328" t="n"/>
      <c r="M284" s="321" t="n"/>
      <c r="N284" s="327" t="n"/>
    </row>
    <row r="285" ht="22" customHeight="1">
      <c r="B285" s="323" t="n"/>
      <c r="C285" s="314" t="n"/>
      <c r="D285" s="313" t="n"/>
      <c r="E285" s="315" t="n"/>
      <c r="F285" s="316" t="n"/>
      <c r="G285" s="324" t="n"/>
      <c r="H285" s="316" t="n"/>
      <c r="I285" s="324" t="n"/>
      <c r="J285" s="240">
        <f>IF(AND(L285="Закрыт",ISNUMBER(F285),ISNUMBER(H285)),ROUND(H285-F285,8),"")</f>
        <v/>
      </c>
      <c r="K285" s="241">
        <f>IF(AND(L285="Закрыт",ISNUMBER(G285),ISNUMBER(I285)),ROUND(I285-G285,8),"")</f>
        <v/>
      </c>
      <c r="L285" s="325" t="n"/>
      <c r="M285" s="316" t="n"/>
      <c r="N285" s="324" t="n"/>
    </row>
    <row r="286" ht="22" customHeight="1">
      <c r="B286" s="326" t="n"/>
      <c r="C286" s="319" t="n"/>
      <c r="D286" s="318" t="n"/>
      <c r="E286" s="320" t="n"/>
      <c r="F286" s="321" t="n"/>
      <c r="G286" s="327" t="n"/>
      <c r="H286" s="321" t="n"/>
      <c r="I286" s="327" t="n"/>
      <c r="J286" s="246">
        <f>IF(AND(L286="Закрыт",ISNUMBER(F286),ISNUMBER(H286)),ROUND(H286-F286,8),"")</f>
        <v/>
      </c>
      <c r="K286" s="247">
        <f>IF(AND(L286="Закрыт",ISNUMBER(G286),ISNUMBER(I286)),ROUND(I286-G286,8),"")</f>
        <v/>
      </c>
      <c r="L286" s="328" t="n"/>
      <c r="M286" s="321" t="n"/>
      <c r="N286" s="327" t="n"/>
    </row>
    <row r="287" ht="22" customHeight="1">
      <c r="B287" s="323" t="n"/>
      <c r="C287" s="314" t="n"/>
      <c r="D287" s="313" t="n"/>
      <c r="E287" s="315" t="n"/>
      <c r="F287" s="316" t="n"/>
      <c r="G287" s="324" t="n"/>
      <c r="H287" s="316" t="n"/>
      <c r="I287" s="324" t="n"/>
      <c r="J287" s="240">
        <f>IF(AND(L287="Закрыт",ISNUMBER(F287),ISNUMBER(H287)),ROUND(H287-F287,8),"")</f>
        <v/>
      </c>
      <c r="K287" s="241">
        <f>IF(AND(L287="Закрыт",ISNUMBER(G287),ISNUMBER(I287)),ROUND(I287-G287,8),"")</f>
        <v/>
      </c>
      <c r="L287" s="325" t="n"/>
      <c r="M287" s="316" t="n"/>
      <c r="N287" s="324" t="n"/>
    </row>
    <row r="288" ht="22" customHeight="1">
      <c r="B288" s="326" t="n"/>
      <c r="C288" s="319" t="n"/>
      <c r="D288" s="318" t="n"/>
      <c r="E288" s="320" t="n"/>
      <c r="F288" s="321" t="n"/>
      <c r="G288" s="327" t="n"/>
      <c r="H288" s="321" t="n"/>
      <c r="I288" s="327" t="n"/>
      <c r="J288" s="246">
        <f>IF(AND(L288="Закрыт",ISNUMBER(F288),ISNUMBER(H288)),ROUND(H288-F288,8),"")</f>
        <v/>
      </c>
      <c r="K288" s="247">
        <f>IF(AND(L288="Закрыт",ISNUMBER(G288),ISNUMBER(I288)),ROUND(I288-G288,8),"")</f>
        <v/>
      </c>
      <c r="L288" s="328" t="n"/>
      <c r="M288" s="321" t="n"/>
      <c r="N288" s="327" t="n"/>
    </row>
    <row r="289" ht="22" customHeight="1">
      <c r="B289" s="323" t="n"/>
      <c r="C289" s="314" t="n"/>
      <c r="D289" s="313" t="n"/>
      <c r="E289" s="315" t="n"/>
      <c r="F289" s="316" t="n"/>
      <c r="G289" s="324" t="n"/>
      <c r="H289" s="316" t="n"/>
      <c r="I289" s="324" t="n"/>
      <c r="J289" s="240">
        <f>IF(AND(L289="Закрыт",ISNUMBER(F289),ISNUMBER(H289)),ROUND(H289-F289,8),"")</f>
        <v/>
      </c>
      <c r="K289" s="241">
        <f>IF(AND(L289="Закрыт",ISNUMBER(G289),ISNUMBER(I289)),ROUND(I289-G289,8),"")</f>
        <v/>
      </c>
      <c r="L289" s="325" t="n"/>
      <c r="M289" s="316" t="n"/>
      <c r="N289" s="324" t="n"/>
    </row>
    <row r="290" ht="22" customHeight="1">
      <c r="B290" s="326" t="n"/>
      <c r="C290" s="319" t="n"/>
      <c r="D290" s="318" t="n"/>
      <c r="E290" s="320" t="n"/>
      <c r="F290" s="321" t="n"/>
      <c r="G290" s="327" t="n"/>
      <c r="H290" s="321" t="n"/>
      <c r="I290" s="327" t="n"/>
      <c r="J290" s="246">
        <f>IF(AND(L290="Закрыт",ISNUMBER(F290),ISNUMBER(H290)),ROUND(H290-F290,8),"")</f>
        <v/>
      </c>
      <c r="K290" s="247">
        <f>IF(AND(L290="Закрыт",ISNUMBER(G290),ISNUMBER(I290)),ROUND(I290-G290,8),"")</f>
        <v/>
      </c>
      <c r="L290" s="328" t="n"/>
      <c r="M290" s="321" t="n"/>
      <c r="N290" s="327" t="n"/>
    </row>
    <row r="291" ht="22" customHeight="1">
      <c r="B291" s="323" t="n"/>
      <c r="C291" s="314" t="n"/>
      <c r="D291" s="313" t="n"/>
      <c r="E291" s="315" t="n"/>
      <c r="F291" s="316" t="n"/>
      <c r="G291" s="324" t="n"/>
      <c r="H291" s="316" t="n"/>
      <c r="I291" s="324" t="n"/>
      <c r="J291" s="240">
        <f>IF(AND(L291="Закрыт",ISNUMBER(F291),ISNUMBER(H291)),ROUND(H291-F291,8),"")</f>
        <v/>
      </c>
      <c r="K291" s="241">
        <f>IF(AND(L291="Закрыт",ISNUMBER(G291),ISNUMBER(I291)),ROUND(I291-G291,8),"")</f>
        <v/>
      </c>
      <c r="L291" s="325" t="n"/>
      <c r="M291" s="316" t="n"/>
      <c r="N291" s="324" t="n"/>
    </row>
    <row r="292" ht="22" customHeight="1">
      <c r="B292" s="326" t="n"/>
      <c r="C292" s="319" t="n"/>
      <c r="D292" s="318" t="n"/>
      <c r="E292" s="320" t="n"/>
      <c r="F292" s="321" t="n"/>
      <c r="G292" s="327" t="n"/>
      <c r="H292" s="321" t="n"/>
      <c r="I292" s="327" t="n"/>
      <c r="J292" s="246">
        <f>IF(AND(L292="Закрыт",ISNUMBER(F292),ISNUMBER(H292)),ROUND(H292-F292,8),"")</f>
        <v/>
      </c>
      <c r="K292" s="247">
        <f>IF(AND(L292="Закрыт",ISNUMBER(G292),ISNUMBER(I292)),ROUND(I292-G292,8),"")</f>
        <v/>
      </c>
      <c r="L292" s="328" t="n"/>
      <c r="M292" s="321" t="n"/>
      <c r="N292" s="327" t="n"/>
    </row>
    <row r="293" ht="22" customHeight="1">
      <c r="B293" s="323" t="n"/>
      <c r="C293" s="314" t="n"/>
      <c r="D293" s="313" t="n"/>
      <c r="E293" s="315" t="n"/>
      <c r="F293" s="316" t="n"/>
      <c r="G293" s="324" t="n"/>
      <c r="H293" s="316" t="n"/>
      <c r="I293" s="324" t="n"/>
      <c r="J293" s="240">
        <f>IF(AND(L293="Закрыт",ISNUMBER(F293),ISNUMBER(H293)),ROUND(H293-F293,8),"")</f>
        <v/>
      </c>
      <c r="K293" s="241">
        <f>IF(AND(L293="Закрыт",ISNUMBER(G293),ISNUMBER(I293)),ROUND(I293-G293,8),"")</f>
        <v/>
      </c>
      <c r="L293" s="325" t="n"/>
      <c r="M293" s="316" t="n"/>
      <c r="N293" s="324" t="n"/>
    </row>
    <row r="294" ht="22" customHeight="1">
      <c r="B294" s="326" t="n"/>
      <c r="C294" s="319" t="n"/>
      <c r="D294" s="318" t="n"/>
      <c r="E294" s="320" t="n"/>
      <c r="F294" s="321" t="n"/>
      <c r="G294" s="327" t="n"/>
      <c r="H294" s="321" t="n"/>
      <c r="I294" s="327" t="n"/>
      <c r="J294" s="246">
        <f>IF(AND(L294="Закрыт",ISNUMBER(F294),ISNUMBER(H294)),ROUND(H294-F294,8),"")</f>
        <v/>
      </c>
      <c r="K294" s="247">
        <f>IF(AND(L294="Закрыт",ISNUMBER(G294),ISNUMBER(I294)),ROUND(I294-G294,8),"")</f>
        <v/>
      </c>
      <c r="L294" s="328" t="n"/>
      <c r="M294" s="321" t="n"/>
      <c r="N294" s="327" t="n"/>
    </row>
    <row r="295" ht="22" customHeight="1">
      <c r="B295" s="323" t="n"/>
      <c r="C295" s="314" t="n"/>
      <c r="D295" s="313" t="n"/>
      <c r="E295" s="315" t="n"/>
      <c r="F295" s="316" t="n"/>
      <c r="G295" s="324" t="n"/>
      <c r="H295" s="316" t="n"/>
      <c r="I295" s="324" t="n"/>
      <c r="J295" s="240">
        <f>IF(AND(L295="Закрыт",ISNUMBER(F295),ISNUMBER(H295)),ROUND(H295-F295,8),"")</f>
        <v/>
      </c>
      <c r="K295" s="241">
        <f>IF(AND(L295="Закрыт",ISNUMBER(G295),ISNUMBER(I295)),ROUND(I295-G295,8),"")</f>
        <v/>
      </c>
      <c r="L295" s="325" t="n"/>
      <c r="M295" s="316" t="n"/>
      <c r="N295" s="324" t="n"/>
    </row>
    <row r="296" ht="22" customHeight="1">
      <c r="B296" s="326" t="n"/>
      <c r="C296" s="319" t="n"/>
      <c r="D296" s="318" t="n"/>
      <c r="E296" s="320" t="n"/>
      <c r="F296" s="321" t="n"/>
      <c r="G296" s="327" t="n"/>
      <c r="H296" s="321" t="n"/>
      <c r="I296" s="327" t="n"/>
      <c r="J296" s="246">
        <f>IF(AND(L296="Закрыт",ISNUMBER(F296),ISNUMBER(H296)),ROUND(H296-F296,8),"")</f>
        <v/>
      </c>
      <c r="K296" s="247">
        <f>IF(AND(L296="Закрыт",ISNUMBER(G296),ISNUMBER(I296)),ROUND(I296-G296,8),"")</f>
        <v/>
      </c>
      <c r="L296" s="328" t="n"/>
      <c r="M296" s="321" t="n"/>
      <c r="N296" s="327" t="n"/>
    </row>
    <row r="297" ht="22" customHeight="1">
      <c r="B297" s="323" t="n"/>
      <c r="C297" s="314" t="n"/>
      <c r="D297" s="313" t="n"/>
      <c r="E297" s="315" t="n"/>
      <c r="F297" s="316" t="n"/>
      <c r="G297" s="324" t="n"/>
      <c r="H297" s="316" t="n"/>
      <c r="I297" s="324" t="n"/>
      <c r="J297" s="240">
        <f>IF(AND(L297="Закрыт",ISNUMBER(F297),ISNUMBER(H297)),ROUND(H297-F297,8),"")</f>
        <v/>
      </c>
      <c r="K297" s="241">
        <f>IF(AND(L297="Закрыт",ISNUMBER(G297),ISNUMBER(I297)),ROUND(I297-G297,8),"")</f>
        <v/>
      </c>
      <c r="L297" s="325" t="n"/>
      <c r="M297" s="316" t="n"/>
      <c r="N297" s="324" t="n"/>
    </row>
    <row r="298" ht="22" customHeight="1">
      <c r="B298" s="326" t="n"/>
      <c r="C298" s="319" t="n"/>
      <c r="D298" s="318" t="n"/>
      <c r="E298" s="320" t="n"/>
      <c r="F298" s="321" t="n"/>
      <c r="G298" s="327" t="n"/>
      <c r="H298" s="321" t="n"/>
      <c r="I298" s="327" t="n"/>
      <c r="J298" s="246">
        <f>IF(AND(L298="Закрыт",ISNUMBER(F298),ISNUMBER(H298)),ROUND(H298-F298,8),"")</f>
        <v/>
      </c>
      <c r="K298" s="247">
        <f>IF(AND(L298="Закрыт",ISNUMBER(G298),ISNUMBER(I298)),ROUND(I298-G298,8),"")</f>
        <v/>
      </c>
      <c r="L298" s="328" t="n"/>
      <c r="M298" s="321" t="n"/>
      <c r="N298" s="327" t="n"/>
    </row>
    <row r="299" ht="22" customHeight="1">
      <c r="B299" s="323" t="n"/>
      <c r="C299" s="314" t="n"/>
      <c r="D299" s="313" t="n"/>
      <c r="E299" s="315" t="n"/>
      <c r="F299" s="316" t="n"/>
      <c r="G299" s="324" t="n"/>
      <c r="H299" s="316" t="n"/>
      <c r="I299" s="324" t="n"/>
      <c r="J299" s="240">
        <f>IF(AND(L299="Закрыт",ISNUMBER(F299),ISNUMBER(H299)),ROUND(H299-F299,8),"")</f>
        <v/>
      </c>
      <c r="K299" s="241">
        <f>IF(AND(L299="Закрыт",ISNUMBER(G299),ISNUMBER(I299)),ROUND(I299-G299,8),"")</f>
        <v/>
      </c>
      <c r="L299" s="325" t="n"/>
      <c r="M299" s="316" t="n"/>
      <c r="N299" s="324" t="n"/>
    </row>
    <row r="300" ht="22" customHeight="1">
      <c r="B300" s="326" t="n"/>
      <c r="C300" s="319" t="n"/>
      <c r="D300" s="318" t="n"/>
      <c r="E300" s="320" t="n"/>
      <c r="F300" s="321" t="n"/>
      <c r="G300" s="327" t="n"/>
      <c r="H300" s="321" t="n"/>
      <c r="I300" s="327" t="n"/>
      <c r="J300" s="246">
        <f>IF(AND(L300="Закрыт",ISNUMBER(F300),ISNUMBER(H300)),ROUND(H300-F300,8),"")</f>
        <v/>
      </c>
      <c r="K300" s="247">
        <f>IF(AND(L300="Закрыт",ISNUMBER(G300),ISNUMBER(I300)),ROUND(I300-G300,8),"")</f>
        <v/>
      </c>
      <c r="L300" s="328" t="n"/>
      <c r="M300" s="321" t="n"/>
      <c r="N300" s="32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sqref="D5:D300" showDropDown="0" showInputMessage="0" showErrorMessage="1" allowBlank="1" errorTitle="Протокол" error="Выберите значение из списка." type="list">
      <formula1>Список_Протокол</formula1>
    </dataValidation>
    <dataValidation sqref="L5:L300" showDropDown="0" showInputMessage="0" showErrorMessage="1" allowBlank="1" errorTitle="Статус" error="Выберите Открыт или Закрыт." type="list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315" t="n"/>
      <c r="C5" s="240">
        <f>IF($B5="","",IF(COUNTIFS(Пул!$E$5:$E$300,$B5,Пул!$F$5:$F$300,"&lt;&gt;")=0,"",ROUND(SUMIFS(Пул!$F$5:$F$300,Пул!$E$5:$E$300,$B5),8)))</f>
        <v/>
      </c>
      <c r="D5" s="241">
        <f>IF($B5="","",IF(COUNTIFS(Пул!$E$5:$E$300,$B5,Пул!$G$5:$G$300,"&lt;&gt;")=0,"",ROUND(SUMIFS(Пул!$G$5:$G$300,Пул!$E$5:$E$300,$B5),8)))</f>
        <v/>
      </c>
      <c r="E5" s="240">
        <f>IF($B5="","",IF(COUNTIFS(Пул!$E$5:$E$300,$B5,Пул!$L$5:$L$300,"Закрыт")=0,"",ROUND(SUMIFS(Пул!$H$5:$H$300,Пул!$E$5:$E$300,$B5,Пул!$L$5:$L$300,"Закрыт"),8)))</f>
        <v/>
      </c>
      <c r="F5" s="241">
        <f>IF($B5="","",IF(COUNTIFS(Пул!$E$5:$E$300,$B5,Пул!$L$5:$L$300,"Закрыт")=0,"",ROUND(SUMIFS(Пул!$I$5:$I$300,Пул!$E$5:$E$300,$B5,Пул!$L$5:$L$300,"Закрыт"),8)))</f>
        <v/>
      </c>
      <c r="G5" s="240">
        <f>IF($B5="","",IF(COUNTIFS(Пул!$E$5:$E$300,$B5,Пул!$L$5:$L$300,"Закрыт")=0,"",ROUND(SUMIFS(Пул!$J$5:$J$300,Пул!$E$5:$E$300,$B5,Пул!$L$5:$L$300,"Закрыт"),8)))</f>
        <v/>
      </c>
      <c r="H5" s="241">
        <f>IF($B5="","",IF(COUNTIFS(Пул!$E$5:$E$300,$B5,Пул!$L$5:$L$300,"Закрыт")=0,"",ROUND(SUMIFS(Пул!$K$5:$K$300,Пул!$E$5:$E$300,$B5,Пул!$L$5:$L$300,"Закрыт"),8)))</f>
        <v/>
      </c>
      <c r="I5" s="236">
        <f>IF(AND(ISNUMBER(G5),ISNUMBER(H5)),IF(AND(G5&gt;0,H5&lt;0),"Buy",IF(AND(G5&lt;0,H5&gt;0),"Sell","")),"")</f>
        <v/>
      </c>
      <c r="J5" s="177">
        <f>IF(I5="Buy",G5,IF(I5="Sell",-G5,""))</f>
        <v/>
      </c>
      <c r="K5" s="177">
        <f>IF(AND(ISNUMBER(J5),ISNUMBER(L5),N(J5)&lt;&gt;0),ROUND(L5/J5,8),"")</f>
        <v/>
      </c>
      <c r="L5" s="177">
        <f>IF(I5="Buy",-H5,IF(I5="Sell",H5,""))</f>
        <v/>
      </c>
    </row>
    <row r="6" ht="22" customHeight="1">
      <c r="B6" s="320" t="n"/>
      <c r="C6" s="246">
        <f>IF($B6="","",IF(COUNTIFS(Пул!$E$5:$E$300,$B6,Пул!$F$5:$F$300,"&lt;&gt;")=0,"",ROUND(SUMIFS(Пул!$F$5:$F$300,Пул!$E$5:$E$300,$B6),8)))</f>
        <v/>
      </c>
      <c r="D6" s="247">
        <f>IF($B6="","",IF(COUNTIFS(Пул!$E$5:$E$300,$B6,Пул!$G$5:$G$300,"&lt;&gt;")=0,"",ROUND(SUMIFS(Пул!$G$5:$G$300,Пул!$E$5:$E$300,$B6),8)))</f>
        <v/>
      </c>
      <c r="E6" s="246">
        <f>IF($B6="","",IF(COUNTIFS(Пул!$E$5:$E$300,$B6,Пул!$L$5:$L$300,"Закрыт")=0,"",ROUND(SUMIFS(Пул!$H$5:$H$300,Пул!$E$5:$E$300,$B6,Пул!$L$5:$L$300,"Закрыт"),8)))</f>
        <v/>
      </c>
      <c r="F6" s="247">
        <f>IF($B6="","",IF(COUNTIFS(Пул!$E$5:$E$300,$B6,Пул!$L$5:$L$300,"Закрыт")=0,"",ROUND(SUMIFS(Пул!$I$5:$I$300,Пул!$E$5:$E$300,$B6,Пул!$L$5:$L$300,"Закрыт"),8)))</f>
        <v/>
      </c>
      <c r="G6" s="246">
        <f>IF($B6="","",IF(COUNTIFS(Пул!$E$5:$E$300,$B6,Пул!$L$5:$L$300,"Закрыт")=0,"",ROUND(SUMIFS(Пул!$J$5:$J$300,Пул!$E$5:$E$300,$B6,Пул!$L$5:$L$300,"Закрыт"),8)))</f>
        <v/>
      </c>
      <c r="H6" s="247">
        <f>IF($B6="","",IF(COUNTIFS(Пул!$E$5:$E$300,$B6,Пул!$L$5:$L$300,"Закрыт")=0,"",ROUND(SUMIFS(Пул!$K$5:$K$300,Пул!$E$5:$E$300,$B6,Пул!$L$5:$L$300,"Закрыт"),8)))</f>
        <v/>
      </c>
      <c r="I6" s="242">
        <f>IF(AND(ISNUMBER(G6),ISNUMBER(H6)),IF(AND(G6&gt;0,H6&lt;0),"Buy",IF(AND(G6&lt;0,H6&gt;0),"Sell","")),"")</f>
        <v/>
      </c>
      <c r="J6" s="183">
        <f>IF(I6="Buy",G6,IF(I6="Sell",-G6,""))</f>
        <v/>
      </c>
      <c r="K6" s="183">
        <f>IF(AND(ISNUMBER(J6),ISNUMBER(L6),N(J6)&lt;&gt;0),ROUND(L6/J6,8),"")</f>
        <v/>
      </c>
      <c r="L6" s="183">
        <f>IF(I6="Buy",-H6,IF(I6="Sell",H6,""))</f>
        <v/>
      </c>
    </row>
    <row r="7" ht="22" customHeight="1">
      <c r="B7" s="315" t="n"/>
      <c r="C7" s="240">
        <f>IF($B7="","",IF(COUNTIFS(Пул!$E$5:$E$300,$B7,Пул!$F$5:$F$300,"&lt;&gt;")=0,"",ROUND(SUMIFS(Пул!$F$5:$F$300,Пул!$E$5:$E$300,$B7),8)))</f>
        <v/>
      </c>
      <c r="D7" s="241">
        <f>IF($B7="","",IF(COUNTIFS(Пул!$E$5:$E$300,$B7,Пул!$G$5:$G$300,"&lt;&gt;")=0,"",ROUND(SUMIFS(Пул!$G$5:$G$300,Пул!$E$5:$E$300,$B7),8)))</f>
        <v/>
      </c>
      <c r="E7" s="240">
        <f>IF($B7="","",IF(COUNTIFS(Пул!$E$5:$E$300,$B7,Пул!$L$5:$L$300,"Закрыт")=0,"",ROUND(SUMIFS(Пул!$H$5:$H$300,Пул!$E$5:$E$300,$B7,Пул!$L$5:$L$300,"Закрыт"),8)))</f>
        <v/>
      </c>
      <c r="F7" s="241">
        <f>IF($B7="","",IF(COUNTIFS(Пул!$E$5:$E$300,$B7,Пул!$L$5:$L$300,"Закрыт")=0,"",ROUND(SUMIFS(Пул!$I$5:$I$300,Пул!$E$5:$E$300,$B7,Пул!$L$5:$L$300,"Закрыт"),8)))</f>
        <v/>
      </c>
      <c r="G7" s="240">
        <f>IF($B7="","",IF(COUNTIFS(Пул!$E$5:$E$300,$B7,Пул!$L$5:$L$300,"Закрыт")=0,"",ROUND(SUMIFS(Пул!$J$5:$J$300,Пул!$E$5:$E$300,$B7,Пул!$L$5:$L$300,"Закрыт"),8)))</f>
        <v/>
      </c>
      <c r="H7" s="241">
        <f>IF($B7="","",IF(COUNTIFS(Пул!$E$5:$E$300,$B7,Пул!$L$5:$L$300,"Закрыт")=0,"",ROUND(SUMIFS(Пул!$K$5:$K$300,Пул!$E$5:$E$300,$B7,Пул!$L$5:$L$300,"Закрыт"),8)))</f>
        <v/>
      </c>
      <c r="I7" s="236">
        <f>IF(AND(ISNUMBER(G7),ISNUMBER(H7)),IF(AND(G7&gt;0,H7&lt;0),"Buy",IF(AND(G7&lt;0,H7&gt;0),"Sell","")),"")</f>
        <v/>
      </c>
      <c r="J7" s="177">
        <f>IF(I7="Buy",G7,IF(I7="Sell",-G7,""))</f>
        <v/>
      </c>
      <c r="K7" s="177">
        <f>IF(AND(ISNUMBER(J7),ISNUMBER(L7),N(J7)&lt;&gt;0),ROUND(L7/J7,8),"")</f>
        <v/>
      </c>
      <c r="L7" s="177">
        <f>IF(I7="Buy",-H7,IF(I7="Sell",H7,""))</f>
        <v/>
      </c>
    </row>
    <row r="8" ht="22" customHeight="1">
      <c r="B8" s="320" t="n"/>
      <c r="C8" s="246">
        <f>IF($B8="","",IF(COUNTIFS(Пул!$E$5:$E$300,$B8,Пул!$F$5:$F$300,"&lt;&gt;")=0,"",ROUND(SUMIFS(Пул!$F$5:$F$300,Пул!$E$5:$E$300,$B8),8)))</f>
        <v/>
      </c>
      <c r="D8" s="247">
        <f>IF($B8="","",IF(COUNTIFS(Пул!$E$5:$E$300,$B8,Пул!$G$5:$G$300,"&lt;&gt;")=0,"",ROUND(SUMIFS(Пул!$G$5:$G$300,Пул!$E$5:$E$300,$B8),8)))</f>
        <v/>
      </c>
      <c r="E8" s="246">
        <f>IF($B8="","",IF(COUNTIFS(Пул!$E$5:$E$300,$B8,Пул!$L$5:$L$300,"Закрыт")=0,"",ROUND(SUMIFS(Пул!$H$5:$H$300,Пул!$E$5:$E$300,$B8,Пул!$L$5:$L$300,"Закрыт"),8)))</f>
        <v/>
      </c>
      <c r="F8" s="247">
        <f>IF($B8="","",IF(COUNTIFS(Пул!$E$5:$E$300,$B8,Пул!$L$5:$L$300,"Закрыт")=0,"",ROUND(SUMIFS(Пул!$I$5:$I$300,Пул!$E$5:$E$300,$B8,Пул!$L$5:$L$300,"Закрыт"),8)))</f>
        <v/>
      </c>
      <c r="G8" s="246">
        <f>IF($B8="","",IF(COUNTIFS(Пул!$E$5:$E$300,$B8,Пул!$L$5:$L$300,"Закрыт")=0,"",ROUND(SUMIFS(Пул!$J$5:$J$300,Пул!$E$5:$E$300,$B8,Пул!$L$5:$L$300,"Закрыт"),8)))</f>
        <v/>
      </c>
      <c r="H8" s="247">
        <f>IF($B8="","",IF(COUNTIFS(Пул!$E$5:$E$300,$B8,Пул!$L$5:$L$300,"Закрыт")=0,"",ROUND(SUMIFS(Пул!$K$5:$K$300,Пул!$E$5:$E$300,$B8,Пул!$L$5:$L$300,"Закрыт"),8)))</f>
        <v/>
      </c>
      <c r="I8" s="242">
        <f>IF(AND(ISNUMBER(G8),ISNUMBER(H8)),IF(AND(G8&gt;0,H8&lt;0),"Buy",IF(AND(G8&lt;0,H8&gt;0),"Sell","")),"")</f>
        <v/>
      </c>
      <c r="J8" s="183">
        <f>IF(I8="Buy",G8,IF(I8="Sell",-G8,""))</f>
        <v/>
      </c>
      <c r="K8" s="183">
        <f>IF(AND(ISNUMBER(J8),ISNUMBER(L8),N(J8)&lt;&gt;0),ROUND(L8/J8,8),"")</f>
        <v/>
      </c>
      <c r="L8" s="183">
        <f>IF(I8="Buy",-H8,IF(I8="Sell",H8,""))</f>
        <v/>
      </c>
    </row>
    <row r="9" ht="22" customHeight="1">
      <c r="B9" s="315" t="n"/>
      <c r="C9" s="240">
        <f>IF($B9="","",IF(COUNTIFS(Пул!$E$5:$E$300,$B9,Пул!$F$5:$F$300,"&lt;&gt;")=0,"",ROUND(SUMIFS(Пул!$F$5:$F$300,Пул!$E$5:$E$300,$B9),8)))</f>
        <v/>
      </c>
      <c r="D9" s="241">
        <f>IF($B9="","",IF(COUNTIFS(Пул!$E$5:$E$300,$B9,Пул!$G$5:$G$300,"&lt;&gt;")=0,"",ROUND(SUMIFS(Пул!$G$5:$G$300,Пул!$E$5:$E$300,$B9),8)))</f>
        <v/>
      </c>
      <c r="E9" s="240">
        <f>IF($B9="","",IF(COUNTIFS(Пул!$E$5:$E$300,$B9,Пул!$L$5:$L$300,"Закрыт")=0,"",ROUND(SUMIFS(Пул!$H$5:$H$300,Пул!$E$5:$E$300,$B9,Пул!$L$5:$L$300,"Закрыт"),8)))</f>
        <v/>
      </c>
      <c r="F9" s="241">
        <f>IF($B9="","",IF(COUNTIFS(Пул!$E$5:$E$300,$B9,Пул!$L$5:$L$300,"Закрыт")=0,"",ROUND(SUMIFS(Пул!$I$5:$I$300,Пул!$E$5:$E$300,$B9,Пул!$L$5:$L$300,"Закрыт"),8)))</f>
        <v/>
      </c>
      <c r="G9" s="240">
        <f>IF($B9="","",IF(COUNTIFS(Пул!$E$5:$E$300,$B9,Пул!$L$5:$L$300,"Закрыт")=0,"",ROUND(SUMIFS(Пул!$J$5:$J$300,Пул!$E$5:$E$300,$B9,Пул!$L$5:$L$300,"Закрыт"),8)))</f>
        <v/>
      </c>
      <c r="H9" s="241">
        <f>IF($B9="","",IF(COUNTIFS(Пул!$E$5:$E$300,$B9,Пул!$L$5:$L$300,"Закрыт")=0,"",ROUND(SUMIFS(Пул!$K$5:$K$300,Пул!$E$5:$E$300,$B9,Пул!$L$5:$L$300,"Закрыт"),8)))</f>
        <v/>
      </c>
      <c r="I9" s="236">
        <f>IF(AND(ISNUMBER(G9),ISNUMBER(H9)),IF(AND(G9&gt;0,H9&lt;0),"Buy",IF(AND(G9&lt;0,H9&gt;0),"Sell","")),"")</f>
        <v/>
      </c>
      <c r="J9" s="177">
        <f>IF(I9="Buy",G9,IF(I9="Sell",-G9,""))</f>
        <v/>
      </c>
      <c r="K9" s="177">
        <f>IF(AND(ISNUMBER(J9),ISNUMBER(L9),N(J9)&lt;&gt;0),ROUND(L9/J9,8),"")</f>
        <v/>
      </c>
      <c r="L9" s="177">
        <f>IF(I9="Buy",-H9,IF(I9="Sell",H9,""))</f>
        <v/>
      </c>
    </row>
    <row r="10" ht="22" customHeight="1">
      <c r="B10" s="320" t="n"/>
      <c r="C10" s="246">
        <f>IF($B10="","",IF(COUNTIFS(Пул!$E$5:$E$300,$B10,Пул!$F$5:$F$300,"&lt;&gt;")=0,"",ROUND(SUMIFS(Пул!$F$5:$F$300,Пул!$E$5:$E$300,$B10),8)))</f>
        <v/>
      </c>
      <c r="D10" s="247">
        <f>IF($B10="","",IF(COUNTIFS(Пул!$E$5:$E$300,$B10,Пул!$G$5:$G$300,"&lt;&gt;")=0,"",ROUND(SUMIFS(Пул!$G$5:$G$300,Пул!$E$5:$E$300,$B10),8)))</f>
        <v/>
      </c>
      <c r="E10" s="246">
        <f>IF($B10="","",IF(COUNTIFS(Пул!$E$5:$E$300,$B10,Пул!$L$5:$L$300,"Закрыт")=0,"",ROUND(SUMIFS(Пул!$H$5:$H$300,Пул!$E$5:$E$300,$B10,Пул!$L$5:$L$300,"Закрыт"),8)))</f>
        <v/>
      </c>
      <c r="F10" s="247">
        <f>IF($B10="","",IF(COUNTIFS(Пул!$E$5:$E$300,$B10,Пул!$L$5:$L$300,"Закрыт")=0,"",ROUND(SUMIFS(Пул!$I$5:$I$300,Пул!$E$5:$E$300,$B10,Пул!$L$5:$L$300,"Закрыт"),8)))</f>
        <v/>
      </c>
      <c r="G10" s="246">
        <f>IF($B10="","",IF(COUNTIFS(Пул!$E$5:$E$300,$B10,Пул!$L$5:$L$300,"Закрыт")=0,"",ROUND(SUMIFS(Пул!$J$5:$J$300,Пул!$E$5:$E$300,$B10,Пул!$L$5:$L$300,"Закрыт"),8)))</f>
        <v/>
      </c>
      <c r="H10" s="247">
        <f>IF($B10="","",IF(COUNTIFS(Пул!$E$5:$E$300,$B10,Пул!$L$5:$L$300,"Закрыт")=0,"",ROUND(SUMIFS(Пул!$K$5:$K$300,Пул!$E$5:$E$300,$B10,Пул!$L$5:$L$300,"Закрыт"),8)))</f>
        <v/>
      </c>
      <c r="I10" s="242">
        <f>IF(AND(ISNUMBER(G10),ISNUMBER(H10)),IF(AND(G10&gt;0,H10&lt;0),"Buy",IF(AND(G10&lt;0,H10&gt;0),"Sell","")),"")</f>
        <v/>
      </c>
      <c r="J10" s="183">
        <f>IF(I10="Buy",G10,IF(I10="Sell",-G10,""))</f>
        <v/>
      </c>
      <c r="K10" s="183">
        <f>IF(AND(ISNUMBER(J10),ISNUMBER(L10),N(J10)&lt;&gt;0),ROUND(L10/J10,8),"")</f>
        <v/>
      </c>
      <c r="L10" s="183">
        <f>IF(I10="Buy",-H10,IF(I10="Sell",H10,""))</f>
        <v/>
      </c>
    </row>
    <row r="11" ht="22" customHeight="1">
      <c r="B11" s="315" t="n"/>
      <c r="C11" s="240">
        <f>IF($B11="","",IF(COUNTIFS(Пул!$E$5:$E$300,$B11,Пул!$F$5:$F$300,"&lt;&gt;")=0,"",ROUND(SUMIFS(Пул!$F$5:$F$300,Пул!$E$5:$E$300,$B11),8)))</f>
        <v/>
      </c>
      <c r="D11" s="241">
        <f>IF($B11="","",IF(COUNTIFS(Пул!$E$5:$E$300,$B11,Пул!$G$5:$G$300,"&lt;&gt;")=0,"",ROUND(SUMIFS(Пул!$G$5:$G$300,Пул!$E$5:$E$300,$B11),8)))</f>
        <v/>
      </c>
      <c r="E11" s="240">
        <f>IF($B11="","",IF(COUNTIFS(Пул!$E$5:$E$300,$B11,Пул!$L$5:$L$300,"Закрыт")=0,"",ROUND(SUMIFS(Пул!$H$5:$H$300,Пул!$E$5:$E$300,$B11,Пул!$L$5:$L$300,"Закрыт"),8)))</f>
        <v/>
      </c>
      <c r="F11" s="241">
        <f>IF($B11="","",IF(COUNTIFS(Пул!$E$5:$E$300,$B11,Пул!$L$5:$L$300,"Закрыт")=0,"",ROUND(SUMIFS(Пул!$I$5:$I$300,Пул!$E$5:$E$300,$B11,Пул!$L$5:$L$300,"Закрыт"),8)))</f>
        <v/>
      </c>
      <c r="G11" s="240">
        <f>IF($B11="","",IF(COUNTIFS(Пул!$E$5:$E$300,$B11,Пул!$L$5:$L$300,"Закрыт")=0,"",ROUND(SUMIFS(Пул!$J$5:$J$300,Пул!$E$5:$E$300,$B11,Пул!$L$5:$L$300,"Закрыт"),8)))</f>
        <v/>
      </c>
      <c r="H11" s="241">
        <f>IF($B11="","",IF(COUNTIFS(Пул!$E$5:$E$300,$B11,Пул!$L$5:$L$300,"Закрыт")=0,"",ROUND(SUMIFS(Пул!$K$5:$K$300,Пул!$E$5:$E$300,$B11,Пул!$L$5:$L$300,"Закрыт"),8)))</f>
        <v/>
      </c>
      <c r="I11" s="236">
        <f>IF(AND(ISNUMBER(G11),ISNUMBER(H11)),IF(AND(G11&gt;0,H11&lt;0),"Buy",IF(AND(G11&lt;0,H11&gt;0),"Sell","")),"")</f>
        <v/>
      </c>
      <c r="J11" s="177">
        <f>IF(I11="Buy",G11,IF(I11="Sell",-G11,""))</f>
        <v/>
      </c>
      <c r="K11" s="177">
        <f>IF(AND(ISNUMBER(J11),ISNUMBER(L11),N(J11)&lt;&gt;0),ROUND(L11/J11,8),"")</f>
        <v/>
      </c>
      <c r="L11" s="177">
        <f>IF(I11="Buy",-H11,IF(I11="Sell",H11,""))</f>
        <v/>
      </c>
    </row>
    <row r="12" ht="22" customHeight="1">
      <c r="B12" s="320" t="n"/>
      <c r="C12" s="246">
        <f>IF($B12="","",IF(COUNTIFS(Пул!$E$5:$E$300,$B12,Пул!$F$5:$F$300,"&lt;&gt;")=0,"",ROUND(SUMIFS(Пул!$F$5:$F$300,Пул!$E$5:$E$300,$B12),8)))</f>
        <v/>
      </c>
      <c r="D12" s="247">
        <f>IF($B12="","",IF(COUNTIFS(Пул!$E$5:$E$300,$B12,Пул!$G$5:$G$300,"&lt;&gt;")=0,"",ROUND(SUMIFS(Пул!$G$5:$G$300,Пул!$E$5:$E$300,$B12),8)))</f>
        <v/>
      </c>
      <c r="E12" s="246">
        <f>IF($B12="","",IF(COUNTIFS(Пул!$E$5:$E$300,$B12,Пул!$L$5:$L$300,"Закрыт")=0,"",ROUND(SUMIFS(Пул!$H$5:$H$300,Пул!$E$5:$E$300,$B12,Пул!$L$5:$L$300,"Закрыт"),8)))</f>
        <v/>
      </c>
      <c r="F12" s="247">
        <f>IF($B12="","",IF(COUNTIFS(Пул!$E$5:$E$300,$B12,Пул!$L$5:$L$300,"Закрыт")=0,"",ROUND(SUMIFS(Пул!$I$5:$I$300,Пул!$E$5:$E$300,$B12,Пул!$L$5:$L$300,"Закрыт"),8)))</f>
        <v/>
      </c>
      <c r="G12" s="246">
        <f>IF($B12="","",IF(COUNTIFS(Пул!$E$5:$E$300,$B12,Пул!$L$5:$L$300,"Закрыт")=0,"",ROUND(SUMIFS(Пул!$J$5:$J$300,Пул!$E$5:$E$300,$B12,Пул!$L$5:$L$300,"Закрыт"),8)))</f>
        <v/>
      </c>
      <c r="H12" s="247">
        <f>IF($B12="","",IF(COUNTIFS(Пул!$E$5:$E$300,$B12,Пул!$L$5:$L$300,"Закрыт")=0,"",ROUND(SUMIFS(Пул!$K$5:$K$300,Пул!$E$5:$E$300,$B12,Пул!$L$5:$L$300,"Закрыт"),8)))</f>
        <v/>
      </c>
      <c r="I12" s="242">
        <f>IF(AND(ISNUMBER(G12),ISNUMBER(H12)),IF(AND(G12&gt;0,H12&lt;0),"Buy",IF(AND(G12&lt;0,H12&gt;0),"Sell","")),"")</f>
        <v/>
      </c>
      <c r="J12" s="183">
        <f>IF(I12="Buy",G12,IF(I12="Sell",-G12,""))</f>
        <v/>
      </c>
      <c r="K12" s="183">
        <f>IF(AND(ISNUMBER(J12),ISNUMBER(L12),N(J12)&lt;&gt;0),ROUND(L12/J12,8),"")</f>
        <v/>
      </c>
      <c r="L12" s="183">
        <f>IF(I12="Buy",-H12,IF(I12="Sell",H12,""))</f>
        <v/>
      </c>
    </row>
    <row r="13" ht="22" customHeight="1">
      <c r="B13" s="315" t="n"/>
      <c r="C13" s="240">
        <f>IF($B13="","",IF(COUNTIFS(Пул!$E$5:$E$300,$B13,Пул!$F$5:$F$300,"&lt;&gt;")=0,"",ROUND(SUMIFS(Пул!$F$5:$F$300,Пул!$E$5:$E$300,$B13),8)))</f>
        <v/>
      </c>
      <c r="D13" s="241">
        <f>IF($B13="","",IF(COUNTIFS(Пул!$E$5:$E$300,$B13,Пул!$G$5:$G$300,"&lt;&gt;")=0,"",ROUND(SUMIFS(Пул!$G$5:$G$300,Пул!$E$5:$E$300,$B13),8)))</f>
        <v/>
      </c>
      <c r="E13" s="240">
        <f>IF($B13="","",IF(COUNTIFS(Пул!$E$5:$E$300,$B13,Пул!$L$5:$L$300,"Закрыт")=0,"",ROUND(SUMIFS(Пул!$H$5:$H$300,Пул!$E$5:$E$300,$B13,Пул!$L$5:$L$300,"Закрыт"),8)))</f>
        <v/>
      </c>
      <c r="F13" s="241">
        <f>IF($B13="","",IF(COUNTIFS(Пул!$E$5:$E$300,$B13,Пул!$L$5:$L$300,"Закрыт")=0,"",ROUND(SUMIFS(Пул!$I$5:$I$300,Пул!$E$5:$E$300,$B13,Пул!$L$5:$L$300,"Закрыт"),8)))</f>
        <v/>
      </c>
      <c r="G13" s="240">
        <f>IF($B13="","",IF(COUNTIFS(Пул!$E$5:$E$300,$B13,Пул!$L$5:$L$300,"Закрыт")=0,"",ROUND(SUMIFS(Пул!$J$5:$J$300,Пул!$E$5:$E$300,$B13,Пул!$L$5:$L$300,"Закрыт"),8)))</f>
        <v/>
      </c>
      <c r="H13" s="241">
        <f>IF($B13="","",IF(COUNTIFS(Пул!$E$5:$E$300,$B13,Пул!$L$5:$L$300,"Закрыт")=0,"",ROUND(SUMIFS(Пул!$K$5:$K$300,Пул!$E$5:$E$300,$B13,Пул!$L$5:$L$300,"Закрыт"),8)))</f>
        <v/>
      </c>
      <c r="I13" s="236">
        <f>IF(AND(ISNUMBER(G13),ISNUMBER(H13)),IF(AND(G13&gt;0,H13&lt;0),"Buy",IF(AND(G13&lt;0,H13&gt;0),"Sell","")),"")</f>
        <v/>
      </c>
      <c r="J13" s="177">
        <f>IF(I13="Buy",G13,IF(I13="Sell",-G13,""))</f>
        <v/>
      </c>
      <c r="K13" s="177">
        <f>IF(AND(ISNUMBER(J13),ISNUMBER(L13),N(J13)&lt;&gt;0),ROUND(L13/J13,8),"")</f>
        <v/>
      </c>
      <c r="L13" s="177">
        <f>IF(I13="Buy",-H13,IF(I13="Sell",H13,""))</f>
        <v/>
      </c>
    </row>
    <row r="14" ht="22" customHeight="1">
      <c r="B14" s="320" t="n"/>
      <c r="C14" s="246">
        <f>IF($B14="","",IF(COUNTIFS(Пул!$E$5:$E$300,$B14,Пул!$F$5:$F$300,"&lt;&gt;")=0,"",ROUND(SUMIFS(Пул!$F$5:$F$300,Пул!$E$5:$E$300,$B14),8)))</f>
        <v/>
      </c>
      <c r="D14" s="247">
        <f>IF($B14="","",IF(COUNTIFS(Пул!$E$5:$E$300,$B14,Пул!$G$5:$G$300,"&lt;&gt;")=0,"",ROUND(SUMIFS(Пул!$G$5:$G$300,Пул!$E$5:$E$300,$B14),8)))</f>
        <v/>
      </c>
      <c r="E14" s="246">
        <f>IF($B14="","",IF(COUNTIFS(Пул!$E$5:$E$300,$B14,Пул!$L$5:$L$300,"Закрыт")=0,"",ROUND(SUMIFS(Пул!$H$5:$H$300,Пул!$E$5:$E$300,$B14,Пул!$L$5:$L$300,"Закрыт"),8)))</f>
        <v/>
      </c>
      <c r="F14" s="247">
        <f>IF($B14="","",IF(COUNTIFS(Пул!$E$5:$E$300,$B14,Пул!$L$5:$L$300,"Закрыт")=0,"",ROUND(SUMIFS(Пул!$I$5:$I$300,Пул!$E$5:$E$300,$B14,Пул!$L$5:$L$300,"Закрыт"),8)))</f>
        <v/>
      </c>
      <c r="G14" s="246">
        <f>IF($B14="","",IF(COUNTIFS(Пул!$E$5:$E$300,$B14,Пул!$L$5:$L$300,"Закрыт")=0,"",ROUND(SUMIFS(Пул!$J$5:$J$300,Пул!$E$5:$E$300,$B14,Пул!$L$5:$L$300,"Закрыт"),8)))</f>
        <v/>
      </c>
      <c r="H14" s="247">
        <f>IF($B14="","",IF(COUNTIFS(Пул!$E$5:$E$300,$B14,Пул!$L$5:$L$300,"Закрыт")=0,"",ROUND(SUMIFS(Пул!$K$5:$K$300,Пул!$E$5:$E$300,$B14,Пул!$L$5:$L$300,"Закрыт"),8)))</f>
        <v/>
      </c>
      <c r="I14" s="242">
        <f>IF(AND(ISNUMBER(G14),ISNUMBER(H14)),IF(AND(G14&gt;0,H14&lt;0),"Buy",IF(AND(G14&lt;0,H14&gt;0),"Sell","")),"")</f>
        <v/>
      </c>
      <c r="J14" s="183">
        <f>IF(I14="Buy",G14,IF(I14="Sell",-G14,""))</f>
        <v/>
      </c>
      <c r="K14" s="183">
        <f>IF(AND(ISNUMBER(J14),ISNUMBER(L14),N(J14)&lt;&gt;0),ROUND(L14/J14,8),"")</f>
        <v/>
      </c>
      <c r="L14" s="183">
        <f>IF(I14="Buy",-H14,IF(I14="Sell",H14,""))</f>
        <v/>
      </c>
    </row>
    <row r="15" ht="22" customHeight="1">
      <c r="B15" s="315" t="n"/>
      <c r="C15" s="240">
        <f>IF($B15="","",IF(COUNTIFS(Пул!$E$5:$E$300,$B15,Пул!$F$5:$F$300,"&lt;&gt;")=0,"",ROUND(SUMIFS(Пул!$F$5:$F$300,Пул!$E$5:$E$300,$B15),8)))</f>
        <v/>
      </c>
      <c r="D15" s="241">
        <f>IF($B15="","",IF(COUNTIFS(Пул!$E$5:$E$300,$B15,Пул!$G$5:$G$300,"&lt;&gt;")=0,"",ROUND(SUMIFS(Пул!$G$5:$G$300,Пул!$E$5:$E$300,$B15),8)))</f>
        <v/>
      </c>
      <c r="E15" s="240">
        <f>IF($B15="","",IF(COUNTIFS(Пул!$E$5:$E$300,$B15,Пул!$L$5:$L$300,"Закрыт")=0,"",ROUND(SUMIFS(Пул!$H$5:$H$300,Пул!$E$5:$E$300,$B15,Пул!$L$5:$L$300,"Закрыт"),8)))</f>
        <v/>
      </c>
      <c r="F15" s="241">
        <f>IF($B15="","",IF(COUNTIFS(Пул!$E$5:$E$300,$B15,Пул!$L$5:$L$300,"Закрыт")=0,"",ROUND(SUMIFS(Пул!$I$5:$I$300,Пул!$E$5:$E$300,$B15,Пул!$L$5:$L$300,"Закрыт"),8)))</f>
        <v/>
      </c>
      <c r="G15" s="240">
        <f>IF($B15="","",IF(COUNTIFS(Пул!$E$5:$E$300,$B15,Пул!$L$5:$L$300,"Закрыт")=0,"",ROUND(SUMIFS(Пул!$J$5:$J$300,Пул!$E$5:$E$300,$B15,Пул!$L$5:$L$300,"Закрыт"),8)))</f>
        <v/>
      </c>
      <c r="H15" s="241">
        <f>IF($B15="","",IF(COUNTIFS(Пул!$E$5:$E$300,$B15,Пул!$L$5:$L$300,"Закрыт")=0,"",ROUND(SUMIFS(Пул!$K$5:$K$300,Пул!$E$5:$E$300,$B15,Пул!$L$5:$L$300,"Закрыт"),8)))</f>
        <v/>
      </c>
      <c r="I15" s="236">
        <f>IF(AND(ISNUMBER(G15),ISNUMBER(H15)),IF(AND(G15&gt;0,H15&lt;0),"Buy",IF(AND(G15&lt;0,H15&gt;0),"Sell","")),"")</f>
        <v/>
      </c>
      <c r="J15" s="177">
        <f>IF(I15="Buy",G15,IF(I15="Sell",-G15,""))</f>
        <v/>
      </c>
      <c r="K15" s="177">
        <f>IF(AND(ISNUMBER(J15),ISNUMBER(L15),N(J15)&lt;&gt;0),ROUND(L15/J15,8),"")</f>
        <v/>
      </c>
      <c r="L15" s="177">
        <f>IF(I15="Buy",-H15,IF(I15="Sell",H15,""))</f>
        <v/>
      </c>
    </row>
    <row r="16" ht="22" customHeight="1">
      <c r="B16" s="320" t="n"/>
      <c r="C16" s="246">
        <f>IF($B16="","",IF(COUNTIFS(Пул!$E$5:$E$300,$B16,Пул!$F$5:$F$300,"&lt;&gt;")=0,"",ROUND(SUMIFS(Пул!$F$5:$F$300,Пул!$E$5:$E$300,$B16),8)))</f>
        <v/>
      </c>
      <c r="D16" s="247">
        <f>IF($B16="","",IF(COUNTIFS(Пул!$E$5:$E$300,$B16,Пул!$G$5:$G$300,"&lt;&gt;")=0,"",ROUND(SUMIFS(Пул!$G$5:$G$300,Пул!$E$5:$E$300,$B16),8)))</f>
        <v/>
      </c>
      <c r="E16" s="246">
        <f>IF($B16="","",IF(COUNTIFS(Пул!$E$5:$E$300,$B16,Пул!$L$5:$L$300,"Закрыт")=0,"",ROUND(SUMIFS(Пул!$H$5:$H$300,Пул!$E$5:$E$300,$B16,Пул!$L$5:$L$300,"Закрыт"),8)))</f>
        <v/>
      </c>
      <c r="F16" s="247">
        <f>IF($B16="","",IF(COUNTIFS(Пул!$E$5:$E$300,$B16,Пул!$L$5:$L$300,"Закрыт")=0,"",ROUND(SUMIFS(Пул!$I$5:$I$300,Пул!$E$5:$E$300,$B16,Пул!$L$5:$L$300,"Закрыт"),8)))</f>
        <v/>
      </c>
      <c r="G16" s="246">
        <f>IF($B16="","",IF(COUNTIFS(Пул!$E$5:$E$300,$B16,Пул!$L$5:$L$300,"Закрыт")=0,"",ROUND(SUMIFS(Пул!$J$5:$J$300,Пул!$E$5:$E$300,$B16,Пул!$L$5:$L$300,"Закрыт"),8)))</f>
        <v/>
      </c>
      <c r="H16" s="247">
        <f>IF($B16="","",IF(COUNTIFS(Пул!$E$5:$E$300,$B16,Пул!$L$5:$L$300,"Закрыт")=0,"",ROUND(SUMIFS(Пул!$K$5:$K$300,Пул!$E$5:$E$300,$B16,Пул!$L$5:$L$300,"Закрыт"),8)))</f>
        <v/>
      </c>
      <c r="I16" s="242">
        <f>IF(AND(ISNUMBER(G16),ISNUMBER(H16)),IF(AND(G16&gt;0,H16&lt;0),"Buy",IF(AND(G16&lt;0,H16&gt;0),"Sell","")),"")</f>
        <v/>
      </c>
      <c r="J16" s="183">
        <f>IF(I16="Buy",G16,IF(I16="Sell",-G16,""))</f>
        <v/>
      </c>
      <c r="K16" s="183">
        <f>IF(AND(ISNUMBER(J16),ISNUMBER(L16),N(J16)&lt;&gt;0),ROUND(L16/J16,8),"")</f>
        <v/>
      </c>
      <c r="L16" s="183">
        <f>IF(I16="Buy",-H16,IF(I16="Sell",H16,""))</f>
        <v/>
      </c>
    </row>
    <row r="17" ht="22" customHeight="1">
      <c r="B17" s="315" t="n"/>
      <c r="C17" s="240">
        <f>IF($B17="","",IF(COUNTIFS(Пул!$E$5:$E$300,$B17,Пул!$F$5:$F$300,"&lt;&gt;")=0,"",ROUND(SUMIFS(Пул!$F$5:$F$300,Пул!$E$5:$E$300,$B17),8)))</f>
        <v/>
      </c>
      <c r="D17" s="241">
        <f>IF($B17="","",IF(COUNTIFS(Пул!$E$5:$E$300,$B17,Пул!$G$5:$G$300,"&lt;&gt;")=0,"",ROUND(SUMIFS(Пул!$G$5:$G$300,Пул!$E$5:$E$300,$B17),8)))</f>
        <v/>
      </c>
      <c r="E17" s="240">
        <f>IF($B17="","",IF(COUNTIFS(Пул!$E$5:$E$300,$B17,Пул!$L$5:$L$300,"Закрыт")=0,"",ROUND(SUMIFS(Пул!$H$5:$H$300,Пул!$E$5:$E$300,$B17,Пул!$L$5:$L$300,"Закрыт"),8)))</f>
        <v/>
      </c>
      <c r="F17" s="241">
        <f>IF($B17="","",IF(COUNTIFS(Пул!$E$5:$E$300,$B17,Пул!$L$5:$L$300,"Закрыт")=0,"",ROUND(SUMIFS(Пул!$I$5:$I$300,Пул!$E$5:$E$300,$B17,Пул!$L$5:$L$300,"Закрыт"),8)))</f>
        <v/>
      </c>
      <c r="G17" s="240">
        <f>IF($B17="","",IF(COUNTIFS(Пул!$E$5:$E$300,$B17,Пул!$L$5:$L$300,"Закрыт")=0,"",ROUND(SUMIFS(Пул!$J$5:$J$300,Пул!$E$5:$E$300,$B17,Пул!$L$5:$L$300,"Закрыт"),8)))</f>
        <v/>
      </c>
      <c r="H17" s="241">
        <f>IF($B17="","",IF(COUNTIFS(Пул!$E$5:$E$300,$B17,Пул!$L$5:$L$300,"Закрыт")=0,"",ROUND(SUMIFS(Пул!$K$5:$K$300,Пул!$E$5:$E$300,$B17,Пул!$L$5:$L$300,"Закрыт"),8)))</f>
        <v/>
      </c>
      <c r="I17" s="236">
        <f>IF(AND(ISNUMBER(G17),ISNUMBER(H17)),IF(AND(G17&gt;0,H17&lt;0),"Buy",IF(AND(G17&lt;0,H17&gt;0),"Sell","")),"")</f>
        <v/>
      </c>
      <c r="J17" s="177">
        <f>IF(I17="Buy",G17,IF(I17="Sell",-G17,""))</f>
        <v/>
      </c>
      <c r="K17" s="177">
        <f>IF(AND(ISNUMBER(J17),ISNUMBER(L17),N(J17)&lt;&gt;0),ROUND(L17/J17,8),"")</f>
        <v/>
      </c>
      <c r="L17" s="177">
        <f>IF(I17="Buy",-H17,IF(I17="Sell",H17,""))</f>
        <v/>
      </c>
    </row>
    <row r="18" ht="22" customHeight="1">
      <c r="B18" s="320" t="n"/>
      <c r="C18" s="246">
        <f>IF($B18="","",IF(COUNTIFS(Пул!$E$5:$E$300,$B18,Пул!$F$5:$F$300,"&lt;&gt;")=0,"",ROUND(SUMIFS(Пул!$F$5:$F$300,Пул!$E$5:$E$300,$B18),8)))</f>
        <v/>
      </c>
      <c r="D18" s="247">
        <f>IF($B18="","",IF(COUNTIFS(Пул!$E$5:$E$300,$B18,Пул!$G$5:$G$300,"&lt;&gt;")=0,"",ROUND(SUMIFS(Пул!$G$5:$G$300,Пул!$E$5:$E$300,$B18),8)))</f>
        <v/>
      </c>
      <c r="E18" s="246">
        <f>IF($B18="","",IF(COUNTIFS(Пул!$E$5:$E$300,$B18,Пул!$L$5:$L$300,"Закрыт")=0,"",ROUND(SUMIFS(Пул!$H$5:$H$300,Пул!$E$5:$E$300,$B18,Пул!$L$5:$L$300,"Закрыт"),8)))</f>
        <v/>
      </c>
      <c r="F18" s="247">
        <f>IF($B18="","",IF(COUNTIFS(Пул!$E$5:$E$300,$B18,Пул!$L$5:$L$300,"Закрыт")=0,"",ROUND(SUMIFS(Пул!$I$5:$I$300,Пул!$E$5:$E$300,$B18,Пул!$L$5:$L$300,"Закрыт"),8)))</f>
        <v/>
      </c>
      <c r="G18" s="246">
        <f>IF($B18="","",IF(COUNTIFS(Пул!$E$5:$E$300,$B18,Пул!$L$5:$L$300,"Закрыт")=0,"",ROUND(SUMIFS(Пул!$J$5:$J$300,Пул!$E$5:$E$300,$B18,Пул!$L$5:$L$300,"Закрыт"),8)))</f>
        <v/>
      </c>
      <c r="H18" s="247">
        <f>IF($B18="","",IF(COUNTIFS(Пул!$E$5:$E$300,$B18,Пул!$L$5:$L$300,"Закрыт")=0,"",ROUND(SUMIFS(Пул!$K$5:$K$300,Пул!$E$5:$E$300,$B18,Пул!$L$5:$L$300,"Закрыт"),8)))</f>
        <v/>
      </c>
      <c r="I18" s="242">
        <f>IF(AND(ISNUMBER(G18),ISNUMBER(H18)),IF(AND(G18&gt;0,H18&lt;0),"Buy",IF(AND(G18&lt;0,H18&gt;0),"Sell","")),"")</f>
        <v/>
      </c>
      <c r="J18" s="183">
        <f>IF(I18="Buy",G18,IF(I18="Sell",-G18,""))</f>
        <v/>
      </c>
      <c r="K18" s="183">
        <f>IF(AND(ISNUMBER(J18),ISNUMBER(L18),N(J18)&lt;&gt;0),ROUND(L18/J18,8),"")</f>
        <v/>
      </c>
      <c r="L18" s="183">
        <f>IF(I18="Buy",-H18,IF(I18="Sell",H18,""))</f>
        <v/>
      </c>
    </row>
    <row r="19" ht="22" customHeight="1">
      <c r="B19" s="315" t="n"/>
      <c r="C19" s="240">
        <f>IF($B19="","",IF(COUNTIFS(Пул!$E$5:$E$300,$B19,Пул!$F$5:$F$300,"&lt;&gt;")=0,"",ROUND(SUMIFS(Пул!$F$5:$F$300,Пул!$E$5:$E$300,$B19),8)))</f>
        <v/>
      </c>
      <c r="D19" s="241">
        <f>IF($B19="","",IF(COUNTIFS(Пул!$E$5:$E$300,$B19,Пул!$G$5:$G$300,"&lt;&gt;")=0,"",ROUND(SUMIFS(Пул!$G$5:$G$300,Пул!$E$5:$E$300,$B19),8)))</f>
        <v/>
      </c>
      <c r="E19" s="240">
        <f>IF($B19="","",IF(COUNTIFS(Пул!$E$5:$E$300,$B19,Пул!$L$5:$L$300,"Закрыт")=0,"",ROUND(SUMIFS(Пул!$H$5:$H$300,Пул!$E$5:$E$300,$B19,Пул!$L$5:$L$300,"Закрыт"),8)))</f>
        <v/>
      </c>
      <c r="F19" s="241">
        <f>IF($B19="","",IF(COUNTIFS(Пул!$E$5:$E$300,$B19,Пул!$L$5:$L$300,"Закрыт")=0,"",ROUND(SUMIFS(Пул!$I$5:$I$300,Пул!$E$5:$E$300,$B19,Пул!$L$5:$L$300,"Закрыт"),8)))</f>
        <v/>
      </c>
      <c r="G19" s="240">
        <f>IF($B19="","",IF(COUNTIFS(Пул!$E$5:$E$300,$B19,Пул!$L$5:$L$300,"Закрыт")=0,"",ROUND(SUMIFS(Пул!$J$5:$J$300,Пул!$E$5:$E$300,$B19,Пул!$L$5:$L$300,"Закрыт"),8)))</f>
        <v/>
      </c>
      <c r="H19" s="241">
        <f>IF($B19="","",IF(COUNTIFS(Пул!$E$5:$E$300,$B19,Пул!$L$5:$L$300,"Закрыт")=0,"",ROUND(SUMIFS(Пул!$K$5:$K$300,Пул!$E$5:$E$300,$B19,Пул!$L$5:$L$300,"Закрыт"),8)))</f>
        <v/>
      </c>
      <c r="I19" s="236">
        <f>IF(AND(ISNUMBER(G19),ISNUMBER(H19)),IF(AND(G19&gt;0,H19&lt;0),"Buy",IF(AND(G19&lt;0,H19&gt;0),"Sell","")),"")</f>
        <v/>
      </c>
      <c r="J19" s="177">
        <f>IF(I19="Buy",G19,IF(I19="Sell",-G19,""))</f>
        <v/>
      </c>
      <c r="K19" s="177">
        <f>IF(AND(ISNUMBER(J19),ISNUMBER(L19),N(J19)&lt;&gt;0),ROUND(L19/J19,8),"")</f>
        <v/>
      </c>
      <c r="L19" s="177">
        <f>IF(I19="Buy",-H19,IF(I19="Sell",H19,""))</f>
        <v/>
      </c>
    </row>
    <row r="20" ht="22" customHeight="1">
      <c r="B20" s="320" t="n"/>
      <c r="C20" s="246">
        <f>IF($B20="","",IF(COUNTIFS(Пул!$E$5:$E$300,$B20,Пул!$F$5:$F$300,"&lt;&gt;")=0,"",ROUND(SUMIFS(Пул!$F$5:$F$300,Пул!$E$5:$E$300,$B20),8)))</f>
        <v/>
      </c>
      <c r="D20" s="247">
        <f>IF($B20="","",IF(COUNTIFS(Пул!$E$5:$E$300,$B20,Пул!$G$5:$G$300,"&lt;&gt;")=0,"",ROUND(SUMIFS(Пул!$G$5:$G$300,Пул!$E$5:$E$300,$B20),8)))</f>
        <v/>
      </c>
      <c r="E20" s="246">
        <f>IF($B20="","",IF(COUNTIFS(Пул!$E$5:$E$300,$B20,Пул!$L$5:$L$300,"Закрыт")=0,"",ROUND(SUMIFS(Пул!$H$5:$H$300,Пул!$E$5:$E$300,$B20,Пул!$L$5:$L$300,"Закрыт"),8)))</f>
        <v/>
      </c>
      <c r="F20" s="247">
        <f>IF($B20="","",IF(COUNTIFS(Пул!$E$5:$E$300,$B20,Пул!$L$5:$L$300,"Закрыт")=0,"",ROUND(SUMIFS(Пул!$I$5:$I$300,Пул!$E$5:$E$300,$B20,Пул!$L$5:$L$300,"Закрыт"),8)))</f>
        <v/>
      </c>
      <c r="G20" s="246">
        <f>IF($B20="","",IF(COUNTIFS(Пул!$E$5:$E$300,$B20,Пул!$L$5:$L$300,"Закрыт")=0,"",ROUND(SUMIFS(Пул!$J$5:$J$300,Пул!$E$5:$E$300,$B20,Пул!$L$5:$L$300,"Закрыт"),8)))</f>
        <v/>
      </c>
      <c r="H20" s="247">
        <f>IF($B20="","",IF(COUNTIFS(Пул!$E$5:$E$300,$B20,Пул!$L$5:$L$300,"Закрыт")=0,"",ROUND(SUMIFS(Пул!$K$5:$K$300,Пул!$E$5:$E$300,$B20,Пул!$L$5:$L$300,"Закрыт"),8)))</f>
        <v/>
      </c>
      <c r="I20" s="242">
        <f>IF(AND(ISNUMBER(G20),ISNUMBER(H20)),IF(AND(G20&gt;0,H20&lt;0),"Buy",IF(AND(G20&lt;0,H20&gt;0),"Sell","")),"")</f>
        <v/>
      </c>
      <c r="J20" s="183">
        <f>IF(I20="Buy",G20,IF(I20="Sell",-G20,""))</f>
        <v/>
      </c>
      <c r="K20" s="183">
        <f>IF(AND(ISNUMBER(J20),ISNUMBER(L20),N(J20)&lt;&gt;0),ROUND(L20/J20,8),"")</f>
        <v/>
      </c>
      <c r="L20" s="183">
        <f>IF(I20="Buy",-H20,IF(I20="Sell",H20,""))</f>
        <v/>
      </c>
    </row>
    <row r="21" ht="22" customHeight="1">
      <c r="B21" s="315" t="n"/>
      <c r="C21" s="240">
        <f>IF($B21="","",IF(COUNTIFS(Пул!$E$5:$E$300,$B21,Пул!$F$5:$F$300,"&lt;&gt;")=0,"",ROUND(SUMIFS(Пул!$F$5:$F$300,Пул!$E$5:$E$300,$B21),8)))</f>
        <v/>
      </c>
      <c r="D21" s="241">
        <f>IF($B21="","",IF(COUNTIFS(Пул!$E$5:$E$300,$B21,Пул!$G$5:$G$300,"&lt;&gt;")=0,"",ROUND(SUMIFS(Пул!$G$5:$G$300,Пул!$E$5:$E$300,$B21),8)))</f>
        <v/>
      </c>
      <c r="E21" s="240">
        <f>IF($B21="","",IF(COUNTIFS(Пул!$E$5:$E$300,$B21,Пул!$L$5:$L$300,"Закрыт")=0,"",ROUND(SUMIFS(Пул!$H$5:$H$300,Пул!$E$5:$E$300,$B21,Пул!$L$5:$L$300,"Закрыт"),8)))</f>
        <v/>
      </c>
      <c r="F21" s="241">
        <f>IF($B21="","",IF(COUNTIFS(Пул!$E$5:$E$300,$B21,Пул!$L$5:$L$300,"Закрыт")=0,"",ROUND(SUMIFS(Пул!$I$5:$I$300,Пул!$E$5:$E$300,$B21,Пул!$L$5:$L$300,"Закрыт"),8)))</f>
        <v/>
      </c>
      <c r="G21" s="240">
        <f>IF($B21="","",IF(COUNTIFS(Пул!$E$5:$E$300,$B21,Пул!$L$5:$L$300,"Закрыт")=0,"",ROUND(SUMIFS(Пул!$J$5:$J$300,Пул!$E$5:$E$300,$B21,Пул!$L$5:$L$300,"Закрыт"),8)))</f>
        <v/>
      </c>
      <c r="H21" s="241">
        <f>IF($B21="","",IF(COUNTIFS(Пул!$E$5:$E$300,$B21,Пул!$L$5:$L$300,"Закрыт")=0,"",ROUND(SUMIFS(Пул!$K$5:$K$300,Пул!$E$5:$E$300,$B21,Пул!$L$5:$L$300,"Закрыт"),8)))</f>
        <v/>
      </c>
      <c r="I21" s="236">
        <f>IF(AND(ISNUMBER(G21),ISNUMBER(H21)),IF(AND(G21&gt;0,H21&lt;0),"Buy",IF(AND(G21&lt;0,H21&gt;0),"Sell","")),"")</f>
        <v/>
      </c>
      <c r="J21" s="177">
        <f>IF(I21="Buy",G21,IF(I21="Sell",-G21,""))</f>
        <v/>
      </c>
      <c r="K21" s="177">
        <f>IF(AND(ISNUMBER(J21),ISNUMBER(L21),N(J21)&lt;&gt;0),ROUND(L21/J21,8),"")</f>
        <v/>
      </c>
      <c r="L21" s="177">
        <f>IF(I21="Buy",-H21,IF(I21="Sell",H21,""))</f>
        <v/>
      </c>
    </row>
    <row r="22" ht="22" customHeight="1">
      <c r="B22" s="320" t="n"/>
      <c r="C22" s="246">
        <f>IF($B22="","",IF(COUNTIFS(Пул!$E$5:$E$300,$B22,Пул!$F$5:$F$300,"&lt;&gt;")=0,"",ROUND(SUMIFS(Пул!$F$5:$F$300,Пул!$E$5:$E$300,$B22),8)))</f>
        <v/>
      </c>
      <c r="D22" s="247">
        <f>IF($B22="","",IF(COUNTIFS(Пул!$E$5:$E$300,$B22,Пул!$G$5:$G$300,"&lt;&gt;")=0,"",ROUND(SUMIFS(Пул!$G$5:$G$300,Пул!$E$5:$E$300,$B22),8)))</f>
        <v/>
      </c>
      <c r="E22" s="246">
        <f>IF($B22="","",IF(COUNTIFS(Пул!$E$5:$E$300,$B22,Пул!$L$5:$L$300,"Закрыт")=0,"",ROUND(SUMIFS(Пул!$H$5:$H$300,Пул!$E$5:$E$300,$B22,Пул!$L$5:$L$300,"Закрыт"),8)))</f>
        <v/>
      </c>
      <c r="F22" s="247">
        <f>IF($B22="","",IF(COUNTIFS(Пул!$E$5:$E$300,$B22,Пул!$L$5:$L$300,"Закрыт")=0,"",ROUND(SUMIFS(Пул!$I$5:$I$300,Пул!$E$5:$E$300,$B22,Пул!$L$5:$L$300,"Закрыт"),8)))</f>
        <v/>
      </c>
      <c r="G22" s="246">
        <f>IF($B22="","",IF(COUNTIFS(Пул!$E$5:$E$300,$B22,Пул!$L$5:$L$300,"Закрыт")=0,"",ROUND(SUMIFS(Пул!$J$5:$J$300,Пул!$E$5:$E$300,$B22,Пул!$L$5:$L$300,"Закрыт"),8)))</f>
        <v/>
      </c>
      <c r="H22" s="247">
        <f>IF($B22="","",IF(COUNTIFS(Пул!$E$5:$E$300,$B22,Пул!$L$5:$L$300,"Закрыт")=0,"",ROUND(SUMIFS(Пул!$K$5:$K$300,Пул!$E$5:$E$300,$B22,Пул!$L$5:$L$300,"Закрыт"),8)))</f>
        <v/>
      </c>
      <c r="I22" s="242">
        <f>IF(AND(ISNUMBER(G22),ISNUMBER(H22)),IF(AND(G22&gt;0,H22&lt;0),"Buy",IF(AND(G22&lt;0,H22&gt;0),"Sell","")),"")</f>
        <v/>
      </c>
      <c r="J22" s="183">
        <f>IF(I22="Buy",G22,IF(I22="Sell",-G22,""))</f>
        <v/>
      </c>
      <c r="K22" s="183">
        <f>IF(AND(ISNUMBER(J22),ISNUMBER(L22),N(J22)&lt;&gt;0),ROUND(L22/J22,8),"")</f>
        <v/>
      </c>
      <c r="L22" s="183">
        <f>IF(I22="Buy",-H22,IF(I22="Sell",H22,""))</f>
        <v/>
      </c>
    </row>
    <row r="23" ht="22" customHeight="1">
      <c r="B23" s="315" t="n"/>
      <c r="C23" s="240">
        <f>IF($B23="","",IF(COUNTIFS(Пул!$E$5:$E$300,$B23,Пул!$F$5:$F$300,"&lt;&gt;")=0,"",ROUND(SUMIFS(Пул!$F$5:$F$300,Пул!$E$5:$E$300,$B23),8)))</f>
        <v/>
      </c>
      <c r="D23" s="241">
        <f>IF($B23="","",IF(COUNTIFS(Пул!$E$5:$E$300,$B23,Пул!$G$5:$G$300,"&lt;&gt;")=0,"",ROUND(SUMIFS(Пул!$G$5:$G$300,Пул!$E$5:$E$300,$B23),8)))</f>
        <v/>
      </c>
      <c r="E23" s="240">
        <f>IF($B23="","",IF(COUNTIFS(Пул!$E$5:$E$300,$B23,Пул!$L$5:$L$300,"Закрыт")=0,"",ROUND(SUMIFS(Пул!$H$5:$H$300,Пул!$E$5:$E$300,$B23,Пул!$L$5:$L$300,"Закрыт"),8)))</f>
        <v/>
      </c>
      <c r="F23" s="241">
        <f>IF($B23="","",IF(COUNTIFS(Пул!$E$5:$E$300,$B23,Пул!$L$5:$L$300,"Закрыт")=0,"",ROUND(SUMIFS(Пул!$I$5:$I$300,Пул!$E$5:$E$300,$B23,Пул!$L$5:$L$300,"Закрыт"),8)))</f>
        <v/>
      </c>
      <c r="G23" s="240">
        <f>IF($B23="","",IF(COUNTIFS(Пул!$E$5:$E$300,$B23,Пул!$L$5:$L$300,"Закрыт")=0,"",ROUND(SUMIFS(Пул!$J$5:$J$300,Пул!$E$5:$E$300,$B23,Пул!$L$5:$L$300,"Закрыт"),8)))</f>
        <v/>
      </c>
      <c r="H23" s="241">
        <f>IF($B23="","",IF(COUNTIFS(Пул!$E$5:$E$300,$B23,Пул!$L$5:$L$300,"Закрыт")=0,"",ROUND(SUMIFS(Пул!$K$5:$K$300,Пул!$E$5:$E$300,$B23,Пул!$L$5:$L$300,"Закрыт"),8)))</f>
        <v/>
      </c>
      <c r="I23" s="236">
        <f>IF(AND(ISNUMBER(G23),ISNUMBER(H23)),IF(AND(G23&gt;0,H23&lt;0),"Buy",IF(AND(G23&lt;0,H23&gt;0),"Sell","")),"")</f>
        <v/>
      </c>
      <c r="J23" s="177">
        <f>IF(I23="Buy",G23,IF(I23="Sell",-G23,""))</f>
        <v/>
      </c>
      <c r="K23" s="177">
        <f>IF(AND(ISNUMBER(J23),ISNUMBER(L23),N(J23)&lt;&gt;0),ROUND(L23/J23,8),"")</f>
        <v/>
      </c>
      <c r="L23" s="177">
        <f>IF(I23="Buy",-H23,IF(I23="Sell",H23,""))</f>
        <v/>
      </c>
    </row>
    <row r="24" ht="22" customHeight="1">
      <c r="B24" s="320" t="n"/>
      <c r="C24" s="246">
        <f>IF($B24="","",IF(COUNTIFS(Пул!$E$5:$E$300,$B24,Пул!$F$5:$F$300,"&lt;&gt;")=0,"",ROUND(SUMIFS(Пул!$F$5:$F$300,Пул!$E$5:$E$300,$B24),8)))</f>
        <v/>
      </c>
      <c r="D24" s="247">
        <f>IF($B24="","",IF(COUNTIFS(Пул!$E$5:$E$300,$B24,Пул!$G$5:$G$300,"&lt;&gt;")=0,"",ROUND(SUMIFS(Пул!$G$5:$G$300,Пул!$E$5:$E$300,$B24),8)))</f>
        <v/>
      </c>
      <c r="E24" s="246">
        <f>IF($B24="","",IF(COUNTIFS(Пул!$E$5:$E$300,$B24,Пул!$L$5:$L$300,"Закрыт")=0,"",ROUND(SUMIFS(Пул!$H$5:$H$300,Пул!$E$5:$E$300,$B24,Пул!$L$5:$L$300,"Закрыт"),8)))</f>
        <v/>
      </c>
      <c r="F24" s="247">
        <f>IF($B24="","",IF(COUNTIFS(Пул!$E$5:$E$300,$B24,Пул!$L$5:$L$300,"Закрыт")=0,"",ROUND(SUMIFS(Пул!$I$5:$I$300,Пул!$E$5:$E$300,$B24,Пул!$L$5:$L$300,"Закрыт"),8)))</f>
        <v/>
      </c>
      <c r="G24" s="246">
        <f>IF($B24="","",IF(COUNTIFS(Пул!$E$5:$E$300,$B24,Пул!$L$5:$L$300,"Закрыт")=0,"",ROUND(SUMIFS(Пул!$J$5:$J$300,Пул!$E$5:$E$300,$B24,Пул!$L$5:$L$300,"Закрыт"),8)))</f>
        <v/>
      </c>
      <c r="H24" s="247">
        <f>IF($B24="","",IF(COUNTIFS(Пул!$E$5:$E$300,$B24,Пул!$L$5:$L$300,"Закрыт")=0,"",ROUND(SUMIFS(Пул!$K$5:$K$300,Пул!$E$5:$E$300,$B24,Пул!$L$5:$L$300,"Закрыт"),8)))</f>
        <v/>
      </c>
      <c r="I24" s="242">
        <f>IF(AND(ISNUMBER(G24),ISNUMBER(H24)),IF(AND(G24&gt;0,H24&lt;0),"Buy",IF(AND(G24&lt;0,H24&gt;0),"Sell","")),"")</f>
        <v/>
      </c>
      <c r="J24" s="183">
        <f>IF(I24="Buy",G24,IF(I24="Sell",-G24,""))</f>
        <v/>
      </c>
      <c r="K24" s="183">
        <f>IF(AND(ISNUMBER(J24),ISNUMBER(L24),N(J24)&lt;&gt;0),ROUND(L24/J24,8),"")</f>
        <v/>
      </c>
      <c r="L24" s="183">
        <f>IF(I24="Buy",-H24,IF(I24="Sell",H24,""))</f>
        <v/>
      </c>
    </row>
    <row r="25" ht="22" customHeight="1">
      <c r="B25" s="315" t="n"/>
      <c r="C25" s="240">
        <f>IF($B25="","",IF(COUNTIFS(Пул!$E$5:$E$300,$B25,Пул!$F$5:$F$300,"&lt;&gt;")=0,"",ROUND(SUMIFS(Пул!$F$5:$F$300,Пул!$E$5:$E$300,$B25),8)))</f>
        <v/>
      </c>
      <c r="D25" s="241">
        <f>IF($B25="","",IF(COUNTIFS(Пул!$E$5:$E$300,$B25,Пул!$G$5:$G$300,"&lt;&gt;")=0,"",ROUND(SUMIFS(Пул!$G$5:$G$300,Пул!$E$5:$E$300,$B25),8)))</f>
        <v/>
      </c>
      <c r="E25" s="240">
        <f>IF($B25="","",IF(COUNTIFS(Пул!$E$5:$E$300,$B25,Пул!$L$5:$L$300,"Закрыт")=0,"",ROUND(SUMIFS(Пул!$H$5:$H$300,Пул!$E$5:$E$300,$B25,Пул!$L$5:$L$300,"Закрыт"),8)))</f>
        <v/>
      </c>
      <c r="F25" s="241">
        <f>IF($B25="","",IF(COUNTIFS(Пул!$E$5:$E$300,$B25,Пул!$L$5:$L$300,"Закрыт")=0,"",ROUND(SUMIFS(Пул!$I$5:$I$300,Пул!$E$5:$E$300,$B25,Пул!$L$5:$L$300,"Закрыт"),8)))</f>
        <v/>
      </c>
      <c r="G25" s="240">
        <f>IF($B25="","",IF(COUNTIFS(Пул!$E$5:$E$300,$B25,Пул!$L$5:$L$300,"Закрыт")=0,"",ROUND(SUMIFS(Пул!$J$5:$J$300,Пул!$E$5:$E$300,$B25,Пул!$L$5:$L$300,"Закрыт"),8)))</f>
        <v/>
      </c>
      <c r="H25" s="241">
        <f>IF($B25="","",IF(COUNTIFS(Пул!$E$5:$E$300,$B25,Пул!$L$5:$L$300,"Закрыт")=0,"",ROUND(SUMIFS(Пул!$K$5:$K$300,Пул!$E$5:$E$300,$B25,Пул!$L$5:$L$300,"Закрыт"),8)))</f>
        <v/>
      </c>
      <c r="I25" s="236">
        <f>IF(AND(ISNUMBER(G25),ISNUMBER(H25)),IF(AND(G25&gt;0,H25&lt;0),"Buy",IF(AND(G25&lt;0,H25&gt;0),"Sell","")),"")</f>
        <v/>
      </c>
      <c r="J25" s="177">
        <f>IF(I25="Buy",G25,IF(I25="Sell",-G25,""))</f>
        <v/>
      </c>
      <c r="K25" s="177">
        <f>IF(AND(ISNUMBER(J25),ISNUMBER(L25),N(J25)&lt;&gt;0),ROUND(L25/J25,8),"")</f>
        <v/>
      </c>
      <c r="L25" s="177">
        <f>IF(I25="Buy",-H25,IF(I25="Sell",H25,""))</f>
        <v/>
      </c>
    </row>
    <row r="26" ht="22" customHeight="1">
      <c r="B26" s="320" t="n"/>
      <c r="C26" s="246">
        <f>IF($B26="","",IF(COUNTIFS(Пул!$E$5:$E$300,$B26,Пул!$F$5:$F$300,"&lt;&gt;")=0,"",ROUND(SUMIFS(Пул!$F$5:$F$300,Пул!$E$5:$E$300,$B26),8)))</f>
        <v/>
      </c>
      <c r="D26" s="247">
        <f>IF($B26="","",IF(COUNTIFS(Пул!$E$5:$E$300,$B26,Пул!$G$5:$G$300,"&lt;&gt;")=0,"",ROUND(SUMIFS(Пул!$G$5:$G$300,Пул!$E$5:$E$300,$B26),8)))</f>
        <v/>
      </c>
      <c r="E26" s="246">
        <f>IF($B26="","",IF(COUNTIFS(Пул!$E$5:$E$300,$B26,Пул!$L$5:$L$300,"Закрыт")=0,"",ROUND(SUMIFS(Пул!$H$5:$H$300,Пул!$E$5:$E$300,$B26,Пул!$L$5:$L$300,"Закрыт"),8)))</f>
        <v/>
      </c>
      <c r="F26" s="247">
        <f>IF($B26="","",IF(COUNTIFS(Пул!$E$5:$E$300,$B26,Пул!$L$5:$L$300,"Закрыт")=0,"",ROUND(SUMIFS(Пул!$I$5:$I$300,Пул!$E$5:$E$300,$B26,Пул!$L$5:$L$300,"Закрыт"),8)))</f>
        <v/>
      </c>
      <c r="G26" s="246">
        <f>IF($B26="","",IF(COUNTIFS(Пул!$E$5:$E$300,$B26,Пул!$L$5:$L$300,"Закрыт")=0,"",ROUND(SUMIFS(Пул!$J$5:$J$300,Пул!$E$5:$E$300,$B26,Пул!$L$5:$L$300,"Закрыт"),8)))</f>
        <v/>
      </c>
      <c r="H26" s="247">
        <f>IF($B26="","",IF(COUNTIFS(Пул!$E$5:$E$300,$B26,Пул!$L$5:$L$300,"Закрыт")=0,"",ROUND(SUMIFS(Пул!$K$5:$K$300,Пул!$E$5:$E$300,$B26,Пул!$L$5:$L$300,"Закрыт"),8)))</f>
        <v/>
      </c>
      <c r="I26" s="242">
        <f>IF(AND(ISNUMBER(G26),ISNUMBER(H26)),IF(AND(G26&gt;0,H26&lt;0),"Buy",IF(AND(G26&lt;0,H26&gt;0),"Sell","")),"")</f>
        <v/>
      </c>
      <c r="J26" s="183">
        <f>IF(I26="Buy",G26,IF(I26="Sell",-G26,""))</f>
        <v/>
      </c>
      <c r="K26" s="183">
        <f>IF(AND(ISNUMBER(J26),ISNUMBER(L26),N(J26)&lt;&gt;0),ROUND(L26/J26,8),"")</f>
        <v/>
      </c>
      <c r="L26" s="183">
        <f>IF(I26="Buy",-H26,IF(I26="Sell",H26,""))</f>
        <v/>
      </c>
    </row>
    <row r="27" ht="22" customHeight="1">
      <c r="B27" s="315" t="n"/>
      <c r="C27" s="240">
        <f>IF($B27="","",IF(COUNTIFS(Пул!$E$5:$E$300,$B27,Пул!$F$5:$F$300,"&lt;&gt;")=0,"",ROUND(SUMIFS(Пул!$F$5:$F$300,Пул!$E$5:$E$300,$B27),8)))</f>
        <v/>
      </c>
      <c r="D27" s="241">
        <f>IF($B27="","",IF(COUNTIFS(Пул!$E$5:$E$300,$B27,Пул!$G$5:$G$300,"&lt;&gt;")=0,"",ROUND(SUMIFS(Пул!$G$5:$G$300,Пул!$E$5:$E$300,$B27),8)))</f>
        <v/>
      </c>
      <c r="E27" s="240">
        <f>IF($B27="","",IF(COUNTIFS(Пул!$E$5:$E$300,$B27,Пул!$L$5:$L$300,"Закрыт")=0,"",ROUND(SUMIFS(Пул!$H$5:$H$300,Пул!$E$5:$E$300,$B27,Пул!$L$5:$L$300,"Закрыт"),8)))</f>
        <v/>
      </c>
      <c r="F27" s="241">
        <f>IF($B27="","",IF(COUNTIFS(Пул!$E$5:$E$300,$B27,Пул!$L$5:$L$300,"Закрыт")=0,"",ROUND(SUMIFS(Пул!$I$5:$I$300,Пул!$E$5:$E$300,$B27,Пул!$L$5:$L$300,"Закрыт"),8)))</f>
        <v/>
      </c>
      <c r="G27" s="240">
        <f>IF($B27="","",IF(COUNTIFS(Пул!$E$5:$E$300,$B27,Пул!$L$5:$L$300,"Закрыт")=0,"",ROUND(SUMIFS(Пул!$J$5:$J$300,Пул!$E$5:$E$300,$B27,Пул!$L$5:$L$300,"Закрыт"),8)))</f>
        <v/>
      </c>
      <c r="H27" s="241">
        <f>IF($B27="","",IF(COUNTIFS(Пул!$E$5:$E$300,$B27,Пул!$L$5:$L$300,"Закрыт")=0,"",ROUND(SUMIFS(Пул!$K$5:$K$300,Пул!$E$5:$E$300,$B27,Пул!$L$5:$L$300,"Закрыт"),8)))</f>
        <v/>
      </c>
      <c r="I27" s="236">
        <f>IF(AND(ISNUMBER(G27),ISNUMBER(H27)),IF(AND(G27&gt;0,H27&lt;0),"Buy",IF(AND(G27&lt;0,H27&gt;0),"Sell","")),"")</f>
        <v/>
      </c>
      <c r="J27" s="177">
        <f>IF(I27="Buy",G27,IF(I27="Sell",-G27,""))</f>
        <v/>
      </c>
      <c r="K27" s="177">
        <f>IF(AND(ISNUMBER(J27),ISNUMBER(L27),N(J27)&lt;&gt;0),ROUND(L27/J27,8),"")</f>
        <v/>
      </c>
      <c r="L27" s="177">
        <f>IF(I27="Buy",-H27,IF(I27="Sell",H27,""))</f>
        <v/>
      </c>
    </row>
    <row r="28" ht="22" customHeight="1">
      <c r="B28" s="320" t="n"/>
      <c r="C28" s="246">
        <f>IF($B28="","",IF(COUNTIFS(Пул!$E$5:$E$300,$B28,Пул!$F$5:$F$300,"&lt;&gt;")=0,"",ROUND(SUMIFS(Пул!$F$5:$F$300,Пул!$E$5:$E$300,$B28),8)))</f>
        <v/>
      </c>
      <c r="D28" s="247">
        <f>IF($B28="","",IF(COUNTIFS(Пул!$E$5:$E$300,$B28,Пул!$G$5:$G$300,"&lt;&gt;")=0,"",ROUND(SUMIFS(Пул!$G$5:$G$300,Пул!$E$5:$E$300,$B28),8)))</f>
        <v/>
      </c>
      <c r="E28" s="246">
        <f>IF($B28="","",IF(COUNTIFS(Пул!$E$5:$E$300,$B28,Пул!$L$5:$L$300,"Закрыт")=0,"",ROUND(SUMIFS(Пул!$H$5:$H$300,Пул!$E$5:$E$300,$B28,Пул!$L$5:$L$300,"Закрыт"),8)))</f>
        <v/>
      </c>
      <c r="F28" s="247">
        <f>IF($B28="","",IF(COUNTIFS(Пул!$E$5:$E$300,$B28,Пул!$L$5:$L$300,"Закрыт")=0,"",ROUND(SUMIFS(Пул!$I$5:$I$300,Пул!$E$5:$E$300,$B28,Пул!$L$5:$L$300,"Закрыт"),8)))</f>
        <v/>
      </c>
      <c r="G28" s="246">
        <f>IF($B28="","",IF(COUNTIFS(Пул!$E$5:$E$300,$B28,Пул!$L$5:$L$300,"Закрыт")=0,"",ROUND(SUMIFS(Пул!$J$5:$J$300,Пул!$E$5:$E$300,$B28,Пул!$L$5:$L$300,"Закрыт"),8)))</f>
        <v/>
      </c>
      <c r="H28" s="247">
        <f>IF($B28="","",IF(COUNTIFS(Пул!$E$5:$E$300,$B28,Пул!$L$5:$L$300,"Закрыт")=0,"",ROUND(SUMIFS(Пул!$K$5:$K$300,Пул!$E$5:$E$300,$B28,Пул!$L$5:$L$300,"Закрыт"),8)))</f>
        <v/>
      </c>
      <c r="I28" s="242">
        <f>IF(AND(ISNUMBER(G28),ISNUMBER(H28)),IF(AND(G28&gt;0,H28&lt;0),"Buy",IF(AND(G28&lt;0,H28&gt;0),"Sell","")),"")</f>
        <v/>
      </c>
      <c r="J28" s="183">
        <f>IF(I28="Buy",G28,IF(I28="Sell",-G28,""))</f>
        <v/>
      </c>
      <c r="K28" s="183">
        <f>IF(AND(ISNUMBER(J28),ISNUMBER(L28),N(J28)&lt;&gt;0),ROUND(L28/J28,8),"")</f>
        <v/>
      </c>
      <c r="L28" s="183">
        <f>IF(I28="Buy",-H28,IF(I28="Sell",H28,""))</f>
        <v/>
      </c>
    </row>
    <row r="29" ht="22" customHeight="1">
      <c r="B29" s="315" t="n"/>
      <c r="C29" s="240">
        <f>IF($B29="","",IF(COUNTIFS(Пул!$E$5:$E$300,$B29,Пул!$F$5:$F$300,"&lt;&gt;")=0,"",ROUND(SUMIFS(Пул!$F$5:$F$300,Пул!$E$5:$E$300,$B29),8)))</f>
        <v/>
      </c>
      <c r="D29" s="241">
        <f>IF($B29="","",IF(COUNTIFS(Пул!$E$5:$E$300,$B29,Пул!$G$5:$G$300,"&lt;&gt;")=0,"",ROUND(SUMIFS(Пул!$G$5:$G$300,Пул!$E$5:$E$300,$B29),8)))</f>
        <v/>
      </c>
      <c r="E29" s="240">
        <f>IF($B29="","",IF(COUNTIFS(Пул!$E$5:$E$300,$B29,Пул!$L$5:$L$300,"Закрыт")=0,"",ROUND(SUMIFS(Пул!$H$5:$H$300,Пул!$E$5:$E$300,$B29,Пул!$L$5:$L$300,"Закрыт"),8)))</f>
        <v/>
      </c>
      <c r="F29" s="241">
        <f>IF($B29="","",IF(COUNTIFS(Пул!$E$5:$E$300,$B29,Пул!$L$5:$L$300,"Закрыт")=0,"",ROUND(SUMIFS(Пул!$I$5:$I$300,Пул!$E$5:$E$300,$B29,Пул!$L$5:$L$300,"Закрыт"),8)))</f>
        <v/>
      </c>
      <c r="G29" s="240">
        <f>IF($B29="","",IF(COUNTIFS(Пул!$E$5:$E$300,$B29,Пул!$L$5:$L$300,"Закрыт")=0,"",ROUND(SUMIFS(Пул!$J$5:$J$300,Пул!$E$5:$E$300,$B29,Пул!$L$5:$L$300,"Закрыт"),8)))</f>
        <v/>
      </c>
      <c r="H29" s="241">
        <f>IF($B29="","",IF(COUNTIFS(Пул!$E$5:$E$300,$B29,Пул!$L$5:$L$300,"Закрыт")=0,"",ROUND(SUMIFS(Пул!$K$5:$K$300,Пул!$E$5:$E$300,$B29,Пул!$L$5:$L$300,"Закрыт"),8)))</f>
        <v/>
      </c>
      <c r="I29" s="236">
        <f>IF(AND(ISNUMBER(G29),ISNUMBER(H29)),IF(AND(G29&gt;0,H29&lt;0),"Buy",IF(AND(G29&lt;0,H29&gt;0),"Sell","")),"")</f>
        <v/>
      </c>
      <c r="J29" s="177">
        <f>IF(I29="Buy",G29,IF(I29="Sell",-G29,""))</f>
        <v/>
      </c>
      <c r="K29" s="177">
        <f>IF(AND(ISNUMBER(J29),ISNUMBER(L29),N(J29)&lt;&gt;0),ROUND(L29/J29,8),"")</f>
        <v/>
      </c>
      <c r="L29" s="177">
        <f>IF(I29="Buy",-H29,IF(I29="Sell",H29,""))</f>
        <v/>
      </c>
    </row>
    <row r="30" ht="22" customHeight="1">
      <c r="B30" s="320" t="n"/>
      <c r="C30" s="246">
        <f>IF($B30="","",IF(COUNTIFS(Пул!$E$5:$E$300,$B30,Пул!$F$5:$F$300,"&lt;&gt;")=0,"",ROUND(SUMIFS(Пул!$F$5:$F$300,Пул!$E$5:$E$300,$B30),8)))</f>
        <v/>
      </c>
      <c r="D30" s="247">
        <f>IF($B30="","",IF(COUNTIFS(Пул!$E$5:$E$300,$B30,Пул!$G$5:$G$300,"&lt;&gt;")=0,"",ROUND(SUMIFS(Пул!$G$5:$G$300,Пул!$E$5:$E$300,$B30),8)))</f>
        <v/>
      </c>
      <c r="E30" s="246">
        <f>IF($B30="","",IF(COUNTIFS(Пул!$E$5:$E$300,$B30,Пул!$L$5:$L$300,"Закрыт")=0,"",ROUND(SUMIFS(Пул!$H$5:$H$300,Пул!$E$5:$E$300,$B30,Пул!$L$5:$L$300,"Закрыт"),8)))</f>
        <v/>
      </c>
      <c r="F30" s="247">
        <f>IF($B30="","",IF(COUNTIFS(Пул!$E$5:$E$300,$B30,Пул!$L$5:$L$300,"Закрыт")=0,"",ROUND(SUMIFS(Пул!$I$5:$I$300,Пул!$E$5:$E$300,$B30,Пул!$L$5:$L$300,"Закрыт"),8)))</f>
        <v/>
      </c>
      <c r="G30" s="246">
        <f>IF($B30="","",IF(COUNTIFS(Пул!$E$5:$E$300,$B30,Пул!$L$5:$L$300,"Закрыт")=0,"",ROUND(SUMIFS(Пул!$J$5:$J$300,Пул!$E$5:$E$300,$B30,Пул!$L$5:$L$300,"Закрыт"),8)))</f>
        <v/>
      </c>
      <c r="H30" s="247">
        <f>IF($B30="","",IF(COUNTIFS(Пул!$E$5:$E$300,$B30,Пул!$L$5:$L$300,"Закрыт")=0,"",ROUND(SUMIFS(Пул!$K$5:$K$300,Пул!$E$5:$E$300,$B30,Пул!$L$5:$L$300,"Закрыт"),8)))</f>
        <v/>
      </c>
      <c r="I30" s="242">
        <f>IF(AND(ISNUMBER(G30),ISNUMBER(H30)),IF(AND(G30&gt;0,H30&lt;0),"Buy",IF(AND(G30&lt;0,H30&gt;0),"Sell","")),"")</f>
        <v/>
      </c>
      <c r="J30" s="183">
        <f>IF(I30="Buy",G30,IF(I30="Sell",-G30,""))</f>
        <v/>
      </c>
      <c r="K30" s="183">
        <f>IF(AND(ISNUMBER(J30),ISNUMBER(L30),N(J30)&lt;&gt;0),ROUND(L30/J30,8),"")</f>
        <v/>
      </c>
      <c r="L30" s="183">
        <f>IF(I30="Buy",-H30,IF(I30="Sell",H30,""))</f>
        <v/>
      </c>
    </row>
    <row r="31" ht="22" customHeight="1">
      <c r="B31" s="315" t="n"/>
      <c r="C31" s="240">
        <f>IF($B31="","",IF(COUNTIFS(Пул!$E$5:$E$300,$B31,Пул!$F$5:$F$300,"&lt;&gt;")=0,"",ROUND(SUMIFS(Пул!$F$5:$F$300,Пул!$E$5:$E$300,$B31),8)))</f>
        <v/>
      </c>
      <c r="D31" s="241">
        <f>IF($B31="","",IF(COUNTIFS(Пул!$E$5:$E$300,$B31,Пул!$G$5:$G$300,"&lt;&gt;")=0,"",ROUND(SUMIFS(Пул!$G$5:$G$300,Пул!$E$5:$E$300,$B31),8)))</f>
        <v/>
      </c>
      <c r="E31" s="240">
        <f>IF($B31="","",IF(COUNTIFS(Пул!$E$5:$E$300,$B31,Пул!$L$5:$L$300,"Закрыт")=0,"",ROUND(SUMIFS(Пул!$H$5:$H$300,Пул!$E$5:$E$300,$B31,Пул!$L$5:$L$300,"Закрыт"),8)))</f>
        <v/>
      </c>
      <c r="F31" s="241">
        <f>IF($B31="","",IF(COUNTIFS(Пул!$E$5:$E$300,$B31,Пул!$L$5:$L$300,"Закрыт")=0,"",ROUND(SUMIFS(Пул!$I$5:$I$300,Пул!$E$5:$E$300,$B31,Пул!$L$5:$L$300,"Закрыт"),8)))</f>
        <v/>
      </c>
      <c r="G31" s="240">
        <f>IF($B31="","",IF(COUNTIFS(Пул!$E$5:$E$300,$B31,Пул!$L$5:$L$300,"Закрыт")=0,"",ROUND(SUMIFS(Пул!$J$5:$J$300,Пул!$E$5:$E$300,$B31,Пул!$L$5:$L$300,"Закрыт"),8)))</f>
        <v/>
      </c>
      <c r="H31" s="241">
        <f>IF($B31="","",IF(COUNTIFS(Пул!$E$5:$E$300,$B31,Пул!$L$5:$L$300,"Закрыт")=0,"",ROUND(SUMIFS(Пул!$K$5:$K$300,Пул!$E$5:$E$300,$B31,Пул!$L$5:$L$300,"Закрыт"),8)))</f>
        <v/>
      </c>
      <c r="I31" s="236">
        <f>IF(AND(ISNUMBER(G31),ISNUMBER(H31)),IF(AND(G31&gt;0,H31&lt;0),"Buy",IF(AND(G31&lt;0,H31&gt;0),"Sell","")),"")</f>
        <v/>
      </c>
      <c r="J31" s="177">
        <f>IF(I31="Buy",G31,IF(I31="Sell",-G31,""))</f>
        <v/>
      </c>
      <c r="K31" s="177">
        <f>IF(AND(ISNUMBER(J31),ISNUMBER(L31),N(J31)&lt;&gt;0),ROUND(L31/J31,8),"")</f>
        <v/>
      </c>
      <c r="L31" s="177">
        <f>IF(I31="Buy",-H31,IF(I31="Sell",H31,""))</f>
        <v/>
      </c>
    </row>
    <row r="32" ht="22" customHeight="1">
      <c r="B32" s="320" t="n"/>
      <c r="C32" s="246">
        <f>IF($B32="","",IF(COUNTIFS(Пул!$E$5:$E$300,$B32,Пул!$F$5:$F$300,"&lt;&gt;")=0,"",ROUND(SUMIFS(Пул!$F$5:$F$300,Пул!$E$5:$E$300,$B32),8)))</f>
        <v/>
      </c>
      <c r="D32" s="247">
        <f>IF($B32="","",IF(COUNTIFS(Пул!$E$5:$E$300,$B32,Пул!$G$5:$G$300,"&lt;&gt;")=0,"",ROUND(SUMIFS(Пул!$G$5:$G$300,Пул!$E$5:$E$300,$B32),8)))</f>
        <v/>
      </c>
      <c r="E32" s="246">
        <f>IF($B32="","",IF(COUNTIFS(Пул!$E$5:$E$300,$B32,Пул!$L$5:$L$300,"Закрыт")=0,"",ROUND(SUMIFS(Пул!$H$5:$H$300,Пул!$E$5:$E$300,$B32,Пул!$L$5:$L$300,"Закрыт"),8)))</f>
        <v/>
      </c>
      <c r="F32" s="247">
        <f>IF($B32="","",IF(COUNTIFS(Пул!$E$5:$E$300,$B32,Пул!$L$5:$L$300,"Закрыт")=0,"",ROUND(SUMIFS(Пул!$I$5:$I$300,Пул!$E$5:$E$300,$B32,Пул!$L$5:$L$300,"Закрыт"),8)))</f>
        <v/>
      </c>
      <c r="G32" s="246">
        <f>IF($B32="","",IF(COUNTIFS(Пул!$E$5:$E$300,$B32,Пул!$L$5:$L$300,"Закрыт")=0,"",ROUND(SUMIFS(Пул!$J$5:$J$300,Пул!$E$5:$E$300,$B32,Пул!$L$5:$L$300,"Закрыт"),8)))</f>
        <v/>
      </c>
      <c r="H32" s="247">
        <f>IF($B32="","",IF(COUNTIFS(Пул!$E$5:$E$300,$B32,Пул!$L$5:$L$300,"Закрыт")=0,"",ROUND(SUMIFS(Пул!$K$5:$K$300,Пул!$E$5:$E$300,$B32,Пул!$L$5:$L$300,"Закрыт"),8)))</f>
        <v/>
      </c>
      <c r="I32" s="242">
        <f>IF(AND(ISNUMBER(G32),ISNUMBER(H32)),IF(AND(G32&gt;0,H32&lt;0),"Buy",IF(AND(G32&lt;0,H32&gt;0),"Sell","")),"")</f>
        <v/>
      </c>
      <c r="J32" s="183">
        <f>IF(I32="Buy",G32,IF(I32="Sell",-G32,""))</f>
        <v/>
      </c>
      <c r="K32" s="183">
        <f>IF(AND(ISNUMBER(J32),ISNUMBER(L32),N(J32)&lt;&gt;0),ROUND(L32/J32,8),"")</f>
        <v/>
      </c>
      <c r="L32" s="183">
        <f>IF(I32="Buy",-H32,IF(I32="Sell",H32,""))</f>
        <v/>
      </c>
    </row>
    <row r="33" ht="22" customHeight="1">
      <c r="B33" s="315" t="n"/>
      <c r="C33" s="240">
        <f>IF($B33="","",IF(COUNTIFS(Пул!$E$5:$E$300,$B33,Пул!$F$5:$F$300,"&lt;&gt;")=0,"",ROUND(SUMIFS(Пул!$F$5:$F$300,Пул!$E$5:$E$300,$B33),8)))</f>
        <v/>
      </c>
      <c r="D33" s="241">
        <f>IF($B33="","",IF(COUNTIFS(Пул!$E$5:$E$300,$B33,Пул!$G$5:$G$300,"&lt;&gt;")=0,"",ROUND(SUMIFS(Пул!$G$5:$G$300,Пул!$E$5:$E$300,$B33),8)))</f>
        <v/>
      </c>
      <c r="E33" s="240">
        <f>IF($B33="","",IF(COUNTIFS(Пул!$E$5:$E$300,$B33,Пул!$L$5:$L$300,"Закрыт")=0,"",ROUND(SUMIFS(Пул!$H$5:$H$300,Пул!$E$5:$E$300,$B33,Пул!$L$5:$L$300,"Закрыт"),8)))</f>
        <v/>
      </c>
      <c r="F33" s="241">
        <f>IF($B33="","",IF(COUNTIFS(Пул!$E$5:$E$300,$B33,Пул!$L$5:$L$300,"Закрыт")=0,"",ROUND(SUMIFS(Пул!$I$5:$I$300,Пул!$E$5:$E$300,$B33,Пул!$L$5:$L$300,"Закрыт"),8)))</f>
        <v/>
      </c>
      <c r="G33" s="240">
        <f>IF($B33="","",IF(COUNTIFS(Пул!$E$5:$E$300,$B33,Пул!$L$5:$L$300,"Закрыт")=0,"",ROUND(SUMIFS(Пул!$J$5:$J$300,Пул!$E$5:$E$300,$B33,Пул!$L$5:$L$300,"Закрыт"),8)))</f>
        <v/>
      </c>
      <c r="H33" s="241">
        <f>IF($B33="","",IF(COUNTIFS(Пул!$E$5:$E$300,$B33,Пул!$L$5:$L$300,"Закрыт")=0,"",ROUND(SUMIFS(Пул!$K$5:$K$300,Пул!$E$5:$E$300,$B33,Пул!$L$5:$L$300,"Закрыт"),8)))</f>
        <v/>
      </c>
      <c r="I33" s="236">
        <f>IF(AND(ISNUMBER(G33),ISNUMBER(H33)),IF(AND(G33&gt;0,H33&lt;0),"Buy",IF(AND(G33&lt;0,H33&gt;0),"Sell","")),"")</f>
        <v/>
      </c>
      <c r="J33" s="177">
        <f>IF(I33="Buy",G33,IF(I33="Sell",-G33,""))</f>
        <v/>
      </c>
      <c r="K33" s="177">
        <f>IF(AND(ISNUMBER(J33),ISNUMBER(L33),N(J33)&lt;&gt;0),ROUND(L33/J33,8),"")</f>
        <v/>
      </c>
      <c r="L33" s="177">
        <f>IF(I33="Buy",-H33,IF(I33="Sell",H33,""))</f>
        <v/>
      </c>
    </row>
    <row r="34" ht="22" customHeight="1">
      <c r="B34" s="320" t="n"/>
      <c r="C34" s="246">
        <f>IF($B34="","",IF(COUNTIFS(Пул!$E$5:$E$300,$B34,Пул!$F$5:$F$300,"&lt;&gt;")=0,"",ROUND(SUMIFS(Пул!$F$5:$F$300,Пул!$E$5:$E$300,$B34),8)))</f>
        <v/>
      </c>
      <c r="D34" s="247">
        <f>IF($B34="","",IF(COUNTIFS(Пул!$E$5:$E$300,$B34,Пул!$G$5:$G$300,"&lt;&gt;")=0,"",ROUND(SUMIFS(Пул!$G$5:$G$300,Пул!$E$5:$E$300,$B34),8)))</f>
        <v/>
      </c>
      <c r="E34" s="246">
        <f>IF($B34="","",IF(COUNTIFS(Пул!$E$5:$E$300,$B34,Пул!$L$5:$L$300,"Закрыт")=0,"",ROUND(SUMIFS(Пул!$H$5:$H$300,Пул!$E$5:$E$300,$B34,Пул!$L$5:$L$300,"Закрыт"),8)))</f>
        <v/>
      </c>
      <c r="F34" s="247">
        <f>IF($B34="","",IF(COUNTIFS(Пул!$E$5:$E$300,$B34,Пул!$L$5:$L$300,"Закрыт")=0,"",ROUND(SUMIFS(Пул!$I$5:$I$300,Пул!$E$5:$E$300,$B34,Пул!$L$5:$L$300,"Закрыт"),8)))</f>
        <v/>
      </c>
      <c r="G34" s="246">
        <f>IF($B34="","",IF(COUNTIFS(Пул!$E$5:$E$300,$B34,Пул!$L$5:$L$300,"Закрыт")=0,"",ROUND(SUMIFS(Пул!$J$5:$J$300,Пул!$E$5:$E$300,$B34,Пул!$L$5:$L$300,"Закрыт"),8)))</f>
        <v/>
      </c>
      <c r="H34" s="247">
        <f>IF($B34="","",IF(COUNTIFS(Пул!$E$5:$E$300,$B34,Пул!$L$5:$L$300,"Закрыт")=0,"",ROUND(SUMIFS(Пул!$K$5:$K$300,Пул!$E$5:$E$300,$B34,Пул!$L$5:$L$300,"Закрыт"),8)))</f>
        <v/>
      </c>
      <c r="I34" s="242">
        <f>IF(AND(ISNUMBER(G34),ISNUMBER(H34)),IF(AND(G34&gt;0,H34&lt;0),"Buy",IF(AND(G34&lt;0,H34&gt;0),"Sell","")),"")</f>
        <v/>
      </c>
      <c r="J34" s="183">
        <f>IF(I34="Buy",G34,IF(I34="Sell",-G34,""))</f>
        <v/>
      </c>
      <c r="K34" s="183">
        <f>IF(AND(ISNUMBER(J34),ISNUMBER(L34),N(J34)&lt;&gt;0),ROUND(L34/J34,8),"")</f>
        <v/>
      </c>
      <c r="L34" s="183">
        <f>IF(I34="Buy",-H34,IF(I34="Sell",H34,""))</f>
        <v/>
      </c>
    </row>
    <row r="35" ht="22" customHeight="1">
      <c r="B35" s="315" t="n"/>
      <c r="C35" s="240">
        <f>IF($B35="","",IF(COUNTIFS(Пул!$E$5:$E$300,$B35,Пул!$F$5:$F$300,"&lt;&gt;")=0,"",ROUND(SUMIFS(Пул!$F$5:$F$300,Пул!$E$5:$E$300,$B35),8)))</f>
        <v/>
      </c>
      <c r="D35" s="241">
        <f>IF($B35="","",IF(COUNTIFS(Пул!$E$5:$E$300,$B35,Пул!$G$5:$G$300,"&lt;&gt;")=0,"",ROUND(SUMIFS(Пул!$G$5:$G$300,Пул!$E$5:$E$300,$B35),8)))</f>
        <v/>
      </c>
      <c r="E35" s="240">
        <f>IF($B35="","",IF(COUNTIFS(Пул!$E$5:$E$300,$B35,Пул!$L$5:$L$300,"Закрыт")=0,"",ROUND(SUMIFS(Пул!$H$5:$H$300,Пул!$E$5:$E$300,$B35,Пул!$L$5:$L$300,"Закрыт"),8)))</f>
        <v/>
      </c>
      <c r="F35" s="241">
        <f>IF($B35="","",IF(COUNTIFS(Пул!$E$5:$E$300,$B35,Пул!$L$5:$L$300,"Закрыт")=0,"",ROUND(SUMIFS(Пул!$I$5:$I$300,Пул!$E$5:$E$300,$B35,Пул!$L$5:$L$300,"Закрыт"),8)))</f>
        <v/>
      </c>
      <c r="G35" s="240">
        <f>IF($B35="","",IF(COUNTIFS(Пул!$E$5:$E$300,$B35,Пул!$L$5:$L$300,"Закрыт")=0,"",ROUND(SUMIFS(Пул!$J$5:$J$300,Пул!$E$5:$E$300,$B35,Пул!$L$5:$L$300,"Закрыт"),8)))</f>
        <v/>
      </c>
      <c r="H35" s="241">
        <f>IF($B35="","",IF(COUNTIFS(Пул!$E$5:$E$300,$B35,Пул!$L$5:$L$300,"Закрыт")=0,"",ROUND(SUMIFS(Пул!$K$5:$K$300,Пул!$E$5:$E$300,$B35,Пул!$L$5:$L$300,"Закрыт"),8)))</f>
        <v/>
      </c>
      <c r="I35" s="236">
        <f>IF(AND(ISNUMBER(G35),ISNUMBER(H35)),IF(AND(G35&gt;0,H35&lt;0),"Buy",IF(AND(G35&lt;0,H35&gt;0),"Sell","")),"")</f>
        <v/>
      </c>
      <c r="J35" s="177">
        <f>IF(I35="Buy",G35,IF(I35="Sell",-G35,""))</f>
        <v/>
      </c>
      <c r="K35" s="177">
        <f>IF(AND(ISNUMBER(J35),ISNUMBER(L35),N(J35)&lt;&gt;0),ROUND(L35/J35,8),"")</f>
        <v/>
      </c>
      <c r="L35" s="177">
        <f>IF(I35="Buy",-H35,IF(I35="Sell",H35,""))</f>
        <v/>
      </c>
    </row>
    <row r="36" ht="22" customHeight="1">
      <c r="B36" s="320" t="n"/>
      <c r="C36" s="246">
        <f>IF($B36="","",IF(COUNTIFS(Пул!$E$5:$E$300,$B36,Пул!$F$5:$F$300,"&lt;&gt;")=0,"",ROUND(SUMIFS(Пул!$F$5:$F$300,Пул!$E$5:$E$300,$B36),8)))</f>
        <v/>
      </c>
      <c r="D36" s="247">
        <f>IF($B36="","",IF(COUNTIFS(Пул!$E$5:$E$300,$B36,Пул!$G$5:$G$300,"&lt;&gt;")=0,"",ROUND(SUMIFS(Пул!$G$5:$G$300,Пул!$E$5:$E$300,$B36),8)))</f>
        <v/>
      </c>
      <c r="E36" s="246">
        <f>IF($B36="","",IF(COUNTIFS(Пул!$E$5:$E$300,$B36,Пул!$L$5:$L$300,"Закрыт")=0,"",ROUND(SUMIFS(Пул!$H$5:$H$300,Пул!$E$5:$E$300,$B36,Пул!$L$5:$L$300,"Закрыт"),8)))</f>
        <v/>
      </c>
      <c r="F36" s="247">
        <f>IF($B36="","",IF(COUNTIFS(Пул!$E$5:$E$300,$B36,Пул!$L$5:$L$300,"Закрыт")=0,"",ROUND(SUMIFS(Пул!$I$5:$I$300,Пул!$E$5:$E$300,$B36,Пул!$L$5:$L$300,"Закрыт"),8)))</f>
        <v/>
      </c>
      <c r="G36" s="246">
        <f>IF($B36="","",IF(COUNTIFS(Пул!$E$5:$E$300,$B36,Пул!$L$5:$L$300,"Закрыт")=0,"",ROUND(SUMIFS(Пул!$J$5:$J$300,Пул!$E$5:$E$300,$B36,Пул!$L$5:$L$300,"Закрыт"),8)))</f>
        <v/>
      </c>
      <c r="H36" s="247">
        <f>IF($B36="","",IF(COUNTIFS(Пул!$E$5:$E$300,$B36,Пул!$L$5:$L$300,"Закрыт")=0,"",ROUND(SUMIFS(Пул!$K$5:$K$300,Пул!$E$5:$E$300,$B36,Пул!$L$5:$L$300,"Закрыт"),8)))</f>
        <v/>
      </c>
      <c r="I36" s="242">
        <f>IF(AND(ISNUMBER(G36),ISNUMBER(H36)),IF(AND(G36&gt;0,H36&lt;0),"Buy",IF(AND(G36&lt;0,H36&gt;0),"Sell","")),"")</f>
        <v/>
      </c>
      <c r="J36" s="183">
        <f>IF(I36="Buy",G36,IF(I36="Sell",-G36,""))</f>
        <v/>
      </c>
      <c r="K36" s="183">
        <f>IF(AND(ISNUMBER(J36),ISNUMBER(L36),N(J36)&lt;&gt;0),ROUND(L36/J36,8),"")</f>
        <v/>
      </c>
      <c r="L36" s="183">
        <f>IF(I36="Buy",-H36,IF(I36="Sell",H36,""))</f>
        <v/>
      </c>
    </row>
    <row r="37" ht="22" customHeight="1">
      <c r="B37" s="315" t="n"/>
      <c r="C37" s="240">
        <f>IF($B37="","",IF(COUNTIFS(Пул!$E$5:$E$300,$B37,Пул!$F$5:$F$300,"&lt;&gt;")=0,"",ROUND(SUMIFS(Пул!$F$5:$F$300,Пул!$E$5:$E$300,$B37),8)))</f>
        <v/>
      </c>
      <c r="D37" s="241">
        <f>IF($B37="","",IF(COUNTIFS(Пул!$E$5:$E$300,$B37,Пул!$G$5:$G$300,"&lt;&gt;")=0,"",ROUND(SUMIFS(Пул!$G$5:$G$300,Пул!$E$5:$E$300,$B37),8)))</f>
        <v/>
      </c>
      <c r="E37" s="240">
        <f>IF($B37="","",IF(COUNTIFS(Пул!$E$5:$E$300,$B37,Пул!$L$5:$L$300,"Закрыт")=0,"",ROUND(SUMIFS(Пул!$H$5:$H$300,Пул!$E$5:$E$300,$B37,Пул!$L$5:$L$300,"Закрыт"),8)))</f>
        <v/>
      </c>
      <c r="F37" s="241">
        <f>IF($B37="","",IF(COUNTIFS(Пул!$E$5:$E$300,$B37,Пул!$L$5:$L$300,"Закрыт")=0,"",ROUND(SUMIFS(Пул!$I$5:$I$300,Пул!$E$5:$E$300,$B37,Пул!$L$5:$L$300,"Закрыт"),8)))</f>
        <v/>
      </c>
      <c r="G37" s="240">
        <f>IF($B37="","",IF(COUNTIFS(Пул!$E$5:$E$300,$B37,Пул!$L$5:$L$300,"Закрыт")=0,"",ROUND(SUMIFS(Пул!$J$5:$J$300,Пул!$E$5:$E$300,$B37,Пул!$L$5:$L$300,"Закрыт"),8)))</f>
        <v/>
      </c>
      <c r="H37" s="241">
        <f>IF($B37="","",IF(COUNTIFS(Пул!$E$5:$E$300,$B37,Пул!$L$5:$L$300,"Закрыт")=0,"",ROUND(SUMIFS(Пул!$K$5:$K$300,Пул!$E$5:$E$300,$B37,Пул!$L$5:$L$300,"Закрыт"),8)))</f>
        <v/>
      </c>
      <c r="I37" s="236">
        <f>IF(AND(ISNUMBER(G37),ISNUMBER(H37)),IF(AND(G37&gt;0,H37&lt;0),"Buy",IF(AND(G37&lt;0,H37&gt;0),"Sell","")),"")</f>
        <v/>
      </c>
      <c r="J37" s="177">
        <f>IF(I37="Buy",G37,IF(I37="Sell",-G37,""))</f>
        <v/>
      </c>
      <c r="K37" s="177">
        <f>IF(AND(ISNUMBER(J37),ISNUMBER(L37),N(J37)&lt;&gt;0),ROUND(L37/J37,8),"")</f>
        <v/>
      </c>
      <c r="L37" s="177">
        <f>IF(I37="Buy",-H37,IF(I37="Sell",H37,""))</f>
        <v/>
      </c>
    </row>
    <row r="38" ht="22" customHeight="1">
      <c r="B38" s="320" t="n"/>
      <c r="C38" s="246">
        <f>IF($B38="","",IF(COUNTIFS(Пул!$E$5:$E$300,$B38,Пул!$F$5:$F$300,"&lt;&gt;")=0,"",ROUND(SUMIFS(Пул!$F$5:$F$300,Пул!$E$5:$E$300,$B38),8)))</f>
        <v/>
      </c>
      <c r="D38" s="247">
        <f>IF($B38="","",IF(COUNTIFS(Пул!$E$5:$E$300,$B38,Пул!$G$5:$G$300,"&lt;&gt;")=0,"",ROUND(SUMIFS(Пул!$G$5:$G$300,Пул!$E$5:$E$300,$B38),8)))</f>
        <v/>
      </c>
      <c r="E38" s="246">
        <f>IF($B38="","",IF(COUNTIFS(Пул!$E$5:$E$300,$B38,Пул!$L$5:$L$300,"Закрыт")=0,"",ROUND(SUMIFS(Пул!$H$5:$H$300,Пул!$E$5:$E$300,$B38,Пул!$L$5:$L$300,"Закрыт"),8)))</f>
        <v/>
      </c>
      <c r="F38" s="247">
        <f>IF($B38="","",IF(COUNTIFS(Пул!$E$5:$E$300,$B38,Пул!$L$5:$L$300,"Закрыт")=0,"",ROUND(SUMIFS(Пул!$I$5:$I$300,Пул!$E$5:$E$300,$B38,Пул!$L$5:$L$300,"Закрыт"),8)))</f>
        <v/>
      </c>
      <c r="G38" s="246">
        <f>IF($B38="","",IF(COUNTIFS(Пул!$E$5:$E$300,$B38,Пул!$L$5:$L$300,"Закрыт")=0,"",ROUND(SUMIFS(Пул!$J$5:$J$300,Пул!$E$5:$E$300,$B38,Пул!$L$5:$L$300,"Закрыт"),8)))</f>
        <v/>
      </c>
      <c r="H38" s="247">
        <f>IF($B38="","",IF(COUNTIFS(Пул!$E$5:$E$300,$B38,Пул!$L$5:$L$300,"Закрыт")=0,"",ROUND(SUMIFS(Пул!$K$5:$K$300,Пул!$E$5:$E$300,$B38,Пул!$L$5:$L$300,"Закрыт"),8)))</f>
        <v/>
      </c>
      <c r="I38" s="242">
        <f>IF(AND(ISNUMBER(G38),ISNUMBER(H38)),IF(AND(G38&gt;0,H38&lt;0),"Buy",IF(AND(G38&lt;0,H38&gt;0),"Sell","")),"")</f>
        <v/>
      </c>
      <c r="J38" s="183">
        <f>IF(I38="Buy",G38,IF(I38="Sell",-G38,""))</f>
        <v/>
      </c>
      <c r="K38" s="183">
        <f>IF(AND(ISNUMBER(J38),ISNUMBER(L38),N(J38)&lt;&gt;0),ROUND(L38/J38,8),"")</f>
        <v/>
      </c>
      <c r="L38" s="183">
        <f>IF(I38="Buy",-H38,IF(I38="Sell",H38,""))</f>
        <v/>
      </c>
    </row>
    <row r="39" ht="22" customHeight="1">
      <c r="B39" s="315" t="n"/>
      <c r="C39" s="240">
        <f>IF($B39="","",IF(COUNTIFS(Пул!$E$5:$E$300,$B39,Пул!$F$5:$F$300,"&lt;&gt;")=0,"",ROUND(SUMIFS(Пул!$F$5:$F$300,Пул!$E$5:$E$300,$B39),8)))</f>
        <v/>
      </c>
      <c r="D39" s="241">
        <f>IF($B39="","",IF(COUNTIFS(Пул!$E$5:$E$300,$B39,Пул!$G$5:$G$300,"&lt;&gt;")=0,"",ROUND(SUMIFS(Пул!$G$5:$G$300,Пул!$E$5:$E$300,$B39),8)))</f>
        <v/>
      </c>
      <c r="E39" s="240">
        <f>IF($B39="","",IF(COUNTIFS(Пул!$E$5:$E$300,$B39,Пул!$L$5:$L$300,"Закрыт")=0,"",ROUND(SUMIFS(Пул!$H$5:$H$300,Пул!$E$5:$E$300,$B39,Пул!$L$5:$L$300,"Закрыт"),8)))</f>
        <v/>
      </c>
      <c r="F39" s="241">
        <f>IF($B39="","",IF(COUNTIFS(Пул!$E$5:$E$300,$B39,Пул!$L$5:$L$300,"Закрыт")=0,"",ROUND(SUMIFS(Пул!$I$5:$I$300,Пул!$E$5:$E$300,$B39,Пул!$L$5:$L$300,"Закрыт"),8)))</f>
        <v/>
      </c>
      <c r="G39" s="240">
        <f>IF($B39="","",IF(COUNTIFS(Пул!$E$5:$E$300,$B39,Пул!$L$5:$L$300,"Закрыт")=0,"",ROUND(SUMIFS(Пул!$J$5:$J$300,Пул!$E$5:$E$300,$B39,Пул!$L$5:$L$300,"Закрыт"),8)))</f>
        <v/>
      </c>
      <c r="H39" s="241">
        <f>IF($B39="","",IF(COUNTIFS(Пул!$E$5:$E$300,$B39,Пул!$L$5:$L$300,"Закрыт")=0,"",ROUND(SUMIFS(Пул!$K$5:$K$300,Пул!$E$5:$E$300,$B39,Пул!$L$5:$L$300,"Закрыт"),8)))</f>
        <v/>
      </c>
      <c r="I39" s="236">
        <f>IF(AND(ISNUMBER(G39),ISNUMBER(H39)),IF(AND(G39&gt;0,H39&lt;0),"Buy",IF(AND(G39&lt;0,H39&gt;0),"Sell","")),"")</f>
        <v/>
      </c>
      <c r="J39" s="177">
        <f>IF(I39="Buy",G39,IF(I39="Sell",-G39,""))</f>
        <v/>
      </c>
      <c r="K39" s="177">
        <f>IF(AND(ISNUMBER(J39),ISNUMBER(L39),N(J39)&lt;&gt;0),ROUND(L39/J39,8),"")</f>
        <v/>
      </c>
      <c r="L39" s="177">
        <f>IF(I39="Buy",-H39,IF(I39="Sell",H39,""))</f>
        <v/>
      </c>
    </row>
    <row r="40" ht="22" customHeight="1">
      <c r="B40" s="320" t="n"/>
      <c r="C40" s="246">
        <f>IF($B40="","",IF(COUNTIFS(Пул!$E$5:$E$300,$B40,Пул!$F$5:$F$300,"&lt;&gt;")=0,"",ROUND(SUMIFS(Пул!$F$5:$F$300,Пул!$E$5:$E$300,$B40),8)))</f>
        <v/>
      </c>
      <c r="D40" s="247">
        <f>IF($B40="","",IF(COUNTIFS(Пул!$E$5:$E$300,$B40,Пул!$G$5:$G$300,"&lt;&gt;")=0,"",ROUND(SUMIFS(Пул!$G$5:$G$300,Пул!$E$5:$E$300,$B40),8)))</f>
        <v/>
      </c>
      <c r="E40" s="246">
        <f>IF($B40="","",IF(COUNTIFS(Пул!$E$5:$E$300,$B40,Пул!$L$5:$L$300,"Закрыт")=0,"",ROUND(SUMIFS(Пул!$H$5:$H$300,Пул!$E$5:$E$300,$B40,Пул!$L$5:$L$300,"Закрыт"),8)))</f>
        <v/>
      </c>
      <c r="F40" s="247">
        <f>IF($B40="","",IF(COUNTIFS(Пул!$E$5:$E$300,$B40,Пул!$L$5:$L$300,"Закрыт")=0,"",ROUND(SUMIFS(Пул!$I$5:$I$300,Пул!$E$5:$E$300,$B40,Пул!$L$5:$L$300,"Закрыт"),8)))</f>
        <v/>
      </c>
      <c r="G40" s="246">
        <f>IF($B40="","",IF(COUNTIFS(Пул!$E$5:$E$300,$B40,Пул!$L$5:$L$300,"Закрыт")=0,"",ROUND(SUMIFS(Пул!$J$5:$J$300,Пул!$E$5:$E$300,$B40,Пул!$L$5:$L$300,"Закрыт"),8)))</f>
        <v/>
      </c>
      <c r="H40" s="247">
        <f>IF($B40="","",IF(COUNTIFS(Пул!$E$5:$E$300,$B40,Пул!$L$5:$L$300,"Закрыт")=0,"",ROUND(SUMIFS(Пул!$K$5:$K$300,Пул!$E$5:$E$300,$B40,Пул!$L$5:$L$300,"Закрыт"),8)))</f>
        <v/>
      </c>
      <c r="I40" s="242">
        <f>IF(AND(ISNUMBER(G40),ISNUMBER(H40)),IF(AND(G40&gt;0,H40&lt;0),"Buy",IF(AND(G40&lt;0,H40&gt;0),"Sell","")),"")</f>
        <v/>
      </c>
      <c r="J40" s="183">
        <f>IF(I40="Buy",G40,IF(I40="Sell",-G40,""))</f>
        <v/>
      </c>
      <c r="K40" s="183">
        <f>IF(AND(ISNUMBER(J40),ISNUMBER(L40),N(J40)&lt;&gt;0),ROUND(L40/J40,8),"")</f>
        <v/>
      </c>
      <c r="L40" s="183">
        <f>IF(I40="Buy",-H40,IF(I40="Sell",H40,""))</f>
        <v/>
      </c>
    </row>
    <row r="41" ht="22" customHeight="1">
      <c r="B41" s="315" t="n"/>
      <c r="C41" s="240">
        <f>IF($B41="","",IF(COUNTIFS(Пул!$E$5:$E$300,$B41,Пул!$F$5:$F$300,"&lt;&gt;")=0,"",ROUND(SUMIFS(Пул!$F$5:$F$300,Пул!$E$5:$E$300,$B41),8)))</f>
        <v/>
      </c>
      <c r="D41" s="241">
        <f>IF($B41="","",IF(COUNTIFS(Пул!$E$5:$E$300,$B41,Пул!$G$5:$G$300,"&lt;&gt;")=0,"",ROUND(SUMIFS(Пул!$G$5:$G$300,Пул!$E$5:$E$300,$B41),8)))</f>
        <v/>
      </c>
      <c r="E41" s="240">
        <f>IF($B41="","",IF(COUNTIFS(Пул!$E$5:$E$300,$B41,Пул!$L$5:$L$300,"Закрыт")=0,"",ROUND(SUMIFS(Пул!$H$5:$H$300,Пул!$E$5:$E$300,$B41,Пул!$L$5:$L$300,"Закрыт"),8)))</f>
        <v/>
      </c>
      <c r="F41" s="241">
        <f>IF($B41="","",IF(COUNTIFS(Пул!$E$5:$E$300,$B41,Пул!$L$5:$L$300,"Закрыт")=0,"",ROUND(SUMIFS(Пул!$I$5:$I$300,Пул!$E$5:$E$300,$B41,Пул!$L$5:$L$300,"Закрыт"),8)))</f>
        <v/>
      </c>
      <c r="G41" s="240">
        <f>IF($B41="","",IF(COUNTIFS(Пул!$E$5:$E$300,$B41,Пул!$L$5:$L$300,"Закрыт")=0,"",ROUND(SUMIFS(Пул!$J$5:$J$300,Пул!$E$5:$E$300,$B41,Пул!$L$5:$L$300,"Закрыт"),8)))</f>
        <v/>
      </c>
      <c r="H41" s="241">
        <f>IF($B41="","",IF(COUNTIFS(Пул!$E$5:$E$300,$B41,Пул!$L$5:$L$300,"Закрыт")=0,"",ROUND(SUMIFS(Пул!$K$5:$K$300,Пул!$E$5:$E$300,$B41,Пул!$L$5:$L$300,"Закрыт"),8)))</f>
        <v/>
      </c>
      <c r="I41" s="236">
        <f>IF(AND(ISNUMBER(G41),ISNUMBER(H41)),IF(AND(G41&gt;0,H41&lt;0),"Buy",IF(AND(G41&lt;0,H41&gt;0),"Sell","")),"")</f>
        <v/>
      </c>
      <c r="J41" s="177">
        <f>IF(I41="Buy",G41,IF(I41="Sell",-G41,""))</f>
        <v/>
      </c>
      <c r="K41" s="177">
        <f>IF(AND(ISNUMBER(J41),ISNUMBER(L41),N(J41)&lt;&gt;0),ROUND(L41/J41,8),"")</f>
        <v/>
      </c>
      <c r="L41" s="177">
        <f>IF(I41="Buy",-H41,IF(I41="Sell",H41,""))</f>
        <v/>
      </c>
    </row>
    <row r="42" ht="22" customHeight="1">
      <c r="B42" s="320" t="n"/>
      <c r="C42" s="246">
        <f>IF($B42="","",IF(COUNTIFS(Пул!$E$5:$E$300,$B42,Пул!$F$5:$F$300,"&lt;&gt;")=0,"",ROUND(SUMIFS(Пул!$F$5:$F$300,Пул!$E$5:$E$300,$B42),8)))</f>
        <v/>
      </c>
      <c r="D42" s="247">
        <f>IF($B42="","",IF(COUNTIFS(Пул!$E$5:$E$300,$B42,Пул!$G$5:$G$300,"&lt;&gt;")=0,"",ROUND(SUMIFS(Пул!$G$5:$G$300,Пул!$E$5:$E$300,$B42),8)))</f>
        <v/>
      </c>
      <c r="E42" s="246">
        <f>IF($B42="","",IF(COUNTIFS(Пул!$E$5:$E$300,$B42,Пул!$L$5:$L$300,"Закрыт")=0,"",ROUND(SUMIFS(Пул!$H$5:$H$300,Пул!$E$5:$E$300,$B42,Пул!$L$5:$L$300,"Закрыт"),8)))</f>
        <v/>
      </c>
      <c r="F42" s="247">
        <f>IF($B42="","",IF(COUNTIFS(Пул!$E$5:$E$300,$B42,Пул!$L$5:$L$300,"Закрыт")=0,"",ROUND(SUMIFS(Пул!$I$5:$I$300,Пул!$E$5:$E$300,$B42,Пул!$L$5:$L$300,"Закрыт"),8)))</f>
        <v/>
      </c>
      <c r="G42" s="246">
        <f>IF($B42="","",IF(COUNTIFS(Пул!$E$5:$E$300,$B42,Пул!$L$5:$L$300,"Закрыт")=0,"",ROUND(SUMIFS(Пул!$J$5:$J$300,Пул!$E$5:$E$300,$B42,Пул!$L$5:$L$300,"Закрыт"),8)))</f>
        <v/>
      </c>
      <c r="H42" s="247">
        <f>IF($B42="","",IF(COUNTIFS(Пул!$E$5:$E$300,$B42,Пул!$L$5:$L$300,"Закрыт")=0,"",ROUND(SUMIFS(Пул!$K$5:$K$300,Пул!$E$5:$E$300,$B42,Пул!$L$5:$L$300,"Закрыт"),8)))</f>
        <v/>
      </c>
      <c r="I42" s="242">
        <f>IF(AND(ISNUMBER(G42),ISNUMBER(H42)),IF(AND(G42&gt;0,H42&lt;0),"Buy",IF(AND(G42&lt;0,H42&gt;0),"Sell","")),"")</f>
        <v/>
      </c>
      <c r="J42" s="183">
        <f>IF(I42="Buy",G42,IF(I42="Sell",-G42,""))</f>
        <v/>
      </c>
      <c r="K42" s="183">
        <f>IF(AND(ISNUMBER(J42),ISNUMBER(L42),N(J42)&lt;&gt;0),ROUND(L42/J42,8),"")</f>
        <v/>
      </c>
      <c r="L42" s="183">
        <f>IF(I42="Buy",-H42,IF(I42="Sell",H42,""))</f>
        <v/>
      </c>
    </row>
    <row r="43" ht="22" customHeight="1">
      <c r="B43" s="315" t="n"/>
      <c r="C43" s="240">
        <f>IF($B43="","",IF(COUNTIFS(Пул!$E$5:$E$300,$B43,Пул!$F$5:$F$300,"&lt;&gt;")=0,"",ROUND(SUMIFS(Пул!$F$5:$F$300,Пул!$E$5:$E$300,$B43),8)))</f>
        <v/>
      </c>
      <c r="D43" s="241">
        <f>IF($B43="","",IF(COUNTIFS(Пул!$E$5:$E$300,$B43,Пул!$G$5:$G$300,"&lt;&gt;")=0,"",ROUND(SUMIFS(Пул!$G$5:$G$300,Пул!$E$5:$E$300,$B43),8)))</f>
        <v/>
      </c>
      <c r="E43" s="240">
        <f>IF($B43="","",IF(COUNTIFS(Пул!$E$5:$E$300,$B43,Пул!$L$5:$L$300,"Закрыт")=0,"",ROUND(SUMIFS(Пул!$H$5:$H$300,Пул!$E$5:$E$300,$B43,Пул!$L$5:$L$300,"Закрыт"),8)))</f>
        <v/>
      </c>
      <c r="F43" s="241">
        <f>IF($B43="","",IF(COUNTIFS(Пул!$E$5:$E$300,$B43,Пул!$L$5:$L$300,"Закрыт")=0,"",ROUND(SUMIFS(Пул!$I$5:$I$300,Пул!$E$5:$E$300,$B43,Пул!$L$5:$L$300,"Закрыт"),8)))</f>
        <v/>
      </c>
      <c r="G43" s="240">
        <f>IF($B43="","",IF(COUNTIFS(Пул!$E$5:$E$300,$B43,Пул!$L$5:$L$300,"Закрыт")=0,"",ROUND(SUMIFS(Пул!$J$5:$J$300,Пул!$E$5:$E$300,$B43,Пул!$L$5:$L$300,"Закрыт"),8)))</f>
        <v/>
      </c>
      <c r="H43" s="241">
        <f>IF($B43="","",IF(COUNTIFS(Пул!$E$5:$E$300,$B43,Пул!$L$5:$L$300,"Закрыт")=0,"",ROUND(SUMIFS(Пул!$K$5:$K$300,Пул!$E$5:$E$300,$B43,Пул!$L$5:$L$300,"Закрыт"),8)))</f>
        <v/>
      </c>
      <c r="I43" s="236">
        <f>IF(AND(ISNUMBER(G43),ISNUMBER(H43)),IF(AND(G43&gt;0,H43&lt;0),"Buy",IF(AND(G43&lt;0,H43&gt;0),"Sell","")),"")</f>
        <v/>
      </c>
      <c r="J43" s="177">
        <f>IF(I43="Buy",G43,IF(I43="Sell",-G43,""))</f>
        <v/>
      </c>
      <c r="K43" s="177">
        <f>IF(AND(ISNUMBER(J43),ISNUMBER(L43),N(J43)&lt;&gt;0),ROUND(L43/J43,8),"")</f>
        <v/>
      </c>
      <c r="L43" s="177">
        <f>IF(I43="Buy",-H43,IF(I43="Sell",H43,""))</f>
        <v/>
      </c>
    </row>
    <row r="44" ht="22" customHeight="1">
      <c r="B44" s="320" t="n"/>
      <c r="C44" s="246">
        <f>IF($B44="","",IF(COUNTIFS(Пул!$E$5:$E$300,$B44,Пул!$F$5:$F$300,"&lt;&gt;")=0,"",ROUND(SUMIFS(Пул!$F$5:$F$300,Пул!$E$5:$E$300,$B44),8)))</f>
        <v/>
      </c>
      <c r="D44" s="247">
        <f>IF($B44="","",IF(COUNTIFS(Пул!$E$5:$E$300,$B44,Пул!$G$5:$G$300,"&lt;&gt;")=0,"",ROUND(SUMIFS(Пул!$G$5:$G$300,Пул!$E$5:$E$300,$B44),8)))</f>
        <v/>
      </c>
      <c r="E44" s="246">
        <f>IF($B44="","",IF(COUNTIFS(Пул!$E$5:$E$300,$B44,Пул!$L$5:$L$300,"Закрыт")=0,"",ROUND(SUMIFS(Пул!$H$5:$H$300,Пул!$E$5:$E$300,$B44,Пул!$L$5:$L$300,"Закрыт"),8)))</f>
        <v/>
      </c>
      <c r="F44" s="247">
        <f>IF($B44="","",IF(COUNTIFS(Пул!$E$5:$E$300,$B44,Пул!$L$5:$L$300,"Закрыт")=0,"",ROUND(SUMIFS(Пул!$I$5:$I$300,Пул!$E$5:$E$300,$B44,Пул!$L$5:$L$300,"Закрыт"),8)))</f>
        <v/>
      </c>
      <c r="G44" s="246">
        <f>IF($B44="","",IF(COUNTIFS(Пул!$E$5:$E$300,$B44,Пул!$L$5:$L$300,"Закрыт")=0,"",ROUND(SUMIFS(Пул!$J$5:$J$300,Пул!$E$5:$E$300,$B44,Пул!$L$5:$L$300,"Закрыт"),8)))</f>
        <v/>
      </c>
      <c r="H44" s="247">
        <f>IF($B44="","",IF(COUNTIFS(Пул!$E$5:$E$300,$B44,Пул!$L$5:$L$300,"Закрыт")=0,"",ROUND(SUMIFS(Пул!$K$5:$K$300,Пул!$E$5:$E$300,$B44,Пул!$L$5:$L$300,"Закрыт"),8)))</f>
        <v/>
      </c>
      <c r="I44" s="242">
        <f>IF(AND(ISNUMBER(G44),ISNUMBER(H44)),IF(AND(G44&gt;0,H44&lt;0),"Buy",IF(AND(G44&lt;0,H44&gt;0),"Sell","")),"")</f>
        <v/>
      </c>
      <c r="J44" s="183">
        <f>IF(I44="Buy",G44,IF(I44="Sell",-G44,""))</f>
        <v/>
      </c>
      <c r="K44" s="183">
        <f>IF(AND(ISNUMBER(J44),ISNUMBER(L44),N(J44)&lt;&gt;0),ROUND(L44/J44,8),"")</f>
        <v/>
      </c>
      <c r="L44" s="183">
        <f>IF(I44="Buy",-H44,IF(I44="Sell",H44,""))</f>
        <v/>
      </c>
    </row>
    <row r="45" ht="22" customHeight="1">
      <c r="B45" s="315" t="n"/>
      <c r="C45" s="240">
        <f>IF($B45="","",IF(COUNTIFS(Пул!$E$5:$E$300,$B45,Пул!$F$5:$F$300,"&lt;&gt;")=0,"",ROUND(SUMIFS(Пул!$F$5:$F$300,Пул!$E$5:$E$300,$B45),8)))</f>
        <v/>
      </c>
      <c r="D45" s="241">
        <f>IF($B45="","",IF(COUNTIFS(Пул!$E$5:$E$300,$B45,Пул!$G$5:$G$300,"&lt;&gt;")=0,"",ROUND(SUMIFS(Пул!$G$5:$G$300,Пул!$E$5:$E$300,$B45),8)))</f>
        <v/>
      </c>
      <c r="E45" s="240">
        <f>IF($B45="","",IF(COUNTIFS(Пул!$E$5:$E$300,$B45,Пул!$L$5:$L$300,"Закрыт")=0,"",ROUND(SUMIFS(Пул!$H$5:$H$300,Пул!$E$5:$E$300,$B45,Пул!$L$5:$L$300,"Закрыт"),8)))</f>
        <v/>
      </c>
      <c r="F45" s="241">
        <f>IF($B45="","",IF(COUNTIFS(Пул!$E$5:$E$300,$B45,Пул!$L$5:$L$300,"Закрыт")=0,"",ROUND(SUMIFS(Пул!$I$5:$I$300,Пул!$E$5:$E$300,$B45,Пул!$L$5:$L$300,"Закрыт"),8)))</f>
        <v/>
      </c>
      <c r="G45" s="240">
        <f>IF($B45="","",IF(COUNTIFS(Пул!$E$5:$E$300,$B45,Пул!$L$5:$L$300,"Закрыт")=0,"",ROUND(SUMIFS(Пул!$J$5:$J$300,Пул!$E$5:$E$300,$B45,Пул!$L$5:$L$300,"Закрыт"),8)))</f>
        <v/>
      </c>
      <c r="H45" s="241">
        <f>IF($B45="","",IF(COUNTIFS(Пул!$E$5:$E$300,$B45,Пул!$L$5:$L$300,"Закрыт")=0,"",ROUND(SUMIFS(Пул!$K$5:$K$300,Пул!$E$5:$E$300,$B45,Пул!$L$5:$L$300,"Закрыт"),8)))</f>
        <v/>
      </c>
      <c r="I45" s="236">
        <f>IF(AND(ISNUMBER(G45),ISNUMBER(H45)),IF(AND(G45&gt;0,H45&lt;0),"Buy",IF(AND(G45&lt;0,H45&gt;0),"Sell","")),"")</f>
        <v/>
      </c>
      <c r="J45" s="177">
        <f>IF(I45="Buy",G45,IF(I45="Sell",-G45,""))</f>
        <v/>
      </c>
      <c r="K45" s="177">
        <f>IF(AND(ISNUMBER(J45),ISNUMBER(L45),N(J45)&lt;&gt;0),ROUND(L45/J45,8),"")</f>
        <v/>
      </c>
      <c r="L45" s="177">
        <f>IF(I45="Buy",-H45,IF(I45="Sell",H45,""))</f>
        <v/>
      </c>
    </row>
    <row r="46" ht="22" customHeight="1">
      <c r="B46" s="320" t="n"/>
      <c r="C46" s="246">
        <f>IF($B46="","",IF(COUNTIFS(Пул!$E$5:$E$300,$B46,Пул!$F$5:$F$300,"&lt;&gt;")=0,"",ROUND(SUMIFS(Пул!$F$5:$F$300,Пул!$E$5:$E$300,$B46),8)))</f>
        <v/>
      </c>
      <c r="D46" s="247">
        <f>IF($B46="","",IF(COUNTIFS(Пул!$E$5:$E$300,$B46,Пул!$G$5:$G$300,"&lt;&gt;")=0,"",ROUND(SUMIFS(Пул!$G$5:$G$300,Пул!$E$5:$E$300,$B46),8)))</f>
        <v/>
      </c>
      <c r="E46" s="246">
        <f>IF($B46="","",IF(COUNTIFS(Пул!$E$5:$E$300,$B46,Пул!$L$5:$L$300,"Закрыт")=0,"",ROUND(SUMIFS(Пул!$H$5:$H$300,Пул!$E$5:$E$300,$B46,Пул!$L$5:$L$300,"Закрыт"),8)))</f>
        <v/>
      </c>
      <c r="F46" s="247">
        <f>IF($B46="","",IF(COUNTIFS(Пул!$E$5:$E$300,$B46,Пул!$L$5:$L$300,"Закрыт")=0,"",ROUND(SUMIFS(Пул!$I$5:$I$300,Пул!$E$5:$E$300,$B46,Пул!$L$5:$L$300,"Закрыт"),8)))</f>
        <v/>
      </c>
      <c r="G46" s="246">
        <f>IF($B46="","",IF(COUNTIFS(Пул!$E$5:$E$300,$B46,Пул!$L$5:$L$300,"Закрыт")=0,"",ROUND(SUMIFS(Пул!$J$5:$J$300,Пул!$E$5:$E$300,$B46,Пул!$L$5:$L$300,"Закрыт"),8)))</f>
        <v/>
      </c>
      <c r="H46" s="247">
        <f>IF($B46="","",IF(COUNTIFS(Пул!$E$5:$E$300,$B46,Пул!$L$5:$L$300,"Закрыт")=0,"",ROUND(SUMIFS(Пул!$K$5:$K$300,Пул!$E$5:$E$300,$B46,Пул!$L$5:$L$300,"Закрыт"),8)))</f>
        <v/>
      </c>
      <c r="I46" s="242">
        <f>IF(AND(ISNUMBER(G46),ISNUMBER(H46)),IF(AND(G46&gt;0,H46&lt;0),"Buy",IF(AND(G46&lt;0,H46&gt;0),"Sell","")),"")</f>
        <v/>
      </c>
      <c r="J46" s="183">
        <f>IF(I46="Buy",G46,IF(I46="Sell",-G46,""))</f>
        <v/>
      </c>
      <c r="K46" s="183">
        <f>IF(AND(ISNUMBER(J46),ISNUMBER(L46),N(J46)&lt;&gt;0),ROUND(L46/J46,8),"")</f>
        <v/>
      </c>
      <c r="L46" s="183">
        <f>IF(I46="Buy",-H46,IF(I46="Sell",H46,""))</f>
        <v/>
      </c>
    </row>
    <row r="47" ht="22" customHeight="1">
      <c r="B47" s="315" t="n"/>
      <c r="C47" s="240">
        <f>IF($B47="","",IF(COUNTIFS(Пул!$E$5:$E$300,$B47,Пул!$F$5:$F$300,"&lt;&gt;")=0,"",ROUND(SUMIFS(Пул!$F$5:$F$300,Пул!$E$5:$E$300,$B47),8)))</f>
        <v/>
      </c>
      <c r="D47" s="241">
        <f>IF($B47="","",IF(COUNTIFS(Пул!$E$5:$E$300,$B47,Пул!$G$5:$G$300,"&lt;&gt;")=0,"",ROUND(SUMIFS(Пул!$G$5:$G$300,Пул!$E$5:$E$300,$B47),8)))</f>
        <v/>
      </c>
      <c r="E47" s="240">
        <f>IF($B47="","",IF(COUNTIFS(Пул!$E$5:$E$300,$B47,Пул!$L$5:$L$300,"Закрыт")=0,"",ROUND(SUMIFS(Пул!$H$5:$H$300,Пул!$E$5:$E$300,$B47,Пул!$L$5:$L$300,"Закрыт"),8)))</f>
        <v/>
      </c>
      <c r="F47" s="241">
        <f>IF($B47="","",IF(COUNTIFS(Пул!$E$5:$E$300,$B47,Пул!$L$5:$L$300,"Закрыт")=0,"",ROUND(SUMIFS(Пул!$I$5:$I$300,Пул!$E$5:$E$300,$B47,Пул!$L$5:$L$300,"Закрыт"),8)))</f>
        <v/>
      </c>
      <c r="G47" s="240">
        <f>IF($B47="","",IF(COUNTIFS(Пул!$E$5:$E$300,$B47,Пул!$L$5:$L$300,"Закрыт")=0,"",ROUND(SUMIFS(Пул!$J$5:$J$300,Пул!$E$5:$E$300,$B47,Пул!$L$5:$L$300,"Закрыт"),8)))</f>
        <v/>
      </c>
      <c r="H47" s="241">
        <f>IF($B47="","",IF(COUNTIFS(Пул!$E$5:$E$300,$B47,Пул!$L$5:$L$300,"Закрыт")=0,"",ROUND(SUMIFS(Пул!$K$5:$K$300,Пул!$E$5:$E$300,$B47,Пул!$L$5:$L$300,"Закрыт"),8)))</f>
        <v/>
      </c>
      <c r="I47" s="236">
        <f>IF(AND(ISNUMBER(G47),ISNUMBER(H47)),IF(AND(G47&gt;0,H47&lt;0),"Buy",IF(AND(G47&lt;0,H47&gt;0),"Sell","")),"")</f>
        <v/>
      </c>
      <c r="J47" s="177">
        <f>IF(I47="Buy",G47,IF(I47="Sell",-G47,""))</f>
        <v/>
      </c>
      <c r="K47" s="177">
        <f>IF(AND(ISNUMBER(J47),ISNUMBER(L47),N(J47)&lt;&gt;0),ROUND(L47/J47,8),"")</f>
        <v/>
      </c>
      <c r="L47" s="177">
        <f>IF(I47="Buy",-H47,IF(I47="Sell",H47,""))</f>
        <v/>
      </c>
    </row>
    <row r="48" ht="22" customHeight="1">
      <c r="B48" s="320" t="n"/>
      <c r="C48" s="246">
        <f>IF($B48="","",IF(COUNTIFS(Пул!$E$5:$E$300,$B48,Пул!$F$5:$F$300,"&lt;&gt;")=0,"",ROUND(SUMIFS(Пул!$F$5:$F$300,Пул!$E$5:$E$300,$B48),8)))</f>
        <v/>
      </c>
      <c r="D48" s="247">
        <f>IF($B48="","",IF(COUNTIFS(Пул!$E$5:$E$300,$B48,Пул!$G$5:$G$300,"&lt;&gt;")=0,"",ROUND(SUMIFS(Пул!$G$5:$G$300,Пул!$E$5:$E$300,$B48),8)))</f>
        <v/>
      </c>
      <c r="E48" s="246">
        <f>IF($B48="","",IF(COUNTIFS(Пул!$E$5:$E$300,$B48,Пул!$L$5:$L$300,"Закрыт")=0,"",ROUND(SUMIFS(Пул!$H$5:$H$300,Пул!$E$5:$E$300,$B48,Пул!$L$5:$L$300,"Закрыт"),8)))</f>
        <v/>
      </c>
      <c r="F48" s="247">
        <f>IF($B48="","",IF(COUNTIFS(Пул!$E$5:$E$300,$B48,Пул!$L$5:$L$300,"Закрыт")=0,"",ROUND(SUMIFS(Пул!$I$5:$I$300,Пул!$E$5:$E$300,$B48,Пул!$L$5:$L$300,"Закрыт"),8)))</f>
        <v/>
      </c>
      <c r="G48" s="246">
        <f>IF($B48="","",IF(COUNTIFS(Пул!$E$5:$E$300,$B48,Пул!$L$5:$L$300,"Закрыт")=0,"",ROUND(SUMIFS(Пул!$J$5:$J$300,Пул!$E$5:$E$300,$B48,Пул!$L$5:$L$300,"Закрыт"),8)))</f>
        <v/>
      </c>
      <c r="H48" s="247">
        <f>IF($B48="","",IF(COUNTIFS(Пул!$E$5:$E$300,$B48,Пул!$L$5:$L$300,"Закрыт")=0,"",ROUND(SUMIFS(Пул!$K$5:$K$300,Пул!$E$5:$E$300,$B48,Пул!$L$5:$L$300,"Закрыт"),8)))</f>
        <v/>
      </c>
      <c r="I48" s="242">
        <f>IF(AND(ISNUMBER(G48),ISNUMBER(H48)),IF(AND(G48&gt;0,H48&lt;0),"Buy",IF(AND(G48&lt;0,H48&gt;0),"Sell","")),"")</f>
        <v/>
      </c>
      <c r="J48" s="183">
        <f>IF(I48="Buy",G48,IF(I48="Sell",-G48,""))</f>
        <v/>
      </c>
      <c r="K48" s="183">
        <f>IF(AND(ISNUMBER(J48),ISNUMBER(L48),N(J48)&lt;&gt;0),ROUND(L48/J48,8),"")</f>
        <v/>
      </c>
      <c r="L48" s="183">
        <f>IF(I48="Buy",-H48,IF(I48="Sell",H48,""))</f>
        <v/>
      </c>
    </row>
    <row r="49" ht="22" customHeight="1">
      <c r="B49" s="315" t="n"/>
      <c r="C49" s="240">
        <f>IF($B49="","",IF(COUNTIFS(Пул!$E$5:$E$300,$B49,Пул!$F$5:$F$300,"&lt;&gt;")=0,"",ROUND(SUMIFS(Пул!$F$5:$F$300,Пул!$E$5:$E$300,$B49),8)))</f>
        <v/>
      </c>
      <c r="D49" s="241">
        <f>IF($B49="","",IF(COUNTIFS(Пул!$E$5:$E$300,$B49,Пул!$G$5:$G$300,"&lt;&gt;")=0,"",ROUND(SUMIFS(Пул!$G$5:$G$300,Пул!$E$5:$E$300,$B49),8)))</f>
        <v/>
      </c>
      <c r="E49" s="240">
        <f>IF($B49="","",IF(COUNTIFS(Пул!$E$5:$E$300,$B49,Пул!$L$5:$L$300,"Закрыт")=0,"",ROUND(SUMIFS(Пул!$H$5:$H$300,Пул!$E$5:$E$300,$B49,Пул!$L$5:$L$300,"Закрыт"),8)))</f>
        <v/>
      </c>
      <c r="F49" s="241">
        <f>IF($B49="","",IF(COUNTIFS(Пул!$E$5:$E$300,$B49,Пул!$L$5:$L$300,"Закрыт")=0,"",ROUND(SUMIFS(Пул!$I$5:$I$300,Пул!$E$5:$E$300,$B49,Пул!$L$5:$L$300,"Закрыт"),8)))</f>
        <v/>
      </c>
      <c r="G49" s="240">
        <f>IF($B49="","",IF(COUNTIFS(Пул!$E$5:$E$300,$B49,Пул!$L$5:$L$300,"Закрыт")=0,"",ROUND(SUMIFS(Пул!$J$5:$J$300,Пул!$E$5:$E$300,$B49,Пул!$L$5:$L$300,"Закрыт"),8)))</f>
        <v/>
      </c>
      <c r="H49" s="241">
        <f>IF($B49="","",IF(COUNTIFS(Пул!$E$5:$E$300,$B49,Пул!$L$5:$L$300,"Закрыт")=0,"",ROUND(SUMIFS(Пул!$K$5:$K$300,Пул!$E$5:$E$300,$B49,Пул!$L$5:$L$300,"Закрыт"),8)))</f>
        <v/>
      </c>
      <c r="I49" s="236">
        <f>IF(AND(ISNUMBER(G49),ISNUMBER(H49)),IF(AND(G49&gt;0,H49&lt;0),"Buy",IF(AND(G49&lt;0,H49&gt;0),"Sell","")),"")</f>
        <v/>
      </c>
      <c r="J49" s="177">
        <f>IF(I49="Buy",G49,IF(I49="Sell",-G49,""))</f>
        <v/>
      </c>
      <c r="K49" s="177">
        <f>IF(AND(ISNUMBER(J49),ISNUMBER(L49),N(J49)&lt;&gt;0),ROUND(L49/J49,8),"")</f>
        <v/>
      </c>
      <c r="L49" s="177">
        <f>IF(I49="Buy",-H49,IF(I49="Sell",H49,""))</f>
        <v/>
      </c>
    </row>
    <row r="50" ht="22" customHeight="1">
      <c r="B50" s="320" t="n"/>
      <c r="C50" s="246">
        <f>IF($B50="","",IF(COUNTIFS(Пул!$E$5:$E$300,$B50,Пул!$F$5:$F$300,"&lt;&gt;")=0,"",ROUND(SUMIFS(Пул!$F$5:$F$300,Пул!$E$5:$E$300,$B50),8)))</f>
        <v/>
      </c>
      <c r="D50" s="247">
        <f>IF($B50="","",IF(COUNTIFS(Пул!$E$5:$E$300,$B50,Пул!$G$5:$G$300,"&lt;&gt;")=0,"",ROUND(SUMIFS(Пул!$G$5:$G$300,Пул!$E$5:$E$300,$B50),8)))</f>
        <v/>
      </c>
      <c r="E50" s="246">
        <f>IF($B50="","",IF(COUNTIFS(Пул!$E$5:$E$300,$B50,Пул!$L$5:$L$300,"Закрыт")=0,"",ROUND(SUMIFS(Пул!$H$5:$H$300,Пул!$E$5:$E$300,$B50,Пул!$L$5:$L$300,"Закрыт"),8)))</f>
        <v/>
      </c>
      <c r="F50" s="247">
        <f>IF($B50="","",IF(COUNTIFS(Пул!$E$5:$E$300,$B50,Пул!$L$5:$L$300,"Закрыт")=0,"",ROUND(SUMIFS(Пул!$I$5:$I$300,Пул!$E$5:$E$300,$B50,Пул!$L$5:$L$300,"Закрыт"),8)))</f>
        <v/>
      </c>
      <c r="G50" s="246">
        <f>IF($B50="","",IF(COUNTIFS(Пул!$E$5:$E$300,$B50,Пул!$L$5:$L$300,"Закрыт")=0,"",ROUND(SUMIFS(Пул!$J$5:$J$300,Пул!$E$5:$E$300,$B50,Пул!$L$5:$L$300,"Закрыт"),8)))</f>
        <v/>
      </c>
      <c r="H50" s="247">
        <f>IF($B50="","",IF(COUNTIFS(Пул!$E$5:$E$300,$B50,Пул!$L$5:$L$300,"Закрыт")=0,"",ROUND(SUMIFS(Пул!$K$5:$K$300,Пул!$E$5:$E$300,$B50,Пул!$L$5:$L$300,"Закрыт"),8)))</f>
        <v/>
      </c>
      <c r="I50" s="242">
        <f>IF(AND(ISNUMBER(G50),ISNUMBER(H50)),IF(AND(G50&gt;0,H50&lt;0),"Buy",IF(AND(G50&lt;0,H50&gt;0),"Sell","")),"")</f>
        <v/>
      </c>
      <c r="J50" s="183">
        <f>IF(I50="Buy",G50,IF(I50="Sell",-G50,""))</f>
        <v/>
      </c>
      <c r="K50" s="183">
        <f>IF(AND(ISNUMBER(J50),ISNUMBER(L50),N(J50)&lt;&gt;0),ROUND(L50/J50,8),"")</f>
        <v/>
      </c>
      <c r="L50" s="183">
        <f>IF(I50="Buy",-H50,IF(I50="Sell",H50,""))</f>
        <v/>
      </c>
    </row>
    <row r="51" ht="22" customHeight="1">
      <c r="B51" s="315" t="n"/>
      <c r="C51" s="240">
        <f>IF($B51="","",IF(COUNTIFS(Пул!$E$5:$E$300,$B51,Пул!$F$5:$F$300,"&lt;&gt;")=0,"",ROUND(SUMIFS(Пул!$F$5:$F$300,Пул!$E$5:$E$300,$B51),8)))</f>
        <v/>
      </c>
      <c r="D51" s="241">
        <f>IF($B51="","",IF(COUNTIFS(Пул!$E$5:$E$300,$B51,Пул!$G$5:$G$300,"&lt;&gt;")=0,"",ROUND(SUMIFS(Пул!$G$5:$G$300,Пул!$E$5:$E$300,$B51),8)))</f>
        <v/>
      </c>
      <c r="E51" s="240">
        <f>IF($B51="","",IF(COUNTIFS(Пул!$E$5:$E$300,$B51,Пул!$L$5:$L$300,"Закрыт")=0,"",ROUND(SUMIFS(Пул!$H$5:$H$300,Пул!$E$5:$E$300,$B51,Пул!$L$5:$L$300,"Закрыт"),8)))</f>
        <v/>
      </c>
      <c r="F51" s="241">
        <f>IF($B51="","",IF(COUNTIFS(Пул!$E$5:$E$300,$B51,Пул!$L$5:$L$300,"Закрыт")=0,"",ROUND(SUMIFS(Пул!$I$5:$I$300,Пул!$E$5:$E$300,$B51,Пул!$L$5:$L$300,"Закрыт"),8)))</f>
        <v/>
      </c>
      <c r="G51" s="240">
        <f>IF($B51="","",IF(COUNTIFS(Пул!$E$5:$E$300,$B51,Пул!$L$5:$L$300,"Закрыт")=0,"",ROUND(SUMIFS(Пул!$J$5:$J$300,Пул!$E$5:$E$300,$B51,Пул!$L$5:$L$300,"Закрыт"),8)))</f>
        <v/>
      </c>
      <c r="H51" s="241">
        <f>IF($B51="","",IF(COUNTIFS(Пул!$E$5:$E$300,$B51,Пул!$L$5:$L$300,"Закрыт")=0,"",ROUND(SUMIFS(Пул!$K$5:$K$300,Пул!$E$5:$E$300,$B51,Пул!$L$5:$L$300,"Закрыт"),8)))</f>
        <v/>
      </c>
      <c r="I51" s="236">
        <f>IF(AND(ISNUMBER(G51),ISNUMBER(H51)),IF(AND(G51&gt;0,H51&lt;0),"Buy",IF(AND(G51&lt;0,H51&gt;0),"Sell","")),"")</f>
        <v/>
      </c>
      <c r="J51" s="177">
        <f>IF(I51="Buy",G51,IF(I51="Sell",-G51,""))</f>
        <v/>
      </c>
      <c r="K51" s="177">
        <f>IF(AND(ISNUMBER(J51),ISNUMBER(L51),N(J51)&lt;&gt;0),ROUND(L51/J51,8),"")</f>
        <v/>
      </c>
      <c r="L51" s="177">
        <f>IF(I51="Buy",-H51,IF(I51="Sell",H51,""))</f>
        <v/>
      </c>
    </row>
    <row r="52" ht="22" customHeight="1">
      <c r="B52" s="320" t="n"/>
      <c r="C52" s="246">
        <f>IF($B52="","",IF(COUNTIFS(Пул!$E$5:$E$300,$B52,Пул!$F$5:$F$300,"&lt;&gt;")=0,"",ROUND(SUMIFS(Пул!$F$5:$F$300,Пул!$E$5:$E$300,$B52),8)))</f>
        <v/>
      </c>
      <c r="D52" s="247">
        <f>IF($B52="","",IF(COUNTIFS(Пул!$E$5:$E$300,$B52,Пул!$G$5:$G$300,"&lt;&gt;")=0,"",ROUND(SUMIFS(Пул!$G$5:$G$300,Пул!$E$5:$E$300,$B52),8)))</f>
        <v/>
      </c>
      <c r="E52" s="246">
        <f>IF($B52="","",IF(COUNTIFS(Пул!$E$5:$E$300,$B52,Пул!$L$5:$L$300,"Закрыт")=0,"",ROUND(SUMIFS(Пул!$H$5:$H$300,Пул!$E$5:$E$300,$B52,Пул!$L$5:$L$300,"Закрыт"),8)))</f>
        <v/>
      </c>
      <c r="F52" s="247">
        <f>IF($B52="","",IF(COUNTIFS(Пул!$E$5:$E$300,$B52,Пул!$L$5:$L$300,"Закрыт")=0,"",ROUND(SUMIFS(Пул!$I$5:$I$300,Пул!$E$5:$E$300,$B52,Пул!$L$5:$L$300,"Закрыт"),8)))</f>
        <v/>
      </c>
      <c r="G52" s="246">
        <f>IF($B52="","",IF(COUNTIFS(Пул!$E$5:$E$300,$B52,Пул!$L$5:$L$300,"Закрыт")=0,"",ROUND(SUMIFS(Пул!$J$5:$J$300,Пул!$E$5:$E$300,$B52,Пул!$L$5:$L$300,"Закрыт"),8)))</f>
        <v/>
      </c>
      <c r="H52" s="247">
        <f>IF($B52="","",IF(COUNTIFS(Пул!$E$5:$E$300,$B52,Пул!$L$5:$L$300,"Закрыт")=0,"",ROUND(SUMIFS(Пул!$K$5:$K$300,Пул!$E$5:$E$300,$B52,Пул!$L$5:$L$300,"Закрыт"),8)))</f>
        <v/>
      </c>
      <c r="I52" s="242">
        <f>IF(AND(ISNUMBER(G52),ISNUMBER(H52)),IF(AND(G52&gt;0,H52&lt;0),"Buy",IF(AND(G52&lt;0,H52&gt;0),"Sell","")),"")</f>
        <v/>
      </c>
      <c r="J52" s="183">
        <f>IF(I52="Buy",G52,IF(I52="Sell",-G52,""))</f>
        <v/>
      </c>
      <c r="K52" s="183">
        <f>IF(AND(ISNUMBER(J52),ISNUMBER(L52),N(J52)&lt;&gt;0),ROUND(L52/J52,8),"")</f>
        <v/>
      </c>
      <c r="L52" s="183">
        <f>IF(I52="Buy",-H52,IF(I52="Sell",H52,""))</f>
        <v/>
      </c>
    </row>
    <row r="53" ht="22" customHeight="1">
      <c r="B53" s="315" t="n"/>
      <c r="C53" s="240">
        <f>IF($B53="","",IF(COUNTIFS(Пул!$E$5:$E$300,$B53,Пул!$F$5:$F$300,"&lt;&gt;")=0,"",ROUND(SUMIFS(Пул!$F$5:$F$300,Пул!$E$5:$E$300,$B53),8)))</f>
        <v/>
      </c>
      <c r="D53" s="241">
        <f>IF($B53="","",IF(COUNTIFS(Пул!$E$5:$E$300,$B53,Пул!$G$5:$G$300,"&lt;&gt;")=0,"",ROUND(SUMIFS(Пул!$G$5:$G$300,Пул!$E$5:$E$300,$B53),8)))</f>
        <v/>
      </c>
      <c r="E53" s="240">
        <f>IF($B53="","",IF(COUNTIFS(Пул!$E$5:$E$300,$B53,Пул!$L$5:$L$300,"Закрыт")=0,"",ROUND(SUMIFS(Пул!$H$5:$H$300,Пул!$E$5:$E$300,$B53,Пул!$L$5:$L$300,"Закрыт"),8)))</f>
        <v/>
      </c>
      <c r="F53" s="241">
        <f>IF($B53="","",IF(COUNTIFS(Пул!$E$5:$E$300,$B53,Пул!$L$5:$L$300,"Закрыт")=0,"",ROUND(SUMIFS(Пул!$I$5:$I$300,Пул!$E$5:$E$300,$B53,Пул!$L$5:$L$300,"Закрыт"),8)))</f>
        <v/>
      </c>
      <c r="G53" s="240">
        <f>IF($B53="","",IF(COUNTIFS(Пул!$E$5:$E$300,$B53,Пул!$L$5:$L$300,"Закрыт")=0,"",ROUND(SUMIFS(Пул!$J$5:$J$300,Пул!$E$5:$E$300,$B53,Пул!$L$5:$L$300,"Закрыт"),8)))</f>
        <v/>
      </c>
      <c r="H53" s="241">
        <f>IF($B53="","",IF(COUNTIFS(Пул!$E$5:$E$300,$B53,Пул!$L$5:$L$300,"Закрыт")=0,"",ROUND(SUMIFS(Пул!$K$5:$K$300,Пул!$E$5:$E$300,$B53,Пул!$L$5:$L$300,"Закрыт"),8)))</f>
        <v/>
      </c>
      <c r="I53" s="236">
        <f>IF(AND(ISNUMBER(G53),ISNUMBER(H53)),IF(AND(G53&gt;0,H53&lt;0),"Buy",IF(AND(G53&lt;0,H53&gt;0),"Sell","")),"")</f>
        <v/>
      </c>
      <c r="J53" s="177">
        <f>IF(I53="Buy",G53,IF(I53="Sell",-G53,""))</f>
        <v/>
      </c>
      <c r="K53" s="177">
        <f>IF(AND(ISNUMBER(J53),ISNUMBER(L53),N(J53)&lt;&gt;0),ROUND(L53/J53,8),"")</f>
        <v/>
      </c>
      <c r="L53" s="177">
        <f>IF(I53="Buy",-H53,IF(I53="Sell",H53,""))</f>
        <v/>
      </c>
    </row>
    <row r="54" ht="22" customHeight="1">
      <c r="B54" s="320" t="n"/>
      <c r="C54" s="246">
        <f>IF($B54="","",IF(COUNTIFS(Пул!$E$5:$E$300,$B54,Пул!$F$5:$F$300,"&lt;&gt;")=0,"",ROUND(SUMIFS(Пул!$F$5:$F$300,Пул!$E$5:$E$300,$B54),8)))</f>
        <v/>
      </c>
      <c r="D54" s="247">
        <f>IF($B54="","",IF(COUNTIFS(Пул!$E$5:$E$300,$B54,Пул!$G$5:$G$300,"&lt;&gt;")=0,"",ROUND(SUMIFS(Пул!$G$5:$G$300,Пул!$E$5:$E$300,$B54),8)))</f>
        <v/>
      </c>
      <c r="E54" s="246">
        <f>IF($B54="","",IF(COUNTIFS(Пул!$E$5:$E$300,$B54,Пул!$L$5:$L$300,"Закрыт")=0,"",ROUND(SUMIFS(Пул!$H$5:$H$300,Пул!$E$5:$E$300,$B54,Пул!$L$5:$L$300,"Закрыт"),8)))</f>
        <v/>
      </c>
      <c r="F54" s="247">
        <f>IF($B54="","",IF(COUNTIFS(Пул!$E$5:$E$300,$B54,Пул!$L$5:$L$300,"Закрыт")=0,"",ROUND(SUMIFS(Пул!$I$5:$I$300,Пул!$E$5:$E$300,$B54,Пул!$L$5:$L$300,"Закрыт"),8)))</f>
        <v/>
      </c>
      <c r="G54" s="246">
        <f>IF($B54="","",IF(COUNTIFS(Пул!$E$5:$E$300,$B54,Пул!$L$5:$L$300,"Закрыт")=0,"",ROUND(SUMIFS(Пул!$J$5:$J$300,Пул!$E$5:$E$300,$B54,Пул!$L$5:$L$300,"Закрыт"),8)))</f>
        <v/>
      </c>
      <c r="H54" s="247">
        <f>IF($B54="","",IF(COUNTIFS(Пул!$E$5:$E$300,$B54,Пул!$L$5:$L$300,"Закрыт")=0,"",ROUND(SUMIFS(Пул!$K$5:$K$300,Пул!$E$5:$E$300,$B54,Пул!$L$5:$L$300,"Закрыт"),8)))</f>
        <v/>
      </c>
      <c r="I54" s="242">
        <f>IF(AND(ISNUMBER(G54),ISNUMBER(H54)),IF(AND(G54&gt;0,H54&lt;0),"Buy",IF(AND(G54&lt;0,H54&gt;0),"Sell","")),"")</f>
        <v/>
      </c>
      <c r="J54" s="183">
        <f>IF(I54="Buy",G54,IF(I54="Sell",-G54,""))</f>
        <v/>
      </c>
      <c r="K54" s="183">
        <f>IF(AND(ISNUMBER(J54),ISNUMBER(L54),N(J54)&lt;&gt;0),ROUND(L54/J54,8),"")</f>
        <v/>
      </c>
      <c r="L54" s="183">
        <f>IF(I54="Buy",-H54,IF(I54="Sell",H54,""))</f>
        <v/>
      </c>
    </row>
    <row r="55" ht="22" customHeight="1">
      <c r="B55" s="315" t="n"/>
      <c r="C55" s="240">
        <f>IF($B55="","",IF(COUNTIFS(Пул!$E$5:$E$300,$B55,Пул!$F$5:$F$300,"&lt;&gt;")=0,"",ROUND(SUMIFS(Пул!$F$5:$F$300,Пул!$E$5:$E$300,$B55),8)))</f>
        <v/>
      </c>
      <c r="D55" s="241">
        <f>IF($B55="","",IF(COUNTIFS(Пул!$E$5:$E$300,$B55,Пул!$G$5:$G$300,"&lt;&gt;")=0,"",ROUND(SUMIFS(Пул!$G$5:$G$300,Пул!$E$5:$E$300,$B55),8)))</f>
        <v/>
      </c>
      <c r="E55" s="240">
        <f>IF($B55="","",IF(COUNTIFS(Пул!$E$5:$E$300,$B55,Пул!$L$5:$L$300,"Закрыт")=0,"",ROUND(SUMIFS(Пул!$H$5:$H$300,Пул!$E$5:$E$300,$B55,Пул!$L$5:$L$300,"Закрыт"),8)))</f>
        <v/>
      </c>
      <c r="F55" s="241">
        <f>IF($B55="","",IF(COUNTIFS(Пул!$E$5:$E$300,$B55,Пул!$L$5:$L$300,"Закрыт")=0,"",ROUND(SUMIFS(Пул!$I$5:$I$300,Пул!$E$5:$E$300,$B55,Пул!$L$5:$L$300,"Закрыт"),8)))</f>
        <v/>
      </c>
      <c r="G55" s="240">
        <f>IF($B55="","",IF(COUNTIFS(Пул!$E$5:$E$300,$B55,Пул!$L$5:$L$300,"Закрыт")=0,"",ROUND(SUMIFS(Пул!$J$5:$J$300,Пул!$E$5:$E$300,$B55,Пул!$L$5:$L$300,"Закрыт"),8)))</f>
        <v/>
      </c>
      <c r="H55" s="241">
        <f>IF($B55="","",IF(COUNTIFS(Пул!$E$5:$E$300,$B55,Пул!$L$5:$L$300,"Закрыт")=0,"",ROUND(SUMIFS(Пул!$K$5:$K$300,Пул!$E$5:$E$300,$B55,Пул!$L$5:$L$300,"Закрыт"),8)))</f>
        <v/>
      </c>
      <c r="I55" s="236">
        <f>IF(AND(ISNUMBER(G55),ISNUMBER(H55)),IF(AND(G55&gt;0,H55&lt;0),"Buy",IF(AND(G55&lt;0,H55&gt;0),"Sell","")),"")</f>
        <v/>
      </c>
      <c r="J55" s="177">
        <f>IF(I55="Buy",G55,IF(I55="Sell",-G55,""))</f>
        <v/>
      </c>
      <c r="K55" s="177">
        <f>IF(AND(ISNUMBER(J55),ISNUMBER(L55),N(J55)&lt;&gt;0),ROUND(L55/J55,8),"")</f>
        <v/>
      </c>
      <c r="L55" s="177">
        <f>IF(I55="Buy",-H55,IF(I55="Sell",H55,""))</f>
        <v/>
      </c>
    </row>
    <row r="56" ht="22" customHeight="1">
      <c r="B56" s="320" t="n"/>
      <c r="C56" s="246">
        <f>IF($B56="","",IF(COUNTIFS(Пул!$E$5:$E$300,$B56,Пул!$F$5:$F$300,"&lt;&gt;")=0,"",ROUND(SUMIFS(Пул!$F$5:$F$300,Пул!$E$5:$E$300,$B56),8)))</f>
        <v/>
      </c>
      <c r="D56" s="247">
        <f>IF($B56="","",IF(COUNTIFS(Пул!$E$5:$E$300,$B56,Пул!$G$5:$G$300,"&lt;&gt;")=0,"",ROUND(SUMIFS(Пул!$G$5:$G$300,Пул!$E$5:$E$300,$B56),8)))</f>
        <v/>
      </c>
      <c r="E56" s="246">
        <f>IF($B56="","",IF(COUNTIFS(Пул!$E$5:$E$300,$B56,Пул!$L$5:$L$300,"Закрыт")=0,"",ROUND(SUMIFS(Пул!$H$5:$H$300,Пул!$E$5:$E$300,$B56,Пул!$L$5:$L$300,"Закрыт"),8)))</f>
        <v/>
      </c>
      <c r="F56" s="247">
        <f>IF($B56="","",IF(COUNTIFS(Пул!$E$5:$E$300,$B56,Пул!$L$5:$L$300,"Закрыт")=0,"",ROUND(SUMIFS(Пул!$I$5:$I$300,Пул!$E$5:$E$300,$B56,Пул!$L$5:$L$300,"Закрыт"),8)))</f>
        <v/>
      </c>
      <c r="G56" s="246">
        <f>IF($B56="","",IF(COUNTIFS(Пул!$E$5:$E$300,$B56,Пул!$L$5:$L$300,"Закрыт")=0,"",ROUND(SUMIFS(Пул!$J$5:$J$300,Пул!$E$5:$E$300,$B56,Пул!$L$5:$L$300,"Закрыт"),8)))</f>
        <v/>
      </c>
      <c r="H56" s="247">
        <f>IF($B56="","",IF(COUNTIFS(Пул!$E$5:$E$300,$B56,Пул!$L$5:$L$300,"Закрыт")=0,"",ROUND(SUMIFS(Пул!$K$5:$K$300,Пул!$E$5:$E$300,$B56,Пул!$L$5:$L$300,"Закрыт"),8)))</f>
        <v/>
      </c>
      <c r="I56" s="242">
        <f>IF(AND(ISNUMBER(G56),ISNUMBER(H56)),IF(AND(G56&gt;0,H56&lt;0),"Buy",IF(AND(G56&lt;0,H56&gt;0),"Sell","")),"")</f>
        <v/>
      </c>
      <c r="J56" s="183">
        <f>IF(I56="Buy",G56,IF(I56="Sell",-G56,""))</f>
        <v/>
      </c>
      <c r="K56" s="183">
        <f>IF(AND(ISNUMBER(J56),ISNUMBER(L56),N(J56)&lt;&gt;0),ROUND(L56/J56,8),"")</f>
        <v/>
      </c>
      <c r="L56" s="183">
        <f>IF(I56="Buy",-H56,IF(I56="Sell",H56,""))</f>
        <v/>
      </c>
    </row>
    <row r="57" ht="22" customHeight="1">
      <c r="B57" s="315" t="n"/>
      <c r="C57" s="240">
        <f>IF($B57="","",IF(COUNTIFS(Пул!$E$5:$E$300,$B57,Пул!$F$5:$F$300,"&lt;&gt;")=0,"",ROUND(SUMIFS(Пул!$F$5:$F$300,Пул!$E$5:$E$300,$B57),8)))</f>
        <v/>
      </c>
      <c r="D57" s="241">
        <f>IF($B57="","",IF(COUNTIFS(Пул!$E$5:$E$300,$B57,Пул!$G$5:$G$300,"&lt;&gt;")=0,"",ROUND(SUMIFS(Пул!$G$5:$G$300,Пул!$E$5:$E$300,$B57),8)))</f>
        <v/>
      </c>
      <c r="E57" s="240">
        <f>IF($B57="","",IF(COUNTIFS(Пул!$E$5:$E$300,$B57,Пул!$L$5:$L$300,"Закрыт")=0,"",ROUND(SUMIFS(Пул!$H$5:$H$300,Пул!$E$5:$E$300,$B57,Пул!$L$5:$L$300,"Закрыт"),8)))</f>
        <v/>
      </c>
      <c r="F57" s="241">
        <f>IF($B57="","",IF(COUNTIFS(Пул!$E$5:$E$300,$B57,Пул!$L$5:$L$300,"Закрыт")=0,"",ROUND(SUMIFS(Пул!$I$5:$I$300,Пул!$E$5:$E$300,$B57,Пул!$L$5:$L$300,"Закрыт"),8)))</f>
        <v/>
      </c>
      <c r="G57" s="240">
        <f>IF($B57="","",IF(COUNTIFS(Пул!$E$5:$E$300,$B57,Пул!$L$5:$L$300,"Закрыт")=0,"",ROUND(SUMIFS(Пул!$J$5:$J$300,Пул!$E$5:$E$300,$B57,Пул!$L$5:$L$300,"Закрыт"),8)))</f>
        <v/>
      </c>
      <c r="H57" s="241">
        <f>IF($B57="","",IF(COUNTIFS(Пул!$E$5:$E$300,$B57,Пул!$L$5:$L$300,"Закрыт")=0,"",ROUND(SUMIFS(Пул!$K$5:$K$300,Пул!$E$5:$E$300,$B57,Пул!$L$5:$L$300,"Закрыт"),8)))</f>
        <v/>
      </c>
      <c r="I57" s="236">
        <f>IF(AND(ISNUMBER(G57),ISNUMBER(H57)),IF(AND(G57&gt;0,H57&lt;0),"Buy",IF(AND(G57&lt;0,H57&gt;0),"Sell","")),"")</f>
        <v/>
      </c>
      <c r="J57" s="177">
        <f>IF(I57="Buy",G57,IF(I57="Sell",-G57,""))</f>
        <v/>
      </c>
      <c r="K57" s="177">
        <f>IF(AND(ISNUMBER(J57),ISNUMBER(L57),N(J57)&lt;&gt;0),ROUND(L57/J57,8),"")</f>
        <v/>
      </c>
      <c r="L57" s="177">
        <f>IF(I57="Buy",-H57,IF(I57="Sell",H57,""))</f>
        <v/>
      </c>
    </row>
    <row r="58" ht="22" customHeight="1">
      <c r="B58" s="320" t="n"/>
      <c r="C58" s="246">
        <f>IF($B58="","",IF(COUNTIFS(Пул!$E$5:$E$300,$B58,Пул!$F$5:$F$300,"&lt;&gt;")=0,"",ROUND(SUMIFS(Пул!$F$5:$F$300,Пул!$E$5:$E$300,$B58),8)))</f>
        <v/>
      </c>
      <c r="D58" s="247">
        <f>IF($B58="","",IF(COUNTIFS(Пул!$E$5:$E$300,$B58,Пул!$G$5:$G$300,"&lt;&gt;")=0,"",ROUND(SUMIFS(Пул!$G$5:$G$300,Пул!$E$5:$E$300,$B58),8)))</f>
        <v/>
      </c>
      <c r="E58" s="246">
        <f>IF($B58="","",IF(COUNTIFS(Пул!$E$5:$E$300,$B58,Пул!$L$5:$L$300,"Закрыт")=0,"",ROUND(SUMIFS(Пул!$H$5:$H$300,Пул!$E$5:$E$300,$B58,Пул!$L$5:$L$300,"Закрыт"),8)))</f>
        <v/>
      </c>
      <c r="F58" s="247">
        <f>IF($B58="","",IF(COUNTIFS(Пул!$E$5:$E$300,$B58,Пул!$L$5:$L$300,"Закрыт")=0,"",ROUND(SUMIFS(Пул!$I$5:$I$300,Пул!$E$5:$E$300,$B58,Пул!$L$5:$L$300,"Закрыт"),8)))</f>
        <v/>
      </c>
      <c r="G58" s="246">
        <f>IF($B58="","",IF(COUNTIFS(Пул!$E$5:$E$300,$B58,Пул!$L$5:$L$300,"Закрыт")=0,"",ROUND(SUMIFS(Пул!$J$5:$J$300,Пул!$E$5:$E$300,$B58,Пул!$L$5:$L$300,"Закрыт"),8)))</f>
        <v/>
      </c>
      <c r="H58" s="247">
        <f>IF($B58="","",IF(COUNTIFS(Пул!$E$5:$E$300,$B58,Пул!$L$5:$L$300,"Закрыт")=0,"",ROUND(SUMIFS(Пул!$K$5:$K$300,Пул!$E$5:$E$300,$B58,Пул!$L$5:$L$300,"Закрыт"),8)))</f>
        <v/>
      </c>
      <c r="I58" s="242">
        <f>IF(AND(ISNUMBER(G58),ISNUMBER(H58)),IF(AND(G58&gt;0,H58&lt;0),"Buy",IF(AND(G58&lt;0,H58&gt;0),"Sell","")),"")</f>
        <v/>
      </c>
      <c r="J58" s="183">
        <f>IF(I58="Buy",G58,IF(I58="Sell",-G58,""))</f>
        <v/>
      </c>
      <c r="K58" s="183">
        <f>IF(AND(ISNUMBER(J58),ISNUMBER(L58),N(J58)&lt;&gt;0),ROUND(L58/J58,8),"")</f>
        <v/>
      </c>
      <c r="L58" s="183">
        <f>IF(I58="Buy",-H58,IF(I58="Sell",H58,""))</f>
        <v/>
      </c>
    </row>
    <row r="59" ht="22" customHeight="1">
      <c r="B59" s="315" t="n"/>
      <c r="C59" s="240">
        <f>IF($B59="","",IF(COUNTIFS(Пул!$E$5:$E$300,$B59,Пул!$F$5:$F$300,"&lt;&gt;")=0,"",ROUND(SUMIFS(Пул!$F$5:$F$300,Пул!$E$5:$E$300,$B59),8)))</f>
        <v/>
      </c>
      <c r="D59" s="241">
        <f>IF($B59="","",IF(COUNTIFS(Пул!$E$5:$E$300,$B59,Пул!$G$5:$G$300,"&lt;&gt;")=0,"",ROUND(SUMIFS(Пул!$G$5:$G$300,Пул!$E$5:$E$300,$B59),8)))</f>
        <v/>
      </c>
      <c r="E59" s="240">
        <f>IF($B59="","",IF(COUNTIFS(Пул!$E$5:$E$300,$B59,Пул!$L$5:$L$300,"Закрыт")=0,"",ROUND(SUMIFS(Пул!$H$5:$H$300,Пул!$E$5:$E$300,$B59,Пул!$L$5:$L$300,"Закрыт"),8)))</f>
        <v/>
      </c>
      <c r="F59" s="241">
        <f>IF($B59="","",IF(COUNTIFS(Пул!$E$5:$E$300,$B59,Пул!$L$5:$L$300,"Закрыт")=0,"",ROUND(SUMIFS(Пул!$I$5:$I$300,Пул!$E$5:$E$300,$B59,Пул!$L$5:$L$300,"Закрыт"),8)))</f>
        <v/>
      </c>
      <c r="G59" s="240">
        <f>IF($B59="","",IF(COUNTIFS(Пул!$E$5:$E$300,$B59,Пул!$L$5:$L$300,"Закрыт")=0,"",ROUND(SUMIFS(Пул!$J$5:$J$300,Пул!$E$5:$E$300,$B59,Пул!$L$5:$L$300,"Закрыт"),8)))</f>
        <v/>
      </c>
      <c r="H59" s="241">
        <f>IF($B59="","",IF(COUNTIFS(Пул!$E$5:$E$300,$B59,Пул!$L$5:$L$300,"Закрыт")=0,"",ROUND(SUMIFS(Пул!$K$5:$K$300,Пул!$E$5:$E$300,$B59,Пул!$L$5:$L$300,"Закрыт"),8)))</f>
        <v/>
      </c>
      <c r="I59" s="236">
        <f>IF(AND(ISNUMBER(G59),ISNUMBER(H59)),IF(AND(G59&gt;0,H59&lt;0),"Buy",IF(AND(G59&lt;0,H59&gt;0),"Sell","")),"")</f>
        <v/>
      </c>
      <c r="J59" s="177">
        <f>IF(I59="Buy",G59,IF(I59="Sell",-G59,""))</f>
        <v/>
      </c>
      <c r="K59" s="177">
        <f>IF(AND(ISNUMBER(J59),ISNUMBER(L59),N(J59)&lt;&gt;0),ROUND(L59/J59,8),"")</f>
        <v/>
      </c>
      <c r="L59" s="177">
        <f>IF(I59="Buy",-H59,IF(I59="Sell",H59,""))</f>
        <v/>
      </c>
    </row>
    <row r="60" ht="22" customHeight="1">
      <c r="B60" s="320" t="n"/>
      <c r="C60" s="246">
        <f>IF($B60="","",IF(COUNTIFS(Пул!$E$5:$E$300,$B60,Пул!$F$5:$F$300,"&lt;&gt;")=0,"",ROUND(SUMIFS(Пул!$F$5:$F$300,Пул!$E$5:$E$300,$B60),8)))</f>
        <v/>
      </c>
      <c r="D60" s="247">
        <f>IF($B60="","",IF(COUNTIFS(Пул!$E$5:$E$300,$B60,Пул!$G$5:$G$300,"&lt;&gt;")=0,"",ROUND(SUMIFS(Пул!$G$5:$G$300,Пул!$E$5:$E$300,$B60),8)))</f>
        <v/>
      </c>
      <c r="E60" s="246">
        <f>IF($B60="","",IF(COUNTIFS(Пул!$E$5:$E$300,$B60,Пул!$L$5:$L$300,"Закрыт")=0,"",ROUND(SUMIFS(Пул!$H$5:$H$300,Пул!$E$5:$E$300,$B60,Пул!$L$5:$L$300,"Закрыт"),8)))</f>
        <v/>
      </c>
      <c r="F60" s="247">
        <f>IF($B60="","",IF(COUNTIFS(Пул!$E$5:$E$300,$B60,Пул!$L$5:$L$300,"Закрыт")=0,"",ROUND(SUMIFS(Пул!$I$5:$I$300,Пул!$E$5:$E$300,$B60,Пул!$L$5:$L$300,"Закрыт"),8)))</f>
        <v/>
      </c>
      <c r="G60" s="246">
        <f>IF($B60="","",IF(COUNTIFS(Пул!$E$5:$E$300,$B60,Пул!$L$5:$L$300,"Закрыт")=0,"",ROUND(SUMIFS(Пул!$J$5:$J$300,Пул!$E$5:$E$300,$B60,Пул!$L$5:$L$300,"Закрыт"),8)))</f>
        <v/>
      </c>
      <c r="H60" s="247">
        <f>IF($B60="","",IF(COUNTIFS(Пул!$E$5:$E$300,$B60,Пул!$L$5:$L$300,"Закрыт")=0,"",ROUND(SUMIFS(Пул!$K$5:$K$300,Пул!$E$5:$E$300,$B60,Пул!$L$5:$L$300,"Закрыт"),8)))</f>
        <v/>
      </c>
      <c r="I60" s="242">
        <f>IF(AND(ISNUMBER(G60),ISNUMBER(H60)),IF(AND(G60&gt;0,H60&lt;0),"Buy",IF(AND(G60&lt;0,H60&gt;0),"Sell","")),"")</f>
        <v/>
      </c>
      <c r="J60" s="183">
        <f>IF(I60="Buy",G60,IF(I60="Sell",-G60,""))</f>
        <v/>
      </c>
      <c r="K60" s="183">
        <f>IF(AND(ISNUMBER(J60),ISNUMBER(L60),N(J60)&lt;&gt;0),ROUND(L60/J60,8),"")</f>
        <v/>
      </c>
      <c r="L60" s="183">
        <f>IF(I60="Buy",-H60,IF(I60="Sell",H60,""))</f>
        <v/>
      </c>
    </row>
    <row r="61" ht="22" customHeight="1">
      <c r="B61" s="315" t="n"/>
      <c r="C61" s="240">
        <f>IF($B61="","",IF(COUNTIFS(Пул!$E$5:$E$300,$B61,Пул!$F$5:$F$300,"&lt;&gt;")=0,"",ROUND(SUMIFS(Пул!$F$5:$F$300,Пул!$E$5:$E$300,$B61),8)))</f>
        <v/>
      </c>
      <c r="D61" s="241">
        <f>IF($B61="","",IF(COUNTIFS(Пул!$E$5:$E$300,$B61,Пул!$G$5:$G$300,"&lt;&gt;")=0,"",ROUND(SUMIFS(Пул!$G$5:$G$300,Пул!$E$5:$E$300,$B61),8)))</f>
        <v/>
      </c>
      <c r="E61" s="240">
        <f>IF($B61="","",IF(COUNTIFS(Пул!$E$5:$E$300,$B61,Пул!$L$5:$L$300,"Закрыт")=0,"",ROUND(SUMIFS(Пул!$H$5:$H$300,Пул!$E$5:$E$300,$B61,Пул!$L$5:$L$300,"Закрыт"),8)))</f>
        <v/>
      </c>
      <c r="F61" s="241">
        <f>IF($B61="","",IF(COUNTIFS(Пул!$E$5:$E$300,$B61,Пул!$L$5:$L$300,"Закрыт")=0,"",ROUND(SUMIFS(Пул!$I$5:$I$300,Пул!$E$5:$E$300,$B61,Пул!$L$5:$L$300,"Закрыт"),8)))</f>
        <v/>
      </c>
      <c r="G61" s="240">
        <f>IF($B61="","",IF(COUNTIFS(Пул!$E$5:$E$300,$B61,Пул!$L$5:$L$300,"Закрыт")=0,"",ROUND(SUMIFS(Пул!$J$5:$J$300,Пул!$E$5:$E$300,$B61,Пул!$L$5:$L$300,"Закрыт"),8)))</f>
        <v/>
      </c>
      <c r="H61" s="241">
        <f>IF($B61="","",IF(COUNTIFS(Пул!$E$5:$E$300,$B61,Пул!$L$5:$L$300,"Закрыт")=0,"",ROUND(SUMIFS(Пул!$K$5:$K$300,Пул!$E$5:$E$300,$B61,Пул!$L$5:$L$300,"Закрыт"),8)))</f>
        <v/>
      </c>
      <c r="I61" s="236">
        <f>IF(AND(ISNUMBER(G61),ISNUMBER(H61)),IF(AND(G61&gt;0,H61&lt;0),"Buy",IF(AND(G61&lt;0,H61&gt;0),"Sell","")),"")</f>
        <v/>
      </c>
      <c r="J61" s="177">
        <f>IF(I61="Buy",G61,IF(I61="Sell",-G61,""))</f>
        <v/>
      </c>
      <c r="K61" s="177">
        <f>IF(AND(ISNUMBER(J61),ISNUMBER(L61),N(J61)&lt;&gt;0),ROUND(L61/J61,8),"")</f>
        <v/>
      </c>
      <c r="L61" s="177">
        <f>IF(I61="Buy",-H61,IF(I61="Sell",H61,""))</f>
        <v/>
      </c>
    </row>
    <row r="62" ht="22" customHeight="1">
      <c r="B62" s="320" t="n"/>
      <c r="C62" s="246">
        <f>IF($B62="","",IF(COUNTIFS(Пул!$E$5:$E$300,$B62,Пул!$F$5:$F$300,"&lt;&gt;")=0,"",ROUND(SUMIFS(Пул!$F$5:$F$300,Пул!$E$5:$E$300,$B62),8)))</f>
        <v/>
      </c>
      <c r="D62" s="247">
        <f>IF($B62="","",IF(COUNTIFS(Пул!$E$5:$E$300,$B62,Пул!$G$5:$G$300,"&lt;&gt;")=0,"",ROUND(SUMIFS(Пул!$G$5:$G$300,Пул!$E$5:$E$300,$B62),8)))</f>
        <v/>
      </c>
      <c r="E62" s="246">
        <f>IF($B62="","",IF(COUNTIFS(Пул!$E$5:$E$300,$B62,Пул!$L$5:$L$300,"Закрыт")=0,"",ROUND(SUMIFS(Пул!$H$5:$H$300,Пул!$E$5:$E$300,$B62,Пул!$L$5:$L$300,"Закрыт"),8)))</f>
        <v/>
      </c>
      <c r="F62" s="247">
        <f>IF($B62="","",IF(COUNTIFS(Пул!$E$5:$E$300,$B62,Пул!$L$5:$L$300,"Закрыт")=0,"",ROUND(SUMIFS(Пул!$I$5:$I$300,Пул!$E$5:$E$300,$B62,Пул!$L$5:$L$300,"Закрыт"),8)))</f>
        <v/>
      </c>
      <c r="G62" s="246">
        <f>IF($B62="","",IF(COUNTIFS(Пул!$E$5:$E$300,$B62,Пул!$L$5:$L$300,"Закрыт")=0,"",ROUND(SUMIFS(Пул!$J$5:$J$300,Пул!$E$5:$E$300,$B62,Пул!$L$5:$L$300,"Закрыт"),8)))</f>
        <v/>
      </c>
      <c r="H62" s="247">
        <f>IF($B62="","",IF(COUNTIFS(Пул!$E$5:$E$300,$B62,Пул!$L$5:$L$300,"Закрыт")=0,"",ROUND(SUMIFS(Пул!$K$5:$K$300,Пул!$E$5:$E$300,$B62,Пул!$L$5:$L$300,"Закрыт"),8)))</f>
        <v/>
      </c>
      <c r="I62" s="242">
        <f>IF(AND(ISNUMBER(G62),ISNUMBER(H62)),IF(AND(G62&gt;0,H62&lt;0),"Buy",IF(AND(G62&lt;0,H62&gt;0),"Sell","")),"")</f>
        <v/>
      </c>
      <c r="J62" s="183">
        <f>IF(I62="Buy",G62,IF(I62="Sell",-G62,""))</f>
        <v/>
      </c>
      <c r="K62" s="183">
        <f>IF(AND(ISNUMBER(J62),ISNUMBER(L62),N(J62)&lt;&gt;0),ROUND(L62/J62,8),"")</f>
        <v/>
      </c>
      <c r="L62" s="183">
        <f>IF(I62="Buy",-H62,IF(I62="Sell",H62,""))</f>
        <v/>
      </c>
    </row>
    <row r="63" ht="22" customHeight="1">
      <c r="B63" s="315" t="n"/>
      <c r="C63" s="240">
        <f>IF($B63="","",IF(COUNTIFS(Пул!$E$5:$E$300,$B63,Пул!$F$5:$F$300,"&lt;&gt;")=0,"",ROUND(SUMIFS(Пул!$F$5:$F$300,Пул!$E$5:$E$300,$B63),8)))</f>
        <v/>
      </c>
      <c r="D63" s="241">
        <f>IF($B63="","",IF(COUNTIFS(Пул!$E$5:$E$300,$B63,Пул!$G$5:$G$300,"&lt;&gt;")=0,"",ROUND(SUMIFS(Пул!$G$5:$G$300,Пул!$E$5:$E$300,$B63),8)))</f>
        <v/>
      </c>
      <c r="E63" s="240">
        <f>IF($B63="","",IF(COUNTIFS(Пул!$E$5:$E$300,$B63,Пул!$L$5:$L$300,"Закрыт")=0,"",ROUND(SUMIFS(Пул!$H$5:$H$300,Пул!$E$5:$E$300,$B63,Пул!$L$5:$L$300,"Закрыт"),8)))</f>
        <v/>
      </c>
      <c r="F63" s="241">
        <f>IF($B63="","",IF(COUNTIFS(Пул!$E$5:$E$300,$B63,Пул!$L$5:$L$300,"Закрыт")=0,"",ROUND(SUMIFS(Пул!$I$5:$I$300,Пул!$E$5:$E$300,$B63,Пул!$L$5:$L$300,"Закрыт"),8)))</f>
        <v/>
      </c>
      <c r="G63" s="240">
        <f>IF($B63="","",IF(COUNTIFS(Пул!$E$5:$E$300,$B63,Пул!$L$5:$L$300,"Закрыт")=0,"",ROUND(SUMIFS(Пул!$J$5:$J$300,Пул!$E$5:$E$300,$B63,Пул!$L$5:$L$300,"Закрыт"),8)))</f>
        <v/>
      </c>
      <c r="H63" s="241">
        <f>IF($B63="","",IF(COUNTIFS(Пул!$E$5:$E$300,$B63,Пул!$L$5:$L$300,"Закрыт")=0,"",ROUND(SUMIFS(Пул!$K$5:$K$300,Пул!$E$5:$E$300,$B63,Пул!$L$5:$L$300,"Закрыт"),8)))</f>
        <v/>
      </c>
      <c r="I63" s="236">
        <f>IF(AND(ISNUMBER(G63),ISNUMBER(H63)),IF(AND(G63&gt;0,H63&lt;0),"Buy",IF(AND(G63&lt;0,H63&gt;0),"Sell","")),"")</f>
        <v/>
      </c>
      <c r="J63" s="177">
        <f>IF(I63="Buy",G63,IF(I63="Sell",-G63,""))</f>
        <v/>
      </c>
      <c r="K63" s="177">
        <f>IF(AND(ISNUMBER(J63),ISNUMBER(L63),N(J63)&lt;&gt;0),ROUND(L63/J63,8),"")</f>
        <v/>
      </c>
      <c r="L63" s="177">
        <f>IF(I63="Buy",-H63,IF(I63="Sell",H63,""))</f>
        <v/>
      </c>
    </row>
    <row r="64" ht="22" customHeight="1">
      <c r="B64" s="320" t="n"/>
      <c r="C64" s="246">
        <f>IF($B64="","",IF(COUNTIFS(Пул!$E$5:$E$300,$B64,Пул!$F$5:$F$300,"&lt;&gt;")=0,"",ROUND(SUMIFS(Пул!$F$5:$F$300,Пул!$E$5:$E$300,$B64),8)))</f>
        <v/>
      </c>
      <c r="D64" s="247">
        <f>IF($B64="","",IF(COUNTIFS(Пул!$E$5:$E$300,$B64,Пул!$G$5:$G$300,"&lt;&gt;")=0,"",ROUND(SUMIFS(Пул!$G$5:$G$300,Пул!$E$5:$E$300,$B64),8)))</f>
        <v/>
      </c>
      <c r="E64" s="246">
        <f>IF($B64="","",IF(COUNTIFS(Пул!$E$5:$E$300,$B64,Пул!$L$5:$L$300,"Закрыт")=0,"",ROUND(SUMIFS(Пул!$H$5:$H$300,Пул!$E$5:$E$300,$B64,Пул!$L$5:$L$300,"Закрыт"),8)))</f>
        <v/>
      </c>
      <c r="F64" s="247">
        <f>IF($B64="","",IF(COUNTIFS(Пул!$E$5:$E$300,$B64,Пул!$L$5:$L$300,"Закрыт")=0,"",ROUND(SUMIFS(Пул!$I$5:$I$300,Пул!$E$5:$E$300,$B64,Пул!$L$5:$L$300,"Закрыт"),8)))</f>
        <v/>
      </c>
      <c r="G64" s="246">
        <f>IF($B64="","",IF(COUNTIFS(Пул!$E$5:$E$300,$B64,Пул!$L$5:$L$300,"Закрыт")=0,"",ROUND(SUMIFS(Пул!$J$5:$J$300,Пул!$E$5:$E$300,$B64,Пул!$L$5:$L$300,"Закрыт"),8)))</f>
        <v/>
      </c>
      <c r="H64" s="247">
        <f>IF($B64="","",IF(COUNTIFS(Пул!$E$5:$E$300,$B64,Пул!$L$5:$L$300,"Закрыт")=0,"",ROUND(SUMIFS(Пул!$K$5:$K$300,Пул!$E$5:$E$300,$B64,Пул!$L$5:$L$300,"Закрыт"),8)))</f>
        <v/>
      </c>
      <c r="I64" s="242">
        <f>IF(AND(ISNUMBER(G64),ISNUMBER(H64)),IF(AND(G64&gt;0,H64&lt;0),"Buy",IF(AND(G64&lt;0,H64&gt;0),"Sell","")),"")</f>
        <v/>
      </c>
      <c r="J64" s="183">
        <f>IF(I64="Buy",G64,IF(I64="Sell",-G64,""))</f>
        <v/>
      </c>
      <c r="K64" s="183">
        <f>IF(AND(ISNUMBER(J64),ISNUMBER(L64),N(J64)&lt;&gt;0),ROUND(L64/J64,8),"")</f>
        <v/>
      </c>
      <c r="L64" s="183">
        <f>IF(I64="Buy",-H64,IF(I64="Sell",H64,""))</f>
        <v/>
      </c>
    </row>
    <row r="65" ht="22" customHeight="1">
      <c r="B65" s="315" t="n"/>
      <c r="C65" s="240">
        <f>IF($B65="","",IF(COUNTIFS(Пул!$E$5:$E$300,$B65,Пул!$F$5:$F$300,"&lt;&gt;")=0,"",ROUND(SUMIFS(Пул!$F$5:$F$300,Пул!$E$5:$E$300,$B65),8)))</f>
        <v/>
      </c>
      <c r="D65" s="241">
        <f>IF($B65="","",IF(COUNTIFS(Пул!$E$5:$E$300,$B65,Пул!$G$5:$G$300,"&lt;&gt;")=0,"",ROUND(SUMIFS(Пул!$G$5:$G$300,Пул!$E$5:$E$300,$B65),8)))</f>
        <v/>
      </c>
      <c r="E65" s="240">
        <f>IF($B65="","",IF(COUNTIFS(Пул!$E$5:$E$300,$B65,Пул!$L$5:$L$300,"Закрыт")=0,"",ROUND(SUMIFS(Пул!$H$5:$H$300,Пул!$E$5:$E$300,$B65,Пул!$L$5:$L$300,"Закрыт"),8)))</f>
        <v/>
      </c>
      <c r="F65" s="241">
        <f>IF($B65="","",IF(COUNTIFS(Пул!$E$5:$E$300,$B65,Пул!$L$5:$L$300,"Закрыт")=0,"",ROUND(SUMIFS(Пул!$I$5:$I$300,Пул!$E$5:$E$300,$B65,Пул!$L$5:$L$300,"Закрыт"),8)))</f>
        <v/>
      </c>
      <c r="G65" s="240">
        <f>IF($B65="","",IF(COUNTIFS(Пул!$E$5:$E$300,$B65,Пул!$L$5:$L$300,"Закрыт")=0,"",ROUND(SUMIFS(Пул!$J$5:$J$300,Пул!$E$5:$E$300,$B65,Пул!$L$5:$L$300,"Закрыт"),8)))</f>
        <v/>
      </c>
      <c r="H65" s="241">
        <f>IF($B65="","",IF(COUNTIFS(Пул!$E$5:$E$300,$B65,Пул!$L$5:$L$300,"Закрыт")=0,"",ROUND(SUMIFS(Пул!$K$5:$K$300,Пул!$E$5:$E$300,$B65,Пул!$L$5:$L$300,"Закрыт"),8)))</f>
        <v/>
      </c>
      <c r="I65" s="236">
        <f>IF(AND(ISNUMBER(G65),ISNUMBER(H65)),IF(AND(G65&gt;0,H65&lt;0),"Buy",IF(AND(G65&lt;0,H65&gt;0),"Sell","")),"")</f>
        <v/>
      </c>
      <c r="J65" s="177">
        <f>IF(I65="Buy",G65,IF(I65="Sell",-G65,""))</f>
        <v/>
      </c>
      <c r="K65" s="177">
        <f>IF(AND(ISNUMBER(J65),ISNUMBER(L65),N(J65)&lt;&gt;0),ROUND(L65/J65,8),"")</f>
        <v/>
      </c>
      <c r="L65" s="177">
        <f>IF(I65="Buy",-H65,IF(I65="Sell",H65,""))</f>
        <v/>
      </c>
    </row>
    <row r="66" ht="22" customHeight="1">
      <c r="B66" s="320" t="n"/>
      <c r="C66" s="246">
        <f>IF($B66="","",IF(COUNTIFS(Пул!$E$5:$E$300,$B66,Пул!$F$5:$F$300,"&lt;&gt;")=0,"",ROUND(SUMIFS(Пул!$F$5:$F$300,Пул!$E$5:$E$300,$B66),8)))</f>
        <v/>
      </c>
      <c r="D66" s="247">
        <f>IF($B66="","",IF(COUNTIFS(Пул!$E$5:$E$300,$B66,Пул!$G$5:$G$300,"&lt;&gt;")=0,"",ROUND(SUMIFS(Пул!$G$5:$G$300,Пул!$E$5:$E$300,$B66),8)))</f>
        <v/>
      </c>
      <c r="E66" s="246">
        <f>IF($B66="","",IF(COUNTIFS(Пул!$E$5:$E$300,$B66,Пул!$L$5:$L$300,"Закрыт")=0,"",ROUND(SUMIFS(Пул!$H$5:$H$300,Пул!$E$5:$E$300,$B66,Пул!$L$5:$L$300,"Закрыт"),8)))</f>
        <v/>
      </c>
      <c r="F66" s="247">
        <f>IF($B66="","",IF(COUNTIFS(Пул!$E$5:$E$300,$B66,Пул!$L$5:$L$300,"Закрыт")=0,"",ROUND(SUMIFS(Пул!$I$5:$I$300,Пул!$E$5:$E$300,$B66,Пул!$L$5:$L$300,"Закрыт"),8)))</f>
        <v/>
      </c>
      <c r="G66" s="246">
        <f>IF($B66="","",IF(COUNTIFS(Пул!$E$5:$E$300,$B66,Пул!$L$5:$L$300,"Закрыт")=0,"",ROUND(SUMIFS(Пул!$J$5:$J$300,Пул!$E$5:$E$300,$B66,Пул!$L$5:$L$300,"Закрыт"),8)))</f>
        <v/>
      </c>
      <c r="H66" s="247">
        <f>IF($B66="","",IF(COUNTIFS(Пул!$E$5:$E$300,$B66,Пул!$L$5:$L$300,"Закрыт")=0,"",ROUND(SUMIFS(Пул!$K$5:$K$300,Пул!$E$5:$E$300,$B66,Пул!$L$5:$L$300,"Закрыт"),8)))</f>
        <v/>
      </c>
      <c r="I66" s="242">
        <f>IF(AND(ISNUMBER(G66),ISNUMBER(H66)),IF(AND(G66&gt;0,H66&lt;0),"Buy",IF(AND(G66&lt;0,H66&gt;0),"Sell","")),"")</f>
        <v/>
      </c>
      <c r="J66" s="183">
        <f>IF(I66="Buy",G66,IF(I66="Sell",-G66,""))</f>
        <v/>
      </c>
      <c r="K66" s="183">
        <f>IF(AND(ISNUMBER(J66),ISNUMBER(L66),N(J66)&lt;&gt;0),ROUND(L66/J66,8),"")</f>
        <v/>
      </c>
      <c r="L66" s="183">
        <f>IF(I66="Buy",-H66,IF(I66="Sell",H66,""))</f>
        <v/>
      </c>
    </row>
    <row r="67" ht="22" customHeight="1">
      <c r="B67" s="315" t="n"/>
      <c r="C67" s="240">
        <f>IF($B67="","",IF(COUNTIFS(Пул!$E$5:$E$300,$B67,Пул!$F$5:$F$300,"&lt;&gt;")=0,"",ROUND(SUMIFS(Пул!$F$5:$F$300,Пул!$E$5:$E$300,$B67),8)))</f>
        <v/>
      </c>
      <c r="D67" s="241">
        <f>IF($B67="","",IF(COUNTIFS(Пул!$E$5:$E$300,$B67,Пул!$G$5:$G$300,"&lt;&gt;")=0,"",ROUND(SUMIFS(Пул!$G$5:$G$300,Пул!$E$5:$E$300,$B67),8)))</f>
        <v/>
      </c>
      <c r="E67" s="240">
        <f>IF($B67="","",IF(COUNTIFS(Пул!$E$5:$E$300,$B67,Пул!$L$5:$L$300,"Закрыт")=0,"",ROUND(SUMIFS(Пул!$H$5:$H$300,Пул!$E$5:$E$300,$B67,Пул!$L$5:$L$300,"Закрыт"),8)))</f>
        <v/>
      </c>
      <c r="F67" s="241">
        <f>IF($B67="","",IF(COUNTIFS(Пул!$E$5:$E$300,$B67,Пул!$L$5:$L$300,"Закрыт")=0,"",ROUND(SUMIFS(Пул!$I$5:$I$300,Пул!$E$5:$E$300,$B67,Пул!$L$5:$L$300,"Закрыт"),8)))</f>
        <v/>
      </c>
      <c r="G67" s="240">
        <f>IF($B67="","",IF(COUNTIFS(Пул!$E$5:$E$300,$B67,Пул!$L$5:$L$300,"Закрыт")=0,"",ROUND(SUMIFS(Пул!$J$5:$J$300,Пул!$E$5:$E$300,$B67,Пул!$L$5:$L$300,"Закрыт"),8)))</f>
        <v/>
      </c>
      <c r="H67" s="241">
        <f>IF($B67="","",IF(COUNTIFS(Пул!$E$5:$E$300,$B67,Пул!$L$5:$L$300,"Закрыт")=0,"",ROUND(SUMIFS(Пул!$K$5:$K$300,Пул!$E$5:$E$300,$B67,Пул!$L$5:$L$300,"Закрыт"),8)))</f>
        <v/>
      </c>
      <c r="I67" s="236">
        <f>IF(AND(ISNUMBER(G67),ISNUMBER(H67)),IF(AND(G67&gt;0,H67&lt;0),"Buy",IF(AND(G67&lt;0,H67&gt;0),"Sell","")),"")</f>
        <v/>
      </c>
      <c r="J67" s="177">
        <f>IF(I67="Buy",G67,IF(I67="Sell",-G67,""))</f>
        <v/>
      </c>
      <c r="K67" s="177">
        <f>IF(AND(ISNUMBER(J67),ISNUMBER(L67),N(J67)&lt;&gt;0),ROUND(L67/J67,8),"")</f>
        <v/>
      </c>
      <c r="L67" s="177">
        <f>IF(I67="Buy",-H67,IF(I67="Sell",H67,""))</f>
        <v/>
      </c>
    </row>
    <row r="68" ht="22" customHeight="1">
      <c r="B68" s="320" t="n"/>
      <c r="C68" s="246">
        <f>IF($B68="","",IF(COUNTIFS(Пул!$E$5:$E$300,$B68,Пул!$F$5:$F$300,"&lt;&gt;")=0,"",ROUND(SUMIFS(Пул!$F$5:$F$300,Пул!$E$5:$E$300,$B68),8)))</f>
        <v/>
      </c>
      <c r="D68" s="247">
        <f>IF($B68="","",IF(COUNTIFS(Пул!$E$5:$E$300,$B68,Пул!$G$5:$G$300,"&lt;&gt;")=0,"",ROUND(SUMIFS(Пул!$G$5:$G$300,Пул!$E$5:$E$300,$B68),8)))</f>
        <v/>
      </c>
      <c r="E68" s="246">
        <f>IF($B68="","",IF(COUNTIFS(Пул!$E$5:$E$300,$B68,Пул!$L$5:$L$300,"Закрыт")=0,"",ROUND(SUMIFS(Пул!$H$5:$H$300,Пул!$E$5:$E$300,$B68,Пул!$L$5:$L$300,"Закрыт"),8)))</f>
        <v/>
      </c>
      <c r="F68" s="247">
        <f>IF($B68="","",IF(COUNTIFS(Пул!$E$5:$E$300,$B68,Пул!$L$5:$L$300,"Закрыт")=0,"",ROUND(SUMIFS(Пул!$I$5:$I$300,Пул!$E$5:$E$300,$B68,Пул!$L$5:$L$300,"Закрыт"),8)))</f>
        <v/>
      </c>
      <c r="G68" s="246">
        <f>IF($B68="","",IF(COUNTIFS(Пул!$E$5:$E$300,$B68,Пул!$L$5:$L$300,"Закрыт")=0,"",ROUND(SUMIFS(Пул!$J$5:$J$300,Пул!$E$5:$E$300,$B68,Пул!$L$5:$L$300,"Закрыт"),8)))</f>
        <v/>
      </c>
      <c r="H68" s="247">
        <f>IF($B68="","",IF(COUNTIFS(Пул!$E$5:$E$300,$B68,Пул!$L$5:$L$300,"Закрыт")=0,"",ROUND(SUMIFS(Пул!$K$5:$K$300,Пул!$E$5:$E$300,$B68,Пул!$L$5:$L$300,"Закрыт"),8)))</f>
        <v/>
      </c>
      <c r="I68" s="242">
        <f>IF(AND(ISNUMBER(G68),ISNUMBER(H68)),IF(AND(G68&gt;0,H68&lt;0),"Buy",IF(AND(G68&lt;0,H68&gt;0),"Sell","")),"")</f>
        <v/>
      </c>
      <c r="J68" s="183">
        <f>IF(I68="Buy",G68,IF(I68="Sell",-G68,""))</f>
        <v/>
      </c>
      <c r="K68" s="183">
        <f>IF(AND(ISNUMBER(J68),ISNUMBER(L68),N(J68)&lt;&gt;0),ROUND(L68/J68,8),"")</f>
        <v/>
      </c>
      <c r="L68" s="183">
        <f>IF(I68="Buy",-H68,IF(I68="Sell",H68,""))</f>
        <v/>
      </c>
    </row>
    <row r="69" ht="22" customHeight="1">
      <c r="B69" s="315" t="n"/>
      <c r="C69" s="240">
        <f>IF($B69="","",IF(COUNTIFS(Пул!$E$5:$E$300,$B69,Пул!$F$5:$F$300,"&lt;&gt;")=0,"",ROUND(SUMIFS(Пул!$F$5:$F$300,Пул!$E$5:$E$300,$B69),8)))</f>
        <v/>
      </c>
      <c r="D69" s="241">
        <f>IF($B69="","",IF(COUNTIFS(Пул!$E$5:$E$300,$B69,Пул!$G$5:$G$300,"&lt;&gt;")=0,"",ROUND(SUMIFS(Пул!$G$5:$G$300,Пул!$E$5:$E$300,$B69),8)))</f>
        <v/>
      </c>
      <c r="E69" s="240">
        <f>IF($B69="","",IF(COUNTIFS(Пул!$E$5:$E$300,$B69,Пул!$L$5:$L$300,"Закрыт")=0,"",ROUND(SUMIFS(Пул!$H$5:$H$300,Пул!$E$5:$E$300,$B69,Пул!$L$5:$L$300,"Закрыт"),8)))</f>
        <v/>
      </c>
      <c r="F69" s="241">
        <f>IF($B69="","",IF(COUNTIFS(Пул!$E$5:$E$300,$B69,Пул!$L$5:$L$300,"Закрыт")=0,"",ROUND(SUMIFS(Пул!$I$5:$I$300,Пул!$E$5:$E$300,$B69,Пул!$L$5:$L$300,"Закрыт"),8)))</f>
        <v/>
      </c>
      <c r="G69" s="240">
        <f>IF($B69="","",IF(COUNTIFS(Пул!$E$5:$E$300,$B69,Пул!$L$5:$L$300,"Закрыт")=0,"",ROUND(SUMIFS(Пул!$J$5:$J$300,Пул!$E$5:$E$300,$B69,Пул!$L$5:$L$300,"Закрыт"),8)))</f>
        <v/>
      </c>
      <c r="H69" s="241">
        <f>IF($B69="","",IF(COUNTIFS(Пул!$E$5:$E$300,$B69,Пул!$L$5:$L$300,"Закрыт")=0,"",ROUND(SUMIFS(Пул!$K$5:$K$300,Пул!$E$5:$E$300,$B69,Пул!$L$5:$L$300,"Закрыт"),8)))</f>
        <v/>
      </c>
      <c r="I69" s="236">
        <f>IF(AND(ISNUMBER(G69),ISNUMBER(H69)),IF(AND(G69&gt;0,H69&lt;0),"Buy",IF(AND(G69&lt;0,H69&gt;0),"Sell","")),"")</f>
        <v/>
      </c>
      <c r="J69" s="177">
        <f>IF(I69="Buy",G69,IF(I69="Sell",-G69,""))</f>
        <v/>
      </c>
      <c r="K69" s="177">
        <f>IF(AND(ISNUMBER(J69),ISNUMBER(L69),N(J69)&lt;&gt;0),ROUND(L69/J69,8),"")</f>
        <v/>
      </c>
      <c r="L69" s="177">
        <f>IF(I69="Buy",-H69,IF(I69="Sell",H69,""))</f>
        <v/>
      </c>
    </row>
    <row r="70" ht="22" customHeight="1">
      <c r="B70" s="320" t="n"/>
      <c r="C70" s="246">
        <f>IF($B70="","",IF(COUNTIFS(Пул!$E$5:$E$300,$B70,Пул!$F$5:$F$300,"&lt;&gt;")=0,"",ROUND(SUMIFS(Пул!$F$5:$F$300,Пул!$E$5:$E$300,$B70),8)))</f>
        <v/>
      </c>
      <c r="D70" s="247">
        <f>IF($B70="","",IF(COUNTIFS(Пул!$E$5:$E$300,$B70,Пул!$G$5:$G$300,"&lt;&gt;")=0,"",ROUND(SUMIFS(Пул!$G$5:$G$300,Пул!$E$5:$E$300,$B70),8)))</f>
        <v/>
      </c>
      <c r="E70" s="246">
        <f>IF($B70="","",IF(COUNTIFS(Пул!$E$5:$E$300,$B70,Пул!$L$5:$L$300,"Закрыт")=0,"",ROUND(SUMIFS(Пул!$H$5:$H$300,Пул!$E$5:$E$300,$B70,Пул!$L$5:$L$300,"Закрыт"),8)))</f>
        <v/>
      </c>
      <c r="F70" s="247">
        <f>IF($B70="","",IF(COUNTIFS(Пул!$E$5:$E$300,$B70,Пул!$L$5:$L$300,"Закрыт")=0,"",ROUND(SUMIFS(Пул!$I$5:$I$300,Пул!$E$5:$E$300,$B70,Пул!$L$5:$L$300,"Закрыт"),8)))</f>
        <v/>
      </c>
      <c r="G70" s="246">
        <f>IF($B70="","",IF(COUNTIFS(Пул!$E$5:$E$300,$B70,Пул!$L$5:$L$300,"Закрыт")=0,"",ROUND(SUMIFS(Пул!$J$5:$J$300,Пул!$E$5:$E$300,$B70,Пул!$L$5:$L$300,"Закрыт"),8)))</f>
        <v/>
      </c>
      <c r="H70" s="247">
        <f>IF($B70="","",IF(COUNTIFS(Пул!$E$5:$E$300,$B70,Пул!$L$5:$L$300,"Закрыт")=0,"",ROUND(SUMIFS(Пул!$K$5:$K$300,Пул!$E$5:$E$300,$B70,Пул!$L$5:$L$300,"Закрыт"),8)))</f>
        <v/>
      </c>
      <c r="I70" s="242">
        <f>IF(AND(ISNUMBER(G70),ISNUMBER(H70)),IF(AND(G70&gt;0,H70&lt;0),"Buy",IF(AND(G70&lt;0,H70&gt;0),"Sell","")),"")</f>
        <v/>
      </c>
      <c r="J70" s="183">
        <f>IF(I70="Buy",G70,IF(I70="Sell",-G70,""))</f>
        <v/>
      </c>
      <c r="K70" s="183">
        <f>IF(AND(ISNUMBER(J70),ISNUMBER(L70),N(J70)&lt;&gt;0),ROUND(L70/J70,8),"")</f>
        <v/>
      </c>
      <c r="L70" s="183">
        <f>IF(I70="Buy",-H70,IF(I70="Sell",H70,""))</f>
        <v/>
      </c>
    </row>
    <row r="71" ht="22" customHeight="1">
      <c r="B71" s="315" t="n"/>
      <c r="C71" s="240">
        <f>IF($B71="","",IF(COUNTIFS(Пул!$E$5:$E$300,$B71,Пул!$F$5:$F$300,"&lt;&gt;")=0,"",ROUND(SUMIFS(Пул!$F$5:$F$300,Пул!$E$5:$E$300,$B71),8)))</f>
        <v/>
      </c>
      <c r="D71" s="241">
        <f>IF($B71="","",IF(COUNTIFS(Пул!$E$5:$E$300,$B71,Пул!$G$5:$G$300,"&lt;&gt;")=0,"",ROUND(SUMIFS(Пул!$G$5:$G$300,Пул!$E$5:$E$300,$B71),8)))</f>
        <v/>
      </c>
      <c r="E71" s="240">
        <f>IF($B71="","",IF(COUNTIFS(Пул!$E$5:$E$300,$B71,Пул!$L$5:$L$300,"Закрыт")=0,"",ROUND(SUMIFS(Пул!$H$5:$H$300,Пул!$E$5:$E$300,$B71,Пул!$L$5:$L$300,"Закрыт"),8)))</f>
        <v/>
      </c>
      <c r="F71" s="241">
        <f>IF($B71="","",IF(COUNTIFS(Пул!$E$5:$E$300,$B71,Пул!$L$5:$L$300,"Закрыт")=0,"",ROUND(SUMIFS(Пул!$I$5:$I$300,Пул!$E$5:$E$300,$B71,Пул!$L$5:$L$300,"Закрыт"),8)))</f>
        <v/>
      </c>
      <c r="G71" s="240">
        <f>IF($B71="","",IF(COUNTIFS(Пул!$E$5:$E$300,$B71,Пул!$L$5:$L$300,"Закрыт")=0,"",ROUND(SUMIFS(Пул!$J$5:$J$300,Пул!$E$5:$E$300,$B71,Пул!$L$5:$L$300,"Закрыт"),8)))</f>
        <v/>
      </c>
      <c r="H71" s="241">
        <f>IF($B71="","",IF(COUNTIFS(Пул!$E$5:$E$300,$B71,Пул!$L$5:$L$300,"Закрыт")=0,"",ROUND(SUMIFS(Пул!$K$5:$K$300,Пул!$E$5:$E$300,$B71,Пул!$L$5:$L$300,"Закрыт"),8)))</f>
        <v/>
      </c>
      <c r="I71" s="236">
        <f>IF(AND(ISNUMBER(G71),ISNUMBER(H71)),IF(AND(G71&gt;0,H71&lt;0),"Buy",IF(AND(G71&lt;0,H71&gt;0),"Sell","")),"")</f>
        <v/>
      </c>
      <c r="J71" s="177">
        <f>IF(I71="Buy",G71,IF(I71="Sell",-G71,""))</f>
        <v/>
      </c>
      <c r="K71" s="177">
        <f>IF(AND(ISNUMBER(J71),ISNUMBER(L71),N(J71)&lt;&gt;0),ROUND(L71/J71,8),"")</f>
        <v/>
      </c>
      <c r="L71" s="177">
        <f>IF(I71="Buy",-H71,IF(I71="Sell",H71,""))</f>
        <v/>
      </c>
    </row>
    <row r="72" ht="22" customHeight="1">
      <c r="B72" s="320" t="n"/>
      <c r="C72" s="246">
        <f>IF($B72="","",IF(COUNTIFS(Пул!$E$5:$E$300,$B72,Пул!$F$5:$F$300,"&lt;&gt;")=0,"",ROUND(SUMIFS(Пул!$F$5:$F$300,Пул!$E$5:$E$300,$B72),8)))</f>
        <v/>
      </c>
      <c r="D72" s="247">
        <f>IF($B72="","",IF(COUNTIFS(Пул!$E$5:$E$300,$B72,Пул!$G$5:$G$300,"&lt;&gt;")=0,"",ROUND(SUMIFS(Пул!$G$5:$G$300,Пул!$E$5:$E$300,$B72),8)))</f>
        <v/>
      </c>
      <c r="E72" s="246">
        <f>IF($B72="","",IF(COUNTIFS(Пул!$E$5:$E$300,$B72,Пул!$L$5:$L$300,"Закрыт")=0,"",ROUND(SUMIFS(Пул!$H$5:$H$300,Пул!$E$5:$E$300,$B72,Пул!$L$5:$L$300,"Закрыт"),8)))</f>
        <v/>
      </c>
      <c r="F72" s="247">
        <f>IF($B72="","",IF(COUNTIFS(Пул!$E$5:$E$300,$B72,Пул!$L$5:$L$300,"Закрыт")=0,"",ROUND(SUMIFS(Пул!$I$5:$I$300,Пул!$E$5:$E$300,$B72,Пул!$L$5:$L$300,"Закрыт"),8)))</f>
        <v/>
      </c>
      <c r="G72" s="246">
        <f>IF($B72="","",IF(COUNTIFS(Пул!$E$5:$E$300,$B72,Пул!$L$5:$L$300,"Закрыт")=0,"",ROUND(SUMIFS(Пул!$J$5:$J$300,Пул!$E$5:$E$300,$B72,Пул!$L$5:$L$300,"Закрыт"),8)))</f>
        <v/>
      </c>
      <c r="H72" s="247">
        <f>IF($B72="","",IF(COUNTIFS(Пул!$E$5:$E$300,$B72,Пул!$L$5:$L$300,"Закрыт")=0,"",ROUND(SUMIFS(Пул!$K$5:$K$300,Пул!$E$5:$E$300,$B72,Пул!$L$5:$L$300,"Закрыт"),8)))</f>
        <v/>
      </c>
      <c r="I72" s="242">
        <f>IF(AND(ISNUMBER(G72),ISNUMBER(H72)),IF(AND(G72&gt;0,H72&lt;0),"Buy",IF(AND(G72&lt;0,H72&gt;0),"Sell","")),"")</f>
        <v/>
      </c>
      <c r="J72" s="183">
        <f>IF(I72="Buy",G72,IF(I72="Sell",-G72,""))</f>
        <v/>
      </c>
      <c r="K72" s="183">
        <f>IF(AND(ISNUMBER(J72),ISNUMBER(L72),N(J72)&lt;&gt;0),ROUND(L72/J72,8),"")</f>
        <v/>
      </c>
      <c r="L72" s="183">
        <f>IF(I72="Buy",-H72,IF(I72="Sell",H72,""))</f>
        <v/>
      </c>
    </row>
    <row r="73" ht="22" customHeight="1">
      <c r="B73" s="315" t="n"/>
      <c r="C73" s="240">
        <f>IF($B73="","",IF(COUNTIFS(Пул!$E$5:$E$300,$B73,Пул!$F$5:$F$300,"&lt;&gt;")=0,"",ROUND(SUMIFS(Пул!$F$5:$F$300,Пул!$E$5:$E$300,$B73),8)))</f>
        <v/>
      </c>
      <c r="D73" s="241">
        <f>IF($B73="","",IF(COUNTIFS(Пул!$E$5:$E$300,$B73,Пул!$G$5:$G$300,"&lt;&gt;")=0,"",ROUND(SUMIFS(Пул!$G$5:$G$300,Пул!$E$5:$E$300,$B73),8)))</f>
        <v/>
      </c>
      <c r="E73" s="240">
        <f>IF($B73="","",IF(COUNTIFS(Пул!$E$5:$E$300,$B73,Пул!$L$5:$L$300,"Закрыт")=0,"",ROUND(SUMIFS(Пул!$H$5:$H$300,Пул!$E$5:$E$300,$B73,Пул!$L$5:$L$300,"Закрыт"),8)))</f>
        <v/>
      </c>
      <c r="F73" s="241">
        <f>IF($B73="","",IF(COUNTIFS(Пул!$E$5:$E$300,$B73,Пул!$L$5:$L$300,"Закрыт")=0,"",ROUND(SUMIFS(Пул!$I$5:$I$300,Пул!$E$5:$E$300,$B73,Пул!$L$5:$L$300,"Закрыт"),8)))</f>
        <v/>
      </c>
      <c r="G73" s="240">
        <f>IF($B73="","",IF(COUNTIFS(Пул!$E$5:$E$300,$B73,Пул!$L$5:$L$300,"Закрыт")=0,"",ROUND(SUMIFS(Пул!$J$5:$J$300,Пул!$E$5:$E$300,$B73,Пул!$L$5:$L$300,"Закрыт"),8)))</f>
        <v/>
      </c>
      <c r="H73" s="241">
        <f>IF($B73="","",IF(COUNTIFS(Пул!$E$5:$E$300,$B73,Пул!$L$5:$L$300,"Закрыт")=0,"",ROUND(SUMIFS(Пул!$K$5:$K$300,Пул!$E$5:$E$300,$B73,Пул!$L$5:$L$300,"Закрыт"),8)))</f>
        <v/>
      </c>
      <c r="I73" s="236">
        <f>IF(AND(ISNUMBER(G73),ISNUMBER(H73)),IF(AND(G73&gt;0,H73&lt;0),"Buy",IF(AND(G73&lt;0,H73&gt;0),"Sell","")),"")</f>
        <v/>
      </c>
      <c r="J73" s="177">
        <f>IF(I73="Buy",G73,IF(I73="Sell",-G73,""))</f>
        <v/>
      </c>
      <c r="K73" s="177">
        <f>IF(AND(ISNUMBER(J73),ISNUMBER(L73),N(J73)&lt;&gt;0),ROUND(L73/J73,8),"")</f>
        <v/>
      </c>
      <c r="L73" s="177">
        <f>IF(I73="Buy",-H73,IF(I73="Sell",H73,""))</f>
        <v/>
      </c>
    </row>
    <row r="74" ht="22" customHeight="1">
      <c r="B74" s="320" t="n"/>
      <c r="C74" s="246">
        <f>IF($B74="","",IF(COUNTIFS(Пул!$E$5:$E$300,$B74,Пул!$F$5:$F$300,"&lt;&gt;")=0,"",ROUND(SUMIFS(Пул!$F$5:$F$300,Пул!$E$5:$E$300,$B74),8)))</f>
        <v/>
      </c>
      <c r="D74" s="247">
        <f>IF($B74="","",IF(COUNTIFS(Пул!$E$5:$E$300,$B74,Пул!$G$5:$G$300,"&lt;&gt;")=0,"",ROUND(SUMIFS(Пул!$G$5:$G$300,Пул!$E$5:$E$300,$B74),8)))</f>
        <v/>
      </c>
      <c r="E74" s="246">
        <f>IF($B74="","",IF(COUNTIFS(Пул!$E$5:$E$300,$B74,Пул!$L$5:$L$300,"Закрыт")=0,"",ROUND(SUMIFS(Пул!$H$5:$H$300,Пул!$E$5:$E$300,$B74,Пул!$L$5:$L$300,"Закрыт"),8)))</f>
        <v/>
      </c>
      <c r="F74" s="247">
        <f>IF($B74="","",IF(COUNTIFS(Пул!$E$5:$E$300,$B74,Пул!$L$5:$L$300,"Закрыт")=0,"",ROUND(SUMIFS(Пул!$I$5:$I$300,Пул!$E$5:$E$300,$B74,Пул!$L$5:$L$300,"Закрыт"),8)))</f>
        <v/>
      </c>
      <c r="G74" s="246">
        <f>IF($B74="","",IF(COUNTIFS(Пул!$E$5:$E$300,$B74,Пул!$L$5:$L$300,"Закрыт")=0,"",ROUND(SUMIFS(Пул!$J$5:$J$300,Пул!$E$5:$E$300,$B74,Пул!$L$5:$L$300,"Закрыт"),8)))</f>
        <v/>
      </c>
      <c r="H74" s="247">
        <f>IF($B74="","",IF(COUNTIFS(Пул!$E$5:$E$300,$B74,Пул!$L$5:$L$300,"Закрыт")=0,"",ROUND(SUMIFS(Пул!$K$5:$K$300,Пул!$E$5:$E$300,$B74,Пул!$L$5:$L$300,"Закрыт"),8)))</f>
        <v/>
      </c>
      <c r="I74" s="242">
        <f>IF(AND(ISNUMBER(G74),ISNUMBER(H74)),IF(AND(G74&gt;0,H74&lt;0),"Buy",IF(AND(G74&lt;0,H74&gt;0),"Sell","")),"")</f>
        <v/>
      </c>
      <c r="J74" s="183">
        <f>IF(I74="Buy",G74,IF(I74="Sell",-G74,""))</f>
        <v/>
      </c>
      <c r="K74" s="183">
        <f>IF(AND(ISNUMBER(J74),ISNUMBER(L74),N(J74)&lt;&gt;0),ROUND(L74/J74,8),"")</f>
        <v/>
      </c>
      <c r="L74" s="183">
        <f>IF(I74="Buy",-H74,IF(I74="Sell",H74,""))</f>
        <v/>
      </c>
    </row>
    <row r="75" ht="22" customHeight="1">
      <c r="B75" s="315" t="n"/>
      <c r="C75" s="240">
        <f>IF($B75="","",IF(COUNTIFS(Пул!$E$5:$E$300,$B75,Пул!$F$5:$F$300,"&lt;&gt;")=0,"",ROUND(SUMIFS(Пул!$F$5:$F$300,Пул!$E$5:$E$300,$B75),8)))</f>
        <v/>
      </c>
      <c r="D75" s="241">
        <f>IF($B75="","",IF(COUNTIFS(Пул!$E$5:$E$300,$B75,Пул!$G$5:$G$300,"&lt;&gt;")=0,"",ROUND(SUMIFS(Пул!$G$5:$G$300,Пул!$E$5:$E$300,$B75),8)))</f>
        <v/>
      </c>
      <c r="E75" s="240">
        <f>IF($B75="","",IF(COUNTIFS(Пул!$E$5:$E$300,$B75,Пул!$L$5:$L$300,"Закрыт")=0,"",ROUND(SUMIFS(Пул!$H$5:$H$300,Пул!$E$5:$E$300,$B75,Пул!$L$5:$L$300,"Закрыт"),8)))</f>
        <v/>
      </c>
      <c r="F75" s="241">
        <f>IF($B75="","",IF(COUNTIFS(Пул!$E$5:$E$300,$B75,Пул!$L$5:$L$300,"Закрыт")=0,"",ROUND(SUMIFS(Пул!$I$5:$I$300,Пул!$E$5:$E$300,$B75,Пул!$L$5:$L$300,"Закрыт"),8)))</f>
        <v/>
      </c>
      <c r="G75" s="240">
        <f>IF($B75="","",IF(COUNTIFS(Пул!$E$5:$E$300,$B75,Пул!$L$5:$L$300,"Закрыт")=0,"",ROUND(SUMIFS(Пул!$J$5:$J$300,Пул!$E$5:$E$300,$B75,Пул!$L$5:$L$300,"Закрыт"),8)))</f>
        <v/>
      </c>
      <c r="H75" s="241">
        <f>IF($B75="","",IF(COUNTIFS(Пул!$E$5:$E$300,$B75,Пул!$L$5:$L$300,"Закрыт")=0,"",ROUND(SUMIFS(Пул!$K$5:$K$300,Пул!$E$5:$E$300,$B75,Пул!$L$5:$L$300,"Закрыт"),8)))</f>
        <v/>
      </c>
      <c r="I75" s="236">
        <f>IF(AND(ISNUMBER(G75),ISNUMBER(H75)),IF(AND(G75&gt;0,H75&lt;0),"Buy",IF(AND(G75&lt;0,H75&gt;0),"Sell","")),"")</f>
        <v/>
      </c>
      <c r="J75" s="177">
        <f>IF(I75="Buy",G75,IF(I75="Sell",-G75,""))</f>
        <v/>
      </c>
      <c r="K75" s="177">
        <f>IF(AND(ISNUMBER(J75),ISNUMBER(L75),N(J75)&lt;&gt;0),ROUND(L75/J75,8),"")</f>
        <v/>
      </c>
      <c r="L75" s="177">
        <f>IF(I75="Buy",-H75,IF(I75="Sell",H75,""))</f>
        <v/>
      </c>
    </row>
    <row r="76" ht="22" customHeight="1">
      <c r="B76" s="320" t="n"/>
      <c r="C76" s="246">
        <f>IF($B76="","",IF(COUNTIFS(Пул!$E$5:$E$300,$B76,Пул!$F$5:$F$300,"&lt;&gt;")=0,"",ROUND(SUMIFS(Пул!$F$5:$F$300,Пул!$E$5:$E$300,$B76),8)))</f>
        <v/>
      </c>
      <c r="D76" s="247">
        <f>IF($B76="","",IF(COUNTIFS(Пул!$E$5:$E$300,$B76,Пул!$G$5:$G$300,"&lt;&gt;")=0,"",ROUND(SUMIFS(Пул!$G$5:$G$300,Пул!$E$5:$E$300,$B76),8)))</f>
        <v/>
      </c>
      <c r="E76" s="246">
        <f>IF($B76="","",IF(COUNTIFS(Пул!$E$5:$E$300,$B76,Пул!$L$5:$L$300,"Закрыт")=0,"",ROUND(SUMIFS(Пул!$H$5:$H$300,Пул!$E$5:$E$300,$B76,Пул!$L$5:$L$300,"Закрыт"),8)))</f>
        <v/>
      </c>
      <c r="F76" s="247">
        <f>IF($B76="","",IF(COUNTIFS(Пул!$E$5:$E$300,$B76,Пул!$L$5:$L$300,"Закрыт")=0,"",ROUND(SUMIFS(Пул!$I$5:$I$300,Пул!$E$5:$E$300,$B76,Пул!$L$5:$L$300,"Закрыт"),8)))</f>
        <v/>
      </c>
      <c r="G76" s="246">
        <f>IF($B76="","",IF(COUNTIFS(Пул!$E$5:$E$300,$B76,Пул!$L$5:$L$300,"Закрыт")=0,"",ROUND(SUMIFS(Пул!$J$5:$J$300,Пул!$E$5:$E$300,$B76,Пул!$L$5:$L$300,"Закрыт"),8)))</f>
        <v/>
      </c>
      <c r="H76" s="247">
        <f>IF($B76="","",IF(COUNTIFS(Пул!$E$5:$E$300,$B76,Пул!$L$5:$L$300,"Закрыт")=0,"",ROUND(SUMIFS(Пул!$K$5:$K$300,Пул!$E$5:$E$300,$B76,Пул!$L$5:$L$300,"Закрыт"),8)))</f>
        <v/>
      </c>
      <c r="I76" s="242">
        <f>IF(AND(ISNUMBER(G76),ISNUMBER(H76)),IF(AND(G76&gt;0,H76&lt;0),"Buy",IF(AND(G76&lt;0,H76&gt;0),"Sell","")),"")</f>
        <v/>
      </c>
      <c r="J76" s="183">
        <f>IF(I76="Buy",G76,IF(I76="Sell",-G76,""))</f>
        <v/>
      </c>
      <c r="K76" s="183">
        <f>IF(AND(ISNUMBER(J76),ISNUMBER(L76),N(J76)&lt;&gt;0),ROUND(L76/J76,8),"")</f>
        <v/>
      </c>
      <c r="L76" s="183">
        <f>IF(I76="Buy",-H76,IF(I76="Sell",H76,""))</f>
        <v/>
      </c>
    </row>
    <row r="77" ht="22" customHeight="1">
      <c r="B77" s="315" t="n"/>
      <c r="C77" s="240">
        <f>IF($B77="","",IF(COUNTIFS(Пул!$E$5:$E$300,$B77,Пул!$F$5:$F$300,"&lt;&gt;")=0,"",ROUND(SUMIFS(Пул!$F$5:$F$300,Пул!$E$5:$E$300,$B77),8)))</f>
        <v/>
      </c>
      <c r="D77" s="241">
        <f>IF($B77="","",IF(COUNTIFS(Пул!$E$5:$E$300,$B77,Пул!$G$5:$G$300,"&lt;&gt;")=0,"",ROUND(SUMIFS(Пул!$G$5:$G$300,Пул!$E$5:$E$300,$B77),8)))</f>
        <v/>
      </c>
      <c r="E77" s="240">
        <f>IF($B77="","",IF(COUNTIFS(Пул!$E$5:$E$300,$B77,Пул!$L$5:$L$300,"Закрыт")=0,"",ROUND(SUMIFS(Пул!$H$5:$H$300,Пул!$E$5:$E$300,$B77,Пул!$L$5:$L$300,"Закрыт"),8)))</f>
        <v/>
      </c>
      <c r="F77" s="241">
        <f>IF($B77="","",IF(COUNTIFS(Пул!$E$5:$E$300,$B77,Пул!$L$5:$L$300,"Закрыт")=0,"",ROUND(SUMIFS(Пул!$I$5:$I$300,Пул!$E$5:$E$300,$B77,Пул!$L$5:$L$300,"Закрыт"),8)))</f>
        <v/>
      </c>
      <c r="G77" s="240">
        <f>IF($B77="","",IF(COUNTIFS(Пул!$E$5:$E$300,$B77,Пул!$L$5:$L$300,"Закрыт")=0,"",ROUND(SUMIFS(Пул!$J$5:$J$300,Пул!$E$5:$E$300,$B77,Пул!$L$5:$L$300,"Закрыт"),8)))</f>
        <v/>
      </c>
      <c r="H77" s="241">
        <f>IF($B77="","",IF(COUNTIFS(Пул!$E$5:$E$300,$B77,Пул!$L$5:$L$300,"Закрыт")=0,"",ROUND(SUMIFS(Пул!$K$5:$K$300,Пул!$E$5:$E$300,$B77,Пул!$L$5:$L$300,"Закрыт"),8)))</f>
        <v/>
      </c>
      <c r="I77" s="236">
        <f>IF(AND(ISNUMBER(G77),ISNUMBER(H77)),IF(AND(G77&gt;0,H77&lt;0),"Buy",IF(AND(G77&lt;0,H77&gt;0),"Sell","")),"")</f>
        <v/>
      </c>
      <c r="J77" s="177">
        <f>IF(I77="Buy",G77,IF(I77="Sell",-G77,""))</f>
        <v/>
      </c>
      <c r="K77" s="177">
        <f>IF(AND(ISNUMBER(J77),ISNUMBER(L77),N(J77)&lt;&gt;0),ROUND(L77/J77,8),"")</f>
        <v/>
      </c>
      <c r="L77" s="177">
        <f>IF(I77="Buy",-H77,IF(I77="Sell",H77,""))</f>
        <v/>
      </c>
    </row>
    <row r="78" ht="22" customHeight="1">
      <c r="B78" s="320" t="n"/>
      <c r="C78" s="246">
        <f>IF($B78="","",IF(COUNTIFS(Пул!$E$5:$E$300,$B78,Пул!$F$5:$F$300,"&lt;&gt;")=0,"",ROUND(SUMIFS(Пул!$F$5:$F$300,Пул!$E$5:$E$300,$B78),8)))</f>
        <v/>
      </c>
      <c r="D78" s="247">
        <f>IF($B78="","",IF(COUNTIFS(Пул!$E$5:$E$300,$B78,Пул!$G$5:$G$300,"&lt;&gt;")=0,"",ROUND(SUMIFS(Пул!$G$5:$G$300,Пул!$E$5:$E$300,$B78),8)))</f>
        <v/>
      </c>
      <c r="E78" s="246">
        <f>IF($B78="","",IF(COUNTIFS(Пул!$E$5:$E$300,$B78,Пул!$L$5:$L$300,"Закрыт")=0,"",ROUND(SUMIFS(Пул!$H$5:$H$300,Пул!$E$5:$E$300,$B78,Пул!$L$5:$L$300,"Закрыт"),8)))</f>
        <v/>
      </c>
      <c r="F78" s="247">
        <f>IF($B78="","",IF(COUNTIFS(Пул!$E$5:$E$300,$B78,Пул!$L$5:$L$300,"Закрыт")=0,"",ROUND(SUMIFS(Пул!$I$5:$I$300,Пул!$E$5:$E$300,$B78,Пул!$L$5:$L$300,"Закрыт"),8)))</f>
        <v/>
      </c>
      <c r="G78" s="246">
        <f>IF($B78="","",IF(COUNTIFS(Пул!$E$5:$E$300,$B78,Пул!$L$5:$L$300,"Закрыт")=0,"",ROUND(SUMIFS(Пул!$J$5:$J$300,Пул!$E$5:$E$300,$B78,Пул!$L$5:$L$300,"Закрыт"),8)))</f>
        <v/>
      </c>
      <c r="H78" s="247">
        <f>IF($B78="","",IF(COUNTIFS(Пул!$E$5:$E$300,$B78,Пул!$L$5:$L$300,"Закрыт")=0,"",ROUND(SUMIFS(Пул!$K$5:$K$300,Пул!$E$5:$E$300,$B78,Пул!$L$5:$L$300,"Закрыт"),8)))</f>
        <v/>
      </c>
      <c r="I78" s="242">
        <f>IF(AND(ISNUMBER(G78),ISNUMBER(H78)),IF(AND(G78&gt;0,H78&lt;0),"Buy",IF(AND(G78&lt;0,H78&gt;0),"Sell","")),"")</f>
        <v/>
      </c>
      <c r="J78" s="183">
        <f>IF(I78="Buy",G78,IF(I78="Sell",-G78,""))</f>
        <v/>
      </c>
      <c r="K78" s="183">
        <f>IF(AND(ISNUMBER(J78),ISNUMBER(L78),N(J78)&lt;&gt;0),ROUND(L78/J78,8),"")</f>
        <v/>
      </c>
      <c r="L78" s="183">
        <f>IF(I78="Buy",-H78,IF(I78="Sell",H78,""))</f>
        <v/>
      </c>
    </row>
    <row r="79" ht="22" customHeight="1">
      <c r="B79" s="315" t="n"/>
      <c r="C79" s="240">
        <f>IF($B79="","",IF(COUNTIFS(Пул!$E$5:$E$300,$B79,Пул!$F$5:$F$300,"&lt;&gt;")=0,"",ROUND(SUMIFS(Пул!$F$5:$F$300,Пул!$E$5:$E$300,$B79),8)))</f>
        <v/>
      </c>
      <c r="D79" s="241">
        <f>IF($B79="","",IF(COUNTIFS(Пул!$E$5:$E$300,$B79,Пул!$G$5:$G$300,"&lt;&gt;")=0,"",ROUND(SUMIFS(Пул!$G$5:$G$300,Пул!$E$5:$E$300,$B79),8)))</f>
        <v/>
      </c>
      <c r="E79" s="240">
        <f>IF($B79="","",IF(COUNTIFS(Пул!$E$5:$E$300,$B79,Пул!$L$5:$L$300,"Закрыт")=0,"",ROUND(SUMIFS(Пул!$H$5:$H$300,Пул!$E$5:$E$300,$B79,Пул!$L$5:$L$300,"Закрыт"),8)))</f>
        <v/>
      </c>
      <c r="F79" s="241">
        <f>IF($B79="","",IF(COUNTIFS(Пул!$E$5:$E$300,$B79,Пул!$L$5:$L$300,"Закрыт")=0,"",ROUND(SUMIFS(Пул!$I$5:$I$300,Пул!$E$5:$E$300,$B79,Пул!$L$5:$L$300,"Закрыт"),8)))</f>
        <v/>
      </c>
      <c r="G79" s="240">
        <f>IF($B79="","",IF(COUNTIFS(Пул!$E$5:$E$300,$B79,Пул!$L$5:$L$300,"Закрыт")=0,"",ROUND(SUMIFS(Пул!$J$5:$J$300,Пул!$E$5:$E$300,$B79,Пул!$L$5:$L$300,"Закрыт"),8)))</f>
        <v/>
      </c>
      <c r="H79" s="241">
        <f>IF($B79="","",IF(COUNTIFS(Пул!$E$5:$E$300,$B79,Пул!$L$5:$L$300,"Закрыт")=0,"",ROUND(SUMIFS(Пул!$K$5:$K$300,Пул!$E$5:$E$300,$B79,Пул!$L$5:$L$300,"Закрыт"),8)))</f>
        <v/>
      </c>
      <c r="I79" s="236">
        <f>IF(AND(ISNUMBER(G79),ISNUMBER(H79)),IF(AND(G79&gt;0,H79&lt;0),"Buy",IF(AND(G79&lt;0,H79&gt;0),"Sell","")),"")</f>
        <v/>
      </c>
      <c r="J79" s="177">
        <f>IF(I79="Buy",G79,IF(I79="Sell",-G79,""))</f>
        <v/>
      </c>
      <c r="K79" s="177">
        <f>IF(AND(ISNUMBER(J79),ISNUMBER(L79),N(J79)&lt;&gt;0),ROUND(L79/J79,8),"")</f>
        <v/>
      </c>
      <c r="L79" s="177">
        <f>IF(I79="Buy",-H79,IF(I79="Sell",H79,""))</f>
        <v/>
      </c>
    </row>
    <row r="80" ht="22" customHeight="1">
      <c r="B80" s="320" t="n"/>
      <c r="C80" s="246">
        <f>IF($B80="","",IF(COUNTIFS(Пул!$E$5:$E$300,$B80,Пул!$F$5:$F$300,"&lt;&gt;")=0,"",ROUND(SUMIFS(Пул!$F$5:$F$300,Пул!$E$5:$E$300,$B80),8)))</f>
        <v/>
      </c>
      <c r="D80" s="247">
        <f>IF($B80="","",IF(COUNTIFS(Пул!$E$5:$E$300,$B80,Пул!$G$5:$G$300,"&lt;&gt;")=0,"",ROUND(SUMIFS(Пул!$G$5:$G$300,Пул!$E$5:$E$300,$B80),8)))</f>
        <v/>
      </c>
      <c r="E80" s="246">
        <f>IF($B80="","",IF(COUNTIFS(Пул!$E$5:$E$300,$B80,Пул!$L$5:$L$300,"Закрыт")=0,"",ROUND(SUMIFS(Пул!$H$5:$H$300,Пул!$E$5:$E$300,$B80,Пул!$L$5:$L$300,"Закрыт"),8)))</f>
        <v/>
      </c>
      <c r="F80" s="247">
        <f>IF($B80="","",IF(COUNTIFS(Пул!$E$5:$E$300,$B80,Пул!$L$5:$L$300,"Закрыт")=0,"",ROUND(SUMIFS(Пул!$I$5:$I$300,Пул!$E$5:$E$300,$B80,Пул!$L$5:$L$300,"Закрыт"),8)))</f>
        <v/>
      </c>
      <c r="G80" s="246">
        <f>IF($B80="","",IF(COUNTIFS(Пул!$E$5:$E$300,$B80,Пул!$L$5:$L$300,"Закрыт")=0,"",ROUND(SUMIFS(Пул!$J$5:$J$300,Пул!$E$5:$E$300,$B80,Пул!$L$5:$L$300,"Закрыт"),8)))</f>
        <v/>
      </c>
      <c r="H80" s="247">
        <f>IF($B80="","",IF(COUNTIFS(Пул!$E$5:$E$300,$B80,Пул!$L$5:$L$300,"Закрыт")=0,"",ROUND(SUMIFS(Пул!$K$5:$K$300,Пул!$E$5:$E$300,$B80,Пул!$L$5:$L$300,"Закрыт"),8)))</f>
        <v/>
      </c>
      <c r="I80" s="242">
        <f>IF(AND(ISNUMBER(G80),ISNUMBER(H80)),IF(AND(G80&gt;0,H80&lt;0),"Buy",IF(AND(G80&lt;0,H80&gt;0),"Sell","")),"")</f>
        <v/>
      </c>
      <c r="J80" s="183">
        <f>IF(I80="Buy",G80,IF(I80="Sell",-G80,""))</f>
        <v/>
      </c>
      <c r="K80" s="183">
        <f>IF(AND(ISNUMBER(J80),ISNUMBER(L80),N(J80)&lt;&gt;0),ROUND(L80/J80,8),"")</f>
        <v/>
      </c>
      <c r="L80" s="183">
        <f>IF(I80="Buy",-H80,IF(I80="Sell",H80,""))</f>
        <v/>
      </c>
    </row>
    <row r="81" ht="22" customHeight="1">
      <c r="B81" s="315" t="n"/>
      <c r="C81" s="240">
        <f>IF($B81="","",IF(COUNTIFS(Пул!$E$5:$E$300,$B81,Пул!$F$5:$F$300,"&lt;&gt;")=0,"",ROUND(SUMIFS(Пул!$F$5:$F$300,Пул!$E$5:$E$300,$B81),8)))</f>
        <v/>
      </c>
      <c r="D81" s="241">
        <f>IF($B81="","",IF(COUNTIFS(Пул!$E$5:$E$300,$B81,Пул!$G$5:$G$300,"&lt;&gt;")=0,"",ROUND(SUMIFS(Пул!$G$5:$G$300,Пул!$E$5:$E$300,$B81),8)))</f>
        <v/>
      </c>
      <c r="E81" s="240">
        <f>IF($B81="","",IF(COUNTIFS(Пул!$E$5:$E$300,$B81,Пул!$L$5:$L$300,"Закрыт")=0,"",ROUND(SUMIFS(Пул!$H$5:$H$300,Пул!$E$5:$E$300,$B81,Пул!$L$5:$L$300,"Закрыт"),8)))</f>
        <v/>
      </c>
      <c r="F81" s="241">
        <f>IF($B81="","",IF(COUNTIFS(Пул!$E$5:$E$300,$B81,Пул!$L$5:$L$300,"Закрыт")=0,"",ROUND(SUMIFS(Пул!$I$5:$I$300,Пул!$E$5:$E$300,$B81,Пул!$L$5:$L$300,"Закрыт"),8)))</f>
        <v/>
      </c>
      <c r="G81" s="240">
        <f>IF($B81="","",IF(COUNTIFS(Пул!$E$5:$E$300,$B81,Пул!$L$5:$L$300,"Закрыт")=0,"",ROUND(SUMIFS(Пул!$J$5:$J$300,Пул!$E$5:$E$300,$B81,Пул!$L$5:$L$300,"Закрыт"),8)))</f>
        <v/>
      </c>
      <c r="H81" s="241">
        <f>IF($B81="","",IF(COUNTIFS(Пул!$E$5:$E$300,$B81,Пул!$L$5:$L$300,"Закрыт")=0,"",ROUND(SUMIFS(Пул!$K$5:$K$300,Пул!$E$5:$E$300,$B81,Пул!$L$5:$L$300,"Закрыт"),8)))</f>
        <v/>
      </c>
      <c r="I81" s="236">
        <f>IF(AND(ISNUMBER(G81),ISNUMBER(H81)),IF(AND(G81&gt;0,H81&lt;0),"Buy",IF(AND(G81&lt;0,H81&gt;0),"Sell","")),"")</f>
        <v/>
      </c>
      <c r="J81" s="177">
        <f>IF(I81="Buy",G81,IF(I81="Sell",-G81,""))</f>
        <v/>
      </c>
      <c r="K81" s="177">
        <f>IF(AND(ISNUMBER(J81),ISNUMBER(L81),N(J81)&lt;&gt;0),ROUND(L81/J81,8),"")</f>
        <v/>
      </c>
      <c r="L81" s="177">
        <f>IF(I81="Buy",-H81,IF(I81="Sell",H81,""))</f>
        <v/>
      </c>
    </row>
    <row r="82" ht="22" customHeight="1">
      <c r="B82" s="320" t="n"/>
      <c r="C82" s="246">
        <f>IF($B82="","",IF(COUNTIFS(Пул!$E$5:$E$300,$B82,Пул!$F$5:$F$300,"&lt;&gt;")=0,"",ROUND(SUMIFS(Пул!$F$5:$F$300,Пул!$E$5:$E$300,$B82),8)))</f>
        <v/>
      </c>
      <c r="D82" s="247">
        <f>IF($B82="","",IF(COUNTIFS(Пул!$E$5:$E$300,$B82,Пул!$G$5:$G$300,"&lt;&gt;")=0,"",ROUND(SUMIFS(Пул!$G$5:$G$300,Пул!$E$5:$E$300,$B82),8)))</f>
        <v/>
      </c>
      <c r="E82" s="246">
        <f>IF($B82="","",IF(COUNTIFS(Пул!$E$5:$E$300,$B82,Пул!$L$5:$L$300,"Закрыт")=0,"",ROUND(SUMIFS(Пул!$H$5:$H$300,Пул!$E$5:$E$300,$B82,Пул!$L$5:$L$300,"Закрыт"),8)))</f>
        <v/>
      </c>
      <c r="F82" s="247">
        <f>IF($B82="","",IF(COUNTIFS(Пул!$E$5:$E$300,$B82,Пул!$L$5:$L$300,"Закрыт")=0,"",ROUND(SUMIFS(Пул!$I$5:$I$300,Пул!$E$5:$E$300,$B82,Пул!$L$5:$L$300,"Закрыт"),8)))</f>
        <v/>
      </c>
      <c r="G82" s="246">
        <f>IF($B82="","",IF(COUNTIFS(Пул!$E$5:$E$300,$B82,Пул!$L$5:$L$300,"Закрыт")=0,"",ROUND(SUMIFS(Пул!$J$5:$J$300,Пул!$E$5:$E$300,$B82,Пул!$L$5:$L$300,"Закрыт"),8)))</f>
        <v/>
      </c>
      <c r="H82" s="247">
        <f>IF($B82="","",IF(COUNTIFS(Пул!$E$5:$E$300,$B82,Пул!$L$5:$L$300,"Закрыт")=0,"",ROUND(SUMIFS(Пул!$K$5:$K$300,Пул!$E$5:$E$300,$B82,Пул!$L$5:$L$300,"Закрыт"),8)))</f>
        <v/>
      </c>
      <c r="I82" s="242">
        <f>IF(AND(ISNUMBER(G82),ISNUMBER(H82)),IF(AND(G82&gt;0,H82&lt;0),"Buy",IF(AND(G82&lt;0,H82&gt;0),"Sell","")),"")</f>
        <v/>
      </c>
      <c r="J82" s="183">
        <f>IF(I82="Buy",G82,IF(I82="Sell",-G82,""))</f>
        <v/>
      </c>
      <c r="K82" s="183">
        <f>IF(AND(ISNUMBER(J82),ISNUMBER(L82),N(J82)&lt;&gt;0),ROUND(L82/J82,8),"")</f>
        <v/>
      </c>
      <c r="L82" s="183">
        <f>IF(I82="Buy",-H82,IF(I82="Sell",H82,""))</f>
        <v/>
      </c>
    </row>
    <row r="83" ht="22" customHeight="1">
      <c r="B83" s="315" t="n"/>
      <c r="C83" s="240">
        <f>IF($B83="","",IF(COUNTIFS(Пул!$E$5:$E$300,$B83,Пул!$F$5:$F$300,"&lt;&gt;")=0,"",ROUND(SUMIFS(Пул!$F$5:$F$300,Пул!$E$5:$E$300,$B83),8)))</f>
        <v/>
      </c>
      <c r="D83" s="241">
        <f>IF($B83="","",IF(COUNTIFS(Пул!$E$5:$E$300,$B83,Пул!$G$5:$G$300,"&lt;&gt;")=0,"",ROUND(SUMIFS(Пул!$G$5:$G$300,Пул!$E$5:$E$300,$B83),8)))</f>
        <v/>
      </c>
      <c r="E83" s="240">
        <f>IF($B83="","",IF(COUNTIFS(Пул!$E$5:$E$300,$B83,Пул!$L$5:$L$300,"Закрыт")=0,"",ROUND(SUMIFS(Пул!$H$5:$H$300,Пул!$E$5:$E$300,$B83,Пул!$L$5:$L$300,"Закрыт"),8)))</f>
        <v/>
      </c>
      <c r="F83" s="241">
        <f>IF($B83="","",IF(COUNTIFS(Пул!$E$5:$E$300,$B83,Пул!$L$5:$L$300,"Закрыт")=0,"",ROUND(SUMIFS(Пул!$I$5:$I$300,Пул!$E$5:$E$300,$B83,Пул!$L$5:$L$300,"Закрыт"),8)))</f>
        <v/>
      </c>
      <c r="G83" s="240">
        <f>IF($B83="","",IF(COUNTIFS(Пул!$E$5:$E$300,$B83,Пул!$L$5:$L$300,"Закрыт")=0,"",ROUND(SUMIFS(Пул!$J$5:$J$300,Пул!$E$5:$E$300,$B83,Пул!$L$5:$L$300,"Закрыт"),8)))</f>
        <v/>
      </c>
      <c r="H83" s="241">
        <f>IF($B83="","",IF(COUNTIFS(Пул!$E$5:$E$300,$B83,Пул!$L$5:$L$300,"Закрыт")=0,"",ROUND(SUMIFS(Пул!$K$5:$K$300,Пул!$E$5:$E$300,$B83,Пул!$L$5:$L$300,"Закрыт"),8)))</f>
        <v/>
      </c>
      <c r="I83" s="236">
        <f>IF(AND(ISNUMBER(G83),ISNUMBER(H83)),IF(AND(G83&gt;0,H83&lt;0),"Buy",IF(AND(G83&lt;0,H83&gt;0),"Sell","")),"")</f>
        <v/>
      </c>
      <c r="J83" s="177">
        <f>IF(I83="Buy",G83,IF(I83="Sell",-G83,""))</f>
        <v/>
      </c>
      <c r="K83" s="177">
        <f>IF(AND(ISNUMBER(J83),ISNUMBER(L83),N(J83)&lt;&gt;0),ROUND(L83/J83,8),"")</f>
        <v/>
      </c>
      <c r="L83" s="177">
        <f>IF(I83="Buy",-H83,IF(I83="Sell",H83,""))</f>
        <v/>
      </c>
    </row>
    <row r="84" ht="22" customHeight="1">
      <c r="B84" s="320" t="n"/>
      <c r="C84" s="246">
        <f>IF($B84="","",IF(COUNTIFS(Пул!$E$5:$E$300,$B84,Пул!$F$5:$F$300,"&lt;&gt;")=0,"",ROUND(SUMIFS(Пул!$F$5:$F$300,Пул!$E$5:$E$300,$B84),8)))</f>
        <v/>
      </c>
      <c r="D84" s="247">
        <f>IF($B84="","",IF(COUNTIFS(Пул!$E$5:$E$300,$B84,Пул!$G$5:$G$300,"&lt;&gt;")=0,"",ROUND(SUMIFS(Пул!$G$5:$G$300,Пул!$E$5:$E$300,$B84),8)))</f>
        <v/>
      </c>
      <c r="E84" s="246">
        <f>IF($B84="","",IF(COUNTIFS(Пул!$E$5:$E$300,$B84,Пул!$L$5:$L$300,"Закрыт")=0,"",ROUND(SUMIFS(Пул!$H$5:$H$300,Пул!$E$5:$E$300,$B84,Пул!$L$5:$L$300,"Закрыт"),8)))</f>
        <v/>
      </c>
      <c r="F84" s="247">
        <f>IF($B84="","",IF(COUNTIFS(Пул!$E$5:$E$300,$B84,Пул!$L$5:$L$300,"Закрыт")=0,"",ROUND(SUMIFS(Пул!$I$5:$I$300,Пул!$E$5:$E$300,$B84,Пул!$L$5:$L$300,"Закрыт"),8)))</f>
        <v/>
      </c>
      <c r="G84" s="246">
        <f>IF($B84="","",IF(COUNTIFS(Пул!$E$5:$E$300,$B84,Пул!$L$5:$L$300,"Закрыт")=0,"",ROUND(SUMIFS(Пул!$J$5:$J$300,Пул!$E$5:$E$300,$B84,Пул!$L$5:$L$300,"Закрыт"),8)))</f>
        <v/>
      </c>
      <c r="H84" s="247">
        <f>IF($B84="","",IF(COUNTIFS(Пул!$E$5:$E$300,$B84,Пул!$L$5:$L$300,"Закрыт")=0,"",ROUND(SUMIFS(Пул!$K$5:$K$300,Пул!$E$5:$E$300,$B84,Пул!$L$5:$L$300,"Закрыт"),8)))</f>
        <v/>
      </c>
      <c r="I84" s="242">
        <f>IF(AND(ISNUMBER(G84),ISNUMBER(H84)),IF(AND(G84&gt;0,H84&lt;0),"Buy",IF(AND(G84&lt;0,H84&gt;0),"Sell","")),"")</f>
        <v/>
      </c>
      <c r="J84" s="183">
        <f>IF(I84="Buy",G84,IF(I84="Sell",-G84,""))</f>
        <v/>
      </c>
      <c r="K84" s="183">
        <f>IF(AND(ISNUMBER(J84),ISNUMBER(L84),N(J84)&lt;&gt;0),ROUND(L84/J84,8),"")</f>
        <v/>
      </c>
      <c r="L84" s="183">
        <f>IF(I84="Buy",-H84,IF(I84="Sell",H84,""))</f>
        <v/>
      </c>
    </row>
    <row r="85" ht="22" customHeight="1">
      <c r="B85" s="315" t="n"/>
      <c r="C85" s="240">
        <f>IF($B85="","",IF(COUNTIFS(Пул!$E$5:$E$300,$B85,Пул!$F$5:$F$300,"&lt;&gt;")=0,"",ROUND(SUMIFS(Пул!$F$5:$F$300,Пул!$E$5:$E$300,$B85),8)))</f>
        <v/>
      </c>
      <c r="D85" s="241">
        <f>IF($B85="","",IF(COUNTIFS(Пул!$E$5:$E$300,$B85,Пул!$G$5:$G$300,"&lt;&gt;")=0,"",ROUND(SUMIFS(Пул!$G$5:$G$300,Пул!$E$5:$E$300,$B85),8)))</f>
        <v/>
      </c>
      <c r="E85" s="240">
        <f>IF($B85="","",IF(COUNTIFS(Пул!$E$5:$E$300,$B85,Пул!$L$5:$L$300,"Закрыт")=0,"",ROUND(SUMIFS(Пул!$H$5:$H$300,Пул!$E$5:$E$300,$B85,Пул!$L$5:$L$300,"Закрыт"),8)))</f>
        <v/>
      </c>
      <c r="F85" s="241">
        <f>IF($B85="","",IF(COUNTIFS(Пул!$E$5:$E$300,$B85,Пул!$L$5:$L$300,"Закрыт")=0,"",ROUND(SUMIFS(Пул!$I$5:$I$300,Пул!$E$5:$E$300,$B85,Пул!$L$5:$L$300,"Закрыт"),8)))</f>
        <v/>
      </c>
      <c r="G85" s="240">
        <f>IF($B85="","",IF(COUNTIFS(Пул!$E$5:$E$300,$B85,Пул!$L$5:$L$300,"Закрыт")=0,"",ROUND(SUMIFS(Пул!$J$5:$J$300,Пул!$E$5:$E$300,$B85,Пул!$L$5:$L$300,"Закрыт"),8)))</f>
        <v/>
      </c>
      <c r="H85" s="241">
        <f>IF($B85="","",IF(COUNTIFS(Пул!$E$5:$E$300,$B85,Пул!$L$5:$L$300,"Закрыт")=0,"",ROUND(SUMIFS(Пул!$K$5:$K$300,Пул!$E$5:$E$300,$B85,Пул!$L$5:$L$300,"Закрыт"),8)))</f>
        <v/>
      </c>
      <c r="I85" s="236">
        <f>IF(AND(ISNUMBER(G85),ISNUMBER(H85)),IF(AND(G85&gt;0,H85&lt;0),"Buy",IF(AND(G85&lt;0,H85&gt;0),"Sell","")),"")</f>
        <v/>
      </c>
      <c r="J85" s="177">
        <f>IF(I85="Buy",G85,IF(I85="Sell",-G85,""))</f>
        <v/>
      </c>
      <c r="K85" s="177">
        <f>IF(AND(ISNUMBER(J85),ISNUMBER(L85),N(J85)&lt;&gt;0),ROUND(L85/J85,8),"")</f>
        <v/>
      </c>
      <c r="L85" s="177">
        <f>IF(I85="Buy",-H85,IF(I85="Sell",H85,""))</f>
        <v/>
      </c>
    </row>
    <row r="86" ht="22" customHeight="1">
      <c r="B86" s="320" t="n"/>
      <c r="C86" s="246">
        <f>IF($B86="","",IF(COUNTIFS(Пул!$E$5:$E$300,$B86,Пул!$F$5:$F$300,"&lt;&gt;")=0,"",ROUND(SUMIFS(Пул!$F$5:$F$300,Пул!$E$5:$E$300,$B86),8)))</f>
        <v/>
      </c>
      <c r="D86" s="247">
        <f>IF($B86="","",IF(COUNTIFS(Пул!$E$5:$E$300,$B86,Пул!$G$5:$G$300,"&lt;&gt;")=0,"",ROUND(SUMIFS(Пул!$G$5:$G$300,Пул!$E$5:$E$300,$B86),8)))</f>
        <v/>
      </c>
      <c r="E86" s="246">
        <f>IF($B86="","",IF(COUNTIFS(Пул!$E$5:$E$300,$B86,Пул!$L$5:$L$300,"Закрыт")=0,"",ROUND(SUMIFS(Пул!$H$5:$H$300,Пул!$E$5:$E$300,$B86,Пул!$L$5:$L$300,"Закрыт"),8)))</f>
        <v/>
      </c>
      <c r="F86" s="247">
        <f>IF($B86="","",IF(COUNTIFS(Пул!$E$5:$E$300,$B86,Пул!$L$5:$L$300,"Закрыт")=0,"",ROUND(SUMIFS(Пул!$I$5:$I$300,Пул!$E$5:$E$300,$B86,Пул!$L$5:$L$300,"Закрыт"),8)))</f>
        <v/>
      </c>
      <c r="G86" s="246">
        <f>IF($B86="","",IF(COUNTIFS(Пул!$E$5:$E$300,$B86,Пул!$L$5:$L$300,"Закрыт")=0,"",ROUND(SUMIFS(Пул!$J$5:$J$300,Пул!$E$5:$E$300,$B86,Пул!$L$5:$L$300,"Закрыт"),8)))</f>
        <v/>
      </c>
      <c r="H86" s="247">
        <f>IF($B86="","",IF(COUNTIFS(Пул!$E$5:$E$300,$B86,Пул!$L$5:$L$300,"Закрыт")=0,"",ROUND(SUMIFS(Пул!$K$5:$K$300,Пул!$E$5:$E$300,$B86,Пул!$L$5:$L$300,"Закрыт"),8)))</f>
        <v/>
      </c>
      <c r="I86" s="242">
        <f>IF(AND(ISNUMBER(G86),ISNUMBER(H86)),IF(AND(G86&gt;0,H86&lt;0),"Buy",IF(AND(G86&lt;0,H86&gt;0),"Sell","")),"")</f>
        <v/>
      </c>
      <c r="J86" s="183">
        <f>IF(I86="Buy",G86,IF(I86="Sell",-G86,""))</f>
        <v/>
      </c>
      <c r="K86" s="183">
        <f>IF(AND(ISNUMBER(J86),ISNUMBER(L86),N(J86)&lt;&gt;0),ROUND(L86/J86,8),"")</f>
        <v/>
      </c>
      <c r="L86" s="183">
        <f>IF(I86="Buy",-H86,IF(I86="Sell",H86,""))</f>
        <v/>
      </c>
    </row>
    <row r="87" ht="22" customHeight="1">
      <c r="B87" s="315" t="n"/>
      <c r="C87" s="240">
        <f>IF($B87="","",IF(COUNTIFS(Пул!$E$5:$E$300,$B87,Пул!$F$5:$F$300,"&lt;&gt;")=0,"",ROUND(SUMIFS(Пул!$F$5:$F$300,Пул!$E$5:$E$300,$B87),8)))</f>
        <v/>
      </c>
      <c r="D87" s="241">
        <f>IF($B87="","",IF(COUNTIFS(Пул!$E$5:$E$300,$B87,Пул!$G$5:$G$300,"&lt;&gt;")=0,"",ROUND(SUMIFS(Пул!$G$5:$G$300,Пул!$E$5:$E$300,$B87),8)))</f>
        <v/>
      </c>
      <c r="E87" s="240">
        <f>IF($B87="","",IF(COUNTIFS(Пул!$E$5:$E$300,$B87,Пул!$L$5:$L$300,"Закрыт")=0,"",ROUND(SUMIFS(Пул!$H$5:$H$300,Пул!$E$5:$E$300,$B87,Пул!$L$5:$L$300,"Закрыт"),8)))</f>
        <v/>
      </c>
      <c r="F87" s="241">
        <f>IF($B87="","",IF(COUNTIFS(Пул!$E$5:$E$300,$B87,Пул!$L$5:$L$300,"Закрыт")=0,"",ROUND(SUMIFS(Пул!$I$5:$I$300,Пул!$E$5:$E$300,$B87,Пул!$L$5:$L$300,"Закрыт"),8)))</f>
        <v/>
      </c>
      <c r="G87" s="240">
        <f>IF($B87="","",IF(COUNTIFS(Пул!$E$5:$E$300,$B87,Пул!$L$5:$L$300,"Закрыт")=0,"",ROUND(SUMIFS(Пул!$J$5:$J$300,Пул!$E$5:$E$300,$B87,Пул!$L$5:$L$300,"Закрыт"),8)))</f>
        <v/>
      </c>
      <c r="H87" s="241">
        <f>IF($B87="","",IF(COUNTIFS(Пул!$E$5:$E$300,$B87,Пул!$L$5:$L$300,"Закрыт")=0,"",ROUND(SUMIFS(Пул!$K$5:$K$300,Пул!$E$5:$E$300,$B87,Пул!$L$5:$L$300,"Закрыт"),8)))</f>
        <v/>
      </c>
      <c r="I87" s="236">
        <f>IF(AND(ISNUMBER(G87),ISNUMBER(H87)),IF(AND(G87&gt;0,H87&lt;0),"Buy",IF(AND(G87&lt;0,H87&gt;0),"Sell","")),"")</f>
        <v/>
      </c>
      <c r="J87" s="177">
        <f>IF(I87="Buy",G87,IF(I87="Sell",-G87,""))</f>
        <v/>
      </c>
      <c r="K87" s="177">
        <f>IF(AND(ISNUMBER(J87),ISNUMBER(L87),N(J87)&lt;&gt;0),ROUND(L87/J87,8),"")</f>
        <v/>
      </c>
      <c r="L87" s="177">
        <f>IF(I87="Buy",-H87,IF(I87="Sell",H87,""))</f>
        <v/>
      </c>
    </row>
    <row r="88" ht="22" customHeight="1">
      <c r="B88" s="320" t="n"/>
      <c r="C88" s="246">
        <f>IF($B88="","",IF(COUNTIFS(Пул!$E$5:$E$300,$B88,Пул!$F$5:$F$300,"&lt;&gt;")=0,"",ROUND(SUMIFS(Пул!$F$5:$F$300,Пул!$E$5:$E$300,$B88),8)))</f>
        <v/>
      </c>
      <c r="D88" s="247">
        <f>IF($B88="","",IF(COUNTIFS(Пул!$E$5:$E$300,$B88,Пул!$G$5:$G$300,"&lt;&gt;")=0,"",ROUND(SUMIFS(Пул!$G$5:$G$300,Пул!$E$5:$E$300,$B88),8)))</f>
        <v/>
      </c>
      <c r="E88" s="246">
        <f>IF($B88="","",IF(COUNTIFS(Пул!$E$5:$E$300,$B88,Пул!$L$5:$L$300,"Закрыт")=0,"",ROUND(SUMIFS(Пул!$H$5:$H$300,Пул!$E$5:$E$300,$B88,Пул!$L$5:$L$300,"Закрыт"),8)))</f>
        <v/>
      </c>
      <c r="F88" s="247">
        <f>IF($B88="","",IF(COUNTIFS(Пул!$E$5:$E$300,$B88,Пул!$L$5:$L$300,"Закрыт")=0,"",ROUND(SUMIFS(Пул!$I$5:$I$300,Пул!$E$5:$E$300,$B88,Пул!$L$5:$L$300,"Закрыт"),8)))</f>
        <v/>
      </c>
      <c r="G88" s="246">
        <f>IF($B88="","",IF(COUNTIFS(Пул!$E$5:$E$300,$B88,Пул!$L$5:$L$300,"Закрыт")=0,"",ROUND(SUMIFS(Пул!$J$5:$J$300,Пул!$E$5:$E$300,$B88,Пул!$L$5:$L$300,"Закрыт"),8)))</f>
        <v/>
      </c>
      <c r="H88" s="247">
        <f>IF($B88="","",IF(COUNTIFS(Пул!$E$5:$E$300,$B88,Пул!$L$5:$L$300,"Закрыт")=0,"",ROUND(SUMIFS(Пул!$K$5:$K$300,Пул!$E$5:$E$300,$B88,Пул!$L$5:$L$300,"Закрыт"),8)))</f>
        <v/>
      </c>
      <c r="I88" s="242">
        <f>IF(AND(ISNUMBER(G88),ISNUMBER(H88)),IF(AND(G88&gt;0,H88&lt;0),"Buy",IF(AND(G88&lt;0,H88&gt;0),"Sell","")),"")</f>
        <v/>
      </c>
      <c r="J88" s="183">
        <f>IF(I88="Buy",G88,IF(I88="Sell",-G88,""))</f>
        <v/>
      </c>
      <c r="K88" s="183">
        <f>IF(AND(ISNUMBER(J88),ISNUMBER(L88),N(J88)&lt;&gt;0),ROUND(L88/J88,8),"")</f>
        <v/>
      </c>
      <c r="L88" s="183">
        <f>IF(I88="Buy",-H88,IF(I88="Sell",H88,""))</f>
        <v/>
      </c>
    </row>
    <row r="89" ht="22" customHeight="1">
      <c r="B89" s="315" t="n"/>
      <c r="C89" s="240">
        <f>IF($B89="","",IF(COUNTIFS(Пул!$E$5:$E$300,$B89,Пул!$F$5:$F$300,"&lt;&gt;")=0,"",ROUND(SUMIFS(Пул!$F$5:$F$300,Пул!$E$5:$E$300,$B89),8)))</f>
        <v/>
      </c>
      <c r="D89" s="241">
        <f>IF($B89="","",IF(COUNTIFS(Пул!$E$5:$E$300,$B89,Пул!$G$5:$G$300,"&lt;&gt;")=0,"",ROUND(SUMIFS(Пул!$G$5:$G$300,Пул!$E$5:$E$300,$B89),8)))</f>
        <v/>
      </c>
      <c r="E89" s="240">
        <f>IF($B89="","",IF(COUNTIFS(Пул!$E$5:$E$300,$B89,Пул!$L$5:$L$300,"Закрыт")=0,"",ROUND(SUMIFS(Пул!$H$5:$H$300,Пул!$E$5:$E$300,$B89,Пул!$L$5:$L$300,"Закрыт"),8)))</f>
        <v/>
      </c>
      <c r="F89" s="241">
        <f>IF($B89="","",IF(COUNTIFS(Пул!$E$5:$E$300,$B89,Пул!$L$5:$L$300,"Закрыт")=0,"",ROUND(SUMIFS(Пул!$I$5:$I$300,Пул!$E$5:$E$300,$B89,Пул!$L$5:$L$300,"Закрыт"),8)))</f>
        <v/>
      </c>
      <c r="G89" s="240">
        <f>IF($B89="","",IF(COUNTIFS(Пул!$E$5:$E$300,$B89,Пул!$L$5:$L$300,"Закрыт")=0,"",ROUND(SUMIFS(Пул!$J$5:$J$300,Пул!$E$5:$E$300,$B89,Пул!$L$5:$L$300,"Закрыт"),8)))</f>
        <v/>
      </c>
      <c r="H89" s="241">
        <f>IF($B89="","",IF(COUNTIFS(Пул!$E$5:$E$300,$B89,Пул!$L$5:$L$300,"Закрыт")=0,"",ROUND(SUMIFS(Пул!$K$5:$K$300,Пул!$E$5:$E$300,$B89,Пул!$L$5:$L$300,"Закрыт"),8)))</f>
        <v/>
      </c>
      <c r="I89" s="236">
        <f>IF(AND(ISNUMBER(G89),ISNUMBER(H89)),IF(AND(G89&gt;0,H89&lt;0),"Buy",IF(AND(G89&lt;0,H89&gt;0),"Sell","")),"")</f>
        <v/>
      </c>
      <c r="J89" s="177">
        <f>IF(I89="Buy",G89,IF(I89="Sell",-G89,""))</f>
        <v/>
      </c>
      <c r="K89" s="177">
        <f>IF(AND(ISNUMBER(J89),ISNUMBER(L89),N(J89)&lt;&gt;0),ROUND(L89/J89,8),"")</f>
        <v/>
      </c>
      <c r="L89" s="177">
        <f>IF(I89="Buy",-H89,IF(I89="Sell",H89,""))</f>
        <v/>
      </c>
    </row>
    <row r="90" ht="22" customHeight="1">
      <c r="B90" s="320" t="n"/>
      <c r="C90" s="246">
        <f>IF($B90="","",IF(COUNTIFS(Пул!$E$5:$E$300,$B90,Пул!$F$5:$F$300,"&lt;&gt;")=0,"",ROUND(SUMIFS(Пул!$F$5:$F$300,Пул!$E$5:$E$300,$B90),8)))</f>
        <v/>
      </c>
      <c r="D90" s="247">
        <f>IF($B90="","",IF(COUNTIFS(Пул!$E$5:$E$300,$B90,Пул!$G$5:$G$300,"&lt;&gt;")=0,"",ROUND(SUMIFS(Пул!$G$5:$G$300,Пул!$E$5:$E$300,$B90),8)))</f>
        <v/>
      </c>
      <c r="E90" s="246">
        <f>IF($B90="","",IF(COUNTIFS(Пул!$E$5:$E$300,$B90,Пул!$L$5:$L$300,"Закрыт")=0,"",ROUND(SUMIFS(Пул!$H$5:$H$300,Пул!$E$5:$E$300,$B90,Пул!$L$5:$L$300,"Закрыт"),8)))</f>
        <v/>
      </c>
      <c r="F90" s="247">
        <f>IF($B90="","",IF(COUNTIFS(Пул!$E$5:$E$300,$B90,Пул!$L$5:$L$300,"Закрыт")=0,"",ROUND(SUMIFS(Пул!$I$5:$I$300,Пул!$E$5:$E$300,$B90,Пул!$L$5:$L$300,"Закрыт"),8)))</f>
        <v/>
      </c>
      <c r="G90" s="246">
        <f>IF($B90="","",IF(COUNTIFS(Пул!$E$5:$E$300,$B90,Пул!$L$5:$L$300,"Закрыт")=0,"",ROUND(SUMIFS(Пул!$J$5:$J$300,Пул!$E$5:$E$300,$B90,Пул!$L$5:$L$300,"Закрыт"),8)))</f>
        <v/>
      </c>
      <c r="H90" s="247">
        <f>IF($B90="","",IF(COUNTIFS(Пул!$E$5:$E$300,$B90,Пул!$L$5:$L$300,"Закрыт")=0,"",ROUND(SUMIFS(Пул!$K$5:$K$300,Пул!$E$5:$E$300,$B90,Пул!$L$5:$L$300,"Закрыт"),8)))</f>
        <v/>
      </c>
      <c r="I90" s="242">
        <f>IF(AND(ISNUMBER(G90),ISNUMBER(H90)),IF(AND(G90&gt;0,H90&lt;0),"Buy",IF(AND(G90&lt;0,H90&gt;0),"Sell","")),"")</f>
        <v/>
      </c>
      <c r="J90" s="183">
        <f>IF(I90="Buy",G90,IF(I90="Sell",-G90,""))</f>
        <v/>
      </c>
      <c r="K90" s="183">
        <f>IF(AND(ISNUMBER(J90),ISNUMBER(L90),N(J90)&lt;&gt;0),ROUND(L90/J90,8),"")</f>
        <v/>
      </c>
      <c r="L90" s="183">
        <f>IF(I90="Buy",-H90,IF(I90="Sell",H90,""))</f>
        <v/>
      </c>
    </row>
    <row r="91" ht="22" customHeight="1">
      <c r="B91" s="315" t="n"/>
      <c r="C91" s="240">
        <f>IF($B91="","",IF(COUNTIFS(Пул!$E$5:$E$300,$B91,Пул!$F$5:$F$300,"&lt;&gt;")=0,"",ROUND(SUMIFS(Пул!$F$5:$F$300,Пул!$E$5:$E$300,$B91),8)))</f>
        <v/>
      </c>
      <c r="D91" s="241">
        <f>IF($B91="","",IF(COUNTIFS(Пул!$E$5:$E$300,$B91,Пул!$G$5:$G$300,"&lt;&gt;")=0,"",ROUND(SUMIFS(Пул!$G$5:$G$300,Пул!$E$5:$E$300,$B91),8)))</f>
        <v/>
      </c>
      <c r="E91" s="240">
        <f>IF($B91="","",IF(COUNTIFS(Пул!$E$5:$E$300,$B91,Пул!$L$5:$L$300,"Закрыт")=0,"",ROUND(SUMIFS(Пул!$H$5:$H$300,Пул!$E$5:$E$300,$B91,Пул!$L$5:$L$300,"Закрыт"),8)))</f>
        <v/>
      </c>
      <c r="F91" s="241">
        <f>IF($B91="","",IF(COUNTIFS(Пул!$E$5:$E$300,$B91,Пул!$L$5:$L$300,"Закрыт")=0,"",ROUND(SUMIFS(Пул!$I$5:$I$300,Пул!$E$5:$E$300,$B91,Пул!$L$5:$L$300,"Закрыт"),8)))</f>
        <v/>
      </c>
      <c r="G91" s="240">
        <f>IF($B91="","",IF(COUNTIFS(Пул!$E$5:$E$300,$B91,Пул!$L$5:$L$300,"Закрыт")=0,"",ROUND(SUMIFS(Пул!$J$5:$J$300,Пул!$E$5:$E$300,$B91,Пул!$L$5:$L$300,"Закрыт"),8)))</f>
        <v/>
      </c>
      <c r="H91" s="241">
        <f>IF($B91="","",IF(COUNTIFS(Пул!$E$5:$E$300,$B91,Пул!$L$5:$L$300,"Закрыт")=0,"",ROUND(SUMIFS(Пул!$K$5:$K$300,Пул!$E$5:$E$300,$B91,Пул!$L$5:$L$300,"Закрыт"),8)))</f>
        <v/>
      </c>
      <c r="I91" s="236">
        <f>IF(AND(ISNUMBER(G91),ISNUMBER(H91)),IF(AND(G91&gt;0,H91&lt;0),"Buy",IF(AND(G91&lt;0,H91&gt;0),"Sell","")),"")</f>
        <v/>
      </c>
      <c r="J91" s="177">
        <f>IF(I91="Buy",G91,IF(I91="Sell",-G91,""))</f>
        <v/>
      </c>
      <c r="K91" s="177">
        <f>IF(AND(ISNUMBER(J91),ISNUMBER(L91),N(J91)&lt;&gt;0),ROUND(L91/J91,8),"")</f>
        <v/>
      </c>
      <c r="L91" s="177">
        <f>IF(I91="Buy",-H91,IF(I91="Sell",H91,""))</f>
        <v/>
      </c>
    </row>
    <row r="92" ht="22" customHeight="1">
      <c r="B92" s="320" t="n"/>
      <c r="C92" s="246">
        <f>IF($B92="","",IF(COUNTIFS(Пул!$E$5:$E$300,$B92,Пул!$F$5:$F$300,"&lt;&gt;")=0,"",ROUND(SUMIFS(Пул!$F$5:$F$300,Пул!$E$5:$E$300,$B92),8)))</f>
        <v/>
      </c>
      <c r="D92" s="247">
        <f>IF($B92="","",IF(COUNTIFS(Пул!$E$5:$E$300,$B92,Пул!$G$5:$G$300,"&lt;&gt;")=0,"",ROUND(SUMIFS(Пул!$G$5:$G$300,Пул!$E$5:$E$300,$B92),8)))</f>
        <v/>
      </c>
      <c r="E92" s="246">
        <f>IF($B92="","",IF(COUNTIFS(Пул!$E$5:$E$300,$B92,Пул!$L$5:$L$300,"Закрыт")=0,"",ROUND(SUMIFS(Пул!$H$5:$H$300,Пул!$E$5:$E$300,$B92,Пул!$L$5:$L$300,"Закрыт"),8)))</f>
        <v/>
      </c>
      <c r="F92" s="247">
        <f>IF($B92="","",IF(COUNTIFS(Пул!$E$5:$E$300,$B92,Пул!$L$5:$L$300,"Закрыт")=0,"",ROUND(SUMIFS(Пул!$I$5:$I$300,Пул!$E$5:$E$300,$B92,Пул!$L$5:$L$300,"Закрыт"),8)))</f>
        <v/>
      </c>
      <c r="G92" s="246">
        <f>IF($B92="","",IF(COUNTIFS(Пул!$E$5:$E$300,$B92,Пул!$L$5:$L$300,"Закрыт")=0,"",ROUND(SUMIFS(Пул!$J$5:$J$300,Пул!$E$5:$E$300,$B92,Пул!$L$5:$L$300,"Закрыт"),8)))</f>
        <v/>
      </c>
      <c r="H92" s="247">
        <f>IF($B92="","",IF(COUNTIFS(Пул!$E$5:$E$300,$B92,Пул!$L$5:$L$300,"Закрыт")=0,"",ROUND(SUMIFS(Пул!$K$5:$K$300,Пул!$E$5:$E$300,$B92,Пул!$L$5:$L$300,"Закрыт"),8)))</f>
        <v/>
      </c>
      <c r="I92" s="242">
        <f>IF(AND(ISNUMBER(G92),ISNUMBER(H92)),IF(AND(G92&gt;0,H92&lt;0),"Buy",IF(AND(G92&lt;0,H92&gt;0),"Sell","")),"")</f>
        <v/>
      </c>
      <c r="J92" s="183">
        <f>IF(I92="Buy",G92,IF(I92="Sell",-G92,""))</f>
        <v/>
      </c>
      <c r="K92" s="183">
        <f>IF(AND(ISNUMBER(J92),ISNUMBER(L92),N(J92)&lt;&gt;0),ROUND(L92/J92,8),"")</f>
        <v/>
      </c>
      <c r="L92" s="183">
        <f>IF(I92="Buy",-H92,IF(I92="Sell",H92,""))</f>
        <v/>
      </c>
    </row>
    <row r="93" ht="22" customHeight="1">
      <c r="B93" s="315" t="n"/>
      <c r="C93" s="240">
        <f>IF($B93="","",IF(COUNTIFS(Пул!$E$5:$E$300,$B93,Пул!$F$5:$F$300,"&lt;&gt;")=0,"",ROUND(SUMIFS(Пул!$F$5:$F$300,Пул!$E$5:$E$300,$B93),8)))</f>
        <v/>
      </c>
      <c r="D93" s="241">
        <f>IF($B93="","",IF(COUNTIFS(Пул!$E$5:$E$300,$B93,Пул!$G$5:$G$300,"&lt;&gt;")=0,"",ROUND(SUMIFS(Пул!$G$5:$G$300,Пул!$E$5:$E$300,$B93),8)))</f>
        <v/>
      </c>
      <c r="E93" s="240">
        <f>IF($B93="","",IF(COUNTIFS(Пул!$E$5:$E$300,$B93,Пул!$L$5:$L$300,"Закрыт")=0,"",ROUND(SUMIFS(Пул!$H$5:$H$300,Пул!$E$5:$E$300,$B93,Пул!$L$5:$L$300,"Закрыт"),8)))</f>
        <v/>
      </c>
      <c r="F93" s="241">
        <f>IF($B93="","",IF(COUNTIFS(Пул!$E$5:$E$300,$B93,Пул!$L$5:$L$300,"Закрыт")=0,"",ROUND(SUMIFS(Пул!$I$5:$I$300,Пул!$E$5:$E$300,$B93,Пул!$L$5:$L$300,"Закрыт"),8)))</f>
        <v/>
      </c>
      <c r="G93" s="240">
        <f>IF($B93="","",IF(COUNTIFS(Пул!$E$5:$E$300,$B93,Пул!$L$5:$L$300,"Закрыт")=0,"",ROUND(SUMIFS(Пул!$J$5:$J$300,Пул!$E$5:$E$300,$B93,Пул!$L$5:$L$300,"Закрыт"),8)))</f>
        <v/>
      </c>
      <c r="H93" s="241">
        <f>IF($B93="","",IF(COUNTIFS(Пул!$E$5:$E$300,$B93,Пул!$L$5:$L$300,"Закрыт")=0,"",ROUND(SUMIFS(Пул!$K$5:$K$300,Пул!$E$5:$E$300,$B93,Пул!$L$5:$L$300,"Закрыт"),8)))</f>
        <v/>
      </c>
      <c r="I93" s="236">
        <f>IF(AND(ISNUMBER(G93),ISNUMBER(H93)),IF(AND(G93&gt;0,H93&lt;0),"Buy",IF(AND(G93&lt;0,H93&gt;0),"Sell","")),"")</f>
        <v/>
      </c>
      <c r="J93" s="177">
        <f>IF(I93="Buy",G93,IF(I93="Sell",-G93,""))</f>
        <v/>
      </c>
      <c r="K93" s="177">
        <f>IF(AND(ISNUMBER(J93),ISNUMBER(L93),N(J93)&lt;&gt;0),ROUND(L93/J93,8),"")</f>
        <v/>
      </c>
      <c r="L93" s="177">
        <f>IF(I93="Buy",-H93,IF(I93="Sell",H93,""))</f>
        <v/>
      </c>
    </row>
    <row r="94" ht="22" customHeight="1">
      <c r="B94" s="320" t="n"/>
      <c r="C94" s="246">
        <f>IF($B94="","",IF(COUNTIFS(Пул!$E$5:$E$300,$B94,Пул!$F$5:$F$300,"&lt;&gt;")=0,"",ROUND(SUMIFS(Пул!$F$5:$F$300,Пул!$E$5:$E$300,$B94),8)))</f>
        <v/>
      </c>
      <c r="D94" s="247">
        <f>IF($B94="","",IF(COUNTIFS(Пул!$E$5:$E$300,$B94,Пул!$G$5:$G$300,"&lt;&gt;")=0,"",ROUND(SUMIFS(Пул!$G$5:$G$300,Пул!$E$5:$E$300,$B94),8)))</f>
        <v/>
      </c>
      <c r="E94" s="246">
        <f>IF($B94="","",IF(COUNTIFS(Пул!$E$5:$E$300,$B94,Пул!$L$5:$L$300,"Закрыт")=0,"",ROUND(SUMIFS(Пул!$H$5:$H$300,Пул!$E$5:$E$300,$B94,Пул!$L$5:$L$300,"Закрыт"),8)))</f>
        <v/>
      </c>
      <c r="F94" s="247">
        <f>IF($B94="","",IF(COUNTIFS(Пул!$E$5:$E$300,$B94,Пул!$L$5:$L$300,"Закрыт")=0,"",ROUND(SUMIFS(Пул!$I$5:$I$300,Пул!$E$5:$E$300,$B94,Пул!$L$5:$L$300,"Закрыт"),8)))</f>
        <v/>
      </c>
      <c r="G94" s="246">
        <f>IF($B94="","",IF(COUNTIFS(Пул!$E$5:$E$300,$B94,Пул!$L$5:$L$300,"Закрыт")=0,"",ROUND(SUMIFS(Пул!$J$5:$J$300,Пул!$E$5:$E$300,$B94,Пул!$L$5:$L$300,"Закрыт"),8)))</f>
        <v/>
      </c>
      <c r="H94" s="247">
        <f>IF($B94="","",IF(COUNTIFS(Пул!$E$5:$E$300,$B94,Пул!$L$5:$L$300,"Закрыт")=0,"",ROUND(SUMIFS(Пул!$K$5:$K$300,Пул!$E$5:$E$300,$B94,Пул!$L$5:$L$300,"Закрыт"),8)))</f>
        <v/>
      </c>
      <c r="I94" s="242">
        <f>IF(AND(ISNUMBER(G94),ISNUMBER(H94)),IF(AND(G94&gt;0,H94&lt;0),"Buy",IF(AND(G94&lt;0,H94&gt;0),"Sell","")),"")</f>
        <v/>
      </c>
      <c r="J94" s="183">
        <f>IF(I94="Buy",G94,IF(I94="Sell",-G94,""))</f>
        <v/>
      </c>
      <c r="K94" s="183">
        <f>IF(AND(ISNUMBER(J94),ISNUMBER(L94),N(J94)&lt;&gt;0),ROUND(L94/J94,8),"")</f>
        <v/>
      </c>
      <c r="L94" s="183">
        <f>IF(I94="Buy",-H94,IF(I94="Sell",H94,""))</f>
        <v/>
      </c>
    </row>
    <row r="95" ht="22" customHeight="1">
      <c r="B95" s="315" t="n"/>
      <c r="C95" s="240">
        <f>IF($B95="","",IF(COUNTIFS(Пул!$E$5:$E$300,$B95,Пул!$F$5:$F$300,"&lt;&gt;")=0,"",ROUND(SUMIFS(Пул!$F$5:$F$300,Пул!$E$5:$E$300,$B95),8)))</f>
        <v/>
      </c>
      <c r="D95" s="241">
        <f>IF($B95="","",IF(COUNTIFS(Пул!$E$5:$E$300,$B95,Пул!$G$5:$G$300,"&lt;&gt;")=0,"",ROUND(SUMIFS(Пул!$G$5:$G$300,Пул!$E$5:$E$300,$B95),8)))</f>
        <v/>
      </c>
      <c r="E95" s="240">
        <f>IF($B95="","",IF(COUNTIFS(Пул!$E$5:$E$300,$B95,Пул!$L$5:$L$300,"Закрыт")=0,"",ROUND(SUMIFS(Пул!$H$5:$H$300,Пул!$E$5:$E$300,$B95,Пул!$L$5:$L$300,"Закрыт"),8)))</f>
        <v/>
      </c>
      <c r="F95" s="241">
        <f>IF($B95="","",IF(COUNTIFS(Пул!$E$5:$E$300,$B95,Пул!$L$5:$L$300,"Закрыт")=0,"",ROUND(SUMIFS(Пул!$I$5:$I$300,Пул!$E$5:$E$300,$B95,Пул!$L$5:$L$300,"Закрыт"),8)))</f>
        <v/>
      </c>
      <c r="G95" s="240">
        <f>IF($B95="","",IF(COUNTIFS(Пул!$E$5:$E$300,$B95,Пул!$L$5:$L$300,"Закрыт")=0,"",ROUND(SUMIFS(Пул!$J$5:$J$300,Пул!$E$5:$E$300,$B95,Пул!$L$5:$L$300,"Закрыт"),8)))</f>
        <v/>
      </c>
      <c r="H95" s="241">
        <f>IF($B95="","",IF(COUNTIFS(Пул!$E$5:$E$300,$B95,Пул!$L$5:$L$300,"Закрыт")=0,"",ROUND(SUMIFS(Пул!$K$5:$K$300,Пул!$E$5:$E$300,$B95,Пул!$L$5:$L$300,"Закрыт"),8)))</f>
        <v/>
      </c>
      <c r="I95" s="236">
        <f>IF(AND(ISNUMBER(G95),ISNUMBER(H95)),IF(AND(G95&gt;0,H95&lt;0),"Buy",IF(AND(G95&lt;0,H95&gt;0),"Sell","")),"")</f>
        <v/>
      </c>
      <c r="J95" s="177">
        <f>IF(I95="Buy",G95,IF(I95="Sell",-G95,""))</f>
        <v/>
      </c>
      <c r="K95" s="177">
        <f>IF(AND(ISNUMBER(J95),ISNUMBER(L95),N(J95)&lt;&gt;0),ROUND(L95/J95,8),"")</f>
        <v/>
      </c>
      <c r="L95" s="177">
        <f>IF(I95="Buy",-H95,IF(I95="Sell",H95,""))</f>
        <v/>
      </c>
    </row>
    <row r="96" ht="22" customHeight="1">
      <c r="B96" s="320" t="n"/>
      <c r="C96" s="246">
        <f>IF($B96="","",IF(COUNTIFS(Пул!$E$5:$E$300,$B96,Пул!$F$5:$F$300,"&lt;&gt;")=0,"",ROUND(SUMIFS(Пул!$F$5:$F$300,Пул!$E$5:$E$300,$B96),8)))</f>
        <v/>
      </c>
      <c r="D96" s="247">
        <f>IF($B96="","",IF(COUNTIFS(Пул!$E$5:$E$300,$B96,Пул!$G$5:$G$300,"&lt;&gt;")=0,"",ROUND(SUMIFS(Пул!$G$5:$G$300,Пул!$E$5:$E$300,$B96),8)))</f>
        <v/>
      </c>
      <c r="E96" s="246">
        <f>IF($B96="","",IF(COUNTIFS(Пул!$E$5:$E$300,$B96,Пул!$L$5:$L$300,"Закрыт")=0,"",ROUND(SUMIFS(Пул!$H$5:$H$300,Пул!$E$5:$E$300,$B96,Пул!$L$5:$L$300,"Закрыт"),8)))</f>
        <v/>
      </c>
      <c r="F96" s="247">
        <f>IF($B96="","",IF(COUNTIFS(Пул!$E$5:$E$300,$B96,Пул!$L$5:$L$300,"Закрыт")=0,"",ROUND(SUMIFS(Пул!$I$5:$I$300,Пул!$E$5:$E$300,$B96,Пул!$L$5:$L$300,"Закрыт"),8)))</f>
        <v/>
      </c>
      <c r="G96" s="246">
        <f>IF($B96="","",IF(COUNTIFS(Пул!$E$5:$E$300,$B96,Пул!$L$5:$L$300,"Закрыт")=0,"",ROUND(SUMIFS(Пул!$J$5:$J$300,Пул!$E$5:$E$300,$B96,Пул!$L$5:$L$300,"Закрыт"),8)))</f>
        <v/>
      </c>
      <c r="H96" s="247">
        <f>IF($B96="","",IF(COUNTIFS(Пул!$E$5:$E$300,$B96,Пул!$L$5:$L$300,"Закрыт")=0,"",ROUND(SUMIFS(Пул!$K$5:$K$300,Пул!$E$5:$E$300,$B96,Пул!$L$5:$L$300,"Закрыт"),8)))</f>
        <v/>
      </c>
      <c r="I96" s="242">
        <f>IF(AND(ISNUMBER(G96),ISNUMBER(H96)),IF(AND(G96&gt;0,H96&lt;0),"Buy",IF(AND(G96&lt;0,H96&gt;0),"Sell","")),"")</f>
        <v/>
      </c>
      <c r="J96" s="183">
        <f>IF(I96="Buy",G96,IF(I96="Sell",-G96,""))</f>
        <v/>
      </c>
      <c r="K96" s="183">
        <f>IF(AND(ISNUMBER(J96),ISNUMBER(L96),N(J96)&lt;&gt;0),ROUND(L96/J96,8),"")</f>
        <v/>
      </c>
      <c r="L96" s="183">
        <f>IF(I96="Buy",-H96,IF(I96="Sell",H96,""))</f>
        <v/>
      </c>
    </row>
    <row r="97" ht="22" customHeight="1">
      <c r="B97" s="315" t="n"/>
      <c r="C97" s="240">
        <f>IF($B97="","",IF(COUNTIFS(Пул!$E$5:$E$300,$B97,Пул!$F$5:$F$300,"&lt;&gt;")=0,"",ROUND(SUMIFS(Пул!$F$5:$F$300,Пул!$E$5:$E$300,$B97),8)))</f>
        <v/>
      </c>
      <c r="D97" s="241">
        <f>IF($B97="","",IF(COUNTIFS(Пул!$E$5:$E$300,$B97,Пул!$G$5:$G$300,"&lt;&gt;")=0,"",ROUND(SUMIFS(Пул!$G$5:$G$300,Пул!$E$5:$E$300,$B97),8)))</f>
        <v/>
      </c>
      <c r="E97" s="240">
        <f>IF($B97="","",IF(COUNTIFS(Пул!$E$5:$E$300,$B97,Пул!$L$5:$L$300,"Закрыт")=0,"",ROUND(SUMIFS(Пул!$H$5:$H$300,Пул!$E$5:$E$300,$B97,Пул!$L$5:$L$300,"Закрыт"),8)))</f>
        <v/>
      </c>
      <c r="F97" s="241">
        <f>IF($B97="","",IF(COUNTIFS(Пул!$E$5:$E$300,$B97,Пул!$L$5:$L$300,"Закрыт")=0,"",ROUND(SUMIFS(Пул!$I$5:$I$300,Пул!$E$5:$E$300,$B97,Пул!$L$5:$L$300,"Закрыт"),8)))</f>
        <v/>
      </c>
      <c r="G97" s="240">
        <f>IF($B97="","",IF(COUNTIFS(Пул!$E$5:$E$300,$B97,Пул!$L$5:$L$300,"Закрыт")=0,"",ROUND(SUMIFS(Пул!$J$5:$J$300,Пул!$E$5:$E$300,$B97,Пул!$L$5:$L$300,"Закрыт"),8)))</f>
        <v/>
      </c>
      <c r="H97" s="241">
        <f>IF($B97="","",IF(COUNTIFS(Пул!$E$5:$E$300,$B97,Пул!$L$5:$L$300,"Закрыт")=0,"",ROUND(SUMIFS(Пул!$K$5:$K$300,Пул!$E$5:$E$300,$B97,Пул!$L$5:$L$300,"Закрыт"),8)))</f>
        <v/>
      </c>
      <c r="I97" s="236">
        <f>IF(AND(ISNUMBER(G97),ISNUMBER(H97)),IF(AND(G97&gt;0,H97&lt;0),"Buy",IF(AND(G97&lt;0,H97&gt;0),"Sell","")),"")</f>
        <v/>
      </c>
      <c r="J97" s="177">
        <f>IF(I97="Buy",G97,IF(I97="Sell",-G97,""))</f>
        <v/>
      </c>
      <c r="K97" s="177">
        <f>IF(AND(ISNUMBER(J97),ISNUMBER(L97),N(J97)&lt;&gt;0),ROUND(L97/J97,8),"")</f>
        <v/>
      </c>
      <c r="L97" s="177">
        <f>IF(I97="Buy",-H97,IF(I97="Sell",H97,""))</f>
        <v/>
      </c>
    </row>
    <row r="98" ht="22" customHeight="1">
      <c r="B98" s="320" t="n"/>
      <c r="C98" s="246">
        <f>IF($B98="","",IF(COUNTIFS(Пул!$E$5:$E$300,$B98,Пул!$F$5:$F$300,"&lt;&gt;")=0,"",ROUND(SUMIFS(Пул!$F$5:$F$300,Пул!$E$5:$E$300,$B98),8)))</f>
        <v/>
      </c>
      <c r="D98" s="247">
        <f>IF($B98="","",IF(COUNTIFS(Пул!$E$5:$E$300,$B98,Пул!$G$5:$G$300,"&lt;&gt;")=0,"",ROUND(SUMIFS(Пул!$G$5:$G$300,Пул!$E$5:$E$300,$B98),8)))</f>
        <v/>
      </c>
      <c r="E98" s="246">
        <f>IF($B98="","",IF(COUNTIFS(Пул!$E$5:$E$300,$B98,Пул!$L$5:$L$300,"Закрыт")=0,"",ROUND(SUMIFS(Пул!$H$5:$H$300,Пул!$E$5:$E$300,$B98,Пул!$L$5:$L$300,"Закрыт"),8)))</f>
        <v/>
      </c>
      <c r="F98" s="247">
        <f>IF($B98="","",IF(COUNTIFS(Пул!$E$5:$E$300,$B98,Пул!$L$5:$L$300,"Закрыт")=0,"",ROUND(SUMIFS(Пул!$I$5:$I$300,Пул!$E$5:$E$300,$B98,Пул!$L$5:$L$300,"Закрыт"),8)))</f>
        <v/>
      </c>
      <c r="G98" s="246">
        <f>IF($B98="","",IF(COUNTIFS(Пул!$E$5:$E$300,$B98,Пул!$L$5:$L$300,"Закрыт")=0,"",ROUND(SUMIFS(Пул!$J$5:$J$300,Пул!$E$5:$E$300,$B98,Пул!$L$5:$L$300,"Закрыт"),8)))</f>
        <v/>
      </c>
      <c r="H98" s="247">
        <f>IF($B98="","",IF(COUNTIFS(Пул!$E$5:$E$300,$B98,Пул!$L$5:$L$300,"Закрыт")=0,"",ROUND(SUMIFS(Пул!$K$5:$K$300,Пул!$E$5:$E$300,$B98,Пул!$L$5:$L$300,"Закрыт"),8)))</f>
        <v/>
      </c>
      <c r="I98" s="242">
        <f>IF(AND(ISNUMBER(G98),ISNUMBER(H98)),IF(AND(G98&gt;0,H98&lt;0),"Buy",IF(AND(G98&lt;0,H98&gt;0),"Sell","")),"")</f>
        <v/>
      </c>
      <c r="J98" s="183">
        <f>IF(I98="Buy",G98,IF(I98="Sell",-G98,""))</f>
        <v/>
      </c>
      <c r="K98" s="183">
        <f>IF(AND(ISNUMBER(J98),ISNUMBER(L98),N(J98)&lt;&gt;0),ROUND(L98/J98,8),"")</f>
        <v/>
      </c>
      <c r="L98" s="183">
        <f>IF(I98="Buy",-H98,IF(I98="Sell",H98,""))</f>
        <v/>
      </c>
    </row>
    <row r="99" ht="22" customHeight="1">
      <c r="B99" s="315" t="n"/>
      <c r="C99" s="240">
        <f>IF($B99="","",IF(COUNTIFS(Пул!$E$5:$E$300,$B99,Пул!$F$5:$F$300,"&lt;&gt;")=0,"",ROUND(SUMIFS(Пул!$F$5:$F$300,Пул!$E$5:$E$300,$B99),8)))</f>
        <v/>
      </c>
      <c r="D99" s="241">
        <f>IF($B99="","",IF(COUNTIFS(Пул!$E$5:$E$300,$B99,Пул!$G$5:$G$300,"&lt;&gt;")=0,"",ROUND(SUMIFS(Пул!$G$5:$G$300,Пул!$E$5:$E$300,$B99),8)))</f>
        <v/>
      </c>
      <c r="E99" s="240">
        <f>IF($B99="","",IF(COUNTIFS(Пул!$E$5:$E$300,$B99,Пул!$L$5:$L$300,"Закрыт")=0,"",ROUND(SUMIFS(Пул!$H$5:$H$300,Пул!$E$5:$E$300,$B99,Пул!$L$5:$L$300,"Закрыт"),8)))</f>
        <v/>
      </c>
      <c r="F99" s="241">
        <f>IF($B99="","",IF(COUNTIFS(Пул!$E$5:$E$300,$B99,Пул!$L$5:$L$300,"Закрыт")=0,"",ROUND(SUMIFS(Пул!$I$5:$I$300,Пул!$E$5:$E$300,$B99,Пул!$L$5:$L$300,"Закрыт"),8)))</f>
        <v/>
      </c>
      <c r="G99" s="240">
        <f>IF($B99="","",IF(COUNTIFS(Пул!$E$5:$E$300,$B99,Пул!$L$5:$L$300,"Закрыт")=0,"",ROUND(SUMIFS(Пул!$J$5:$J$300,Пул!$E$5:$E$300,$B99,Пул!$L$5:$L$300,"Закрыт"),8)))</f>
        <v/>
      </c>
      <c r="H99" s="241">
        <f>IF($B99="","",IF(COUNTIFS(Пул!$E$5:$E$300,$B99,Пул!$L$5:$L$300,"Закрыт")=0,"",ROUND(SUMIFS(Пул!$K$5:$K$300,Пул!$E$5:$E$300,$B99,Пул!$L$5:$L$300,"Закрыт"),8)))</f>
        <v/>
      </c>
      <c r="I99" s="236">
        <f>IF(AND(ISNUMBER(G99),ISNUMBER(H99)),IF(AND(G99&gt;0,H99&lt;0),"Buy",IF(AND(G99&lt;0,H99&gt;0),"Sell","")),"")</f>
        <v/>
      </c>
      <c r="J99" s="177">
        <f>IF(I99="Buy",G99,IF(I99="Sell",-G99,""))</f>
        <v/>
      </c>
      <c r="K99" s="177">
        <f>IF(AND(ISNUMBER(J99),ISNUMBER(L99),N(J99)&lt;&gt;0),ROUND(L99/J99,8),"")</f>
        <v/>
      </c>
      <c r="L99" s="177">
        <f>IF(I99="Buy",-H99,IF(I99="Sell",H99,""))</f>
        <v/>
      </c>
    </row>
    <row r="100" ht="22" customHeight="1">
      <c r="B100" s="320" t="n"/>
      <c r="C100" s="246">
        <f>IF($B100="","",IF(COUNTIFS(Пул!$E$5:$E$300,$B100,Пул!$F$5:$F$300,"&lt;&gt;")=0,"",ROUND(SUMIFS(Пул!$F$5:$F$300,Пул!$E$5:$E$300,$B100),8)))</f>
        <v/>
      </c>
      <c r="D100" s="247">
        <f>IF($B100="","",IF(COUNTIFS(Пул!$E$5:$E$300,$B100,Пул!$G$5:$G$300,"&lt;&gt;")=0,"",ROUND(SUMIFS(Пул!$G$5:$G$300,Пул!$E$5:$E$300,$B100),8)))</f>
        <v/>
      </c>
      <c r="E100" s="246">
        <f>IF($B100="","",IF(COUNTIFS(Пул!$E$5:$E$300,$B100,Пул!$L$5:$L$300,"Закрыт")=0,"",ROUND(SUMIFS(Пул!$H$5:$H$300,Пул!$E$5:$E$300,$B100,Пул!$L$5:$L$300,"Закрыт"),8)))</f>
        <v/>
      </c>
      <c r="F100" s="247">
        <f>IF($B100="","",IF(COUNTIFS(Пул!$E$5:$E$300,$B100,Пул!$L$5:$L$300,"Закрыт")=0,"",ROUND(SUMIFS(Пул!$I$5:$I$300,Пул!$E$5:$E$300,$B100,Пул!$L$5:$L$300,"Закрыт"),8)))</f>
        <v/>
      </c>
      <c r="G100" s="246">
        <f>IF($B100="","",IF(COUNTIFS(Пул!$E$5:$E$300,$B100,Пул!$L$5:$L$300,"Закрыт")=0,"",ROUND(SUMIFS(Пул!$J$5:$J$300,Пул!$E$5:$E$300,$B100,Пул!$L$5:$L$300,"Закрыт"),8)))</f>
        <v/>
      </c>
      <c r="H100" s="247">
        <f>IF($B100="","",IF(COUNTIFS(Пул!$E$5:$E$300,$B100,Пул!$L$5:$L$300,"Закрыт")=0,"",ROUND(SUMIFS(Пул!$K$5:$K$300,Пул!$E$5:$E$300,$B100,Пул!$L$5:$L$300,"Закрыт"),8)))</f>
        <v/>
      </c>
      <c r="I100" s="242">
        <f>IF(AND(ISNUMBER(G100),ISNUMBER(H100)),IF(AND(G100&gt;0,H100&lt;0),"Buy",IF(AND(G100&lt;0,H100&gt;0),"Sell","")),"")</f>
        <v/>
      </c>
      <c r="J100" s="183">
        <f>IF(I100="Buy",G100,IF(I100="Sell",-G100,""))</f>
        <v/>
      </c>
      <c r="K100" s="183">
        <f>IF(AND(ISNUMBER(J100),ISNUMBER(L100),N(J100)&lt;&gt;0),ROUND(L100/J100,8),"")</f>
        <v/>
      </c>
      <c r="L100" s="183">
        <f>IF(I100="Buy",-H100,IF(I100="Sell",H100,""))</f>
        <v/>
      </c>
    </row>
    <row r="101" ht="22" customHeight="1">
      <c r="B101" s="315" t="n"/>
      <c r="C101" s="240">
        <f>IF($B101="","",IF(COUNTIFS(Пул!$E$5:$E$300,$B101,Пул!$F$5:$F$300,"&lt;&gt;")=0,"",ROUND(SUMIFS(Пул!$F$5:$F$300,Пул!$E$5:$E$300,$B101),8)))</f>
        <v/>
      </c>
      <c r="D101" s="241">
        <f>IF($B101="","",IF(COUNTIFS(Пул!$E$5:$E$300,$B101,Пул!$G$5:$G$300,"&lt;&gt;")=0,"",ROUND(SUMIFS(Пул!$G$5:$G$300,Пул!$E$5:$E$300,$B101),8)))</f>
        <v/>
      </c>
      <c r="E101" s="240">
        <f>IF($B101="","",IF(COUNTIFS(Пул!$E$5:$E$300,$B101,Пул!$L$5:$L$300,"Закрыт")=0,"",ROUND(SUMIFS(Пул!$H$5:$H$300,Пул!$E$5:$E$300,$B101,Пул!$L$5:$L$300,"Закрыт"),8)))</f>
        <v/>
      </c>
      <c r="F101" s="241">
        <f>IF($B101="","",IF(COUNTIFS(Пул!$E$5:$E$300,$B101,Пул!$L$5:$L$300,"Закрыт")=0,"",ROUND(SUMIFS(Пул!$I$5:$I$300,Пул!$E$5:$E$300,$B101,Пул!$L$5:$L$300,"Закрыт"),8)))</f>
        <v/>
      </c>
      <c r="G101" s="240">
        <f>IF($B101="","",IF(COUNTIFS(Пул!$E$5:$E$300,$B101,Пул!$L$5:$L$300,"Закрыт")=0,"",ROUND(SUMIFS(Пул!$J$5:$J$300,Пул!$E$5:$E$300,$B101,Пул!$L$5:$L$300,"Закрыт"),8)))</f>
        <v/>
      </c>
      <c r="H101" s="241">
        <f>IF($B101="","",IF(COUNTIFS(Пул!$E$5:$E$300,$B101,Пул!$L$5:$L$300,"Закрыт")=0,"",ROUND(SUMIFS(Пул!$K$5:$K$300,Пул!$E$5:$E$300,$B101,Пул!$L$5:$L$300,"Закрыт"),8)))</f>
        <v/>
      </c>
      <c r="I101" s="236">
        <f>IF(AND(ISNUMBER(G101),ISNUMBER(H101)),IF(AND(G101&gt;0,H101&lt;0),"Buy",IF(AND(G101&lt;0,H101&gt;0),"Sell","")),"")</f>
        <v/>
      </c>
      <c r="J101" s="177">
        <f>IF(I101="Buy",G101,IF(I101="Sell",-G101,""))</f>
        <v/>
      </c>
      <c r="K101" s="177">
        <f>IF(AND(ISNUMBER(J101),ISNUMBER(L101),N(J101)&lt;&gt;0),ROUND(L101/J101,8),"")</f>
        <v/>
      </c>
      <c r="L101" s="177">
        <f>IF(I101="Buy",-H101,IF(I101="Sell",H101,""))</f>
        <v/>
      </c>
    </row>
    <row r="102" ht="22" customHeight="1">
      <c r="B102" s="320" t="n"/>
      <c r="C102" s="246">
        <f>IF($B102="","",IF(COUNTIFS(Пул!$E$5:$E$300,$B102,Пул!$F$5:$F$300,"&lt;&gt;")=0,"",ROUND(SUMIFS(Пул!$F$5:$F$300,Пул!$E$5:$E$300,$B102),8)))</f>
        <v/>
      </c>
      <c r="D102" s="247">
        <f>IF($B102="","",IF(COUNTIFS(Пул!$E$5:$E$300,$B102,Пул!$G$5:$G$300,"&lt;&gt;")=0,"",ROUND(SUMIFS(Пул!$G$5:$G$300,Пул!$E$5:$E$300,$B102),8)))</f>
        <v/>
      </c>
      <c r="E102" s="246">
        <f>IF($B102="","",IF(COUNTIFS(Пул!$E$5:$E$300,$B102,Пул!$L$5:$L$300,"Закрыт")=0,"",ROUND(SUMIFS(Пул!$H$5:$H$300,Пул!$E$5:$E$300,$B102,Пул!$L$5:$L$300,"Закрыт"),8)))</f>
        <v/>
      </c>
      <c r="F102" s="247">
        <f>IF($B102="","",IF(COUNTIFS(Пул!$E$5:$E$300,$B102,Пул!$L$5:$L$300,"Закрыт")=0,"",ROUND(SUMIFS(Пул!$I$5:$I$300,Пул!$E$5:$E$300,$B102,Пул!$L$5:$L$300,"Закрыт"),8)))</f>
        <v/>
      </c>
      <c r="G102" s="246">
        <f>IF($B102="","",IF(COUNTIFS(Пул!$E$5:$E$300,$B102,Пул!$L$5:$L$300,"Закрыт")=0,"",ROUND(SUMIFS(Пул!$J$5:$J$300,Пул!$E$5:$E$300,$B102,Пул!$L$5:$L$300,"Закрыт"),8)))</f>
        <v/>
      </c>
      <c r="H102" s="247">
        <f>IF($B102="","",IF(COUNTIFS(Пул!$E$5:$E$300,$B102,Пул!$L$5:$L$300,"Закрыт")=0,"",ROUND(SUMIFS(Пул!$K$5:$K$300,Пул!$E$5:$E$300,$B102,Пул!$L$5:$L$300,"Закрыт"),8)))</f>
        <v/>
      </c>
      <c r="I102" s="242">
        <f>IF(AND(ISNUMBER(G102),ISNUMBER(H102)),IF(AND(G102&gt;0,H102&lt;0),"Buy",IF(AND(G102&lt;0,H102&gt;0),"Sell","")),"")</f>
        <v/>
      </c>
      <c r="J102" s="183">
        <f>IF(I102="Buy",G102,IF(I102="Sell",-G102,""))</f>
        <v/>
      </c>
      <c r="K102" s="183">
        <f>IF(AND(ISNUMBER(J102),ISNUMBER(L102),N(J102)&lt;&gt;0),ROUND(L102/J102,8),"")</f>
        <v/>
      </c>
      <c r="L102" s="183">
        <f>IF(I102="Buy",-H102,IF(I102="Sell",H102,""))</f>
        <v/>
      </c>
    </row>
    <row r="103" ht="22" customHeight="1">
      <c r="B103" s="315" t="n"/>
      <c r="C103" s="240">
        <f>IF($B103="","",IF(COUNTIFS(Пул!$E$5:$E$300,$B103,Пул!$F$5:$F$300,"&lt;&gt;")=0,"",ROUND(SUMIFS(Пул!$F$5:$F$300,Пул!$E$5:$E$300,$B103),8)))</f>
        <v/>
      </c>
      <c r="D103" s="241">
        <f>IF($B103="","",IF(COUNTIFS(Пул!$E$5:$E$300,$B103,Пул!$G$5:$G$300,"&lt;&gt;")=0,"",ROUND(SUMIFS(Пул!$G$5:$G$300,Пул!$E$5:$E$300,$B103),8)))</f>
        <v/>
      </c>
      <c r="E103" s="240">
        <f>IF($B103="","",IF(COUNTIFS(Пул!$E$5:$E$300,$B103,Пул!$L$5:$L$300,"Закрыт")=0,"",ROUND(SUMIFS(Пул!$H$5:$H$300,Пул!$E$5:$E$300,$B103,Пул!$L$5:$L$300,"Закрыт"),8)))</f>
        <v/>
      </c>
      <c r="F103" s="241">
        <f>IF($B103="","",IF(COUNTIFS(Пул!$E$5:$E$300,$B103,Пул!$L$5:$L$300,"Закрыт")=0,"",ROUND(SUMIFS(Пул!$I$5:$I$300,Пул!$E$5:$E$300,$B103,Пул!$L$5:$L$300,"Закрыт"),8)))</f>
        <v/>
      </c>
      <c r="G103" s="240">
        <f>IF($B103="","",IF(COUNTIFS(Пул!$E$5:$E$300,$B103,Пул!$L$5:$L$300,"Закрыт")=0,"",ROUND(SUMIFS(Пул!$J$5:$J$300,Пул!$E$5:$E$300,$B103,Пул!$L$5:$L$300,"Закрыт"),8)))</f>
        <v/>
      </c>
      <c r="H103" s="241">
        <f>IF($B103="","",IF(COUNTIFS(Пул!$E$5:$E$300,$B103,Пул!$L$5:$L$300,"Закрыт")=0,"",ROUND(SUMIFS(Пул!$K$5:$K$300,Пул!$E$5:$E$300,$B103,Пул!$L$5:$L$300,"Закрыт"),8)))</f>
        <v/>
      </c>
      <c r="I103" s="236">
        <f>IF(AND(ISNUMBER(G103),ISNUMBER(H103)),IF(AND(G103&gt;0,H103&lt;0),"Buy",IF(AND(G103&lt;0,H103&gt;0),"Sell","")),"")</f>
        <v/>
      </c>
      <c r="J103" s="177">
        <f>IF(I103="Buy",G103,IF(I103="Sell",-G103,""))</f>
        <v/>
      </c>
      <c r="K103" s="177">
        <f>IF(AND(ISNUMBER(J103),ISNUMBER(L103),N(J103)&lt;&gt;0),ROUND(L103/J103,8),"")</f>
        <v/>
      </c>
      <c r="L103" s="177">
        <f>IF(I103="Buy",-H103,IF(I103="Sell",H103,""))</f>
        <v/>
      </c>
    </row>
    <row r="104" ht="22" customHeight="1">
      <c r="B104" s="320" t="n"/>
      <c r="C104" s="246">
        <f>IF($B104="","",IF(COUNTIFS(Пул!$E$5:$E$300,$B104,Пул!$F$5:$F$300,"&lt;&gt;")=0,"",ROUND(SUMIFS(Пул!$F$5:$F$300,Пул!$E$5:$E$300,$B104),8)))</f>
        <v/>
      </c>
      <c r="D104" s="247">
        <f>IF($B104="","",IF(COUNTIFS(Пул!$E$5:$E$300,$B104,Пул!$G$5:$G$300,"&lt;&gt;")=0,"",ROUND(SUMIFS(Пул!$G$5:$G$300,Пул!$E$5:$E$300,$B104),8)))</f>
        <v/>
      </c>
      <c r="E104" s="246">
        <f>IF($B104="","",IF(COUNTIFS(Пул!$E$5:$E$300,$B104,Пул!$L$5:$L$300,"Закрыт")=0,"",ROUND(SUMIFS(Пул!$H$5:$H$300,Пул!$E$5:$E$300,$B104,Пул!$L$5:$L$300,"Закрыт"),8)))</f>
        <v/>
      </c>
      <c r="F104" s="247">
        <f>IF($B104="","",IF(COUNTIFS(Пул!$E$5:$E$300,$B104,Пул!$L$5:$L$300,"Закрыт")=0,"",ROUND(SUMIFS(Пул!$I$5:$I$300,Пул!$E$5:$E$300,$B104,Пул!$L$5:$L$300,"Закрыт"),8)))</f>
        <v/>
      </c>
      <c r="G104" s="246">
        <f>IF($B104="","",IF(COUNTIFS(Пул!$E$5:$E$300,$B104,Пул!$L$5:$L$300,"Закрыт")=0,"",ROUND(SUMIFS(Пул!$J$5:$J$300,Пул!$E$5:$E$300,$B104,Пул!$L$5:$L$300,"Закрыт"),8)))</f>
        <v/>
      </c>
      <c r="H104" s="247">
        <f>IF($B104="","",IF(COUNTIFS(Пул!$E$5:$E$300,$B104,Пул!$L$5:$L$300,"Закрыт")=0,"",ROUND(SUMIFS(Пул!$K$5:$K$300,Пул!$E$5:$E$300,$B104,Пул!$L$5:$L$300,"Закрыт"),8)))</f>
        <v/>
      </c>
      <c r="I104" s="242">
        <f>IF(AND(ISNUMBER(G104),ISNUMBER(H104)),IF(AND(G104&gt;0,H104&lt;0),"Buy",IF(AND(G104&lt;0,H104&gt;0),"Sell","")),"")</f>
        <v/>
      </c>
      <c r="J104" s="183">
        <f>IF(I104="Buy",G104,IF(I104="Sell",-G104,""))</f>
        <v/>
      </c>
      <c r="K104" s="183">
        <f>IF(AND(ISNUMBER(J104),ISNUMBER(L104),N(J104)&lt;&gt;0),ROUND(L104/J104,8),"")</f>
        <v/>
      </c>
      <c r="L104" s="183">
        <f>IF(I104="Buy",-H104,IF(I104="Sell",H104,""))</f>
        <v/>
      </c>
    </row>
    <row r="105" ht="22" customHeight="1">
      <c r="B105" s="315" t="n"/>
      <c r="C105" s="240">
        <f>IF($B105="","",IF(COUNTIFS(Пул!$E$5:$E$300,$B105,Пул!$F$5:$F$300,"&lt;&gt;")=0,"",ROUND(SUMIFS(Пул!$F$5:$F$300,Пул!$E$5:$E$300,$B105),8)))</f>
        <v/>
      </c>
      <c r="D105" s="241">
        <f>IF($B105="","",IF(COUNTIFS(Пул!$E$5:$E$300,$B105,Пул!$G$5:$G$300,"&lt;&gt;")=0,"",ROUND(SUMIFS(Пул!$G$5:$G$300,Пул!$E$5:$E$300,$B105),8)))</f>
        <v/>
      </c>
      <c r="E105" s="240">
        <f>IF($B105="","",IF(COUNTIFS(Пул!$E$5:$E$300,$B105,Пул!$L$5:$L$300,"Закрыт")=0,"",ROUND(SUMIFS(Пул!$H$5:$H$300,Пул!$E$5:$E$300,$B105,Пул!$L$5:$L$300,"Закрыт"),8)))</f>
        <v/>
      </c>
      <c r="F105" s="241">
        <f>IF($B105="","",IF(COUNTIFS(Пул!$E$5:$E$300,$B105,Пул!$L$5:$L$300,"Закрыт")=0,"",ROUND(SUMIFS(Пул!$I$5:$I$300,Пул!$E$5:$E$300,$B105,Пул!$L$5:$L$300,"Закрыт"),8)))</f>
        <v/>
      </c>
      <c r="G105" s="240">
        <f>IF($B105="","",IF(COUNTIFS(Пул!$E$5:$E$300,$B105,Пул!$L$5:$L$300,"Закрыт")=0,"",ROUND(SUMIFS(Пул!$J$5:$J$300,Пул!$E$5:$E$300,$B105,Пул!$L$5:$L$300,"Закрыт"),8)))</f>
        <v/>
      </c>
      <c r="H105" s="241">
        <f>IF($B105="","",IF(COUNTIFS(Пул!$E$5:$E$300,$B105,Пул!$L$5:$L$300,"Закрыт")=0,"",ROUND(SUMIFS(Пул!$K$5:$K$300,Пул!$E$5:$E$300,$B105,Пул!$L$5:$L$300,"Закрыт"),8)))</f>
        <v/>
      </c>
      <c r="I105" s="236">
        <f>IF(AND(ISNUMBER(G105),ISNUMBER(H105)),IF(AND(G105&gt;0,H105&lt;0),"Buy",IF(AND(G105&lt;0,H105&gt;0),"Sell","")),"")</f>
        <v/>
      </c>
      <c r="J105" s="177">
        <f>IF(I105="Buy",G105,IF(I105="Sell",-G105,""))</f>
        <v/>
      </c>
      <c r="K105" s="177">
        <f>IF(AND(ISNUMBER(J105),ISNUMBER(L105),N(J105)&lt;&gt;0),ROUND(L105/J105,8),"")</f>
        <v/>
      </c>
      <c r="L105" s="177">
        <f>IF(I105="Buy",-H105,IF(I105="Sell",H105,""))</f>
        <v/>
      </c>
    </row>
    <row r="106" ht="22" customHeight="1">
      <c r="B106" s="320" t="n"/>
      <c r="C106" s="246">
        <f>IF($B106="","",IF(COUNTIFS(Пул!$E$5:$E$300,$B106,Пул!$F$5:$F$300,"&lt;&gt;")=0,"",ROUND(SUMIFS(Пул!$F$5:$F$300,Пул!$E$5:$E$300,$B106),8)))</f>
        <v/>
      </c>
      <c r="D106" s="247">
        <f>IF($B106="","",IF(COUNTIFS(Пул!$E$5:$E$300,$B106,Пул!$G$5:$G$300,"&lt;&gt;")=0,"",ROUND(SUMIFS(Пул!$G$5:$G$300,Пул!$E$5:$E$300,$B106),8)))</f>
        <v/>
      </c>
      <c r="E106" s="246">
        <f>IF($B106="","",IF(COUNTIFS(Пул!$E$5:$E$300,$B106,Пул!$L$5:$L$300,"Закрыт")=0,"",ROUND(SUMIFS(Пул!$H$5:$H$300,Пул!$E$5:$E$300,$B106,Пул!$L$5:$L$300,"Закрыт"),8)))</f>
        <v/>
      </c>
      <c r="F106" s="247">
        <f>IF($B106="","",IF(COUNTIFS(Пул!$E$5:$E$300,$B106,Пул!$L$5:$L$300,"Закрыт")=0,"",ROUND(SUMIFS(Пул!$I$5:$I$300,Пул!$E$5:$E$300,$B106,Пул!$L$5:$L$300,"Закрыт"),8)))</f>
        <v/>
      </c>
      <c r="G106" s="246">
        <f>IF($B106="","",IF(COUNTIFS(Пул!$E$5:$E$300,$B106,Пул!$L$5:$L$300,"Закрыт")=0,"",ROUND(SUMIFS(Пул!$J$5:$J$300,Пул!$E$5:$E$300,$B106,Пул!$L$5:$L$300,"Закрыт"),8)))</f>
        <v/>
      </c>
      <c r="H106" s="247">
        <f>IF($B106="","",IF(COUNTIFS(Пул!$E$5:$E$300,$B106,Пул!$L$5:$L$300,"Закрыт")=0,"",ROUND(SUMIFS(Пул!$K$5:$K$300,Пул!$E$5:$E$300,$B106,Пул!$L$5:$L$300,"Закрыт"),8)))</f>
        <v/>
      </c>
      <c r="I106" s="242">
        <f>IF(AND(ISNUMBER(G106),ISNUMBER(H106)),IF(AND(G106&gt;0,H106&lt;0),"Buy",IF(AND(G106&lt;0,H106&gt;0),"Sell","")),"")</f>
        <v/>
      </c>
      <c r="J106" s="183">
        <f>IF(I106="Buy",G106,IF(I106="Sell",-G106,""))</f>
        <v/>
      </c>
      <c r="K106" s="183">
        <f>IF(AND(ISNUMBER(J106),ISNUMBER(L106),N(J106)&lt;&gt;0),ROUND(L106/J106,8),"")</f>
        <v/>
      </c>
      <c r="L106" s="183">
        <f>IF(I106="Buy",-H106,IF(I106="Sell",H106,""))</f>
        <v/>
      </c>
    </row>
    <row r="107" ht="22" customHeight="1">
      <c r="B107" s="315" t="n"/>
      <c r="C107" s="240">
        <f>IF($B107="","",IF(COUNTIFS(Пул!$E$5:$E$300,$B107,Пул!$F$5:$F$300,"&lt;&gt;")=0,"",ROUND(SUMIFS(Пул!$F$5:$F$300,Пул!$E$5:$E$300,$B107),8)))</f>
        <v/>
      </c>
      <c r="D107" s="241">
        <f>IF($B107="","",IF(COUNTIFS(Пул!$E$5:$E$300,$B107,Пул!$G$5:$G$300,"&lt;&gt;")=0,"",ROUND(SUMIFS(Пул!$G$5:$G$300,Пул!$E$5:$E$300,$B107),8)))</f>
        <v/>
      </c>
      <c r="E107" s="240">
        <f>IF($B107="","",IF(COUNTIFS(Пул!$E$5:$E$300,$B107,Пул!$L$5:$L$300,"Закрыт")=0,"",ROUND(SUMIFS(Пул!$H$5:$H$300,Пул!$E$5:$E$300,$B107,Пул!$L$5:$L$300,"Закрыт"),8)))</f>
        <v/>
      </c>
      <c r="F107" s="241">
        <f>IF($B107="","",IF(COUNTIFS(Пул!$E$5:$E$300,$B107,Пул!$L$5:$L$300,"Закрыт")=0,"",ROUND(SUMIFS(Пул!$I$5:$I$300,Пул!$E$5:$E$300,$B107,Пул!$L$5:$L$300,"Закрыт"),8)))</f>
        <v/>
      </c>
      <c r="G107" s="240">
        <f>IF($B107="","",IF(COUNTIFS(Пул!$E$5:$E$300,$B107,Пул!$L$5:$L$300,"Закрыт")=0,"",ROUND(SUMIFS(Пул!$J$5:$J$300,Пул!$E$5:$E$300,$B107,Пул!$L$5:$L$300,"Закрыт"),8)))</f>
        <v/>
      </c>
      <c r="H107" s="241">
        <f>IF($B107="","",IF(COUNTIFS(Пул!$E$5:$E$300,$B107,Пул!$L$5:$L$300,"Закрыт")=0,"",ROUND(SUMIFS(Пул!$K$5:$K$300,Пул!$E$5:$E$300,$B107,Пул!$L$5:$L$300,"Закрыт"),8)))</f>
        <v/>
      </c>
      <c r="I107" s="236">
        <f>IF(AND(ISNUMBER(G107),ISNUMBER(H107)),IF(AND(G107&gt;0,H107&lt;0),"Buy",IF(AND(G107&lt;0,H107&gt;0),"Sell","")),"")</f>
        <v/>
      </c>
      <c r="J107" s="177">
        <f>IF(I107="Buy",G107,IF(I107="Sell",-G107,""))</f>
        <v/>
      </c>
      <c r="K107" s="177">
        <f>IF(AND(ISNUMBER(J107),ISNUMBER(L107),N(J107)&lt;&gt;0),ROUND(L107/J107,8),"")</f>
        <v/>
      </c>
      <c r="L107" s="177">
        <f>IF(I107="Buy",-H107,IF(I107="Sell",H107,""))</f>
        <v/>
      </c>
    </row>
    <row r="108" ht="22" customHeight="1">
      <c r="B108" s="320" t="n"/>
      <c r="C108" s="246">
        <f>IF($B108="","",IF(COUNTIFS(Пул!$E$5:$E$300,$B108,Пул!$F$5:$F$300,"&lt;&gt;")=0,"",ROUND(SUMIFS(Пул!$F$5:$F$300,Пул!$E$5:$E$300,$B108),8)))</f>
        <v/>
      </c>
      <c r="D108" s="247">
        <f>IF($B108="","",IF(COUNTIFS(Пул!$E$5:$E$300,$B108,Пул!$G$5:$G$300,"&lt;&gt;")=0,"",ROUND(SUMIFS(Пул!$G$5:$G$300,Пул!$E$5:$E$300,$B108),8)))</f>
        <v/>
      </c>
      <c r="E108" s="246">
        <f>IF($B108="","",IF(COUNTIFS(Пул!$E$5:$E$300,$B108,Пул!$L$5:$L$300,"Закрыт")=0,"",ROUND(SUMIFS(Пул!$H$5:$H$300,Пул!$E$5:$E$300,$B108,Пул!$L$5:$L$300,"Закрыт"),8)))</f>
        <v/>
      </c>
      <c r="F108" s="247">
        <f>IF($B108="","",IF(COUNTIFS(Пул!$E$5:$E$300,$B108,Пул!$L$5:$L$300,"Закрыт")=0,"",ROUND(SUMIFS(Пул!$I$5:$I$300,Пул!$E$5:$E$300,$B108,Пул!$L$5:$L$300,"Закрыт"),8)))</f>
        <v/>
      </c>
      <c r="G108" s="246">
        <f>IF($B108="","",IF(COUNTIFS(Пул!$E$5:$E$300,$B108,Пул!$L$5:$L$300,"Закрыт")=0,"",ROUND(SUMIFS(Пул!$J$5:$J$300,Пул!$E$5:$E$300,$B108,Пул!$L$5:$L$300,"Закрыт"),8)))</f>
        <v/>
      </c>
      <c r="H108" s="247">
        <f>IF($B108="","",IF(COUNTIFS(Пул!$E$5:$E$300,$B108,Пул!$L$5:$L$300,"Закрыт")=0,"",ROUND(SUMIFS(Пул!$K$5:$K$300,Пул!$E$5:$E$300,$B108,Пул!$L$5:$L$300,"Закрыт"),8)))</f>
        <v/>
      </c>
      <c r="I108" s="242">
        <f>IF(AND(ISNUMBER(G108),ISNUMBER(H108)),IF(AND(G108&gt;0,H108&lt;0),"Buy",IF(AND(G108&lt;0,H108&gt;0),"Sell","")),"")</f>
        <v/>
      </c>
      <c r="J108" s="183">
        <f>IF(I108="Buy",G108,IF(I108="Sell",-G108,""))</f>
        <v/>
      </c>
      <c r="K108" s="183">
        <f>IF(AND(ISNUMBER(J108),ISNUMBER(L108),N(J108)&lt;&gt;0),ROUND(L108/J108,8),"")</f>
        <v/>
      </c>
      <c r="L108" s="183">
        <f>IF(I108="Buy",-H108,IF(I108="Sell",H108,""))</f>
        <v/>
      </c>
    </row>
    <row r="109" ht="22" customHeight="1">
      <c r="B109" s="315" t="n"/>
      <c r="C109" s="240">
        <f>IF($B109="","",IF(COUNTIFS(Пул!$E$5:$E$300,$B109,Пул!$F$5:$F$300,"&lt;&gt;")=0,"",ROUND(SUMIFS(Пул!$F$5:$F$300,Пул!$E$5:$E$300,$B109),8)))</f>
        <v/>
      </c>
      <c r="D109" s="241">
        <f>IF($B109="","",IF(COUNTIFS(Пул!$E$5:$E$300,$B109,Пул!$G$5:$G$300,"&lt;&gt;")=0,"",ROUND(SUMIFS(Пул!$G$5:$G$300,Пул!$E$5:$E$300,$B109),8)))</f>
        <v/>
      </c>
      <c r="E109" s="240">
        <f>IF($B109="","",IF(COUNTIFS(Пул!$E$5:$E$300,$B109,Пул!$L$5:$L$300,"Закрыт")=0,"",ROUND(SUMIFS(Пул!$H$5:$H$300,Пул!$E$5:$E$300,$B109,Пул!$L$5:$L$300,"Закрыт"),8)))</f>
        <v/>
      </c>
      <c r="F109" s="241">
        <f>IF($B109="","",IF(COUNTIFS(Пул!$E$5:$E$300,$B109,Пул!$L$5:$L$300,"Закрыт")=0,"",ROUND(SUMIFS(Пул!$I$5:$I$300,Пул!$E$5:$E$300,$B109,Пул!$L$5:$L$300,"Закрыт"),8)))</f>
        <v/>
      </c>
      <c r="G109" s="240">
        <f>IF($B109="","",IF(COUNTIFS(Пул!$E$5:$E$300,$B109,Пул!$L$5:$L$300,"Закрыт")=0,"",ROUND(SUMIFS(Пул!$J$5:$J$300,Пул!$E$5:$E$300,$B109,Пул!$L$5:$L$300,"Закрыт"),8)))</f>
        <v/>
      </c>
      <c r="H109" s="241">
        <f>IF($B109="","",IF(COUNTIFS(Пул!$E$5:$E$300,$B109,Пул!$L$5:$L$300,"Закрыт")=0,"",ROUND(SUMIFS(Пул!$K$5:$K$300,Пул!$E$5:$E$300,$B109,Пул!$L$5:$L$300,"Закрыт"),8)))</f>
        <v/>
      </c>
      <c r="I109" s="236">
        <f>IF(AND(ISNUMBER(G109),ISNUMBER(H109)),IF(AND(G109&gt;0,H109&lt;0),"Buy",IF(AND(G109&lt;0,H109&gt;0),"Sell","")),"")</f>
        <v/>
      </c>
      <c r="J109" s="177">
        <f>IF(I109="Buy",G109,IF(I109="Sell",-G109,""))</f>
        <v/>
      </c>
      <c r="K109" s="177">
        <f>IF(AND(ISNUMBER(J109),ISNUMBER(L109),N(J109)&lt;&gt;0),ROUND(L109/J109,8),"")</f>
        <v/>
      </c>
      <c r="L109" s="177">
        <f>IF(I109="Buy",-H109,IF(I109="Sell",H109,""))</f>
        <v/>
      </c>
    </row>
    <row r="110" ht="22" customHeight="1">
      <c r="B110" s="320" t="n"/>
      <c r="C110" s="246">
        <f>IF($B110="","",IF(COUNTIFS(Пул!$E$5:$E$300,$B110,Пул!$F$5:$F$300,"&lt;&gt;")=0,"",ROUND(SUMIFS(Пул!$F$5:$F$300,Пул!$E$5:$E$300,$B110),8)))</f>
        <v/>
      </c>
      <c r="D110" s="247">
        <f>IF($B110="","",IF(COUNTIFS(Пул!$E$5:$E$300,$B110,Пул!$G$5:$G$300,"&lt;&gt;")=0,"",ROUND(SUMIFS(Пул!$G$5:$G$300,Пул!$E$5:$E$300,$B110),8)))</f>
        <v/>
      </c>
      <c r="E110" s="246">
        <f>IF($B110="","",IF(COUNTIFS(Пул!$E$5:$E$300,$B110,Пул!$L$5:$L$300,"Закрыт")=0,"",ROUND(SUMIFS(Пул!$H$5:$H$300,Пул!$E$5:$E$300,$B110,Пул!$L$5:$L$300,"Закрыт"),8)))</f>
        <v/>
      </c>
      <c r="F110" s="247">
        <f>IF($B110="","",IF(COUNTIFS(Пул!$E$5:$E$300,$B110,Пул!$L$5:$L$300,"Закрыт")=0,"",ROUND(SUMIFS(Пул!$I$5:$I$300,Пул!$E$5:$E$300,$B110,Пул!$L$5:$L$300,"Закрыт"),8)))</f>
        <v/>
      </c>
      <c r="G110" s="246">
        <f>IF($B110="","",IF(COUNTIFS(Пул!$E$5:$E$300,$B110,Пул!$L$5:$L$300,"Закрыт")=0,"",ROUND(SUMIFS(Пул!$J$5:$J$300,Пул!$E$5:$E$300,$B110,Пул!$L$5:$L$300,"Закрыт"),8)))</f>
        <v/>
      </c>
      <c r="H110" s="247">
        <f>IF($B110="","",IF(COUNTIFS(Пул!$E$5:$E$300,$B110,Пул!$L$5:$L$300,"Закрыт")=0,"",ROUND(SUMIFS(Пул!$K$5:$K$300,Пул!$E$5:$E$300,$B110,Пул!$L$5:$L$300,"Закрыт"),8)))</f>
        <v/>
      </c>
      <c r="I110" s="242">
        <f>IF(AND(ISNUMBER(G110),ISNUMBER(H110)),IF(AND(G110&gt;0,H110&lt;0),"Buy",IF(AND(G110&lt;0,H110&gt;0),"Sell","")),"")</f>
        <v/>
      </c>
      <c r="J110" s="183">
        <f>IF(I110="Buy",G110,IF(I110="Sell",-G110,""))</f>
        <v/>
      </c>
      <c r="K110" s="183">
        <f>IF(AND(ISNUMBER(J110),ISNUMBER(L110),N(J110)&lt;&gt;0),ROUND(L110/J110,8),"")</f>
        <v/>
      </c>
      <c r="L110" s="183">
        <f>IF(I110="Buy",-H110,IF(I110="Sell",H110,""))</f>
        <v/>
      </c>
    </row>
    <row r="111" ht="22" customHeight="1">
      <c r="B111" s="315" t="n"/>
      <c r="C111" s="240">
        <f>IF($B111="","",IF(COUNTIFS(Пул!$E$5:$E$300,$B111,Пул!$F$5:$F$300,"&lt;&gt;")=0,"",ROUND(SUMIFS(Пул!$F$5:$F$300,Пул!$E$5:$E$300,$B111),8)))</f>
        <v/>
      </c>
      <c r="D111" s="241">
        <f>IF($B111="","",IF(COUNTIFS(Пул!$E$5:$E$300,$B111,Пул!$G$5:$G$300,"&lt;&gt;")=0,"",ROUND(SUMIFS(Пул!$G$5:$G$300,Пул!$E$5:$E$300,$B111),8)))</f>
        <v/>
      </c>
      <c r="E111" s="240">
        <f>IF($B111="","",IF(COUNTIFS(Пул!$E$5:$E$300,$B111,Пул!$L$5:$L$300,"Закрыт")=0,"",ROUND(SUMIFS(Пул!$H$5:$H$300,Пул!$E$5:$E$300,$B111,Пул!$L$5:$L$300,"Закрыт"),8)))</f>
        <v/>
      </c>
      <c r="F111" s="241">
        <f>IF($B111="","",IF(COUNTIFS(Пул!$E$5:$E$300,$B111,Пул!$L$5:$L$300,"Закрыт")=0,"",ROUND(SUMIFS(Пул!$I$5:$I$300,Пул!$E$5:$E$300,$B111,Пул!$L$5:$L$300,"Закрыт"),8)))</f>
        <v/>
      </c>
      <c r="G111" s="240">
        <f>IF($B111="","",IF(COUNTIFS(Пул!$E$5:$E$300,$B111,Пул!$L$5:$L$300,"Закрыт")=0,"",ROUND(SUMIFS(Пул!$J$5:$J$300,Пул!$E$5:$E$300,$B111,Пул!$L$5:$L$300,"Закрыт"),8)))</f>
        <v/>
      </c>
      <c r="H111" s="241">
        <f>IF($B111="","",IF(COUNTIFS(Пул!$E$5:$E$300,$B111,Пул!$L$5:$L$300,"Закрыт")=0,"",ROUND(SUMIFS(Пул!$K$5:$K$300,Пул!$E$5:$E$300,$B111,Пул!$L$5:$L$300,"Закрыт"),8)))</f>
        <v/>
      </c>
      <c r="I111" s="236">
        <f>IF(AND(ISNUMBER(G111),ISNUMBER(H111)),IF(AND(G111&gt;0,H111&lt;0),"Buy",IF(AND(G111&lt;0,H111&gt;0),"Sell","")),"")</f>
        <v/>
      </c>
      <c r="J111" s="177">
        <f>IF(I111="Buy",G111,IF(I111="Sell",-G111,""))</f>
        <v/>
      </c>
      <c r="K111" s="177">
        <f>IF(AND(ISNUMBER(J111),ISNUMBER(L111),N(J111)&lt;&gt;0),ROUND(L111/J111,8),"")</f>
        <v/>
      </c>
      <c r="L111" s="177">
        <f>IF(I111="Buy",-H111,IF(I111="Sell",H111,""))</f>
        <v/>
      </c>
    </row>
    <row r="112" ht="22" customHeight="1">
      <c r="B112" s="320" t="n"/>
      <c r="C112" s="246">
        <f>IF($B112="","",IF(COUNTIFS(Пул!$E$5:$E$300,$B112,Пул!$F$5:$F$300,"&lt;&gt;")=0,"",ROUND(SUMIFS(Пул!$F$5:$F$300,Пул!$E$5:$E$300,$B112),8)))</f>
        <v/>
      </c>
      <c r="D112" s="247">
        <f>IF($B112="","",IF(COUNTIFS(Пул!$E$5:$E$300,$B112,Пул!$G$5:$G$300,"&lt;&gt;")=0,"",ROUND(SUMIFS(Пул!$G$5:$G$300,Пул!$E$5:$E$300,$B112),8)))</f>
        <v/>
      </c>
      <c r="E112" s="246">
        <f>IF($B112="","",IF(COUNTIFS(Пул!$E$5:$E$300,$B112,Пул!$L$5:$L$300,"Закрыт")=0,"",ROUND(SUMIFS(Пул!$H$5:$H$300,Пул!$E$5:$E$300,$B112,Пул!$L$5:$L$300,"Закрыт"),8)))</f>
        <v/>
      </c>
      <c r="F112" s="247">
        <f>IF($B112="","",IF(COUNTIFS(Пул!$E$5:$E$300,$B112,Пул!$L$5:$L$300,"Закрыт")=0,"",ROUND(SUMIFS(Пул!$I$5:$I$300,Пул!$E$5:$E$300,$B112,Пул!$L$5:$L$300,"Закрыт"),8)))</f>
        <v/>
      </c>
      <c r="G112" s="246">
        <f>IF($B112="","",IF(COUNTIFS(Пул!$E$5:$E$300,$B112,Пул!$L$5:$L$300,"Закрыт")=0,"",ROUND(SUMIFS(Пул!$J$5:$J$300,Пул!$E$5:$E$300,$B112,Пул!$L$5:$L$300,"Закрыт"),8)))</f>
        <v/>
      </c>
      <c r="H112" s="247">
        <f>IF($B112="","",IF(COUNTIFS(Пул!$E$5:$E$300,$B112,Пул!$L$5:$L$300,"Закрыт")=0,"",ROUND(SUMIFS(Пул!$K$5:$K$300,Пул!$E$5:$E$300,$B112,Пул!$L$5:$L$300,"Закрыт"),8)))</f>
        <v/>
      </c>
      <c r="I112" s="242">
        <f>IF(AND(ISNUMBER(G112),ISNUMBER(H112)),IF(AND(G112&gt;0,H112&lt;0),"Buy",IF(AND(G112&lt;0,H112&gt;0),"Sell","")),"")</f>
        <v/>
      </c>
      <c r="J112" s="183">
        <f>IF(I112="Buy",G112,IF(I112="Sell",-G112,""))</f>
        <v/>
      </c>
      <c r="K112" s="183">
        <f>IF(AND(ISNUMBER(J112),ISNUMBER(L112),N(J112)&lt;&gt;0),ROUND(L112/J112,8),"")</f>
        <v/>
      </c>
      <c r="L112" s="183">
        <f>IF(I112="Buy",-H112,IF(I112="Sell",H112,""))</f>
        <v/>
      </c>
    </row>
    <row r="113" ht="22" customHeight="1">
      <c r="B113" s="315" t="n"/>
      <c r="C113" s="240">
        <f>IF($B113="","",IF(COUNTIFS(Пул!$E$5:$E$300,$B113,Пул!$F$5:$F$300,"&lt;&gt;")=0,"",ROUND(SUMIFS(Пул!$F$5:$F$300,Пул!$E$5:$E$300,$B113),8)))</f>
        <v/>
      </c>
      <c r="D113" s="241">
        <f>IF($B113="","",IF(COUNTIFS(Пул!$E$5:$E$300,$B113,Пул!$G$5:$G$300,"&lt;&gt;")=0,"",ROUND(SUMIFS(Пул!$G$5:$G$300,Пул!$E$5:$E$300,$B113),8)))</f>
        <v/>
      </c>
      <c r="E113" s="240">
        <f>IF($B113="","",IF(COUNTIFS(Пул!$E$5:$E$300,$B113,Пул!$L$5:$L$300,"Закрыт")=0,"",ROUND(SUMIFS(Пул!$H$5:$H$300,Пул!$E$5:$E$300,$B113,Пул!$L$5:$L$300,"Закрыт"),8)))</f>
        <v/>
      </c>
      <c r="F113" s="241">
        <f>IF($B113="","",IF(COUNTIFS(Пул!$E$5:$E$300,$B113,Пул!$L$5:$L$300,"Закрыт")=0,"",ROUND(SUMIFS(Пул!$I$5:$I$300,Пул!$E$5:$E$300,$B113,Пул!$L$5:$L$300,"Закрыт"),8)))</f>
        <v/>
      </c>
      <c r="G113" s="240">
        <f>IF($B113="","",IF(COUNTIFS(Пул!$E$5:$E$300,$B113,Пул!$L$5:$L$300,"Закрыт")=0,"",ROUND(SUMIFS(Пул!$J$5:$J$300,Пул!$E$5:$E$300,$B113,Пул!$L$5:$L$300,"Закрыт"),8)))</f>
        <v/>
      </c>
      <c r="H113" s="241">
        <f>IF($B113="","",IF(COUNTIFS(Пул!$E$5:$E$300,$B113,Пул!$L$5:$L$300,"Закрыт")=0,"",ROUND(SUMIFS(Пул!$K$5:$K$300,Пул!$E$5:$E$300,$B113,Пул!$L$5:$L$300,"Закрыт"),8)))</f>
        <v/>
      </c>
      <c r="I113" s="236">
        <f>IF(AND(ISNUMBER(G113),ISNUMBER(H113)),IF(AND(G113&gt;0,H113&lt;0),"Buy",IF(AND(G113&lt;0,H113&gt;0),"Sell","")),"")</f>
        <v/>
      </c>
      <c r="J113" s="177">
        <f>IF(I113="Buy",G113,IF(I113="Sell",-G113,""))</f>
        <v/>
      </c>
      <c r="K113" s="177">
        <f>IF(AND(ISNUMBER(J113),ISNUMBER(L113),N(J113)&lt;&gt;0),ROUND(L113/J113,8),"")</f>
        <v/>
      </c>
      <c r="L113" s="177">
        <f>IF(I113="Buy",-H113,IF(I113="Sell",H113,""))</f>
        <v/>
      </c>
    </row>
    <row r="114" ht="22" customHeight="1">
      <c r="B114" s="320" t="n"/>
      <c r="C114" s="246">
        <f>IF($B114="","",IF(COUNTIFS(Пул!$E$5:$E$300,$B114,Пул!$F$5:$F$300,"&lt;&gt;")=0,"",ROUND(SUMIFS(Пул!$F$5:$F$300,Пул!$E$5:$E$300,$B114),8)))</f>
        <v/>
      </c>
      <c r="D114" s="247">
        <f>IF($B114="","",IF(COUNTIFS(Пул!$E$5:$E$300,$B114,Пул!$G$5:$G$300,"&lt;&gt;")=0,"",ROUND(SUMIFS(Пул!$G$5:$G$300,Пул!$E$5:$E$300,$B114),8)))</f>
        <v/>
      </c>
      <c r="E114" s="246">
        <f>IF($B114="","",IF(COUNTIFS(Пул!$E$5:$E$300,$B114,Пул!$L$5:$L$300,"Закрыт")=0,"",ROUND(SUMIFS(Пул!$H$5:$H$300,Пул!$E$5:$E$300,$B114,Пул!$L$5:$L$300,"Закрыт"),8)))</f>
        <v/>
      </c>
      <c r="F114" s="247">
        <f>IF($B114="","",IF(COUNTIFS(Пул!$E$5:$E$300,$B114,Пул!$L$5:$L$300,"Закрыт")=0,"",ROUND(SUMIFS(Пул!$I$5:$I$300,Пул!$E$5:$E$300,$B114,Пул!$L$5:$L$300,"Закрыт"),8)))</f>
        <v/>
      </c>
      <c r="G114" s="246">
        <f>IF($B114="","",IF(COUNTIFS(Пул!$E$5:$E$300,$B114,Пул!$L$5:$L$300,"Закрыт")=0,"",ROUND(SUMIFS(Пул!$J$5:$J$300,Пул!$E$5:$E$300,$B114,Пул!$L$5:$L$300,"Закрыт"),8)))</f>
        <v/>
      </c>
      <c r="H114" s="247">
        <f>IF($B114="","",IF(COUNTIFS(Пул!$E$5:$E$300,$B114,Пул!$L$5:$L$300,"Закрыт")=0,"",ROUND(SUMIFS(Пул!$K$5:$K$300,Пул!$E$5:$E$300,$B114,Пул!$L$5:$L$300,"Закрыт"),8)))</f>
        <v/>
      </c>
      <c r="I114" s="242">
        <f>IF(AND(ISNUMBER(G114),ISNUMBER(H114)),IF(AND(G114&gt;0,H114&lt;0),"Buy",IF(AND(G114&lt;0,H114&gt;0),"Sell","")),"")</f>
        <v/>
      </c>
      <c r="J114" s="183">
        <f>IF(I114="Buy",G114,IF(I114="Sell",-G114,""))</f>
        <v/>
      </c>
      <c r="K114" s="183">
        <f>IF(AND(ISNUMBER(J114),ISNUMBER(L114),N(J114)&lt;&gt;0),ROUND(L114/J114,8),"")</f>
        <v/>
      </c>
      <c r="L114" s="183">
        <f>IF(I114="Buy",-H114,IF(I114="Sell",H114,""))</f>
        <v/>
      </c>
    </row>
    <row r="115" ht="22" customHeight="1">
      <c r="B115" s="315" t="n"/>
      <c r="C115" s="240">
        <f>IF($B115="","",IF(COUNTIFS(Пул!$E$5:$E$300,$B115,Пул!$F$5:$F$300,"&lt;&gt;")=0,"",ROUND(SUMIFS(Пул!$F$5:$F$300,Пул!$E$5:$E$300,$B115),8)))</f>
        <v/>
      </c>
      <c r="D115" s="241">
        <f>IF($B115="","",IF(COUNTIFS(Пул!$E$5:$E$300,$B115,Пул!$G$5:$G$300,"&lt;&gt;")=0,"",ROUND(SUMIFS(Пул!$G$5:$G$300,Пул!$E$5:$E$300,$B115),8)))</f>
        <v/>
      </c>
      <c r="E115" s="240">
        <f>IF($B115="","",IF(COUNTIFS(Пул!$E$5:$E$300,$B115,Пул!$L$5:$L$300,"Закрыт")=0,"",ROUND(SUMIFS(Пул!$H$5:$H$300,Пул!$E$5:$E$300,$B115,Пул!$L$5:$L$300,"Закрыт"),8)))</f>
        <v/>
      </c>
      <c r="F115" s="241">
        <f>IF($B115="","",IF(COUNTIFS(Пул!$E$5:$E$300,$B115,Пул!$L$5:$L$300,"Закрыт")=0,"",ROUND(SUMIFS(Пул!$I$5:$I$300,Пул!$E$5:$E$300,$B115,Пул!$L$5:$L$300,"Закрыт"),8)))</f>
        <v/>
      </c>
      <c r="G115" s="240">
        <f>IF($B115="","",IF(COUNTIFS(Пул!$E$5:$E$300,$B115,Пул!$L$5:$L$300,"Закрыт")=0,"",ROUND(SUMIFS(Пул!$J$5:$J$300,Пул!$E$5:$E$300,$B115,Пул!$L$5:$L$300,"Закрыт"),8)))</f>
        <v/>
      </c>
      <c r="H115" s="241">
        <f>IF($B115="","",IF(COUNTIFS(Пул!$E$5:$E$300,$B115,Пул!$L$5:$L$300,"Закрыт")=0,"",ROUND(SUMIFS(Пул!$K$5:$K$300,Пул!$E$5:$E$300,$B115,Пул!$L$5:$L$300,"Закрыт"),8)))</f>
        <v/>
      </c>
      <c r="I115" s="236">
        <f>IF(AND(ISNUMBER(G115),ISNUMBER(H115)),IF(AND(G115&gt;0,H115&lt;0),"Buy",IF(AND(G115&lt;0,H115&gt;0),"Sell","")),"")</f>
        <v/>
      </c>
      <c r="J115" s="177">
        <f>IF(I115="Buy",G115,IF(I115="Sell",-G115,""))</f>
        <v/>
      </c>
      <c r="K115" s="177">
        <f>IF(AND(ISNUMBER(J115),ISNUMBER(L115),N(J115)&lt;&gt;0),ROUND(L115/J115,8),"")</f>
        <v/>
      </c>
      <c r="L115" s="177">
        <f>IF(I115="Buy",-H115,IF(I115="Sell",H115,""))</f>
        <v/>
      </c>
    </row>
    <row r="116" ht="22" customHeight="1">
      <c r="B116" s="320" t="n"/>
      <c r="C116" s="246">
        <f>IF($B116="","",IF(COUNTIFS(Пул!$E$5:$E$300,$B116,Пул!$F$5:$F$300,"&lt;&gt;")=0,"",ROUND(SUMIFS(Пул!$F$5:$F$300,Пул!$E$5:$E$300,$B116),8)))</f>
        <v/>
      </c>
      <c r="D116" s="247">
        <f>IF($B116="","",IF(COUNTIFS(Пул!$E$5:$E$300,$B116,Пул!$G$5:$G$300,"&lt;&gt;")=0,"",ROUND(SUMIFS(Пул!$G$5:$G$300,Пул!$E$5:$E$300,$B116),8)))</f>
        <v/>
      </c>
      <c r="E116" s="246">
        <f>IF($B116="","",IF(COUNTIFS(Пул!$E$5:$E$300,$B116,Пул!$L$5:$L$300,"Закрыт")=0,"",ROUND(SUMIFS(Пул!$H$5:$H$300,Пул!$E$5:$E$300,$B116,Пул!$L$5:$L$300,"Закрыт"),8)))</f>
        <v/>
      </c>
      <c r="F116" s="247">
        <f>IF($B116="","",IF(COUNTIFS(Пул!$E$5:$E$300,$B116,Пул!$L$5:$L$300,"Закрыт")=0,"",ROUND(SUMIFS(Пул!$I$5:$I$300,Пул!$E$5:$E$300,$B116,Пул!$L$5:$L$300,"Закрыт"),8)))</f>
        <v/>
      </c>
      <c r="G116" s="246">
        <f>IF($B116="","",IF(COUNTIFS(Пул!$E$5:$E$300,$B116,Пул!$L$5:$L$300,"Закрыт")=0,"",ROUND(SUMIFS(Пул!$J$5:$J$300,Пул!$E$5:$E$300,$B116,Пул!$L$5:$L$300,"Закрыт"),8)))</f>
        <v/>
      </c>
      <c r="H116" s="247">
        <f>IF($B116="","",IF(COUNTIFS(Пул!$E$5:$E$300,$B116,Пул!$L$5:$L$300,"Закрыт")=0,"",ROUND(SUMIFS(Пул!$K$5:$K$300,Пул!$E$5:$E$300,$B116,Пул!$L$5:$L$300,"Закрыт"),8)))</f>
        <v/>
      </c>
      <c r="I116" s="242">
        <f>IF(AND(ISNUMBER(G116),ISNUMBER(H116)),IF(AND(G116&gt;0,H116&lt;0),"Buy",IF(AND(G116&lt;0,H116&gt;0),"Sell","")),"")</f>
        <v/>
      </c>
      <c r="J116" s="183">
        <f>IF(I116="Buy",G116,IF(I116="Sell",-G116,""))</f>
        <v/>
      </c>
      <c r="K116" s="183">
        <f>IF(AND(ISNUMBER(J116),ISNUMBER(L116),N(J116)&lt;&gt;0),ROUND(L116/J116,8),"")</f>
        <v/>
      </c>
      <c r="L116" s="183">
        <f>IF(I116="Buy",-H116,IF(I116="Sell",H116,""))</f>
        <v/>
      </c>
    </row>
    <row r="117" ht="22" customHeight="1">
      <c r="B117" s="315" t="n"/>
      <c r="C117" s="240">
        <f>IF($B117="","",IF(COUNTIFS(Пул!$E$5:$E$300,$B117,Пул!$F$5:$F$300,"&lt;&gt;")=0,"",ROUND(SUMIFS(Пул!$F$5:$F$300,Пул!$E$5:$E$300,$B117),8)))</f>
        <v/>
      </c>
      <c r="D117" s="241">
        <f>IF($B117="","",IF(COUNTIFS(Пул!$E$5:$E$300,$B117,Пул!$G$5:$G$300,"&lt;&gt;")=0,"",ROUND(SUMIFS(Пул!$G$5:$G$300,Пул!$E$5:$E$300,$B117),8)))</f>
        <v/>
      </c>
      <c r="E117" s="240">
        <f>IF($B117="","",IF(COUNTIFS(Пул!$E$5:$E$300,$B117,Пул!$L$5:$L$300,"Закрыт")=0,"",ROUND(SUMIFS(Пул!$H$5:$H$300,Пул!$E$5:$E$300,$B117,Пул!$L$5:$L$300,"Закрыт"),8)))</f>
        <v/>
      </c>
      <c r="F117" s="241">
        <f>IF($B117="","",IF(COUNTIFS(Пул!$E$5:$E$300,$B117,Пул!$L$5:$L$300,"Закрыт")=0,"",ROUND(SUMIFS(Пул!$I$5:$I$300,Пул!$E$5:$E$300,$B117,Пул!$L$5:$L$300,"Закрыт"),8)))</f>
        <v/>
      </c>
      <c r="G117" s="240">
        <f>IF($B117="","",IF(COUNTIFS(Пул!$E$5:$E$300,$B117,Пул!$L$5:$L$300,"Закрыт")=0,"",ROUND(SUMIFS(Пул!$J$5:$J$300,Пул!$E$5:$E$300,$B117,Пул!$L$5:$L$300,"Закрыт"),8)))</f>
        <v/>
      </c>
      <c r="H117" s="241">
        <f>IF($B117="","",IF(COUNTIFS(Пул!$E$5:$E$300,$B117,Пул!$L$5:$L$300,"Закрыт")=0,"",ROUND(SUMIFS(Пул!$K$5:$K$300,Пул!$E$5:$E$300,$B117,Пул!$L$5:$L$300,"Закрыт"),8)))</f>
        <v/>
      </c>
      <c r="I117" s="236">
        <f>IF(AND(ISNUMBER(G117),ISNUMBER(H117)),IF(AND(G117&gt;0,H117&lt;0),"Buy",IF(AND(G117&lt;0,H117&gt;0),"Sell","")),"")</f>
        <v/>
      </c>
      <c r="J117" s="177">
        <f>IF(I117="Buy",G117,IF(I117="Sell",-G117,""))</f>
        <v/>
      </c>
      <c r="K117" s="177">
        <f>IF(AND(ISNUMBER(J117),ISNUMBER(L117),N(J117)&lt;&gt;0),ROUND(L117/J117,8),"")</f>
        <v/>
      </c>
      <c r="L117" s="177">
        <f>IF(I117="Buy",-H117,IF(I117="Sell",H117,""))</f>
        <v/>
      </c>
    </row>
    <row r="118" ht="22" customHeight="1">
      <c r="B118" s="320" t="n"/>
      <c r="C118" s="246">
        <f>IF($B118="","",IF(COUNTIFS(Пул!$E$5:$E$300,$B118,Пул!$F$5:$F$300,"&lt;&gt;")=0,"",ROUND(SUMIFS(Пул!$F$5:$F$300,Пул!$E$5:$E$300,$B118),8)))</f>
        <v/>
      </c>
      <c r="D118" s="247">
        <f>IF($B118="","",IF(COUNTIFS(Пул!$E$5:$E$300,$B118,Пул!$G$5:$G$300,"&lt;&gt;")=0,"",ROUND(SUMIFS(Пул!$G$5:$G$300,Пул!$E$5:$E$300,$B118),8)))</f>
        <v/>
      </c>
      <c r="E118" s="246">
        <f>IF($B118="","",IF(COUNTIFS(Пул!$E$5:$E$300,$B118,Пул!$L$5:$L$300,"Закрыт")=0,"",ROUND(SUMIFS(Пул!$H$5:$H$300,Пул!$E$5:$E$300,$B118,Пул!$L$5:$L$300,"Закрыт"),8)))</f>
        <v/>
      </c>
      <c r="F118" s="247">
        <f>IF($B118="","",IF(COUNTIFS(Пул!$E$5:$E$300,$B118,Пул!$L$5:$L$300,"Закрыт")=0,"",ROUND(SUMIFS(Пул!$I$5:$I$300,Пул!$E$5:$E$300,$B118,Пул!$L$5:$L$300,"Закрыт"),8)))</f>
        <v/>
      </c>
      <c r="G118" s="246">
        <f>IF($B118="","",IF(COUNTIFS(Пул!$E$5:$E$300,$B118,Пул!$L$5:$L$300,"Закрыт")=0,"",ROUND(SUMIFS(Пул!$J$5:$J$300,Пул!$E$5:$E$300,$B118,Пул!$L$5:$L$300,"Закрыт"),8)))</f>
        <v/>
      </c>
      <c r="H118" s="247">
        <f>IF($B118="","",IF(COUNTIFS(Пул!$E$5:$E$300,$B118,Пул!$L$5:$L$300,"Закрыт")=0,"",ROUND(SUMIFS(Пул!$K$5:$K$300,Пул!$E$5:$E$300,$B118,Пул!$L$5:$L$300,"Закрыт"),8)))</f>
        <v/>
      </c>
      <c r="I118" s="242">
        <f>IF(AND(ISNUMBER(G118),ISNUMBER(H118)),IF(AND(G118&gt;0,H118&lt;0),"Buy",IF(AND(G118&lt;0,H118&gt;0),"Sell","")),"")</f>
        <v/>
      </c>
      <c r="J118" s="183">
        <f>IF(I118="Buy",G118,IF(I118="Sell",-G118,""))</f>
        <v/>
      </c>
      <c r="K118" s="183">
        <f>IF(AND(ISNUMBER(J118),ISNUMBER(L118),N(J118)&lt;&gt;0),ROUND(L118/J118,8),"")</f>
        <v/>
      </c>
      <c r="L118" s="183">
        <f>IF(I118="Buy",-H118,IF(I118="Sell",H118,""))</f>
        <v/>
      </c>
    </row>
    <row r="119" ht="22" customHeight="1">
      <c r="B119" s="315" t="n"/>
      <c r="C119" s="240">
        <f>IF($B119="","",IF(COUNTIFS(Пул!$E$5:$E$300,$B119,Пул!$F$5:$F$300,"&lt;&gt;")=0,"",ROUND(SUMIFS(Пул!$F$5:$F$300,Пул!$E$5:$E$300,$B119),8)))</f>
        <v/>
      </c>
      <c r="D119" s="241">
        <f>IF($B119="","",IF(COUNTIFS(Пул!$E$5:$E$300,$B119,Пул!$G$5:$G$300,"&lt;&gt;")=0,"",ROUND(SUMIFS(Пул!$G$5:$G$300,Пул!$E$5:$E$300,$B119),8)))</f>
        <v/>
      </c>
      <c r="E119" s="240">
        <f>IF($B119="","",IF(COUNTIFS(Пул!$E$5:$E$300,$B119,Пул!$L$5:$L$300,"Закрыт")=0,"",ROUND(SUMIFS(Пул!$H$5:$H$300,Пул!$E$5:$E$300,$B119,Пул!$L$5:$L$300,"Закрыт"),8)))</f>
        <v/>
      </c>
      <c r="F119" s="241">
        <f>IF($B119="","",IF(COUNTIFS(Пул!$E$5:$E$300,$B119,Пул!$L$5:$L$300,"Закрыт")=0,"",ROUND(SUMIFS(Пул!$I$5:$I$300,Пул!$E$5:$E$300,$B119,Пул!$L$5:$L$300,"Закрыт"),8)))</f>
        <v/>
      </c>
      <c r="G119" s="240">
        <f>IF($B119="","",IF(COUNTIFS(Пул!$E$5:$E$300,$B119,Пул!$L$5:$L$300,"Закрыт")=0,"",ROUND(SUMIFS(Пул!$J$5:$J$300,Пул!$E$5:$E$300,$B119,Пул!$L$5:$L$300,"Закрыт"),8)))</f>
        <v/>
      </c>
      <c r="H119" s="241">
        <f>IF($B119="","",IF(COUNTIFS(Пул!$E$5:$E$300,$B119,Пул!$L$5:$L$300,"Закрыт")=0,"",ROUND(SUMIFS(Пул!$K$5:$K$300,Пул!$E$5:$E$300,$B119,Пул!$L$5:$L$300,"Закрыт"),8)))</f>
        <v/>
      </c>
      <c r="I119" s="236">
        <f>IF(AND(ISNUMBER(G119),ISNUMBER(H119)),IF(AND(G119&gt;0,H119&lt;0),"Buy",IF(AND(G119&lt;0,H119&gt;0),"Sell","")),"")</f>
        <v/>
      </c>
      <c r="J119" s="177">
        <f>IF(I119="Buy",G119,IF(I119="Sell",-G119,""))</f>
        <v/>
      </c>
      <c r="K119" s="177">
        <f>IF(AND(ISNUMBER(J119),ISNUMBER(L119),N(J119)&lt;&gt;0),ROUND(L119/J119,8),"")</f>
        <v/>
      </c>
      <c r="L119" s="177">
        <f>IF(I119="Buy",-H119,IF(I119="Sell",H119,""))</f>
        <v/>
      </c>
    </row>
    <row r="120" ht="22" customHeight="1">
      <c r="B120" s="320" t="n"/>
      <c r="C120" s="246">
        <f>IF($B120="","",IF(COUNTIFS(Пул!$E$5:$E$300,$B120,Пул!$F$5:$F$300,"&lt;&gt;")=0,"",ROUND(SUMIFS(Пул!$F$5:$F$300,Пул!$E$5:$E$300,$B120),8)))</f>
        <v/>
      </c>
      <c r="D120" s="247">
        <f>IF($B120="","",IF(COUNTIFS(Пул!$E$5:$E$300,$B120,Пул!$G$5:$G$300,"&lt;&gt;")=0,"",ROUND(SUMIFS(Пул!$G$5:$G$300,Пул!$E$5:$E$300,$B120),8)))</f>
        <v/>
      </c>
      <c r="E120" s="246">
        <f>IF($B120="","",IF(COUNTIFS(Пул!$E$5:$E$300,$B120,Пул!$L$5:$L$300,"Закрыт")=0,"",ROUND(SUMIFS(Пул!$H$5:$H$300,Пул!$E$5:$E$300,$B120,Пул!$L$5:$L$300,"Закрыт"),8)))</f>
        <v/>
      </c>
      <c r="F120" s="247">
        <f>IF($B120="","",IF(COUNTIFS(Пул!$E$5:$E$300,$B120,Пул!$L$5:$L$300,"Закрыт")=0,"",ROUND(SUMIFS(Пул!$I$5:$I$300,Пул!$E$5:$E$300,$B120,Пул!$L$5:$L$300,"Закрыт"),8)))</f>
        <v/>
      </c>
      <c r="G120" s="246">
        <f>IF($B120="","",IF(COUNTIFS(Пул!$E$5:$E$300,$B120,Пул!$L$5:$L$300,"Закрыт")=0,"",ROUND(SUMIFS(Пул!$J$5:$J$300,Пул!$E$5:$E$300,$B120,Пул!$L$5:$L$300,"Закрыт"),8)))</f>
        <v/>
      </c>
      <c r="H120" s="247">
        <f>IF($B120="","",IF(COUNTIFS(Пул!$E$5:$E$300,$B120,Пул!$L$5:$L$300,"Закрыт")=0,"",ROUND(SUMIFS(Пул!$K$5:$K$300,Пул!$E$5:$E$300,$B120,Пул!$L$5:$L$300,"Закрыт"),8)))</f>
        <v/>
      </c>
      <c r="I120" s="242">
        <f>IF(AND(ISNUMBER(G120),ISNUMBER(H120)),IF(AND(G120&gt;0,H120&lt;0),"Buy",IF(AND(G120&lt;0,H120&gt;0),"Sell","")),"")</f>
        <v/>
      </c>
      <c r="J120" s="183">
        <f>IF(I120="Buy",G120,IF(I120="Sell",-G120,""))</f>
        <v/>
      </c>
      <c r="K120" s="183">
        <f>IF(AND(ISNUMBER(J120),ISNUMBER(L120),N(J120)&lt;&gt;0),ROUND(L120/J120,8),"")</f>
        <v/>
      </c>
      <c r="L120" s="183">
        <f>IF(I120="Buy",-H120,IF(I120="Sell",H120,""))</f>
        <v/>
      </c>
    </row>
    <row r="121" ht="22" customHeight="1">
      <c r="B121" s="315" t="n"/>
      <c r="C121" s="240">
        <f>IF($B121="","",IF(COUNTIFS(Пул!$E$5:$E$300,$B121,Пул!$F$5:$F$300,"&lt;&gt;")=0,"",ROUND(SUMIFS(Пул!$F$5:$F$300,Пул!$E$5:$E$300,$B121),8)))</f>
        <v/>
      </c>
      <c r="D121" s="241">
        <f>IF($B121="","",IF(COUNTIFS(Пул!$E$5:$E$300,$B121,Пул!$G$5:$G$300,"&lt;&gt;")=0,"",ROUND(SUMIFS(Пул!$G$5:$G$300,Пул!$E$5:$E$300,$B121),8)))</f>
        <v/>
      </c>
      <c r="E121" s="240">
        <f>IF($B121="","",IF(COUNTIFS(Пул!$E$5:$E$300,$B121,Пул!$L$5:$L$300,"Закрыт")=0,"",ROUND(SUMIFS(Пул!$H$5:$H$300,Пул!$E$5:$E$300,$B121,Пул!$L$5:$L$300,"Закрыт"),8)))</f>
        <v/>
      </c>
      <c r="F121" s="241">
        <f>IF($B121="","",IF(COUNTIFS(Пул!$E$5:$E$300,$B121,Пул!$L$5:$L$300,"Закрыт")=0,"",ROUND(SUMIFS(Пул!$I$5:$I$300,Пул!$E$5:$E$300,$B121,Пул!$L$5:$L$300,"Закрыт"),8)))</f>
        <v/>
      </c>
      <c r="G121" s="240">
        <f>IF($B121="","",IF(COUNTIFS(Пул!$E$5:$E$300,$B121,Пул!$L$5:$L$300,"Закрыт")=0,"",ROUND(SUMIFS(Пул!$J$5:$J$300,Пул!$E$5:$E$300,$B121,Пул!$L$5:$L$300,"Закрыт"),8)))</f>
        <v/>
      </c>
      <c r="H121" s="241">
        <f>IF($B121="","",IF(COUNTIFS(Пул!$E$5:$E$300,$B121,Пул!$L$5:$L$300,"Закрыт")=0,"",ROUND(SUMIFS(Пул!$K$5:$K$300,Пул!$E$5:$E$300,$B121,Пул!$L$5:$L$300,"Закрыт"),8)))</f>
        <v/>
      </c>
      <c r="I121" s="236">
        <f>IF(AND(ISNUMBER(G121),ISNUMBER(H121)),IF(AND(G121&gt;0,H121&lt;0),"Buy",IF(AND(G121&lt;0,H121&gt;0),"Sell","")),"")</f>
        <v/>
      </c>
      <c r="J121" s="177">
        <f>IF(I121="Buy",G121,IF(I121="Sell",-G121,""))</f>
        <v/>
      </c>
      <c r="K121" s="177">
        <f>IF(AND(ISNUMBER(J121),ISNUMBER(L121),N(J121)&lt;&gt;0),ROUND(L121/J121,8),"")</f>
        <v/>
      </c>
      <c r="L121" s="177">
        <f>IF(I121="Buy",-H121,IF(I121="Sell",H121,""))</f>
        <v/>
      </c>
    </row>
    <row r="122" ht="22" customHeight="1">
      <c r="B122" s="320" t="n"/>
      <c r="C122" s="246">
        <f>IF($B122="","",IF(COUNTIFS(Пул!$E$5:$E$300,$B122,Пул!$F$5:$F$300,"&lt;&gt;")=0,"",ROUND(SUMIFS(Пул!$F$5:$F$300,Пул!$E$5:$E$300,$B122),8)))</f>
        <v/>
      </c>
      <c r="D122" s="247">
        <f>IF($B122="","",IF(COUNTIFS(Пул!$E$5:$E$300,$B122,Пул!$G$5:$G$300,"&lt;&gt;")=0,"",ROUND(SUMIFS(Пул!$G$5:$G$300,Пул!$E$5:$E$300,$B122),8)))</f>
        <v/>
      </c>
      <c r="E122" s="246">
        <f>IF($B122="","",IF(COUNTIFS(Пул!$E$5:$E$300,$B122,Пул!$L$5:$L$300,"Закрыт")=0,"",ROUND(SUMIFS(Пул!$H$5:$H$300,Пул!$E$5:$E$300,$B122,Пул!$L$5:$L$300,"Закрыт"),8)))</f>
        <v/>
      </c>
      <c r="F122" s="247">
        <f>IF($B122="","",IF(COUNTIFS(Пул!$E$5:$E$300,$B122,Пул!$L$5:$L$300,"Закрыт")=0,"",ROUND(SUMIFS(Пул!$I$5:$I$300,Пул!$E$5:$E$300,$B122,Пул!$L$5:$L$300,"Закрыт"),8)))</f>
        <v/>
      </c>
      <c r="G122" s="246">
        <f>IF($B122="","",IF(COUNTIFS(Пул!$E$5:$E$300,$B122,Пул!$L$5:$L$300,"Закрыт")=0,"",ROUND(SUMIFS(Пул!$J$5:$J$300,Пул!$E$5:$E$300,$B122,Пул!$L$5:$L$300,"Закрыт"),8)))</f>
        <v/>
      </c>
      <c r="H122" s="247">
        <f>IF($B122="","",IF(COUNTIFS(Пул!$E$5:$E$300,$B122,Пул!$L$5:$L$300,"Закрыт")=0,"",ROUND(SUMIFS(Пул!$K$5:$K$300,Пул!$E$5:$E$300,$B122,Пул!$L$5:$L$300,"Закрыт"),8)))</f>
        <v/>
      </c>
      <c r="I122" s="242">
        <f>IF(AND(ISNUMBER(G122),ISNUMBER(H122)),IF(AND(G122&gt;0,H122&lt;0),"Buy",IF(AND(G122&lt;0,H122&gt;0),"Sell","")),"")</f>
        <v/>
      </c>
      <c r="J122" s="183">
        <f>IF(I122="Buy",G122,IF(I122="Sell",-G122,""))</f>
        <v/>
      </c>
      <c r="K122" s="183">
        <f>IF(AND(ISNUMBER(J122),ISNUMBER(L122),N(J122)&lt;&gt;0),ROUND(L122/J122,8),"")</f>
        <v/>
      </c>
      <c r="L122" s="183">
        <f>IF(I122="Buy",-H122,IF(I122="Sell",H122,""))</f>
        <v/>
      </c>
    </row>
    <row r="123" ht="22" customHeight="1">
      <c r="B123" s="315" t="n"/>
      <c r="C123" s="240">
        <f>IF($B123="","",IF(COUNTIFS(Пул!$E$5:$E$300,$B123,Пул!$F$5:$F$300,"&lt;&gt;")=0,"",ROUND(SUMIFS(Пул!$F$5:$F$300,Пул!$E$5:$E$300,$B123),8)))</f>
        <v/>
      </c>
      <c r="D123" s="241">
        <f>IF($B123="","",IF(COUNTIFS(Пул!$E$5:$E$300,$B123,Пул!$G$5:$G$300,"&lt;&gt;")=0,"",ROUND(SUMIFS(Пул!$G$5:$G$300,Пул!$E$5:$E$300,$B123),8)))</f>
        <v/>
      </c>
      <c r="E123" s="240">
        <f>IF($B123="","",IF(COUNTIFS(Пул!$E$5:$E$300,$B123,Пул!$L$5:$L$300,"Закрыт")=0,"",ROUND(SUMIFS(Пул!$H$5:$H$300,Пул!$E$5:$E$300,$B123,Пул!$L$5:$L$300,"Закрыт"),8)))</f>
        <v/>
      </c>
      <c r="F123" s="241">
        <f>IF($B123="","",IF(COUNTIFS(Пул!$E$5:$E$300,$B123,Пул!$L$5:$L$300,"Закрыт")=0,"",ROUND(SUMIFS(Пул!$I$5:$I$300,Пул!$E$5:$E$300,$B123,Пул!$L$5:$L$300,"Закрыт"),8)))</f>
        <v/>
      </c>
      <c r="G123" s="240">
        <f>IF($B123="","",IF(COUNTIFS(Пул!$E$5:$E$300,$B123,Пул!$L$5:$L$300,"Закрыт")=0,"",ROUND(SUMIFS(Пул!$J$5:$J$300,Пул!$E$5:$E$300,$B123,Пул!$L$5:$L$300,"Закрыт"),8)))</f>
        <v/>
      </c>
      <c r="H123" s="241">
        <f>IF($B123="","",IF(COUNTIFS(Пул!$E$5:$E$300,$B123,Пул!$L$5:$L$300,"Закрыт")=0,"",ROUND(SUMIFS(Пул!$K$5:$K$300,Пул!$E$5:$E$300,$B123,Пул!$L$5:$L$300,"Закрыт"),8)))</f>
        <v/>
      </c>
      <c r="I123" s="236">
        <f>IF(AND(ISNUMBER(G123),ISNUMBER(H123)),IF(AND(G123&gt;0,H123&lt;0),"Buy",IF(AND(G123&lt;0,H123&gt;0),"Sell","")),"")</f>
        <v/>
      </c>
      <c r="J123" s="177">
        <f>IF(I123="Buy",G123,IF(I123="Sell",-G123,""))</f>
        <v/>
      </c>
      <c r="K123" s="177">
        <f>IF(AND(ISNUMBER(J123),ISNUMBER(L123),N(J123)&lt;&gt;0),ROUND(L123/J123,8),"")</f>
        <v/>
      </c>
      <c r="L123" s="177">
        <f>IF(I123="Buy",-H123,IF(I123="Sell",H123,""))</f>
        <v/>
      </c>
    </row>
    <row r="124" ht="22" customHeight="1">
      <c r="B124" s="320" t="n"/>
      <c r="C124" s="246">
        <f>IF($B124="","",IF(COUNTIFS(Пул!$E$5:$E$300,$B124,Пул!$F$5:$F$300,"&lt;&gt;")=0,"",ROUND(SUMIFS(Пул!$F$5:$F$300,Пул!$E$5:$E$300,$B124),8)))</f>
        <v/>
      </c>
      <c r="D124" s="247">
        <f>IF($B124="","",IF(COUNTIFS(Пул!$E$5:$E$300,$B124,Пул!$G$5:$G$300,"&lt;&gt;")=0,"",ROUND(SUMIFS(Пул!$G$5:$G$300,Пул!$E$5:$E$300,$B124),8)))</f>
        <v/>
      </c>
      <c r="E124" s="246">
        <f>IF($B124="","",IF(COUNTIFS(Пул!$E$5:$E$300,$B124,Пул!$L$5:$L$300,"Закрыт")=0,"",ROUND(SUMIFS(Пул!$H$5:$H$300,Пул!$E$5:$E$300,$B124,Пул!$L$5:$L$300,"Закрыт"),8)))</f>
        <v/>
      </c>
      <c r="F124" s="247">
        <f>IF($B124="","",IF(COUNTIFS(Пул!$E$5:$E$300,$B124,Пул!$L$5:$L$300,"Закрыт")=0,"",ROUND(SUMIFS(Пул!$I$5:$I$300,Пул!$E$5:$E$300,$B124,Пул!$L$5:$L$300,"Закрыт"),8)))</f>
        <v/>
      </c>
      <c r="G124" s="246">
        <f>IF($B124="","",IF(COUNTIFS(Пул!$E$5:$E$300,$B124,Пул!$L$5:$L$300,"Закрыт")=0,"",ROUND(SUMIFS(Пул!$J$5:$J$300,Пул!$E$5:$E$300,$B124,Пул!$L$5:$L$300,"Закрыт"),8)))</f>
        <v/>
      </c>
      <c r="H124" s="247">
        <f>IF($B124="","",IF(COUNTIFS(Пул!$E$5:$E$300,$B124,Пул!$L$5:$L$300,"Закрыт")=0,"",ROUND(SUMIFS(Пул!$K$5:$K$300,Пул!$E$5:$E$300,$B124,Пул!$L$5:$L$300,"Закрыт"),8)))</f>
        <v/>
      </c>
      <c r="I124" s="242">
        <f>IF(AND(ISNUMBER(G124),ISNUMBER(H124)),IF(AND(G124&gt;0,H124&lt;0),"Buy",IF(AND(G124&lt;0,H124&gt;0),"Sell","")),"")</f>
        <v/>
      </c>
      <c r="J124" s="183">
        <f>IF(I124="Buy",G124,IF(I124="Sell",-G124,""))</f>
        <v/>
      </c>
      <c r="K124" s="183">
        <f>IF(AND(ISNUMBER(J124),ISNUMBER(L124),N(J124)&lt;&gt;0),ROUND(L124/J124,8),"")</f>
        <v/>
      </c>
      <c r="L124" s="183">
        <f>IF(I124="Buy",-H124,IF(I124="Sell",H124,""))</f>
        <v/>
      </c>
    </row>
    <row r="125" ht="22" customHeight="1">
      <c r="B125" s="315" t="n"/>
      <c r="C125" s="240">
        <f>IF($B125="","",IF(COUNTIFS(Пул!$E$5:$E$300,$B125,Пул!$F$5:$F$300,"&lt;&gt;")=0,"",ROUND(SUMIFS(Пул!$F$5:$F$300,Пул!$E$5:$E$300,$B125),8)))</f>
        <v/>
      </c>
      <c r="D125" s="241">
        <f>IF($B125="","",IF(COUNTIFS(Пул!$E$5:$E$300,$B125,Пул!$G$5:$G$300,"&lt;&gt;")=0,"",ROUND(SUMIFS(Пул!$G$5:$G$300,Пул!$E$5:$E$300,$B125),8)))</f>
        <v/>
      </c>
      <c r="E125" s="240">
        <f>IF($B125="","",IF(COUNTIFS(Пул!$E$5:$E$300,$B125,Пул!$L$5:$L$300,"Закрыт")=0,"",ROUND(SUMIFS(Пул!$H$5:$H$300,Пул!$E$5:$E$300,$B125,Пул!$L$5:$L$300,"Закрыт"),8)))</f>
        <v/>
      </c>
      <c r="F125" s="241">
        <f>IF($B125="","",IF(COUNTIFS(Пул!$E$5:$E$300,$B125,Пул!$L$5:$L$300,"Закрыт")=0,"",ROUND(SUMIFS(Пул!$I$5:$I$300,Пул!$E$5:$E$300,$B125,Пул!$L$5:$L$300,"Закрыт"),8)))</f>
        <v/>
      </c>
      <c r="G125" s="240">
        <f>IF($B125="","",IF(COUNTIFS(Пул!$E$5:$E$300,$B125,Пул!$L$5:$L$300,"Закрыт")=0,"",ROUND(SUMIFS(Пул!$J$5:$J$300,Пул!$E$5:$E$300,$B125,Пул!$L$5:$L$300,"Закрыт"),8)))</f>
        <v/>
      </c>
      <c r="H125" s="241">
        <f>IF($B125="","",IF(COUNTIFS(Пул!$E$5:$E$300,$B125,Пул!$L$5:$L$300,"Закрыт")=0,"",ROUND(SUMIFS(Пул!$K$5:$K$300,Пул!$E$5:$E$300,$B125,Пул!$L$5:$L$300,"Закрыт"),8)))</f>
        <v/>
      </c>
      <c r="I125" s="236">
        <f>IF(AND(ISNUMBER(G125),ISNUMBER(H125)),IF(AND(G125&gt;0,H125&lt;0),"Buy",IF(AND(G125&lt;0,H125&gt;0),"Sell","")),"")</f>
        <v/>
      </c>
      <c r="J125" s="177">
        <f>IF(I125="Buy",G125,IF(I125="Sell",-G125,""))</f>
        <v/>
      </c>
      <c r="K125" s="177">
        <f>IF(AND(ISNUMBER(J125),ISNUMBER(L125),N(J125)&lt;&gt;0),ROUND(L125/J125,8),"")</f>
        <v/>
      </c>
      <c r="L125" s="177">
        <f>IF(I125="Buy",-H125,IF(I125="Sell",H125,""))</f>
        <v/>
      </c>
    </row>
    <row r="126" ht="22" customHeight="1">
      <c r="B126" s="320" t="n"/>
      <c r="C126" s="246">
        <f>IF($B126="","",IF(COUNTIFS(Пул!$E$5:$E$300,$B126,Пул!$F$5:$F$300,"&lt;&gt;")=0,"",ROUND(SUMIFS(Пул!$F$5:$F$300,Пул!$E$5:$E$300,$B126),8)))</f>
        <v/>
      </c>
      <c r="D126" s="247">
        <f>IF($B126="","",IF(COUNTIFS(Пул!$E$5:$E$300,$B126,Пул!$G$5:$G$300,"&lt;&gt;")=0,"",ROUND(SUMIFS(Пул!$G$5:$G$300,Пул!$E$5:$E$300,$B126),8)))</f>
        <v/>
      </c>
      <c r="E126" s="246">
        <f>IF($B126="","",IF(COUNTIFS(Пул!$E$5:$E$300,$B126,Пул!$L$5:$L$300,"Закрыт")=0,"",ROUND(SUMIFS(Пул!$H$5:$H$300,Пул!$E$5:$E$300,$B126,Пул!$L$5:$L$300,"Закрыт"),8)))</f>
        <v/>
      </c>
      <c r="F126" s="247">
        <f>IF($B126="","",IF(COUNTIFS(Пул!$E$5:$E$300,$B126,Пул!$L$5:$L$300,"Закрыт")=0,"",ROUND(SUMIFS(Пул!$I$5:$I$300,Пул!$E$5:$E$300,$B126,Пул!$L$5:$L$300,"Закрыт"),8)))</f>
        <v/>
      </c>
      <c r="G126" s="246">
        <f>IF($B126="","",IF(COUNTIFS(Пул!$E$5:$E$300,$B126,Пул!$L$5:$L$300,"Закрыт")=0,"",ROUND(SUMIFS(Пул!$J$5:$J$300,Пул!$E$5:$E$300,$B126,Пул!$L$5:$L$300,"Закрыт"),8)))</f>
        <v/>
      </c>
      <c r="H126" s="247">
        <f>IF($B126="","",IF(COUNTIFS(Пул!$E$5:$E$300,$B126,Пул!$L$5:$L$300,"Закрыт")=0,"",ROUND(SUMIFS(Пул!$K$5:$K$300,Пул!$E$5:$E$300,$B126,Пул!$L$5:$L$300,"Закрыт"),8)))</f>
        <v/>
      </c>
      <c r="I126" s="242">
        <f>IF(AND(ISNUMBER(G126),ISNUMBER(H126)),IF(AND(G126&gt;0,H126&lt;0),"Buy",IF(AND(G126&lt;0,H126&gt;0),"Sell","")),"")</f>
        <v/>
      </c>
      <c r="J126" s="183">
        <f>IF(I126="Buy",G126,IF(I126="Sell",-G126,""))</f>
        <v/>
      </c>
      <c r="K126" s="183">
        <f>IF(AND(ISNUMBER(J126),ISNUMBER(L126),N(J126)&lt;&gt;0),ROUND(L126/J126,8),"")</f>
        <v/>
      </c>
      <c r="L126" s="183">
        <f>IF(I126="Buy",-H126,IF(I126="Sell",H126,""))</f>
        <v/>
      </c>
    </row>
    <row r="127" ht="22" customHeight="1">
      <c r="B127" s="315" t="n"/>
      <c r="C127" s="240">
        <f>IF($B127="","",IF(COUNTIFS(Пул!$E$5:$E$300,$B127,Пул!$F$5:$F$300,"&lt;&gt;")=0,"",ROUND(SUMIFS(Пул!$F$5:$F$300,Пул!$E$5:$E$300,$B127),8)))</f>
        <v/>
      </c>
      <c r="D127" s="241">
        <f>IF($B127="","",IF(COUNTIFS(Пул!$E$5:$E$300,$B127,Пул!$G$5:$G$300,"&lt;&gt;")=0,"",ROUND(SUMIFS(Пул!$G$5:$G$300,Пул!$E$5:$E$300,$B127),8)))</f>
        <v/>
      </c>
      <c r="E127" s="240">
        <f>IF($B127="","",IF(COUNTIFS(Пул!$E$5:$E$300,$B127,Пул!$L$5:$L$300,"Закрыт")=0,"",ROUND(SUMIFS(Пул!$H$5:$H$300,Пул!$E$5:$E$300,$B127,Пул!$L$5:$L$300,"Закрыт"),8)))</f>
        <v/>
      </c>
      <c r="F127" s="241">
        <f>IF($B127="","",IF(COUNTIFS(Пул!$E$5:$E$300,$B127,Пул!$L$5:$L$300,"Закрыт")=0,"",ROUND(SUMIFS(Пул!$I$5:$I$300,Пул!$E$5:$E$300,$B127,Пул!$L$5:$L$300,"Закрыт"),8)))</f>
        <v/>
      </c>
      <c r="G127" s="240">
        <f>IF($B127="","",IF(COUNTIFS(Пул!$E$5:$E$300,$B127,Пул!$L$5:$L$300,"Закрыт")=0,"",ROUND(SUMIFS(Пул!$J$5:$J$300,Пул!$E$5:$E$300,$B127,Пул!$L$5:$L$300,"Закрыт"),8)))</f>
        <v/>
      </c>
      <c r="H127" s="241">
        <f>IF($B127="","",IF(COUNTIFS(Пул!$E$5:$E$300,$B127,Пул!$L$5:$L$300,"Закрыт")=0,"",ROUND(SUMIFS(Пул!$K$5:$K$300,Пул!$E$5:$E$300,$B127,Пул!$L$5:$L$300,"Закрыт"),8)))</f>
        <v/>
      </c>
      <c r="I127" s="236">
        <f>IF(AND(ISNUMBER(G127),ISNUMBER(H127)),IF(AND(G127&gt;0,H127&lt;0),"Buy",IF(AND(G127&lt;0,H127&gt;0),"Sell","")),"")</f>
        <v/>
      </c>
      <c r="J127" s="177">
        <f>IF(I127="Buy",G127,IF(I127="Sell",-G127,""))</f>
        <v/>
      </c>
      <c r="K127" s="177">
        <f>IF(AND(ISNUMBER(J127),ISNUMBER(L127),N(J127)&lt;&gt;0),ROUND(L127/J127,8),"")</f>
        <v/>
      </c>
      <c r="L127" s="177">
        <f>IF(I127="Buy",-H127,IF(I127="Sell",H127,""))</f>
        <v/>
      </c>
    </row>
    <row r="128" ht="22" customHeight="1">
      <c r="B128" s="320" t="n"/>
      <c r="C128" s="246">
        <f>IF($B128="","",IF(COUNTIFS(Пул!$E$5:$E$300,$B128,Пул!$F$5:$F$300,"&lt;&gt;")=0,"",ROUND(SUMIFS(Пул!$F$5:$F$300,Пул!$E$5:$E$300,$B128),8)))</f>
        <v/>
      </c>
      <c r="D128" s="247">
        <f>IF($B128="","",IF(COUNTIFS(Пул!$E$5:$E$300,$B128,Пул!$G$5:$G$300,"&lt;&gt;")=0,"",ROUND(SUMIFS(Пул!$G$5:$G$300,Пул!$E$5:$E$300,$B128),8)))</f>
        <v/>
      </c>
      <c r="E128" s="246">
        <f>IF($B128="","",IF(COUNTIFS(Пул!$E$5:$E$300,$B128,Пул!$L$5:$L$300,"Закрыт")=0,"",ROUND(SUMIFS(Пул!$H$5:$H$300,Пул!$E$5:$E$300,$B128,Пул!$L$5:$L$300,"Закрыт"),8)))</f>
        <v/>
      </c>
      <c r="F128" s="247">
        <f>IF($B128="","",IF(COUNTIFS(Пул!$E$5:$E$300,$B128,Пул!$L$5:$L$300,"Закрыт")=0,"",ROUND(SUMIFS(Пул!$I$5:$I$300,Пул!$E$5:$E$300,$B128,Пул!$L$5:$L$300,"Закрыт"),8)))</f>
        <v/>
      </c>
      <c r="G128" s="246">
        <f>IF($B128="","",IF(COUNTIFS(Пул!$E$5:$E$300,$B128,Пул!$L$5:$L$300,"Закрыт")=0,"",ROUND(SUMIFS(Пул!$J$5:$J$300,Пул!$E$5:$E$300,$B128,Пул!$L$5:$L$300,"Закрыт"),8)))</f>
        <v/>
      </c>
      <c r="H128" s="247">
        <f>IF($B128="","",IF(COUNTIFS(Пул!$E$5:$E$300,$B128,Пул!$L$5:$L$300,"Закрыт")=0,"",ROUND(SUMIFS(Пул!$K$5:$K$300,Пул!$E$5:$E$300,$B128,Пул!$L$5:$L$300,"Закрыт"),8)))</f>
        <v/>
      </c>
      <c r="I128" s="242">
        <f>IF(AND(ISNUMBER(G128),ISNUMBER(H128)),IF(AND(G128&gt;0,H128&lt;0),"Buy",IF(AND(G128&lt;0,H128&gt;0),"Sell","")),"")</f>
        <v/>
      </c>
      <c r="J128" s="183">
        <f>IF(I128="Buy",G128,IF(I128="Sell",-G128,""))</f>
        <v/>
      </c>
      <c r="K128" s="183">
        <f>IF(AND(ISNUMBER(J128),ISNUMBER(L128),N(J128)&lt;&gt;0),ROUND(L128/J128,8),"")</f>
        <v/>
      </c>
      <c r="L128" s="183">
        <f>IF(I128="Buy",-H128,IF(I128="Sell",H128,""))</f>
        <v/>
      </c>
    </row>
    <row r="129" ht="22" customHeight="1">
      <c r="B129" s="315" t="n"/>
      <c r="C129" s="240">
        <f>IF($B129="","",IF(COUNTIFS(Пул!$E$5:$E$300,$B129,Пул!$F$5:$F$300,"&lt;&gt;")=0,"",ROUND(SUMIFS(Пул!$F$5:$F$300,Пул!$E$5:$E$300,$B129),8)))</f>
        <v/>
      </c>
      <c r="D129" s="241">
        <f>IF($B129="","",IF(COUNTIFS(Пул!$E$5:$E$300,$B129,Пул!$G$5:$G$300,"&lt;&gt;")=0,"",ROUND(SUMIFS(Пул!$G$5:$G$300,Пул!$E$5:$E$300,$B129),8)))</f>
        <v/>
      </c>
      <c r="E129" s="240">
        <f>IF($B129="","",IF(COUNTIFS(Пул!$E$5:$E$300,$B129,Пул!$L$5:$L$300,"Закрыт")=0,"",ROUND(SUMIFS(Пул!$H$5:$H$300,Пул!$E$5:$E$300,$B129,Пул!$L$5:$L$300,"Закрыт"),8)))</f>
        <v/>
      </c>
      <c r="F129" s="241">
        <f>IF($B129="","",IF(COUNTIFS(Пул!$E$5:$E$300,$B129,Пул!$L$5:$L$300,"Закрыт")=0,"",ROUND(SUMIFS(Пул!$I$5:$I$300,Пул!$E$5:$E$300,$B129,Пул!$L$5:$L$300,"Закрыт"),8)))</f>
        <v/>
      </c>
      <c r="G129" s="240">
        <f>IF($B129="","",IF(COUNTIFS(Пул!$E$5:$E$300,$B129,Пул!$L$5:$L$300,"Закрыт")=0,"",ROUND(SUMIFS(Пул!$J$5:$J$300,Пул!$E$5:$E$300,$B129,Пул!$L$5:$L$300,"Закрыт"),8)))</f>
        <v/>
      </c>
      <c r="H129" s="241">
        <f>IF($B129="","",IF(COUNTIFS(Пул!$E$5:$E$300,$B129,Пул!$L$5:$L$300,"Закрыт")=0,"",ROUND(SUMIFS(Пул!$K$5:$K$300,Пул!$E$5:$E$300,$B129,Пул!$L$5:$L$300,"Закрыт"),8)))</f>
        <v/>
      </c>
      <c r="I129" s="236">
        <f>IF(AND(ISNUMBER(G129),ISNUMBER(H129)),IF(AND(G129&gt;0,H129&lt;0),"Buy",IF(AND(G129&lt;0,H129&gt;0),"Sell","")),"")</f>
        <v/>
      </c>
      <c r="J129" s="177">
        <f>IF(I129="Buy",G129,IF(I129="Sell",-G129,""))</f>
        <v/>
      </c>
      <c r="K129" s="177">
        <f>IF(AND(ISNUMBER(J129),ISNUMBER(L129),N(J129)&lt;&gt;0),ROUND(L129/J129,8),"")</f>
        <v/>
      </c>
      <c r="L129" s="177">
        <f>IF(I129="Buy",-H129,IF(I129="Sell",H129,""))</f>
        <v/>
      </c>
    </row>
    <row r="130" ht="22" customHeight="1">
      <c r="B130" s="320" t="n"/>
      <c r="C130" s="246">
        <f>IF($B130="","",IF(COUNTIFS(Пул!$E$5:$E$300,$B130,Пул!$F$5:$F$300,"&lt;&gt;")=0,"",ROUND(SUMIFS(Пул!$F$5:$F$300,Пул!$E$5:$E$300,$B130),8)))</f>
        <v/>
      </c>
      <c r="D130" s="247">
        <f>IF($B130="","",IF(COUNTIFS(Пул!$E$5:$E$300,$B130,Пул!$G$5:$G$300,"&lt;&gt;")=0,"",ROUND(SUMIFS(Пул!$G$5:$G$300,Пул!$E$5:$E$300,$B130),8)))</f>
        <v/>
      </c>
      <c r="E130" s="246">
        <f>IF($B130="","",IF(COUNTIFS(Пул!$E$5:$E$300,$B130,Пул!$L$5:$L$300,"Закрыт")=0,"",ROUND(SUMIFS(Пул!$H$5:$H$300,Пул!$E$5:$E$300,$B130,Пул!$L$5:$L$300,"Закрыт"),8)))</f>
        <v/>
      </c>
      <c r="F130" s="247">
        <f>IF($B130="","",IF(COUNTIFS(Пул!$E$5:$E$300,$B130,Пул!$L$5:$L$300,"Закрыт")=0,"",ROUND(SUMIFS(Пул!$I$5:$I$300,Пул!$E$5:$E$300,$B130,Пул!$L$5:$L$300,"Закрыт"),8)))</f>
        <v/>
      </c>
      <c r="G130" s="246">
        <f>IF($B130="","",IF(COUNTIFS(Пул!$E$5:$E$300,$B130,Пул!$L$5:$L$300,"Закрыт")=0,"",ROUND(SUMIFS(Пул!$J$5:$J$300,Пул!$E$5:$E$300,$B130,Пул!$L$5:$L$300,"Закрыт"),8)))</f>
        <v/>
      </c>
      <c r="H130" s="247">
        <f>IF($B130="","",IF(COUNTIFS(Пул!$E$5:$E$300,$B130,Пул!$L$5:$L$300,"Закрыт")=0,"",ROUND(SUMIFS(Пул!$K$5:$K$300,Пул!$E$5:$E$300,$B130,Пул!$L$5:$L$300,"Закрыт"),8)))</f>
        <v/>
      </c>
      <c r="I130" s="242">
        <f>IF(AND(ISNUMBER(G130),ISNUMBER(H130)),IF(AND(G130&gt;0,H130&lt;0),"Buy",IF(AND(G130&lt;0,H130&gt;0),"Sell","")),"")</f>
        <v/>
      </c>
      <c r="J130" s="183">
        <f>IF(I130="Buy",G130,IF(I130="Sell",-G130,""))</f>
        <v/>
      </c>
      <c r="K130" s="183">
        <f>IF(AND(ISNUMBER(J130),ISNUMBER(L130),N(J130)&lt;&gt;0),ROUND(L130/J130,8),"")</f>
        <v/>
      </c>
      <c r="L130" s="183">
        <f>IF(I130="Buy",-H130,IF(I130="Sell",H130,""))</f>
        <v/>
      </c>
    </row>
    <row r="131" ht="22" customHeight="1">
      <c r="B131" s="315" t="n"/>
      <c r="C131" s="240">
        <f>IF($B131="","",IF(COUNTIFS(Пул!$E$5:$E$300,$B131,Пул!$F$5:$F$300,"&lt;&gt;")=0,"",ROUND(SUMIFS(Пул!$F$5:$F$300,Пул!$E$5:$E$300,$B131),8)))</f>
        <v/>
      </c>
      <c r="D131" s="241">
        <f>IF($B131="","",IF(COUNTIFS(Пул!$E$5:$E$300,$B131,Пул!$G$5:$G$300,"&lt;&gt;")=0,"",ROUND(SUMIFS(Пул!$G$5:$G$300,Пул!$E$5:$E$300,$B131),8)))</f>
        <v/>
      </c>
      <c r="E131" s="240">
        <f>IF($B131="","",IF(COUNTIFS(Пул!$E$5:$E$300,$B131,Пул!$L$5:$L$300,"Закрыт")=0,"",ROUND(SUMIFS(Пул!$H$5:$H$300,Пул!$E$5:$E$300,$B131,Пул!$L$5:$L$300,"Закрыт"),8)))</f>
        <v/>
      </c>
      <c r="F131" s="241">
        <f>IF($B131="","",IF(COUNTIFS(Пул!$E$5:$E$300,$B131,Пул!$L$5:$L$300,"Закрыт")=0,"",ROUND(SUMIFS(Пул!$I$5:$I$300,Пул!$E$5:$E$300,$B131,Пул!$L$5:$L$300,"Закрыт"),8)))</f>
        <v/>
      </c>
      <c r="G131" s="240">
        <f>IF($B131="","",IF(COUNTIFS(Пул!$E$5:$E$300,$B131,Пул!$L$5:$L$300,"Закрыт")=0,"",ROUND(SUMIFS(Пул!$J$5:$J$300,Пул!$E$5:$E$300,$B131,Пул!$L$5:$L$300,"Закрыт"),8)))</f>
        <v/>
      </c>
      <c r="H131" s="241">
        <f>IF($B131="","",IF(COUNTIFS(Пул!$E$5:$E$300,$B131,Пул!$L$5:$L$300,"Закрыт")=0,"",ROUND(SUMIFS(Пул!$K$5:$K$300,Пул!$E$5:$E$300,$B131,Пул!$L$5:$L$300,"Закрыт"),8)))</f>
        <v/>
      </c>
      <c r="I131" s="236">
        <f>IF(AND(ISNUMBER(G131),ISNUMBER(H131)),IF(AND(G131&gt;0,H131&lt;0),"Buy",IF(AND(G131&lt;0,H131&gt;0),"Sell","")),"")</f>
        <v/>
      </c>
      <c r="J131" s="177">
        <f>IF(I131="Buy",G131,IF(I131="Sell",-G131,""))</f>
        <v/>
      </c>
      <c r="K131" s="177">
        <f>IF(AND(ISNUMBER(J131),ISNUMBER(L131),N(J131)&lt;&gt;0),ROUND(L131/J131,8),"")</f>
        <v/>
      </c>
      <c r="L131" s="177">
        <f>IF(I131="Buy",-H131,IF(I131="Sell",H131,""))</f>
        <v/>
      </c>
    </row>
    <row r="132" ht="22" customHeight="1">
      <c r="B132" s="320" t="n"/>
      <c r="C132" s="246">
        <f>IF($B132="","",IF(COUNTIFS(Пул!$E$5:$E$300,$B132,Пул!$F$5:$F$300,"&lt;&gt;")=0,"",ROUND(SUMIFS(Пул!$F$5:$F$300,Пул!$E$5:$E$300,$B132),8)))</f>
        <v/>
      </c>
      <c r="D132" s="247">
        <f>IF($B132="","",IF(COUNTIFS(Пул!$E$5:$E$300,$B132,Пул!$G$5:$G$300,"&lt;&gt;")=0,"",ROUND(SUMIFS(Пул!$G$5:$G$300,Пул!$E$5:$E$300,$B132),8)))</f>
        <v/>
      </c>
      <c r="E132" s="246">
        <f>IF($B132="","",IF(COUNTIFS(Пул!$E$5:$E$300,$B132,Пул!$L$5:$L$300,"Закрыт")=0,"",ROUND(SUMIFS(Пул!$H$5:$H$300,Пул!$E$5:$E$300,$B132,Пул!$L$5:$L$300,"Закрыт"),8)))</f>
        <v/>
      </c>
      <c r="F132" s="247">
        <f>IF($B132="","",IF(COUNTIFS(Пул!$E$5:$E$300,$B132,Пул!$L$5:$L$300,"Закрыт")=0,"",ROUND(SUMIFS(Пул!$I$5:$I$300,Пул!$E$5:$E$300,$B132,Пул!$L$5:$L$300,"Закрыт"),8)))</f>
        <v/>
      </c>
      <c r="G132" s="246">
        <f>IF($B132="","",IF(COUNTIFS(Пул!$E$5:$E$300,$B132,Пул!$L$5:$L$300,"Закрыт")=0,"",ROUND(SUMIFS(Пул!$J$5:$J$300,Пул!$E$5:$E$300,$B132,Пул!$L$5:$L$300,"Закрыт"),8)))</f>
        <v/>
      </c>
      <c r="H132" s="247">
        <f>IF($B132="","",IF(COUNTIFS(Пул!$E$5:$E$300,$B132,Пул!$L$5:$L$300,"Закрыт")=0,"",ROUND(SUMIFS(Пул!$K$5:$K$300,Пул!$E$5:$E$300,$B132,Пул!$L$5:$L$300,"Закрыт"),8)))</f>
        <v/>
      </c>
      <c r="I132" s="242">
        <f>IF(AND(ISNUMBER(G132),ISNUMBER(H132)),IF(AND(G132&gt;0,H132&lt;0),"Buy",IF(AND(G132&lt;0,H132&gt;0),"Sell","")),"")</f>
        <v/>
      </c>
      <c r="J132" s="183">
        <f>IF(I132="Buy",G132,IF(I132="Sell",-G132,""))</f>
        <v/>
      </c>
      <c r="K132" s="183">
        <f>IF(AND(ISNUMBER(J132),ISNUMBER(L132),N(J132)&lt;&gt;0),ROUND(L132/J132,8),"")</f>
        <v/>
      </c>
      <c r="L132" s="183">
        <f>IF(I132="Buy",-H132,IF(I132="Sell",H132,""))</f>
        <v/>
      </c>
    </row>
    <row r="133" ht="22" customHeight="1">
      <c r="B133" s="315" t="n"/>
      <c r="C133" s="240">
        <f>IF($B133="","",IF(COUNTIFS(Пул!$E$5:$E$300,$B133,Пул!$F$5:$F$300,"&lt;&gt;")=0,"",ROUND(SUMIFS(Пул!$F$5:$F$300,Пул!$E$5:$E$300,$B133),8)))</f>
        <v/>
      </c>
      <c r="D133" s="241">
        <f>IF($B133="","",IF(COUNTIFS(Пул!$E$5:$E$300,$B133,Пул!$G$5:$G$300,"&lt;&gt;")=0,"",ROUND(SUMIFS(Пул!$G$5:$G$300,Пул!$E$5:$E$300,$B133),8)))</f>
        <v/>
      </c>
      <c r="E133" s="240">
        <f>IF($B133="","",IF(COUNTIFS(Пул!$E$5:$E$300,$B133,Пул!$L$5:$L$300,"Закрыт")=0,"",ROUND(SUMIFS(Пул!$H$5:$H$300,Пул!$E$5:$E$300,$B133,Пул!$L$5:$L$300,"Закрыт"),8)))</f>
        <v/>
      </c>
      <c r="F133" s="241">
        <f>IF($B133="","",IF(COUNTIFS(Пул!$E$5:$E$300,$B133,Пул!$L$5:$L$300,"Закрыт")=0,"",ROUND(SUMIFS(Пул!$I$5:$I$300,Пул!$E$5:$E$300,$B133,Пул!$L$5:$L$300,"Закрыт"),8)))</f>
        <v/>
      </c>
      <c r="G133" s="240">
        <f>IF($B133="","",IF(COUNTIFS(Пул!$E$5:$E$300,$B133,Пул!$L$5:$L$300,"Закрыт")=0,"",ROUND(SUMIFS(Пул!$J$5:$J$300,Пул!$E$5:$E$300,$B133,Пул!$L$5:$L$300,"Закрыт"),8)))</f>
        <v/>
      </c>
      <c r="H133" s="241">
        <f>IF($B133="","",IF(COUNTIFS(Пул!$E$5:$E$300,$B133,Пул!$L$5:$L$300,"Закрыт")=0,"",ROUND(SUMIFS(Пул!$K$5:$K$300,Пул!$E$5:$E$300,$B133,Пул!$L$5:$L$300,"Закрыт"),8)))</f>
        <v/>
      </c>
      <c r="I133" s="236">
        <f>IF(AND(ISNUMBER(G133),ISNUMBER(H133)),IF(AND(G133&gt;0,H133&lt;0),"Buy",IF(AND(G133&lt;0,H133&gt;0),"Sell","")),"")</f>
        <v/>
      </c>
      <c r="J133" s="177">
        <f>IF(I133="Buy",G133,IF(I133="Sell",-G133,""))</f>
        <v/>
      </c>
      <c r="K133" s="177">
        <f>IF(AND(ISNUMBER(J133),ISNUMBER(L133),N(J133)&lt;&gt;0),ROUND(L133/J133,8),"")</f>
        <v/>
      </c>
      <c r="L133" s="177">
        <f>IF(I133="Buy",-H133,IF(I133="Sell",H133,""))</f>
        <v/>
      </c>
    </row>
    <row r="134" ht="22" customHeight="1">
      <c r="B134" s="320" t="n"/>
      <c r="C134" s="246">
        <f>IF($B134="","",IF(COUNTIFS(Пул!$E$5:$E$300,$B134,Пул!$F$5:$F$300,"&lt;&gt;")=0,"",ROUND(SUMIFS(Пул!$F$5:$F$300,Пул!$E$5:$E$300,$B134),8)))</f>
        <v/>
      </c>
      <c r="D134" s="247">
        <f>IF($B134="","",IF(COUNTIFS(Пул!$E$5:$E$300,$B134,Пул!$G$5:$G$300,"&lt;&gt;")=0,"",ROUND(SUMIFS(Пул!$G$5:$G$300,Пул!$E$5:$E$300,$B134),8)))</f>
        <v/>
      </c>
      <c r="E134" s="246">
        <f>IF($B134="","",IF(COUNTIFS(Пул!$E$5:$E$300,$B134,Пул!$L$5:$L$300,"Закрыт")=0,"",ROUND(SUMIFS(Пул!$H$5:$H$300,Пул!$E$5:$E$300,$B134,Пул!$L$5:$L$300,"Закрыт"),8)))</f>
        <v/>
      </c>
      <c r="F134" s="247">
        <f>IF($B134="","",IF(COUNTIFS(Пул!$E$5:$E$300,$B134,Пул!$L$5:$L$300,"Закрыт")=0,"",ROUND(SUMIFS(Пул!$I$5:$I$300,Пул!$E$5:$E$300,$B134,Пул!$L$5:$L$300,"Закрыт"),8)))</f>
        <v/>
      </c>
      <c r="G134" s="246">
        <f>IF($B134="","",IF(COUNTIFS(Пул!$E$5:$E$300,$B134,Пул!$L$5:$L$300,"Закрыт")=0,"",ROUND(SUMIFS(Пул!$J$5:$J$300,Пул!$E$5:$E$300,$B134,Пул!$L$5:$L$300,"Закрыт"),8)))</f>
        <v/>
      </c>
      <c r="H134" s="247">
        <f>IF($B134="","",IF(COUNTIFS(Пул!$E$5:$E$300,$B134,Пул!$L$5:$L$300,"Закрыт")=0,"",ROUND(SUMIFS(Пул!$K$5:$K$300,Пул!$E$5:$E$300,$B134,Пул!$L$5:$L$300,"Закрыт"),8)))</f>
        <v/>
      </c>
      <c r="I134" s="242">
        <f>IF(AND(ISNUMBER(G134),ISNUMBER(H134)),IF(AND(G134&gt;0,H134&lt;0),"Buy",IF(AND(G134&lt;0,H134&gt;0),"Sell","")),"")</f>
        <v/>
      </c>
      <c r="J134" s="183">
        <f>IF(I134="Buy",G134,IF(I134="Sell",-G134,""))</f>
        <v/>
      </c>
      <c r="K134" s="183">
        <f>IF(AND(ISNUMBER(J134),ISNUMBER(L134),N(J134)&lt;&gt;0),ROUND(L134/J134,8),"")</f>
        <v/>
      </c>
      <c r="L134" s="183">
        <f>IF(I134="Buy",-H134,IF(I134="Sell",H134,""))</f>
        <v/>
      </c>
    </row>
    <row r="135" ht="22" customHeight="1">
      <c r="B135" s="315" t="n"/>
      <c r="C135" s="240">
        <f>IF($B135="","",IF(COUNTIFS(Пул!$E$5:$E$300,$B135,Пул!$F$5:$F$300,"&lt;&gt;")=0,"",ROUND(SUMIFS(Пул!$F$5:$F$300,Пул!$E$5:$E$300,$B135),8)))</f>
        <v/>
      </c>
      <c r="D135" s="241">
        <f>IF($B135="","",IF(COUNTIFS(Пул!$E$5:$E$300,$B135,Пул!$G$5:$G$300,"&lt;&gt;")=0,"",ROUND(SUMIFS(Пул!$G$5:$G$300,Пул!$E$5:$E$300,$B135),8)))</f>
        <v/>
      </c>
      <c r="E135" s="240">
        <f>IF($B135="","",IF(COUNTIFS(Пул!$E$5:$E$300,$B135,Пул!$L$5:$L$300,"Закрыт")=0,"",ROUND(SUMIFS(Пул!$H$5:$H$300,Пул!$E$5:$E$300,$B135,Пул!$L$5:$L$300,"Закрыт"),8)))</f>
        <v/>
      </c>
      <c r="F135" s="241">
        <f>IF($B135="","",IF(COUNTIFS(Пул!$E$5:$E$300,$B135,Пул!$L$5:$L$300,"Закрыт")=0,"",ROUND(SUMIFS(Пул!$I$5:$I$300,Пул!$E$5:$E$300,$B135,Пул!$L$5:$L$300,"Закрыт"),8)))</f>
        <v/>
      </c>
      <c r="G135" s="240">
        <f>IF($B135="","",IF(COUNTIFS(Пул!$E$5:$E$300,$B135,Пул!$L$5:$L$300,"Закрыт")=0,"",ROUND(SUMIFS(Пул!$J$5:$J$300,Пул!$E$5:$E$300,$B135,Пул!$L$5:$L$300,"Закрыт"),8)))</f>
        <v/>
      </c>
      <c r="H135" s="241">
        <f>IF($B135="","",IF(COUNTIFS(Пул!$E$5:$E$300,$B135,Пул!$L$5:$L$300,"Закрыт")=0,"",ROUND(SUMIFS(Пул!$K$5:$K$300,Пул!$E$5:$E$300,$B135,Пул!$L$5:$L$300,"Закрыт"),8)))</f>
        <v/>
      </c>
      <c r="I135" s="236">
        <f>IF(AND(ISNUMBER(G135),ISNUMBER(H135)),IF(AND(G135&gt;0,H135&lt;0),"Buy",IF(AND(G135&lt;0,H135&gt;0),"Sell","")),"")</f>
        <v/>
      </c>
      <c r="J135" s="177">
        <f>IF(I135="Buy",G135,IF(I135="Sell",-G135,""))</f>
        <v/>
      </c>
      <c r="K135" s="177">
        <f>IF(AND(ISNUMBER(J135),ISNUMBER(L135),N(J135)&lt;&gt;0),ROUND(L135/J135,8),"")</f>
        <v/>
      </c>
      <c r="L135" s="177">
        <f>IF(I135="Buy",-H135,IF(I135="Sell",H135,""))</f>
        <v/>
      </c>
    </row>
    <row r="136" ht="22" customHeight="1">
      <c r="B136" s="320" t="n"/>
      <c r="C136" s="246">
        <f>IF($B136="","",IF(COUNTIFS(Пул!$E$5:$E$300,$B136,Пул!$F$5:$F$300,"&lt;&gt;")=0,"",ROUND(SUMIFS(Пул!$F$5:$F$300,Пул!$E$5:$E$300,$B136),8)))</f>
        <v/>
      </c>
      <c r="D136" s="247">
        <f>IF($B136="","",IF(COUNTIFS(Пул!$E$5:$E$300,$B136,Пул!$G$5:$G$300,"&lt;&gt;")=0,"",ROUND(SUMIFS(Пул!$G$5:$G$300,Пул!$E$5:$E$300,$B136),8)))</f>
        <v/>
      </c>
      <c r="E136" s="246">
        <f>IF($B136="","",IF(COUNTIFS(Пул!$E$5:$E$300,$B136,Пул!$L$5:$L$300,"Закрыт")=0,"",ROUND(SUMIFS(Пул!$H$5:$H$300,Пул!$E$5:$E$300,$B136,Пул!$L$5:$L$300,"Закрыт"),8)))</f>
        <v/>
      </c>
      <c r="F136" s="247">
        <f>IF($B136="","",IF(COUNTIFS(Пул!$E$5:$E$300,$B136,Пул!$L$5:$L$300,"Закрыт")=0,"",ROUND(SUMIFS(Пул!$I$5:$I$300,Пул!$E$5:$E$300,$B136,Пул!$L$5:$L$300,"Закрыт"),8)))</f>
        <v/>
      </c>
      <c r="G136" s="246">
        <f>IF($B136="","",IF(COUNTIFS(Пул!$E$5:$E$300,$B136,Пул!$L$5:$L$300,"Закрыт")=0,"",ROUND(SUMIFS(Пул!$J$5:$J$300,Пул!$E$5:$E$300,$B136,Пул!$L$5:$L$300,"Закрыт"),8)))</f>
        <v/>
      </c>
      <c r="H136" s="247">
        <f>IF($B136="","",IF(COUNTIFS(Пул!$E$5:$E$300,$B136,Пул!$L$5:$L$300,"Закрыт")=0,"",ROUND(SUMIFS(Пул!$K$5:$K$300,Пул!$E$5:$E$300,$B136,Пул!$L$5:$L$300,"Закрыт"),8)))</f>
        <v/>
      </c>
      <c r="I136" s="242">
        <f>IF(AND(ISNUMBER(G136),ISNUMBER(H136)),IF(AND(G136&gt;0,H136&lt;0),"Buy",IF(AND(G136&lt;0,H136&gt;0),"Sell","")),"")</f>
        <v/>
      </c>
      <c r="J136" s="183">
        <f>IF(I136="Buy",G136,IF(I136="Sell",-G136,""))</f>
        <v/>
      </c>
      <c r="K136" s="183">
        <f>IF(AND(ISNUMBER(J136),ISNUMBER(L136),N(J136)&lt;&gt;0),ROUND(L136/J136,8),"")</f>
        <v/>
      </c>
      <c r="L136" s="183">
        <f>IF(I136="Buy",-H136,IF(I136="Sell",H136,""))</f>
        <v/>
      </c>
    </row>
    <row r="137" ht="22" customHeight="1">
      <c r="B137" s="315" t="n"/>
      <c r="C137" s="240">
        <f>IF($B137="","",IF(COUNTIFS(Пул!$E$5:$E$300,$B137,Пул!$F$5:$F$300,"&lt;&gt;")=0,"",ROUND(SUMIFS(Пул!$F$5:$F$300,Пул!$E$5:$E$300,$B137),8)))</f>
        <v/>
      </c>
      <c r="D137" s="241">
        <f>IF($B137="","",IF(COUNTIFS(Пул!$E$5:$E$300,$B137,Пул!$G$5:$G$300,"&lt;&gt;")=0,"",ROUND(SUMIFS(Пул!$G$5:$G$300,Пул!$E$5:$E$300,$B137),8)))</f>
        <v/>
      </c>
      <c r="E137" s="240">
        <f>IF($B137="","",IF(COUNTIFS(Пул!$E$5:$E$300,$B137,Пул!$L$5:$L$300,"Закрыт")=0,"",ROUND(SUMIFS(Пул!$H$5:$H$300,Пул!$E$5:$E$300,$B137,Пул!$L$5:$L$300,"Закрыт"),8)))</f>
        <v/>
      </c>
      <c r="F137" s="241">
        <f>IF($B137="","",IF(COUNTIFS(Пул!$E$5:$E$300,$B137,Пул!$L$5:$L$300,"Закрыт")=0,"",ROUND(SUMIFS(Пул!$I$5:$I$300,Пул!$E$5:$E$300,$B137,Пул!$L$5:$L$300,"Закрыт"),8)))</f>
        <v/>
      </c>
      <c r="G137" s="240">
        <f>IF($B137="","",IF(COUNTIFS(Пул!$E$5:$E$300,$B137,Пул!$L$5:$L$300,"Закрыт")=0,"",ROUND(SUMIFS(Пул!$J$5:$J$300,Пул!$E$5:$E$300,$B137,Пул!$L$5:$L$300,"Закрыт"),8)))</f>
        <v/>
      </c>
      <c r="H137" s="241">
        <f>IF($B137="","",IF(COUNTIFS(Пул!$E$5:$E$300,$B137,Пул!$L$5:$L$300,"Закрыт")=0,"",ROUND(SUMIFS(Пул!$K$5:$K$300,Пул!$E$5:$E$300,$B137,Пул!$L$5:$L$300,"Закрыт"),8)))</f>
        <v/>
      </c>
      <c r="I137" s="236">
        <f>IF(AND(ISNUMBER(G137),ISNUMBER(H137)),IF(AND(G137&gt;0,H137&lt;0),"Buy",IF(AND(G137&lt;0,H137&gt;0),"Sell","")),"")</f>
        <v/>
      </c>
      <c r="J137" s="177">
        <f>IF(I137="Buy",G137,IF(I137="Sell",-G137,""))</f>
        <v/>
      </c>
      <c r="K137" s="177">
        <f>IF(AND(ISNUMBER(J137),ISNUMBER(L137),N(J137)&lt;&gt;0),ROUND(L137/J137,8),"")</f>
        <v/>
      </c>
      <c r="L137" s="177">
        <f>IF(I137="Buy",-H137,IF(I137="Sell",H137,""))</f>
        <v/>
      </c>
    </row>
    <row r="138" ht="22" customHeight="1">
      <c r="B138" s="320" t="n"/>
      <c r="C138" s="246">
        <f>IF($B138="","",IF(COUNTIFS(Пул!$E$5:$E$300,$B138,Пул!$F$5:$F$300,"&lt;&gt;")=0,"",ROUND(SUMIFS(Пул!$F$5:$F$300,Пул!$E$5:$E$300,$B138),8)))</f>
        <v/>
      </c>
      <c r="D138" s="247">
        <f>IF($B138="","",IF(COUNTIFS(Пул!$E$5:$E$300,$B138,Пул!$G$5:$G$300,"&lt;&gt;")=0,"",ROUND(SUMIFS(Пул!$G$5:$G$300,Пул!$E$5:$E$300,$B138),8)))</f>
        <v/>
      </c>
      <c r="E138" s="246">
        <f>IF($B138="","",IF(COUNTIFS(Пул!$E$5:$E$300,$B138,Пул!$L$5:$L$300,"Закрыт")=0,"",ROUND(SUMIFS(Пул!$H$5:$H$300,Пул!$E$5:$E$300,$B138,Пул!$L$5:$L$300,"Закрыт"),8)))</f>
        <v/>
      </c>
      <c r="F138" s="247">
        <f>IF($B138="","",IF(COUNTIFS(Пул!$E$5:$E$300,$B138,Пул!$L$5:$L$300,"Закрыт")=0,"",ROUND(SUMIFS(Пул!$I$5:$I$300,Пул!$E$5:$E$300,$B138,Пул!$L$5:$L$300,"Закрыт"),8)))</f>
        <v/>
      </c>
      <c r="G138" s="246">
        <f>IF($B138="","",IF(COUNTIFS(Пул!$E$5:$E$300,$B138,Пул!$L$5:$L$300,"Закрыт")=0,"",ROUND(SUMIFS(Пул!$J$5:$J$300,Пул!$E$5:$E$300,$B138,Пул!$L$5:$L$300,"Закрыт"),8)))</f>
        <v/>
      </c>
      <c r="H138" s="247">
        <f>IF($B138="","",IF(COUNTIFS(Пул!$E$5:$E$300,$B138,Пул!$L$5:$L$300,"Закрыт")=0,"",ROUND(SUMIFS(Пул!$K$5:$K$300,Пул!$E$5:$E$300,$B138,Пул!$L$5:$L$300,"Закрыт"),8)))</f>
        <v/>
      </c>
      <c r="I138" s="242">
        <f>IF(AND(ISNUMBER(G138),ISNUMBER(H138)),IF(AND(G138&gt;0,H138&lt;0),"Buy",IF(AND(G138&lt;0,H138&gt;0),"Sell","")),"")</f>
        <v/>
      </c>
      <c r="J138" s="183">
        <f>IF(I138="Buy",G138,IF(I138="Sell",-G138,""))</f>
        <v/>
      </c>
      <c r="K138" s="183">
        <f>IF(AND(ISNUMBER(J138),ISNUMBER(L138),N(J138)&lt;&gt;0),ROUND(L138/J138,8),"")</f>
        <v/>
      </c>
      <c r="L138" s="183">
        <f>IF(I138="Buy",-H138,IF(I138="Sell",H138,""))</f>
        <v/>
      </c>
    </row>
    <row r="139" ht="22" customHeight="1">
      <c r="B139" s="315" t="n"/>
      <c r="C139" s="240">
        <f>IF($B139="","",IF(COUNTIFS(Пул!$E$5:$E$300,$B139,Пул!$F$5:$F$300,"&lt;&gt;")=0,"",ROUND(SUMIFS(Пул!$F$5:$F$300,Пул!$E$5:$E$300,$B139),8)))</f>
        <v/>
      </c>
      <c r="D139" s="241">
        <f>IF($B139="","",IF(COUNTIFS(Пул!$E$5:$E$300,$B139,Пул!$G$5:$G$300,"&lt;&gt;")=0,"",ROUND(SUMIFS(Пул!$G$5:$G$300,Пул!$E$5:$E$300,$B139),8)))</f>
        <v/>
      </c>
      <c r="E139" s="240">
        <f>IF($B139="","",IF(COUNTIFS(Пул!$E$5:$E$300,$B139,Пул!$L$5:$L$300,"Закрыт")=0,"",ROUND(SUMIFS(Пул!$H$5:$H$300,Пул!$E$5:$E$300,$B139,Пул!$L$5:$L$300,"Закрыт"),8)))</f>
        <v/>
      </c>
      <c r="F139" s="241">
        <f>IF($B139="","",IF(COUNTIFS(Пул!$E$5:$E$300,$B139,Пул!$L$5:$L$300,"Закрыт")=0,"",ROUND(SUMIFS(Пул!$I$5:$I$300,Пул!$E$5:$E$300,$B139,Пул!$L$5:$L$300,"Закрыт"),8)))</f>
        <v/>
      </c>
      <c r="G139" s="240">
        <f>IF($B139="","",IF(COUNTIFS(Пул!$E$5:$E$300,$B139,Пул!$L$5:$L$300,"Закрыт")=0,"",ROUND(SUMIFS(Пул!$J$5:$J$300,Пул!$E$5:$E$300,$B139,Пул!$L$5:$L$300,"Закрыт"),8)))</f>
        <v/>
      </c>
      <c r="H139" s="241">
        <f>IF($B139="","",IF(COUNTIFS(Пул!$E$5:$E$300,$B139,Пул!$L$5:$L$300,"Закрыт")=0,"",ROUND(SUMIFS(Пул!$K$5:$K$300,Пул!$E$5:$E$300,$B139,Пул!$L$5:$L$300,"Закрыт"),8)))</f>
        <v/>
      </c>
      <c r="I139" s="236">
        <f>IF(AND(ISNUMBER(G139),ISNUMBER(H139)),IF(AND(G139&gt;0,H139&lt;0),"Buy",IF(AND(G139&lt;0,H139&gt;0),"Sell","")),"")</f>
        <v/>
      </c>
      <c r="J139" s="177">
        <f>IF(I139="Buy",G139,IF(I139="Sell",-G139,""))</f>
        <v/>
      </c>
      <c r="K139" s="177">
        <f>IF(AND(ISNUMBER(J139),ISNUMBER(L139),N(J139)&lt;&gt;0),ROUND(L139/J139,8),"")</f>
        <v/>
      </c>
      <c r="L139" s="177">
        <f>IF(I139="Buy",-H139,IF(I139="Sell",H139,""))</f>
        <v/>
      </c>
    </row>
    <row r="140" ht="22" customHeight="1">
      <c r="B140" s="320" t="n"/>
      <c r="C140" s="246">
        <f>IF($B140="","",IF(COUNTIFS(Пул!$E$5:$E$300,$B140,Пул!$F$5:$F$300,"&lt;&gt;")=0,"",ROUND(SUMIFS(Пул!$F$5:$F$300,Пул!$E$5:$E$300,$B140),8)))</f>
        <v/>
      </c>
      <c r="D140" s="247">
        <f>IF($B140="","",IF(COUNTIFS(Пул!$E$5:$E$300,$B140,Пул!$G$5:$G$300,"&lt;&gt;")=0,"",ROUND(SUMIFS(Пул!$G$5:$G$300,Пул!$E$5:$E$300,$B140),8)))</f>
        <v/>
      </c>
      <c r="E140" s="246">
        <f>IF($B140="","",IF(COUNTIFS(Пул!$E$5:$E$300,$B140,Пул!$L$5:$L$300,"Закрыт")=0,"",ROUND(SUMIFS(Пул!$H$5:$H$300,Пул!$E$5:$E$300,$B140,Пул!$L$5:$L$300,"Закрыт"),8)))</f>
        <v/>
      </c>
      <c r="F140" s="247">
        <f>IF($B140="","",IF(COUNTIFS(Пул!$E$5:$E$300,$B140,Пул!$L$5:$L$300,"Закрыт")=0,"",ROUND(SUMIFS(Пул!$I$5:$I$300,Пул!$E$5:$E$300,$B140,Пул!$L$5:$L$300,"Закрыт"),8)))</f>
        <v/>
      </c>
      <c r="G140" s="246">
        <f>IF($B140="","",IF(COUNTIFS(Пул!$E$5:$E$300,$B140,Пул!$L$5:$L$300,"Закрыт")=0,"",ROUND(SUMIFS(Пул!$J$5:$J$300,Пул!$E$5:$E$300,$B140,Пул!$L$5:$L$300,"Закрыт"),8)))</f>
        <v/>
      </c>
      <c r="H140" s="247">
        <f>IF($B140="","",IF(COUNTIFS(Пул!$E$5:$E$300,$B140,Пул!$L$5:$L$300,"Закрыт")=0,"",ROUND(SUMIFS(Пул!$K$5:$K$300,Пул!$E$5:$E$300,$B140,Пул!$L$5:$L$300,"Закрыт"),8)))</f>
        <v/>
      </c>
      <c r="I140" s="242">
        <f>IF(AND(ISNUMBER(G140),ISNUMBER(H140)),IF(AND(G140&gt;0,H140&lt;0),"Buy",IF(AND(G140&lt;0,H140&gt;0),"Sell","")),"")</f>
        <v/>
      </c>
      <c r="J140" s="183">
        <f>IF(I140="Buy",G140,IF(I140="Sell",-G140,""))</f>
        <v/>
      </c>
      <c r="K140" s="183">
        <f>IF(AND(ISNUMBER(J140),ISNUMBER(L140),N(J140)&lt;&gt;0),ROUND(L140/J140,8),"")</f>
        <v/>
      </c>
      <c r="L140" s="183">
        <f>IF(I140="Buy",-H140,IF(I140="Sell",H140,""))</f>
        <v/>
      </c>
    </row>
    <row r="141" ht="22" customHeight="1">
      <c r="B141" s="315" t="n"/>
      <c r="C141" s="240">
        <f>IF($B141="","",IF(COUNTIFS(Пул!$E$5:$E$300,$B141,Пул!$F$5:$F$300,"&lt;&gt;")=0,"",ROUND(SUMIFS(Пул!$F$5:$F$300,Пул!$E$5:$E$300,$B141),8)))</f>
        <v/>
      </c>
      <c r="D141" s="241">
        <f>IF($B141="","",IF(COUNTIFS(Пул!$E$5:$E$300,$B141,Пул!$G$5:$G$300,"&lt;&gt;")=0,"",ROUND(SUMIFS(Пул!$G$5:$G$300,Пул!$E$5:$E$300,$B141),8)))</f>
        <v/>
      </c>
      <c r="E141" s="240">
        <f>IF($B141="","",IF(COUNTIFS(Пул!$E$5:$E$300,$B141,Пул!$L$5:$L$300,"Закрыт")=0,"",ROUND(SUMIFS(Пул!$H$5:$H$300,Пул!$E$5:$E$300,$B141,Пул!$L$5:$L$300,"Закрыт"),8)))</f>
        <v/>
      </c>
      <c r="F141" s="241">
        <f>IF($B141="","",IF(COUNTIFS(Пул!$E$5:$E$300,$B141,Пул!$L$5:$L$300,"Закрыт")=0,"",ROUND(SUMIFS(Пул!$I$5:$I$300,Пул!$E$5:$E$300,$B141,Пул!$L$5:$L$300,"Закрыт"),8)))</f>
        <v/>
      </c>
      <c r="G141" s="240">
        <f>IF($B141="","",IF(COUNTIFS(Пул!$E$5:$E$300,$B141,Пул!$L$5:$L$300,"Закрыт")=0,"",ROUND(SUMIFS(Пул!$J$5:$J$300,Пул!$E$5:$E$300,$B141,Пул!$L$5:$L$300,"Закрыт"),8)))</f>
        <v/>
      </c>
      <c r="H141" s="241">
        <f>IF($B141="","",IF(COUNTIFS(Пул!$E$5:$E$300,$B141,Пул!$L$5:$L$300,"Закрыт")=0,"",ROUND(SUMIFS(Пул!$K$5:$K$300,Пул!$E$5:$E$300,$B141,Пул!$L$5:$L$300,"Закрыт"),8)))</f>
        <v/>
      </c>
      <c r="I141" s="236">
        <f>IF(AND(ISNUMBER(G141),ISNUMBER(H141)),IF(AND(G141&gt;0,H141&lt;0),"Buy",IF(AND(G141&lt;0,H141&gt;0),"Sell","")),"")</f>
        <v/>
      </c>
      <c r="J141" s="177">
        <f>IF(I141="Buy",G141,IF(I141="Sell",-G141,""))</f>
        <v/>
      </c>
      <c r="K141" s="177">
        <f>IF(AND(ISNUMBER(J141),ISNUMBER(L141),N(J141)&lt;&gt;0),ROUND(L141/J141,8),"")</f>
        <v/>
      </c>
      <c r="L141" s="177">
        <f>IF(I141="Buy",-H141,IF(I141="Sell",H141,""))</f>
        <v/>
      </c>
    </row>
    <row r="142" ht="22" customHeight="1">
      <c r="B142" s="320" t="n"/>
      <c r="C142" s="246">
        <f>IF($B142="","",IF(COUNTIFS(Пул!$E$5:$E$300,$B142,Пул!$F$5:$F$300,"&lt;&gt;")=0,"",ROUND(SUMIFS(Пул!$F$5:$F$300,Пул!$E$5:$E$300,$B142),8)))</f>
        <v/>
      </c>
      <c r="D142" s="247">
        <f>IF($B142="","",IF(COUNTIFS(Пул!$E$5:$E$300,$B142,Пул!$G$5:$G$300,"&lt;&gt;")=0,"",ROUND(SUMIFS(Пул!$G$5:$G$300,Пул!$E$5:$E$300,$B142),8)))</f>
        <v/>
      </c>
      <c r="E142" s="246">
        <f>IF($B142="","",IF(COUNTIFS(Пул!$E$5:$E$300,$B142,Пул!$L$5:$L$300,"Закрыт")=0,"",ROUND(SUMIFS(Пул!$H$5:$H$300,Пул!$E$5:$E$300,$B142,Пул!$L$5:$L$300,"Закрыт"),8)))</f>
        <v/>
      </c>
      <c r="F142" s="247">
        <f>IF($B142="","",IF(COUNTIFS(Пул!$E$5:$E$300,$B142,Пул!$L$5:$L$300,"Закрыт")=0,"",ROUND(SUMIFS(Пул!$I$5:$I$300,Пул!$E$5:$E$300,$B142,Пул!$L$5:$L$300,"Закрыт"),8)))</f>
        <v/>
      </c>
      <c r="G142" s="246">
        <f>IF($B142="","",IF(COUNTIFS(Пул!$E$5:$E$300,$B142,Пул!$L$5:$L$300,"Закрыт")=0,"",ROUND(SUMIFS(Пул!$J$5:$J$300,Пул!$E$5:$E$300,$B142,Пул!$L$5:$L$300,"Закрыт"),8)))</f>
        <v/>
      </c>
      <c r="H142" s="247">
        <f>IF($B142="","",IF(COUNTIFS(Пул!$E$5:$E$300,$B142,Пул!$L$5:$L$300,"Закрыт")=0,"",ROUND(SUMIFS(Пул!$K$5:$K$300,Пул!$E$5:$E$300,$B142,Пул!$L$5:$L$300,"Закрыт"),8)))</f>
        <v/>
      </c>
      <c r="I142" s="242">
        <f>IF(AND(ISNUMBER(G142),ISNUMBER(H142)),IF(AND(G142&gt;0,H142&lt;0),"Buy",IF(AND(G142&lt;0,H142&gt;0),"Sell","")),"")</f>
        <v/>
      </c>
      <c r="J142" s="183">
        <f>IF(I142="Buy",G142,IF(I142="Sell",-G142,""))</f>
        <v/>
      </c>
      <c r="K142" s="183">
        <f>IF(AND(ISNUMBER(J142),ISNUMBER(L142),N(J142)&lt;&gt;0),ROUND(L142/J142,8),"")</f>
        <v/>
      </c>
      <c r="L142" s="183">
        <f>IF(I142="Buy",-H142,IF(I142="Sell",H142,""))</f>
        <v/>
      </c>
    </row>
    <row r="143" ht="22" customHeight="1">
      <c r="B143" s="315" t="n"/>
      <c r="C143" s="240">
        <f>IF($B143="","",IF(COUNTIFS(Пул!$E$5:$E$300,$B143,Пул!$F$5:$F$300,"&lt;&gt;")=0,"",ROUND(SUMIFS(Пул!$F$5:$F$300,Пул!$E$5:$E$300,$B143),8)))</f>
        <v/>
      </c>
      <c r="D143" s="241">
        <f>IF($B143="","",IF(COUNTIFS(Пул!$E$5:$E$300,$B143,Пул!$G$5:$G$300,"&lt;&gt;")=0,"",ROUND(SUMIFS(Пул!$G$5:$G$300,Пул!$E$5:$E$300,$B143),8)))</f>
        <v/>
      </c>
      <c r="E143" s="240">
        <f>IF($B143="","",IF(COUNTIFS(Пул!$E$5:$E$300,$B143,Пул!$L$5:$L$300,"Закрыт")=0,"",ROUND(SUMIFS(Пул!$H$5:$H$300,Пул!$E$5:$E$300,$B143,Пул!$L$5:$L$300,"Закрыт"),8)))</f>
        <v/>
      </c>
      <c r="F143" s="241">
        <f>IF($B143="","",IF(COUNTIFS(Пул!$E$5:$E$300,$B143,Пул!$L$5:$L$300,"Закрыт")=0,"",ROUND(SUMIFS(Пул!$I$5:$I$300,Пул!$E$5:$E$300,$B143,Пул!$L$5:$L$300,"Закрыт"),8)))</f>
        <v/>
      </c>
      <c r="G143" s="240">
        <f>IF($B143="","",IF(COUNTIFS(Пул!$E$5:$E$300,$B143,Пул!$L$5:$L$300,"Закрыт")=0,"",ROUND(SUMIFS(Пул!$J$5:$J$300,Пул!$E$5:$E$300,$B143,Пул!$L$5:$L$300,"Закрыт"),8)))</f>
        <v/>
      </c>
      <c r="H143" s="241">
        <f>IF($B143="","",IF(COUNTIFS(Пул!$E$5:$E$300,$B143,Пул!$L$5:$L$300,"Закрыт")=0,"",ROUND(SUMIFS(Пул!$K$5:$K$300,Пул!$E$5:$E$300,$B143,Пул!$L$5:$L$300,"Закрыт"),8)))</f>
        <v/>
      </c>
      <c r="I143" s="236">
        <f>IF(AND(ISNUMBER(G143),ISNUMBER(H143)),IF(AND(G143&gt;0,H143&lt;0),"Buy",IF(AND(G143&lt;0,H143&gt;0),"Sell","")),"")</f>
        <v/>
      </c>
      <c r="J143" s="177">
        <f>IF(I143="Buy",G143,IF(I143="Sell",-G143,""))</f>
        <v/>
      </c>
      <c r="K143" s="177">
        <f>IF(AND(ISNUMBER(J143),ISNUMBER(L143),N(J143)&lt;&gt;0),ROUND(L143/J143,8),"")</f>
        <v/>
      </c>
      <c r="L143" s="177">
        <f>IF(I143="Buy",-H143,IF(I143="Sell",H143,""))</f>
        <v/>
      </c>
    </row>
    <row r="144" ht="22" customHeight="1">
      <c r="B144" s="320" t="n"/>
      <c r="C144" s="246">
        <f>IF($B144="","",IF(COUNTIFS(Пул!$E$5:$E$300,$B144,Пул!$F$5:$F$300,"&lt;&gt;")=0,"",ROUND(SUMIFS(Пул!$F$5:$F$300,Пул!$E$5:$E$300,$B144),8)))</f>
        <v/>
      </c>
      <c r="D144" s="247">
        <f>IF($B144="","",IF(COUNTIFS(Пул!$E$5:$E$300,$B144,Пул!$G$5:$G$300,"&lt;&gt;")=0,"",ROUND(SUMIFS(Пул!$G$5:$G$300,Пул!$E$5:$E$300,$B144),8)))</f>
        <v/>
      </c>
      <c r="E144" s="246">
        <f>IF($B144="","",IF(COUNTIFS(Пул!$E$5:$E$300,$B144,Пул!$L$5:$L$300,"Закрыт")=0,"",ROUND(SUMIFS(Пул!$H$5:$H$300,Пул!$E$5:$E$300,$B144,Пул!$L$5:$L$300,"Закрыт"),8)))</f>
        <v/>
      </c>
      <c r="F144" s="247">
        <f>IF($B144="","",IF(COUNTIFS(Пул!$E$5:$E$300,$B144,Пул!$L$5:$L$300,"Закрыт")=0,"",ROUND(SUMIFS(Пул!$I$5:$I$300,Пул!$E$5:$E$300,$B144,Пул!$L$5:$L$300,"Закрыт"),8)))</f>
        <v/>
      </c>
      <c r="G144" s="246">
        <f>IF($B144="","",IF(COUNTIFS(Пул!$E$5:$E$300,$B144,Пул!$L$5:$L$300,"Закрыт")=0,"",ROUND(SUMIFS(Пул!$J$5:$J$300,Пул!$E$5:$E$300,$B144,Пул!$L$5:$L$300,"Закрыт"),8)))</f>
        <v/>
      </c>
      <c r="H144" s="247">
        <f>IF($B144="","",IF(COUNTIFS(Пул!$E$5:$E$300,$B144,Пул!$L$5:$L$300,"Закрыт")=0,"",ROUND(SUMIFS(Пул!$K$5:$K$300,Пул!$E$5:$E$300,$B144,Пул!$L$5:$L$300,"Закрыт"),8)))</f>
        <v/>
      </c>
      <c r="I144" s="242">
        <f>IF(AND(ISNUMBER(G144),ISNUMBER(H144)),IF(AND(G144&gt;0,H144&lt;0),"Buy",IF(AND(G144&lt;0,H144&gt;0),"Sell","")),"")</f>
        <v/>
      </c>
      <c r="J144" s="183">
        <f>IF(I144="Buy",G144,IF(I144="Sell",-G144,""))</f>
        <v/>
      </c>
      <c r="K144" s="183">
        <f>IF(AND(ISNUMBER(J144),ISNUMBER(L144),N(J144)&lt;&gt;0),ROUND(L144/J144,8),"")</f>
        <v/>
      </c>
      <c r="L144" s="183">
        <f>IF(I144="Buy",-H144,IF(I144="Sell",H144,""))</f>
        <v/>
      </c>
    </row>
    <row r="145" ht="22" customHeight="1">
      <c r="B145" s="315" t="n"/>
      <c r="C145" s="240">
        <f>IF($B145="","",IF(COUNTIFS(Пул!$E$5:$E$300,$B145,Пул!$F$5:$F$300,"&lt;&gt;")=0,"",ROUND(SUMIFS(Пул!$F$5:$F$300,Пул!$E$5:$E$300,$B145),8)))</f>
        <v/>
      </c>
      <c r="D145" s="241">
        <f>IF($B145="","",IF(COUNTIFS(Пул!$E$5:$E$300,$B145,Пул!$G$5:$G$300,"&lt;&gt;")=0,"",ROUND(SUMIFS(Пул!$G$5:$G$300,Пул!$E$5:$E$300,$B145),8)))</f>
        <v/>
      </c>
      <c r="E145" s="240">
        <f>IF($B145="","",IF(COUNTIFS(Пул!$E$5:$E$300,$B145,Пул!$L$5:$L$300,"Закрыт")=0,"",ROUND(SUMIFS(Пул!$H$5:$H$300,Пул!$E$5:$E$300,$B145,Пул!$L$5:$L$300,"Закрыт"),8)))</f>
        <v/>
      </c>
      <c r="F145" s="241">
        <f>IF($B145="","",IF(COUNTIFS(Пул!$E$5:$E$300,$B145,Пул!$L$5:$L$300,"Закрыт")=0,"",ROUND(SUMIFS(Пул!$I$5:$I$300,Пул!$E$5:$E$300,$B145,Пул!$L$5:$L$300,"Закрыт"),8)))</f>
        <v/>
      </c>
      <c r="G145" s="240">
        <f>IF($B145="","",IF(COUNTIFS(Пул!$E$5:$E$300,$B145,Пул!$L$5:$L$300,"Закрыт")=0,"",ROUND(SUMIFS(Пул!$J$5:$J$300,Пул!$E$5:$E$300,$B145,Пул!$L$5:$L$300,"Закрыт"),8)))</f>
        <v/>
      </c>
      <c r="H145" s="241">
        <f>IF($B145="","",IF(COUNTIFS(Пул!$E$5:$E$300,$B145,Пул!$L$5:$L$300,"Закрыт")=0,"",ROUND(SUMIFS(Пул!$K$5:$K$300,Пул!$E$5:$E$300,$B145,Пул!$L$5:$L$300,"Закрыт"),8)))</f>
        <v/>
      </c>
      <c r="I145" s="236">
        <f>IF(AND(ISNUMBER(G145),ISNUMBER(H145)),IF(AND(G145&gt;0,H145&lt;0),"Buy",IF(AND(G145&lt;0,H145&gt;0),"Sell","")),"")</f>
        <v/>
      </c>
      <c r="J145" s="177">
        <f>IF(I145="Buy",G145,IF(I145="Sell",-G145,""))</f>
        <v/>
      </c>
      <c r="K145" s="177">
        <f>IF(AND(ISNUMBER(J145),ISNUMBER(L145),N(J145)&lt;&gt;0),ROUND(L145/J145,8),"")</f>
        <v/>
      </c>
      <c r="L145" s="177">
        <f>IF(I145="Buy",-H145,IF(I145="Sell",H145,""))</f>
        <v/>
      </c>
    </row>
    <row r="146" ht="22" customHeight="1">
      <c r="B146" s="320" t="n"/>
      <c r="C146" s="246">
        <f>IF($B146="","",IF(COUNTIFS(Пул!$E$5:$E$300,$B146,Пул!$F$5:$F$300,"&lt;&gt;")=0,"",ROUND(SUMIFS(Пул!$F$5:$F$300,Пул!$E$5:$E$300,$B146),8)))</f>
        <v/>
      </c>
      <c r="D146" s="247">
        <f>IF($B146="","",IF(COUNTIFS(Пул!$E$5:$E$300,$B146,Пул!$G$5:$G$300,"&lt;&gt;")=0,"",ROUND(SUMIFS(Пул!$G$5:$G$300,Пул!$E$5:$E$300,$B146),8)))</f>
        <v/>
      </c>
      <c r="E146" s="246">
        <f>IF($B146="","",IF(COUNTIFS(Пул!$E$5:$E$300,$B146,Пул!$L$5:$L$300,"Закрыт")=0,"",ROUND(SUMIFS(Пул!$H$5:$H$300,Пул!$E$5:$E$300,$B146,Пул!$L$5:$L$300,"Закрыт"),8)))</f>
        <v/>
      </c>
      <c r="F146" s="247">
        <f>IF($B146="","",IF(COUNTIFS(Пул!$E$5:$E$300,$B146,Пул!$L$5:$L$300,"Закрыт")=0,"",ROUND(SUMIFS(Пул!$I$5:$I$300,Пул!$E$5:$E$300,$B146,Пул!$L$5:$L$300,"Закрыт"),8)))</f>
        <v/>
      </c>
      <c r="G146" s="246">
        <f>IF($B146="","",IF(COUNTIFS(Пул!$E$5:$E$300,$B146,Пул!$L$5:$L$300,"Закрыт")=0,"",ROUND(SUMIFS(Пул!$J$5:$J$300,Пул!$E$5:$E$300,$B146,Пул!$L$5:$L$300,"Закрыт"),8)))</f>
        <v/>
      </c>
      <c r="H146" s="247">
        <f>IF($B146="","",IF(COUNTIFS(Пул!$E$5:$E$300,$B146,Пул!$L$5:$L$300,"Закрыт")=0,"",ROUND(SUMIFS(Пул!$K$5:$K$300,Пул!$E$5:$E$300,$B146,Пул!$L$5:$L$300,"Закрыт"),8)))</f>
        <v/>
      </c>
      <c r="I146" s="242">
        <f>IF(AND(ISNUMBER(G146),ISNUMBER(H146)),IF(AND(G146&gt;0,H146&lt;0),"Buy",IF(AND(G146&lt;0,H146&gt;0),"Sell","")),"")</f>
        <v/>
      </c>
      <c r="J146" s="183">
        <f>IF(I146="Buy",G146,IF(I146="Sell",-G146,""))</f>
        <v/>
      </c>
      <c r="K146" s="183">
        <f>IF(AND(ISNUMBER(J146),ISNUMBER(L146),N(J146)&lt;&gt;0),ROUND(L146/J146,8),"")</f>
        <v/>
      </c>
      <c r="L146" s="183">
        <f>IF(I146="Buy",-H146,IF(I146="Sell",H146,""))</f>
        <v/>
      </c>
    </row>
    <row r="147" ht="22" customHeight="1">
      <c r="B147" s="315" t="n"/>
      <c r="C147" s="240">
        <f>IF($B147="","",IF(COUNTIFS(Пул!$E$5:$E$300,$B147,Пул!$F$5:$F$300,"&lt;&gt;")=0,"",ROUND(SUMIFS(Пул!$F$5:$F$300,Пул!$E$5:$E$300,$B147),8)))</f>
        <v/>
      </c>
      <c r="D147" s="241">
        <f>IF($B147="","",IF(COUNTIFS(Пул!$E$5:$E$300,$B147,Пул!$G$5:$G$300,"&lt;&gt;")=0,"",ROUND(SUMIFS(Пул!$G$5:$G$300,Пул!$E$5:$E$300,$B147),8)))</f>
        <v/>
      </c>
      <c r="E147" s="240">
        <f>IF($B147="","",IF(COUNTIFS(Пул!$E$5:$E$300,$B147,Пул!$L$5:$L$300,"Закрыт")=0,"",ROUND(SUMIFS(Пул!$H$5:$H$300,Пул!$E$5:$E$300,$B147,Пул!$L$5:$L$300,"Закрыт"),8)))</f>
        <v/>
      </c>
      <c r="F147" s="241">
        <f>IF($B147="","",IF(COUNTIFS(Пул!$E$5:$E$300,$B147,Пул!$L$5:$L$300,"Закрыт")=0,"",ROUND(SUMIFS(Пул!$I$5:$I$300,Пул!$E$5:$E$300,$B147,Пул!$L$5:$L$300,"Закрыт"),8)))</f>
        <v/>
      </c>
      <c r="G147" s="240">
        <f>IF($B147="","",IF(COUNTIFS(Пул!$E$5:$E$300,$B147,Пул!$L$5:$L$300,"Закрыт")=0,"",ROUND(SUMIFS(Пул!$J$5:$J$300,Пул!$E$5:$E$300,$B147,Пул!$L$5:$L$300,"Закрыт"),8)))</f>
        <v/>
      </c>
      <c r="H147" s="241">
        <f>IF($B147="","",IF(COUNTIFS(Пул!$E$5:$E$300,$B147,Пул!$L$5:$L$300,"Закрыт")=0,"",ROUND(SUMIFS(Пул!$K$5:$K$300,Пул!$E$5:$E$300,$B147,Пул!$L$5:$L$300,"Закрыт"),8)))</f>
        <v/>
      </c>
      <c r="I147" s="236">
        <f>IF(AND(ISNUMBER(G147),ISNUMBER(H147)),IF(AND(G147&gt;0,H147&lt;0),"Buy",IF(AND(G147&lt;0,H147&gt;0),"Sell","")),"")</f>
        <v/>
      </c>
      <c r="J147" s="177">
        <f>IF(I147="Buy",G147,IF(I147="Sell",-G147,""))</f>
        <v/>
      </c>
      <c r="K147" s="177">
        <f>IF(AND(ISNUMBER(J147),ISNUMBER(L147),N(J147)&lt;&gt;0),ROUND(L147/J147,8),"")</f>
        <v/>
      </c>
      <c r="L147" s="177">
        <f>IF(I147="Buy",-H147,IF(I147="Sell",H147,""))</f>
        <v/>
      </c>
    </row>
    <row r="148" ht="22" customHeight="1">
      <c r="B148" s="320" t="n"/>
      <c r="C148" s="246">
        <f>IF($B148="","",IF(COUNTIFS(Пул!$E$5:$E$300,$B148,Пул!$F$5:$F$300,"&lt;&gt;")=0,"",ROUND(SUMIFS(Пул!$F$5:$F$300,Пул!$E$5:$E$300,$B148),8)))</f>
        <v/>
      </c>
      <c r="D148" s="247">
        <f>IF($B148="","",IF(COUNTIFS(Пул!$E$5:$E$300,$B148,Пул!$G$5:$G$300,"&lt;&gt;")=0,"",ROUND(SUMIFS(Пул!$G$5:$G$300,Пул!$E$5:$E$300,$B148),8)))</f>
        <v/>
      </c>
      <c r="E148" s="246">
        <f>IF($B148="","",IF(COUNTIFS(Пул!$E$5:$E$300,$B148,Пул!$L$5:$L$300,"Закрыт")=0,"",ROUND(SUMIFS(Пул!$H$5:$H$300,Пул!$E$5:$E$300,$B148,Пул!$L$5:$L$300,"Закрыт"),8)))</f>
        <v/>
      </c>
      <c r="F148" s="247">
        <f>IF($B148="","",IF(COUNTIFS(Пул!$E$5:$E$300,$B148,Пул!$L$5:$L$300,"Закрыт")=0,"",ROUND(SUMIFS(Пул!$I$5:$I$300,Пул!$E$5:$E$300,$B148,Пул!$L$5:$L$300,"Закрыт"),8)))</f>
        <v/>
      </c>
      <c r="G148" s="246">
        <f>IF($B148="","",IF(COUNTIFS(Пул!$E$5:$E$300,$B148,Пул!$L$5:$L$300,"Закрыт")=0,"",ROUND(SUMIFS(Пул!$J$5:$J$300,Пул!$E$5:$E$300,$B148,Пул!$L$5:$L$300,"Закрыт"),8)))</f>
        <v/>
      </c>
      <c r="H148" s="247">
        <f>IF($B148="","",IF(COUNTIFS(Пул!$E$5:$E$300,$B148,Пул!$L$5:$L$300,"Закрыт")=0,"",ROUND(SUMIFS(Пул!$K$5:$K$300,Пул!$E$5:$E$300,$B148,Пул!$L$5:$L$300,"Закрыт"),8)))</f>
        <v/>
      </c>
      <c r="I148" s="242">
        <f>IF(AND(ISNUMBER(G148),ISNUMBER(H148)),IF(AND(G148&gt;0,H148&lt;0),"Buy",IF(AND(G148&lt;0,H148&gt;0),"Sell","")),"")</f>
        <v/>
      </c>
      <c r="J148" s="183">
        <f>IF(I148="Buy",G148,IF(I148="Sell",-G148,""))</f>
        <v/>
      </c>
      <c r="K148" s="183">
        <f>IF(AND(ISNUMBER(J148),ISNUMBER(L148),N(J148)&lt;&gt;0),ROUND(L148/J148,8),"")</f>
        <v/>
      </c>
      <c r="L148" s="183">
        <f>IF(I148="Buy",-H148,IF(I148="Sell",H148,""))</f>
        <v/>
      </c>
    </row>
    <row r="149" ht="22" customHeight="1">
      <c r="B149" s="315" t="n"/>
      <c r="C149" s="240">
        <f>IF($B149="","",IF(COUNTIFS(Пул!$E$5:$E$300,$B149,Пул!$F$5:$F$300,"&lt;&gt;")=0,"",ROUND(SUMIFS(Пул!$F$5:$F$300,Пул!$E$5:$E$300,$B149),8)))</f>
        <v/>
      </c>
      <c r="D149" s="241">
        <f>IF($B149="","",IF(COUNTIFS(Пул!$E$5:$E$300,$B149,Пул!$G$5:$G$300,"&lt;&gt;")=0,"",ROUND(SUMIFS(Пул!$G$5:$G$300,Пул!$E$5:$E$300,$B149),8)))</f>
        <v/>
      </c>
      <c r="E149" s="240">
        <f>IF($B149="","",IF(COUNTIFS(Пул!$E$5:$E$300,$B149,Пул!$L$5:$L$300,"Закрыт")=0,"",ROUND(SUMIFS(Пул!$H$5:$H$300,Пул!$E$5:$E$300,$B149,Пул!$L$5:$L$300,"Закрыт"),8)))</f>
        <v/>
      </c>
      <c r="F149" s="241">
        <f>IF($B149="","",IF(COUNTIFS(Пул!$E$5:$E$300,$B149,Пул!$L$5:$L$300,"Закрыт")=0,"",ROUND(SUMIFS(Пул!$I$5:$I$300,Пул!$E$5:$E$300,$B149,Пул!$L$5:$L$300,"Закрыт"),8)))</f>
        <v/>
      </c>
      <c r="G149" s="240">
        <f>IF($B149="","",IF(COUNTIFS(Пул!$E$5:$E$300,$B149,Пул!$L$5:$L$300,"Закрыт")=0,"",ROUND(SUMIFS(Пул!$J$5:$J$300,Пул!$E$5:$E$300,$B149,Пул!$L$5:$L$300,"Закрыт"),8)))</f>
        <v/>
      </c>
      <c r="H149" s="241">
        <f>IF($B149="","",IF(COUNTIFS(Пул!$E$5:$E$300,$B149,Пул!$L$5:$L$300,"Закрыт")=0,"",ROUND(SUMIFS(Пул!$K$5:$K$300,Пул!$E$5:$E$300,$B149,Пул!$L$5:$L$300,"Закрыт"),8)))</f>
        <v/>
      </c>
      <c r="I149" s="236">
        <f>IF(AND(ISNUMBER(G149),ISNUMBER(H149)),IF(AND(G149&gt;0,H149&lt;0),"Buy",IF(AND(G149&lt;0,H149&gt;0),"Sell","")),"")</f>
        <v/>
      </c>
      <c r="J149" s="177">
        <f>IF(I149="Buy",G149,IF(I149="Sell",-G149,""))</f>
        <v/>
      </c>
      <c r="K149" s="177">
        <f>IF(AND(ISNUMBER(J149),ISNUMBER(L149),N(J149)&lt;&gt;0),ROUND(L149/J149,8),"")</f>
        <v/>
      </c>
      <c r="L149" s="177">
        <f>IF(I149="Buy",-H149,IF(I149="Sell",H149,""))</f>
        <v/>
      </c>
    </row>
    <row r="150" ht="22" customHeight="1">
      <c r="B150" s="320" t="n"/>
      <c r="C150" s="246">
        <f>IF($B150="","",IF(COUNTIFS(Пул!$E$5:$E$300,$B150,Пул!$F$5:$F$300,"&lt;&gt;")=0,"",ROUND(SUMIFS(Пул!$F$5:$F$300,Пул!$E$5:$E$300,$B150),8)))</f>
        <v/>
      </c>
      <c r="D150" s="247">
        <f>IF($B150="","",IF(COUNTIFS(Пул!$E$5:$E$300,$B150,Пул!$G$5:$G$300,"&lt;&gt;")=0,"",ROUND(SUMIFS(Пул!$G$5:$G$300,Пул!$E$5:$E$300,$B150),8)))</f>
        <v/>
      </c>
      <c r="E150" s="246">
        <f>IF($B150="","",IF(COUNTIFS(Пул!$E$5:$E$300,$B150,Пул!$L$5:$L$300,"Закрыт")=0,"",ROUND(SUMIFS(Пул!$H$5:$H$300,Пул!$E$5:$E$300,$B150,Пул!$L$5:$L$300,"Закрыт"),8)))</f>
        <v/>
      </c>
      <c r="F150" s="247">
        <f>IF($B150="","",IF(COUNTIFS(Пул!$E$5:$E$300,$B150,Пул!$L$5:$L$300,"Закрыт")=0,"",ROUND(SUMIFS(Пул!$I$5:$I$300,Пул!$E$5:$E$300,$B150,Пул!$L$5:$L$300,"Закрыт"),8)))</f>
        <v/>
      </c>
      <c r="G150" s="246">
        <f>IF($B150="","",IF(COUNTIFS(Пул!$E$5:$E$300,$B150,Пул!$L$5:$L$300,"Закрыт")=0,"",ROUND(SUMIFS(Пул!$J$5:$J$300,Пул!$E$5:$E$300,$B150,Пул!$L$5:$L$300,"Закрыт"),8)))</f>
        <v/>
      </c>
      <c r="H150" s="247">
        <f>IF($B150="","",IF(COUNTIFS(Пул!$E$5:$E$300,$B150,Пул!$L$5:$L$300,"Закрыт")=0,"",ROUND(SUMIFS(Пул!$K$5:$K$300,Пул!$E$5:$E$300,$B150,Пул!$L$5:$L$300,"Закрыт"),8)))</f>
        <v/>
      </c>
      <c r="I150" s="242">
        <f>IF(AND(ISNUMBER(G150),ISNUMBER(H150)),IF(AND(G150&gt;0,H150&lt;0),"Buy",IF(AND(G150&lt;0,H150&gt;0),"Sell","")),"")</f>
        <v/>
      </c>
      <c r="J150" s="183">
        <f>IF(I150="Buy",G150,IF(I150="Sell",-G150,""))</f>
        <v/>
      </c>
      <c r="K150" s="183">
        <f>IF(AND(ISNUMBER(J150),ISNUMBER(L150),N(J150)&lt;&gt;0),ROUND(L150/J150,8),"")</f>
        <v/>
      </c>
      <c r="L150" s="183">
        <f>IF(I150="Buy",-H150,IF(I150="Sell",H150,""))</f>
        <v/>
      </c>
    </row>
    <row r="151" ht="22" customHeight="1">
      <c r="B151" s="315" t="n"/>
      <c r="C151" s="240">
        <f>IF($B151="","",IF(COUNTIFS(Пул!$E$5:$E$300,$B151,Пул!$F$5:$F$300,"&lt;&gt;")=0,"",ROUND(SUMIFS(Пул!$F$5:$F$300,Пул!$E$5:$E$300,$B151),8)))</f>
        <v/>
      </c>
      <c r="D151" s="241">
        <f>IF($B151="","",IF(COUNTIFS(Пул!$E$5:$E$300,$B151,Пул!$G$5:$G$300,"&lt;&gt;")=0,"",ROUND(SUMIFS(Пул!$G$5:$G$300,Пул!$E$5:$E$300,$B151),8)))</f>
        <v/>
      </c>
      <c r="E151" s="240">
        <f>IF($B151="","",IF(COUNTIFS(Пул!$E$5:$E$300,$B151,Пул!$L$5:$L$300,"Закрыт")=0,"",ROUND(SUMIFS(Пул!$H$5:$H$300,Пул!$E$5:$E$300,$B151,Пул!$L$5:$L$300,"Закрыт"),8)))</f>
        <v/>
      </c>
      <c r="F151" s="241">
        <f>IF($B151="","",IF(COUNTIFS(Пул!$E$5:$E$300,$B151,Пул!$L$5:$L$300,"Закрыт")=0,"",ROUND(SUMIFS(Пул!$I$5:$I$300,Пул!$E$5:$E$300,$B151,Пул!$L$5:$L$300,"Закрыт"),8)))</f>
        <v/>
      </c>
      <c r="G151" s="240">
        <f>IF($B151="","",IF(COUNTIFS(Пул!$E$5:$E$300,$B151,Пул!$L$5:$L$300,"Закрыт")=0,"",ROUND(SUMIFS(Пул!$J$5:$J$300,Пул!$E$5:$E$300,$B151,Пул!$L$5:$L$300,"Закрыт"),8)))</f>
        <v/>
      </c>
      <c r="H151" s="241">
        <f>IF($B151="","",IF(COUNTIFS(Пул!$E$5:$E$300,$B151,Пул!$L$5:$L$300,"Закрыт")=0,"",ROUND(SUMIFS(Пул!$K$5:$K$300,Пул!$E$5:$E$300,$B151,Пул!$L$5:$L$300,"Закрыт"),8)))</f>
        <v/>
      </c>
      <c r="I151" s="236">
        <f>IF(AND(ISNUMBER(G151),ISNUMBER(H151)),IF(AND(G151&gt;0,H151&lt;0),"Buy",IF(AND(G151&lt;0,H151&gt;0),"Sell","")),"")</f>
        <v/>
      </c>
      <c r="J151" s="177">
        <f>IF(I151="Buy",G151,IF(I151="Sell",-G151,""))</f>
        <v/>
      </c>
      <c r="K151" s="177">
        <f>IF(AND(ISNUMBER(J151),ISNUMBER(L151),N(J151)&lt;&gt;0),ROUND(L151/J151,8),"")</f>
        <v/>
      </c>
      <c r="L151" s="177">
        <f>IF(I151="Buy",-H151,IF(I151="Sell",H151,""))</f>
        <v/>
      </c>
    </row>
    <row r="152" ht="22" customHeight="1">
      <c r="B152" s="320" t="n"/>
      <c r="C152" s="246">
        <f>IF($B152="","",IF(COUNTIFS(Пул!$E$5:$E$300,$B152,Пул!$F$5:$F$300,"&lt;&gt;")=0,"",ROUND(SUMIFS(Пул!$F$5:$F$300,Пул!$E$5:$E$300,$B152),8)))</f>
        <v/>
      </c>
      <c r="D152" s="247">
        <f>IF($B152="","",IF(COUNTIFS(Пул!$E$5:$E$300,$B152,Пул!$G$5:$G$300,"&lt;&gt;")=0,"",ROUND(SUMIFS(Пул!$G$5:$G$300,Пул!$E$5:$E$300,$B152),8)))</f>
        <v/>
      </c>
      <c r="E152" s="246">
        <f>IF($B152="","",IF(COUNTIFS(Пул!$E$5:$E$300,$B152,Пул!$L$5:$L$300,"Закрыт")=0,"",ROUND(SUMIFS(Пул!$H$5:$H$300,Пул!$E$5:$E$300,$B152,Пул!$L$5:$L$300,"Закрыт"),8)))</f>
        <v/>
      </c>
      <c r="F152" s="247">
        <f>IF($B152="","",IF(COUNTIFS(Пул!$E$5:$E$300,$B152,Пул!$L$5:$L$300,"Закрыт")=0,"",ROUND(SUMIFS(Пул!$I$5:$I$300,Пул!$E$5:$E$300,$B152,Пул!$L$5:$L$300,"Закрыт"),8)))</f>
        <v/>
      </c>
      <c r="G152" s="246">
        <f>IF($B152="","",IF(COUNTIFS(Пул!$E$5:$E$300,$B152,Пул!$L$5:$L$300,"Закрыт")=0,"",ROUND(SUMIFS(Пул!$J$5:$J$300,Пул!$E$5:$E$300,$B152,Пул!$L$5:$L$300,"Закрыт"),8)))</f>
        <v/>
      </c>
      <c r="H152" s="247">
        <f>IF($B152="","",IF(COUNTIFS(Пул!$E$5:$E$300,$B152,Пул!$L$5:$L$300,"Закрыт")=0,"",ROUND(SUMIFS(Пул!$K$5:$K$300,Пул!$E$5:$E$300,$B152,Пул!$L$5:$L$300,"Закрыт"),8)))</f>
        <v/>
      </c>
      <c r="I152" s="242">
        <f>IF(AND(ISNUMBER(G152),ISNUMBER(H152)),IF(AND(G152&gt;0,H152&lt;0),"Buy",IF(AND(G152&lt;0,H152&gt;0),"Sell","")),"")</f>
        <v/>
      </c>
      <c r="J152" s="183">
        <f>IF(I152="Buy",G152,IF(I152="Sell",-G152,""))</f>
        <v/>
      </c>
      <c r="K152" s="183">
        <f>IF(AND(ISNUMBER(J152),ISNUMBER(L152),N(J152)&lt;&gt;0),ROUND(L152/J152,8),"")</f>
        <v/>
      </c>
      <c r="L152" s="183">
        <f>IF(I152="Buy",-H152,IF(I152="Sell",H152,""))</f>
        <v/>
      </c>
    </row>
    <row r="153" ht="22" customHeight="1">
      <c r="B153" s="315" t="n"/>
      <c r="C153" s="240">
        <f>IF($B153="","",IF(COUNTIFS(Пул!$E$5:$E$300,$B153,Пул!$F$5:$F$300,"&lt;&gt;")=0,"",ROUND(SUMIFS(Пул!$F$5:$F$300,Пул!$E$5:$E$300,$B153),8)))</f>
        <v/>
      </c>
      <c r="D153" s="241">
        <f>IF($B153="","",IF(COUNTIFS(Пул!$E$5:$E$300,$B153,Пул!$G$5:$G$300,"&lt;&gt;")=0,"",ROUND(SUMIFS(Пул!$G$5:$G$300,Пул!$E$5:$E$300,$B153),8)))</f>
        <v/>
      </c>
      <c r="E153" s="240">
        <f>IF($B153="","",IF(COUNTIFS(Пул!$E$5:$E$300,$B153,Пул!$L$5:$L$300,"Закрыт")=0,"",ROUND(SUMIFS(Пул!$H$5:$H$300,Пул!$E$5:$E$300,$B153,Пул!$L$5:$L$300,"Закрыт"),8)))</f>
        <v/>
      </c>
      <c r="F153" s="241">
        <f>IF($B153="","",IF(COUNTIFS(Пул!$E$5:$E$300,$B153,Пул!$L$5:$L$300,"Закрыт")=0,"",ROUND(SUMIFS(Пул!$I$5:$I$300,Пул!$E$5:$E$300,$B153,Пул!$L$5:$L$300,"Закрыт"),8)))</f>
        <v/>
      </c>
      <c r="G153" s="240">
        <f>IF($B153="","",IF(COUNTIFS(Пул!$E$5:$E$300,$B153,Пул!$L$5:$L$300,"Закрыт")=0,"",ROUND(SUMIFS(Пул!$J$5:$J$300,Пул!$E$5:$E$300,$B153,Пул!$L$5:$L$300,"Закрыт"),8)))</f>
        <v/>
      </c>
      <c r="H153" s="241">
        <f>IF($B153="","",IF(COUNTIFS(Пул!$E$5:$E$300,$B153,Пул!$L$5:$L$300,"Закрыт")=0,"",ROUND(SUMIFS(Пул!$K$5:$K$300,Пул!$E$5:$E$300,$B153,Пул!$L$5:$L$300,"Закрыт"),8)))</f>
        <v/>
      </c>
      <c r="I153" s="236">
        <f>IF(AND(ISNUMBER(G153),ISNUMBER(H153)),IF(AND(G153&gt;0,H153&lt;0),"Buy",IF(AND(G153&lt;0,H153&gt;0),"Sell","")),"")</f>
        <v/>
      </c>
      <c r="J153" s="177">
        <f>IF(I153="Buy",G153,IF(I153="Sell",-G153,""))</f>
        <v/>
      </c>
      <c r="K153" s="177">
        <f>IF(AND(ISNUMBER(J153),ISNUMBER(L153),N(J153)&lt;&gt;0),ROUND(L153/J153,8),"")</f>
        <v/>
      </c>
      <c r="L153" s="177">
        <f>IF(I153="Buy",-H153,IF(I153="Sell",H153,""))</f>
        <v/>
      </c>
    </row>
    <row r="154" ht="22" customHeight="1">
      <c r="B154" s="320" t="n"/>
      <c r="C154" s="246">
        <f>IF($B154="","",IF(COUNTIFS(Пул!$E$5:$E$300,$B154,Пул!$F$5:$F$300,"&lt;&gt;")=0,"",ROUND(SUMIFS(Пул!$F$5:$F$300,Пул!$E$5:$E$300,$B154),8)))</f>
        <v/>
      </c>
      <c r="D154" s="247">
        <f>IF($B154="","",IF(COUNTIFS(Пул!$E$5:$E$300,$B154,Пул!$G$5:$G$300,"&lt;&gt;")=0,"",ROUND(SUMIFS(Пул!$G$5:$G$300,Пул!$E$5:$E$300,$B154),8)))</f>
        <v/>
      </c>
      <c r="E154" s="246">
        <f>IF($B154="","",IF(COUNTIFS(Пул!$E$5:$E$300,$B154,Пул!$L$5:$L$300,"Закрыт")=0,"",ROUND(SUMIFS(Пул!$H$5:$H$300,Пул!$E$5:$E$300,$B154,Пул!$L$5:$L$300,"Закрыт"),8)))</f>
        <v/>
      </c>
      <c r="F154" s="247">
        <f>IF($B154="","",IF(COUNTIFS(Пул!$E$5:$E$300,$B154,Пул!$L$5:$L$300,"Закрыт")=0,"",ROUND(SUMIFS(Пул!$I$5:$I$300,Пул!$E$5:$E$300,$B154,Пул!$L$5:$L$300,"Закрыт"),8)))</f>
        <v/>
      </c>
      <c r="G154" s="246">
        <f>IF($B154="","",IF(COUNTIFS(Пул!$E$5:$E$300,$B154,Пул!$L$5:$L$300,"Закрыт")=0,"",ROUND(SUMIFS(Пул!$J$5:$J$300,Пул!$E$5:$E$300,$B154,Пул!$L$5:$L$300,"Закрыт"),8)))</f>
        <v/>
      </c>
      <c r="H154" s="247">
        <f>IF($B154="","",IF(COUNTIFS(Пул!$E$5:$E$300,$B154,Пул!$L$5:$L$300,"Закрыт")=0,"",ROUND(SUMIFS(Пул!$K$5:$K$300,Пул!$E$5:$E$300,$B154,Пул!$L$5:$L$300,"Закрыт"),8)))</f>
        <v/>
      </c>
      <c r="I154" s="242">
        <f>IF(AND(ISNUMBER(G154),ISNUMBER(H154)),IF(AND(G154&gt;0,H154&lt;0),"Buy",IF(AND(G154&lt;0,H154&gt;0),"Sell","")),"")</f>
        <v/>
      </c>
      <c r="J154" s="183">
        <f>IF(I154="Buy",G154,IF(I154="Sell",-G154,""))</f>
        <v/>
      </c>
      <c r="K154" s="183">
        <f>IF(AND(ISNUMBER(J154),ISNUMBER(L154),N(J154)&lt;&gt;0),ROUND(L154/J154,8),"")</f>
        <v/>
      </c>
      <c r="L154" s="183">
        <f>IF(I154="Buy",-H154,IF(I154="Sell",H154,""))</f>
        <v/>
      </c>
    </row>
    <row r="155" ht="22" customHeight="1">
      <c r="B155" s="315" t="n"/>
      <c r="C155" s="240">
        <f>IF($B155="","",IF(COUNTIFS(Пул!$E$5:$E$300,$B155,Пул!$F$5:$F$300,"&lt;&gt;")=0,"",ROUND(SUMIFS(Пул!$F$5:$F$300,Пул!$E$5:$E$300,$B155),8)))</f>
        <v/>
      </c>
      <c r="D155" s="241">
        <f>IF($B155="","",IF(COUNTIFS(Пул!$E$5:$E$300,$B155,Пул!$G$5:$G$300,"&lt;&gt;")=0,"",ROUND(SUMIFS(Пул!$G$5:$G$300,Пул!$E$5:$E$300,$B155),8)))</f>
        <v/>
      </c>
      <c r="E155" s="240">
        <f>IF($B155="","",IF(COUNTIFS(Пул!$E$5:$E$300,$B155,Пул!$L$5:$L$300,"Закрыт")=0,"",ROUND(SUMIFS(Пул!$H$5:$H$300,Пул!$E$5:$E$300,$B155,Пул!$L$5:$L$300,"Закрыт"),8)))</f>
        <v/>
      </c>
      <c r="F155" s="241">
        <f>IF($B155="","",IF(COUNTIFS(Пул!$E$5:$E$300,$B155,Пул!$L$5:$L$300,"Закрыт")=0,"",ROUND(SUMIFS(Пул!$I$5:$I$300,Пул!$E$5:$E$300,$B155,Пул!$L$5:$L$300,"Закрыт"),8)))</f>
        <v/>
      </c>
      <c r="G155" s="240">
        <f>IF($B155="","",IF(COUNTIFS(Пул!$E$5:$E$300,$B155,Пул!$L$5:$L$300,"Закрыт")=0,"",ROUND(SUMIFS(Пул!$J$5:$J$300,Пул!$E$5:$E$300,$B155,Пул!$L$5:$L$300,"Закрыт"),8)))</f>
        <v/>
      </c>
      <c r="H155" s="241">
        <f>IF($B155="","",IF(COUNTIFS(Пул!$E$5:$E$300,$B155,Пул!$L$5:$L$300,"Закрыт")=0,"",ROUND(SUMIFS(Пул!$K$5:$K$300,Пул!$E$5:$E$300,$B155,Пул!$L$5:$L$300,"Закрыт"),8)))</f>
        <v/>
      </c>
      <c r="I155" s="236">
        <f>IF(AND(ISNUMBER(G155),ISNUMBER(H155)),IF(AND(G155&gt;0,H155&lt;0),"Buy",IF(AND(G155&lt;0,H155&gt;0),"Sell","")),"")</f>
        <v/>
      </c>
      <c r="J155" s="177">
        <f>IF(I155="Buy",G155,IF(I155="Sell",-G155,""))</f>
        <v/>
      </c>
      <c r="K155" s="177">
        <f>IF(AND(ISNUMBER(J155),ISNUMBER(L155),N(J155)&lt;&gt;0),ROUND(L155/J155,8),"")</f>
        <v/>
      </c>
      <c r="L155" s="177">
        <f>IF(I155="Buy",-H155,IF(I155="Sell",H155,""))</f>
        <v/>
      </c>
    </row>
    <row r="156" ht="22" customHeight="1">
      <c r="B156" s="320" t="n"/>
      <c r="C156" s="246">
        <f>IF($B156="","",IF(COUNTIFS(Пул!$E$5:$E$300,$B156,Пул!$F$5:$F$300,"&lt;&gt;")=0,"",ROUND(SUMIFS(Пул!$F$5:$F$300,Пул!$E$5:$E$300,$B156),8)))</f>
        <v/>
      </c>
      <c r="D156" s="247">
        <f>IF($B156="","",IF(COUNTIFS(Пул!$E$5:$E$300,$B156,Пул!$G$5:$G$300,"&lt;&gt;")=0,"",ROUND(SUMIFS(Пул!$G$5:$G$300,Пул!$E$5:$E$300,$B156),8)))</f>
        <v/>
      </c>
      <c r="E156" s="246">
        <f>IF($B156="","",IF(COUNTIFS(Пул!$E$5:$E$300,$B156,Пул!$L$5:$L$300,"Закрыт")=0,"",ROUND(SUMIFS(Пул!$H$5:$H$300,Пул!$E$5:$E$300,$B156,Пул!$L$5:$L$300,"Закрыт"),8)))</f>
        <v/>
      </c>
      <c r="F156" s="247">
        <f>IF($B156="","",IF(COUNTIFS(Пул!$E$5:$E$300,$B156,Пул!$L$5:$L$300,"Закрыт")=0,"",ROUND(SUMIFS(Пул!$I$5:$I$300,Пул!$E$5:$E$300,$B156,Пул!$L$5:$L$300,"Закрыт"),8)))</f>
        <v/>
      </c>
      <c r="G156" s="246">
        <f>IF($B156="","",IF(COUNTIFS(Пул!$E$5:$E$300,$B156,Пул!$L$5:$L$300,"Закрыт")=0,"",ROUND(SUMIFS(Пул!$J$5:$J$300,Пул!$E$5:$E$300,$B156,Пул!$L$5:$L$300,"Закрыт"),8)))</f>
        <v/>
      </c>
      <c r="H156" s="247">
        <f>IF($B156="","",IF(COUNTIFS(Пул!$E$5:$E$300,$B156,Пул!$L$5:$L$300,"Закрыт")=0,"",ROUND(SUMIFS(Пул!$K$5:$K$300,Пул!$E$5:$E$300,$B156,Пул!$L$5:$L$300,"Закрыт"),8)))</f>
        <v/>
      </c>
      <c r="I156" s="242">
        <f>IF(AND(ISNUMBER(G156),ISNUMBER(H156)),IF(AND(G156&gt;0,H156&lt;0),"Buy",IF(AND(G156&lt;0,H156&gt;0),"Sell","")),"")</f>
        <v/>
      </c>
      <c r="J156" s="183">
        <f>IF(I156="Buy",G156,IF(I156="Sell",-G156,""))</f>
        <v/>
      </c>
      <c r="K156" s="183">
        <f>IF(AND(ISNUMBER(J156),ISNUMBER(L156),N(J156)&lt;&gt;0),ROUND(L156/J156,8),"")</f>
        <v/>
      </c>
      <c r="L156" s="183">
        <f>IF(I156="Buy",-H156,IF(I156="Sell",H156,""))</f>
        <v/>
      </c>
    </row>
    <row r="157" ht="22" customHeight="1">
      <c r="B157" s="315" t="n"/>
      <c r="C157" s="240">
        <f>IF($B157="","",IF(COUNTIFS(Пул!$E$5:$E$300,$B157,Пул!$F$5:$F$300,"&lt;&gt;")=0,"",ROUND(SUMIFS(Пул!$F$5:$F$300,Пул!$E$5:$E$300,$B157),8)))</f>
        <v/>
      </c>
      <c r="D157" s="241">
        <f>IF($B157="","",IF(COUNTIFS(Пул!$E$5:$E$300,$B157,Пул!$G$5:$G$300,"&lt;&gt;")=0,"",ROUND(SUMIFS(Пул!$G$5:$G$300,Пул!$E$5:$E$300,$B157),8)))</f>
        <v/>
      </c>
      <c r="E157" s="240">
        <f>IF($B157="","",IF(COUNTIFS(Пул!$E$5:$E$300,$B157,Пул!$L$5:$L$300,"Закрыт")=0,"",ROUND(SUMIFS(Пул!$H$5:$H$300,Пул!$E$5:$E$300,$B157,Пул!$L$5:$L$300,"Закрыт"),8)))</f>
        <v/>
      </c>
      <c r="F157" s="241">
        <f>IF($B157="","",IF(COUNTIFS(Пул!$E$5:$E$300,$B157,Пул!$L$5:$L$300,"Закрыт")=0,"",ROUND(SUMIFS(Пул!$I$5:$I$300,Пул!$E$5:$E$300,$B157,Пул!$L$5:$L$300,"Закрыт"),8)))</f>
        <v/>
      </c>
      <c r="G157" s="240">
        <f>IF($B157="","",IF(COUNTIFS(Пул!$E$5:$E$300,$B157,Пул!$L$5:$L$300,"Закрыт")=0,"",ROUND(SUMIFS(Пул!$J$5:$J$300,Пул!$E$5:$E$300,$B157,Пул!$L$5:$L$300,"Закрыт"),8)))</f>
        <v/>
      </c>
      <c r="H157" s="241">
        <f>IF($B157="","",IF(COUNTIFS(Пул!$E$5:$E$300,$B157,Пул!$L$5:$L$300,"Закрыт")=0,"",ROUND(SUMIFS(Пул!$K$5:$K$300,Пул!$E$5:$E$300,$B157,Пул!$L$5:$L$300,"Закрыт"),8)))</f>
        <v/>
      </c>
      <c r="I157" s="236">
        <f>IF(AND(ISNUMBER(G157),ISNUMBER(H157)),IF(AND(G157&gt;0,H157&lt;0),"Buy",IF(AND(G157&lt;0,H157&gt;0),"Sell","")),"")</f>
        <v/>
      </c>
      <c r="J157" s="177">
        <f>IF(I157="Buy",G157,IF(I157="Sell",-G157,""))</f>
        <v/>
      </c>
      <c r="K157" s="177">
        <f>IF(AND(ISNUMBER(J157),ISNUMBER(L157),N(J157)&lt;&gt;0),ROUND(L157/J157,8),"")</f>
        <v/>
      </c>
      <c r="L157" s="177">
        <f>IF(I157="Buy",-H157,IF(I157="Sell",H157,""))</f>
        <v/>
      </c>
    </row>
    <row r="158" ht="22" customHeight="1">
      <c r="B158" s="320" t="n"/>
      <c r="C158" s="246">
        <f>IF($B158="","",IF(COUNTIFS(Пул!$E$5:$E$300,$B158,Пул!$F$5:$F$300,"&lt;&gt;")=0,"",ROUND(SUMIFS(Пул!$F$5:$F$300,Пул!$E$5:$E$300,$B158),8)))</f>
        <v/>
      </c>
      <c r="D158" s="247">
        <f>IF($B158="","",IF(COUNTIFS(Пул!$E$5:$E$300,$B158,Пул!$G$5:$G$300,"&lt;&gt;")=0,"",ROUND(SUMIFS(Пул!$G$5:$G$300,Пул!$E$5:$E$300,$B158),8)))</f>
        <v/>
      </c>
      <c r="E158" s="246">
        <f>IF($B158="","",IF(COUNTIFS(Пул!$E$5:$E$300,$B158,Пул!$L$5:$L$300,"Закрыт")=0,"",ROUND(SUMIFS(Пул!$H$5:$H$300,Пул!$E$5:$E$300,$B158,Пул!$L$5:$L$300,"Закрыт"),8)))</f>
        <v/>
      </c>
      <c r="F158" s="247">
        <f>IF($B158="","",IF(COUNTIFS(Пул!$E$5:$E$300,$B158,Пул!$L$5:$L$300,"Закрыт")=0,"",ROUND(SUMIFS(Пул!$I$5:$I$300,Пул!$E$5:$E$300,$B158,Пул!$L$5:$L$300,"Закрыт"),8)))</f>
        <v/>
      </c>
      <c r="G158" s="246">
        <f>IF($B158="","",IF(COUNTIFS(Пул!$E$5:$E$300,$B158,Пул!$L$5:$L$300,"Закрыт")=0,"",ROUND(SUMIFS(Пул!$J$5:$J$300,Пул!$E$5:$E$300,$B158,Пул!$L$5:$L$300,"Закрыт"),8)))</f>
        <v/>
      </c>
      <c r="H158" s="247">
        <f>IF($B158="","",IF(COUNTIFS(Пул!$E$5:$E$300,$B158,Пул!$L$5:$L$300,"Закрыт")=0,"",ROUND(SUMIFS(Пул!$K$5:$K$300,Пул!$E$5:$E$300,$B158,Пул!$L$5:$L$300,"Закрыт"),8)))</f>
        <v/>
      </c>
      <c r="I158" s="242">
        <f>IF(AND(ISNUMBER(G158),ISNUMBER(H158)),IF(AND(G158&gt;0,H158&lt;0),"Buy",IF(AND(G158&lt;0,H158&gt;0),"Sell","")),"")</f>
        <v/>
      </c>
      <c r="J158" s="183">
        <f>IF(I158="Buy",G158,IF(I158="Sell",-G158,""))</f>
        <v/>
      </c>
      <c r="K158" s="183">
        <f>IF(AND(ISNUMBER(J158),ISNUMBER(L158),N(J158)&lt;&gt;0),ROUND(L158/J158,8),"")</f>
        <v/>
      </c>
      <c r="L158" s="183">
        <f>IF(I158="Buy",-H158,IF(I158="Sell",H158,""))</f>
        <v/>
      </c>
    </row>
    <row r="159" ht="22" customHeight="1">
      <c r="B159" s="315" t="n"/>
      <c r="C159" s="240">
        <f>IF($B159="","",IF(COUNTIFS(Пул!$E$5:$E$300,$B159,Пул!$F$5:$F$300,"&lt;&gt;")=0,"",ROUND(SUMIFS(Пул!$F$5:$F$300,Пул!$E$5:$E$300,$B159),8)))</f>
        <v/>
      </c>
      <c r="D159" s="241">
        <f>IF($B159="","",IF(COUNTIFS(Пул!$E$5:$E$300,$B159,Пул!$G$5:$G$300,"&lt;&gt;")=0,"",ROUND(SUMIFS(Пул!$G$5:$G$300,Пул!$E$5:$E$300,$B159),8)))</f>
        <v/>
      </c>
      <c r="E159" s="240">
        <f>IF($B159="","",IF(COUNTIFS(Пул!$E$5:$E$300,$B159,Пул!$L$5:$L$300,"Закрыт")=0,"",ROUND(SUMIFS(Пул!$H$5:$H$300,Пул!$E$5:$E$300,$B159,Пул!$L$5:$L$300,"Закрыт"),8)))</f>
        <v/>
      </c>
      <c r="F159" s="241">
        <f>IF($B159="","",IF(COUNTIFS(Пул!$E$5:$E$300,$B159,Пул!$L$5:$L$300,"Закрыт")=0,"",ROUND(SUMIFS(Пул!$I$5:$I$300,Пул!$E$5:$E$300,$B159,Пул!$L$5:$L$300,"Закрыт"),8)))</f>
        <v/>
      </c>
      <c r="G159" s="240">
        <f>IF($B159="","",IF(COUNTIFS(Пул!$E$5:$E$300,$B159,Пул!$L$5:$L$300,"Закрыт")=0,"",ROUND(SUMIFS(Пул!$J$5:$J$300,Пул!$E$5:$E$300,$B159,Пул!$L$5:$L$300,"Закрыт"),8)))</f>
        <v/>
      </c>
      <c r="H159" s="241">
        <f>IF($B159="","",IF(COUNTIFS(Пул!$E$5:$E$300,$B159,Пул!$L$5:$L$300,"Закрыт")=0,"",ROUND(SUMIFS(Пул!$K$5:$K$300,Пул!$E$5:$E$300,$B159,Пул!$L$5:$L$300,"Закрыт"),8)))</f>
        <v/>
      </c>
      <c r="I159" s="236">
        <f>IF(AND(ISNUMBER(G159),ISNUMBER(H159)),IF(AND(G159&gt;0,H159&lt;0),"Buy",IF(AND(G159&lt;0,H159&gt;0),"Sell","")),"")</f>
        <v/>
      </c>
      <c r="J159" s="177">
        <f>IF(I159="Buy",G159,IF(I159="Sell",-G159,""))</f>
        <v/>
      </c>
      <c r="K159" s="177">
        <f>IF(AND(ISNUMBER(J159),ISNUMBER(L159),N(J159)&lt;&gt;0),ROUND(L159/J159,8),"")</f>
        <v/>
      </c>
      <c r="L159" s="177">
        <f>IF(I159="Buy",-H159,IF(I159="Sell",H159,""))</f>
        <v/>
      </c>
    </row>
    <row r="160" ht="22" customHeight="1">
      <c r="B160" s="320" t="n"/>
      <c r="C160" s="246">
        <f>IF($B160="","",IF(COUNTIFS(Пул!$E$5:$E$300,$B160,Пул!$F$5:$F$300,"&lt;&gt;")=0,"",ROUND(SUMIFS(Пул!$F$5:$F$300,Пул!$E$5:$E$300,$B160),8)))</f>
        <v/>
      </c>
      <c r="D160" s="247">
        <f>IF($B160="","",IF(COUNTIFS(Пул!$E$5:$E$300,$B160,Пул!$G$5:$G$300,"&lt;&gt;")=0,"",ROUND(SUMIFS(Пул!$G$5:$G$300,Пул!$E$5:$E$300,$B160),8)))</f>
        <v/>
      </c>
      <c r="E160" s="246">
        <f>IF($B160="","",IF(COUNTIFS(Пул!$E$5:$E$300,$B160,Пул!$L$5:$L$300,"Закрыт")=0,"",ROUND(SUMIFS(Пул!$H$5:$H$300,Пул!$E$5:$E$300,$B160,Пул!$L$5:$L$300,"Закрыт"),8)))</f>
        <v/>
      </c>
      <c r="F160" s="247">
        <f>IF($B160="","",IF(COUNTIFS(Пул!$E$5:$E$300,$B160,Пул!$L$5:$L$300,"Закрыт")=0,"",ROUND(SUMIFS(Пул!$I$5:$I$300,Пул!$E$5:$E$300,$B160,Пул!$L$5:$L$300,"Закрыт"),8)))</f>
        <v/>
      </c>
      <c r="G160" s="246">
        <f>IF($B160="","",IF(COUNTIFS(Пул!$E$5:$E$300,$B160,Пул!$L$5:$L$300,"Закрыт")=0,"",ROUND(SUMIFS(Пул!$J$5:$J$300,Пул!$E$5:$E$300,$B160,Пул!$L$5:$L$300,"Закрыт"),8)))</f>
        <v/>
      </c>
      <c r="H160" s="247">
        <f>IF($B160="","",IF(COUNTIFS(Пул!$E$5:$E$300,$B160,Пул!$L$5:$L$300,"Закрыт")=0,"",ROUND(SUMIFS(Пул!$K$5:$K$300,Пул!$E$5:$E$300,$B160,Пул!$L$5:$L$300,"Закрыт"),8)))</f>
        <v/>
      </c>
      <c r="I160" s="242">
        <f>IF(AND(ISNUMBER(G160),ISNUMBER(H160)),IF(AND(G160&gt;0,H160&lt;0),"Buy",IF(AND(G160&lt;0,H160&gt;0),"Sell","")),"")</f>
        <v/>
      </c>
      <c r="J160" s="183">
        <f>IF(I160="Buy",G160,IF(I160="Sell",-G160,""))</f>
        <v/>
      </c>
      <c r="K160" s="183">
        <f>IF(AND(ISNUMBER(J160),ISNUMBER(L160),N(J160)&lt;&gt;0),ROUND(L160/J160,8),"")</f>
        <v/>
      </c>
      <c r="L160" s="183">
        <f>IF(I160="Buy",-H160,IF(I160="Sell",H160,""))</f>
        <v/>
      </c>
    </row>
    <row r="161" ht="22" customHeight="1">
      <c r="B161" s="315" t="n"/>
      <c r="C161" s="240">
        <f>IF($B161="","",IF(COUNTIFS(Пул!$E$5:$E$300,$B161,Пул!$F$5:$F$300,"&lt;&gt;")=0,"",ROUND(SUMIFS(Пул!$F$5:$F$300,Пул!$E$5:$E$300,$B161),8)))</f>
        <v/>
      </c>
      <c r="D161" s="241">
        <f>IF($B161="","",IF(COUNTIFS(Пул!$E$5:$E$300,$B161,Пул!$G$5:$G$300,"&lt;&gt;")=0,"",ROUND(SUMIFS(Пул!$G$5:$G$300,Пул!$E$5:$E$300,$B161),8)))</f>
        <v/>
      </c>
      <c r="E161" s="240">
        <f>IF($B161="","",IF(COUNTIFS(Пул!$E$5:$E$300,$B161,Пул!$L$5:$L$300,"Закрыт")=0,"",ROUND(SUMIFS(Пул!$H$5:$H$300,Пул!$E$5:$E$300,$B161,Пул!$L$5:$L$300,"Закрыт"),8)))</f>
        <v/>
      </c>
      <c r="F161" s="241">
        <f>IF($B161="","",IF(COUNTIFS(Пул!$E$5:$E$300,$B161,Пул!$L$5:$L$300,"Закрыт")=0,"",ROUND(SUMIFS(Пул!$I$5:$I$300,Пул!$E$5:$E$300,$B161,Пул!$L$5:$L$300,"Закрыт"),8)))</f>
        <v/>
      </c>
      <c r="G161" s="240">
        <f>IF($B161="","",IF(COUNTIFS(Пул!$E$5:$E$300,$B161,Пул!$L$5:$L$300,"Закрыт")=0,"",ROUND(SUMIFS(Пул!$J$5:$J$300,Пул!$E$5:$E$300,$B161,Пул!$L$5:$L$300,"Закрыт"),8)))</f>
        <v/>
      </c>
      <c r="H161" s="241">
        <f>IF($B161="","",IF(COUNTIFS(Пул!$E$5:$E$300,$B161,Пул!$L$5:$L$300,"Закрыт")=0,"",ROUND(SUMIFS(Пул!$K$5:$K$300,Пул!$E$5:$E$300,$B161,Пул!$L$5:$L$300,"Закрыт"),8)))</f>
        <v/>
      </c>
      <c r="I161" s="236">
        <f>IF(AND(ISNUMBER(G161),ISNUMBER(H161)),IF(AND(G161&gt;0,H161&lt;0),"Buy",IF(AND(G161&lt;0,H161&gt;0),"Sell","")),"")</f>
        <v/>
      </c>
      <c r="J161" s="177">
        <f>IF(I161="Buy",G161,IF(I161="Sell",-G161,""))</f>
        <v/>
      </c>
      <c r="K161" s="177">
        <f>IF(AND(ISNUMBER(J161),ISNUMBER(L161),N(J161)&lt;&gt;0),ROUND(L161/J161,8),"")</f>
        <v/>
      </c>
      <c r="L161" s="177">
        <f>IF(I161="Buy",-H161,IF(I161="Sell",H161,""))</f>
        <v/>
      </c>
    </row>
    <row r="162" ht="22" customHeight="1">
      <c r="B162" s="320" t="n"/>
      <c r="C162" s="246">
        <f>IF($B162="","",IF(COUNTIFS(Пул!$E$5:$E$300,$B162,Пул!$F$5:$F$300,"&lt;&gt;")=0,"",ROUND(SUMIFS(Пул!$F$5:$F$300,Пул!$E$5:$E$300,$B162),8)))</f>
        <v/>
      </c>
      <c r="D162" s="247">
        <f>IF($B162="","",IF(COUNTIFS(Пул!$E$5:$E$300,$B162,Пул!$G$5:$G$300,"&lt;&gt;")=0,"",ROUND(SUMIFS(Пул!$G$5:$G$300,Пул!$E$5:$E$300,$B162),8)))</f>
        <v/>
      </c>
      <c r="E162" s="246">
        <f>IF($B162="","",IF(COUNTIFS(Пул!$E$5:$E$300,$B162,Пул!$L$5:$L$300,"Закрыт")=0,"",ROUND(SUMIFS(Пул!$H$5:$H$300,Пул!$E$5:$E$300,$B162,Пул!$L$5:$L$300,"Закрыт"),8)))</f>
        <v/>
      </c>
      <c r="F162" s="247">
        <f>IF($B162="","",IF(COUNTIFS(Пул!$E$5:$E$300,$B162,Пул!$L$5:$L$300,"Закрыт")=0,"",ROUND(SUMIFS(Пул!$I$5:$I$300,Пул!$E$5:$E$300,$B162,Пул!$L$5:$L$300,"Закрыт"),8)))</f>
        <v/>
      </c>
      <c r="G162" s="246">
        <f>IF($B162="","",IF(COUNTIFS(Пул!$E$5:$E$300,$B162,Пул!$L$5:$L$300,"Закрыт")=0,"",ROUND(SUMIFS(Пул!$J$5:$J$300,Пул!$E$5:$E$300,$B162,Пул!$L$5:$L$300,"Закрыт"),8)))</f>
        <v/>
      </c>
      <c r="H162" s="247">
        <f>IF($B162="","",IF(COUNTIFS(Пул!$E$5:$E$300,$B162,Пул!$L$5:$L$300,"Закрыт")=0,"",ROUND(SUMIFS(Пул!$K$5:$K$300,Пул!$E$5:$E$300,$B162,Пул!$L$5:$L$300,"Закрыт"),8)))</f>
        <v/>
      </c>
      <c r="I162" s="242">
        <f>IF(AND(ISNUMBER(G162),ISNUMBER(H162)),IF(AND(G162&gt;0,H162&lt;0),"Buy",IF(AND(G162&lt;0,H162&gt;0),"Sell","")),"")</f>
        <v/>
      </c>
      <c r="J162" s="183">
        <f>IF(I162="Buy",G162,IF(I162="Sell",-G162,""))</f>
        <v/>
      </c>
      <c r="K162" s="183">
        <f>IF(AND(ISNUMBER(J162),ISNUMBER(L162),N(J162)&lt;&gt;0),ROUND(L162/J162,8),"")</f>
        <v/>
      </c>
      <c r="L162" s="183">
        <f>IF(I162="Buy",-H162,IF(I162="Sell",H162,""))</f>
        <v/>
      </c>
    </row>
    <row r="163" ht="22" customHeight="1">
      <c r="B163" s="315" t="n"/>
      <c r="C163" s="240">
        <f>IF($B163="","",IF(COUNTIFS(Пул!$E$5:$E$300,$B163,Пул!$F$5:$F$300,"&lt;&gt;")=0,"",ROUND(SUMIFS(Пул!$F$5:$F$300,Пул!$E$5:$E$300,$B163),8)))</f>
        <v/>
      </c>
      <c r="D163" s="241">
        <f>IF($B163="","",IF(COUNTIFS(Пул!$E$5:$E$300,$B163,Пул!$G$5:$G$300,"&lt;&gt;")=0,"",ROUND(SUMIFS(Пул!$G$5:$G$300,Пул!$E$5:$E$300,$B163),8)))</f>
        <v/>
      </c>
      <c r="E163" s="240">
        <f>IF($B163="","",IF(COUNTIFS(Пул!$E$5:$E$300,$B163,Пул!$L$5:$L$300,"Закрыт")=0,"",ROUND(SUMIFS(Пул!$H$5:$H$300,Пул!$E$5:$E$300,$B163,Пул!$L$5:$L$300,"Закрыт"),8)))</f>
        <v/>
      </c>
      <c r="F163" s="241">
        <f>IF($B163="","",IF(COUNTIFS(Пул!$E$5:$E$300,$B163,Пул!$L$5:$L$300,"Закрыт")=0,"",ROUND(SUMIFS(Пул!$I$5:$I$300,Пул!$E$5:$E$300,$B163,Пул!$L$5:$L$300,"Закрыт"),8)))</f>
        <v/>
      </c>
      <c r="G163" s="240">
        <f>IF($B163="","",IF(COUNTIFS(Пул!$E$5:$E$300,$B163,Пул!$L$5:$L$300,"Закрыт")=0,"",ROUND(SUMIFS(Пул!$J$5:$J$300,Пул!$E$5:$E$300,$B163,Пул!$L$5:$L$300,"Закрыт"),8)))</f>
        <v/>
      </c>
      <c r="H163" s="241">
        <f>IF($B163="","",IF(COUNTIFS(Пул!$E$5:$E$300,$B163,Пул!$L$5:$L$300,"Закрыт")=0,"",ROUND(SUMIFS(Пул!$K$5:$K$300,Пул!$E$5:$E$300,$B163,Пул!$L$5:$L$300,"Закрыт"),8)))</f>
        <v/>
      </c>
      <c r="I163" s="236">
        <f>IF(AND(ISNUMBER(G163),ISNUMBER(H163)),IF(AND(G163&gt;0,H163&lt;0),"Buy",IF(AND(G163&lt;0,H163&gt;0),"Sell","")),"")</f>
        <v/>
      </c>
      <c r="J163" s="177">
        <f>IF(I163="Buy",G163,IF(I163="Sell",-G163,""))</f>
        <v/>
      </c>
      <c r="K163" s="177">
        <f>IF(AND(ISNUMBER(J163),ISNUMBER(L163),N(J163)&lt;&gt;0),ROUND(L163/J163,8),"")</f>
        <v/>
      </c>
      <c r="L163" s="177">
        <f>IF(I163="Buy",-H163,IF(I163="Sell",H163,""))</f>
        <v/>
      </c>
    </row>
    <row r="164" ht="22" customHeight="1">
      <c r="B164" s="320" t="n"/>
      <c r="C164" s="246">
        <f>IF($B164="","",IF(COUNTIFS(Пул!$E$5:$E$300,$B164,Пул!$F$5:$F$300,"&lt;&gt;")=0,"",ROUND(SUMIFS(Пул!$F$5:$F$300,Пул!$E$5:$E$300,$B164),8)))</f>
        <v/>
      </c>
      <c r="D164" s="247">
        <f>IF($B164="","",IF(COUNTIFS(Пул!$E$5:$E$300,$B164,Пул!$G$5:$G$300,"&lt;&gt;")=0,"",ROUND(SUMIFS(Пул!$G$5:$G$300,Пул!$E$5:$E$300,$B164),8)))</f>
        <v/>
      </c>
      <c r="E164" s="246">
        <f>IF($B164="","",IF(COUNTIFS(Пул!$E$5:$E$300,$B164,Пул!$L$5:$L$300,"Закрыт")=0,"",ROUND(SUMIFS(Пул!$H$5:$H$300,Пул!$E$5:$E$300,$B164,Пул!$L$5:$L$300,"Закрыт"),8)))</f>
        <v/>
      </c>
      <c r="F164" s="247">
        <f>IF($B164="","",IF(COUNTIFS(Пул!$E$5:$E$300,$B164,Пул!$L$5:$L$300,"Закрыт")=0,"",ROUND(SUMIFS(Пул!$I$5:$I$300,Пул!$E$5:$E$300,$B164,Пул!$L$5:$L$300,"Закрыт"),8)))</f>
        <v/>
      </c>
      <c r="G164" s="246">
        <f>IF($B164="","",IF(COUNTIFS(Пул!$E$5:$E$300,$B164,Пул!$L$5:$L$300,"Закрыт")=0,"",ROUND(SUMIFS(Пул!$J$5:$J$300,Пул!$E$5:$E$300,$B164,Пул!$L$5:$L$300,"Закрыт"),8)))</f>
        <v/>
      </c>
      <c r="H164" s="247">
        <f>IF($B164="","",IF(COUNTIFS(Пул!$E$5:$E$300,$B164,Пул!$L$5:$L$300,"Закрыт")=0,"",ROUND(SUMIFS(Пул!$K$5:$K$300,Пул!$E$5:$E$300,$B164,Пул!$L$5:$L$300,"Закрыт"),8)))</f>
        <v/>
      </c>
      <c r="I164" s="242">
        <f>IF(AND(ISNUMBER(G164),ISNUMBER(H164)),IF(AND(G164&gt;0,H164&lt;0),"Buy",IF(AND(G164&lt;0,H164&gt;0),"Sell","")),"")</f>
        <v/>
      </c>
      <c r="J164" s="183">
        <f>IF(I164="Buy",G164,IF(I164="Sell",-G164,""))</f>
        <v/>
      </c>
      <c r="K164" s="183">
        <f>IF(AND(ISNUMBER(J164),ISNUMBER(L164),N(J164)&lt;&gt;0),ROUND(L164/J164,8),"")</f>
        <v/>
      </c>
      <c r="L164" s="183">
        <f>IF(I164="Buy",-H164,IF(I164="Sell",H164,""))</f>
        <v/>
      </c>
    </row>
    <row r="165" ht="22" customHeight="1">
      <c r="B165" s="315" t="n"/>
      <c r="C165" s="240">
        <f>IF($B165="","",IF(COUNTIFS(Пул!$E$5:$E$300,$B165,Пул!$F$5:$F$300,"&lt;&gt;")=0,"",ROUND(SUMIFS(Пул!$F$5:$F$300,Пул!$E$5:$E$300,$B165),8)))</f>
        <v/>
      </c>
      <c r="D165" s="241">
        <f>IF($B165="","",IF(COUNTIFS(Пул!$E$5:$E$300,$B165,Пул!$G$5:$G$300,"&lt;&gt;")=0,"",ROUND(SUMIFS(Пул!$G$5:$G$300,Пул!$E$5:$E$300,$B165),8)))</f>
        <v/>
      </c>
      <c r="E165" s="240">
        <f>IF($B165="","",IF(COUNTIFS(Пул!$E$5:$E$300,$B165,Пул!$L$5:$L$300,"Закрыт")=0,"",ROUND(SUMIFS(Пул!$H$5:$H$300,Пул!$E$5:$E$300,$B165,Пул!$L$5:$L$300,"Закрыт"),8)))</f>
        <v/>
      </c>
      <c r="F165" s="241">
        <f>IF($B165="","",IF(COUNTIFS(Пул!$E$5:$E$300,$B165,Пул!$L$5:$L$300,"Закрыт")=0,"",ROUND(SUMIFS(Пул!$I$5:$I$300,Пул!$E$5:$E$300,$B165,Пул!$L$5:$L$300,"Закрыт"),8)))</f>
        <v/>
      </c>
      <c r="G165" s="240">
        <f>IF($B165="","",IF(COUNTIFS(Пул!$E$5:$E$300,$B165,Пул!$L$5:$L$300,"Закрыт")=0,"",ROUND(SUMIFS(Пул!$J$5:$J$300,Пул!$E$5:$E$300,$B165,Пул!$L$5:$L$300,"Закрыт"),8)))</f>
        <v/>
      </c>
      <c r="H165" s="241">
        <f>IF($B165="","",IF(COUNTIFS(Пул!$E$5:$E$300,$B165,Пул!$L$5:$L$300,"Закрыт")=0,"",ROUND(SUMIFS(Пул!$K$5:$K$300,Пул!$E$5:$E$300,$B165,Пул!$L$5:$L$300,"Закрыт"),8)))</f>
        <v/>
      </c>
      <c r="I165" s="236">
        <f>IF(AND(ISNUMBER(G165),ISNUMBER(H165)),IF(AND(G165&gt;0,H165&lt;0),"Buy",IF(AND(G165&lt;0,H165&gt;0),"Sell","")),"")</f>
        <v/>
      </c>
      <c r="J165" s="177">
        <f>IF(I165="Buy",G165,IF(I165="Sell",-G165,""))</f>
        <v/>
      </c>
      <c r="K165" s="177">
        <f>IF(AND(ISNUMBER(J165),ISNUMBER(L165),N(J165)&lt;&gt;0),ROUND(L165/J165,8),"")</f>
        <v/>
      </c>
      <c r="L165" s="177">
        <f>IF(I165="Buy",-H165,IF(I165="Sell",H165,""))</f>
        <v/>
      </c>
    </row>
    <row r="166" ht="22" customHeight="1">
      <c r="B166" s="320" t="n"/>
      <c r="C166" s="246">
        <f>IF($B166="","",IF(COUNTIFS(Пул!$E$5:$E$300,$B166,Пул!$F$5:$F$300,"&lt;&gt;")=0,"",ROUND(SUMIFS(Пул!$F$5:$F$300,Пул!$E$5:$E$300,$B166),8)))</f>
        <v/>
      </c>
      <c r="D166" s="247">
        <f>IF($B166="","",IF(COUNTIFS(Пул!$E$5:$E$300,$B166,Пул!$G$5:$G$300,"&lt;&gt;")=0,"",ROUND(SUMIFS(Пул!$G$5:$G$300,Пул!$E$5:$E$300,$B166),8)))</f>
        <v/>
      </c>
      <c r="E166" s="246">
        <f>IF($B166="","",IF(COUNTIFS(Пул!$E$5:$E$300,$B166,Пул!$L$5:$L$300,"Закрыт")=0,"",ROUND(SUMIFS(Пул!$H$5:$H$300,Пул!$E$5:$E$300,$B166,Пул!$L$5:$L$300,"Закрыт"),8)))</f>
        <v/>
      </c>
      <c r="F166" s="247">
        <f>IF($B166="","",IF(COUNTIFS(Пул!$E$5:$E$300,$B166,Пул!$L$5:$L$300,"Закрыт")=0,"",ROUND(SUMIFS(Пул!$I$5:$I$300,Пул!$E$5:$E$300,$B166,Пул!$L$5:$L$300,"Закрыт"),8)))</f>
        <v/>
      </c>
      <c r="G166" s="246">
        <f>IF($B166="","",IF(COUNTIFS(Пул!$E$5:$E$300,$B166,Пул!$L$5:$L$300,"Закрыт")=0,"",ROUND(SUMIFS(Пул!$J$5:$J$300,Пул!$E$5:$E$300,$B166,Пул!$L$5:$L$300,"Закрыт"),8)))</f>
        <v/>
      </c>
      <c r="H166" s="247">
        <f>IF($B166="","",IF(COUNTIFS(Пул!$E$5:$E$300,$B166,Пул!$L$5:$L$300,"Закрыт")=0,"",ROUND(SUMIFS(Пул!$K$5:$K$300,Пул!$E$5:$E$300,$B166,Пул!$L$5:$L$300,"Закрыт"),8)))</f>
        <v/>
      </c>
      <c r="I166" s="242">
        <f>IF(AND(ISNUMBER(G166),ISNUMBER(H166)),IF(AND(G166&gt;0,H166&lt;0),"Buy",IF(AND(G166&lt;0,H166&gt;0),"Sell","")),"")</f>
        <v/>
      </c>
      <c r="J166" s="183">
        <f>IF(I166="Buy",G166,IF(I166="Sell",-G166,""))</f>
        <v/>
      </c>
      <c r="K166" s="183">
        <f>IF(AND(ISNUMBER(J166),ISNUMBER(L166),N(J166)&lt;&gt;0),ROUND(L166/J166,8),"")</f>
        <v/>
      </c>
      <c r="L166" s="183">
        <f>IF(I166="Buy",-H166,IF(I166="Sell",H166,""))</f>
        <v/>
      </c>
    </row>
    <row r="167" ht="22" customHeight="1">
      <c r="B167" s="315" t="n"/>
      <c r="C167" s="240">
        <f>IF($B167="","",IF(COUNTIFS(Пул!$E$5:$E$300,$B167,Пул!$F$5:$F$300,"&lt;&gt;")=0,"",ROUND(SUMIFS(Пул!$F$5:$F$300,Пул!$E$5:$E$300,$B167),8)))</f>
        <v/>
      </c>
      <c r="D167" s="241">
        <f>IF($B167="","",IF(COUNTIFS(Пул!$E$5:$E$300,$B167,Пул!$G$5:$G$300,"&lt;&gt;")=0,"",ROUND(SUMIFS(Пул!$G$5:$G$300,Пул!$E$5:$E$300,$B167),8)))</f>
        <v/>
      </c>
      <c r="E167" s="240">
        <f>IF($B167="","",IF(COUNTIFS(Пул!$E$5:$E$300,$B167,Пул!$L$5:$L$300,"Закрыт")=0,"",ROUND(SUMIFS(Пул!$H$5:$H$300,Пул!$E$5:$E$300,$B167,Пул!$L$5:$L$300,"Закрыт"),8)))</f>
        <v/>
      </c>
      <c r="F167" s="241">
        <f>IF($B167="","",IF(COUNTIFS(Пул!$E$5:$E$300,$B167,Пул!$L$5:$L$300,"Закрыт")=0,"",ROUND(SUMIFS(Пул!$I$5:$I$300,Пул!$E$5:$E$300,$B167,Пул!$L$5:$L$300,"Закрыт"),8)))</f>
        <v/>
      </c>
      <c r="G167" s="240">
        <f>IF($B167="","",IF(COUNTIFS(Пул!$E$5:$E$300,$B167,Пул!$L$5:$L$300,"Закрыт")=0,"",ROUND(SUMIFS(Пул!$J$5:$J$300,Пул!$E$5:$E$300,$B167,Пул!$L$5:$L$300,"Закрыт"),8)))</f>
        <v/>
      </c>
      <c r="H167" s="241">
        <f>IF($B167="","",IF(COUNTIFS(Пул!$E$5:$E$300,$B167,Пул!$L$5:$L$300,"Закрыт")=0,"",ROUND(SUMIFS(Пул!$K$5:$K$300,Пул!$E$5:$E$300,$B167,Пул!$L$5:$L$300,"Закрыт"),8)))</f>
        <v/>
      </c>
      <c r="I167" s="236">
        <f>IF(AND(ISNUMBER(G167),ISNUMBER(H167)),IF(AND(G167&gt;0,H167&lt;0),"Buy",IF(AND(G167&lt;0,H167&gt;0),"Sell","")),"")</f>
        <v/>
      </c>
      <c r="J167" s="177">
        <f>IF(I167="Buy",G167,IF(I167="Sell",-G167,""))</f>
        <v/>
      </c>
      <c r="K167" s="177">
        <f>IF(AND(ISNUMBER(J167),ISNUMBER(L167),N(J167)&lt;&gt;0),ROUND(L167/J167,8),"")</f>
        <v/>
      </c>
      <c r="L167" s="177">
        <f>IF(I167="Buy",-H167,IF(I167="Sell",H167,""))</f>
        <v/>
      </c>
    </row>
    <row r="168" ht="22" customHeight="1">
      <c r="B168" s="320" t="n"/>
      <c r="C168" s="246">
        <f>IF($B168="","",IF(COUNTIFS(Пул!$E$5:$E$300,$B168,Пул!$F$5:$F$300,"&lt;&gt;")=0,"",ROUND(SUMIFS(Пул!$F$5:$F$300,Пул!$E$5:$E$300,$B168),8)))</f>
        <v/>
      </c>
      <c r="D168" s="247">
        <f>IF($B168="","",IF(COUNTIFS(Пул!$E$5:$E$300,$B168,Пул!$G$5:$G$300,"&lt;&gt;")=0,"",ROUND(SUMIFS(Пул!$G$5:$G$300,Пул!$E$5:$E$300,$B168),8)))</f>
        <v/>
      </c>
      <c r="E168" s="246">
        <f>IF($B168="","",IF(COUNTIFS(Пул!$E$5:$E$300,$B168,Пул!$L$5:$L$300,"Закрыт")=0,"",ROUND(SUMIFS(Пул!$H$5:$H$300,Пул!$E$5:$E$300,$B168,Пул!$L$5:$L$300,"Закрыт"),8)))</f>
        <v/>
      </c>
      <c r="F168" s="247">
        <f>IF($B168="","",IF(COUNTIFS(Пул!$E$5:$E$300,$B168,Пул!$L$5:$L$300,"Закрыт")=0,"",ROUND(SUMIFS(Пул!$I$5:$I$300,Пул!$E$5:$E$300,$B168,Пул!$L$5:$L$300,"Закрыт"),8)))</f>
        <v/>
      </c>
      <c r="G168" s="246">
        <f>IF($B168="","",IF(COUNTIFS(Пул!$E$5:$E$300,$B168,Пул!$L$5:$L$300,"Закрыт")=0,"",ROUND(SUMIFS(Пул!$J$5:$J$300,Пул!$E$5:$E$300,$B168,Пул!$L$5:$L$300,"Закрыт"),8)))</f>
        <v/>
      </c>
      <c r="H168" s="247">
        <f>IF($B168="","",IF(COUNTIFS(Пул!$E$5:$E$300,$B168,Пул!$L$5:$L$300,"Закрыт")=0,"",ROUND(SUMIFS(Пул!$K$5:$K$300,Пул!$E$5:$E$300,$B168,Пул!$L$5:$L$300,"Закрыт"),8)))</f>
        <v/>
      </c>
      <c r="I168" s="242">
        <f>IF(AND(ISNUMBER(G168),ISNUMBER(H168)),IF(AND(G168&gt;0,H168&lt;0),"Buy",IF(AND(G168&lt;0,H168&gt;0),"Sell","")),"")</f>
        <v/>
      </c>
      <c r="J168" s="183">
        <f>IF(I168="Buy",G168,IF(I168="Sell",-G168,""))</f>
        <v/>
      </c>
      <c r="K168" s="183">
        <f>IF(AND(ISNUMBER(J168),ISNUMBER(L168),N(J168)&lt;&gt;0),ROUND(L168/J168,8),"")</f>
        <v/>
      </c>
      <c r="L168" s="183">
        <f>IF(I168="Buy",-H168,IF(I168="Sell",H168,""))</f>
        <v/>
      </c>
    </row>
    <row r="169" ht="22" customHeight="1">
      <c r="B169" s="315" t="n"/>
      <c r="C169" s="240">
        <f>IF($B169="","",IF(COUNTIFS(Пул!$E$5:$E$300,$B169,Пул!$F$5:$F$300,"&lt;&gt;")=0,"",ROUND(SUMIFS(Пул!$F$5:$F$300,Пул!$E$5:$E$300,$B169),8)))</f>
        <v/>
      </c>
      <c r="D169" s="241">
        <f>IF($B169="","",IF(COUNTIFS(Пул!$E$5:$E$300,$B169,Пул!$G$5:$G$300,"&lt;&gt;")=0,"",ROUND(SUMIFS(Пул!$G$5:$G$300,Пул!$E$5:$E$300,$B169),8)))</f>
        <v/>
      </c>
      <c r="E169" s="240">
        <f>IF($B169="","",IF(COUNTIFS(Пул!$E$5:$E$300,$B169,Пул!$L$5:$L$300,"Закрыт")=0,"",ROUND(SUMIFS(Пул!$H$5:$H$300,Пул!$E$5:$E$300,$B169,Пул!$L$5:$L$300,"Закрыт"),8)))</f>
        <v/>
      </c>
      <c r="F169" s="241">
        <f>IF($B169="","",IF(COUNTIFS(Пул!$E$5:$E$300,$B169,Пул!$L$5:$L$300,"Закрыт")=0,"",ROUND(SUMIFS(Пул!$I$5:$I$300,Пул!$E$5:$E$300,$B169,Пул!$L$5:$L$300,"Закрыт"),8)))</f>
        <v/>
      </c>
      <c r="G169" s="240">
        <f>IF($B169="","",IF(COUNTIFS(Пул!$E$5:$E$300,$B169,Пул!$L$5:$L$300,"Закрыт")=0,"",ROUND(SUMIFS(Пул!$J$5:$J$300,Пул!$E$5:$E$300,$B169,Пул!$L$5:$L$300,"Закрыт"),8)))</f>
        <v/>
      </c>
      <c r="H169" s="241">
        <f>IF($B169="","",IF(COUNTIFS(Пул!$E$5:$E$300,$B169,Пул!$L$5:$L$300,"Закрыт")=0,"",ROUND(SUMIFS(Пул!$K$5:$K$300,Пул!$E$5:$E$300,$B169,Пул!$L$5:$L$300,"Закрыт"),8)))</f>
        <v/>
      </c>
      <c r="I169" s="236">
        <f>IF(AND(ISNUMBER(G169),ISNUMBER(H169)),IF(AND(G169&gt;0,H169&lt;0),"Buy",IF(AND(G169&lt;0,H169&gt;0),"Sell","")),"")</f>
        <v/>
      </c>
      <c r="J169" s="177">
        <f>IF(I169="Buy",G169,IF(I169="Sell",-G169,""))</f>
        <v/>
      </c>
      <c r="K169" s="177">
        <f>IF(AND(ISNUMBER(J169),ISNUMBER(L169),N(J169)&lt;&gt;0),ROUND(L169/J169,8),"")</f>
        <v/>
      </c>
      <c r="L169" s="177">
        <f>IF(I169="Buy",-H169,IF(I169="Sell",H169,""))</f>
        <v/>
      </c>
    </row>
    <row r="170" ht="22" customHeight="1">
      <c r="B170" s="320" t="n"/>
      <c r="C170" s="246">
        <f>IF($B170="","",IF(COUNTIFS(Пул!$E$5:$E$300,$B170,Пул!$F$5:$F$300,"&lt;&gt;")=0,"",ROUND(SUMIFS(Пул!$F$5:$F$300,Пул!$E$5:$E$300,$B170),8)))</f>
        <v/>
      </c>
      <c r="D170" s="247">
        <f>IF($B170="","",IF(COUNTIFS(Пул!$E$5:$E$300,$B170,Пул!$G$5:$G$300,"&lt;&gt;")=0,"",ROUND(SUMIFS(Пул!$G$5:$G$300,Пул!$E$5:$E$300,$B170),8)))</f>
        <v/>
      </c>
      <c r="E170" s="246">
        <f>IF($B170="","",IF(COUNTIFS(Пул!$E$5:$E$300,$B170,Пул!$L$5:$L$300,"Закрыт")=0,"",ROUND(SUMIFS(Пул!$H$5:$H$300,Пул!$E$5:$E$300,$B170,Пул!$L$5:$L$300,"Закрыт"),8)))</f>
        <v/>
      </c>
      <c r="F170" s="247">
        <f>IF($B170="","",IF(COUNTIFS(Пул!$E$5:$E$300,$B170,Пул!$L$5:$L$300,"Закрыт")=0,"",ROUND(SUMIFS(Пул!$I$5:$I$300,Пул!$E$5:$E$300,$B170,Пул!$L$5:$L$300,"Закрыт"),8)))</f>
        <v/>
      </c>
      <c r="G170" s="246">
        <f>IF($B170="","",IF(COUNTIFS(Пул!$E$5:$E$300,$B170,Пул!$L$5:$L$300,"Закрыт")=0,"",ROUND(SUMIFS(Пул!$J$5:$J$300,Пул!$E$5:$E$300,$B170,Пул!$L$5:$L$300,"Закрыт"),8)))</f>
        <v/>
      </c>
      <c r="H170" s="247">
        <f>IF($B170="","",IF(COUNTIFS(Пул!$E$5:$E$300,$B170,Пул!$L$5:$L$300,"Закрыт")=0,"",ROUND(SUMIFS(Пул!$K$5:$K$300,Пул!$E$5:$E$300,$B170,Пул!$L$5:$L$300,"Закрыт"),8)))</f>
        <v/>
      </c>
      <c r="I170" s="242">
        <f>IF(AND(ISNUMBER(G170),ISNUMBER(H170)),IF(AND(G170&gt;0,H170&lt;0),"Buy",IF(AND(G170&lt;0,H170&gt;0),"Sell","")),"")</f>
        <v/>
      </c>
      <c r="J170" s="183">
        <f>IF(I170="Buy",G170,IF(I170="Sell",-G170,""))</f>
        <v/>
      </c>
      <c r="K170" s="183">
        <f>IF(AND(ISNUMBER(J170),ISNUMBER(L170),N(J170)&lt;&gt;0),ROUND(L170/J170,8),"")</f>
        <v/>
      </c>
      <c r="L170" s="183">
        <f>IF(I170="Buy",-H170,IF(I170="Sell",H170,""))</f>
        <v/>
      </c>
    </row>
    <row r="171" ht="22" customHeight="1">
      <c r="B171" s="315" t="n"/>
      <c r="C171" s="240">
        <f>IF($B171="","",IF(COUNTIFS(Пул!$E$5:$E$300,$B171,Пул!$F$5:$F$300,"&lt;&gt;")=0,"",ROUND(SUMIFS(Пул!$F$5:$F$300,Пул!$E$5:$E$300,$B171),8)))</f>
        <v/>
      </c>
      <c r="D171" s="241">
        <f>IF($B171="","",IF(COUNTIFS(Пул!$E$5:$E$300,$B171,Пул!$G$5:$G$300,"&lt;&gt;")=0,"",ROUND(SUMIFS(Пул!$G$5:$G$300,Пул!$E$5:$E$300,$B171),8)))</f>
        <v/>
      </c>
      <c r="E171" s="240">
        <f>IF($B171="","",IF(COUNTIFS(Пул!$E$5:$E$300,$B171,Пул!$L$5:$L$300,"Закрыт")=0,"",ROUND(SUMIFS(Пул!$H$5:$H$300,Пул!$E$5:$E$300,$B171,Пул!$L$5:$L$300,"Закрыт"),8)))</f>
        <v/>
      </c>
      <c r="F171" s="241">
        <f>IF($B171="","",IF(COUNTIFS(Пул!$E$5:$E$300,$B171,Пул!$L$5:$L$300,"Закрыт")=0,"",ROUND(SUMIFS(Пул!$I$5:$I$300,Пул!$E$5:$E$300,$B171,Пул!$L$5:$L$300,"Закрыт"),8)))</f>
        <v/>
      </c>
      <c r="G171" s="240">
        <f>IF($B171="","",IF(COUNTIFS(Пул!$E$5:$E$300,$B171,Пул!$L$5:$L$300,"Закрыт")=0,"",ROUND(SUMIFS(Пул!$J$5:$J$300,Пул!$E$5:$E$300,$B171,Пул!$L$5:$L$300,"Закрыт"),8)))</f>
        <v/>
      </c>
      <c r="H171" s="241">
        <f>IF($B171="","",IF(COUNTIFS(Пул!$E$5:$E$300,$B171,Пул!$L$5:$L$300,"Закрыт")=0,"",ROUND(SUMIFS(Пул!$K$5:$K$300,Пул!$E$5:$E$300,$B171,Пул!$L$5:$L$300,"Закрыт"),8)))</f>
        <v/>
      </c>
      <c r="I171" s="236">
        <f>IF(AND(ISNUMBER(G171),ISNUMBER(H171)),IF(AND(G171&gt;0,H171&lt;0),"Buy",IF(AND(G171&lt;0,H171&gt;0),"Sell","")),"")</f>
        <v/>
      </c>
      <c r="J171" s="177">
        <f>IF(I171="Buy",G171,IF(I171="Sell",-G171,""))</f>
        <v/>
      </c>
      <c r="K171" s="177">
        <f>IF(AND(ISNUMBER(J171),ISNUMBER(L171),N(J171)&lt;&gt;0),ROUND(L171/J171,8),"")</f>
        <v/>
      </c>
      <c r="L171" s="177">
        <f>IF(I171="Buy",-H171,IF(I171="Sell",H171,""))</f>
        <v/>
      </c>
    </row>
    <row r="172" ht="22" customHeight="1">
      <c r="B172" s="320" t="n"/>
      <c r="C172" s="246">
        <f>IF($B172="","",IF(COUNTIFS(Пул!$E$5:$E$300,$B172,Пул!$F$5:$F$300,"&lt;&gt;")=0,"",ROUND(SUMIFS(Пул!$F$5:$F$300,Пул!$E$5:$E$300,$B172),8)))</f>
        <v/>
      </c>
      <c r="D172" s="247">
        <f>IF($B172="","",IF(COUNTIFS(Пул!$E$5:$E$300,$B172,Пул!$G$5:$G$300,"&lt;&gt;")=0,"",ROUND(SUMIFS(Пул!$G$5:$G$300,Пул!$E$5:$E$300,$B172),8)))</f>
        <v/>
      </c>
      <c r="E172" s="246">
        <f>IF($B172="","",IF(COUNTIFS(Пул!$E$5:$E$300,$B172,Пул!$L$5:$L$300,"Закрыт")=0,"",ROUND(SUMIFS(Пул!$H$5:$H$300,Пул!$E$5:$E$300,$B172,Пул!$L$5:$L$300,"Закрыт"),8)))</f>
        <v/>
      </c>
      <c r="F172" s="247">
        <f>IF($B172="","",IF(COUNTIFS(Пул!$E$5:$E$300,$B172,Пул!$L$5:$L$300,"Закрыт")=0,"",ROUND(SUMIFS(Пул!$I$5:$I$300,Пул!$E$5:$E$300,$B172,Пул!$L$5:$L$300,"Закрыт"),8)))</f>
        <v/>
      </c>
      <c r="G172" s="246">
        <f>IF($B172="","",IF(COUNTIFS(Пул!$E$5:$E$300,$B172,Пул!$L$5:$L$300,"Закрыт")=0,"",ROUND(SUMIFS(Пул!$J$5:$J$300,Пул!$E$5:$E$300,$B172,Пул!$L$5:$L$300,"Закрыт"),8)))</f>
        <v/>
      </c>
      <c r="H172" s="247">
        <f>IF($B172="","",IF(COUNTIFS(Пул!$E$5:$E$300,$B172,Пул!$L$5:$L$300,"Закрыт")=0,"",ROUND(SUMIFS(Пул!$K$5:$K$300,Пул!$E$5:$E$300,$B172,Пул!$L$5:$L$300,"Закрыт"),8)))</f>
        <v/>
      </c>
      <c r="I172" s="242">
        <f>IF(AND(ISNUMBER(G172),ISNUMBER(H172)),IF(AND(G172&gt;0,H172&lt;0),"Buy",IF(AND(G172&lt;0,H172&gt;0),"Sell","")),"")</f>
        <v/>
      </c>
      <c r="J172" s="183">
        <f>IF(I172="Buy",G172,IF(I172="Sell",-G172,""))</f>
        <v/>
      </c>
      <c r="K172" s="183">
        <f>IF(AND(ISNUMBER(J172),ISNUMBER(L172),N(J172)&lt;&gt;0),ROUND(L172/J172,8),"")</f>
        <v/>
      </c>
      <c r="L172" s="183">
        <f>IF(I172="Buy",-H172,IF(I172="Sell",H172,""))</f>
        <v/>
      </c>
    </row>
    <row r="173" ht="22" customHeight="1">
      <c r="B173" s="315" t="n"/>
      <c r="C173" s="240">
        <f>IF($B173="","",IF(COUNTIFS(Пул!$E$5:$E$300,$B173,Пул!$F$5:$F$300,"&lt;&gt;")=0,"",ROUND(SUMIFS(Пул!$F$5:$F$300,Пул!$E$5:$E$300,$B173),8)))</f>
        <v/>
      </c>
      <c r="D173" s="241">
        <f>IF($B173="","",IF(COUNTIFS(Пул!$E$5:$E$300,$B173,Пул!$G$5:$G$300,"&lt;&gt;")=0,"",ROUND(SUMIFS(Пул!$G$5:$G$300,Пул!$E$5:$E$300,$B173),8)))</f>
        <v/>
      </c>
      <c r="E173" s="240">
        <f>IF($B173="","",IF(COUNTIFS(Пул!$E$5:$E$300,$B173,Пул!$L$5:$L$300,"Закрыт")=0,"",ROUND(SUMIFS(Пул!$H$5:$H$300,Пул!$E$5:$E$300,$B173,Пул!$L$5:$L$300,"Закрыт"),8)))</f>
        <v/>
      </c>
      <c r="F173" s="241">
        <f>IF($B173="","",IF(COUNTIFS(Пул!$E$5:$E$300,$B173,Пул!$L$5:$L$300,"Закрыт")=0,"",ROUND(SUMIFS(Пул!$I$5:$I$300,Пул!$E$5:$E$300,$B173,Пул!$L$5:$L$300,"Закрыт"),8)))</f>
        <v/>
      </c>
      <c r="G173" s="240">
        <f>IF($B173="","",IF(COUNTIFS(Пул!$E$5:$E$300,$B173,Пул!$L$5:$L$300,"Закрыт")=0,"",ROUND(SUMIFS(Пул!$J$5:$J$300,Пул!$E$5:$E$300,$B173,Пул!$L$5:$L$300,"Закрыт"),8)))</f>
        <v/>
      </c>
      <c r="H173" s="241">
        <f>IF($B173="","",IF(COUNTIFS(Пул!$E$5:$E$300,$B173,Пул!$L$5:$L$300,"Закрыт")=0,"",ROUND(SUMIFS(Пул!$K$5:$K$300,Пул!$E$5:$E$300,$B173,Пул!$L$5:$L$300,"Закрыт"),8)))</f>
        <v/>
      </c>
      <c r="I173" s="236">
        <f>IF(AND(ISNUMBER(G173),ISNUMBER(H173)),IF(AND(G173&gt;0,H173&lt;0),"Buy",IF(AND(G173&lt;0,H173&gt;0),"Sell","")),"")</f>
        <v/>
      </c>
      <c r="J173" s="177">
        <f>IF(I173="Buy",G173,IF(I173="Sell",-G173,""))</f>
        <v/>
      </c>
      <c r="K173" s="177">
        <f>IF(AND(ISNUMBER(J173),ISNUMBER(L173),N(J173)&lt;&gt;0),ROUND(L173/J173,8),"")</f>
        <v/>
      </c>
      <c r="L173" s="177">
        <f>IF(I173="Buy",-H173,IF(I173="Sell",H173,""))</f>
        <v/>
      </c>
    </row>
    <row r="174" ht="22" customHeight="1">
      <c r="B174" s="320" t="n"/>
      <c r="C174" s="246">
        <f>IF($B174="","",IF(COUNTIFS(Пул!$E$5:$E$300,$B174,Пул!$F$5:$F$300,"&lt;&gt;")=0,"",ROUND(SUMIFS(Пул!$F$5:$F$300,Пул!$E$5:$E$300,$B174),8)))</f>
        <v/>
      </c>
      <c r="D174" s="247">
        <f>IF($B174="","",IF(COUNTIFS(Пул!$E$5:$E$300,$B174,Пул!$G$5:$G$300,"&lt;&gt;")=0,"",ROUND(SUMIFS(Пул!$G$5:$G$300,Пул!$E$5:$E$300,$B174),8)))</f>
        <v/>
      </c>
      <c r="E174" s="246">
        <f>IF($B174="","",IF(COUNTIFS(Пул!$E$5:$E$300,$B174,Пул!$L$5:$L$300,"Закрыт")=0,"",ROUND(SUMIFS(Пул!$H$5:$H$300,Пул!$E$5:$E$300,$B174,Пул!$L$5:$L$300,"Закрыт"),8)))</f>
        <v/>
      </c>
      <c r="F174" s="247">
        <f>IF($B174="","",IF(COUNTIFS(Пул!$E$5:$E$300,$B174,Пул!$L$5:$L$300,"Закрыт")=0,"",ROUND(SUMIFS(Пул!$I$5:$I$300,Пул!$E$5:$E$300,$B174,Пул!$L$5:$L$300,"Закрыт"),8)))</f>
        <v/>
      </c>
      <c r="G174" s="246">
        <f>IF($B174="","",IF(COUNTIFS(Пул!$E$5:$E$300,$B174,Пул!$L$5:$L$300,"Закрыт")=0,"",ROUND(SUMIFS(Пул!$J$5:$J$300,Пул!$E$5:$E$300,$B174,Пул!$L$5:$L$300,"Закрыт"),8)))</f>
        <v/>
      </c>
      <c r="H174" s="247">
        <f>IF($B174="","",IF(COUNTIFS(Пул!$E$5:$E$300,$B174,Пул!$L$5:$L$300,"Закрыт")=0,"",ROUND(SUMIFS(Пул!$K$5:$K$300,Пул!$E$5:$E$300,$B174,Пул!$L$5:$L$300,"Закрыт"),8)))</f>
        <v/>
      </c>
      <c r="I174" s="242">
        <f>IF(AND(ISNUMBER(G174),ISNUMBER(H174)),IF(AND(G174&gt;0,H174&lt;0),"Buy",IF(AND(G174&lt;0,H174&gt;0),"Sell","")),"")</f>
        <v/>
      </c>
      <c r="J174" s="183">
        <f>IF(I174="Buy",G174,IF(I174="Sell",-G174,""))</f>
        <v/>
      </c>
      <c r="K174" s="183">
        <f>IF(AND(ISNUMBER(J174),ISNUMBER(L174),N(J174)&lt;&gt;0),ROUND(L174/J174,8),"")</f>
        <v/>
      </c>
      <c r="L174" s="183">
        <f>IF(I174="Buy",-H174,IF(I174="Sell",H174,""))</f>
        <v/>
      </c>
    </row>
    <row r="175" ht="22" customHeight="1">
      <c r="B175" s="315" t="n"/>
      <c r="C175" s="240">
        <f>IF($B175="","",IF(COUNTIFS(Пул!$E$5:$E$300,$B175,Пул!$F$5:$F$300,"&lt;&gt;")=0,"",ROUND(SUMIFS(Пул!$F$5:$F$300,Пул!$E$5:$E$300,$B175),8)))</f>
        <v/>
      </c>
      <c r="D175" s="241">
        <f>IF($B175="","",IF(COUNTIFS(Пул!$E$5:$E$300,$B175,Пул!$G$5:$G$300,"&lt;&gt;")=0,"",ROUND(SUMIFS(Пул!$G$5:$G$300,Пул!$E$5:$E$300,$B175),8)))</f>
        <v/>
      </c>
      <c r="E175" s="240">
        <f>IF($B175="","",IF(COUNTIFS(Пул!$E$5:$E$300,$B175,Пул!$L$5:$L$300,"Закрыт")=0,"",ROUND(SUMIFS(Пул!$H$5:$H$300,Пул!$E$5:$E$300,$B175,Пул!$L$5:$L$300,"Закрыт"),8)))</f>
        <v/>
      </c>
      <c r="F175" s="241">
        <f>IF($B175="","",IF(COUNTIFS(Пул!$E$5:$E$300,$B175,Пул!$L$5:$L$300,"Закрыт")=0,"",ROUND(SUMIFS(Пул!$I$5:$I$300,Пул!$E$5:$E$300,$B175,Пул!$L$5:$L$300,"Закрыт"),8)))</f>
        <v/>
      </c>
      <c r="G175" s="240">
        <f>IF($B175="","",IF(COUNTIFS(Пул!$E$5:$E$300,$B175,Пул!$L$5:$L$300,"Закрыт")=0,"",ROUND(SUMIFS(Пул!$J$5:$J$300,Пул!$E$5:$E$300,$B175,Пул!$L$5:$L$300,"Закрыт"),8)))</f>
        <v/>
      </c>
      <c r="H175" s="241">
        <f>IF($B175="","",IF(COUNTIFS(Пул!$E$5:$E$300,$B175,Пул!$L$5:$L$300,"Закрыт")=0,"",ROUND(SUMIFS(Пул!$K$5:$K$300,Пул!$E$5:$E$300,$B175,Пул!$L$5:$L$300,"Закрыт"),8)))</f>
        <v/>
      </c>
      <c r="I175" s="236">
        <f>IF(AND(ISNUMBER(G175),ISNUMBER(H175)),IF(AND(G175&gt;0,H175&lt;0),"Buy",IF(AND(G175&lt;0,H175&gt;0),"Sell","")),"")</f>
        <v/>
      </c>
      <c r="J175" s="177">
        <f>IF(I175="Buy",G175,IF(I175="Sell",-G175,""))</f>
        <v/>
      </c>
      <c r="K175" s="177">
        <f>IF(AND(ISNUMBER(J175),ISNUMBER(L175),N(J175)&lt;&gt;0),ROUND(L175/J175,8),"")</f>
        <v/>
      </c>
      <c r="L175" s="177">
        <f>IF(I175="Buy",-H175,IF(I175="Sell",H175,""))</f>
        <v/>
      </c>
    </row>
    <row r="176" ht="22" customHeight="1">
      <c r="B176" s="320" t="n"/>
      <c r="C176" s="246">
        <f>IF($B176="","",IF(COUNTIFS(Пул!$E$5:$E$300,$B176,Пул!$F$5:$F$300,"&lt;&gt;")=0,"",ROUND(SUMIFS(Пул!$F$5:$F$300,Пул!$E$5:$E$300,$B176),8)))</f>
        <v/>
      </c>
      <c r="D176" s="247">
        <f>IF($B176="","",IF(COUNTIFS(Пул!$E$5:$E$300,$B176,Пул!$G$5:$G$300,"&lt;&gt;")=0,"",ROUND(SUMIFS(Пул!$G$5:$G$300,Пул!$E$5:$E$300,$B176),8)))</f>
        <v/>
      </c>
      <c r="E176" s="246">
        <f>IF($B176="","",IF(COUNTIFS(Пул!$E$5:$E$300,$B176,Пул!$L$5:$L$300,"Закрыт")=0,"",ROUND(SUMIFS(Пул!$H$5:$H$300,Пул!$E$5:$E$300,$B176,Пул!$L$5:$L$300,"Закрыт"),8)))</f>
        <v/>
      </c>
      <c r="F176" s="247">
        <f>IF($B176="","",IF(COUNTIFS(Пул!$E$5:$E$300,$B176,Пул!$L$5:$L$300,"Закрыт")=0,"",ROUND(SUMIFS(Пул!$I$5:$I$300,Пул!$E$5:$E$300,$B176,Пул!$L$5:$L$300,"Закрыт"),8)))</f>
        <v/>
      </c>
      <c r="G176" s="246">
        <f>IF($B176="","",IF(COUNTIFS(Пул!$E$5:$E$300,$B176,Пул!$L$5:$L$300,"Закрыт")=0,"",ROUND(SUMIFS(Пул!$J$5:$J$300,Пул!$E$5:$E$300,$B176,Пул!$L$5:$L$300,"Закрыт"),8)))</f>
        <v/>
      </c>
      <c r="H176" s="247">
        <f>IF($B176="","",IF(COUNTIFS(Пул!$E$5:$E$300,$B176,Пул!$L$5:$L$300,"Закрыт")=0,"",ROUND(SUMIFS(Пул!$K$5:$K$300,Пул!$E$5:$E$300,$B176,Пул!$L$5:$L$300,"Закрыт"),8)))</f>
        <v/>
      </c>
      <c r="I176" s="242">
        <f>IF(AND(ISNUMBER(G176),ISNUMBER(H176)),IF(AND(G176&gt;0,H176&lt;0),"Buy",IF(AND(G176&lt;0,H176&gt;0),"Sell","")),"")</f>
        <v/>
      </c>
      <c r="J176" s="183">
        <f>IF(I176="Buy",G176,IF(I176="Sell",-G176,""))</f>
        <v/>
      </c>
      <c r="K176" s="183">
        <f>IF(AND(ISNUMBER(J176),ISNUMBER(L176),N(J176)&lt;&gt;0),ROUND(L176/J176,8),"")</f>
        <v/>
      </c>
      <c r="L176" s="183">
        <f>IF(I176="Buy",-H176,IF(I176="Sell",H176,""))</f>
        <v/>
      </c>
    </row>
    <row r="177" ht="22" customHeight="1">
      <c r="B177" s="315" t="n"/>
      <c r="C177" s="240">
        <f>IF($B177="","",IF(COUNTIFS(Пул!$E$5:$E$300,$B177,Пул!$F$5:$F$300,"&lt;&gt;")=0,"",ROUND(SUMIFS(Пул!$F$5:$F$300,Пул!$E$5:$E$300,$B177),8)))</f>
        <v/>
      </c>
      <c r="D177" s="241">
        <f>IF($B177="","",IF(COUNTIFS(Пул!$E$5:$E$300,$B177,Пул!$G$5:$G$300,"&lt;&gt;")=0,"",ROUND(SUMIFS(Пул!$G$5:$G$300,Пул!$E$5:$E$300,$B177),8)))</f>
        <v/>
      </c>
      <c r="E177" s="240">
        <f>IF($B177="","",IF(COUNTIFS(Пул!$E$5:$E$300,$B177,Пул!$L$5:$L$300,"Закрыт")=0,"",ROUND(SUMIFS(Пул!$H$5:$H$300,Пул!$E$5:$E$300,$B177,Пул!$L$5:$L$300,"Закрыт"),8)))</f>
        <v/>
      </c>
      <c r="F177" s="241">
        <f>IF($B177="","",IF(COUNTIFS(Пул!$E$5:$E$300,$B177,Пул!$L$5:$L$300,"Закрыт")=0,"",ROUND(SUMIFS(Пул!$I$5:$I$300,Пул!$E$5:$E$300,$B177,Пул!$L$5:$L$300,"Закрыт"),8)))</f>
        <v/>
      </c>
      <c r="G177" s="240">
        <f>IF($B177="","",IF(COUNTIFS(Пул!$E$5:$E$300,$B177,Пул!$L$5:$L$300,"Закрыт")=0,"",ROUND(SUMIFS(Пул!$J$5:$J$300,Пул!$E$5:$E$300,$B177,Пул!$L$5:$L$300,"Закрыт"),8)))</f>
        <v/>
      </c>
      <c r="H177" s="241">
        <f>IF($B177="","",IF(COUNTIFS(Пул!$E$5:$E$300,$B177,Пул!$L$5:$L$300,"Закрыт")=0,"",ROUND(SUMIFS(Пул!$K$5:$K$300,Пул!$E$5:$E$300,$B177,Пул!$L$5:$L$300,"Закрыт"),8)))</f>
        <v/>
      </c>
      <c r="I177" s="236">
        <f>IF(AND(ISNUMBER(G177),ISNUMBER(H177)),IF(AND(G177&gt;0,H177&lt;0),"Buy",IF(AND(G177&lt;0,H177&gt;0),"Sell","")),"")</f>
        <v/>
      </c>
      <c r="J177" s="177">
        <f>IF(I177="Buy",G177,IF(I177="Sell",-G177,""))</f>
        <v/>
      </c>
      <c r="K177" s="177">
        <f>IF(AND(ISNUMBER(J177),ISNUMBER(L177),N(J177)&lt;&gt;0),ROUND(L177/J177,8),"")</f>
        <v/>
      </c>
      <c r="L177" s="177">
        <f>IF(I177="Buy",-H177,IF(I177="Sell",H177,""))</f>
        <v/>
      </c>
    </row>
    <row r="178" ht="22" customHeight="1">
      <c r="B178" s="320" t="n"/>
      <c r="C178" s="246">
        <f>IF($B178="","",IF(COUNTIFS(Пул!$E$5:$E$300,$B178,Пул!$F$5:$F$300,"&lt;&gt;")=0,"",ROUND(SUMIFS(Пул!$F$5:$F$300,Пул!$E$5:$E$300,$B178),8)))</f>
        <v/>
      </c>
      <c r="D178" s="247">
        <f>IF($B178="","",IF(COUNTIFS(Пул!$E$5:$E$300,$B178,Пул!$G$5:$G$300,"&lt;&gt;")=0,"",ROUND(SUMIFS(Пул!$G$5:$G$300,Пул!$E$5:$E$300,$B178),8)))</f>
        <v/>
      </c>
      <c r="E178" s="246">
        <f>IF($B178="","",IF(COUNTIFS(Пул!$E$5:$E$300,$B178,Пул!$L$5:$L$300,"Закрыт")=0,"",ROUND(SUMIFS(Пул!$H$5:$H$300,Пул!$E$5:$E$300,$B178,Пул!$L$5:$L$300,"Закрыт"),8)))</f>
        <v/>
      </c>
      <c r="F178" s="247">
        <f>IF($B178="","",IF(COUNTIFS(Пул!$E$5:$E$300,$B178,Пул!$L$5:$L$300,"Закрыт")=0,"",ROUND(SUMIFS(Пул!$I$5:$I$300,Пул!$E$5:$E$300,$B178,Пул!$L$5:$L$300,"Закрыт"),8)))</f>
        <v/>
      </c>
      <c r="G178" s="246">
        <f>IF($B178="","",IF(COUNTIFS(Пул!$E$5:$E$300,$B178,Пул!$L$5:$L$300,"Закрыт")=0,"",ROUND(SUMIFS(Пул!$J$5:$J$300,Пул!$E$5:$E$300,$B178,Пул!$L$5:$L$300,"Закрыт"),8)))</f>
        <v/>
      </c>
      <c r="H178" s="247">
        <f>IF($B178="","",IF(COUNTIFS(Пул!$E$5:$E$300,$B178,Пул!$L$5:$L$300,"Закрыт")=0,"",ROUND(SUMIFS(Пул!$K$5:$K$300,Пул!$E$5:$E$300,$B178,Пул!$L$5:$L$300,"Закрыт"),8)))</f>
        <v/>
      </c>
      <c r="I178" s="242">
        <f>IF(AND(ISNUMBER(G178),ISNUMBER(H178)),IF(AND(G178&gt;0,H178&lt;0),"Buy",IF(AND(G178&lt;0,H178&gt;0),"Sell","")),"")</f>
        <v/>
      </c>
      <c r="J178" s="183">
        <f>IF(I178="Buy",G178,IF(I178="Sell",-G178,""))</f>
        <v/>
      </c>
      <c r="K178" s="183">
        <f>IF(AND(ISNUMBER(J178),ISNUMBER(L178),N(J178)&lt;&gt;0),ROUND(L178/J178,8),"")</f>
        <v/>
      </c>
      <c r="L178" s="183">
        <f>IF(I178="Buy",-H178,IF(I178="Sell",H178,""))</f>
        <v/>
      </c>
    </row>
    <row r="179" ht="22" customHeight="1">
      <c r="B179" s="315" t="n"/>
      <c r="C179" s="240">
        <f>IF($B179="","",IF(COUNTIFS(Пул!$E$5:$E$300,$B179,Пул!$F$5:$F$300,"&lt;&gt;")=0,"",ROUND(SUMIFS(Пул!$F$5:$F$300,Пул!$E$5:$E$300,$B179),8)))</f>
        <v/>
      </c>
      <c r="D179" s="241">
        <f>IF($B179="","",IF(COUNTIFS(Пул!$E$5:$E$300,$B179,Пул!$G$5:$G$300,"&lt;&gt;")=0,"",ROUND(SUMIFS(Пул!$G$5:$G$300,Пул!$E$5:$E$300,$B179),8)))</f>
        <v/>
      </c>
      <c r="E179" s="240">
        <f>IF($B179="","",IF(COUNTIFS(Пул!$E$5:$E$300,$B179,Пул!$L$5:$L$300,"Закрыт")=0,"",ROUND(SUMIFS(Пул!$H$5:$H$300,Пул!$E$5:$E$300,$B179,Пул!$L$5:$L$300,"Закрыт"),8)))</f>
        <v/>
      </c>
      <c r="F179" s="241">
        <f>IF($B179="","",IF(COUNTIFS(Пул!$E$5:$E$300,$B179,Пул!$L$5:$L$300,"Закрыт")=0,"",ROUND(SUMIFS(Пул!$I$5:$I$300,Пул!$E$5:$E$300,$B179,Пул!$L$5:$L$300,"Закрыт"),8)))</f>
        <v/>
      </c>
      <c r="G179" s="240">
        <f>IF($B179="","",IF(COUNTIFS(Пул!$E$5:$E$300,$B179,Пул!$L$5:$L$300,"Закрыт")=0,"",ROUND(SUMIFS(Пул!$J$5:$J$300,Пул!$E$5:$E$300,$B179,Пул!$L$5:$L$300,"Закрыт"),8)))</f>
        <v/>
      </c>
      <c r="H179" s="241">
        <f>IF($B179="","",IF(COUNTIFS(Пул!$E$5:$E$300,$B179,Пул!$L$5:$L$300,"Закрыт")=0,"",ROUND(SUMIFS(Пул!$K$5:$K$300,Пул!$E$5:$E$300,$B179,Пул!$L$5:$L$300,"Закрыт"),8)))</f>
        <v/>
      </c>
      <c r="I179" s="236">
        <f>IF(AND(ISNUMBER(G179),ISNUMBER(H179)),IF(AND(G179&gt;0,H179&lt;0),"Buy",IF(AND(G179&lt;0,H179&gt;0),"Sell","")),"")</f>
        <v/>
      </c>
      <c r="J179" s="177">
        <f>IF(I179="Buy",G179,IF(I179="Sell",-G179,""))</f>
        <v/>
      </c>
      <c r="K179" s="177">
        <f>IF(AND(ISNUMBER(J179),ISNUMBER(L179),N(J179)&lt;&gt;0),ROUND(L179/J179,8),"")</f>
        <v/>
      </c>
      <c r="L179" s="177">
        <f>IF(I179="Buy",-H179,IF(I179="Sell",H179,""))</f>
        <v/>
      </c>
    </row>
    <row r="180" ht="22" customHeight="1">
      <c r="B180" s="320" t="n"/>
      <c r="C180" s="246">
        <f>IF($B180="","",IF(COUNTIFS(Пул!$E$5:$E$300,$B180,Пул!$F$5:$F$300,"&lt;&gt;")=0,"",ROUND(SUMIFS(Пул!$F$5:$F$300,Пул!$E$5:$E$300,$B180),8)))</f>
        <v/>
      </c>
      <c r="D180" s="247">
        <f>IF($B180="","",IF(COUNTIFS(Пул!$E$5:$E$300,$B180,Пул!$G$5:$G$300,"&lt;&gt;")=0,"",ROUND(SUMIFS(Пул!$G$5:$G$300,Пул!$E$5:$E$300,$B180),8)))</f>
        <v/>
      </c>
      <c r="E180" s="246">
        <f>IF($B180="","",IF(COUNTIFS(Пул!$E$5:$E$300,$B180,Пул!$L$5:$L$300,"Закрыт")=0,"",ROUND(SUMIFS(Пул!$H$5:$H$300,Пул!$E$5:$E$300,$B180,Пул!$L$5:$L$300,"Закрыт"),8)))</f>
        <v/>
      </c>
      <c r="F180" s="247">
        <f>IF($B180="","",IF(COUNTIFS(Пул!$E$5:$E$300,$B180,Пул!$L$5:$L$300,"Закрыт")=0,"",ROUND(SUMIFS(Пул!$I$5:$I$300,Пул!$E$5:$E$300,$B180,Пул!$L$5:$L$300,"Закрыт"),8)))</f>
        <v/>
      </c>
      <c r="G180" s="246">
        <f>IF($B180="","",IF(COUNTIFS(Пул!$E$5:$E$300,$B180,Пул!$L$5:$L$300,"Закрыт")=0,"",ROUND(SUMIFS(Пул!$J$5:$J$300,Пул!$E$5:$E$300,$B180,Пул!$L$5:$L$300,"Закрыт"),8)))</f>
        <v/>
      </c>
      <c r="H180" s="247">
        <f>IF($B180="","",IF(COUNTIFS(Пул!$E$5:$E$300,$B180,Пул!$L$5:$L$300,"Закрыт")=0,"",ROUND(SUMIFS(Пул!$K$5:$K$300,Пул!$E$5:$E$300,$B180,Пул!$L$5:$L$300,"Закрыт"),8)))</f>
        <v/>
      </c>
      <c r="I180" s="242">
        <f>IF(AND(ISNUMBER(G180),ISNUMBER(H180)),IF(AND(G180&gt;0,H180&lt;0),"Buy",IF(AND(G180&lt;0,H180&gt;0),"Sell","")),"")</f>
        <v/>
      </c>
      <c r="J180" s="183">
        <f>IF(I180="Buy",G180,IF(I180="Sell",-G180,""))</f>
        <v/>
      </c>
      <c r="K180" s="183">
        <f>IF(AND(ISNUMBER(J180),ISNUMBER(L180),N(J180)&lt;&gt;0),ROUND(L180/J180,8),"")</f>
        <v/>
      </c>
      <c r="L180" s="183">
        <f>IF(I180="Buy",-H180,IF(I180="Sell",H180,""))</f>
        <v/>
      </c>
    </row>
    <row r="181" ht="22" customHeight="1">
      <c r="B181" s="315" t="n"/>
      <c r="C181" s="240">
        <f>IF($B181="","",IF(COUNTIFS(Пул!$E$5:$E$300,$B181,Пул!$F$5:$F$300,"&lt;&gt;")=0,"",ROUND(SUMIFS(Пул!$F$5:$F$300,Пул!$E$5:$E$300,$B181),8)))</f>
        <v/>
      </c>
      <c r="D181" s="241">
        <f>IF($B181="","",IF(COUNTIFS(Пул!$E$5:$E$300,$B181,Пул!$G$5:$G$300,"&lt;&gt;")=0,"",ROUND(SUMIFS(Пул!$G$5:$G$300,Пул!$E$5:$E$300,$B181),8)))</f>
        <v/>
      </c>
      <c r="E181" s="240">
        <f>IF($B181="","",IF(COUNTIFS(Пул!$E$5:$E$300,$B181,Пул!$L$5:$L$300,"Закрыт")=0,"",ROUND(SUMIFS(Пул!$H$5:$H$300,Пул!$E$5:$E$300,$B181,Пул!$L$5:$L$300,"Закрыт"),8)))</f>
        <v/>
      </c>
      <c r="F181" s="241">
        <f>IF($B181="","",IF(COUNTIFS(Пул!$E$5:$E$300,$B181,Пул!$L$5:$L$300,"Закрыт")=0,"",ROUND(SUMIFS(Пул!$I$5:$I$300,Пул!$E$5:$E$300,$B181,Пул!$L$5:$L$300,"Закрыт"),8)))</f>
        <v/>
      </c>
      <c r="G181" s="240">
        <f>IF($B181="","",IF(COUNTIFS(Пул!$E$5:$E$300,$B181,Пул!$L$5:$L$300,"Закрыт")=0,"",ROUND(SUMIFS(Пул!$J$5:$J$300,Пул!$E$5:$E$300,$B181,Пул!$L$5:$L$300,"Закрыт"),8)))</f>
        <v/>
      </c>
      <c r="H181" s="241">
        <f>IF($B181="","",IF(COUNTIFS(Пул!$E$5:$E$300,$B181,Пул!$L$5:$L$300,"Закрыт")=0,"",ROUND(SUMIFS(Пул!$K$5:$K$300,Пул!$E$5:$E$300,$B181,Пул!$L$5:$L$300,"Закрыт"),8)))</f>
        <v/>
      </c>
      <c r="I181" s="236">
        <f>IF(AND(ISNUMBER(G181),ISNUMBER(H181)),IF(AND(G181&gt;0,H181&lt;0),"Buy",IF(AND(G181&lt;0,H181&gt;0),"Sell","")),"")</f>
        <v/>
      </c>
      <c r="J181" s="177">
        <f>IF(I181="Buy",G181,IF(I181="Sell",-G181,""))</f>
        <v/>
      </c>
      <c r="K181" s="177">
        <f>IF(AND(ISNUMBER(J181),ISNUMBER(L181),N(J181)&lt;&gt;0),ROUND(L181/J181,8),"")</f>
        <v/>
      </c>
      <c r="L181" s="177">
        <f>IF(I181="Buy",-H181,IF(I181="Sell",H181,""))</f>
        <v/>
      </c>
    </row>
    <row r="182" ht="22" customHeight="1">
      <c r="B182" s="320" t="n"/>
      <c r="C182" s="246">
        <f>IF($B182="","",IF(COUNTIFS(Пул!$E$5:$E$300,$B182,Пул!$F$5:$F$300,"&lt;&gt;")=0,"",ROUND(SUMIFS(Пул!$F$5:$F$300,Пул!$E$5:$E$300,$B182),8)))</f>
        <v/>
      </c>
      <c r="D182" s="247">
        <f>IF($B182="","",IF(COUNTIFS(Пул!$E$5:$E$300,$B182,Пул!$G$5:$G$300,"&lt;&gt;")=0,"",ROUND(SUMIFS(Пул!$G$5:$G$300,Пул!$E$5:$E$300,$B182),8)))</f>
        <v/>
      </c>
      <c r="E182" s="246">
        <f>IF($B182="","",IF(COUNTIFS(Пул!$E$5:$E$300,$B182,Пул!$L$5:$L$300,"Закрыт")=0,"",ROUND(SUMIFS(Пул!$H$5:$H$300,Пул!$E$5:$E$300,$B182,Пул!$L$5:$L$300,"Закрыт"),8)))</f>
        <v/>
      </c>
      <c r="F182" s="247">
        <f>IF($B182="","",IF(COUNTIFS(Пул!$E$5:$E$300,$B182,Пул!$L$5:$L$300,"Закрыт")=0,"",ROUND(SUMIFS(Пул!$I$5:$I$300,Пул!$E$5:$E$300,$B182,Пул!$L$5:$L$300,"Закрыт"),8)))</f>
        <v/>
      </c>
      <c r="G182" s="246">
        <f>IF($B182="","",IF(COUNTIFS(Пул!$E$5:$E$300,$B182,Пул!$L$5:$L$300,"Закрыт")=0,"",ROUND(SUMIFS(Пул!$J$5:$J$300,Пул!$E$5:$E$300,$B182,Пул!$L$5:$L$300,"Закрыт"),8)))</f>
        <v/>
      </c>
      <c r="H182" s="247">
        <f>IF($B182="","",IF(COUNTIFS(Пул!$E$5:$E$300,$B182,Пул!$L$5:$L$300,"Закрыт")=0,"",ROUND(SUMIFS(Пул!$K$5:$K$300,Пул!$E$5:$E$300,$B182,Пул!$L$5:$L$300,"Закрыт"),8)))</f>
        <v/>
      </c>
      <c r="I182" s="242">
        <f>IF(AND(ISNUMBER(G182),ISNUMBER(H182)),IF(AND(G182&gt;0,H182&lt;0),"Buy",IF(AND(G182&lt;0,H182&gt;0),"Sell","")),"")</f>
        <v/>
      </c>
      <c r="J182" s="183">
        <f>IF(I182="Buy",G182,IF(I182="Sell",-G182,""))</f>
        <v/>
      </c>
      <c r="K182" s="183">
        <f>IF(AND(ISNUMBER(J182),ISNUMBER(L182),N(J182)&lt;&gt;0),ROUND(L182/J182,8),"")</f>
        <v/>
      </c>
      <c r="L182" s="183">
        <f>IF(I182="Buy",-H182,IF(I182="Sell",H182,""))</f>
        <v/>
      </c>
    </row>
    <row r="183" ht="22" customHeight="1">
      <c r="B183" s="315" t="n"/>
      <c r="C183" s="240">
        <f>IF($B183="","",IF(COUNTIFS(Пул!$E$5:$E$300,$B183,Пул!$F$5:$F$300,"&lt;&gt;")=0,"",ROUND(SUMIFS(Пул!$F$5:$F$300,Пул!$E$5:$E$300,$B183),8)))</f>
        <v/>
      </c>
      <c r="D183" s="241">
        <f>IF($B183="","",IF(COUNTIFS(Пул!$E$5:$E$300,$B183,Пул!$G$5:$G$300,"&lt;&gt;")=0,"",ROUND(SUMIFS(Пул!$G$5:$G$300,Пул!$E$5:$E$300,$B183),8)))</f>
        <v/>
      </c>
      <c r="E183" s="240">
        <f>IF($B183="","",IF(COUNTIFS(Пул!$E$5:$E$300,$B183,Пул!$L$5:$L$300,"Закрыт")=0,"",ROUND(SUMIFS(Пул!$H$5:$H$300,Пул!$E$5:$E$300,$B183,Пул!$L$5:$L$300,"Закрыт"),8)))</f>
        <v/>
      </c>
      <c r="F183" s="241">
        <f>IF($B183="","",IF(COUNTIFS(Пул!$E$5:$E$300,$B183,Пул!$L$5:$L$300,"Закрыт")=0,"",ROUND(SUMIFS(Пул!$I$5:$I$300,Пул!$E$5:$E$300,$B183,Пул!$L$5:$L$300,"Закрыт"),8)))</f>
        <v/>
      </c>
      <c r="G183" s="240">
        <f>IF($B183="","",IF(COUNTIFS(Пул!$E$5:$E$300,$B183,Пул!$L$5:$L$300,"Закрыт")=0,"",ROUND(SUMIFS(Пул!$J$5:$J$300,Пул!$E$5:$E$300,$B183,Пул!$L$5:$L$300,"Закрыт"),8)))</f>
        <v/>
      </c>
      <c r="H183" s="241">
        <f>IF($B183="","",IF(COUNTIFS(Пул!$E$5:$E$300,$B183,Пул!$L$5:$L$300,"Закрыт")=0,"",ROUND(SUMIFS(Пул!$K$5:$K$300,Пул!$E$5:$E$300,$B183,Пул!$L$5:$L$300,"Закрыт"),8)))</f>
        <v/>
      </c>
      <c r="I183" s="236">
        <f>IF(AND(ISNUMBER(G183),ISNUMBER(H183)),IF(AND(G183&gt;0,H183&lt;0),"Buy",IF(AND(G183&lt;0,H183&gt;0),"Sell","")),"")</f>
        <v/>
      </c>
      <c r="J183" s="177">
        <f>IF(I183="Buy",G183,IF(I183="Sell",-G183,""))</f>
        <v/>
      </c>
      <c r="K183" s="177">
        <f>IF(AND(ISNUMBER(J183),ISNUMBER(L183),N(J183)&lt;&gt;0),ROUND(L183/J183,8),"")</f>
        <v/>
      </c>
      <c r="L183" s="177">
        <f>IF(I183="Buy",-H183,IF(I183="Sell",H183,""))</f>
        <v/>
      </c>
    </row>
    <row r="184" ht="22" customHeight="1">
      <c r="B184" s="320" t="n"/>
      <c r="C184" s="246">
        <f>IF($B184="","",IF(COUNTIFS(Пул!$E$5:$E$300,$B184,Пул!$F$5:$F$300,"&lt;&gt;")=0,"",ROUND(SUMIFS(Пул!$F$5:$F$300,Пул!$E$5:$E$300,$B184),8)))</f>
        <v/>
      </c>
      <c r="D184" s="247">
        <f>IF($B184="","",IF(COUNTIFS(Пул!$E$5:$E$300,$B184,Пул!$G$5:$G$300,"&lt;&gt;")=0,"",ROUND(SUMIFS(Пул!$G$5:$G$300,Пул!$E$5:$E$300,$B184),8)))</f>
        <v/>
      </c>
      <c r="E184" s="246">
        <f>IF($B184="","",IF(COUNTIFS(Пул!$E$5:$E$300,$B184,Пул!$L$5:$L$300,"Закрыт")=0,"",ROUND(SUMIFS(Пул!$H$5:$H$300,Пул!$E$5:$E$300,$B184,Пул!$L$5:$L$300,"Закрыт"),8)))</f>
        <v/>
      </c>
      <c r="F184" s="247">
        <f>IF($B184="","",IF(COUNTIFS(Пул!$E$5:$E$300,$B184,Пул!$L$5:$L$300,"Закрыт")=0,"",ROUND(SUMIFS(Пул!$I$5:$I$300,Пул!$E$5:$E$300,$B184,Пул!$L$5:$L$300,"Закрыт"),8)))</f>
        <v/>
      </c>
      <c r="G184" s="246">
        <f>IF($B184="","",IF(COUNTIFS(Пул!$E$5:$E$300,$B184,Пул!$L$5:$L$300,"Закрыт")=0,"",ROUND(SUMIFS(Пул!$J$5:$J$300,Пул!$E$5:$E$300,$B184,Пул!$L$5:$L$300,"Закрыт"),8)))</f>
        <v/>
      </c>
      <c r="H184" s="247">
        <f>IF($B184="","",IF(COUNTIFS(Пул!$E$5:$E$300,$B184,Пул!$L$5:$L$300,"Закрыт")=0,"",ROUND(SUMIFS(Пул!$K$5:$K$300,Пул!$E$5:$E$300,$B184,Пул!$L$5:$L$300,"Закрыт"),8)))</f>
        <v/>
      </c>
      <c r="I184" s="242">
        <f>IF(AND(ISNUMBER(G184),ISNUMBER(H184)),IF(AND(G184&gt;0,H184&lt;0),"Buy",IF(AND(G184&lt;0,H184&gt;0),"Sell","")),"")</f>
        <v/>
      </c>
      <c r="J184" s="183">
        <f>IF(I184="Buy",G184,IF(I184="Sell",-G184,""))</f>
        <v/>
      </c>
      <c r="K184" s="183">
        <f>IF(AND(ISNUMBER(J184),ISNUMBER(L184),N(J184)&lt;&gt;0),ROUND(L184/J184,8),"")</f>
        <v/>
      </c>
      <c r="L184" s="183">
        <f>IF(I184="Buy",-H184,IF(I184="Sell",H184,""))</f>
        <v/>
      </c>
    </row>
    <row r="185" ht="22" customHeight="1">
      <c r="B185" s="315" t="n"/>
      <c r="C185" s="240">
        <f>IF($B185="","",IF(COUNTIFS(Пул!$E$5:$E$300,$B185,Пул!$F$5:$F$300,"&lt;&gt;")=0,"",ROUND(SUMIFS(Пул!$F$5:$F$300,Пул!$E$5:$E$300,$B185),8)))</f>
        <v/>
      </c>
      <c r="D185" s="241">
        <f>IF($B185="","",IF(COUNTIFS(Пул!$E$5:$E$300,$B185,Пул!$G$5:$G$300,"&lt;&gt;")=0,"",ROUND(SUMIFS(Пул!$G$5:$G$300,Пул!$E$5:$E$300,$B185),8)))</f>
        <v/>
      </c>
      <c r="E185" s="240">
        <f>IF($B185="","",IF(COUNTIFS(Пул!$E$5:$E$300,$B185,Пул!$L$5:$L$300,"Закрыт")=0,"",ROUND(SUMIFS(Пул!$H$5:$H$300,Пул!$E$5:$E$300,$B185,Пул!$L$5:$L$300,"Закрыт"),8)))</f>
        <v/>
      </c>
      <c r="F185" s="241">
        <f>IF($B185="","",IF(COUNTIFS(Пул!$E$5:$E$300,$B185,Пул!$L$5:$L$300,"Закрыт")=0,"",ROUND(SUMIFS(Пул!$I$5:$I$300,Пул!$E$5:$E$300,$B185,Пул!$L$5:$L$300,"Закрыт"),8)))</f>
        <v/>
      </c>
      <c r="G185" s="240">
        <f>IF($B185="","",IF(COUNTIFS(Пул!$E$5:$E$300,$B185,Пул!$L$5:$L$300,"Закрыт")=0,"",ROUND(SUMIFS(Пул!$J$5:$J$300,Пул!$E$5:$E$300,$B185,Пул!$L$5:$L$300,"Закрыт"),8)))</f>
        <v/>
      </c>
      <c r="H185" s="241">
        <f>IF($B185="","",IF(COUNTIFS(Пул!$E$5:$E$300,$B185,Пул!$L$5:$L$300,"Закрыт")=0,"",ROUND(SUMIFS(Пул!$K$5:$K$300,Пул!$E$5:$E$300,$B185,Пул!$L$5:$L$300,"Закрыт"),8)))</f>
        <v/>
      </c>
      <c r="I185" s="236">
        <f>IF(AND(ISNUMBER(G185),ISNUMBER(H185)),IF(AND(G185&gt;0,H185&lt;0),"Buy",IF(AND(G185&lt;0,H185&gt;0),"Sell","")),"")</f>
        <v/>
      </c>
      <c r="J185" s="177">
        <f>IF(I185="Buy",G185,IF(I185="Sell",-G185,""))</f>
        <v/>
      </c>
      <c r="K185" s="177">
        <f>IF(AND(ISNUMBER(J185),ISNUMBER(L185),N(J185)&lt;&gt;0),ROUND(L185/J185,8),"")</f>
        <v/>
      </c>
      <c r="L185" s="177">
        <f>IF(I185="Buy",-H185,IF(I185="Sell",H185,""))</f>
        <v/>
      </c>
    </row>
    <row r="186" ht="22" customHeight="1">
      <c r="B186" s="320" t="n"/>
      <c r="C186" s="246">
        <f>IF($B186="","",IF(COUNTIFS(Пул!$E$5:$E$300,$B186,Пул!$F$5:$F$300,"&lt;&gt;")=0,"",ROUND(SUMIFS(Пул!$F$5:$F$300,Пул!$E$5:$E$300,$B186),8)))</f>
        <v/>
      </c>
      <c r="D186" s="247">
        <f>IF($B186="","",IF(COUNTIFS(Пул!$E$5:$E$300,$B186,Пул!$G$5:$G$300,"&lt;&gt;")=0,"",ROUND(SUMIFS(Пул!$G$5:$G$300,Пул!$E$5:$E$300,$B186),8)))</f>
        <v/>
      </c>
      <c r="E186" s="246">
        <f>IF($B186="","",IF(COUNTIFS(Пул!$E$5:$E$300,$B186,Пул!$L$5:$L$300,"Закрыт")=0,"",ROUND(SUMIFS(Пул!$H$5:$H$300,Пул!$E$5:$E$300,$B186,Пул!$L$5:$L$300,"Закрыт"),8)))</f>
        <v/>
      </c>
      <c r="F186" s="247">
        <f>IF($B186="","",IF(COUNTIFS(Пул!$E$5:$E$300,$B186,Пул!$L$5:$L$300,"Закрыт")=0,"",ROUND(SUMIFS(Пул!$I$5:$I$300,Пул!$E$5:$E$300,$B186,Пул!$L$5:$L$300,"Закрыт"),8)))</f>
        <v/>
      </c>
      <c r="G186" s="246">
        <f>IF($B186="","",IF(COUNTIFS(Пул!$E$5:$E$300,$B186,Пул!$L$5:$L$300,"Закрыт")=0,"",ROUND(SUMIFS(Пул!$J$5:$J$300,Пул!$E$5:$E$300,$B186,Пул!$L$5:$L$300,"Закрыт"),8)))</f>
        <v/>
      </c>
      <c r="H186" s="247">
        <f>IF($B186="","",IF(COUNTIFS(Пул!$E$5:$E$300,$B186,Пул!$L$5:$L$300,"Закрыт")=0,"",ROUND(SUMIFS(Пул!$K$5:$K$300,Пул!$E$5:$E$300,$B186,Пул!$L$5:$L$300,"Закрыт"),8)))</f>
        <v/>
      </c>
      <c r="I186" s="242">
        <f>IF(AND(ISNUMBER(G186),ISNUMBER(H186)),IF(AND(G186&gt;0,H186&lt;0),"Buy",IF(AND(G186&lt;0,H186&gt;0),"Sell","")),"")</f>
        <v/>
      </c>
      <c r="J186" s="183">
        <f>IF(I186="Buy",G186,IF(I186="Sell",-G186,""))</f>
        <v/>
      </c>
      <c r="K186" s="183">
        <f>IF(AND(ISNUMBER(J186),ISNUMBER(L186),N(J186)&lt;&gt;0),ROUND(L186/J186,8),"")</f>
        <v/>
      </c>
      <c r="L186" s="183">
        <f>IF(I186="Buy",-H186,IF(I186="Sell",H186,""))</f>
        <v/>
      </c>
    </row>
    <row r="187" ht="22" customHeight="1">
      <c r="B187" s="315" t="n"/>
      <c r="C187" s="240">
        <f>IF($B187="","",IF(COUNTIFS(Пул!$E$5:$E$300,$B187,Пул!$F$5:$F$300,"&lt;&gt;")=0,"",ROUND(SUMIFS(Пул!$F$5:$F$300,Пул!$E$5:$E$300,$B187),8)))</f>
        <v/>
      </c>
      <c r="D187" s="241">
        <f>IF($B187="","",IF(COUNTIFS(Пул!$E$5:$E$300,$B187,Пул!$G$5:$G$300,"&lt;&gt;")=0,"",ROUND(SUMIFS(Пул!$G$5:$G$300,Пул!$E$5:$E$300,$B187),8)))</f>
        <v/>
      </c>
      <c r="E187" s="240">
        <f>IF($B187="","",IF(COUNTIFS(Пул!$E$5:$E$300,$B187,Пул!$L$5:$L$300,"Закрыт")=0,"",ROUND(SUMIFS(Пул!$H$5:$H$300,Пул!$E$5:$E$300,$B187,Пул!$L$5:$L$300,"Закрыт"),8)))</f>
        <v/>
      </c>
      <c r="F187" s="241">
        <f>IF($B187="","",IF(COUNTIFS(Пул!$E$5:$E$300,$B187,Пул!$L$5:$L$300,"Закрыт")=0,"",ROUND(SUMIFS(Пул!$I$5:$I$300,Пул!$E$5:$E$300,$B187,Пул!$L$5:$L$300,"Закрыт"),8)))</f>
        <v/>
      </c>
      <c r="G187" s="240">
        <f>IF($B187="","",IF(COUNTIFS(Пул!$E$5:$E$300,$B187,Пул!$L$5:$L$300,"Закрыт")=0,"",ROUND(SUMIFS(Пул!$J$5:$J$300,Пул!$E$5:$E$300,$B187,Пул!$L$5:$L$300,"Закрыт"),8)))</f>
        <v/>
      </c>
      <c r="H187" s="241">
        <f>IF($B187="","",IF(COUNTIFS(Пул!$E$5:$E$300,$B187,Пул!$L$5:$L$300,"Закрыт")=0,"",ROUND(SUMIFS(Пул!$K$5:$K$300,Пул!$E$5:$E$300,$B187,Пул!$L$5:$L$300,"Закрыт"),8)))</f>
        <v/>
      </c>
      <c r="I187" s="236">
        <f>IF(AND(ISNUMBER(G187),ISNUMBER(H187)),IF(AND(G187&gt;0,H187&lt;0),"Buy",IF(AND(G187&lt;0,H187&gt;0),"Sell","")),"")</f>
        <v/>
      </c>
      <c r="J187" s="177">
        <f>IF(I187="Buy",G187,IF(I187="Sell",-G187,""))</f>
        <v/>
      </c>
      <c r="K187" s="177">
        <f>IF(AND(ISNUMBER(J187),ISNUMBER(L187),N(J187)&lt;&gt;0),ROUND(L187/J187,8),"")</f>
        <v/>
      </c>
      <c r="L187" s="177">
        <f>IF(I187="Buy",-H187,IF(I187="Sell",H187,""))</f>
        <v/>
      </c>
    </row>
    <row r="188" ht="22" customHeight="1">
      <c r="B188" s="320" t="n"/>
      <c r="C188" s="246">
        <f>IF($B188="","",IF(COUNTIFS(Пул!$E$5:$E$300,$B188,Пул!$F$5:$F$300,"&lt;&gt;")=0,"",ROUND(SUMIFS(Пул!$F$5:$F$300,Пул!$E$5:$E$300,$B188),8)))</f>
        <v/>
      </c>
      <c r="D188" s="247">
        <f>IF($B188="","",IF(COUNTIFS(Пул!$E$5:$E$300,$B188,Пул!$G$5:$G$300,"&lt;&gt;")=0,"",ROUND(SUMIFS(Пул!$G$5:$G$300,Пул!$E$5:$E$300,$B188),8)))</f>
        <v/>
      </c>
      <c r="E188" s="246">
        <f>IF($B188="","",IF(COUNTIFS(Пул!$E$5:$E$300,$B188,Пул!$L$5:$L$300,"Закрыт")=0,"",ROUND(SUMIFS(Пул!$H$5:$H$300,Пул!$E$5:$E$300,$B188,Пул!$L$5:$L$300,"Закрыт"),8)))</f>
        <v/>
      </c>
      <c r="F188" s="247">
        <f>IF($B188="","",IF(COUNTIFS(Пул!$E$5:$E$300,$B188,Пул!$L$5:$L$300,"Закрыт")=0,"",ROUND(SUMIFS(Пул!$I$5:$I$300,Пул!$E$5:$E$300,$B188,Пул!$L$5:$L$300,"Закрыт"),8)))</f>
        <v/>
      </c>
      <c r="G188" s="246">
        <f>IF($B188="","",IF(COUNTIFS(Пул!$E$5:$E$300,$B188,Пул!$L$5:$L$300,"Закрыт")=0,"",ROUND(SUMIFS(Пул!$J$5:$J$300,Пул!$E$5:$E$300,$B188,Пул!$L$5:$L$300,"Закрыт"),8)))</f>
        <v/>
      </c>
      <c r="H188" s="247">
        <f>IF($B188="","",IF(COUNTIFS(Пул!$E$5:$E$300,$B188,Пул!$L$5:$L$300,"Закрыт")=0,"",ROUND(SUMIFS(Пул!$K$5:$K$300,Пул!$E$5:$E$300,$B188,Пул!$L$5:$L$300,"Закрыт"),8)))</f>
        <v/>
      </c>
      <c r="I188" s="242">
        <f>IF(AND(ISNUMBER(G188),ISNUMBER(H188)),IF(AND(G188&gt;0,H188&lt;0),"Buy",IF(AND(G188&lt;0,H188&gt;0),"Sell","")),"")</f>
        <v/>
      </c>
      <c r="J188" s="183">
        <f>IF(I188="Buy",G188,IF(I188="Sell",-G188,""))</f>
        <v/>
      </c>
      <c r="K188" s="183">
        <f>IF(AND(ISNUMBER(J188),ISNUMBER(L188),N(J188)&lt;&gt;0),ROUND(L188/J188,8),"")</f>
        <v/>
      </c>
      <c r="L188" s="183">
        <f>IF(I188="Buy",-H188,IF(I188="Sell",H188,""))</f>
        <v/>
      </c>
    </row>
    <row r="189" ht="22" customHeight="1">
      <c r="B189" s="315" t="n"/>
      <c r="C189" s="240">
        <f>IF($B189="","",IF(COUNTIFS(Пул!$E$5:$E$300,$B189,Пул!$F$5:$F$300,"&lt;&gt;")=0,"",ROUND(SUMIFS(Пул!$F$5:$F$300,Пул!$E$5:$E$300,$B189),8)))</f>
        <v/>
      </c>
      <c r="D189" s="241">
        <f>IF($B189="","",IF(COUNTIFS(Пул!$E$5:$E$300,$B189,Пул!$G$5:$G$300,"&lt;&gt;")=0,"",ROUND(SUMIFS(Пул!$G$5:$G$300,Пул!$E$5:$E$300,$B189),8)))</f>
        <v/>
      </c>
      <c r="E189" s="240">
        <f>IF($B189="","",IF(COUNTIFS(Пул!$E$5:$E$300,$B189,Пул!$L$5:$L$300,"Закрыт")=0,"",ROUND(SUMIFS(Пул!$H$5:$H$300,Пул!$E$5:$E$300,$B189,Пул!$L$5:$L$300,"Закрыт"),8)))</f>
        <v/>
      </c>
      <c r="F189" s="241">
        <f>IF($B189="","",IF(COUNTIFS(Пул!$E$5:$E$300,$B189,Пул!$L$5:$L$300,"Закрыт")=0,"",ROUND(SUMIFS(Пул!$I$5:$I$300,Пул!$E$5:$E$300,$B189,Пул!$L$5:$L$300,"Закрыт"),8)))</f>
        <v/>
      </c>
      <c r="G189" s="240">
        <f>IF($B189="","",IF(COUNTIFS(Пул!$E$5:$E$300,$B189,Пул!$L$5:$L$300,"Закрыт")=0,"",ROUND(SUMIFS(Пул!$J$5:$J$300,Пул!$E$5:$E$300,$B189,Пул!$L$5:$L$300,"Закрыт"),8)))</f>
        <v/>
      </c>
      <c r="H189" s="241">
        <f>IF($B189="","",IF(COUNTIFS(Пул!$E$5:$E$300,$B189,Пул!$L$5:$L$300,"Закрыт")=0,"",ROUND(SUMIFS(Пул!$K$5:$K$300,Пул!$E$5:$E$300,$B189,Пул!$L$5:$L$300,"Закрыт"),8)))</f>
        <v/>
      </c>
      <c r="I189" s="236">
        <f>IF(AND(ISNUMBER(G189),ISNUMBER(H189)),IF(AND(G189&gt;0,H189&lt;0),"Buy",IF(AND(G189&lt;0,H189&gt;0),"Sell","")),"")</f>
        <v/>
      </c>
      <c r="J189" s="177">
        <f>IF(I189="Buy",G189,IF(I189="Sell",-G189,""))</f>
        <v/>
      </c>
      <c r="K189" s="177">
        <f>IF(AND(ISNUMBER(J189),ISNUMBER(L189),N(J189)&lt;&gt;0),ROUND(L189/J189,8),"")</f>
        <v/>
      </c>
      <c r="L189" s="177">
        <f>IF(I189="Buy",-H189,IF(I189="Sell",H189,""))</f>
        <v/>
      </c>
    </row>
    <row r="190" ht="22" customHeight="1">
      <c r="B190" s="320" t="n"/>
      <c r="C190" s="246">
        <f>IF($B190="","",IF(COUNTIFS(Пул!$E$5:$E$300,$B190,Пул!$F$5:$F$300,"&lt;&gt;")=0,"",ROUND(SUMIFS(Пул!$F$5:$F$300,Пул!$E$5:$E$300,$B190),8)))</f>
        <v/>
      </c>
      <c r="D190" s="247">
        <f>IF($B190="","",IF(COUNTIFS(Пул!$E$5:$E$300,$B190,Пул!$G$5:$G$300,"&lt;&gt;")=0,"",ROUND(SUMIFS(Пул!$G$5:$G$300,Пул!$E$5:$E$300,$B190),8)))</f>
        <v/>
      </c>
      <c r="E190" s="246">
        <f>IF($B190="","",IF(COUNTIFS(Пул!$E$5:$E$300,$B190,Пул!$L$5:$L$300,"Закрыт")=0,"",ROUND(SUMIFS(Пул!$H$5:$H$300,Пул!$E$5:$E$300,$B190,Пул!$L$5:$L$300,"Закрыт"),8)))</f>
        <v/>
      </c>
      <c r="F190" s="247">
        <f>IF($B190="","",IF(COUNTIFS(Пул!$E$5:$E$300,$B190,Пул!$L$5:$L$300,"Закрыт")=0,"",ROUND(SUMIFS(Пул!$I$5:$I$300,Пул!$E$5:$E$300,$B190,Пул!$L$5:$L$300,"Закрыт"),8)))</f>
        <v/>
      </c>
      <c r="G190" s="246">
        <f>IF($B190="","",IF(COUNTIFS(Пул!$E$5:$E$300,$B190,Пул!$L$5:$L$300,"Закрыт")=0,"",ROUND(SUMIFS(Пул!$J$5:$J$300,Пул!$E$5:$E$300,$B190,Пул!$L$5:$L$300,"Закрыт"),8)))</f>
        <v/>
      </c>
      <c r="H190" s="247">
        <f>IF($B190="","",IF(COUNTIFS(Пул!$E$5:$E$300,$B190,Пул!$L$5:$L$300,"Закрыт")=0,"",ROUND(SUMIFS(Пул!$K$5:$K$300,Пул!$E$5:$E$300,$B190,Пул!$L$5:$L$300,"Закрыт"),8)))</f>
        <v/>
      </c>
      <c r="I190" s="242">
        <f>IF(AND(ISNUMBER(G190),ISNUMBER(H190)),IF(AND(G190&gt;0,H190&lt;0),"Buy",IF(AND(G190&lt;0,H190&gt;0),"Sell","")),"")</f>
        <v/>
      </c>
      <c r="J190" s="183">
        <f>IF(I190="Buy",G190,IF(I190="Sell",-G190,""))</f>
        <v/>
      </c>
      <c r="K190" s="183">
        <f>IF(AND(ISNUMBER(J190),ISNUMBER(L190),N(J190)&lt;&gt;0),ROUND(L190/J190,8),"")</f>
        <v/>
      </c>
      <c r="L190" s="183">
        <f>IF(I190="Buy",-H190,IF(I190="Sell",H190,""))</f>
        <v/>
      </c>
    </row>
    <row r="191" ht="22" customHeight="1">
      <c r="B191" s="315" t="n"/>
      <c r="C191" s="240">
        <f>IF($B191="","",IF(COUNTIFS(Пул!$E$5:$E$300,$B191,Пул!$F$5:$F$300,"&lt;&gt;")=0,"",ROUND(SUMIFS(Пул!$F$5:$F$300,Пул!$E$5:$E$300,$B191),8)))</f>
        <v/>
      </c>
      <c r="D191" s="241">
        <f>IF($B191="","",IF(COUNTIFS(Пул!$E$5:$E$300,$B191,Пул!$G$5:$G$300,"&lt;&gt;")=0,"",ROUND(SUMIFS(Пул!$G$5:$G$300,Пул!$E$5:$E$300,$B191),8)))</f>
        <v/>
      </c>
      <c r="E191" s="240">
        <f>IF($B191="","",IF(COUNTIFS(Пул!$E$5:$E$300,$B191,Пул!$L$5:$L$300,"Закрыт")=0,"",ROUND(SUMIFS(Пул!$H$5:$H$300,Пул!$E$5:$E$300,$B191,Пул!$L$5:$L$300,"Закрыт"),8)))</f>
        <v/>
      </c>
      <c r="F191" s="241">
        <f>IF($B191="","",IF(COUNTIFS(Пул!$E$5:$E$300,$B191,Пул!$L$5:$L$300,"Закрыт")=0,"",ROUND(SUMIFS(Пул!$I$5:$I$300,Пул!$E$5:$E$300,$B191,Пул!$L$5:$L$300,"Закрыт"),8)))</f>
        <v/>
      </c>
      <c r="G191" s="240">
        <f>IF($B191="","",IF(COUNTIFS(Пул!$E$5:$E$300,$B191,Пул!$L$5:$L$300,"Закрыт")=0,"",ROUND(SUMIFS(Пул!$J$5:$J$300,Пул!$E$5:$E$300,$B191,Пул!$L$5:$L$300,"Закрыт"),8)))</f>
        <v/>
      </c>
      <c r="H191" s="241">
        <f>IF($B191="","",IF(COUNTIFS(Пул!$E$5:$E$300,$B191,Пул!$L$5:$L$300,"Закрыт")=0,"",ROUND(SUMIFS(Пул!$K$5:$K$300,Пул!$E$5:$E$300,$B191,Пул!$L$5:$L$300,"Закрыт"),8)))</f>
        <v/>
      </c>
      <c r="I191" s="236">
        <f>IF(AND(ISNUMBER(G191),ISNUMBER(H191)),IF(AND(G191&gt;0,H191&lt;0),"Buy",IF(AND(G191&lt;0,H191&gt;0),"Sell","")),"")</f>
        <v/>
      </c>
      <c r="J191" s="177">
        <f>IF(I191="Buy",G191,IF(I191="Sell",-G191,""))</f>
        <v/>
      </c>
      <c r="K191" s="177">
        <f>IF(AND(ISNUMBER(J191),ISNUMBER(L191),N(J191)&lt;&gt;0),ROUND(L191/J191,8),"")</f>
        <v/>
      </c>
      <c r="L191" s="177">
        <f>IF(I191="Buy",-H191,IF(I191="Sell",H191,""))</f>
        <v/>
      </c>
    </row>
    <row r="192" ht="22" customHeight="1">
      <c r="B192" s="320" t="n"/>
      <c r="C192" s="246">
        <f>IF($B192="","",IF(COUNTIFS(Пул!$E$5:$E$300,$B192,Пул!$F$5:$F$300,"&lt;&gt;")=0,"",ROUND(SUMIFS(Пул!$F$5:$F$300,Пул!$E$5:$E$300,$B192),8)))</f>
        <v/>
      </c>
      <c r="D192" s="247">
        <f>IF($B192="","",IF(COUNTIFS(Пул!$E$5:$E$300,$B192,Пул!$G$5:$G$300,"&lt;&gt;")=0,"",ROUND(SUMIFS(Пул!$G$5:$G$300,Пул!$E$5:$E$300,$B192),8)))</f>
        <v/>
      </c>
      <c r="E192" s="246">
        <f>IF($B192="","",IF(COUNTIFS(Пул!$E$5:$E$300,$B192,Пул!$L$5:$L$300,"Закрыт")=0,"",ROUND(SUMIFS(Пул!$H$5:$H$300,Пул!$E$5:$E$300,$B192,Пул!$L$5:$L$300,"Закрыт"),8)))</f>
        <v/>
      </c>
      <c r="F192" s="247">
        <f>IF($B192="","",IF(COUNTIFS(Пул!$E$5:$E$300,$B192,Пул!$L$5:$L$300,"Закрыт")=0,"",ROUND(SUMIFS(Пул!$I$5:$I$300,Пул!$E$5:$E$300,$B192,Пул!$L$5:$L$300,"Закрыт"),8)))</f>
        <v/>
      </c>
      <c r="G192" s="246">
        <f>IF($B192="","",IF(COUNTIFS(Пул!$E$5:$E$300,$B192,Пул!$L$5:$L$300,"Закрыт")=0,"",ROUND(SUMIFS(Пул!$J$5:$J$300,Пул!$E$5:$E$300,$B192,Пул!$L$5:$L$300,"Закрыт"),8)))</f>
        <v/>
      </c>
      <c r="H192" s="247">
        <f>IF($B192="","",IF(COUNTIFS(Пул!$E$5:$E$300,$B192,Пул!$L$5:$L$300,"Закрыт")=0,"",ROUND(SUMIFS(Пул!$K$5:$K$300,Пул!$E$5:$E$300,$B192,Пул!$L$5:$L$300,"Закрыт"),8)))</f>
        <v/>
      </c>
      <c r="I192" s="242">
        <f>IF(AND(ISNUMBER(G192),ISNUMBER(H192)),IF(AND(G192&gt;0,H192&lt;0),"Buy",IF(AND(G192&lt;0,H192&gt;0),"Sell","")),"")</f>
        <v/>
      </c>
      <c r="J192" s="183">
        <f>IF(I192="Buy",G192,IF(I192="Sell",-G192,""))</f>
        <v/>
      </c>
      <c r="K192" s="183">
        <f>IF(AND(ISNUMBER(J192),ISNUMBER(L192),N(J192)&lt;&gt;0),ROUND(L192/J192,8),"")</f>
        <v/>
      </c>
      <c r="L192" s="183">
        <f>IF(I192="Buy",-H192,IF(I192="Sell",H192,""))</f>
        <v/>
      </c>
    </row>
    <row r="193" ht="22" customHeight="1">
      <c r="B193" s="315" t="n"/>
      <c r="C193" s="240">
        <f>IF($B193="","",IF(COUNTIFS(Пул!$E$5:$E$300,$B193,Пул!$F$5:$F$300,"&lt;&gt;")=0,"",ROUND(SUMIFS(Пул!$F$5:$F$300,Пул!$E$5:$E$300,$B193),8)))</f>
        <v/>
      </c>
      <c r="D193" s="241">
        <f>IF($B193="","",IF(COUNTIFS(Пул!$E$5:$E$300,$B193,Пул!$G$5:$G$300,"&lt;&gt;")=0,"",ROUND(SUMIFS(Пул!$G$5:$G$300,Пул!$E$5:$E$300,$B193),8)))</f>
        <v/>
      </c>
      <c r="E193" s="240">
        <f>IF($B193="","",IF(COUNTIFS(Пул!$E$5:$E$300,$B193,Пул!$L$5:$L$300,"Закрыт")=0,"",ROUND(SUMIFS(Пул!$H$5:$H$300,Пул!$E$5:$E$300,$B193,Пул!$L$5:$L$300,"Закрыт"),8)))</f>
        <v/>
      </c>
      <c r="F193" s="241">
        <f>IF($B193="","",IF(COUNTIFS(Пул!$E$5:$E$300,$B193,Пул!$L$5:$L$300,"Закрыт")=0,"",ROUND(SUMIFS(Пул!$I$5:$I$300,Пул!$E$5:$E$300,$B193,Пул!$L$5:$L$300,"Закрыт"),8)))</f>
        <v/>
      </c>
      <c r="G193" s="240">
        <f>IF($B193="","",IF(COUNTIFS(Пул!$E$5:$E$300,$B193,Пул!$L$5:$L$300,"Закрыт")=0,"",ROUND(SUMIFS(Пул!$J$5:$J$300,Пул!$E$5:$E$300,$B193,Пул!$L$5:$L$300,"Закрыт"),8)))</f>
        <v/>
      </c>
      <c r="H193" s="241">
        <f>IF($B193="","",IF(COUNTIFS(Пул!$E$5:$E$300,$B193,Пул!$L$5:$L$300,"Закрыт")=0,"",ROUND(SUMIFS(Пул!$K$5:$K$300,Пул!$E$5:$E$300,$B193,Пул!$L$5:$L$300,"Закрыт"),8)))</f>
        <v/>
      </c>
      <c r="I193" s="236">
        <f>IF(AND(ISNUMBER(G193),ISNUMBER(H193)),IF(AND(G193&gt;0,H193&lt;0),"Buy",IF(AND(G193&lt;0,H193&gt;0),"Sell","")),"")</f>
        <v/>
      </c>
      <c r="J193" s="177">
        <f>IF(I193="Buy",G193,IF(I193="Sell",-G193,""))</f>
        <v/>
      </c>
      <c r="K193" s="177">
        <f>IF(AND(ISNUMBER(J193),ISNUMBER(L193),N(J193)&lt;&gt;0),ROUND(L193/J193,8),"")</f>
        <v/>
      </c>
      <c r="L193" s="177">
        <f>IF(I193="Buy",-H193,IF(I193="Sell",H193,""))</f>
        <v/>
      </c>
    </row>
    <row r="194" ht="22" customHeight="1">
      <c r="B194" s="320" t="n"/>
      <c r="C194" s="246">
        <f>IF($B194="","",IF(COUNTIFS(Пул!$E$5:$E$300,$B194,Пул!$F$5:$F$300,"&lt;&gt;")=0,"",ROUND(SUMIFS(Пул!$F$5:$F$300,Пул!$E$5:$E$300,$B194),8)))</f>
        <v/>
      </c>
      <c r="D194" s="247">
        <f>IF($B194="","",IF(COUNTIFS(Пул!$E$5:$E$300,$B194,Пул!$G$5:$G$300,"&lt;&gt;")=0,"",ROUND(SUMIFS(Пул!$G$5:$G$300,Пул!$E$5:$E$300,$B194),8)))</f>
        <v/>
      </c>
      <c r="E194" s="246">
        <f>IF($B194="","",IF(COUNTIFS(Пул!$E$5:$E$300,$B194,Пул!$L$5:$L$300,"Закрыт")=0,"",ROUND(SUMIFS(Пул!$H$5:$H$300,Пул!$E$5:$E$300,$B194,Пул!$L$5:$L$300,"Закрыт"),8)))</f>
        <v/>
      </c>
      <c r="F194" s="247">
        <f>IF($B194="","",IF(COUNTIFS(Пул!$E$5:$E$300,$B194,Пул!$L$5:$L$300,"Закрыт")=0,"",ROUND(SUMIFS(Пул!$I$5:$I$300,Пул!$E$5:$E$300,$B194,Пул!$L$5:$L$300,"Закрыт"),8)))</f>
        <v/>
      </c>
      <c r="G194" s="246">
        <f>IF($B194="","",IF(COUNTIFS(Пул!$E$5:$E$300,$B194,Пул!$L$5:$L$300,"Закрыт")=0,"",ROUND(SUMIFS(Пул!$J$5:$J$300,Пул!$E$5:$E$300,$B194,Пул!$L$5:$L$300,"Закрыт"),8)))</f>
        <v/>
      </c>
      <c r="H194" s="247">
        <f>IF($B194="","",IF(COUNTIFS(Пул!$E$5:$E$300,$B194,Пул!$L$5:$L$300,"Закрыт")=0,"",ROUND(SUMIFS(Пул!$K$5:$K$300,Пул!$E$5:$E$300,$B194,Пул!$L$5:$L$300,"Закрыт"),8)))</f>
        <v/>
      </c>
      <c r="I194" s="242">
        <f>IF(AND(ISNUMBER(G194),ISNUMBER(H194)),IF(AND(G194&gt;0,H194&lt;0),"Buy",IF(AND(G194&lt;0,H194&gt;0),"Sell","")),"")</f>
        <v/>
      </c>
      <c r="J194" s="183">
        <f>IF(I194="Buy",G194,IF(I194="Sell",-G194,""))</f>
        <v/>
      </c>
      <c r="K194" s="183">
        <f>IF(AND(ISNUMBER(J194),ISNUMBER(L194),N(J194)&lt;&gt;0),ROUND(L194/J194,8),"")</f>
        <v/>
      </c>
      <c r="L194" s="183">
        <f>IF(I194="Buy",-H194,IF(I194="Sell",H194,""))</f>
        <v/>
      </c>
    </row>
    <row r="195" ht="22" customHeight="1">
      <c r="B195" s="315" t="n"/>
      <c r="C195" s="240">
        <f>IF($B195="","",IF(COUNTIFS(Пул!$E$5:$E$300,$B195,Пул!$F$5:$F$300,"&lt;&gt;")=0,"",ROUND(SUMIFS(Пул!$F$5:$F$300,Пул!$E$5:$E$300,$B195),8)))</f>
        <v/>
      </c>
      <c r="D195" s="241">
        <f>IF($B195="","",IF(COUNTIFS(Пул!$E$5:$E$300,$B195,Пул!$G$5:$G$300,"&lt;&gt;")=0,"",ROUND(SUMIFS(Пул!$G$5:$G$300,Пул!$E$5:$E$300,$B195),8)))</f>
        <v/>
      </c>
      <c r="E195" s="240">
        <f>IF($B195="","",IF(COUNTIFS(Пул!$E$5:$E$300,$B195,Пул!$L$5:$L$300,"Закрыт")=0,"",ROUND(SUMIFS(Пул!$H$5:$H$300,Пул!$E$5:$E$300,$B195,Пул!$L$5:$L$300,"Закрыт"),8)))</f>
        <v/>
      </c>
      <c r="F195" s="241">
        <f>IF($B195="","",IF(COUNTIFS(Пул!$E$5:$E$300,$B195,Пул!$L$5:$L$300,"Закрыт")=0,"",ROUND(SUMIFS(Пул!$I$5:$I$300,Пул!$E$5:$E$300,$B195,Пул!$L$5:$L$300,"Закрыт"),8)))</f>
        <v/>
      </c>
      <c r="G195" s="240">
        <f>IF($B195="","",IF(COUNTIFS(Пул!$E$5:$E$300,$B195,Пул!$L$5:$L$300,"Закрыт")=0,"",ROUND(SUMIFS(Пул!$J$5:$J$300,Пул!$E$5:$E$300,$B195,Пул!$L$5:$L$300,"Закрыт"),8)))</f>
        <v/>
      </c>
      <c r="H195" s="241">
        <f>IF($B195="","",IF(COUNTIFS(Пул!$E$5:$E$300,$B195,Пул!$L$5:$L$300,"Закрыт")=0,"",ROUND(SUMIFS(Пул!$K$5:$K$300,Пул!$E$5:$E$300,$B195,Пул!$L$5:$L$300,"Закрыт"),8)))</f>
        <v/>
      </c>
      <c r="I195" s="236">
        <f>IF(AND(ISNUMBER(G195),ISNUMBER(H195)),IF(AND(G195&gt;0,H195&lt;0),"Buy",IF(AND(G195&lt;0,H195&gt;0),"Sell","")),"")</f>
        <v/>
      </c>
      <c r="J195" s="177">
        <f>IF(I195="Buy",G195,IF(I195="Sell",-G195,""))</f>
        <v/>
      </c>
      <c r="K195" s="177">
        <f>IF(AND(ISNUMBER(J195),ISNUMBER(L195),N(J195)&lt;&gt;0),ROUND(L195/J195,8),"")</f>
        <v/>
      </c>
      <c r="L195" s="177">
        <f>IF(I195="Buy",-H195,IF(I195="Sell",H195,""))</f>
        <v/>
      </c>
    </row>
    <row r="196" ht="22" customHeight="1">
      <c r="B196" s="320" t="n"/>
      <c r="C196" s="246">
        <f>IF($B196="","",IF(COUNTIFS(Пул!$E$5:$E$300,$B196,Пул!$F$5:$F$300,"&lt;&gt;")=0,"",ROUND(SUMIFS(Пул!$F$5:$F$300,Пул!$E$5:$E$300,$B196),8)))</f>
        <v/>
      </c>
      <c r="D196" s="247">
        <f>IF($B196="","",IF(COUNTIFS(Пул!$E$5:$E$300,$B196,Пул!$G$5:$G$300,"&lt;&gt;")=0,"",ROUND(SUMIFS(Пул!$G$5:$G$300,Пул!$E$5:$E$300,$B196),8)))</f>
        <v/>
      </c>
      <c r="E196" s="246">
        <f>IF($B196="","",IF(COUNTIFS(Пул!$E$5:$E$300,$B196,Пул!$L$5:$L$300,"Закрыт")=0,"",ROUND(SUMIFS(Пул!$H$5:$H$300,Пул!$E$5:$E$300,$B196,Пул!$L$5:$L$300,"Закрыт"),8)))</f>
        <v/>
      </c>
      <c r="F196" s="247">
        <f>IF($B196="","",IF(COUNTIFS(Пул!$E$5:$E$300,$B196,Пул!$L$5:$L$300,"Закрыт")=0,"",ROUND(SUMIFS(Пул!$I$5:$I$300,Пул!$E$5:$E$300,$B196,Пул!$L$5:$L$300,"Закрыт"),8)))</f>
        <v/>
      </c>
      <c r="G196" s="246">
        <f>IF($B196="","",IF(COUNTIFS(Пул!$E$5:$E$300,$B196,Пул!$L$5:$L$300,"Закрыт")=0,"",ROUND(SUMIFS(Пул!$J$5:$J$300,Пул!$E$5:$E$300,$B196,Пул!$L$5:$L$300,"Закрыт"),8)))</f>
        <v/>
      </c>
      <c r="H196" s="247">
        <f>IF($B196="","",IF(COUNTIFS(Пул!$E$5:$E$300,$B196,Пул!$L$5:$L$300,"Закрыт")=0,"",ROUND(SUMIFS(Пул!$K$5:$K$300,Пул!$E$5:$E$300,$B196,Пул!$L$5:$L$300,"Закрыт"),8)))</f>
        <v/>
      </c>
      <c r="I196" s="242">
        <f>IF(AND(ISNUMBER(G196),ISNUMBER(H196)),IF(AND(G196&gt;0,H196&lt;0),"Buy",IF(AND(G196&lt;0,H196&gt;0),"Sell","")),"")</f>
        <v/>
      </c>
      <c r="J196" s="183">
        <f>IF(I196="Buy",G196,IF(I196="Sell",-G196,""))</f>
        <v/>
      </c>
      <c r="K196" s="183">
        <f>IF(AND(ISNUMBER(J196),ISNUMBER(L196),N(J196)&lt;&gt;0),ROUND(L196/J196,8),"")</f>
        <v/>
      </c>
      <c r="L196" s="183">
        <f>IF(I196="Buy",-H196,IF(I196="Sell",H196,""))</f>
        <v/>
      </c>
    </row>
    <row r="197" ht="22" customHeight="1">
      <c r="B197" s="315" t="n"/>
      <c r="C197" s="240">
        <f>IF($B197="","",IF(COUNTIFS(Пул!$E$5:$E$300,$B197,Пул!$F$5:$F$300,"&lt;&gt;")=0,"",ROUND(SUMIFS(Пул!$F$5:$F$300,Пул!$E$5:$E$300,$B197),8)))</f>
        <v/>
      </c>
      <c r="D197" s="241">
        <f>IF($B197="","",IF(COUNTIFS(Пул!$E$5:$E$300,$B197,Пул!$G$5:$G$300,"&lt;&gt;")=0,"",ROUND(SUMIFS(Пул!$G$5:$G$300,Пул!$E$5:$E$300,$B197),8)))</f>
        <v/>
      </c>
      <c r="E197" s="240">
        <f>IF($B197="","",IF(COUNTIFS(Пул!$E$5:$E$300,$B197,Пул!$L$5:$L$300,"Закрыт")=0,"",ROUND(SUMIFS(Пул!$H$5:$H$300,Пул!$E$5:$E$300,$B197,Пул!$L$5:$L$300,"Закрыт"),8)))</f>
        <v/>
      </c>
      <c r="F197" s="241">
        <f>IF($B197="","",IF(COUNTIFS(Пул!$E$5:$E$300,$B197,Пул!$L$5:$L$300,"Закрыт")=0,"",ROUND(SUMIFS(Пул!$I$5:$I$300,Пул!$E$5:$E$300,$B197,Пул!$L$5:$L$300,"Закрыт"),8)))</f>
        <v/>
      </c>
      <c r="G197" s="240">
        <f>IF($B197="","",IF(COUNTIFS(Пул!$E$5:$E$300,$B197,Пул!$L$5:$L$300,"Закрыт")=0,"",ROUND(SUMIFS(Пул!$J$5:$J$300,Пул!$E$5:$E$300,$B197,Пул!$L$5:$L$300,"Закрыт"),8)))</f>
        <v/>
      </c>
      <c r="H197" s="241">
        <f>IF($B197="","",IF(COUNTIFS(Пул!$E$5:$E$300,$B197,Пул!$L$5:$L$300,"Закрыт")=0,"",ROUND(SUMIFS(Пул!$K$5:$K$300,Пул!$E$5:$E$300,$B197,Пул!$L$5:$L$300,"Закрыт"),8)))</f>
        <v/>
      </c>
      <c r="I197" s="236">
        <f>IF(AND(ISNUMBER(G197),ISNUMBER(H197)),IF(AND(G197&gt;0,H197&lt;0),"Buy",IF(AND(G197&lt;0,H197&gt;0),"Sell","")),"")</f>
        <v/>
      </c>
      <c r="J197" s="177">
        <f>IF(I197="Buy",G197,IF(I197="Sell",-G197,""))</f>
        <v/>
      </c>
      <c r="K197" s="177">
        <f>IF(AND(ISNUMBER(J197),ISNUMBER(L197),N(J197)&lt;&gt;0),ROUND(L197/J197,8),"")</f>
        <v/>
      </c>
      <c r="L197" s="177">
        <f>IF(I197="Buy",-H197,IF(I197="Sell",H197,""))</f>
        <v/>
      </c>
    </row>
    <row r="198" ht="22" customHeight="1">
      <c r="B198" s="320" t="n"/>
      <c r="C198" s="246">
        <f>IF($B198="","",IF(COUNTIFS(Пул!$E$5:$E$300,$B198,Пул!$F$5:$F$300,"&lt;&gt;")=0,"",ROUND(SUMIFS(Пул!$F$5:$F$300,Пул!$E$5:$E$300,$B198),8)))</f>
        <v/>
      </c>
      <c r="D198" s="247">
        <f>IF($B198="","",IF(COUNTIFS(Пул!$E$5:$E$300,$B198,Пул!$G$5:$G$300,"&lt;&gt;")=0,"",ROUND(SUMIFS(Пул!$G$5:$G$300,Пул!$E$5:$E$300,$B198),8)))</f>
        <v/>
      </c>
      <c r="E198" s="246">
        <f>IF($B198="","",IF(COUNTIFS(Пул!$E$5:$E$300,$B198,Пул!$L$5:$L$300,"Закрыт")=0,"",ROUND(SUMIFS(Пул!$H$5:$H$300,Пул!$E$5:$E$300,$B198,Пул!$L$5:$L$300,"Закрыт"),8)))</f>
        <v/>
      </c>
      <c r="F198" s="247">
        <f>IF($B198="","",IF(COUNTIFS(Пул!$E$5:$E$300,$B198,Пул!$L$5:$L$300,"Закрыт")=0,"",ROUND(SUMIFS(Пул!$I$5:$I$300,Пул!$E$5:$E$300,$B198,Пул!$L$5:$L$300,"Закрыт"),8)))</f>
        <v/>
      </c>
      <c r="G198" s="246">
        <f>IF($B198="","",IF(COUNTIFS(Пул!$E$5:$E$300,$B198,Пул!$L$5:$L$300,"Закрыт")=0,"",ROUND(SUMIFS(Пул!$J$5:$J$300,Пул!$E$5:$E$300,$B198,Пул!$L$5:$L$300,"Закрыт"),8)))</f>
        <v/>
      </c>
      <c r="H198" s="247">
        <f>IF($B198="","",IF(COUNTIFS(Пул!$E$5:$E$300,$B198,Пул!$L$5:$L$300,"Закрыт")=0,"",ROUND(SUMIFS(Пул!$K$5:$K$300,Пул!$E$5:$E$300,$B198,Пул!$L$5:$L$300,"Закрыт"),8)))</f>
        <v/>
      </c>
      <c r="I198" s="242">
        <f>IF(AND(ISNUMBER(G198),ISNUMBER(H198)),IF(AND(G198&gt;0,H198&lt;0),"Buy",IF(AND(G198&lt;0,H198&gt;0),"Sell","")),"")</f>
        <v/>
      </c>
      <c r="J198" s="183">
        <f>IF(I198="Buy",G198,IF(I198="Sell",-G198,""))</f>
        <v/>
      </c>
      <c r="K198" s="183">
        <f>IF(AND(ISNUMBER(J198),ISNUMBER(L198),N(J198)&lt;&gt;0),ROUND(L198/J198,8),"")</f>
        <v/>
      </c>
      <c r="L198" s="183">
        <f>IF(I198="Buy",-H198,IF(I198="Sell",H198,""))</f>
        <v/>
      </c>
    </row>
    <row r="199" ht="22" customHeight="1">
      <c r="B199" s="315" t="n"/>
      <c r="C199" s="240">
        <f>IF($B199="","",IF(COUNTIFS(Пул!$E$5:$E$300,$B199,Пул!$F$5:$F$300,"&lt;&gt;")=0,"",ROUND(SUMIFS(Пул!$F$5:$F$300,Пул!$E$5:$E$300,$B199),8)))</f>
        <v/>
      </c>
      <c r="D199" s="241">
        <f>IF($B199="","",IF(COUNTIFS(Пул!$E$5:$E$300,$B199,Пул!$G$5:$G$300,"&lt;&gt;")=0,"",ROUND(SUMIFS(Пул!$G$5:$G$300,Пул!$E$5:$E$300,$B199),8)))</f>
        <v/>
      </c>
      <c r="E199" s="240">
        <f>IF($B199="","",IF(COUNTIFS(Пул!$E$5:$E$300,$B199,Пул!$L$5:$L$300,"Закрыт")=0,"",ROUND(SUMIFS(Пул!$H$5:$H$300,Пул!$E$5:$E$300,$B199,Пул!$L$5:$L$300,"Закрыт"),8)))</f>
        <v/>
      </c>
      <c r="F199" s="241">
        <f>IF($B199="","",IF(COUNTIFS(Пул!$E$5:$E$300,$B199,Пул!$L$5:$L$300,"Закрыт")=0,"",ROUND(SUMIFS(Пул!$I$5:$I$300,Пул!$E$5:$E$300,$B199,Пул!$L$5:$L$300,"Закрыт"),8)))</f>
        <v/>
      </c>
      <c r="G199" s="240">
        <f>IF($B199="","",IF(COUNTIFS(Пул!$E$5:$E$300,$B199,Пул!$L$5:$L$300,"Закрыт")=0,"",ROUND(SUMIFS(Пул!$J$5:$J$300,Пул!$E$5:$E$300,$B199,Пул!$L$5:$L$300,"Закрыт"),8)))</f>
        <v/>
      </c>
      <c r="H199" s="241">
        <f>IF($B199="","",IF(COUNTIFS(Пул!$E$5:$E$300,$B199,Пул!$L$5:$L$300,"Закрыт")=0,"",ROUND(SUMIFS(Пул!$K$5:$K$300,Пул!$E$5:$E$300,$B199,Пул!$L$5:$L$300,"Закрыт"),8)))</f>
        <v/>
      </c>
      <c r="I199" s="236">
        <f>IF(AND(ISNUMBER(G199),ISNUMBER(H199)),IF(AND(G199&gt;0,H199&lt;0),"Buy",IF(AND(G199&lt;0,H199&gt;0),"Sell","")),"")</f>
        <v/>
      </c>
      <c r="J199" s="177">
        <f>IF(I199="Buy",G199,IF(I199="Sell",-G199,""))</f>
        <v/>
      </c>
      <c r="K199" s="177">
        <f>IF(AND(ISNUMBER(J199),ISNUMBER(L199),N(J199)&lt;&gt;0),ROUND(L199/J199,8),"")</f>
        <v/>
      </c>
      <c r="L199" s="177">
        <f>IF(I199="Buy",-H199,IF(I199="Sell",H199,""))</f>
        <v/>
      </c>
    </row>
    <row r="200" ht="22" customHeight="1">
      <c r="B200" s="320" t="n"/>
      <c r="C200" s="246">
        <f>IF($B200="","",IF(COUNTIFS(Пул!$E$5:$E$300,$B200,Пул!$F$5:$F$300,"&lt;&gt;")=0,"",ROUND(SUMIFS(Пул!$F$5:$F$300,Пул!$E$5:$E$300,$B200),8)))</f>
        <v/>
      </c>
      <c r="D200" s="247">
        <f>IF($B200="","",IF(COUNTIFS(Пул!$E$5:$E$300,$B200,Пул!$G$5:$G$300,"&lt;&gt;")=0,"",ROUND(SUMIFS(Пул!$G$5:$G$300,Пул!$E$5:$E$300,$B200),8)))</f>
        <v/>
      </c>
      <c r="E200" s="246">
        <f>IF($B200="","",IF(COUNTIFS(Пул!$E$5:$E$300,$B200,Пул!$L$5:$L$300,"Закрыт")=0,"",ROUND(SUMIFS(Пул!$H$5:$H$300,Пул!$E$5:$E$300,$B200,Пул!$L$5:$L$300,"Закрыт"),8)))</f>
        <v/>
      </c>
      <c r="F200" s="247">
        <f>IF($B200="","",IF(COUNTIFS(Пул!$E$5:$E$300,$B200,Пул!$L$5:$L$300,"Закрыт")=0,"",ROUND(SUMIFS(Пул!$I$5:$I$300,Пул!$E$5:$E$300,$B200,Пул!$L$5:$L$300,"Закрыт"),8)))</f>
        <v/>
      </c>
      <c r="G200" s="246">
        <f>IF($B200="","",IF(COUNTIFS(Пул!$E$5:$E$300,$B200,Пул!$L$5:$L$300,"Закрыт")=0,"",ROUND(SUMIFS(Пул!$J$5:$J$300,Пул!$E$5:$E$300,$B200,Пул!$L$5:$L$300,"Закрыт"),8)))</f>
        <v/>
      </c>
      <c r="H200" s="247">
        <f>IF($B200="","",IF(COUNTIFS(Пул!$E$5:$E$300,$B200,Пул!$L$5:$L$300,"Закрыт")=0,"",ROUND(SUMIFS(Пул!$K$5:$K$300,Пул!$E$5:$E$300,$B200,Пул!$L$5:$L$300,"Закрыт"),8)))</f>
        <v/>
      </c>
      <c r="I200" s="242">
        <f>IF(AND(ISNUMBER(G200),ISNUMBER(H200)),IF(AND(G200&gt;0,H200&lt;0),"Buy",IF(AND(G200&lt;0,H200&gt;0),"Sell","")),"")</f>
        <v/>
      </c>
      <c r="J200" s="183">
        <f>IF(I200="Buy",G200,IF(I200="Sell",-G200,""))</f>
        <v/>
      </c>
      <c r="K200" s="183">
        <f>IF(AND(ISNUMBER(J200),ISNUMBER(L200),N(J200)&lt;&gt;0),ROUND(L200/J200,8),"")</f>
        <v/>
      </c>
      <c r="L200" s="183">
        <f>IF(I200="Buy",-H200,IF(I200="Sell",H200,""))</f>
        <v/>
      </c>
    </row>
    <row r="201" ht="22" customHeight="1">
      <c r="B201" s="315" t="n"/>
      <c r="C201" s="240">
        <f>IF($B201="","",IF(COUNTIFS(Пул!$E$5:$E$300,$B201,Пул!$F$5:$F$300,"&lt;&gt;")=0,"",ROUND(SUMIFS(Пул!$F$5:$F$300,Пул!$E$5:$E$300,$B201),8)))</f>
        <v/>
      </c>
      <c r="D201" s="241">
        <f>IF($B201="","",IF(COUNTIFS(Пул!$E$5:$E$300,$B201,Пул!$G$5:$G$300,"&lt;&gt;")=0,"",ROUND(SUMIFS(Пул!$G$5:$G$300,Пул!$E$5:$E$300,$B201),8)))</f>
        <v/>
      </c>
      <c r="E201" s="240">
        <f>IF($B201="","",IF(COUNTIFS(Пул!$E$5:$E$300,$B201,Пул!$L$5:$L$300,"Закрыт")=0,"",ROUND(SUMIFS(Пул!$H$5:$H$300,Пул!$E$5:$E$300,$B201,Пул!$L$5:$L$300,"Закрыт"),8)))</f>
        <v/>
      </c>
      <c r="F201" s="241">
        <f>IF($B201="","",IF(COUNTIFS(Пул!$E$5:$E$300,$B201,Пул!$L$5:$L$300,"Закрыт")=0,"",ROUND(SUMIFS(Пул!$I$5:$I$300,Пул!$E$5:$E$300,$B201,Пул!$L$5:$L$300,"Закрыт"),8)))</f>
        <v/>
      </c>
      <c r="G201" s="240">
        <f>IF($B201="","",IF(COUNTIFS(Пул!$E$5:$E$300,$B201,Пул!$L$5:$L$300,"Закрыт")=0,"",ROUND(SUMIFS(Пул!$J$5:$J$300,Пул!$E$5:$E$300,$B201,Пул!$L$5:$L$300,"Закрыт"),8)))</f>
        <v/>
      </c>
      <c r="H201" s="241">
        <f>IF($B201="","",IF(COUNTIFS(Пул!$E$5:$E$300,$B201,Пул!$L$5:$L$300,"Закрыт")=0,"",ROUND(SUMIFS(Пул!$K$5:$K$300,Пул!$E$5:$E$300,$B201,Пул!$L$5:$L$300,"Закрыт"),8)))</f>
        <v/>
      </c>
      <c r="I201" s="236">
        <f>IF(AND(ISNUMBER(G201),ISNUMBER(H201)),IF(AND(G201&gt;0,H201&lt;0),"Buy",IF(AND(G201&lt;0,H201&gt;0),"Sell","")),"")</f>
        <v/>
      </c>
      <c r="J201" s="177">
        <f>IF(I201="Buy",G201,IF(I201="Sell",-G201,""))</f>
        <v/>
      </c>
      <c r="K201" s="177">
        <f>IF(AND(ISNUMBER(J201),ISNUMBER(L201),N(J201)&lt;&gt;0),ROUND(L201/J201,8),"")</f>
        <v/>
      </c>
      <c r="L201" s="177">
        <f>IF(I201="Buy",-H201,IF(I201="Sell",H201,""))</f>
        <v/>
      </c>
    </row>
    <row r="202" ht="22" customHeight="1">
      <c r="B202" s="320" t="n"/>
      <c r="C202" s="246">
        <f>IF($B202="","",IF(COUNTIFS(Пул!$E$5:$E$300,$B202,Пул!$F$5:$F$300,"&lt;&gt;")=0,"",ROUND(SUMIFS(Пул!$F$5:$F$300,Пул!$E$5:$E$300,$B202),8)))</f>
        <v/>
      </c>
      <c r="D202" s="247">
        <f>IF($B202="","",IF(COUNTIFS(Пул!$E$5:$E$300,$B202,Пул!$G$5:$G$300,"&lt;&gt;")=0,"",ROUND(SUMIFS(Пул!$G$5:$G$300,Пул!$E$5:$E$300,$B202),8)))</f>
        <v/>
      </c>
      <c r="E202" s="246">
        <f>IF($B202="","",IF(COUNTIFS(Пул!$E$5:$E$300,$B202,Пул!$L$5:$L$300,"Закрыт")=0,"",ROUND(SUMIFS(Пул!$H$5:$H$300,Пул!$E$5:$E$300,$B202,Пул!$L$5:$L$300,"Закрыт"),8)))</f>
        <v/>
      </c>
      <c r="F202" s="247">
        <f>IF($B202="","",IF(COUNTIFS(Пул!$E$5:$E$300,$B202,Пул!$L$5:$L$300,"Закрыт")=0,"",ROUND(SUMIFS(Пул!$I$5:$I$300,Пул!$E$5:$E$300,$B202,Пул!$L$5:$L$300,"Закрыт"),8)))</f>
        <v/>
      </c>
      <c r="G202" s="246">
        <f>IF($B202="","",IF(COUNTIFS(Пул!$E$5:$E$300,$B202,Пул!$L$5:$L$300,"Закрыт")=0,"",ROUND(SUMIFS(Пул!$J$5:$J$300,Пул!$E$5:$E$300,$B202,Пул!$L$5:$L$300,"Закрыт"),8)))</f>
        <v/>
      </c>
      <c r="H202" s="247">
        <f>IF($B202="","",IF(COUNTIFS(Пул!$E$5:$E$300,$B202,Пул!$L$5:$L$300,"Закрыт")=0,"",ROUND(SUMIFS(Пул!$K$5:$K$300,Пул!$E$5:$E$300,$B202,Пул!$L$5:$L$300,"Закрыт"),8)))</f>
        <v/>
      </c>
      <c r="I202" s="242">
        <f>IF(AND(ISNUMBER(G202),ISNUMBER(H202)),IF(AND(G202&gt;0,H202&lt;0),"Buy",IF(AND(G202&lt;0,H202&gt;0),"Sell","")),"")</f>
        <v/>
      </c>
      <c r="J202" s="183">
        <f>IF(I202="Buy",G202,IF(I202="Sell",-G202,""))</f>
        <v/>
      </c>
      <c r="K202" s="183">
        <f>IF(AND(ISNUMBER(J202),ISNUMBER(L202),N(J202)&lt;&gt;0),ROUND(L202/J202,8),"")</f>
        <v/>
      </c>
      <c r="L202" s="183">
        <f>IF(I202="Buy",-H202,IF(I202="Sell",H202,""))</f>
        <v/>
      </c>
    </row>
    <row r="203" ht="22" customHeight="1">
      <c r="B203" s="315" t="n"/>
      <c r="C203" s="240">
        <f>IF($B203="","",IF(COUNTIFS(Пул!$E$5:$E$300,$B203,Пул!$F$5:$F$300,"&lt;&gt;")=0,"",ROUND(SUMIFS(Пул!$F$5:$F$300,Пул!$E$5:$E$300,$B203),8)))</f>
        <v/>
      </c>
      <c r="D203" s="241">
        <f>IF($B203="","",IF(COUNTIFS(Пул!$E$5:$E$300,$B203,Пул!$G$5:$G$300,"&lt;&gt;")=0,"",ROUND(SUMIFS(Пул!$G$5:$G$300,Пул!$E$5:$E$300,$B203),8)))</f>
        <v/>
      </c>
      <c r="E203" s="240">
        <f>IF($B203="","",IF(COUNTIFS(Пул!$E$5:$E$300,$B203,Пул!$L$5:$L$300,"Закрыт")=0,"",ROUND(SUMIFS(Пул!$H$5:$H$300,Пул!$E$5:$E$300,$B203,Пул!$L$5:$L$300,"Закрыт"),8)))</f>
        <v/>
      </c>
      <c r="F203" s="241">
        <f>IF($B203="","",IF(COUNTIFS(Пул!$E$5:$E$300,$B203,Пул!$L$5:$L$300,"Закрыт")=0,"",ROUND(SUMIFS(Пул!$I$5:$I$300,Пул!$E$5:$E$300,$B203,Пул!$L$5:$L$300,"Закрыт"),8)))</f>
        <v/>
      </c>
      <c r="G203" s="240">
        <f>IF($B203="","",IF(COUNTIFS(Пул!$E$5:$E$300,$B203,Пул!$L$5:$L$300,"Закрыт")=0,"",ROUND(SUMIFS(Пул!$J$5:$J$300,Пул!$E$5:$E$300,$B203,Пул!$L$5:$L$300,"Закрыт"),8)))</f>
        <v/>
      </c>
      <c r="H203" s="241">
        <f>IF($B203="","",IF(COUNTIFS(Пул!$E$5:$E$300,$B203,Пул!$L$5:$L$300,"Закрыт")=0,"",ROUND(SUMIFS(Пул!$K$5:$K$300,Пул!$E$5:$E$300,$B203,Пул!$L$5:$L$300,"Закрыт"),8)))</f>
        <v/>
      </c>
      <c r="I203" s="236">
        <f>IF(AND(ISNUMBER(G203),ISNUMBER(H203)),IF(AND(G203&gt;0,H203&lt;0),"Buy",IF(AND(G203&lt;0,H203&gt;0),"Sell","")),"")</f>
        <v/>
      </c>
      <c r="J203" s="177">
        <f>IF(I203="Buy",G203,IF(I203="Sell",-G203,""))</f>
        <v/>
      </c>
      <c r="K203" s="177">
        <f>IF(AND(ISNUMBER(J203),ISNUMBER(L203),N(J203)&lt;&gt;0),ROUND(L203/J203,8),"")</f>
        <v/>
      </c>
      <c r="L203" s="177">
        <f>IF(I203="Buy",-H203,IF(I203="Sell",H203,""))</f>
        <v/>
      </c>
    </row>
    <row r="204" ht="22" customHeight="1">
      <c r="B204" s="320" t="n"/>
      <c r="C204" s="246">
        <f>IF($B204="","",IF(COUNTIFS(Пул!$E$5:$E$300,$B204,Пул!$F$5:$F$300,"&lt;&gt;")=0,"",ROUND(SUMIFS(Пул!$F$5:$F$300,Пул!$E$5:$E$300,$B204),8)))</f>
        <v/>
      </c>
      <c r="D204" s="247">
        <f>IF($B204="","",IF(COUNTIFS(Пул!$E$5:$E$300,$B204,Пул!$G$5:$G$300,"&lt;&gt;")=0,"",ROUND(SUMIFS(Пул!$G$5:$G$300,Пул!$E$5:$E$300,$B204),8)))</f>
        <v/>
      </c>
      <c r="E204" s="246">
        <f>IF($B204="","",IF(COUNTIFS(Пул!$E$5:$E$300,$B204,Пул!$L$5:$L$300,"Закрыт")=0,"",ROUND(SUMIFS(Пул!$H$5:$H$300,Пул!$E$5:$E$300,$B204,Пул!$L$5:$L$300,"Закрыт"),8)))</f>
        <v/>
      </c>
      <c r="F204" s="247">
        <f>IF($B204="","",IF(COUNTIFS(Пул!$E$5:$E$300,$B204,Пул!$L$5:$L$300,"Закрыт")=0,"",ROUND(SUMIFS(Пул!$I$5:$I$300,Пул!$E$5:$E$300,$B204,Пул!$L$5:$L$300,"Закрыт"),8)))</f>
        <v/>
      </c>
      <c r="G204" s="246">
        <f>IF($B204="","",IF(COUNTIFS(Пул!$E$5:$E$300,$B204,Пул!$L$5:$L$300,"Закрыт")=0,"",ROUND(SUMIFS(Пул!$J$5:$J$300,Пул!$E$5:$E$300,$B204,Пул!$L$5:$L$300,"Закрыт"),8)))</f>
        <v/>
      </c>
      <c r="H204" s="247">
        <f>IF($B204="","",IF(COUNTIFS(Пул!$E$5:$E$300,$B204,Пул!$L$5:$L$300,"Закрыт")=0,"",ROUND(SUMIFS(Пул!$K$5:$K$300,Пул!$E$5:$E$300,$B204,Пул!$L$5:$L$300,"Закрыт"),8)))</f>
        <v/>
      </c>
      <c r="I204" s="242">
        <f>IF(AND(ISNUMBER(G204),ISNUMBER(H204)),IF(AND(G204&gt;0,H204&lt;0),"Buy",IF(AND(G204&lt;0,H204&gt;0),"Sell","")),"")</f>
        <v/>
      </c>
      <c r="J204" s="183">
        <f>IF(I204="Buy",G204,IF(I204="Sell",-G204,""))</f>
        <v/>
      </c>
      <c r="K204" s="183">
        <f>IF(AND(ISNUMBER(J204),ISNUMBER(L204),N(J204)&lt;&gt;0),ROUND(L204/J204,8),"")</f>
        <v/>
      </c>
      <c r="L204" s="183">
        <f>IF(I204="Buy",-H204,IF(I204="Sell",H204,""))</f>
        <v/>
      </c>
    </row>
    <row r="205" ht="22" customHeight="1">
      <c r="B205" s="315" t="n"/>
      <c r="C205" s="240">
        <f>IF($B205="","",IF(COUNTIFS(Пул!$E$5:$E$300,$B205,Пул!$F$5:$F$300,"&lt;&gt;")=0,"",ROUND(SUMIFS(Пул!$F$5:$F$300,Пул!$E$5:$E$300,$B205),8)))</f>
        <v/>
      </c>
      <c r="D205" s="241">
        <f>IF($B205="","",IF(COUNTIFS(Пул!$E$5:$E$300,$B205,Пул!$G$5:$G$300,"&lt;&gt;")=0,"",ROUND(SUMIFS(Пул!$G$5:$G$300,Пул!$E$5:$E$300,$B205),8)))</f>
        <v/>
      </c>
      <c r="E205" s="240">
        <f>IF($B205="","",IF(COUNTIFS(Пул!$E$5:$E$300,$B205,Пул!$L$5:$L$300,"Закрыт")=0,"",ROUND(SUMIFS(Пул!$H$5:$H$300,Пул!$E$5:$E$300,$B205,Пул!$L$5:$L$300,"Закрыт"),8)))</f>
        <v/>
      </c>
      <c r="F205" s="241">
        <f>IF($B205="","",IF(COUNTIFS(Пул!$E$5:$E$300,$B205,Пул!$L$5:$L$300,"Закрыт")=0,"",ROUND(SUMIFS(Пул!$I$5:$I$300,Пул!$E$5:$E$300,$B205,Пул!$L$5:$L$300,"Закрыт"),8)))</f>
        <v/>
      </c>
      <c r="G205" s="240">
        <f>IF($B205="","",IF(COUNTIFS(Пул!$E$5:$E$300,$B205,Пул!$L$5:$L$300,"Закрыт")=0,"",ROUND(SUMIFS(Пул!$J$5:$J$300,Пул!$E$5:$E$300,$B205,Пул!$L$5:$L$300,"Закрыт"),8)))</f>
        <v/>
      </c>
      <c r="H205" s="241">
        <f>IF($B205="","",IF(COUNTIFS(Пул!$E$5:$E$300,$B205,Пул!$L$5:$L$300,"Закрыт")=0,"",ROUND(SUMIFS(Пул!$K$5:$K$300,Пул!$E$5:$E$300,$B205,Пул!$L$5:$L$300,"Закрыт"),8)))</f>
        <v/>
      </c>
      <c r="I205" s="236">
        <f>IF(AND(ISNUMBER(G205),ISNUMBER(H205)),IF(AND(G205&gt;0,H205&lt;0),"Buy",IF(AND(G205&lt;0,H205&gt;0),"Sell","")),"")</f>
        <v/>
      </c>
      <c r="J205" s="177">
        <f>IF(I205="Buy",G205,IF(I205="Sell",-G205,""))</f>
        <v/>
      </c>
      <c r="K205" s="177">
        <f>IF(AND(ISNUMBER(J205),ISNUMBER(L205),N(J205)&lt;&gt;0),ROUND(L205/J205,8),"")</f>
        <v/>
      </c>
      <c r="L205" s="177">
        <f>IF(I205="Buy",-H205,IF(I205="Sell",H205,""))</f>
        <v/>
      </c>
    </row>
    <row r="206" ht="22" customHeight="1">
      <c r="B206" s="320" t="n"/>
      <c r="C206" s="246">
        <f>IF($B206="","",IF(COUNTIFS(Пул!$E$5:$E$300,$B206,Пул!$F$5:$F$300,"&lt;&gt;")=0,"",ROUND(SUMIFS(Пул!$F$5:$F$300,Пул!$E$5:$E$300,$B206),8)))</f>
        <v/>
      </c>
      <c r="D206" s="247">
        <f>IF($B206="","",IF(COUNTIFS(Пул!$E$5:$E$300,$B206,Пул!$G$5:$G$300,"&lt;&gt;")=0,"",ROUND(SUMIFS(Пул!$G$5:$G$300,Пул!$E$5:$E$300,$B206),8)))</f>
        <v/>
      </c>
      <c r="E206" s="246">
        <f>IF($B206="","",IF(COUNTIFS(Пул!$E$5:$E$300,$B206,Пул!$L$5:$L$300,"Закрыт")=0,"",ROUND(SUMIFS(Пул!$H$5:$H$300,Пул!$E$5:$E$300,$B206,Пул!$L$5:$L$300,"Закрыт"),8)))</f>
        <v/>
      </c>
      <c r="F206" s="247">
        <f>IF($B206="","",IF(COUNTIFS(Пул!$E$5:$E$300,$B206,Пул!$L$5:$L$300,"Закрыт")=0,"",ROUND(SUMIFS(Пул!$I$5:$I$300,Пул!$E$5:$E$300,$B206,Пул!$L$5:$L$300,"Закрыт"),8)))</f>
        <v/>
      </c>
      <c r="G206" s="246">
        <f>IF($B206="","",IF(COUNTIFS(Пул!$E$5:$E$300,$B206,Пул!$L$5:$L$300,"Закрыт")=0,"",ROUND(SUMIFS(Пул!$J$5:$J$300,Пул!$E$5:$E$300,$B206,Пул!$L$5:$L$300,"Закрыт"),8)))</f>
        <v/>
      </c>
      <c r="H206" s="247">
        <f>IF($B206="","",IF(COUNTIFS(Пул!$E$5:$E$300,$B206,Пул!$L$5:$L$300,"Закрыт")=0,"",ROUND(SUMIFS(Пул!$K$5:$K$300,Пул!$E$5:$E$300,$B206,Пул!$L$5:$L$300,"Закрыт"),8)))</f>
        <v/>
      </c>
      <c r="I206" s="242">
        <f>IF(AND(ISNUMBER(G206),ISNUMBER(H206)),IF(AND(G206&gt;0,H206&lt;0),"Buy",IF(AND(G206&lt;0,H206&gt;0),"Sell","")),"")</f>
        <v/>
      </c>
      <c r="J206" s="183">
        <f>IF(I206="Buy",G206,IF(I206="Sell",-G206,""))</f>
        <v/>
      </c>
      <c r="K206" s="183">
        <f>IF(AND(ISNUMBER(J206),ISNUMBER(L206),N(J206)&lt;&gt;0),ROUND(L206/J206,8),"")</f>
        <v/>
      </c>
      <c r="L206" s="183">
        <f>IF(I206="Buy",-H206,IF(I206="Sell",H206,""))</f>
        <v/>
      </c>
    </row>
    <row r="207" ht="22" customHeight="1">
      <c r="B207" s="315" t="n"/>
      <c r="C207" s="240">
        <f>IF($B207="","",IF(COUNTIFS(Пул!$E$5:$E$300,$B207,Пул!$F$5:$F$300,"&lt;&gt;")=0,"",ROUND(SUMIFS(Пул!$F$5:$F$300,Пул!$E$5:$E$300,$B207),8)))</f>
        <v/>
      </c>
      <c r="D207" s="241">
        <f>IF($B207="","",IF(COUNTIFS(Пул!$E$5:$E$300,$B207,Пул!$G$5:$G$300,"&lt;&gt;")=0,"",ROUND(SUMIFS(Пул!$G$5:$G$300,Пул!$E$5:$E$300,$B207),8)))</f>
        <v/>
      </c>
      <c r="E207" s="240">
        <f>IF($B207="","",IF(COUNTIFS(Пул!$E$5:$E$300,$B207,Пул!$L$5:$L$300,"Закрыт")=0,"",ROUND(SUMIFS(Пул!$H$5:$H$300,Пул!$E$5:$E$300,$B207,Пул!$L$5:$L$300,"Закрыт"),8)))</f>
        <v/>
      </c>
      <c r="F207" s="241">
        <f>IF($B207="","",IF(COUNTIFS(Пул!$E$5:$E$300,$B207,Пул!$L$5:$L$300,"Закрыт")=0,"",ROUND(SUMIFS(Пул!$I$5:$I$300,Пул!$E$5:$E$300,$B207,Пул!$L$5:$L$300,"Закрыт"),8)))</f>
        <v/>
      </c>
      <c r="G207" s="240">
        <f>IF($B207="","",IF(COUNTIFS(Пул!$E$5:$E$300,$B207,Пул!$L$5:$L$300,"Закрыт")=0,"",ROUND(SUMIFS(Пул!$J$5:$J$300,Пул!$E$5:$E$300,$B207,Пул!$L$5:$L$300,"Закрыт"),8)))</f>
        <v/>
      </c>
      <c r="H207" s="241">
        <f>IF($B207="","",IF(COUNTIFS(Пул!$E$5:$E$300,$B207,Пул!$L$5:$L$300,"Закрыт")=0,"",ROUND(SUMIFS(Пул!$K$5:$K$300,Пул!$E$5:$E$300,$B207,Пул!$L$5:$L$300,"Закрыт"),8)))</f>
        <v/>
      </c>
      <c r="I207" s="236">
        <f>IF(AND(ISNUMBER(G207),ISNUMBER(H207)),IF(AND(G207&gt;0,H207&lt;0),"Buy",IF(AND(G207&lt;0,H207&gt;0),"Sell","")),"")</f>
        <v/>
      </c>
      <c r="J207" s="177">
        <f>IF(I207="Buy",G207,IF(I207="Sell",-G207,""))</f>
        <v/>
      </c>
      <c r="K207" s="177">
        <f>IF(AND(ISNUMBER(J207),ISNUMBER(L207),N(J207)&lt;&gt;0),ROUND(L207/J207,8),"")</f>
        <v/>
      </c>
      <c r="L207" s="177">
        <f>IF(I207="Buy",-H207,IF(I207="Sell",H207,""))</f>
        <v/>
      </c>
    </row>
    <row r="208" ht="22" customHeight="1">
      <c r="B208" s="320" t="n"/>
      <c r="C208" s="246">
        <f>IF($B208="","",IF(COUNTIFS(Пул!$E$5:$E$300,$B208,Пул!$F$5:$F$300,"&lt;&gt;")=0,"",ROUND(SUMIFS(Пул!$F$5:$F$300,Пул!$E$5:$E$300,$B208),8)))</f>
        <v/>
      </c>
      <c r="D208" s="247">
        <f>IF($B208="","",IF(COUNTIFS(Пул!$E$5:$E$300,$B208,Пул!$G$5:$G$300,"&lt;&gt;")=0,"",ROUND(SUMIFS(Пул!$G$5:$G$300,Пул!$E$5:$E$300,$B208),8)))</f>
        <v/>
      </c>
      <c r="E208" s="246">
        <f>IF($B208="","",IF(COUNTIFS(Пул!$E$5:$E$300,$B208,Пул!$L$5:$L$300,"Закрыт")=0,"",ROUND(SUMIFS(Пул!$H$5:$H$300,Пул!$E$5:$E$300,$B208,Пул!$L$5:$L$300,"Закрыт"),8)))</f>
        <v/>
      </c>
      <c r="F208" s="247">
        <f>IF($B208="","",IF(COUNTIFS(Пул!$E$5:$E$300,$B208,Пул!$L$5:$L$300,"Закрыт")=0,"",ROUND(SUMIFS(Пул!$I$5:$I$300,Пул!$E$5:$E$300,$B208,Пул!$L$5:$L$300,"Закрыт"),8)))</f>
        <v/>
      </c>
      <c r="G208" s="246">
        <f>IF($B208="","",IF(COUNTIFS(Пул!$E$5:$E$300,$B208,Пул!$L$5:$L$300,"Закрыт")=0,"",ROUND(SUMIFS(Пул!$J$5:$J$300,Пул!$E$5:$E$300,$B208,Пул!$L$5:$L$300,"Закрыт"),8)))</f>
        <v/>
      </c>
      <c r="H208" s="247">
        <f>IF($B208="","",IF(COUNTIFS(Пул!$E$5:$E$300,$B208,Пул!$L$5:$L$300,"Закрыт")=0,"",ROUND(SUMIFS(Пул!$K$5:$K$300,Пул!$E$5:$E$300,$B208,Пул!$L$5:$L$300,"Закрыт"),8)))</f>
        <v/>
      </c>
      <c r="I208" s="242">
        <f>IF(AND(ISNUMBER(G208),ISNUMBER(H208)),IF(AND(G208&gt;0,H208&lt;0),"Buy",IF(AND(G208&lt;0,H208&gt;0),"Sell","")),"")</f>
        <v/>
      </c>
      <c r="J208" s="183">
        <f>IF(I208="Buy",G208,IF(I208="Sell",-G208,""))</f>
        <v/>
      </c>
      <c r="K208" s="183">
        <f>IF(AND(ISNUMBER(J208),ISNUMBER(L208),N(J208)&lt;&gt;0),ROUND(L208/J208,8),"")</f>
        <v/>
      </c>
      <c r="L208" s="183">
        <f>IF(I208="Buy",-H208,IF(I208="Sell",H208,""))</f>
        <v/>
      </c>
    </row>
    <row r="209" ht="22" customHeight="1">
      <c r="B209" s="315" t="n"/>
      <c r="C209" s="240">
        <f>IF($B209="","",IF(COUNTIFS(Пул!$E$5:$E$300,$B209,Пул!$F$5:$F$300,"&lt;&gt;")=0,"",ROUND(SUMIFS(Пул!$F$5:$F$300,Пул!$E$5:$E$300,$B209),8)))</f>
        <v/>
      </c>
      <c r="D209" s="241">
        <f>IF($B209="","",IF(COUNTIFS(Пул!$E$5:$E$300,$B209,Пул!$G$5:$G$300,"&lt;&gt;")=0,"",ROUND(SUMIFS(Пул!$G$5:$G$300,Пул!$E$5:$E$300,$B209),8)))</f>
        <v/>
      </c>
      <c r="E209" s="240">
        <f>IF($B209="","",IF(COUNTIFS(Пул!$E$5:$E$300,$B209,Пул!$L$5:$L$300,"Закрыт")=0,"",ROUND(SUMIFS(Пул!$H$5:$H$300,Пул!$E$5:$E$300,$B209,Пул!$L$5:$L$300,"Закрыт"),8)))</f>
        <v/>
      </c>
      <c r="F209" s="241">
        <f>IF($B209="","",IF(COUNTIFS(Пул!$E$5:$E$300,$B209,Пул!$L$5:$L$300,"Закрыт")=0,"",ROUND(SUMIFS(Пул!$I$5:$I$300,Пул!$E$5:$E$300,$B209,Пул!$L$5:$L$300,"Закрыт"),8)))</f>
        <v/>
      </c>
      <c r="G209" s="240">
        <f>IF($B209="","",IF(COUNTIFS(Пул!$E$5:$E$300,$B209,Пул!$L$5:$L$300,"Закрыт")=0,"",ROUND(SUMIFS(Пул!$J$5:$J$300,Пул!$E$5:$E$300,$B209,Пул!$L$5:$L$300,"Закрыт"),8)))</f>
        <v/>
      </c>
      <c r="H209" s="241">
        <f>IF($B209="","",IF(COUNTIFS(Пул!$E$5:$E$300,$B209,Пул!$L$5:$L$300,"Закрыт")=0,"",ROUND(SUMIFS(Пул!$K$5:$K$300,Пул!$E$5:$E$300,$B209,Пул!$L$5:$L$300,"Закрыт"),8)))</f>
        <v/>
      </c>
      <c r="I209" s="236">
        <f>IF(AND(ISNUMBER(G209),ISNUMBER(H209)),IF(AND(G209&gt;0,H209&lt;0),"Buy",IF(AND(G209&lt;0,H209&gt;0),"Sell","")),"")</f>
        <v/>
      </c>
      <c r="J209" s="177">
        <f>IF(I209="Buy",G209,IF(I209="Sell",-G209,""))</f>
        <v/>
      </c>
      <c r="K209" s="177">
        <f>IF(AND(ISNUMBER(J209),ISNUMBER(L209),N(J209)&lt;&gt;0),ROUND(L209/J209,8),"")</f>
        <v/>
      </c>
      <c r="L209" s="177">
        <f>IF(I209="Buy",-H209,IF(I209="Sell",H209,""))</f>
        <v/>
      </c>
    </row>
    <row r="210" ht="22" customHeight="1">
      <c r="B210" s="320" t="n"/>
      <c r="C210" s="246">
        <f>IF($B210="","",IF(COUNTIFS(Пул!$E$5:$E$300,$B210,Пул!$F$5:$F$300,"&lt;&gt;")=0,"",ROUND(SUMIFS(Пул!$F$5:$F$300,Пул!$E$5:$E$300,$B210),8)))</f>
        <v/>
      </c>
      <c r="D210" s="247">
        <f>IF($B210="","",IF(COUNTIFS(Пул!$E$5:$E$300,$B210,Пул!$G$5:$G$300,"&lt;&gt;")=0,"",ROUND(SUMIFS(Пул!$G$5:$G$300,Пул!$E$5:$E$300,$B210),8)))</f>
        <v/>
      </c>
      <c r="E210" s="246">
        <f>IF($B210="","",IF(COUNTIFS(Пул!$E$5:$E$300,$B210,Пул!$L$5:$L$300,"Закрыт")=0,"",ROUND(SUMIFS(Пул!$H$5:$H$300,Пул!$E$5:$E$300,$B210,Пул!$L$5:$L$300,"Закрыт"),8)))</f>
        <v/>
      </c>
      <c r="F210" s="247">
        <f>IF($B210="","",IF(COUNTIFS(Пул!$E$5:$E$300,$B210,Пул!$L$5:$L$300,"Закрыт")=0,"",ROUND(SUMIFS(Пул!$I$5:$I$300,Пул!$E$5:$E$300,$B210,Пул!$L$5:$L$300,"Закрыт"),8)))</f>
        <v/>
      </c>
      <c r="G210" s="246">
        <f>IF($B210="","",IF(COUNTIFS(Пул!$E$5:$E$300,$B210,Пул!$L$5:$L$300,"Закрыт")=0,"",ROUND(SUMIFS(Пул!$J$5:$J$300,Пул!$E$5:$E$300,$B210,Пул!$L$5:$L$300,"Закрыт"),8)))</f>
        <v/>
      </c>
      <c r="H210" s="247">
        <f>IF($B210="","",IF(COUNTIFS(Пул!$E$5:$E$300,$B210,Пул!$L$5:$L$300,"Закрыт")=0,"",ROUND(SUMIFS(Пул!$K$5:$K$300,Пул!$E$5:$E$300,$B210,Пул!$L$5:$L$300,"Закрыт"),8)))</f>
        <v/>
      </c>
      <c r="I210" s="242">
        <f>IF(AND(ISNUMBER(G210),ISNUMBER(H210)),IF(AND(G210&gt;0,H210&lt;0),"Buy",IF(AND(G210&lt;0,H210&gt;0),"Sell","")),"")</f>
        <v/>
      </c>
      <c r="J210" s="183">
        <f>IF(I210="Buy",G210,IF(I210="Sell",-G210,""))</f>
        <v/>
      </c>
      <c r="K210" s="183">
        <f>IF(AND(ISNUMBER(J210),ISNUMBER(L210),N(J210)&lt;&gt;0),ROUND(L210/J210,8),"")</f>
        <v/>
      </c>
      <c r="L210" s="183">
        <f>IF(I210="Buy",-H210,IF(I210="Sell",H210,""))</f>
        <v/>
      </c>
    </row>
    <row r="211" ht="22" customHeight="1">
      <c r="B211" s="315" t="n"/>
      <c r="C211" s="240">
        <f>IF($B211="","",IF(COUNTIFS(Пул!$E$5:$E$300,$B211,Пул!$F$5:$F$300,"&lt;&gt;")=0,"",ROUND(SUMIFS(Пул!$F$5:$F$300,Пул!$E$5:$E$300,$B211),8)))</f>
        <v/>
      </c>
      <c r="D211" s="241">
        <f>IF($B211="","",IF(COUNTIFS(Пул!$E$5:$E$300,$B211,Пул!$G$5:$G$300,"&lt;&gt;")=0,"",ROUND(SUMIFS(Пул!$G$5:$G$300,Пул!$E$5:$E$300,$B211),8)))</f>
        <v/>
      </c>
      <c r="E211" s="240">
        <f>IF($B211="","",IF(COUNTIFS(Пул!$E$5:$E$300,$B211,Пул!$L$5:$L$300,"Закрыт")=0,"",ROUND(SUMIFS(Пул!$H$5:$H$300,Пул!$E$5:$E$300,$B211,Пул!$L$5:$L$300,"Закрыт"),8)))</f>
        <v/>
      </c>
      <c r="F211" s="241">
        <f>IF($B211="","",IF(COUNTIFS(Пул!$E$5:$E$300,$B211,Пул!$L$5:$L$300,"Закрыт")=0,"",ROUND(SUMIFS(Пул!$I$5:$I$300,Пул!$E$5:$E$300,$B211,Пул!$L$5:$L$300,"Закрыт"),8)))</f>
        <v/>
      </c>
      <c r="G211" s="240">
        <f>IF($B211="","",IF(COUNTIFS(Пул!$E$5:$E$300,$B211,Пул!$L$5:$L$300,"Закрыт")=0,"",ROUND(SUMIFS(Пул!$J$5:$J$300,Пул!$E$5:$E$300,$B211,Пул!$L$5:$L$300,"Закрыт"),8)))</f>
        <v/>
      </c>
      <c r="H211" s="241">
        <f>IF($B211="","",IF(COUNTIFS(Пул!$E$5:$E$300,$B211,Пул!$L$5:$L$300,"Закрыт")=0,"",ROUND(SUMIFS(Пул!$K$5:$K$300,Пул!$E$5:$E$300,$B211,Пул!$L$5:$L$300,"Закрыт"),8)))</f>
        <v/>
      </c>
      <c r="I211" s="236">
        <f>IF(AND(ISNUMBER(G211),ISNUMBER(H211)),IF(AND(G211&gt;0,H211&lt;0),"Buy",IF(AND(G211&lt;0,H211&gt;0),"Sell","")),"")</f>
        <v/>
      </c>
      <c r="J211" s="177">
        <f>IF(I211="Buy",G211,IF(I211="Sell",-G211,""))</f>
        <v/>
      </c>
      <c r="K211" s="177">
        <f>IF(AND(ISNUMBER(J211),ISNUMBER(L211),N(J211)&lt;&gt;0),ROUND(L211/J211,8),"")</f>
        <v/>
      </c>
      <c r="L211" s="177">
        <f>IF(I211="Buy",-H211,IF(I211="Sell",H211,""))</f>
        <v/>
      </c>
    </row>
    <row r="212" ht="22" customHeight="1">
      <c r="B212" s="320" t="n"/>
      <c r="C212" s="246">
        <f>IF($B212="","",IF(COUNTIFS(Пул!$E$5:$E$300,$B212,Пул!$F$5:$F$300,"&lt;&gt;")=0,"",ROUND(SUMIFS(Пул!$F$5:$F$300,Пул!$E$5:$E$300,$B212),8)))</f>
        <v/>
      </c>
      <c r="D212" s="247">
        <f>IF($B212="","",IF(COUNTIFS(Пул!$E$5:$E$300,$B212,Пул!$G$5:$G$300,"&lt;&gt;")=0,"",ROUND(SUMIFS(Пул!$G$5:$G$300,Пул!$E$5:$E$300,$B212),8)))</f>
        <v/>
      </c>
      <c r="E212" s="246">
        <f>IF($B212="","",IF(COUNTIFS(Пул!$E$5:$E$300,$B212,Пул!$L$5:$L$300,"Закрыт")=0,"",ROUND(SUMIFS(Пул!$H$5:$H$300,Пул!$E$5:$E$300,$B212,Пул!$L$5:$L$300,"Закрыт"),8)))</f>
        <v/>
      </c>
      <c r="F212" s="247">
        <f>IF($B212="","",IF(COUNTIFS(Пул!$E$5:$E$300,$B212,Пул!$L$5:$L$300,"Закрыт")=0,"",ROUND(SUMIFS(Пул!$I$5:$I$300,Пул!$E$5:$E$300,$B212,Пул!$L$5:$L$300,"Закрыт"),8)))</f>
        <v/>
      </c>
      <c r="G212" s="246">
        <f>IF($B212="","",IF(COUNTIFS(Пул!$E$5:$E$300,$B212,Пул!$L$5:$L$300,"Закрыт")=0,"",ROUND(SUMIFS(Пул!$J$5:$J$300,Пул!$E$5:$E$300,$B212,Пул!$L$5:$L$300,"Закрыт"),8)))</f>
        <v/>
      </c>
      <c r="H212" s="247">
        <f>IF($B212="","",IF(COUNTIFS(Пул!$E$5:$E$300,$B212,Пул!$L$5:$L$300,"Закрыт")=0,"",ROUND(SUMIFS(Пул!$K$5:$K$300,Пул!$E$5:$E$300,$B212,Пул!$L$5:$L$300,"Закрыт"),8)))</f>
        <v/>
      </c>
      <c r="I212" s="242">
        <f>IF(AND(ISNUMBER(G212),ISNUMBER(H212)),IF(AND(G212&gt;0,H212&lt;0),"Buy",IF(AND(G212&lt;0,H212&gt;0),"Sell","")),"")</f>
        <v/>
      </c>
      <c r="J212" s="183">
        <f>IF(I212="Buy",G212,IF(I212="Sell",-G212,""))</f>
        <v/>
      </c>
      <c r="K212" s="183">
        <f>IF(AND(ISNUMBER(J212),ISNUMBER(L212),N(J212)&lt;&gt;0),ROUND(L212/J212,8),"")</f>
        <v/>
      </c>
      <c r="L212" s="183">
        <f>IF(I212="Buy",-H212,IF(I212="Sell",H212,""))</f>
        <v/>
      </c>
    </row>
    <row r="213" ht="22" customHeight="1">
      <c r="B213" s="315" t="n"/>
      <c r="C213" s="240">
        <f>IF($B213="","",IF(COUNTIFS(Пул!$E$5:$E$300,$B213,Пул!$F$5:$F$300,"&lt;&gt;")=0,"",ROUND(SUMIFS(Пул!$F$5:$F$300,Пул!$E$5:$E$300,$B213),8)))</f>
        <v/>
      </c>
      <c r="D213" s="241">
        <f>IF($B213="","",IF(COUNTIFS(Пул!$E$5:$E$300,$B213,Пул!$G$5:$G$300,"&lt;&gt;")=0,"",ROUND(SUMIFS(Пул!$G$5:$G$300,Пул!$E$5:$E$300,$B213),8)))</f>
        <v/>
      </c>
      <c r="E213" s="240">
        <f>IF($B213="","",IF(COUNTIFS(Пул!$E$5:$E$300,$B213,Пул!$L$5:$L$300,"Закрыт")=0,"",ROUND(SUMIFS(Пул!$H$5:$H$300,Пул!$E$5:$E$300,$B213,Пул!$L$5:$L$300,"Закрыт"),8)))</f>
        <v/>
      </c>
      <c r="F213" s="241">
        <f>IF($B213="","",IF(COUNTIFS(Пул!$E$5:$E$300,$B213,Пул!$L$5:$L$300,"Закрыт")=0,"",ROUND(SUMIFS(Пул!$I$5:$I$300,Пул!$E$5:$E$300,$B213,Пул!$L$5:$L$300,"Закрыт"),8)))</f>
        <v/>
      </c>
      <c r="G213" s="240">
        <f>IF($B213="","",IF(COUNTIFS(Пул!$E$5:$E$300,$B213,Пул!$L$5:$L$300,"Закрыт")=0,"",ROUND(SUMIFS(Пул!$J$5:$J$300,Пул!$E$5:$E$300,$B213,Пул!$L$5:$L$300,"Закрыт"),8)))</f>
        <v/>
      </c>
      <c r="H213" s="241">
        <f>IF($B213="","",IF(COUNTIFS(Пул!$E$5:$E$300,$B213,Пул!$L$5:$L$300,"Закрыт")=0,"",ROUND(SUMIFS(Пул!$K$5:$K$300,Пул!$E$5:$E$300,$B213,Пул!$L$5:$L$300,"Закрыт"),8)))</f>
        <v/>
      </c>
      <c r="I213" s="236">
        <f>IF(AND(ISNUMBER(G213),ISNUMBER(H213)),IF(AND(G213&gt;0,H213&lt;0),"Buy",IF(AND(G213&lt;0,H213&gt;0),"Sell","")),"")</f>
        <v/>
      </c>
      <c r="J213" s="177">
        <f>IF(I213="Buy",G213,IF(I213="Sell",-G213,""))</f>
        <v/>
      </c>
      <c r="K213" s="177">
        <f>IF(AND(ISNUMBER(J213),ISNUMBER(L213),N(J213)&lt;&gt;0),ROUND(L213/J213,8),"")</f>
        <v/>
      </c>
      <c r="L213" s="177">
        <f>IF(I213="Buy",-H213,IF(I213="Sell",H213,""))</f>
        <v/>
      </c>
    </row>
    <row r="214" ht="22" customHeight="1">
      <c r="B214" s="320" t="n"/>
      <c r="C214" s="246">
        <f>IF($B214="","",IF(COUNTIFS(Пул!$E$5:$E$300,$B214,Пул!$F$5:$F$300,"&lt;&gt;")=0,"",ROUND(SUMIFS(Пул!$F$5:$F$300,Пул!$E$5:$E$300,$B214),8)))</f>
        <v/>
      </c>
      <c r="D214" s="247">
        <f>IF($B214="","",IF(COUNTIFS(Пул!$E$5:$E$300,$B214,Пул!$G$5:$G$300,"&lt;&gt;")=0,"",ROUND(SUMIFS(Пул!$G$5:$G$300,Пул!$E$5:$E$300,$B214),8)))</f>
        <v/>
      </c>
      <c r="E214" s="246">
        <f>IF($B214="","",IF(COUNTIFS(Пул!$E$5:$E$300,$B214,Пул!$L$5:$L$300,"Закрыт")=0,"",ROUND(SUMIFS(Пул!$H$5:$H$300,Пул!$E$5:$E$300,$B214,Пул!$L$5:$L$300,"Закрыт"),8)))</f>
        <v/>
      </c>
      <c r="F214" s="247">
        <f>IF($B214="","",IF(COUNTIFS(Пул!$E$5:$E$300,$B214,Пул!$L$5:$L$300,"Закрыт")=0,"",ROUND(SUMIFS(Пул!$I$5:$I$300,Пул!$E$5:$E$300,$B214,Пул!$L$5:$L$300,"Закрыт"),8)))</f>
        <v/>
      </c>
      <c r="G214" s="246">
        <f>IF($B214="","",IF(COUNTIFS(Пул!$E$5:$E$300,$B214,Пул!$L$5:$L$300,"Закрыт")=0,"",ROUND(SUMIFS(Пул!$J$5:$J$300,Пул!$E$5:$E$300,$B214,Пул!$L$5:$L$300,"Закрыт"),8)))</f>
        <v/>
      </c>
      <c r="H214" s="247">
        <f>IF($B214="","",IF(COUNTIFS(Пул!$E$5:$E$300,$B214,Пул!$L$5:$L$300,"Закрыт")=0,"",ROUND(SUMIFS(Пул!$K$5:$K$300,Пул!$E$5:$E$300,$B214,Пул!$L$5:$L$300,"Закрыт"),8)))</f>
        <v/>
      </c>
      <c r="I214" s="242">
        <f>IF(AND(ISNUMBER(G214),ISNUMBER(H214)),IF(AND(G214&gt;0,H214&lt;0),"Buy",IF(AND(G214&lt;0,H214&gt;0),"Sell","")),"")</f>
        <v/>
      </c>
      <c r="J214" s="183">
        <f>IF(I214="Buy",G214,IF(I214="Sell",-G214,""))</f>
        <v/>
      </c>
      <c r="K214" s="183">
        <f>IF(AND(ISNUMBER(J214),ISNUMBER(L214),N(J214)&lt;&gt;0),ROUND(L214/J214,8),"")</f>
        <v/>
      </c>
      <c r="L214" s="183">
        <f>IF(I214="Buy",-H214,IF(I214="Sell",H214,""))</f>
        <v/>
      </c>
    </row>
    <row r="215" ht="22" customHeight="1">
      <c r="B215" s="315" t="n"/>
      <c r="C215" s="240">
        <f>IF($B215="","",IF(COUNTIFS(Пул!$E$5:$E$300,$B215,Пул!$F$5:$F$300,"&lt;&gt;")=0,"",ROUND(SUMIFS(Пул!$F$5:$F$300,Пул!$E$5:$E$300,$B215),8)))</f>
        <v/>
      </c>
      <c r="D215" s="241">
        <f>IF($B215="","",IF(COUNTIFS(Пул!$E$5:$E$300,$B215,Пул!$G$5:$G$300,"&lt;&gt;")=0,"",ROUND(SUMIFS(Пул!$G$5:$G$300,Пул!$E$5:$E$300,$B215),8)))</f>
        <v/>
      </c>
      <c r="E215" s="240">
        <f>IF($B215="","",IF(COUNTIFS(Пул!$E$5:$E$300,$B215,Пул!$L$5:$L$300,"Закрыт")=0,"",ROUND(SUMIFS(Пул!$H$5:$H$300,Пул!$E$5:$E$300,$B215,Пул!$L$5:$L$300,"Закрыт"),8)))</f>
        <v/>
      </c>
      <c r="F215" s="241">
        <f>IF($B215="","",IF(COUNTIFS(Пул!$E$5:$E$300,$B215,Пул!$L$5:$L$300,"Закрыт")=0,"",ROUND(SUMIFS(Пул!$I$5:$I$300,Пул!$E$5:$E$300,$B215,Пул!$L$5:$L$300,"Закрыт"),8)))</f>
        <v/>
      </c>
      <c r="G215" s="240">
        <f>IF($B215="","",IF(COUNTIFS(Пул!$E$5:$E$300,$B215,Пул!$L$5:$L$300,"Закрыт")=0,"",ROUND(SUMIFS(Пул!$J$5:$J$300,Пул!$E$5:$E$300,$B215,Пул!$L$5:$L$300,"Закрыт"),8)))</f>
        <v/>
      </c>
      <c r="H215" s="241">
        <f>IF($B215="","",IF(COUNTIFS(Пул!$E$5:$E$300,$B215,Пул!$L$5:$L$300,"Закрыт")=0,"",ROUND(SUMIFS(Пул!$K$5:$K$300,Пул!$E$5:$E$300,$B215,Пул!$L$5:$L$300,"Закрыт"),8)))</f>
        <v/>
      </c>
      <c r="I215" s="236">
        <f>IF(AND(ISNUMBER(G215),ISNUMBER(H215)),IF(AND(G215&gt;0,H215&lt;0),"Buy",IF(AND(G215&lt;0,H215&gt;0),"Sell","")),"")</f>
        <v/>
      </c>
      <c r="J215" s="177">
        <f>IF(I215="Buy",G215,IF(I215="Sell",-G215,""))</f>
        <v/>
      </c>
      <c r="K215" s="177">
        <f>IF(AND(ISNUMBER(J215),ISNUMBER(L215),N(J215)&lt;&gt;0),ROUND(L215/J215,8),"")</f>
        <v/>
      </c>
      <c r="L215" s="177">
        <f>IF(I215="Buy",-H215,IF(I215="Sell",H215,""))</f>
        <v/>
      </c>
    </row>
    <row r="216" ht="22" customHeight="1">
      <c r="B216" s="320" t="n"/>
      <c r="C216" s="246">
        <f>IF($B216="","",IF(COUNTIFS(Пул!$E$5:$E$300,$B216,Пул!$F$5:$F$300,"&lt;&gt;")=0,"",ROUND(SUMIFS(Пул!$F$5:$F$300,Пул!$E$5:$E$300,$B216),8)))</f>
        <v/>
      </c>
      <c r="D216" s="247">
        <f>IF($B216="","",IF(COUNTIFS(Пул!$E$5:$E$300,$B216,Пул!$G$5:$G$300,"&lt;&gt;")=0,"",ROUND(SUMIFS(Пул!$G$5:$G$300,Пул!$E$5:$E$300,$B216),8)))</f>
        <v/>
      </c>
      <c r="E216" s="246">
        <f>IF($B216="","",IF(COUNTIFS(Пул!$E$5:$E$300,$B216,Пул!$L$5:$L$300,"Закрыт")=0,"",ROUND(SUMIFS(Пул!$H$5:$H$300,Пул!$E$5:$E$300,$B216,Пул!$L$5:$L$300,"Закрыт"),8)))</f>
        <v/>
      </c>
      <c r="F216" s="247">
        <f>IF($B216="","",IF(COUNTIFS(Пул!$E$5:$E$300,$B216,Пул!$L$5:$L$300,"Закрыт")=0,"",ROUND(SUMIFS(Пул!$I$5:$I$300,Пул!$E$5:$E$300,$B216,Пул!$L$5:$L$300,"Закрыт"),8)))</f>
        <v/>
      </c>
      <c r="G216" s="246">
        <f>IF($B216="","",IF(COUNTIFS(Пул!$E$5:$E$300,$B216,Пул!$L$5:$L$300,"Закрыт")=0,"",ROUND(SUMIFS(Пул!$J$5:$J$300,Пул!$E$5:$E$300,$B216,Пул!$L$5:$L$300,"Закрыт"),8)))</f>
        <v/>
      </c>
      <c r="H216" s="247">
        <f>IF($B216="","",IF(COUNTIFS(Пул!$E$5:$E$300,$B216,Пул!$L$5:$L$300,"Закрыт")=0,"",ROUND(SUMIFS(Пул!$K$5:$K$300,Пул!$E$5:$E$300,$B216,Пул!$L$5:$L$300,"Закрыт"),8)))</f>
        <v/>
      </c>
      <c r="I216" s="242">
        <f>IF(AND(ISNUMBER(G216),ISNUMBER(H216)),IF(AND(G216&gt;0,H216&lt;0),"Buy",IF(AND(G216&lt;0,H216&gt;0),"Sell","")),"")</f>
        <v/>
      </c>
      <c r="J216" s="183">
        <f>IF(I216="Buy",G216,IF(I216="Sell",-G216,""))</f>
        <v/>
      </c>
      <c r="K216" s="183">
        <f>IF(AND(ISNUMBER(J216),ISNUMBER(L216),N(J216)&lt;&gt;0),ROUND(L216/J216,8),"")</f>
        <v/>
      </c>
      <c r="L216" s="183">
        <f>IF(I216="Buy",-H216,IF(I216="Sell",H216,""))</f>
        <v/>
      </c>
    </row>
    <row r="217" ht="22" customHeight="1">
      <c r="B217" s="315" t="n"/>
      <c r="C217" s="240">
        <f>IF($B217="","",IF(COUNTIFS(Пул!$E$5:$E$300,$B217,Пул!$F$5:$F$300,"&lt;&gt;")=0,"",ROUND(SUMIFS(Пул!$F$5:$F$300,Пул!$E$5:$E$300,$B217),8)))</f>
        <v/>
      </c>
      <c r="D217" s="241">
        <f>IF($B217="","",IF(COUNTIFS(Пул!$E$5:$E$300,$B217,Пул!$G$5:$G$300,"&lt;&gt;")=0,"",ROUND(SUMIFS(Пул!$G$5:$G$300,Пул!$E$5:$E$300,$B217),8)))</f>
        <v/>
      </c>
      <c r="E217" s="240">
        <f>IF($B217="","",IF(COUNTIFS(Пул!$E$5:$E$300,$B217,Пул!$L$5:$L$300,"Закрыт")=0,"",ROUND(SUMIFS(Пул!$H$5:$H$300,Пул!$E$5:$E$300,$B217,Пул!$L$5:$L$300,"Закрыт"),8)))</f>
        <v/>
      </c>
      <c r="F217" s="241">
        <f>IF($B217="","",IF(COUNTIFS(Пул!$E$5:$E$300,$B217,Пул!$L$5:$L$300,"Закрыт")=0,"",ROUND(SUMIFS(Пул!$I$5:$I$300,Пул!$E$5:$E$300,$B217,Пул!$L$5:$L$300,"Закрыт"),8)))</f>
        <v/>
      </c>
      <c r="G217" s="240">
        <f>IF($B217="","",IF(COUNTIFS(Пул!$E$5:$E$300,$B217,Пул!$L$5:$L$300,"Закрыт")=0,"",ROUND(SUMIFS(Пул!$J$5:$J$300,Пул!$E$5:$E$300,$B217,Пул!$L$5:$L$300,"Закрыт"),8)))</f>
        <v/>
      </c>
      <c r="H217" s="241">
        <f>IF($B217="","",IF(COUNTIFS(Пул!$E$5:$E$300,$B217,Пул!$L$5:$L$300,"Закрыт")=0,"",ROUND(SUMIFS(Пул!$K$5:$K$300,Пул!$E$5:$E$300,$B217,Пул!$L$5:$L$300,"Закрыт"),8)))</f>
        <v/>
      </c>
      <c r="I217" s="236">
        <f>IF(AND(ISNUMBER(G217),ISNUMBER(H217)),IF(AND(G217&gt;0,H217&lt;0),"Buy",IF(AND(G217&lt;0,H217&gt;0),"Sell","")),"")</f>
        <v/>
      </c>
      <c r="J217" s="177">
        <f>IF(I217="Buy",G217,IF(I217="Sell",-G217,""))</f>
        <v/>
      </c>
      <c r="K217" s="177">
        <f>IF(AND(ISNUMBER(J217),ISNUMBER(L217),N(J217)&lt;&gt;0),ROUND(L217/J217,8),"")</f>
        <v/>
      </c>
      <c r="L217" s="177">
        <f>IF(I217="Buy",-H217,IF(I217="Sell",H217,""))</f>
        <v/>
      </c>
    </row>
    <row r="218" ht="22" customHeight="1">
      <c r="B218" s="320" t="n"/>
      <c r="C218" s="246">
        <f>IF($B218="","",IF(COUNTIFS(Пул!$E$5:$E$300,$B218,Пул!$F$5:$F$300,"&lt;&gt;")=0,"",ROUND(SUMIFS(Пул!$F$5:$F$300,Пул!$E$5:$E$300,$B218),8)))</f>
        <v/>
      </c>
      <c r="D218" s="247">
        <f>IF($B218="","",IF(COUNTIFS(Пул!$E$5:$E$300,$B218,Пул!$G$5:$G$300,"&lt;&gt;")=0,"",ROUND(SUMIFS(Пул!$G$5:$G$300,Пул!$E$5:$E$300,$B218),8)))</f>
        <v/>
      </c>
      <c r="E218" s="246">
        <f>IF($B218="","",IF(COUNTIFS(Пул!$E$5:$E$300,$B218,Пул!$L$5:$L$300,"Закрыт")=0,"",ROUND(SUMIFS(Пул!$H$5:$H$300,Пул!$E$5:$E$300,$B218,Пул!$L$5:$L$300,"Закрыт"),8)))</f>
        <v/>
      </c>
      <c r="F218" s="247">
        <f>IF($B218="","",IF(COUNTIFS(Пул!$E$5:$E$300,$B218,Пул!$L$5:$L$300,"Закрыт")=0,"",ROUND(SUMIFS(Пул!$I$5:$I$300,Пул!$E$5:$E$300,$B218,Пул!$L$5:$L$300,"Закрыт"),8)))</f>
        <v/>
      </c>
      <c r="G218" s="246">
        <f>IF($B218="","",IF(COUNTIFS(Пул!$E$5:$E$300,$B218,Пул!$L$5:$L$300,"Закрыт")=0,"",ROUND(SUMIFS(Пул!$J$5:$J$300,Пул!$E$5:$E$300,$B218,Пул!$L$5:$L$300,"Закрыт"),8)))</f>
        <v/>
      </c>
      <c r="H218" s="247">
        <f>IF($B218="","",IF(COUNTIFS(Пул!$E$5:$E$300,$B218,Пул!$L$5:$L$300,"Закрыт")=0,"",ROUND(SUMIFS(Пул!$K$5:$K$300,Пул!$E$5:$E$300,$B218,Пул!$L$5:$L$300,"Закрыт"),8)))</f>
        <v/>
      </c>
      <c r="I218" s="242">
        <f>IF(AND(ISNUMBER(G218),ISNUMBER(H218)),IF(AND(G218&gt;0,H218&lt;0),"Buy",IF(AND(G218&lt;0,H218&gt;0),"Sell","")),"")</f>
        <v/>
      </c>
      <c r="J218" s="183">
        <f>IF(I218="Buy",G218,IF(I218="Sell",-G218,""))</f>
        <v/>
      </c>
      <c r="K218" s="183">
        <f>IF(AND(ISNUMBER(J218),ISNUMBER(L218),N(J218)&lt;&gt;0),ROUND(L218/J218,8),"")</f>
        <v/>
      </c>
      <c r="L218" s="183">
        <f>IF(I218="Buy",-H218,IF(I218="Sell",H218,""))</f>
        <v/>
      </c>
    </row>
    <row r="219" ht="22" customHeight="1">
      <c r="B219" s="315" t="n"/>
      <c r="C219" s="240">
        <f>IF($B219="","",IF(COUNTIFS(Пул!$E$5:$E$300,$B219,Пул!$F$5:$F$300,"&lt;&gt;")=0,"",ROUND(SUMIFS(Пул!$F$5:$F$300,Пул!$E$5:$E$300,$B219),8)))</f>
        <v/>
      </c>
      <c r="D219" s="241">
        <f>IF($B219="","",IF(COUNTIFS(Пул!$E$5:$E$300,$B219,Пул!$G$5:$G$300,"&lt;&gt;")=0,"",ROUND(SUMIFS(Пул!$G$5:$G$300,Пул!$E$5:$E$300,$B219),8)))</f>
        <v/>
      </c>
      <c r="E219" s="240">
        <f>IF($B219="","",IF(COUNTIFS(Пул!$E$5:$E$300,$B219,Пул!$L$5:$L$300,"Закрыт")=0,"",ROUND(SUMIFS(Пул!$H$5:$H$300,Пул!$E$5:$E$300,$B219,Пул!$L$5:$L$300,"Закрыт"),8)))</f>
        <v/>
      </c>
      <c r="F219" s="241">
        <f>IF($B219="","",IF(COUNTIFS(Пул!$E$5:$E$300,$B219,Пул!$L$5:$L$300,"Закрыт")=0,"",ROUND(SUMIFS(Пул!$I$5:$I$300,Пул!$E$5:$E$300,$B219,Пул!$L$5:$L$300,"Закрыт"),8)))</f>
        <v/>
      </c>
      <c r="G219" s="240">
        <f>IF($B219="","",IF(COUNTIFS(Пул!$E$5:$E$300,$B219,Пул!$L$5:$L$300,"Закрыт")=0,"",ROUND(SUMIFS(Пул!$J$5:$J$300,Пул!$E$5:$E$300,$B219,Пул!$L$5:$L$300,"Закрыт"),8)))</f>
        <v/>
      </c>
      <c r="H219" s="241">
        <f>IF($B219="","",IF(COUNTIFS(Пул!$E$5:$E$300,$B219,Пул!$L$5:$L$300,"Закрыт")=0,"",ROUND(SUMIFS(Пул!$K$5:$K$300,Пул!$E$5:$E$300,$B219,Пул!$L$5:$L$300,"Закрыт"),8)))</f>
        <v/>
      </c>
      <c r="I219" s="236">
        <f>IF(AND(ISNUMBER(G219),ISNUMBER(H219)),IF(AND(G219&gt;0,H219&lt;0),"Buy",IF(AND(G219&lt;0,H219&gt;0),"Sell","")),"")</f>
        <v/>
      </c>
      <c r="J219" s="177">
        <f>IF(I219="Buy",G219,IF(I219="Sell",-G219,""))</f>
        <v/>
      </c>
      <c r="K219" s="177">
        <f>IF(AND(ISNUMBER(J219),ISNUMBER(L219),N(J219)&lt;&gt;0),ROUND(L219/J219,8),"")</f>
        <v/>
      </c>
      <c r="L219" s="177">
        <f>IF(I219="Buy",-H219,IF(I219="Sell",H219,""))</f>
        <v/>
      </c>
    </row>
    <row r="220" ht="22" customHeight="1">
      <c r="B220" s="320" t="n"/>
      <c r="C220" s="246">
        <f>IF($B220="","",IF(COUNTIFS(Пул!$E$5:$E$300,$B220,Пул!$F$5:$F$300,"&lt;&gt;")=0,"",ROUND(SUMIFS(Пул!$F$5:$F$300,Пул!$E$5:$E$300,$B220),8)))</f>
        <v/>
      </c>
      <c r="D220" s="247">
        <f>IF($B220="","",IF(COUNTIFS(Пул!$E$5:$E$300,$B220,Пул!$G$5:$G$300,"&lt;&gt;")=0,"",ROUND(SUMIFS(Пул!$G$5:$G$300,Пул!$E$5:$E$300,$B220),8)))</f>
        <v/>
      </c>
      <c r="E220" s="246">
        <f>IF($B220="","",IF(COUNTIFS(Пул!$E$5:$E$300,$B220,Пул!$L$5:$L$300,"Закрыт")=0,"",ROUND(SUMIFS(Пул!$H$5:$H$300,Пул!$E$5:$E$300,$B220,Пул!$L$5:$L$300,"Закрыт"),8)))</f>
        <v/>
      </c>
      <c r="F220" s="247">
        <f>IF($B220="","",IF(COUNTIFS(Пул!$E$5:$E$300,$B220,Пул!$L$5:$L$300,"Закрыт")=0,"",ROUND(SUMIFS(Пул!$I$5:$I$300,Пул!$E$5:$E$300,$B220,Пул!$L$5:$L$300,"Закрыт"),8)))</f>
        <v/>
      </c>
      <c r="G220" s="246">
        <f>IF($B220="","",IF(COUNTIFS(Пул!$E$5:$E$300,$B220,Пул!$L$5:$L$300,"Закрыт")=0,"",ROUND(SUMIFS(Пул!$J$5:$J$300,Пул!$E$5:$E$300,$B220,Пул!$L$5:$L$300,"Закрыт"),8)))</f>
        <v/>
      </c>
      <c r="H220" s="247">
        <f>IF($B220="","",IF(COUNTIFS(Пул!$E$5:$E$300,$B220,Пул!$L$5:$L$300,"Закрыт")=0,"",ROUND(SUMIFS(Пул!$K$5:$K$300,Пул!$E$5:$E$300,$B220,Пул!$L$5:$L$300,"Закрыт"),8)))</f>
        <v/>
      </c>
      <c r="I220" s="242">
        <f>IF(AND(ISNUMBER(G220),ISNUMBER(H220)),IF(AND(G220&gt;0,H220&lt;0),"Buy",IF(AND(G220&lt;0,H220&gt;0),"Sell","")),"")</f>
        <v/>
      </c>
      <c r="J220" s="183">
        <f>IF(I220="Buy",G220,IF(I220="Sell",-G220,""))</f>
        <v/>
      </c>
      <c r="K220" s="183">
        <f>IF(AND(ISNUMBER(J220),ISNUMBER(L220),N(J220)&lt;&gt;0),ROUND(L220/J220,8),"")</f>
        <v/>
      </c>
      <c r="L220" s="183">
        <f>IF(I220="Buy",-H220,IF(I220="Sell",H220,""))</f>
        <v/>
      </c>
    </row>
    <row r="221" ht="22" customHeight="1">
      <c r="B221" s="315" t="n"/>
      <c r="C221" s="240">
        <f>IF($B221="","",IF(COUNTIFS(Пул!$E$5:$E$300,$B221,Пул!$F$5:$F$300,"&lt;&gt;")=0,"",ROUND(SUMIFS(Пул!$F$5:$F$300,Пул!$E$5:$E$300,$B221),8)))</f>
        <v/>
      </c>
      <c r="D221" s="241">
        <f>IF($B221="","",IF(COUNTIFS(Пул!$E$5:$E$300,$B221,Пул!$G$5:$G$300,"&lt;&gt;")=0,"",ROUND(SUMIFS(Пул!$G$5:$G$300,Пул!$E$5:$E$300,$B221),8)))</f>
        <v/>
      </c>
      <c r="E221" s="240">
        <f>IF($B221="","",IF(COUNTIFS(Пул!$E$5:$E$300,$B221,Пул!$L$5:$L$300,"Закрыт")=0,"",ROUND(SUMIFS(Пул!$H$5:$H$300,Пул!$E$5:$E$300,$B221,Пул!$L$5:$L$300,"Закрыт"),8)))</f>
        <v/>
      </c>
      <c r="F221" s="241">
        <f>IF($B221="","",IF(COUNTIFS(Пул!$E$5:$E$300,$B221,Пул!$L$5:$L$300,"Закрыт")=0,"",ROUND(SUMIFS(Пул!$I$5:$I$300,Пул!$E$5:$E$300,$B221,Пул!$L$5:$L$300,"Закрыт"),8)))</f>
        <v/>
      </c>
      <c r="G221" s="240">
        <f>IF($B221="","",IF(COUNTIFS(Пул!$E$5:$E$300,$B221,Пул!$L$5:$L$300,"Закрыт")=0,"",ROUND(SUMIFS(Пул!$J$5:$J$300,Пул!$E$5:$E$300,$B221,Пул!$L$5:$L$300,"Закрыт"),8)))</f>
        <v/>
      </c>
      <c r="H221" s="241">
        <f>IF($B221="","",IF(COUNTIFS(Пул!$E$5:$E$300,$B221,Пул!$L$5:$L$300,"Закрыт")=0,"",ROUND(SUMIFS(Пул!$K$5:$K$300,Пул!$E$5:$E$300,$B221,Пул!$L$5:$L$300,"Закрыт"),8)))</f>
        <v/>
      </c>
      <c r="I221" s="236">
        <f>IF(AND(ISNUMBER(G221),ISNUMBER(H221)),IF(AND(G221&gt;0,H221&lt;0),"Buy",IF(AND(G221&lt;0,H221&gt;0),"Sell","")),"")</f>
        <v/>
      </c>
      <c r="J221" s="177">
        <f>IF(I221="Buy",G221,IF(I221="Sell",-G221,""))</f>
        <v/>
      </c>
      <c r="K221" s="177">
        <f>IF(AND(ISNUMBER(J221),ISNUMBER(L221),N(J221)&lt;&gt;0),ROUND(L221/J221,8),"")</f>
        <v/>
      </c>
      <c r="L221" s="177">
        <f>IF(I221="Buy",-H221,IF(I221="Sell",H221,""))</f>
        <v/>
      </c>
    </row>
    <row r="222" ht="22" customHeight="1">
      <c r="B222" s="320" t="n"/>
      <c r="C222" s="246">
        <f>IF($B222="","",IF(COUNTIFS(Пул!$E$5:$E$300,$B222,Пул!$F$5:$F$300,"&lt;&gt;")=0,"",ROUND(SUMIFS(Пул!$F$5:$F$300,Пул!$E$5:$E$300,$B222),8)))</f>
        <v/>
      </c>
      <c r="D222" s="247">
        <f>IF($B222="","",IF(COUNTIFS(Пул!$E$5:$E$300,$B222,Пул!$G$5:$G$300,"&lt;&gt;")=0,"",ROUND(SUMIFS(Пул!$G$5:$G$300,Пул!$E$5:$E$300,$B222),8)))</f>
        <v/>
      </c>
      <c r="E222" s="246">
        <f>IF($B222="","",IF(COUNTIFS(Пул!$E$5:$E$300,$B222,Пул!$L$5:$L$300,"Закрыт")=0,"",ROUND(SUMIFS(Пул!$H$5:$H$300,Пул!$E$5:$E$300,$B222,Пул!$L$5:$L$300,"Закрыт"),8)))</f>
        <v/>
      </c>
      <c r="F222" s="247">
        <f>IF($B222="","",IF(COUNTIFS(Пул!$E$5:$E$300,$B222,Пул!$L$5:$L$300,"Закрыт")=0,"",ROUND(SUMIFS(Пул!$I$5:$I$300,Пул!$E$5:$E$300,$B222,Пул!$L$5:$L$300,"Закрыт"),8)))</f>
        <v/>
      </c>
      <c r="G222" s="246">
        <f>IF($B222="","",IF(COUNTIFS(Пул!$E$5:$E$300,$B222,Пул!$L$5:$L$300,"Закрыт")=0,"",ROUND(SUMIFS(Пул!$J$5:$J$300,Пул!$E$5:$E$300,$B222,Пул!$L$5:$L$300,"Закрыт"),8)))</f>
        <v/>
      </c>
      <c r="H222" s="247">
        <f>IF($B222="","",IF(COUNTIFS(Пул!$E$5:$E$300,$B222,Пул!$L$5:$L$300,"Закрыт")=0,"",ROUND(SUMIFS(Пул!$K$5:$K$300,Пул!$E$5:$E$300,$B222,Пул!$L$5:$L$300,"Закрыт"),8)))</f>
        <v/>
      </c>
      <c r="I222" s="242">
        <f>IF(AND(ISNUMBER(G222),ISNUMBER(H222)),IF(AND(G222&gt;0,H222&lt;0),"Buy",IF(AND(G222&lt;0,H222&gt;0),"Sell","")),"")</f>
        <v/>
      </c>
      <c r="J222" s="183">
        <f>IF(I222="Buy",G222,IF(I222="Sell",-G222,""))</f>
        <v/>
      </c>
      <c r="K222" s="183">
        <f>IF(AND(ISNUMBER(J222),ISNUMBER(L222),N(J222)&lt;&gt;0),ROUND(L222/J222,8),"")</f>
        <v/>
      </c>
      <c r="L222" s="183">
        <f>IF(I222="Buy",-H222,IF(I222="Sell",H222,""))</f>
        <v/>
      </c>
    </row>
    <row r="223" ht="22" customHeight="1">
      <c r="B223" s="315" t="n"/>
      <c r="C223" s="240">
        <f>IF($B223="","",IF(COUNTIFS(Пул!$E$5:$E$300,$B223,Пул!$F$5:$F$300,"&lt;&gt;")=0,"",ROUND(SUMIFS(Пул!$F$5:$F$300,Пул!$E$5:$E$300,$B223),8)))</f>
        <v/>
      </c>
      <c r="D223" s="241">
        <f>IF($B223="","",IF(COUNTIFS(Пул!$E$5:$E$300,$B223,Пул!$G$5:$G$300,"&lt;&gt;")=0,"",ROUND(SUMIFS(Пул!$G$5:$G$300,Пул!$E$5:$E$300,$B223),8)))</f>
        <v/>
      </c>
      <c r="E223" s="240">
        <f>IF($B223="","",IF(COUNTIFS(Пул!$E$5:$E$300,$B223,Пул!$L$5:$L$300,"Закрыт")=0,"",ROUND(SUMIFS(Пул!$H$5:$H$300,Пул!$E$5:$E$300,$B223,Пул!$L$5:$L$300,"Закрыт"),8)))</f>
        <v/>
      </c>
      <c r="F223" s="241">
        <f>IF($B223="","",IF(COUNTIFS(Пул!$E$5:$E$300,$B223,Пул!$L$5:$L$300,"Закрыт")=0,"",ROUND(SUMIFS(Пул!$I$5:$I$300,Пул!$E$5:$E$300,$B223,Пул!$L$5:$L$300,"Закрыт"),8)))</f>
        <v/>
      </c>
      <c r="G223" s="240">
        <f>IF($B223="","",IF(COUNTIFS(Пул!$E$5:$E$300,$B223,Пул!$L$5:$L$300,"Закрыт")=0,"",ROUND(SUMIFS(Пул!$J$5:$J$300,Пул!$E$5:$E$300,$B223,Пул!$L$5:$L$300,"Закрыт"),8)))</f>
        <v/>
      </c>
      <c r="H223" s="241">
        <f>IF($B223="","",IF(COUNTIFS(Пул!$E$5:$E$300,$B223,Пул!$L$5:$L$300,"Закрыт")=0,"",ROUND(SUMIFS(Пул!$K$5:$K$300,Пул!$E$5:$E$300,$B223,Пул!$L$5:$L$300,"Закрыт"),8)))</f>
        <v/>
      </c>
      <c r="I223" s="236">
        <f>IF(AND(ISNUMBER(G223),ISNUMBER(H223)),IF(AND(G223&gt;0,H223&lt;0),"Buy",IF(AND(G223&lt;0,H223&gt;0),"Sell","")),"")</f>
        <v/>
      </c>
      <c r="J223" s="177">
        <f>IF(I223="Buy",G223,IF(I223="Sell",-G223,""))</f>
        <v/>
      </c>
      <c r="K223" s="177">
        <f>IF(AND(ISNUMBER(J223),ISNUMBER(L223),N(J223)&lt;&gt;0),ROUND(L223/J223,8),"")</f>
        <v/>
      </c>
      <c r="L223" s="177">
        <f>IF(I223="Buy",-H223,IF(I223="Sell",H223,""))</f>
        <v/>
      </c>
    </row>
    <row r="224" ht="22" customHeight="1">
      <c r="B224" s="320" t="n"/>
      <c r="C224" s="246">
        <f>IF($B224="","",IF(COUNTIFS(Пул!$E$5:$E$300,$B224,Пул!$F$5:$F$300,"&lt;&gt;")=0,"",ROUND(SUMIFS(Пул!$F$5:$F$300,Пул!$E$5:$E$300,$B224),8)))</f>
        <v/>
      </c>
      <c r="D224" s="247">
        <f>IF($B224="","",IF(COUNTIFS(Пул!$E$5:$E$300,$B224,Пул!$G$5:$G$300,"&lt;&gt;")=0,"",ROUND(SUMIFS(Пул!$G$5:$G$300,Пул!$E$5:$E$300,$B224),8)))</f>
        <v/>
      </c>
      <c r="E224" s="246">
        <f>IF($B224="","",IF(COUNTIFS(Пул!$E$5:$E$300,$B224,Пул!$L$5:$L$300,"Закрыт")=0,"",ROUND(SUMIFS(Пул!$H$5:$H$300,Пул!$E$5:$E$300,$B224,Пул!$L$5:$L$300,"Закрыт"),8)))</f>
        <v/>
      </c>
      <c r="F224" s="247">
        <f>IF($B224="","",IF(COUNTIFS(Пул!$E$5:$E$300,$B224,Пул!$L$5:$L$300,"Закрыт")=0,"",ROUND(SUMIFS(Пул!$I$5:$I$300,Пул!$E$5:$E$300,$B224,Пул!$L$5:$L$300,"Закрыт"),8)))</f>
        <v/>
      </c>
      <c r="G224" s="246">
        <f>IF($B224="","",IF(COUNTIFS(Пул!$E$5:$E$300,$B224,Пул!$L$5:$L$300,"Закрыт")=0,"",ROUND(SUMIFS(Пул!$J$5:$J$300,Пул!$E$5:$E$300,$B224,Пул!$L$5:$L$300,"Закрыт"),8)))</f>
        <v/>
      </c>
      <c r="H224" s="247">
        <f>IF($B224="","",IF(COUNTIFS(Пул!$E$5:$E$300,$B224,Пул!$L$5:$L$300,"Закрыт")=0,"",ROUND(SUMIFS(Пул!$K$5:$K$300,Пул!$E$5:$E$300,$B224,Пул!$L$5:$L$300,"Закрыт"),8)))</f>
        <v/>
      </c>
      <c r="I224" s="242">
        <f>IF(AND(ISNUMBER(G224),ISNUMBER(H224)),IF(AND(G224&gt;0,H224&lt;0),"Buy",IF(AND(G224&lt;0,H224&gt;0),"Sell","")),"")</f>
        <v/>
      </c>
      <c r="J224" s="183">
        <f>IF(I224="Buy",G224,IF(I224="Sell",-G224,""))</f>
        <v/>
      </c>
      <c r="K224" s="183">
        <f>IF(AND(ISNUMBER(J224),ISNUMBER(L224),N(J224)&lt;&gt;0),ROUND(L224/J224,8),"")</f>
        <v/>
      </c>
      <c r="L224" s="183">
        <f>IF(I224="Buy",-H224,IF(I224="Sell",H224,""))</f>
        <v/>
      </c>
    </row>
    <row r="225" ht="22" customHeight="1">
      <c r="B225" s="315" t="n"/>
      <c r="C225" s="240">
        <f>IF($B225="","",IF(COUNTIFS(Пул!$E$5:$E$300,$B225,Пул!$F$5:$F$300,"&lt;&gt;")=0,"",ROUND(SUMIFS(Пул!$F$5:$F$300,Пул!$E$5:$E$300,$B225),8)))</f>
        <v/>
      </c>
      <c r="D225" s="241">
        <f>IF($B225="","",IF(COUNTIFS(Пул!$E$5:$E$300,$B225,Пул!$G$5:$G$300,"&lt;&gt;")=0,"",ROUND(SUMIFS(Пул!$G$5:$G$300,Пул!$E$5:$E$300,$B225),8)))</f>
        <v/>
      </c>
      <c r="E225" s="240">
        <f>IF($B225="","",IF(COUNTIFS(Пул!$E$5:$E$300,$B225,Пул!$L$5:$L$300,"Закрыт")=0,"",ROUND(SUMIFS(Пул!$H$5:$H$300,Пул!$E$5:$E$300,$B225,Пул!$L$5:$L$300,"Закрыт"),8)))</f>
        <v/>
      </c>
      <c r="F225" s="241">
        <f>IF($B225="","",IF(COUNTIFS(Пул!$E$5:$E$300,$B225,Пул!$L$5:$L$300,"Закрыт")=0,"",ROUND(SUMIFS(Пул!$I$5:$I$300,Пул!$E$5:$E$300,$B225,Пул!$L$5:$L$300,"Закрыт"),8)))</f>
        <v/>
      </c>
      <c r="G225" s="240">
        <f>IF($B225="","",IF(COUNTIFS(Пул!$E$5:$E$300,$B225,Пул!$L$5:$L$300,"Закрыт")=0,"",ROUND(SUMIFS(Пул!$J$5:$J$300,Пул!$E$5:$E$300,$B225,Пул!$L$5:$L$300,"Закрыт"),8)))</f>
        <v/>
      </c>
      <c r="H225" s="241">
        <f>IF($B225="","",IF(COUNTIFS(Пул!$E$5:$E$300,$B225,Пул!$L$5:$L$300,"Закрыт")=0,"",ROUND(SUMIFS(Пул!$K$5:$K$300,Пул!$E$5:$E$300,$B225,Пул!$L$5:$L$300,"Закрыт"),8)))</f>
        <v/>
      </c>
      <c r="I225" s="236">
        <f>IF(AND(ISNUMBER(G225),ISNUMBER(H225)),IF(AND(G225&gt;0,H225&lt;0),"Buy",IF(AND(G225&lt;0,H225&gt;0),"Sell","")),"")</f>
        <v/>
      </c>
      <c r="J225" s="177">
        <f>IF(I225="Buy",G225,IF(I225="Sell",-G225,""))</f>
        <v/>
      </c>
      <c r="K225" s="177">
        <f>IF(AND(ISNUMBER(J225),ISNUMBER(L225),N(J225)&lt;&gt;0),ROUND(L225/J225,8),"")</f>
        <v/>
      </c>
      <c r="L225" s="177">
        <f>IF(I225="Buy",-H225,IF(I225="Sell",H225,""))</f>
        <v/>
      </c>
    </row>
    <row r="226" ht="22" customHeight="1">
      <c r="B226" s="320" t="n"/>
      <c r="C226" s="246">
        <f>IF($B226="","",IF(COUNTIFS(Пул!$E$5:$E$300,$B226,Пул!$F$5:$F$300,"&lt;&gt;")=0,"",ROUND(SUMIFS(Пул!$F$5:$F$300,Пул!$E$5:$E$300,$B226),8)))</f>
        <v/>
      </c>
      <c r="D226" s="247">
        <f>IF($B226="","",IF(COUNTIFS(Пул!$E$5:$E$300,$B226,Пул!$G$5:$G$300,"&lt;&gt;")=0,"",ROUND(SUMIFS(Пул!$G$5:$G$300,Пул!$E$5:$E$300,$B226),8)))</f>
        <v/>
      </c>
      <c r="E226" s="246">
        <f>IF($B226="","",IF(COUNTIFS(Пул!$E$5:$E$300,$B226,Пул!$L$5:$L$300,"Закрыт")=0,"",ROUND(SUMIFS(Пул!$H$5:$H$300,Пул!$E$5:$E$300,$B226,Пул!$L$5:$L$300,"Закрыт"),8)))</f>
        <v/>
      </c>
      <c r="F226" s="247">
        <f>IF($B226="","",IF(COUNTIFS(Пул!$E$5:$E$300,$B226,Пул!$L$5:$L$300,"Закрыт")=0,"",ROUND(SUMIFS(Пул!$I$5:$I$300,Пул!$E$5:$E$300,$B226,Пул!$L$5:$L$300,"Закрыт"),8)))</f>
        <v/>
      </c>
      <c r="G226" s="246">
        <f>IF($B226="","",IF(COUNTIFS(Пул!$E$5:$E$300,$B226,Пул!$L$5:$L$300,"Закрыт")=0,"",ROUND(SUMIFS(Пул!$J$5:$J$300,Пул!$E$5:$E$300,$B226,Пул!$L$5:$L$300,"Закрыт"),8)))</f>
        <v/>
      </c>
      <c r="H226" s="247">
        <f>IF($B226="","",IF(COUNTIFS(Пул!$E$5:$E$300,$B226,Пул!$L$5:$L$300,"Закрыт")=0,"",ROUND(SUMIFS(Пул!$K$5:$K$300,Пул!$E$5:$E$300,$B226,Пул!$L$5:$L$300,"Закрыт"),8)))</f>
        <v/>
      </c>
      <c r="I226" s="242">
        <f>IF(AND(ISNUMBER(G226),ISNUMBER(H226)),IF(AND(G226&gt;0,H226&lt;0),"Buy",IF(AND(G226&lt;0,H226&gt;0),"Sell","")),"")</f>
        <v/>
      </c>
      <c r="J226" s="183">
        <f>IF(I226="Buy",G226,IF(I226="Sell",-G226,""))</f>
        <v/>
      </c>
      <c r="K226" s="183">
        <f>IF(AND(ISNUMBER(J226),ISNUMBER(L226),N(J226)&lt;&gt;0),ROUND(L226/J226,8),"")</f>
        <v/>
      </c>
      <c r="L226" s="183">
        <f>IF(I226="Buy",-H226,IF(I226="Sell",H226,""))</f>
        <v/>
      </c>
    </row>
    <row r="227" ht="22" customHeight="1">
      <c r="B227" s="315" t="n"/>
      <c r="C227" s="240">
        <f>IF($B227="","",IF(COUNTIFS(Пул!$E$5:$E$300,$B227,Пул!$F$5:$F$300,"&lt;&gt;")=0,"",ROUND(SUMIFS(Пул!$F$5:$F$300,Пул!$E$5:$E$300,$B227),8)))</f>
        <v/>
      </c>
      <c r="D227" s="241">
        <f>IF($B227="","",IF(COUNTIFS(Пул!$E$5:$E$300,$B227,Пул!$G$5:$G$300,"&lt;&gt;")=0,"",ROUND(SUMIFS(Пул!$G$5:$G$300,Пул!$E$5:$E$300,$B227),8)))</f>
        <v/>
      </c>
      <c r="E227" s="240">
        <f>IF($B227="","",IF(COUNTIFS(Пул!$E$5:$E$300,$B227,Пул!$L$5:$L$300,"Закрыт")=0,"",ROUND(SUMIFS(Пул!$H$5:$H$300,Пул!$E$5:$E$300,$B227,Пул!$L$5:$L$300,"Закрыт"),8)))</f>
        <v/>
      </c>
      <c r="F227" s="241">
        <f>IF($B227="","",IF(COUNTIFS(Пул!$E$5:$E$300,$B227,Пул!$L$5:$L$300,"Закрыт")=0,"",ROUND(SUMIFS(Пул!$I$5:$I$300,Пул!$E$5:$E$300,$B227,Пул!$L$5:$L$300,"Закрыт"),8)))</f>
        <v/>
      </c>
      <c r="G227" s="240">
        <f>IF($B227="","",IF(COUNTIFS(Пул!$E$5:$E$300,$B227,Пул!$L$5:$L$300,"Закрыт")=0,"",ROUND(SUMIFS(Пул!$J$5:$J$300,Пул!$E$5:$E$300,$B227,Пул!$L$5:$L$300,"Закрыт"),8)))</f>
        <v/>
      </c>
      <c r="H227" s="241">
        <f>IF($B227="","",IF(COUNTIFS(Пул!$E$5:$E$300,$B227,Пул!$L$5:$L$300,"Закрыт")=0,"",ROUND(SUMIFS(Пул!$K$5:$K$300,Пул!$E$5:$E$300,$B227,Пул!$L$5:$L$300,"Закрыт"),8)))</f>
        <v/>
      </c>
      <c r="I227" s="236">
        <f>IF(AND(ISNUMBER(G227),ISNUMBER(H227)),IF(AND(G227&gt;0,H227&lt;0),"Buy",IF(AND(G227&lt;0,H227&gt;0),"Sell","")),"")</f>
        <v/>
      </c>
      <c r="J227" s="177">
        <f>IF(I227="Buy",G227,IF(I227="Sell",-G227,""))</f>
        <v/>
      </c>
      <c r="K227" s="177">
        <f>IF(AND(ISNUMBER(J227),ISNUMBER(L227),N(J227)&lt;&gt;0),ROUND(L227/J227,8),"")</f>
        <v/>
      </c>
      <c r="L227" s="177">
        <f>IF(I227="Buy",-H227,IF(I227="Sell",H227,""))</f>
        <v/>
      </c>
    </row>
    <row r="228" ht="22" customHeight="1">
      <c r="B228" s="320" t="n"/>
      <c r="C228" s="246">
        <f>IF($B228="","",IF(COUNTIFS(Пул!$E$5:$E$300,$B228,Пул!$F$5:$F$300,"&lt;&gt;")=0,"",ROUND(SUMIFS(Пул!$F$5:$F$300,Пул!$E$5:$E$300,$B228),8)))</f>
        <v/>
      </c>
      <c r="D228" s="247">
        <f>IF($B228="","",IF(COUNTIFS(Пул!$E$5:$E$300,$B228,Пул!$G$5:$G$300,"&lt;&gt;")=0,"",ROUND(SUMIFS(Пул!$G$5:$G$300,Пул!$E$5:$E$300,$B228),8)))</f>
        <v/>
      </c>
      <c r="E228" s="246">
        <f>IF($B228="","",IF(COUNTIFS(Пул!$E$5:$E$300,$B228,Пул!$L$5:$L$300,"Закрыт")=0,"",ROUND(SUMIFS(Пул!$H$5:$H$300,Пул!$E$5:$E$300,$B228,Пул!$L$5:$L$300,"Закрыт"),8)))</f>
        <v/>
      </c>
      <c r="F228" s="247">
        <f>IF($B228="","",IF(COUNTIFS(Пул!$E$5:$E$300,$B228,Пул!$L$5:$L$300,"Закрыт")=0,"",ROUND(SUMIFS(Пул!$I$5:$I$300,Пул!$E$5:$E$300,$B228,Пул!$L$5:$L$300,"Закрыт"),8)))</f>
        <v/>
      </c>
      <c r="G228" s="246">
        <f>IF($B228="","",IF(COUNTIFS(Пул!$E$5:$E$300,$B228,Пул!$L$5:$L$300,"Закрыт")=0,"",ROUND(SUMIFS(Пул!$J$5:$J$300,Пул!$E$5:$E$300,$B228,Пул!$L$5:$L$300,"Закрыт"),8)))</f>
        <v/>
      </c>
      <c r="H228" s="247">
        <f>IF($B228="","",IF(COUNTIFS(Пул!$E$5:$E$300,$B228,Пул!$L$5:$L$300,"Закрыт")=0,"",ROUND(SUMIFS(Пул!$K$5:$K$300,Пул!$E$5:$E$300,$B228,Пул!$L$5:$L$300,"Закрыт"),8)))</f>
        <v/>
      </c>
      <c r="I228" s="242">
        <f>IF(AND(ISNUMBER(G228),ISNUMBER(H228)),IF(AND(G228&gt;0,H228&lt;0),"Buy",IF(AND(G228&lt;0,H228&gt;0),"Sell","")),"")</f>
        <v/>
      </c>
      <c r="J228" s="183">
        <f>IF(I228="Buy",G228,IF(I228="Sell",-G228,""))</f>
        <v/>
      </c>
      <c r="K228" s="183">
        <f>IF(AND(ISNUMBER(J228),ISNUMBER(L228),N(J228)&lt;&gt;0),ROUND(L228/J228,8),"")</f>
        <v/>
      </c>
      <c r="L228" s="183">
        <f>IF(I228="Buy",-H228,IF(I228="Sell",H228,""))</f>
        <v/>
      </c>
    </row>
    <row r="229" ht="22" customHeight="1">
      <c r="B229" s="315" t="n"/>
      <c r="C229" s="240">
        <f>IF($B229="","",IF(COUNTIFS(Пул!$E$5:$E$300,$B229,Пул!$F$5:$F$300,"&lt;&gt;")=0,"",ROUND(SUMIFS(Пул!$F$5:$F$300,Пул!$E$5:$E$300,$B229),8)))</f>
        <v/>
      </c>
      <c r="D229" s="241">
        <f>IF($B229="","",IF(COUNTIFS(Пул!$E$5:$E$300,$B229,Пул!$G$5:$G$300,"&lt;&gt;")=0,"",ROUND(SUMIFS(Пул!$G$5:$G$300,Пул!$E$5:$E$300,$B229),8)))</f>
        <v/>
      </c>
      <c r="E229" s="240">
        <f>IF($B229="","",IF(COUNTIFS(Пул!$E$5:$E$300,$B229,Пул!$L$5:$L$300,"Закрыт")=0,"",ROUND(SUMIFS(Пул!$H$5:$H$300,Пул!$E$5:$E$300,$B229,Пул!$L$5:$L$300,"Закрыт"),8)))</f>
        <v/>
      </c>
      <c r="F229" s="241">
        <f>IF($B229="","",IF(COUNTIFS(Пул!$E$5:$E$300,$B229,Пул!$L$5:$L$300,"Закрыт")=0,"",ROUND(SUMIFS(Пул!$I$5:$I$300,Пул!$E$5:$E$300,$B229,Пул!$L$5:$L$300,"Закрыт"),8)))</f>
        <v/>
      </c>
      <c r="G229" s="240">
        <f>IF($B229="","",IF(COUNTIFS(Пул!$E$5:$E$300,$B229,Пул!$L$5:$L$300,"Закрыт")=0,"",ROUND(SUMIFS(Пул!$J$5:$J$300,Пул!$E$5:$E$300,$B229,Пул!$L$5:$L$300,"Закрыт"),8)))</f>
        <v/>
      </c>
      <c r="H229" s="241">
        <f>IF($B229="","",IF(COUNTIFS(Пул!$E$5:$E$300,$B229,Пул!$L$5:$L$300,"Закрыт")=0,"",ROUND(SUMIFS(Пул!$K$5:$K$300,Пул!$E$5:$E$300,$B229,Пул!$L$5:$L$300,"Закрыт"),8)))</f>
        <v/>
      </c>
      <c r="I229" s="236">
        <f>IF(AND(ISNUMBER(G229),ISNUMBER(H229)),IF(AND(G229&gt;0,H229&lt;0),"Buy",IF(AND(G229&lt;0,H229&gt;0),"Sell","")),"")</f>
        <v/>
      </c>
      <c r="J229" s="177">
        <f>IF(I229="Buy",G229,IF(I229="Sell",-G229,""))</f>
        <v/>
      </c>
      <c r="K229" s="177">
        <f>IF(AND(ISNUMBER(J229),ISNUMBER(L229),N(J229)&lt;&gt;0),ROUND(L229/J229,8),"")</f>
        <v/>
      </c>
      <c r="L229" s="177">
        <f>IF(I229="Buy",-H229,IF(I229="Sell",H229,""))</f>
        <v/>
      </c>
    </row>
    <row r="230" ht="22" customHeight="1">
      <c r="B230" s="320" t="n"/>
      <c r="C230" s="246">
        <f>IF($B230="","",IF(COUNTIFS(Пул!$E$5:$E$300,$B230,Пул!$F$5:$F$300,"&lt;&gt;")=0,"",ROUND(SUMIFS(Пул!$F$5:$F$300,Пул!$E$5:$E$300,$B230),8)))</f>
        <v/>
      </c>
      <c r="D230" s="247">
        <f>IF($B230="","",IF(COUNTIFS(Пул!$E$5:$E$300,$B230,Пул!$G$5:$G$300,"&lt;&gt;")=0,"",ROUND(SUMIFS(Пул!$G$5:$G$300,Пул!$E$5:$E$300,$B230),8)))</f>
        <v/>
      </c>
      <c r="E230" s="246">
        <f>IF($B230="","",IF(COUNTIFS(Пул!$E$5:$E$300,$B230,Пул!$L$5:$L$300,"Закрыт")=0,"",ROUND(SUMIFS(Пул!$H$5:$H$300,Пул!$E$5:$E$300,$B230,Пул!$L$5:$L$300,"Закрыт"),8)))</f>
        <v/>
      </c>
      <c r="F230" s="247">
        <f>IF($B230="","",IF(COUNTIFS(Пул!$E$5:$E$300,$B230,Пул!$L$5:$L$300,"Закрыт")=0,"",ROUND(SUMIFS(Пул!$I$5:$I$300,Пул!$E$5:$E$300,$B230,Пул!$L$5:$L$300,"Закрыт"),8)))</f>
        <v/>
      </c>
      <c r="G230" s="246">
        <f>IF($B230="","",IF(COUNTIFS(Пул!$E$5:$E$300,$B230,Пул!$L$5:$L$300,"Закрыт")=0,"",ROUND(SUMIFS(Пул!$J$5:$J$300,Пул!$E$5:$E$300,$B230,Пул!$L$5:$L$300,"Закрыт"),8)))</f>
        <v/>
      </c>
      <c r="H230" s="247">
        <f>IF($B230="","",IF(COUNTIFS(Пул!$E$5:$E$300,$B230,Пул!$L$5:$L$300,"Закрыт")=0,"",ROUND(SUMIFS(Пул!$K$5:$K$300,Пул!$E$5:$E$300,$B230,Пул!$L$5:$L$300,"Закрыт"),8)))</f>
        <v/>
      </c>
      <c r="I230" s="242">
        <f>IF(AND(ISNUMBER(G230),ISNUMBER(H230)),IF(AND(G230&gt;0,H230&lt;0),"Buy",IF(AND(G230&lt;0,H230&gt;0),"Sell","")),"")</f>
        <v/>
      </c>
      <c r="J230" s="183">
        <f>IF(I230="Buy",G230,IF(I230="Sell",-G230,""))</f>
        <v/>
      </c>
      <c r="K230" s="183">
        <f>IF(AND(ISNUMBER(J230),ISNUMBER(L230),N(J230)&lt;&gt;0),ROUND(L230/J230,8),"")</f>
        <v/>
      </c>
      <c r="L230" s="183">
        <f>IF(I230="Buy",-H230,IF(I230="Sell",H230,""))</f>
        <v/>
      </c>
    </row>
    <row r="231" ht="22" customHeight="1">
      <c r="B231" s="315" t="n"/>
      <c r="C231" s="240">
        <f>IF($B231="","",IF(COUNTIFS(Пул!$E$5:$E$300,$B231,Пул!$F$5:$F$300,"&lt;&gt;")=0,"",ROUND(SUMIFS(Пул!$F$5:$F$300,Пул!$E$5:$E$300,$B231),8)))</f>
        <v/>
      </c>
      <c r="D231" s="241">
        <f>IF($B231="","",IF(COUNTIFS(Пул!$E$5:$E$300,$B231,Пул!$G$5:$G$300,"&lt;&gt;")=0,"",ROUND(SUMIFS(Пул!$G$5:$G$300,Пул!$E$5:$E$300,$B231),8)))</f>
        <v/>
      </c>
      <c r="E231" s="240">
        <f>IF($B231="","",IF(COUNTIFS(Пул!$E$5:$E$300,$B231,Пул!$L$5:$L$300,"Закрыт")=0,"",ROUND(SUMIFS(Пул!$H$5:$H$300,Пул!$E$5:$E$300,$B231,Пул!$L$5:$L$300,"Закрыт"),8)))</f>
        <v/>
      </c>
      <c r="F231" s="241">
        <f>IF($B231="","",IF(COUNTIFS(Пул!$E$5:$E$300,$B231,Пул!$L$5:$L$300,"Закрыт")=0,"",ROUND(SUMIFS(Пул!$I$5:$I$300,Пул!$E$5:$E$300,$B231,Пул!$L$5:$L$300,"Закрыт"),8)))</f>
        <v/>
      </c>
      <c r="G231" s="240">
        <f>IF($B231="","",IF(COUNTIFS(Пул!$E$5:$E$300,$B231,Пул!$L$5:$L$300,"Закрыт")=0,"",ROUND(SUMIFS(Пул!$J$5:$J$300,Пул!$E$5:$E$300,$B231,Пул!$L$5:$L$300,"Закрыт"),8)))</f>
        <v/>
      </c>
      <c r="H231" s="241">
        <f>IF($B231="","",IF(COUNTIFS(Пул!$E$5:$E$300,$B231,Пул!$L$5:$L$300,"Закрыт")=0,"",ROUND(SUMIFS(Пул!$K$5:$K$300,Пул!$E$5:$E$300,$B231,Пул!$L$5:$L$300,"Закрыт"),8)))</f>
        <v/>
      </c>
      <c r="I231" s="236">
        <f>IF(AND(ISNUMBER(G231),ISNUMBER(H231)),IF(AND(G231&gt;0,H231&lt;0),"Buy",IF(AND(G231&lt;0,H231&gt;0),"Sell","")),"")</f>
        <v/>
      </c>
      <c r="J231" s="177">
        <f>IF(I231="Buy",G231,IF(I231="Sell",-G231,""))</f>
        <v/>
      </c>
      <c r="K231" s="177">
        <f>IF(AND(ISNUMBER(J231),ISNUMBER(L231),N(J231)&lt;&gt;0),ROUND(L231/J231,8),"")</f>
        <v/>
      </c>
      <c r="L231" s="177">
        <f>IF(I231="Buy",-H231,IF(I231="Sell",H231,""))</f>
        <v/>
      </c>
    </row>
    <row r="232" ht="22" customHeight="1">
      <c r="B232" s="320" t="n"/>
      <c r="C232" s="246">
        <f>IF($B232="","",IF(COUNTIFS(Пул!$E$5:$E$300,$B232,Пул!$F$5:$F$300,"&lt;&gt;")=0,"",ROUND(SUMIFS(Пул!$F$5:$F$300,Пул!$E$5:$E$300,$B232),8)))</f>
        <v/>
      </c>
      <c r="D232" s="247">
        <f>IF($B232="","",IF(COUNTIFS(Пул!$E$5:$E$300,$B232,Пул!$G$5:$G$300,"&lt;&gt;")=0,"",ROUND(SUMIFS(Пул!$G$5:$G$300,Пул!$E$5:$E$300,$B232),8)))</f>
        <v/>
      </c>
      <c r="E232" s="246">
        <f>IF($B232="","",IF(COUNTIFS(Пул!$E$5:$E$300,$B232,Пул!$L$5:$L$300,"Закрыт")=0,"",ROUND(SUMIFS(Пул!$H$5:$H$300,Пул!$E$5:$E$300,$B232,Пул!$L$5:$L$300,"Закрыт"),8)))</f>
        <v/>
      </c>
      <c r="F232" s="247">
        <f>IF($B232="","",IF(COUNTIFS(Пул!$E$5:$E$300,$B232,Пул!$L$5:$L$300,"Закрыт")=0,"",ROUND(SUMIFS(Пул!$I$5:$I$300,Пул!$E$5:$E$300,$B232,Пул!$L$5:$L$300,"Закрыт"),8)))</f>
        <v/>
      </c>
      <c r="G232" s="246">
        <f>IF($B232="","",IF(COUNTIFS(Пул!$E$5:$E$300,$B232,Пул!$L$5:$L$300,"Закрыт")=0,"",ROUND(SUMIFS(Пул!$J$5:$J$300,Пул!$E$5:$E$300,$B232,Пул!$L$5:$L$300,"Закрыт"),8)))</f>
        <v/>
      </c>
      <c r="H232" s="247">
        <f>IF($B232="","",IF(COUNTIFS(Пул!$E$5:$E$300,$B232,Пул!$L$5:$L$300,"Закрыт")=0,"",ROUND(SUMIFS(Пул!$K$5:$K$300,Пул!$E$5:$E$300,$B232,Пул!$L$5:$L$300,"Закрыт"),8)))</f>
        <v/>
      </c>
      <c r="I232" s="242">
        <f>IF(AND(ISNUMBER(G232),ISNUMBER(H232)),IF(AND(G232&gt;0,H232&lt;0),"Buy",IF(AND(G232&lt;0,H232&gt;0),"Sell","")),"")</f>
        <v/>
      </c>
      <c r="J232" s="183">
        <f>IF(I232="Buy",G232,IF(I232="Sell",-G232,""))</f>
        <v/>
      </c>
      <c r="K232" s="183">
        <f>IF(AND(ISNUMBER(J232),ISNUMBER(L232),N(J232)&lt;&gt;0),ROUND(L232/J232,8),"")</f>
        <v/>
      </c>
      <c r="L232" s="183">
        <f>IF(I232="Buy",-H232,IF(I232="Sell",H232,""))</f>
        <v/>
      </c>
    </row>
    <row r="233" ht="22" customHeight="1">
      <c r="B233" s="315" t="n"/>
      <c r="C233" s="240">
        <f>IF($B233="","",IF(COUNTIFS(Пул!$E$5:$E$300,$B233,Пул!$F$5:$F$300,"&lt;&gt;")=0,"",ROUND(SUMIFS(Пул!$F$5:$F$300,Пул!$E$5:$E$300,$B233),8)))</f>
        <v/>
      </c>
      <c r="D233" s="241">
        <f>IF($B233="","",IF(COUNTIFS(Пул!$E$5:$E$300,$B233,Пул!$G$5:$G$300,"&lt;&gt;")=0,"",ROUND(SUMIFS(Пул!$G$5:$G$300,Пул!$E$5:$E$300,$B233),8)))</f>
        <v/>
      </c>
      <c r="E233" s="240">
        <f>IF($B233="","",IF(COUNTIFS(Пул!$E$5:$E$300,$B233,Пул!$L$5:$L$300,"Закрыт")=0,"",ROUND(SUMIFS(Пул!$H$5:$H$300,Пул!$E$5:$E$300,$B233,Пул!$L$5:$L$300,"Закрыт"),8)))</f>
        <v/>
      </c>
      <c r="F233" s="241">
        <f>IF($B233="","",IF(COUNTIFS(Пул!$E$5:$E$300,$B233,Пул!$L$5:$L$300,"Закрыт")=0,"",ROUND(SUMIFS(Пул!$I$5:$I$300,Пул!$E$5:$E$300,$B233,Пул!$L$5:$L$300,"Закрыт"),8)))</f>
        <v/>
      </c>
      <c r="G233" s="240">
        <f>IF($B233="","",IF(COUNTIFS(Пул!$E$5:$E$300,$B233,Пул!$L$5:$L$300,"Закрыт")=0,"",ROUND(SUMIFS(Пул!$J$5:$J$300,Пул!$E$5:$E$300,$B233,Пул!$L$5:$L$300,"Закрыт"),8)))</f>
        <v/>
      </c>
      <c r="H233" s="241">
        <f>IF($B233="","",IF(COUNTIFS(Пул!$E$5:$E$300,$B233,Пул!$L$5:$L$300,"Закрыт")=0,"",ROUND(SUMIFS(Пул!$K$5:$K$300,Пул!$E$5:$E$300,$B233,Пул!$L$5:$L$300,"Закрыт"),8)))</f>
        <v/>
      </c>
      <c r="I233" s="236">
        <f>IF(AND(ISNUMBER(G233),ISNUMBER(H233)),IF(AND(G233&gt;0,H233&lt;0),"Buy",IF(AND(G233&lt;0,H233&gt;0),"Sell","")),"")</f>
        <v/>
      </c>
      <c r="J233" s="177">
        <f>IF(I233="Buy",G233,IF(I233="Sell",-G233,""))</f>
        <v/>
      </c>
      <c r="K233" s="177">
        <f>IF(AND(ISNUMBER(J233),ISNUMBER(L233),N(J233)&lt;&gt;0),ROUND(L233/J233,8),"")</f>
        <v/>
      </c>
      <c r="L233" s="177">
        <f>IF(I233="Buy",-H233,IF(I233="Sell",H233,""))</f>
        <v/>
      </c>
    </row>
    <row r="234" ht="22" customHeight="1">
      <c r="B234" s="320" t="n"/>
      <c r="C234" s="246">
        <f>IF($B234="","",IF(COUNTIFS(Пул!$E$5:$E$300,$B234,Пул!$F$5:$F$300,"&lt;&gt;")=0,"",ROUND(SUMIFS(Пул!$F$5:$F$300,Пул!$E$5:$E$300,$B234),8)))</f>
        <v/>
      </c>
      <c r="D234" s="247">
        <f>IF($B234="","",IF(COUNTIFS(Пул!$E$5:$E$300,$B234,Пул!$G$5:$G$300,"&lt;&gt;")=0,"",ROUND(SUMIFS(Пул!$G$5:$G$300,Пул!$E$5:$E$300,$B234),8)))</f>
        <v/>
      </c>
      <c r="E234" s="246">
        <f>IF($B234="","",IF(COUNTIFS(Пул!$E$5:$E$300,$B234,Пул!$L$5:$L$300,"Закрыт")=0,"",ROUND(SUMIFS(Пул!$H$5:$H$300,Пул!$E$5:$E$300,$B234,Пул!$L$5:$L$300,"Закрыт"),8)))</f>
        <v/>
      </c>
      <c r="F234" s="247">
        <f>IF($B234="","",IF(COUNTIFS(Пул!$E$5:$E$300,$B234,Пул!$L$5:$L$300,"Закрыт")=0,"",ROUND(SUMIFS(Пул!$I$5:$I$300,Пул!$E$5:$E$300,$B234,Пул!$L$5:$L$300,"Закрыт"),8)))</f>
        <v/>
      </c>
      <c r="G234" s="246">
        <f>IF($B234="","",IF(COUNTIFS(Пул!$E$5:$E$300,$B234,Пул!$L$5:$L$300,"Закрыт")=0,"",ROUND(SUMIFS(Пул!$J$5:$J$300,Пул!$E$5:$E$300,$B234,Пул!$L$5:$L$300,"Закрыт"),8)))</f>
        <v/>
      </c>
      <c r="H234" s="247">
        <f>IF($B234="","",IF(COUNTIFS(Пул!$E$5:$E$300,$B234,Пул!$L$5:$L$300,"Закрыт")=0,"",ROUND(SUMIFS(Пул!$K$5:$K$300,Пул!$E$5:$E$300,$B234,Пул!$L$5:$L$300,"Закрыт"),8)))</f>
        <v/>
      </c>
      <c r="I234" s="242">
        <f>IF(AND(ISNUMBER(G234),ISNUMBER(H234)),IF(AND(G234&gt;0,H234&lt;0),"Buy",IF(AND(G234&lt;0,H234&gt;0),"Sell","")),"")</f>
        <v/>
      </c>
      <c r="J234" s="183">
        <f>IF(I234="Buy",G234,IF(I234="Sell",-G234,""))</f>
        <v/>
      </c>
      <c r="K234" s="183">
        <f>IF(AND(ISNUMBER(J234),ISNUMBER(L234),N(J234)&lt;&gt;0),ROUND(L234/J234,8),"")</f>
        <v/>
      </c>
      <c r="L234" s="183">
        <f>IF(I234="Buy",-H234,IF(I234="Sell",H234,""))</f>
        <v/>
      </c>
    </row>
    <row r="235" ht="22" customHeight="1">
      <c r="B235" s="315" t="n"/>
      <c r="C235" s="240">
        <f>IF($B235="","",IF(COUNTIFS(Пул!$E$5:$E$300,$B235,Пул!$F$5:$F$300,"&lt;&gt;")=0,"",ROUND(SUMIFS(Пул!$F$5:$F$300,Пул!$E$5:$E$300,$B235),8)))</f>
        <v/>
      </c>
      <c r="D235" s="241">
        <f>IF($B235="","",IF(COUNTIFS(Пул!$E$5:$E$300,$B235,Пул!$G$5:$G$300,"&lt;&gt;")=0,"",ROUND(SUMIFS(Пул!$G$5:$G$300,Пул!$E$5:$E$300,$B235),8)))</f>
        <v/>
      </c>
      <c r="E235" s="240">
        <f>IF($B235="","",IF(COUNTIFS(Пул!$E$5:$E$300,$B235,Пул!$L$5:$L$300,"Закрыт")=0,"",ROUND(SUMIFS(Пул!$H$5:$H$300,Пул!$E$5:$E$300,$B235,Пул!$L$5:$L$300,"Закрыт"),8)))</f>
        <v/>
      </c>
      <c r="F235" s="241">
        <f>IF($B235="","",IF(COUNTIFS(Пул!$E$5:$E$300,$B235,Пул!$L$5:$L$300,"Закрыт")=0,"",ROUND(SUMIFS(Пул!$I$5:$I$300,Пул!$E$5:$E$300,$B235,Пул!$L$5:$L$300,"Закрыт"),8)))</f>
        <v/>
      </c>
      <c r="G235" s="240">
        <f>IF($B235="","",IF(COUNTIFS(Пул!$E$5:$E$300,$B235,Пул!$L$5:$L$300,"Закрыт")=0,"",ROUND(SUMIFS(Пул!$J$5:$J$300,Пул!$E$5:$E$300,$B235,Пул!$L$5:$L$300,"Закрыт"),8)))</f>
        <v/>
      </c>
      <c r="H235" s="241">
        <f>IF($B235="","",IF(COUNTIFS(Пул!$E$5:$E$300,$B235,Пул!$L$5:$L$300,"Закрыт")=0,"",ROUND(SUMIFS(Пул!$K$5:$K$300,Пул!$E$5:$E$300,$B235,Пул!$L$5:$L$300,"Закрыт"),8)))</f>
        <v/>
      </c>
      <c r="I235" s="236">
        <f>IF(AND(ISNUMBER(G235),ISNUMBER(H235)),IF(AND(G235&gt;0,H235&lt;0),"Buy",IF(AND(G235&lt;0,H235&gt;0),"Sell","")),"")</f>
        <v/>
      </c>
      <c r="J235" s="177">
        <f>IF(I235="Buy",G235,IF(I235="Sell",-G235,""))</f>
        <v/>
      </c>
      <c r="K235" s="177">
        <f>IF(AND(ISNUMBER(J235),ISNUMBER(L235),N(J235)&lt;&gt;0),ROUND(L235/J235,8),"")</f>
        <v/>
      </c>
      <c r="L235" s="177">
        <f>IF(I235="Buy",-H235,IF(I235="Sell",H235,""))</f>
        <v/>
      </c>
    </row>
    <row r="236" ht="22" customHeight="1">
      <c r="B236" s="320" t="n"/>
      <c r="C236" s="246">
        <f>IF($B236="","",IF(COUNTIFS(Пул!$E$5:$E$300,$B236,Пул!$F$5:$F$300,"&lt;&gt;")=0,"",ROUND(SUMIFS(Пул!$F$5:$F$300,Пул!$E$5:$E$300,$B236),8)))</f>
        <v/>
      </c>
      <c r="D236" s="247">
        <f>IF($B236="","",IF(COUNTIFS(Пул!$E$5:$E$300,$B236,Пул!$G$5:$G$300,"&lt;&gt;")=0,"",ROUND(SUMIFS(Пул!$G$5:$G$300,Пул!$E$5:$E$300,$B236),8)))</f>
        <v/>
      </c>
      <c r="E236" s="246">
        <f>IF($B236="","",IF(COUNTIFS(Пул!$E$5:$E$300,$B236,Пул!$L$5:$L$300,"Закрыт")=0,"",ROUND(SUMIFS(Пул!$H$5:$H$300,Пул!$E$5:$E$300,$B236,Пул!$L$5:$L$300,"Закрыт"),8)))</f>
        <v/>
      </c>
      <c r="F236" s="247">
        <f>IF($B236="","",IF(COUNTIFS(Пул!$E$5:$E$300,$B236,Пул!$L$5:$L$300,"Закрыт")=0,"",ROUND(SUMIFS(Пул!$I$5:$I$300,Пул!$E$5:$E$300,$B236,Пул!$L$5:$L$300,"Закрыт"),8)))</f>
        <v/>
      </c>
      <c r="G236" s="246">
        <f>IF($B236="","",IF(COUNTIFS(Пул!$E$5:$E$300,$B236,Пул!$L$5:$L$300,"Закрыт")=0,"",ROUND(SUMIFS(Пул!$J$5:$J$300,Пул!$E$5:$E$300,$B236,Пул!$L$5:$L$300,"Закрыт"),8)))</f>
        <v/>
      </c>
      <c r="H236" s="247">
        <f>IF($B236="","",IF(COUNTIFS(Пул!$E$5:$E$300,$B236,Пул!$L$5:$L$300,"Закрыт")=0,"",ROUND(SUMIFS(Пул!$K$5:$K$300,Пул!$E$5:$E$300,$B236,Пул!$L$5:$L$300,"Закрыт"),8)))</f>
        <v/>
      </c>
      <c r="I236" s="242">
        <f>IF(AND(ISNUMBER(G236),ISNUMBER(H236)),IF(AND(G236&gt;0,H236&lt;0),"Buy",IF(AND(G236&lt;0,H236&gt;0),"Sell","")),"")</f>
        <v/>
      </c>
      <c r="J236" s="183">
        <f>IF(I236="Buy",G236,IF(I236="Sell",-G236,""))</f>
        <v/>
      </c>
      <c r="K236" s="183">
        <f>IF(AND(ISNUMBER(J236),ISNUMBER(L236),N(J236)&lt;&gt;0),ROUND(L236/J236,8),"")</f>
        <v/>
      </c>
      <c r="L236" s="183">
        <f>IF(I236="Buy",-H236,IF(I236="Sell",H236,""))</f>
        <v/>
      </c>
    </row>
    <row r="237" ht="22" customHeight="1">
      <c r="B237" s="315" t="n"/>
      <c r="C237" s="240">
        <f>IF($B237="","",IF(COUNTIFS(Пул!$E$5:$E$300,$B237,Пул!$F$5:$F$300,"&lt;&gt;")=0,"",ROUND(SUMIFS(Пул!$F$5:$F$300,Пул!$E$5:$E$300,$B237),8)))</f>
        <v/>
      </c>
      <c r="D237" s="241">
        <f>IF($B237="","",IF(COUNTIFS(Пул!$E$5:$E$300,$B237,Пул!$G$5:$G$300,"&lt;&gt;")=0,"",ROUND(SUMIFS(Пул!$G$5:$G$300,Пул!$E$5:$E$300,$B237),8)))</f>
        <v/>
      </c>
      <c r="E237" s="240">
        <f>IF($B237="","",IF(COUNTIFS(Пул!$E$5:$E$300,$B237,Пул!$L$5:$L$300,"Закрыт")=0,"",ROUND(SUMIFS(Пул!$H$5:$H$300,Пул!$E$5:$E$300,$B237,Пул!$L$5:$L$300,"Закрыт"),8)))</f>
        <v/>
      </c>
      <c r="F237" s="241">
        <f>IF($B237="","",IF(COUNTIFS(Пул!$E$5:$E$300,$B237,Пул!$L$5:$L$300,"Закрыт")=0,"",ROUND(SUMIFS(Пул!$I$5:$I$300,Пул!$E$5:$E$300,$B237,Пул!$L$5:$L$300,"Закрыт"),8)))</f>
        <v/>
      </c>
      <c r="G237" s="240">
        <f>IF($B237="","",IF(COUNTIFS(Пул!$E$5:$E$300,$B237,Пул!$L$5:$L$300,"Закрыт")=0,"",ROUND(SUMIFS(Пул!$J$5:$J$300,Пул!$E$5:$E$300,$B237,Пул!$L$5:$L$300,"Закрыт"),8)))</f>
        <v/>
      </c>
      <c r="H237" s="241">
        <f>IF($B237="","",IF(COUNTIFS(Пул!$E$5:$E$300,$B237,Пул!$L$5:$L$300,"Закрыт")=0,"",ROUND(SUMIFS(Пул!$K$5:$K$300,Пул!$E$5:$E$300,$B237,Пул!$L$5:$L$300,"Закрыт"),8)))</f>
        <v/>
      </c>
      <c r="I237" s="236">
        <f>IF(AND(ISNUMBER(G237),ISNUMBER(H237)),IF(AND(G237&gt;0,H237&lt;0),"Buy",IF(AND(G237&lt;0,H237&gt;0),"Sell","")),"")</f>
        <v/>
      </c>
      <c r="J237" s="177">
        <f>IF(I237="Buy",G237,IF(I237="Sell",-G237,""))</f>
        <v/>
      </c>
      <c r="K237" s="177">
        <f>IF(AND(ISNUMBER(J237),ISNUMBER(L237),N(J237)&lt;&gt;0),ROUND(L237/J237,8),"")</f>
        <v/>
      </c>
      <c r="L237" s="177">
        <f>IF(I237="Buy",-H237,IF(I237="Sell",H237,""))</f>
        <v/>
      </c>
    </row>
    <row r="238" ht="22" customHeight="1">
      <c r="B238" s="320" t="n"/>
      <c r="C238" s="246">
        <f>IF($B238="","",IF(COUNTIFS(Пул!$E$5:$E$300,$B238,Пул!$F$5:$F$300,"&lt;&gt;")=0,"",ROUND(SUMIFS(Пул!$F$5:$F$300,Пул!$E$5:$E$300,$B238),8)))</f>
        <v/>
      </c>
      <c r="D238" s="247">
        <f>IF($B238="","",IF(COUNTIFS(Пул!$E$5:$E$300,$B238,Пул!$G$5:$G$300,"&lt;&gt;")=0,"",ROUND(SUMIFS(Пул!$G$5:$G$300,Пул!$E$5:$E$300,$B238),8)))</f>
        <v/>
      </c>
      <c r="E238" s="246">
        <f>IF($B238="","",IF(COUNTIFS(Пул!$E$5:$E$300,$B238,Пул!$L$5:$L$300,"Закрыт")=0,"",ROUND(SUMIFS(Пул!$H$5:$H$300,Пул!$E$5:$E$300,$B238,Пул!$L$5:$L$300,"Закрыт"),8)))</f>
        <v/>
      </c>
      <c r="F238" s="247">
        <f>IF($B238="","",IF(COUNTIFS(Пул!$E$5:$E$300,$B238,Пул!$L$5:$L$300,"Закрыт")=0,"",ROUND(SUMIFS(Пул!$I$5:$I$300,Пул!$E$5:$E$300,$B238,Пул!$L$5:$L$300,"Закрыт"),8)))</f>
        <v/>
      </c>
      <c r="G238" s="246">
        <f>IF($B238="","",IF(COUNTIFS(Пул!$E$5:$E$300,$B238,Пул!$L$5:$L$300,"Закрыт")=0,"",ROUND(SUMIFS(Пул!$J$5:$J$300,Пул!$E$5:$E$300,$B238,Пул!$L$5:$L$300,"Закрыт"),8)))</f>
        <v/>
      </c>
      <c r="H238" s="247">
        <f>IF($B238="","",IF(COUNTIFS(Пул!$E$5:$E$300,$B238,Пул!$L$5:$L$300,"Закрыт")=0,"",ROUND(SUMIFS(Пул!$K$5:$K$300,Пул!$E$5:$E$300,$B238,Пул!$L$5:$L$300,"Закрыт"),8)))</f>
        <v/>
      </c>
      <c r="I238" s="242">
        <f>IF(AND(ISNUMBER(G238),ISNUMBER(H238)),IF(AND(G238&gt;0,H238&lt;0),"Buy",IF(AND(G238&lt;0,H238&gt;0),"Sell","")),"")</f>
        <v/>
      </c>
      <c r="J238" s="183">
        <f>IF(I238="Buy",G238,IF(I238="Sell",-G238,""))</f>
        <v/>
      </c>
      <c r="K238" s="183">
        <f>IF(AND(ISNUMBER(J238),ISNUMBER(L238),N(J238)&lt;&gt;0),ROUND(L238/J238,8),"")</f>
        <v/>
      </c>
      <c r="L238" s="183">
        <f>IF(I238="Buy",-H238,IF(I238="Sell",H238,""))</f>
        <v/>
      </c>
    </row>
    <row r="239" ht="22" customHeight="1">
      <c r="B239" s="315" t="n"/>
      <c r="C239" s="240">
        <f>IF($B239="","",IF(COUNTIFS(Пул!$E$5:$E$300,$B239,Пул!$F$5:$F$300,"&lt;&gt;")=0,"",ROUND(SUMIFS(Пул!$F$5:$F$300,Пул!$E$5:$E$300,$B239),8)))</f>
        <v/>
      </c>
      <c r="D239" s="241">
        <f>IF($B239="","",IF(COUNTIFS(Пул!$E$5:$E$300,$B239,Пул!$G$5:$G$300,"&lt;&gt;")=0,"",ROUND(SUMIFS(Пул!$G$5:$G$300,Пул!$E$5:$E$300,$B239),8)))</f>
        <v/>
      </c>
      <c r="E239" s="240">
        <f>IF($B239="","",IF(COUNTIFS(Пул!$E$5:$E$300,$B239,Пул!$L$5:$L$300,"Закрыт")=0,"",ROUND(SUMIFS(Пул!$H$5:$H$300,Пул!$E$5:$E$300,$B239,Пул!$L$5:$L$300,"Закрыт"),8)))</f>
        <v/>
      </c>
      <c r="F239" s="241">
        <f>IF($B239="","",IF(COUNTIFS(Пул!$E$5:$E$300,$B239,Пул!$L$5:$L$300,"Закрыт")=0,"",ROUND(SUMIFS(Пул!$I$5:$I$300,Пул!$E$5:$E$300,$B239,Пул!$L$5:$L$300,"Закрыт"),8)))</f>
        <v/>
      </c>
      <c r="G239" s="240">
        <f>IF($B239="","",IF(COUNTIFS(Пул!$E$5:$E$300,$B239,Пул!$L$5:$L$300,"Закрыт")=0,"",ROUND(SUMIFS(Пул!$J$5:$J$300,Пул!$E$5:$E$300,$B239,Пул!$L$5:$L$300,"Закрыт"),8)))</f>
        <v/>
      </c>
      <c r="H239" s="241">
        <f>IF($B239="","",IF(COUNTIFS(Пул!$E$5:$E$300,$B239,Пул!$L$5:$L$300,"Закрыт")=0,"",ROUND(SUMIFS(Пул!$K$5:$K$300,Пул!$E$5:$E$300,$B239,Пул!$L$5:$L$300,"Закрыт"),8)))</f>
        <v/>
      </c>
      <c r="I239" s="236">
        <f>IF(AND(ISNUMBER(G239),ISNUMBER(H239)),IF(AND(G239&gt;0,H239&lt;0),"Buy",IF(AND(G239&lt;0,H239&gt;0),"Sell","")),"")</f>
        <v/>
      </c>
      <c r="J239" s="177">
        <f>IF(I239="Buy",G239,IF(I239="Sell",-G239,""))</f>
        <v/>
      </c>
      <c r="K239" s="177">
        <f>IF(AND(ISNUMBER(J239),ISNUMBER(L239),N(J239)&lt;&gt;0),ROUND(L239/J239,8),"")</f>
        <v/>
      </c>
      <c r="L239" s="177">
        <f>IF(I239="Buy",-H239,IF(I239="Sell",H239,""))</f>
        <v/>
      </c>
    </row>
    <row r="240" ht="22" customHeight="1">
      <c r="B240" s="320" t="n"/>
      <c r="C240" s="246">
        <f>IF($B240="","",IF(COUNTIFS(Пул!$E$5:$E$300,$B240,Пул!$F$5:$F$300,"&lt;&gt;")=0,"",ROUND(SUMIFS(Пул!$F$5:$F$300,Пул!$E$5:$E$300,$B240),8)))</f>
        <v/>
      </c>
      <c r="D240" s="247">
        <f>IF($B240="","",IF(COUNTIFS(Пул!$E$5:$E$300,$B240,Пул!$G$5:$G$300,"&lt;&gt;")=0,"",ROUND(SUMIFS(Пул!$G$5:$G$300,Пул!$E$5:$E$300,$B240),8)))</f>
        <v/>
      </c>
      <c r="E240" s="246">
        <f>IF($B240="","",IF(COUNTIFS(Пул!$E$5:$E$300,$B240,Пул!$L$5:$L$300,"Закрыт")=0,"",ROUND(SUMIFS(Пул!$H$5:$H$300,Пул!$E$5:$E$300,$B240,Пул!$L$5:$L$300,"Закрыт"),8)))</f>
        <v/>
      </c>
      <c r="F240" s="247">
        <f>IF($B240="","",IF(COUNTIFS(Пул!$E$5:$E$300,$B240,Пул!$L$5:$L$300,"Закрыт")=0,"",ROUND(SUMIFS(Пул!$I$5:$I$300,Пул!$E$5:$E$300,$B240,Пул!$L$5:$L$300,"Закрыт"),8)))</f>
        <v/>
      </c>
      <c r="G240" s="246">
        <f>IF($B240="","",IF(COUNTIFS(Пул!$E$5:$E$300,$B240,Пул!$L$5:$L$300,"Закрыт")=0,"",ROUND(SUMIFS(Пул!$J$5:$J$300,Пул!$E$5:$E$300,$B240,Пул!$L$5:$L$300,"Закрыт"),8)))</f>
        <v/>
      </c>
      <c r="H240" s="247">
        <f>IF($B240="","",IF(COUNTIFS(Пул!$E$5:$E$300,$B240,Пул!$L$5:$L$300,"Закрыт")=0,"",ROUND(SUMIFS(Пул!$K$5:$K$300,Пул!$E$5:$E$300,$B240,Пул!$L$5:$L$300,"Закрыт"),8)))</f>
        <v/>
      </c>
      <c r="I240" s="242">
        <f>IF(AND(ISNUMBER(G240),ISNUMBER(H240)),IF(AND(G240&gt;0,H240&lt;0),"Buy",IF(AND(G240&lt;0,H240&gt;0),"Sell","")),"")</f>
        <v/>
      </c>
      <c r="J240" s="183">
        <f>IF(I240="Buy",G240,IF(I240="Sell",-G240,""))</f>
        <v/>
      </c>
      <c r="K240" s="183">
        <f>IF(AND(ISNUMBER(J240),ISNUMBER(L240),N(J240)&lt;&gt;0),ROUND(L240/J240,8),"")</f>
        <v/>
      </c>
      <c r="L240" s="183">
        <f>IF(I240="Buy",-H240,IF(I240="Sell",H240,""))</f>
        <v/>
      </c>
    </row>
    <row r="241" ht="22" customHeight="1">
      <c r="B241" s="315" t="n"/>
      <c r="C241" s="240">
        <f>IF($B241="","",IF(COUNTIFS(Пул!$E$5:$E$300,$B241,Пул!$F$5:$F$300,"&lt;&gt;")=0,"",ROUND(SUMIFS(Пул!$F$5:$F$300,Пул!$E$5:$E$300,$B241),8)))</f>
        <v/>
      </c>
      <c r="D241" s="241">
        <f>IF($B241="","",IF(COUNTIFS(Пул!$E$5:$E$300,$B241,Пул!$G$5:$G$300,"&lt;&gt;")=0,"",ROUND(SUMIFS(Пул!$G$5:$G$300,Пул!$E$5:$E$300,$B241),8)))</f>
        <v/>
      </c>
      <c r="E241" s="240">
        <f>IF($B241="","",IF(COUNTIFS(Пул!$E$5:$E$300,$B241,Пул!$L$5:$L$300,"Закрыт")=0,"",ROUND(SUMIFS(Пул!$H$5:$H$300,Пул!$E$5:$E$300,$B241,Пул!$L$5:$L$300,"Закрыт"),8)))</f>
        <v/>
      </c>
      <c r="F241" s="241">
        <f>IF($B241="","",IF(COUNTIFS(Пул!$E$5:$E$300,$B241,Пул!$L$5:$L$300,"Закрыт")=0,"",ROUND(SUMIFS(Пул!$I$5:$I$300,Пул!$E$5:$E$300,$B241,Пул!$L$5:$L$300,"Закрыт"),8)))</f>
        <v/>
      </c>
      <c r="G241" s="240">
        <f>IF($B241="","",IF(COUNTIFS(Пул!$E$5:$E$300,$B241,Пул!$L$5:$L$300,"Закрыт")=0,"",ROUND(SUMIFS(Пул!$J$5:$J$300,Пул!$E$5:$E$300,$B241,Пул!$L$5:$L$300,"Закрыт"),8)))</f>
        <v/>
      </c>
      <c r="H241" s="241">
        <f>IF($B241="","",IF(COUNTIFS(Пул!$E$5:$E$300,$B241,Пул!$L$5:$L$300,"Закрыт")=0,"",ROUND(SUMIFS(Пул!$K$5:$K$300,Пул!$E$5:$E$300,$B241,Пул!$L$5:$L$300,"Закрыт"),8)))</f>
        <v/>
      </c>
      <c r="I241" s="236">
        <f>IF(AND(ISNUMBER(G241),ISNUMBER(H241)),IF(AND(G241&gt;0,H241&lt;0),"Buy",IF(AND(G241&lt;0,H241&gt;0),"Sell","")),"")</f>
        <v/>
      </c>
      <c r="J241" s="177">
        <f>IF(I241="Buy",G241,IF(I241="Sell",-G241,""))</f>
        <v/>
      </c>
      <c r="K241" s="177">
        <f>IF(AND(ISNUMBER(J241),ISNUMBER(L241),N(J241)&lt;&gt;0),ROUND(L241/J241,8),"")</f>
        <v/>
      </c>
      <c r="L241" s="177">
        <f>IF(I241="Buy",-H241,IF(I241="Sell",H241,""))</f>
        <v/>
      </c>
    </row>
    <row r="242" ht="22" customHeight="1">
      <c r="B242" s="320" t="n"/>
      <c r="C242" s="246">
        <f>IF($B242="","",IF(COUNTIFS(Пул!$E$5:$E$300,$B242,Пул!$F$5:$F$300,"&lt;&gt;")=0,"",ROUND(SUMIFS(Пул!$F$5:$F$300,Пул!$E$5:$E$300,$B242),8)))</f>
        <v/>
      </c>
      <c r="D242" s="247">
        <f>IF($B242="","",IF(COUNTIFS(Пул!$E$5:$E$300,$B242,Пул!$G$5:$G$300,"&lt;&gt;")=0,"",ROUND(SUMIFS(Пул!$G$5:$G$300,Пул!$E$5:$E$300,$B242),8)))</f>
        <v/>
      </c>
      <c r="E242" s="246">
        <f>IF($B242="","",IF(COUNTIFS(Пул!$E$5:$E$300,$B242,Пул!$L$5:$L$300,"Закрыт")=0,"",ROUND(SUMIFS(Пул!$H$5:$H$300,Пул!$E$5:$E$300,$B242,Пул!$L$5:$L$300,"Закрыт"),8)))</f>
        <v/>
      </c>
      <c r="F242" s="247">
        <f>IF($B242="","",IF(COUNTIFS(Пул!$E$5:$E$300,$B242,Пул!$L$5:$L$300,"Закрыт")=0,"",ROUND(SUMIFS(Пул!$I$5:$I$300,Пул!$E$5:$E$300,$B242,Пул!$L$5:$L$300,"Закрыт"),8)))</f>
        <v/>
      </c>
      <c r="G242" s="246">
        <f>IF($B242="","",IF(COUNTIFS(Пул!$E$5:$E$300,$B242,Пул!$L$5:$L$300,"Закрыт")=0,"",ROUND(SUMIFS(Пул!$J$5:$J$300,Пул!$E$5:$E$300,$B242,Пул!$L$5:$L$300,"Закрыт"),8)))</f>
        <v/>
      </c>
      <c r="H242" s="247">
        <f>IF($B242="","",IF(COUNTIFS(Пул!$E$5:$E$300,$B242,Пул!$L$5:$L$300,"Закрыт")=0,"",ROUND(SUMIFS(Пул!$K$5:$K$300,Пул!$E$5:$E$300,$B242,Пул!$L$5:$L$300,"Закрыт"),8)))</f>
        <v/>
      </c>
      <c r="I242" s="242">
        <f>IF(AND(ISNUMBER(G242),ISNUMBER(H242)),IF(AND(G242&gt;0,H242&lt;0),"Buy",IF(AND(G242&lt;0,H242&gt;0),"Sell","")),"")</f>
        <v/>
      </c>
      <c r="J242" s="183">
        <f>IF(I242="Buy",G242,IF(I242="Sell",-G242,""))</f>
        <v/>
      </c>
      <c r="K242" s="183">
        <f>IF(AND(ISNUMBER(J242),ISNUMBER(L242),N(J242)&lt;&gt;0),ROUND(L242/J242,8),"")</f>
        <v/>
      </c>
      <c r="L242" s="183">
        <f>IF(I242="Buy",-H242,IF(I242="Sell",H242,""))</f>
        <v/>
      </c>
    </row>
    <row r="243" ht="22" customHeight="1">
      <c r="B243" s="315" t="n"/>
      <c r="C243" s="240">
        <f>IF($B243="","",IF(COUNTIFS(Пул!$E$5:$E$300,$B243,Пул!$F$5:$F$300,"&lt;&gt;")=0,"",ROUND(SUMIFS(Пул!$F$5:$F$300,Пул!$E$5:$E$300,$B243),8)))</f>
        <v/>
      </c>
      <c r="D243" s="241">
        <f>IF($B243="","",IF(COUNTIFS(Пул!$E$5:$E$300,$B243,Пул!$G$5:$G$300,"&lt;&gt;")=0,"",ROUND(SUMIFS(Пул!$G$5:$G$300,Пул!$E$5:$E$300,$B243),8)))</f>
        <v/>
      </c>
      <c r="E243" s="240">
        <f>IF($B243="","",IF(COUNTIFS(Пул!$E$5:$E$300,$B243,Пул!$L$5:$L$300,"Закрыт")=0,"",ROUND(SUMIFS(Пул!$H$5:$H$300,Пул!$E$5:$E$300,$B243,Пул!$L$5:$L$300,"Закрыт"),8)))</f>
        <v/>
      </c>
      <c r="F243" s="241">
        <f>IF($B243="","",IF(COUNTIFS(Пул!$E$5:$E$300,$B243,Пул!$L$5:$L$300,"Закрыт")=0,"",ROUND(SUMIFS(Пул!$I$5:$I$300,Пул!$E$5:$E$300,$B243,Пул!$L$5:$L$300,"Закрыт"),8)))</f>
        <v/>
      </c>
      <c r="G243" s="240">
        <f>IF($B243="","",IF(COUNTIFS(Пул!$E$5:$E$300,$B243,Пул!$L$5:$L$300,"Закрыт")=0,"",ROUND(SUMIFS(Пул!$J$5:$J$300,Пул!$E$5:$E$300,$B243,Пул!$L$5:$L$300,"Закрыт"),8)))</f>
        <v/>
      </c>
      <c r="H243" s="241">
        <f>IF($B243="","",IF(COUNTIFS(Пул!$E$5:$E$300,$B243,Пул!$L$5:$L$300,"Закрыт")=0,"",ROUND(SUMIFS(Пул!$K$5:$K$300,Пул!$E$5:$E$300,$B243,Пул!$L$5:$L$300,"Закрыт"),8)))</f>
        <v/>
      </c>
      <c r="I243" s="236">
        <f>IF(AND(ISNUMBER(G243),ISNUMBER(H243)),IF(AND(G243&gt;0,H243&lt;0),"Buy",IF(AND(G243&lt;0,H243&gt;0),"Sell","")),"")</f>
        <v/>
      </c>
      <c r="J243" s="177">
        <f>IF(I243="Buy",G243,IF(I243="Sell",-G243,""))</f>
        <v/>
      </c>
      <c r="K243" s="177">
        <f>IF(AND(ISNUMBER(J243),ISNUMBER(L243),N(J243)&lt;&gt;0),ROUND(L243/J243,8),"")</f>
        <v/>
      </c>
      <c r="L243" s="177">
        <f>IF(I243="Buy",-H243,IF(I243="Sell",H243,""))</f>
        <v/>
      </c>
    </row>
    <row r="244" ht="22" customHeight="1">
      <c r="B244" s="320" t="n"/>
      <c r="C244" s="246">
        <f>IF($B244="","",IF(COUNTIFS(Пул!$E$5:$E$300,$B244,Пул!$F$5:$F$300,"&lt;&gt;")=0,"",ROUND(SUMIFS(Пул!$F$5:$F$300,Пул!$E$5:$E$300,$B244),8)))</f>
        <v/>
      </c>
      <c r="D244" s="247">
        <f>IF($B244="","",IF(COUNTIFS(Пул!$E$5:$E$300,$B244,Пул!$G$5:$G$300,"&lt;&gt;")=0,"",ROUND(SUMIFS(Пул!$G$5:$G$300,Пул!$E$5:$E$300,$B244),8)))</f>
        <v/>
      </c>
      <c r="E244" s="246">
        <f>IF($B244="","",IF(COUNTIFS(Пул!$E$5:$E$300,$B244,Пул!$L$5:$L$300,"Закрыт")=0,"",ROUND(SUMIFS(Пул!$H$5:$H$300,Пул!$E$5:$E$300,$B244,Пул!$L$5:$L$300,"Закрыт"),8)))</f>
        <v/>
      </c>
      <c r="F244" s="247">
        <f>IF($B244="","",IF(COUNTIFS(Пул!$E$5:$E$300,$B244,Пул!$L$5:$L$300,"Закрыт")=0,"",ROUND(SUMIFS(Пул!$I$5:$I$300,Пул!$E$5:$E$300,$B244,Пул!$L$5:$L$300,"Закрыт"),8)))</f>
        <v/>
      </c>
      <c r="G244" s="246">
        <f>IF($B244="","",IF(COUNTIFS(Пул!$E$5:$E$300,$B244,Пул!$L$5:$L$300,"Закрыт")=0,"",ROUND(SUMIFS(Пул!$J$5:$J$300,Пул!$E$5:$E$300,$B244,Пул!$L$5:$L$300,"Закрыт"),8)))</f>
        <v/>
      </c>
      <c r="H244" s="247">
        <f>IF($B244="","",IF(COUNTIFS(Пул!$E$5:$E$300,$B244,Пул!$L$5:$L$300,"Закрыт")=0,"",ROUND(SUMIFS(Пул!$K$5:$K$300,Пул!$E$5:$E$300,$B244,Пул!$L$5:$L$300,"Закрыт"),8)))</f>
        <v/>
      </c>
      <c r="I244" s="242">
        <f>IF(AND(ISNUMBER(G244),ISNUMBER(H244)),IF(AND(G244&gt;0,H244&lt;0),"Buy",IF(AND(G244&lt;0,H244&gt;0),"Sell","")),"")</f>
        <v/>
      </c>
      <c r="J244" s="183">
        <f>IF(I244="Buy",G244,IF(I244="Sell",-G244,""))</f>
        <v/>
      </c>
      <c r="K244" s="183">
        <f>IF(AND(ISNUMBER(J244),ISNUMBER(L244),N(J244)&lt;&gt;0),ROUND(L244/J244,8),"")</f>
        <v/>
      </c>
      <c r="L244" s="183">
        <f>IF(I244="Buy",-H244,IF(I244="Sell",H244,""))</f>
        <v/>
      </c>
    </row>
    <row r="245" ht="22" customHeight="1">
      <c r="B245" s="315" t="n"/>
      <c r="C245" s="240">
        <f>IF($B245="","",IF(COUNTIFS(Пул!$E$5:$E$300,$B245,Пул!$F$5:$F$300,"&lt;&gt;")=0,"",ROUND(SUMIFS(Пул!$F$5:$F$300,Пул!$E$5:$E$300,$B245),8)))</f>
        <v/>
      </c>
      <c r="D245" s="241">
        <f>IF($B245="","",IF(COUNTIFS(Пул!$E$5:$E$300,$B245,Пул!$G$5:$G$300,"&lt;&gt;")=0,"",ROUND(SUMIFS(Пул!$G$5:$G$300,Пул!$E$5:$E$300,$B245),8)))</f>
        <v/>
      </c>
      <c r="E245" s="240">
        <f>IF($B245="","",IF(COUNTIFS(Пул!$E$5:$E$300,$B245,Пул!$L$5:$L$300,"Закрыт")=0,"",ROUND(SUMIFS(Пул!$H$5:$H$300,Пул!$E$5:$E$300,$B245,Пул!$L$5:$L$300,"Закрыт"),8)))</f>
        <v/>
      </c>
      <c r="F245" s="241">
        <f>IF($B245="","",IF(COUNTIFS(Пул!$E$5:$E$300,$B245,Пул!$L$5:$L$300,"Закрыт")=0,"",ROUND(SUMIFS(Пул!$I$5:$I$300,Пул!$E$5:$E$300,$B245,Пул!$L$5:$L$300,"Закрыт"),8)))</f>
        <v/>
      </c>
      <c r="G245" s="240">
        <f>IF($B245="","",IF(COUNTIFS(Пул!$E$5:$E$300,$B245,Пул!$L$5:$L$300,"Закрыт")=0,"",ROUND(SUMIFS(Пул!$J$5:$J$300,Пул!$E$5:$E$300,$B245,Пул!$L$5:$L$300,"Закрыт"),8)))</f>
        <v/>
      </c>
      <c r="H245" s="241">
        <f>IF($B245="","",IF(COUNTIFS(Пул!$E$5:$E$300,$B245,Пул!$L$5:$L$300,"Закрыт")=0,"",ROUND(SUMIFS(Пул!$K$5:$K$300,Пул!$E$5:$E$300,$B245,Пул!$L$5:$L$300,"Закрыт"),8)))</f>
        <v/>
      </c>
      <c r="I245" s="236">
        <f>IF(AND(ISNUMBER(G245),ISNUMBER(H245)),IF(AND(G245&gt;0,H245&lt;0),"Buy",IF(AND(G245&lt;0,H245&gt;0),"Sell","")),"")</f>
        <v/>
      </c>
      <c r="J245" s="177">
        <f>IF(I245="Buy",G245,IF(I245="Sell",-G245,""))</f>
        <v/>
      </c>
      <c r="K245" s="177">
        <f>IF(AND(ISNUMBER(J245),ISNUMBER(L245),N(J245)&lt;&gt;0),ROUND(L245/J245,8),"")</f>
        <v/>
      </c>
      <c r="L245" s="177">
        <f>IF(I245="Buy",-H245,IF(I245="Sell",H245,""))</f>
        <v/>
      </c>
    </row>
    <row r="246" ht="22" customHeight="1">
      <c r="B246" s="320" t="n"/>
      <c r="C246" s="246">
        <f>IF($B246="","",IF(COUNTIFS(Пул!$E$5:$E$300,$B246,Пул!$F$5:$F$300,"&lt;&gt;")=0,"",ROUND(SUMIFS(Пул!$F$5:$F$300,Пул!$E$5:$E$300,$B246),8)))</f>
        <v/>
      </c>
      <c r="D246" s="247">
        <f>IF($B246="","",IF(COUNTIFS(Пул!$E$5:$E$300,$B246,Пул!$G$5:$G$300,"&lt;&gt;")=0,"",ROUND(SUMIFS(Пул!$G$5:$G$300,Пул!$E$5:$E$300,$B246),8)))</f>
        <v/>
      </c>
      <c r="E246" s="246">
        <f>IF($B246="","",IF(COUNTIFS(Пул!$E$5:$E$300,$B246,Пул!$L$5:$L$300,"Закрыт")=0,"",ROUND(SUMIFS(Пул!$H$5:$H$300,Пул!$E$5:$E$300,$B246,Пул!$L$5:$L$300,"Закрыт"),8)))</f>
        <v/>
      </c>
      <c r="F246" s="247">
        <f>IF($B246="","",IF(COUNTIFS(Пул!$E$5:$E$300,$B246,Пул!$L$5:$L$300,"Закрыт")=0,"",ROUND(SUMIFS(Пул!$I$5:$I$300,Пул!$E$5:$E$300,$B246,Пул!$L$5:$L$300,"Закрыт"),8)))</f>
        <v/>
      </c>
      <c r="G246" s="246">
        <f>IF($B246="","",IF(COUNTIFS(Пул!$E$5:$E$300,$B246,Пул!$L$5:$L$300,"Закрыт")=0,"",ROUND(SUMIFS(Пул!$J$5:$J$300,Пул!$E$5:$E$300,$B246,Пул!$L$5:$L$300,"Закрыт"),8)))</f>
        <v/>
      </c>
      <c r="H246" s="247">
        <f>IF($B246="","",IF(COUNTIFS(Пул!$E$5:$E$300,$B246,Пул!$L$5:$L$300,"Закрыт")=0,"",ROUND(SUMIFS(Пул!$K$5:$K$300,Пул!$E$5:$E$300,$B246,Пул!$L$5:$L$300,"Закрыт"),8)))</f>
        <v/>
      </c>
      <c r="I246" s="242">
        <f>IF(AND(ISNUMBER(G246),ISNUMBER(H246)),IF(AND(G246&gt;0,H246&lt;0),"Buy",IF(AND(G246&lt;0,H246&gt;0),"Sell","")),"")</f>
        <v/>
      </c>
      <c r="J246" s="183">
        <f>IF(I246="Buy",G246,IF(I246="Sell",-G246,""))</f>
        <v/>
      </c>
      <c r="K246" s="183">
        <f>IF(AND(ISNUMBER(J246),ISNUMBER(L246),N(J246)&lt;&gt;0),ROUND(L246/J246,8),"")</f>
        <v/>
      </c>
      <c r="L246" s="183">
        <f>IF(I246="Buy",-H246,IF(I246="Sell",H246,""))</f>
        <v/>
      </c>
    </row>
    <row r="247" ht="22" customHeight="1">
      <c r="B247" s="315" t="n"/>
      <c r="C247" s="240">
        <f>IF($B247="","",IF(COUNTIFS(Пул!$E$5:$E$300,$B247,Пул!$F$5:$F$300,"&lt;&gt;")=0,"",ROUND(SUMIFS(Пул!$F$5:$F$300,Пул!$E$5:$E$300,$B247),8)))</f>
        <v/>
      </c>
      <c r="D247" s="241">
        <f>IF($B247="","",IF(COUNTIFS(Пул!$E$5:$E$300,$B247,Пул!$G$5:$G$300,"&lt;&gt;")=0,"",ROUND(SUMIFS(Пул!$G$5:$G$300,Пул!$E$5:$E$300,$B247),8)))</f>
        <v/>
      </c>
      <c r="E247" s="240">
        <f>IF($B247="","",IF(COUNTIFS(Пул!$E$5:$E$300,$B247,Пул!$L$5:$L$300,"Закрыт")=0,"",ROUND(SUMIFS(Пул!$H$5:$H$300,Пул!$E$5:$E$300,$B247,Пул!$L$5:$L$300,"Закрыт"),8)))</f>
        <v/>
      </c>
      <c r="F247" s="241">
        <f>IF($B247="","",IF(COUNTIFS(Пул!$E$5:$E$300,$B247,Пул!$L$5:$L$300,"Закрыт")=0,"",ROUND(SUMIFS(Пул!$I$5:$I$300,Пул!$E$5:$E$300,$B247,Пул!$L$5:$L$300,"Закрыт"),8)))</f>
        <v/>
      </c>
      <c r="G247" s="240">
        <f>IF($B247="","",IF(COUNTIFS(Пул!$E$5:$E$300,$B247,Пул!$L$5:$L$300,"Закрыт")=0,"",ROUND(SUMIFS(Пул!$J$5:$J$300,Пул!$E$5:$E$300,$B247,Пул!$L$5:$L$300,"Закрыт"),8)))</f>
        <v/>
      </c>
      <c r="H247" s="241">
        <f>IF($B247="","",IF(COUNTIFS(Пул!$E$5:$E$300,$B247,Пул!$L$5:$L$300,"Закрыт")=0,"",ROUND(SUMIFS(Пул!$K$5:$K$300,Пул!$E$5:$E$300,$B247,Пул!$L$5:$L$300,"Закрыт"),8)))</f>
        <v/>
      </c>
      <c r="I247" s="236">
        <f>IF(AND(ISNUMBER(G247),ISNUMBER(H247)),IF(AND(G247&gt;0,H247&lt;0),"Buy",IF(AND(G247&lt;0,H247&gt;0),"Sell","")),"")</f>
        <v/>
      </c>
      <c r="J247" s="177">
        <f>IF(I247="Buy",G247,IF(I247="Sell",-G247,""))</f>
        <v/>
      </c>
      <c r="K247" s="177">
        <f>IF(AND(ISNUMBER(J247),ISNUMBER(L247),N(J247)&lt;&gt;0),ROUND(L247/J247,8),"")</f>
        <v/>
      </c>
      <c r="L247" s="177">
        <f>IF(I247="Buy",-H247,IF(I247="Sell",H247,""))</f>
        <v/>
      </c>
    </row>
    <row r="248" ht="22" customHeight="1">
      <c r="B248" s="320" t="n"/>
      <c r="C248" s="246">
        <f>IF($B248="","",IF(COUNTIFS(Пул!$E$5:$E$300,$B248,Пул!$F$5:$F$300,"&lt;&gt;")=0,"",ROUND(SUMIFS(Пул!$F$5:$F$300,Пул!$E$5:$E$300,$B248),8)))</f>
        <v/>
      </c>
      <c r="D248" s="247">
        <f>IF($B248="","",IF(COUNTIFS(Пул!$E$5:$E$300,$B248,Пул!$G$5:$G$300,"&lt;&gt;")=0,"",ROUND(SUMIFS(Пул!$G$5:$G$300,Пул!$E$5:$E$300,$B248),8)))</f>
        <v/>
      </c>
      <c r="E248" s="246">
        <f>IF($B248="","",IF(COUNTIFS(Пул!$E$5:$E$300,$B248,Пул!$L$5:$L$300,"Закрыт")=0,"",ROUND(SUMIFS(Пул!$H$5:$H$300,Пул!$E$5:$E$300,$B248,Пул!$L$5:$L$300,"Закрыт"),8)))</f>
        <v/>
      </c>
      <c r="F248" s="247">
        <f>IF($B248="","",IF(COUNTIFS(Пул!$E$5:$E$300,$B248,Пул!$L$5:$L$300,"Закрыт")=0,"",ROUND(SUMIFS(Пул!$I$5:$I$300,Пул!$E$5:$E$300,$B248,Пул!$L$5:$L$300,"Закрыт"),8)))</f>
        <v/>
      </c>
      <c r="G248" s="246">
        <f>IF($B248="","",IF(COUNTIFS(Пул!$E$5:$E$300,$B248,Пул!$L$5:$L$300,"Закрыт")=0,"",ROUND(SUMIFS(Пул!$J$5:$J$300,Пул!$E$5:$E$300,$B248,Пул!$L$5:$L$300,"Закрыт"),8)))</f>
        <v/>
      </c>
      <c r="H248" s="247">
        <f>IF($B248="","",IF(COUNTIFS(Пул!$E$5:$E$300,$B248,Пул!$L$5:$L$300,"Закрыт")=0,"",ROUND(SUMIFS(Пул!$K$5:$K$300,Пул!$E$5:$E$300,$B248,Пул!$L$5:$L$300,"Закрыт"),8)))</f>
        <v/>
      </c>
      <c r="I248" s="242">
        <f>IF(AND(ISNUMBER(G248),ISNUMBER(H248)),IF(AND(G248&gt;0,H248&lt;0),"Buy",IF(AND(G248&lt;0,H248&gt;0),"Sell","")),"")</f>
        <v/>
      </c>
      <c r="J248" s="183">
        <f>IF(I248="Buy",G248,IF(I248="Sell",-G248,""))</f>
        <v/>
      </c>
      <c r="K248" s="183">
        <f>IF(AND(ISNUMBER(J248),ISNUMBER(L248),N(J248)&lt;&gt;0),ROUND(L248/J248,8),"")</f>
        <v/>
      </c>
      <c r="L248" s="183">
        <f>IF(I248="Buy",-H248,IF(I248="Sell",H248,""))</f>
        <v/>
      </c>
    </row>
    <row r="249" ht="22" customHeight="1">
      <c r="B249" s="315" t="n"/>
      <c r="C249" s="240">
        <f>IF($B249="","",IF(COUNTIFS(Пул!$E$5:$E$300,$B249,Пул!$F$5:$F$300,"&lt;&gt;")=0,"",ROUND(SUMIFS(Пул!$F$5:$F$300,Пул!$E$5:$E$300,$B249),8)))</f>
        <v/>
      </c>
      <c r="D249" s="241">
        <f>IF($B249="","",IF(COUNTIFS(Пул!$E$5:$E$300,$B249,Пул!$G$5:$G$300,"&lt;&gt;")=0,"",ROUND(SUMIFS(Пул!$G$5:$G$300,Пул!$E$5:$E$300,$B249),8)))</f>
        <v/>
      </c>
      <c r="E249" s="240">
        <f>IF($B249="","",IF(COUNTIFS(Пул!$E$5:$E$300,$B249,Пул!$L$5:$L$300,"Закрыт")=0,"",ROUND(SUMIFS(Пул!$H$5:$H$300,Пул!$E$5:$E$300,$B249,Пул!$L$5:$L$300,"Закрыт"),8)))</f>
        <v/>
      </c>
      <c r="F249" s="241">
        <f>IF($B249="","",IF(COUNTIFS(Пул!$E$5:$E$300,$B249,Пул!$L$5:$L$300,"Закрыт")=0,"",ROUND(SUMIFS(Пул!$I$5:$I$300,Пул!$E$5:$E$300,$B249,Пул!$L$5:$L$300,"Закрыт"),8)))</f>
        <v/>
      </c>
      <c r="G249" s="240">
        <f>IF($B249="","",IF(COUNTIFS(Пул!$E$5:$E$300,$B249,Пул!$L$5:$L$300,"Закрыт")=0,"",ROUND(SUMIFS(Пул!$J$5:$J$300,Пул!$E$5:$E$300,$B249,Пул!$L$5:$L$300,"Закрыт"),8)))</f>
        <v/>
      </c>
      <c r="H249" s="241">
        <f>IF($B249="","",IF(COUNTIFS(Пул!$E$5:$E$300,$B249,Пул!$L$5:$L$300,"Закрыт")=0,"",ROUND(SUMIFS(Пул!$K$5:$K$300,Пул!$E$5:$E$300,$B249,Пул!$L$5:$L$300,"Закрыт"),8)))</f>
        <v/>
      </c>
      <c r="I249" s="236">
        <f>IF(AND(ISNUMBER(G249),ISNUMBER(H249)),IF(AND(G249&gt;0,H249&lt;0),"Buy",IF(AND(G249&lt;0,H249&gt;0),"Sell","")),"")</f>
        <v/>
      </c>
      <c r="J249" s="177">
        <f>IF(I249="Buy",G249,IF(I249="Sell",-G249,""))</f>
        <v/>
      </c>
      <c r="K249" s="177">
        <f>IF(AND(ISNUMBER(J249),ISNUMBER(L249),N(J249)&lt;&gt;0),ROUND(L249/J249,8),"")</f>
        <v/>
      </c>
      <c r="L249" s="177">
        <f>IF(I249="Buy",-H249,IF(I249="Sell",H249,""))</f>
        <v/>
      </c>
    </row>
    <row r="250" ht="22" customHeight="1">
      <c r="B250" s="320" t="n"/>
      <c r="C250" s="246">
        <f>IF($B250="","",IF(COUNTIFS(Пул!$E$5:$E$300,$B250,Пул!$F$5:$F$300,"&lt;&gt;")=0,"",ROUND(SUMIFS(Пул!$F$5:$F$300,Пул!$E$5:$E$300,$B250),8)))</f>
        <v/>
      </c>
      <c r="D250" s="247">
        <f>IF($B250="","",IF(COUNTIFS(Пул!$E$5:$E$300,$B250,Пул!$G$5:$G$300,"&lt;&gt;")=0,"",ROUND(SUMIFS(Пул!$G$5:$G$300,Пул!$E$5:$E$300,$B250),8)))</f>
        <v/>
      </c>
      <c r="E250" s="246">
        <f>IF($B250="","",IF(COUNTIFS(Пул!$E$5:$E$300,$B250,Пул!$L$5:$L$300,"Закрыт")=0,"",ROUND(SUMIFS(Пул!$H$5:$H$300,Пул!$E$5:$E$300,$B250,Пул!$L$5:$L$300,"Закрыт"),8)))</f>
        <v/>
      </c>
      <c r="F250" s="247">
        <f>IF($B250="","",IF(COUNTIFS(Пул!$E$5:$E$300,$B250,Пул!$L$5:$L$300,"Закрыт")=0,"",ROUND(SUMIFS(Пул!$I$5:$I$300,Пул!$E$5:$E$300,$B250,Пул!$L$5:$L$300,"Закрыт"),8)))</f>
        <v/>
      </c>
      <c r="G250" s="246">
        <f>IF($B250="","",IF(COUNTIFS(Пул!$E$5:$E$300,$B250,Пул!$L$5:$L$300,"Закрыт")=0,"",ROUND(SUMIFS(Пул!$J$5:$J$300,Пул!$E$5:$E$300,$B250,Пул!$L$5:$L$300,"Закрыт"),8)))</f>
        <v/>
      </c>
      <c r="H250" s="247">
        <f>IF($B250="","",IF(COUNTIFS(Пул!$E$5:$E$300,$B250,Пул!$L$5:$L$300,"Закрыт")=0,"",ROUND(SUMIFS(Пул!$K$5:$K$300,Пул!$E$5:$E$300,$B250,Пул!$L$5:$L$300,"Закрыт"),8)))</f>
        <v/>
      </c>
      <c r="I250" s="242">
        <f>IF(AND(ISNUMBER(G250),ISNUMBER(H250)),IF(AND(G250&gt;0,H250&lt;0),"Buy",IF(AND(G250&lt;0,H250&gt;0),"Sell","")),"")</f>
        <v/>
      </c>
      <c r="J250" s="183">
        <f>IF(I250="Buy",G250,IF(I250="Sell",-G250,""))</f>
        <v/>
      </c>
      <c r="K250" s="183">
        <f>IF(AND(ISNUMBER(J250),ISNUMBER(L250),N(J250)&lt;&gt;0),ROUND(L250/J250,8),"")</f>
        <v/>
      </c>
      <c r="L250" s="183">
        <f>IF(I250="Buy",-H250,IF(I250="Sell",H250,""))</f>
        <v/>
      </c>
    </row>
    <row r="251" ht="22" customHeight="1">
      <c r="B251" s="315" t="n"/>
      <c r="C251" s="240">
        <f>IF($B251="","",IF(COUNTIFS(Пул!$E$5:$E$300,$B251,Пул!$F$5:$F$300,"&lt;&gt;")=0,"",ROUND(SUMIFS(Пул!$F$5:$F$300,Пул!$E$5:$E$300,$B251),8)))</f>
        <v/>
      </c>
      <c r="D251" s="241">
        <f>IF($B251="","",IF(COUNTIFS(Пул!$E$5:$E$300,$B251,Пул!$G$5:$G$300,"&lt;&gt;")=0,"",ROUND(SUMIFS(Пул!$G$5:$G$300,Пул!$E$5:$E$300,$B251),8)))</f>
        <v/>
      </c>
      <c r="E251" s="240">
        <f>IF($B251="","",IF(COUNTIFS(Пул!$E$5:$E$300,$B251,Пул!$L$5:$L$300,"Закрыт")=0,"",ROUND(SUMIFS(Пул!$H$5:$H$300,Пул!$E$5:$E$300,$B251,Пул!$L$5:$L$300,"Закрыт"),8)))</f>
        <v/>
      </c>
      <c r="F251" s="241">
        <f>IF($B251="","",IF(COUNTIFS(Пул!$E$5:$E$300,$B251,Пул!$L$5:$L$300,"Закрыт")=0,"",ROUND(SUMIFS(Пул!$I$5:$I$300,Пул!$E$5:$E$300,$B251,Пул!$L$5:$L$300,"Закрыт"),8)))</f>
        <v/>
      </c>
      <c r="G251" s="240">
        <f>IF($B251="","",IF(COUNTIFS(Пул!$E$5:$E$300,$B251,Пул!$L$5:$L$300,"Закрыт")=0,"",ROUND(SUMIFS(Пул!$J$5:$J$300,Пул!$E$5:$E$300,$B251,Пул!$L$5:$L$300,"Закрыт"),8)))</f>
        <v/>
      </c>
      <c r="H251" s="241">
        <f>IF($B251="","",IF(COUNTIFS(Пул!$E$5:$E$300,$B251,Пул!$L$5:$L$300,"Закрыт")=0,"",ROUND(SUMIFS(Пул!$K$5:$K$300,Пул!$E$5:$E$300,$B251,Пул!$L$5:$L$300,"Закрыт"),8)))</f>
        <v/>
      </c>
      <c r="I251" s="236">
        <f>IF(AND(ISNUMBER(G251),ISNUMBER(H251)),IF(AND(G251&gt;0,H251&lt;0),"Buy",IF(AND(G251&lt;0,H251&gt;0),"Sell","")),"")</f>
        <v/>
      </c>
      <c r="J251" s="177">
        <f>IF(I251="Buy",G251,IF(I251="Sell",-G251,""))</f>
        <v/>
      </c>
      <c r="K251" s="177">
        <f>IF(AND(ISNUMBER(J251),ISNUMBER(L251),N(J251)&lt;&gt;0),ROUND(L251/J251,8),"")</f>
        <v/>
      </c>
      <c r="L251" s="177">
        <f>IF(I251="Buy",-H251,IF(I251="Sell",H251,""))</f>
        <v/>
      </c>
    </row>
    <row r="252" ht="22" customHeight="1">
      <c r="B252" s="320" t="n"/>
      <c r="C252" s="246">
        <f>IF($B252="","",IF(COUNTIFS(Пул!$E$5:$E$300,$B252,Пул!$F$5:$F$300,"&lt;&gt;")=0,"",ROUND(SUMIFS(Пул!$F$5:$F$300,Пул!$E$5:$E$300,$B252),8)))</f>
        <v/>
      </c>
      <c r="D252" s="247">
        <f>IF($B252="","",IF(COUNTIFS(Пул!$E$5:$E$300,$B252,Пул!$G$5:$G$300,"&lt;&gt;")=0,"",ROUND(SUMIFS(Пул!$G$5:$G$300,Пул!$E$5:$E$300,$B252),8)))</f>
        <v/>
      </c>
      <c r="E252" s="246">
        <f>IF($B252="","",IF(COUNTIFS(Пул!$E$5:$E$300,$B252,Пул!$L$5:$L$300,"Закрыт")=0,"",ROUND(SUMIFS(Пул!$H$5:$H$300,Пул!$E$5:$E$300,$B252,Пул!$L$5:$L$300,"Закрыт"),8)))</f>
        <v/>
      </c>
      <c r="F252" s="247">
        <f>IF($B252="","",IF(COUNTIFS(Пул!$E$5:$E$300,$B252,Пул!$L$5:$L$300,"Закрыт")=0,"",ROUND(SUMIFS(Пул!$I$5:$I$300,Пул!$E$5:$E$300,$B252,Пул!$L$5:$L$300,"Закрыт"),8)))</f>
        <v/>
      </c>
      <c r="G252" s="246">
        <f>IF($B252="","",IF(COUNTIFS(Пул!$E$5:$E$300,$B252,Пул!$L$5:$L$300,"Закрыт")=0,"",ROUND(SUMIFS(Пул!$J$5:$J$300,Пул!$E$5:$E$300,$B252,Пул!$L$5:$L$300,"Закрыт"),8)))</f>
        <v/>
      </c>
      <c r="H252" s="247">
        <f>IF($B252="","",IF(COUNTIFS(Пул!$E$5:$E$300,$B252,Пул!$L$5:$L$300,"Закрыт")=0,"",ROUND(SUMIFS(Пул!$K$5:$K$300,Пул!$E$5:$E$300,$B252,Пул!$L$5:$L$300,"Закрыт"),8)))</f>
        <v/>
      </c>
      <c r="I252" s="242">
        <f>IF(AND(ISNUMBER(G252),ISNUMBER(H252)),IF(AND(G252&gt;0,H252&lt;0),"Buy",IF(AND(G252&lt;0,H252&gt;0),"Sell","")),"")</f>
        <v/>
      </c>
      <c r="J252" s="183">
        <f>IF(I252="Buy",G252,IF(I252="Sell",-G252,""))</f>
        <v/>
      </c>
      <c r="K252" s="183">
        <f>IF(AND(ISNUMBER(J252),ISNUMBER(L252),N(J252)&lt;&gt;0),ROUND(L252/J252,8),"")</f>
        <v/>
      </c>
      <c r="L252" s="183">
        <f>IF(I252="Buy",-H252,IF(I252="Sell",H252,""))</f>
        <v/>
      </c>
    </row>
    <row r="253" ht="22" customHeight="1">
      <c r="B253" s="315" t="n"/>
      <c r="C253" s="240">
        <f>IF($B253="","",IF(COUNTIFS(Пул!$E$5:$E$300,$B253,Пул!$F$5:$F$300,"&lt;&gt;")=0,"",ROUND(SUMIFS(Пул!$F$5:$F$300,Пул!$E$5:$E$300,$B253),8)))</f>
        <v/>
      </c>
      <c r="D253" s="241">
        <f>IF($B253="","",IF(COUNTIFS(Пул!$E$5:$E$300,$B253,Пул!$G$5:$G$300,"&lt;&gt;")=0,"",ROUND(SUMIFS(Пул!$G$5:$G$300,Пул!$E$5:$E$300,$B253),8)))</f>
        <v/>
      </c>
      <c r="E253" s="240">
        <f>IF($B253="","",IF(COUNTIFS(Пул!$E$5:$E$300,$B253,Пул!$L$5:$L$300,"Закрыт")=0,"",ROUND(SUMIFS(Пул!$H$5:$H$300,Пул!$E$5:$E$300,$B253,Пул!$L$5:$L$300,"Закрыт"),8)))</f>
        <v/>
      </c>
      <c r="F253" s="241">
        <f>IF($B253="","",IF(COUNTIFS(Пул!$E$5:$E$300,$B253,Пул!$L$5:$L$300,"Закрыт")=0,"",ROUND(SUMIFS(Пул!$I$5:$I$300,Пул!$E$5:$E$300,$B253,Пул!$L$5:$L$300,"Закрыт"),8)))</f>
        <v/>
      </c>
      <c r="G253" s="240">
        <f>IF($B253="","",IF(COUNTIFS(Пул!$E$5:$E$300,$B253,Пул!$L$5:$L$300,"Закрыт")=0,"",ROUND(SUMIFS(Пул!$J$5:$J$300,Пул!$E$5:$E$300,$B253,Пул!$L$5:$L$300,"Закрыт"),8)))</f>
        <v/>
      </c>
      <c r="H253" s="241">
        <f>IF($B253="","",IF(COUNTIFS(Пул!$E$5:$E$300,$B253,Пул!$L$5:$L$300,"Закрыт")=0,"",ROUND(SUMIFS(Пул!$K$5:$K$300,Пул!$E$5:$E$300,$B253,Пул!$L$5:$L$300,"Закрыт"),8)))</f>
        <v/>
      </c>
      <c r="I253" s="236">
        <f>IF(AND(ISNUMBER(G253),ISNUMBER(H253)),IF(AND(G253&gt;0,H253&lt;0),"Buy",IF(AND(G253&lt;0,H253&gt;0),"Sell","")),"")</f>
        <v/>
      </c>
      <c r="J253" s="177">
        <f>IF(I253="Buy",G253,IF(I253="Sell",-G253,""))</f>
        <v/>
      </c>
      <c r="K253" s="177">
        <f>IF(AND(ISNUMBER(J253),ISNUMBER(L253),N(J253)&lt;&gt;0),ROUND(L253/J253,8),"")</f>
        <v/>
      </c>
      <c r="L253" s="177">
        <f>IF(I253="Buy",-H253,IF(I253="Sell",H253,""))</f>
        <v/>
      </c>
    </row>
    <row r="254" ht="22" customHeight="1">
      <c r="B254" s="320" t="n"/>
      <c r="C254" s="246">
        <f>IF($B254="","",IF(COUNTIFS(Пул!$E$5:$E$300,$B254,Пул!$F$5:$F$300,"&lt;&gt;")=0,"",ROUND(SUMIFS(Пул!$F$5:$F$300,Пул!$E$5:$E$300,$B254),8)))</f>
        <v/>
      </c>
      <c r="D254" s="247">
        <f>IF($B254="","",IF(COUNTIFS(Пул!$E$5:$E$300,$B254,Пул!$G$5:$G$300,"&lt;&gt;")=0,"",ROUND(SUMIFS(Пул!$G$5:$G$300,Пул!$E$5:$E$300,$B254),8)))</f>
        <v/>
      </c>
      <c r="E254" s="246">
        <f>IF($B254="","",IF(COUNTIFS(Пул!$E$5:$E$300,$B254,Пул!$L$5:$L$300,"Закрыт")=0,"",ROUND(SUMIFS(Пул!$H$5:$H$300,Пул!$E$5:$E$300,$B254,Пул!$L$5:$L$300,"Закрыт"),8)))</f>
        <v/>
      </c>
      <c r="F254" s="247">
        <f>IF($B254="","",IF(COUNTIFS(Пул!$E$5:$E$300,$B254,Пул!$L$5:$L$300,"Закрыт")=0,"",ROUND(SUMIFS(Пул!$I$5:$I$300,Пул!$E$5:$E$300,$B254,Пул!$L$5:$L$300,"Закрыт"),8)))</f>
        <v/>
      </c>
      <c r="G254" s="246">
        <f>IF($B254="","",IF(COUNTIFS(Пул!$E$5:$E$300,$B254,Пул!$L$5:$L$300,"Закрыт")=0,"",ROUND(SUMIFS(Пул!$J$5:$J$300,Пул!$E$5:$E$300,$B254,Пул!$L$5:$L$300,"Закрыт"),8)))</f>
        <v/>
      </c>
      <c r="H254" s="247">
        <f>IF($B254="","",IF(COUNTIFS(Пул!$E$5:$E$300,$B254,Пул!$L$5:$L$300,"Закрыт")=0,"",ROUND(SUMIFS(Пул!$K$5:$K$300,Пул!$E$5:$E$300,$B254,Пул!$L$5:$L$300,"Закрыт"),8)))</f>
        <v/>
      </c>
      <c r="I254" s="242">
        <f>IF(AND(ISNUMBER(G254),ISNUMBER(H254)),IF(AND(G254&gt;0,H254&lt;0),"Buy",IF(AND(G254&lt;0,H254&gt;0),"Sell","")),"")</f>
        <v/>
      </c>
      <c r="J254" s="183">
        <f>IF(I254="Buy",G254,IF(I254="Sell",-G254,""))</f>
        <v/>
      </c>
      <c r="K254" s="183">
        <f>IF(AND(ISNUMBER(J254),ISNUMBER(L254),N(J254)&lt;&gt;0),ROUND(L254/J254,8),"")</f>
        <v/>
      </c>
      <c r="L254" s="183">
        <f>IF(I254="Buy",-H254,IF(I254="Sell",H254,""))</f>
        <v/>
      </c>
    </row>
    <row r="255" ht="22" customHeight="1">
      <c r="B255" s="315" t="n"/>
      <c r="C255" s="240">
        <f>IF($B255="","",IF(COUNTIFS(Пул!$E$5:$E$300,$B255,Пул!$F$5:$F$300,"&lt;&gt;")=0,"",ROUND(SUMIFS(Пул!$F$5:$F$300,Пул!$E$5:$E$300,$B255),8)))</f>
        <v/>
      </c>
      <c r="D255" s="241">
        <f>IF($B255="","",IF(COUNTIFS(Пул!$E$5:$E$300,$B255,Пул!$G$5:$G$300,"&lt;&gt;")=0,"",ROUND(SUMIFS(Пул!$G$5:$G$300,Пул!$E$5:$E$300,$B255),8)))</f>
        <v/>
      </c>
      <c r="E255" s="240">
        <f>IF($B255="","",IF(COUNTIFS(Пул!$E$5:$E$300,$B255,Пул!$L$5:$L$300,"Закрыт")=0,"",ROUND(SUMIFS(Пул!$H$5:$H$300,Пул!$E$5:$E$300,$B255,Пул!$L$5:$L$300,"Закрыт"),8)))</f>
        <v/>
      </c>
      <c r="F255" s="241">
        <f>IF($B255="","",IF(COUNTIFS(Пул!$E$5:$E$300,$B255,Пул!$L$5:$L$300,"Закрыт")=0,"",ROUND(SUMIFS(Пул!$I$5:$I$300,Пул!$E$5:$E$300,$B255,Пул!$L$5:$L$300,"Закрыт"),8)))</f>
        <v/>
      </c>
      <c r="G255" s="240">
        <f>IF($B255="","",IF(COUNTIFS(Пул!$E$5:$E$300,$B255,Пул!$L$5:$L$300,"Закрыт")=0,"",ROUND(SUMIFS(Пул!$J$5:$J$300,Пул!$E$5:$E$300,$B255,Пул!$L$5:$L$300,"Закрыт"),8)))</f>
        <v/>
      </c>
      <c r="H255" s="241">
        <f>IF($B255="","",IF(COUNTIFS(Пул!$E$5:$E$300,$B255,Пул!$L$5:$L$300,"Закрыт")=0,"",ROUND(SUMIFS(Пул!$K$5:$K$300,Пул!$E$5:$E$300,$B255,Пул!$L$5:$L$300,"Закрыт"),8)))</f>
        <v/>
      </c>
      <c r="I255" s="236">
        <f>IF(AND(ISNUMBER(G255),ISNUMBER(H255)),IF(AND(G255&gt;0,H255&lt;0),"Buy",IF(AND(G255&lt;0,H255&gt;0),"Sell","")),"")</f>
        <v/>
      </c>
      <c r="J255" s="177">
        <f>IF(I255="Buy",G255,IF(I255="Sell",-G255,""))</f>
        <v/>
      </c>
      <c r="K255" s="177">
        <f>IF(AND(ISNUMBER(J255),ISNUMBER(L255),N(J255)&lt;&gt;0),ROUND(L255/J255,8),"")</f>
        <v/>
      </c>
      <c r="L255" s="177">
        <f>IF(I255="Buy",-H255,IF(I255="Sell",H255,""))</f>
        <v/>
      </c>
    </row>
    <row r="256" ht="22" customHeight="1">
      <c r="B256" s="320" t="n"/>
      <c r="C256" s="246">
        <f>IF($B256="","",IF(COUNTIFS(Пул!$E$5:$E$300,$B256,Пул!$F$5:$F$300,"&lt;&gt;")=0,"",ROUND(SUMIFS(Пул!$F$5:$F$300,Пул!$E$5:$E$300,$B256),8)))</f>
        <v/>
      </c>
      <c r="D256" s="247">
        <f>IF($B256="","",IF(COUNTIFS(Пул!$E$5:$E$300,$B256,Пул!$G$5:$G$300,"&lt;&gt;")=0,"",ROUND(SUMIFS(Пул!$G$5:$G$300,Пул!$E$5:$E$300,$B256),8)))</f>
        <v/>
      </c>
      <c r="E256" s="246">
        <f>IF($B256="","",IF(COUNTIFS(Пул!$E$5:$E$300,$B256,Пул!$L$5:$L$300,"Закрыт")=0,"",ROUND(SUMIFS(Пул!$H$5:$H$300,Пул!$E$5:$E$300,$B256,Пул!$L$5:$L$300,"Закрыт"),8)))</f>
        <v/>
      </c>
      <c r="F256" s="247">
        <f>IF($B256="","",IF(COUNTIFS(Пул!$E$5:$E$300,$B256,Пул!$L$5:$L$300,"Закрыт")=0,"",ROUND(SUMIFS(Пул!$I$5:$I$300,Пул!$E$5:$E$300,$B256,Пул!$L$5:$L$300,"Закрыт"),8)))</f>
        <v/>
      </c>
      <c r="G256" s="246">
        <f>IF($B256="","",IF(COUNTIFS(Пул!$E$5:$E$300,$B256,Пул!$L$5:$L$300,"Закрыт")=0,"",ROUND(SUMIFS(Пул!$J$5:$J$300,Пул!$E$5:$E$300,$B256,Пул!$L$5:$L$300,"Закрыт"),8)))</f>
        <v/>
      </c>
      <c r="H256" s="247">
        <f>IF($B256="","",IF(COUNTIFS(Пул!$E$5:$E$300,$B256,Пул!$L$5:$L$300,"Закрыт")=0,"",ROUND(SUMIFS(Пул!$K$5:$K$300,Пул!$E$5:$E$300,$B256,Пул!$L$5:$L$300,"Закрыт"),8)))</f>
        <v/>
      </c>
      <c r="I256" s="242">
        <f>IF(AND(ISNUMBER(G256),ISNUMBER(H256)),IF(AND(G256&gt;0,H256&lt;0),"Buy",IF(AND(G256&lt;0,H256&gt;0),"Sell","")),"")</f>
        <v/>
      </c>
      <c r="J256" s="183">
        <f>IF(I256="Buy",G256,IF(I256="Sell",-G256,""))</f>
        <v/>
      </c>
      <c r="K256" s="183">
        <f>IF(AND(ISNUMBER(J256),ISNUMBER(L256),N(J256)&lt;&gt;0),ROUND(L256/J256,8),"")</f>
        <v/>
      </c>
      <c r="L256" s="183">
        <f>IF(I256="Buy",-H256,IF(I256="Sell",H256,""))</f>
        <v/>
      </c>
    </row>
    <row r="257" ht="22" customHeight="1">
      <c r="B257" s="315" t="n"/>
      <c r="C257" s="240">
        <f>IF($B257="","",IF(COUNTIFS(Пул!$E$5:$E$300,$B257,Пул!$F$5:$F$300,"&lt;&gt;")=0,"",ROUND(SUMIFS(Пул!$F$5:$F$300,Пул!$E$5:$E$300,$B257),8)))</f>
        <v/>
      </c>
      <c r="D257" s="241">
        <f>IF($B257="","",IF(COUNTIFS(Пул!$E$5:$E$300,$B257,Пул!$G$5:$G$300,"&lt;&gt;")=0,"",ROUND(SUMIFS(Пул!$G$5:$G$300,Пул!$E$5:$E$300,$B257),8)))</f>
        <v/>
      </c>
      <c r="E257" s="240">
        <f>IF($B257="","",IF(COUNTIFS(Пул!$E$5:$E$300,$B257,Пул!$L$5:$L$300,"Закрыт")=0,"",ROUND(SUMIFS(Пул!$H$5:$H$300,Пул!$E$5:$E$300,$B257,Пул!$L$5:$L$300,"Закрыт"),8)))</f>
        <v/>
      </c>
      <c r="F257" s="241">
        <f>IF($B257="","",IF(COUNTIFS(Пул!$E$5:$E$300,$B257,Пул!$L$5:$L$300,"Закрыт")=0,"",ROUND(SUMIFS(Пул!$I$5:$I$300,Пул!$E$5:$E$300,$B257,Пул!$L$5:$L$300,"Закрыт"),8)))</f>
        <v/>
      </c>
      <c r="G257" s="240">
        <f>IF($B257="","",IF(COUNTIFS(Пул!$E$5:$E$300,$B257,Пул!$L$5:$L$300,"Закрыт")=0,"",ROUND(SUMIFS(Пул!$J$5:$J$300,Пул!$E$5:$E$300,$B257,Пул!$L$5:$L$300,"Закрыт"),8)))</f>
        <v/>
      </c>
      <c r="H257" s="241">
        <f>IF($B257="","",IF(COUNTIFS(Пул!$E$5:$E$300,$B257,Пул!$L$5:$L$300,"Закрыт")=0,"",ROUND(SUMIFS(Пул!$K$5:$K$300,Пул!$E$5:$E$300,$B257,Пул!$L$5:$L$300,"Закрыт"),8)))</f>
        <v/>
      </c>
      <c r="I257" s="236">
        <f>IF(AND(ISNUMBER(G257),ISNUMBER(H257)),IF(AND(G257&gt;0,H257&lt;0),"Buy",IF(AND(G257&lt;0,H257&gt;0),"Sell","")),"")</f>
        <v/>
      </c>
      <c r="J257" s="177">
        <f>IF(I257="Buy",G257,IF(I257="Sell",-G257,""))</f>
        <v/>
      </c>
      <c r="K257" s="177">
        <f>IF(AND(ISNUMBER(J257),ISNUMBER(L257),N(J257)&lt;&gt;0),ROUND(L257/J257,8),"")</f>
        <v/>
      </c>
      <c r="L257" s="177">
        <f>IF(I257="Buy",-H257,IF(I257="Sell",H257,""))</f>
        <v/>
      </c>
    </row>
    <row r="258" ht="22" customHeight="1">
      <c r="B258" s="320" t="n"/>
      <c r="C258" s="246">
        <f>IF($B258="","",IF(COUNTIFS(Пул!$E$5:$E$300,$B258,Пул!$F$5:$F$300,"&lt;&gt;")=0,"",ROUND(SUMIFS(Пул!$F$5:$F$300,Пул!$E$5:$E$300,$B258),8)))</f>
        <v/>
      </c>
      <c r="D258" s="247">
        <f>IF($B258="","",IF(COUNTIFS(Пул!$E$5:$E$300,$B258,Пул!$G$5:$G$300,"&lt;&gt;")=0,"",ROUND(SUMIFS(Пул!$G$5:$G$300,Пул!$E$5:$E$300,$B258),8)))</f>
        <v/>
      </c>
      <c r="E258" s="246">
        <f>IF($B258="","",IF(COUNTIFS(Пул!$E$5:$E$300,$B258,Пул!$L$5:$L$300,"Закрыт")=0,"",ROUND(SUMIFS(Пул!$H$5:$H$300,Пул!$E$5:$E$300,$B258,Пул!$L$5:$L$300,"Закрыт"),8)))</f>
        <v/>
      </c>
      <c r="F258" s="247">
        <f>IF($B258="","",IF(COUNTIFS(Пул!$E$5:$E$300,$B258,Пул!$L$5:$L$300,"Закрыт")=0,"",ROUND(SUMIFS(Пул!$I$5:$I$300,Пул!$E$5:$E$300,$B258,Пул!$L$5:$L$300,"Закрыт"),8)))</f>
        <v/>
      </c>
      <c r="G258" s="246">
        <f>IF($B258="","",IF(COUNTIFS(Пул!$E$5:$E$300,$B258,Пул!$L$5:$L$300,"Закрыт")=0,"",ROUND(SUMIFS(Пул!$J$5:$J$300,Пул!$E$5:$E$300,$B258,Пул!$L$5:$L$300,"Закрыт"),8)))</f>
        <v/>
      </c>
      <c r="H258" s="247">
        <f>IF($B258="","",IF(COUNTIFS(Пул!$E$5:$E$300,$B258,Пул!$L$5:$L$300,"Закрыт")=0,"",ROUND(SUMIFS(Пул!$K$5:$K$300,Пул!$E$5:$E$300,$B258,Пул!$L$5:$L$300,"Закрыт"),8)))</f>
        <v/>
      </c>
      <c r="I258" s="242">
        <f>IF(AND(ISNUMBER(G258),ISNUMBER(H258)),IF(AND(G258&gt;0,H258&lt;0),"Buy",IF(AND(G258&lt;0,H258&gt;0),"Sell","")),"")</f>
        <v/>
      </c>
      <c r="J258" s="183">
        <f>IF(I258="Buy",G258,IF(I258="Sell",-G258,""))</f>
        <v/>
      </c>
      <c r="K258" s="183">
        <f>IF(AND(ISNUMBER(J258),ISNUMBER(L258),N(J258)&lt;&gt;0),ROUND(L258/J258,8),"")</f>
        <v/>
      </c>
      <c r="L258" s="183">
        <f>IF(I258="Buy",-H258,IF(I258="Sell",H258,""))</f>
        <v/>
      </c>
    </row>
    <row r="259" ht="22" customHeight="1">
      <c r="B259" s="315" t="n"/>
      <c r="C259" s="240">
        <f>IF($B259="","",IF(COUNTIFS(Пул!$E$5:$E$300,$B259,Пул!$F$5:$F$300,"&lt;&gt;")=0,"",ROUND(SUMIFS(Пул!$F$5:$F$300,Пул!$E$5:$E$300,$B259),8)))</f>
        <v/>
      </c>
      <c r="D259" s="241">
        <f>IF($B259="","",IF(COUNTIFS(Пул!$E$5:$E$300,$B259,Пул!$G$5:$G$300,"&lt;&gt;")=0,"",ROUND(SUMIFS(Пул!$G$5:$G$300,Пул!$E$5:$E$300,$B259),8)))</f>
        <v/>
      </c>
      <c r="E259" s="240">
        <f>IF($B259="","",IF(COUNTIFS(Пул!$E$5:$E$300,$B259,Пул!$L$5:$L$300,"Закрыт")=0,"",ROUND(SUMIFS(Пул!$H$5:$H$300,Пул!$E$5:$E$300,$B259,Пул!$L$5:$L$300,"Закрыт"),8)))</f>
        <v/>
      </c>
      <c r="F259" s="241">
        <f>IF($B259="","",IF(COUNTIFS(Пул!$E$5:$E$300,$B259,Пул!$L$5:$L$300,"Закрыт")=0,"",ROUND(SUMIFS(Пул!$I$5:$I$300,Пул!$E$5:$E$300,$B259,Пул!$L$5:$L$300,"Закрыт"),8)))</f>
        <v/>
      </c>
      <c r="G259" s="240">
        <f>IF($B259="","",IF(COUNTIFS(Пул!$E$5:$E$300,$B259,Пул!$L$5:$L$300,"Закрыт")=0,"",ROUND(SUMIFS(Пул!$J$5:$J$300,Пул!$E$5:$E$300,$B259,Пул!$L$5:$L$300,"Закрыт"),8)))</f>
        <v/>
      </c>
      <c r="H259" s="241">
        <f>IF($B259="","",IF(COUNTIFS(Пул!$E$5:$E$300,$B259,Пул!$L$5:$L$300,"Закрыт")=0,"",ROUND(SUMIFS(Пул!$K$5:$K$300,Пул!$E$5:$E$300,$B259,Пул!$L$5:$L$300,"Закрыт"),8)))</f>
        <v/>
      </c>
      <c r="I259" s="236">
        <f>IF(AND(ISNUMBER(G259),ISNUMBER(H259)),IF(AND(G259&gt;0,H259&lt;0),"Buy",IF(AND(G259&lt;0,H259&gt;0),"Sell","")),"")</f>
        <v/>
      </c>
      <c r="J259" s="177">
        <f>IF(I259="Buy",G259,IF(I259="Sell",-G259,""))</f>
        <v/>
      </c>
      <c r="K259" s="177">
        <f>IF(AND(ISNUMBER(J259),ISNUMBER(L259),N(J259)&lt;&gt;0),ROUND(L259/J259,8),"")</f>
        <v/>
      </c>
      <c r="L259" s="177">
        <f>IF(I259="Buy",-H259,IF(I259="Sell",H259,""))</f>
        <v/>
      </c>
    </row>
    <row r="260" ht="22" customHeight="1">
      <c r="B260" s="320" t="n"/>
      <c r="C260" s="246">
        <f>IF($B260="","",IF(COUNTIFS(Пул!$E$5:$E$300,$B260,Пул!$F$5:$F$300,"&lt;&gt;")=0,"",ROUND(SUMIFS(Пул!$F$5:$F$300,Пул!$E$5:$E$300,$B260),8)))</f>
        <v/>
      </c>
      <c r="D260" s="247">
        <f>IF($B260="","",IF(COUNTIFS(Пул!$E$5:$E$300,$B260,Пул!$G$5:$G$300,"&lt;&gt;")=0,"",ROUND(SUMIFS(Пул!$G$5:$G$300,Пул!$E$5:$E$300,$B260),8)))</f>
        <v/>
      </c>
      <c r="E260" s="246">
        <f>IF($B260="","",IF(COUNTIFS(Пул!$E$5:$E$300,$B260,Пул!$L$5:$L$300,"Закрыт")=0,"",ROUND(SUMIFS(Пул!$H$5:$H$300,Пул!$E$5:$E$300,$B260,Пул!$L$5:$L$300,"Закрыт"),8)))</f>
        <v/>
      </c>
      <c r="F260" s="247">
        <f>IF($B260="","",IF(COUNTIFS(Пул!$E$5:$E$300,$B260,Пул!$L$5:$L$300,"Закрыт")=0,"",ROUND(SUMIFS(Пул!$I$5:$I$300,Пул!$E$5:$E$300,$B260,Пул!$L$5:$L$300,"Закрыт"),8)))</f>
        <v/>
      </c>
      <c r="G260" s="246">
        <f>IF($B260="","",IF(COUNTIFS(Пул!$E$5:$E$300,$B260,Пул!$L$5:$L$300,"Закрыт")=0,"",ROUND(SUMIFS(Пул!$J$5:$J$300,Пул!$E$5:$E$300,$B260,Пул!$L$5:$L$300,"Закрыт"),8)))</f>
        <v/>
      </c>
      <c r="H260" s="247">
        <f>IF($B260="","",IF(COUNTIFS(Пул!$E$5:$E$300,$B260,Пул!$L$5:$L$300,"Закрыт")=0,"",ROUND(SUMIFS(Пул!$K$5:$K$300,Пул!$E$5:$E$300,$B260,Пул!$L$5:$L$300,"Закрыт"),8)))</f>
        <v/>
      </c>
      <c r="I260" s="242">
        <f>IF(AND(ISNUMBER(G260),ISNUMBER(H260)),IF(AND(G260&gt;0,H260&lt;0),"Buy",IF(AND(G260&lt;0,H260&gt;0),"Sell","")),"")</f>
        <v/>
      </c>
      <c r="J260" s="183">
        <f>IF(I260="Buy",G260,IF(I260="Sell",-G260,""))</f>
        <v/>
      </c>
      <c r="K260" s="183">
        <f>IF(AND(ISNUMBER(J260),ISNUMBER(L260),N(J260)&lt;&gt;0),ROUND(L260/J260,8),"")</f>
        <v/>
      </c>
      <c r="L260" s="183">
        <f>IF(I260="Buy",-H260,IF(I260="Sell",H260,""))</f>
        <v/>
      </c>
    </row>
    <row r="261" ht="22" customHeight="1">
      <c r="B261" s="315" t="n"/>
      <c r="C261" s="240">
        <f>IF($B261="","",IF(COUNTIFS(Пул!$E$5:$E$300,$B261,Пул!$F$5:$F$300,"&lt;&gt;")=0,"",ROUND(SUMIFS(Пул!$F$5:$F$300,Пул!$E$5:$E$300,$B261),8)))</f>
        <v/>
      </c>
      <c r="D261" s="241">
        <f>IF($B261="","",IF(COUNTIFS(Пул!$E$5:$E$300,$B261,Пул!$G$5:$G$300,"&lt;&gt;")=0,"",ROUND(SUMIFS(Пул!$G$5:$G$300,Пул!$E$5:$E$300,$B261),8)))</f>
        <v/>
      </c>
      <c r="E261" s="240">
        <f>IF($B261="","",IF(COUNTIFS(Пул!$E$5:$E$300,$B261,Пул!$L$5:$L$300,"Закрыт")=0,"",ROUND(SUMIFS(Пул!$H$5:$H$300,Пул!$E$5:$E$300,$B261,Пул!$L$5:$L$300,"Закрыт"),8)))</f>
        <v/>
      </c>
      <c r="F261" s="241">
        <f>IF($B261="","",IF(COUNTIFS(Пул!$E$5:$E$300,$B261,Пул!$L$5:$L$300,"Закрыт")=0,"",ROUND(SUMIFS(Пул!$I$5:$I$300,Пул!$E$5:$E$300,$B261,Пул!$L$5:$L$300,"Закрыт"),8)))</f>
        <v/>
      </c>
      <c r="G261" s="240">
        <f>IF($B261="","",IF(COUNTIFS(Пул!$E$5:$E$300,$B261,Пул!$L$5:$L$300,"Закрыт")=0,"",ROUND(SUMIFS(Пул!$J$5:$J$300,Пул!$E$5:$E$300,$B261,Пул!$L$5:$L$300,"Закрыт"),8)))</f>
        <v/>
      </c>
      <c r="H261" s="241">
        <f>IF($B261="","",IF(COUNTIFS(Пул!$E$5:$E$300,$B261,Пул!$L$5:$L$300,"Закрыт")=0,"",ROUND(SUMIFS(Пул!$K$5:$K$300,Пул!$E$5:$E$300,$B261,Пул!$L$5:$L$300,"Закрыт"),8)))</f>
        <v/>
      </c>
      <c r="I261" s="236">
        <f>IF(AND(ISNUMBER(G261),ISNUMBER(H261)),IF(AND(G261&gt;0,H261&lt;0),"Buy",IF(AND(G261&lt;0,H261&gt;0),"Sell","")),"")</f>
        <v/>
      </c>
      <c r="J261" s="177">
        <f>IF(I261="Buy",G261,IF(I261="Sell",-G261,""))</f>
        <v/>
      </c>
      <c r="K261" s="177">
        <f>IF(AND(ISNUMBER(J261),ISNUMBER(L261),N(J261)&lt;&gt;0),ROUND(L261/J261,8),"")</f>
        <v/>
      </c>
      <c r="L261" s="177">
        <f>IF(I261="Buy",-H261,IF(I261="Sell",H261,""))</f>
        <v/>
      </c>
    </row>
    <row r="262" ht="22" customHeight="1">
      <c r="B262" s="320" t="n"/>
      <c r="C262" s="246">
        <f>IF($B262="","",IF(COUNTIFS(Пул!$E$5:$E$300,$B262,Пул!$F$5:$F$300,"&lt;&gt;")=0,"",ROUND(SUMIFS(Пул!$F$5:$F$300,Пул!$E$5:$E$300,$B262),8)))</f>
        <v/>
      </c>
      <c r="D262" s="247">
        <f>IF($B262="","",IF(COUNTIFS(Пул!$E$5:$E$300,$B262,Пул!$G$5:$G$300,"&lt;&gt;")=0,"",ROUND(SUMIFS(Пул!$G$5:$G$300,Пул!$E$5:$E$300,$B262),8)))</f>
        <v/>
      </c>
      <c r="E262" s="246">
        <f>IF($B262="","",IF(COUNTIFS(Пул!$E$5:$E$300,$B262,Пул!$L$5:$L$300,"Закрыт")=0,"",ROUND(SUMIFS(Пул!$H$5:$H$300,Пул!$E$5:$E$300,$B262,Пул!$L$5:$L$300,"Закрыт"),8)))</f>
        <v/>
      </c>
      <c r="F262" s="247">
        <f>IF($B262="","",IF(COUNTIFS(Пул!$E$5:$E$300,$B262,Пул!$L$5:$L$300,"Закрыт")=0,"",ROUND(SUMIFS(Пул!$I$5:$I$300,Пул!$E$5:$E$300,$B262,Пул!$L$5:$L$300,"Закрыт"),8)))</f>
        <v/>
      </c>
      <c r="G262" s="246">
        <f>IF($B262="","",IF(COUNTIFS(Пул!$E$5:$E$300,$B262,Пул!$L$5:$L$300,"Закрыт")=0,"",ROUND(SUMIFS(Пул!$J$5:$J$300,Пул!$E$5:$E$300,$B262,Пул!$L$5:$L$300,"Закрыт"),8)))</f>
        <v/>
      </c>
      <c r="H262" s="247">
        <f>IF($B262="","",IF(COUNTIFS(Пул!$E$5:$E$300,$B262,Пул!$L$5:$L$300,"Закрыт")=0,"",ROUND(SUMIFS(Пул!$K$5:$K$300,Пул!$E$5:$E$300,$B262,Пул!$L$5:$L$300,"Закрыт"),8)))</f>
        <v/>
      </c>
      <c r="I262" s="242">
        <f>IF(AND(ISNUMBER(G262),ISNUMBER(H262)),IF(AND(G262&gt;0,H262&lt;0),"Buy",IF(AND(G262&lt;0,H262&gt;0),"Sell","")),"")</f>
        <v/>
      </c>
      <c r="J262" s="183">
        <f>IF(I262="Buy",G262,IF(I262="Sell",-G262,""))</f>
        <v/>
      </c>
      <c r="K262" s="183">
        <f>IF(AND(ISNUMBER(J262),ISNUMBER(L262),N(J262)&lt;&gt;0),ROUND(L262/J262,8),"")</f>
        <v/>
      </c>
      <c r="L262" s="183">
        <f>IF(I262="Buy",-H262,IF(I262="Sell",H262,""))</f>
        <v/>
      </c>
    </row>
    <row r="263" ht="22" customHeight="1">
      <c r="B263" s="315" t="n"/>
      <c r="C263" s="240">
        <f>IF($B263="","",IF(COUNTIFS(Пул!$E$5:$E$300,$B263,Пул!$F$5:$F$300,"&lt;&gt;")=0,"",ROUND(SUMIFS(Пул!$F$5:$F$300,Пул!$E$5:$E$300,$B263),8)))</f>
        <v/>
      </c>
      <c r="D263" s="241">
        <f>IF($B263="","",IF(COUNTIFS(Пул!$E$5:$E$300,$B263,Пул!$G$5:$G$300,"&lt;&gt;")=0,"",ROUND(SUMIFS(Пул!$G$5:$G$300,Пул!$E$5:$E$300,$B263),8)))</f>
        <v/>
      </c>
      <c r="E263" s="240">
        <f>IF($B263="","",IF(COUNTIFS(Пул!$E$5:$E$300,$B263,Пул!$L$5:$L$300,"Закрыт")=0,"",ROUND(SUMIFS(Пул!$H$5:$H$300,Пул!$E$5:$E$300,$B263,Пул!$L$5:$L$300,"Закрыт"),8)))</f>
        <v/>
      </c>
      <c r="F263" s="241">
        <f>IF($B263="","",IF(COUNTIFS(Пул!$E$5:$E$300,$B263,Пул!$L$5:$L$300,"Закрыт")=0,"",ROUND(SUMIFS(Пул!$I$5:$I$300,Пул!$E$5:$E$300,$B263,Пул!$L$5:$L$300,"Закрыт"),8)))</f>
        <v/>
      </c>
      <c r="G263" s="240">
        <f>IF($B263="","",IF(COUNTIFS(Пул!$E$5:$E$300,$B263,Пул!$L$5:$L$300,"Закрыт")=0,"",ROUND(SUMIFS(Пул!$J$5:$J$300,Пул!$E$5:$E$300,$B263,Пул!$L$5:$L$300,"Закрыт"),8)))</f>
        <v/>
      </c>
      <c r="H263" s="241">
        <f>IF($B263="","",IF(COUNTIFS(Пул!$E$5:$E$300,$B263,Пул!$L$5:$L$300,"Закрыт")=0,"",ROUND(SUMIFS(Пул!$K$5:$K$300,Пул!$E$5:$E$300,$B263,Пул!$L$5:$L$300,"Закрыт"),8)))</f>
        <v/>
      </c>
      <c r="I263" s="236">
        <f>IF(AND(ISNUMBER(G263),ISNUMBER(H263)),IF(AND(G263&gt;0,H263&lt;0),"Buy",IF(AND(G263&lt;0,H263&gt;0),"Sell","")),"")</f>
        <v/>
      </c>
      <c r="J263" s="177">
        <f>IF(I263="Buy",G263,IF(I263="Sell",-G263,""))</f>
        <v/>
      </c>
      <c r="K263" s="177">
        <f>IF(AND(ISNUMBER(J263),ISNUMBER(L263),N(J263)&lt;&gt;0),ROUND(L263/J263,8),"")</f>
        <v/>
      </c>
      <c r="L263" s="177">
        <f>IF(I263="Buy",-H263,IF(I263="Sell",H263,""))</f>
        <v/>
      </c>
    </row>
    <row r="264" ht="22" customHeight="1">
      <c r="B264" s="320" t="n"/>
      <c r="C264" s="246">
        <f>IF($B264="","",IF(COUNTIFS(Пул!$E$5:$E$300,$B264,Пул!$F$5:$F$300,"&lt;&gt;")=0,"",ROUND(SUMIFS(Пул!$F$5:$F$300,Пул!$E$5:$E$300,$B264),8)))</f>
        <v/>
      </c>
      <c r="D264" s="247">
        <f>IF($B264="","",IF(COUNTIFS(Пул!$E$5:$E$300,$B264,Пул!$G$5:$G$300,"&lt;&gt;")=0,"",ROUND(SUMIFS(Пул!$G$5:$G$300,Пул!$E$5:$E$300,$B264),8)))</f>
        <v/>
      </c>
      <c r="E264" s="246">
        <f>IF($B264="","",IF(COUNTIFS(Пул!$E$5:$E$300,$B264,Пул!$L$5:$L$300,"Закрыт")=0,"",ROUND(SUMIFS(Пул!$H$5:$H$300,Пул!$E$5:$E$300,$B264,Пул!$L$5:$L$300,"Закрыт"),8)))</f>
        <v/>
      </c>
      <c r="F264" s="247">
        <f>IF($B264="","",IF(COUNTIFS(Пул!$E$5:$E$300,$B264,Пул!$L$5:$L$300,"Закрыт")=0,"",ROUND(SUMIFS(Пул!$I$5:$I$300,Пул!$E$5:$E$300,$B264,Пул!$L$5:$L$300,"Закрыт"),8)))</f>
        <v/>
      </c>
      <c r="G264" s="246">
        <f>IF($B264="","",IF(COUNTIFS(Пул!$E$5:$E$300,$B264,Пул!$L$5:$L$300,"Закрыт")=0,"",ROUND(SUMIFS(Пул!$J$5:$J$300,Пул!$E$5:$E$300,$B264,Пул!$L$5:$L$300,"Закрыт"),8)))</f>
        <v/>
      </c>
      <c r="H264" s="247">
        <f>IF($B264="","",IF(COUNTIFS(Пул!$E$5:$E$300,$B264,Пул!$L$5:$L$300,"Закрыт")=0,"",ROUND(SUMIFS(Пул!$K$5:$K$300,Пул!$E$5:$E$300,$B264,Пул!$L$5:$L$300,"Закрыт"),8)))</f>
        <v/>
      </c>
      <c r="I264" s="242">
        <f>IF(AND(ISNUMBER(G264),ISNUMBER(H264)),IF(AND(G264&gt;0,H264&lt;0),"Buy",IF(AND(G264&lt;0,H264&gt;0),"Sell","")),"")</f>
        <v/>
      </c>
      <c r="J264" s="183">
        <f>IF(I264="Buy",G264,IF(I264="Sell",-G264,""))</f>
        <v/>
      </c>
      <c r="K264" s="183">
        <f>IF(AND(ISNUMBER(J264),ISNUMBER(L264),N(J264)&lt;&gt;0),ROUND(L264/J264,8),"")</f>
        <v/>
      </c>
      <c r="L264" s="183">
        <f>IF(I264="Buy",-H264,IF(I264="Sell",H264,""))</f>
        <v/>
      </c>
    </row>
    <row r="265" ht="22" customHeight="1">
      <c r="B265" s="315" t="n"/>
      <c r="C265" s="240">
        <f>IF($B265="","",IF(COUNTIFS(Пул!$E$5:$E$300,$B265,Пул!$F$5:$F$300,"&lt;&gt;")=0,"",ROUND(SUMIFS(Пул!$F$5:$F$300,Пул!$E$5:$E$300,$B265),8)))</f>
        <v/>
      </c>
      <c r="D265" s="241">
        <f>IF($B265="","",IF(COUNTIFS(Пул!$E$5:$E$300,$B265,Пул!$G$5:$G$300,"&lt;&gt;")=0,"",ROUND(SUMIFS(Пул!$G$5:$G$300,Пул!$E$5:$E$300,$B265),8)))</f>
        <v/>
      </c>
      <c r="E265" s="240">
        <f>IF($B265="","",IF(COUNTIFS(Пул!$E$5:$E$300,$B265,Пул!$L$5:$L$300,"Закрыт")=0,"",ROUND(SUMIFS(Пул!$H$5:$H$300,Пул!$E$5:$E$300,$B265,Пул!$L$5:$L$300,"Закрыт"),8)))</f>
        <v/>
      </c>
      <c r="F265" s="241">
        <f>IF($B265="","",IF(COUNTIFS(Пул!$E$5:$E$300,$B265,Пул!$L$5:$L$300,"Закрыт")=0,"",ROUND(SUMIFS(Пул!$I$5:$I$300,Пул!$E$5:$E$300,$B265,Пул!$L$5:$L$300,"Закрыт"),8)))</f>
        <v/>
      </c>
      <c r="G265" s="240">
        <f>IF($B265="","",IF(COUNTIFS(Пул!$E$5:$E$300,$B265,Пул!$L$5:$L$300,"Закрыт")=0,"",ROUND(SUMIFS(Пул!$J$5:$J$300,Пул!$E$5:$E$300,$B265,Пул!$L$5:$L$300,"Закрыт"),8)))</f>
        <v/>
      </c>
      <c r="H265" s="241">
        <f>IF($B265="","",IF(COUNTIFS(Пул!$E$5:$E$300,$B265,Пул!$L$5:$L$300,"Закрыт")=0,"",ROUND(SUMIFS(Пул!$K$5:$K$300,Пул!$E$5:$E$300,$B265,Пул!$L$5:$L$300,"Закрыт"),8)))</f>
        <v/>
      </c>
      <c r="I265" s="236">
        <f>IF(AND(ISNUMBER(G265),ISNUMBER(H265)),IF(AND(G265&gt;0,H265&lt;0),"Buy",IF(AND(G265&lt;0,H265&gt;0),"Sell","")),"")</f>
        <v/>
      </c>
      <c r="J265" s="177">
        <f>IF(I265="Buy",G265,IF(I265="Sell",-G265,""))</f>
        <v/>
      </c>
      <c r="K265" s="177">
        <f>IF(AND(ISNUMBER(J265),ISNUMBER(L265),N(J265)&lt;&gt;0),ROUND(L265/J265,8),"")</f>
        <v/>
      </c>
      <c r="L265" s="177">
        <f>IF(I265="Buy",-H265,IF(I265="Sell",H265,""))</f>
        <v/>
      </c>
    </row>
    <row r="266" ht="22" customHeight="1">
      <c r="B266" s="320" t="n"/>
      <c r="C266" s="246">
        <f>IF($B266="","",IF(COUNTIFS(Пул!$E$5:$E$300,$B266,Пул!$F$5:$F$300,"&lt;&gt;")=0,"",ROUND(SUMIFS(Пул!$F$5:$F$300,Пул!$E$5:$E$300,$B266),8)))</f>
        <v/>
      </c>
      <c r="D266" s="247">
        <f>IF($B266="","",IF(COUNTIFS(Пул!$E$5:$E$300,$B266,Пул!$G$5:$G$300,"&lt;&gt;")=0,"",ROUND(SUMIFS(Пул!$G$5:$G$300,Пул!$E$5:$E$300,$B266),8)))</f>
        <v/>
      </c>
      <c r="E266" s="246">
        <f>IF($B266="","",IF(COUNTIFS(Пул!$E$5:$E$300,$B266,Пул!$L$5:$L$300,"Закрыт")=0,"",ROUND(SUMIFS(Пул!$H$5:$H$300,Пул!$E$5:$E$300,$B266,Пул!$L$5:$L$300,"Закрыт"),8)))</f>
        <v/>
      </c>
      <c r="F266" s="247">
        <f>IF($B266="","",IF(COUNTIFS(Пул!$E$5:$E$300,$B266,Пул!$L$5:$L$300,"Закрыт")=0,"",ROUND(SUMIFS(Пул!$I$5:$I$300,Пул!$E$5:$E$300,$B266,Пул!$L$5:$L$300,"Закрыт"),8)))</f>
        <v/>
      </c>
      <c r="G266" s="246">
        <f>IF($B266="","",IF(COUNTIFS(Пул!$E$5:$E$300,$B266,Пул!$L$5:$L$300,"Закрыт")=0,"",ROUND(SUMIFS(Пул!$J$5:$J$300,Пул!$E$5:$E$300,$B266,Пул!$L$5:$L$300,"Закрыт"),8)))</f>
        <v/>
      </c>
      <c r="H266" s="247">
        <f>IF($B266="","",IF(COUNTIFS(Пул!$E$5:$E$300,$B266,Пул!$L$5:$L$300,"Закрыт")=0,"",ROUND(SUMIFS(Пул!$K$5:$K$300,Пул!$E$5:$E$300,$B266,Пул!$L$5:$L$300,"Закрыт"),8)))</f>
        <v/>
      </c>
      <c r="I266" s="242">
        <f>IF(AND(ISNUMBER(G266),ISNUMBER(H266)),IF(AND(G266&gt;0,H266&lt;0),"Buy",IF(AND(G266&lt;0,H266&gt;0),"Sell","")),"")</f>
        <v/>
      </c>
      <c r="J266" s="183">
        <f>IF(I266="Buy",G266,IF(I266="Sell",-G266,""))</f>
        <v/>
      </c>
      <c r="K266" s="183">
        <f>IF(AND(ISNUMBER(J266),ISNUMBER(L266),N(J266)&lt;&gt;0),ROUND(L266/J266,8),"")</f>
        <v/>
      </c>
      <c r="L266" s="183">
        <f>IF(I266="Buy",-H266,IF(I266="Sell",H266,""))</f>
        <v/>
      </c>
    </row>
    <row r="267" ht="22" customHeight="1">
      <c r="B267" s="315" t="n"/>
      <c r="C267" s="240">
        <f>IF($B267="","",IF(COUNTIFS(Пул!$E$5:$E$300,$B267,Пул!$F$5:$F$300,"&lt;&gt;")=0,"",ROUND(SUMIFS(Пул!$F$5:$F$300,Пул!$E$5:$E$300,$B267),8)))</f>
        <v/>
      </c>
      <c r="D267" s="241">
        <f>IF($B267="","",IF(COUNTIFS(Пул!$E$5:$E$300,$B267,Пул!$G$5:$G$300,"&lt;&gt;")=0,"",ROUND(SUMIFS(Пул!$G$5:$G$300,Пул!$E$5:$E$300,$B267),8)))</f>
        <v/>
      </c>
      <c r="E267" s="240">
        <f>IF($B267="","",IF(COUNTIFS(Пул!$E$5:$E$300,$B267,Пул!$L$5:$L$300,"Закрыт")=0,"",ROUND(SUMIFS(Пул!$H$5:$H$300,Пул!$E$5:$E$300,$B267,Пул!$L$5:$L$300,"Закрыт"),8)))</f>
        <v/>
      </c>
      <c r="F267" s="241">
        <f>IF($B267="","",IF(COUNTIFS(Пул!$E$5:$E$300,$B267,Пул!$L$5:$L$300,"Закрыт")=0,"",ROUND(SUMIFS(Пул!$I$5:$I$300,Пул!$E$5:$E$300,$B267,Пул!$L$5:$L$300,"Закрыт"),8)))</f>
        <v/>
      </c>
      <c r="G267" s="240">
        <f>IF($B267="","",IF(COUNTIFS(Пул!$E$5:$E$300,$B267,Пул!$L$5:$L$300,"Закрыт")=0,"",ROUND(SUMIFS(Пул!$J$5:$J$300,Пул!$E$5:$E$300,$B267,Пул!$L$5:$L$300,"Закрыт"),8)))</f>
        <v/>
      </c>
      <c r="H267" s="241">
        <f>IF($B267="","",IF(COUNTIFS(Пул!$E$5:$E$300,$B267,Пул!$L$5:$L$300,"Закрыт")=0,"",ROUND(SUMIFS(Пул!$K$5:$K$300,Пул!$E$5:$E$300,$B267,Пул!$L$5:$L$300,"Закрыт"),8)))</f>
        <v/>
      </c>
      <c r="I267" s="236">
        <f>IF(AND(ISNUMBER(G267),ISNUMBER(H267)),IF(AND(G267&gt;0,H267&lt;0),"Buy",IF(AND(G267&lt;0,H267&gt;0),"Sell","")),"")</f>
        <v/>
      </c>
      <c r="J267" s="177">
        <f>IF(I267="Buy",G267,IF(I267="Sell",-G267,""))</f>
        <v/>
      </c>
      <c r="K267" s="177">
        <f>IF(AND(ISNUMBER(J267),ISNUMBER(L267),N(J267)&lt;&gt;0),ROUND(L267/J267,8),"")</f>
        <v/>
      </c>
      <c r="L267" s="177">
        <f>IF(I267="Buy",-H267,IF(I267="Sell",H267,""))</f>
        <v/>
      </c>
    </row>
    <row r="268" ht="22" customHeight="1">
      <c r="B268" s="320" t="n"/>
      <c r="C268" s="246">
        <f>IF($B268="","",IF(COUNTIFS(Пул!$E$5:$E$300,$B268,Пул!$F$5:$F$300,"&lt;&gt;")=0,"",ROUND(SUMIFS(Пул!$F$5:$F$300,Пул!$E$5:$E$300,$B268),8)))</f>
        <v/>
      </c>
      <c r="D268" s="247">
        <f>IF($B268="","",IF(COUNTIFS(Пул!$E$5:$E$300,$B268,Пул!$G$5:$G$300,"&lt;&gt;")=0,"",ROUND(SUMIFS(Пул!$G$5:$G$300,Пул!$E$5:$E$300,$B268),8)))</f>
        <v/>
      </c>
      <c r="E268" s="246">
        <f>IF($B268="","",IF(COUNTIFS(Пул!$E$5:$E$300,$B268,Пул!$L$5:$L$300,"Закрыт")=0,"",ROUND(SUMIFS(Пул!$H$5:$H$300,Пул!$E$5:$E$300,$B268,Пул!$L$5:$L$300,"Закрыт"),8)))</f>
        <v/>
      </c>
      <c r="F268" s="247">
        <f>IF($B268="","",IF(COUNTIFS(Пул!$E$5:$E$300,$B268,Пул!$L$5:$L$300,"Закрыт")=0,"",ROUND(SUMIFS(Пул!$I$5:$I$300,Пул!$E$5:$E$300,$B268,Пул!$L$5:$L$300,"Закрыт"),8)))</f>
        <v/>
      </c>
      <c r="G268" s="246">
        <f>IF($B268="","",IF(COUNTIFS(Пул!$E$5:$E$300,$B268,Пул!$L$5:$L$300,"Закрыт")=0,"",ROUND(SUMIFS(Пул!$J$5:$J$300,Пул!$E$5:$E$300,$B268,Пул!$L$5:$L$300,"Закрыт"),8)))</f>
        <v/>
      </c>
      <c r="H268" s="247">
        <f>IF($B268="","",IF(COUNTIFS(Пул!$E$5:$E$300,$B268,Пул!$L$5:$L$300,"Закрыт")=0,"",ROUND(SUMIFS(Пул!$K$5:$K$300,Пул!$E$5:$E$300,$B268,Пул!$L$5:$L$300,"Закрыт"),8)))</f>
        <v/>
      </c>
      <c r="I268" s="242">
        <f>IF(AND(ISNUMBER(G268),ISNUMBER(H268)),IF(AND(G268&gt;0,H268&lt;0),"Buy",IF(AND(G268&lt;0,H268&gt;0),"Sell","")),"")</f>
        <v/>
      </c>
      <c r="J268" s="183">
        <f>IF(I268="Buy",G268,IF(I268="Sell",-G268,""))</f>
        <v/>
      </c>
      <c r="K268" s="183">
        <f>IF(AND(ISNUMBER(J268),ISNUMBER(L268),N(J268)&lt;&gt;0),ROUND(L268/J268,8),"")</f>
        <v/>
      </c>
      <c r="L268" s="183">
        <f>IF(I268="Buy",-H268,IF(I268="Sell",H268,""))</f>
        <v/>
      </c>
    </row>
    <row r="269" ht="22" customHeight="1">
      <c r="B269" s="315" t="n"/>
      <c r="C269" s="240">
        <f>IF($B269="","",IF(COUNTIFS(Пул!$E$5:$E$300,$B269,Пул!$F$5:$F$300,"&lt;&gt;")=0,"",ROUND(SUMIFS(Пул!$F$5:$F$300,Пул!$E$5:$E$300,$B269),8)))</f>
        <v/>
      </c>
      <c r="D269" s="241">
        <f>IF($B269="","",IF(COUNTIFS(Пул!$E$5:$E$300,$B269,Пул!$G$5:$G$300,"&lt;&gt;")=0,"",ROUND(SUMIFS(Пул!$G$5:$G$300,Пул!$E$5:$E$300,$B269),8)))</f>
        <v/>
      </c>
      <c r="E269" s="240">
        <f>IF($B269="","",IF(COUNTIFS(Пул!$E$5:$E$300,$B269,Пул!$L$5:$L$300,"Закрыт")=0,"",ROUND(SUMIFS(Пул!$H$5:$H$300,Пул!$E$5:$E$300,$B269,Пул!$L$5:$L$300,"Закрыт"),8)))</f>
        <v/>
      </c>
      <c r="F269" s="241">
        <f>IF($B269="","",IF(COUNTIFS(Пул!$E$5:$E$300,$B269,Пул!$L$5:$L$300,"Закрыт")=0,"",ROUND(SUMIFS(Пул!$I$5:$I$300,Пул!$E$5:$E$300,$B269,Пул!$L$5:$L$300,"Закрыт"),8)))</f>
        <v/>
      </c>
      <c r="G269" s="240">
        <f>IF($B269="","",IF(COUNTIFS(Пул!$E$5:$E$300,$B269,Пул!$L$5:$L$300,"Закрыт")=0,"",ROUND(SUMIFS(Пул!$J$5:$J$300,Пул!$E$5:$E$300,$B269,Пул!$L$5:$L$300,"Закрыт"),8)))</f>
        <v/>
      </c>
      <c r="H269" s="241">
        <f>IF($B269="","",IF(COUNTIFS(Пул!$E$5:$E$300,$B269,Пул!$L$5:$L$300,"Закрыт")=0,"",ROUND(SUMIFS(Пул!$K$5:$K$300,Пул!$E$5:$E$300,$B269,Пул!$L$5:$L$300,"Закрыт"),8)))</f>
        <v/>
      </c>
      <c r="I269" s="236">
        <f>IF(AND(ISNUMBER(G269),ISNUMBER(H269)),IF(AND(G269&gt;0,H269&lt;0),"Buy",IF(AND(G269&lt;0,H269&gt;0),"Sell","")),"")</f>
        <v/>
      </c>
      <c r="J269" s="177">
        <f>IF(I269="Buy",G269,IF(I269="Sell",-G269,""))</f>
        <v/>
      </c>
      <c r="K269" s="177">
        <f>IF(AND(ISNUMBER(J269),ISNUMBER(L269),N(J269)&lt;&gt;0),ROUND(L269/J269,8),"")</f>
        <v/>
      </c>
      <c r="L269" s="177">
        <f>IF(I269="Buy",-H269,IF(I269="Sell",H269,""))</f>
        <v/>
      </c>
    </row>
    <row r="270" ht="22" customHeight="1">
      <c r="B270" s="320" t="n"/>
      <c r="C270" s="246">
        <f>IF($B270="","",IF(COUNTIFS(Пул!$E$5:$E$300,$B270,Пул!$F$5:$F$300,"&lt;&gt;")=0,"",ROUND(SUMIFS(Пул!$F$5:$F$300,Пул!$E$5:$E$300,$B270),8)))</f>
        <v/>
      </c>
      <c r="D270" s="247">
        <f>IF($B270="","",IF(COUNTIFS(Пул!$E$5:$E$300,$B270,Пул!$G$5:$G$300,"&lt;&gt;")=0,"",ROUND(SUMIFS(Пул!$G$5:$G$300,Пул!$E$5:$E$300,$B270),8)))</f>
        <v/>
      </c>
      <c r="E270" s="246">
        <f>IF($B270="","",IF(COUNTIFS(Пул!$E$5:$E$300,$B270,Пул!$L$5:$L$300,"Закрыт")=0,"",ROUND(SUMIFS(Пул!$H$5:$H$300,Пул!$E$5:$E$300,$B270,Пул!$L$5:$L$300,"Закрыт"),8)))</f>
        <v/>
      </c>
      <c r="F270" s="247">
        <f>IF($B270="","",IF(COUNTIFS(Пул!$E$5:$E$300,$B270,Пул!$L$5:$L$300,"Закрыт")=0,"",ROUND(SUMIFS(Пул!$I$5:$I$300,Пул!$E$5:$E$300,$B270,Пул!$L$5:$L$300,"Закрыт"),8)))</f>
        <v/>
      </c>
      <c r="G270" s="246">
        <f>IF($B270="","",IF(COUNTIFS(Пул!$E$5:$E$300,$B270,Пул!$L$5:$L$300,"Закрыт")=0,"",ROUND(SUMIFS(Пул!$J$5:$J$300,Пул!$E$5:$E$300,$B270,Пул!$L$5:$L$300,"Закрыт"),8)))</f>
        <v/>
      </c>
      <c r="H270" s="247">
        <f>IF($B270="","",IF(COUNTIFS(Пул!$E$5:$E$300,$B270,Пул!$L$5:$L$300,"Закрыт")=0,"",ROUND(SUMIFS(Пул!$K$5:$K$300,Пул!$E$5:$E$300,$B270,Пул!$L$5:$L$300,"Закрыт"),8)))</f>
        <v/>
      </c>
      <c r="I270" s="242">
        <f>IF(AND(ISNUMBER(G270),ISNUMBER(H270)),IF(AND(G270&gt;0,H270&lt;0),"Buy",IF(AND(G270&lt;0,H270&gt;0),"Sell","")),"")</f>
        <v/>
      </c>
      <c r="J270" s="183">
        <f>IF(I270="Buy",G270,IF(I270="Sell",-G270,""))</f>
        <v/>
      </c>
      <c r="K270" s="183">
        <f>IF(AND(ISNUMBER(J270),ISNUMBER(L270),N(J270)&lt;&gt;0),ROUND(L270/J270,8),"")</f>
        <v/>
      </c>
      <c r="L270" s="183">
        <f>IF(I270="Buy",-H270,IF(I270="Sell",H270,""))</f>
        <v/>
      </c>
    </row>
    <row r="271" ht="22" customHeight="1">
      <c r="B271" s="315" t="n"/>
      <c r="C271" s="240">
        <f>IF($B271="","",IF(COUNTIFS(Пул!$E$5:$E$300,$B271,Пул!$F$5:$F$300,"&lt;&gt;")=0,"",ROUND(SUMIFS(Пул!$F$5:$F$300,Пул!$E$5:$E$300,$B271),8)))</f>
        <v/>
      </c>
      <c r="D271" s="241">
        <f>IF($B271="","",IF(COUNTIFS(Пул!$E$5:$E$300,$B271,Пул!$G$5:$G$300,"&lt;&gt;")=0,"",ROUND(SUMIFS(Пул!$G$5:$G$300,Пул!$E$5:$E$300,$B271),8)))</f>
        <v/>
      </c>
      <c r="E271" s="240">
        <f>IF($B271="","",IF(COUNTIFS(Пул!$E$5:$E$300,$B271,Пул!$L$5:$L$300,"Закрыт")=0,"",ROUND(SUMIFS(Пул!$H$5:$H$300,Пул!$E$5:$E$300,$B271,Пул!$L$5:$L$300,"Закрыт"),8)))</f>
        <v/>
      </c>
      <c r="F271" s="241">
        <f>IF($B271="","",IF(COUNTIFS(Пул!$E$5:$E$300,$B271,Пул!$L$5:$L$300,"Закрыт")=0,"",ROUND(SUMIFS(Пул!$I$5:$I$300,Пул!$E$5:$E$300,$B271,Пул!$L$5:$L$300,"Закрыт"),8)))</f>
        <v/>
      </c>
      <c r="G271" s="240">
        <f>IF($B271="","",IF(COUNTIFS(Пул!$E$5:$E$300,$B271,Пул!$L$5:$L$300,"Закрыт")=0,"",ROUND(SUMIFS(Пул!$J$5:$J$300,Пул!$E$5:$E$300,$B271,Пул!$L$5:$L$300,"Закрыт"),8)))</f>
        <v/>
      </c>
      <c r="H271" s="241">
        <f>IF($B271="","",IF(COUNTIFS(Пул!$E$5:$E$300,$B271,Пул!$L$5:$L$300,"Закрыт")=0,"",ROUND(SUMIFS(Пул!$K$5:$K$300,Пул!$E$5:$E$300,$B271,Пул!$L$5:$L$300,"Закрыт"),8)))</f>
        <v/>
      </c>
      <c r="I271" s="236">
        <f>IF(AND(ISNUMBER(G271),ISNUMBER(H271)),IF(AND(G271&gt;0,H271&lt;0),"Buy",IF(AND(G271&lt;0,H271&gt;0),"Sell","")),"")</f>
        <v/>
      </c>
      <c r="J271" s="177">
        <f>IF(I271="Buy",G271,IF(I271="Sell",-G271,""))</f>
        <v/>
      </c>
      <c r="K271" s="177">
        <f>IF(AND(ISNUMBER(J271),ISNUMBER(L271),N(J271)&lt;&gt;0),ROUND(L271/J271,8),"")</f>
        <v/>
      </c>
      <c r="L271" s="177">
        <f>IF(I271="Buy",-H271,IF(I271="Sell",H271,""))</f>
        <v/>
      </c>
    </row>
    <row r="272" ht="22" customHeight="1">
      <c r="B272" s="320" t="n"/>
      <c r="C272" s="246">
        <f>IF($B272="","",IF(COUNTIFS(Пул!$E$5:$E$300,$B272,Пул!$F$5:$F$300,"&lt;&gt;")=0,"",ROUND(SUMIFS(Пул!$F$5:$F$300,Пул!$E$5:$E$300,$B272),8)))</f>
        <v/>
      </c>
      <c r="D272" s="247">
        <f>IF($B272="","",IF(COUNTIFS(Пул!$E$5:$E$300,$B272,Пул!$G$5:$G$300,"&lt;&gt;")=0,"",ROUND(SUMIFS(Пул!$G$5:$G$300,Пул!$E$5:$E$300,$B272),8)))</f>
        <v/>
      </c>
      <c r="E272" s="246">
        <f>IF($B272="","",IF(COUNTIFS(Пул!$E$5:$E$300,$B272,Пул!$L$5:$L$300,"Закрыт")=0,"",ROUND(SUMIFS(Пул!$H$5:$H$300,Пул!$E$5:$E$300,$B272,Пул!$L$5:$L$300,"Закрыт"),8)))</f>
        <v/>
      </c>
      <c r="F272" s="247">
        <f>IF($B272="","",IF(COUNTIFS(Пул!$E$5:$E$300,$B272,Пул!$L$5:$L$300,"Закрыт")=0,"",ROUND(SUMIFS(Пул!$I$5:$I$300,Пул!$E$5:$E$300,$B272,Пул!$L$5:$L$300,"Закрыт"),8)))</f>
        <v/>
      </c>
      <c r="G272" s="246">
        <f>IF($B272="","",IF(COUNTIFS(Пул!$E$5:$E$300,$B272,Пул!$L$5:$L$300,"Закрыт")=0,"",ROUND(SUMIFS(Пул!$J$5:$J$300,Пул!$E$5:$E$300,$B272,Пул!$L$5:$L$300,"Закрыт"),8)))</f>
        <v/>
      </c>
      <c r="H272" s="247">
        <f>IF($B272="","",IF(COUNTIFS(Пул!$E$5:$E$300,$B272,Пул!$L$5:$L$300,"Закрыт")=0,"",ROUND(SUMIFS(Пул!$K$5:$K$300,Пул!$E$5:$E$300,$B272,Пул!$L$5:$L$300,"Закрыт"),8)))</f>
        <v/>
      </c>
      <c r="I272" s="242">
        <f>IF(AND(ISNUMBER(G272),ISNUMBER(H272)),IF(AND(G272&gt;0,H272&lt;0),"Buy",IF(AND(G272&lt;0,H272&gt;0),"Sell","")),"")</f>
        <v/>
      </c>
      <c r="J272" s="183">
        <f>IF(I272="Buy",G272,IF(I272="Sell",-G272,""))</f>
        <v/>
      </c>
      <c r="K272" s="183">
        <f>IF(AND(ISNUMBER(J272),ISNUMBER(L272),N(J272)&lt;&gt;0),ROUND(L272/J272,8),"")</f>
        <v/>
      </c>
      <c r="L272" s="183">
        <f>IF(I272="Buy",-H272,IF(I272="Sell",H272,""))</f>
        <v/>
      </c>
    </row>
    <row r="273" ht="22" customHeight="1">
      <c r="B273" s="315" t="n"/>
      <c r="C273" s="240">
        <f>IF($B273="","",IF(COUNTIFS(Пул!$E$5:$E$300,$B273,Пул!$F$5:$F$300,"&lt;&gt;")=0,"",ROUND(SUMIFS(Пул!$F$5:$F$300,Пул!$E$5:$E$300,$B273),8)))</f>
        <v/>
      </c>
      <c r="D273" s="241">
        <f>IF($B273="","",IF(COUNTIFS(Пул!$E$5:$E$300,$B273,Пул!$G$5:$G$300,"&lt;&gt;")=0,"",ROUND(SUMIFS(Пул!$G$5:$G$300,Пул!$E$5:$E$300,$B273),8)))</f>
        <v/>
      </c>
      <c r="E273" s="240">
        <f>IF($B273="","",IF(COUNTIFS(Пул!$E$5:$E$300,$B273,Пул!$L$5:$L$300,"Закрыт")=0,"",ROUND(SUMIFS(Пул!$H$5:$H$300,Пул!$E$5:$E$300,$B273,Пул!$L$5:$L$300,"Закрыт"),8)))</f>
        <v/>
      </c>
      <c r="F273" s="241">
        <f>IF($B273="","",IF(COUNTIFS(Пул!$E$5:$E$300,$B273,Пул!$L$5:$L$300,"Закрыт")=0,"",ROUND(SUMIFS(Пул!$I$5:$I$300,Пул!$E$5:$E$300,$B273,Пул!$L$5:$L$300,"Закрыт"),8)))</f>
        <v/>
      </c>
      <c r="G273" s="240">
        <f>IF($B273="","",IF(COUNTIFS(Пул!$E$5:$E$300,$B273,Пул!$L$5:$L$300,"Закрыт")=0,"",ROUND(SUMIFS(Пул!$J$5:$J$300,Пул!$E$5:$E$300,$B273,Пул!$L$5:$L$300,"Закрыт"),8)))</f>
        <v/>
      </c>
      <c r="H273" s="241">
        <f>IF($B273="","",IF(COUNTIFS(Пул!$E$5:$E$300,$B273,Пул!$L$5:$L$300,"Закрыт")=0,"",ROUND(SUMIFS(Пул!$K$5:$K$300,Пул!$E$5:$E$300,$B273,Пул!$L$5:$L$300,"Закрыт"),8)))</f>
        <v/>
      </c>
      <c r="I273" s="236">
        <f>IF(AND(ISNUMBER(G273),ISNUMBER(H273)),IF(AND(G273&gt;0,H273&lt;0),"Buy",IF(AND(G273&lt;0,H273&gt;0),"Sell","")),"")</f>
        <v/>
      </c>
      <c r="J273" s="177">
        <f>IF(I273="Buy",G273,IF(I273="Sell",-G273,""))</f>
        <v/>
      </c>
      <c r="K273" s="177">
        <f>IF(AND(ISNUMBER(J273),ISNUMBER(L273),N(J273)&lt;&gt;0),ROUND(L273/J273,8),"")</f>
        <v/>
      </c>
      <c r="L273" s="177">
        <f>IF(I273="Buy",-H273,IF(I273="Sell",H273,""))</f>
        <v/>
      </c>
    </row>
    <row r="274" ht="22" customHeight="1">
      <c r="B274" s="320" t="n"/>
      <c r="C274" s="246">
        <f>IF($B274="","",IF(COUNTIFS(Пул!$E$5:$E$300,$B274,Пул!$F$5:$F$300,"&lt;&gt;")=0,"",ROUND(SUMIFS(Пул!$F$5:$F$300,Пул!$E$5:$E$300,$B274),8)))</f>
        <v/>
      </c>
      <c r="D274" s="247">
        <f>IF($B274="","",IF(COUNTIFS(Пул!$E$5:$E$300,$B274,Пул!$G$5:$G$300,"&lt;&gt;")=0,"",ROUND(SUMIFS(Пул!$G$5:$G$300,Пул!$E$5:$E$300,$B274),8)))</f>
        <v/>
      </c>
      <c r="E274" s="246">
        <f>IF($B274="","",IF(COUNTIFS(Пул!$E$5:$E$300,$B274,Пул!$L$5:$L$300,"Закрыт")=0,"",ROUND(SUMIFS(Пул!$H$5:$H$300,Пул!$E$5:$E$300,$B274,Пул!$L$5:$L$300,"Закрыт"),8)))</f>
        <v/>
      </c>
      <c r="F274" s="247">
        <f>IF($B274="","",IF(COUNTIFS(Пул!$E$5:$E$300,$B274,Пул!$L$5:$L$300,"Закрыт")=0,"",ROUND(SUMIFS(Пул!$I$5:$I$300,Пул!$E$5:$E$300,$B274,Пул!$L$5:$L$300,"Закрыт"),8)))</f>
        <v/>
      </c>
      <c r="G274" s="246">
        <f>IF($B274="","",IF(COUNTIFS(Пул!$E$5:$E$300,$B274,Пул!$L$5:$L$300,"Закрыт")=0,"",ROUND(SUMIFS(Пул!$J$5:$J$300,Пул!$E$5:$E$300,$B274,Пул!$L$5:$L$300,"Закрыт"),8)))</f>
        <v/>
      </c>
      <c r="H274" s="247">
        <f>IF($B274="","",IF(COUNTIFS(Пул!$E$5:$E$300,$B274,Пул!$L$5:$L$300,"Закрыт")=0,"",ROUND(SUMIFS(Пул!$K$5:$K$300,Пул!$E$5:$E$300,$B274,Пул!$L$5:$L$300,"Закрыт"),8)))</f>
        <v/>
      </c>
      <c r="I274" s="242">
        <f>IF(AND(ISNUMBER(G274),ISNUMBER(H274)),IF(AND(G274&gt;0,H274&lt;0),"Buy",IF(AND(G274&lt;0,H274&gt;0),"Sell","")),"")</f>
        <v/>
      </c>
      <c r="J274" s="183">
        <f>IF(I274="Buy",G274,IF(I274="Sell",-G274,""))</f>
        <v/>
      </c>
      <c r="K274" s="183">
        <f>IF(AND(ISNUMBER(J274),ISNUMBER(L274),N(J274)&lt;&gt;0),ROUND(L274/J274,8),"")</f>
        <v/>
      </c>
      <c r="L274" s="183">
        <f>IF(I274="Buy",-H274,IF(I274="Sell",H274,""))</f>
        <v/>
      </c>
    </row>
    <row r="275" ht="22" customHeight="1">
      <c r="B275" s="315" t="n"/>
      <c r="C275" s="240">
        <f>IF($B275="","",IF(COUNTIFS(Пул!$E$5:$E$300,$B275,Пул!$F$5:$F$300,"&lt;&gt;")=0,"",ROUND(SUMIFS(Пул!$F$5:$F$300,Пул!$E$5:$E$300,$B275),8)))</f>
        <v/>
      </c>
      <c r="D275" s="241">
        <f>IF($B275="","",IF(COUNTIFS(Пул!$E$5:$E$300,$B275,Пул!$G$5:$G$300,"&lt;&gt;")=0,"",ROUND(SUMIFS(Пул!$G$5:$G$300,Пул!$E$5:$E$300,$B275),8)))</f>
        <v/>
      </c>
      <c r="E275" s="240">
        <f>IF($B275="","",IF(COUNTIFS(Пул!$E$5:$E$300,$B275,Пул!$L$5:$L$300,"Закрыт")=0,"",ROUND(SUMIFS(Пул!$H$5:$H$300,Пул!$E$5:$E$300,$B275,Пул!$L$5:$L$300,"Закрыт"),8)))</f>
        <v/>
      </c>
      <c r="F275" s="241">
        <f>IF($B275="","",IF(COUNTIFS(Пул!$E$5:$E$300,$B275,Пул!$L$5:$L$300,"Закрыт")=0,"",ROUND(SUMIFS(Пул!$I$5:$I$300,Пул!$E$5:$E$300,$B275,Пул!$L$5:$L$300,"Закрыт"),8)))</f>
        <v/>
      </c>
      <c r="G275" s="240">
        <f>IF($B275="","",IF(COUNTIFS(Пул!$E$5:$E$300,$B275,Пул!$L$5:$L$300,"Закрыт")=0,"",ROUND(SUMIFS(Пул!$J$5:$J$300,Пул!$E$5:$E$300,$B275,Пул!$L$5:$L$300,"Закрыт"),8)))</f>
        <v/>
      </c>
      <c r="H275" s="241">
        <f>IF($B275="","",IF(COUNTIFS(Пул!$E$5:$E$300,$B275,Пул!$L$5:$L$300,"Закрыт")=0,"",ROUND(SUMIFS(Пул!$K$5:$K$300,Пул!$E$5:$E$300,$B275,Пул!$L$5:$L$300,"Закрыт"),8)))</f>
        <v/>
      </c>
      <c r="I275" s="236">
        <f>IF(AND(ISNUMBER(G275),ISNUMBER(H275)),IF(AND(G275&gt;0,H275&lt;0),"Buy",IF(AND(G275&lt;0,H275&gt;0),"Sell","")),"")</f>
        <v/>
      </c>
      <c r="J275" s="177">
        <f>IF(I275="Buy",G275,IF(I275="Sell",-G275,""))</f>
        <v/>
      </c>
      <c r="K275" s="177">
        <f>IF(AND(ISNUMBER(J275),ISNUMBER(L275),N(J275)&lt;&gt;0),ROUND(L275/J275,8),"")</f>
        <v/>
      </c>
      <c r="L275" s="177">
        <f>IF(I275="Buy",-H275,IF(I275="Sell",H275,""))</f>
        <v/>
      </c>
    </row>
    <row r="276" ht="22" customHeight="1">
      <c r="B276" s="320" t="n"/>
      <c r="C276" s="246">
        <f>IF($B276="","",IF(COUNTIFS(Пул!$E$5:$E$300,$B276,Пул!$F$5:$F$300,"&lt;&gt;")=0,"",ROUND(SUMIFS(Пул!$F$5:$F$300,Пул!$E$5:$E$300,$B276),8)))</f>
        <v/>
      </c>
      <c r="D276" s="247">
        <f>IF($B276="","",IF(COUNTIFS(Пул!$E$5:$E$300,$B276,Пул!$G$5:$G$300,"&lt;&gt;")=0,"",ROUND(SUMIFS(Пул!$G$5:$G$300,Пул!$E$5:$E$300,$B276),8)))</f>
        <v/>
      </c>
      <c r="E276" s="246">
        <f>IF($B276="","",IF(COUNTIFS(Пул!$E$5:$E$300,$B276,Пул!$L$5:$L$300,"Закрыт")=0,"",ROUND(SUMIFS(Пул!$H$5:$H$300,Пул!$E$5:$E$300,$B276,Пул!$L$5:$L$300,"Закрыт"),8)))</f>
        <v/>
      </c>
      <c r="F276" s="247">
        <f>IF($B276="","",IF(COUNTIFS(Пул!$E$5:$E$300,$B276,Пул!$L$5:$L$300,"Закрыт")=0,"",ROUND(SUMIFS(Пул!$I$5:$I$300,Пул!$E$5:$E$300,$B276,Пул!$L$5:$L$300,"Закрыт"),8)))</f>
        <v/>
      </c>
      <c r="G276" s="246">
        <f>IF($B276="","",IF(COUNTIFS(Пул!$E$5:$E$300,$B276,Пул!$L$5:$L$300,"Закрыт")=0,"",ROUND(SUMIFS(Пул!$J$5:$J$300,Пул!$E$5:$E$300,$B276,Пул!$L$5:$L$300,"Закрыт"),8)))</f>
        <v/>
      </c>
      <c r="H276" s="247">
        <f>IF($B276="","",IF(COUNTIFS(Пул!$E$5:$E$300,$B276,Пул!$L$5:$L$300,"Закрыт")=0,"",ROUND(SUMIFS(Пул!$K$5:$K$300,Пул!$E$5:$E$300,$B276,Пул!$L$5:$L$300,"Закрыт"),8)))</f>
        <v/>
      </c>
      <c r="I276" s="242">
        <f>IF(AND(ISNUMBER(G276),ISNUMBER(H276)),IF(AND(G276&gt;0,H276&lt;0),"Buy",IF(AND(G276&lt;0,H276&gt;0),"Sell","")),"")</f>
        <v/>
      </c>
      <c r="J276" s="183">
        <f>IF(I276="Buy",G276,IF(I276="Sell",-G276,""))</f>
        <v/>
      </c>
      <c r="K276" s="183">
        <f>IF(AND(ISNUMBER(J276),ISNUMBER(L276),N(J276)&lt;&gt;0),ROUND(L276/J276,8),"")</f>
        <v/>
      </c>
      <c r="L276" s="183">
        <f>IF(I276="Buy",-H276,IF(I276="Sell",H276,""))</f>
        <v/>
      </c>
    </row>
    <row r="277" ht="22" customHeight="1">
      <c r="B277" s="315" t="n"/>
      <c r="C277" s="240">
        <f>IF($B277="","",IF(COUNTIFS(Пул!$E$5:$E$300,$B277,Пул!$F$5:$F$300,"&lt;&gt;")=0,"",ROUND(SUMIFS(Пул!$F$5:$F$300,Пул!$E$5:$E$300,$B277),8)))</f>
        <v/>
      </c>
      <c r="D277" s="241">
        <f>IF($B277="","",IF(COUNTIFS(Пул!$E$5:$E$300,$B277,Пул!$G$5:$G$300,"&lt;&gt;")=0,"",ROUND(SUMIFS(Пул!$G$5:$G$300,Пул!$E$5:$E$300,$B277),8)))</f>
        <v/>
      </c>
      <c r="E277" s="240">
        <f>IF($B277="","",IF(COUNTIFS(Пул!$E$5:$E$300,$B277,Пул!$L$5:$L$300,"Закрыт")=0,"",ROUND(SUMIFS(Пул!$H$5:$H$300,Пул!$E$5:$E$300,$B277,Пул!$L$5:$L$300,"Закрыт"),8)))</f>
        <v/>
      </c>
      <c r="F277" s="241">
        <f>IF($B277="","",IF(COUNTIFS(Пул!$E$5:$E$300,$B277,Пул!$L$5:$L$300,"Закрыт")=0,"",ROUND(SUMIFS(Пул!$I$5:$I$300,Пул!$E$5:$E$300,$B277,Пул!$L$5:$L$300,"Закрыт"),8)))</f>
        <v/>
      </c>
      <c r="G277" s="240">
        <f>IF($B277="","",IF(COUNTIFS(Пул!$E$5:$E$300,$B277,Пул!$L$5:$L$300,"Закрыт")=0,"",ROUND(SUMIFS(Пул!$J$5:$J$300,Пул!$E$5:$E$300,$B277,Пул!$L$5:$L$300,"Закрыт"),8)))</f>
        <v/>
      </c>
      <c r="H277" s="241">
        <f>IF($B277="","",IF(COUNTIFS(Пул!$E$5:$E$300,$B277,Пул!$L$5:$L$300,"Закрыт")=0,"",ROUND(SUMIFS(Пул!$K$5:$K$300,Пул!$E$5:$E$300,$B277,Пул!$L$5:$L$300,"Закрыт"),8)))</f>
        <v/>
      </c>
      <c r="I277" s="236">
        <f>IF(AND(ISNUMBER(G277),ISNUMBER(H277)),IF(AND(G277&gt;0,H277&lt;0),"Buy",IF(AND(G277&lt;0,H277&gt;0),"Sell","")),"")</f>
        <v/>
      </c>
      <c r="J277" s="177">
        <f>IF(I277="Buy",G277,IF(I277="Sell",-G277,""))</f>
        <v/>
      </c>
      <c r="K277" s="177">
        <f>IF(AND(ISNUMBER(J277),ISNUMBER(L277),N(J277)&lt;&gt;0),ROUND(L277/J277,8),"")</f>
        <v/>
      </c>
      <c r="L277" s="177">
        <f>IF(I277="Buy",-H277,IF(I277="Sell",H277,""))</f>
        <v/>
      </c>
    </row>
    <row r="278" ht="22" customHeight="1">
      <c r="B278" s="320" t="n"/>
      <c r="C278" s="246">
        <f>IF($B278="","",IF(COUNTIFS(Пул!$E$5:$E$300,$B278,Пул!$F$5:$F$300,"&lt;&gt;")=0,"",ROUND(SUMIFS(Пул!$F$5:$F$300,Пул!$E$5:$E$300,$B278),8)))</f>
        <v/>
      </c>
      <c r="D278" s="247">
        <f>IF($B278="","",IF(COUNTIFS(Пул!$E$5:$E$300,$B278,Пул!$G$5:$G$300,"&lt;&gt;")=0,"",ROUND(SUMIFS(Пул!$G$5:$G$300,Пул!$E$5:$E$300,$B278),8)))</f>
        <v/>
      </c>
      <c r="E278" s="246">
        <f>IF($B278="","",IF(COUNTIFS(Пул!$E$5:$E$300,$B278,Пул!$L$5:$L$300,"Закрыт")=0,"",ROUND(SUMIFS(Пул!$H$5:$H$300,Пул!$E$5:$E$300,$B278,Пул!$L$5:$L$300,"Закрыт"),8)))</f>
        <v/>
      </c>
      <c r="F278" s="247">
        <f>IF($B278="","",IF(COUNTIFS(Пул!$E$5:$E$300,$B278,Пул!$L$5:$L$300,"Закрыт")=0,"",ROUND(SUMIFS(Пул!$I$5:$I$300,Пул!$E$5:$E$300,$B278,Пул!$L$5:$L$300,"Закрыт"),8)))</f>
        <v/>
      </c>
      <c r="G278" s="246">
        <f>IF($B278="","",IF(COUNTIFS(Пул!$E$5:$E$300,$B278,Пул!$L$5:$L$300,"Закрыт")=0,"",ROUND(SUMIFS(Пул!$J$5:$J$300,Пул!$E$5:$E$300,$B278,Пул!$L$5:$L$300,"Закрыт"),8)))</f>
        <v/>
      </c>
      <c r="H278" s="247">
        <f>IF($B278="","",IF(COUNTIFS(Пул!$E$5:$E$300,$B278,Пул!$L$5:$L$300,"Закрыт")=0,"",ROUND(SUMIFS(Пул!$K$5:$K$300,Пул!$E$5:$E$300,$B278,Пул!$L$5:$L$300,"Закрыт"),8)))</f>
        <v/>
      </c>
      <c r="I278" s="242">
        <f>IF(AND(ISNUMBER(G278),ISNUMBER(H278)),IF(AND(G278&gt;0,H278&lt;0),"Buy",IF(AND(G278&lt;0,H278&gt;0),"Sell","")),"")</f>
        <v/>
      </c>
      <c r="J278" s="183">
        <f>IF(I278="Buy",G278,IF(I278="Sell",-G278,""))</f>
        <v/>
      </c>
      <c r="K278" s="183">
        <f>IF(AND(ISNUMBER(J278),ISNUMBER(L278),N(J278)&lt;&gt;0),ROUND(L278/J278,8),"")</f>
        <v/>
      </c>
      <c r="L278" s="183">
        <f>IF(I278="Buy",-H278,IF(I278="Sell",H278,""))</f>
        <v/>
      </c>
    </row>
    <row r="279" ht="22" customHeight="1">
      <c r="B279" s="315" t="n"/>
      <c r="C279" s="240">
        <f>IF($B279="","",IF(COUNTIFS(Пул!$E$5:$E$300,$B279,Пул!$F$5:$F$300,"&lt;&gt;")=0,"",ROUND(SUMIFS(Пул!$F$5:$F$300,Пул!$E$5:$E$300,$B279),8)))</f>
        <v/>
      </c>
      <c r="D279" s="241">
        <f>IF($B279="","",IF(COUNTIFS(Пул!$E$5:$E$300,$B279,Пул!$G$5:$G$300,"&lt;&gt;")=0,"",ROUND(SUMIFS(Пул!$G$5:$G$300,Пул!$E$5:$E$300,$B279),8)))</f>
        <v/>
      </c>
      <c r="E279" s="240">
        <f>IF($B279="","",IF(COUNTIFS(Пул!$E$5:$E$300,$B279,Пул!$L$5:$L$300,"Закрыт")=0,"",ROUND(SUMIFS(Пул!$H$5:$H$300,Пул!$E$5:$E$300,$B279,Пул!$L$5:$L$300,"Закрыт"),8)))</f>
        <v/>
      </c>
      <c r="F279" s="241">
        <f>IF($B279="","",IF(COUNTIFS(Пул!$E$5:$E$300,$B279,Пул!$L$5:$L$300,"Закрыт")=0,"",ROUND(SUMIFS(Пул!$I$5:$I$300,Пул!$E$5:$E$300,$B279,Пул!$L$5:$L$300,"Закрыт"),8)))</f>
        <v/>
      </c>
      <c r="G279" s="240">
        <f>IF($B279="","",IF(COUNTIFS(Пул!$E$5:$E$300,$B279,Пул!$L$5:$L$300,"Закрыт")=0,"",ROUND(SUMIFS(Пул!$J$5:$J$300,Пул!$E$5:$E$300,$B279,Пул!$L$5:$L$300,"Закрыт"),8)))</f>
        <v/>
      </c>
      <c r="H279" s="241">
        <f>IF($B279="","",IF(COUNTIFS(Пул!$E$5:$E$300,$B279,Пул!$L$5:$L$300,"Закрыт")=0,"",ROUND(SUMIFS(Пул!$K$5:$K$300,Пул!$E$5:$E$300,$B279,Пул!$L$5:$L$300,"Закрыт"),8)))</f>
        <v/>
      </c>
      <c r="I279" s="236">
        <f>IF(AND(ISNUMBER(G279),ISNUMBER(H279)),IF(AND(G279&gt;0,H279&lt;0),"Buy",IF(AND(G279&lt;0,H279&gt;0),"Sell","")),"")</f>
        <v/>
      </c>
      <c r="J279" s="177">
        <f>IF(I279="Buy",G279,IF(I279="Sell",-G279,""))</f>
        <v/>
      </c>
      <c r="K279" s="177">
        <f>IF(AND(ISNUMBER(J279),ISNUMBER(L279),N(J279)&lt;&gt;0),ROUND(L279/J279,8),"")</f>
        <v/>
      </c>
      <c r="L279" s="177">
        <f>IF(I279="Buy",-H279,IF(I279="Sell",H279,""))</f>
        <v/>
      </c>
    </row>
    <row r="280" ht="22" customHeight="1">
      <c r="B280" s="320" t="n"/>
      <c r="C280" s="246">
        <f>IF($B280="","",IF(COUNTIFS(Пул!$E$5:$E$300,$B280,Пул!$F$5:$F$300,"&lt;&gt;")=0,"",ROUND(SUMIFS(Пул!$F$5:$F$300,Пул!$E$5:$E$300,$B280),8)))</f>
        <v/>
      </c>
      <c r="D280" s="247">
        <f>IF($B280="","",IF(COUNTIFS(Пул!$E$5:$E$300,$B280,Пул!$G$5:$G$300,"&lt;&gt;")=0,"",ROUND(SUMIFS(Пул!$G$5:$G$300,Пул!$E$5:$E$300,$B280),8)))</f>
        <v/>
      </c>
      <c r="E280" s="246">
        <f>IF($B280="","",IF(COUNTIFS(Пул!$E$5:$E$300,$B280,Пул!$L$5:$L$300,"Закрыт")=0,"",ROUND(SUMIFS(Пул!$H$5:$H$300,Пул!$E$5:$E$300,$B280,Пул!$L$5:$L$300,"Закрыт"),8)))</f>
        <v/>
      </c>
      <c r="F280" s="247">
        <f>IF($B280="","",IF(COUNTIFS(Пул!$E$5:$E$300,$B280,Пул!$L$5:$L$300,"Закрыт")=0,"",ROUND(SUMIFS(Пул!$I$5:$I$300,Пул!$E$5:$E$300,$B280,Пул!$L$5:$L$300,"Закрыт"),8)))</f>
        <v/>
      </c>
      <c r="G280" s="246">
        <f>IF($B280="","",IF(COUNTIFS(Пул!$E$5:$E$300,$B280,Пул!$L$5:$L$300,"Закрыт")=0,"",ROUND(SUMIFS(Пул!$J$5:$J$300,Пул!$E$5:$E$300,$B280,Пул!$L$5:$L$300,"Закрыт"),8)))</f>
        <v/>
      </c>
      <c r="H280" s="247">
        <f>IF($B280="","",IF(COUNTIFS(Пул!$E$5:$E$300,$B280,Пул!$L$5:$L$300,"Закрыт")=0,"",ROUND(SUMIFS(Пул!$K$5:$K$300,Пул!$E$5:$E$300,$B280,Пул!$L$5:$L$300,"Закрыт"),8)))</f>
        <v/>
      </c>
      <c r="I280" s="242">
        <f>IF(AND(ISNUMBER(G280),ISNUMBER(H280)),IF(AND(G280&gt;0,H280&lt;0),"Buy",IF(AND(G280&lt;0,H280&gt;0),"Sell","")),"")</f>
        <v/>
      </c>
      <c r="J280" s="183">
        <f>IF(I280="Buy",G280,IF(I280="Sell",-G280,""))</f>
        <v/>
      </c>
      <c r="K280" s="183">
        <f>IF(AND(ISNUMBER(J280),ISNUMBER(L280),N(J280)&lt;&gt;0),ROUND(L280/J280,8),"")</f>
        <v/>
      </c>
      <c r="L280" s="183">
        <f>IF(I280="Buy",-H280,IF(I280="Sell",H280,""))</f>
        <v/>
      </c>
    </row>
    <row r="281" ht="22" customHeight="1">
      <c r="B281" s="315" t="n"/>
      <c r="C281" s="240">
        <f>IF($B281="","",IF(COUNTIFS(Пул!$E$5:$E$300,$B281,Пул!$F$5:$F$300,"&lt;&gt;")=0,"",ROUND(SUMIFS(Пул!$F$5:$F$300,Пул!$E$5:$E$300,$B281),8)))</f>
        <v/>
      </c>
      <c r="D281" s="241">
        <f>IF($B281="","",IF(COUNTIFS(Пул!$E$5:$E$300,$B281,Пул!$G$5:$G$300,"&lt;&gt;")=0,"",ROUND(SUMIFS(Пул!$G$5:$G$300,Пул!$E$5:$E$300,$B281),8)))</f>
        <v/>
      </c>
      <c r="E281" s="240">
        <f>IF($B281="","",IF(COUNTIFS(Пул!$E$5:$E$300,$B281,Пул!$L$5:$L$300,"Закрыт")=0,"",ROUND(SUMIFS(Пул!$H$5:$H$300,Пул!$E$5:$E$300,$B281,Пул!$L$5:$L$300,"Закрыт"),8)))</f>
        <v/>
      </c>
      <c r="F281" s="241">
        <f>IF($B281="","",IF(COUNTIFS(Пул!$E$5:$E$300,$B281,Пул!$L$5:$L$300,"Закрыт")=0,"",ROUND(SUMIFS(Пул!$I$5:$I$300,Пул!$E$5:$E$300,$B281,Пул!$L$5:$L$300,"Закрыт"),8)))</f>
        <v/>
      </c>
      <c r="G281" s="240">
        <f>IF($B281="","",IF(COUNTIFS(Пул!$E$5:$E$300,$B281,Пул!$L$5:$L$300,"Закрыт")=0,"",ROUND(SUMIFS(Пул!$J$5:$J$300,Пул!$E$5:$E$300,$B281,Пул!$L$5:$L$300,"Закрыт"),8)))</f>
        <v/>
      </c>
      <c r="H281" s="241">
        <f>IF($B281="","",IF(COUNTIFS(Пул!$E$5:$E$300,$B281,Пул!$L$5:$L$300,"Закрыт")=0,"",ROUND(SUMIFS(Пул!$K$5:$K$300,Пул!$E$5:$E$300,$B281,Пул!$L$5:$L$300,"Закрыт"),8)))</f>
        <v/>
      </c>
      <c r="I281" s="236">
        <f>IF(AND(ISNUMBER(G281),ISNUMBER(H281)),IF(AND(G281&gt;0,H281&lt;0),"Buy",IF(AND(G281&lt;0,H281&gt;0),"Sell","")),"")</f>
        <v/>
      </c>
      <c r="J281" s="177">
        <f>IF(I281="Buy",G281,IF(I281="Sell",-G281,""))</f>
        <v/>
      </c>
      <c r="K281" s="177">
        <f>IF(AND(ISNUMBER(J281),ISNUMBER(L281),N(J281)&lt;&gt;0),ROUND(L281/J281,8),"")</f>
        <v/>
      </c>
      <c r="L281" s="177">
        <f>IF(I281="Buy",-H281,IF(I281="Sell",H281,""))</f>
        <v/>
      </c>
    </row>
    <row r="282" ht="22" customHeight="1">
      <c r="B282" s="320" t="n"/>
      <c r="C282" s="246">
        <f>IF($B282="","",IF(COUNTIFS(Пул!$E$5:$E$300,$B282,Пул!$F$5:$F$300,"&lt;&gt;")=0,"",ROUND(SUMIFS(Пул!$F$5:$F$300,Пул!$E$5:$E$300,$B282),8)))</f>
        <v/>
      </c>
      <c r="D282" s="247">
        <f>IF($B282="","",IF(COUNTIFS(Пул!$E$5:$E$300,$B282,Пул!$G$5:$G$300,"&lt;&gt;")=0,"",ROUND(SUMIFS(Пул!$G$5:$G$300,Пул!$E$5:$E$300,$B282),8)))</f>
        <v/>
      </c>
      <c r="E282" s="246">
        <f>IF($B282="","",IF(COUNTIFS(Пул!$E$5:$E$300,$B282,Пул!$L$5:$L$300,"Закрыт")=0,"",ROUND(SUMIFS(Пул!$H$5:$H$300,Пул!$E$5:$E$300,$B282,Пул!$L$5:$L$300,"Закрыт"),8)))</f>
        <v/>
      </c>
      <c r="F282" s="247">
        <f>IF($B282="","",IF(COUNTIFS(Пул!$E$5:$E$300,$B282,Пул!$L$5:$L$300,"Закрыт")=0,"",ROUND(SUMIFS(Пул!$I$5:$I$300,Пул!$E$5:$E$300,$B282,Пул!$L$5:$L$300,"Закрыт"),8)))</f>
        <v/>
      </c>
      <c r="G282" s="246">
        <f>IF($B282="","",IF(COUNTIFS(Пул!$E$5:$E$300,$B282,Пул!$L$5:$L$300,"Закрыт")=0,"",ROUND(SUMIFS(Пул!$J$5:$J$300,Пул!$E$5:$E$300,$B282,Пул!$L$5:$L$300,"Закрыт"),8)))</f>
        <v/>
      </c>
      <c r="H282" s="247">
        <f>IF($B282="","",IF(COUNTIFS(Пул!$E$5:$E$300,$B282,Пул!$L$5:$L$300,"Закрыт")=0,"",ROUND(SUMIFS(Пул!$K$5:$K$300,Пул!$E$5:$E$300,$B282,Пул!$L$5:$L$300,"Закрыт"),8)))</f>
        <v/>
      </c>
      <c r="I282" s="242">
        <f>IF(AND(ISNUMBER(G282),ISNUMBER(H282)),IF(AND(G282&gt;0,H282&lt;0),"Buy",IF(AND(G282&lt;0,H282&gt;0),"Sell","")),"")</f>
        <v/>
      </c>
      <c r="J282" s="183">
        <f>IF(I282="Buy",G282,IF(I282="Sell",-G282,""))</f>
        <v/>
      </c>
      <c r="K282" s="183">
        <f>IF(AND(ISNUMBER(J282),ISNUMBER(L282),N(J282)&lt;&gt;0),ROUND(L282/J282,8),"")</f>
        <v/>
      </c>
      <c r="L282" s="183">
        <f>IF(I282="Buy",-H282,IF(I282="Sell",H282,""))</f>
        <v/>
      </c>
    </row>
    <row r="283" ht="22" customHeight="1">
      <c r="B283" s="315" t="n"/>
      <c r="C283" s="240">
        <f>IF($B283="","",IF(COUNTIFS(Пул!$E$5:$E$300,$B283,Пул!$F$5:$F$300,"&lt;&gt;")=0,"",ROUND(SUMIFS(Пул!$F$5:$F$300,Пул!$E$5:$E$300,$B283),8)))</f>
        <v/>
      </c>
      <c r="D283" s="241">
        <f>IF($B283="","",IF(COUNTIFS(Пул!$E$5:$E$300,$B283,Пул!$G$5:$G$300,"&lt;&gt;")=0,"",ROUND(SUMIFS(Пул!$G$5:$G$300,Пул!$E$5:$E$300,$B283),8)))</f>
        <v/>
      </c>
      <c r="E283" s="240">
        <f>IF($B283="","",IF(COUNTIFS(Пул!$E$5:$E$300,$B283,Пул!$L$5:$L$300,"Закрыт")=0,"",ROUND(SUMIFS(Пул!$H$5:$H$300,Пул!$E$5:$E$300,$B283,Пул!$L$5:$L$300,"Закрыт"),8)))</f>
        <v/>
      </c>
      <c r="F283" s="241">
        <f>IF($B283="","",IF(COUNTIFS(Пул!$E$5:$E$300,$B283,Пул!$L$5:$L$300,"Закрыт")=0,"",ROUND(SUMIFS(Пул!$I$5:$I$300,Пул!$E$5:$E$300,$B283,Пул!$L$5:$L$300,"Закрыт"),8)))</f>
        <v/>
      </c>
      <c r="G283" s="240">
        <f>IF($B283="","",IF(COUNTIFS(Пул!$E$5:$E$300,$B283,Пул!$L$5:$L$300,"Закрыт")=0,"",ROUND(SUMIFS(Пул!$J$5:$J$300,Пул!$E$5:$E$300,$B283,Пул!$L$5:$L$300,"Закрыт"),8)))</f>
        <v/>
      </c>
      <c r="H283" s="241">
        <f>IF($B283="","",IF(COUNTIFS(Пул!$E$5:$E$300,$B283,Пул!$L$5:$L$300,"Закрыт")=0,"",ROUND(SUMIFS(Пул!$K$5:$K$300,Пул!$E$5:$E$300,$B283,Пул!$L$5:$L$300,"Закрыт"),8)))</f>
        <v/>
      </c>
      <c r="I283" s="236">
        <f>IF(AND(ISNUMBER(G283),ISNUMBER(H283)),IF(AND(G283&gt;0,H283&lt;0),"Buy",IF(AND(G283&lt;0,H283&gt;0),"Sell","")),"")</f>
        <v/>
      </c>
      <c r="J283" s="177">
        <f>IF(I283="Buy",G283,IF(I283="Sell",-G283,""))</f>
        <v/>
      </c>
      <c r="K283" s="177">
        <f>IF(AND(ISNUMBER(J283),ISNUMBER(L283),N(J283)&lt;&gt;0),ROUND(L283/J283,8),"")</f>
        <v/>
      </c>
      <c r="L283" s="177">
        <f>IF(I283="Buy",-H283,IF(I283="Sell",H283,""))</f>
        <v/>
      </c>
    </row>
    <row r="284" ht="22" customHeight="1">
      <c r="B284" s="320" t="n"/>
      <c r="C284" s="246">
        <f>IF($B284="","",IF(COUNTIFS(Пул!$E$5:$E$300,$B284,Пул!$F$5:$F$300,"&lt;&gt;")=0,"",ROUND(SUMIFS(Пул!$F$5:$F$300,Пул!$E$5:$E$300,$B284),8)))</f>
        <v/>
      </c>
      <c r="D284" s="247">
        <f>IF($B284="","",IF(COUNTIFS(Пул!$E$5:$E$300,$B284,Пул!$G$5:$G$300,"&lt;&gt;")=0,"",ROUND(SUMIFS(Пул!$G$5:$G$300,Пул!$E$5:$E$300,$B284),8)))</f>
        <v/>
      </c>
      <c r="E284" s="246">
        <f>IF($B284="","",IF(COUNTIFS(Пул!$E$5:$E$300,$B284,Пул!$L$5:$L$300,"Закрыт")=0,"",ROUND(SUMIFS(Пул!$H$5:$H$300,Пул!$E$5:$E$300,$B284,Пул!$L$5:$L$300,"Закрыт"),8)))</f>
        <v/>
      </c>
      <c r="F284" s="247">
        <f>IF($B284="","",IF(COUNTIFS(Пул!$E$5:$E$300,$B284,Пул!$L$5:$L$300,"Закрыт")=0,"",ROUND(SUMIFS(Пул!$I$5:$I$300,Пул!$E$5:$E$300,$B284,Пул!$L$5:$L$300,"Закрыт"),8)))</f>
        <v/>
      </c>
      <c r="G284" s="246">
        <f>IF($B284="","",IF(COUNTIFS(Пул!$E$5:$E$300,$B284,Пул!$L$5:$L$300,"Закрыт")=0,"",ROUND(SUMIFS(Пул!$J$5:$J$300,Пул!$E$5:$E$300,$B284,Пул!$L$5:$L$300,"Закрыт"),8)))</f>
        <v/>
      </c>
      <c r="H284" s="247">
        <f>IF($B284="","",IF(COUNTIFS(Пул!$E$5:$E$300,$B284,Пул!$L$5:$L$300,"Закрыт")=0,"",ROUND(SUMIFS(Пул!$K$5:$K$300,Пул!$E$5:$E$300,$B284,Пул!$L$5:$L$300,"Закрыт"),8)))</f>
        <v/>
      </c>
      <c r="I284" s="242">
        <f>IF(AND(ISNUMBER(G284),ISNUMBER(H284)),IF(AND(G284&gt;0,H284&lt;0),"Buy",IF(AND(G284&lt;0,H284&gt;0),"Sell","")),"")</f>
        <v/>
      </c>
      <c r="J284" s="183">
        <f>IF(I284="Buy",G284,IF(I284="Sell",-G284,""))</f>
        <v/>
      </c>
      <c r="K284" s="183">
        <f>IF(AND(ISNUMBER(J284),ISNUMBER(L284),N(J284)&lt;&gt;0),ROUND(L284/J284,8),"")</f>
        <v/>
      </c>
      <c r="L284" s="183">
        <f>IF(I284="Buy",-H284,IF(I284="Sell",H284,""))</f>
        <v/>
      </c>
    </row>
    <row r="285" ht="22" customHeight="1">
      <c r="B285" s="315" t="n"/>
      <c r="C285" s="240">
        <f>IF($B285="","",IF(COUNTIFS(Пул!$E$5:$E$300,$B285,Пул!$F$5:$F$300,"&lt;&gt;")=0,"",ROUND(SUMIFS(Пул!$F$5:$F$300,Пул!$E$5:$E$300,$B285),8)))</f>
        <v/>
      </c>
      <c r="D285" s="241">
        <f>IF($B285="","",IF(COUNTIFS(Пул!$E$5:$E$300,$B285,Пул!$G$5:$G$300,"&lt;&gt;")=0,"",ROUND(SUMIFS(Пул!$G$5:$G$300,Пул!$E$5:$E$300,$B285),8)))</f>
        <v/>
      </c>
      <c r="E285" s="240">
        <f>IF($B285="","",IF(COUNTIFS(Пул!$E$5:$E$300,$B285,Пул!$L$5:$L$300,"Закрыт")=0,"",ROUND(SUMIFS(Пул!$H$5:$H$300,Пул!$E$5:$E$300,$B285,Пул!$L$5:$L$300,"Закрыт"),8)))</f>
        <v/>
      </c>
      <c r="F285" s="241">
        <f>IF($B285="","",IF(COUNTIFS(Пул!$E$5:$E$300,$B285,Пул!$L$5:$L$300,"Закрыт")=0,"",ROUND(SUMIFS(Пул!$I$5:$I$300,Пул!$E$5:$E$300,$B285,Пул!$L$5:$L$300,"Закрыт"),8)))</f>
        <v/>
      </c>
      <c r="G285" s="240">
        <f>IF($B285="","",IF(COUNTIFS(Пул!$E$5:$E$300,$B285,Пул!$L$5:$L$300,"Закрыт")=0,"",ROUND(SUMIFS(Пул!$J$5:$J$300,Пул!$E$5:$E$300,$B285,Пул!$L$5:$L$300,"Закрыт"),8)))</f>
        <v/>
      </c>
      <c r="H285" s="241">
        <f>IF($B285="","",IF(COUNTIFS(Пул!$E$5:$E$300,$B285,Пул!$L$5:$L$300,"Закрыт")=0,"",ROUND(SUMIFS(Пул!$K$5:$K$300,Пул!$E$5:$E$300,$B285,Пул!$L$5:$L$300,"Закрыт"),8)))</f>
        <v/>
      </c>
      <c r="I285" s="236">
        <f>IF(AND(ISNUMBER(G285),ISNUMBER(H285)),IF(AND(G285&gt;0,H285&lt;0),"Buy",IF(AND(G285&lt;0,H285&gt;0),"Sell","")),"")</f>
        <v/>
      </c>
      <c r="J285" s="177">
        <f>IF(I285="Buy",G285,IF(I285="Sell",-G285,""))</f>
        <v/>
      </c>
      <c r="K285" s="177">
        <f>IF(AND(ISNUMBER(J285),ISNUMBER(L285),N(J285)&lt;&gt;0),ROUND(L285/J285,8),"")</f>
        <v/>
      </c>
      <c r="L285" s="177">
        <f>IF(I285="Buy",-H285,IF(I285="Sell",H285,""))</f>
        <v/>
      </c>
    </row>
    <row r="286" ht="22" customHeight="1">
      <c r="B286" s="320" t="n"/>
      <c r="C286" s="246">
        <f>IF($B286="","",IF(COUNTIFS(Пул!$E$5:$E$300,$B286,Пул!$F$5:$F$300,"&lt;&gt;")=0,"",ROUND(SUMIFS(Пул!$F$5:$F$300,Пул!$E$5:$E$300,$B286),8)))</f>
        <v/>
      </c>
      <c r="D286" s="247">
        <f>IF($B286="","",IF(COUNTIFS(Пул!$E$5:$E$300,$B286,Пул!$G$5:$G$300,"&lt;&gt;")=0,"",ROUND(SUMIFS(Пул!$G$5:$G$300,Пул!$E$5:$E$300,$B286),8)))</f>
        <v/>
      </c>
      <c r="E286" s="246">
        <f>IF($B286="","",IF(COUNTIFS(Пул!$E$5:$E$300,$B286,Пул!$L$5:$L$300,"Закрыт")=0,"",ROUND(SUMIFS(Пул!$H$5:$H$300,Пул!$E$5:$E$300,$B286,Пул!$L$5:$L$300,"Закрыт"),8)))</f>
        <v/>
      </c>
      <c r="F286" s="247">
        <f>IF($B286="","",IF(COUNTIFS(Пул!$E$5:$E$300,$B286,Пул!$L$5:$L$300,"Закрыт")=0,"",ROUND(SUMIFS(Пул!$I$5:$I$300,Пул!$E$5:$E$300,$B286,Пул!$L$5:$L$300,"Закрыт"),8)))</f>
        <v/>
      </c>
      <c r="G286" s="246">
        <f>IF($B286="","",IF(COUNTIFS(Пул!$E$5:$E$300,$B286,Пул!$L$5:$L$300,"Закрыт")=0,"",ROUND(SUMIFS(Пул!$J$5:$J$300,Пул!$E$5:$E$300,$B286,Пул!$L$5:$L$300,"Закрыт"),8)))</f>
        <v/>
      </c>
      <c r="H286" s="247">
        <f>IF($B286="","",IF(COUNTIFS(Пул!$E$5:$E$300,$B286,Пул!$L$5:$L$300,"Закрыт")=0,"",ROUND(SUMIFS(Пул!$K$5:$K$300,Пул!$E$5:$E$300,$B286,Пул!$L$5:$L$300,"Закрыт"),8)))</f>
        <v/>
      </c>
      <c r="I286" s="242">
        <f>IF(AND(ISNUMBER(G286),ISNUMBER(H286)),IF(AND(G286&gt;0,H286&lt;0),"Buy",IF(AND(G286&lt;0,H286&gt;0),"Sell","")),"")</f>
        <v/>
      </c>
      <c r="J286" s="183">
        <f>IF(I286="Buy",G286,IF(I286="Sell",-G286,""))</f>
        <v/>
      </c>
      <c r="K286" s="183">
        <f>IF(AND(ISNUMBER(J286),ISNUMBER(L286),N(J286)&lt;&gt;0),ROUND(L286/J286,8),"")</f>
        <v/>
      </c>
      <c r="L286" s="183">
        <f>IF(I286="Buy",-H286,IF(I286="Sell",H286,""))</f>
        <v/>
      </c>
    </row>
    <row r="287" ht="22" customHeight="1">
      <c r="B287" s="315" t="n"/>
      <c r="C287" s="240">
        <f>IF($B287="","",IF(COUNTIFS(Пул!$E$5:$E$300,$B287,Пул!$F$5:$F$300,"&lt;&gt;")=0,"",ROUND(SUMIFS(Пул!$F$5:$F$300,Пул!$E$5:$E$300,$B287),8)))</f>
        <v/>
      </c>
      <c r="D287" s="241">
        <f>IF($B287="","",IF(COUNTIFS(Пул!$E$5:$E$300,$B287,Пул!$G$5:$G$300,"&lt;&gt;")=0,"",ROUND(SUMIFS(Пул!$G$5:$G$300,Пул!$E$5:$E$300,$B287),8)))</f>
        <v/>
      </c>
      <c r="E287" s="240">
        <f>IF($B287="","",IF(COUNTIFS(Пул!$E$5:$E$300,$B287,Пул!$L$5:$L$300,"Закрыт")=0,"",ROUND(SUMIFS(Пул!$H$5:$H$300,Пул!$E$5:$E$300,$B287,Пул!$L$5:$L$300,"Закрыт"),8)))</f>
        <v/>
      </c>
      <c r="F287" s="241">
        <f>IF($B287="","",IF(COUNTIFS(Пул!$E$5:$E$300,$B287,Пул!$L$5:$L$300,"Закрыт")=0,"",ROUND(SUMIFS(Пул!$I$5:$I$300,Пул!$E$5:$E$300,$B287,Пул!$L$5:$L$300,"Закрыт"),8)))</f>
        <v/>
      </c>
      <c r="G287" s="240">
        <f>IF($B287="","",IF(COUNTIFS(Пул!$E$5:$E$300,$B287,Пул!$L$5:$L$300,"Закрыт")=0,"",ROUND(SUMIFS(Пул!$J$5:$J$300,Пул!$E$5:$E$300,$B287,Пул!$L$5:$L$300,"Закрыт"),8)))</f>
        <v/>
      </c>
      <c r="H287" s="241">
        <f>IF($B287="","",IF(COUNTIFS(Пул!$E$5:$E$300,$B287,Пул!$L$5:$L$300,"Закрыт")=0,"",ROUND(SUMIFS(Пул!$K$5:$K$300,Пул!$E$5:$E$300,$B287,Пул!$L$5:$L$300,"Закрыт"),8)))</f>
        <v/>
      </c>
      <c r="I287" s="236">
        <f>IF(AND(ISNUMBER(G287),ISNUMBER(H287)),IF(AND(G287&gt;0,H287&lt;0),"Buy",IF(AND(G287&lt;0,H287&gt;0),"Sell","")),"")</f>
        <v/>
      </c>
      <c r="J287" s="177">
        <f>IF(I287="Buy",G287,IF(I287="Sell",-G287,""))</f>
        <v/>
      </c>
      <c r="K287" s="177">
        <f>IF(AND(ISNUMBER(J287),ISNUMBER(L287),N(J287)&lt;&gt;0),ROUND(L287/J287,8),"")</f>
        <v/>
      </c>
      <c r="L287" s="177">
        <f>IF(I287="Buy",-H287,IF(I287="Sell",H287,""))</f>
        <v/>
      </c>
    </row>
    <row r="288" ht="22" customHeight="1">
      <c r="B288" s="320" t="n"/>
      <c r="C288" s="246">
        <f>IF($B288="","",IF(COUNTIFS(Пул!$E$5:$E$300,$B288,Пул!$F$5:$F$300,"&lt;&gt;")=0,"",ROUND(SUMIFS(Пул!$F$5:$F$300,Пул!$E$5:$E$300,$B288),8)))</f>
        <v/>
      </c>
      <c r="D288" s="247">
        <f>IF($B288="","",IF(COUNTIFS(Пул!$E$5:$E$300,$B288,Пул!$G$5:$G$300,"&lt;&gt;")=0,"",ROUND(SUMIFS(Пул!$G$5:$G$300,Пул!$E$5:$E$300,$B288),8)))</f>
        <v/>
      </c>
      <c r="E288" s="246">
        <f>IF($B288="","",IF(COUNTIFS(Пул!$E$5:$E$300,$B288,Пул!$L$5:$L$300,"Закрыт")=0,"",ROUND(SUMIFS(Пул!$H$5:$H$300,Пул!$E$5:$E$300,$B288,Пул!$L$5:$L$300,"Закрыт"),8)))</f>
        <v/>
      </c>
      <c r="F288" s="247">
        <f>IF($B288="","",IF(COUNTIFS(Пул!$E$5:$E$300,$B288,Пул!$L$5:$L$300,"Закрыт")=0,"",ROUND(SUMIFS(Пул!$I$5:$I$300,Пул!$E$5:$E$300,$B288,Пул!$L$5:$L$300,"Закрыт"),8)))</f>
        <v/>
      </c>
      <c r="G288" s="246">
        <f>IF($B288="","",IF(COUNTIFS(Пул!$E$5:$E$300,$B288,Пул!$L$5:$L$300,"Закрыт")=0,"",ROUND(SUMIFS(Пул!$J$5:$J$300,Пул!$E$5:$E$300,$B288,Пул!$L$5:$L$300,"Закрыт"),8)))</f>
        <v/>
      </c>
      <c r="H288" s="247">
        <f>IF($B288="","",IF(COUNTIFS(Пул!$E$5:$E$300,$B288,Пул!$L$5:$L$300,"Закрыт")=0,"",ROUND(SUMIFS(Пул!$K$5:$K$300,Пул!$E$5:$E$300,$B288,Пул!$L$5:$L$300,"Закрыт"),8)))</f>
        <v/>
      </c>
      <c r="I288" s="242">
        <f>IF(AND(ISNUMBER(G288),ISNUMBER(H288)),IF(AND(G288&gt;0,H288&lt;0),"Buy",IF(AND(G288&lt;0,H288&gt;0),"Sell","")),"")</f>
        <v/>
      </c>
      <c r="J288" s="183">
        <f>IF(I288="Buy",G288,IF(I288="Sell",-G288,""))</f>
        <v/>
      </c>
      <c r="K288" s="183">
        <f>IF(AND(ISNUMBER(J288),ISNUMBER(L288),N(J288)&lt;&gt;0),ROUND(L288/J288,8),"")</f>
        <v/>
      </c>
      <c r="L288" s="183">
        <f>IF(I288="Buy",-H288,IF(I288="Sell",H288,""))</f>
        <v/>
      </c>
    </row>
    <row r="289" ht="22" customHeight="1">
      <c r="B289" s="315" t="n"/>
      <c r="C289" s="240">
        <f>IF($B289="","",IF(COUNTIFS(Пул!$E$5:$E$300,$B289,Пул!$F$5:$F$300,"&lt;&gt;")=0,"",ROUND(SUMIFS(Пул!$F$5:$F$300,Пул!$E$5:$E$300,$B289),8)))</f>
        <v/>
      </c>
      <c r="D289" s="241">
        <f>IF($B289="","",IF(COUNTIFS(Пул!$E$5:$E$300,$B289,Пул!$G$5:$G$300,"&lt;&gt;")=0,"",ROUND(SUMIFS(Пул!$G$5:$G$300,Пул!$E$5:$E$300,$B289),8)))</f>
        <v/>
      </c>
      <c r="E289" s="240">
        <f>IF($B289="","",IF(COUNTIFS(Пул!$E$5:$E$300,$B289,Пул!$L$5:$L$300,"Закрыт")=0,"",ROUND(SUMIFS(Пул!$H$5:$H$300,Пул!$E$5:$E$300,$B289,Пул!$L$5:$L$300,"Закрыт"),8)))</f>
        <v/>
      </c>
      <c r="F289" s="241">
        <f>IF($B289="","",IF(COUNTIFS(Пул!$E$5:$E$300,$B289,Пул!$L$5:$L$300,"Закрыт")=0,"",ROUND(SUMIFS(Пул!$I$5:$I$300,Пул!$E$5:$E$300,$B289,Пул!$L$5:$L$300,"Закрыт"),8)))</f>
        <v/>
      </c>
      <c r="G289" s="240">
        <f>IF($B289="","",IF(COUNTIFS(Пул!$E$5:$E$300,$B289,Пул!$L$5:$L$300,"Закрыт")=0,"",ROUND(SUMIFS(Пул!$J$5:$J$300,Пул!$E$5:$E$300,$B289,Пул!$L$5:$L$300,"Закрыт"),8)))</f>
        <v/>
      </c>
      <c r="H289" s="241">
        <f>IF($B289="","",IF(COUNTIFS(Пул!$E$5:$E$300,$B289,Пул!$L$5:$L$300,"Закрыт")=0,"",ROUND(SUMIFS(Пул!$K$5:$K$300,Пул!$E$5:$E$300,$B289,Пул!$L$5:$L$300,"Закрыт"),8)))</f>
        <v/>
      </c>
      <c r="I289" s="236">
        <f>IF(AND(ISNUMBER(G289),ISNUMBER(H289)),IF(AND(G289&gt;0,H289&lt;0),"Buy",IF(AND(G289&lt;0,H289&gt;0),"Sell","")),"")</f>
        <v/>
      </c>
      <c r="J289" s="177">
        <f>IF(I289="Buy",G289,IF(I289="Sell",-G289,""))</f>
        <v/>
      </c>
      <c r="K289" s="177">
        <f>IF(AND(ISNUMBER(J289),ISNUMBER(L289),N(J289)&lt;&gt;0),ROUND(L289/J289,8),"")</f>
        <v/>
      </c>
      <c r="L289" s="177">
        <f>IF(I289="Buy",-H289,IF(I289="Sell",H289,""))</f>
        <v/>
      </c>
    </row>
    <row r="290" ht="22" customHeight="1">
      <c r="B290" s="320" t="n"/>
      <c r="C290" s="246">
        <f>IF($B290="","",IF(COUNTIFS(Пул!$E$5:$E$300,$B290,Пул!$F$5:$F$300,"&lt;&gt;")=0,"",ROUND(SUMIFS(Пул!$F$5:$F$300,Пул!$E$5:$E$300,$B290),8)))</f>
        <v/>
      </c>
      <c r="D290" s="247">
        <f>IF($B290="","",IF(COUNTIFS(Пул!$E$5:$E$300,$B290,Пул!$G$5:$G$300,"&lt;&gt;")=0,"",ROUND(SUMIFS(Пул!$G$5:$G$300,Пул!$E$5:$E$300,$B290),8)))</f>
        <v/>
      </c>
      <c r="E290" s="246">
        <f>IF($B290="","",IF(COUNTIFS(Пул!$E$5:$E$300,$B290,Пул!$L$5:$L$300,"Закрыт")=0,"",ROUND(SUMIFS(Пул!$H$5:$H$300,Пул!$E$5:$E$300,$B290,Пул!$L$5:$L$300,"Закрыт"),8)))</f>
        <v/>
      </c>
      <c r="F290" s="247">
        <f>IF($B290="","",IF(COUNTIFS(Пул!$E$5:$E$300,$B290,Пул!$L$5:$L$300,"Закрыт")=0,"",ROUND(SUMIFS(Пул!$I$5:$I$300,Пул!$E$5:$E$300,$B290,Пул!$L$5:$L$300,"Закрыт"),8)))</f>
        <v/>
      </c>
      <c r="G290" s="246">
        <f>IF($B290="","",IF(COUNTIFS(Пул!$E$5:$E$300,$B290,Пул!$L$5:$L$300,"Закрыт")=0,"",ROUND(SUMIFS(Пул!$J$5:$J$300,Пул!$E$5:$E$300,$B290,Пул!$L$5:$L$300,"Закрыт"),8)))</f>
        <v/>
      </c>
      <c r="H290" s="247">
        <f>IF($B290="","",IF(COUNTIFS(Пул!$E$5:$E$300,$B290,Пул!$L$5:$L$300,"Закрыт")=0,"",ROUND(SUMIFS(Пул!$K$5:$K$300,Пул!$E$5:$E$300,$B290,Пул!$L$5:$L$300,"Закрыт"),8)))</f>
        <v/>
      </c>
      <c r="I290" s="242">
        <f>IF(AND(ISNUMBER(G290),ISNUMBER(H290)),IF(AND(G290&gt;0,H290&lt;0),"Buy",IF(AND(G290&lt;0,H290&gt;0),"Sell","")),"")</f>
        <v/>
      </c>
      <c r="J290" s="183">
        <f>IF(I290="Buy",G290,IF(I290="Sell",-G290,""))</f>
        <v/>
      </c>
      <c r="K290" s="183">
        <f>IF(AND(ISNUMBER(J290),ISNUMBER(L290),N(J290)&lt;&gt;0),ROUND(L290/J290,8),"")</f>
        <v/>
      </c>
      <c r="L290" s="183">
        <f>IF(I290="Buy",-H290,IF(I290="Sell",H290,""))</f>
        <v/>
      </c>
    </row>
    <row r="291" ht="22" customHeight="1">
      <c r="B291" s="315" t="n"/>
      <c r="C291" s="240">
        <f>IF($B291="","",IF(COUNTIFS(Пул!$E$5:$E$300,$B291,Пул!$F$5:$F$300,"&lt;&gt;")=0,"",ROUND(SUMIFS(Пул!$F$5:$F$300,Пул!$E$5:$E$300,$B291),8)))</f>
        <v/>
      </c>
      <c r="D291" s="241">
        <f>IF($B291="","",IF(COUNTIFS(Пул!$E$5:$E$300,$B291,Пул!$G$5:$G$300,"&lt;&gt;")=0,"",ROUND(SUMIFS(Пул!$G$5:$G$300,Пул!$E$5:$E$300,$B291),8)))</f>
        <v/>
      </c>
      <c r="E291" s="240">
        <f>IF($B291="","",IF(COUNTIFS(Пул!$E$5:$E$300,$B291,Пул!$L$5:$L$300,"Закрыт")=0,"",ROUND(SUMIFS(Пул!$H$5:$H$300,Пул!$E$5:$E$300,$B291,Пул!$L$5:$L$300,"Закрыт"),8)))</f>
        <v/>
      </c>
      <c r="F291" s="241">
        <f>IF($B291="","",IF(COUNTIFS(Пул!$E$5:$E$300,$B291,Пул!$L$5:$L$300,"Закрыт")=0,"",ROUND(SUMIFS(Пул!$I$5:$I$300,Пул!$E$5:$E$300,$B291,Пул!$L$5:$L$300,"Закрыт"),8)))</f>
        <v/>
      </c>
      <c r="G291" s="240">
        <f>IF($B291="","",IF(COUNTIFS(Пул!$E$5:$E$300,$B291,Пул!$L$5:$L$300,"Закрыт")=0,"",ROUND(SUMIFS(Пул!$J$5:$J$300,Пул!$E$5:$E$300,$B291,Пул!$L$5:$L$300,"Закрыт"),8)))</f>
        <v/>
      </c>
      <c r="H291" s="241">
        <f>IF($B291="","",IF(COUNTIFS(Пул!$E$5:$E$300,$B291,Пул!$L$5:$L$300,"Закрыт")=0,"",ROUND(SUMIFS(Пул!$K$5:$K$300,Пул!$E$5:$E$300,$B291,Пул!$L$5:$L$300,"Закрыт"),8)))</f>
        <v/>
      </c>
      <c r="I291" s="236">
        <f>IF(AND(ISNUMBER(G291),ISNUMBER(H291)),IF(AND(G291&gt;0,H291&lt;0),"Buy",IF(AND(G291&lt;0,H291&gt;0),"Sell","")),"")</f>
        <v/>
      </c>
      <c r="J291" s="177">
        <f>IF(I291="Buy",G291,IF(I291="Sell",-G291,""))</f>
        <v/>
      </c>
      <c r="K291" s="177">
        <f>IF(AND(ISNUMBER(J291),ISNUMBER(L291),N(J291)&lt;&gt;0),ROUND(L291/J291,8),"")</f>
        <v/>
      </c>
      <c r="L291" s="177">
        <f>IF(I291="Buy",-H291,IF(I291="Sell",H291,""))</f>
        <v/>
      </c>
    </row>
    <row r="292" ht="22" customHeight="1">
      <c r="B292" s="320" t="n"/>
      <c r="C292" s="246">
        <f>IF($B292="","",IF(COUNTIFS(Пул!$E$5:$E$300,$B292,Пул!$F$5:$F$300,"&lt;&gt;")=0,"",ROUND(SUMIFS(Пул!$F$5:$F$300,Пул!$E$5:$E$300,$B292),8)))</f>
        <v/>
      </c>
      <c r="D292" s="247">
        <f>IF($B292="","",IF(COUNTIFS(Пул!$E$5:$E$300,$B292,Пул!$G$5:$G$300,"&lt;&gt;")=0,"",ROUND(SUMIFS(Пул!$G$5:$G$300,Пул!$E$5:$E$300,$B292),8)))</f>
        <v/>
      </c>
      <c r="E292" s="246">
        <f>IF($B292="","",IF(COUNTIFS(Пул!$E$5:$E$300,$B292,Пул!$L$5:$L$300,"Закрыт")=0,"",ROUND(SUMIFS(Пул!$H$5:$H$300,Пул!$E$5:$E$300,$B292,Пул!$L$5:$L$300,"Закрыт"),8)))</f>
        <v/>
      </c>
      <c r="F292" s="247">
        <f>IF($B292="","",IF(COUNTIFS(Пул!$E$5:$E$300,$B292,Пул!$L$5:$L$300,"Закрыт")=0,"",ROUND(SUMIFS(Пул!$I$5:$I$300,Пул!$E$5:$E$300,$B292,Пул!$L$5:$L$300,"Закрыт"),8)))</f>
        <v/>
      </c>
      <c r="G292" s="246">
        <f>IF($B292="","",IF(COUNTIFS(Пул!$E$5:$E$300,$B292,Пул!$L$5:$L$300,"Закрыт")=0,"",ROUND(SUMIFS(Пул!$J$5:$J$300,Пул!$E$5:$E$300,$B292,Пул!$L$5:$L$300,"Закрыт"),8)))</f>
        <v/>
      </c>
      <c r="H292" s="247">
        <f>IF($B292="","",IF(COUNTIFS(Пул!$E$5:$E$300,$B292,Пул!$L$5:$L$300,"Закрыт")=0,"",ROUND(SUMIFS(Пул!$K$5:$K$300,Пул!$E$5:$E$300,$B292,Пул!$L$5:$L$300,"Закрыт"),8)))</f>
        <v/>
      </c>
      <c r="I292" s="242">
        <f>IF(AND(ISNUMBER(G292),ISNUMBER(H292)),IF(AND(G292&gt;0,H292&lt;0),"Buy",IF(AND(G292&lt;0,H292&gt;0),"Sell","")),"")</f>
        <v/>
      </c>
      <c r="J292" s="183">
        <f>IF(I292="Buy",G292,IF(I292="Sell",-G292,""))</f>
        <v/>
      </c>
      <c r="K292" s="183">
        <f>IF(AND(ISNUMBER(J292),ISNUMBER(L292),N(J292)&lt;&gt;0),ROUND(L292/J292,8),"")</f>
        <v/>
      </c>
      <c r="L292" s="183">
        <f>IF(I292="Buy",-H292,IF(I292="Sell",H292,""))</f>
        <v/>
      </c>
    </row>
    <row r="293" ht="22" customHeight="1">
      <c r="B293" s="315" t="n"/>
      <c r="C293" s="240">
        <f>IF($B293="","",IF(COUNTIFS(Пул!$E$5:$E$300,$B293,Пул!$F$5:$F$300,"&lt;&gt;")=0,"",ROUND(SUMIFS(Пул!$F$5:$F$300,Пул!$E$5:$E$300,$B293),8)))</f>
        <v/>
      </c>
      <c r="D293" s="241">
        <f>IF($B293="","",IF(COUNTIFS(Пул!$E$5:$E$300,$B293,Пул!$G$5:$G$300,"&lt;&gt;")=0,"",ROUND(SUMIFS(Пул!$G$5:$G$300,Пул!$E$5:$E$300,$B293),8)))</f>
        <v/>
      </c>
      <c r="E293" s="240">
        <f>IF($B293="","",IF(COUNTIFS(Пул!$E$5:$E$300,$B293,Пул!$L$5:$L$300,"Закрыт")=0,"",ROUND(SUMIFS(Пул!$H$5:$H$300,Пул!$E$5:$E$300,$B293,Пул!$L$5:$L$300,"Закрыт"),8)))</f>
        <v/>
      </c>
      <c r="F293" s="241">
        <f>IF($B293="","",IF(COUNTIFS(Пул!$E$5:$E$300,$B293,Пул!$L$5:$L$300,"Закрыт")=0,"",ROUND(SUMIFS(Пул!$I$5:$I$300,Пул!$E$5:$E$300,$B293,Пул!$L$5:$L$300,"Закрыт"),8)))</f>
        <v/>
      </c>
      <c r="G293" s="240">
        <f>IF($B293="","",IF(COUNTIFS(Пул!$E$5:$E$300,$B293,Пул!$L$5:$L$300,"Закрыт")=0,"",ROUND(SUMIFS(Пул!$J$5:$J$300,Пул!$E$5:$E$300,$B293,Пул!$L$5:$L$300,"Закрыт"),8)))</f>
        <v/>
      </c>
      <c r="H293" s="241">
        <f>IF($B293="","",IF(COUNTIFS(Пул!$E$5:$E$300,$B293,Пул!$L$5:$L$300,"Закрыт")=0,"",ROUND(SUMIFS(Пул!$K$5:$K$300,Пул!$E$5:$E$300,$B293,Пул!$L$5:$L$300,"Закрыт"),8)))</f>
        <v/>
      </c>
      <c r="I293" s="236">
        <f>IF(AND(ISNUMBER(G293),ISNUMBER(H293)),IF(AND(G293&gt;0,H293&lt;0),"Buy",IF(AND(G293&lt;0,H293&gt;0),"Sell","")),"")</f>
        <v/>
      </c>
      <c r="J293" s="177">
        <f>IF(I293="Buy",G293,IF(I293="Sell",-G293,""))</f>
        <v/>
      </c>
      <c r="K293" s="177">
        <f>IF(AND(ISNUMBER(J293),ISNUMBER(L293),N(J293)&lt;&gt;0),ROUND(L293/J293,8),"")</f>
        <v/>
      </c>
      <c r="L293" s="177">
        <f>IF(I293="Buy",-H293,IF(I293="Sell",H293,""))</f>
        <v/>
      </c>
    </row>
    <row r="294" ht="22" customHeight="1">
      <c r="B294" s="320" t="n"/>
      <c r="C294" s="246">
        <f>IF($B294="","",IF(COUNTIFS(Пул!$E$5:$E$300,$B294,Пул!$F$5:$F$300,"&lt;&gt;")=0,"",ROUND(SUMIFS(Пул!$F$5:$F$300,Пул!$E$5:$E$300,$B294),8)))</f>
        <v/>
      </c>
      <c r="D294" s="247">
        <f>IF($B294="","",IF(COUNTIFS(Пул!$E$5:$E$300,$B294,Пул!$G$5:$G$300,"&lt;&gt;")=0,"",ROUND(SUMIFS(Пул!$G$5:$G$300,Пул!$E$5:$E$300,$B294),8)))</f>
        <v/>
      </c>
      <c r="E294" s="246">
        <f>IF($B294="","",IF(COUNTIFS(Пул!$E$5:$E$300,$B294,Пул!$L$5:$L$300,"Закрыт")=0,"",ROUND(SUMIFS(Пул!$H$5:$H$300,Пул!$E$5:$E$300,$B294,Пул!$L$5:$L$300,"Закрыт"),8)))</f>
        <v/>
      </c>
      <c r="F294" s="247">
        <f>IF($B294="","",IF(COUNTIFS(Пул!$E$5:$E$300,$B294,Пул!$L$5:$L$300,"Закрыт")=0,"",ROUND(SUMIFS(Пул!$I$5:$I$300,Пул!$E$5:$E$300,$B294,Пул!$L$5:$L$300,"Закрыт"),8)))</f>
        <v/>
      </c>
      <c r="G294" s="246">
        <f>IF($B294="","",IF(COUNTIFS(Пул!$E$5:$E$300,$B294,Пул!$L$5:$L$300,"Закрыт")=0,"",ROUND(SUMIFS(Пул!$J$5:$J$300,Пул!$E$5:$E$300,$B294,Пул!$L$5:$L$300,"Закрыт"),8)))</f>
        <v/>
      </c>
      <c r="H294" s="247">
        <f>IF($B294="","",IF(COUNTIFS(Пул!$E$5:$E$300,$B294,Пул!$L$5:$L$300,"Закрыт")=0,"",ROUND(SUMIFS(Пул!$K$5:$K$300,Пул!$E$5:$E$300,$B294,Пул!$L$5:$L$300,"Закрыт"),8)))</f>
        <v/>
      </c>
      <c r="I294" s="242">
        <f>IF(AND(ISNUMBER(G294),ISNUMBER(H294)),IF(AND(G294&gt;0,H294&lt;0),"Buy",IF(AND(G294&lt;0,H294&gt;0),"Sell","")),"")</f>
        <v/>
      </c>
      <c r="J294" s="183">
        <f>IF(I294="Buy",G294,IF(I294="Sell",-G294,""))</f>
        <v/>
      </c>
      <c r="K294" s="183">
        <f>IF(AND(ISNUMBER(J294),ISNUMBER(L294),N(J294)&lt;&gt;0),ROUND(L294/J294,8),"")</f>
        <v/>
      </c>
      <c r="L294" s="183">
        <f>IF(I294="Buy",-H294,IF(I294="Sell",H294,""))</f>
        <v/>
      </c>
    </row>
    <row r="295" ht="22" customHeight="1">
      <c r="B295" s="315" t="n"/>
      <c r="C295" s="240">
        <f>IF($B295="","",IF(COUNTIFS(Пул!$E$5:$E$300,$B295,Пул!$F$5:$F$300,"&lt;&gt;")=0,"",ROUND(SUMIFS(Пул!$F$5:$F$300,Пул!$E$5:$E$300,$B295),8)))</f>
        <v/>
      </c>
      <c r="D295" s="241">
        <f>IF($B295="","",IF(COUNTIFS(Пул!$E$5:$E$300,$B295,Пул!$G$5:$G$300,"&lt;&gt;")=0,"",ROUND(SUMIFS(Пул!$G$5:$G$300,Пул!$E$5:$E$300,$B295),8)))</f>
        <v/>
      </c>
      <c r="E295" s="240">
        <f>IF($B295="","",IF(COUNTIFS(Пул!$E$5:$E$300,$B295,Пул!$L$5:$L$300,"Закрыт")=0,"",ROUND(SUMIFS(Пул!$H$5:$H$300,Пул!$E$5:$E$300,$B295,Пул!$L$5:$L$300,"Закрыт"),8)))</f>
        <v/>
      </c>
      <c r="F295" s="241">
        <f>IF($B295="","",IF(COUNTIFS(Пул!$E$5:$E$300,$B295,Пул!$L$5:$L$300,"Закрыт")=0,"",ROUND(SUMIFS(Пул!$I$5:$I$300,Пул!$E$5:$E$300,$B295,Пул!$L$5:$L$300,"Закрыт"),8)))</f>
        <v/>
      </c>
      <c r="G295" s="240">
        <f>IF($B295="","",IF(COUNTIFS(Пул!$E$5:$E$300,$B295,Пул!$L$5:$L$300,"Закрыт")=0,"",ROUND(SUMIFS(Пул!$J$5:$J$300,Пул!$E$5:$E$300,$B295,Пул!$L$5:$L$300,"Закрыт"),8)))</f>
        <v/>
      </c>
      <c r="H295" s="241">
        <f>IF($B295="","",IF(COUNTIFS(Пул!$E$5:$E$300,$B295,Пул!$L$5:$L$300,"Закрыт")=0,"",ROUND(SUMIFS(Пул!$K$5:$K$300,Пул!$E$5:$E$300,$B295,Пул!$L$5:$L$300,"Закрыт"),8)))</f>
        <v/>
      </c>
      <c r="I295" s="236">
        <f>IF(AND(ISNUMBER(G295),ISNUMBER(H295)),IF(AND(G295&gt;0,H295&lt;0),"Buy",IF(AND(G295&lt;0,H295&gt;0),"Sell","")),"")</f>
        <v/>
      </c>
      <c r="J295" s="177">
        <f>IF(I295="Buy",G295,IF(I295="Sell",-G295,""))</f>
        <v/>
      </c>
      <c r="K295" s="177">
        <f>IF(AND(ISNUMBER(J295),ISNUMBER(L295),N(J295)&lt;&gt;0),ROUND(L295/J295,8),"")</f>
        <v/>
      </c>
      <c r="L295" s="177">
        <f>IF(I295="Buy",-H295,IF(I295="Sell",H295,""))</f>
        <v/>
      </c>
    </row>
    <row r="296" ht="22" customHeight="1">
      <c r="B296" s="320" t="n"/>
      <c r="C296" s="246">
        <f>IF($B296="","",IF(COUNTIFS(Пул!$E$5:$E$300,$B296,Пул!$F$5:$F$300,"&lt;&gt;")=0,"",ROUND(SUMIFS(Пул!$F$5:$F$300,Пул!$E$5:$E$300,$B296),8)))</f>
        <v/>
      </c>
      <c r="D296" s="247">
        <f>IF($B296="","",IF(COUNTIFS(Пул!$E$5:$E$300,$B296,Пул!$G$5:$G$300,"&lt;&gt;")=0,"",ROUND(SUMIFS(Пул!$G$5:$G$300,Пул!$E$5:$E$300,$B296),8)))</f>
        <v/>
      </c>
      <c r="E296" s="246">
        <f>IF($B296="","",IF(COUNTIFS(Пул!$E$5:$E$300,$B296,Пул!$L$5:$L$300,"Закрыт")=0,"",ROUND(SUMIFS(Пул!$H$5:$H$300,Пул!$E$5:$E$300,$B296,Пул!$L$5:$L$300,"Закрыт"),8)))</f>
        <v/>
      </c>
      <c r="F296" s="247">
        <f>IF($B296="","",IF(COUNTIFS(Пул!$E$5:$E$300,$B296,Пул!$L$5:$L$300,"Закрыт")=0,"",ROUND(SUMIFS(Пул!$I$5:$I$300,Пул!$E$5:$E$300,$B296,Пул!$L$5:$L$300,"Закрыт"),8)))</f>
        <v/>
      </c>
      <c r="G296" s="246">
        <f>IF($B296="","",IF(COUNTIFS(Пул!$E$5:$E$300,$B296,Пул!$L$5:$L$300,"Закрыт")=0,"",ROUND(SUMIFS(Пул!$J$5:$J$300,Пул!$E$5:$E$300,$B296,Пул!$L$5:$L$300,"Закрыт"),8)))</f>
        <v/>
      </c>
      <c r="H296" s="247">
        <f>IF($B296="","",IF(COUNTIFS(Пул!$E$5:$E$300,$B296,Пул!$L$5:$L$300,"Закрыт")=0,"",ROUND(SUMIFS(Пул!$K$5:$K$300,Пул!$E$5:$E$300,$B296,Пул!$L$5:$L$300,"Закрыт"),8)))</f>
        <v/>
      </c>
      <c r="I296" s="242">
        <f>IF(AND(ISNUMBER(G296),ISNUMBER(H296)),IF(AND(G296&gt;0,H296&lt;0),"Buy",IF(AND(G296&lt;0,H296&gt;0),"Sell","")),"")</f>
        <v/>
      </c>
      <c r="J296" s="183">
        <f>IF(I296="Buy",G296,IF(I296="Sell",-G296,""))</f>
        <v/>
      </c>
      <c r="K296" s="183">
        <f>IF(AND(ISNUMBER(J296),ISNUMBER(L296),N(J296)&lt;&gt;0),ROUND(L296/J296,8),"")</f>
        <v/>
      </c>
      <c r="L296" s="183">
        <f>IF(I296="Buy",-H296,IF(I296="Sell",H296,""))</f>
        <v/>
      </c>
    </row>
    <row r="297" ht="22" customHeight="1">
      <c r="B297" s="315" t="n"/>
      <c r="C297" s="240">
        <f>IF($B297="","",IF(COUNTIFS(Пул!$E$5:$E$300,$B297,Пул!$F$5:$F$300,"&lt;&gt;")=0,"",ROUND(SUMIFS(Пул!$F$5:$F$300,Пул!$E$5:$E$300,$B297),8)))</f>
        <v/>
      </c>
      <c r="D297" s="241">
        <f>IF($B297="","",IF(COUNTIFS(Пул!$E$5:$E$300,$B297,Пул!$G$5:$G$300,"&lt;&gt;")=0,"",ROUND(SUMIFS(Пул!$G$5:$G$300,Пул!$E$5:$E$300,$B297),8)))</f>
        <v/>
      </c>
      <c r="E297" s="240">
        <f>IF($B297="","",IF(COUNTIFS(Пул!$E$5:$E$300,$B297,Пул!$L$5:$L$300,"Закрыт")=0,"",ROUND(SUMIFS(Пул!$H$5:$H$300,Пул!$E$5:$E$300,$B297,Пул!$L$5:$L$300,"Закрыт"),8)))</f>
        <v/>
      </c>
      <c r="F297" s="241">
        <f>IF($B297="","",IF(COUNTIFS(Пул!$E$5:$E$300,$B297,Пул!$L$5:$L$300,"Закрыт")=0,"",ROUND(SUMIFS(Пул!$I$5:$I$300,Пул!$E$5:$E$300,$B297,Пул!$L$5:$L$300,"Закрыт"),8)))</f>
        <v/>
      </c>
      <c r="G297" s="240">
        <f>IF($B297="","",IF(COUNTIFS(Пул!$E$5:$E$300,$B297,Пул!$L$5:$L$300,"Закрыт")=0,"",ROUND(SUMIFS(Пул!$J$5:$J$300,Пул!$E$5:$E$300,$B297,Пул!$L$5:$L$300,"Закрыт"),8)))</f>
        <v/>
      </c>
      <c r="H297" s="241">
        <f>IF($B297="","",IF(COUNTIFS(Пул!$E$5:$E$300,$B297,Пул!$L$5:$L$300,"Закрыт")=0,"",ROUND(SUMIFS(Пул!$K$5:$K$300,Пул!$E$5:$E$300,$B297,Пул!$L$5:$L$300,"Закрыт"),8)))</f>
        <v/>
      </c>
      <c r="I297" s="236">
        <f>IF(AND(ISNUMBER(G297),ISNUMBER(H297)),IF(AND(G297&gt;0,H297&lt;0),"Buy",IF(AND(G297&lt;0,H297&gt;0),"Sell","")),"")</f>
        <v/>
      </c>
      <c r="J297" s="177">
        <f>IF(I297="Buy",G297,IF(I297="Sell",-G297,""))</f>
        <v/>
      </c>
      <c r="K297" s="177">
        <f>IF(AND(ISNUMBER(J297),ISNUMBER(L297),N(J297)&lt;&gt;0),ROUND(L297/J297,8),"")</f>
        <v/>
      </c>
      <c r="L297" s="177">
        <f>IF(I297="Buy",-H297,IF(I297="Sell",H297,""))</f>
        <v/>
      </c>
    </row>
    <row r="298" ht="22" customHeight="1">
      <c r="B298" s="320" t="n"/>
      <c r="C298" s="246">
        <f>IF($B298="","",IF(COUNTIFS(Пул!$E$5:$E$300,$B298,Пул!$F$5:$F$300,"&lt;&gt;")=0,"",ROUND(SUMIFS(Пул!$F$5:$F$300,Пул!$E$5:$E$300,$B298),8)))</f>
        <v/>
      </c>
      <c r="D298" s="247">
        <f>IF($B298="","",IF(COUNTIFS(Пул!$E$5:$E$300,$B298,Пул!$G$5:$G$300,"&lt;&gt;")=0,"",ROUND(SUMIFS(Пул!$G$5:$G$300,Пул!$E$5:$E$300,$B298),8)))</f>
        <v/>
      </c>
      <c r="E298" s="246">
        <f>IF($B298="","",IF(COUNTIFS(Пул!$E$5:$E$300,$B298,Пул!$L$5:$L$300,"Закрыт")=0,"",ROUND(SUMIFS(Пул!$H$5:$H$300,Пул!$E$5:$E$300,$B298,Пул!$L$5:$L$300,"Закрыт"),8)))</f>
        <v/>
      </c>
      <c r="F298" s="247">
        <f>IF($B298="","",IF(COUNTIFS(Пул!$E$5:$E$300,$B298,Пул!$L$5:$L$300,"Закрыт")=0,"",ROUND(SUMIFS(Пул!$I$5:$I$300,Пул!$E$5:$E$300,$B298,Пул!$L$5:$L$300,"Закрыт"),8)))</f>
        <v/>
      </c>
      <c r="G298" s="246">
        <f>IF($B298="","",IF(COUNTIFS(Пул!$E$5:$E$300,$B298,Пул!$L$5:$L$300,"Закрыт")=0,"",ROUND(SUMIFS(Пул!$J$5:$J$300,Пул!$E$5:$E$300,$B298,Пул!$L$5:$L$300,"Закрыт"),8)))</f>
        <v/>
      </c>
      <c r="H298" s="247">
        <f>IF($B298="","",IF(COUNTIFS(Пул!$E$5:$E$300,$B298,Пул!$L$5:$L$300,"Закрыт")=0,"",ROUND(SUMIFS(Пул!$K$5:$K$300,Пул!$E$5:$E$300,$B298,Пул!$L$5:$L$300,"Закрыт"),8)))</f>
        <v/>
      </c>
      <c r="I298" s="242">
        <f>IF(AND(ISNUMBER(G298),ISNUMBER(H298)),IF(AND(G298&gt;0,H298&lt;0),"Buy",IF(AND(G298&lt;0,H298&gt;0),"Sell","")),"")</f>
        <v/>
      </c>
      <c r="J298" s="183">
        <f>IF(I298="Buy",G298,IF(I298="Sell",-G298,""))</f>
        <v/>
      </c>
      <c r="K298" s="183">
        <f>IF(AND(ISNUMBER(J298),ISNUMBER(L298),N(J298)&lt;&gt;0),ROUND(L298/J298,8),"")</f>
        <v/>
      </c>
      <c r="L298" s="183">
        <f>IF(I298="Buy",-H298,IF(I298="Sell",H298,""))</f>
        <v/>
      </c>
    </row>
    <row r="299" ht="22" customHeight="1">
      <c r="B299" s="315" t="n"/>
      <c r="C299" s="240">
        <f>IF($B299="","",IF(COUNTIFS(Пул!$E$5:$E$300,$B299,Пул!$F$5:$F$300,"&lt;&gt;")=0,"",ROUND(SUMIFS(Пул!$F$5:$F$300,Пул!$E$5:$E$300,$B299),8)))</f>
        <v/>
      </c>
      <c r="D299" s="241">
        <f>IF($B299="","",IF(COUNTIFS(Пул!$E$5:$E$300,$B299,Пул!$G$5:$G$300,"&lt;&gt;")=0,"",ROUND(SUMIFS(Пул!$G$5:$G$300,Пул!$E$5:$E$300,$B299),8)))</f>
        <v/>
      </c>
      <c r="E299" s="240">
        <f>IF($B299="","",IF(COUNTIFS(Пул!$E$5:$E$300,$B299,Пул!$L$5:$L$300,"Закрыт")=0,"",ROUND(SUMIFS(Пул!$H$5:$H$300,Пул!$E$5:$E$300,$B299,Пул!$L$5:$L$300,"Закрыт"),8)))</f>
        <v/>
      </c>
      <c r="F299" s="241">
        <f>IF($B299="","",IF(COUNTIFS(Пул!$E$5:$E$300,$B299,Пул!$L$5:$L$300,"Закрыт")=0,"",ROUND(SUMIFS(Пул!$I$5:$I$300,Пул!$E$5:$E$300,$B299,Пул!$L$5:$L$300,"Закрыт"),8)))</f>
        <v/>
      </c>
      <c r="G299" s="240">
        <f>IF($B299="","",IF(COUNTIFS(Пул!$E$5:$E$300,$B299,Пул!$L$5:$L$300,"Закрыт")=0,"",ROUND(SUMIFS(Пул!$J$5:$J$300,Пул!$E$5:$E$300,$B299,Пул!$L$5:$L$300,"Закрыт"),8)))</f>
        <v/>
      </c>
      <c r="H299" s="241">
        <f>IF($B299="","",IF(COUNTIFS(Пул!$E$5:$E$300,$B299,Пул!$L$5:$L$300,"Закрыт")=0,"",ROUND(SUMIFS(Пул!$K$5:$K$300,Пул!$E$5:$E$300,$B299,Пул!$L$5:$L$300,"Закрыт"),8)))</f>
        <v/>
      </c>
      <c r="I299" s="236">
        <f>IF(AND(ISNUMBER(G299),ISNUMBER(H299)),IF(AND(G299&gt;0,H299&lt;0),"Buy",IF(AND(G299&lt;0,H299&gt;0),"Sell","")),"")</f>
        <v/>
      </c>
      <c r="J299" s="177">
        <f>IF(I299="Buy",G299,IF(I299="Sell",-G299,""))</f>
        <v/>
      </c>
      <c r="K299" s="177">
        <f>IF(AND(ISNUMBER(J299),ISNUMBER(L299),N(J299)&lt;&gt;0),ROUND(L299/J299,8),"")</f>
        <v/>
      </c>
      <c r="L299" s="177">
        <f>IF(I299="Buy",-H299,IF(I299="Sell",H299,""))</f>
        <v/>
      </c>
    </row>
    <row r="300" ht="22" customHeight="1">
      <c r="B300" s="320" t="n"/>
      <c r="C300" s="246">
        <f>IF($B300="","",IF(COUNTIFS(Пул!$E$5:$E$300,$B300,Пул!$F$5:$F$300,"&lt;&gt;")=0,"",ROUND(SUMIFS(Пул!$F$5:$F$300,Пул!$E$5:$E$300,$B300),8)))</f>
        <v/>
      </c>
      <c r="D300" s="247">
        <f>IF($B300="","",IF(COUNTIFS(Пул!$E$5:$E$300,$B300,Пул!$G$5:$G$300,"&lt;&gt;")=0,"",ROUND(SUMIFS(Пул!$G$5:$G$300,Пул!$E$5:$E$300,$B300),8)))</f>
        <v/>
      </c>
      <c r="E300" s="246">
        <f>IF($B300="","",IF(COUNTIFS(Пул!$E$5:$E$300,$B300,Пул!$L$5:$L$300,"Закрыт")=0,"",ROUND(SUMIFS(Пул!$H$5:$H$300,Пул!$E$5:$E$300,$B300,Пул!$L$5:$L$300,"Закрыт"),8)))</f>
        <v/>
      </c>
      <c r="F300" s="247">
        <f>IF($B300="","",IF(COUNTIFS(Пул!$E$5:$E$300,$B300,Пул!$L$5:$L$300,"Закрыт")=0,"",ROUND(SUMIFS(Пул!$I$5:$I$300,Пул!$E$5:$E$300,$B300,Пул!$L$5:$L$300,"Закрыт"),8)))</f>
        <v/>
      </c>
      <c r="G300" s="246">
        <f>IF($B300="","",IF(COUNTIFS(Пул!$E$5:$E$300,$B300,Пул!$L$5:$L$300,"Закрыт")=0,"",ROUND(SUMIFS(Пул!$J$5:$J$300,Пул!$E$5:$E$300,$B300,Пул!$L$5:$L$300,"Закрыт"),8)))</f>
        <v/>
      </c>
      <c r="H300" s="247">
        <f>IF($B300="","",IF(COUNTIFS(Пул!$E$5:$E$300,$B300,Пул!$L$5:$L$300,"Закрыт")=0,"",ROUND(SUMIFS(Пул!$K$5:$K$300,Пул!$E$5:$E$300,$B300,Пул!$L$5:$L$300,"Закрыт"),8)))</f>
        <v/>
      </c>
      <c r="I300" s="242">
        <f>IF(AND(ISNUMBER(G300),ISNUMBER(H300)),IF(AND(G300&gt;0,H300&lt;0),"Buy",IF(AND(G300&lt;0,H300&gt;0),"Sell","")),"")</f>
        <v/>
      </c>
      <c r="J300" s="183">
        <f>IF(I300="Buy",G300,IF(I300="Sell",-G300,""))</f>
        <v/>
      </c>
      <c r="K300" s="183">
        <f>IF(AND(ISNUMBER(J300),ISNUMBER(L300),N(J300)&lt;&gt;0),ROUND(L300/J300,8),"")</f>
        <v/>
      </c>
      <c r="L300" s="183">
        <f>IF(I300="Buy",-H300,IF(I300="Sell",H300,""))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313" t="n"/>
      <c r="C5" s="314" t="n"/>
      <c r="D5" s="313" t="n"/>
      <c r="E5" s="315" t="n"/>
      <c r="F5" s="316" t="n"/>
      <c r="G5" s="317" t="n"/>
      <c r="H5" s="271">
        <f>IF(AND(ISNUMBER(F5),ISNUMBER(G5)),F5*G5,"")</f>
        <v/>
      </c>
      <c r="I5" s="316" t="n"/>
      <c r="J5" s="317" t="n"/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/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/>
      </c>
      <c r="P5" s="207" t="n"/>
      <c r="Q5" s="207" t="n"/>
    </row>
    <row r="6" ht="22" customHeight="1">
      <c r="B6" s="318" t="n"/>
      <c r="C6" s="319" t="n"/>
      <c r="D6" s="318" t="n"/>
      <c r="E6" s="320" t="n"/>
      <c r="F6" s="321" t="n"/>
      <c r="G6" s="322" t="n"/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/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/>
      </c>
      <c r="P6" s="207" t="n"/>
      <c r="Q6" s="207" t="n"/>
    </row>
    <row r="7" ht="22" customHeight="1">
      <c r="B7" s="313" t="n"/>
      <c r="C7" s="314" t="n"/>
      <c r="D7" s="313" t="n"/>
      <c r="E7" s="315" t="n"/>
      <c r="F7" s="316" t="n"/>
      <c r="G7" s="317" t="n"/>
      <c r="H7" s="271">
        <f>IF(AND(ISNUMBER(F7),ISNUMBER(G7)),F7*G7,"")</f>
        <v/>
      </c>
      <c r="I7" s="316" t="n"/>
      <c r="J7" s="317" t="n"/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/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/>
      </c>
      <c r="P7" s="207" t="n"/>
      <c r="Q7" s="207" t="n"/>
    </row>
    <row r="8" ht="22" customHeight="1">
      <c r="B8" s="318" t="n"/>
      <c r="C8" s="319" t="n"/>
      <c r="D8" s="318" t="n"/>
      <c r="E8" s="320" t="n"/>
      <c r="F8" s="321" t="n"/>
      <c r="G8" s="322" t="n"/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/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/>
      </c>
      <c r="P8" s="207" t="n"/>
      <c r="Q8" s="207" t="n"/>
    </row>
    <row r="9" ht="22" customHeight="1">
      <c r="B9" s="313" t="n"/>
      <c r="C9" s="314" t="n"/>
      <c r="D9" s="313" t="n"/>
      <c r="E9" s="315" t="n"/>
      <c r="F9" s="316" t="n"/>
      <c r="G9" s="317" t="n"/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/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/>
      </c>
      <c r="P9" s="207" t="n"/>
      <c r="Q9" s="207" t="n"/>
    </row>
    <row r="10" ht="22" customHeight="1">
      <c r="B10" s="318" t="n"/>
      <c r="C10" s="319" t="n"/>
      <c r="D10" s="318" t="n"/>
      <c r="E10" s="320" t="n"/>
      <c r="F10" s="321" t="n"/>
      <c r="G10" s="322" t="n"/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/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/>
      </c>
      <c r="P10" s="207" t="n"/>
      <c r="Q10" s="207" t="n"/>
    </row>
    <row r="11" ht="22" customHeight="1">
      <c r="B11" s="313" t="n"/>
      <c r="C11" s="314" t="n"/>
      <c r="D11" s="313" t="n"/>
      <c r="E11" s="315" t="n"/>
      <c r="F11" s="316" t="n"/>
      <c r="G11" s="317" t="n"/>
      <c r="H11" s="271">
        <f>IF(AND(ISNUMBER(F11),ISNUMBER(G11)),F11*G11,"")</f>
        <v/>
      </c>
      <c r="I11" s="316" t="n"/>
      <c r="J11" s="317" t="n"/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/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/>
      </c>
      <c r="P11" s="207" t="n"/>
      <c r="Q11" s="207" t="n"/>
    </row>
    <row r="12" ht="22" customHeight="1">
      <c r="B12" s="318" t="n"/>
      <c r="C12" s="319" t="n"/>
      <c r="D12" s="318" t="n"/>
      <c r="E12" s="320" t="n"/>
      <c r="F12" s="321" t="n"/>
      <c r="G12" s="322" t="n"/>
      <c r="H12" s="271">
        <f>IF(AND(ISNUMBER(F12),ISNUMBER(G12)),F12*G12,"")</f>
        <v/>
      </c>
      <c r="I12" s="321" t="n"/>
      <c r="J12" s="322" t="n"/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/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/>
      </c>
      <c r="P12" s="207" t="n"/>
      <c r="Q12" s="207" t="n"/>
    </row>
    <row r="13" ht="22" customHeight="1">
      <c r="B13" s="313" t="n"/>
      <c r="C13" s="314" t="n"/>
      <c r="D13" s="313" t="n"/>
      <c r="E13" s="315" t="n"/>
      <c r="F13" s="316" t="n"/>
      <c r="G13" s="317" t="n"/>
      <c r="H13" s="271">
        <f>IF(AND(ISNUMBER(F13),ISNUMBER(G13)),F13*G13,"")</f>
        <v/>
      </c>
      <c r="I13" s="316" t="n"/>
      <c r="J13" s="317" t="n"/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/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/>
      </c>
    </row>
    <row r="14" ht="22" customHeight="1">
      <c r="B14" s="318" t="n"/>
      <c r="C14" s="319" t="n"/>
      <c r="D14" s="318" t="n"/>
      <c r="E14" s="320" t="n"/>
      <c r="F14" s="321" t="n"/>
      <c r="G14" s="322" t="n"/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/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/>
      </c>
    </row>
    <row r="15" ht="22" customHeight="1">
      <c r="B15" s="313" t="n"/>
      <c r="C15" s="314" t="n"/>
      <c r="D15" s="313" t="n"/>
      <c r="E15" s="315" t="n"/>
      <c r="F15" s="316" t="n"/>
      <c r="G15" s="317" t="n"/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/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/>
      </c>
    </row>
    <row r="16" ht="22" customHeight="1">
      <c r="B16" s="318" t="n"/>
      <c r="C16" s="319" t="n"/>
      <c r="D16" s="318" t="n"/>
      <c r="E16" s="320" t="n"/>
      <c r="F16" s="321" t="n"/>
      <c r="G16" s="322" t="n"/>
      <c r="H16" s="271">
        <f>IF(AND(ISNUMBER(F16),ISNUMBER(G16)),F16*G16,"")</f>
        <v/>
      </c>
      <c r="I16" s="321" t="n"/>
      <c r="J16" s="322" t="n"/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/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/>
      </c>
    </row>
    <row r="17" ht="22" customHeight="1">
      <c r="B17" s="313" t="n"/>
      <c r="C17" s="314" t="n"/>
      <c r="D17" s="313" t="n"/>
      <c r="E17" s="315" t="n"/>
      <c r="F17" s="316" t="n"/>
      <c r="G17" s="317" t="n"/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/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/>
      </c>
    </row>
    <row r="18" ht="22" customHeight="1">
      <c r="B18" s="318" t="n"/>
      <c r="C18" s="319" t="n"/>
      <c r="D18" s="318" t="n"/>
      <c r="E18" s="320" t="n"/>
      <c r="F18" s="321" t="n"/>
      <c r="G18" s="322" t="n"/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/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/>
      </c>
    </row>
    <row r="19" ht="22" customHeight="1">
      <c r="B19" s="313" t="n"/>
      <c r="C19" s="314" t="n"/>
      <c r="D19" s="313" t="n"/>
      <c r="E19" s="315" t="n"/>
      <c r="F19" s="316" t="n"/>
      <c r="G19" s="317" t="n"/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/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/>
      </c>
    </row>
    <row r="20" ht="22" customHeight="1">
      <c r="B20" s="318" t="n"/>
      <c r="C20" s="319" t="n"/>
      <c r="D20" s="318" t="n"/>
      <c r="E20" s="320" t="n"/>
      <c r="F20" s="321" t="n"/>
      <c r="G20" s="322" t="n"/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/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/>
      </c>
    </row>
    <row r="21" ht="22" customHeight="1">
      <c r="B21" s="313" t="n"/>
      <c r="C21" s="314" t="n"/>
      <c r="D21" s="313" t="n"/>
      <c r="E21" s="315" t="n"/>
      <c r="F21" s="316" t="n"/>
      <c r="G21" s="317" t="n"/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/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/>
      </c>
    </row>
    <row r="22" ht="22" customHeight="1">
      <c r="B22" s="318" t="n"/>
      <c r="C22" s="319" t="n"/>
      <c r="D22" s="318" t="n"/>
      <c r="E22" s="320" t="n"/>
      <c r="F22" s="321" t="n"/>
      <c r="G22" s="322" t="n"/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/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/>
      </c>
    </row>
    <row r="23" ht="22" customHeight="1">
      <c r="B23" s="313" t="n"/>
      <c r="C23" s="314" t="n"/>
      <c r="D23" s="313" t="n"/>
      <c r="E23" s="315" t="n"/>
      <c r="F23" s="316" t="n"/>
      <c r="G23" s="317" t="n"/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/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/>
      </c>
    </row>
    <row r="24" ht="22" customHeight="1">
      <c r="B24" s="318" t="n"/>
      <c r="C24" s="319" t="n"/>
      <c r="D24" s="318" t="n"/>
      <c r="E24" s="320" t="n"/>
      <c r="F24" s="321" t="n"/>
      <c r="G24" s="322" t="n"/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/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/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/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/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/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/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/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/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/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/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/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/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n"/>
      <c r="C5" s="240">
        <f>IF($B5="","",IF(SUMIFS('ИТОГО Торговля'!$C$5:$C$300,'ИТОГО Торговля'!$B$5:$B$300,$B5)+SUMIFS('ИТОГО Лэндинг'!$C$5:$C$300,'ИТОГО Лэндинг'!$B$5:$B$300,$B5)+SUMIFS('История'!$C$5:$C$300,'История'!$B$5:$B$300,$B5)=0,"",SUMIFS('ИТОГО Торговля'!$C$5:$C$300,'ИТОГО Торговля'!$B$5:$B$300,$B5)+SUMIFS('ИТОГО Лэндинг'!$C$5:$C$300,'ИТОГО Лэндинг'!$B$5:$B$300,$B5)+SUMIFS('История'!$C$5:$C$300,'История'!$B$5:$B$300,$B5)))</f>
        <v/>
      </c>
      <c r="D5" s="177">
        <f>IF(C5="","",E5/C5)</f>
        <v/>
      </c>
      <c r="E5" s="241">
        <f>IF(C5="","",SUMIFS('ИТОГО Торговля'!$E$5:$E$300,'ИТОГО Торговля'!$B$5:$B$300,$B5)+SUMIFS('ИТОГО Лэндинг'!$E$5:$E$300,'ИТОГО Лэндинг'!$B$5:$B$300,$B5)+SUMIFS('История'!$E$5:$E$300,'История'!$B$5:$B$300,$B5))</f>
        <v/>
      </c>
      <c r="F5" s="240">
        <f>IF($B5="","",IF(SUMIFS('ИТОГО Торговля'!$F$5:$F$300,'ИТОГО Торговля'!$B$5:$B$300,$B5)+SUMIFS('ИТОГО Лэндинг'!$F$5:$F$300,'ИТОГО Лэндинг'!$B$5:$B$300,$B5)+SUMIFS('История'!$F$5:$F$300,'История'!$B$5:$B$300,$B5)=0,"",SUMIFS('ИТОГО Торговля'!$F$5:$F$300,'ИТОГО Торговля'!$B$5:$B$300,$B5)+SUMIFS('ИТОГО Лэндинг'!$F$5:$F$300,'ИТОГО Лэндинг'!$B$5:$B$300,$B5)+SUMIFS('История'!$F$5:$F$300,'История'!$B$5:$B$300,$B5)))</f>
        <v/>
      </c>
      <c r="G5" s="177">
        <f>IF(F5="","",H5/F5)</f>
        <v/>
      </c>
      <c r="H5" s="241">
        <f>IF(F5="","",SUMIFS('ИТОГО Торговля'!$H$5:$H$300,'ИТОГО Торговля'!$B$5:$B$300,$B5)+SUMIFS('ИТОГО Лэндинг'!$H$5:$H$300,'ИТОГО Лэндинг'!$B$5:$B$300,$B5)+SUMIFS('История'!$H$5:$H$300,'История'!$B$5:$B$300,$B5))</f>
        <v/>
      </c>
      <c r="I5" s="240">
        <f>IF($B5="","",IF(AND(C5="",F5=""),"",ROUND(SUMIFS('ИТОГО Торговля'!$I$5:$I$300,'ИТОГО Торговля'!$B$5:$B$300,$B5)+SUMIFS('ИТОГО Лэндинг'!$I$5:$I$300,'ИТОГО Лэндинг'!$B$5:$B$300,$B5)+SUMIFS('История'!$I$5:$I$300,'История'!$B$5:$B$300,$B5),8)))</f>
        <v/>
      </c>
      <c r="J5" s="241">
        <f>IF($B5="","",IF(AND(C5="",F5=""),"",ROUND(SUMIFS('ИТОГО Торговля'!$J$5:$J$300,'ИТОГО Торговля'!$B$5:$B$300,$B5)+SUMIFS('ИТОГО Лэндинг'!$J$5:$J$300,'ИТОГО Лэндинг'!$B$5:$B$300,$B5)+SUMIFS('История'!$J$5:$J$300,'История'!$B$5:$B$300,$B5),8)))</f>
        <v/>
      </c>
      <c r="K5" s="240">
        <f>IF($B5="","",ROUND(SUMIFS('ИТОГО Торговля'!$K$5:$K$300,'ИТОГО Торговля'!$B$5:$B$300,$B5)+SUMIFS('ИТОГО Лэндинг'!$K$5:$K$300,'ИТОГО Лэндинг'!$B$5:$B$300,$B5)+SUMIFS('История'!$K$5:$K$300,'История'!$B$5:$B$300,$B5),8))</f>
        <v/>
      </c>
      <c r="L5" s="177">
        <f>IF(K5="","",IF(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5)*((История!$C$5:$C$300+История!$F$5:$F$300-ABS(История!$C$5:$C$300-История!$F$5:$F$300))/2)*История!$D$5:$D$300))&lt;=0,0,ROUND(K5/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5)*((История!$C$5:$C$300+История!$F$5:$F$300-ABS(История!$C$5:$C$300-История!$F$5:$F$300))/2)*История!$D$5:$D$300)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n"/>
      <c r="C6" s="246">
        <f>IF($B6="","",IF(SUMIFS('ИТОГО Торговля'!$C$5:$C$300,'ИТОГО Торговля'!$B$5:$B$300,$B6)+SUMIFS('ИТОГО Лэндинг'!$C$5:$C$300,'ИТОГО Лэндинг'!$B$5:$B$300,$B6)+SUMIFS('История'!$C$5:$C$300,'История'!$B$5:$B$300,$B6)=0,"",SUMIFS('ИТОГО Торговля'!$C$5:$C$300,'ИТОГО Торговля'!$B$5:$B$300,$B6)+SUMIFS('ИТОГО Лэндинг'!$C$5:$C$300,'ИТОГО Лэндинг'!$B$5:$B$300,$B6)+SUMIFS('История'!$C$5:$C$300,'История'!$B$5:$B$300,$B6)))</f>
        <v/>
      </c>
      <c r="D6" s="183">
        <f>IF(C6="","",E6/C6)</f>
        <v/>
      </c>
      <c r="E6" s="247">
        <f>IF(C6="","",SUMIFS('ИТОГО Торговля'!$E$5:$E$300,'ИТОГО Торговля'!$B$5:$B$300,$B6)+SUMIFS('ИТОГО Лэндинг'!$E$5:$E$300,'ИТОГО Лэндинг'!$B$5:$B$300,$B6)+SUMIFS('История'!$E$5:$E$300,'История'!$B$5:$B$300,$B6))</f>
        <v/>
      </c>
      <c r="F6" s="246">
        <f>IF($B6="","",IF(SUMIFS('ИТОГО Торговля'!$F$5:$F$300,'ИТОГО Торговля'!$B$5:$B$300,$B6)+SUMIFS('ИТОГО Лэндинг'!$F$5:$F$300,'ИТОГО Лэндинг'!$B$5:$B$300,$B6)+SUMIFS('История'!$F$5:$F$300,'История'!$B$5:$B$300,$B6)=0,"",SUMIFS('ИТОГО Торговля'!$F$5:$F$300,'ИТОГО Торговля'!$B$5:$B$300,$B6)+SUMIFS('ИТОГО Лэндинг'!$F$5:$F$300,'ИТОГО Лэндинг'!$B$5:$B$300,$B6)+SUMIFS('История'!$F$5:$F$300,'История'!$B$5:$B$300,$B6)))</f>
        <v/>
      </c>
      <c r="G6" s="183">
        <f>IF(F6="","",H6/F6)</f>
        <v/>
      </c>
      <c r="H6" s="247">
        <f>IF(F6="","",SUMIFS('ИТОГО Торговля'!$H$5:$H$300,'ИТОГО Торговля'!$B$5:$B$300,$B6)+SUMIFS('ИТОГО Лэндинг'!$H$5:$H$300,'ИТОГО Лэндинг'!$B$5:$B$300,$B6)+SUMIFS('История'!$H$5:$H$300,'История'!$B$5:$B$300,$B6))</f>
        <v/>
      </c>
      <c r="I6" s="246">
        <f>IF($B6="","",IF(AND(C6="",F6=""),"",ROUND(SUMIFS('ИТОГО Торговля'!$I$5:$I$300,'ИТОГО Торговля'!$B$5:$B$300,$B6)+SUMIFS('ИТОГО Лэндинг'!$I$5:$I$300,'ИТОГО Лэндинг'!$B$5:$B$300,$B6)+SUMIFS('История'!$I$5:$I$300,'История'!$B$5:$B$300,$B6),8)))</f>
        <v/>
      </c>
      <c r="J6" s="247">
        <f>IF($B6="","",IF(AND(C6="",F6=""),"",ROUND(SUMIFS('ИТОГО Торговля'!$J$5:$J$300,'ИТОГО Торговля'!$B$5:$B$300,$B6)+SUMIFS('ИТОГО Лэндинг'!$J$5:$J$300,'ИТОГО Лэндинг'!$B$5:$B$300,$B6)+SUMIFS('История'!$J$5:$J$300,'История'!$B$5:$B$300,$B6),8)))</f>
        <v/>
      </c>
      <c r="K6" s="246">
        <f>IF($B6="","",ROUND(SUMIFS('ИТОГО Торговля'!$K$5:$K$300,'ИТОГО Торговля'!$B$5:$B$300,$B6)+SUMIFS('ИТОГО Лэндинг'!$K$5:$K$300,'ИТОГО Лэндинг'!$B$5:$B$300,$B6)+SUMIFS('История'!$K$5:$K$300,'История'!$B$5:$B$300,$B6),8))</f>
        <v/>
      </c>
      <c r="L6" s="183">
        <f>IF(K6="","",IF(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6)*((История!$C$5:$C$300+История!$F$5:$F$300-ABS(История!$C$5:$C$300-История!$F$5:$F$300))/2)*История!$D$5:$D$300))&lt;=0,0,ROUND(K6/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6)*((История!$C$5:$C$300+История!$F$5:$F$300-ABS(История!$C$5:$C$300-История!$F$5:$F$300))/2)*История!$D$5:$D$300)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n"/>
      <c r="C7" s="240">
        <f>IF($B7="","",IF(SUMIFS('ИТОГО Торговля'!$C$5:$C$300,'ИТОГО Торговля'!$B$5:$B$300,$B7)+SUMIFS('ИТОГО Лэндинг'!$C$5:$C$300,'ИТОГО Лэндинг'!$B$5:$B$300,$B7)+SUMIFS('История'!$C$5:$C$300,'История'!$B$5:$B$300,$B7)=0,"",SUMIFS('ИТОГО Торговля'!$C$5:$C$300,'ИТОГО Торговля'!$B$5:$B$300,$B7)+SUMIFS('ИТОГО Лэндинг'!$C$5:$C$300,'ИТОГО Лэндинг'!$B$5:$B$300,$B7)+SUMIFS('История'!$C$5:$C$300,'История'!$B$5:$B$300,$B7)))</f>
        <v/>
      </c>
      <c r="D7" s="177">
        <f>IF(C7="","",E7/C7)</f>
        <v/>
      </c>
      <c r="E7" s="241">
        <f>IF(C7="","",SUMIFS('ИТОГО Торговля'!$E$5:$E$300,'ИТОГО Торговля'!$B$5:$B$300,$B7)+SUMIFS('ИТОГО Лэндинг'!$E$5:$E$300,'ИТОГО Лэндинг'!$B$5:$B$300,$B7)+SUMIFS('История'!$E$5:$E$300,'История'!$B$5:$B$300,$B7))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Лэндинг'!$B$5:$B$300,$B7)+SUMIFS('История'!$F$5:$F$300,'История'!$B$5:$B$300,$B7)=0,"",SUMIFS('ИТОГО Торговля'!$F$5:$F$300,'ИТОГО Торговля'!$B$5:$B$300,$B7)+SUMIFS('ИТОГО Лэндинг'!$F$5:$F$300,'ИТОГО Лэндинг'!$B$5:$B$300,$B7)+SUMIFS('История'!$F$5:$F$300,'История'!$B$5:$B$300,$B7)))</f>
        <v/>
      </c>
      <c r="G7" s="177">
        <f>IF(F7="","",H7/F7)</f>
        <v/>
      </c>
      <c r="H7" s="241">
        <f>IF(F7="","",SUMIFS('ИТОГО Торговля'!$H$5:$H$300,'ИТОГО Торговля'!$B$5:$B$300,$B7)+SUMIFS('ИТОГО Лэндинг'!$H$5:$H$300,'ИТОГО Лэндинг'!$B$5:$B$300,$B7)+SUMIFS('История'!$H$5:$H$300,'История'!$B$5:$B$300,$B7))</f>
        <v/>
      </c>
      <c r="I7" s="240">
        <f>IF($B7="","",IF(AND(C7="",F7=""),"",ROUND(SUMIFS('ИТОГО Торговля'!$I$5:$I$300,'ИТОГО Торговля'!$B$5:$B$300,$B7)+SUMIFS('ИТОГО Лэндинг'!$I$5:$I$300,'ИТОГО Лэндинг'!$B$5:$B$300,$B7)+SUMIFS('История'!$I$5:$I$300,'История'!$B$5:$B$300,$B7),8)))</f>
        <v/>
      </c>
      <c r="J7" s="241">
        <f>IF($B7="","",IF(AND(C7="",F7=""),"",ROUND(SUMIFS('ИТОГО Торговля'!$J$5:$J$300,'ИТОГО Торговля'!$B$5:$B$300,$B7)+SUMIFS('ИТОГО Лэндинг'!$J$5:$J$300,'ИТОГО Лэндинг'!$B$5:$B$300,$B7)+SUMIFS('История'!$J$5:$J$300,'История'!$B$5:$B$300,$B7),8)))</f>
        <v/>
      </c>
      <c r="K7" s="240">
        <f>IF($B7="","",ROUND(SUMIFS('ИТОГО Торговля'!$K$5:$K$300,'ИТОГО Торговля'!$B$5:$B$300,$B7)+SUMIFS('ИТОГО Лэндинг'!$K$5:$K$300,'ИТОГО Лэндинг'!$B$5:$B$300,$B7)+SUMIFS('История'!$K$5:$K$300,'История'!$B$5:$B$300,$B7),8))</f>
        <v/>
      </c>
      <c r="L7" s="177">
        <f>IF(K7="","",IF(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7)*((История!$C$5:$C$300+История!$F$5:$F$300-ABS(История!$C$5:$C$300-История!$F$5:$F$300))/2)*История!$D$5:$D$300))&lt;=0,0,ROUND(K7/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7)*((История!$C$5:$C$300+История!$F$5:$F$300-ABS(История!$C$5:$C$300-История!$F$5:$F$300))/2)*История!$D$5:$D$300)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n"/>
      <c r="C8" s="246">
        <f>IF($B8="","",IF(SUMIFS('ИТОГО Торговля'!$C$5:$C$300,'ИТОГО Торговля'!$B$5:$B$300,$B8)+SUMIFS('ИТОГО Лэндинг'!$C$5:$C$300,'ИТОГО Лэндинг'!$B$5:$B$300,$B8)+SUMIFS('История'!$C$5:$C$300,'История'!$B$5:$B$300,$B8)=0,"",SUMIFS('ИТОГО Торговля'!$C$5:$C$300,'ИТОГО Торговля'!$B$5:$B$300,$B8)+SUMIFS('ИТОГО Лэндинг'!$C$5:$C$300,'ИТОГО Лэндинг'!$B$5:$B$300,$B8)+SUMIFS('История'!$C$5:$C$300,'История'!$B$5:$B$300,$B8)))</f>
        <v/>
      </c>
      <c r="D8" s="183">
        <f>IF(C8="","",E8/C8)</f>
        <v/>
      </c>
      <c r="E8" s="247">
        <f>IF(C8="","",SUMIFS('ИТОГО Торговля'!$E$5:$E$300,'ИТОГО Торговля'!$B$5:$B$300,$B8)+SUMIFS('ИТОГО Лэндинг'!$E$5:$E$300,'ИТОГО Лэндинг'!$B$5:$B$300,$B8)+SUMIFS('История'!$E$5:$E$300,'История'!$B$5:$B$300,$B8))</f>
        <v/>
      </c>
      <c r="F8" s="246">
        <f>IF($B8="","",IF(SUMIFS('ИТОГО Торговля'!$F$5:$F$300,'ИТОГО Торговля'!$B$5:$B$300,$B8)+SUMIFS('ИТОГО Лэндинг'!$F$5:$F$300,'ИТОГО Лэндинг'!$B$5:$B$300,$B8)+SUMIFS('История'!$F$5:$F$300,'История'!$B$5:$B$300,$B8)=0,"",SUMIFS('ИТОГО Торговля'!$F$5:$F$300,'ИТОГО Торговля'!$B$5:$B$300,$B8)+SUMIFS('ИТОГО Лэндинг'!$F$5:$F$300,'ИТОГО Лэндинг'!$B$5:$B$300,$B8)+SUMIFS('История'!$F$5:$F$300,'История'!$B$5:$B$300,$B8)))</f>
        <v/>
      </c>
      <c r="G8" s="183">
        <f>IF(F8="","",H8/F8)</f>
        <v/>
      </c>
      <c r="H8" s="247">
        <f>IF(F8="","",SUMIFS('ИТОГО Торговля'!$H$5:$H$300,'ИТОГО Торговля'!$B$5:$B$300,$B8)+SUMIFS('ИТОГО Лэндинг'!$H$5:$H$300,'ИТОГО Лэндинг'!$B$5:$B$300,$B8)+SUMIFS('История'!$H$5:$H$300,'История'!$B$5:$B$300,$B8))</f>
        <v/>
      </c>
      <c r="I8" s="246">
        <f>IF($B8="","",IF(AND(C8="",F8=""),"",ROUND(SUMIFS('ИТОГО Торговля'!$I$5:$I$300,'ИТОГО Торговля'!$B$5:$B$300,$B8)+SUMIFS('ИТОГО Лэндинг'!$I$5:$I$300,'ИТОГО Лэндинг'!$B$5:$B$300,$B8)+SUMIFS('История'!$I$5:$I$300,'История'!$B$5:$B$300,$B8),8)))</f>
        <v/>
      </c>
      <c r="J8" s="247">
        <f>IF($B8="","",IF(AND(C8="",F8=""),"",ROUND(SUMIFS('ИТОГО Торговля'!$J$5:$J$300,'ИТОГО Торговля'!$B$5:$B$300,$B8)+SUMIFS('ИТОГО Лэндинг'!$J$5:$J$300,'ИТОГО Лэндинг'!$B$5:$B$300,$B8)+SUMIFS('История'!$J$5:$J$300,'История'!$B$5:$B$300,$B8),8)))</f>
        <v/>
      </c>
      <c r="K8" s="246">
        <f>IF($B8="","",ROUND(SUMIFS('ИТОГО Торговля'!$K$5:$K$300,'ИТОГО Торговля'!$B$5:$B$300,$B8)+SUMIFS('ИТОГО Лэндинг'!$K$5:$K$300,'ИТОГО Лэндинг'!$B$5:$B$300,$B8)+SUMIFS('История'!$K$5:$K$300,'История'!$B$5:$B$300,$B8),8))</f>
        <v/>
      </c>
      <c r="L8" s="183">
        <f>IF(K8="","",IF(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8)*((История!$C$5:$C$300+История!$F$5:$F$300-ABS(История!$C$5:$C$300-История!$F$5:$F$300))/2)*История!$D$5:$D$300))&lt;=0,0,ROUND(K8/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8)*((История!$C$5:$C$300+История!$F$5:$F$300-ABS(История!$C$5:$C$300-История!$F$5:$F$300))/2)*История!$D$5:$D$300)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n"/>
      <c r="C9" s="240">
        <f>IF($B9="","",IF(SUMIFS('ИТОГО Торговля'!$C$5:$C$300,'ИТОГО Торговля'!$B$5:$B$300,$B9)+SUMIFS('ИТОГО Лэндинг'!$C$5:$C$300,'ИТОГО Лэндинг'!$B$5:$B$300,$B9)+SUMIFS('История'!$C$5:$C$300,'История'!$B$5:$B$300,$B9)=0,"",SUMIFS('ИТОГО Торговля'!$C$5:$C$300,'ИТОГО Торговля'!$B$5:$B$300,$B9)+SUMIFS('ИТОГО Лэндинг'!$C$5:$C$300,'ИТОГО Лэндинг'!$B$5:$B$300,$B9)+SUMIFS('История'!$C$5:$C$300,'История'!$B$5:$B$300,$B9)))</f>
        <v/>
      </c>
      <c r="D9" s="177">
        <f>IF(C9="","",E9/C9)</f>
        <v/>
      </c>
      <c r="E9" s="241">
        <f>IF(C9="","",SUMIFS('ИТОГО Торговля'!$E$5:$E$300,'ИТОГО Торговля'!$B$5:$B$300,$B9)+SUMIFS('ИТОГО Лэндинг'!$E$5:$E$300,'ИТОГО Лэндинг'!$B$5:$B$300,$B9)+SUMIFS('История'!$E$5:$E$300,'История'!$B$5:$B$300,$B9))</f>
        <v/>
      </c>
      <c r="F9" s="240">
        <f>IF($B9="","",IF(SUMIFS('ИТОГО Торговля'!$F$5:$F$300,'ИТОГО Торговля'!$B$5:$B$300,$B9)+SUMIFS('ИТОГО Лэндинг'!$F$5:$F$300,'ИТОГО Лэндинг'!$B$5:$B$300,$B9)+SUMIFS('История'!$F$5:$F$300,'История'!$B$5:$B$300,$B9)=0,"",SUMIFS('ИТОГО Торговля'!$F$5:$F$300,'ИТОГО Торговля'!$B$5:$B$300,$B9)+SUMIFS('ИТОГО Лэндинг'!$F$5:$F$300,'ИТОГО Лэндинг'!$B$5:$B$300,$B9)+SUMIFS('История'!$F$5:$F$300,'История'!$B$5:$B$300,$B9)))</f>
        <v/>
      </c>
      <c r="G9" s="177">
        <f>IF(F9="","",H9/F9)</f>
        <v/>
      </c>
      <c r="H9" s="241">
        <f>IF(F9="","",SUMIFS('ИТОГО Торговля'!$H$5:$H$300,'ИТОГО Торговля'!$B$5:$B$300,$B9)+SUMIFS('ИТОГО Лэндинг'!$H$5:$H$300,'ИТОГО Лэндинг'!$B$5:$B$300,$B9)+SUMIFS('История'!$H$5:$H$300,'История'!$B$5:$B$300,$B9))</f>
        <v/>
      </c>
      <c r="I9" s="240">
        <f>IF($B9="","",IF(AND(C9="",F9=""),"",ROUND(SUMIFS('ИТОГО Торговля'!$I$5:$I$300,'ИТОГО Торговля'!$B$5:$B$300,$B9)+SUMIFS('ИТОГО Лэндинг'!$I$5:$I$300,'ИТОГО Лэндинг'!$B$5:$B$300,$B9)+SUMIFS('История'!$I$5:$I$300,'История'!$B$5:$B$300,$B9),8)))</f>
        <v/>
      </c>
      <c r="J9" s="241">
        <f>IF($B9="","",IF(AND(C9="",F9=""),"",ROUND(SUMIFS('ИТОГО Торговля'!$J$5:$J$300,'ИТОГО Торговля'!$B$5:$B$300,$B9)+SUMIFS('ИТОГО Лэндинг'!$J$5:$J$300,'ИТОГО Лэндинг'!$B$5:$B$300,$B9)+SUMIFS('История'!$J$5:$J$300,'История'!$B$5:$B$300,$B9),8)))</f>
        <v/>
      </c>
      <c r="K9" s="240">
        <f>IF($B9="","",ROUND(SUMIFS('ИТОГО Торговля'!$K$5:$K$300,'ИТОГО Торговля'!$B$5:$B$300,$B9)+SUMIFS('ИТОГО Лэндинг'!$K$5:$K$300,'ИТОГО Лэндинг'!$B$5:$B$300,$B9)+SUMIFS('История'!$K$5:$K$300,'История'!$B$5:$B$300,$B9),8))</f>
        <v/>
      </c>
      <c r="L9" s="177">
        <f>IF(K9="","",IF(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9)*((История!$C$5:$C$300+История!$F$5:$F$300-ABS(История!$C$5:$C$300-История!$F$5:$F$300))/2)*История!$D$5:$D$300))&lt;=0,0,ROUND(K9/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9)*((История!$C$5:$C$300+История!$F$5:$F$300-ABS(История!$C$5:$C$300-История!$F$5:$F$300))/2)*История!$D$5:$D$300)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n"/>
      <c r="C10" s="246">
        <f>IF($B10="","",IF(SUMIFS('ИТОГО Торговля'!$C$5:$C$300,'ИТОГО Торговля'!$B$5:$B$300,$B10)+SUMIFS('ИТОГО Лэндинг'!$C$5:$C$300,'ИТОГО Лэндинг'!$B$5:$B$300,$B10)+SUMIFS('История'!$C$5:$C$300,'История'!$B$5:$B$300,$B10)=0,"",SUMIFS('ИТОГО Торговля'!$C$5:$C$300,'ИТОГО Торговля'!$B$5:$B$300,$B10)+SUMIFS('ИТОГО Лэндинг'!$C$5:$C$300,'ИТОГО Лэндинг'!$B$5:$B$300,$B10)+SUMIFS('История'!$C$5:$C$300,'История'!$B$5:$B$300,$B10)))</f>
        <v/>
      </c>
      <c r="D10" s="183">
        <f>IF(C10="","",E10/C10)</f>
        <v/>
      </c>
      <c r="E10" s="247">
        <f>IF(C10="","",SUMIFS('ИТОГО Торговля'!$E$5:$E$300,'ИТОГО Торговля'!$B$5:$B$300,$B10)+SUMIFS('ИТОГО Лэндинг'!$E$5:$E$300,'ИТОГО Лэндинг'!$B$5:$B$300,$B10)+SUMIFS('История'!$E$5:$E$300,'История'!$B$5:$B$300,$B10))</f>
        <v/>
      </c>
      <c r="F10" s="246">
        <f>IF($B10="","",IF(SUMIFS('ИТОГО Торговля'!$F$5:$F$300,'ИТОГО Торговля'!$B$5:$B$300,$B10)+SUMIFS('ИТОГО Лэндинг'!$F$5:$F$300,'ИТОГО Лэндинг'!$B$5:$B$300,$B10)+SUMIFS('История'!$F$5:$F$300,'История'!$B$5:$B$300,$B10)=0,"",SUMIFS('ИТОГО Торговля'!$F$5:$F$300,'ИТОГО Торговля'!$B$5:$B$300,$B10)+SUMIFS('ИТОГО Лэндинг'!$F$5:$F$300,'ИТОГО Лэндинг'!$B$5:$B$300,$B10)+SUMIFS('История'!$F$5:$F$300,'История'!$B$5:$B$300,$B10)))</f>
        <v/>
      </c>
      <c r="G10" s="183">
        <f>IF(F10="","",H10/F10)</f>
        <v/>
      </c>
      <c r="H10" s="247">
        <f>IF(F10="","",SUMIFS('ИТОГО Торговля'!$H$5:$H$300,'ИТОГО Торговля'!$B$5:$B$300,$B10)+SUMIFS('ИТОГО Лэндинг'!$H$5:$H$300,'ИТОГО Лэндинг'!$B$5:$B$300,$B10)+SUMIFS('История'!$H$5:$H$300,'История'!$B$5:$B$300,$B10))</f>
        <v/>
      </c>
      <c r="I10" s="246">
        <f>IF($B10="","",IF(AND(C10="",F10=""),"",ROUND(SUMIFS('ИТОГО Торговля'!$I$5:$I$300,'ИТОГО Торговля'!$B$5:$B$300,$B10)+SUMIFS('ИТОГО Лэндинг'!$I$5:$I$300,'ИТОГО Лэндинг'!$B$5:$B$300,$B10)+SUMIFS('История'!$I$5:$I$300,'История'!$B$5:$B$300,$B10),8)))</f>
        <v/>
      </c>
      <c r="J10" s="247">
        <f>IF($B10="","",IF(AND(C10="",F10=""),"",ROUND(SUMIFS('ИТОГО Торговля'!$J$5:$J$300,'ИТОГО Торговля'!$B$5:$B$300,$B10)+SUMIFS('ИТОГО Лэндинг'!$J$5:$J$300,'ИТОГО Лэндинг'!$B$5:$B$300,$B10)+SUMIFS('История'!$J$5:$J$300,'История'!$B$5:$B$300,$B10),8)))</f>
        <v/>
      </c>
      <c r="K10" s="246">
        <f>IF($B10="","",ROUND(SUMIFS('ИТОГО Торговля'!$K$5:$K$300,'ИТОГО Торговля'!$B$5:$B$300,$B10)+SUMIFS('ИТОГО Лэндинг'!$K$5:$K$300,'ИТОГО Лэндинг'!$B$5:$B$300,$B10)+SUMIFS('История'!$K$5:$K$300,'История'!$B$5:$B$300,$B10),8))</f>
        <v/>
      </c>
      <c r="L10" s="183">
        <f>IF(K10="","",IF(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10)*((История!$C$5:$C$300+История!$F$5:$F$300-ABS(История!$C$5:$C$300-История!$F$5:$F$300))/2)*История!$D$5:$D$300))&lt;=0,0,ROUND(K10/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10)*((История!$C$5:$C$300+История!$F$5:$F$300-ABS(История!$C$5:$C$300-История!$F$5:$F$300))/2)*История!$D$5:$D$300)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n"/>
      <c r="C11" s="240">
        <f>IF($B11="","",IF(SUMIFS('ИТОГО Торговля'!$C$5:$C$300,'ИТОГО Торговля'!$B$5:$B$300,$B11)+SUMIFS('ИТОГО Лэндинг'!$C$5:$C$300,'ИТОГО Лэндинг'!$B$5:$B$300,$B11)+SUMIFS('История'!$C$5:$C$300,'История'!$B$5:$B$300,$B11)=0,"",SUMIFS('ИТОГО Торговля'!$C$5:$C$300,'ИТОГО Торговля'!$B$5:$B$300,$B11)+SUMIFS('ИТОГО Лэндинг'!$C$5:$C$300,'ИТОГО Лэндинг'!$B$5:$B$300,$B11)+SUMIFS('История'!$C$5:$C$300,'История'!$B$5:$B$300,$B11)))</f>
        <v/>
      </c>
      <c r="D11" s="177">
        <f>IF(C11="","",E11/C11)</f>
        <v/>
      </c>
      <c r="E11" s="241">
        <f>IF(C11="","",SUMIFS('ИТОГО Торговля'!$E$5:$E$300,'ИТОГО Торговля'!$B$5:$B$300,$B11)+SUMIFS('ИТОГО Лэндинг'!$E$5:$E$300,'ИТОГО Лэндинг'!$B$5:$B$300,$B11)+SUMIFS('История'!$E$5:$E$300,'История'!$B$5:$B$300,$B11))</f>
        <v/>
      </c>
      <c r="F11" s="240">
        <f>IF($B11="","",IF(SUMIFS('ИТОГО Торговля'!$F$5:$F$300,'ИТОГО Торговля'!$B$5:$B$300,$B11)+SUMIFS('ИТОГО Лэндинг'!$F$5:$F$300,'ИТОГО Лэндинг'!$B$5:$B$300,$B11)+SUMIFS('История'!$F$5:$F$300,'История'!$B$5:$B$300,$B11)=0,"",SUMIFS('ИТОГО Торговля'!$F$5:$F$300,'ИТОГО Торговля'!$B$5:$B$300,$B11)+SUMIFS('ИТОГО Лэндинг'!$F$5:$F$300,'ИТОГО Лэндинг'!$B$5:$B$300,$B11)+SUMIFS('История'!$F$5:$F$300,'История'!$B$5:$B$300,$B11)))</f>
        <v/>
      </c>
      <c r="G11" s="177">
        <f>IF(F11="","",H11/F11)</f>
        <v/>
      </c>
      <c r="H11" s="241">
        <f>IF(F11="","",SUMIFS('ИТОГО Торговля'!$H$5:$H$300,'ИТОГО Торговля'!$B$5:$B$300,$B11)+SUMIFS('ИТОГО Лэндинг'!$H$5:$H$300,'ИТОГО Лэндинг'!$B$5:$B$300,$B11)+SUMIFS('История'!$H$5:$H$300,'История'!$B$5:$B$300,$B11))</f>
        <v/>
      </c>
      <c r="I11" s="240">
        <f>IF($B11="","",IF(AND(C11="",F11=""),"",ROUND(SUMIFS('ИТОГО Торговля'!$I$5:$I$300,'ИТОГО Торговля'!$B$5:$B$300,$B11)+SUMIFS('ИТОГО Лэндинг'!$I$5:$I$300,'ИТОГО Лэндинг'!$B$5:$B$300,$B11)+SUMIFS('История'!$I$5:$I$300,'История'!$B$5:$B$300,$B11),8)))</f>
        <v/>
      </c>
      <c r="J11" s="241">
        <f>IF($B11="","",IF(AND(C11="",F11=""),"",ROUND(SUMIFS('ИТОГО Торговля'!$J$5:$J$300,'ИТОГО Торговля'!$B$5:$B$300,$B11)+SUMIFS('ИТОГО Лэндинг'!$J$5:$J$300,'ИТОГО Лэндинг'!$B$5:$B$300,$B11)+SUMIFS('История'!$J$5:$J$300,'История'!$B$5:$B$300,$B11),8)))</f>
        <v/>
      </c>
      <c r="K11" s="240">
        <f>IF($B11="","",ROUND(SUMIFS('ИТОГО Торговля'!$K$5:$K$300,'ИТОГО Торговля'!$B$5:$B$300,$B11)+SUMIFS('ИТОГО Лэндинг'!$K$5:$K$300,'ИТОГО Лэндинг'!$B$5:$B$300,$B11)+SUMIFS('История'!$K$5:$K$300,'История'!$B$5:$B$300,$B11),8))</f>
        <v/>
      </c>
      <c r="L11" s="177">
        <f>IF(K11="","",IF(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11)*((История!$C$5:$C$300+История!$F$5:$F$300-ABS(История!$C$5:$C$300-История!$F$5:$F$300))/2)*История!$D$5:$D$300))&lt;=0,0,ROUND(K11/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11)*((История!$C$5:$C$300+История!$F$5:$F$300-ABS(История!$C$5:$C$300-История!$F$5:$F$300))/2)*История!$D$5:$D$300)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n"/>
      <c r="C12" s="246">
        <f>IF($B12="","",IF(SUMIFS('ИТОГО Торговля'!$C$5:$C$300,'ИТОГО Торговля'!$B$5:$B$300,$B12)+SUMIFS('ИТОГО Лэндинг'!$C$5:$C$300,'ИТОГО Лэндинг'!$B$5:$B$300,$B12)+SUMIFS('История'!$C$5:$C$300,'История'!$B$5:$B$300,$B12)=0,"",SUMIFS('ИТОГО Торговля'!$C$5:$C$300,'ИТОГО Торговля'!$B$5:$B$300,$B12)+SUMIFS('ИТОГО Лэндинг'!$C$5:$C$300,'ИТОГО Лэндинг'!$B$5:$B$300,$B12)+SUMIFS('История'!$C$5:$C$300,'История'!$B$5:$B$300,$B12)))</f>
        <v/>
      </c>
      <c r="D12" s="183">
        <f>IF(C12="","",E12/C12)</f>
        <v/>
      </c>
      <c r="E12" s="247">
        <f>IF(C12="","",SUMIFS('ИТОГО Торговля'!$E$5:$E$300,'ИТОГО Торговля'!$B$5:$B$300,$B12)+SUMIFS('ИТОГО Лэндинг'!$E$5:$E$300,'ИТОГО Лэндинг'!$B$5:$B$300,$B12)+SUMIFS('История'!$E$5:$E$300,'История'!$B$5:$B$300,$B12))</f>
        <v/>
      </c>
      <c r="F12" s="246">
        <f>IF($B12="","",IF(SUMIFS('ИТОГО Торговля'!$F$5:$F$300,'ИТОГО Торговля'!$B$5:$B$300,$B12)+SUMIFS('ИТОГО Лэндинг'!$F$5:$F$300,'ИТОГО Лэндинг'!$B$5:$B$300,$B12)+SUMIFS('История'!$F$5:$F$300,'История'!$B$5:$B$300,$B12)=0,"",SUMIFS('ИТОГО Торговля'!$F$5:$F$300,'ИТОГО Торговля'!$B$5:$B$300,$B12)+SUMIFS('ИТОГО Лэндинг'!$F$5:$F$300,'ИТОГО Лэндинг'!$B$5:$B$300,$B12)+SUMIFS('История'!$F$5:$F$300,'История'!$B$5:$B$300,$B12)))</f>
        <v/>
      </c>
      <c r="G12" s="183">
        <f>IF(F12="","",H12/F12)</f>
        <v/>
      </c>
      <c r="H12" s="247">
        <f>IF(F12="","",SUMIFS('ИТОГО Торговля'!$H$5:$H$300,'ИТОГО Торговля'!$B$5:$B$300,$B12)+SUMIFS('ИТОГО Лэндинг'!$H$5:$H$300,'ИТОГО Лэндинг'!$B$5:$B$300,$B12)+SUMIFS('История'!$H$5:$H$300,'История'!$B$5:$B$300,$B12))</f>
        <v/>
      </c>
      <c r="I12" s="246">
        <f>IF($B12="","",IF(AND(C12="",F12=""),"",ROUND(SUMIFS('ИТОГО Торговля'!$I$5:$I$300,'ИТОГО Торговля'!$B$5:$B$300,$B12)+SUMIFS('ИТОГО Лэндинг'!$I$5:$I$300,'ИТОГО Лэндинг'!$B$5:$B$300,$B12)+SUMIFS('История'!$I$5:$I$300,'История'!$B$5:$B$300,$B12),8)))</f>
        <v/>
      </c>
      <c r="J12" s="247">
        <f>IF($B12="","",IF(AND(C12="",F12=""),"",ROUND(SUMIFS('ИТОГО Торговля'!$J$5:$J$300,'ИТОГО Торговля'!$B$5:$B$300,$B12)+SUMIFS('ИТОГО Лэндинг'!$J$5:$J$300,'ИТОГО Лэндинг'!$B$5:$B$300,$B12)+SUMIFS('История'!$J$5:$J$300,'История'!$B$5:$B$300,$B12),8)))</f>
        <v/>
      </c>
      <c r="K12" s="246">
        <f>IF($B12="","",ROUND(SUMIFS('ИТОГО Торговля'!$K$5:$K$300,'ИТОГО Торговля'!$B$5:$B$300,$B12)+SUMIFS('ИТОГО Лэндинг'!$K$5:$K$300,'ИТОГО Лэндинг'!$B$5:$B$300,$B12)+SUMIFS('История'!$K$5:$K$300,'История'!$B$5:$B$300,$B12),8))</f>
        <v/>
      </c>
      <c r="L12" s="183">
        <f>IF(K12="","",IF(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12)*((История!$C$5:$C$300+История!$F$5:$F$300-ABS(История!$C$5:$C$300-История!$F$5:$F$300))/2)*История!$D$5:$D$300))&lt;=0,0,ROUND(K12/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12)*((История!$C$5:$C$300+История!$F$5:$F$300-ABS(История!$C$5:$C$300-История!$F$5:$F$300))/2)*История!$D$5:$D$300)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n"/>
      <c r="C13" s="240">
        <f>IF($B13="","",IF(SUMIFS('ИТОГО Торговля'!$C$5:$C$300,'ИТОГО Торговля'!$B$5:$B$300,$B13)+SUMIFS('ИТОГО Лэндинг'!$C$5:$C$300,'ИТОГО Лэндинг'!$B$5:$B$300,$B13)+SUMIFS('История'!$C$5:$C$300,'История'!$B$5:$B$300,$B13)=0,"",SUMIFS('ИТОГО Торговля'!$C$5:$C$300,'ИТОГО Торговля'!$B$5:$B$300,$B13)+SUMIFS('ИТОГО Лэндинг'!$C$5:$C$300,'ИТОГО Лэндинг'!$B$5:$B$300,$B13)+SUMIFS('История'!$C$5:$C$300,'История'!$B$5:$B$300,$B13)))</f>
        <v/>
      </c>
      <c r="D13" s="177">
        <f>IF(C13="","",E13/C13)</f>
        <v/>
      </c>
      <c r="E13" s="241">
        <f>IF(C13="","",SUMIFS('ИТОГО Торговля'!$E$5:$E$300,'ИТОГО Торговля'!$B$5:$B$300,$B13)+SUMIFS('ИТОГО Лэндинг'!$E$5:$E$300,'ИТОГО Лэндинг'!$B$5:$B$300,$B13)+SUMIFS('История'!$E$5:$E$300,'История'!$B$5:$B$300,$B13))</f>
        <v/>
      </c>
      <c r="F13" s="240">
        <f>IF($B13="","",IF(SUMIFS('ИТОГО Торговля'!$F$5:$F$300,'ИТОГО Торговля'!$B$5:$B$300,$B13)+SUMIFS('ИТОГО Лэндинг'!$F$5:$F$300,'ИТОГО Лэндинг'!$B$5:$B$300,$B13)+SUMIFS('История'!$F$5:$F$300,'История'!$B$5:$B$300,$B13)=0,"",SUMIFS('ИТОГО Торговля'!$F$5:$F$300,'ИТОГО Торговля'!$B$5:$B$300,$B13)+SUMIFS('ИТОГО Лэндинг'!$F$5:$F$300,'ИТОГО Лэндинг'!$B$5:$B$300,$B13)+SUMIFS('История'!$F$5:$F$300,'История'!$B$5:$B$300,$B13)))</f>
        <v/>
      </c>
      <c r="G13" s="177">
        <f>IF(F13="","",H13/F13)</f>
        <v/>
      </c>
      <c r="H13" s="241">
        <f>IF(F13="","",SUMIFS('ИТОГО Торговля'!$H$5:$H$300,'ИТОГО Торговля'!$B$5:$B$300,$B13)+SUMIFS('ИТОГО Лэндинг'!$H$5:$H$300,'ИТОГО Лэндинг'!$B$5:$B$300,$B13)+SUMIFS('История'!$H$5:$H$300,'История'!$B$5:$B$300,$B13))</f>
        <v/>
      </c>
      <c r="I13" s="240">
        <f>IF($B13="","",IF(AND(C13="",F13=""),"",ROUND(SUMIFS('ИТОГО Торговля'!$I$5:$I$300,'ИТОГО Торговля'!$B$5:$B$300,$B13)+SUMIFS('ИТОГО Лэндинг'!$I$5:$I$300,'ИТОГО Лэндинг'!$B$5:$B$300,$B13)+SUMIFS('История'!$I$5:$I$300,'История'!$B$5:$B$300,$B13),8)))</f>
        <v/>
      </c>
      <c r="J13" s="241">
        <f>IF($B13="","",IF(AND(C13="",F13=""),"",ROUND(SUMIFS('ИТОГО Торговля'!$J$5:$J$300,'ИТОГО Торговля'!$B$5:$B$300,$B13)+SUMIFS('ИТОГО Лэндинг'!$J$5:$J$300,'ИТОГО Лэндинг'!$B$5:$B$300,$B13)+SUMIFS('История'!$J$5:$J$300,'История'!$B$5:$B$300,$B13),8)))</f>
        <v/>
      </c>
      <c r="K13" s="240">
        <f>IF($B13="","",ROUND(SUMIFS('ИТОГО Торговля'!$K$5:$K$300,'ИТОГО Торговля'!$B$5:$B$300,$B13)+SUMIFS('ИТОГО Лэндинг'!$K$5:$K$300,'ИТОГО Лэндинг'!$B$5:$B$300,$B13)+SUMIFS('История'!$K$5:$K$300,'История'!$B$5:$B$300,$B13),8))</f>
        <v/>
      </c>
      <c r="L13" s="177">
        <f>IF(K13="","",IF(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13)*((История!$C$5:$C$300+История!$F$5:$F$300-ABS(История!$C$5:$C$300-История!$F$5:$F$300))/2)*История!$D$5:$D$300))&lt;=0,0,ROUND(K13/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13)*((История!$C$5:$C$300+История!$F$5:$F$300-ABS(История!$C$5:$C$300-История!$F$5:$F$300))/2)*История!$D$5:$D$300)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n"/>
      <c r="C14" s="246">
        <f>IF($B14="","",IF(SUMIFS('ИТОГО Торговля'!$C$5:$C$300,'ИТОГО Торговля'!$B$5:$B$300,$B14)+SUMIFS('ИТОГО Лэндинг'!$C$5:$C$300,'ИТОГО Лэндинг'!$B$5:$B$300,$B14)+SUMIFS('История'!$C$5:$C$300,'История'!$B$5:$B$300,$B14)=0,"",SUMIFS('ИТОГО Торговля'!$C$5:$C$300,'ИТОГО Торговля'!$B$5:$B$300,$B14)+SUMIFS('ИТОГО Лэндинг'!$C$5:$C$300,'ИТОГО Лэндинг'!$B$5:$B$300,$B14)+SUMIFS('История'!$C$5:$C$300,'История'!$B$5:$B$300,$B14)))</f>
        <v/>
      </c>
      <c r="D14" s="183">
        <f>IF(C14="","",E14/C14)</f>
        <v/>
      </c>
      <c r="E14" s="247">
        <f>IF(C14="","",SUMIFS('ИТОГО Торговля'!$E$5:$E$300,'ИТОГО Торговля'!$B$5:$B$300,$B14)+SUMIFS('ИТОГО Лэндинг'!$E$5:$E$300,'ИТОГО Лэндинг'!$B$5:$B$300,$B14)+SUMIFS('История'!$E$5:$E$300,'История'!$B$5:$B$300,$B14))</f>
        <v/>
      </c>
      <c r="F14" s="246">
        <f>IF($B14="","",IF(SUMIFS('ИТОГО Торговля'!$F$5:$F$300,'ИТОГО Торговля'!$B$5:$B$300,$B14)+SUMIFS('ИТОГО Лэндинг'!$F$5:$F$300,'ИТОГО Лэндинг'!$B$5:$B$300,$B14)+SUMIFS('История'!$F$5:$F$300,'История'!$B$5:$B$300,$B14)=0,"",SUMIFS('ИТОГО Торговля'!$F$5:$F$300,'ИТОГО Торговля'!$B$5:$B$300,$B14)+SUMIFS('ИТОГО Лэндинг'!$F$5:$F$300,'ИТОГО Лэндинг'!$B$5:$B$300,$B14)+SUMIFS('История'!$F$5:$F$300,'История'!$B$5:$B$300,$B14)))</f>
        <v/>
      </c>
      <c r="G14" s="183">
        <f>IF(F14="","",H14/F14)</f>
        <v/>
      </c>
      <c r="H14" s="247">
        <f>IF(F14="","",SUMIFS('ИТОГО Торговля'!$H$5:$H$300,'ИТОГО Торговля'!$B$5:$B$300,$B14)+SUMIFS('ИТОГО Лэндинг'!$H$5:$H$300,'ИТОГО Лэндинг'!$B$5:$B$300,$B14)+SUMIFS('История'!$H$5:$H$300,'История'!$B$5:$B$300,$B14))</f>
        <v/>
      </c>
      <c r="I14" s="246">
        <f>IF($B14="","",IF(AND(C14="",F14=""),"",ROUND(SUMIFS('ИТОГО Торговля'!$I$5:$I$300,'ИТОГО Торговля'!$B$5:$B$300,$B14)+SUMIFS('ИТОГО Лэндинг'!$I$5:$I$300,'ИТОГО Лэндинг'!$B$5:$B$300,$B14)+SUMIFS('История'!$I$5:$I$300,'История'!$B$5:$B$300,$B14),8)))</f>
        <v/>
      </c>
      <c r="J14" s="247">
        <f>IF($B14="","",IF(AND(C14="",F14=""),"",ROUND(SUMIFS('ИТОГО Торговля'!$J$5:$J$300,'ИТОГО Торговля'!$B$5:$B$300,$B14)+SUMIFS('ИТОГО Лэндинг'!$J$5:$J$300,'ИТОГО Лэндинг'!$B$5:$B$300,$B14)+SUMIFS('История'!$J$5:$J$300,'История'!$B$5:$B$300,$B14),8)))</f>
        <v/>
      </c>
      <c r="K14" s="246">
        <f>IF($B14="","",ROUND(SUMIFS('ИТОГО Торговля'!$K$5:$K$300,'ИТОГО Торговля'!$B$5:$B$300,$B14)+SUMIFS('ИТОГО Лэндинг'!$K$5:$K$300,'ИТОГО Лэндинг'!$B$5:$B$300,$B14)+SUMIFS('История'!$K$5:$K$300,'История'!$B$5:$B$300,$B14),8))</f>
        <v/>
      </c>
      <c r="L14" s="183">
        <f>IF(K14="","",IF(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14)*((История!$C$5:$C$300+История!$F$5:$F$300-ABS(История!$C$5:$C$300-История!$F$5:$F$300))/2)*История!$D$5:$D$300))&lt;=0,0,ROUND(K14/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14)*((История!$C$5:$C$300+История!$F$5:$F$300-ABS(История!$C$5:$C$300-История!$F$5:$F$300))/2)*История!$D$5:$D$300)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n"/>
      <c r="C15" s="240">
        <f>IF($B15="","",IF(SUMIFS('ИТОГО Торговля'!$C$5:$C$300,'ИТОГО Торговля'!$B$5:$B$300,$B15)+SUMIFS('ИТОГО Лэндинг'!$C$5:$C$300,'ИТОГО Лэндинг'!$B$5:$B$300,$B15)+SUMIFS('История'!$C$5:$C$300,'История'!$B$5:$B$300,$B15)=0,"",SUMIFS('ИТОГО Торговля'!$C$5:$C$300,'ИТОГО Торговля'!$B$5:$B$300,$B15)+SUMIFS('ИТОГО Лэндинг'!$C$5:$C$300,'ИТОГО Лэндинг'!$B$5:$B$300,$B15)+SUMIFS('История'!$C$5:$C$300,'История'!$B$5:$B$300,$B15)))</f>
        <v/>
      </c>
      <c r="D15" s="177">
        <f>IF(C15="","",E15/C15)</f>
        <v/>
      </c>
      <c r="E15" s="241">
        <f>IF(C15="","",SUMIFS('ИТОГО Торговля'!$E$5:$E$300,'ИТОГО Торговля'!$B$5:$B$300,$B15)+SUMIFS('ИТОГО Лэндинг'!$E$5:$E$300,'ИТОГО Лэндинг'!$B$5:$B$300,$B15)+SUMIFS('История'!$E$5:$E$300,'История'!$B$5:$B$300,$B15))</f>
        <v/>
      </c>
      <c r="F15" s="240">
        <f>IF($B15="","",IF(SUMIFS('ИТОГО Торговля'!$F$5:$F$300,'ИТОГО Торговля'!$B$5:$B$300,$B15)+SUMIFS('ИТОГО Лэндинг'!$F$5:$F$300,'ИТОГО Лэндинг'!$B$5:$B$300,$B15)+SUMIFS('История'!$F$5:$F$300,'История'!$B$5:$B$300,$B15)=0,"",SUMIFS('ИТОГО Торговля'!$F$5:$F$300,'ИТОГО Торговля'!$B$5:$B$300,$B15)+SUMIFS('ИТОГО Лэндинг'!$F$5:$F$300,'ИТОГО Лэндинг'!$B$5:$B$300,$B15)+SUMIFS('История'!$F$5:$F$300,'История'!$B$5:$B$300,$B15)))</f>
        <v/>
      </c>
      <c r="G15" s="177">
        <f>IF(F15="","",H15/F15)</f>
        <v/>
      </c>
      <c r="H15" s="241">
        <f>IF(F15="","",SUMIFS('ИТОГО Торговля'!$H$5:$H$300,'ИТОГО Торговля'!$B$5:$B$300,$B15)+SUMIFS('ИТОГО Лэндинг'!$H$5:$H$300,'ИТОГО Лэндинг'!$B$5:$B$300,$B15)+SUMIFS('История'!$H$5:$H$300,'История'!$B$5:$B$300,$B15))</f>
        <v/>
      </c>
      <c r="I15" s="240">
        <f>IF($B15="","",IF(AND(C15="",F15=""),"",ROUND(SUMIFS('ИТОГО Торговля'!$I$5:$I$300,'ИТОГО Торговля'!$B$5:$B$300,$B15)+SUMIFS('ИТОГО Лэндинг'!$I$5:$I$300,'ИТОГО Лэндинг'!$B$5:$B$300,$B15)+SUMIFS('История'!$I$5:$I$300,'История'!$B$5:$B$300,$B15),8)))</f>
        <v/>
      </c>
      <c r="J15" s="241">
        <f>IF($B15="","",IF(AND(C15="",F15=""),"",ROUND(SUMIFS('ИТОГО Торговля'!$J$5:$J$300,'ИТОГО Торговля'!$B$5:$B$300,$B15)+SUMIFS('ИТОГО Лэндинг'!$J$5:$J$300,'ИТОГО Лэндинг'!$B$5:$B$300,$B15)+SUMIFS('История'!$J$5:$J$300,'История'!$B$5:$B$300,$B15),8)))</f>
        <v/>
      </c>
      <c r="K15" s="240">
        <f>IF($B15="","",ROUND(SUMIFS('ИТОГО Торговля'!$K$5:$K$300,'ИТОГО Торговля'!$B$5:$B$300,$B15)+SUMIFS('ИТОГО Лэндинг'!$K$5:$K$300,'ИТОГО Лэндинг'!$B$5:$B$300,$B15)+SUMIFS('История'!$K$5:$K$300,'История'!$B$5:$B$300,$B15),8))</f>
        <v/>
      </c>
      <c r="L15" s="177">
        <f>IF(K15="","",IF(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15)*((История!$C$5:$C$300+История!$F$5:$F$300-ABS(История!$C$5:$C$300-История!$F$5:$F$300))/2)*История!$D$5:$D$300))&lt;=0,0,ROUND(K15/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15)*((История!$C$5:$C$300+История!$F$5:$F$300-ABS(История!$C$5:$C$300-История!$F$5:$F$300))/2)*История!$D$5:$D$300)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IF($B16="","",IF(SUMIFS('ИТОГО Торговля'!$C$5:$C$300,'ИТОГО Торговля'!$B$5:$B$300,$B16)+SUMIFS('ИТОГО Лэндинг'!$C$5:$C$300,'ИТОГО Лэндинг'!$B$5:$B$300,$B16)+SUMIFS('История'!$C$5:$C$300,'История'!$B$5:$B$300,$B16)=0,"",SUMIFS('ИТОГО Торговля'!$C$5:$C$300,'ИТОГО Торговля'!$B$5:$B$300,$B16)+SUMIFS('ИТОГО Лэндинг'!$C$5:$C$300,'ИТОГО Лэндинг'!$B$5:$B$300,$B16)+SUMIFS('История'!$C$5:$C$300,'История'!$B$5:$B$300,$B16)))</f>
        <v/>
      </c>
      <c r="D16" s="183">
        <f>IF(C16="","",E16/C16)</f>
        <v/>
      </c>
      <c r="E16" s="247">
        <f>IF(C16="","",SUMIFS('ИТОГО Торговля'!$E$5:$E$300,'ИТОГО Торговля'!$B$5:$B$300,$B16)+SUMIFS('ИТОГО Лэндинг'!$E$5:$E$300,'ИТОГО Лэндинг'!$B$5:$B$300,$B16)+SUMIFS('История'!$E$5:$E$300,'История'!$B$5:$B$300,$B16))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Лэндинг'!$B$5:$B$300,$B16)+SUMIFS('История'!$F$5:$F$300,'История'!$B$5:$B$300,$B16)=0,"",SUMIFS('ИТОГО Торговля'!$F$5:$F$300,'ИТОГО Торговля'!$B$5:$B$300,$B16)+SUMIFS('ИТОГО Лэндинг'!$F$5:$F$300,'ИТОГО Лэндинг'!$B$5:$B$300,$B16)+SUMIFS('История'!$F$5:$F$300,'История'!$B$5:$B$300,$B16)))</f>
        <v/>
      </c>
      <c r="G16" s="183">
        <f>IF(F16="","",H16/F16)</f>
        <v/>
      </c>
      <c r="H16" s="247">
        <f>IF(F16="","",SUMIFS('ИТОГО Торговля'!$H$5:$H$300,'ИТОГО Торговля'!$B$5:$B$300,$B16)+SUMIFS('ИТОГО Лэндинг'!$H$5:$H$300,'ИТОГО Лэндинг'!$B$5:$B$300,$B16)+SUMIFS('История'!$H$5:$H$300,'История'!$B$5:$B$300,$B16))</f>
        <v/>
      </c>
      <c r="I16" s="246">
        <f>IF($B16="","",IF(AND(C16="",F16=""),"",ROUND(SUMIFS('ИТОГО Торговля'!$I$5:$I$300,'ИТОГО Торговля'!$B$5:$B$300,$B16)+SUMIFS('ИТОГО Лэндинг'!$I$5:$I$300,'ИТОГО Лэндинг'!$B$5:$B$300,$B16)+SUMIFS('История'!$I$5:$I$300,'История'!$B$5:$B$300,$B16),8)))</f>
        <v/>
      </c>
      <c r="J16" s="247">
        <f>IF($B16="","",IF(AND(C16="",F16=""),"",ROUND(SUMIFS('ИТОГО Торговля'!$J$5:$J$300,'ИТОГО Торговля'!$B$5:$B$300,$B16)+SUMIFS('ИТОГО Лэндинг'!$J$5:$J$300,'ИТОГО Лэндинг'!$B$5:$B$300,$B16)+SUMIFS('История'!$J$5:$J$300,'История'!$B$5:$B$300,$B16),8)))</f>
        <v/>
      </c>
      <c r="K16" s="246">
        <f>IF($B16="","",ROUND(SUMIFS('ИТОГО Торговля'!$K$5:$K$300,'ИТОГО Торговля'!$B$5:$B$300,$B16)+SUMIFS('ИТОГО Лэндинг'!$K$5:$K$300,'ИТОГО Лэндинг'!$B$5:$B$300,$B16)+SUMIFS('История'!$K$5:$K$300,'История'!$B$5:$B$300,$B16),8))</f>
        <v/>
      </c>
      <c r="L16" s="183">
        <f>IF(K16="","",IF(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16)*((История!$C$5:$C$300+История!$F$5:$F$300-ABS(История!$C$5:$C$300-История!$F$5:$F$300))/2)*История!$D$5:$D$300))&lt;=0,0,ROUND(K16/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16)*((История!$C$5:$C$300+История!$F$5:$F$300-ABS(История!$C$5:$C$300-История!$F$5:$F$300))/2)*История!$D$5:$D$300)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IF($B17="","",IF(SUMIFS('ИТОГО Торговля'!$C$5:$C$300,'ИТОГО Торговля'!$B$5:$B$300,$B17)+SUMIFS('ИТОГО Лэндинг'!$C$5:$C$300,'ИТОГО Лэндинг'!$B$5:$B$300,$B17)+SUMIFS('История'!$C$5:$C$300,'История'!$B$5:$B$300,$B17)=0,"",SUMIFS('ИТОГО Торговля'!$C$5:$C$300,'ИТОГО Торговля'!$B$5:$B$300,$B17)+SUMIFS('ИТОГО Лэндинг'!$C$5:$C$300,'ИТОГО Лэндинг'!$B$5:$B$300,$B17)+SUMIFS('История'!$C$5:$C$300,'История'!$B$5:$B$300,$B17)))</f>
        <v/>
      </c>
      <c r="D17" s="177">
        <f>IF(C17="","",E17/C17)</f>
        <v/>
      </c>
      <c r="E17" s="241">
        <f>IF(C17="","",SUMIFS('ИТОГО Торговля'!$E$5:$E$300,'ИТОГО Торговля'!$B$5:$B$300,$B17)+SUMIFS('ИТОГО Лэндинг'!$E$5:$E$300,'ИТОГО Лэндинг'!$B$5:$B$300,$B17)+SUMIFS('История'!$E$5:$E$300,'История'!$B$5:$B$300,$B17))</f>
        <v/>
      </c>
      <c r="F17" s="240">
        <f>IF($B17="","",IF(SUMIFS('ИТОГО Торговля'!$F$5:$F$300,'ИТОГО Торговля'!$B$5:$B$300,$B17)+SUMIFS('ИТОГО Лэндинг'!$F$5:$F$300,'ИТОГО Лэндинг'!$B$5:$B$300,$B17)+SUMIFS('История'!$F$5:$F$300,'История'!$B$5:$B$300,$B17)=0,"",SUMIFS('ИТОГО Торговля'!$F$5:$F$300,'ИТОГО Торговля'!$B$5:$B$300,$B17)+SUMIFS('ИТОГО Лэндинг'!$F$5:$F$300,'ИТОГО Лэндинг'!$B$5:$B$300,$B17)+SUMIFS('История'!$F$5:$F$300,'История'!$B$5:$B$300,$B17)))</f>
        <v/>
      </c>
      <c r="G17" s="177">
        <f>IF(F17="","",H17/F17)</f>
        <v/>
      </c>
      <c r="H17" s="241">
        <f>IF(F17="","",SUMIFS('ИТОГО Торговля'!$H$5:$H$300,'ИТОГО Торговля'!$B$5:$B$300,$B17)+SUMIFS('ИТОГО Лэндинг'!$H$5:$H$300,'ИТОГО Лэндинг'!$B$5:$B$300,$B17)+SUMIFS('История'!$H$5:$H$300,'История'!$B$5:$B$300,$B17))</f>
        <v/>
      </c>
      <c r="I17" s="240">
        <f>IF($B17="","",IF(AND(C17="",F17=""),"",ROUND(SUMIFS('ИТОГО Торговля'!$I$5:$I$300,'ИТОГО Торговля'!$B$5:$B$300,$B17)+SUMIFS('ИТОГО Лэндинг'!$I$5:$I$300,'ИТОГО Лэндинг'!$B$5:$B$300,$B17)+SUMIFS('История'!$I$5:$I$300,'История'!$B$5:$B$300,$B17),8)))</f>
        <v/>
      </c>
      <c r="J17" s="241">
        <f>IF($B17="","",IF(AND(C17="",F17=""),"",ROUND(SUMIFS('ИТОГО Торговля'!$J$5:$J$300,'ИТОГО Торговля'!$B$5:$B$300,$B17)+SUMIFS('ИТОГО Лэндинг'!$J$5:$J$300,'ИТОГО Лэндинг'!$B$5:$B$300,$B17)+SUMIFS('История'!$J$5:$J$300,'История'!$B$5:$B$300,$B17),8)))</f>
        <v/>
      </c>
      <c r="K17" s="240">
        <f>IF($B17="","",ROUND(SUMIFS('ИТОГО Торговля'!$K$5:$K$300,'ИТОГО Торговля'!$B$5:$B$300,$B17)+SUMIFS('ИТОГО Лэндинг'!$K$5:$K$300,'ИТОГО Лэндинг'!$B$5:$B$300,$B17)+SUMIFS('История'!$K$5:$K$300,'История'!$B$5:$B$300,$B17),8))</f>
        <v/>
      </c>
      <c r="L17" s="177">
        <f>IF(K17="","",IF(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17)*((История!$C$5:$C$300+История!$F$5:$F$300-ABS(История!$C$5:$C$300-История!$F$5:$F$300))/2)*История!$D$5:$D$300))&lt;=0,0,ROUND(K17/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17)*((История!$C$5:$C$300+История!$F$5:$F$300-ABS(История!$C$5:$C$300-История!$F$5:$F$300))/2)*История!$D$5:$D$300)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IF($B18="","",IF(SUMIFS('ИТОГО Торговля'!$C$5:$C$300,'ИТОГО Торговля'!$B$5:$B$300,$B18)+SUMIFS('ИТОГО Лэндинг'!$C$5:$C$300,'ИТОГО Лэндинг'!$B$5:$B$300,$B18)+SUMIFS('История'!$C$5:$C$300,'История'!$B$5:$B$300,$B18)=0,"",SUMIFS('ИТОГО Торговля'!$C$5:$C$300,'ИТОГО Торговля'!$B$5:$B$300,$B18)+SUMIFS('ИТОГО Лэндинг'!$C$5:$C$300,'ИТОГО Лэндинг'!$B$5:$B$300,$B18)+SUMIFS('История'!$C$5:$C$300,'История'!$B$5:$B$300,$B18)))</f>
        <v/>
      </c>
      <c r="D18" s="183">
        <f>IF(C18="","",E18/C18)</f>
        <v/>
      </c>
      <c r="E18" s="247">
        <f>IF(C18="","",SUMIFS('ИТОГО Торговля'!$E$5:$E$300,'ИТОГО Торговля'!$B$5:$B$300,$B18)+SUMIFS('ИТОГО Лэндинг'!$E$5:$E$300,'ИТОГО Лэндинг'!$B$5:$B$300,$B18)+SUMIFS('История'!$E$5:$E$300,'История'!$B$5:$B$300,$B18))</f>
        <v/>
      </c>
      <c r="F18" s="246">
        <f>IF($B18="","",IF(SUMIFS('ИТОГО Торговля'!$F$5:$F$300,'ИТОГО Торговля'!$B$5:$B$300,$B18)+SUMIFS('ИТОГО Лэндинг'!$F$5:$F$300,'ИТОГО Лэндинг'!$B$5:$B$300,$B18)+SUMIFS('История'!$F$5:$F$300,'История'!$B$5:$B$300,$B18)=0,"",SUMIFS('ИТОГО Торговля'!$F$5:$F$300,'ИТОГО Торговля'!$B$5:$B$300,$B18)+SUMIFS('ИТОГО Лэндинг'!$F$5:$F$300,'ИТОГО Лэндинг'!$B$5:$B$300,$B18)+SUMIFS('История'!$F$5:$F$300,'История'!$B$5:$B$300,$B18)))</f>
        <v/>
      </c>
      <c r="G18" s="183">
        <f>IF(F18="","",H18/F18)</f>
        <v/>
      </c>
      <c r="H18" s="247">
        <f>IF(F18="","",SUMIFS('ИТОГО Торговля'!$H$5:$H$300,'ИТОГО Торговля'!$B$5:$B$300,$B18)+SUMIFS('ИТОГО Лэндинг'!$H$5:$H$300,'ИТОГО Лэндинг'!$B$5:$B$300,$B18)+SUMIFS('История'!$H$5:$H$300,'История'!$B$5:$B$300,$B18))</f>
        <v/>
      </c>
      <c r="I18" s="246">
        <f>IF($B18="","",IF(AND(C18="",F18=""),"",ROUND(SUMIFS('ИТОГО Торговля'!$I$5:$I$300,'ИТОГО Торговля'!$B$5:$B$300,$B18)+SUMIFS('ИТОГО Лэндинг'!$I$5:$I$300,'ИТОГО Лэндинг'!$B$5:$B$300,$B18)+SUMIFS('История'!$I$5:$I$300,'История'!$B$5:$B$300,$B18),8)))</f>
        <v/>
      </c>
      <c r="J18" s="247">
        <f>IF($B18="","",IF(AND(C18="",F18=""),"",ROUND(SUMIFS('ИТОГО Торговля'!$J$5:$J$300,'ИТОГО Торговля'!$B$5:$B$300,$B18)+SUMIFS('ИТОГО Лэндинг'!$J$5:$J$300,'ИТОГО Лэндинг'!$B$5:$B$300,$B18)+SUMIFS('История'!$J$5:$J$300,'История'!$B$5:$B$300,$B18),8)))</f>
        <v/>
      </c>
      <c r="K18" s="246">
        <f>IF($B18="","",ROUND(SUMIFS('ИТОГО Торговля'!$K$5:$K$300,'ИТОГО Торговля'!$B$5:$B$300,$B18)+SUMIFS('ИТОГО Лэндинг'!$K$5:$K$300,'ИТОГО Лэндинг'!$B$5:$B$300,$B18)+SUMIFS('История'!$K$5:$K$300,'История'!$B$5:$B$300,$B18),8))</f>
        <v/>
      </c>
      <c r="L18" s="183">
        <f>IF(K18="","",IF(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18)*((История!$C$5:$C$300+История!$F$5:$F$300-ABS(История!$C$5:$C$300-История!$F$5:$F$300))/2)*История!$D$5:$D$300))&lt;=0,0,ROUND(K18/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18)*((История!$C$5:$C$300+История!$F$5:$F$300-ABS(История!$C$5:$C$300-История!$F$5:$F$300))/2)*История!$D$5:$D$300)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IF($B19="","",IF(SUMIFS('ИТОГО Торговля'!$C$5:$C$300,'ИТОГО Торговля'!$B$5:$B$300,$B19)+SUMIFS('ИТОГО Лэндинг'!$C$5:$C$300,'ИТОГО Лэндинг'!$B$5:$B$300,$B19)+SUMIFS('История'!$C$5:$C$300,'История'!$B$5:$B$300,$B19)=0,"",SUMIFS('ИТОГО Торговля'!$C$5:$C$300,'ИТОГО Торговля'!$B$5:$B$300,$B19)+SUMIFS('ИТОГО Лэндинг'!$C$5:$C$300,'ИТОГО Лэндинг'!$B$5:$B$300,$B19)+SUMIFS('История'!$C$5:$C$300,'История'!$B$5:$B$300,$B19)))</f>
        <v/>
      </c>
      <c r="D19" s="177">
        <f>IF(C19="","",E19/C19)</f>
        <v/>
      </c>
      <c r="E19" s="241">
        <f>IF(C19="","",SUMIFS('ИТОГО Торговля'!$E$5:$E$300,'ИТОГО Торговля'!$B$5:$B$300,$B19)+SUMIFS('ИТОГО Лэндинг'!$E$5:$E$300,'ИТОГО Лэндинг'!$B$5:$B$300,$B19)+SUMIFS('История'!$E$5:$E$300,'История'!$B$5:$B$300,$B19))</f>
        <v/>
      </c>
      <c r="F19" s="240">
        <f>IF($B19="","",IF(SUMIFS('ИТОГО Торговля'!$F$5:$F$300,'ИТОГО Торговля'!$B$5:$B$300,$B19)+SUMIFS('ИТОГО Лэндинг'!$F$5:$F$300,'ИТОГО Лэндинг'!$B$5:$B$300,$B19)+SUMIFS('История'!$F$5:$F$300,'История'!$B$5:$B$300,$B19)=0,"",SUMIFS('ИТОГО Торговля'!$F$5:$F$300,'ИТОГО Торговля'!$B$5:$B$300,$B19)+SUMIFS('ИТОГО Лэндинг'!$F$5:$F$300,'ИТОГО Лэндинг'!$B$5:$B$300,$B19)+SUMIFS('История'!$F$5:$F$300,'История'!$B$5:$B$300,$B19)))</f>
        <v/>
      </c>
      <c r="G19" s="177">
        <f>IF(F19="","",H19/F19)</f>
        <v/>
      </c>
      <c r="H19" s="241">
        <f>IF(F19="","",SUMIFS('ИТОГО Торговля'!$H$5:$H$300,'ИТОГО Торговля'!$B$5:$B$300,$B19)+SUMIFS('ИТОГО Лэндинг'!$H$5:$H$300,'ИТОГО Лэндинг'!$B$5:$B$300,$B19)+SUMIFS('История'!$H$5:$H$300,'История'!$B$5:$B$300,$B19))</f>
        <v/>
      </c>
      <c r="I19" s="240">
        <f>IF($B19="","",IF(AND(C19="",F19=""),"",ROUND(SUMIFS('ИТОГО Торговля'!$I$5:$I$300,'ИТОГО Торговля'!$B$5:$B$300,$B19)+SUMIFS('ИТОГО Лэндинг'!$I$5:$I$300,'ИТОГО Лэндинг'!$B$5:$B$300,$B19)+SUMIFS('История'!$I$5:$I$300,'История'!$B$5:$B$300,$B19),8)))</f>
        <v/>
      </c>
      <c r="J19" s="241">
        <f>IF($B19="","",IF(AND(C19="",F19=""),"",ROUND(SUMIFS('ИТОГО Торговля'!$J$5:$J$300,'ИТОГО Торговля'!$B$5:$B$300,$B19)+SUMIFS('ИТОГО Лэндинг'!$J$5:$J$300,'ИТОГО Лэндинг'!$B$5:$B$300,$B19)+SUMIFS('История'!$J$5:$J$300,'История'!$B$5:$B$300,$B19),8)))</f>
        <v/>
      </c>
      <c r="K19" s="240">
        <f>IF($B19="","",ROUND(SUMIFS('ИТОГО Торговля'!$K$5:$K$300,'ИТОГО Торговля'!$B$5:$B$300,$B19)+SUMIFS('ИТОГО Лэндинг'!$K$5:$K$300,'ИТОГО Лэндинг'!$B$5:$B$300,$B19)+SUMIFS('История'!$K$5:$K$300,'История'!$B$5:$B$300,$B19),8))</f>
        <v/>
      </c>
      <c r="L19" s="177">
        <f>IF(K19="","",IF(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19)*((История!$C$5:$C$300+История!$F$5:$F$300-ABS(История!$C$5:$C$300-История!$F$5:$F$300))/2)*История!$D$5:$D$300))&lt;=0,0,ROUND(K19/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19)*((История!$C$5:$C$300+История!$F$5:$F$300-ABS(История!$C$5:$C$300-История!$F$5:$F$300))/2)*История!$D$5:$D$300)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IF($B20="","",IF(SUMIFS('ИТОГО Торговля'!$C$5:$C$300,'ИТОГО Торговля'!$B$5:$B$300,$B20)+SUMIFS('ИТОГО Лэндинг'!$C$5:$C$300,'ИТОГО Лэндинг'!$B$5:$B$300,$B20)+SUMIFS('История'!$C$5:$C$300,'История'!$B$5:$B$300,$B20)=0,"",SUMIFS('ИТОГО Торговля'!$C$5:$C$300,'ИТОГО Торговля'!$B$5:$B$300,$B20)+SUMIFS('ИТОГО Лэндинг'!$C$5:$C$300,'ИТОГО Лэндинг'!$B$5:$B$300,$B20)+SUMIFS('История'!$C$5:$C$300,'История'!$B$5:$B$300,$B20)))</f>
        <v/>
      </c>
      <c r="D20" s="183">
        <f>IF(C20="","",E20/C20)</f>
        <v/>
      </c>
      <c r="E20" s="247">
        <f>IF(C20="","",SUMIFS('ИТОГО Торговля'!$E$5:$E$300,'ИТОГО Торговля'!$B$5:$B$300,$B20)+SUMIFS('ИТОГО Лэндинг'!$E$5:$E$300,'ИТОГО Лэндинг'!$B$5:$B$300,$B20)+SUMIFS('История'!$E$5:$E$300,'История'!$B$5:$B$300,$B20))</f>
        <v/>
      </c>
      <c r="F20" s="246">
        <f>IF($B20="","",IF(SUMIFS('ИТОГО Торговля'!$F$5:$F$300,'ИТОГО Торговля'!$B$5:$B$300,$B20)+SUMIFS('ИТОГО Лэндинг'!$F$5:$F$300,'ИТОГО Лэндинг'!$B$5:$B$300,$B20)+SUMIFS('История'!$F$5:$F$300,'История'!$B$5:$B$300,$B20)=0,"",SUMIFS('ИТОГО Торговля'!$F$5:$F$300,'ИТОГО Торговля'!$B$5:$B$300,$B20)+SUMIFS('ИТОГО Лэндинг'!$F$5:$F$300,'ИТОГО Лэндинг'!$B$5:$B$300,$B20)+SUMIFS('История'!$F$5:$F$300,'История'!$B$5:$B$300,$B20)))</f>
        <v/>
      </c>
      <c r="G20" s="183">
        <f>IF(F20="","",H20/F20)</f>
        <v/>
      </c>
      <c r="H20" s="247">
        <f>IF(F20="","",SUMIFS('ИТОГО Торговля'!$H$5:$H$300,'ИТОГО Торговля'!$B$5:$B$300,$B20)+SUMIFS('ИТОГО Лэндинг'!$H$5:$H$300,'ИТОГО Лэндинг'!$B$5:$B$300,$B20)+SUMIFS('История'!$H$5:$H$300,'История'!$B$5:$B$300,$B20))</f>
        <v/>
      </c>
      <c r="I20" s="246">
        <f>IF($B20="","",IF(AND(C20="",F20=""),"",ROUND(SUMIFS('ИТОГО Торговля'!$I$5:$I$300,'ИТОГО Торговля'!$B$5:$B$300,$B20)+SUMIFS('ИТОГО Лэндинг'!$I$5:$I$300,'ИТОГО Лэндинг'!$B$5:$B$300,$B20)+SUMIFS('История'!$I$5:$I$300,'История'!$B$5:$B$300,$B20),8)))</f>
        <v/>
      </c>
      <c r="J20" s="247">
        <f>IF($B20="","",IF(AND(C20="",F20=""),"",ROUND(SUMIFS('ИТОГО Торговля'!$J$5:$J$300,'ИТОГО Торговля'!$B$5:$B$300,$B20)+SUMIFS('ИТОГО Лэндинг'!$J$5:$J$300,'ИТОГО Лэндинг'!$B$5:$B$300,$B20)+SUMIFS('История'!$J$5:$J$300,'История'!$B$5:$B$300,$B20),8)))</f>
        <v/>
      </c>
      <c r="K20" s="246">
        <f>IF($B20="","",ROUND(SUMIFS('ИТОГО Торговля'!$K$5:$K$300,'ИТОГО Торговля'!$B$5:$B$300,$B20)+SUMIFS('ИТОГО Лэндинг'!$K$5:$K$300,'ИТОГО Лэндинг'!$B$5:$B$300,$B20)+SUMIFS('История'!$K$5:$K$300,'История'!$B$5:$B$300,$B20),8))</f>
        <v/>
      </c>
      <c r="L20" s="183">
        <f>IF(K20="","",IF(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20)*((История!$C$5:$C$300+История!$F$5:$F$300-ABS(История!$C$5:$C$300-История!$F$5:$F$300))/2)*История!$D$5:$D$300))&lt;=0,0,ROUND(K20/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20)*((История!$C$5:$C$300+История!$F$5:$F$300-ABS(История!$C$5:$C$300-История!$F$5:$F$300))/2)*История!$D$5:$D$300)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IF($B21="","",IF(SUMIFS('ИТОГО Торговля'!$C$5:$C$300,'ИТОГО Торговля'!$B$5:$B$300,$B21)+SUMIFS('ИТОГО Лэндинг'!$C$5:$C$300,'ИТОГО Лэндинг'!$B$5:$B$300,$B21)+SUMIFS('История'!$C$5:$C$300,'История'!$B$5:$B$300,$B21)=0,"",SUMIFS('ИТОГО Торговля'!$C$5:$C$300,'ИТОГО Торговля'!$B$5:$B$300,$B21)+SUMIFS('ИТОГО Лэндинг'!$C$5:$C$300,'ИТОГО Лэндинг'!$B$5:$B$300,$B21)+SUMIFS('История'!$C$5:$C$300,'История'!$B$5:$B$300,$B21)))</f>
        <v/>
      </c>
      <c r="D21" s="177">
        <f>IF(C21="","",E21/C21)</f>
        <v/>
      </c>
      <c r="E21" s="241">
        <f>IF(C21="","",SUMIFS('ИТОГО Торговля'!$E$5:$E$300,'ИТОГО Торговля'!$B$5:$B$300,$B21)+SUMIFS('ИТОГО Лэндинг'!$E$5:$E$300,'ИТОГО Лэндинг'!$B$5:$B$300,$B21)+SUMIFS('История'!$E$5:$E$300,'История'!$B$5:$B$300,$B21))</f>
        <v/>
      </c>
      <c r="F21" s="240">
        <f>IF($B21="","",IF(SUMIFS('ИТОГО Торговля'!$F$5:$F$300,'ИТОГО Торговля'!$B$5:$B$300,$B21)+SUMIFS('ИТОГО Лэндинг'!$F$5:$F$300,'ИТОГО Лэндинг'!$B$5:$B$300,$B21)+SUMIFS('История'!$F$5:$F$300,'История'!$B$5:$B$300,$B21)=0,"",SUMIFS('ИТОГО Торговля'!$F$5:$F$300,'ИТОГО Торговля'!$B$5:$B$300,$B21)+SUMIFS('ИТОГО Лэндинг'!$F$5:$F$300,'ИТОГО Лэндинг'!$B$5:$B$300,$B21)+SUMIFS('История'!$F$5:$F$300,'История'!$B$5:$B$300,$B21)))</f>
        <v/>
      </c>
      <c r="G21" s="177">
        <f>IF(F21="","",H21/F21)</f>
        <v/>
      </c>
      <c r="H21" s="241">
        <f>IF(F21="","",SUMIFS('ИТОГО Торговля'!$H$5:$H$300,'ИТОГО Торговля'!$B$5:$B$300,$B21)+SUMIFS('ИТОГО Лэндинг'!$H$5:$H$300,'ИТОГО Лэндинг'!$B$5:$B$300,$B21)+SUMIFS('История'!$H$5:$H$300,'История'!$B$5:$B$300,$B21))</f>
        <v/>
      </c>
      <c r="I21" s="240">
        <f>IF($B21="","",IF(AND(C21="",F21=""),"",ROUND(SUMIFS('ИТОГО Торговля'!$I$5:$I$300,'ИТОГО Торговля'!$B$5:$B$300,$B21)+SUMIFS('ИТОГО Лэндинг'!$I$5:$I$300,'ИТОГО Лэндинг'!$B$5:$B$300,$B21)+SUMIFS('История'!$I$5:$I$300,'История'!$B$5:$B$300,$B21),8)))</f>
        <v/>
      </c>
      <c r="J21" s="241">
        <f>IF($B21="","",IF(AND(C21="",F21=""),"",ROUND(SUMIFS('ИТОГО Торговля'!$J$5:$J$300,'ИТОГО Торговля'!$B$5:$B$300,$B21)+SUMIFS('ИТОГО Лэндинг'!$J$5:$J$300,'ИТОГО Лэндинг'!$B$5:$B$300,$B21)+SUMIFS('История'!$J$5:$J$300,'История'!$B$5:$B$300,$B21),8)))</f>
        <v/>
      </c>
      <c r="K21" s="240">
        <f>IF($B21="","",ROUND(SUMIFS('ИТОГО Торговля'!$K$5:$K$300,'ИТОГО Торговля'!$B$5:$B$300,$B21)+SUMIFS('ИТОГО Лэндинг'!$K$5:$K$300,'ИТОГО Лэндинг'!$B$5:$B$300,$B21)+SUMIFS('История'!$K$5:$K$300,'История'!$B$5:$B$300,$B21),8))</f>
        <v/>
      </c>
      <c r="L21" s="177">
        <f>IF(K21="","",IF(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21)*((История!$C$5:$C$300+История!$F$5:$F$300-ABS(История!$C$5:$C$300-История!$F$5:$F$300))/2)*История!$D$5:$D$300))&lt;=0,0,ROUND(K21/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21)*((История!$C$5:$C$300+История!$F$5:$F$300-ABS(История!$C$5:$C$300-История!$F$5:$F$300))/2)*История!$D$5:$D$300)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IF($B22="","",IF(SUMIFS('ИТОГО Торговля'!$C$5:$C$300,'ИТОГО Торговля'!$B$5:$B$300,$B22)+SUMIFS('ИТОГО Лэндинг'!$C$5:$C$300,'ИТОГО Лэндинг'!$B$5:$B$300,$B22)+SUMIFS('История'!$C$5:$C$300,'История'!$B$5:$B$300,$B22)=0,"",SUMIFS('ИТОГО Торговля'!$C$5:$C$300,'ИТОГО Торговля'!$B$5:$B$300,$B22)+SUMIFS('ИТОГО Лэндинг'!$C$5:$C$300,'ИТОГО Лэндинг'!$B$5:$B$300,$B22)+SUMIFS('История'!$C$5:$C$300,'История'!$B$5:$B$300,$B22)))</f>
        <v/>
      </c>
      <c r="D22" s="183">
        <f>IF(C22="","",E22/C22)</f>
        <v/>
      </c>
      <c r="E22" s="247">
        <f>IF(C22="","",SUMIFS('ИТОГО Торговля'!$E$5:$E$300,'ИТОГО Торговля'!$B$5:$B$300,$B22)+SUMIFS('ИТОГО Лэндинг'!$E$5:$E$300,'ИТОГО Лэндинг'!$B$5:$B$300,$B22)+SUMIFS('История'!$E$5:$E$300,'История'!$B$5:$B$300,$B22))</f>
        <v/>
      </c>
      <c r="F22" s="246">
        <f>IF($B22="","",IF(SUMIFS('ИТОГО Торговля'!$F$5:$F$300,'ИТОГО Торговля'!$B$5:$B$300,$B22)+SUMIFS('ИТОГО Лэндинг'!$F$5:$F$300,'ИТОГО Лэндинг'!$B$5:$B$300,$B22)+SUMIFS('История'!$F$5:$F$300,'История'!$B$5:$B$300,$B22)=0,"",SUMIFS('ИТОГО Торговля'!$F$5:$F$300,'ИТОГО Торговля'!$B$5:$B$300,$B22)+SUMIFS('ИТОГО Лэндинг'!$F$5:$F$300,'ИТОГО Лэндинг'!$B$5:$B$300,$B22)+SUMIFS('История'!$F$5:$F$300,'История'!$B$5:$B$300,$B22)))</f>
        <v/>
      </c>
      <c r="G22" s="183">
        <f>IF(F22="","",H22/F22)</f>
        <v/>
      </c>
      <c r="H22" s="247">
        <f>IF(F22="","",SUMIFS('ИТОГО Торговля'!$H$5:$H$300,'ИТОГО Торговля'!$B$5:$B$300,$B22)+SUMIFS('ИТОГО Лэндинг'!$H$5:$H$300,'ИТОГО Лэндинг'!$B$5:$B$300,$B22)+SUMIFS('История'!$H$5:$H$300,'История'!$B$5:$B$300,$B22))</f>
        <v/>
      </c>
      <c r="I22" s="246">
        <f>IF($B22="","",IF(AND(C22="",F22=""),"",ROUND(SUMIFS('ИТОГО Торговля'!$I$5:$I$300,'ИТОГО Торговля'!$B$5:$B$300,$B22)+SUMIFS('ИТОГО Лэндинг'!$I$5:$I$300,'ИТОГО Лэндинг'!$B$5:$B$300,$B22)+SUMIFS('История'!$I$5:$I$300,'История'!$B$5:$B$300,$B22),8)))</f>
        <v/>
      </c>
      <c r="J22" s="247">
        <f>IF($B22="","",IF(AND(C22="",F22=""),"",ROUND(SUMIFS('ИТОГО Торговля'!$J$5:$J$300,'ИТОГО Торговля'!$B$5:$B$300,$B22)+SUMIFS('ИТОГО Лэндинг'!$J$5:$J$300,'ИТОГО Лэндинг'!$B$5:$B$300,$B22)+SUMIFS('История'!$J$5:$J$300,'История'!$B$5:$B$300,$B22),8)))</f>
        <v/>
      </c>
      <c r="K22" s="246">
        <f>IF($B22="","",ROUND(SUMIFS('ИТОГО Торговля'!$K$5:$K$300,'ИТОГО Торговля'!$B$5:$B$300,$B22)+SUMIFS('ИТОГО Лэндинг'!$K$5:$K$300,'ИТОГО Лэндинг'!$B$5:$B$300,$B22)+SUMIFS('История'!$K$5:$K$300,'История'!$B$5:$B$300,$B22),8))</f>
        <v/>
      </c>
      <c r="L22" s="183">
        <f>IF(K22="","",IF(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22)*((История!$C$5:$C$300+История!$F$5:$F$300-ABS(История!$C$5:$C$300-История!$F$5:$F$300))/2)*История!$D$5:$D$300))&lt;=0,0,ROUND(K22/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22)*((История!$C$5:$C$300+История!$F$5:$F$300-ABS(История!$C$5:$C$300-История!$F$5:$F$300))/2)*История!$D$5:$D$300)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IF($B23="","",IF(SUMIFS('ИТОГО Торговля'!$C$5:$C$300,'ИТОГО Торговля'!$B$5:$B$300,$B23)+SUMIFS('ИТОГО Лэндинг'!$C$5:$C$300,'ИТОГО Лэндинг'!$B$5:$B$300,$B23)+SUMIFS('История'!$C$5:$C$300,'История'!$B$5:$B$300,$B23)=0,"",SUMIFS('ИТОГО Торговля'!$C$5:$C$300,'ИТОГО Торговля'!$B$5:$B$300,$B23)+SUMIFS('ИТОГО Лэндинг'!$C$5:$C$300,'ИТОГО Лэндинг'!$B$5:$B$300,$B23)+SUMIFS('История'!$C$5:$C$300,'История'!$B$5:$B$300,$B23)))</f>
        <v/>
      </c>
      <c r="D23" s="177">
        <f>IF(C23="","",E23/C23)</f>
        <v/>
      </c>
      <c r="E23" s="241">
        <f>IF(C23="","",SUMIFS('ИТОГО Торговля'!$E$5:$E$300,'ИТОГО Торговля'!$B$5:$B$300,$B23)+SUMIFS('ИТОГО Лэндинг'!$E$5:$E$300,'ИТОГО Лэндинг'!$B$5:$B$300,$B23)+SUMIFS('История'!$E$5:$E$300,'История'!$B$5:$B$300,$B23))</f>
        <v/>
      </c>
      <c r="F23" s="240">
        <f>IF($B23="","",IF(SUMIFS('ИТОГО Торговля'!$F$5:$F$300,'ИТОГО Торговля'!$B$5:$B$300,$B23)+SUMIFS('ИТОГО Лэндинг'!$F$5:$F$300,'ИТОГО Лэндинг'!$B$5:$B$300,$B23)+SUMIFS('История'!$F$5:$F$300,'История'!$B$5:$B$300,$B23)=0,"",SUMIFS('ИТОГО Торговля'!$F$5:$F$300,'ИТОГО Торговля'!$B$5:$B$300,$B23)+SUMIFS('ИТОГО Лэндинг'!$F$5:$F$300,'ИТОГО Лэндинг'!$B$5:$B$300,$B23)+SUMIFS('История'!$F$5:$F$300,'История'!$B$5:$B$300,$B23)))</f>
        <v/>
      </c>
      <c r="G23" s="177">
        <f>IF(F23="","",H23/F23)</f>
        <v/>
      </c>
      <c r="H23" s="241">
        <f>IF(F23="","",SUMIFS('ИТОГО Торговля'!$H$5:$H$300,'ИТОГО Торговля'!$B$5:$B$300,$B23)+SUMIFS('ИТОГО Лэндинг'!$H$5:$H$300,'ИТОГО Лэндинг'!$B$5:$B$300,$B23)+SUMIFS('История'!$H$5:$H$300,'История'!$B$5:$B$300,$B23))</f>
        <v/>
      </c>
      <c r="I23" s="240">
        <f>IF($B23="","",IF(AND(C23="",F23=""),"",ROUND(SUMIFS('ИТОГО Торговля'!$I$5:$I$300,'ИТОГО Торговля'!$B$5:$B$300,$B23)+SUMIFS('ИТОГО Лэндинг'!$I$5:$I$300,'ИТОГО Лэндинг'!$B$5:$B$300,$B23)+SUMIFS('История'!$I$5:$I$300,'История'!$B$5:$B$300,$B23),8)))</f>
        <v/>
      </c>
      <c r="J23" s="241">
        <f>IF($B23="","",IF(AND(C23="",F23=""),"",ROUND(SUMIFS('ИТОГО Торговля'!$J$5:$J$300,'ИТОГО Торговля'!$B$5:$B$300,$B23)+SUMIFS('ИТОГО Лэндинг'!$J$5:$J$300,'ИТОГО Лэндинг'!$B$5:$B$300,$B23)+SUMIFS('История'!$J$5:$J$300,'История'!$B$5:$B$300,$B23),8)))</f>
        <v/>
      </c>
      <c r="K23" s="240">
        <f>IF($B23="","",ROUND(SUMIFS('ИТОГО Торговля'!$K$5:$K$300,'ИТОГО Торговля'!$B$5:$B$300,$B23)+SUMIFS('ИТОГО Лэндинг'!$K$5:$K$300,'ИТОГО Лэндинг'!$B$5:$B$300,$B23)+SUMIFS('История'!$K$5:$K$300,'История'!$B$5:$B$300,$B23),8))</f>
        <v/>
      </c>
      <c r="L23" s="177">
        <f>IF(K23="","",IF(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23)*((История!$C$5:$C$300+История!$F$5:$F$300-ABS(История!$C$5:$C$300-История!$F$5:$F$300))/2)*История!$D$5:$D$300))&lt;=0,0,ROUND(K23/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23)*((История!$C$5:$C$300+История!$F$5:$F$300-ABS(История!$C$5:$C$300-История!$F$5:$F$300))/2)*История!$D$5:$D$300)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IF($B24="","",IF(SUMIFS('ИТОГО Торговля'!$C$5:$C$300,'ИТОГО Торговля'!$B$5:$B$300,$B24)+SUMIFS('ИТОГО Лэндинг'!$C$5:$C$300,'ИТОГО Лэндинг'!$B$5:$B$300,$B24)+SUMIFS('История'!$C$5:$C$300,'История'!$B$5:$B$300,$B24)=0,"",SUMIFS('ИТОГО Торговля'!$C$5:$C$300,'ИТОГО Торговля'!$B$5:$B$300,$B24)+SUMIFS('ИТОГО Лэндинг'!$C$5:$C$300,'ИТОГО Лэндинг'!$B$5:$B$300,$B24)+SUMIFS('История'!$C$5:$C$300,'История'!$B$5:$B$300,$B24)))</f>
        <v/>
      </c>
      <c r="D24" s="183">
        <f>IF(C24="","",E24/C24)</f>
        <v/>
      </c>
      <c r="E24" s="247">
        <f>IF(C24="","",SUMIFS('ИТОГО Торговля'!$E$5:$E$300,'ИТОГО Торговля'!$B$5:$B$300,$B24)+SUMIFS('ИТОГО Лэндинг'!$E$5:$E$300,'ИТОГО Лэндинг'!$B$5:$B$300,$B24)+SUMIFS('История'!$E$5:$E$300,'История'!$B$5:$B$300,$B24))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Лэндинг'!$B$5:$B$300,$B24)+SUMIFS('История'!$F$5:$F$300,'История'!$B$5:$B$300,$B24)=0,"",SUMIFS('ИТОГО Торговля'!$F$5:$F$300,'ИТОГО Торговля'!$B$5:$B$300,$B24)+SUMIFS('ИТОГО Лэндинг'!$F$5:$F$300,'ИТОГО Лэндинг'!$B$5:$B$300,$B24)+SUMIFS('История'!$F$5:$F$300,'История'!$B$5:$B$300,$B24)))</f>
        <v/>
      </c>
      <c r="G24" s="183">
        <f>IF(F24="","",H24/F24)</f>
        <v/>
      </c>
      <c r="H24" s="247">
        <f>IF(F24="","",SUMIFS('ИТОГО Торговля'!$H$5:$H$300,'ИТОГО Торговля'!$B$5:$B$300,$B24)+SUMIFS('ИТОГО Лэндинг'!$H$5:$H$300,'ИТОГО Лэндинг'!$B$5:$B$300,$B24)+SUMIFS('История'!$H$5:$H$300,'История'!$B$5:$B$300,$B24))</f>
        <v/>
      </c>
      <c r="I24" s="246">
        <f>IF($B24="","",IF(AND(C24="",F24=""),"",ROUND(SUMIFS('ИТОГО Торговля'!$I$5:$I$300,'ИТОГО Торговля'!$B$5:$B$300,$B24)+SUMIFS('ИТОГО Лэндинг'!$I$5:$I$300,'ИТОГО Лэндинг'!$B$5:$B$300,$B24)+SUMIFS('История'!$I$5:$I$300,'История'!$B$5:$B$300,$B24),8)))</f>
        <v/>
      </c>
      <c r="J24" s="247">
        <f>IF($B24="","",IF(AND(C24="",F24=""),"",ROUND(SUMIFS('ИТОГО Торговля'!$J$5:$J$300,'ИТОГО Торговля'!$B$5:$B$300,$B24)+SUMIFS('ИТОГО Лэндинг'!$J$5:$J$300,'ИТОГО Лэндинг'!$B$5:$B$300,$B24)+SUMIFS('История'!$J$5:$J$300,'История'!$B$5:$B$300,$B24),8)))</f>
        <v/>
      </c>
      <c r="K24" s="246">
        <f>IF($B24="","",ROUND(SUMIFS('ИТОГО Торговля'!$K$5:$K$300,'ИТОГО Торговля'!$B$5:$B$300,$B24)+SUMIFS('ИТОГО Лэндинг'!$K$5:$K$300,'ИТОГО Лэндинг'!$B$5:$B$300,$B24)+SUMIFS('История'!$K$5:$K$300,'История'!$B$5:$B$300,$B24),8))</f>
        <v/>
      </c>
      <c r="L24" s="183">
        <f>IF(K24="","",IF(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24)*((История!$C$5:$C$300+История!$F$5:$F$300-ABS(История!$C$5:$C$300-История!$F$5:$F$300))/2)*История!$D$5:$D$300))&lt;=0,0,ROUND(K24/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24)*((История!$C$5:$C$300+История!$F$5:$F$300-ABS(История!$C$5:$C$300-История!$F$5:$F$300))/2)*История!$D$5:$D$300)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IF($B25="","",IF(SUMIFS('ИТОГО Торговля'!$C$5:$C$300,'ИТОГО Торговля'!$B$5:$B$300,$B25)+SUMIFS('ИТОГО Лэндинг'!$C$5:$C$300,'ИТОГО Лэндинг'!$B$5:$B$300,$B25)+SUMIFS('История'!$C$5:$C$300,'История'!$B$5:$B$300,$B25)=0,"",SUMIFS('ИТОГО Торговля'!$C$5:$C$300,'ИТОГО Торговля'!$B$5:$B$300,$B25)+SUMIFS('ИТОГО Лэндинг'!$C$5:$C$300,'ИТОГО Лэндинг'!$B$5:$B$300,$B25)+SUMIFS('История'!$C$5:$C$300,'История'!$B$5:$B$300,$B25)))</f>
        <v/>
      </c>
      <c r="D25" s="177">
        <f>IF(C25="","",E25/C25)</f>
        <v/>
      </c>
      <c r="E25" s="241">
        <f>IF(C25="","",SUMIFS('ИТОГО Торговля'!$E$5:$E$300,'ИТОГО Торговля'!$B$5:$B$300,$B25)+SUMIFS('ИТОГО Лэндинг'!$E$5:$E$300,'ИТОГО Лэндинг'!$B$5:$B$300,$B25)+SUMIFS('История'!$E$5:$E$300,'История'!$B$5:$B$300,$B25))</f>
        <v/>
      </c>
      <c r="F25" s="240">
        <f>IF($B25="","",IF(SUMIFS('ИТОГО Торговля'!$F$5:$F$300,'ИТОГО Торговля'!$B$5:$B$300,$B25)+SUMIFS('ИТОГО Лэндинг'!$F$5:$F$300,'ИТОГО Лэндинг'!$B$5:$B$300,$B25)+SUMIFS('История'!$F$5:$F$300,'История'!$B$5:$B$300,$B25)=0,"",SUMIFS('ИТОГО Торговля'!$F$5:$F$300,'ИТОГО Торговля'!$B$5:$B$300,$B25)+SUMIFS('ИТОГО Лэндинг'!$F$5:$F$300,'ИТОГО Лэндинг'!$B$5:$B$300,$B25)+SUMIFS('История'!$F$5:$F$300,'История'!$B$5:$B$300,$B25)))</f>
        <v/>
      </c>
      <c r="G25" s="177">
        <f>IF(F25="","",H25/F25)</f>
        <v/>
      </c>
      <c r="H25" s="241">
        <f>IF(F25="","",SUMIFS('ИТОГО Торговля'!$H$5:$H$300,'ИТОГО Торговля'!$B$5:$B$300,$B25)+SUMIFS('ИТОГО Лэндинг'!$H$5:$H$300,'ИТОГО Лэндинг'!$B$5:$B$300,$B25)+SUMIFS('История'!$H$5:$H$300,'История'!$B$5:$B$300,$B25))</f>
        <v/>
      </c>
      <c r="I25" s="240">
        <f>IF($B25="","",IF(AND(C25="",F25=""),"",ROUND(SUMIFS('ИТОГО Торговля'!$I$5:$I$300,'ИТОГО Торговля'!$B$5:$B$300,$B25)+SUMIFS('ИТОГО Лэндинг'!$I$5:$I$300,'ИТОГО Лэндинг'!$B$5:$B$300,$B25)+SUMIFS('История'!$I$5:$I$300,'История'!$B$5:$B$300,$B25),8)))</f>
        <v/>
      </c>
      <c r="J25" s="241">
        <f>IF($B25="","",IF(AND(C25="",F25=""),"",ROUND(SUMIFS('ИТОГО Торговля'!$J$5:$J$300,'ИТОГО Торговля'!$B$5:$B$300,$B25)+SUMIFS('ИТОГО Лэндинг'!$J$5:$J$300,'ИТОГО Лэндинг'!$B$5:$B$300,$B25)+SUMIFS('История'!$J$5:$J$300,'История'!$B$5:$B$300,$B25),8)))</f>
        <v/>
      </c>
      <c r="K25" s="240">
        <f>IF($B25="","",ROUND(SUMIFS('ИТОГО Торговля'!$K$5:$K$300,'ИТОГО Торговля'!$B$5:$B$300,$B25)+SUMIFS('ИТОГО Лэндинг'!$K$5:$K$300,'ИТОГО Лэндинг'!$B$5:$B$300,$B25)+SUMIFS('История'!$K$5:$K$300,'История'!$B$5:$B$300,$B25),8))</f>
        <v/>
      </c>
      <c r="L25" s="177">
        <f>IF(K25="","",IF(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25)*((История!$C$5:$C$300+История!$F$5:$F$300-ABS(История!$C$5:$C$300-История!$F$5:$F$300))/2)*История!$D$5:$D$300))&lt;=0,0,ROUND(K25/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25)*((История!$C$5:$C$300+История!$F$5:$F$300-ABS(История!$C$5:$C$300-История!$F$5:$F$300))/2)*История!$D$5:$D$300)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IF($B26="","",IF(SUMIFS('ИТОГО Торговля'!$C$5:$C$300,'ИТОГО Торговля'!$B$5:$B$300,$B26)+SUMIFS('ИТОГО Лэндинг'!$C$5:$C$300,'ИТОГО Лэндинг'!$B$5:$B$300,$B26)+SUMIFS('История'!$C$5:$C$300,'История'!$B$5:$B$300,$B26)=0,"",SUMIFS('ИТОГО Торговля'!$C$5:$C$300,'ИТОГО Торговля'!$B$5:$B$300,$B26)+SUMIFS('ИТОГО Лэндинг'!$C$5:$C$300,'ИТОГО Лэндинг'!$B$5:$B$300,$B26)+SUMIFS('История'!$C$5:$C$300,'История'!$B$5:$B$300,$B26)))</f>
        <v/>
      </c>
      <c r="D26" s="183">
        <f>IF(C26="","",E26/C26)</f>
        <v/>
      </c>
      <c r="E26" s="247">
        <f>IF(C26="","",SUMIFS('ИТОГО Торговля'!$E$5:$E$300,'ИТОГО Торговля'!$B$5:$B$300,$B26)+SUMIFS('ИТОГО Лэндинг'!$E$5:$E$300,'ИТОГО Лэндинг'!$B$5:$B$300,$B26)+SUMIFS('История'!$E$5:$E$300,'История'!$B$5:$B$300,$B26))</f>
        <v/>
      </c>
      <c r="F26" s="246">
        <f>IF($B26="","",IF(SUMIFS('ИТОГО Торговля'!$F$5:$F$300,'ИТОГО Торговля'!$B$5:$B$300,$B26)+SUMIFS('ИТОГО Лэндинг'!$F$5:$F$300,'ИТОГО Лэндинг'!$B$5:$B$300,$B26)+SUMIFS('История'!$F$5:$F$300,'История'!$B$5:$B$300,$B26)=0,"",SUMIFS('ИТОГО Торговля'!$F$5:$F$300,'ИТОГО Торговля'!$B$5:$B$300,$B26)+SUMIFS('ИТОГО Лэндинг'!$F$5:$F$300,'ИТОГО Лэндинг'!$B$5:$B$300,$B26)+SUMIFS('История'!$F$5:$F$300,'История'!$B$5:$B$300,$B26)))</f>
        <v/>
      </c>
      <c r="G26" s="183">
        <f>IF(F26="","",H26/F26)</f>
        <v/>
      </c>
      <c r="H26" s="247">
        <f>IF(F26="","",SUMIFS('ИТОГО Торговля'!$H$5:$H$300,'ИТОГО Торговля'!$B$5:$B$300,$B26)+SUMIFS('ИТОГО Лэндинг'!$H$5:$H$300,'ИТОГО Лэндинг'!$B$5:$B$300,$B26)+SUMIFS('История'!$H$5:$H$300,'История'!$B$5:$B$300,$B26))</f>
        <v/>
      </c>
      <c r="I26" s="246">
        <f>IF($B26="","",IF(AND(C26="",F26=""),"",ROUND(SUMIFS('ИТОГО Торговля'!$I$5:$I$300,'ИТОГО Торговля'!$B$5:$B$300,$B26)+SUMIFS('ИТОГО Лэндинг'!$I$5:$I$300,'ИТОГО Лэндинг'!$B$5:$B$300,$B26)+SUMIFS('История'!$I$5:$I$300,'История'!$B$5:$B$300,$B26),8)))</f>
        <v/>
      </c>
      <c r="J26" s="247">
        <f>IF($B26="","",IF(AND(C26="",F26=""),"",ROUND(SUMIFS('ИТОГО Торговля'!$J$5:$J$300,'ИТОГО Торговля'!$B$5:$B$300,$B26)+SUMIFS('ИТОГО Лэндинг'!$J$5:$J$300,'ИТОГО Лэндинг'!$B$5:$B$300,$B26)+SUMIFS('История'!$J$5:$J$300,'История'!$B$5:$B$300,$B26),8)))</f>
        <v/>
      </c>
      <c r="K26" s="246">
        <f>IF($B26="","",ROUND(SUMIFS('ИТОГО Торговля'!$K$5:$K$300,'ИТОГО Торговля'!$B$5:$B$300,$B26)+SUMIFS('ИТОГО Лэндинг'!$K$5:$K$300,'ИТОГО Лэндинг'!$B$5:$B$300,$B26)+SUMIFS('История'!$K$5:$K$300,'История'!$B$5:$B$300,$B26),8))</f>
        <v/>
      </c>
      <c r="L26" s="183">
        <f>IF(K26="","",IF(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26)*((История!$C$5:$C$300+История!$F$5:$F$300-ABS(История!$C$5:$C$300-История!$F$5:$F$300))/2)*История!$D$5:$D$300))&lt;=0,0,ROUND(K26/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26)*((История!$C$5:$C$300+История!$F$5:$F$300-ABS(История!$C$5:$C$300-История!$F$5:$F$300))/2)*История!$D$5:$D$300)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IF($B27="","",IF(SUMIFS('ИТОГО Торговля'!$C$5:$C$300,'ИТОГО Торговля'!$B$5:$B$300,$B27)+SUMIFS('ИТОГО Лэндинг'!$C$5:$C$300,'ИТОГО Лэндинг'!$B$5:$B$300,$B27)+SUMIFS('История'!$C$5:$C$300,'История'!$B$5:$B$300,$B27)=0,"",SUMIFS('ИТОГО Торговля'!$C$5:$C$300,'ИТОГО Торговля'!$B$5:$B$300,$B27)+SUMIFS('ИТОГО Лэндинг'!$C$5:$C$300,'ИТОГО Лэндинг'!$B$5:$B$300,$B27)+SUMIFS('История'!$C$5:$C$300,'История'!$B$5:$B$300,$B27)))</f>
        <v/>
      </c>
      <c r="D27" s="177">
        <f>IF(C27="","",E27/C27)</f>
        <v/>
      </c>
      <c r="E27" s="241">
        <f>IF(C27="","",SUMIFS('ИТОГО Торговля'!$E$5:$E$300,'ИТОГО Торговля'!$B$5:$B$300,$B27)+SUMIFS('ИТОГО Лэндинг'!$E$5:$E$300,'ИТОГО Лэндинг'!$B$5:$B$300,$B27)+SUMIFS('История'!$E$5:$E$300,'История'!$B$5:$B$300,$B27))</f>
        <v/>
      </c>
      <c r="F27" s="240">
        <f>IF($B27="","",IF(SUMIFS('ИТОГО Торговля'!$F$5:$F$300,'ИТОГО Торговля'!$B$5:$B$300,$B27)+SUMIFS('ИТОГО Лэндинг'!$F$5:$F$300,'ИТОГО Лэндинг'!$B$5:$B$300,$B27)+SUMIFS('История'!$F$5:$F$300,'История'!$B$5:$B$300,$B27)=0,"",SUMIFS('ИТОГО Торговля'!$F$5:$F$300,'ИТОГО Торговля'!$B$5:$B$300,$B27)+SUMIFS('ИТОГО Лэндинг'!$F$5:$F$300,'ИТОГО Лэндинг'!$B$5:$B$300,$B27)+SUMIFS('История'!$F$5:$F$300,'История'!$B$5:$B$300,$B27)))</f>
        <v/>
      </c>
      <c r="G27" s="177">
        <f>IF(F27="","",H27/F27)</f>
        <v/>
      </c>
      <c r="H27" s="241">
        <f>IF(F27="","",SUMIFS('ИТОГО Торговля'!$H$5:$H$300,'ИТОГО Торговля'!$B$5:$B$300,$B27)+SUMIFS('ИТОГО Лэндинг'!$H$5:$H$300,'ИТОГО Лэндинг'!$B$5:$B$300,$B27)+SUMIFS('История'!$H$5:$H$300,'История'!$B$5:$B$300,$B27))</f>
        <v/>
      </c>
      <c r="I27" s="240">
        <f>IF($B27="","",IF(AND(C27="",F27=""),"",ROUND(SUMIFS('ИТОГО Торговля'!$I$5:$I$300,'ИТОГО Торговля'!$B$5:$B$300,$B27)+SUMIFS('ИТОГО Лэндинг'!$I$5:$I$300,'ИТОГО Лэндинг'!$B$5:$B$300,$B27)+SUMIFS('История'!$I$5:$I$300,'История'!$B$5:$B$300,$B27),8)))</f>
        <v/>
      </c>
      <c r="J27" s="241">
        <f>IF($B27="","",IF(AND(C27="",F27=""),"",ROUND(SUMIFS('ИТОГО Торговля'!$J$5:$J$300,'ИТОГО Торговля'!$B$5:$B$300,$B27)+SUMIFS('ИТОГО Лэндинг'!$J$5:$J$300,'ИТОГО Лэндинг'!$B$5:$B$300,$B27)+SUMIFS('История'!$J$5:$J$300,'История'!$B$5:$B$300,$B27),8)))</f>
        <v/>
      </c>
      <c r="K27" s="240">
        <f>IF($B27="","",ROUND(SUMIFS('ИТОГО Торговля'!$K$5:$K$300,'ИТОГО Торговля'!$B$5:$B$300,$B27)+SUMIFS('ИТОГО Лэндинг'!$K$5:$K$300,'ИТОГО Лэндинг'!$B$5:$B$300,$B27)+SUMIFS('История'!$K$5:$K$300,'История'!$B$5:$B$300,$B27),8))</f>
        <v/>
      </c>
      <c r="L27" s="177">
        <f>IF(K27="","",IF(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27)*((История!$C$5:$C$300+История!$F$5:$F$300-ABS(История!$C$5:$C$300-История!$F$5:$F$300))/2)*История!$D$5:$D$300))&lt;=0,0,ROUND(K27/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27)*((История!$C$5:$C$300+История!$F$5:$F$300-ABS(История!$C$5:$C$300-История!$F$5:$F$300))/2)*История!$D$5:$D$300)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IF($B28="","",IF(SUMIFS('ИТОГО Торговля'!$C$5:$C$300,'ИТОГО Торговля'!$B$5:$B$300,$B28)+SUMIFS('ИТОГО Лэндинг'!$C$5:$C$300,'ИТОГО Лэндинг'!$B$5:$B$300,$B28)+SUMIFS('История'!$C$5:$C$300,'История'!$B$5:$B$300,$B28)=0,"",SUMIFS('ИТОГО Торговля'!$C$5:$C$300,'ИТОГО Торговля'!$B$5:$B$300,$B28)+SUMIFS('ИТОГО Лэндинг'!$C$5:$C$300,'ИТОГО Лэндинг'!$B$5:$B$300,$B28)+SUMIFS('История'!$C$5:$C$300,'История'!$B$5:$B$300,$B28)))</f>
        <v/>
      </c>
      <c r="D28" s="183">
        <f>IF(C28="","",E28/C28)</f>
        <v/>
      </c>
      <c r="E28" s="247">
        <f>IF(C28="","",SUMIFS('ИТОГО Торговля'!$E$5:$E$300,'ИТОГО Торговля'!$B$5:$B$300,$B28)+SUMIFS('ИТОГО Лэндинг'!$E$5:$E$300,'ИТОГО Лэндинг'!$B$5:$B$300,$B28)+SUMIFS('История'!$E$5:$E$300,'История'!$B$5:$B$300,$B28))</f>
        <v/>
      </c>
      <c r="F28" s="246">
        <f>IF($B28="","",IF(SUMIFS('ИТОГО Торговля'!$F$5:$F$300,'ИТОГО Торговля'!$B$5:$B$300,$B28)+SUMIFS('ИТОГО Лэндинг'!$F$5:$F$300,'ИТОГО Лэндинг'!$B$5:$B$300,$B28)+SUMIFS('История'!$F$5:$F$300,'История'!$B$5:$B$300,$B28)=0,"",SUMIFS('ИТОГО Торговля'!$F$5:$F$300,'ИТОГО Торговля'!$B$5:$B$300,$B28)+SUMIFS('ИТОГО Лэндинг'!$F$5:$F$300,'ИТОГО Лэндинг'!$B$5:$B$300,$B28)+SUMIFS('История'!$F$5:$F$300,'История'!$B$5:$B$300,$B28)))</f>
        <v/>
      </c>
      <c r="G28" s="183">
        <f>IF(F28="","",H28/F28)</f>
        <v/>
      </c>
      <c r="H28" s="247">
        <f>IF(F28="","",SUMIFS('ИТОГО Торговля'!$H$5:$H$300,'ИТОГО Торговля'!$B$5:$B$300,$B28)+SUMIFS('ИТОГО Лэндинг'!$H$5:$H$300,'ИТОГО Лэндинг'!$B$5:$B$300,$B28)+SUMIFS('История'!$H$5:$H$300,'История'!$B$5:$B$300,$B28))</f>
        <v/>
      </c>
      <c r="I28" s="246">
        <f>IF($B28="","",IF(AND(C28="",F28=""),"",ROUND(SUMIFS('ИТОГО Торговля'!$I$5:$I$300,'ИТОГО Торговля'!$B$5:$B$300,$B28)+SUMIFS('ИТОГО Лэндинг'!$I$5:$I$300,'ИТОГО Лэндинг'!$B$5:$B$300,$B28)+SUMIFS('История'!$I$5:$I$300,'История'!$B$5:$B$300,$B28),8)))</f>
        <v/>
      </c>
      <c r="J28" s="247">
        <f>IF($B28="","",IF(AND(C28="",F28=""),"",ROUND(SUMIFS('ИТОГО Торговля'!$J$5:$J$300,'ИТОГО Торговля'!$B$5:$B$300,$B28)+SUMIFS('ИТОГО Лэндинг'!$J$5:$J$300,'ИТОГО Лэндинг'!$B$5:$B$300,$B28)+SUMIFS('История'!$J$5:$J$300,'История'!$B$5:$B$300,$B28),8)))</f>
        <v/>
      </c>
      <c r="K28" s="246">
        <f>IF($B28="","",ROUND(SUMIFS('ИТОГО Торговля'!$K$5:$K$300,'ИТОГО Торговля'!$B$5:$B$300,$B28)+SUMIFS('ИТОГО Лэндинг'!$K$5:$K$300,'ИТОГО Лэндинг'!$B$5:$B$300,$B28)+SUMIFS('История'!$K$5:$K$300,'История'!$B$5:$B$300,$B28),8))</f>
        <v/>
      </c>
      <c r="L28" s="183">
        <f>IF(K28="","",IF(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28)*((История!$C$5:$C$300+История!$F$5:$F$300-ABS(История!$C$5:$C$300-История!$F$5:$F$300))/2)*История!$D$5:$D$300))&lt;=0,0,ROUND(K28/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28)*((История!$C$5:$C$300+История!$F$5:$F$300-ABS(История!$C$5:$C$300-История!$F$5:$F$300))/2)*История!$D$5:$D$300)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IF($B29="","",IF(SUMIFS('ИТОГО Торговля'!$C$5:$C$300,'ИТОГО Торговля'!$B$5:$B$300,$B29)+SUMIFS('ИТОГО Лэндинг'!$C$5:$C$300,'ИТОГО Лэндинг'!$B$5:$B$300,$B29)+SUMIFS('История'!$C$5:$C$300,'История'!$B$5:$B$300,$B29)=0,"",SUMIFS('ИТОГО Торговля'!$C$5:$C$300,'ИТОГО Торговля'!$B$5:$B$300,$B29)+SUMIFS('ИТОГО Лэндинг'!$C$5:$C$300,'ИТОГО Лэндинг'!$B$5:$B$300,$B29)+SUMIFS('История'!$C$5:$C$300,'История'!$B$5:$B$300,$B29)))</f>
        <v/>
      </c>
      <c r="D29" s="177">
        <f>IF(C29="","",E29/C29)</f>
        <v/>
      </c>
      <c r="E29" s="241">
        <f>IF(C29="","",SUMIFS('ИТОГО Торговля'!$E$5:$E$300,'ИТОГО Торговля'!$B$5:$B$300,$B29)+SUMIFS('ИТОГО Лэндинг'!$E$5:$E$300,'ИТОГО Лэндинг'!$B$5:$B$300,$B29)+SUMIFS('История'!$E$5:$E$300,'История'!$B$5:$B$300,$B29))</f>
        <v/>
      </c>
      <c r="F29" s="240">
        <f>IF($B29="","",IF(SUMIFS('ИТОГО Торговля'!$F$5:$F$300,'ИТОГО Торговля'!$B$5:$B$300,$B29)+SUMIFS('ИТОГО Лэндинг'!$F$5:$F$300,'ИТОГО Лэндинг'!$B$5:$B$300,$B29)+SUMIFS('История'!$F$5:$F$300,'История'!$B$5:$B$300,$B29)=0,"",SUMIFS('ИТОГО Торговля'!$F$5:$F$300,'ИТОГО Торговля'!$B$5:$B$300,$B29)+SUMIFS('ИТОГО Лэндинг'!$F$5:$F$300,'ИТОГО Лэндинг'!$B$5:$B$300,$B29)+SUMIFS('История'!$F$5:$F$300,'История'!$B$5:$B$300,$B29)))</f>
        <v/>
      </c>
      <c r="G29" s="177">
        <f>IF(F29="","",H29/F29)</f>
        <v/>
      </c>
      <c r="H29" s="241">
        <f>IF(F29="","",SUMIFS('ИТОГО Торговля'!$H$5:$H$300,'ИТОГО Торговля'!$B$5:$B$300,$B29)+SUMIFS('ИТОГО Лэндинг'!$H$5:$H$300,'ИТОГО Лэндинг'!$B$5:$B$300,$B29)+SUMIFS('История'!$H$5:$H$300,'История'!$B$5:$B$300,$B29))</f>
        <v/>
      </c>
      <c r="I29" s="240">
        <f>IF($B29="","",IF(AND(C29="",F29=""),"",ROUND(SUMIFS('ИТОГО Торговля'!$I$5:$I$300,'ИТОГО Торговля'!$B$5:$B$300,$B29)+SUMIFS('ИТОГО Лэндинг'!$I$5:$I$300,'ИТОГО Лэндинг'!$B$5:$B$300,$B29)+SUMIFS('История'!$I$5:$I$300,'История'!$B$5:$B$300,$B29),8)))</f>
        <v/>
      </c>
      <c r="J29" s="241">
        <f>IF($B29="","",IF(AND(C29="",F29=""),"",ROUND(SUMIFS('ИТОГО Торговля'!$J$5:$J$300,'ИТОГО Торговля'!$B$5:$B$300,$B29)+SUMIFS('ИТОГО Лэндинг'!$J$5:$J$300,'ИТОГО Лэндинг'!$B$5:$B$300,$B29)+SUMIFS('История'!$J$5:$J$300,'История'!$B$5:$B$300,$B29),8)))</f>
        <v/>
      </c>
      <c r="K29" s="240">
        <f>IF($B29="","",ROUND(SUMIFS('ИТОГО Торговля'!$K$5:$K$300,'ИТОГО Торговля'!$B$5:$B$300,$B29)+SUMIFS('ИТОГО Лэндинг'!$K$5:$K$300,'ИТОГО Лэндинг'!$B$5:$B$300,$B29)+SUMIFS('История'!$K$5:$K$300,'История'!$B$5:$B$300,$B29),8))</f>
        <v/>
      </c>
      <c r="L29" s="177">
        <f>IF(K29="","",IF(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29)*((История!$C$5:$C$300+История!$F$5:$F$300-ABS(История!$C$5:$C$300-История!$F$5:$F$300))/2)*История!$D$5:$D$300))&lt;=0,0,ROUND(K29/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29)*((История!$C$5:$C$300+История!$F$5:$F$300-ABS(История!$C$5:$C$300-История!$F$5:$F$300))/2)*История!$D$5:$D$300)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IF($B30="","",IF(SUMIFS('ИТОГО Торговля'!$C$5:$C$300,'ИТОГО Торговля'!$B$5:$B$300,$B30)+SUMIFS('ИТОГО Лэндинг'!$C$5:$C$300,'ИТОГО Лэндинг'!$B$5:$B$300,$B30)+SUMIFS('История'!$C$5:$C$300,'История'!$B$5:$B$300,$B30)=0,"",SUMIFS('ИТОГО Торговля'!$C$5:$C$300,'ИТОГО Торговля'!$B$5:$B$300,$B30)+SUMIFS('ИТОГО Лэндинг'!$C$5:$C$300,'ИТОГО Лэндинг'!$B$5:$B$300,$B30)+SUMIFS('История'!$C$5:$C$300,'История'!$B$5:$B$300,$B30)))</f>
        <v/>
      </c>
      <c r="D30" s="183">
        <f>IF(C30="","",E30/C30)</f>
        <v/>
      </c>
      <c r="E30" s="247">
        <f>IF(C30="","",SUMIFS('ИТОГО Торговля'!$E$5:$E$300,'ИТОГО Торговля'!$B$5:$B$300,$B30)+SUMIFS('ИТОГО Лэндинг'!$E$5:$E$300,'ИТОГО Лэндинг'!$B$5:$B$300,$B30)+SUMIFS('История'!$E$5:$E$300,'История'!$B$5:$B$300,$B30))</f>
        <v/>
      </c>
      <c r="F30" s="246">
        <f>IF($B30="","",IF(SUMIFS('ИТОГО Торговля'!$F$5:$F$300,'ИТОГО Торговля'!$B$5:$B$300,$B30)+SUMIFS('ИТОГО Лэндинг'!$F$5:$F$300,'ИТОГО Лэндинг'!$B$5:$B$300,$B30)+SUMIFS('История'!$F$5:$F$300,'История'!$B$5:$B$300,$B30)=0,"",SUMIFS('ИТОГО Торговля'!$F$5:$F$300,'ИТОГО Торговля'!$B$5:$B$300,$B30)+SUMIFS('ИТОГО Лэндинг'!$F$5:$F$300,'ИТОГО Лэндинг'!$B$5:$B$300,$B30)+SUMIFS('История'!$F$5:$F$300,'История'!$B$5:$B$300,$B30)))</f>
        <v/>
      </c>
      <c r="G30" s="183">
        <f>IF(F30="","",H30/F30)</f>
        <v/>
      </c>
      <c r="H30" s="247">
        <f>IF(F30="","",SUMIFS('ИТОГО Торговля'!$H$5:$H$300,'ИТОГО Торговля'!$B$5:$B$300,$B30)+SUMIFS('ИТОГО Лэндинг'!$H$5:$H$300,'ИТОГО Лэндинг'!$B$5:$B$300,$B30)+SUMIFS('История'!$H$5:$H$300,'История'!$B$5:$B$300,$B30))</f>
        <v/>
      </c>
      <c r="I30" s="246">
        <f>IF($B30="","",IF(AND(C30="",F30=""),"",ROUND(SUMIFS('ИТОГО Торговля'!$I$5:$I$300,'ИТОГО Торговля'!$B$5:$B$300,$B30)+SUMIFS('ИТОГО Лэндинг'!$I$5:$I$300,'ИТОГО Лэндинг'!$B$5:$B$300,$B30)+SUMIFS('История'!$I$5:$I$300,'История'!$B$5:$B$300,$B30),8)))</f>
        <v/>
      </c>
      <c r="J30" s="247">
        <f>IF($B30="","",IF(AND(C30="",F30=""),"",ROUND(SUMIFS('ИТОГО Торговля'!$J$5:$J$300,'ИТОГО Торговля'!$B$5:$B$300,$B30)+SUMIFS('ИТОГО Лэндинг'!$J$5:$J$300,'ИТОГО Лэндинг'!$B$5:$B$300,$B30)+SUMIFS('История'!$J$5:$J$300,'История'!$B$5:$B$300,$B30),8)))</f>
        <v/>
      </c>
      <c r="K30" s="246">
        <f>IF($B30="","",ROUND(SUMIFS('ИТОГО Торговля'!$K$5:$K$300,'ИТОГО Торговля'!$B$5:$B$300,$B30)+SUMIFS('ИТОГО Лэндинг'!$K$5:$K$300,'ИТОГО Лэндинг'!$B$5:$B$300,$B30)+SUMIFS('История'!$K$5:$K$300,'История'!$B$5:$B$300,$B30),8))</f>
        <v/>
      </c>
      <c r="L30" s="183">
        <f>IF(K30="","",IF(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30)*((История!$C$5:$C$300+История!$F$5:$F$300-ABS(История!$C$5:$C$300-История!$F$5:$F$300))/2)*История!$D$5:$D$300))&lt;=0,0,ROUND(K30/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30)*((История!$C$5:$C$300+История!$F$5:$F$300-ABS(История!$C$5:$C$300-История!$F$5:$F$300))/2)*История!$D$5:$D$300)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IF($B31="","",IF(SUMIFS('ИТОГО Торговля'!$C$5:$C$300,'ИТОГО Торговля'!$B$5:$B$300,$B31)+SUMIFS('ИТОГО Лэндинг'!$C$5:$C$300,'ИТОГО Лэндинг'!$B$5:$B$300,$B31)+SUMIFS('История'!$C$5:$C$300,'История'!$B$5:$B$300,$B31)=0,"",SUMIFS('ИТОГО Торговля'!$C$5:$C$300,'ИТОГО Торговля'!$B$5:$B$300,$B31)+SUMIFS('ИТОГО Лэндинг'!$C$5:$C$300,'ИТОГО Лэндинг'!$B$5:$B$300,$B31)+SUMIFS('История'!$C$5:$C$300,'История'!$B$5:$B$300,$B31)))</f>
        <v/>
      </c>
      <c r="D31" s="177">
        <f>IF(C31="","",E31/C31)</f>
        <v/>
      </c>
      <c r="E31" s="241">
        <f>IF(C31="","",SUMIFS('ИТОГО Торговля'!$E$5:$E$300,'ИТОГО Торговля'!$B$5:$B$300,$B31)+SUMIFS('ИТОГО Лэндинг'!$E$5:$E$300,'ИТОГО Лэндинг'!$B$5:$B$300,$B31)+SUMIFS('История'!$E$5:$E$300,'История'!$B$5:$B$300,$B31))</f>
        <v/>
      </c>
      <c r="F31" s="240">
        <f>IF($B31="","",IF(SUMIFS('ИТОГО Торговля'!$F$5:$F$300,'ИТОГО Торговля'!$B$5:$B$300,$B31)+SUMIFS('ИТОГО Лэндинг'!$F$5:$F$300,'ИТОГО Лэндинг'!$B$5:$B$300,$B31)+SUMIFS('История'!$F$5:$F$300,'История'!$B$5:$B$300,$B31)=0,"",SUMIFS('ИТОГО Торговля'!$F$5:$F$300,'ИТОГО Торговля'!$B$5:$B$300,$B31)+SUMIFS('ИТОГО Лэндинг'!$F$5:$F$300,'ИТОГО Лэндинг'!$B$5:$B$300,$B31)+SUMIFS('История'!$F$5:$F$300,'История'!$B$5:$B$300,$B31)))</f>
        <v/>
      </c>
      <c r="G31" s="177">
        <f>IF(F31="","",H31/F31)</f>
        <v/>
      </c>
      <c r="H31" s="241">
        <f>IF(F31="","",SUMIFS('ИТОГО Торговля'!$H$5:$H$300,'ИТОГО Торговля'!$B$5:$B$300,$B31)+SUMIFS('ИТОГО Лэндинг'!$H$5:$H$300,'ИТОГО Лэндинг'!$B$5:$B$300,$B31)+SUMIFS('История'!$H$5:$H$300,'История'!$B$5:$B$300,$B31))</f>
        <v/>
      </c>
      <c r="I31" s="240">
        <f>IF($B31="","",IF(AND(C31="",F31=""),"",ROUND(SUMIFS('ИТОГО Торговля'!$I$5:$I$300,'ИТОГО Торговля'!$B$5:$B$300,$B31)+SUMIFS('ИТОГО Лэндинг'!$I$5:$I$300,'ИТОГО Лэндинг'!$B$5:$B$300,$B31)+SUMIFS('История'!$I$5:$I$300,'История'!$B$5:$B$300,$B31),8)))</f>
        <v/>
      </c>
      <c r="J31" s="241">
        <f>IF($B31="","",IF(AND(C31="",F31=""),"",ROUND(SUMIFS('ИТОГО Торговля'!$J$5:$J$300,'ИТОГО Торговля'!$B$5:$B$300,$B31)+SUMIFS('ИТОГО Лэндинг'!$J$5:$J$300,'ИТОГО Лэндинг'!$B$5:$B$300,$B31)+SUMIFS('История'!$J$5:$J$300,'История'!$B$5:$B$300,$B31),8)))</f>
        <v/>
      </c>
      <c r="K31" s="240">
        <f>IF($B31="","",ROUND(SUMIFS('ИТОГО Торговля'!$K$5:$K$300,'ИТОГО Торговля'!$B$5:$B$300,$B31)+SUMIFS('ИТОГО Лэндинг'!$K$5:$K$300,'ИТОГО Лэндинг'!$B$5:$B$300,$B31)+SUMIFS('История'!$K$5:$K$300,'История'!$B$5:$B$300,$B31),8))</f>
        <v/>
      </c>
      <c r="L31" s="177">
        <f>IF(K31="","",IF(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31)*((История!$C$5:$C$300+История!$F$5:$F$300-ABS(История!$C$5:$C$300-История!$F$5:$F$300))/2)*История!$D$5:$D$300))&lt;=0,0,ROUND(K31/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31)*((История!$C$5:$C$300+История!$F$5:$F$300-ABS(История!$C$5:$C$300-История!$F$5:$F$300))/2)*История!$D$5:$D$300)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IF($B32="","",IF(SUMIFS('ИТОГО Торговля'!$C$5:$C$300,'ИТОГО Торговля'!$B$5:$B$300,$B32)+SUMIFS('ИТОГО Лэндинг'!$C$5:$C$300,'ИТОГО Лэндинг'!$B$5:$B$300,$B32)+SUMIFS('История'!$C$5:$C$300,'История'!$B$5:$B$300,$B32)=0,"",SUMIFS('ИТОГО Торговля'!$C$5:$C$300,'ИТОГО Торговля'!$B$5:$B$300,$B32)+SUMIFS('ИТОГО Лэндинг'!$C$5:$C$300,'ИТОГО Лэндинг'!$B$5:$B$300,$B32)+SUMIFS('История'!$C$5:$C$300,'История'!$B$5:$B$300,$B32)))</f>
        <v/>
      </c>
      <c r="D32" s="183">
        <f>IF(C32="","",E32/C32)</f>
        <v/>
      </c>
      <c r="E32" s="247">
        <f>IF(C32="","",SUMIFS('ИТОГО Торговля'!$E$5:$E$300,'ИТОГО Торговля'!$B$5:$B$300,$B32)+SUMIFS('ИТОГО Лэндинг'!$E$5:$E$300,'ИТОГО Лэндинг'!$B$5:$B$300,$B32)+SUMIFS('История'!$E$5:$E$300,'История'!$B$5:$B$300,$B32))</f>
        <v/>
      </c>
      <c r="F32" s="246">
        <f>IF($B32="","",IF(SUMIFS('ИТОГО Торговля'!$F$5:$F$300,'ИТОГО Торговля'!$B$5:$B$300,$B32)+SUMIFS('ИТОГО Лэндинг'!$F$5:$F$300,'ИТОГО Лэндинг'!$B$5:$B$300,$B32)+SUMIFS('История'!$F$5:$F$300,'История'!$B$5:$B$300,$B32)=0,"",SUMIFS('ИТОГО Торговля'!$F$5:$F$300,'ИТОГО Торговля'!$B$5:$B$300,$B32)+SUMIFS('ИТОГО Лэндинг'!$F$5:$F$300,'ИТОГО Лэндинг'!$B$5:$B$300,$B32)+SUMIFS('История'!$F$5:$F$300,'История'!$B$5:$B$300,$B32)))</f>
        <v/>
      </c>
      <c r="G32" s="183">
        <f>IF(F32="","",H32/F32)</f>
        <v/>
      </c>
      <c r="H32" s="247">
        <f>IF(F32="","",SUMIFS('ИТОГО Торговля'!$H$5:$H$300,'ИТОГО Торговля'!$B$5:$B$300,$B32)+SUMIFS('ИТОГО Лэндинг'!$H$5:$H$300,'ИТОГО Лэндинг'!$B$5:$B$300,$B32)+SUMIFS('История'!$H$5:$H$300,'История'!$B$5:$B$300,$B32))</f>
        <v/>
      </c>
      <c r="I32" s="246">
        <f>IF($B32="","",IF(AND(C32="",F32=""),"",ROUND(SUMIFS('ИТОГО Торговля'!$I$5:$I$300,'ИТОГО Торговля'!$B$5:$B$300,$B32)+SUMIFS('ИТОГО Лэндинг'!$I$5:$I$300,'ИТОГО Лэндинг'!$B$5:$B$300,$B32)+SUMIFS('История'!$I$5:$I$300,'История'!$B$5:$B$300,$B32),8)))</f>
        <v/>
      </c>
      <c r="J32" s="247">
        <f>IF($B32="","",IF(AND(C32="",F32=""),"",ROUND(SUMIFS('ИТОГО Торговля'!$J$5:$J$300,'ИТОГО Торговля'!$B$5:$B$300,$B32)+SUMIFS('ИТОГО Лэндинг'!$J$5:$J$300,'ИТОГО Лэндинг'!$B$5:$B$300,$B32)+SUMIFS('История'!$J$5:$J$300,'История'!$B$5:$B$300,$B32),8)))</f>
        <v/>
      </c>
      <c r="K32" s="246">
        <f>IF($B32="","",ROUND(SUMIFS('ИТОГО Торговля'!$K$5:$K$300,'ИТОГО Торговля'!$B$5:$B$300,$B32)+SUMIFS('ИТОГО Лэндинг'!$K$5:$K$300,'ИТОГО Лэндинг'!$B$5:$B$300,$B32)+SUMIFS('История'!$K$5:$K$300,'История'!$B$5:$B$300,$B32),8))</f>
        <v/>
      </c>
      <c r="L32" s="183">
        <f>IF(K32="","",IF(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32)*((История!$C$5:$C$300+История!$F$5:$F$300-ABS(История!$C$5:$C$300-История!$F$5:$F$300))/2)*История!$D$5:$D$300))&lt;=0,0,ROUND(K32/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32)*((История!$C$5:$C$300+История!$F$5:$F$300-ABS(История!$C$5:$C$300-История!$F$5:$F$300))/2)*История!$D$5:$D$300)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IF($B33="","",IF(SUMIFS('ИТОГО Торговля'!$C$5:$C$300,'ИТОГО Торговля'!$B$5:$B$300,$B33)+SUMIFS('ИТОГО Лэндинг'!$C$5:$C$300,'ИТОГО Лэндинг'!$B$5:$B$300,$B33)+SUMIFS('История'!$C$5:$C$300,'История'!$B$5:$B$300,$B33)=0,"",SUMIFS('ИТОГО Торговля'!$C$5:$C$300,'ИТОГО Торговля'!$B$5:$B$300,$B33)+SUMIFS('ИТОГО Лэндинг'!$C$5:$C$300,'ИТОГО Лэндинг'!$B$5:$B$300,$B33)+SUMIFS('История'!$C$5:$C$300,'История'!$B$5:$B$300,$B33)))</f>
        <v/>
      </c>
      <c r="D33" s="177">
        <f>IF(C33="","",E33/C33)</f>
        <v/>
      </c>
      <c r="E33" s="241">
        <f>IF(C33="","",SUMIFS('ИТОГО Торговля'!$E$5:$E$300,'ИТОГО Торговля'!$B$5:$B$300,$B33)+SUMIFS('ИТОГО Лэндинг'!$E$5:$E$300,'ИТОГО Лэндинг'!$B$5:$B$300,$B33)+SUMIFS('История'!$E$5:$E$300,'История'!$B$5:$B$300,$B33))</f>
        <v/>
      </c>
      <c r="F33" s="240">
        <f>IF($B33="","",IF(SUMIFS('ИТОГО Торговля'!$F$5:$F$300,'ИТОГО Торговля'!$B$5:$B$300,$B33)+SUMIFS('ИТОГО Лэндинг'!$F$5:$F$300,'ИТОГО Лэндинг'!$B$5:$B$300,$B33)+SUMIFS('История'!$F$5:$F$300,'История'!$B$5:$B$300,$B33)=0,"",SUMIFS('ИТОГО Торговля'!$F$5:$F$300,'ИТОГО Торговля'!$B$5:$B$300,$B33)+SUMIFS('ИТОГО Лэндинг'!$F$5:$F$300,'ИТОГО Лэндинг'!$B$5:$B$300,$B33)+SUMIFS('История'!$F$5:$F$300,'История'!$B$5:$B$300,$B33)))</f>
        <v/>
      </c>
      <c r="G33" s="177">
        <f>IF(F33="","",H33/F33)</f>
        <v/>
      </c>
      <c r="H33" s="241">
        <f>IF(F33="","",SUMIFS('ИТОГО Торговля'!$H$5:$H$300,'ИТОГО Торговля'!$B$5:$B$300,$B33)+SUMIFS('ИТОГО Лэндинг'!$H$5:$H$300,'ИТОГО Лэндинг'!$B$5:$B$300,$B33)+SUMIFS('История'!$H$5:$H$300,'История'!$B$5:$B$300,$B33))</f>
        <v/>
      </c>
      <c r="I33" s="240">
        <f>IF($B33="","",IF(AND(C33="",F33=""),"",ROUND(SUMIFS('ИТОГО Торговля'!$I$5:$I$300,'ИТОГО Торговля'!$B$5:$B$300,$B33)+SUMIFS('ИТОГО Лэндинг'!$I$5:$I$300,'ИТОГО Лэндинг'!$B$5:$B$300,$B33)+SUMIFS('История'!$I$5:$I$300,'История'!$B$5:$B$300,$B33),8)))</f>
        <v/>
      </c>
      <c r="J33" s="241">
        <f>IF($B33="","",IF(AND(C33="",F33=""),"",ROUND(SUMIFS('ИТОГО Торговля'!$J$5:$J$300,'ИТОГО Торговля'!$B$5:$B$300,$B33)+SUMIFS('ИТОГО Лэндинг'!$J$5:$J$300,'ИТОГО Лэндинг'!$B$5:$B$300,$B33)+SUMIFS('История'!$J$5:$J$300,'История'!$B$5:$B$300,$B33),8)))</f>
        <v/>
      </c>
      <c r="K33" s="240">
        <f>IF($B33="","",ROUND(SUMIFS('ИТОГО Торговля'!$K$5:$K$300,'ИТОГО Торговля'!$B$5:$B$300,$B33)+SUMIFS('ИТОГО Лэндинг'!$K$5:$K$300,'ИТОГО Лэндинг'!$B$5:$B$300,$B33)+SUMIFS('История'!$K$5:$K$300,'История'!$B$5:$B$300,$B33),8))</f>
        <v/>
      </c>
      <c r="L33" s="177">
        <f>IF(K33="","",IF(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33)*((История!$C$5:$C$300+История!$F$5:$F$300-ABS(История!$C$5:$C$300-История!$F$5:$F$300))/2)*История!$D$5:$D$300))&lt;=0,0,ROUND(K33/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33)*((История!$C$5:$C$300+История!$F$5:$F$300-ABS(История!$C$5:$C$300-История!$F$5:$F$300))/2)*История!$D$5:$D$300)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IF($B34="","",IF(SUMIFS('ИТОГО Торговля'!$C$5:$C$300,'ИТОГО Торговля'!$B$5:$B$300,$B34)+SUMIFS('ИТОГО Лэндинг'!$C$5:$C$300,'ИТОГО Лэндинг'!$B$5:$B$300,$B34)+SUMIFS('История'!$C$5:$C$300,'История'!$B$5:$B$300,$B34)=0,"",SUMIFS('ИТОГО Торговля'!$C$5:$C$300,'ИТОГО Торговля'!$B$5:$B$300,$B34)+SUMIFS('ИТОГО Лэндинг'!$C$5:$C$300,'ИТОГО Лэндинг'!$B$5:$B$300,$B34)+SUMIFS('История'!$C$5:$C$300,'История'!$B$5:$B$300,$B34)))</f>
        <v/>
      </c>
      <c r="D34" s="183">
        <f>IF(C34="","",E34/C34)</f>
        <v/>
      </c>
      <c r="E34" s="247">
        <f>IF(C34="","",SUMIFS('ИТОГО Торговля'!$E$5:$E$300,'ИТОГО Торговля'!$B$5:$B$300,$B34)+SUMIFS('ИТОГО Лэндинг'!$E$5:$E$300,'ИТОГО Лэндинг'!$B$5:$B$300,$B34)+SUMIFS('История'!$E$5:$E$300,'История'!$B$5:$B$300,$B34))</f>
        <v/>
      </c>
      <c r="F34" s="246">
        <f>IF($B34="","",IF(SUMIFS('ИТОГО Торговля'!$F$5:$F$300,'ИТОГО Торговля'!$B$5:$B$300,$B34)+SUMIFS('ИТОГО Лэндинг'!$F$5:$F$300,'ИТОГО Лэндинг'!$B$5:$B$300,$B34)+SUMIFS('История'!$F$5:$F$300,'История'!$B$5:$B$300,$B34)=0,"",SUMIFS('ИТОГО Торговля'!$F$5:$F$300,'ИТОГО Торговля'!$B$5:$B$300,$B34)+SUMIFS('ИТОГО Лэндинг'!$F$5:$F$300,'ИТОГО Лэндинг'!$B$5:$B$300,$B34)+SUMIFS('История'!$F$5:$F$300,'История'!$B$5:$B$300,$B34)))</f>
        <v/>
      </c>
      <c r="G34" s="183">
        <f>IF(F34="","",H34/F34)</f>
        <v/>
      </c>
      <c r="H34" s="247">
        <f>IF(F34="","",SUMIFS('ИТОГО Торговля'!$H$5:$H$300,'ИТОГО Торговля'!$B$5:$B$300,$B34)+SUMIFS('ИТОГО Лэндинг'!$H$5:$H$300,'ИТОГО Лэндинг'!$B$5:$B$300,$B34)+SUMIFS('История'!$H$5:$H$300,'История'!$B$5:$B$300,$B34))</f>
        <v/>
      </c>
      <c r="I34" s="246">
        <f>IF($B34="","",IF(AND(C34="",F34=""),"",ROUND(SUMIFS('ИТОГО Торговля'!$I$5:$I$300,'ИТОГО Торговля'!$B$5:$B$300,$B34)+SUMIFS('ИТОГО Лэндинг'!$I$5:$I$300,'ИТОГО Лэндинг'!$B$5:$B$300,$B34)+SUMIFS('История'!$I$5:$I$300,'История'!$B$5:$B$300,$B34),8)))</f>
        <v/>
      </c>
      <c r="J34" s="247">
        <f>IF($B34="","",IF(AND(C34="",F34=""),"",ROUND(SUMIFS('ИТОГО Торговля'!$J$5:$J$300,'ИТОГО Торговля'!$B$5:$B$300,$B34)+SUMIFS('ИТОГО Лэндинг'!$J$5:$J$300,'ИТОГО Лэндинг'!$B$5:$B$300,$B34)+SUMIFS('История'!$J$5:$J$300,'История'!$B$5:$B$300,$B34),8)))</f>
        <v/>
      </c>
      <c r="K34" s="246">
        <f>IF($B34="","",ROUND(SUMIFS('ИТОГО Торговля'!$K$5:$K$300,'ИТОГО Торговля'!$B$5:$B$300,$B34)+SUMIFS('ИТОГО Лэндинг'!$K$5:$K$300,'ИТОГО Лэндинг'!$B$5:$B$300,$B34)+SUMIFS('История'!$K$5:$K$300,'История'!$B$5:$B$300,$B34),8))</f>
        <v/>
      </c>
      <c r="L34" s="183">
        <f>IF(K34="","",IF(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34)*((История!$C$5:$C$300+История!$F$5:$F$300-ABS(История!$C$5:$C$300-История!$F$5:$F$300))/2)*История!$D$5:$D$300))&lt;=0,0,ROUND(K34/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34)*((История!$C$5:$C$300+История!$F$5:$F$300-ABS(История!$C$5:$C$300-История!$F$5:$F$300))/2)*История!$D$5:$D$300)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IF($B35="","",IF(SUMIFS('ИТОГО Торговля'!$C$5:$C$300,'ИТОГО Торговля'!$B$5:$B$300,$B35)+SUMIFS('ИТОГО Лэндинг'!$C$5:$C$300,'ИТОГО Лэндинг'!$B$5:$B$300,$B35)+SUMIFS('История'!$C$5:$C$300,'История'!$B$5:$B$300,$B35)=0,"",SUMIFS('ИТОГО Торговля'!$C$5:$C$300,'ИТОГО Торговля'!$B$5:$B$300,$B35)+SUMIFS('ИТОГО Лэндинг'!$C$5:$C$300,'ИТОГО Лэндинг'!$B$5:$B$300,$B35)+SUMIFS('История'!$C$5:$C$300,'История'!$B$5:$B$300,$B35)))</f>
        <v/>
      </c>
      <c r="D35" s="177">
        <f>IF(C35="","",E35/C35)</f>
        <v/>
      </c>
      <c r="E35" s="241">
        <f>IF(C35="","",SUMIFS('ИТОГО Торговля'!$E$5:$E$300,'ИТОГО Торговля'!$B$5:$B$300,$B35)+SUMIFS('ИТОГО Лэндинг'!$E$5:$E$300,'ИТОГО Лэндинг'!$B$5:$B$300,$B35)+SUMIFS('История'!$E$5:$E$300,'История'!$B$5:$B$300,$B35))</f>
        <v/>
      </c>
      <c r="F35" s="240">
        <f>IF($B35="","",IF(SUMIFS('ИТОГО Торговля'!$F$5:$F$300,'ИТОГО Торговля'!$B$5:$B$300,$B35)+SUMIFS('ИТОГО Лэндинг'!$F$5:$F$300,'ИТОГО Лэндинг'!$B$5:$B$300,$B35)+SUMIFS('История'!$F$5:$F$300,'История'!$B$5:$B$300,$B35)=0,"",SUMIFS('ИТОГО Торговля'!$F$5:$F$300,'ИТОГО Торговля'!$B$5:$B$300,$B35)+SUMIFS('ИТОГО Лэндинг'!$F$5:$F$300,'ИТОГО Лэндинг'!$B$5:$B$300,$B35)+SUMIFS('История'!$F$5:$F$300,'История'!$B$5:$B$300,$B35)))</f>
        <v/>
      </c>
      <c r="G35" s="177">
        <f>IF(F35="","",H35/F35)</f>
        <v/>
      </c>
      <c r="H35" s="241">
        <f>IF(F35="","",SUMIFS('ИТОГО Торговля'!$H$5:$H$300,'ИТОГО Торговля'!$B$5:$B$300,$B35)+SUMIFS('ИТОГО Лэндинг'!$H$5:$H$300,'ИТОГО Лэндинг'!$B$5:$B$300,$B35)+SUMIFS('История'!$H$5:$H$300,'История'!$B$5:$B$300,$B35))</f>
        <v/>
      </c>
      <c r="I35" s="240">
        <f>IF($B35="","",IF(AND(C35="",F35=""),"",ROUND(SUMIFS('ИТОГО Торговля'!$I$5:$I$300,'ИТОГО Торговля'!$B$5:$B$300,$B35)+SUMIFS('ИТОГО Лэндинг'!$I$5:$I$300,'ИТОГО Лэндинг'!$B$5:$B$300,$B35)+SUMIFS('История'!$I$5:$I$300,'История'!$B$5:$B$300,$B35),8)))</f>
        <v/>
      </c>
      <c r="J35" s="241">
        <f>IF($B35="","",IF(AND(C35="",F35=""),"",ROUND(SUMIFS('ИТОГО Торговля'!$J$5:$J$300,'ИТОГО Торговля'!$B$5:$B$300,$B35)+SUMIFS('ИТОГО Лэндинг'!$J$5:$J$300,'ИТОГО Лэндинг'!$B$5:$B$300,$B35)+SUMIFS('История'!$J$5:$J$300,'История'!$B$5:$B$300,$B35),8)))</f>
        <v/>
      </c>
      <c r="K35" s="240">
        <f>IF($B35="","",ROUND(SUMIFS('ИТОГО Торговля'!$K$5:$K$300,'ИТОГО Торговля'!$B$5:$B$300,$B35)+SUMIFS('ИТОГО Лэндинг'!$K$5:$K$300,'ИТОГО Лэндинг'!$B$5:$B$300,$B35)+SUMIFS('История'!$K$5:$K$300,'История'!$B$5:$B$300,$B35),8))</f>
        <v/>
      </c>
      <c r="L35" s="177">
        <f>IF(K35="","",IF(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35)*((История!$C$5:$C$300+История!$F$5:$F$300-ABS(История!$C$5:$C$300-История!$F$5:$F$300))/2)*История!$D$5:$D$300))&lt;=0,0,ROUND(K35/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35)*((История!$C$5:$C$300+История!$F$5:$F$300-ABS(История!$C$5:$C$300-История!$F$5:$F$300))/2)*История!$D$5:$D$300)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IF($B36="","",IF(SUMIFS('ИТОГО Торговля'!$C$5:$C$300,'ИТОГО Торговля'!$B$5:$B$300,$B36)+SUMIFS('ИТОГО Лэндинг'!$C$5:$C$300,'ИТОГО Лэндинг'!$B$5:$B$300,$B36)+SUMIFS('История'!$C$5:$C$300,'История'!$B$5:$B$300,$B36)=0,"",SUMIFS('ИТОГО Торговля'!$C$5:$C$300,'ИТОГО Торговля'!$B$5:$B$300,$B36)+SUMIFS('ИТОГО Лэндинг'!$C$5:$C$300,'ИТОГО Лэндинг'!$B$5:$B$300,$B36)+SUMIFS('История'!$C$5:$C$300,'История'!$B$5:$B$300,$B36)))</f>
        <v/>
      </c>
      <c r="D36" s="183">
        <f>IF(C36="","",E36/C36)</f>
        <v/>
      </c>
      <c r="E36" s="247">
        <f>IF(C36="","",SUMIFS('ИТОГО Торговля'!$E$5:$E$300,'ИТОГО Торговля'!$B$5:$B$300,$B36)+SUMIFS('ИТОГО Лэндинг'!$E$5:$E$300,'ИТОГО Лэндинг'!$B$5:$B$300,$B36)+SUMIFS('История'!$E$5:$E$300,'История'!$B$5:$B$300,$B36))</f>
        <v/>
      </c>
      <c r="F36" s="246">
        <f>IF($B36="","",IF(SUMIFS('ИТОГО Торговля'!$F$5:$F$300,'ИТОГО Торговля'!$B$5:$B$300,$B36)+SUMIFS('ИТОГО Лэндинг'!$F$5:$F$300,'ИТОГО Лэндинг'!$B$5:$B$300,$B36)+SUMIFS('История'!$F$5:$F$300,'История'!$B$5:$B$300,$B36)=0,"",SUMIFS('ИТОГО Торговля'!$F$5:$F$300,'ИТОГО Торговля'!$B$5:$B$300,$B36)+SUMIFS('ИТОГО Лэндинг'!$F$5:$F$300,'ИТОГО Лэндинг'!$B$5:$B$300,$B36)+SUMIFS('История'!$F$5:$F$300,'История'!$B$5:$B$300,$B36)))</f>
        <v/>
      </c>
      <c r="G36" s="183">
        <f>IF(F36="","",H36/F36)</f>
        <v/>
      </c>
      <c r="H36" s="247">
        <f>IF(F36="","",SUMIFS('ИТОГО Торговля'!$H$5:$H$300,'ИТОГО Торговля'!$B$5:$B$300,$B36)+SUMIFS('ИТОГО Лэндинг'!$H$5:$H$300,'ИТОГО Лэндинг'!$B$5:$B$300,$B36)+SUMIFS('История'!$H$5:$H$300,'История'!$B$5:$B$300,$B36))</f>
        <v/>
      </c>
      <c r="I36" s="246">
        <f>IF($B36="","",IF(AND(C36="",F36=""),"",ROUND(SUMIFS('ИТОГО Торговля'!$I$5:$I$300,'ИТОГО Торговля'!$B$5:$B$300,$B36)+SUMIFS('ИТОГО Лэндинг'!$I$5:$I$300,'ИТОГО Лэндинг'!$B$5:$B$300,$B36)+SUMIFS('История'!$I$5:$I$300,'История'!$B$5:$B$300,$B36),8)))</f>
        <v/>
      </c>
      <c r="J36" s="247">
        <f>IF($B36="","",IF(AND(C36="",F36=""),"",ROUND(SUMIFS('ИТОГО Торговля'!$J$5:$J$300,'ИТОГО Торговля'!$B$5:$B$300,$B36)+SUMIFS('ИТОГО Лэндинг'!$J$5:$J$300,'ИТОГО Лэндинг'!$B$5:$B$300,$B36)+SUMIFS('История'!$J$5:$J$300,'История'!$B$5:$B$300,$B36),8)))</f>
        <v/>
      </c>
      <c r="K36" s="246">
        <f>IF($B36="","",ROUND(SUMIFS('ИТОГО Торговля'!$K$5:$K$300,'ИТОГО Торговля'!$B$5:$B$300,$B36)+SUMIFS('ИТОГО Лэндинг'!$K$5:$K$300,'ИТОГО Лэндинг'!$B$5:$B$300,$B36)+SUMIFS('История'!$K$5:$K$300,'История'!$B$5:$B$300,$B36),8))</f>
        <v/>
      </c>
      <c r="L36" s="183">
        <f>IF(K36="","",IF(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36)*((История!$C$5:$C$300+История!$F$5:$F$300-ABS(История!$C$5:$C$300-История!$F$5:$F$300))/2)*История!$D$5:$D$300))&lt;=0,0,ROUND(K36/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36)*((История!$C$5:$C$300+История!$F$5:$F$300-ABS(История!$C$5:$C$300-История!$F$5:$F$300))/2)*История!$D$5:$D$300)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IF($B37="","",IF(SUMIFS('ИТОГО Торговля'!$C$5:$C$300,'ИТОГО Торговля'!$B$5:$B$300,$B37)+SUMIFS('ИТОГО Лэндинг'!$C$5:$C$300,'ИТОГО Лэндинг'!$B$5:$B$300,$B37)+SUMIFS('История'!$C$5:$C$300,'История'!$B$5:$B$300,$B37)=0,"",SUMIFS('ИТОГО Торговля'!$C$5:$C$300,'ИТОГО Торговля'!$B$5:$B$300,$B37)+SUMIFS('ИТОГО Лэндинг'!$C$5:$C$300,'ИТОГО Лэндинг'!$B$5:$B$300,$B37)+SUMIFS('История'!$C$5:$C$300,'История'!$B$5:$B$300,$B37)))</f>
        <v/>
      </c>
      <c r="D37" s="177">
        <f>IF(C37="","",E37/C37)</f>
        <v/>
      </c>
      <c r="E37" s="241">
        <f>IF(C37="","",SUMIFS('ИТОГО Торговля'!$E$5:$E$300,'ИТОГО Торговля'!$B$5:$B$300,$B37)+SUMIFS('ИТОГО Лэндинг'!$E$5:$E$300,'ИТОГО Лэндинг'!$B$5:$B$300,$B37)+SUMIFS('История'!$E$5:$E$300,'История'!$B$5:$B$300,$B37))</f>
        <v/>
      </c>
      <c r="F37" s="240">
        <f>IF($B37="","",IF(SUMIFS('ИТОГО Торговля'!$F$5:$F$300,'ИТОГО Торговля'!$B$5:$B$300,$B37)+SUMIFS('ИТОГО Лэндинг'!$F$5:$F$300,'ИТОГО Лэндинг'!$B$5:$B$300,$B37)+SUMIFS('История'!$F$5:$F$300,'История'!$B$5:$B$300,$B37)=0,"",SUMIFS('ИТОГО Торговля'!$F$5:$F$300,'ИТОГО Торговля'!$B$5:$B$300,$B37)+SUMIFS('ИТОГО Лэндинг'!$F$5:$F$300,'ИТОГО Лэндинг'!$B$5:$B$300,$B37)+SUMIFS('История'!$F$5:$F$300,'История'!$B$5:$B$300,$B37)))</f>
        <v/>
      </c>
      <c r="G37" s="177">
        <f>IF(F37="","",H37/F37)</f>
        <v/>
      </c>
      <c r="H37" s="241">
        <f>IF(F37="","",SUMIFS('ИТОГО Торговля'!$H$5:$H$300,'ИТОГО Торговля'!$B$5:$B$300,$B37)+SUMIFS('ИТОГО Лэндинг'!$H$5:$H$300,'ИТОГО Лэндинг'!$B$5:$B$300,$B37)+SUMIFS('История'!$H$5:$H$300,'История'!$B$5:$B$300,$B37))</f>
        <v/>
      </c>
      <c r="I37" s="240">
        <f>IF($B37="","",IF(AND(C37="",F37=""),"",ROUND(SUMIFS('ИТОГО Торговля'!$I$5:$I$300,'ИТОГО Торговля'!$B$5:$B$300,$B37)+SUMIFS('ИТОГО Лэндинг'!$I$5:$I$300,'ИТОГО Лэндинг'!$B$5:$B$300,$B37)+SUMIFS('История'!$I$5:$I$300,'История'!$B$5:$B$300,$B37),8)))</f>
        <v/>
      </c>
      <c r="J37" s="241">
        <f>IF($B37="","",IF(AND(C37="",F37=""),"",ROUND(SUMIFS('ИТОГО Торговля'!$J$5:$J$300,'ИТОГО Торговля'!$B$5:$B$300,$B37)+SUMIFS('ИТОГО Лэндинг'!$J$5:$J$300,'ИТОГО Лэндинг'!$B$5:$B$300,$B37)+SUMIFS('История'!$J$5:$J$300,'История'!$B$5:$B$300,$B37),8)))</f>
        <v/>
      </c>
      <c r="K37" s="240">
        <f>IF($B37="","",ROUND(SUMIFS('ИТОГО Торговля'!$K$5:$K$300,'ИТОГО Торговля'!$B$5:$B$300,$B37)+SUMIFS('ИТОГО Лэндинг'!$K$5:$K$300,'ИТОГО Лэндинг'!$B$5:$B$300,$B37)+SUMIFS('История'!$K$5:$K$300,'История'!$B$5:$B$300,$B37),8))</f>
        <v/>
      </c>
      <c r="L37" s="177">
        <f>IF(K37="","",IF(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37)*((История!$C$5:$C$300+История!$F$5:$F$300-ABS(История!$C$5:$C$300-История!$F$5:$F$300))/2)*История!$D$5:$D$300))&lt;=0,0,ROUND(K37/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37)*((История!$C$5:$C$300+История!$F$5:$F$300-ABS(История!$C$5:$C$300-История!$F$5:$F$300))/2)*История!$D$5:$D$300)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IF($B38="","",IF(SUMIFS('ИТОГО Торговля'!$C$5:$C$300,'ИТОГО Торговля'!$B$5:$B$300,$B38)+SUMIFS('ИТОГО Лэндинг'!$C$5:$C$300,'ИТОГО Лэндинг'!$B$5:$B$300,$B38)+SUMIFS('История'!$C$5:$C$300,'История'!$B$5:$B$300,$B38)=0,"",SUMIFS('ИТОГО Торговля'!$C$5:$C$300,'ИТОГО Торговля'!$B$5:$B$300,$B38)+SUMIFS('ИТОГО Лэндинг'!$C$5:$C$300,'ИТОГО Лэндинг'!$B$5:$B$300,$B38)+SUMIFS('История'!$C$5:$C$300,'История'!$B$5:$B$300,$B38)))</f>
        <v/>
      </c>
      <c r="D38" s="183">
        <f>IF(C38="","",E38/C38)</f>
        <v/>
      </c>
      <c r="E38" s="247">
        <f>IF(C38="","",SUMIFS('ИТОГО Торговля'!$E$5:$E$300,'ИТОГО Торговля'!$B$5:$B$300,$B38)+SUMIFS('ИТОГО Лэндинг'!$E$5:$E$300,'ИТОГО Лэндинг'!$B$5:$B$300,$B38)+SUMIFS('История'!$E$5:$E$300,'История'!$B$5:$B$300,$B38))</f>
        <v/>
      </c>
      <c r="F38" s="246">
        <f>IF($B38="","",IF(SUMIFS('ИТОГО Торговля'!$F$5:$F$300,'ИТОГО Торговля'!$B$5:$B$300,$B38)+SUMIFS('ИТОГО Лэндинг'!$F$5:$F$300,'ИТОГО Лэндинг'!$B$5:$B$300,$B38)+SUMIFS('История'!$F$5:$F$300,'История'!$B$5:$B$300,$B38)=0,"",SUMIFS('ИТОГО Торговля'!$F$5:$F$300,'ИТОГО Торговля'!$B$5:$B$300,$B38)+SUMIFS('ИТОГО Лэндинг'!$F$5:$F$300,'ИТОГО Лэндинг'!$B$5:$B$300,$B38)+SUMIFS('История'!$F$5:$F$300,'История'!$B$5:$B$300,$B38)))</f>
        <v/>
      </c>
      <c r="G38" s="183">
        <f>IF(F38="","",H38/F38)</f>
        <v/>
      </c>
      <c r="H38" s="247">
        <f>IF(F38="","",SUMIFS('ИТОГО Торговля'!$H$5:$H$300,'ИТОГО Торговля'!$B$5:$B$300,$B38)+SUMIFS('ИТОГО Лэндинг'!$H$5:$H$300,'ИТОГО Лэндинг'!$B$5:$B$300,$B38)+SUMIFS('История'!$H$5:$H$300,'История'!$B$5:$B$300,$B38))</f>
        <v/>
      </c>
      <c r="I38" s="246">
        <f>IF($B38="","",IF(AND(C38="",F38=""),"",ROUND(SUMIFS('ИТОГО Торговля'!$I$5:$I$300,'ИТОГО Торговля'!$B$5:$B$300,$B38)+SUMIFS('ИТОГО Лэндинг'!$I$5:$I$300,'ИТОГО Лэндинг'!$B$5:$B$300,$B38)+SUMIFS('История'!$I$5:$I$300,'История'!$B$5:$B$300,$B38),8)))</f>
        <v/>
      </c>
      <c r="J38" s="247">
        <f>IF($B38="","",IF(AND(C38="",F38=""),"",ROUND(SUMIFS('ИТОГО Торговля'!$J$5:$J$300,'ИТОГО Торговля'!$B$5:$B$300,$B38)+SUMIFS('ИТОГО Лэндинг'!$J$5:$J$300,'ИТОГО Лэндинг'!$B$5:$B$300,$B38)+SUMIFS('История'!$J$5:$J$300,'История'!$B$5:$B$300,$B38),8)))</f>
        <v/>
      </c>
      <c r="K38" s="246">
        <f>IF($B38="","",ROUND(SUMIFS('ИТОГО Торговля'!$K$5:$K$300,'ИТОГО Торговля'!$B$5:$B$300,$B38)+SUMIFS('ИТОГО Лэндинг'!$K$5:$K$300,'ИТОГО Лэндинг'!$B$5:$B$300,$B38)+SUMIFS('История'!$K$5:$K$300,'История'!$B$5:$B$300,$B38),8))</f>
        <v/>
      </c>
      <c r="L38" s="183">
        <f>IF(K38="","",IF(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38)*((История!$C$5:$C$300+История!$F$5:$F$300-ABS(История!$C$5:$C$300-История!$F$5:$F$300))/2)*История!$D$5:$D$300))&lt;=0,0,ROUND(K38/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38)*((История!$C$5:$C$300+История!$F$5:$F$300-ABS(История!$C$5:$C$300-История!$F$5:$F$300))/2)*История!$D$5:$D$300)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IF($B39="","",IF(SUMIFS('ИТОГО Торговля'!$C$5:$C$300,'ИТОГО Торговля'!$B$5:$B$300,$B39)+SUMIFS('ИТОГО Лэндинг'!$C$5:$C$300,'ИТОГО Лэндинг'!$B$5:$B$300,$B39)+SUMIFS('История'!$C$5:$C$300,'История'!$B$5:$B$300,$B39)=0,"",SUMIFS('ИТОГО Торговля'!$C$5:$C$300,'ИТОГО Торговля'!$B$5:$B$300,$B39)+SUMIFS('ИТОГО Лэндинг'!$C$5:$C$300,'ИТОГО Лэндинг'!$B$5:$B$300,$B39)+SUMIFS('История'!$C$5:$C$300,'История'!$B$5:$B$300,$B39)))</f>
        <v/>
      </c>
      <c r="D39" s="177">
        <f>IF(C39="","",E39/C39)</f>
        <v/>
      </c>
      <c r="E39" s="241">
        <f>IF(C39="","",SUMIFS('ИТОГО Торговля'!$E$5:$E$300,'ИТОГО Торговля'!$B$5:$B$300,$B39)+SUMIFS('ИТОГО Лэндинг'!$E$5:$E$300,'ИТОГО Лэндинг'!$B$5:$B$300,$B39)+SUMIFS('История'!$E$5:$E$300,'История'!$B$5:$B$300,$B39))</f>
        <v/>
      </c>
      <c r="F39" s="240">
        <f>IF($B39="","",IF(SUMIFS('ИТОГО Торговля'!$F$5:$F$300,'ИТОГО Торговля'!$B$5:$B$300,$B39)+SUMIFS('ИТОГО Лэндинг'!$F$5:$F$300,'ИТОГО Лэндинг'!$B$5:$B$300,$B39)+SUMIFS('История'!$F$5:$F$300,'История'!$B$5:$B$300,$B39)=0,"",SUMIFS('ИТОГО Торговля'!$F$5:$F$300,'ИТОГО Торговля'!$B$5:$B$300,$B39)+SUMIFS('ИТОГО Лэндинг'!$F$5:$F$300,'ИТОГО Лэндинг'!$B$5:$B$300,$B39)+SUMIFS('История'!$F$5:$F$300,'История'!$B$5:$B$300,$B39)))</f>
        <v/>
      </c>
      <c r="G39" s="177">
        <f>IF(F39="","",H39/F39)</f>
        <v/>
      </c>
      <c r="H39" s="241">
        <f>IF(F39="","",SUMIFS('ИТОГО Торговля'!$H$5:$H$300,'ИТОГО Торговля'!$B$5:$B$300,$B39)+SUMIFS('ИТОГО Лэндинг'!$H$5:$H$300,'ИТОГО Лэндинг'!$B$5:$B$300,$B39)+SUMIFS('История'!$H$5:$H$300,'История'!$B$5:$B$300,$B39))</f>
        <v/>
      </c>
      <c r="I39" s="240">
        <f>IF($B39="","",IF(AND(C39="",F39=""),"",ROUND(SUMIFS('ИТОГО Торговля'!$I$5:$I$300,'ИТОГО Торговля'!$B$5:$B$300,$B39)+SUMIFS('ИТОГО Лэндинг'!$I$5:$I$300,'ИТОГО Лэндинг'!$B$5:$B$300,$B39)+SUMIFS('История'!$I$5:$I$300,'История'!$B$5:$B$300,$B39),8)))</f>
        <v/>
      </c>
      <c r="J39" s="241">
        <f>IF($B39="","",IF(AND(C39="",F39=""),"",ROUND(SUMIFS('ИТОГО Торговля'!$J$5:$J$300,'ИТОГО Торговля'!$B$5:$B$300,$B39)+SUMIFS('ИТОГО Лэндинг'!$J$5:$J$300,'ИТОГО Лэндинг'!$B$5:$B$300,$B39)+SUMIFS('История'!$J$5:$J$300,'История'!$B$5:$B$300,$B39),8)))</f>
        <v/>
      </c>
      <c r="K39" s="240">
        <f>IF($B39="","",ROUND(SUMIFS('ИТОГО Торговля'!$K$5:$K$300,'ИТОГО Торговля'!$B$5:$B$300,$B39)+SUMIFS('ИТОГО Лэндинг'!$K$5:$K$300,'ИТОГО Лэндинг'!$B$5:$B$300,$B39)+SUMIFS('История'!$K$5:$K$300,'История'!$B$5:$B$300,$B39),8))</f>
        <v/>
      </c>
      <c r="L39" s="177">
        <f>IF(K39="","",IF(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39)*((История!$C$5:$C$300+История!$F$5:$F$300-ABS(История!$C$5:$C$300-История!$F$5:$F$300))/2)*История!$D$5:$D$300))&lt;=0,0,ROUND(K39/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39)*((История!$C$5:$C$300+История!$F$5:$F$300-ABS(История!$C$5:$C$300-История!$F$5:$F$300))/2)*История!$D$5:$D$300)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IF($B40="","",IF(SUMIFS('ИТОГО Торговля'!$C$5:$C$300,'ИТОГО Торговля'!$B$5:$B$300,$B40)+SUMIFS('ИТОГО Лэндинг'!$C$5:$C$300,'ИТОГО Лэндинг'!$B$5:$B$300,$B40)+SUMIFS('История'!$C$5:$C$300,'История'!$B$5:$B$300,$B40)=0,"",SUMIFS('ИТОГО Торговля'!$C$5:$C$300,'ИТОГО Торговля'!$B$5:$B$300,$B40)+SUMIFS('ИТОГО Лэндинг'!$C$5:$C$300,'ИТОГО Лэндинг'!$B$5:$B$300,$B40)+SUMIFS('История'!$C$5:$C$300,'История'!$B$5:$B$300,$B40)))</f>
        <v/>
      </c>
      <c r="D40" s="183">
        <f>IF(C40="","",E40/C40)</f>
        <v/>
      </c>
      <c r="E40" s="247">
        <f>IF(C40="","",SUMIFS('ИТОГО Торговля'!$E$5:$E$300,'ИТОГО Торговля'!$B$5:$B$300,$B40)+SUMIFS('ИТОГО Лэндинг'!$E$5:$E$300,'ИТОГО Лэндинг'!$B$5:$B$300,$B40)+SUMIFS('История'!$E$5:$E$300,'История'!$B$5:$B$300,$B40))</f>
        <v/>
      </c>
      <c r="F40" s="246">
        <f>IF($B40="","",IF(SUMIFS('ИТОГО Торговля'!$F$5:$F$300,'ИТОГО Торговля'!$B$5:$B$300,$B40)+SUMIFS('ИТОГО Лэндинг'!$F$5:$F$300,'ИТОГО Лэндинг'!$B$5:$B$300,$B40)+SUMIFS('История'!$F$5:$F$300,'История'!$B$5:$B$300,$B40)=0,"",SUMIFS('ИТОГО Торговля'!$F$5:$F$300,'ИТОГО Торговля'!$B$5:$B$300,$B40)+SUMIFS('ИТОГО Лэндинг'!$F$5:$F$300,'ИТОГО Лэндинг'!$B$5:$B$300,$B40)+SUMIFS('История'!$F$5:$F$300,'История'!$B$5:$B$300,$B40)))</f>
        <v/>
      </c>
      <c r="G40" s="183">
        <f>IF(F40="","",H40/F40)</f>
        <v/>
      </c>
      <c r="H40" s="247">
        <f>IF(F40="","",SUMIFS('ИТОГО Торговля'!$H$5:$H$300,'ИТОГО Торговля'!$B$5:$B$300,$B40)+SUMIFS('ИТОГО Лэндинг'!$H$5:$H$300,'ИТОГО Лэндинг'!$B$5:$B$300,$B40)+SUMIFS('История'!$H$5:$H$300,'История'!$B$5:$B$300,$B40))</f>
        <v/>
      </c>
      <c r="I40" s="246">
        <f>IF($B40="","",IF(AND(C40="",F40=""),"",ROUND(SUMIFS('ИТОГО Торговля'!$I$5:$I$300,'ИТОГО Торговля'!$B$5:$B$300,$B40)+SUMIFS('ИТОГО Лэндинг'!$I$5:$I$300,'ИТОГО Лэндинг'!$B$5:$B$300,$B40)+SUMIFS('История'!$I$5:$I$300,'История'!$B$5:$B$300,$B40),8)))</f>
        <v/>
      </c>
      <c r="J40" s="247">
        <f>IF($B40="","",IF(AND(C40="",F40=""),"",ROUND(SUMIFS('ИТОГО Торговля'!$J$5:$J$300,'ИТОГО Торговля'!$B$5:$B$300,$B40)+SUMIFS('ИТОГО Лэндинг'!$J$5:$J$300,'ИТОГО Лэндинг'!$B$5:$B$300,$B40)+SUMIFS('История'!$J$5:$J$300,'История'!$B$5:$B$300,$B40),8)))</f>
        <v/>
      </c>
      <c r="K40" s="246">
        <f>IF($B40="","",ROUND(SUMIFS('ИТОГО Торговля'!$K$5:$K$300,'ИТОГО Торговля'!$B$5:$B$300,$B40)+SUMIFS('ИТОГО Лэндинг'!$K$5:$K$300,'ИТОГО Лэндинг'!$B$5:$B$300,$B40)+SUMIFS('История'!$K$5:$K$300,'История'!$B$5:$B$300,$B40),8))</f>
        <v/>
      </c>
      <c r="L40" s="183">
        <f>IF(K40="","",IF(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40)*((История!$C$5:$C$300+История!$F$5:$F$300-ABS(История!$C$5:$C$300-История!$F$5:$F$300))/2)*История!$D$5:$D$300))&lt;=0,0,ROUND(K40/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40)*((История!$C$5:$C$300+История!$F$5:$F$300-ABS(История!$C$5:$C$300-История!$F$5:$F$300))/2)*История!$D$5:$D$300)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IF($B41="","",IF(SUMIFS('ИТОГО Торговля'!$C$5:$C$300,'ИТОГО Торговля'!$B$5:$B$300,$B41)+SUMIFS('ИТОГО Лэндинг'!$C$5:$C$300,'ИТОГО Лэндинг'!$B$5:$B$300,$B41)+SUMIFS('История'!$C$5:$C$300,'История'!$B$5:$B$300,$B41)=0,"",SUMIFS('ИТОГО Торговля'!$C$5:$C$300,'ИТОГО Торговля'!$B$5:$B$300,$B41)+SUMIFS('ИТОГО Лэндинг'!$C$5:$C$300,'ИТОГО Лэндинг'!$B$5:$B$300,$B41)+SUMIFS('История'!$C$5:$C$300,'История'!$B$5:$B$300,$B41)))</f>
        <v/>
      </c>
      <c r="D41" s="177">
        <f>IF(C41="","",E41/C41)</f>
        <v/>
      </c>
      <c r="E41" s="241">
        <f>IF(C41="","",SUMIFS('ИТОГО Торговля'!$E$5:$E$300,'ИТОГО Торговля'!$B$5:$B$300,$B41)+SUMIFS('ИТОГО Лэндинг'!$E$5:$E$300,'ИТОГО Лэндинг'!$B$5:$B$300,$B41)+SUMIFS('История'!$E$5:$E$300,'История'!$B$5:$B$300,$B41))</f>
        <v/>
      </c>
      <c r="F41" s="240">
        <f>IF($B41="","",IF(SUMIFS('ИТОГО Торговля'!$F$5:$F$300,'ИТОГО Торговля'!$B$5:$B$300,$B41)+SUMIFS('ИТОГО Лэндинг'!$F$5:$F$300,'ИТОГО Лэндинг'!$B$5:$B$300,$B41)+SUMIFS('История'!$F$5:$F$300,'История'!$B$5:$B$300,$B41)=0,"",SUMIFS('ИТОГО Торговля'!$F$5:$F$300,'ИТОГО Торговля'!$B$5:$B$300,$B41)+SUMIFS('ИТОГО Лэндинг'!$F$5:$F$300,'ИТОГО Лэндинг'!$B$5:$B$300,$B41)+SUMIFS('История'!$F$5:$F$300,'История'!$B$5:$B$300,$B41)))</f>
        <v/>
      </c>
      <c r="G41" s="177">
        <f>IF(F41="","",H41/F41)</f>
        <v/>
      </c>
      <c r="H41" s="241">
        <f>IF(F41="","",SUMIFS('ИТОГО Торговля'!$H$5:$H$300,'ИТОГО Торговля'!$B$5:$B$300,$B41)+SUMIFS('ИТОГО Лэндинг'!$H$5:$H$300,'ИТОГО Лэндинг'!$B$5:$B$300,$B41)+SUMIFS('История'!$H$5:$H$300,'История'!$B$5:$B$300,$B41))</f>
        <v/>
      </c>
      <c r="I41" s="240">
        <f>IF($B41="","",IF(AND(C41="",F41=""),"",ROUND(SUMIFS('ИТОГО Торговля'!$I$5:$I$300,'ИТОГО Торговля'!$B$5:$B$300,$B41)+SUMIFS('ИТОГО Лэндинг'!$I$5:$I$300,'ИТОГО Лэндинг'!$B$5:$B$300,$B41)+SUMIFS('История'!$I$5:$I$300,'История'!$B$5:$B$300,$B41),8)))</f>
        <v/>
      </c>
      <c r="J41" s="241">
        <f>IF($B41="","",IF(AND(C41="",F41=""),"",ROUND(SUMIFS('ИТОГО Торговля'!$J$5:$J$300,'ИТОГО Торговля'!$B$5:$B$300,$B41)+SUMIFS('ИТОГО Лэндинг'!$J$5:$J$300,'ИТОГО Лэндинг'!$B$5:$B$300,$B41)+SUMIFS('История'!$J$5:$J$300,'История'!$B$5:$B$300,$B41),8)))</f>
        <v/>
      </c>
      <c r="K41" s="240">
        <f>IF($B41="","",ROUND(SUMIFS('ИТОГО Торговля'!$K$5:$K$300,'ИТОГО Торговля'!$B$5:$B$300,$B41)+SUMIFS('ИТОГО Лэндинг'!$K$5:$K$300,'ИТОГО Лэндинг'!$B$5:$B$300,$B41)+SUMIFS('История'!$K$5:$K$300,'История'!$B$5:$B$300,$B41),8))</f>
        <v/>
      </c>
      <c r="L41" s="177">
        <f>IF(K41="","",IF(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41)*((История!$C$5:$C$300+История!$F$5:$F$300-ABS(История!$C$5:$C$300-История!$F$5:$F$300))/2)*История!$D$5:$D$300))&lt;=0,0,ROUND(K41/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41)*((История!$C$5:$C$300+История!$F$5:$F$300-ABS(История!$C$5:$C$300-История!$F$5:$F$300))/2)*История!$D$5:$D$300)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IF($B42="","",IF(SUMIFS('ИТОГО Торговля'!$C$5:$C$300,'ИТОГО Торговля'!$B$5:$B$300,$B42)+SUMIFS('ИТОГО Лэндинг'!$C$5:$C$300,'ИТОГО Лэндинг'!$B$5:$B$300,$B42)+SUMIFS('История'!$C$5:$C$300,'История'!$B$5:$B$300,$B42)=0,"",SUMIFS('ИТОГО Торговля'!$C$5:$C$300,'ИТОГО Торговля'!$B$5:$B$300,$B42)+SUMIFS('ИТОГО Лэндинг'!$C$5:$C$300,'ИТОГО Лэндинг'!$B$5:$B$300,$B42)+SUMIFS('История'!$C$5:$C$300,'История'!$B$5:$B$300,$B42)))</f>
        <v/>
      </c>
      <c r="D42" s="183">
        <f>IF(C42="","",E42/C42)</f>
        <v/>
      </c>
      <c r="E42" s="247">
        <f>IF(C42="","",SUMIFS('ИТОГО Торговля'!$E$5:$E$300,'ИТОГО Торговля'!$B$5:$B$300,$B42)+SUMIFS('ИТОГО Лэндинг'!$E$5:$E$300,'ИТОГО Лэндинг'!$B$5:$B$300,$B42)+SUMIFS('История'!$E$5:$E$300,'История'!$B$5:$B$300,$B42))</f>
        <v/>
      </c>
      <c r="F42" s="246">
        <f>IF($B42="","",IF(SUMIFS('ИТОГО Торговля'!$F$5:$F$300,'ИТОГО Торговля'!$B$5:$B$300,$B42)+SUMIFS('ИТОГО Лэндинг'!$F$5:$F$300,'ИТОГО Лэндинг'!$B$5:$B$300,$B42)+SUMIFS('История'!$F$5:$F$300,'История'!$B$5:$B$300,$B42)=0,"",SUMIFS('ИТОГО Торговля'!$F$5:$F$300,'ИТОГО Торговля'!$B$5:$B$300,$B42)+SUMIFS('ИТОГО Лэндинг'!$F$5:$F$300,'ИТОГО Лэндинг'!$B$5:$B$300,$B42)+SUMIFS('История'!$F$5:$F$300,'История'!$B$5:$B$300,$B42)))</f>
        <v/>
      </c>
      <c r="G42" s="183">
        <f>IF(F42="","",H42/F42)</f>
        <v/>
      </c>
      <c r="H42" s="247">
        <f>IF(F42="","",SUMIFS('ИТОГО Торговля'!$H$5:$H$300,'ИТОГО Торговля'!$B$5:$B$300,$B42)+SUMIFS('ИТОГО Лэндинг'!$H$5:$H$300,'ИТОГО Лэндинг'!$B$5:$B$300,$B42)+SUMIFS('История'!$H$5:$H$300,'История'!$B$5:$B$300,$B42))</f>
        <v/>
      </c>
      <c r="I42" s="246">
        <f>IF($B42="","",IF(AND(C42="",F42=""),"",ROUND(SUMIFS('ИТОГО Торговля'!$I$5:$I$300,'ИТОГО Торговля'!$B$5:$B$300,$B42)+SUMIFS('ИТОГО Лэндинг'!$I$5:$I$300,'ИТОГО Лэндинг'!$B$5:$B$300,$B42)+SUMIFS('История'!$I$5:$I$300,'История'!$B$5:$B$300,$B42),8)))</f>
        <v/>
      </c>
      <c r="J42" s="247">
        <f>IF($B42="","",IF(AND(C42="",F42=""),"",ROUND(SUMIFS('ИТОГО Торговля'!$J$5:$J$300,'ИТОГО Торговля'!$B$5:$B$300,$B42)+SUMIFS('ИТОГО Лэндинг'!$J$5:$J$300,'ИТОГО Лэндинг'!$B$5:$B$300,$B42)+SUMIFS('История'!$J$5:$J$300,'История'!$B$5:$B$300,$B42),8)))</f>
        <v/>
      </c>
      <c r="K42" s="246">
        <f>IF($B42="","",ROUND(SUMIFS('ИТОГО Торговля'!$K$5:$K$300,'ИТОГО Торговля'!$B$5:$B$300,$B42)+SUMIFS('ИТОГО Лэндинг'!$K$5:$K$300,'ИТОГО Лэндинг'!$B$5:$B$300,$B42)+SUMIFS('История'!$K$5:$K$300,'История'!$B$5:$B$300,$B42),8))</f>
        <v/>
      </c>
      <c r="L42" s="183">
        <f>IF(K42="","",IF(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42)*((История!$C$5:$C$300+История!$F$5:$F$300-ABS(История!$C$5:$C$300-История!$F$5:$F$300))/2)*История!$D$5:$D$300))&lt;=0,0,ROUND(K42/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42)*((История!$C$5:$C$300+История!$F$5:$F$300-ABS(История!$C$5:$C$300-История!$F$5:$F$300))/2)*История!$D$5:$D$300)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IF($B43="","",IF(SUMIFS('ИТОГО Торговля'!$C$5:$C$300,'ИТОГО Торговля'!$B$5:$B$300,$B43)+SUMIFS('ИТОГО Лэндинг'!$C$5:$C$300,'ИТОГО Лэндинг'!$B$5:$B$300,$B43)+SUMIFS('История'!$C$5:$C$300,'История'!$B$5:$B$300,$B43)=0,"",SUMIFS('ИТОГО Торговля'!$C$5:$C$300,'ИТОГО Торговля'!$B$5:$B$300,$B43)+SUMIFS('ИТОГО Лэндинг'!$C$5:$C$300,'ИТОГО Лэндинг'!$B$5:$B$300,$B43)+SUMIFS('История'!$C$5:$C$300,'История'!$B$5:$B$300,$B43)))</f>
        <v/>
      </c>
      <c r="D43" s="177">
        <f>IF(C43="","",E43/C43)</f>
        <v/>
      </c>
      <c r="E43" s="241">
        <f>IF(C43="","",SUMIFS('ИТОГО Торговля'!$E$5:$E$300,'ИТОГО Торговля'!$B$5:$B$300,$B43)+SUMIFS('ИТОГО Лэндинг'!$E$5:$E$300,'ИТОГО Лэндинг'!$B$5:$B$300,$B43)+SUMIFS('История'!$E$5:$E$300,'История'!$B$5:$B$300,$B43))</f>
        <v/>
      </c>
      <c r="F43" s="240">
        <f>IF($B43="","",IF(SUMIFS('ИТОГО Торговля'!$F$5:$F$300,'ИТОГО Торговля'!$B$5:$B$300,$B43)+SUMIFS('ИТОГО Лэндинг'!$F$5:$F$300,'ИТОГО Лэндинг'!$B$5:$B$300,$B43)+SUMIFS('История'!$F$5:$F$300,'История'!$B$5:$B$300,$B43)=0,"",SUMIFS('ИТОГО Торговля'!$F$5:$F$300,'ИТОГО Торговля'!$B$5:$B$300,$B43)+SUMIFS('ИТОГО Лэндинг'!$F$5:$F$300,'ИТОГО Лэндинг'!$B$5:$B$300,$B43)+SUMIFS('История'!$F$5:$F$300,'История'!$B$5:$B$300,$B43)))</f>
        <v/>
      </c>
      <c r="G43" s="177">
        <f>IF(F43="","",H43/F43)</f>
        <v/>
      </c>
      <c r="H43" s="241">
        <f>IF(F43="","",SUMIFS('ИТОГО Торговля'!$H$5:$H$300,'ИТОГО Торговля'!$B$5:$B$300,$B43)+SUMIFS('ИТОГО Лэндинг'!$H$5:$H$300,'ИТОГО Лэндинг'!$B$5:$B$300,$B43)+SUMIFS('История'!$H$5:$H$300,'История'!$B$5:$B$300,$B43))</f>
        <v/>
      </c>
      <c r="I43" s="240">
        <f>IF($B43="","",IF(AND(C43="",F43=""),"",ROUND(SUMIFS('ИТОГО Торговля'!$I$5:$I$300,'ИТОГО Торговля'!$B$5:$B$300,$B43)+SUMIFS('ИТОГО Лэндинг'!$I$5:$I$300,'ИТОГО Лэндинг'!$B$5:$B$300,$B43)+SUMIFS('История'!$I$5:$I$300,'История'!$B$5:$B$300,$B43),8)))</f>
        <v/>
      </c>
      <c r="J43" s="241">
        <f>IF($B43="","",IF(AND(C43="",F43=""),"",ROUND(SUMIFS('ИТОГО Торговля'!$J$5:$J$300,'ИТОГО Торговля'!$B$5:$B$300,$B43)+SUMIFS('ИТОГО Лэндинг'!$J$5:$J$300,'ИТОГО Лэндинг'!$B$5:$B$300,$B43)+SUMIFS('История'!$J$5:$J$300,'История'!$B$5:$B$300,$B43),8)))</f>
        <v/>
      </c>
      <c r="K43" s="240">
        <f>IF($B43="","",ROUND(SUMIFS('ИТОГО Торговля'!$K$5:$K$300,'ИТОГО Торговля'!$B$5:$B$300,$B43)+SUMIFS('ИТОГО Лэндинг'!$K$5:$K$300,'ИТОГО Лэндинг'!$B$5:$B$300,$B43)+SUMIFS('История'!$K$5:$K$300,'История'!$B$5:$B$300,$B43),8))</f>
        <v/>
      </c>
      <c r="L43" s="177">
        <f>IF(K43="","",IF(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43)*((История!$C$5:$C$300+История!$F$5:$F$300-ABS(История!$C$5:$C$300-История!$F$5:$F$300))/2)*История!$D$5:$D$300))&lt;=0,0,ROUND(K43/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43)*((История!$C$5:$C$300+История!$F$5:$F$300-ABS(История!$C$5:$C$300-История!$F$5:$F$300))/2)*История!$D$5:$D$300)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IF($B44="","",IF(SUMIFS('ИТОГО Торговля'!$C$5:$C$300,'ИТОГО Торговля'!$B$5:$B$300,$B44)+SUMIFS('ИТОГО Лэндинг'!$C$5:$C$300,'ИТОГО Лэндинг'!$B$5:$B$300,$B44)+SUMIFS('История'!$C$5:$C$300,'История'!$B$5:$B$300,$B44)=0,"",SUMIFS('ИТОГО Торговля'!$C$5:$C$300,'ИТОГО Торговля'!$B$5:$B$300,$B44)+SUMIFS('ИТОГО Лэндинг'!$C$5:$C$300,'ИТОГО Лэндинг'!$B$5:$B$300,$B44)+SUMIFS('История'!$C$5:$C$300,'История'!$B$5:$B$300,$B44)))</f>
        <v/>
      </c>
      <c r="D44" s="183">
        <f>IF(C44="","",E44/C44)</f>
        <v/>
      </c>
      <c r="E44" s="247">
        <f>IF(C44="","",SUMIFS('ИТОГО Торговля'!$E$5:$E$300,'ИТОГО Торговля'!$B$5:$B$300,$B44)+SUMIFS('ИТОГО Лэндинг'!$E$5:$E$300,'ИТОГО Лэндинг'!$B$5:$B$300,$B44)+SUMIFS('История'!$E$5:$E$300,'История'!$B$5:$B$300,$B44))</f>
        <v/>
      </c>
      <c r="F44" s="246">
        <f>IF($B44="","",IF(SUMIFS('ИТОГО Торговля'!$F$5:$F$300,'ИТОГО Торговля'!$B$5:$B$300,$B44)+SUMIFS('ИТОГО Лэндинг'!$F$5:$F$300,'ИТОГО Лэндинг'!$B$5:$B$300,$B44)+SUMIFS('История'!$F$5:$F$300,'История'!$B$5:$B$300,$B44)=0,"",SUMIFS('ИТОГО Торговля'!$F$5:$F$300,'ИТОГО Торговля'!$B$5:$B$300,$B44)+SUMIFS('ИТОГО Лэндинг'!$F$5:$F$300,'ИТОГО Лэндинг'!$B$5:$B$300,$B44)+SUMIFS('История'!$F$5:$F$300,'История'!$B$5:$B$300,$B44)))</f>
        <v/>
      </c>
      <c r="G44" s="183">
        <f>IF(F44="","",H44/F44)</f>
        <v/>
      </c>
      <c r="H44" s="247">
        <f>IF(F44="","",SUMIFS('ИТОГО Торговля'!$H$5:$H$300,'ИТОГО Торговля'!$B$5:$B$300,$B44)+SUMIFS('ИТОГО Лэндинг'!$H$5:$H$300,'ИТОГО Лэндинг'!$B$5:$B$300,$B44)+SUMIFS('История'!$H$5:$H$300,'История'!$B$5:$B$300,$B44))</f>
        <v/>
      </c>
      <c r="I44" s="246">
        <f>IF($B44="","",IF(AND(C44="",F44=""),"",ROUND(SUMIFS('ИТОГО Торговля'!$I$5:$I$300,'ИТОГО Торговля'!$B$5:$B$300,$B44)+SUMIFS('ИТОГО Лэндинг'!$I$5:$I$300,'ИТОГО Лэндинг'!$B$5:$B$300,$B44)+SUMIFS('История'!$I$5:$I$300,'История'!$B$5:$B$300,$B44),8)))</f>
        <v/>
      </c>
      <c r="J44" s="247">
        <f>IF($B44="","",IF(AND(C44="",F44=""),"",ROUND(SUMIFS('ИТОГО Торговля'!$J$5:$J$300,'ИТОГО Торговля'!$B$5:$B$300,$B44)+SUMIFS('ИТОГО Лэндинг'!$J$5:$J$300,'ИТОГО Лэндинг'!$B$5:$B$300,$B44)+SUMIFS('История'!$J$5:$J$300,'История'!$B$5:$B$300,$B44),8)))</f>
        <v/>
      </c>
      <c r="K44" s="246">
        <f>IF($B44="","",ROUND(SUMIFS('ИТОГО Торговля'!$K$5:$K$300,'ИТОГО Торговля'!$B$5:$B$300,$B44)+SUMIFS('ИТОГО Лэндинг'!$K$5:$K$300,'ИТОГО Лэндинг'!$B$5:$B$300,$B44)+SUMIFS('История'!$K$5:$K$300,'История'!$B$5:$B$300,$B44),8))</f>
        <v/>
      </c>
      <c r="L44" s="183">
        <f>IF(K44="","",IF(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44)*((История!$C$5:$C$300+История!$F$5:$F$300-ABS(История!$C$5:$C$300-История!$F$5:$F$300))/2)*История!$D$5:$D$300))&lt;=0,0,ROUND(K44/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44)*((История!$C$5:$C$300+История!$F$5:$F$300-ABS(История!$C$5:$C$300-История!$F$5:$F$300))/2)*История!$D$5:$D$300)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IF($B45="","",IF(SUMIFS('ИТОГО Торговля'!$C$5:$C$300,'ИТОГО Торговля'!$B$5:$B$300,$B45)+SUMIFS('ИТОГО Лэндинг'!$C$5:$C$300,'ИТОГО Лэндинг'!$B$5:$B$300,$B45)+SUMIFS('История'!$C$5:$C$300,'История'!$B$5:$B$300,$B45)=0,"",SUMIFS('ИТОГО Торговля'!$C$5:$C$300,'ИТОГО Торговля'!$B$5:$B$300,$B45)+SUMIFS('ИТОГО Лэндинг'!$C$5:$C$300,'ИТОГО Лэндинг'!$B$5:$B$300,$B45)+SUMIFS('История'!$C$5:$C$300,'История'!$B$5:$B$300,$B45)))</f>
        <v/>
      </c>
      <c r="D45" s="177">
        <f>IF(C45="","",E45/C45)</f>
        <v/>
      </c>
      <c r="E45" s="241">
        <f>IF(C45="","",SUMIFS('ИТОГО Торговля'!$E$5:$E$300,'ИТОГО Торговля'!$B$5:$B$300,$B45)+SUMIFS('ИТОГО Лэндинг'!$E$5:$E$300,'ИТОГО Лэндинг'!$B$5:$B$300,$B45)+SUMIFS('История'!$E$5:$E$300,'История'!$B$5:$B$300,$B45))</f>
        <v/>
      </c>
      <c r="F45" s="240">
        <f>IF($B45="","",IF(SUMIFS('ИТОГО Торговля'!$F$5:$F$300,'ИТОГО Торговля'!$B$5:$B$300,$B45)+SUMIFS('ИТОГО Лэндинг'!$F$5:$F$300,'ИТОГО Лэндинг'!$B$5:$B$300,$B45)+SUMIFS('История'!$F$5:$F$300,'История'!$B$5:$B$300,$B45)=0,"",SUMIFS('ИТОГО Торговля'!$F$5:$F$300,'ИТОГО Торговля'!$B$5:$B$300,$B45)+SUMIFS('ИТОГО Лэндинг'!$F$5:$F$300,'ИТОГО Лэндинг'!$B$5:$B$300,$B45)+SUMIFS('История'!$F$5:$F$300,'История'!$B$5:$B$300,$B45)))</f>
        <v/>
      </c>
      <c r="G45" s="177">
        <f>IF(F45="","",H45/F45)</f>
        <v/>
      </c>
      <c r="H45" s="241">
        <f>IF(F45="","",SUMIFS('ИТОГО Торговля'!$H$5:$H$300,'ИТОГО Торговля'!$B$5:$B$300,$B45)+SUMIFS('ИТОГО Лэндинг'!$H$5:$H$300,'ИТОГО Лэндинг'!$B$5:$B$300,$B45)+SUMIFS('История'!$H$5:$H$300,'История'!$B$5:$B$300,$B45))</f>
        <v/>
      </c>
      <c r="I45" s="240">
        <f>IF($B45="","",IF(AND(C45="",F45=""),"",ROUND(SUMIFS('ИТОГО Торговля'!$I$5:$I$300,'ИТОГО Торговля'!$B$5:$B$300,$B45)+SUMIFS('ИТОГО Лэндинг'!$I$5:$I$300,'ИТОГО Лэндинг'!$B$5:$B$300,$B45)+SUMIFS('История'!$I$5:$I$300,'История'!$B$5:$B$300,$B45),8)))</f>
        <v/>
      </c>
      <c r="J45" s="241">
        <f>IF($B45="","",IF(AND(C45="",F45=""),"",ROUND(SUMIFS('ИТОГО Торговля'!$J$5:$J$300,'ИТОГО Торговля'!$B$5:$B$300,$B45)+SUMIFS('ИТОГО Лэндинг'!$J$5:$J$300,'ИТОГО Лэндинг'!$B$5:$B$300,$B45)+SUMIFS('История'!$J$5:$J$300,'История'!$B$5:$B$300,$B45),8)))</f>
        <v/>
      </c>
      <c r="K45" s="240">
        <f>IF($B45="","",ROUND(SUMIFS('ИТОГО Торговля'!$K$5:$K$300,'ИТОГО Торговля'!$B$5:$B$300,$B45)+SUMIFS('ИТОГО Лэндинг'!$K$5:$K$300,'ИТОГО Лэндинг'!$B$5:$B$300,$B45)+SUMIFS('История'!$K$5:$K$300,'История'!$B$5:$B$300,$B45),8))</f>
        <v/>
      </c>
      <c r="L45" s="177">
        <f>IF(K45="","",IF(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45)*((История!$C$5:$C$300+История!$F$5:$F$300-ABS(История!$C$5:$C$300-История!$F$5:$F$300))/2)*История!$D$5:$D$300))&lt;=0,0,ROUND(K45/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45)*((История!$C$5:$C$300+История!$F$5:$F$300-ABS(История!$C$5:$C$300-История!$F$5:$F$300))/2)*История!$D$5:$D$300)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IF($B46="","",IF(SUMIFS('ИТОГО Торговля'!$C$5:$C$300,'ИТОГО Торговля'!$B$5:$B$300,$B46)+SUMIFS('ИТОГО Лэндинг'!$C$5:$C$300,'ИТОГО Лэндинг'!$B$5:$B$300,$B46)+SUMIFS('История'!$C$5:$C$300,'История'!$B$5:$B$300,$B46)=0,"",SUMIFS('ИТОГО Торговля'!$C$5:$C$300,'ИТОГО Торговля'!$B$5:$B$300,$B46)+SUMIFS('ИТОГО Лэндинг'!$C$5:$C$300,'ИТОГО Лэндинг'!$B$5:$B$300,$B46)+SUMIFS('История'!$C$5:$C$300,'История'!$B$5:$B$300,$B46)))</f>
        <v/>
      </c>
      <c r="D46" s="183">
        <f>IF(C46="","",E46/C46)</f>
        <v/>
      </c>
      <c r="E46" s="247">
        <f>IF(C46="","",SUMIFS('ИТОГО Торговля'!$E$5:$E$300,'ИТОГО Торговля'!$B$5:$B$300,$B46)+SUMIFS('ИТОГО Лэндинг'!$E$5:$E$300,'ИТОГО Лэндинг'!$B$5:$B$300,$B46)+SUMIFS('История'!$E$5:$E$300,'История'!$B$5:$B$300,$B46))</f>
        <v/>
      </c>
      <c r="F46" s="246">
        <f>IF($B46="","",IF(SUMIFS('ИТОГО Торговля'!$F$5:$F$300,'ИТОГО Торговля'!$B$5:$B$300,$B46)+SUMIFS('ИТОГО Лэндинг'!$F$5:$F$300,'ИТОГО Лэндинг'!$B$5:$B$300,$B46)+SUMIFS('История'!$F$5:$F$300,'История'!$B$5:$B$300,$B46)=0,"",SUMIFS('ИТОГО Торговля'!$F$5:$F$300,'ИТОГО Торговля'!$B$5:$B$300,$B46)+SUMIFS('ИТОГО Лэндинг'!$F$5:$F$300,'ИТОГО Лэндинг'!$B$5:$B$300,$B46)+SUMIFS('История'!$F$5:$F$300,'История'!$B$5:$B$300,$B46)))</f>
        <v/>
      </c>
      <c r="G46" s="183">
        <f>IF(F46="","",H46/F46)</f>
        <v/>
      </c>
      <c r="H46" s="247">
        <f>IF(F46="","",SUMIFS('ИТОГО Торговля'!$H$5:$H$300,'ИТОГО Торговля'!$B$5:$B$300,$B46)+SUMIFS('ИТОГО Лэндинг'!$H$5:$H$300,'ИТОГО Лэндинг'!$B$5:$B$300,$B46)+SUMIFS('История'!$H$5:$H$300,'История'!$B$5:$B$300,$B46))</f>
        <v/>
      </c>
      <c r="I46" s="246">
        <f>IF($B46="","",IF(AND(C46="",F46=""),"",ROUND(SUMIFS('ИТОГО Торговля'!$I$5:$I$300,'ИТОГО Торговля'!$B$5:$B$300,$B46)+SUMIFS('ИТОГО Лэндинг'!$I$5:$I$300,'ИТОГО Лэндинг'!$B$5:$B$300,$B46)+SUMIFS('История'!$I$5:$I$300,'История'!$B$5:$B$300,$B46),8)))</f>
        <v/>
      </c>
      <c r="J46" s="247">
        <f>IF($B46="","",IF(AND(C46="",F46=""),"",ROUND(SUMIFS('ИТОГО Торговля'!$J$5:$J$300,'ИТОГО Торговля'!$B$5:$B$300,$B46)+SUMIFS('ИТОГО Лэндинг'!$J$5:$J$300,'ИТОГО Лэндинг'!$B$5:$B$300,$B46)+SUMIFS('История'!$J$5:$J$300,'История'!$B$5:$B$300,$B46),8)))</f>
        <v/>
      </c>
      <c r="K46" s="246">
        <f>IF($B46="","",ROUND(SUMIFS('ИТОГО Торговля'!$K$5:$K$300,'ИТОГО Торговля'!$B$5:$B$300,$B46)+SUMIFS('ИТОГО Лэндинг'!$K$5:$K$300,'ИТОГО Лэндинг'!$B$5:$B$300,$B46)+SUMIFS('История'!$K$5:$K$300,'История'!$B$5:$B$300,$B46),8))</f>
        <v/>
      </c>
      <c r="L46" s="183">
        <f>IF(K46="","",IF(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46)*((История!$C$5:$C$300+История!$F$5:$F$300-ABS(История!$C$5:$C$300-История!$F$5:$F$300))/2)*История!$D$5:$D$300))&lt;=0,0,ROUND(K46/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46)*((История!$C$5:$C$300+История!$F$5:$F$300-ABS(История!$C$5:$C$300-История!$F$5:$F$300))/2)*История!$D$5:$D$300)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IF($B47="","",IF(SUMIFS('ИТОГО Торговля'!$C$5:$C$300,'ИТОГО Торговля'!$B$5:$B$300,$B47)+SUMIFS('ИТОГО Лэндинг'!$C$5:$C$300,'ИТОГО Лэндинг'!$B$5:$B$300,$B47)+SUMIFS('История'!$C$5:$C$300,'История'!$B$5:$B$300,$B47)=0,"",SUMIFS('ИТОГО Торговля'!$C$5:$C$300,'ИТОГО Торговля'!$B$5:$B$300,$B47)+SUMIFS('ИТОГО Лэндинг'!$C$5:$C$300,'ИТОГО Лэндинг'!$B$5:$B$300,$B47)+SUMIFS('История'!$C$5:$C$300,'История'!$B$5:$B$300,$B47)))</f>
        <v/>
      </c>
      <c r="D47" s="177">
        <f>IF(C47="","",E47/C47)</f>
        <v/>
      </c>
      <c r="E47" s="241">
        <f>IF(C47="","",SUMIFS('ИТОГО Торговля'!$E$5:$E$300,'ИТОГО Торговля'!$B$5:$B$300,$B47)+SUMIFS('ИТОГО Лэндинг'!$E$5:$E$300,'ИТОГО Лэндинг'!$B$5:$B$300,$B47)+SUMIFS('История'!$E$5:$E$300,'История'!$B$5:$B$300,$B47))</f>
        <v/>
      </c>
      <c r="F47" s="240">
        <f>IF($B47="","",IF(SUMIFS('ИТОГО Торговля'!$F$5:$F$300,'ИТОГО Торговля'!$B$5:$B$300,$B47)+SUMIFS('ИТОГО Лэндинг'!$F$5:$F$300,'ИТОГО Лэндинг'!$B$5:$B$300,$B47)+SUMIFS('История'!$F$5:$F$300,'История'!$B$5:$B$300,$B47)=0,"",SUMIFS('ИТОГО Торговля'!$F$5:$F$300,'ИТОГО Торговля'!$B$5:$B$300,$B47)+SUMIFS('ИТОГО Лэндинг'!$F$5:$F$300,'ИТОГО Лэндинг'!$B$5:$B$300,$B47)+SUMIFS('История'!$F$5:$F$300,'История'!$B$5:$B$300,$B47)))</f>
        <v/>
      </c>
      <c r="G47" s="177">
        <f>IF(F47="","",H47/F47)</f>
        <v/>
      </c>
      <c r="H47" s="241">
        <f>IF(F47="","",SUMIFS('ИТОГО Торговля'!$H$5:$H$300,'ИТОГО Торговля'!$B$5:$B$300,$B47)+SUMIFS('ИТОГО Лэндинг'!$H$5:$H$300,'ИТОГО Лэндинг'!$B$5:$B$300,$B47)+SUMIFS('История'!$H$5:$H$300,'История'!$B$5:$B$300,$B47))</f>
        <v/>
      </c>
      <c r="I47" s="240">
        <f>IF($B47="","",IF(AND(C47="",F47=""),"",ROUND(SUMIFS('ИТОГО Торговля'!$I$5:$I$300,'ИТОГО Торговля'!$B$5:$B$300,$B47)+SUMIFS('ИТОГО Лэндинг'!$I$5:$I$300,'ИТОГО Лэндинг'!$B$5:$B$300,$B47)+SUMIFS('История'!$I$5:$I$300,'История'!$B$5:$B$300,$B47),8)))</f>
        <v/>
      </c>
      <c r="J47" s="241">
        <f>IF($B47="","",IF(AND(C47="",F47=""),"",ROUND(SUMIFS('ИТОГО Торговля'!$J$5:$J$300,'ИТОГО Торговля'!$B$5:$B$300,$B47)+SUMIFS('ИТОГО Лэндинг'!$J$5:$J$300,'ИТОГО Лэндинг'!$B$5:$B$300,$B47)+SUMIFS('История'!$J$5:$J$300,'История'!$B$5:$B$300,$B47),8)))</f>
        <v/>
      </c>
      <c r="K47" s="240">
        <f>IF($B47="","",ROUND(SUMIFS('ИТОГО Торговля'!$K$5:$K$300,'ИТОГО Торговля'!$B$5:$B$300,$B47)+SUMIFS('ИТОГО Лэндинг'!$K$5:$K$300,'ИТОГО Лэндинг'!$B$5:$B$300,$B47)+SUMIFS('История'!$K$5:$K$300,'История'!$B$5:$B$300,$B47),8))</f>
        <v/>
      </c>
      <c r="L47" s="177">
        <f>IF(K47="","",IF(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47)*((История!$C$5:$C$300+История!$F$5:$F$300-ABS(История!$C$5:$C$300-История!$F$5:$F$300))/2)*История!$D$5:$D$300))&lt;=0,0,ROUND(K47/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47)*((История!$C$5:$C$300+История!$F$5:$F$300-ABS(История!$C$5:$C$300-История!$F$5:$F$300))/2)*История!$D$5:$D$300)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IF($B48="","",IF(SUMIFS('ИТОГО Торговля'!$C$5:$C$300,'ИТОГО Торговля'!$B$5:$B$300,$B48)+SUMIFS('ИТОГО Лэндинг'!$C$5:$C$300,'ИТОГО Лэндинг'!$B$5:$B$300,$B48)+SUMIFS('История'!$C$5:$C$300,'История'!$B$5:$B$300,$B48)=0,"",SUMIFS('ИТОГО Торговля'!$C$5:$C$300,'ИТОГО Торговля'!$B$5:$B$300,$B48)+SUMIFS('ИТОГО Лэндинг'!$C$5:$C$300,'ИТОГО Лэндинг'!$B$5:$B$300,$B48)+SUMIFS('История'!$C$5:$C$300,'История'!$B$5:$B$300,$B48)))</f>
        <v/>
      </c>
      <c r="D48" s="183">
        <f>IF(C48="","",E48/C48)</f>
        <v/>
      </c>
      <c r="E48" s="247">
        <f>IF(C48="","",SUMIFS('ИТОГО Торговля'!$E$5:$E$300,'ИТОГО Торговля'!$B$5:$B$300,$B48)+SUMIFS('ИТОГО Лэндинг'!$E$5:$E$300,'ИТОГО Лэндинг'!$B$5:$B$300,$B48)+SUMIFS('История'!$E$5:$E$300,'История'!$B$5:$B$300,$B48))</f>
        <v/>
      </c>
      <c r="F48" s="246">
        <f>IF($B48="","",IF(SUMIFS('ИТОГО Торговля'!$F$5:$F$300,'ИТОГО Торговля'!$B$5:$B$300,$B48)+SUMIFS('ИТОГО Лэндинг'!$F$5:$F$300,'ИТОГО Лэндинг'!$B$5:$B$300,$B48)+SUMIFS('История'!$F$5:$F$300,'История'!$B$5:$B$300,$B48)=0,"",SUMIFS('ИТОГО Торговля'!$F$5:$F$300,'ИТОГО Торговля'!$B$5:$B$300,$B48)+SUMIFS('ИТОГО Лэндинг'!$F$5:$F$300,'ИТОГО Лэндинг'!$B$5:$B$300,$B48)+SUMIFS('История'!$F$5:$F$300,'История'!$B$5:$B$300,$B48)))</f>
        <v/>
      </c>
      <c r="G48" s="183">
        <f>IF(F48="","",H48/F48)</f>
        <v/>
      </c>
      <c r="H48" s="247">
        <f>IF(F48="","",SUMIFS('ИТОГО Торговля'!$H$5:$H$300,'ИТОГО Торговля'!$B$5:$B$300,$B48)+SUMIFS('ИТОГО Лэндинг'!$H$5:$H$300,'ИТОГО Лэндинг'!$B$5:$B$300,$B48)+SUMIFS('История'!$H$5:$H$300,'История'!$B$5:$B$300,$B48))</f>
        <v/>
      </c>
      <c r="I48" s="246">
        <f>IF($B48="","",IF(AND(C48="",F48=""),"",ROUND(SUMIFS('ИТОГО Торговля'!$I$5:$I$300,'ИТОГО Торговля'!$B$5:$B$300,$B48)+SUMIFS('ИТОГО Лэндинг'!$I$5:$I$300,'ИТОГО Лэндинг'!$B$5:$B$300,$B48)+SUMIFS('История'!$I$5:$I$300,'История'!$B$5:$B$300,$B48),8)))</f>
        <v/>
      </c>
      <c r="J48" s="247">
        <f>IF($B48="","",IF(AND(C48="",F48=""),"",ROUND(SUMIFS('ИТОГО Торговля'!$J$5:$J$300,'ИТОГО Торговля'!$B$5:$B$300,$B48)+SUMIFS('ИТОГО Лэндинг'!$J$5:$J$300,'ИТОГО Лэндинг'!$B$5:$B$300,$B48)+SUMIFS('История'!$J$5:$J$300,'История'!$B$5:$B$300,$B48),8)))</f>
        <v/>
      </c>
      <c r="K48" s="246">
        <f>IF($B48="","",ROUND(SUMIFS('ИТОГО Торговля'!$K$5:$K$300,'ИТОГО Торговля'!$B$5:$B$300,$B48)+SUMIFS('ИТОГО Лэндинг'!$K$5:$K$300,'ИТОГО Лэндинг'!$B$5:$B$300,$B48)+SUMIFS('История'!$K$5:$K$300,'История'!$B$5:$B$300,$B48),8))</f>
        <v/>
      </c>
      <c r="L48" s="183">
        <f>IF(K48="","",IF(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48)*((История!$C$5:$C$300+История!$F$5:$F$300-ABS(История!$C$5:$C$300-История!$F$5:$F$300))/2)*История!$D$5:$D$300))&lt;=0,0,ROUND(K48/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48)*((История!$C$5:$C$300+История!$F$5:$F$300-ABS(История!$C$5:$C$300-История!$F$5:$F$300))/2)*История!$D$5:$D$300)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IF($B49="","",IF(SUMIFS('ИТОГО Торговля'!$C$5:$C$300,'ИТОГО Торговля'!$B$5:$B$300,$B49)+SUMIFS('ИТОГО Лэндинг'!$C$5:$C$300,'ИТОГО Лэндинг'!$B$5:$B$300,$B49)+SUMIFS('История'!$C$5:$C$300,'История'!$B$5:$B$300,$B49)=0,"",SUMIFS('ИТОГО Торговля'!$C$5:$C$300,'ИТОГО Торговля'!$B$5:$B$300,$B49)+SUMIFS('ИТОГО Лэндинг'!$C$5:$C$300,'ИТОГО Лэндинг'!$B$5:$B$300,$B49)+SUMIFS('История'!$C$5:$C$300,'История'!$B$5:$B$300,$B49)))</f>
        <v/>
      </c>
      <c r="D49" s="177">
        <f>IF(C49="","",E49/C49)</f>
        <v/>
      </c>
      <c r="E49" s="241">
        <f>IF(C49="","",SUMIFS('ИТОГО Торговля'!$E$5:$E$300,'ИТОГО Торговля'!$B$5:$B$300,$B49)+SUMIFS('ИТОГО Лэндинг'!$E$5:$E$300,'ИТОГО Лэндинг'!$B$5:$B$300,$B49)+SUMIFS('История'!$E$5:$E$300,'История'!$B$5:$B$300,$B49))</f>
        <v/>
      </c>
      <c r="F49" s="240">
        <f>IF($B49="","",IF(SUMIFS('ИТОГО Торговля'!$F$5:$F$300,'ИТОГО Торговля'!$B$5:$B$300,$B49)+SUMIFS('ИТОГО Лэндинг'!$F$5:$F$300,'ИТОГО Лэндинг'!$B$5:$B$300,$B49)+SUMIFS('История'!$F$5:$F$300,'История'!$B$5:$B$300,$B49)=0,"",SUMIFS('ИТОГО Торговля'!$F$5:$F$300,'ИТОГО Торговля'!$B$5:$B$300,$B49)+SUMIFS('ИТОГО Лэндинг'!$F$5:$F$300,'ИТОГО Лэндинг'!$B$5:$B$300,$B49)+SUMIFS('История'!$F$5:$F$300,'История'!$B$5:$B$300,$B49)))</f>
        <v/>
      </c>
      <c r="G49" s="177">
        <f>IF(F49="","",H49/F49)</f>
        <v/>
      </c>
      <c r="H49" s="241">
        <f>IF(F49="","",SUMIFS('ИТОГО Торговля'!$H$5:$H$300,'ИТОГО Торговля'!$B$5:$B$300,$B49)+SUMIFS('ИТОГО Лэндинг'!$H$5:$H$300,'ИТОГО Лэндинг'!$B$5:$B$300,$B49)+SUMIFS('История'!$H$5:$H$300,'История'!$B$5:$B$300,$B49))</f>
        <v/>
      </c>
      <c r="I49" s="240">
        <f>IF($B49="","",IF(AND(C49="",F49=""),"",ROUND(SUMIFS('ИТОГО Торговля'!$I$5:$I$300,'ИТОГО Торговля'!$B$5:$B$300,$B49)+SUMIFS('ИТОГО Лэндинг'!$I$5:$I$300,'ИТОГО Лэндинг'!$B$5:$B$300,$B49)+SUMIFS('История'!$I$5:$I$300,'История'!$B$5:$B$300,$B49),8)))</f>
        <v/>
      </c>
      <c r="J49" s="241">
        <f>IF($B49="","",IF(AND(C49="",F49=""),"",ROUND(SUMIFS('ИТОГО Торговля'!$J$5:$J$300,'ИТОГО Торговля'!$B$5:$B$300,$B49)+SUMIFS('ИТОГО Лэндинг'!$J$5:$J$300,'ИТОГО Лэндинг'!$B$5:$B$300,$B49)+SUMIFS('История'!$J$5:$J$300,'История'!$B$5:$B$300,$B49),8)))</f>
        <v/>
      </c>
      <c r="K49" s="240">
        <f>IF($B49="","",ROUND(SUMIFS('ИТОГО Торговля'!$K$5:$K$300,'ИТОГО Торговля'!$B$5:$B$300,$B49)+SUMIFS('ИТОГО Лэндинг'!$K$5:$K$300,'ИТОГО Лэндинг'!$B$5:$B$300,$B49)+SUMIFS('История'!$K$5:$K$300,'История'!$B$5:$B$300,$B49),8))</f>
        <v/>
      </c>
      <c r="L49" s="177">
        <f>IF(K49="","",IF(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49)*((История!$C$5:$C$300+История!$F$5:$F$300-ABS(История!$C$5:$C$300-История!$F$5:$F$300))/2)*История!$D$5:$D$300))&lt;=0,0,ROUND(K49/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49)*((История!$C$5:$C$300+История!$F$5:$F$300-ABS(История!$C$5:$C$300-История!$F$5:$F$300))/2)*История!$D$5:$D$300)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IF($B50="","",IF(SUMIFS('ИТОГО Торговля'!$C$5:$C$300,'ИТОГО Торговля'!$B$5:$B$300,$B50)+SUMIFS('ИТОГО Лэндинг'!$C$5:$C$300,'ИТОГО Лэндинг'!$B$5:$B$300,$B50)+SUMIFS('История'!$C$5:$C$300,'История'!$B$5:$B$300,$B50)=0,"",SUMIFS('ИТОГО Торговля'!$C$5:$C$300,'ИТОГО Торговля'!$B$5:$B$300,$B50)+SUMIFS('ИТОГО Лэндинг'!$C$5:$C$300,'ИТОГО Лэндинг'!$B$5:$B$300,$B50)+SUMIFS('История'!$C$5:$C$300,'История'!$B$5:$B$300,$B50)))</f>
        <v/>
      </c>
      <c r="D50" s="183">
        <f>IF(C50="","",E50/C50)</f>
        <v/>
      </c>
      <c r="E50" s="247">
        <f>IF(C50="","",SUMIFS('ИТОГО Торговля'!$E$5:$E$300,'ИТОГО Торговля'!$B$5:$B$300,$B50)+SUMIFS('ИТОГО Лэндинг'!$E$5:$E$300,'ИТОГО Лэндинг'!$B$5:$B$300,$B50)+SUMIFS('История'!$E$5:$E$300,'История'!$B$5:$B$300,$B50))</f>
        <v/>
      </c>
      <c r="F50" s="246">
        <f>IF($B50="","",IF(SUMIFS('ИТОГО Торговля'!$F$5:$F$300,'ИТОГО Торговля'!$B$5:$B$300,$B50)+SUMIFS('ИТОГО Лэндинг'!$F$5:$F$300,'ИТОГО Лэндинг'!$B$5:$B$300,$B50)+SUMIFS('История'!$F$5:$F$300,'История'!$B$5:$B$300,$B50)=0,"",SUMIFS('ИТОГО Торговля'!$F$5:$F$300,'ИТОГО Торговля'!$B$5:$B$300,$B50)+SUMIFS('ИТОГО Лэндинг'!$F$5:$F$300,'ИТОГО Лэндинг'!$B$5:$B$300,$B50)+SUMIFS('История'!$F$5:$F$300,'История'!$B$5:$B$300,$B50)))</f>
        <v/>
      </c>
      <c r="G50" s="183">
        <f>IF(F50="","",H50/F50)</f>
        <v/>
      </c>
      <c r="H50" s="247">
        <f>IF(F50="","",SUMIFS('ИТОГО Торговля'!$H$5:$H$300,'ИТОГО Торговля'!$B$5:$B$300,$B50)+SUMIFS('ИТОГО Лэндинг'!$H$5:$H$300,'ИТОГО Лэндинг'!$B$5:$B$300,$B50)+SUMIFS('История'!$H$5:$H$300,'История'!$B$5:$B$300,$B50))</f>
        <v/>
      </c>
      <c r="I50" s="246">
        <f>IF($B50="","",IF(AND(C50="",F50=""),"",ROUND(SUMIFS('ИТОГО Торговля'!$I$5:$I$300,'ИТОГО Торговля'!$B$5:$B$300,$B50)+SUMIFS('ИТОГО Лэндинг'!$I$5:$I$300,'ИТОГО Лэндинг'!$B$5:$B$300,$B50)+SUMIFS('История'!$I$5:$I$300,'История'!$B$5:$B$300,$B50),8)))</f>
        <v/>
      </c>
      <c r="J50" s="247">
        <f>IF($B50="","",IF(AND(C50="",F50=""),"",ROUND(SUMIFS('ИТОГО Торговля'!$J$5:$J$300,'ИТОГО Торговля'!$B$5:$B$300,$B50)+SUMIFS('ИТОГО Лэндинг'!$J$5:$J$300,'ИТОГО Лэндинг'!$B$5:$B$300,$B50)+SUMIFS('История'!$J$5:$J$300,'История'!$B$5:$B$300,$B50),8)))</f>
        <v/>
      </c>
      <c r="K50" s="246">
        <f>IF($B50="","",ROUND(SUMIFS('ИТОГО Торговля'!$K$5:$K$300,'ИТОГО Торговля'!$B$5:$B$300,$B50)+SUMIFS('ИТОГО Лэндинг'!$K$5:$K$300,'ИТОГО Лэндинг'!$B$5:$B$300,$B50)+SUMIFS('История'!$K$5:$K$300,'История'!$B$5:$B$300,$B50),8))</f>
        <v/>
      </c>
      <c r="L50" s="183">
        <f>IF(K50="","",IF(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50)*((История!$C$5:$C$300+История!$F$5:$F$300-ABS(История!$C$5:$C$300-История!$F$5:$F$300))/2)*История!$D$5:$D$300))&lt;=0,0,ROUND(K50/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50)*((История!$C$5:$C$300+История!$F$5:$F$300-ABS(История!$C$5:$C$300-История!$F$5:$F$300))/2)*История!$D$5:$D$300)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IF($B51="","",IF(SUMIFS('ИТОГО Торговля'!$C$5:$C$300,'ИТОГО Торговля'!$B$5:$B$300,$B51)+SUMIFS('ИТОГО Лэндинг'!$C$5:$C$300,'ИТОГО Лэндинг'!$B$5:$B$300,$B51)+SUMIFS('История'!$C$5:$C$300,'История'!$B$5:$B$300,$B51)=0,"",SUMIFS('ИТОГО Торговля'!$C$5:$C$300,'ИТОГО Торговля'!$B$5:$B$300,$B51)+SUMIFS('ИТОГО Лэндинг'!$C$5:$C$300,'ИТОГО Лэндинг'!$B$5:$B$300,$B51)+SUMIFS('История'!$C$5:$C$300,'История'!$B$5:$B$300,$B51)))</f>
        <v/>
      </c>
      <c r="D51" s="177">
        <f>IF(C51="","",E51/C51)</f>
        <v/>
      </c>
      <c r="E51" s="241">
        <f>IF(C51="","",SUMIFS('ИТОГО Торговля'!$E$5:$E$300,'ИТОГО Торговля'!$B$5:$B$300,$B51)+SUMIFS('ИТОГО Лэндинг'!$E$5:$E$300,'ИТОГО Лэндинг'!$B$5:$B$300,$B51)+SUMIFS('История'!$E$5:$E$300,'История'!$B$5:$B$300,$B51))</f>
        <v/>
      </c>
      <c r="F51" s="240">
        <f>IF($B51="","",IF(SUMIFS('ИТОГО Торговля'!$F$5:$F$300,'ИТОГО Торговля'!$B$5:$B$300,$B51)+SUMIFS('ИТОГО Лэндинг'!$F$5:$F$300,'ИТОГО Лэндинг'!$B$5:$B$300,$B51)+SUMIFS('История'!$F$5:$F$300,'История'!$B$5:$B$300,$B51)=0,"",SUMIFS('ИТОГО Торговля'!$F$5:$F$300,'ИТОГО Торговля'!$B$5:$B$300,$B51)+SUMIFS('ИТОГО Лэндинг'!$F$5:$F$300,'ИТОГО Лэндинг'!$B$5:$B$300,$B51)+SUMIFS('История'!$F$5:$F$300,'История'!$B$5:$B$300,$B51)))</f>
        <v/>
      </c>
      <c r="G51" s="177">
        <f>IF(F51="","",H51/F51)</f>
        <v/>
      </c>
      <c r="H51" s="241">
        <f>IF(F51="","",SUMIFS('ИТОГО Торговля'!$H$5:$H$300,'ИТОГО Торговля'!$B$5:$B$300,$B51)+SUMIFS('ИТОГО Лэндинг'!$H$5:$H$300,'ИТОГО Лэндинг'!$B$5:$B$300,$B51)+SUMIFS('История'!$H$5:$H$300,'История'!$B$5:$B$300,$B51))</f>
        <v/>
      </c>
      <c r="I51" s="240">
        <f>IF($B51="","",IF(AND(C51="",F51=""),"",ROUND(SUMIFS('ИТОГО Торговля'!$I$5:$I$300,'ИТОГО Торговля'!$B$5:$B$300,$B51)+SUMIFS('ИТОГО Лэндинг'!$I$5:$I$300,'ИТОГО Лэндинг'!$B$5:$B$300,$B51)+SUMIFS('История'!$I$5:$I$300,'История'!$B$5:$B$300,$B51),8)))</f>
        <v/>
      </c>
      <c r="J51" s="241">
        <f>IF($B51="","",IF(AND(C51="",F51=""),"",ROUND(SUMIFS('ИТОГО Торговля'!$J$5:$J$300,'ИТОГО Торговля'!$B$5:$B$300,$B51)+SUMIFS('ИТОГО Лэндинг'!$J$5:$J$300,'ИТОГО Лэндинг'!$B$5:$B$300,$B51)+SUMIFS('История'!$J$5:$J$300,'История'!$B$5:$B$300,$B51),8)))</f>
        <v/>
      </c>
      <c r="K51" s="240">
        <f>IF($B51="","",ROUND(SUMIFS('ИТОГО Торговля'!$K$5:$K$300,'ИТОГО Торговля'!$B$5:$B$300,$B51)+SUMIFS('ИТОГО Лэндинг'!$K$5:$K$300,'ИТОГО Лэндинг'!$B$5:$B$300,$B51)+SUMIFS('История'!$K$5:$K$300,'История'!$B$5:$B$300,$B51),8))</f>
        <v/>
      </c>
      <c r="L51" s="177">
        <f>IF(K51="","",IF(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51)*((История!$C$5:$C$300+История!$F$5:$F$300-ABS(История!$C$5:$C$300-История!$F$5:$F$300))/2)*История!$D$5:$D$300))&lt;=0,0,ROUND(K51/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51)*((История!$C$5:$C$300+История!$F$5:$F$300-ABS(История!$C$5:$C$300-История!$F$5:$F$300))/2)*История!$D$5:$D$300)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IF($B52="","",IF(SUMIFS('ИТОГО Торговля'!$C$5:$C$300,'ИТОГО Торговля'!$B$5:$B$300,$B52)+SUMIFS('ИТОГО Лэндинг'!$C$5:$C$300,'ИТОГО Лэндинг'!$B$5:$B$300,$B52)+SUMIFS('История'!$C$5:$C$300,'История'!$B$5:$B$300,$B52)=0,"",SUMIFS('ИТОГО Торговля'!$C$5:$C$300,'ИТОГО Торговля'!$B$5:$B$300,$B52)+SUMIFS('ИТОГО Лэндинг'!$C$5:$C$300,'ИТОГО Лэндинг'!$B$5:$B$300,$B52)+SUMIFS('История'!$C$5:$C$300,'История'!$B$5:$B$300,$B52)))</f>
        <v/>
      </c>
      <c r="D52" s="183">
        <f>IF(C52="","",E52/C52)</f>
        <v/>
      </c>
      <c r="E52" s="247">
        <f>IF(C52="","",SUMIFS('ИТОГО Торговля'!$E$5:$E$300,'ИТОГО Торговля'!$B$5:$B$300,$B52)+SUMIFS('ИТОГО Лэндинг'!$E$5:$E$300,'ИТОГО Лэндинг'!$B$5:$B$300,$B52)+SUMIFS('История'!$E$5:$E$300,'История'!$B$5:$B$300,$B52))</f>
        <v/>
      </c>
      <c r="F52" s="246">
        <f>IF($B52="","",IF(SUMIFS('ИТОГО Торговля'!$F$5:$F$300,'ИТОГО Торговля'!$B$5:$B$300,$B52)+SUMIFS('ИТОГО Лэндинг'!$F$5:$F$300,'ИТОГО Лэндинг'!$B$5:$B$300,$B52)+SUMIFS('История'!$F$5:$F$300,'История'!$B$5:$B$300,$B52)=0,"",SUMIFS('ИТОГО Торговля'!$F$5:$F$300,'ИТОГО Торговля'!$B$5:$B$300,$B52)+SUMIFS('ИТОГО Лэндинг'!$F$5:$F$300,'ИТОГО Лэндинг'!$B$5:$B$300,$B52)+SUMIFS('История'!$F$5:$F$300,'История'!$B$5:$B$300,$B52)))</f>
        <v/>
      </c>
      <c r="G52" s="183">
        <f>IF(F52="","",H52/F52)</f>
        <v/>
      </c>
      <c r="H52" s="247">
        <f>IF(F52="","",SUMIFS('ИТОГО Торговля'!$H$5:$H$300,'ИТОГО Торговля'!$B$5:$B$300,$B52)+SUMIFS('ИТОГО Лэндинг'!$H$5:$H$300,'ИТОГО Лэндинг'!$B$5:$B$300,$B52)+SUMIFS('История'!$H$5:$H$300,'История'!$B$5:$B$300,$B52))</f>
        <v/>
      </c>
      <c r="I52" s="246">
        <f>IF($B52="","",IF(AND(C52="",F52=""),"",ROUND(SUMIFS('ИТОГО Торговля'!$I$5:$I$300,'ИТОГО Торговля'!$B$5:$B$300,$B52)+SUMIFS('ИТОГО Лэндинг'!$I$5:$I$300,'ИТОГО Лэндинг'!$B$5:$B$300,$B52)+SUMIFS('История'!$I$5:$I$300,'История'!$B$5:$B$300,$B52),8)))</f>
        <v/>
      </c>
      <c r="J52" s="247">
        <f>IF($B52="","",IF(AND(C52="",F52=""),"",ROUND(SUMIFS('ИТОГО Торговля'!$J$5:$J$300,'ИТОГО Торговля'!$B$5:$B$300,$B52)+SUMIFS('ИТОГО Лэндинг'!$J$5:$J$300,'ИТОГО Лэндинг'!$B$5:$B$300,$B52)+SUMIFS('История'!$J$5:$J$300,'История'!$B$5:$B$300,$B52),8)))</f>
        <v/>
      </c>
      <c r="K52" s="246">
        <f>IF($B52="","",ROUND(SUMIFS('ИТОГО Торговля'!$K$5:$K$300,'ИТОГО Торговля'!$B$5:$B$300,$B52)+SUMIFS('ИТОГО Лэндинг'!$K$5:$K$300,'ИТОГО Лэндинг'!$B$5:$B$300,$B52)+SUMIFS('История'!$K$5:$K$300,'История'!$B$5:$B$300,$B52),8))</f>
        <v/>
      </c>
      <c r="L52" s="183">
        <f>IF(K52="","",IF(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52)*((История!$C$5:$C$300+История!$F$5:$F$300-ABS(История!$C$5:$C$300-История!$F$5:$F$300))/2)*История!$D$5:$D$300))&lt;=0,0,ROUND(K52/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52)*((История!$C$5:$C$300+История!$F$5:$F$300-ABS(История!$C$5:$C$300-История!$F$5:$F$300))/2)*История!$D$5:$D$300)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IF($B53="","",IF(SUMIFS('ИТОГО Торговля'!$C$5:$C$300,'ИТОГО Торговля'!$B$5:$B$300,$B53)+SUMIFS('ИТОГО Лэндинг'!$C$5:$C$300,'ИТОГО Лэндинг'!$B$5:$B$300,$B53)+SUMIFS('История'!$C$5:$C$300,'История'!$B$5:$B$300,$B53)=0,"",SUMIFS('ИТОГО Торговля'!$C$5:$C$300,'ИТОГО Торговля'!$B$5:$B$300,$B53)+SUMIFS('ИТОГО Лэндинг'!$C$5:$C$300,'ИТОГО Лэндинг'!$B$5:$B$300,$B53)+SUMIFS('История'!$C$5:$C$300,'История'!$B$5:$B$300,$B53)))</f>
        <v/>
      </c>
      <c r="D53" s="177">
        <f>IF(C53="","",E53/C53)</f>
        <v/>
      </c>
      <c r="E53" s="241">
        <f>IF(C53="","",SUMIFS('ИТОГО Торговля'!$E$5:$E$300,'ИТОГО Торговля'!$B$5:$B$300,$B53)+SUMIFS('ИТОГО Лэндинг'!$E$5:$E$300,'ИТОГО Лэндинг'!$B$5:$B$300,$B53)+SUMIFS('История'!$E$5:$E$300,'История'!$B$5:$B$300,$B53))</f>
        <v/>
      </c>
      <c r="F53" s="240">
        <f>IF($B53="","",IF(SUMIFS('ИТОГО Торговля'!$F$5:$F$300,'ИТОГО Торговля'!$B$5:$B$300,$B53)+SUMIFS('ИТОГО Лэндинг'!$F$5:$F$300,'ИТОГО Лэндинг'!$B$5:$B$300,$B53)+SUMIFS('История'!$F$5:$F$300,'История'!$B$5:$B$300,$B53)=0,"",SUMIFS('ИТОГО Торговля'!$F$5:$F$300,'ИТОГО Торговля'!$B$5:$B$300,$B53)+SUMIFS('ИТОГО Лэндинг'!$F$5:$F$300,'ИТОГО Лэндинг'!$B$5:$B$300,$B53)+SUMIFS('История'!$F$5:$F$300,'История'!$B$5:$B$300,$B53)))</f>
        <v/>
      </c>
      <c r="G53" s="177">
        <f>IF(F53="","",H53/F53)</f>
        <v/>
      </c>
      <c r="H53" s="241">
        <f>IF(F53="","",SUMIFS('ИТОГО Торговля'!$H$5:$H$300,'ИТОГО Торговля'!$B$5:$B$300,$B53)+SUMIFS('ИТОГО Лэндинг'!$H$5:$H$300,'ИТОГО Лэндинг'!$B$5:$B$300,$B53)+SUMIFS('История'!$H$5:$H$300,'История'!$B$5:$B$300,$B53))</f>
        <v/>
      </c>
      <c r="I53" s="240">
        <f>IF($B53="","",IF(AND(C53="",F53=""),"",ROUND(SUMIFS('ИТОГО Торговля'!$I$5:$I$300,'ИТОГО Торговля'!$B$5:$B$300,$B53)+SUMIFS('ИТОГО Лэндинг'!$I$5:$I$300,'ИТОГО Лэндинг'!$B$5:$B$300,$B53)+SUMIFS('История'!$I$5:$I$300,'История'!$B$5:$B$300,$B53),8)))</f>
        <v/>
      </c>
      <c r="J53" s="241">
        <f>IF($B53="","",IF(AND(C53="",F53=""),"",ROUND(SUMIFS('ИТОГО Торговля'!$J$5:$J$300,'ИТОГО Торговля'!$B$5:$B$300,$B53)+SUMIFS('ИТОГО Лэндинг'!$J$5:$J$300,'ИТОГО Лэндинг'!$B$5:$B$300,$B53)+SUMIFS('История'!$J$5:$J$300,'История'!$B$5:$B$300,$B53),8)))</f>
        <v/>
      </c>
      <c r="K53" s="240">
        <f>IF($B53="","",ROUND(SUMIFS('ИТОГО Торговля'!$K$5:$K$300,'ИТОГО Торговля'!$B$5:$B$300,$B53)+SUMIFS('ИТОГО Лэндинг'!$K$5:$K$300,'ИТОГО Лэндинг'!$B$5:$B$300,$B53)+SUMIFS('История'!$K$5:$K$300,'История'!$B$5:$B$300,$B53),8))</f>
        <v/>
      </c>
      <c r="L53" s="177">
        <f>IF(K53="","",IF(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53)*((История!$C$5:$C$300+История!$F$5:$F$300-ABS(История!$C$5:$C$300-История!$F$5:$F$300))/2)*История!$D$5:$D$300))&lt;=0,0,ROUND(K53/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53)*((История!$C$5:$C$300+История!$F$5:$F$300-ABS(История!$C$5:$C$300-История!$F$5:$F$300))/2)*История!$D$5:$D$300)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IF($B54="","",IF(SUMIFS('ИТОГО Торговля'!$C$5:$C$300,'ИТОГО Торговля'!$B$5:$B$300,$B54)+SUMIFS('ИТОГО Лэндинг'!$C$5:$C$300,'ИТОГО Лэндинг'!$B$5:$B$300,$B54)+SUMIFS('История'!$C$5:$C$300,'История'!$B$5:$B$300,$B54)=0,"",SUMIFS('ИТОГО Торговля'!$C$5:$C$300,'ИТОГО Торговля'!$B$5:$B$300,$B54)+SUMIFS('ИТОГО Лэндинг'!$C$5:$C$300,'ИТОГО Лэндинг'!$B$5:$B$300,$B54)+SUMIFS('История'!$C$5:$C$300,'История'!$B$5:$B$300,$B54)))</f>
        <v/>
      </c>
      <c r="D54" s="183">
        <f>IF(C54="","",E54/C54)</f>
        <v/>
      </c>
      <c r="E54" s="247">
        <f>IF(C54="","",SUMIFS('ИТОГО Торговля'!$E$5:$E$300,'ИТОГО Торговля'!$B$5:$B$300,$B54)+SUMIFS('ИТОГО Лэндинг'!$E$5:$E$300,'ИТОГО Лэндинг'!$B$5:$B$300,$B54)+SUMIFS('История'!$E$5:$E$300,'История'!$B$5:$B$300,$B54))</f>
        <v/>
      </c>
      <c r="F54" s="246">
        <f>IF($B54="","",IF(SUMIFS('ИТОГО Торговля'!$F$5:$F$300,'ИТОГО Торговля'!$B$5:$B$300,$B54)+SUMIFS('ИТОГО Лэндинг'!$F$5:$F$300,'ИТОГО Лэндинг'!$B$5:$B$300,$B54)+SUMIFS('История'!$F$5:$F$300,'История'!$B$5:$B$300,$B54)=0,"",SUMIFS('ИТОГО Торговля'!$F$5:$F$300,'ИТОГО Торговля'!$B$5:$B$300,$B54)+SUMIFS('ИТОГО Лэндинг'!$F$5:$F$300,'ИТОГО Лэндинг'!$B$5:$B$300,$B54)+SUMIFS('История'!$F$5:$F$300,'История'!$B$5:$B$300,$B54)))</f>
        <v/>
      </c>
      <c r="G54" s="183">
        <f>IF(F54="","",H54/F54)</f>
        <v/>
      </c>
      <c r="H54" s="247">
        <f>IF(F54="","",SUMIFS('ИТОГО Торговля'!$H$5:$H$300,'ИТОГО Торговля'!$B$5:$B$300,$B54)+SUMIFS('ИТОГО Лэндинг'!$H$5:$H$300,'ИТОГО Лэндинг'!$B$5:$B$300,$B54)+SUMIFS('История'!$H$5:$H$300,'История'!$B$5:$B$300,$B54))</f>
        <v/>
      </c>
      <c r="I54" s="246">
        <f>IF($B54="","",IF(AND(C54="",F54=""),"",ROUND(SUMIFS('ИТОГО Торговля'!$I$5:$I$300,'ИТОГО Торговля'!$B$5:$B$300,$B54)+SUMIFS('ИТОГО Лэндинг'!$I$5:$I$300,'ИТОГО Лэндинг'!$B$5:$B$300,$B54)+SUMIFS('История'!$I$5:$I$300,'История'!$B$5:$B$300,$B54),8)))</f>
        <v/>
      </c>
      <c r="J54" s="247">
        <f>IF($B54="","",IF(AND(C54="",F54=""),"",ROUND(SUMIFS('ИТОГО Торговля'!$J$5:$J$300,'ИТОГО Торговля'!$B$5:$B$300,$B54)+SUMIFS('ИТОГО Лэндинг'!$J$5:$J$300,'ИТОГО Лэндинг'!$B$5:$B$300,$B54)+SUMIFS('История'!$J$5:$J$300,'История'!$B$5:$B$300,$B54),8)))</f>
        <v/>
      </c>
      <c r="K54" s="246">
        <f>IF($B54="","",ROUND(SUMIFS('ИТОГО Торговля'!$K$5:$K$300,'ИТОГО Торговля'!$B$5:$B$300,$B54)+SUMIFS('ИТОГО Лэндинг'!$K$5:$K$300,'ИТОГО Лэндинг'!$B$5:$B$300,$B54)+SUMIFS('История'!$K$5:$K$300,'История'!$B$5:$B$300,$B54),8))</f>
        <v/>
      </c>
      <c r="L54" s="183">
        <f>IF(K54="","",IF(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54)*((История!$C$5:$C$300+История!$F$5:$F$300-ABS(История!$C$5:$C$300-История!$F$5:$F$300))/2)*История!$D$5:$D$300))&lt;=0,0,ROUND(K54/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54)*((История!$C$5:$C$300+История!$F$5:$F$300-ABS(История!$C$5:$C$300-История!$F$5:$F$300))/2)*История!$D$5:$D$300)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IF($B55="","",IF(SUMIFS('ИТОГО Торговля'!$C$5:$C$300,'ИТОГО Торговля'!$B$5:$B$300,$B55)+SUMIFS('ИТОГО Лэндинг'!$C$5:$C$300,'ИТОГО Лэндинг'!$B$5:$B$300,$B55)+SUMIFS('История'!$C$5:$C$300,'История'!$B$5:$B$300,$B55)=0,"",SUMIFS('ИТОГО Торговля'!$C$5:$C$300,'ИТОГО Торговля'!$B$5:$B$300,$B55)+SUMIFS('ИТОГО Лэндинг'!$C$5:$C$300,'ИТОГО Лэндинг'!$B$5:$B$300,$B55)+SUMIFS('История'!$C$5:$C$300,'История'!$B$5:$B$300,$B55)))</f>
        <v/>
      </c>
      <c r="D55" s="177">
        <f>IF(C55="","",E55/C55)</f>
        <v/>
      </c>
      <c r="E55" s="241">
        <f>IF(C55="","",SUMIFS('ИТОГО Торговля'!$E$5:$E$300,'ИТОГО Торговля'!$B$5:$B$300,$B55)+SUMIFS('ИТОГО Лэндинг'!$E$5:$E$300,'ИТОГО Лэндинг'!$B$5:$B$300,$B55)+SUMIFS('История'!$E$5:$E$300,'История'!$B$5:$B$300,$B55))</f>
        <v/>
      </c>
      <c r="F55" s="240">
        <f>IF($B55="","",IF(SUMIFS('ИТОГО Торговля'!$F$5:$F$300,'ИТОГО Торговля'!$B$5:$B$300,$B55)+SUMIFS('ИТОГО Лэндинг'!$F$5:$F$300,'ИТОГО Лэндинг'!$B$5:$B$300,$B55)+SUMIFS('История'!$F$5:$F$300,'История'!$B$5:$B$300,$B55)=0,"",SUMIFS('ИТОГО Торговля'!$F$5:$F$300,'ИТОГО Торговля'!$B$5:$B$300,$B55)+SUMIFS('ИТОГО Лэндинг'!$F$5:$F$300,'ИТОГО Лэндинг'!$B$5:$B$300,$B55)+SUMIFS('История'!$F$5:$F$300,'История'!$B$5:$B$300,$B55)))</f>
        <v/>
      </c>
      <c r="G55" s="177">
        <f>IF(F55="","",H55/F55)</f>
        <v/>
      </c>
      <c r="H55" s="241">
        <f>IF(F55="","",SUMIFS('ИТОГО Торговля'!$H$5:$H$300,'ИТОГО Торговля'!$B$5:$B$300,$B55)+SUMIFS('ИТОГО Лэндинг'!$H$5:$H$300,'ИТОГО Лэндинг'!$B$5:$B$300,$B55)+SUMIFS('История'!$H$5:$H$300,'История'!$B$5:$B$300,$B55))</f>
        <v/>
      </c>
      <c r="I55" s="240">
        <f>IF($B55="","",IF(AND(C55="",F55=""),"",ROUND(SUMIFS('ИТОГО Торговля'!$I$5:$I$300,'ИТОГО Торговля'!$B$5:$B$300,$B55)+SUMIFS('ИТОГО Лэндинг'!$I$5:$I$300,'ИТОГО Лэндинг'!$B$5:$B$300,$B55)+SUMIFS('История'!$I$5:$I$300,'История'!$B$5:$B$300,$B55),8)))</f>
        <v/>
      </c>
      <c r="J55" s="241">
        <f>IF($B55="","",IF(AND(C55="",F55=""),"",ROUND(SUMIFS('ИТОГО Торговля'!$J$5:$J$300,'ИТОГО Торговля'!$B$5:$B$300,$B55)+SUMIFS('ИТОГО Лэндинг'!$J$5:$J$300,'ИТОГО Лэндинг'!$B$5:$B$300,$B55)+SUMIFS('История'!$J$5:$J$300,'История'!$B$5:$B$300,$B55),8)))</f>
        <v/>
      </c>
      <c r="K55" s="240">
        <f>IF($B55="","",ROUND(SUMIFS('ИТОГО Торговля'!$K$5:$K$300,'ИТОГО Торговля'!$B$5:$B$300,$B55)+SUMIFS('ИТОГО Лэндинг'!$K$5:$K$300,'ИТОГО Лэндинг'!$B$5:$B$300,$B55)+SUMIFS('История'!$K$5:$K$300,'История'!$B$5:$B$300,$B55),8))</f>
        <v/>
      </c>
      <c r="L55" s="177">
        <f>IF(K55="","",IF(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55)*((История!$C$5:$C$300+История!$F$5:$F$300-ABS(История!$C$5:$C$300-История!$F$5:$F$300))/2)*История!$D$5:$D$300))&lt;=0,0,ROUND(K55/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55)*((История!$C$5:$C$300+История!$F$5:$F$300-ABS(История!$C$5:$C$300-История!$F$5:$F$300))/2)*История!$D$5:$D$300)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IF($B56="","",IF(SUMIFS('ИТОГО Торговля'!$C$5:$C$300,'ИТОГО Торговля'!$B$5:$B$300,$B56)+SUMIFS('ИТОГО Лэндинг'!$C$5:$C$300,'ИТОГО Лэндинг'!$B$5:$B$300,$B56)+SUMIFS('История'!$C$5:$C$300,'История'!$B$5:$B$300,$B56)=0,"",SUMIFS('ИТОГО Торговля'!$C$5:$C$300,'ИТОГО Торговля'!$B$5:$B$300,$B56)+SUMIFS('ИТОГО Лэндинг'!$C$5:$C$300,'ИТОГО Лэндинг'!$B$5:$B$300,$B56)+SUMIFS('История'!$C$5:$C$300,'История'!$B$5:$B$300,$B56)))</f>
        <v/>
      </c>
      <c r="D56" s="183">
        <f>IF(C56="","",E56/C56)</f>
        <v/>
      </c>
      <c r="E56" s="247">
        <f>IF(C56="","",SUMIFS('ИТОГО Торговля'!$E$5:$E$300,'ИТОГО Торговля'!$B$5:$B$300,$B56)+SUMIFS('ИТОГО Лэндинг'!$E$5:$E$300,'ИТОГО Лэндинг'!$B$5:$B$300,$B56)+SUMIFS('История'!$E$5:$E$300,'История'!$B$5:$B$300,$B56))</f>
        <v/>
      </c>
      <c r="F56" s="246">
        <f>IF($B56="","",IF(SUMIFS('ИТОГО Торговля'!$F$5:$F$300,'ИТОГО Торговля'!$B$5:$B$300,$B56)+SUMIFS('ИТОГО Лэндинг'!$F$5:$F$300,'ИТОГО Лэндинг'!$B$5:$B$300,$B56)+SUMIFS('История'!$F$5:$F$300,'История'!$B$5:$B$300,$B56)=0,"",SUMIFS('ИТОГО Торговля'!$F$5:$F$300,'ИТОГО Торговля'!$B$5:$B$300,$B56)+SUMIFS('ИТОГО Лэндинг'!$F$5:$F$300,'ИТОГО Лэндинг'!$B$5:$B$300,$B56)+SUMIFS('История'!$F$5:$F$300,'История'!$B$5:$B$300,$B56)))</f>
        <v/>
      </c>
      <c r="G56" s="183">
        <f>IF(F56="","",H56/F56)</f>
        <v/>
      </c>
      <c r="H56" s="247">
        <f>IF(F56="","",SUMIFS('ИТОГО Торговля'!$H$5:$H$300,'ИТОГО Торговля'!$B$5:$B$300,$B56)+SUMIFS('ИТОГО Лэндинг'!$H$5:$H$300,'ИТОГО Лэндинг'!$B$5:$B$300,$B56)+SUMIFS('История'!$H$5:$H$300,'История'!$B$5:$B$300,$B56))</f>
        <v/>
      </c>
      <c r="I56" s="246">
        <f>IF($B56="","",IF(AND(C56="",F56=""),"",ROUND(SUMIFS('ИТОГО Торговля'!$I$5:$I$300,'ИТОГО Торговля'!$B$5:$B$300,$B56)+SUMIFS('ИТОГО Лэндинг'!$I$5:$I$300,'ИТОГО Лэндинг'!$B$5:$B$300,$B56)+SUMIFS('История'!$I$5:$I$300,'История'!$B$5:$B$300,$B56),8)))</f>
        <v/>
      </c>
      <c r="J56" s="247">
        <f>IF($B56="","",IF(AND(C56="",F56=""),"",ROUND(SUMIFS('ИТОГО Торговля'!$J$5:$J$300,'ИТОГО Торговля'!$B$5:$B$300,$B56)+SUMIFS('ИТОГО Лэндинг'!$J$5:$J$300,'ИТОГО Лэндинг'!$B$5:$B$300,$B56)+SUMIFS('История'!$J$5:$J$300,'История'!$B$5:$B$300,$B56),8)))</f>
        <v/>
      </c>
      <c r="K56" s="246">
        <f>IF($B56="","",ROUND(SUMIFS('ИТОГО Торговля'!$K$5:$K$300,'ИТОГО Торговля'!$B$5:$B$300,$B56)+SUMIFS('ИТОГО Лэндинг'!$K$5:$K$300,'ИТОГО Лэндинг'!$B$5:$B$300,$B56)+SUMIFS('История'!$K$5:$K$300,'История'!$B$5:$B$300,$B56),8))</f>
        <v/>
      </c>
      <c r="L56" s="183">
        <f>IF(K56="","",IF(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56)*((История!$C$5:$C$300+История!$F$5:$F$300-ABS(История!$C$5:$C$300-История!$F$5:$F$300))/2)*История!$D$5:$D$300))&lt;=0,0,ROUND(K56/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56)*((История!$C$5:$C$300+История!$F$5:$F$300-ABS(История!$C$5:$C$300-История!$F$5:$F$300))/2)*История!$D$5:$D$300)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IF($B57="","",IF(SUMIFS('ИТОГО Торговля'!$C$5:$C$300,'ИТОГО Торговля'!$B$5:$B$300,$B57)+SUMIFS('ИТОГО Лэндинг'!$C$5:$C$300,'ИТОГО Лэндинг'!$B$5:$B$300,$B57)+SUMIFS('История'!$C$5:$C$300,'История'!$B$5:$B$300,$B57)=0,"",SUMIFS('ИТОГО Торговля'!$C$5:$C$300,'ИТОГО Торговля'!$B$5:$B$300,$B57)+SUMIFS('ИТОГО Лэндинг'!$C$5:$C$300,'ИТОГО Лэндинг'!$B$5:$B$300,$B57)+SUMIFS('История'!$C$5:$C$300,'История'!$B$5:$B$300,$B57)))</f>
        <v/>
      </c>
      <c r="D57" s="177">
        <f>IF(C57="","",E57/C57)</f>
        <v/>
      </c>
      <c r="E57" s="241">
        <f>IF(C57="","",SUMIFS('ИТОГО Торговля'!$E$5:$E$300,'ИТОГО Торговля'!$B$5:$B$300,$B57)+SUMIFS('ИТОГО Лэндинг'!$E$5:$E$300,'ИТОГО Лэндинг'!$B$5:$B$300,$B57)+SUMIFS('История'!$E$5:$E$300,'История'!$B$5:$B$300,$B57))</f>
        <v/>
      </c>
      <c r="F57" s="240">
        <f>IF($B57="","",IF(SUMIFS('ИТОГО Торговля'!$F$5:$F$300,'ИТОГО Торговля'!$B$5:$B$300,$B57)+SUMIFS('ИТОГО Лэндинг'!$F$5:$F$300,'ИТОГО Лэндинг'!$B$5:$B$300,$B57)+SUMIFS('История'!$F$5:$F$300,'История'!$B$5:$B$300,$B57)=0,"",SUMIFS('ИТОГО Торговля'!$F$5:$F$300,'ИТОГО Торговля'!$B$5:$B$300,$B57)+SUMIFS('ИТОГО Лэндинг'!$F$5:$F$300,'ИТОГО Лэндинг'!$B$5:$B$300,$B57)+SUMIFS('История'!$F$5:$F$300,'История'!$B$5:$B$300,$B57)))</f>
        <v/>
      </c>
      <c r="G57" s="177">
        <f>IF(F57="","",H57/F57)</f>
        <v/>
      </c>
      <c r="H57" s="241">
        <f>IF(F57="","",SUMIFS('ИТОГО Торговля'!$H$5:$H$300,'ИТОГО Торговля'!$B$5:$B$300,$B57)+SUMIFS('ИТОГО Лэндинг'!$H$5:$H$300,'ИТОГО Лэндинг'!$B$5:$B$300,$B57)+SUMIFS('История'!$H$5:$H$300,'История'!$B$5:$B$300,$B57))</f>
        <v/>
      </c>
      <c r="I57" s="240">
        <f>IF($B57="","",IF(AND(C57="",F57=""),"",ROUND(SUMIFS('ИТОГО Торговля'!$I$5:$I$300,'ИТОГО Торговля'!$B$5:$B$300,$B57)+SUMIFS('ИТОГО Лэндинг'!$I$5:$I$300,'ИТОГО Лэндинг'!$B$5:$B$300,$B57)+SUMIFS('История'!$I$5:$I$300,'История'!$B$5:$B$300,$B57),8)))</f>
        <v/>
      </c>
      <c r="J57" s="241">
        <f>IF($B57="","",IF(AND(C57="",F57=""),"",ROUND(SUMIFS('ИТОГО Торговля'!$J$5:$J$300,'ИТОГО Торговля'!$B$5:$B$300,$B57)+SUMIFS('ИТОГО Лэндинг'!$J$5:$J$300,'ИТОГО Лэндинг'!$B$5:$B$300,$B57)+SUMIFS('История'!$J$5:$J$300,'История'!$B$5:$B$300,$B57),8)))</f>
        <v/>
      </c>
      <c r="K57" s="240">
        <f>IF($B57="","",ROUND(SUMIFS('ИТОГО Торговля'!$K$5:$K$300,'ИТОГО Торговля'!$B$5:$B$300,$B57)+SUMIFS('ИТОГО Лэндинг'!$K$5:$K$300,'ИТОГО Лэндинг'!$B$5:$B$300,$B57)+SUMIFS('История'!$K$5:$K$300,'История'!$B$5:$B$300,$B57),8))</f>
        <v/>
      </c>
      <c r="L57" s="177">
        <f>IF(K57="","",IF(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57)*((История!$C$5:$C$300+История!$F$5:$F$300-ABS(История!$C$5:$C$300-История!$F$5:$F$300))/2)*История!$D$5:$D$300))&lt;=0,0,ROUND(K57/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57)*((История!$C$5:$C$300+История!$F$5:$F$300-ABS(История!$C$5:$C$300-История!$F$5:$F$300))/2)*История!$D$5:$D$300)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IF($B58="","",IF(SUMIFS('ИТОГО Торговля'!$C$5:$C$300,'ИТОГО Торговля'!$B$5:$B$300,$B58)+SUMIFS('ИТОГО Лэндинг'!$C$5:$C$300,'ИТОГО Лэндинг'!$B$5:$B$300,$B58)+SUMIFS('История'!$C$5:$C$300,'История'!$B$5:$B$300,$B58)=0,"",SUMIFS('ИТОГО Торговля'!$C$5:$C$300,'ИТОГО Торговля'!$B$5:$B$300,$B58)+SUMIFS('ИТОГО Лэндинг'!$C$5:$C$300,'ИТОГО Лэндинг'!$B$5:$B$300,$B58)+SUMIFS('История'!$C$5:$C$300,'История'!$B$5:$B$300,$B58)))</f>
        <v/>
      </c>
      <c r="D58" s="183">
        <f>IF(C58="","",E58/C58)</f>
        <v/>
      </c>
      <c r="E58" s="247">
        <f>IF(C58="","",SUMIFS('ИТОГО Торговля'!$E$5:$E$300,'ИТОГО Торговля'!$B$5:$B$300,$B58)+SUMIFS('ИТОГО Лэндинг'!$E$5:$E$300,'ИТОГО Лэндинг'!$B$5:$B$300,$B58)+SUMIFS('История'!$E$5:$E$300,'История'!$B$5:$B$300,$B58))</f>
        <v/>
      </c>
      <c r="F58" s="246">
        <f>IF($B58="","",IF(SUMIFS('ИТОГО Торговля'!$F$5:$F$300,'ИТОГО Торговля'!$B$5:$B$300,$B58)+SUMIFS('ИТОГО Лэндинг'!$F$5:$F$300,'ИТОГО Лэндинг'!$B$5:$B$300,$B58)+SUMIFS('История'!$F$5:$F$300,'История'!$B$5:$B$300,$B58)=0,"",SUMIFS('ИТОГО Торговля'!$F$5:$F$300,'ИТОГО Торговля'!$B$5:$B$300,$B58)+SUMIFS('ИТОГО Лэндинг'!$F$5:$F$300,'ИТОГО Лэндинг'!$B$5:$B$300,$B58)+SUMIFS('История'!$F$5:$F$300,'История'!$B$5:$B$300,$B58)))</f>
        <v/>
      </c>
      <c r="G58" s="183">
        <f>IF(F58="","",H58/F58)</f>
        <v/>
      </c>
      <c r="H58" s="247">
        <f>IF(F58="","",SUMIFS('ИТОГО Торговля'!$H$5:$H$300,'ИТОГО Торговля'!$B$5:$B$300,$B58)+SUMIFS('ИТОГО Лэндинг'!$H$5:$H$300,'ИТОГО Лэндинг'!$B$5:$B$300,$B58)+SUMIFS('История'!$H$5:$H$300,'История'!$B$5:$B$300,$B58))</f>
        <v/>
      </c>
      <c r="I58" s="246">
        <f>IF($B58="","",IF(AND(C58="",F58=""),"",ROUND(SUMIFS('ИТОГО Торговля'!$I$5:$I$300,'ИТОГО Торговля'!$B$5:$B$300,$B58)+SUMIFS('ИТОГО Лэндинг'!$I$5:$I$300,'ИТОГО Лэндинг'!$B$5:$B$300,$B58)+SUMIFS('История'!$I$5:$I$300,'История'!$B$5:$B$300,$B58),8)))</f>
        <v/>
      </c>
      <c r="J58" s="247">
        <f>IF($B58="","",IF(AND(C58="",F58=""),"",ROUND(SUMIFS('ИТОГО Торговля'!$J$5:$J$300,'ИТОГО Торговля'!$B$5:$B$300,$B58)+SUMIFS('ИТОГО Лэндинг'!$J$5:$J$300,'ИТОГО Лэндинг'!$B$5:$B$300,$B58)+SUMIFS('История'!$J$5:$J$300,'История'!$B$5:$B$300,$B58),8)))</f>
        <v/>
      </c>
      <c r="K58" s="246">
        <f>IF($B58="","",ROUND(SUMIFS('ИТОГО Торговля'!$K$5:$K$300,'ИТОГО Торговля'!$B$5:$B$300,$B58)+SUMIFS('ИТОГО Лэндинг'!$K$5:$K$300,'ИТОГО Лэндинг'!$B$5:$B$300,$B58)+SUMIFS('История'!$K$5:$K$300,'История'!$B$5:$B$300,$B58),8))</f>
        <v/>
      </c>
      <c r="L58" s="183">
        <f>IF(K58="","",IF(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58)*((История!$C$5:$C$300+История!$F$5:$F$300-ABS(История!$C$5:$C$300-История!$F$5:$F$300))/2)*История!$D$5:$D$300))&lt;=0,0,ROUND(K58/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58)*((История!$C$5:$C$300+История!$F$5:$F$300-ABS(История!$C$5:$C$300-История!$F$5:$F$300))/2)*История!$D$5:$D$300)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IF($B59="","",IF(SUMIFS('ИТОГО Торговля'!$C$5:$C$300,'ИТОГО Торговля'!$B$5:$B$300,$B59)+SUMIFS('ИТОГО Лэндинг'!$C$5:$C$300,'ИТОГО Лэндинг'!$B$5:$B$300,$B59)+SUMIFS('История'!$C$5:$C$300,'История'!$B$5:$B$300,$B59)=0,"",SUMIFS('ИТОГО Торговля'!$C$5:$C$300,'ИТОГО Торговля'!$B$5:$B$300,$B59)+SUMIFS('ИТОГО Лэндинг'!$C$5:$C$300,'ИТОГО Лэндинг'!$B$5:$B$300,$B59)+SUMIFS('История'!$C$5:$C$300,'История'!$B$5:$B$300,$B59)))</f>
        <v/>
      </c>
      <c r="D59" s="177">
        <f>IF(C59="","",E59/C59)</f>
        <v/>
      </c>
      <c r="E59" s="241">
        <f>IF(C59="","",SUMIFS('ИТОГО Торговля'!$E$5:$E$300,'ИТОГО Торговля'!$B$5:$B$300,$B59)+SUMIFS('ИТОГО Лэндинг'!$E$5:$E$300,'ИТОГО Лэндинг'!$B$5:$B$300,$B59)+SUMIFS('История'!$E$5:$E$300,'История'!$B$5:$B$300,$B59))</f>
        <v/>
      </c>
      <c r="F59" s="240">
        <f>IF($B59="","",IF(SUMIFS('ИТОГО Торговля'!$F$5:$F$300,'ИТОГО Торговля'!$B$5:$B$300,$B59)+SUMIFS('ИТОГО Лэндинг'!$F$5:$F$300,'ИТОГО Лэндинг'!$B$5:$B$300,$B59)+SUMIFS('История'!$F$5:$F$300,'История'!$B$5:$B$300,$B59)=0,"",SUMIFS('ИТОГО Торговля'!$F$5:$F$300,'ИТОГО Торговля'!$B$5:$B$300,$B59)+SUMIFS('ИТОГО Лэндинг'!$F$5:$F$300,'ИТОГО Лэндинг'!$B$5:$B$300,$B59)+SUMIFS('История'!$F$5:$F$300,'История'!$B$5:$B$300,$B59)))</f>
        <v/>
      </c>
      <c r="G59" s="177">
        <f>IF(F59="","",H59/F59)</f>
        <v/>
      </c>
      <c r="H59" s="241">
        <f>IF(F59="","",SUMIFS('ИТОГО Торговля'!$H$5:$H$300,'ИТОГО Торговля'!$B$5:$B$300,$B59)+SUMIFS('ИТОГО Лэндинг'!$H$5:$H$300,'ИТОГО Лэндинг'!$B$5:$B$300,$B59)+SUMIFS('История'!$H$5:$H$300,'История'!$B$5:$B$300,$B59))</f>
        <v/>
      </c>
      <c r="I59" s="240">
        <f>IF($B59="","",IF(AND(C59="",F59=""),"",ROUND(SUMIFS('ИТОГО Торговля'!$I$5:$I$300,'ИТОГО Торговля'!$B$5:$B$300,$B59)+SUMIFS('ИТОГО Лэндинг'!$I$5:$I$300,'ИТОГО Лэндинг'!$B$5:$B$300,$B59)+SUMIFS('История'!$I$5:$I$300,'История'!$B$5:$B$300,$B59),8)))</f>
        <v/>
      </c>
      <c r="J59" s="241">
        <f>IF($B59="","",IF(AND(C59="",F59=""),"",ROUND(SUMIFS('ИТОГО Торговля'!$J$5:$J$300,'ИТОГО Торговля'!$B$5:$B$300,$B59)+SUMIFS('ИТОГО Лэндинг'!$J$5:$J$300,'ИТОГО Лэндинг'!$B$5:$B$300,$B59)+SUMIFS('История'!$J$5:$J$300,'История'!$B$5:$B$300,$B59),8)))</f>
        <v/>
      </c>
      <c r="K59" s="240">
        <f>IF($B59="","",ROUND(SUMIFS('ИТОГО Торговля'!$K$5:$K$300,'ИТОГО Торговля'!$B$5:$B$300,$B59)+SUMIFS('ИТОГО Лэндинг'!$K$5:$K$300,'ИТОГО Лэндинг'!$B$5:$B$300,$B59)+SUMIFS('История'!$K$5:$K$300,'История'!$B$5:$B$300,$B59),8))</f>
        <v/>
      </c>
      <c r="L59" s="177">
        <f>IF(K59="","",IF(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59)*((История!$C$5:$C$300+История!$F$5:$F$300-ABS(История!$C$5:$C$300-История!$F$5:$F$300))/2)*История!$D$5:$D$300))&lt;=0,0,ROUND(K59/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59)*((История!$C$5:$C$300+История!$F$5:$F$300-ABS(История!$C$5:$C$300-История!$F$5:$F$300))/2)*История!$D$5:$D$300)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IF($B60="","",IF(SUMIFS('ИТОГО Торговля'!$C$5:$C$300,'ИТОГО Торговля'!$B$5:$B$300,$B60)+SUMIFS('ИТОГО Лэндинг'!$C$5:$C$300,'ИТОГО Лэндинг'!$B$5:$B$300,$B60)+SUMIFS('История'!$C$5:$C$300,'История'!$B$5:$B$300,$B60)=0,"",SUMIFS('ИТОГО Торговля'!$C$5:$C$300,'ИТОГО Торговля'!$B$5:$B$300,$B60)+SUMIFS('ИТОГО Лэндинг'!$C$5:$C$300,'ИТОГО Лэндинг'!$B$5:$B$300,$B60)+SUMIFS('История'!$C$5:$C$300,'История'!$B$5:$B$300,$B60)))</f>
        <v/>
      </c>
      <c r="D60" s="183">
        <f>IF(C60="","",E60/C60)</f>
        <v/>
      </c>
      <c r="E60" s="247">
        <f>IF(C60="","",SUMIFS('ИТОГО Торговля'!$E$5:$E$300,'ИТОГО Торговля'!$B$5:$B$300,$B60)+SUMIFS('ИТОГО Лэндинг'!$E$5:$E$300,'ИТОГО Лэндинг'!$B$5:$B$300,$B60)+SUMIFS('История'!$E$5:$E$300,'История'!$B$5:$B$300,$B60))</f>
        <v/>
      </c>
      <c r="F60" s="246">
        <f>IF($B60="","",IF(SUMIFS('ИТОГО Торговля'!$F$5:$F$300,'ИТОГО Торговля'!$B$5:$B$300,$B60)+SUMIFS('ИТОГО Лэндинг'!$F$5:$F$300,'ИТОГО Лэндинг'!$B$5:$B$300,$B60)+SUMIFS('История'!$F$5:$F$300,'История'!$B$5:$B$300,$B60)=0,"",SUMIFS('ИТОГО Торговля'!$F$5:$F$300,'ИТОГО Торговля'!$B$5:$B$300,$B60)+SUMIFS('ИТОГО Лэндинг'!$F$5:$F$300,'ИТОГО Лэндинг'!$B$5:$B$300,$B60)+SUMIFS('История'!$F$5:$F$300,'История'!$B$5:$B$300,$B60)))</f>
        <v/>
      </c>
      <c r="G60" s="183">
        <f>IF(F60="","",H60/F60)</f>
        <v/>
      </c>
      <c r="H60" s="247">
        <f>IF(F60="","",SUMIFS('ИТОГО Торговля'!$H$5:$H$300,'ИТОГО Торговля'!$B$5:$B$300,$B60)+SUMIFS('ИТОГО Лэндинг'!$H$5:$H$300,'ИТОГО Лэндинг'!$B$5:$B$300,$B60)+SUMIFS('История'!$H$5:$H$300,'История'!$B$5:$B$300,$B60))</f>
        <v/>
      </c>
      <c r="I60" s="246">
        <f>IF($B60="","",IF(AND(C60="",F60=""),"",ROUND(SUMIFS('ИТОГО Торговля'!$I$5:$I$300,'ИТОГО Торговля'!$B$5:$B$300,$B60)+SUMIFS('ИТОГО Лэндинг'!$I$5:$I$300,'ИТОГО Лэндинг'!$B$5:$B$300,$B60)+SUMIFS('История'!$I$5:$I$300,'История'!$B$5:$B$300,$B60),8)))</f>
        <v/>
      </c>
      <c r="J60" s="247">
        <f>IF($B60="","",IF(AND(C60="",F60=""),"",ROUND(SUMIFS('ИТОГО Торговля'!$J$5:$J$300,'ИТОГО Торговля'!$B$5:$B$300,$B60)+SUMIFS('ИТОГО Лэндинг'!$J$5:$J$300,'ИТОГО Лэндинг'!$B$5:$B$300,$B60)+SUMIFS('История'!$J$5:$J$300,'История'!$B$5:$B$300,$B60),8)))</f>
        <v/>
      </c>
      <c r="K60" s="246">
        <f>IF($B60="","",ROUND(SUMIFS('ИТОГО Торговля'!$K$5:$K$300,'ИТОГО Торговля'!$B$5:$B$300,$B60)+SUMIFS('ИТОГО Лэндинг'!$K$5:$K$300,'ИТОГО Лэндинг'!$B$5:$B$300,$B60)+SUMIFS('История'!$K$5:$K$300,'История'!$B$5:$B$300,$B60),8))</f>
        <v/>
      </c>
      <c r="L60" s="183">
        <f>IF(K60="","",IF(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60)*((История!$C$5:$C$300+История!$F$5:$F$300-ABS(История!$C$5:$C$300-История!$F$5:$F$300))/2)*История!$D$5:$D$300))&lt;=0,0,ROUND(K60/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60)*((История!$C$5:$C$300+История!$F$5:$F$300-ABS(История!$C$5:$C$300-История!$F$5:$F$300))/2)*История!$D$5:$D$300)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IF($B61="","",IF(SUMIFS('ИТОГО Торговля'!$C$5:$C$300,'ИТОГО Торговля'!$B$5:$B$300,$B61)+SUMIFS('ИТОГО Лэндинг'!$C$5:$C$300,'ИТОГО Лэндинг'!$B$5:$B$300,$B61)+SUMIFS('История'!$C$5:$C$300,'История'!$B$5:$B$300,$B61)=0,"",SUMIFS('ИТОГО Торговля'!$C$5:$C$300,'ИТОГО Торговля'!$B$5:$B$300,$B61)+SUMIFS('ИТОГО Лэндинг'!$C$5:$C$300,'ИТОГО Лэндинг'!$B$5:$B$300,$B61)+SUMIFS('История'!$C$5:$C$300,'История'!$B$5:$B$300,$B61)))</f>
        <v/>
      </c>
      <c r="D61" s="177">
        <f>IF(C61="","",E61/C61)</f>
        <v/>
      </c>
      <c r="E61" s="241">
        <f>IF(C61="","",SUMIFS('ИТОГО Торговля'!$E$5:$E$300,'ИТОГО Торговля'!$B$5:$B$300,$B61)+SUMIFS('ИТОГО Лэндинг'!$E$5:$E$300,'ИТОГО Лэндинг'!$B$5:$B$300,$B61)+SUMIFS('История'!$E$5:$E$300,'История'!$B$5:$B$300,$B61))</f>
        <v/>
      </c>
      <c r="F61" s="240">
        <f>IF($B61="","",IF(SUMIFS('ИТОГО Торговля'!$F$5:$F$300,'ИТОГО Торговля'!$B$5:$B$300,$B61)+SUMIFS('ИТОГО Лэндинг'!$F$5:$F$300,'ИТОГО Лэндинг'!$B$5:$B$300,$B61)+SUMIFS('История'!$F$5:$F$300,'История'!$B$5:$B$300,$B61)=0,"",SUMIFS('ИТОГО Торговля'!$F$5:$F$300,'ИТОГО Торговля'!$B$5:$B$300,$B61)+SUMIFS('ИТОГО Лэндинг'!$F$5:$F$300,'ИТОГО Лэндинг'!$B$5:$B$300,$B61)+SUMIFS('История'!$F$5:$F$300,'История'!$B$5:$B$300,$B61)))</f>
        <v/>
      </c>
      <c r="G61" s="177">
        <f>IF(F61="","",H61/F61)</f>
        <v/>
      </c>
      <c r="H61" s="241">
        <f>IF(F61="","",SUMIFS('ИТОГО Торговля'!$H$5:$H$300,'ИТОГО Торговля'!$B$5:$B$300,$B61)+SUMIFS('ИТОГО Лэндинг'!$H$5:$H$300,'ИТОГО Лэндинг'!$B$5:$B$300,$B61)+SUMIFS('История'!$H$5:$H$300,'История'!$B$5:$B$300,$B61))</f>
        <v/>
      </c>
      <c r="I61" s="240">
        <f>IF($B61="","",IF(AND(C61="",F61=""),"",ROUND(SUMIFS('ИТОГО Торговля'!$I$5:$I$300,'ИТОГО Торговля'!$B$5:$B$300,$B61)+SUMIFS('ИТОГО Лэндинг'!$I$5:$I$300,'ИТОГО Лэндинг'!$B$5:$B$300,$B61)+SUMIFS('История'!$I$5:$I$300,'История'!$B$5:$B$300,$B61),8)))</f>
        <v/>
      </c>
      <c r="J61" s="241">
        <f>IF($B61="","",IF(AND(C61="",F61=""),"",ROUND(SUMIFS('ИТОГО Торговля'!$J$5:$J$300,'ИТОГО Торговля'!$B$5:$B$300,$B61)+SUMIFS('ИТОГО Лэндинг'!$J$5:$J$300,'ИТОГО Лэндинг'!$B$5:$B$300,$B61)+SUMIFS('История'!$J$5:$J$300,'История'!$B$5:$B$300,$B61),8)))</f>
        <v/>
      </c>
      <c r="K61" s="240">
        <f>IF($B61="","",ROUND(SUMIFS('ИТОГО Торговля'!$K$5:$K$300,'ИТОГО Торговля'!$B$5:$B$300,$B61)+SUMIFS('ИТОГО Лэндинг'!$K$5:$K$300,'ИТОГО Лэндинг'!$B$5:$B$300,$B61)+SUMIFS('История'!$K$5:$K$300,'История'!$B$5:$B$300,$B61),8))</f>
        <v/>
      </c>
      <c r="L61" s="177">
        <f>IF(K61="","",IF(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61)*((История!$C$5:$C$300+История!$F$5:$F$300-ABS(История!$C$5:$C$300-История!$F$5:$F$300))/2)*История!$D$5:$D$300))&lt;=0,0,ROUND(K61/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61)*((История!$C$5:$C$300+История!$F$5:$F$300-ABS(История!$C$5:$C$300-История!$F$5:$F$300))/2)*История!$D$5:$D$300)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IF($B62="","",IF(SUMIFS('ИТОГО Торговля'!$C$5:$C$300,'ИТОГО Торговля'!$B$5:$B$300,$B62)+SUMIFS('ИТОГО Лэндинг'!$C$5:$C$300,'ИТОГО Лэндинг'!$B$5:$B$300,$B62)+SUMIFS('История'!$C$5:$C$300,'История'!$B$5:$B$300,$B62)=0,"",SUMIFS('ИТОГО Торговля'!$C$5:$C$300,'ИТОГО Торговля'!$B$5:$B$300,$B62)+SUMIFS('ИТОГО Лэндинг'!$C$5:$C$300,'ИТОГО Лэндинг'!$B$5:$B$300,$B62)+SUMIFS('История'!$C$5:$C$300,'История'!$B$5:$B$300,$B62)))</f>
        <v/>
      </c>
      <c r="D62" s="183">
        <f>IF(C62="","",E62/C62)</f>
        <v/>
      </c>
      <c r="E62" s="247">
        <f>IF(C62="","",SUMIFS('ИТОГО Торговля'!$E$5:$E$300,'ИТОГО Торговля'!$B$5:$B$300,$B62)+SUMIFS('ИТОГО Лэндинг'!$E$5:$E$300,'ИТОГО Лэндинг'!$B$5:$B$300,$B62)+SUMIFS('История'!$E$5:$E$300,'История'!$B$5:$B$300,$B62))</f>
        <v/>
      </c>
      <c r="F62" s="246">
        <f>IF($B62="","",IF(SUMIFS('ИТОГО Торговля'!$F$5:$F$300,'ИТОГО Торговля'!$B$5:$B$300,$B62)+SUMIFS('ИТОГО Лэндинг'!$F$5:$F$300,'ИТОГО Лэндинг'!$B$5:$B$300,$B62)+SUMIFS('История'!$F$5:$F$300,'История'!$B$5:$B$300,$B62)=0,"",SUMIFS('ИТОГО Торговля'!$F$5:$F$300,'ИТОГО Торговля'!$B$5:$B$300,$B62)+SUMIFS('ИТОГО Лэндинг'!$F$5:$F$300,'ИТОГО Лэндинг'!$B$5:$B$300,$B62)+SUMIFS('История'!$F$5:$F$300,'История'!$B$5:$B$300,$B62)))</f>
        <v/>
      </c>
      <c r="G62" s="183">
        <f>IF(F62="","",H62/F62)</f>
        <v/>
      </c>
      <c r="H62" s="247">
        <f>IF(F62="","",SUMIFS('ИТОГО Торговля'!$H$5:$H$300,'ИТОГО Торговля'!$B$5:$B$300,$B62)+SUMIFS('ИТОГО Лэндинг'!$H$5:$H$300,'ИТОГО Лэндинг'!$B$5:$B$300,$B62)+SUMIFS('История'!$H$5:$H$300,'История'!$B$5:$B$300,$B62))</f>
        <v/>
      </c>
      <c r="I62" s="246">
        <f>IF($B62="","",IF(AND(C62="",F62=""),"",ROUND(SUMIFS('ИТОГО Торговля'!$I$5:$I$300,'ИТОГО Торговля'!$B$5:$B$300,$B62)+SUMIFS('ИТОГО Лэндинг'!$I$5:$I$300,'ИТОГО Лэндинг'!$B$5:$B$300,$B62)+SUMIFS('История'!$I$5:$I$300,'История'!$B$5:$B$300,$B62),8)))</f>
        <v/>
      </c>
      <c r="J62" s="247">
        <f>IF($B62="","",IF(AND(C62="",F62=""),"",ROUND(SUMIFS('ИТОГО Торговля'!$J$5:$J$300,'ИТОГО Торговля'!$B$5:$B$300,$B62)+SUMIFS('ИТОГО Лэндинг'!$J$5:$J$300,'ИТОГО Лэндинг'!$B$5:$B$300,$B62)+SUMIFS('История'!$J$5:$J$300,'История'!$B$5:$B$300,$B62),8)))</f>
        <v/>
      </c>
      <c r="K62" s="246">
        <f>IF($B62="","",ROUND(SUMIFS('ИТОГО Торговля'!$K$5:$K$300,'ИТОГО Торговля'!$B$5:$B$300,$B62)+SUMIFS('ИТОГО Лэндинг'!$K$5:$K$300,'ИТОГО Лэндинг'!$B$5:$B$300,$B62)+SUMIFS('История'!$K$5:$K$300,'История'!$B$5:$B$300,$B62),8))</f>
        <v/>
      </c>
      <c r="L62" s="183">
        <f>IF(K62="","",IF(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62)*((История!$C$5:$C$300+История!$F$5:$F$300-ABS(История!$C$5:$C$300-История!$F$5:$F$300))/2)*История!$D$5:$D$300))&lt;=0,0,ROUND(K62/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62)*((История!$C$5:$C$300+История!$F$5:$F$300-ABS(История!$C$5:$C$300-История!$F$5:$F$300))/2)*История!$D$5:$D$300)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IF($B63="","",IF(SUMIFS('ИТОГО Торговля'!$C$5:$C$300,'ИТОГО Торговля'!$B$5:$B$300,$B63)+SUMIFS('ИТОГО Лэндинг'!$C$5:$C$300,'ИТОГО Лэндинг'!$B$5:$B$300,$B63)+SUMIFS('История'!$C$5:$C$300,'История'!$B$5:$B$300,$B63)=0,"",SUMIFS('ИТОГО Торговля'!$C$5:$C$300,'ИТОГО Торговля'!$B$5:$B$300,$B63)+SUMIFS('ИТОГО Лэндинг'!$C$5:$C$300,'ИТОГО Лэндинг'!$B$5:$B$300,$B63)+SUMIFS('История'!$C$5:$C$300,'История'!$B$5:$B$300,$B63)))</f>
        <v/>
      </c>
      <c r="D63" s="177">
        <f>IF(C63="","",E63/C63)</f>
        <v/>
      </c>
      <c r="E63" s="241">
        <f>IF(C63="","",SUMIFS('ИТОГО Торговля'!$E$5:$E$300,'ИТОГО Торговля'!$B$5:$B$300,$B63)+SUMIFS('ИТОГО Лэндинг'!$E$5:$E$300,'ИТОГО Лэндинг'!$B$5:$B$300,$B63)+SUMIFS('История'!$E$5:$E$300,'История'!$B$5:$B$300,$B63))</f>
        <v/>
      </c>
      <c r="F63" s="240">
        <f>IF($B63="","",IF(SUMIFS('ИТОГО Торговля'!$F$5:$F$300,'ИТОГО Торговля'!$B$5:$B$300,$B63)+SUMIFS('ИТОГО Лэндинг'!$F$5:$F$300,'ИТОГО Лэндинг'!$B$5:$B$300,$B63)+SUMIFS('История'!$F$5:$F$300,'История'!$B$5:$B$300,$B63)=0,"",SUMIFS('ИТОГО Торговля'!$F$5:$F$300,'ИТОГО Торговля'!$B$5:$B$300,$B63)+SUMIFS('ИТОГО Лэндинг'!$F$5:$F$300,'ИТОГО Лэндинг'!$B$5:$B$300,$B63)+SUMIFS('История'!$F$5:$F$300,'История'!$B$5:$B$300,$B63)))</f>
        <v/>
      </c>
      <c r="G63" s="177">
        <f>IF(F63="","",H63/F63)</f>
        <v/>
      </c>
      <c r="H63" s="241">
        <f>IF(F63="","",SUMIFS('ИТОГО Торговля'!$H$5:$H$300,'ИТОГО Торговля'!$B$5:$B$300,$B63)+SUMIFS('ИТОГО Лэндинг'!$H$5:$H$300,'ИТОГО Лэндинг'!$B$5:$B$300,$B63)+SUMIFS('История'!$H$5:$H$300,'История'!$B$5:$B$300,$B63))</f>
        <v/>
      </c>
      <c r="I63" s="240">
        <f>IF($B63="","",IF(AND(C63="",F63=""),"",ROUND(SUMIFS('ИТОГО Торговля'!$I$5:$I$300,'ИТОГО Торговля'!$B$5:$B$300,$B63)+SUMIFS('ИТОГО Лэндинг'!$I$5:$I$300,'ИТОГО Лэндинг'!$B$5:$B$300,$B63)+SUMIFS('История'!$I$5:$I$300,'История'!$B$5:$B$300,$B63),8)))</f>
        <v/>
      </c>
      <c r="J63" s="241">
        <f>IF($B63="","",IF(AND(C63="",F63=""),"",ROUND(SUMIFS('ИТОГО Торговля'!$J$5:$J$300,'ИТОГО Торговля'!$B$5:$B$300,$B63)+SUMIFS('ИТОГО Лэндинг'!$J$5:$J$300,'ИТОГО Лэндинг'!$B$5:$B$300,$B63)+SUMIFS('История'!$J$5:$J$300,'История'!$B$5:$B$300,$B63),8)))</f>
        <v/>
      </c>
      <c r="K63" s="240">
        <f>IF($B63="","",ROUND(SUMIFS('ИТОГО Торговля'!$K$5:$K$300,'ИТОГО Торговля'!$B$5:$B$300,$B63)+SUMIFS('ИТОГО Лэндинг'!$K$5:$K$300,'ИТОГО Лэндинг'!$B$5:$B$300,$B63)+SUMIFS('История'!$K$5:$K$300,'История'!$B$5:$B$300,$B63),8))</f>
        <v/>
      </c>
      <c r="L63" s="177">
        <f>IF(K63="","",IF(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63)*((История!$C$5:$C$300+История!$F$5:$F$300-ABS(История!$C$5:$C$300-История!$F$5:$F$300))/2)*История!$D$5:$D$300))&lt;=0,0,ROUND(K63/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63)*((История!$C$5:$C$300+История!$F$5:$F$300-ABS(История!$C$5:$C$300-История!$F$5:$F$300))/2)*История!$D$5:$D$300)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IF($B64="","",IF(SUMIFS('ИТОГО Торговля'!$C$5:$C$300,'ИТОГО Торговля'!$B$5:$B$300,$B64)+SUMIFS('ИТОГО Лэндинг'!$C$5:$C$300,'ИТОГО Лэндинг'!$B$5:$B$300,$B64)+SUMIFS('История'!$C$5:$C$300,'История'!$B$5:$B$300,$B64)=0,"",SUMIFS('ИТОГО Торговля'!$C$5:$C$300,'ИТОГО Торговля'!$B$5:$B$300,$B64)+SUMIFS('ИТОГО Лэндинг'!$C$5:$C$300,'ИТОГО Лэндинг'!$B$5:$B$300,$B64)+SUMIFS('История'!$C$5:$C$300,'История'!$B$5:$B$300,$B64)))</f>
        <v/>
      </c>
      <c r="D64" s="183">
        <f>IF(C64="","",E64/C64)</f>
        <v/>
      </c>
      <c r="E64" s="247">
        <f>IF(C64="","",SUMIFS('ИТОГО Торговля'!$E$5:$E$300,'ИТОГО Торговля'!$B$5:$B$300,$B64)+SUMIFS('ИТОГО Лэндинг'!$E$5:$E$300,'ИТОГО Лэндинг'!$B$5:$B$300,$B64)+SUMIFS('История'!$E$5:$E$300,'История'!$B$5:$B$300,$B64))</f>
        <v/>
      </c>
      <c r="F64" s="246">
        <f>IF($B64="","",IF(SUMIFS('ИТОГО Торговля'!$F$5:$F$300,'ИТОГО Торговля'!$B$5:$B$300,$B64)+SUMIFS('ИТОГО Лэндинг'!$F$5:$F$300,'ИТОГО Лэндинг'!$B$5:$B$300,$B64)+SUMIFS('История'!$F$5:$F$300,'История'!$B$5:$B$300,$B64)=0,"",SUMIFS('ИТОГО Торговля'!$F$5:$F$300,'ИТОГО Торговля'!$B$5:$B$300,$B64)+SUMIFS('ИТОГО Лэндинг'!$F$5:$F$300,'ИТОГО Лэндинг'!$B$5:$B$300,$B64)+SUMIFS('История'!$F$5:$F$300,'История'!$B$5:$B$300,$B64)))</f>
        <v/>
      </c>
      <c r="G64" s="183">
        <f>IF(F64="","",H64/F64)</f>
        <v/>
      </c>
      <c r="H64" s="247">
        <f>IF(F64="","",SUMIFS('ИТОГО Торговля'!$H$5:$H$300,'ИТОГО Торговля'!$B$5:$B$300,$B64)+SUMIFS('ИТОГО Лэндинг'!$H$5:$H$300,'ИТОГО Лэндинг'!$B$5:$B$300,$B64)+SUMIFS('История'!$H$5:$H$300,'История'!$B$5:$B$300,$B64))</f>
        <v/>
      </c>
      <c r="I64" s="246">
        <f>IF($B64="","",IF(AND(C64="",F64=""),"",ROUND(SUMIFS('ИТОГО Торговля'!$I$5:$I$300,'ИТОГО Торговля'!$B$5:$B$300,$B64)+SUMIFS('ИТОГО Лэндинг'!$I$5:$I$300,'ИТОГО Лэндинг'!$B$5:$B$300,$B64)+SUMIFS('История'!$I$5:$I$300,'История'!$B$5:$B$300,$B64),8)))</f>
        <v/>
      </c>
      <c r="J64" s="247">
        <f>IF($B64="","",IF(AND(C64="",F64=""),"",ROUND(SUMIFS('ИТОГО Торговля'!$J$5:$J$300,'ИТОГО Торговля'!$B$5:$B$300,$B64)+SUMIFS('ИТОГО Лэндинг'!$J$5:$J$300,'ИТОГО Лэндинг'!$B$5:$B$300,$B64)+SUMIFS('История'!$J$5:$J$300,'История'!$B$5:$B$300,$B64),8)))</f>
        <v/>
      </c>
      <c r="K64" s="246">
        <f>IF($B64="","",ROUND(SUMIFS('ИТОГО Торговля'!$K$5:$K$300,'ИТОГО Торговля'!$B$5:$B$300,$B64)+SUMIFS('ИТОГО Лэндинг'!$K$5:$K$300,'ИТОГО Лэндинг'!$B$5:$B$300,$B64)+SUMIFS('История'!$K$5:$K$300,'История'!$B$5:$B$300,$B64),8))</f>
        <v/>
      </c>
      <c r="L64" s="183">
        <f>IF(K64="","",IF(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64)*((История!$C$5:$C$300+История!$F$5:$F$300-ABS(История!$C$5:$C$300-История!$F$5:$F$300))/2)*История!$D$5:$D$300))&lt;=0,0,ROUND(K64/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64)*((История!$C$5:$C$300+История!$F$5:$F$300-ABS(История!$C$5:$C$300-История!$F$5:$F$300))/2)*История!$D$5:$D$300)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IF($B65="","",IF(SUMIFS('ИТОГО Торговля'!$C$5:$C$300,'ИТОГО Торговля'!$B$5:$B$300,$B65)+SUMIFS('ИТОГО Лэндинг'!$C$5:$C$300,'ИТОГО Лэндинг'!$B$5:$B$300,$B65)+SUMIFS('История'!$C$5:$C$300,'История'!$B$5:$B$300,$B65)=0,"",SUMIFS('ИТОГО Торговля'!$C$5:$C$300,'ИТОГО Торговля'!$B$5:$B$300,$B65)+SUMIFS('ИТОГО Лэндинг'!$C$5:$C$300,'ИТОГО Лэндинг'!$B$5:$B$300,$B65)+SUMIFS('История'!$C$5:$C$300,'История'!$B$5:$B$300,$B65)))</f>
        <v/>
      </c>
      <c r="D65" s="177">
        <f>IF(C65="","",E65/C65)</f>
        <v/>
      </c>
      <c r="E65" s="241">
        <f>IF(C65="","",SUMIFS('ИТОГО Торговля'!$E$5:$E$300,'ИТОГО Торговля'!$B$5:$B$300,$B65)+SUMIFS('ИТОГО Лэндинг'!$E$5:$E$300,'ИТОГО Лэндинг'!$B$5:$B$300,$B65)+SUMIFS('История'!$E$5:$E$300,'История'!$B$5:$B$300,$B65))</f>
        <v/>
      </c>
      <c r="F65" s="240">
        <f>IF($B65="","",IF(SUMIFS('ИТОГО Торговля'!$F$5:$F$300,'ИТОГО Торговля'!$B$5:$B$300,$B65)+SUMIFS('ИТОГО Лэндинг'!$F$5:$F$300,'ИТОГО Лэндинг'!$B$5:$B$300,$B65)+SUMIFS('История'!$F$5:$F$300,'История'!$B$5:$B$300,$B65)=0,"",SUMIFS('ИТОГО Торговля'!$F$5:$F$300,'ИТОГО Торговля'!$B$5:$B$300,$B65)+SUMIFS('ИТОГО Лэндинг'!$F$5:$F$300,'ИТОГО Лэндинг'!$B$5:$B$300,$B65)+SUMIFS('История'!$F$5:$F$300,'История'!$B$5:$B$300,$B65)))</f>
        <v/>
      </c>
      <c r="G65" s="177">
        <f>IF(F65="","",H65/F65)</f>
        <v/>
      </c>
      <c r="H65" s="241">
        <f>IF(F65="","",SUMIFS('ИТОГО Торговля'!$H$5:$H$300,'ИТОГО Торговля'!$B$5:$B$300,$B65)+SUMIFS('ИТОГО Лэндинг'!$H$5:$H$300,'ИТОГО Лэндинг'!$B$5:$B$300,$B65)+SUMIFS('История'!$H$5:$H$300,'История'!$B$5:$B$300,$B65))</f>
        <v/>
      </c>
      <c r="I65" s="240">
        <f>IF($B65="","",IF(AND(C65="",F65=""),"",ROUND(SUMIFS('ИТОГО Торговля'!$I$5:$I$300,'ИТОГО Торговля'!$B$5:$B$300,$B65)+SUMIFS('ИТОГО Лэндинг'!$I$5:$I$300,'ИТОГО Лэндинг'!$B$5:$B$300,$B65)+SUMIFS('История'!$I$5:$I$300,'История'!$B$5:$B$300,$B65),8)))</f>
        <v/>
      </c>
      <c r="J65" s="241">
        <f>IF($B65="","",IF(AND(C65="",F65=""),"",ROUND(SUMIFS('ИТОГО Торговля'!$J$5:$J$300,'ИТОГО Торговля'!$B$5:$B$300,$B65)+SUMIFS('ИТОГО Лэндинг'!$J$5:$J$300,'ИТОГО Лэндинг'!$B$5:$B$300,$B65)+SUMIFS('История'!$J$5:$J$300,'История'!$B$5:$B$300,$B65),8)))</f>
        <v/>
      </c>
      <c r="K65" s="240">
        <f>IF($B65="","",ROUND(SUMIFS('ИТОГО Торговля'!$K$5:$K$300,'ИТОГО Торговля'!$B$5:$B$300,$B65)+SUMIFS('ИТОГО Лэндинг'!$K$5:$K$300,'ИТОГО Лэндинг'!$B$5:$B$300,$B65)+SUMIFS('История'!$K$5:$K$300,'История'!$B$5:$B$300,$B65),8))</f>
        <v/>
      </c>
      <c r="L65" s="177">
        <f>IF(K65="","",IF(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65)*((История!$C$5:$C$300+История!$F$5:$F$300-ABS(История!$C$5:$C$300-История!$F$5:$F$300))/2)*История!$D$5:$D$300))&lt;=0,0,ROUND(K65/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65)*((История!$C$5:$C$300+История!$F$5:$F$300-ABS(История!$C$5:$C$300-История!$F$5:$F$300))/2)*История!$D$5:$D$300)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IF($B66="","",IF(SUMIFS('ИТОГО Торговля'!$C$5:$C$300,'ИТОГО Торговля'!$B$5:$B$300,$B66)+SUMIFS('ИТОГО Лэндинг'!$C$5:$C$300,'ИТОГО Лэндинг'!$B$5:$B$300,$B66)+SUMIFS('История'!$C$5:$C$300,'История'!$B$5:$B$300,$B66)=0,"",SUMIFS('ИТОГО Торговля'!$C$5:$C$300,'ИТОГО Торговля'!$B$5:$B$300,$B66)+SUMIFS('ИТОГО Лэндинг'!$C$5:$C$300,'ИТОГО Лэндинг'!$B$5:$B$300,$B66)+SUMIFS('История'!$C$5:$C$300,'История'!$B$5:$B$300,$B66)))</f>
        <v/>
      </c>
      <c r="D66" s="183">
        <f>IF(C66="","",E66/C66)</f>
        <v/>
      </c>
      <c r="E66" s="247">
        <f>IF(C66="","",SUMIFS('ИТОГО Торговля'!$E$5:$E$300,'ИТОГО Торговля'!$B$5:$B$300,$B66)+SUMIFS('ИТОГО Лэндинг'!$E$5:$E$300,'ИТОГО Лэндинг'!$B$5:$B$300,$B66)+SUMIFS('История'!$E$5:$E$300,'История'!$B$5:$B$300,$B66))</f>
        <v/>
      </c>
      <c r="F66" s="246">
        <f>IF($B66="","",IF(SUMIFS('ИТОГО Торговля'!$F$5:$F$300,'ИТОГО Торговля'!$B$5:$B$300,$B66)+SUMIFS('ИТОГО Лэндинг'!$F$5:$F$300,'ИТОГО Лэндинг'!$B$5:$B$300,$B66)+SUMIFS('История'!$F$5:$F$300,'История'!$B$5:$B$300,$B66)=0,"",SUMIFS('ИТОГО Торговля'!$F$5:$F$300,'ИТОГО Торговля'!$B$5:$B$300,$B66)+SUMIFS('ИТОГО Лэндинг'!$F$5:$F$300,'ИТОГО Лэндинг'!$B$5:$B$300,$B66)+SUMIFS('История'!$F$5:$F$300,'История'!$B$5:$B$300,$B66)))</f>
        <v/>
      </c>
      <c r="G66" s="183">
        <f>IF(F66="","",H66/F66)</f>
        <v/>
      </c>
      <c r="H66" s="247">
        <f>IF(F66="","",SUMIFS('ИТОГО Торговля'!$H$5:$H$300,'ИТОГО Торговля'!$B$5:$B$300,$B66)+SUMIFS('ИТОГО Лэндинг'!$H$5:$H$300,'ИТОГО Лэндинг'!$B$5:$B$300,$B66)+SUMIFS('История'!$H$5:$H$300,'История'!$B$5:$B$300,$B66))</f>
        <v/>
      </c>
      <c r="I66" s="246">
        <f>IF($B66="","",IF(AND(C66="",F66=""),"",ROUND(SUMIFS('ИТОГО Торговля'!$I$5:$I$300,'ИТОГО Торговля'!$B$5:$B$300,$B66)+SUMIFS('ИТОГО Лэндинг'!$I$5:$I$300,'ИТОГО Лэндинг'!$B$5:$B$300,$B66)+SUMIFS('История'!$I$5:$I$300,'История'!$B$5:$B$300,$B66),8)))</f>
        <v/>
      </c>
      <c r="J66" s="247">
        <f>IF($B66="","",IF(AND(C66="",F66=""),"",ROUND(SUMIFS('ИТОГО Торговля'!$J$5:$J$300,'ИТОГО Торговля'!$B$5:$B$300,$B66)+SUMIFS('ИТОГО Лэндинг'!$J$5:$J$300,'ИТОГО Лэндинг'!$B$5:$B$300,$B66)+SUMIFS('История'!$J$5:$J$300,'История'!$B$5:$B$300,$B66),8)))</f>
        <v/>
      </c>
      <c r="K66" s="246">
        <f>IF($B66="","",ROUND(SUMIFS('ИТОГО Торговля'!$K$5:$K$300,'ИТОГО Торговля'!$B$5:$B$300,$B66)+SUMIFS('ИТОГО Лэндинг'!$K$5:$K$300,'ИТОГО Лэндинг'!$B$5:$B$300,$B66)+SUMIFS('История'!$K$5:$K$300,'История'!$B$5:$B$300,$B66),8))</f>
        <v/>
      </c>
      <c r="L66" s="183">
        <f>IF(K66="","",IF(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66)*((История!$C$5:$C$300+История!$F$5:$F$300-ABS(История!$C$5:$C$300-История!$F$5:$F$300))/2)*История!$D$5:$D$300))&lt;=0,0,ROUND(K66/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66)*((История!$C$5:$C$300+История!$F$5:$F$300-ABS(История!$C$5:$C$300-История!$F$5:$F$300))/2)*История!$D$5:$D$300)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IF($B67="","",IF(SUMIFS('ИТОГО Торговля'!$C$5:$C$300,'ИТОГО Торговля'!$B$5:$B$300,$B67)+SUMIFS('ИТОГО Лэндинг'!$C$5:$C$300,'ИТОГО Лэндинг'!$B$5:$B$300,$B67)+SUMIFS('История'!$C$5:$C$300,'История'!$B$5:$B$300,$B67)=0,"",SUMIFS('ИТОГО Торговля'!$C$5:$C$300,'ИТОГО Торговля'!$B$5:$B$300,$B67)+SUMIFS('ИТОГО Лэндинг'!$C$5:$C$300,'ИТОГО Лэндинг'!$B$5:$B$300,$B67)+SUMIFS('История'!$C$5:$C$300,'История'!$B$5:$B$300,$B67)))</f>
        <v/>
      </c>
      <c r="D67" s="177">
        <f>IF(C67="","",E67/C67)</f>
        <v/>
      </c>
      <c r="E67" s="241">
        <f>IF(C67="","",SUMIFS('ИТОГО Торговля'!$E$5:$E$300,'ИТОГО Торговля'!$B$5:$B$300,$B67)+SUMIFS('ИТОГО Лэндинг'!$E$5:$E$300,'ИТОГО Лэндинг'!$B$5:$B$300,$B67)+SUMIFS('История'!$E$5:$E$300,'История'!$B$5:$B$300,$B67))</f>
        <v/>
      </c>
      <c r="F67" s="240">
        <f>IF($B67="","",IF(SUMIFS('ИТОГО Торговля'!$F$5:$F$300,'ИТОГО Торговля'!$B$5:$B$300,$B67)+SUMIFS('ИТОГО Лэндинг'!$F$5:$F$300,'ИТОГО Лэндинг'!$B$5:$B$300,$B67)+SUMIFS('История'!$F$5:$F$300,'История'!$B$5:$B$300,$B67)=0,"",SUMIFS('ИТОГО Торговля'!$F$5:$F$300,'ИТОГО Торговля'!$B$5:$B$300,$B67)+SUMIFS('ИТОГО Лэндинг'!$F$5:$F$300,'ИТОГО Лэндинг'!$B$5:$B$300,$B67)+SUMIFS('История'!$F$5:$F$300,'История'!$B$5:$B$300,$B67)))</f>
        <v/>
      </c>
      <c r="G67" s="177">
        <f>IF(F67="","",H67/F67)</f>
        <v/>
      </c>
      <c r="H67" s="241">
        <f>IF(F67="","",SUMIFS('ИТОГО Торговля'!$H$5:$H$300,'ИТОГО Торговля'!$B$5:$B$300,$B67)+SUMIFS('ИТОГО Лэндинг'!$H$5:$H$300,'ИТОГО Лэндинг'!$B$5:$B$300,$B67)+SUMIFS('История'!$H$5:$H$300,'История'!$B$5:$B$300,$B67))</f>
        <v/>
      </c>
      <c r="I67" s="240">
        <f>IF($B67="","",IF(AND(C67="",F67=""),"",ROUND(SUMIFS('ИТОГО Торговля'!$I$5:$I$300,'ИТОГО Торговля'!$B$5:$B$300,$B67)+SUMIFS('ИТОГО Лэндинг'!$I$5:$I$300,'ИТОГО Лэндинг'!$B$5:$B$300,$B67)+SUMIFS('История'!$I$5:$I$300,'История'!$B$5:$B$300,$B67),8)))</f>
        <v/>
      </c>
      <c r="J67" s="241">
        <f>IF($B67="","",IF(AND(C67="",F67=""),"",ROUND(SUMIFS('ИТОГО Торговля'!$J$5:$J$300,'ИТОГО Торговля'!$B$5:$B$300,$B67)+SUMIFS('ИТОГО Лэндинг'!$J$5:$J$300,'ИТОГО Лэндинг'!$B$5:$B$300,$B67)+SUMIFS('История'!$J$5:$J$300,'История'!$B$5:$B$300,$B67),8)))</f>
        <v/>
      </c>
      <c r="K67" s="240">
        <f>IF($B67="","",ROUND(SUMIFS('ИТОГО Торговля'!$K$5:$K$300,'ИТОГО Торговля'!$B$5:$B$300,$B67)+SUMIFS('ИТОГО Лэндинг'!$K$5:$K$300,'ИТОГО Лэндинг'!$B$5:$B$300,$B67)+SUMIFS('История'!$K$5:$K$300,'История'!$B$5:$B$300,$B67),8))</f>
        <v/>
      </c>
      <c r="L67" s="177">
        <f>IF(K67="","",IF(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67)*((История!$C$5:$C$300+История!$F$5:$F$300-ABS(История!$C$5:$C$300-История!$F$5:$F$300))/2)*История!$D$5:$D$300))&lt;=0,0,ROUND(K67/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67)*((История!$C$5:$C$300+История!$F$5:$F$300-ABS(История!$C$5:$C$300-История!$F$5:$F$300))/2)*История!$D$5:$D$300)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IF($B68="","",IF(SUMIFS('ИТОГО Торговля'!$C$5:$C$300,'ИТОГО Торговля'!$B$5:$B$300,$B68)+SUMIFS('ИТОГО Лэндинг'!$C$5:$C$300,'ИТОГО Лэндинг'!$B$5:$B$300,$B68)+SUMIFS('История'!$C$5:$C$300,'История'!$B$5:$B$300,$B68)=0,"",SUMIFS('ИТОГО Торговля'!$C$5:$C$300,'ИТОГО Торговля'!$B$5:$B$300,$B68)+SUMIFS('ИТОГО Лэндинг'!$C$5:$C$300,'ИТОГО Лэндинг'!$B$5:$B$300,$B68)+SUMIFS('История'!$C$5:$C$300,'История'!$B$5:$B$300,$B68)))</f>
        <v/>
      </c>
      <c r="D68" s="183">
        <f>IF(C68="","",E68/C68)</f>
        <v/>
      </c>
      <c r="E68" s="247">
        <f>IF(C68="","",SUMIFS('ИТОГО Торговля'!$E$5:$E$300,'ИТОГО Торговля'!$B$5:$B$300,$B68)+SUMIFS('ИТОГО Лэндинг'!$E$5:$E$300,'ИТОГО Лэндинг'!$B$5:$B$300,$B68)+SUMIFS('История'!$E$5:$E$300,'История'!$B$5:$B$300,$B68))</f>
        <v/>
      </c>
      <c r="F68" s="246">
        <f>IF($B68="","",IF(SUMIFS('ИТОГО Торговля'!$F$5:$F$300,'ИТОГО Торговля'!$B$5:$B$300,$B68)+SUMIFS('ИТОГО Лэндинг'!$F$5:$F$300,'ИТОГО Лэндинг'!$B$5:$B$300,$B68)+SUMIFS('История'!$F$5:$F$300,'История'!$B$5:$B$300,$B68)=0,"",SUMIFS('ИТОГО Торговля'!$F$5:$F$300,'ИТОГО Торговля'!$B$5:$B$300,$B68)+SUMIFS('ИТОГО Лэндинг'!$F$5:$F$300,'ИТОГО Лэндинг'!$B$5:$B$300,$B68)+SUMIFS('История'!$F$5:$F$300,'История'!$B$5:$B$300,$B68)))</f>
        <v/>
      </c>
      <c r="G68" s="183">
        <f>IF(F68="","",H68/F68)</f>
        <v/>
      </c>
      <c r="H68" s="247">
        <f>IF(F68="","",SUMIFS('ИТОГО Торговля'!$H$5:$H$300,'ИТОГО Торговля'!$B$5:$B$300,$B68)+SUMIFS('ИТОГО Лэндинг'!$H$5:$H$300,'ИТОГО Лэндинг'!$B$5:$B$300,$B68)+SUMIFS('История'!$H$5:$H$300,'История'!$B$5:$B$300,$B68))</f>
        <v/>
      </c>
      <c r="I68" s="246">
        <f>IF($B68="","",IF(AND(C68="",F68=""),"",ROUND(SUMIFS('ИТОГО Торговля'!$I$5:$I$300,'ИТОГО Торговля'!$B$5:$B$300,$B68)+SUMIFS('ИТОГО Лэндинг'!$I$5:$I$300,'ИТОГО Лэндинг'!$B$5:$B$300,$B68)+SUMIFS('История'!$I$5:$I$300,'История'!$B$5:$B$300,$B68),8)))</f>
        <v/>
      </c>
      <c r="J68" s="247">
        <f>IF($B68="","",IF(AND(C68="",F68=""),"",ROUND(SUMIFS('ИТОГО Торговля'!$J$5:$J$300,'ИТОГО Торговля'!$B$5:$B$300,$B68)+SUMIFS('ИТОГО Лэндинг'!$J$5:$J$300,'ИТОГО Лэндинг'!$B$5:$B$300,$B68)+SUMIFS('История'!$J$5:$J$300,'История'!$B$5:$B$300,$B68),8)))</f>
        <v/>
      </c>
      <c r="K68" s="246">
        <f>IF($B68="","",ROUND(SUMIFS('ИТОГО Торговля'!$K$5:$K$300,'ИТОГО Торговля'!$B$5:$B$300,$B68)+SUMIFS('ИТОГО Лэндинг'!$K$5:$K$300,'ИТОГО Лэндинг'!$B$5:$B$300,$B68)+SUMIFS('История'!$K$5:$K$300,'История'!$B$5:$B$300,$B68),8))</f>
        <v/>
      </c>
      <c r="L68" s="183">
        <f>IF(K68="","",IF(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68)*((История!$C$5:$C$300+История!$F$5:$F$300-ABS(История!$C$5:$C$300-История!$F$5:$F$300))/2)*История!$D$5:$D$300))&lt;=0,0,ROUND(K68/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68)*((История!$C$5:$C$300+История!$F$5:$F$300-ABS(История!$C$5:$C$300-История!$F$5:$F$300))/2)*История!$D$5:$D$300)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IF($B69="","",IF(SUMIFS('ИТОГО Торговля'!$C$5:$C$300,'ИТОГО Торговля'!$B$5:$B$300,$B69)+SUMIFS('ИТОГО Лэндинг'!$C$5:$C$300,'ИТОГО Лэндинг'!$B$5:$B$300,$B69)+SUMIFS('История'!$C$5:$C$300,'История'!$B$5:$B$300,$B69)=0,"",SUMIFS('ИТОГО Торговля'!$C$5:$C$300,'ИТОГО Торговля'!$B$5:$B$300,$B69)+SUMIFS('ИТОГО Лэндинг'!$C$5:$C$300,'ИТОГО Лэндинг'!$B$5:$B$300,$B69)+SUMIFS('История'!$C$5:$C$300,'История'!$B$5:$B$300,$B69)))</f>
        <v/>
      </c>
      <c r="D69" s="177">
        <f>IF(C69="","",E69/C69)</f>
        <v/>
      </c>
      <c r="E69" s="241">
        <f>IF(C69="","",SUMIFS('ИТОГО Торговля'!$E$5:$E$300,'ИТОГО Торговля'!$B$5:$B$300,$B69)+SUMIFS('ИТОГО Лэндинг'!$E$5:$E$300,'ИТОГО Лэндинг'!$B$5:$B$300,$B69)+SUMIFS('История'!$E$5:$E$300,'История'!$B$5:$B$300,$B69))</f>
        <v/>
      </c>
      <c r="F69" s="240">
        <f>IF($B69="","",IF(SUMIFS('ИТОГО Торговля'!$F$5:$F$300,'ИТОГО Торговля'!$B$5:$B$300,$B69)+SUMIFS('ИТОГО Лэндинг'!$F$5:$F$300,'ИТОГО Лэндинг'!$B$5:$B$300,$B69)+SUMIFS('История'!$F$5:$F$300,'История'!$B$5:$B$300,$B69)=0,"",SUMIFS('ИТОГО Торговля'!$F$5:$F$300,'ИТОГО Торговля'!$B$5:$B$300,$B69)+SUMIFS('ИТОГО Лэндинг'!$F$5:$F$300,'ИТОГО Лэндинг'!$B$5:$B$300,$B69)+SUMIFS('История'!$F$5:$F$300,'История'!$B$5:$B$300,$B69)))</f>
        <v/>
      </c>
      <c r="G69" s="177">
        <f>IF(F69="","",H69/F69)</f>
        <v/>
      </c>
      <c r="H69" s="241">
        <f>IF(F69="","",SUMIFS('ИТОГО Торговля'!$H$5:$H$300,'ИТОГО Торговля'!$B$5:$B$300,$B69)+SUMIFS('ИТОГО Лэндинг'!$H$5:$H$300,'ИТОГО Лэндинг'!$B$5:$B$300,$B69)+SUMIFS('История'!$H$5:$H$300,'История'!$B$5:$B$300,$B69))</f>
        <v/>
      </c>
      <c r="I69" s="240">
        <f>IF($B69="","",IF(AND(C69="",F69=""),"",ROUND(SUMIFS('ИТОГО Торговля'!$I$5:$I$300,'ИТОГО Торговля'!$B$5:$B$300,$B69)+SUMIFS('ИТОГО Лэндинг'!$I$5:$I$300,'ИТОГО Лэндинг'!$B$5:$B$300,$B69)+SUMIFS('История'!$I$5:$I$300,'История'!$B$5:$B$300,$B69),8)))</f>
        <v/>
      </c>
      <c r="J69" s="241">
        <f>IF($B69="","",IF(AND(C69="",F69=""),"",ROUND(SUMIFS('ИТОГО Торговля'!$J$5:$J$300,'ИТОГО Торговля'!$B$5:$B$300,$B69)+SUMIFS('ИТОГО Лэндинг'!$J$5:$J$300,'ИТОГО Лэндинг'!$B$5:$B$300,$B69)+SUMIFS('История'!$J$5:$J$300,'История'!$B$5:$B$300,$B69),8)))</f>
        <v/>
      </c>
      <c r="K69" s="240">
        <f>IF($B69="","",ROUND(SUMIFS('ИТОГО Торговля'!$K$5:$K$300,'ИТОГО Торговля'!$B$5:$B$300,$B69)+SUMIFS('ИТОГО Лэндинг'!$K$5:$K$300,'ИТОГО Лэндинг'!$B$5:$B$300,$B69)+SUMIFS('История'!$K$5:$K$300,'История'!$B$5:$B$300,$B69),8))</f>
        <v/>
      </c>
      <c r="L69" s="177">
        <f>IF(K69="","",IF(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69)*((История!$C$5:$C$300+История!$F$5:$F$300-ABS(История!$C$5:$C$300-История!$F$5:$F$300))/2)*История!$D$5:$D$300))&lt;=0,0,ROUND(K69/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69)*((История!$C$5:$C$300+История!$F$5:$F$300-ABS(История!$C$5:$C$300-История!$F$5:$F$300))/2)*История!$D$5:$D$300)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IF($B70="","",IF(SUMIFS('ИТОГО Торговля'!$C$5:$C$300,'ИТОГО Торговля'!$B$5:$B$300,$B70)+SUMIFS('ИТОГО Лэндинг'!$C$5:$C$300,'ИТОГО Лэндинг'!$B$5:$B$300,$B70)+SUMIFS('История'!$C$5:$C$300,'История'!$B$5:$B$300,$B70)=0,"",SUMIFS('ИТОГО Торговля'!$C$5:$C$300,'ИТОГО Торговля'!$B$5:$B$300,$B70)+SUMIFS('ИТОГО Лэндинг'!$C$5:$C$300,'ИТОГО Лэндинг'!$B$5:$B$300,$B70)+SUMIFS('История'!$C$5:$C$300,'История'!$B$5:$B$300,$B70)))</f>
        <v/>
      </c>
      <c r="D70" s="183">
        <f>IF(C70="","",E70/C70)</f>
        <v/>
      </c>
      <c r="E70" s="247">
        <f>IF(C70="","",SUMIFS('ИТОГО Торговля'!$E$5:$E$300,'ИТОГО Торговля'!$B$5:$B$300,$B70)+SUMIFS('ИТОГО Лэндинг'!$E$5:$E$300,'ИТОГО Лэндинг'!$B$5:$B$300,$B70)+SUMIFS('История'!$E$5:$E$300,'История'!$B$5:$B$300,$B70))</f>
        <v/>
      </c>
      <c r="F70" s="246">
        <f>IF($B70="","",IF(SUMIFS('ИТОГО Торговля'!$F$5:$F$300,'ИТОГО Торговля'!$B$5:$B$300,$B70)+SUMIFS('ИТОГО Лэндинг'!$F$5:$F$300,'ИТОГО Лэндинг'!$B$5:$B$300,$B70)+SUMIFS('История'!$F$5:$F$300,'История'!$B$5:$B$300,$B70)=0,"",SUMIFS('ИТОГО Торговля'!$F$5:$F$300,'ИТОГО Торговля'!$B$5:$B$300,$B70)+SUMIFS('ИТОГО Лэндинг'!$F$5:$F$300,'ИТОГО Лэндинг'!$B$5:$B$300,$B70)+SUMIFS('История'!$F$5:$F$300,'История'!$B$5:$B$300,$B70)))</f>
        <v/>
      </c>
      <c r="G70" s="183">
        <f>IF(F70="","",H70/F70)</f>
        <v/>
      </c>
      <c r="H70" s="247">
        <f>IF(F70="","",SUMIFS('ИТОГО Торговля'!$H$5:$H$300,'ИТОГО Торговля'!$B$5:$B$300,$B70)+SUMIFS('ИТОГО Лэндинг'!$H$5:$H$300,'ИТОГО Лэндинг'!$B$5:$B$300,$B70)+SUMIFS('История'!$H$5:$H$300,'История'!$B$5:$B$300,$B70))</f>
        <v/>
      </c>
      <c r="I70" s="246">
        <f>IF($B70="","",IF(AND(C70="",F70=""),"",ROUND(SUMIFS('ИТОГО Торговля'!$I$5:$I$300,'ИТОГО Торговля'!$B$5:$B$300,$B70)+SUMIFS('ИТОГО Лэндинг'!$I$5:$I$300,'ИТОГО Лэндинг'!$B$5:$B$300,$B70)+SUMIFS('История'!$I$5:$I$300,'История'!$B$5:$B$300,$B70),8)))</f>
        <v/>
      </c>
      <c r="J70" s="247">
        <f>IF($B70="","",IF(AND(C70="",F70=""),"",ROUND(SUMIFS('ИТОГО Торговля'!$J$5:$J$300,'ИТОГО Торговля'!$B$5:$B$300,$B70)+SUMIFS('ИТОГО Лэндинг'!$J$5:$J$300,'ИТОГО Лэндинг'!$B$5:$B$300,$B70)+SUMIFS('История'!$J$5:$J$300,'История'!$B$5:$B$300,$B70),8)))</f>
        <v/>
      </c>
      <c r="K70" s="246">
        <f>IF($B70="","",ROUND(SUMIFS('ИТОГО Торговля'!$K$5:$K$300,'ИТОГО Торговля'!$B$5:$B$300,$B70)+SUMIFS('ИТОГО Лэндинг'!$K$5:$K$300,'ИТОГО Лэндинг'!$B$5:$B$300,$B70)+SUMIFS('История'!$K$5:$K$300,'История'!$B$5:$B$300,$B70),8))</f>
        <v/>
      </c>
      <c r="L70" s="183">
        <f>IF(K70="","",IF(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70)*((История!$C$5:$C$300+История!$F$5:$F$300-ABS(История!$C$5:$C$300-История!$F$5:$F$300))/2)*История!$D$5:$D$300))&lt;=0,0,ROUND(K70/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70)*((История!$C$5:$C$300+История!$F$5:$F$300-ABS(История!$C$5:$C$300-История!$F$5:$F$300))/2)*История!$D$5:$D$300)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IF($B71="","",IF(SUMIFS('ИТОГО Торговля'!$C$5:$C$300,'ИТОГО Торговля'!$B$5:$B$300,$B71)+SUMIFS('ИТОГО Лэндинг'!$C$5:$C$300,'ИТОГО Лэндинг'!$B$5:$B$300,$B71)+SUMIFS('История'!$C$5:$C$300,'История'!$B$5:$B$300,$B71)=0,"",SUMIFS('ИТОГО Торговля'!$C$5:$C$300,'ИТОГО Торговля'!$B$5:$B$300,$B71)+SUMIFS('ИТОГО Лэндинг'!$C$5:$C$300,'ИТОГО Лэндинг'!$B$5:$B$300,$B71)+SUMIFS('История'!$C$5:$C$300,'История'!$B$5:$B$300,$B71)))</f>
        <v/>
      </c>
      <c r="D71" s="177">
        <f>IF(C71="","",E71/C71)</f>
        <v/>
      </c>
      <c r="E71" s="241">
        <f>IF(C71="","",SUMIFS('ИТОГО Торговля'!$E$5:$E$300,'ИТОГО Торговля'!$B$5:$B$300,$B71)+SUMIFS('ИТОГО Лэндинг'!$E$5:$E$300,'ИТОГО Лэндинг'!$B$5:$B$300,$B71)+SUMIFS('История'!$E$5:$E$300,'История'!$B$5:$B$300,$B71))</f>
        <v/>
      </c>
      <c r="F71" s="240">
        <f>IF($B71="","",IF(SUMIFS('ИТОГО Торговля'!$F$5:$F$300,'ИТОГО Торговля'!$B$5:$B$300,$B71)+SUMIFS('ИТОГО Лэндинг'!$F$5:$F$300,'ИТОГО Лэндинг'!$B$5:$B$300,$B71)+SUMIFS('История'!$F$5:$F$300,'История'!$B$5:$B$300,$B71)=0,"",SUMIFS('ИТОГО Торговля'!$F$5:$F$300,'ИТОГО Торговля'!$B$5:$B$300,$B71)+SUMIFS('ИТОГО Лэндинг'!$F$5:$F$300,'ИТОГО Лэндинг'!$B$5:$B$300,$B71)+SUMIFS('История'!$F$5:$F$300,'История'!$B$5:$B$300,$B71)))</f>
        <v/>
      </c>
      <c r="G71" s="177">
        <f>IF(F71="","",H71/F71)</f>
        <v/>
      </c>
      <c r="H71" s="241">
        <f>IF(F71="","",SUMIFS('ИТОГО Торговля'!$H$5:$H$300,'ИТОГО Торговля'!$B$5:$B$300,$B71)+SUMIFS('ИТОГО Лэндинг'!$H$5:$H$300,'ИТОГО Лэндинг'!$B$5:$B$300,$B71)+SUMIFS('История'!$H$5:$H$300,'История'!$B$5:$B$300,$B71))</f>
        <v/>
      </c>
      <c r="I71" s="240">
        <f>IF($B71="","",IF(AND(C71="",F71=""),"",ROUND(SUMIFS('ИТОГО Торговля'!$I$5:$I$300,'ИТОГО Торговля'!$B$5:$B$300,$B71)+SUMIFS('ИТОГО Лэндинг'!$I$5:$I$300,'ИТОГО Лэндинг'!$B$5:$B$300,$B71)+SUMIFS('История'!$I$5:$I$300,'История'!$B$5:$B$300,$B71),8)))</f>
        <v/>
      </c>
      <c r="J71" s="241">
        <f>IF($B71="","",IF(AND(C71="",F71=""),"",ROUND(SUMIFS('ИТОГО Торговля'!$J$5:$J$300,'ИТОГО Торговля'!$B$5:$B$300,$B71)+SUMIFS('ИТОГО Лэндинг'!$J$5:$J$300,'ИТОГО Лэндинг'!$B$5:$B$300,$B71)+SUMIFS('История'!$J$5:$J$300,'История'!$B$5:$B$300,$B71),8)))</f>
        <v/>
      </c>
      <c r="K71" s="240">
        <f>IF($B71="","",ROUND(SUMIFS('ИТОГО Торговля'!$K$5:$K$300,'ИТОГО Торговля'!$B$5:$B$300,$B71)+SUMIFS('ИТОГО Лэндинг'!$K$5:$K$300,'ИТОГО Лэндинг'!$B$5:$B$300,$B71)+SUMIFS('История'!$K$5:$K$300,'История'!$B$5:$B$300,$B71),8))</f>
        <v/>
      </c>
      <c r="L71" s="177">
        <f>IF(K71="","",IF(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71)*((История!$C$5:$C$300+История!$F$5:$F$300-ABS(История!$C$5:$C$300-История!$F$5:$F$300))/2)*История!$D$5:$D$300))&lt;=0,0,ROUND(K71/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71)*((История!$C$5:$C$300+История!$F$5:$F$300-ABS(История!$C$5:$C$300-История!$F$5:$F$300))/2)*История!$D$5:$D$300)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IF($B72="","",IF(SUMIFS('ИТОГО Торговля'!$C$5:$C$300,'ИТОГО Торговля'!$B$5:$B$300,$B72)+SUMIFS('ИТОГО Лэндинг'!$C$5:$C$300,'ИТОГО Лэндинг'!$B$5:$B$300,$B72)+SUMIFS('История'!$C$5:$C$300,'История'!$B$5:$B$300,$B72)=0,"",SUMIFS('ИТОГО Торговля'!$C$5:$C$300,'ИТОГО Торговля'!$B$5:$B$300,$B72)+SUMIFS('ИТОГО Лэндинг'!$C$5:$C$300,'ИТОГО Лэндинг'!$B$5:$B$300,$B72)+SUMIFS('История'!$C$5:$C$300,'История'!$B$5:$B$300,$B72)))</f>
        <v/>
      </c>
      <c r="D72" s="183">
        <f>IF(C72="","",E72/C72)</f>
        <v/>
      </c>
      <c r="E72" s="247">
        <f>IF(C72="","",SUMIFS('ИТОГО Торговля'!$E$5:$E$300,'ИТОГО Торговля'!$B$5:$B$300,$B72)+SUMIFS('ИТОГО Лэндинг'!$E$5:$E$300,'ИТОГО Лэндинг'!$B$5:$B$300,$B72)+SUMIFS('История'!$E$5:$E$300,'История'!$B$5:$B$300,$B72))</f>
        <v/>
      </c>
      <c r="F72" s="246">
        <f>IF($B72="","",IF(SUMIFS('ИТОГО Торговля'!$F$5:$F$300,'ИТОГО Торговля'!$B$5:$B$300,$B72)+SUMIFS('ИТОГО Лэндинг'!$F$5:$F$300,'ИТОГО Лэндинг'!$B$5:$B$300,$B72)+SUMIFS('История'!$F$5:$F$300,'История'!$B$5:$B$300,$B72)=0,"",SUMIFS('ИТОГО Торговля'!$F$5:$F$300,'ИТОГО Торговля'!$B$5:$B$300,$B72)+SUMIFS('ИТОГО Лэндинг'!$F$5:$F$300,'ИТОГО Лэндинг'!$B$5:$B$300,$B72)+SUMIFS('История'!$F$5:$F$300,'История'!$B$5:$B$300,$B72)))</f>
        <v/>
      </c>
      <c r="G72" s="183">
        <f>IF(F72="","",H72/F72)</f>
        <v/>
      </c>
      <c r="H72" s="247">
        <f>IF(F72="","",SUMIFS('ИТОГО Торговля'!$H$5:$H$300,'ИТОГО Торговля'!$B$5:$B$300,$B72)+SUMIFS('ИТОГО Лэндинг'!$H$5:$H$300,'ИТОГО Лэндинг'!$B$5:$B$300,$B72)+SUMIFS('История'!$H$5:$H$300,'История'!$B$5:$B$300,$B72))</f>
        <v/>
      </c>
      <c r="I72" s="246">
        <f>IF($B72="","",IF(AND(C72="",F72=""),"",ROUND(SUMIFS('ИТОГО Торговля'!$I$5:$I$300,'ИТОГО Торговля'!$B$5:$B$300,$B72)+SUMIFS('ИТОГО Лэндинг'!$I$5:$I$300,'ИТОГО Лэндинг'!$B$5:$B$300,$B72)+SUMIFS('История'!$I$5:$I$300,'История'!$B$5:$B$300,$B72),8)))</f>
        <v/>
      </c>
      <c r="J72" s="247">
        <f>IF($B72="","",IF(AND(C72="",F72=""),"",ROUND(SUMIFS('ИТОГО Торговля'!$J$5:$J$300,'ИТОГО Торговля'!$B$5:$B$300,$B72)+SUMIFS('ИТОГО Лэндинг'!$J$5:$J$300,'ИТОГО Лэндинг'!$B$5:$B$300,$B72)+SUMIFS('История'!$J$5:$J$300,'История'!$B$5:$B$300,$B72),8)))</f>
        <v/>
      </c>
      <c r="K72" s="246">
        <f>IF($B72="","",ROUND(SUMIFS('ИТОГО Торговля'!$K$5:$K$300,'ИТОГО Торговля'!$B$5:$B$300,$B72)+SUMIFS('ИТОГО Лэндинг'!$K$5:$K$300,'ИТОГО Лэндинг'!$B$5:$B$300,$B72)+SUMIFS('История'!$K$5:$K$300,'История'!$B$5:$B$300,$B72),8))</f>
        <v/>
      </c>
      <c r="L72" s="183">
        <f>IF(K72="","",IF(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72)*((История!$C$5:$C$300+История!$F$5:$F$300-ABS(История!$C$5:$C$300-История!$F$5:$F$300))/2)*История!$D$5:$D$300))&lt;=0,0,ROUND(K72/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72)*((История!$C$5:$C$300+История!$F$5:$F$300-ABS(История!$C$5:$C$300-История!$F$5:$F$300))/2)*История!$D$5:$D$300)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IF($B73="","",IF(SUMIFS('ИТОГО Торговля'!$C$5:$C$300,'ИТОГО Торговля'!$B$5:$B$300,$B73)+SUMIFS('ИТОГО Лэндинг'!$C$5:$C$300,'ИТОГО Лэндинг'!$B$5:$B$300,$B73)+SUMIFS('История'!$C$5:$C$300,'История'!$B$5:$B$300,$B73)=0,"",SUMIFS('ИТОГО Торговля'!$C$5:$C$300,'ИТОГО Торговля'!$B$5:$B$300,$B73)+SUMIFS('ИТОГО Лэндинг'!$C$5:$C$300,'ИТОГО Лэндинг'!$B$5:$B$300,$B73)+SUMIFS('История'!$C$5:$C$300,'История'!$B$5:$B$300,$B73)))</f>
        <v/>
      </c>
      <c r="D73" s="177">
        <f>IF(C73="","",E73/C73)</f>
        <v/>
      </c>
      <c r="E73" s="241">
        <f>IF(C73="","",SUMIFS('ИТОГО Торговля'!$E$5:$E$300,'ИТОГО Торговля'!$B$5:$B$300,$B73)+SUMIFS('ИТОГО Лэндинг'!$E$5:$E$300,'ИТОГО Лэндинг'!$B$5:$B$300,$B73)+SUMIFS('История'!$E$5:$E$300,'История'!$B$5:$B$300,$B73))</f>
        <v/>
      </c>
      <c r="F73" s="240">
        <f>IF($B73="","",IF(SUMIFS('ИТОГО Торговля'!$F$5:$F$300,'ИТОГО Торговля'!$B$5:$B$300,$B73)+SUMIFS('ИТОГО Лэндинг'!$F$5:$F$300,'ИТОГО Лэндинг'!$B$5:$B$300,$B73)+SUMIFS('История'!$F$5:$F$300,'История'!$B$5:$B$300,$B73)=0,"",SUMIFS('ИТОГО Торговля'!$F$5:$F$300,'ИТОГО Торговля'!$B$5:$B$300,$B73)+SUMIFS('ИТОГО Лэндинг'!$F$5:$F$300,'ИТОГО Лэндинг'!$B$5:$B$300,$B73)+SUMIFS('История'!$F$5:$F$300,'История'!$B$5:$B$300,$B73)))</f>
        <v/>
      </c>
      <c r="G73" s="177">
        <f>IF(F73="","",H73/F73)</f>
        <v/>
      </c>
      <c r="H73" s="241">
        <f>IF(F73="","",SUMIFS('ИТОГО Торговля'!$H$5:$H$300,'ИТОГО Торговля'!$B$5:$B$300,$B73)+SUMIFS('ИТОГО Лэндинг'!$H$5:$H$300,'ИТОГО Лэндинг'!$B$5:$B$300,$B73)+SUMIFS('История'!$H$5:$H$300,'История'!$B$5:$B$300,$B73))</f>
        <v/>
      </c>
      <c r="I73" s="240">
        <f>IF($B73="","",IF(AND(C73="",F73=""),"",ROUND(SUMIFS('ИТОГО Торговля'!$I$5:$I$300,'ИТОГО Торговля'!$B$5:$B$300,$B73)+SUMIFS('ИТОГО Лэндинг'!$I$5:$I$300,'ИТОГО Лэндинг'!$B$5:$B$300,$B73)+SUMIFS('История'!$I$5:$I$300,'История'!$B$5:$B$300,$B73),8)))</f>
        <v/>
      </c>
      <c r="J73" s="241">
        <f>IF($B73="","",IF(AND(C73="",F73=""),"",ROUND(SUMIFS('ИТОГО Торговля'!$J$5:$J$300,'ИТОГО Торговля'!$B$5:$B$300,$B73)+SUMIFS('ИТОГО Лэндинг'!$J$5:$J$300,'ИТОГО Лэндинг'!$B$5:$B$300,$B73)+SUMIFS('История'!$J$5:$J$300,'История'!$B$5:$B$300,$B73),8)))</f>
        <v/>
      </c>
      <c r="K73" s="240">
        <f>IF($B73="","",ROUND(SUMIFS('ИТОГО Торговля'!$K$5:$K$300,'ИТОГО Торговля'!$B$5:$B$300,$B73)+SUMIFS('ИТОГО Лэндинг'!$K$5:$K$300,'ИТОГО Лэндинг'!$B$5:$B$300,$B73)+SUMIFS('История'!$K$5:$K$300,'История'!$B$5:$B$300,$B73),8))</f>
        <v/>
      </c>
      <c r="L73" s="177">
        <f>IF(K73="","",IF(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73)*((История!$C$5:$C$300+История!$F$5:$F$300-ABS(История!$C$5:$C$300-История!$F$5:$F$300))/2)*История!$D$5:$D$300))&lt;=0,0,ROUND(K73/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73)*((История!$C$5:$C$300+История!$F$5:$F$300-ABS(История!$C$5:$C$300-История!$F$5:$F$300))/2)*История!$D$5:$D$300)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IF($B74="","",IF(SUMIFS('ИТОГО Торговля'!$C$5:$C$300,'ИТОГО Торговля'!$B$5:$B$300,$B74)+SUMIFS('ИТОГО Лэндинг'!$C$5:$C$300,'ИТОГО Лэндинг'!$B$5:$B$300,$B74)+SUMIFS('История'!$C$5:$C$300,'История'!$B$5:$B$300,$B74)=0,"",SUMIFS('ИТОГО Торговля'!$C$5:$C$300,'ИТОГО Торговля'!$B$5:$B$300,$B74)+SUMIFS('ИТОГО Лэндинг'!$C$5:$C$300,'ИТОГО Лэндинг'!$B$5:$B$300,$B74)+SUMIFS('История'!$C$5:$C$300,'История'!$B$5:$B$300,$B74)))</f>
        <v/>
      </c>
      <c r="D74" s="183">
        <f>IF(C74="","",E74/C74)</f>
        <v/>
      </c>
      <c r="E74" s="247">
        <f>IF(C74="","",SUMIFS('ИТОГО Торговля'!$E$5:$E$300,'ИТОГО Торговля'!$B$5:$B$300,$B74)+SUMIFS('ИТОГО Лэндинг'!$E$5:$E$300,'ИТОГО Лэндинг'!$B$5:$B$300,$B74)+SUMIFS('История'!$E$5:$E$300,'История'!$B$5:$B$300,$B74))</f>
        <v/>
      </c>
      <c r="F74" s="246">
        <f>IF($B74="","",IF(SUMIFS('ИТОГО Торговля'!$F$5:$F$300,'ИТОГО Торговля'!$B$5:$B$300,$B74)+SUMIFS('ИТОГО Лэндинг'!$F$5:$F$300,'ИТОГО Лэндинг'!$B$5:$B$300,$B74)+SUMIFS('История'!$F$5:$F$300,'История'!$B$5:$B$300,$B74)=0,"",SUMIFS('ИТОГО Торговля'!$F$5:$F$300,'ИТОГО Торговля'!$B$5:$B$300,$B74)+SUMIFS('ИТОГО Лэндинг'!$F$5:$F$300,'ИТОГО Лэндинг'!$B$5:$B$300,$B74)+SUMIFS('История'!$F$5:$F$300,'История'!$B$5:$B$300,$B74)))</f>
        <v/>
      </c>
      <c r="G74" s="183">
        <f>IF(F74="","",H74/F74)</f>
        <v/>
      </c>
      <c r="H74" s="247">
        <f>IF(F74="","",SUMIFS('ИТОГО Торговля'!$H$5:$H$300,'ИТОГО Торговля'!$B$5:$B$300,$B74)+SUMIFS('ИТОГО Лэндинг'!$H$5:$H$300,'ИТОГО Лэндинг'!$B$5:$B$300,$B74)+SUMIFS('История'!$H$5:$H$300,'История'!$B$5:$B$300,$B74))</f>
        <v/>
      </c>
      <c r="I74" s="246">
        <f>IF($B74="","",IF(AND(C74="",F74=""),"",ROUND(SUMIFS('ИТОГО Торговля'!$I$5:$I$300,'ИТОГО Торговля'!$B$5:$B$300,$B74)+SUMIFS('ИТОГО Лэндинг'!$I$5:$I$300,'ИТОГО Лэндинг'!$B$5:$B$300,$B74)+SUMIFS('История'!$I$5:$I$300,'История'!$B$5:$B$300,$B74),8)))</f>
        <v/>
      </c>
      <c r="J74" s="247">
        <f>IF($B74="","",IF(AND(C74="",F74=""),"",ROUND(SUMIFS('ИТОГО Торговля'!$J$5:$J$300,'ИТОГО Торговля'!$B$5:$B$300,$B74)+SUMIFS('ИТОГО Лэндинг'!$J$5:$J$300,'ИТОГО Лэндинг'!$B$5:$B$300,$B74)+SUMIFS('История'!$J$5:$J$300,'История'!$B$5:$B$300,$B74),8)))</f>
        <v/>
      </c>
      <c r="K74" s="246">
        <f>IF($B74="","",ROUND(SUMIFS('ИТОГО Торговля'!$K$5:$K$300,'ИТОГО Торговля'!$B$5:$B$300,$B74)+SUMIFS('ИТОГО Лэндинг'!$K$5:$K$300,'ИТОГО Лэндинг'!$B$5:$B$300,$B74)+SUMIFS('История'!$K$5:$K$300,'История'!$B$5:$B$300,$B74),8))</f>
        <v/>
      </c>
      <c r="L74" s="183">
        <f>IF(K74="","",IF(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74)*((История!$C$5:$C$300+История!$F$5:$F$300-ABS(История!$C$5:$C$300-История!$F$5:$F$300))/2)*История!$D$5:$D$300))&lt;=0,0,ROUND(K74/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74)*((История!$C$5:$C$300+История!$F$5:$F$300-ABS(История!$C$5:$C$300-История!$F$5:$F$300))/2)*История!$D$5:$D$300)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IF($B75="","",IF(SUMIFS('ИТОГО Торговля'!$C$5:$C$300,'ИТОГО Торговля'!$B$5:$B$300,$B75)+SUMIFS('ИТОГО Лэндинг'!$C$5:$C$300,'ИТОГО Лэндинг'!$B$5:$B$300,$B75)+SUMIFS('История'!$C$5:$C$300,'История'!$B$5:$B$300,$B75)=0,"",SUMIFS('ИТОГО Торговля'!$C$5:$C$300,'ИТОГО Торговля'!$B$5:$B$300,$B75)+SUMIFS('ИТОГО Лэндинг'!$C$5:$C$300,'ИТОГО Лэндинг'!$B$5:$B$300,$B75)+SUMIFS('История'!$C$5:$C$300,'История'!$B$5:$B$300,$B75)))</f>
        <v/>
      </c>
      <c r="D75" s="177">
        <f>IF(C75="","",E75/C75)</f>
        <v/>
      </c>
      <c r="E75" s="241">
        <f>IF(C75="","",SUMIFS('ИТОГО Торговля'!$E$5:$E$300,'ИТОГО Торговля'!$B$5:$B$300,$B75)+SUMIFS('ИТОГО Лэндинг'!$E$5:$E$300,'ИТОГО Лэндинг'!$B$5:$B$300,$B75)+SUMIFS('История'!$E$5:$E$300,'История'!$B$5:$B$300,$B75))</f>
        <v/>
      </c>
      <c r="F75" s="240">
        <f>IF($B75="","",IF(SUMIFS('ИТОГО Торговля'!$F$5:$F$300,'ИТОГО Торговля'!$B$5:$B$300,$B75)+SUMIFS('ИТОГО Лэндинг'!$F$5:$F$300,'ИТОГО Лэндинг'!$B$5:$B$300,$B75)+SUMIFS('История'!$F$5:$F$300,'История'!$B$5:$B$300,$B75)=0,"",SUMIFS('ИТОГО Торговля'!$F$5:$F$300,'ИТОГО Торговля'!$B$5:$B$300,$B75)+SUMIFS('ИТОГО Лэндинг'!$F$5:$F$300,'ИТОГО Лэндинг'!$B$5:$B$300,$B75)+SUMIFS('История'!$F$5:$F$300,'История'!$B$5:$B$300,$B75)))</f>
        <v/>
      </c>
      <c r="G75" s="177">
        <f>IF(F75="","",H75/F75)</f>
        <v/>
      </c>
      <c r="H75" s="241">
        <f>IF(F75="","",SUMIFS('ИТОГО Торговля'!$H$5:$H$300,'ИТОГО Торговля'!$B$5:$B$300,$B75)+SUMIFS('ИТОГО Лэндинг'!$H$5:$H$300,'ИТОГО Лэндинг'!$B$5:$B$300,$B75)+SUMIFS('История'!$H$5:$H$300,'История'!$B$5:$B$300,$B75))</f>
        <v/>
      </c>
      <c r="I75" s="240">
        <f>IF($B75="","",IF(AND(C75="",F75=""),"",ROUND(SUMIFS('ИТОГО Торговля'!$I$5:$I$300,'ИТОГО Торговля'!$B$5:$B$300,$B75)+SUMIFS('ИТОГО Лэндинг'!$I$5:$I$300,'ИТОГО Лэндинг'!$B$5:$B$300,$B75)+SUMIFS('История'!$I$5:$I$300,'История'!$B$5:$B$300,$B75),8)))</f>
        <v/>
      </c>
      <c r="J75" s="241">
        <f>IF($B75="","",IF(AND(C75="",F75=""),"",ROUND(SUMIFS('ИТОГО Торговля'!$J$5:$J$300,'ИТОГО Торговля'!$B$5:$B$300,$B75)+SUMIFS('ИТОГО Лэндинг'!$J$5:$J$300,'ИТОГО Лэндинг'!$B$5:$B$300,$B75)+SUMIFS('История'!$J$5:$J$300,'История'!$B$5:$B$300,$B75),8)))</f>
        <v/>
      </c>
      <c r="K75" s="240">
        <f>IF($B75="","",ROUND(SUMIFS('ИТОГО Торговля'!$K$5:$K$300,'ИТОГО Торговля'!$B$5:$B$300,$B75)+SUMIFS('ИТОГО Лэндинг'!$K$5:$K$300,'ИТОГО Лэндинг'!$B$5:$B$300,$B75)+SUMIFS('История'!$K$5:$K$300,'История'!$B$5:$B$300,$B75),8))</f>
        <v/>
      </c>
      <c r="L75" s="177">
        <f>IF(K75="","",IF(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75)*((История!$C$5:$C$300+История!$F$5:$F$300-ABS(История!$C$5:$C$300-История!$F$5:$F$300))/2)*История!$D$5:$D$300))&lt;=0,0,ROUND(K75/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75)*((История!$C$5:$C$300+История!$F$5:$F$300-ABS(История!$C$5:$C$300-История!$F$5:$F$300))/2)*История!$D$5:$D$300)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IF($B76="","",IF(SUMIFS('ИТОГО Торговля'!$C$5:$C$300,'ИТОГО Торговля'!$B$5:$B$300,$B76)+SUMIFS('ИТОГО Лэндинг'!$C$5:$C$300,'ИТОГО Лэндинг'!$B$5:$B$300,$B76)+SUMIFS('История'!$C$5:$C$300,'История'!$B$5:$B$300,$B76)=0,"",SUMIFS('ИТОГО Торговля'!$C$5:$C$300,'ИТОГО Торговля'!$B$5:$B$300,$B76)+SUMIFS('ИТОГО Лэндинг'!$C$5:$C$300,'ИТОГО Лэндинг'!$B$5:$B$300,$B76)+SUMIFS('История'!$C$5:$C$300,'История'!$B$5:$B$300,$B76)))</f>
        <v/>
      </c>
      <c r="D76" s="183">
        <f>IF(C76="","",E76/C76)</f>
        <v/>
      </c>
      <c r="E76" s="247">
        <f>IF(C76="","",SUMIFS('ИТОГО Торговля'!$E$5:$E$300,'ИТОГО Торговля'!$B$5:$B$300,$B76)+SUMIFS('ИТОГО Лэндинг'!$E$5:$E$300,'ИТОГО Лэндинг'!$B$5:$B$300,$B76)+SUMIFS('История'!$E$5:$E$300,'История'!$B$5:$B$300,$B76))</f>
        <v/>
      </c>
      <c r="F76" s="246">
        <f>IF($B76="","",IF(SUMIFS('ИТОГО Торговля'!$F$5:$F$300,'ИТОГО Торговля'!$B$5:$B$300,$B76)+SUMIFS('ИТОГО Лэндинг'!$F$5:$F$300,'ИТОГО Лэндинг'!$B$5:$B$300,$B76)+SUMIFS('История'!$F$5:$F$300,'История'!$B$5:$B$300,$B76)=0,"",SUMIFS('ИТОГО Торговля'!$F$5:$F$300,'ИТОГО Торговля'!$B$5:$B$300,$B76)+SUMIFS('ИТОГО Лэндинг'!$F$5:$F$300,'ИТОГО Лэндинг'!$B$5:$B$300,$B76)+SUMIFS('История'!$F$5:$F$300,'История'!$B$5:$B$300,$B76)))</f>
        <v/>
      </c>
      <c r="G76" s="183">
        <f>IF(F76="","",H76/F76)</f>
        <v/>
      </c>
      <c r="H76" s="247">
        <f>IF(F76="","",SUMIFS('ИТОГО Торговля'!$H$5:$H$300,'ИТОГО Торговля'!$B$5:$B$300,$B76)+SUMIFS('ИТОГО Лэндинг'!$H$5:$H$300,'ИТОГО Лэндинг'!$B$5:$B$300,$B76)+SUMIFS('История'!$H$5:$H$300,'История'!$B$5:$B$300,$B76))</f>
        <v/>
      </c>
      <c r="I76" s="246">
        <f>IF($B76="","",IF(AND(C76="",F76=""),"",ROUND(SUMIFS('ИТОГО Торговля'!$I$5:$I$300,'ИТОГО Торговля'!$B$5:$B$300,$B76)+SUMIFS('ИТОГО Лэндинг'!$I$5:$I$300,'ИТОГО Лэндинг'!$B$5:$B$300,$B76)+SUMIFS('История'!$I$5:$I$300,'История'!$B$5:$B$300,$B76),8)))</f>
        <v/>
      </c>
      <c r="J76" s="247">
        <f>IF($B76="","",IF(AND(C76="",F76=""),"",ROUND(SUMIFS('ИТОГО Торговля'!$J$5:$J$300,'ИТОГО Торговля'!$B$5:$B$300,$B76)+SUMIFS('ИТОГО Лэндинг'!$J$5:$J$300,'ИТОГО Лэндинг'!$B$5:$B$300,$B76)+SUMIFS('История'!$J$5:$J$300,'История'!$B$5:$B$300,$B76),8)))</f>
        <v/>
      </c>
      <c r="K76" s="246">
        <f>IF($B76="","",ROUND(SUMIFS('ИТОГО Торговля'!$K$5:$K$300,'ИТОГО Торговля'!$B$5:$B$300,$B76)+SUMIFS('ИТОГО Лэндинг'!$K$5:$K$300,'ИТОГО Лэндинг'!$B$5:$B$300,$B76)+SUMIFS('История'!$K$5:$K$300,'История'!$B$5:$B$300,$B76),8))</f>
        <v/>
      </c>
      <c r="L76" s="183">
        <f>IF(K76="","",IF(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76)*((История!$C$5:$C$300+История!$F$5:$F$300-ABS(История!$C$5:$C$300-История!$F$5:$F$300))/2)*История!$D$5:$D$300))&lt;=0,0,ROUND(K76/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76)*((История!$C$5:$C$300+История!$F$5:$F$300-ABS(История!$C$5:$C$300-История!$F$5:$F$300))/2)*История!$D$5:$D$300)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IF($B77="","",IF(SUMIFS('ИТОГО Торговля'!$C$5:$C$300,'ИТОГО Торговля'!$B$5:$B$300,$B77)+SUMIFS('ИТОГО Лэндинг'!$C$5:$C$300,'ИТОГО Лэндинг'!$B$5:$B$300,$B77)+SUMIFS('История'!$C$5:$C$300,'История'!$B$5:$B$300,$B77)=0,"",SUMIFS('ИТОГО Торговля'!$C$5:$C$300,'ИТОГО Торговля'!$B$5:$B$300,$B77)+SUMIFS('ИТОГО Лэндинг'!$C$5:$C$300,'ИТОГО Лэндинг'!$B$5:$B$300,$B77)+SUMIFS('История'!$C$5:$C$300,'История'!$B$5:$B$300,$B77)))</f>
        <v/>
      </c>
      <c r="D77" s="177">
        <f>IF(C77="","",E77/C77)</f>
        <v/>
      </c>
      <c r="E77" s="241">
        <f>IF(C77="","",SUMIFS('ИТОГО Торговля'!$E$5:$E$300,'ИТОГО Торговля'!$B$5:$B$300,$B77)+SUMIFS('ИТОГО Лэндинг'!$E$5:$E$300,'ИТОГО Лэндинг'!$B$5:$B$300,$B77)+SUMIFS('История'!$E$5:$E$300,'История'!$B$5:$B$300,$B77))</f>
        <v/>
      </c>
      <c r="F77" s="240">
        <f>IF($B77="","",IF(SUMIFS('ИТОГО Торговля'!$F$5:$F$300,'ИТОГО Торговля'!$B$5:$B$300,$B77)+SUMIFS('ИТОГО Лэндинг'!$F$5:$F$300,'ИТОГО Лэндинг'!$B$5:$B$300,$B77)+SUMIFS('История'!$F$5:$F$300,'История'!$B$5:$B$300,$B77)=0,"",SUMIFS('ИТОГО Торговля'!$F$5:$F$300,'ИТОГО Торговля'!$B$5:$B$300,$B77)+SUMIFS('ИТОГО Лэндинг'!$F$5:$F$300,'ИТОГО Лэндинг'!$B$5:$B$300,$B77)+SUMIFS('История'!$F$5:$F$300,'История'!$B$5:$B$300,$B77)))</f>
        <v/>
      </c>
      <c r="G77" s="177">
        <f>IF(F77="","",H77/F77)</f>
        <v/>
      </c>
      <c r="H77" s="241">
        <f>IF(F77="","",SUMIFS('ИТОГО Торговля'!$H$5:$H$300,'ИТОГО Торговля'!$B$5:$B$300,$B77)+SUMIFS('ИТОГО Лэндинг'!$H$5:$H$300,'ИТОГО Лэндинг'!$B$5:$B$300,$B77)+SUMIFS('История'!$H$5:$H$300,'История'!$B$5:$B$300,$B77))</f>
        <v/>
      </c>
      <c r="I77" s="240">
        <f>IF($B77="","",IF(AND(C77="",F77=""),"",ROUND(SUMIFS('ИТОГО Торговля'!$I$5:$I$300,'ИТОГО Торговля'!$B$5:$B$300,$B77)+SUMIFS('ИТОГО Лэндинг'!$I$5:$I$300,'ИТОГО Лэндинг'!$B$5:$B$300,$B77)+SUMIFS('История'!$I$5:$I$300,'История'!$B$5:$B$300,$B77),8)))</f>
        <v/>
      </c>
      <c r="J77" s="241">
        <f>IF($B77="","",IF(AND(C77="",F77=""),"",ROUND(SUMIFS('ИТОГО Торговля'!$J$5:$J$300,'ИТОГО Торговля'!$B$5:$B$300,$B77)+SUMIFS('ИТОГО Лэндинг'!$J$5:$J$300,'ИТОГО Лэндинг'!$B$5:$B$300,$B77)+SUMIFS('История'!$J$5:$J$300,'История'!$B$5:$B$300,$B77),8)))</f>
        <v/>
      </c>
      <c r="K77" s="240">
        <f>IF($B77="","",ROUND(SUMIFS('ИТОГО Торговля'!$K$5:$K$300,'ИТОГО Торговля'!$B$5:$B$300,$B77)+SUMIFS('ИТОГО Лэндинг'!$K$5:$K$300,'ИТОГО Лэндинг'!$B$5:$B$300,$B77)+SUMIFS('История'!$K$5:$K$300,'История'!$B$5:$B$300,$B77),8))</f>
        <v/>
      </c>
      <c r="L77" s="177">
        <f>IF(K77="","",IF(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77)*((История!$C$5:$C$300+История!$F$5:$F$300-ABS(История!$C$5:$C$300-История!$F$5:$F$300))/2)*История!$D$5:$D$300))&lt;=0,0,ROUND(K77/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77)*((История!$C$5:$C$300+История!$F$5:$F$300-ABS(История!$C$5:$C$300-История!$F$5:$F$300))/2)*История!$D$5:$D$300)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IF($B78="","",IF(SUMIFS('ИТОГО Торговля'!$C$5:$C$300,'ИТОГО Торговля'!$B$5:$B$300,$B78)+SUMIFS('ИТОГО Лэндинг'!$C$5:$C$300,'ИТОГО Лэндинг'!$B$5:$B$300,$B78)+SUMIFS('История'!$C$5:$C$300,'История'!$B$5:$B$300,$B78)=0,"",SUMIFS('ИТОГО Торговля'!$C$5:$C$300,'ИТОГО Торговля'!$B$5:$B$300,$B78)+SUMIFS('ИТОГО Лэндинг'!$C$5:$C$300,'ИТОГО Лэндинг'!$B$5:$B$300,$B78)+SUMIFS('История'!$C$5:$C$300,'История'!$B$5:$B$300,$B78)))</f>
        <v/>
      </c>
      <c r="D78" s="183">
        <f>IF(C78="","",E78/C78)</f>
        <v/>
      </c>
      <c r="E78" s="247">
        <f>IF(C78="","",SUMIFS('ИТОГО Торговля'!$E$5:$E$300,'ИТОГО Торговля'!$B$5:$B$300,$B78)+SUMIFS('ИТОГО Лэндинг'!$E$5:$E$300,'ИТОГО Лэндинг'!$B$5:$B$300,$B78)+SUMIFS('История'!$E$5:$E$300,'История'!$B$5:$B$300,$B78))</f>
        <v/>
      </c>
      <c r="F78" s="246">
        <f>IF($B78="","",IF(SUMIFS('ИТОГО Торговля'!$F$5:$F$300,'ИТОГО Торговля'!$B$5:$B$300,$B78)+SUMIFS('ИТОГО Лэндинг'!$F$5:$F$300,'ИТОГО Лэндинг'!$B$5:$B$300,$B78)+SUMIFS('История'!$F$5:$F$300,'История'!$B$5:$B$300,$B78)=0,"",SUMIFS('ИТОГО Торговля'!$F$5:$F$300,'ИТОГО Торговля'!$B$5:$B$300,$B78)+SUMIFS('ИТОГО Лэндинг'!$F$5:$F$300,'ИТОГО Лэндинг'!$B$5:$B$300,$B78)+SUMIFS('История'!$F$5:$F$300,'История'!$B$5:$B$300,$B78)))</f>
        <v/>
      </c>
      <c r="G78" s="183">
        <f>IF(F78="","",H78/F78)</f>
        <v/>
      </c>
      <c r="H78" s="247">
        <f>IF(F78="","",SUMIFS('ИТОГО Торговля'!$H$5:$H$300,'ИТОГО Торговля'!$B$5:$B$300,$B78)+SUMIFS('ИТОГО Лэндинг'!$H$5:$H$300,'ИТОГО Лэндинг'!$B$5:$B$300,$B78)+SUMIFS('История'!$H$5:$H$300,'История'!$B$5:$B$300,$B78))</f>
        <v/>
      </c>
      <c r="I78" s="246">
        <f>IF($B78="","",IF(AND(C78="",F78=""),"",ROUND(SUMIFS('ИТОГО Торговля'!$I$5:$I$300,'ИТОГО Торговля'!$B$5:$B$300,$B78)+SUMIFS('ИТОГО Лэндинг'!$I$5:$I$300,'ИТОГО Лэндинг'!$B$5:$B$300,$B78)+SUMIFS('История'!$I$5:$I$300,'История'!$B$5:$B$300,$B78),8)))</f>
        <v/>
      </c>
      <c r="J78" s="247">
        <f>IF($B78="","",IF(AND(C78="",F78=""),"",ROUND(SUMIFS('ИТОГО Торговля'!$J$5:$J$300,'ИТОГО Торговля'!$B$5:$B$300,$B78)+SUMIFS('ИТОГО Лэндинг'!$J$5:$J$300,'ИТОГО Лэндинг'!$B$5:$B$300,$B78)+SUMIFS('История'!$J$5:$J$300,'История'!$B$5:$B$300,$B78),8)))</f>
        <v/>
      </c>
      <c r="K78" s="246">
        <f>IF($B78="","",ROUND(SUMIFS('ИТОГО Торговля'!$K$5:$K$300,'ИТОГО Торговля'!$B$5:$B$300,$B78)+SUMIFS('ИТОГО Лэндинг'!$K$5:$K$300,'ИТОГО Лэндинг'!$B$5:$B$300,$B78)+SUMIFS('История'!$K$5:$K$300,'История'!$B$5:$B$300,$B78),8))</f>
        <v/>
      </c>
      <c r="L78" s="183">
        <f>IF(K78="","",IF(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78)*((История!$C$5:$C$300+История!$F$5:$F$300-ABS(История!$C$5:$C$300-История!$F$5:$F$300))/2)*История!$D$5:$D$300))&lt;=0,0,ROUND(K78/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78)*((История!$C$5:$C$300+История!$F$5:$F$300-ABS(История!$C$5:$C$300-История!$F$5:$F$300))/2)*История!$D$5:$D$300)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IF($B79="","",IF(SUMIFS('ИТОГО Торговля'!$C$5:$C$300,'ИТОГО Торговля'!$B$5:$B$300,$B79)+SUMIFS('ИТОГО Лэндинг'!$C$5:$C$300,'ИТОГО Лэндинг'!$B$5:$B$300,$B79)+SUMIFS('История'!$C$5:$C$300,'История'!$B$5:$B$300,$B79)=0,"",SUMIFS('ИТОГО Торговля'!$C$5:$C$300,'ИТОГО Торговля'!$B$5:$B$300,$B79)+SUMIFS('ИТОГО Лэндинг'!$C$5:$C$300,'ИТОГО Лэндинг'!$B$5:$B$300,$B79)+SUMIFS('История'!$C$5:$C$300,'История'!$B$5:$B$300,$B79)))</f>
        <v/>
      </c>
      <c r="D79" s="177">
        <f>IF(C79="","",E79/C79)</f>
        <v/>
      </c>
      <c r="E79" s="241">
        <f>IF(C79="","",SUMIFS('ИТОГО Торговля'!$E$5:$E$300,'ИТОГО Торговля'!$B$5:$B$300,$B79)+SUMIFS('ИТОГО Лэндинг'!$E$5:$E$300,'ИТОГО Лэндинг'!$B$5:$B$300,$B79)+SUMIFS('История'!$E$5:$E$300,'История'!$B$5:$B$300,$B79))</f>
        <v/>
      </c>
      <c r="F79" s="240">
        <f>IF($B79="","",IF(SUMIFS('ИТОГО Торговля'!$F$5:$F$300,'ИТОГО Торговля'!$B$5:$B$300,$B79)+SUMIFS('ИТОГО Лэндинг'!$F$5:$F$300,'ИТОГО Лэндинг'!$B$5:$B$300,$B79)+SUMIFS('История'!$F$5:$F$300,'История'!$B$5:$B$300,$B79)=0,"",SUMIFS('ИТОГО Торговля'!$F$5:$F$300,'ИТОГО Торговля'!$B$5:$B$300,$B79)+SUMIFS('ИТОГО Лэндинг'!$F$5:$F$300,'ИТОГО Лэндинг'!$B$5:$B$300,$B79)+SUMIFS('История'!$F$5:$F$300,'История'!$B$5:$B$300,$B79)))</f>
        <v/>
      </c>
      <c r="G79" s="177">
        <f>IF(F79="","",H79/F79)</f>
        <v/>
      </c>
      <c r="H79" s="241">
        <f>IF(F79="","",SUMIFS('ИТОГО Торговля'!$H$5:$H$300,'ИТОГО Торговля'!$B$5:$B$300,$B79)+SUMIFS('ИТОГО Лэндинг'!$H$5:$H$300,'ИТОГО Лэндинг'!$B$5:$B$300,$B79)+SUMIFS('История'!$H$5:$H$300,'История'!$B$5:$B$300,$B79))</f>
        <v/>
      </c>
      <c r="I79" s="240">
        <f>IF($B79="","",IF(AND(C79="",F79=""),"",ROUND(SUMIFS('ИТОГО Торговля'!$I$5:$I$300,'ИТОГО Торговля'!$B$5:$B$300,$B79)+SUMIFS('ИТОГО Лэндинг'!$I$5:$I$300,'ИТОГО Лэндинг'!$B$5:$B$300,$B79)+SUMIFS('История'!$I$5:$I$300,'История'!$B$5:$B$300,$B79),8)))</f>
        <v/>
      </c>
      <c r="J79" s="241">
        <f>IF($B79="","",IF(AND(C79="",F79=""),"",ROUND(SUMIFS('ИТОГО Торговля'!$J$5:$J$300,'ИТОГО Торговля'!$B$5:$B$300,$B79)+SUMIFS('ИТОГО Лэндинг'!$J$5:$J$300,'ИТОГО Лэндинг'!$B$5:$B$300,$B79)+SUMIFS('История'!$J$5:$J$300,'История'!$B$5:$B$300,$B79),8)))</f>
        <v/>
      </c>
      <c r="K79" s="240">
        <f>IF($B79="","",ROUND(SUMIFS('ИТОГО Торговля'!$K$5:$K$300,'ИТОГО Торговля'!$B$5:$B$300,$B79)+SUMIFS('ИТОГО Лэндинг'!$K$5:$K$300,'ИТОГО Лэндинг'!$B$5:$B$300,$B79)+SUMIFS('История'!$K$5:$K$300,'История'!$B$5:$B$300,$B79),8))</f>
        <v/>
      </c>
      <c r="L79" s="177">
        <f>IF(K79="","",IF(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79)*((История!$C$5:$C$300+История!$F$5:$F$300-ABS(История!$C$5:$C$300-История!$F$5:$F$300))/2)*История!$D$5:$D$300))&lt;=0,0,ROUND(K79/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79)*((История!$C$5:$C$300+История!$F$5:$F$300-ABS(История!$C$5:$C$300-История!$F$5:$F$300))/2)*История!$D$5:$D$300)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IF($B80="","",IF(SUMIFS('ИТОГО Торговля'!$C$5:$C$300,'ИТОГО Торговля'!$B$5:$B$300,$B80)+SUMIFS('ИТОГО Лэндинг'!$C$5:$C$300,'ИТОГО Лэндинг'!$B$5:$B$300,$B80)+SUMIFS('История'!$C$5:$C$300,'История'!$B$5:$B$300,$B80)=0,"",SUMIFS('ИТОГО Торговля'!$C$5:$C$300,'ИТОГО Торговля'!$B$5:$B$300,$B80)+SUMIFS('ИТОГО Лэндинг'!$C$5:$C$300,'ИТОГО Лэндинг'!$B$5:$B$300,$B80)+SUMIFS('История'!$C$5:$C$300,'История'!$B$5:$B$300,$B80)))</f>
        <v/>
      </c>
      <c r="D80" s="183">
        <f>IF(C80="","",E80/C80)</f>
        <v/>
      </c>
      <c r="E80" s="247">
        <f>IF(C80="","",SUMIFS('ИТОГО Торговля'!$E$5:$E$300,'ИТОГО Торговля'!$B$5:$B$300,$B80)+SUMIFS('ИТОГО Лэндинг'!$E$5:$E$300,'ИТОГО Лэндинг'!$B$5:$B$300,$B80)+SUMIFS('История'!$E$5:$E$300,'История'!$B$5:$B$300,$B80))</f>
        <v/>
      </c>
      <c r="F80" s="246">
        <f>IF($B80="","",IF(SUMIFS('ИТОГО Торговля'!$F$5:$F$300,'ИТОГО Торговля'!$B$5:$B$300,$B80)+SUMIFS('ИТОГО Лэндинг'!$F$5:$F$300,'ИТОГО Лэндинг'!$B$5:$B$300,$B80)+SUMIFS('История'!$F$5:$F$300,'История'!$B$5:$B$300,$B80)=0,"",SUMIFS('ИТОГО Торговля'!$F$5:$F$300,'ИТОГО Торговля'!$B$5:$B$300,$B80)+SUMIFS('ИТОГО Лэндинг'!$F$5:$F$300,'ИТОГО Лэндинг'!$B$5:$B$300,$B80)+SUMIFS('История'!$F$5:$F$300,'История'!$B$5:$B$300,$B80)))</f>
        <v/>
      </c>
      <c r="G80" s="183">
        <f>IF(F80="","",H80/F80)</f>
        <v/>
      </c>
      <c r="H80" s="247">
        <f>IF(F80="","",SUMIFS('ИТОГО Торговля'!$H$5:$H$300,'ИТОГО Торговля'!$B$5:$B$300,$B80)+SUMIFS('ИТОГО Лэндинг'!$H$5:$H$300,'ИТОГО Лэндинг'!$B$5:$B$300,$B80)+SUMIFS('История'!$H$5:$H$300,'История'!$B$5:$B$300,$B80))</f>
        <v/>
      </c>
      <c r="I80" s="246">
        <f>IF($B80="","",IF(AND(C80="",F80=""),"",ROUND(SUMIFS('ИТОГО Торговля'!$I$5:$I$300,'ИТОГО Торговля'!$B$5:$B$300,$B80)+SUMIFS('ИТОГО Лэндинг'!$I$5:$I$300,'ИТОГО Лэндинг'!$B$5:$B$300,$B80)+SUMIFS('История'!$I$5:$I$300,'История'!$B$5:$B$300,$B80),8)))</f>
        <v/>
      </c>
      <c r="J80" s="247">
        <f>IF($B80="","",IF(AND(C80="",F80=""),"",ROUND(SUMIFS('ИТОГО Торговля'!$J$5:$J$300,'ИТОГО Торговля'!$B$5:$B$300,$B80)+SUMIFS('ИТОГО Лэндинг'!$J$5:$J$300,'ИТОГО Лэндинг'!$B$5:$B$300,$B80)+SUMIFS('История'!$J$5:$J$300,'История'!$B$5:$B$300,$B80),8)))</f>
        <v/>
      </c>
      <c r="K80" s="246">
        <f>IF($B80="","",ROUND(SUMIFS('ИТОГО Торговля'!$K$5:$K$300,'ИТОГО Торговля'!$B$5:$B$300,$B80)+SUMIFS('ИТОГО Лэндинг'!$K$5:$K$300,'ИТОГО Лэндинг'!$B$5:$B$300,$B80)+SUMIFS('История'!$K$5:$K$300,'История'!$B$5:$B$300,$B80),8))</f>
        <v/>
      </c>
      <c r="L80" s="183">
        <f>IF(K80="","",IF(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80)*((История!$C$5:$C$300+История!$F$5:$F$300-ABS(История!$C$5:$C$300-История!$F$5:$F$300))/2)*История!$D$5:$D$300))&lt;=0,0,ROUND(K80/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80)*((История!$C$5:$C$300+История!$F$5:$F$300-ABS(История!$C$5:$C$300-История!$F$5:$F$300))/2)*История!$D$5:$D$300)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IF($B81="","",IF(SUMIFS('ИТОГО Торговля'!$C$5:$C$300,'ИТОГО Торговля'!$B$5:$B$300,$B81)+SUMIFS('ИТОГО Лэндинг'!$C$5:$C$300,'ИТОГО Лэндинг'!$B$5:$B$300,$B81)+SUMIFS('История'!$C$5:$C$300,'История'!$B$5:$B$300,$B81)=0,"",SUMIFS('ИТОГО Торговля'!$C$5:$C$300,'ИТОГО Торговля'!$B$5:$B$300,$B81)+SUMIFS('ИТОГО Лэндинг'!$C$5:$C$300,'ИТОГО Лэндинг'!$B$5:$B$300,$B81)+SUMIFS('История'!$C$5:$C$300,'История'!$B$5:$B$300,$B81)))</f>
        <v/>
      </c>
      <c r="D81" s="177">
        <f>IF(C81="","",E81/C81)</f>
        <v/>
      </c>
      <c r="E81" s="241">
        <f>IF(C81="","",SUMIFS('ИТОГО Торговля'!$E$5:$E$300,'ИТОГО Торговля'!$B$5:$B$300,$B81)+SUMIFS('ИТОГО Лэндинг'!$E$5:$E$300,'ИТОГО Лэндинг'!$B$5:$B$300,$B81)+SUMIFS('История'!$E$5:$E$300,'История'!$B$5:$B$300,$B81))</f>
        <v/>
      </c>
      <c r="F81" s="240">
        <f>IF($B81="","",IF(SUMIFS('ИТОГО Торговля'!$F$5:$F$300,'ИТОГО Торговля'!$B$5:$B$300,$B81)+SUMIFS('ИТОГО Лэндинг'!$F$5:$F$300,'ИТОГО Лэндинг'!$B$5:$B$300,$B81)+SUMIFS('История'!$F$5:$F$300,'История'!$B$5:$B$300,$B81)=0,"",SUMIFS('ИТОГО Торговля'!$F$5:$F$300,'ИТОГО Торговля'!$B$5:$B$300,$B81)+SUMIFS('ИТОГО Лэндинг'!$F$5:$F$300,'ИТОГО Лэндинг'!$B$5:$B$300,$B81)+SUMIFS('История'!$F$5:$F$300,'История'!$B$5:$B$300,$B81)))</f>
        <v/>
      </c>
      <c r="G81" s="177">
        <f>IF(F81="","",H81/F81)</f>
        <v/>
      </c>
      <c r="H81" s="241">
        <f>IF(F81="","",SUMIFS('ИТОГО Торговля'!$H$5:$H$300,'ИТОГО Торговля'!$B$5:$B$300,$B81)+SUMIFS('ИТОГО Лэндинг'!$H$5:$H$300,'ИТОГО Лэндинг'!$B$5:$B$300,$B81)+SUMIFS('История'!$H$5:$H$300,'История'!$B$5:$B$300,$B81))</f>
        <v/>
      </c>
      <c r="I81" s="240">
        <f>IF($B81="","",IF(AND(C81="",F81=""),"",ROUND(SUMIFS('ИТОГО Торговля'!$I$5:$I$300,'ИТОГО Торговля'!$B$5:$B$300,$B81)+SUMIFS('ИТОГО Лэндинг'!$I$5:$I$300,'ИТОГО Лэндинг'!$B$5:$B$300,$B81)+SUMIFS('История'!$I$5:$I$300,'История'!$B$5:$B$300,$B81),8)))</f>
        <v/>
      </c>
      <c r="J81" s="241">
        <f>IF($B81="","",IF(AND(C81="",F81=""),"",ROUND(SUMIFS('ИТОГО Торговля'!$J$5:$J$300,'ИТОГО Торговля'!$B$5:$B$300,$B81)+SUMIFS('ИТОГО Лэндинг'!$J$5:$J$300,'ИТОГО Лэндинг'!$B$5:$B$300,$B81)+SUMIFS('История'!$J$5:$J$300,'История'!$B$5:$B$300,$B81),8)))</f>
        <v/>
      </c>
      <c r="K81" s="240">
        <f>IF($B81="","",ROUND(SUMIFS('ИТОГО Торговля'!$K$5:$K$300,'ИТОГО Торговля'!$B$5:$B$300,$B81)+SUMIFS('ИТОГО Лэндинг'!$K$5:$K$300,'ИТОГО Лэндинг'!$B$5:$B$300,$B81)+SUMIFS('История'!$K$5:$K$300,'История'!$B$5:$B$300,$B81),8))</f>
        <v/>
      </c>
      <c r="L81" s="177">
        <f>IF(K81="","",IF(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81)*((История!$C$5:$C$300+История!$F$5:$F$300-ABS(История!$C$5:$C$300-История!$F$5:$F$300))/2)*История!$D$5:$D$300))&lt;=0,0,ROUND(K81/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81)*((История!$C$5:$C$300+История!$F$5:$F$300-ABS(История!$C$5:$C$300-История!$F$5:$F$300))/2)*История!$D$5:$D$300)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IF($B82="","",IF(SUMIFS('ИТОГО Торговля'!$C$5:$C$300,'ИТОГО Торговля'!$B$5:$B$300,$B82)+SUMIFS('ИТОГО Лэндинг'!$C$5:$C$300,'ИТОГО Лэндинг'!$B$5:$B$300,$B82)+SUMIFS('История'!$C$5:$C$300,'История'!$B$5:$B$300,$B82)=0,"",SUMIFS('ИТОГО Торговля'!$C$5:$C$300,'ИТОГО Торговля'!$B$5:$B$300,$B82)+SUMIFS('ИТОГО Лэндинг'!$C$5:$C$300,'ИТОГО Лэндинг'!$B$5:$B$300,$B82)+SUMIFS('История'!$C$5:$C$300,'История'!$B$5:$B$300,$B82)))</f>
        <v/>
      </c>
      <c r="D82" s="183">
        <f>IF(C82="","",E82/C82)</f>
        <v/>
      </c>
      <c r="E82" s="247">
        <f>IF(C82="","",SUMIFS('ИТОГО Торговля'!$E$5:$E$300,'ИТОГО Торговля'!$B$5:$B$300,$B82)+SUMIFS('ИТОГО Лэндинг'!$E$5:$E$300,'ИТОГО Лэндинг'!$B$5:$B$300,$B82)+SUMIFS('История'!$E$5:$E$300,'История'!$B$5:$B$300,$B82))</f>
        <v/>
      </c>
      <c r="F82" s="246">
        <f>IF($B82="","",IF(SUMIFS('ИТОГО Торговля'!$F$5:$F$300,'ИТОГО Торговля'!$B$5:$B$300,$B82)+SUMIFS('ИТОГО Лэндинг'!$F$5:$F$300,'ИТОГО Лэндинг'!$B$5:$B$300,$B82)+SUMIFS('История'!$F$5:$F$300,'История'!$B$5:$B$300,$B82)=0,"",SUMIFS('ИТОГО Торговля'!$F$5:$F$300,'ИТОГО Торговля'!$B$5:$B$300,$B82)+SUMIFS('ИТОГО Лэндинг'!$F$5:$F$300,'ИТОГО Лэндинг'!$B$5:$B$300,$B82)+SUMIFS('История'!$F$5:$F$300,'История'!$B$5:$B$300,$B82)))</f>
        <v/>
      </c>
      <c r="G82" s="183">
        <f>IF(F82="","",H82/F82)</f>
        <v/>
      </c>
      <c r="H82" s="247">
        <f>IF(F82="","",SUMIFS('ИТОГО Торговля'!$H$5:$H$300,'ИТОГО Торговля'!$B$5:$B$300,$B82)+SUMIFS('ИТОГО Лэндинг'!$H$5:$H$300,'ИТОГО Лэндинг'!$B$5:$B$300,$B82)+SUMIFS('История'!$H$5:$H$300,'История'!$B$5:$B$300,$B82))</f>
        <v/>
      </c>
      <c r="I82" s="246">
        <f>IF($B82="","",IF(AND(C82="",F82=""),"",ROUND(SUMIFS('ИТОГО Торговля'!$I$5:$I$300,'ИТОГО Торговля'!$B$5:$B$300,$B82)+SUMIFS('ИТОГО Лэндинг'!$I$5:$I$300,'ИТОГО Лэндинг'!$B$5:$B$300,$B82)+SUMIFS('История'!$I$5:$I$300,'История'!$B$5:$B$300,$B82),8)))</f>
        <v/>
      </c>
      <c r="J82" s="247">
        <f>IF($B82="","",IF(AND(C82="",F82=""),"",ROUND(SUMIFS('ИТОГО Торговля'!$J$5:$J$300,'ИТОГО Торговля'!$B$5:$B$300,$B82)+SUMIFS('ИТОГО Лэндинг'!$J$5:$J$300,'ИТОГО Лэндинг'!$B$5:$B$300,$B82)+SUMIFS('История'!$J$5:$J$300,'История'!$B$5:$B$300,$B82),8)))</f>
        <v/>
      </c>
      <c r="K82" s="246">
        <f>IF($B82="","",ROUND(SUMIFS('ИТОГО Торговля'!$K$5:$K$300,'ИТОГО Торговля'!$B$5:$B$300,$B82)+SUMIFS('ИТОГО Лэндинг'!$K$5:$K$300,'ИТОГО Лэндинг'!$B$5:$B$300,$B82)+SUMIFS('История'!$K$5:$K$300,'История'!$B$5:$B$300,$B82),8))</f>
        <v/>
      </c>
      <c r="L82" s="183">
        <f>IF(K82="","",IF(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82)*((История!$C$5:$C$300+История!$F$5:$F$300-ABS(История!$C$5:$C$300-История!$F$5:$F$300))/2)*История!$D$5:$D$300))&lt;=0,0,ROUND(K82/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82)*((История!$C$5:$C$300+История!$F$5:$F$300-ABS(История!$C$5:$C$300-История!$F$5:$F$300))/2)*История!$D$5:$D$300)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IF($B83="","",IF(SUMIFS('ИТОГО Торговля'!$C$5:$C$300,'ИТОГО Торговля'!$B$5:$B$300,$B83)+SUMIFS('ИТОГО Лэндинг'!$C$5:$C$300,'ИТОГО Лэндинг'!$B$5:$B$300,$B83)+SUMIFS('История'!$C$5:$C$300,'История'!$B$5:$B$300,$B83)=0,"",SUMIFS('ИТОГО Торговля'!$C$5:$C$300,'ИТОГО Торговля'!$B$5:$B$300,$B83)+SUMIFS('ИТОГО Лэндинг'!$C$5:$C$300,'ИТОГО Лэндинг'!$B$5:$B$300,$B83)+SUMIFS('История'!$C$5:$C$300,'История'!$B$5:$B$300,$B83)))</f>
        <v/>
      </c>
      <c r="D83" s="177">
        <f>IF(C83="","",E83/C83)</f>
        <v/>
      </c>
      <c r="E83" s="241">
        <f>IF(C83="","",SUMIFS('ИТОГО Торговля'!$E$5:$E$300,'ИТОГО Торговля'!$B$5:$B$300,$B83)+SUMIFS('ИТОГО Лэндинг'!$E$5:$E$300,'ИТОГО Лэндинг'!$B$5:$B$300,$B83)+SUMIFS('История'!$E$5:$E$300,'История'!$B$5:$B$300,$B83))</f>
        <v/>
      </c>
      <c r="F83" s="240">
        <f>IF($B83="","",IF(SUMIFS('ИТОГО Торговля'!$F$5:$F$300,'ИТОГО Торговля'!$B$5:$B$300,$B83)+SUMIFS('ИТОГО Лэндинг'!$F$5:$F$300,'ИТОГО Лэндинг'!$B$5:$B$300,$B83)+SUMIFS('История'!$F$5:$F$300,'История'!$B$5:$B$300,$B83)=0,"",SUMIFS('ИТОГО Торговля'!$F$5:$F$300,'ИТОГО Торговля'!$B$5:$B$300,$B83)+SUMIFS('ИТОГО Лэндинг'!$F$5:$F$300,'ИТОГО Лэндинг'!$B$5:$B$300,$B83)+SUMIFS('История'!$F$5:$F$300,'История'!$B$5:$B$300,$B83)))</f>
        <v/>
      </c>
      <c r="G83" s="177">
        <f>IF(F83="","",H83/F83)</f>
        <v/>
      </c>
      <c r="H83" s="241">
        <f>IF(F83="","",SUMIFS('ИТОГО Торговля'!$H$5:$H$300,'ИТОГО Торговля'!$B$5:$B$300,$B83)+SUMIFS('ИТОГО Лэндинг'!$H$5:$H$300,'ИТОГО Лэндинг'!$B$5:$B$300,$B83)+SUMIFS('История'!$H$5:$H$300,'История'!$B$5:$B$300,$B83))</f>
        <v/>
      </c>
      <c r="I83" s="240">
        <f>IF($B83="","",IF(AND(C83="",F83=""),"",ROUND(SUMIFS('ИТОГО Торговля'!$I$5:$I$300,'ИТОГО Торговля'!$B$5:$B$300,$B83)+SUMIFS('ИТОГО Лэндинг'!$I$5:$I$300,'ИТОГО Лэндинг'!$B$5:$B$300,$B83)+SUMIFS('История'!$I$5:$I$300,'История'!$B$5:$B$300,$B83),8)))</f>
        <v/>
      </c>
      <c r="J83" s="241">
        <f>IF($B83="","",IF(AND(C83="",F83=""),"",ROUND(SUMIFS('ИТОГО Торговля'!$J$5:$J$300,'ИТОГО Торговля'!$B$5:$B$300,$B83)+SUMIFS('ИТОГО Лэндинг'!$J$5:$J$300,'ИТОГО Лэндинг'!$B$5:$B$300,$B83)+SUMIFS('История'!$J$5:$J$300,'История'!$B$5:$B$300,$B83),8)))</f>
        <v/>
      </c>
      <c r="K83" s="240">
        <f>IF($B83="","",ROUND(SUMIFS('ИТОГО Торговля'!$K$5:$K$300,'ИТОГО Торговля'!$B$5:$B$300,$B83)+SUMIFS('ИТОГО Лэндинг'!$K$5:$K$300,'ИТОГО Лэндинг'!$B$5:$B$300,$B83)+SUMIFS('История'!$K$5:$K$300,'История'!$B$5:$B$300,$B83),8))</f>
        <v/>
      </c>
      <c r="L83" s="177">
        <f>IF(K83="","",IF(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83)*((История!$C$5:$C$300+История!$F$5:$F$300-ABS(История!$C$5:$C$300-История!$F$5:$F$300))/2)*История!$D$5:$D$300))&lt;=0,0,ROUND(K83/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83)*((История!$C$5:$C$300+История!$F$5:$F$300-ABS(История!$C$5:$C$300-История!$F$5:$F$300))/2)*История!$D$5:$D$300)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IF($B84="","",IF(SUMIFS('ИТОГО Торговля'!$C$5:$C$300,'ИТОГО Торговля'!$B$5:$B$300,$B84)+SUMIFS('ИТОГО Лэндинг'!$C$5:$C$300,'ИТОГО Лэндинг'!$B$5:$B$300,$B84)+SUMIFS('История'!$C$5:$C$300,'История'!$B$5:$B$300,$B84)=0,"",SUMIFS('ИТОГО Торговля'!$C$5:$C$300,'ИТОГО Торговля'!$B$5:$B$300,$B84)+SUMIFS('ИТОГО Лэндинг'!$C$5:$C$300,'ИТОГО Лэндинг'!$B$5:$B$300,$B84)+SUMIFS('История'!$C$5:$C$300,'История'!$B$5:$B$300,$B84)))</f>
        <v/>
      </c>
      <c r="D84" s="183">
        <f>IF(C84="","",E84/C84)</f>
        <v/>
      </c>
      <c r="E84" s="247">
        <f>IF(C84="","",SUMIFS('ИТОГО Торговля'!$E$5:$E$300,'ИТОГО Торговля'!$B$5:$B$300,$B84)+SUMIFS('ИТОГО Лэндинг'!$E$5:$E$300,'ИТОГО Лэндинг'!$B$5:$B$300,$B84)+SUMIFS('История'!$E$5:$E$300,'История'!$B$5:$B$300,$B84))</f>
        <v/>
      </c>
      <c r="F84" s="246">
        <f>IF($B84="","",IF(SUMIFS('ИТОГО Торговля'!$F$5:$F$300,'ИТОГО Торговля'!$B$5:$B$300,$B84)+SUMIFS('ИТОГО Лэндинг'!$F$5:$F$300,'ИТОГО Лэндинг'!$B$5:$B$300,$B84)+SUMIFS('История'!$F$5:$F$300,'История'!$B$5:$B$300,$B84)=0,"",SUMIFS('ИТОГО Торговля'!$F$5:$F$300,'ИТОГО Торговля'!$B$5:$B$300,$B84)+SUMIFS('ИТОГО Лэндинг'!$F$5:$F$300,'ИТОГО Лэндинг'!$B$5:$B$300,$B84)+SUMIFS('История'!$F$5:$F$300,'История'!$B$5:$B$300,$B84)))</f>
        <v/>
      </c>
      <c r="G84" s="183">
        <f>IF(F84="","",H84/F84)</f>
        <v/>
      </c>
      <c r="H84" s="247">
        <f>IF(F84="","",SUMIFS('ИТОГО Торговля'!$H$5:$H$300,'ИТОГО Торговля'!$B$5:$B$300,$B84)+SUMIFS('ИТОГО Лэндинг'!$H$5:$H$300,'ИТОГО Лэндинг'!$B$5:$B$300,$B84)+SUMIFS('История'!$H$5:$H$300,'История'!$B$5:$B$300,$B84))</f>
        <v/>
      </c>
      <c r="I84" s="246">
        <f>IF($B84="","",IF(AND(C84="",F84=""),"",ROUND(SUMIFS('ИТОГО Торговля'!$I$5:$I$300,'ИТОГО Торговля'!$B$5:$B$300,$B84)+SUMIFS('ИТОГО Лэндинг'!$I$5:$I$300,'ИТОГО Лэндинг'!$B$5:$B$300,$B84)+SUMIFS('История'!$I$5:$I$300,'История'!$B$5:$B$300,$B84),8)))</f>
        <v/>
      </c>
      <c r="J84" s="247">
        <f>IF($B84="","",IF(AND(C84="",F84=""),"",ROUND(SUMIFS('ИТОГО Торговля'!$J$5:$J$300,'ИТОГО Торговля'!$B$5:$B$300,$B84)+SUMIFS('ИТОГО Лэндинг'!$J$5:$J$300,'ИТОГО Лэндинг'!$B$5:$B$300,$B84)+SUMIFS('История'!$J$5:$J$300,'История'!$B$5:$B$300,$B84),8)))</f>
        <v/>
      </c>
      <c r="K84" s="246">
        <f>IF($B84="","",ROUND(SUMIFS('ИТОГО Торговля'!$K$5:$K$300,'ИТОГО Торговля'!$B$5:$B$300,$B84)+SUMIFS('ИТОГО Лэндинг'!$K$5:$K$300,'ИТОГО Лэндинг'!$B$5:$B$300,$B84)+SUMIFS('История'!$K$5:$K$300,'История'!$B$5:$B$300,$B84),8))</f>
        <v/>
      </c>
      <c r="L84" s="183">
        <f>IF(K84="","",IF(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84)*((История!$C$5:$C$300+История!$F$5:$F$300-ABS(История!$C$5:$C$300-История!$F$5:$F$300))/2)*История!$D$5:$D$300))&lt;=0,0,ROUND(K84/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84)*((История!$C$5:$C$300+История!$F$5:$F$300-ABS(История!$C$5:$C$300-История!$F$5:$F$300))/2)*История!$D$5:$D$300)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IF($B85="","",IF(SUMIFS('ИТОГО Торговля'!$C$5:$C$300,'ИТОГО Торговля'!$B$5:$B$300,$B85)+SUMIFS('ИТОГО Лэндинг'!$C$5:$C$300,'ИТОГО Лэндинг'!$B$5:$B$300,$B85)+SUMIFS('История'!$C$5:$C$300,'История'!$B$5:$B$300,$B85)=0,"",SUMIFS('ИТОГО Торговля'!$C$5:$C$300,'ИТОГО Торговля'!$B$5:$B$300,$B85)+SUMIFS('ИТОГО Лэндинг'!$C$5:$C$300,'ИТОГО Лэндинг'!$B$5:$B$300,$B85)+SUMIFS('История'!$C$5:$C$300,'История'!$B$5:$B$300,$B85)))</f>
        <v/>
      </c>
      <c r="D85" s="177">
        <f>IF(C85="","",E85/C85)</f>
        <v/>
      </c>
      <c r="E85" s="241">
        <f>IF(C85="","",SUMIFS('ИТОГО Торговля'!$E$5:$E$300,'ИТОГО Торговля'!$B$5:$B$300,$B85)+SUMIFS('ИТОГО Лэндинг'!$E$5:$E$300,'ИТОГО Лэндинг'!$B$5:$B$300,$B85)+SUMIFS('История'!$E$5:$E$300,'История'!$B$5:$B$300,$B85))</f>
        <v/>
      </c>
      <c r="F85" s="240">
        <f>IF($B85="","",IF(SUMIFS('ИТОГО Торговля'!$F$5:$F$300,'ИТОГО Торговля'!$B$5:$B$300,$B85)+SUMIFS('ИТОГО Лэндинг'!$F$5:$F$300,'ИТОГО Лэндинг'!$B$5:$B$300,$B85)+SUMIFS('История'!$F$5:$F$300,'История'!$B$5:$B$300,$B85)=0,"",SUMIFS('ИТОГО Торговля'!$F$5:$F$300,'ИТОГО Торговля'!$B$5:$B$300,$B85)+SUMIFS('ИТОГО Лэндинг'!$F$5:$F$300,'ИТОГО Лэндинг'!$B$5:$B$300,$B85)+SUMIFS('История'!$F$5:$F$300,'История'!$B$5:$B$300,$B85)))</f>
        <v/>
      </c>
      <c r="G85" s="177">
        <f>IF(F85="","",H85/F85)</f>
        <v/>
      </c>
      <c r="H85" s="241">
        <f>IF(F85="","",SUMIFS('ИТОГО Торговля'!$H$5:$H$300,'ИТОГО Торговля'!$B$5:$B$300,$B85)+SUMIFS('ИТОГО Лэндинг'!$H$5:$H$300,'ИТОГО Лэндинг'!$B$5:$B$300,$B85)+SUMIFS('История'!$H$5:$H$300,'История'!$B$5:$B$300,$B85))</f>
        <v/>
      </c>
      <c r="I85" s="240">
        <f>IF($B85="","",IF(AND(C85="",F85=""),"",ROUND(SUMIFS('ИТОГО Торговля'!$I$5:$I$300,'ИТОГО Торговля'!$B$5:$B$300,$B85)+SUMIFS('ИТОГО Лэндинг'!$I$5:$I$300,'ИТОГО Лэндинг'!$B$5:$B$300,$B85)+SUMIFS('История'!$I$5:$I$300,'История'!$B$5:$B$300,$B85),8)))</f>
        <v/>
      </c>
      <c r="J85" s="241">
        <f>IF($B85="","",IF(AND(C85="",F85=""),"",ROUND(SUMIFS('ИТОГО Торговля'!$J$5:$J$300,'ИТОГО Торговля'!$B$5:$B$300,$B85)+SUMIFS('ИТОГО Лэндинг'!$J$5:$J$300,'ИТОГО Лэндинг'!$B$5:$B$300,$B85)+SUMIFS('История'!$J$5:$J$300,'История'!$B$5:$B$300,$B85),8)))</f>
        <v/>
      </c>
      <c r="K85" s="240">
        <f>IF($B85="","",ROUND(SUMIFS('ИТОГО Торговля'!$K$5:$K$300,'ИТОГО Торговля'!$B$5:$B$300,$B85)+SUMIFS('ИТОГО Лэндинг'!$K$5:$K$300,'ИТОГО Лэндинг'!$B$5:$B$300,$B85)+SUMIFS('История'!$K$5:$K$300,'История'!$B$5:$B$300,$B85),8))</f>
        <v/>
      </c>
      <c r="L85" s="177">
        <f>IF(K85="","",IF(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85)*((История!$C$5:$C$300+История!$F$5:$F$300-ABS(История!$C$5:$C$300-История!$F$5:$F$300))/2)*История!$D$5:$D$300))&lt;=0,0,ROUND(K85/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85)*((История!$C$5:$C$300+История!$F$5:$F$300-ABS(История!$C$5:$C$300-История!$F$5:$F$300))/2)*История!$D$5:$D$300)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IF($B86="","",IF(SUMIFS('ИТОГО Торговля'!$C$5:$C$300,'ИТОГО Торговля'!$B$5:$B$300,$B86)+SUMIFS('ИТОГО Лэндинг'!$C$5:$C$300,'ИТОГО Лэндинг'!$B$5:$B$300,$B86)+SUMIFS('История'!$C$5:$C$300,'История'!$B$5:$B$300,$B86)=0,"",SUMIFS('ИТОГО Торговля'!$C$5:$C$300,'ИТОГО Торговля'!$B$5:$B$300,$B86)+SUMIFS('ИТОГО Лэндинг'!$C$5:$C$300,'ИТОГО Лэндинг'!$B$5:$B$300,$B86)+SUMIFS('История'!$C$5:$C$300,'История'!$B$5:$B$300,$B86)))</f>
        <v/>
      </c>
      <c r="D86" s="183">
        <f>IF(C86="","",E86/C86)</f>
        <v/>
      </c>
      <c r="E86" s="247">
        <f>IF(C86="","",SUMIFS('ИТОГО Торговля'!$E$5:$E$300,'ИТОГО Торговля'!$B$5:$B$300,$B86)+SUMIFS('ИТОГО Лэндинг'!$E$5:$E$300,'ИТОГО Лэндинг'!$B$5:$B$300,$B86)+SUMIFS('История'!$E$5:$E$300,'История'!$B$5:$B$300,$B86))</f>
        <v/>
      </c>
      <c r="F86" s="246">
        <f>IF($B86="","",IF(SUMIFS('ИТОГО Торговля'!$F$5:$F$300,'ИТОГО Торговля'!$B$5:$B$300,$B86)+SUMIFS('ИТОГО Лэндинг'!$F$5:$F$300,'ИТОГО Лэндинг'!$B$5:$B$300,$B86)+SUMIFS('История'!$F$5:$F$300,'История'!$B$5:$B$300,$B86)=0,"",SUMIFS('ИТОГО Торговля'!$F$5:$F$300,'ИТОГО Торговля'!$B$5:$B$300,$B86)+SUMIFS('ИТОГО Лэндинг'!$F$5:$F$300,'ИТОГО Лэндинг'!$B$5:$B$300,$B86)+SUMIFS('История'!$F$5:$F$300,'История'!$B$5:$B$300,$B86)))</f>
        <v/>
      </c>
      <c r="G86" s="183">
        <f>IF(F86="","",H86/F86)</f>
        <v/>
      </c>
      <c r="H86" s="247">
        <f>IF(F86="","",SUMIFS('ИТОГО Торговля'!$H$5:$H$300,'ИТОГО Торговля'!$B$5:$B$300,$B86)+SUMIFS('ИТОГО Лэндинг'!$H$5:$H$300,'ИТОГО Лэндинг'!$B$5:$B$300,$B86)+SUMIFS('История'!$H$5:$H$300,'История'!$B$5:$B$300,$B86))</f>
        <v/>
      </c>
      <c r="I86" s="246">
        <f>IF($B86="","",IF(AND(C86="",F86=""),"",ROUND(SUMIFS('ИТОГО Торговля'!$I$5:$I$300,'ИТОГО Торговля'!$B$5:$B$300,$B86)+SUMIFS('ИТОГО Лэндинг'!$I$5:$I$300,'ИТОГО Лэндинг'!$B$5:$B$300,$B86)+SUMIFS('История'!$I$5:$I$300,'История'!$B$5:$B$300,$B86),8)))</f>
        <v/>
      </c>
      <c r="J86" s="247">
        <f>IF($B86="","",IF(AND(C86="",F86=""),"",ROUND(SUMIFS('ИТОГО Торговля'!$J$5:$J$300,'ИТОГО Торговля'!$B$5:$B$300,$B86)+SUMIFS('ИТОГО Лэндинг'!$J$5:$J$300,'ИТОГО Лэндинг'!$B$5:$B$300,$B86)+SUMIFS('История'!$J$5:$J$300,'История'!$B$5:$B$300,$B86),8)))</f>
        <v/>
      </c>
      <c r="K86" s="246">
        <f>IF($B86="","",ROUND(SUMIFS('ИТОГО Торговля'!$K$5:$K$300,'ИТОГО Торговля'!$B$5:$B$300,$B86)+SUMIFS('ИТОГО Лэндинг'!$K$5:$K$300,'ИТОГО Лэндинг'!$B$5:$B$300,$B86)+SUMIFS('История'!$K$5:$K$300,'История'!$B$5:$B$300,$B86),8))</f>
        <v/>
      </c>
      <c r="L86" s="183">
        <f>IF(K86="","",IF(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86)*((История!$C$5:$C$300+История!$F$5:$F$300-ABS(История!$C$5:$C$300-История!$F$5:$F$300))/2)*История!$D$5:$D$300))&lt;=0,0,ROUND(K86/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86)*((История!$C$5:$C$300+История!$F$5:$F$300-ABS(История!$C$5:$C$300-История!$F$5:$F$300))/2)*История!$D$5:$D$300)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IF($B87="","",IF(SUMIFS('ИТОГО Торговля'!$C$5:$C$300,'ИТОГО Торговля'!$B$5:$B$300,$B87)+SUMIFS('ИТОГО Лэндинг'!$C$5:$C$300,'ИТОГО Лэндинг'!$B$5:$B$300,$B87)+SUMIFS('История'!$C$5:$C$300,'История'!$B$5:$B$300,$B87)=0,"",SUMIFS('ИТОГО Торговля'!$C$5:$C$300,'ИТОГО Торговля'!$B$5:$B$300,$B87)+SUMIFS('ИТОГО Лэндинг'!$C$5:$C$300,'ИТОГО Лэндинг'!$B$5:$B$300,$B87)+SUMIFS('История'!$C$5:$C$300,'История'!$B$5:$B$300,$B87)))</f>
        <v/>
      </c>
      <c r="D87" s="177">
        <f>IF(C87="","",E87/C87)</f>
        <v/>
      </c>
      <c r="E87" s="241">
        <f>IF(C87="","",SUMIFS('ИТОГО Торговля'!$E$5:$E$300,'ИТОГО Торговля'!$B$5:$B$300,$B87)+SUMIFS('ИТОГО Лэндинг'!$E$5:$E$300,'ИТОГО Лэндинг'!$B$5:$B$300,$B87)+SUMIFS('История'!$E$5:$E$300,'История'!$B$5:$B$300,$B87))</f>
        <v/>
      </c>
      <c r="F87" s="240">
        <f>IF($B87="","",IF(SUMIFS('ИТОГО Торговля'!$F$5:$F$300,'ИТОГО Торговля'!$B$5:$B$300,$B87)+SUMIFS('ИТОГО Лэндинг'!$F$5:$F$300,'ИТОГО Лэндинг'!$B$5:$B$300,$B87)+SUMIFS('История'!$F$5:$F$300,'История'!$B$5:$B$300,$B87)=0,"",SUMIFS('ИТОГО Торговля'!$F$5:$F$300,'ИТОГО Торговля'!$B$5:$B$300,$B87)+SUMIFS('ИТОГО Лэндинг'!$F$5:$F$300,'ИТОГО Лэндинг'!$B$5:$B$300,$B87)+SUMIFS('История'!$F$5:$F$300,'История'!$B$5:$B$300,$B87)))</f>
        <v/>
      </c>
      <c r="G87" s="177">
        <f>IF(F87="","",H87/F87)</f>
        <v/>
      </c>
      <c r="H87" s="241">
        <f>IF(F87="","",SUMIFS('ИТОГО Торговля'!$H$5:$H$300,'ИТОГО Торговля'!$B$5:$B$300,$B87)+SUMIFS('ИТОГО Лэндинг'!$H$5:$H$300,'ИТОГО Лэндинг'!$B$5:$B$300,$B87)+SUMIFS('История'!$H$5:$H$300,'История'!$B$5:$B$300,$B87))</f>
        <v/>
      </c>
      <c r="I87" s="240">
        <f>IF($B87="","",IF(AND(C87="",F87=""),"",ROUND(SUMIFS('ИТОГО Торговля'!$I$5:$I$300,'ИТОГО Торговля'!$B$5:$B$300,$B87)+SUMIFS('ИТОГО Лэндинг'!$I$5:$I$300,'ИТОГО Лэндинг'!$B$5:$B$300,$B87)+SUMIFS('История'!$I$5:$I$300,'История'!$B$5:$B$300,$B87),8)))</f>
        <v/>
      </c>
      <c r="J87" s="241">
        <f>IF($B87="","",IF(AND(C87="",F87=""),"",ROUND(SUMIFS('ИТОГО Торговля'!$J$5:$J$300,'ИТОГО Торговля'!$B$5:$B$300,$B87)+SUMIFS('ИТОГО Лэндинг'!$J$5:$J$300,'ИТОГО Лэндинг'!$B$5:$B$300,$B87)+SUMIFS('История'!$J$5:$J$300,'История'!$B$5:$B$300,$B87),8)))</f>
        <v/>
      </c>
      <c r="K87" s="240">
        <f>IF($B87="","",ROUND(SUMIFS('ИТОГО Торговля'!$K$5:$K$300,'ИТОГО Торговля'!$B$5:$B$300,$B87)+SUMIFS('ИТОГО Лэндинг'!$K$5:$K$300,'ИТОГО Лэндинг'!$B$5:$B$300,$B87)+SUMIFS('История'!$K$5:$K$300,'История'!$B$5:$B$300,$B87),8))</f>
        <v/>
      </c>
      <c r="L87" s="177">
        <f>IF(K87="","",IF(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87)*((История!$C$5:$C$300+История!$F$5:$F$300-ABS(История!$C$5:$C$300-История!$F$5:$F$300))/2)*История!$D$5:$D$300))&lt;=0,0,ROUND(K87/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87)*((История!$C$5:$C$300+История!$F$5:$F$300-ABS(История!$C$5:$C$300-История!$F$5:$F$300))/2)*История!$D$5:$D$300)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IF($B88="","",IF(SUMIFS('ИТОГО Торговля'!$C$5:$C$300,'ИТОГО Торговля'!$B$5:$B$300,$B88)+SUMIFS('ИТОГО Лэндинг'!$C$5:$C$300,'ИТОГО Лэндинг'!$B$5:$B$300,$B88)+SUMIFS('История'!$C$5:$C$300,'История'!$B$5:$B$300,$B88)=0,"",SUMIFS('ИТОГО Торговля'!$C$5:$C$300,'ИТОГО Торговля'!$B$5:$B$300,$B88)+SUMIFS('ИТОГО Лэндинг'!$C$5:$C$300,'ИТОГО Лэндинг'!$B$5:$B$300,$B88)+SUMIFS('История'!$C$5:$C$300,'История'!$B$5:$B$300,$B88)))</f>
        <v/>
      </c>
      <c r="D88" s="183">
        <f>IF(C88="","",E88/C88)</f>
        <v/>
      </c>
      <c r="E88" s="247">
        <f>IF(C88="","",SUMIFS('ИТОГО Торговля'!$E$5:$E$300,'ИТОГО Торговля'!$B$5:$B$300,$B88)+SUMIFS('ИТОГО Лэндинг'!$E$5:$E$300,'ИТОГО Лэндинг'!$B$5:$B$300,$B88)+SUMIFS('История'!$E$5:$E$300,'История'!$B$5:$B$300,$B88))</f>
        <v/>
      </c>
      <c r="F88" s="246">
        <f>IF($B88="","",IF(SUMIFS('ИТОГО Торговля'!$F$5:$F$300,'ИТОГО Торговля'!$B$5:$B$300,$B88)+SUMIFS('ИТОГО Лэндинг'!$F$5:$F$300,'ИТОГО Лэндинг'!$B$5:$B$300,$B88)+SUMIFS('История'!$F$5:$F$300,'История'!$B$5:$B$300,$B88)=0,"",SUMIFS('ИТОГО Торговля'!$F$5:$F$300,'ИТОГО Торговля'!$B$5:$B$300,$B88)+SUMIFS('ИТОГО Лэндинг'!$F$5:$F$300,'ИТОГО Лэндинг'!$B$5:$B$300,$B88)+SUMIFS('История'!$F$5:$F$300,'История'!$B$5:$B$300,$B88)))</f>
        <v/>
      </c>
      <c r="G88" s="183">
        <f>IF(F88="","",H88/F88)</f>
        <v/>
      </c>
      <c r="H88" s="247">
        <f>IF(F88="","",SUMIFS('ИТОГО Торговля'!$H$5:$H$300,'ИТОГО Торговля'!$B$5:$B$300,$B88)+SUMIFS('ИТОГО Лэндинг'!$H$5:$H$300,'ИТОГО Лэндинг'!$B$5:$B$300,$B88)+SUMIFS('История'!$H$5:$H$300,'История'!$B$5:$B$300,$B88))</f>
        <v/>
      </c>
      <c r="I88" s="246">
        <f>IF($B88="","",IF(AND(C88="",F88=""),"",ROUND(SUMIFS('ИТОГО Торговля'!$I$5:$I$300,'ИТОГО Торговля'!$B$5:$B$300,$B88)+SUMIFS('ИТОГО Лэндинг'!$I$5:$I$300,'ИТОГО Лэндинг'!$B$5:$B$300,$B88)+SUMIFS('История'!$I$5:$I$300,'История'!$B$5:$B$300,$B88),8)))</f>
        <v/>
      </c>
      <c r="J88" s="247">
        <f>IF($B88="","",IF(AND(C88="",F88=""),"",ROUND(SUMIFS('ИТОГО Торговля'!$J$5:$J$300,'ИТОГО Торговля'!$B$5:$B$300,$B88)+SUMIFS('ИТОГО Лэндинг'!$J$5:$J$300,'ИТОГО Лэндинг'!$B$5:$B$300,$B88)+SUMIFS('История'!$J$5:$J$300,'История'!$B$5:$B$300,$B88),8)))</f>
        <v/>
      </c>
      <c r="K88" s="246">
        <f>IF($B88="","",ROUND(SUMIFS('ИТОГО Торговля'!$K$5:$K$300,'ИТОГО Торговля'!$B$5:$B$300,$B88)+SUMIFS('ИТОГО Лэндинг'!$K$5:$K$300,'ИТОГО Лэндинг'!$B$5:$B$300,$B88)+SUMIFS('История'!$K$5:$K$300,'История'!$B$5:$B$300,$B88),8))</f>
        <v/>
      </c>
      <c r="L88" s="183">
        <f>IF(K88="","",IF(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88)*((История!$C$5:$C$300+История!$F$5:$F$300-ABS(История!$C$5:$C$300-История!$F$5:$F$300))/2)*История!$D$5:$D$300))&lt;=0,0,ROUND(K88/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88)*((История!$C$5:$C$300+История!$F$5:$F$300-ABS(История!$C$5:$C$300-История!$F$5:$F$300))/2)*История!$D$5:$D$300)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IF($B89="","",IF(SUMIFS('ИТОГО Торговля'!$C$5:$C$300,'ИТОГО Торговля'!$B$5:$B$300,$B89)+SUMIFS('ИТОГО Лэндинг'!$C$5:$C$300,'ИТОГО Лэндинг'!$B$5:$B$300,$B89)+SUMIFS('История'!$C$5:$C$300,'История'!$B$5:$B$300,$B89)=0,"",SUMIFS('ИТОГО Торговля'!$C$5:$C$300,'ИТОГО Торговля'!$B$5:$B$300,$B89)+SUMIFS('ИТОГО Лэндинг'!$C$5:$C$300,'ИТОГО Лэндинг'!$B$5:$B$300,$B89)+SUMIFS('История'!$C$5:$C$300,'История'!$B$5:$B$300,$B89)))</f>
        <v/>
      </c>
      <c r="D89" s="177">
        <f>IF(C89="","",E89/C89)</f>
        <v/>
      </c>
      <c r="E89" s="241">
        <f>IF(C89="","",SUMIFS('ИТОГО Торговля'!$E$5:$E$300,'ИТОГО Торговля'!$B$5:$B$300,$B89)+SUMIFS('ИТОГО Лэндинг'!$E$5:$E$300,'ИТОГО Лэндинг'!$B$5:$B$300,$B89)+SUMIFS('История'!$E$5:$E$300,'История'!$B$5:$B$300,$B89))</f>
        <v/>
      </c>
      <c r="F89" s="240">
        <f>IF($B89="","",IF(SUMIFS('ИТОГО Торговля'!$F$5:$F$300,'ИТОГО Торговля'!$B$5:$B$300,$B89)+SUMIFS('ИТОГО Лэндинг'!$F$5:$F$300,'ИТОГО Лэндинг'!$B$5:$B$300,$B89)+SUMIFS('История'!$F$5:$F$300,'История'!$B$5:$B$300,$B89)=0,"",SUMIFS('ИТОГО Торговля'!$F$5:$F$300,'ИТОГО Торговля'!$B$5:$B$300,$B89)+SUMIFS('ИТОГО Лэндинг'!$F$5:$F$300,'ИТОГО Лэндинг'!$B$5:$B$300,$B89)+SUMIFS('История'!$F$5:$F$300,'История'!$B$5:$B$300,$B89)))</f>
        <v/>
      </c>
      <c r="G89" s="177">
        <f>IF(F89="","",H89/F89)</f>
        <v/>
      </c>
      <c r="H89" s="241">
        <f>IF(F89="","",SUMIFS('ИТОГО Торговля'!$H$5:$H$300,'ИТОГО Торговля'!$B$5:$B$300,$B89)+SUMIFS('ИТОГО Лэндинг'!$H$5:$H$300,'ИТОГО Лэндинг'!$B$5:$B$300,$B89)+SUMIFS('История'!$H$5:$H$300,'История'!$B$5:$B$300,$B89))</f>
        <v/>
      </c>
      <c r="I89" s="240">
        <f>IF($B89="","",IF(AND(C89="",F89=""),"",ROUND(SUMIFS('ИТОГО Торговля'!$I$5:$I$300,'ИТОГО Торговля'!$B$5:$B$300,$B89)+SUMIFS('ИТОГО Лэндинг'!$I$5:$I$300,'ИТОГО Лэндинг'!$B$5:$B$300,$B89)+SUMIFS('История'!$I$5:$I$300,'История'!$B$5:$B$300,$B89),8)))</f>
        <v/>
      </c>
      <c r="J89" s="241">
        <f>IF($B89="","",IF(AND(C89="",F89=""),"",ROUND(SUMIFS('ИТОГО Торговля'!$J$5:$J$300,'ИТОГО Торговля'!$B$5:$B$300,$B89)+SUMIFS('ИТОГО Лэндинг'!$J$5:$J$300,'ИТОГО Лэндинг'!$B$5:$B$300,$B89)+SUMIFS('История'!$J$5:$J$300,'История'!$B$5:$B$300,$B89),8)))</f>
        <v/>
      </c>
      <c r="K89" s="240">
        <f>IF($B89="","",ROUND(SUMIFS('ИТОГО Торговля'!$K$5:$K$300,'ИТОГО Торговля'!$B$5:$B$300,$B89)+SUMIFS('ИТОГО Лэндинг'!$K$5:$K$300,'ИТОГО Лэндинг'!$B$5:$B$300,$B89)+SUMIFS('История'!$K$5:$K$300,'История'!$B$5:$B$300,$B89),8))</f>
        <v/>
      </c>
      <c r="L89" s="177">
        <f>IF(K89="","",IF(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89)*((История!$C$5:$C$300+История!$F$5:$F$300-ABS(История!$C$5:$C$300-История!$F$5:$F$300))/2)*История!$D$5:$D$300))&lt;=0,0,ROUND(K89/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89)*((История!$C$5:$C$300+История!$F$5:$F$300-ABS(История!$C$5:$C$300-История!$F$5:$F$300))/2)*История!$D$5:$D$300)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IF($B90="","",IF(SUMIFS('ИТОГО Торговля'!$C$5:$C$300,'ИТОГО Торговля'!$B$5:$B$300,$B90)+SUMIFS('ИТОГО Лэндинг'!$C$5:$C$300,'ИТОГО Лэндинг'!$B$5:$B$300,$B90)+SUMIFS('История'!$C$5:$C$300,'История'!$B$5:$B$300,$B90)=0,"",SUMIFS('ИТОГО Торговля'!$C$5:$C$300,'ИТОГО Торговля'!$B$5:$B$300,$B90)+SUMIFS('ИТОГО Лэндинг'!$C$5:$C$300,'ИТОГО Лэндинг'!$B$5:$B$300,$B90)+SUMIFS('История'!$C$5:$C$300,'История'!$B$5:$B$300,$B90)))</f>
        <v/>
      </c>
      <c r="D90" s="183">
        <f>IF(C90="","",E90/C90)</f>
        <v/>
      </c>
      <c r="E90" s="247">
        <f>IF(C90="","",SUMIFS('ИТОГО Торговля'!$E$5:$E$300,'ИТОГО Торговля'!$B$5:$B$300,$B90)+SUMIFS('ИТОГО Лэндинг'!$E$5:$E$300,'ИТОГО Лэндинг'!$B$5:$B$300,$B90)+SUMIFS('История'!$E$5:$E$300,'История'!$B$5:$B$300,$B90))</f>
        <v/>
      </c>
      <c r="F90" s="246">
        <f>IF($B90="","",IF(SUMIFS('ИТОГО Торговля'!$F$5:$F$300,'ИТОГО Торговля'!$B$5:$B$300,$B90)+SUMIFS('ИТОГО Лэндинг'!$F$5:$F$300,'ИТОГО Лэндинг'!$B$5:$B$300,$B90)+SUMIFS('История'!$F$5:$F$300,'История'!$B$5:$B$300,$B90)=0,"",SUMIFS('ИТОГО Торговля'!$F$5:$F$300,'ИТОГО Торговля'!$B$5:$B$300,$B90)+SUMIFS('ИТОГО Лэндинг'!$F$5:$F$300,'ИТОГО Лэндинг'!$B$5:$B$300,$B90)+SUMIFS('История'!$F$5:$F$300,'История'!$B$5:$B$300,$B90)))</f>
        <v/>
      </c>
      <c r="G90" s="183">
        <f>IF(F90="","",H90/F90)</f>
        <v/>
      </c>
      <c r="H90" s="247">
        <f>IF(F90="","",SUMIFS('ИТОГО Торговля'!$H$5:$H$300,'ИТОГО Торговля'!$B$5:$B$300,$B90)+SUMIFS('ИТОГО Лэндинг'!$H$5:$H$300,'ИТОГО Лэндинг'!$B$5:$B$300,$B90)+SUMIFS('История'!$H$5:$H$300,'История'!$B$5:$B$300,$B90))</f>
        <v/>
      </c>
      <c r="I90" s="246">
        <f>IF($B90="","",IF(AND(C90="",F90=""),"",ROUND(SUMIFS('ИТОГО Торговля'!$I$5:$I$300,'ИТОГО Торговля'!$B$5:$B$300,$B90)+SUMIFS('ИТОГО Лэндинг'!$I$5:$I$300,'ИТОГО Лэндинг'!$B$5:$B$300,$B90)+SUMIFS('История'!$I$5:$I$300,'История'!$B$5:$B$300,$B90),8)))</f>
        <v/>
      </c>
      <c r="J90" s="247">
        <f>IF($B90="","",IF(AND(C90="",F90=""),"",ROUND(SUMIFS('ИТОГО Торговля'!$J$5:$J$300,'ИТОГО Торговля'!$B$5:$B$300,$B90)+SUMIFS('ИТОГО Лэндинг'!$J$5:$J$300,'ИТОГО Лэндинг'!$B$5:$B$300,$B90)+SUMIFS('История'!$J$5:$J$300,'История'!$B$5:$B$300,$B90),8)))</f>
        <v/>
      </c>
      <c r="K90" s="246">
        <f>IF($B90="","",ROUND(SUMIFS('ИТОГО Торговля'!$K$5:$K$300,'ИТОГО Торговля'!$B$5:$B$300,$B90)+SUMIFS('ИТОГО Лэндинг'!$K$5:$K$300,'ИТОГО Лэндинг'!$B$5:$B$300,$B90)+SUMIFS('История'!$K$5:$K$300,'История'!$B$5:$B$300,$B90),8))</f>
        <v/>
      </c>
      <c r="L90" s="183">
        <f>IF(K90="","",IF(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90)*((История!$C$5:$C$300+История!$F$5:$F$300-ABS(История!$C$5:$C$300-История!$F$5:$F$300))/2)*История!$D$5:$D$300))&lt;=0,0,ROUND(K90/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90)*((История!$C$5:$C$300+История!$F$5:$F$300-ABS(История!$C$5:$C$300-История!$F$5:$F$300))/2)*История!$D$5:$D$300)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IF($B91="","",IF(SUMIFS('ИТОГО Торговля'!$C$5:$C$300,'ИТОГО Торговля'!$B$5:$B$300,$B91)+SUMIFS('ИТОГО Лэндинг'!$C$5:$C$300,'ИТОГО Лэндинг'!$B$5:$B$300,$B91)+SUMIFS('История'!$C$5:$C$300,'История'!$B$5:$B$300,$B91)=0,"",SUMIFS('ИТОГО Торговля'!$C$5:$C$300,'ИТОГО Торговля'!$B$5:$B$300,$B91)+SUMIFS('ИТОГО Лэндинг'!$C$5:$C$300,'ИТОГО Лэндинг'!$B$5:$B$300,$B91)+SUMIFS('История'!$C$5:$C$300,'История'!$B$5:$B$300,$B91)))</f>
        <v/>
      </c>
      <c r="D91" s="177">
        <f>IF(C91="","",E91/C91)</f>
        <v/>
      </c>
      <c r="E91" s="241">
        <f>IF(C91="","",SUMIFS('ИТОГО Торговля'!$E$5:$E$300,'ИТОГО Торговля'!$B$5:$B$300,$B91)+SUMIFS('ИТОГО Лэндинг'!$E$5:$E$300,'ИТОГО Лэндинг'!$B$5:$B$300,$B91)+SUMIFS('История'!$E$5:$E$300,'История'!$B$5:$B$300,$B91))</f>
        <v/>
      </c>
      <c r="F91" s="240">
        <f>IF($B91="","",IF(SUMIFS('ИТОГО Торговля'!$F$5:$F$300,'ИТОГО Торговля'!$B$5:$B$300,$B91)+SUMIFS('ИТОГО Лэндинг'!$F$5:$F$300,'ИТОГО Лэндинг'!$B$5:$B$300,$B91)+SUMIFS('История'!$F$5:$F$300,'История'!$B$5:$B$300,$B91)=0,"",SUMIFS('ИТОГО Торговля'!$F$5:$F$300,'ИТОГО Торговля'!$B$5:$B$300,$B91)+SUMIFS('ИТОГО Лэндинг'!$F$5:$F$300,'ИТОГО Лэндинг'!$B$5:$B$300,$B91)+SUMIFS('История'!$F$5:$F$300,'История'!$B$5:$B$300,$B91)))</f>
        <v/>
      </c>
      <c r="G91" s="177">
        <f>IF(F91="","",H91/F91)</f>
        <v/>
      </c>
      <c r="H91" s="241">
        <f>IF(F91="","",SUMIFS('ИТОГО Торговля'!$H$5:$H$300,'ИТОГО Торговля'!$B$5:$B$300,$B91)+SUMIFS('ИТОГО Лэндинг'!$H$5:$H$300,'ИТОГО Лэндинг'!$B$5:$B$300,$B91)+SUMIFS('История'!$H$5:$H$300,'История'!$B$5:$B$300,$B91))</f>
        <v/>
      </c>
      <c r="I91" s="240">
        <f>IF($B91="","",IF(AND(C91="",F91=""),"",ROUND(SUMIFS('ИТОГО Торговля'!$I$5:$I$300,'ИТОГО Торговля'!$B$5:$B$300,$B91)+SUMIFS('ИТОГО Лэндинг'!$I$5:$I$300,'ИТОГО Лэндинг'!$B$5:$B$300,$B91)+SUMIFS('История'!$I$5:$I$300,'История'!$B$5:$B$300,$B91),8)))</f>
        <v/>
      </c>
      <c r="J91" s="241">
        <f>IF($B91="","",IF(AND(C91="",F91=""),"",ROUND(SUMIFS('ИТОГО Торговля'!$J$5:$J$300,'ИТОГО Торговля'!$B$5:$B$300,$B91)+SUMIFS('ИТОГО Лэндинг'!$J$5:$J$300,'ИТОГО Лэндинг'!$B$5:$B$300,$B91)+SUMIFS('История'!$J$5:$J$300,'История'!$B$5:$B$300,$B91),8)))</f>
        <v/>
      </c>
      <c r="K91" s="240">
        <f>IF($B91="","",ROUND(SUMIFS('ИТОГО Торговля'!$K$5:$K$300,'ИТОГО Торговля'!$B$5:$B$300,$B91)+SUMIFS('ИТОГО Лэндинг'!$K$5:$K$300,'ИТОГО Лэндинг'!$B$5:$B$300,$B91)+SUMIFS('История'!$K$5:$K$300,'История'!$B$5:$B$300,$B91),8))</f>
        <v/>
      </c>
      <c r="L91" s="177">
        <f>IF(K91="","",IF(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91)*((История!$C$5:$C$300+История!$F$5:$F$300-ABS(История!$C$5:$C$300-История!$F$5:$F$300))/2)*История!$D$5:$D$300))&lt;=0,0,ROUND(K91/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91)*((История!$C$5:$C$300+История!$F$5:$F$300-ABS(История!$C$5:$C$300-История!$F$5:$F$300))/2)*История!$D$5:$D$300)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IF($B92="","",IF(SUMIFS('ИТОГО Торговля'!$C$5:$C$300,'ИТОГО Торговля'!$B$5:$B$300,$B92)+SUMIFS('ИТОГО Лэндинг'!$C$5:$C$300,'ИТОГО Лэндинг'!$B$5:$B$300,$B92)+SUMIFS('История'!$C$5:$C$300,'История'!$B$5:$B$300,$B92)=0,"",SUMIFS('ИТОГО Торговля'!$C$5:$C$300,'ИТОГО Торговля'!$B$5:$B$300,$B92)+SUMIFS('ИТОГО Лэндинг'!$C$5:$C$300,'ИТОГО Лэндинг'!$B$5:$B$300,$B92)+SUMIFS('История'!$C$5:$C$300,'История'!$B$5:$B$300,$B92)))</f>
        <v/>
      </c>
      <c r="D92" s="183">
        <f>IF(C92="","",E92/C92)</f>
        <v/>
      </c>
      <c r="E92" s="247">
        <f>IF(C92="","",SUMIFS('ИТОГО Торговля'!$E$5:$E$300,'ИТОГО Торговля'!$B$5:$B$300,$B92)+SUMIFS('ИТОГО Лэндинг'!$E$5:$E$300,'ИТОГО Лэндинг'!$B$5:$B$300,$B92)+SUMIFS('История'!$E$5:$E$300,'История'!$B$5:$B$300,$B92))</f>
        <v/>
      </c>
      <c r="F92" s="246">
        <f>IF($B92="","",IF(SUMIFS('ИТОГО Торговля'!$F$5:$F$300,'ИТОГО Торговля'!$B$5:$B$300,$B92)+SUMIFS('ИТОГО Лэндинг'!$F$5:$F$300,'ИТОГО Лэндинг'!$B$5:$B$300,$B92)+SUMIFS('История'!$F$5:$F$300,'История'!$B$5:$B$300,$B92)=0,"",SUMIFS('ИТОГО Торговля'!$F$5:$F$300,'ИТОГО Торговля'!$B$5:$B$300,$B92)+SUMIFS('ИТОГО Лэндинг'!$F$5:$F$300,'ИТОГО Лэндинг'!$B$5:$B$300,$B92)+SUMIFS('История'!$F$5:$F$300,'История'!$B$5:$B$300,$B92)))</f>
        <v/>
      </c>
      <c r="G92" s="183">
        <f>IF(F92="","",H92/F92)</f>
        <v/>
      </c>
      <c r="H92" s="247">
        <f>IF(F92="","",SUMIFS('ИТОГО Торговля'!$H$5:$H$300,'ИТОГО Торговля'!$B$5:$B$300,$B92)+SUMIFS('ИТОГО Лэндинг'!$H$5:$H$300,'ИТОГО Лэндинг'!$B$5:$B$300,$B92)+SUMIFS('История'!$H$5:$H$300,'История'!$B$5:$B$300,$B92))</f>
        <v/>
      </c>
      <c r="I92" s="246">
        <f>IF($B92="","",IF(AND(C92="",F92=""),"",ROUND(SUMIFS('ИТОГО Торговля'!$I$5:$I$300,'ИТОГО Торговля'!$B$5:$B$300,$B92)+SUMIFS('ИТОГО Лэндинг'!$I$5:$I$300,'ИТОГО Лэндинг'!$B$5:$B$300,$B92)+SUMIFS('История'!$I$5:$I$300,'История'!$B$5:$B$300,$B92),8)))</f>
        <v/>
      </c>
      <c r="J92" s="247">
        <f>IF($B92="","",IF(AND(C92="",F92=""),"",ROUND(SUMIFS('ИТОГО Торговля'!$J$5:$J$300,'ИТОГО Торговля'!$B$5:$B$300,$B92)+SUMIFS('ИТОГО Лэндинг'!$J$5:$J$300,'ИТОГО Лэндинг'!$B$5:$B$300,$B92)+SUMIFS('История'!$J$5:$J$300,'История'!$B$5:$B$300,$B92),8)))</f>
        <v/>
      </c>
      <c r="K92" s="246">
        <f>IF($B92="","",ROUND(SUMIFS('ИТОГО Торговля'!$K$5:$K$300,'ИТОГО Торговля'!$B$5:$B$300,$B92)+SUMIFS('ИТОГО Лэндинг'!$K$5:$K$300,'ИТОГО Лэндинг'!$B$5:$B$300,$B92)+SUMIFS('История'!$K$5:$K$300,'История'!$B$5:$B$300,$B92),8))</f>
        <v/>
      </c>
      <c r="L92" s="183">
        <f>IF(K92="","",IF(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92)*((История!$C$5:$C$300+История!$F$5:$F$300-ABS(История!$C$5:$C$300-История!$F$5:$F$300))/2)*История!$D$5:$D$300))&lt;=0,0,ROUND(K92/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92)*((История!$C$5:$C$300+История!$F$5:$F$300-ABS(История!$C$5:$C$300-История!$F$5:$F$300))/2)*История!$D$5:$D$300)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IF($B93="","",IF(SUMIFS('ИТОГО Торговля'!$C$5:$C$300,'ИТОГО Торговля'!$B$5:$B$300,$B93)+SUMIFS('ИТОГО Лэндинг'!$C$5:$C$300,'ИТОГО Лэндинг'!$B$5:$B$300,$B93)+SUMIFS('История'!$C$5:$C$300,'История'!$B$5:$B$300,$B93)=0,"",SUMIFS('ИТОГО Торговля'!$C$5:$C$300,'ИТОГО Торговля'!$B$5:$B$300,$B93)+SUMIFS('ИТОГО Лэндинг'!$C$5:$C$300,'ИТОГО Лэндинг'!$B$5:$B$300,$B93)+SUMIFS('История'!$C$5:$C$300,'История'!$B$5:$B$300,$B93)))</f>
        <v/>
      </c>
      <c r="D93" s="177">
        <f>IF(C93="","",E93/C93)</f>
        <v/>
      </c>
      <c r="E93" s="241">
        <f>IF(C93="","",SUMIFS('ИТОГО Торговля'!$E$5:$E$300,'ИТОГО Торговля'!$B$5:$B$300,$B93)+SUMIFS('ИТОГО Лэндинг'!$E$5:$E$300,'ИТОГО Лэндинг'!$B$5:$B$300,$B93)+SUMIFS('История'!$E$5:$E$300,'История'!$B$5:$B$300,$B93))</f>
        <v/>
      </c>
      <c r="F93" s="240">
        <f>IF($B93="","",IF(SUMIFS('ИТОГО Торговля'!$F$5:$F$300,'ИТОГО Торговля'!$B$5:$B$300,$B93)+SUMIFS('ИТОГО Лэндинг'!$F$5:$F$300,'ИТОГО Лэндинг'!$B$5:$B$300,$B93)+SUMIFS('История'!$F$5:$F$300,'История'!$B$5:$B$300,$B93)=0,"",SUMIFS('ИТОГО Торговля'!$F$5:$F$300,'ИТОГО Торговля'!$B$5:$B$300,$B93)+SUMIFS('ИТОГО Лэндинг'!$F$5:$F$300,'ИТОГО Лэндинг'!$B$5:$B$300,$B93)+SUMIFS('История'!$F$5:$F$300,'История'!$B$5:$B$300,$B93)))</f>
        <v/>
      </c>
      <c r="G93" s="177">
        <f>IF(F93="","",H93/F93)</f>
        <v/>
      </c>
      <c r="H93" s="241">
        <f>IF(F93="","",SUMIFS('ИТОГО Торговля'!$H$5:$H$300,'ИТОГО Торговля'!$B$5:$B$300,$B93)+SUMIFS('ИТОГО Лэндинг'!$H$5:$H$300,'ИТОГО Лэндинг'!$B$5:$B$300,$B93)+SUMIFS('История'!$H$5:$H$300,'История'!$B$5:$B$300,$B93))</f>
        <v/>
      </c>
      <c r="I93" s="240">
        <f>IF($B93="","",IF(AND(C93="",F93=""),"",ROUND(SUMIFS('ИТОГО Торговля'!$I$5:$I$300,'ИТОГО Торговля'!$B$5:$B$300,$B93)+SUMIFS('ИТОГО Лэндинг'!$I$5:$I$300,'ИТОГО Лэндинг'!$B$5:$B$300,$B93)+SUMIFS('История'!$I$5:$I$300,'История'!$B$5:$B$300,$B93),8)))</f>
        <v/>
      </c>
      <c r="J93" s="241">
        <f>IF($B93="","",IF(AND(C93="",F93=""),"",ROUND(SUMIFS('ИТОГО Торговля'!$J$5:$J$300,'ИТОГО Торговля'!$B$5:$B$300,$B93)+SUMIFS('ИТОГО Лэндинг'!$J$5:$J$300,'ИТОГО Лэндинг'!$B$5:$B$300,$B93)+SUMIFS('История'!$J$5:$J$300,'История'!$B$5:$B$300,$B93),8)))</f>
        <v/>
      </c>
      <c r="K93" s="240">
        <f>IF($B93="","",ROUND(SUMIFS('ИТОГО Торговля'!$K$5:$K$300,'ИТОГО Торговля'!$B$5:$B$300,$B93)+SUMIFS('ИТОГО Лэндинг'!$K$5:$K$300,'ИТОГО Лэндинг'!$B$5:$B$300,$B93)+SUMIFS('История'!$K$5:$K$300,'История'!$B$5:$B$300,$B93),8))</f>
        <v/>
      </c>
      <c r="L93" s="177">
        <f>IF(K93="","",IF(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93)*((История!$C$5:$C$300+История!$F$5:$F$300-ABS(История!$C$5:$C$300-История!$F$5:$F$300))/2)*История!$D$5:$D$300))&lt;=0,0,ROUND(K93/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93)*((История!$C$5:$C$300+История!$F$5:$F$300-ABS(История!$C$5:$C$300-История!$F$5:$F$300))/2)*История!$D$5:$D$300)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IF($B94="","",IF(SUMIFS('ИТОГО Торговля'!$C$5:$C$300,'ИТОГО Торговля'!$B$5:$B$300,$B94)+SUMIFS('ИТОГО Лэндинг'!$C$5:$C$300,'ИТОГО Лэндинг'!$B$5:$B$300,$B94)+SUMIFS('История'!$C$5:$C$300,'История'!$B$5:$B$300,$B94)=0,"",SUMIFS('ИТОГО Торговля'!$C$5:$C$300,'ИТОГО Торговля'!$B$5:$B$300,$B94)+SUMIFS('ИТОГО Лэндинг'!$C$5:$C$300,'ИТОГО Лэндинг'!$B$5:$B$300,$B94)+SUMIFS('История'!$C$5:$C$300,'История'!$B$5:$B$300,$B94)))</f>
        <v/>
      </c>
      <c r="D94" s="183">
        <f>IF(C94="","",E94/C94)</f>
        <v/>
      </c>
      <c r="E94" s="247">
        <f>IF(C94="","",SUMIFS('ИТОГО Торговля'!$E$5:$E$300,'ИТОГО Торговля'!$B$5:$B$300,$B94)+SUMIFS('ИТОГО Лэндинг'!$E$5:$E$300,'ИТОГО Лэндинг'!$B$5:$B$300,$B94)+SUMIFS('История'!$E$5:$E$300,'История'!$B$5:$B$300,$B94))</f>
        <v/>
      </c>
      <c r="F94" s="246">
        <f>IF($B94="","",IF(SUMIFS('ИТОГО Торговля'!$F$5:$F$300,'ИТОГО Торговля'!$B$5:$B$300,$B94)+SUMIFS('ИТОГО Лэндинг'!$F$5:$F$300,'ИТОГО Лэндинг'!$B$5:$B$300,$B94)+SUMIFS('История'!$F$5:$F$300,'История'!$B$5:$B$300,$B94)=0,"",SUMIFS('ИТОГО Торговля'!$F$5:$F$300,'ИТОГО Торговля'!$B$5:$B$300,$B94)+SUMIFS('ИТОГО Лэндинг'!$F$5:$F$300,'ИТОГО Лэндинг'!$B$5:$B$300,$B94)+SUMIFS('История'!$F$5:$F$300,'История'!$B$5:$B$300,$B94)))</f>
        <v/>
      </c>
      <c r="G94" s="183">
        <f>IF(F94="","",H94/F94)</f>
        <v/>
      </c>
      <c r="H94" s="247">
        <f>IF(F94="","",SUMIFS('ИТОГО Торговля'!$H$5:$H$300,'ИТОГО Торговля'!$B$5:$B$300,$B94)+SUMIFS('ИТОГО Лэндинг'!$H$5:$H$300,'ИТОГО Лэндинг'!$B$5:$B$300,$B94)+SUMIFS('История'!$H$5:$H$300,'История'!$B$5:$B$300,$B94))</f>
        <v/>
      </c>
      <c r="I94" s="246">
        <f>IF($B94="","",IF(AND(C94="",F94=""),"",ROUND(SUMIFS('ИТОГО Торговля'!$I$5:$I$300,'ИТОГО Торговля'!$B$5:$B$300,$B94)+SUMIFS('ИТОГО Лэндинг'!$I$5:$I$300,'ИТОГО Лэндинг'!$B$5:$B$300,$B94)+SUMIFS('История'!$I$5:$I$300,'История'!$B$5:$B$300,$B94),8)))</f>
        <v/>
      </c>
      <c r="J94" s="247">
        <f>IF($B94="","",IF(AND(C94="",F94=""),"",ROUND(SUMIFS('ИТОГО Торговля'!$J$5:$J$300,'ИТОГО Торговля'!$B$5:$B$300,$B94)+SUMIFS('ИТОГО Лэндинг'!$J$5:$J$300,'ИТОГО Лэндинг'!$B$5:$B$300,$B94)+SUMIFS('История'!$J$5:$J$300,'История'!$B$5:$B$300,$B94),8)))</f>
        <v/>
      </c>
      <c r="K94" s="246">
        <f>IF($B94="","",ROUND(SUMIFS('ИТОГО Торговля'!$K$5:$K$300,'ИТОГО Торговля'!$B$5:$B$300,$B94)+SUMIFS('ИТОГО Лэндинг'!$K$5:$K$300,'ИТОГО Лэндинг'!$B$5:$B$300,$B94)+SUMIFS('История'!$K$5:$K$300,'История'!$B$5:$B$300,$B94),8))</f>
        <v/>
      </c>
      <c r="L94" s="183">
        <f>IF(K94="","",IF(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94)*((История!$C$5:$C$300+История!$F$5:$F$300-ABS(История!$C$5:$C$300-История!$F$5:$F$300))/2)*История!$D$5:$D$300))&lt;=0,0,ROUND(K94/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94)*((История!$C$5:$C$300+История!$F$5:$F$300-ABS(История!$C$5:$C$300-История!$F$5:$F$300))/2)*История!$D$5:$D$300)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IF($B95="","",IF(SUMIFS('ИТОГО Торговля'!$C$5:$C$300,'ИТОГО Торговля'!$B$5:$B$300,$B95)+SUMIFS('ИТОГО Лэндинг'!$C$5:$C$300,'ИТОГО Лэндинг'!$B$5:$B$300,$B95)+SUMIFS('История'!$C$5:$C$300,'История'!$B$5:$B$300,$B95)=0,"",SUMIFS('ИТОГО Торговля'!$C$5:$C$300,'ИТОГО Торговля'!$B$5:$B$300,$B95)+SUMIFS('ИТОГО Лэндинг'!$C$5:$C$300,'ИТОГО Лэндинг'!$B$5:$B$300,$B95)+SUMIFS('История'!$C$5:$C$300,'История'!$B$5:$B$300,$B95)))</f>
        <v/>
      </c>
      <c r="D95" s="177">
        <f>IF(C95="","",E95/C95)</f>
        <v/>
      </c>
      <c r="E95" s="241">
        <f>IF(C95="","",SUMIFS('ИТОГО Торговля'!$E$5:$E$300,'ИТОГО Торговля'!$B$5:$B$300,$B95)+SUMIFS('ИТОГО Лэндинг'!$E$5:$E$300,'ИТОГО Лэндинг'!$B$5:$B$300,$B95)+SUMIFS('История'!$E$5:$E$300,'История'!$B$5:$B$300,$B95))</f>
        <v/>
      </c>
      <c r="F95" s="240">
        <f>IF($B95="","",IF(SUMIFS('ИТОГО Торговля'!$F$5:$F$300,'ИТОГО Торговля'!$B$5:$B$300,$B95)+SUMIFS('ИТОГО Лэндинг'!$F$5:$F$300,'ИТОГО Лэндинг'!$B$5:$B$300,$B95)+SUMIFS('История'!$F$5:$F$300,'История'!$B$5:$B$300,$B95)=0,"",SUMIFS('ИТОГО Торговля'!$F$5:$F$300,'ИТОГО Торговля'!$B$5:$B$300,$B95)+SUMIFS('ИТОГО Лэндинг'!$F$5:$F$300,'ИТОГО Лэндинг'!$B$5:$B$300,$B95)+SUMIFS('История'!$F$5:$F$300,'История'!$B$5:$B$300,$B95)))</f>
        <v/>
      </c>
      <c r="G95" s="177">
        <f>IF(F95="","",H95/F95)</f>
        <v/>
      </c>
      <c r="H95" s="241">
        <f>IF(F95="","",SUMIFS('ИТОГО Торговля'!$H$5:$H$300,'ИТОГО Торговля'!$B$5:$B$300,$B95)+SUMIFS('ИТОГО Лэндинг'!$H$5:$H$300,'ИТОГО Лэндинг'!$B$5:$B$300,$B95)+SUMIFS('История'!$H$5:$H$300,'История'!$B$5:$B$300,$B95))</f>
        <v/>
      </c>
      <c r="I95" s="240">
        <f>IF($B95="","",IF(AND(C95="",F95=""),"",ROUND(SUMIFS('ИТОГО Торговля'!$I$5:$I$300,'ИТОГО Торговля'!$B$5:$B$300,$B95)+SUMIFS('ИТОГО Лэндинг'!$I$5:$I$300,'ИТОГО Лэндинг'!$B$5:$B$300,$B95)+SUMIFS('История'!$I$5:$I$300,'История'!$B$5:$B$300,$B95),8)))</f>
        <v/>
      </c>
      <c r="J95" s="241">
        <f>IF($B95="","",IF(AND(C95="",F95=""),"",ROUND(SUMIFS('ИТОГО Торговля'!$J$5:$J$300,'ИТОГО Торговля'!$B$5:$B$300,$B95)+SUMIFS('ИТОГО Лэндинг'!$J$5:$J$300,'ИТОГО Лэндинг'!$B$5:$B$300,$B95)+SUMIFS('История'!$J$5:$J$300,'История'!$B$5:$B$300,$B95),8)))</f>
        <v/>
      </c>
      <c r="K95" s="240">
        <f>IF($B95="","",ROUND(SUMIFS('ИТОГО Торговля'!$K$5:$K$300,'ИТОГО Торговля'!$B$5:$B$300,$B95)+SUMIFS('ИТОГО Лэндинг'!$K$5:$K$300,'ИТОГО Лэндинг'!$B$5:$B$300,$B95)+SUMIFS('История'!$K$5:$K$300,'История'!$B$5:$B$300,$B95),8))</f>
        <v/>
      </c>
      <c r="L95" s="177">
        <f>IF(K95="","",IF(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95)*((История!$C$5:$C$300+История!$F$5:$F$300-ABS(История!$C$5:$C$300-История!$F$5:$F$300))/2)*История!$D$5:$D$300))&lt;=0,0,ROUND(K95/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95)*((История!$C$5:$C$300+История!$F$5:$F$300-ABS(История!$C$5:$C$300-История!$F$5:$F$300))/2)*История!$D$5:$D$300)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IF($B96="","",IF(SUMIFS('ИТОГО Торговля'!$C$5:$C$300,'ИТОГО Торговля'!$B$5:$B$300,$B96)+SUMIFS('ИТОГО Лэндинг'!$C$5:$C$300,'ИТОГО Лэндинг'!$B$5:$B$300,$B96)+SUMIFS('История'!$C$5:$C$300,'История'!$B$5:$B$300,$B96)=0,"",SUMIFS('ИТОГО Торговля'!$C$5:$C$300,'ИТОГО Торговля'!$B$5:$B$300,$B96)+SUMIFS('ИТОГО Лэндинг'!$C$5:$C$300,'ИТОГО Лэндинг'!$B$5:$B$300,$B96)+SUMIFS('История'!$C$5:$C$300,'История'!$B$5:$B$300,$B96)))</f>
        <v/>
      </c>
      <c r="D96" s="183">
        <f>IF(C96="","",E96/C96)</f>
        <v/>
      </c>
      <c r="E96" s="247">
        <f>IF(C96="","",SUMIFS('ИТОГО Торговля'!$E$5:$E$300,'ИТОГО Торговля'!$B$5:$B$300,$B96)+SUMIFS('ИТОГО Лэндинг'!$E$5:$E$300,'ИТОГО Лэндинг'!$B$5:$B$300,$B96)+SUMIFS('История'!$E$5:$E$300,'История'!$B$5:$B$300,$B96))</f>
        <v/>
      </c>
      <c r="F96" s="246">
        <f>IF($B96="","",IF(SUMIFS('ИТОГО Торговля'!$F$5:$F$300,'ИТОГО Торговля'!$B$5:$B$300,$B96)+SUMIFS('ИТОГО Лэндинг'!$F$5:$F$300,'ИТОГО Лэндинг'!$B$5:$B$300,$B96)+SUMIFS('История'!$F$5:$F$300,'История'!$B$5:$B$300,$B96)=0,"",SUMIFS('ИТОГО Торговля'!$F$5:$F$300,'ИТОГО Торговля'!$B$5:$B$300,$B96)+SUMIFS('ИТОГО Лэндинг'!$F$5:$F$300,'ИТОГО Лэндинг'!$B$5:$B$300,$B96)+SUMIFS('История'!$F$5:$F$300,'История'!$B$5:$B$300,$B96)))</f>
        <v/>
      </c>
      <c r="G96" s="183">
        <f>IF(F96="","",H96/F96)</f>
        <v/>
      </c>
      <c r="H96" s="247">
        <f>IF(F96="","",SUMIFS('ИТОГО Торговля'!$H$5:$H$300,'ИТОГО Торговля'!$B$5:$B$300,$B96)+SUMIFS('ИТОГО Лэндинг'!$H$5:$H$300,'ИТОГО Лэндинг'!$B$5:$B$300,$B96)+SUMIFS('История'!$H$5:$H$300,'История'!$B$5:$B$300,$B96))</f>
        <v/>
      </c>
      <c r="I96" s="246">
        <f>IF($B96="","",IF(AND(C96="",F96=""),"",ROUND(SUMIFS('ИТОГО Торговля'!$I$5:$I$300,'ИТОГО Торговля'!$B$5:$B$300,$B96)+SUMIFS('ИТОГО Лэндинг'!$I$5:$I$300,'ИТОГО Лэндинг'!$B$5:$B$300,$B96)+SUMIFS('История'!$I$5:$I$300,'История'!$B$5:$B$300,$B96),8)))</f>
        <v/>
      </c>
      <c r="J96" s="247">
        <f>IF($B96="","",IF(AND(C96="",F96=""),"",ROUND(SUMIFS('ИТОГО Торговля'!$J$5:$J$300,'ИТОГО Торговля'!$B$5:$B$300,$B96)+SUMIFS('ИТОГО Лэндинг'!$J$5:$J$300,'ИТОГО Лэндинг'!$B$5:$B$300,$B96)+SUMIFS('История'!$J$5:$J$300,'История'!$B$5:$B$300,$B96),8)))</f>
        <v/>
      </c>
      <c r="K96" s="246">
        <f>IF($B96="","",ROUND(SUMIFS('ИТОГО Торговля'!$K$5:$K$300,'ИТОГО Торговля'!$B$5:$B$300,$B96)+SUMIFS('ИТОГО Лэндинг'!$K$5:$K$300,'ИТОГО Лэндинг'!$B$5:$B$300,$B96)+SUMIFS('История'!$K$5:$K$300,'История'!$B$5:$B$300,$B96),8))</f>
        <v/>
      </c>
      <c r="L96" s="183">
        <f>IF(K96="","",IF(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96)*((История!$C$5:$C$300+История!$F$5:$F$300-ABS(История!$C$5:$C$300-История!$F$5:$F$300))/2)*История!$D$5:$D$300))&lt;=0,0,ROUND(K96/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96)*((История!$C$5:$C$300+История!$F$5:$F$300-ABS(История!$C$5:$C$300-История!$F$5:$F$300))/2)*История!$D$5:$D$300)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IF($B97="","",IF(SUMIFS('ИТОГО Торговля'!$C$5:$C$300,'ИТОГО Торговля'!$B$5:$B$300,$B97)+SUMIFS('ИТОГО Лэндинг'!$C$5:$C$300,'ИТОГО Лэндинг'!$B$5:$B$300,$B97)+SUMIFS('История'!$C$5:$C$300,'История'!$B$5:$B$300,$B97)=0,"",SUMIFS('ИТОГО Торговля'!$C$5:$C$300,'ИТОГО Торговля'!$B$5:$B$300,$B97)+SUMIFS('ИТОГО Лэндинг'!$C$5:$C$300,'ИТОГО Лэндинг'!$B$5:$B$300,$B97)+SUMIFS('История'!$C$5:$C$300,'История'!$B$5:$B$300,$B97)))</f>
        <v/>
      </c>
      <c r="D97" s="177">
        <f>IF(C97="","",E97/C97)</f>
        <v/>
      </c>
      <c r="E97" s="241">
        <f>IF(C97="","",SUMIFS('ИТОГО Торговля'!$E$5:$E$300,'ИТОГО Торговля'!$B$5:$B$300,$B97)+SUMIFS('ИТОГО Лэндинг'!$E$5:$E$300,'ИТОГО Лэндинг'!$B$5:$B$300,$B97)+SUMIFS('История'!$E$5:$E$300,'История'!$B$5:$B$300,$B97))</f>
        <v/>
      </c>
      <c r="F97" s="240">
        <f>IF($B97="","",IF(SUMIFS('ИТОГО Торговля'!$F$5:$F$300,'ИТОГО Торговля'!$B$5:$B$300,$B97)+SUMIFS('ИТОГО Лэндинг'!$F$5:$F$300,'ИТОГО Лэндинг'!$B$5:$B$300,$B97)+SUMIFS('История'!$F$5:$F$300,'История'!$B$5:$B$300,$B97)=0,"",SUMIFS('ИТОГО Торговля'!$F$5:$F$300,'ИТОГО Торговля'!$B$5:$B$300,$B97)+SUMIFS('ИТОГО Лэндинг'!$F$5:$F$300,'ИТОГО Лэндинг'!$B$5:$B$300,$B97)+SUMIFS('История'!$F$5:$F$300,'История'!$B$5:$B$300,$B97)))</f>
        <v/>
      </c>
      <c r="G97" s="177">
        <f>IF(F97="","",H97/F97)</f>
        <v/>
      </c>
      <c r="H97" s="241">
        <f>IF(F97="","",SUMIFS('ИТОГО Торговля'!$H$5:$H$300,'ИТОГО Торговля'!$B$5:$B$300,$B97)+SUMIFS('ИТОГО Лэндинг'!$H$5:$H$300,'ИТОГО Лэндинг'!$B$5:$B$300,$B97)+SUMIFS('История'!$H$5:$H$300,'История'!$B$5:$B$300,$B97))</f>
        <v/>
      </c>
      <c r="I97" s="240">
        <f>IF($B97="","",IF(AND(C97="",F97=""),"",ROUND(SUMIFS('ИТОГО Торговля'!$I$5:$I$300,'ИТОГО Торговля'!$B$5:$B$300,$B97)+SUMIFS('ИТОГО Лэндинг'!$I$5:$I$300,'ИТОГО Лэндинг'!$B$5:$B$300,$B97)+SUMIFS('История'!$I$5:$I$300,'История'!$B$5:$B$300,$B97),8)))</f>
        <v/>
      </c>
      <c r="J97" s="241">
        <f>IF($B97="","",IF(AND(C97="",F97=""),"",ROUND(SUMIFS('ИТОГО Торговля'!$J$5:$J$300,'ИТОГО Торговля'!$B$5:$B$300,$B97)+SUMIFS('ИТОГО Лэндинг'!$J$5:$J$300,'ИТОГО Лэндинг'!$B$5:$B$300,$B97)+SUMIFS('История'!$J$5:$J$300,'История'!$B$5:$B$300,$B97),8)))</f>
        <v/>
      </c>
      <c r="K97" s="240">
        <f>IF($B97="","",ROUND(SUMIFS('ИТОГО Торговля'!$K$5:$K$300,'ИТОГО Торговля'!$B$5:$B$300,$B97)+SUMIFS('ИТОГО Лэндинг'!$K$5:$K$300,'ИТОГО Лэндинг'!$B$5:$B$300,$B97)+SUMIFS('История'!$K$5:$K$300,'История'!$B$5:$B$300,$B97),8))</f>
        <v/>
      </c>
      <c r="L97" s="177">
        <f>IF(K97="","",IF(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97)*((История!$C$5:$C$300+История!$F$5:$F$300-ABS(История!$C$5:$C$300-История!$F$5:$F$300))/2)*История!$D$5:$D$300))&lt;=0,0,ROUND(K97/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97)*((История!$C$5:$C$300+История!$F$5:$F$300-ABS(История!$C$5:$C$300-История!$F$5:$F$300))/2)*История!$D$5:$D$300)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IF($B98="","",IF(SUMIFS('ИТОГО Торговля'!$C$5:$C$300,'ИТОГО Торговля'!$B$5:$B$300,$B98)+SUMIFS('ИТОГО Лэндинг'!$C$5:$C$300,'ИТОГО Лэндинг'!$B$5:$B$300,$B98)+SUMIFS('История'!$C$5:$C$300,'История'!$B$5:$B$300,$B98)=0,"",SUMIFS('ИТОГО Торговля'!$C$5:$C$300,'ИТОГО Торговля'!$B$5:$B$300,$B98)+SUMIFS('ИТОГО Лэндинг'!$C$5:$C$300,'ИТОГО Лэндинг'!$B$5:$B$300,$B98)+SUMIFS('История'!$C$5:$C$300,'История'!$B$5:$B$300,$B98)))</f>
        <v/>
      </c>
      <c r="D98" s="183">
        <f>IF(C98="","",E98/C98)</f>
        <v/>
      </c>
      <c r="E98" s="247">
        <f>IF(C98="","",SUMIFS('ИТОГО Торговля'!$E$5:$E$300,'ИТОГО Торговля'!$B$5:$B$300,$B98)+SUMIFS('ИТОГО Лэндинг'!$E$5:$E$300,'ИТОГО Лэндинг'!$B$5:$B$300,$B98)+SUMIFS('История'!$E$5:$E$300,'История'!$B$5:$B$300,$B98))</f>
        <v/>
      </c>
      <c r="F98" s="246">
        <f>IF($B98="","",IF(SUMIFS('ИТОГО Торговля'!$F$5:$F$300,'ИТОГО Торговля'!$B$5:$B$300,$B98)+SUMIFS('ИТОГО Лэндинг'!$F$5:$F$300,'ИТОГО Лэндинг'!$B$5:$B$300,$B98)+SUMIFS('История'!$F$5:$F$300,'История'!$B$5:$B$300,$B98)=0,"",SUMIFS('ИТОГО Торговля'!$F$5:$F$300,'ИТОГО Торговля'!$B$5:$B$300,$B98)+SUMIFS('ИТОГО Лэндинг'!$F$5:$F$300,'ИТОГО Лэндинг'!$B$5:$B$300,$B98)+SUMIFS('История'!$F$5:$F$300,'История'!$B$5:$B$300,$B98)))</f>
        <v/>
      </c>
      <c r="G98" s="183">
        <f>IF(F98="","",H98/F98)</f>
        <v/>
      </c>
      <c r="H98" s="247">
        <f>IF(F98="","",SUMIFS('ИТОГО Торговля'!$H$5:$H$300,'ИТОГО Торговля'!$B$5:$B$300,$B98)+SUMIFS('ИТОГО Лэндинг'!$H$5:$H$300,'ИТОГО Лэндинг'!$B$5:$B$300,$B98)+SUMIFS('История'!$H$5:$H$300,'История'!$B$5:$B$300,$B98))</f>
        <v/>
      </c>
      <c r="I98" s="246">
        <f>IF($B98="","",IF(AND(C98="",F98=""),"",ROUND(SUMIFS('ИТОГО Торговля'!$I$5:$I$300,'ИТОГО Торговля'!$B$5:$B$300,$B98)+SUMIFS('ИТОГО Лэндинг'!$I$5:$I$300,'ИТОГО Лэндинг'!$B$5:$B$300,$B98)+SUMIFS('История'!$I$5:$I$300,'История'!$B$5:$B$300,$B98),8)))</f>
        <v/>
      </c>
      <c r="J98" s="247">
        <f>IF($B98="","",IF(AND(C98="",F98=""),"",ROUND(SUMIFS('ИТОГО Торговля'!$J$5:$J$300,'ИТОГО Торговля'!$B$5:$B$300,$B98)+SUMIFS('ИТОГО Лэндинг'!$J$5:$J$300,'ИТОГО Лэндинг'!$B$5:$B$300,$B98)+SUMIFS('История'!$J$5:$J$300,'История'!$B$5:$B$300,$B98),8)))</f>
        <v/>
      </c>
      <c r="K98" s="246">
        <f>IF($B98="","",ROUND(SUMIFS('ИТОГО Торговля'!$K$5:$K$300,'ИТОГО Торговля'!$B$5:$B$300,$B98)+SUMIFS('ИТОГО Лэндинг'!$K$5:$K$300,'ИТОГО Лэндинг'!$B$5:$B$300,$B98)+SUMIFS('История'!$K$5:$K$300,'История'!$B$5:$B$300,$B98),8))</f>
        <v/>
      </c>
      <c r="L98" s="183">
        <f>IF(K98="","",IF(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98)*((История!$C$5:$C$300+История!$F$5:$F$300-ABS(История!$C$5:$C$300-История!$F$5:$F$300))/2)*История!$D$5:$D$300))&lt;=0,0,ROUND(K98/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98)*((История!$C$5:$C$300+История!$F$5:$F$300-ABS(История!$C$5:$C$300-История!$F$5:$F$300))/2)*История!$D$5:$D$300)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IF($B99="","",IF(SUMIFS('ИТОГО Торговля'!$C$5:$C$300,'ИТОГО Торговля'!$B$5:$B$300,$B99)+SUMIFS('ИТОГО Лэндинг'!$C$5:$C$300,'ИТОГО Лэндинг'!$B$5:$B$300,$B99)+SUMIFS('История'!$C$5:$C$300,'История'!$B$5:$B$300,$B99)=0,"",SUMIFS('ИТОГО Торговля'!$C$5:$C$300,'ИТОГО Торговля'!$B$5:$B$300,$B99)+SUMIFS('ИТОГО Лэндинг'!$C$5:$C$300,'ИТОГО Лэндинг'!$B$5:$B$300,$B99)+SUMIFS('История'!$C$5:$C$300,'История'!$B$5:$B$300,$B99)))</f>
        <v/>
      </c>
      <c r="D99" s="177">
        <f>IF(C99="","",E99/C99)</f>
        <v/>
      </c>
      <c r="E99" s="241">
        <f>IF(C99="","",SUMIFS('ИТОГО Торговля'!$E$5:$E$300,'ИТОГО Торговля'!$B$5:$B$300,$B99)+SUMIFS('ИТОГО Лэндинг'!$E$5:$E$300,'ИТОГО Лэндинг'!$B$5:$B$300,$B99)+SUMIFS('История'!$E$5:$E$300,'История'!$B$5:$B$300,$B99))</f>
        <v/>
      </c>
      <c r="F99" s="240">
        <f>IF($B99="","",IF(SUMIFS('ИТОГО Торговля'!$F$5:$F$300,'ИТОГО Торговля'!$B$5:$B$300,$B99)+SUMIFS('ИТОГО Лэндинг'!$F$5:$F$300,'ИТОГО Лэндинг'!$B$5:$B$300,$B99)+SUMIFS('История'!$F$5:$F$300,'История'!$B$5:$B$300,$B99)=0,"",SUMIFS('ИТОГО Торговля'!$F$5:$F$300,'ИТОГО Торговля'!$B$5:$B$300,$B99)+SUMIFS('ИТОГО Лэндинг'!$F$5:$F$300,'ИТОГО Лэндинг'!$B$5:$B$300,$B99)+SUMIFS('История'!$F$5:$F$300,'История'!$B$5:$B$300,$B99)))</f>
        <v/>
      </c>
      <c r="G99" s="177">
        <f>IF(F99="","",H99/F99)</f>
        <v/>
      </c>
      <c r="H99" s="241">
        <f>IF(F99="","",SUMIFS('ИТОГО Торговля'!$H$5:$H$300,'ИТОГО Торговля'!$B$5:$B$300,$B99)+SUMIFS('ИТОГО Лэндинг'!$H$5:$H$300,'ИТОГО Лэндинг'!$B$5:$B$300,$B99)+SUMIFS('История'!$H$5:$H$300,'История'!$B$5:$B$300,$B99))</f>
        <v/>
      </c>
      <c r="I99" s="240">
        <f>IF($B99="","",IF(AND(C99="",F99=""),"",ROUND(SUMIFS('ИТОГО Торговля'!$I$5:$I$300,'ИТОГО Торговля'!$B$5:$B$300,$B99)+SUMIFS('ИТОГО Лэндинг'!$I$5:$I$300,'ИТОГО Лэндинг'!$B$5:$B$300,$B99)+SUMIFS('История'!$I$5:$I$300,'История'!$B$5:$B$300,$B99),8)))</f>
        <v/>
      </c>
      <c r="J99" s="241">
        <f>IF($B99="","",IF(AND(C99="",F99=""),"",ROUND(SUMIFS('ИТОГО Торговля'!$J$5:$J$300,'ИТОГО Торговля'!$B$5:$B$300,$B99)+SUMIFS('ИТОГО Лэндинг'!$J$5:$J$300,'ИТОГО Лэндинг'!$B$5:$B$300,$B99)+SUMIFS('История'!$J$5:$J$300,'История'!$B$5:$B$300,$B99),8)))</f>
        <v/>
      </c>
      <c r="K99" s="240">
        <f>IF($B99="","",ROUND(SUMIFS('ИТОГО Торговля'!$K$5:$K$300,'ИТОГО Торговля'!$B$5:$B$300,$B99)+SUMIFS('ИТОГО Лэндинг'!$K$5:$K$300,'ИТОГО Лэндинг'!$B$5:$B$300,$B99)+SUMIFS('История'!$K$5:$K$300,'История'!$B$5:$B$300,$B99),8))</f>
        <v/>
      </c>
      <c r="L99" s="177">
        <f>IF(K99="","",IF(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99)*((История!$C$5:$C$300+История!$F$5:$F$300-ABS(История!$C$5:$C$300-История!$F$5:$F$300))/2)*История!$D$5:$D$300))&lt;=0,0,ROUND(K99/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99)*((История!$C$5:$C$300+История!$F$5:$F$300-ABS(История!$C$5:$C$300-История!$F$5:$F$300))/2)*История!$D$5:$D$300)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IF($B100="","",IF(SUMIFS('ИТОГО Торговля'!$C$5:$C$300,'ИТОГО Торговля'!$B$5:$B$300,$B100)+SUMIFS('ИТОГО Лэндинг'!$C$5:$C$300,'ИТОГО Лэндинг'!$B$5:$B$300,$B100)+SUMIFS('История'!$C$5:$C$300,'История'!$B$5:$B$300,$B100)=0,"",SUMIFS('ИТОГО Торговля'!$C$5:$C$300,'ИТОГО Торговля'!$B$5:$B$300,$B100)+SUMIFS('ИТОГО Лэндинг'!$C$5:$C$300,'ИТОГО Лэндинг'!$B$5:$B$300,$B100)+SUMIFS('История'!$C$5:$C$300,'История'!$B$5:$B$300,$B100)))</f>
        <v/>
      </c>
      <c r="D100" s="183">
        <f>IF(C100="","",E100/C100)</f>
        <v/>
      </c>
      <c r="E100" s="247">
        <f>IF(C100="","",SUMIFS('ИТОГО Торговля'!$E$5:$E$300,'ИТОГО Торговля'!$B$5:$B$300,$B100)+SUMIFS('ИТОГО Лэндинг'!$E$5:$E$300,'ИТОГО Лэндинг'!$B$5:$B$300,$B100)+SUMIFS('История'!$E$5:$E$300,'История'!$B$5:$B$300,$B100))</f>
        <v/>
      </c>
      <c r="F100" s="246">
        <f>IF($B100="","",IF(SUMIFS('ИТОГО Торговля'!$F$5:$F$300,'ИТОГО Торговля'!$B$5:$B$300,$B100)+SUMIFS('ИТОГО Лэндинг'!$F$5:$F$300,'ИТОГО Лэндинг'!$B$5:$B$300,$B100)+SUMIFS('История'!$F$5:$F$300,'История'!$B$5:$B$300,$B100)=0,"",SUMIFS('ИТОГО Торговля'!$F$5:$F$300,'ИТОГО Торговля'!$B$5:$B$300,$B100)+SUMIFS('ИТОГО Лэндинг'!$F$5:$F$300,'ИТОГО Лэндинг'!$B$5:$B$300,$B100)+SUMIFS('История'!$F$5:$F$300,'История'!$B$5:$B$300,$B100)))</f>
        <v/>
      </c>
      <c r="G100" s="183">
        <f>IF(F100="","",H100/F100)</f>
        <v/>
      </c>
      <c r="H100" s="247">
        <f>IF(F100="","",SUMIFS('ИТОГО Торговля'!$H$5:$H$300,'ИТОГО Торговля'!$B$5:$B$300,$B100)+SUMIFS('ИТОГО Лэндинг'!$H$5:$H$300,'ИТОГО Лэндинг'!$B$5:$B$300,$B100)+SUMIFS('История'!$H$5:$H$300,'История'!$B$5:$B$300,$B100))</f>
        <v/>
      </c>
      <c r="I100" s="246">
        <f>IF($B100="","",IF(AND(C100="",F100=""),"",ROUND(SUMIFS('ИТОГО Торговля'!$I$5:$I$300,'ИТОГО Торговля'!$B$5:$B$300,$B100)+SUMIFS('ИТОГО Лэндинг'!$I$5:$I$300,'ИТОГО Лэндинг'!$B$5:$B$300,$B100)+SUMIFS('История'!$I$5:$I$300,'История'!$B$5:$B$300,$B100),8)))</f>
        <v/>
      </c>
      <c r="J100" s="247">
        <f>IF($B100="","",IF(AND(C100="",F100=""),"",ROUND(SUMIFS('ИТОГО Торговля'!$J$5:$J$300,'ИТОГО Торговля'!$B$5:$B$300,$B100)+SUMIFS('ИТОГО Лэндинг'!$J$5:$J$300,'ИТОГО Лэндинг'!$B$5:$B$300,$B100)+SUMIFS('История'!$J$5:$J$300,'История'!$B$5:$B$300,$B100),8)))</f>
        <v/>
      </c>
      <c r="K100" s="246">
        <f>IF($B100="","",ROUND(SUMIFS('ИТОГО Торговля'!$K$5:$K$300,'ИТОГО Торговля'!$B$5:$B$300,$B100)+SUMIFS('ИТОГО Лэндинг'!$K$5:$K$300,'ИТОГО Лэндинг'!$B$5:$B$300,$B100)+SUMIFS('История'!$K$5:$K$300,'История'!$B$5:$B$300,$B100),8))</f>
        <v/>
      </c>
      <c r="L100" s="183">
        <f>IF(K100="","",IF(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100)*((История!$C$5:$C$300+История!$F$5:$F$300-ABS(История!$C$5:$C$300-История!$F$5:$F$300))/2)*История!$D$5:$D$300))&lt;=0,0,ROUND(K100/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100)*((История!$C$5:$C$300+История!$F$5:$F$300-ABS(История!$C$5:$C$300-История!$F$5:$F$300))/2)*История!$D$5:$D$300)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IF($B101="","",IF(SUMIFS('ИТОГО Торговля'!$C$5:$C$300,'ИТОГО Торговля'!$B$5:$B$300,$B101)+SUMIFS('ИТОГО Лэндинг'!$C$5:$C$300,'ИТОГО Лэндинг'!$B$5:$B$300,$B101)+SUMIFS('История'!$C$5:$C$300,'История'!$B$5:$B$300,$B101)=0,"",SUMIFS('ИТОГО Торговля'!$C$5:$C$300,'ИТОГО Торговля'!$B$5:$B$300,$B101)+SUMIFS('ИТОГО Лэндинг'!$C$5:$C$300,'ИТОГО Лэндинг'!$B$5:$B$300,$B101)+SUMIFS('История'!$C$5:$C$300,'История'!$B$5:$B$300,$B101)))</f>
        <v/>
      </c>
      <c r="D101" s="177">
        <f>IF(C101="","",E101/C101)</f>
        <v/>
      </c>
      <c r="E101" s="241">
        <f>IF(C101="","",SUMIFS('ИТОГО Торговля'!$E$5:$E$300,'ИТОГО Торговля'!$B$5:$B$300,$B101)+SUMIFS('ИТОГО Лэндинг'!$E$5:$E$300,'ИТОГО Лэндинг'!$B$5:$B$300,$B101)+SUMIFS('История'!$E$5:$E$300,'История'!$B$5:$B$300,$B101))</f>
        <v/>
      </c>
      <c r="F101" s="240">
        <f>IF($B101="","",IF(SUMIFS('ИТОГО Торговля'!$F$5:$F$300,'ИТОГО Торговля'!$B$5:$B$300,$B101)+SUMIFS('ИТОГО Лэндинг'!$F$5:$F$300,'ИТОГО Лэндинг'!$B$5:$B$300,$B101)+SUMIFS('История'!$F$5:$F$300,'История'!$B$5:$B$300,$B101)=0,"",SUMIFS('ИТОГО Торговля'!$F$5:$F$300,'ИТОГО Торговля'!$B$5:$B$300,$B101)+SUMIFS('ИТОГО Лэндинг'!$F$5:$F$300,'ИТОГО Лэндинг'!$B$5:$B$300,$B101)+SUMIFS('История'!$F$5:$F$300,'История'!$B$5:$B$300,$B101)))</f>
        <v/>
      </c>
      <c r="G101" s="177">
        <f>IF(F101="","",H101/F101)</f>
        <v/>
      </c>
      <c r="H101" s="241">
        <f>IF(F101="","",SUMIFS('ИТОГО Торговля'!$H$5:$H$300,'ИТОГО Торговля'!$B$5:$B$300,$B101)+SUMIFS('ИТОГО Лэндинг'!$H$5:$H$300,'ИТОГО Лэндинг'!$B$5:$B$300,$B101)+SUMIFS('История'!$H$5:$H$300,'История'!$B$5:$B$300,$B101))</f>
        <v/>
      </c>
      <c r="I101" s="240">
        <f>IF($B101="","",IF(AND(C101="",F101=""),"",ROUND(SUMIFS('ИТОГО Торговля'!$I$5:$I$300,'ИТОГО Торговля'!$B$5:$B$300,$B101)+SUMIFS('ИТОГО Лэндинг'!$I$5:$I$300,'ИТОГО Лэндинг'!$B$5:$B$300,$B101)+SUMIFS('История'!$I$5:$I$300,'История'!$B$5:$B$300,$B101),8)))</f>
        <v/>
      </c>
      <c r="J101" s="241">
        <f>IF($B101="","",IF(AND(C101="",F101=""),"",ROUND(SUMIFS('ИТОГО Торговля'!$J$5:$J$300,'ИТОГО Торговля'!$B$5:$B$300,$B101)+SUMIFS('ИТОГО Лэндинг'!$J$5:$J$300,'ИТОГО Лэндинг'!$B$5:$B$300,$B101)+SUMIFS('История'!$J$5:$J$300,'История'!$B$5:$B$300,$B101),8)))</f>
        <v/>
      </c>
      <c r="K101" s="240">
        <f>IF($B101="","",ROUND(SUMIFS('ИТОГО Торговля'!$K$5:$K$300,'ИТОГО Торговля'!$B$5:$B$300,$B101)+SUMIFS('ИТОГО Лэндинг'!$K$5:$K$300,'ИТОГО Лэндинг'!$B$5:$B$300,$B101)+SUMIFS('История'!$K$5:$K$300,'История'!$B$5:$B$300,$B101),8))</f>
        <v/>
      </c>
      <c r="L101" s="177">
        <f>IF(K101="","",IF(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101)*((История!$C$5:$C$300+История!$F$5:$F$300-ABS(История!$C$5:$C$300-История!$F$5:$F$300))/2)*История!$D$5:$D$300))&lt;=0,0,ROUND(K101/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101)*((История!$C$5:$C$300+История!$F$5:$F$300-ABS(История!$C$5:$C$300-История!$F$5:$F$300))/2)*История!$D$5:$D$300)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IF($B102="","",IF(SUMIFS('ИТОГО Торговля'!$C$5:$C$300,'ИТОГО Торговля'!$B$5:$B$300,$B102)+SUMIFS('ИТОГО Лэндинг'!$C$5:$C$300,'ИТОГО Лэндинг'!$B$5:$B$300,$B102)+SUMIFS('История'!$C$5:$C$300,'История'!$B$5:$B$300,$B102)=0,"",SUMIFS('ИТОГО Торговля'!$C$5:$C$300,'ИТОГО Торговля'!$B$5:$B$300,$B102)+SUMIFS('ИТОГО Лэндинг'!$C$5:$C$300,'ИТОГО Лэндинг'!$B$5:$B$300,$B102)+SUMIFS('История'!$C$5:$C$300,'История'!$B$5:$B$300,$B102)))</f>
        <v/>
      </c>
      <c r="D102" s="183">
        <f>IF(C102="","",E102/C102)</f>
        <v/>
      </c>
      <c r="E102" s="247">
        <f>IF(C102="","",SUMIFS('ИТОГО Торговля'!$E$5:$E$300,'ИТОГО Торговля'!$B$5:$B$300,$B102)+SUMIFS('ИТОГО Лэндинг'!$E$5:$E$300,'ИТОГО Лэндинг'!$B$5:$B$300,$B102)+SUMIFS('История'!$E$5:$E$300,'История'!$B$5:$B$300,$B102))</f>
        <v/>
      </c>
      <c r="F102" s="246">
        <f>IF($B102="","",IF(SUMIFS('ИТОГО Торговля'!$F$5:$F$300,'ИТОГО Торговля'!$B$5:$B$300,$B102)+SUMIFS('ИТОГО Лэндинг'!$F$5:$F$300,'ИТОГО Лэндинг'!$B$5:$B$300,$B102)+SUMIFS('История'!$F$5:$F$300,'История'!$B$5:$B$300,$B102)=0,"",SUMIFS('ИТОГО Торговля'!$F$5:$F$300,'ИТОГО Торговля'!$B$5:$B$300,$B102)+SUMIFS('ИТОГО Лэндинг'!$F$5:$F$300,'ИТОГО Лэндинг'!$B$5:$B$300,$B102)+SUMIFS('История'!$F$5:$F$300,'История'!$B$5:$B$300,$B102)))</f>
        <v/>
      </c>
      <c r="G102" s="183">
        <f>IF(F102="","",H102/F102)</f>
        <v/>
      </c>
      <c r="H102" s="247">
        <f>IF(F102="","",SUMIFS('ИТОГО Торговля'!$H$5:$H$300,'ИТОГО Торговля'!$B$5:$B$300,$B102)+SUMIFS('ИТОГО Лэндинг'!$H$5:$H$300,'ИТОГО Лэндинг'!$B$5:$B$300,$B102)+SUMIFS('История'!$H$5:$H$300,'История'!$B$5:$B$300,$B102))</f>
        <v/>
      </c>
      <c r="I102" s="246">
        <f>IF($B102="","",IF(AND(C102="",F102=""),"",ROUND(SUMIFS('ИТОГО Торговля'!$I$5:$I$300,'ИТОГО Торговля'!$B$5:$B$300,$B102)+SUMIFS('ИТОГО Лэндинг'!$I$5:$I$300,'ИТОГО Лэндинг'!$B$5:$B$300,$B102)+SUMIFS('История'!$I$5:$I$300,'История'!$B$5:$B$300,$B102),8)))</f>
        <v/>
      </c>
      <c r="J102" s="247">
        <f>IF($B102="","",IF(AND(C102="",F102=""),"",ROUND(SUMIFS('ИТОГО Торговля'!$J$5:$J$300,'ИТОГО Торговля'!$B$5:$B$300,$B102)+SUMIFS('ИТОГО Лэндинг'!$J$5:$J$300,'ИТОГО Лэндинг'!$B$5:$B$300,$B102)+SUMIFS('История'!$J$5:$J$300,'История'!$B$5:$B$300,$B102),8)))</f>
        <v/>
      </c>
      <c r="K102" s="246">
        <f>IF($B102="","",ROUND(SUMIFS('ИТОГО Торговля'!$K$5:$K$300,'ИТОГО Торговля'!$B$5:$B$300,$B102)+SUMIFS('ИТОГО Лэндинг'!$K$5:$K$300,'ИТОГО Лэндинг'!$B$5:$B$300,$B102)+SUMIFS('История'!$K$5:$K$300,'История'!$B$5:$B$300,$B102),8))</f>
        <v/>
      </c>
      <c r="L102" s="183">
        <f>IF(K102="","",IF(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102)*((История!$C$5:$C$300+История!$F$5:$F$300-ABS(История!$C$5:$C$300-История!$F$5:$F$300))/2)*История!$D$5:$D$300))&lt;=0,0,ROUND(K102/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102)*((История!$C$5:$C$300+История!$F$5:$F$300-ABS(История!$C$5:$C$300-История!$F$5:$F$300))/2)*История!$D$5:$D$300)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IF($B103="","",IF(SUMIFS('ИТОГО Торговля'!$C$5:$C$300,'ИТОГО Торговля'!$B$5:$B$300,$B103)+SUMIFS('ИТОГО Лэндинг'!$C$5:$C$300,'ИТОГО Лэндинг'!$B$5:$B$300,$B103)+SUMIFS('История'!$C$5:$C$300,'История'!$B$5:$B$300,$B103)=0,"",SUMIFS('ИТОГО Торговля'!$C$5:$C$300,'ИТОГО Торговля'!$B$5:$B$300,$B103)+SUMIFS('ИТОГО Лэндинг'!$C$5:$C$300,'ИТОГО Лэндинг'!$B$5:$B$300,$B103)+SUMIFS('История'!$C$5:$C$300,'История'!$B$5:$B$300,$B103)))</f>
        <v/>
      </c>
      <c r="D103" s="177">
        <f>IF(C103="","",E103/C103)</f>
        <v/>
      </c>
      <c r="E103" s="241">
        <f>IF(C103="","",SUMIFS('ИТОГО Торговля'!$E$5:$E$300,'ИТОГО Торговля'!$B$5:$B$300,$B103)+SUMIFS('ИТОГО Лэндинг'!$E$5:$E$300,'ИТОГО Лэндинг'!$B$5:$B$300,$B103)+SUMIFS('История'!$E$5:$E$300,'История'!$B$5:$B$300,$B103))</f>
        <v/>
      </c>
      <c r="F103" s="240">
        <f>IF($B103="","",IF(SUMIFS('ИТОГО Торговля'!$F$5:$F$300,'ИТОГО Торговля'!$B$5:$B$300,$B103)+SUMIFS('ИТОГО Лэндинг'!$F$5:$F$300,'ИТОГО Лэндинг'!$B$5:$B$300,$B103)+SUMIFS('История'!$F$5:$F$300,'История'!$B$5:$B$300,$B103)=0,"",SUMIFS('ИТОГО Торговля'!$F$5:$F$300,'ИТОГО Торговля'!$B$5:$B$300,$B103)+SUMIFS('ИТОГО Лэндинг'!$F$5:$F$300,'ИТОГО Лэндинг'!$B$5:$B$300,$B103)+SUMIFS('История'!$F$5:$F$300,'История'!$B$5:$B$300,$B103)))</f>
        <v/>
      </c>
      <c r="G103" s="177">
        <f>IF(F103="","",H103/F103)</f>
        <v/>
      </c>
      <c r="H103" s="241">
        <f>IF(F103="","",SUMIFS('ИТОГО Торговля'!$H$5:$H$300,'ИТОГО Торговля'!$B$5:$B$300,$B103)+SUMIFS('ИТОГО Лэндинг'!$H$5:$H$300,'ИТОГО Лэндинг'!$B$5:$B$300,$B103)+SUMIFS('История'!$H$5:$H$300,'История'!$B$5:$B$300,$B103))</f>
        <v/>
      </c>
      <c r="I103" s="240">
        <f>IF($B103="","",IF(AND(C103="",F103=""),"",ROUND(SUMIFS('ИТОГО Торговля'!$I$5:$I$300,'ИТОГО Торговля'!$B$5:$B$300,$B103)+SUMIFS('ИТОГО Лэндинг'!$I$5:$I$300,'ИТОГО Лэндинг'!$B$5:$B$300,$B103)+SUMIFS('История'!$I$5:$I$300,'История'!$B$5:$B$300,$B103),8)))</f>
        <v/>
      </c>
      <c r="J103" s="241">
        <f>IF($B103="","",IF(AND(C103="",F103=""),"",ROUND(SUMIFS('ИТОГО Торговля'!$J$5:$J$300,'ИТОГО Торговля'!$B$5:$B$300,$B103)+SUMIFS('ИТОГО Лэндинг'!$J$5:$J$300,'ИТОГО Лэндинг'!$B$5:$B$300,$B103)+SUMIFS('История'!$J$5:$J$300,'История'!$B$5:$B$300,$B103),8)))</f>
        <v/>
      </c>
      <c r="K103" s="240">
        <f>IF($B103="","",ROUND(SUMIFS('ИТОГО Торговля'!$K$5:$K$300,'ИТОГО Торговля'!$B$5:$B$300,$B103)+SUMIFS('ИТОГО Лэндинг'!$K$5:$K$300,'ИТОГО Лэндинг'!$B$5:$B$300,$B103)+SUMIFS('История'!$K$5:$K$300,'История'!$B$5:$B$300,$B103),8))</f>
        <v/>
      </c>
      <c r="L103" s="177">
        <f>IF(K103="","",IF(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103)*((История!$C$5:$C$300+История!$F$5:$F$300-ABS(История!$C$5:$C$300-История!$F$5:$F$300))/2)*История!$D$5:$D$300))&lt;=0,0,ROUND(K103/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103)*((История!$C$5:$C$300+История!$F$5:$F$300-ABS(История!$C$5:$C$300-История!$F$5:$F$300))/2)*История!$D$5:$D$300)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IF($B104="","",IF(SUMIFS('ИТОГО Торговля'!$C$5:$C$300,'ИТОГО Торговля'!$B$5:$B$300,$B104)+SUMIFS('ИТОГО Лэндинг'!$C$5:$C$300,'ИТОГО Лэндинг'!$B$5:$B$300,$B104)+SUMIFS('История'!$C$5:$C$300,'История'!$B$5:$B$300,$B104)=0,"",SUMIFS('ИТОГО Торговля'!$C$5:$C$300,'ИТОГО Торговля'!$B$5:$B$300,$B104)+SUMIFS('ИТОГО Лэндинг'!$C$5:$C$300,'ИТОГО Лэндинг'!$B$5:$B$300,$B104)+SUMIFS('История'!$C$5:$C$300,'История'!$B$5:$B$300,$B104)))</f>
        <v/>
      </c>
      <c r="D104" s="183">
        <f>IF(C104="","",E104/C104)</f>
        <v/>
      </c>
      <c r="E104" s="247">
        <f>IF(C104="","",SUMIFS('ИТОГО Торговля'!$E$5:$E$300,'ИТОГО Торговля'!$B$5:$B$300,$B104)+SUMIFS('ИТОГО Лэндинг'!$E$5:$E$300,'ИТОГО Лэндинг'!$B$5:$B$300,$B104)+SUMIFS('История'!$E$5:$E$300,'История'!$B$5:$B$300,$B104))</f>
        <v/>
      </c>
      <c r="F104" s="246">
        <f>IF($B104="","",IF(SUMIFS('ИТОГО Торговля'!$F$5:$F$300,'ИТОГО Торговля'!$B$5:$B$300,$B104)+SUMIFS('ИТОГО Лэндинг'!$F$5:$F$300,'ИТОГО Лэндинг'!$B$5:$B$300,$B104)+SUMIFS('История'!$F$5:$F$300,'История'!$B$5:$B$300,$B104)=0,"",SUMIFS('ИТОГО Торговля'!$F$5:$F$300,'ИТОГО Торговля'!$B$5:$B$300,$B104)+SUMIFS('ИТОГО Лэндинг'!$F$5:$F$300,'ИТОГО Лэндинг'!$B$5:$B$300,$B104)+SUMIFS('История'!$F$5:$F$300,'История'!$B$5:$B$300,$B104)))</f>
        <v/>
      </c>
      <c r="G104" s="183">
        <f>IF(F104="","",H104/F104)</f>
        <v/>
      </c>
      <c r="H104" s="247">
        <f>IF(F104="","",SUMIFS('ИТОГО Торговля'!$H$5:$H$300,'ИТОГО Торговля'!$B$5:$B$300,$B104)+SUMIFS('ИТОГО Лэндинг'!$H$5:$H$300,'ИТОГО Лэндинг'!$B$5:$B$300,$B104)+SUMIFS('История'!$H$5:$H$300,'История'!$B$5:$B$300,$B104))</f>
        <v/>
      </c>
      <c r="I104" s="246">
        <f>IF($B104="","",IF(AND(C104="",F104=""),"",ROUND(SUMIFS('ИТОГО Торговля'!$I$5:$I$300,'ИТОГО Торговля'!$B$5:$B$300,$B104)+SUMIFS('ИТОГО Лэндинг'!$I$5:$I$300,'ИТОГО Лэндинг'!$B$5:$B$300,$B104)+SUMIFS('История'!$I$5:$I$300,'История'!$B$5:$B$300,$B104),8)))</f>
        <v/>
      </c>
      <c r="J104" s="247">
        <f>IF($B104="","",IF(AND(C104="",F104=""),"",ROUND(SUMIFS('ИТОГО Торговля'!$J$5:$J$300,'ИТОГО Торговля'!$B$5:$B$300,$B104)+SUMIFS('ИТОГО Лэндинг'!$J$5:$J$300,'ИТОГО Лэндинг'!$B$5:$B$300,$B104)+SUMIFS('История'!$J$5:$J$300,'История'!$B$5:$B$300,$B104),8)))</f>
        <v/>
      </c>
      <c r="K104" s="246">
        <f>IF($B104="","",ROUND(SUMIFS('ИТОГО Торговля'!$K$5:$K$300,'ИТОГО Торговля'!$B$5:$B$300,$B104)+SUMIFS('ИТОГО Лэндинг'!$K$5:$K$300,'ИТОГО Лэндинг'!$B$5:$B$300,$B104)+SUMIFS('История'!$K$5:$K$300,'История'!$B$5:$B$300,$B104),8))</f>
        <v/>
      </c>
      <c r="L104" s="183">
        <f>IF(K104="","",IF(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104)*((История!$C$5:$C$300+История!$F$5:$F$300-ABS(История!$C$5:$C$300-История!$F$5:$F$300))/2)*История!$D$5:$D$300))&lt;=0,0,ROUND(K104/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104)*((История!$C$5:$C$300+История!$F$5:$F$300-ABS(История!$C$5:$C$300-История!$F$5:$F$300))/2)*История!$D$5:$D$300)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IF($B105="","",IF(SUMIFS('ИТОГО Торговля'!$C$5:$C$300,'ИТОГО Торговля'!$B$5:$B$300,$B105)+SUMIFS('ИТОГО Лэндинг'!$C$5:$C$300,'ИТОГО Лэндинг'!$B$5:$B$300,$B105)+SUMIFS('История'!$C$5:$C$300,'История'!$B$5:$B$300,$B105)=0,"",SUMIFS('ИТОГО Торговля'!$C$5:$C$300,'ИТОГО Торговля'!$B$5:$B$300,$B105)+SUMIFS('ИТОГО Лэндинг'!$C$5:$C$300,'ИТОГО Лэндинг'!$B$5:$B$300,$B105)+SUMIFS('История'!$C$5:$C$300,'История'!$B$5:$B$300,$B105)))</f>
        <v/>
      </c>
      <c r="D105" s="177">
        <f>IF(C105="","",E105/C105)</f>
        <v/>
      </c>
      <c r="E105" s="241">
        <f>IF(C105="","",SUMIFS('ИТОГО Торговля'!$E$5:$E$300,'ИТОГО Торговля'!$B$5:$B$300,$B105)+SUMIFS('ИТОГО Лэндинг'!$E$5:$E$300,'ИТОГО Лэндинг'!$B$5:$B$300,$B105)+SUMIFS('История'!$E$5:$E$300,'История'!$B$5:$B$300,$B105))</f>
        <v/>
      </c>
      <c r="F105" s="240">
        <f>IF($B105="","",IF(SUMIFS('ИТОГО Торговля'!$F$5:$F$300,'ИТОГО Торговля'!$B$5:$B$300,$B105)+SUMIFS('ИТОГО Лэндинг'!$F$5:$F$300,'ИТОГО Лэндинг'!$B$5:$B$300,$B105)+SUMIFS('История'!$F$5:$F$300,'История'!$B$5:$B$300,$B105)=0,"",SUMIFS('ИТОГО Торговля'!$F$5:$F$300,'ИТОГО Торговля'!$B$5:$B$300,$B105)+SUMIFS('ИТОГО Лэндинг'!$F$5:$F$300,'ИТОГО Лэндинг'!$B$5:$B$300,$B105)+SUMIFS('История'!$F$5:$F$300,'История'!$B$5:$B$300,$B105)))</f>
        <v/>
      </c>
      <c r="G105" s="177">
        <f>IF(F105="","",H105/F105)</f>
        <v/>
      </c>
      <c r="H105" s="241">
        <f>IF(F105="","",SUMIFS('ИТОГО Торговля'!$H$5:$H$300,'ИТОГО Торговля'!$B$5:$B$300,$B105)+SUMIFS('ИТОГО Лэндинг'!$H$5:$H$300,'ИТОГО Лэндинг'!$B$5:$B$300,$B105)+SUMIFS('История'!$H$5:$H$300,'История'!$B$5:$B$300,$B105))</f>
        <v/>
      </c>
      <c r="I105" s="240">
        <f>IF($B105="","",IF(AND(C105="",F105=""),"",ROUND(SUMIFS('ИТОГО Торговля'!$I$5:$I$300,'ИТОГО Торговля'!$B$5:$B$300,$B105)+SUMIFS('ИТОГО Лэндинг'!$I$5:$I$300,'ИТОГО Лэндинг'!$B$5:$B$300,$B105)+SUMIFS('История'!$I$5:$I$300,'История'!$B$5:$B$300,$B105),8)))</f>
        <v/>
      </c>
      <c r="J105" s="241">
        <f>IF($B105="","",IF(AND(C105="",F105=""),"",ROUND(SUMIFS('ИТОГО Торговля'!$J$5:$J$300,'ИТОГО Торговля'!$B$5:$B$300,$B105)+SUMIFS('ИТОГО Лэндинг'!$J$5:$J$300,'ИТОГО Лэндинг'!$B$5:$B$300,$B105)+SUMIFS('История'!$J$5:$J$300,'История'!$B$5:$B$300,$B105),8)))</f>
        <v/>
      </c>
      <c r="K105" s="240">
        <f>IF($B105="","",ROUND(SUMIFS('ИТОГО Торговля'!$K$5:$K$300,'ИТОГО Торговля'!$B$5:$B$300,$B105)+SUMIFS('ИТОГО Лэндинг'!$K$5:$K$300,'ИТОГО Лэндинг'!$B$5:$B$300,$B105)+SUMIFS('История'!$K$5:$K$300,'История'!$B$5:$B$300,$B105),8))</f>
        <v/>
      </c>
      <c r="L105" s="177">
        <f>IF(K105="","",IF(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105)*((История!$C$5:$C$300+История!$F$5:$F$300-ABS(История!$C$5:$C$300-История!$F$5:$F$300))/2)*История!$D$5:$D$300))&lt;=0,0,ROUND(K105/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105)*((История!$C$5:$C$300+История!$F$5:$F$300-ABS(История!$C$5:$C$300-История!$F$5:$F$300))/2)*История!$D$5:$D$300)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IF($B106="","",IF(SUMIFS('ИТОГО Торговля'!$C$5:$C$300,'ИТОГО Торговля'!$B$5:$B$300,$B106)+SUMIFS('ИТОГО Лэндинг'!$C$5:$C$300,'ИТОГО Лэндинг'!$B$5:$B$300,$B106)+SUMIFS('История'!$C$5:$C$300,'История'!$B$5:$B$300,$B106)=0,"",SUMIFS('ИТОГО Торговля'!$C$5:$C$300,'ИТОГО Торговля'!$B$5:$B$300,$B106)+SUMIFS('ИТОГО Лэндинг'!$C$5:$C$300,'ИТОГО Лэндинг'!$B$5:$B$300,$B106)+SUMIFS('История'!$C$5:$C$300,'История'!$B$5:$B$300,$B106)))</f>
        <v/>
      </c>
      <c r="D106" s="183">
        <f>IF(C106="","",E106/C106)</f>
        <v/>
      </c>
      <c r="E106" s="247">
        <f>IF(C106="","",SUMIFS('ИТОГО Торговля'!$E$5:$E$300,'ИТОГО Торговля'!$B$5:$B$300,$B106)+SUMIFS('ИТОГО Лэндинг'!$E$5:$E$300,'ИТОГО Лэндинг'!$B$5:$B$300,$B106)+SUMIFS('История'!$E$5:$E$300,'История'!$B$5:$B$300,$B106))</f>
        <v/>
      </c>
      <c r="F106" s="246">
        <f>IF($B106="","",IF(SUMIFS('ИТОГО Торговля'!$F$5:$F$300,'ИТОГО Торговля'!$B$5:$B$300,$B106)+SUMIFS('ИТОГО Лэндинг'!$F$5:$F$300,'ИТОГО Лэндинг'!$B$5:$B$300,$B106)+SUMIFS('История'!$F$5:$F$300,'История'!$B$5:$B$300,$B106)=0,"",SUMIFS('ИТОГО Торговля'!$F$5:$F$300,'ИТОГО Торговля'!$B$5:$B$300,$B106)+SUMIFS('ИТОГО Лэндинг'!$F$5:$F$300,'ИТОГО Лэндинг'!$B$5:$B$300,$B106)+SUMIFS('История'!$F$5:$F$300,'История'!$B$5:$B$300,$B106)))</f>
        <v/>
      </c>
      <c r="G106" s="183">
        <f>IF(F106="","",H106/F106)</f>
        <v/>
      </c>
      <c r="H106" s="247">
        <f>IF(F106="","",SUMIFS('ИТОГО Торговля'!$H$5:$H$300,'ИТОГО Торговля'!$B$5:$B$300,$B106)+SUMIFS('ИТОГО Лэндинг'!$H$5:$H$300,'ИТОГО Лэндинг'!$B$5:$B$300,$B106)+SUMIFS('История'!$H$5:$H$300,'История'!$B$5:$B$300,$B106))</f>
        <v/>
      </c>
      <c r="I106" s="246">
        <f>IF($B106="","",IF(AND(C106="",F106=""),"",ROUND(SUMIFS('ИТОГО Торговля'!$I$5:$I$300,'ИТОГО Торговля'!$B$5:$B$300,$B106)+SUMIFS('ИТОГО Лэндинг'!$I$5:$I$300,'ИТОГО Лэндинг'!$B$5:$B$300,$B106)+SUMIFS('История'!$I$5:$I$300,'История'!$B$5:$B$300,$B106),8)))</f>
        <v/>
      </c>
      <c r="J106" s="247">
        <f>IF($B106="","",IF(AND(C106="",F106=""),"",ROUND(SUMIFS('ИТОГО Торговля'!$J$5:$J$300,'ИТОГО Торговля'!$B$5:$B$300,$B106)+SUMIFS('ИТОГО Лэндинг'!$J$5:$J$300,'ИТОГО Лэндинг'!$B$5:$B$300,$B106)+SUMIFS('История'!$J$5:$J$300,'История'!$B$5:$B$300,$B106),8)))</f>
        <v/>
      </c>
      <c r="K106" s="246">
        <f>IF($B106="","",ROUND(SUMIFS('ИТОГО Торговля'!$K$5:$K$300,'ИТОГО Торговля'!$B$5:$B$300,$B106)+SUMIFS('ИТОГО Лэндинг'!$K$5:$K$300,'ИТОГО Лэндинг'!$B$5:$B$300,$B106)+SUMIFS('История'!$K$5:$K$300,'История'!$B$5:$B$300,$B106),8))</f>
        <v/>
      </c>
      <c r="L106" s="183">
        <f>IF(K106="","",IF(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106)*((История!$C$5:$C$300+История!$F$5:$F$300-ABS(История!$C$5:$C$300-История!$F$5:$F$300))/2)*История!$D$5:$D$300))&lt;=0,0,ROUND(K106/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106)*((История!$C$5:$C$300+История!$F$5:$F$300-ABS(История!$C$5:$C$300-История!$F$5:$F$300))/2)*История!$D$5:$D$300)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IF($B107="","",IF(SUMIFS('ИТОГО Торговля'!$C$5:$C$300,'ИТОГО Торговля'!$B$5:$B$300,$B107)+SUMIFS('ИТОГО Лэндинг'!$C$5:$C$300,'ИТОГО Лэндинг'!$B$5:$B$300,$B107)+SUMIFS('История'!$C$5:$C$300,'История'!$B$5:$B$300,$B107)=0,"",SUMIFS('ИТОГО Торговля'!$C$5:$C$300,'ИТОГО Торговля'!$B$5:$B$300,$B107)+SUMIFS('ИТОГО Лэндинг'!$C$5:$C$300,'ИТОГО Лэндинг'!$B$5:$B$300,$B107)+SUMIFS('История'!$C$5:$C$300,'История'!$B$5:$B$300,$B107)))</f>
        <v/>
      </c>
      <c r="D107" s="177">
        <f>IF(C107="","",E107/C107)</f>
        <v/>
      </c>
      <c r="E107" s="241">
        <f>IF(C107="","",SUMIFS('ИТОГО Торговля'!$E$5:$E$300,'ИТОГО Торговля'!$B$5:$B$300,$B107)+SUMIFS('ИТОГО Лэндинг'!$E$5:$E$300,'ИТОГО Лэндинг'!$B$5:$B$300,$B107)+SUMIFS('История'!$E$5:$E$300,'История'!$B$5:$B$300,$B107))</f>
        <v/>
      </c>
      <c r="F107" s="240">
        <f>IF($B107="","",IF(SUMIFS('ИТОГО Торговля'!$F$5:$F$300,'ИТОГО Торговля'!$B$5:$B$300,$B107)+SUMIFS('ИТОГО Лэндинг'!$F$5:$F$300,'ИТОГО Лэндинг'!$B$5:$B$300,$B107)+SUMIFS('История'!$F$5:$F$300,'История'!$B$5:$B$300,$B107)=0,"",SUMIFS('ИТОГО Торговля'!$F$5:$F$300,'ИТОГО Торговля'!$B$5:$B$300,$B107)+SUMIFS('ИТОГО Лэндинг'!$F$5:$F$300,'ИТОГО Лэндинг'!$B$5:$B$300,$B107)+SUMIFS('История'!$F$5:$F$300,'История'!$B$5:$B$300,$B107)))</f>
        <v/>
      </c>
      <c r="G107" s="177">
        <f>IF(F107="","",H107/F107)</f>
        <v/>
      </c>
      <c r="H107" s="241">
        <f>IF(F107="","",SUMIFS('ИТОГО Торговля'!$H$5:$H$300,'ИТОГО Торговля'!$B$5:$B$300,$B107)+SUMIFS('ИТОГО Лэндинг'!$H$5:$H$300,'ИТОГО Лэндинг'!$B$5:$B$300,$B107)+SUMIFS('История'!$H$5:$H$300,'История'!$B$5:$B$300,$B107))</f>
        <v/>
      </c>
      <c r="I107" s="240">
        <f>IF($B107="","",IF(AND(C107="",F107=""),"",ROUND(SUMIFS('ИТОГО Торговля'!$I$5:$I$300,'ИТОГО Торговля'!$B$5:$B$300,$B107)+SUMIFS('ИТОГО Лэндинг'!$I$5:$I$300,'ИТОГО Лэндинг'!$B$5:$B$300,$B107)+SUMIFS('История'!$I$5:$I$300,'История'!$B$5:$B$300,$B107),8)))</f>
        <v/>
      </c>
      <c r="J107" s="241">
        <f>IF($B107="","",IF(AND(C107="",F107=""),"",ROUND(SUMIFS('ИТОГО Торговля'!$J$5:$J$300,'ИТОГО Торговля'!$B$5:$B$300,$B107)+SUMIFS('ИТОГО Лэндинг'!$J$5:$J$300,'ИТОГО Лэндинг'!$B$5:$B$300,$B107)+SUMIFS('История'!$J$5:$J$300,'История'!$B$5:$B$300,$B107),8)))</f>
        <v/>
      </c>
      <c r="K107" s="240">
        <f>IF($B107="","",ROUND(SUMIFS('ИТОГО Торговля'!$K$5:$K$300,'ИТОГО Торговля'!$B$5:$B$300,$B107)+SUMIFS('ИТОГО Лэндинг'!$K$5:$K$300,'ИТОГО Лэндинг'!$B$5:$B$300,$B107)+SUMIFS('История'!$K$5:$K$300,'История'!$B$5:$B$300,$B107),8))</f>
        <v/>
      </c>
      <c r="L107" s="177">
        <f>IF(K107="","",IF(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107)*((История!$C$5:$C$300+История!$F$5:$F$300-ABS(История!$C$5:$C$300-История!$F$5:$F$300))/2)*История!$D$5:$D$300))&lt;=0,0,ROUND(K107/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107)*((История!$C$5:$C$300+История!$F$5:$F$300-ABS(История!$C$5:$C$300-История!$F$5:$F$300))/2)*История!$D$5:$D$300)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IF($B108="","",IF(SUMIFS('ИТОГО Торговля'!$C$5:$C$300,'ИТОГО Торговля'!$B$5:$B$300,$B108)+SUMIFS('ИТОГО Лэндинг'!$C$5:$C$300,'ИТОГО Лэндинг'!$B$5:$B$300,$B108)+SUMIFS('История'!$C$5:$C$300,'История'!$B$5:$B$300,$B108)=0,"",SUMIFS('ИТОГО Торговля'!$C$5:$C$300,'ИТОГО Торговля'!$B$5:$B$300,$B108)+SUMIFS('ИТОГО Лэндинг'!$C$5:$C$300,'ИТОГО Лэндинг'!$B$5:$B$300,$B108)+SUMIFS('История'!$C$5:$C$300,'История'!$B$5:$B$300,$B108)))</f>
        <v/>
      </c>
      <c r="D108" s="183">
        <f>IF(C108="","",E108/C108)</f>
        <v/>
      </c>
      <c r="E108" s="247">
        <f>IF(C108="","",SUMIFS('ИТОГО Торговля'!$E$5:$E$300,'ИТОГО Торговля'!$B$5:$B$300,$B108)+SUMIFS('ИТОГО Лэндинг'!$E$5:$E$300,'ИТОГО Лэндинг'!$B$5:$B$300,$B108)+SUMIFS('История'!$E$5:$E$300,'История'!$B$5:$B$300,$B108))</f>
        <v/>
      </c>
      <c r="F108" s="246">
        <f>IF($B108="","",IF(SUMIFS('ИТОГО Торговля'!$F$5:$F$300,'ИТОГО Торговля'!$B$5:$B$300,$B108)+SUMIFS('ИТОГО Лэндинг'!$F$5:$F$300,'ИТОГО Лэндинг'!$B$5:$B$300,$B108)+SUMIFS('История'!$F$5:$F$300,'История'!$B$5:$B$300,$B108)=0,"",SUMIFS('ИТОГО Торговля'!$F$5:$F$300,'ИТОГО Торговля'!$B$5:$B$300,$B108)+SUMIFS('ИТОГО Лэндинг'!$F$5:$F$300,'ИТОГО Лэндинг'!$B$5:$B$300,$B108)+SUMIFS('История'!$F$5:$F$300,'История'!$B$5:$B$300,$B108)))</f>
        <v/>
      </c>
      <c r="G108" s="183">
        <f>IF(F108="","",H108/F108)</f>
        <v/>
      </c>
      <c r="H108" s="247">
        <f>IF(F108="","",SUMIFS('ИТОГО Торговля'!$H$5:$H$300,'ИТОГО Торговля'!$B$5:$B$300,$B108)+SUMIFS('ИТОГО Лэндинг'!$H$5:$H$300,'ИТОГО Лэндинг'!$B$5:$B$300,$B108)+SUMIFS('История'!$H$5:$H$300,'История'!$B$5:$B$300,$B108))</f>
        <v/>
      </c>
      <c r="I108" s="246">
        <f>IF($B108="","",IF(AND(C108="",F108=""),"",ROUND(SUMIFS('ИТОГО Торговля'!$I$5:$I$300,'ИТОГО Торговля'!$B$5:$B$300,$B108)+SUMIFS('ИТОГО Лэндинг'!$I$5:$I$300,'ИТОГО Лэндинг'!$B$5:$B$300,$B108)+SUMIFS('История'!$I$5:$I$300,'История'!$B$5:$B$300,$B108),8)))</f>
        <v/>
      </c>
      <c r="J108" s="247">
        <f>IF($B108="","",IF(AND(C108="",F108=""),"",ROUND(SUMIFS('ИТОГО Торговля'!$J$5:$J$300,'ИТОГО Торговля'!$B$5:$B$300,$B108)+SUMIFS('ИТОГО Лэндинг'!$J$5:$J$300,'ИТОГО Лэндинг'!$B$5:$B$300,$B108)+SUMIFS('История'!$J$5:$J$300,'История'!$B$5:$B$300,$B108),8)))</f>
        <v/>
      </c>
      <c r="K108" s="246">
        <f>IF($B108="","",ROUND(SUMIFS('ИТОГО Торговля'!$K$5:$K$300,'ИТОГО Торговля'!$B$5:$B$300,$B108)+SUMIFS('ИТОГО Лэндинг'!$K$5:$K$300,'ИТОГО Лэндинг'!$B$5:$B$300,$B108)+SUMIFS('История'!$K$5:$K$300,'История'!$B$5:$B$300,$B108),8))</f>
        <v/>
      </c>
      <c r="L108" s="183">
        <f>IF(K108="","",IF(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108)*((История!$C$5:$C$300+История!$F$5:$F$300-ABS(История!$C$5:$C$300-История!$F$5:$F$300))/2)*История!$D$5:$D$300))&lt;=0,0,ROUND(K108/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108)*((История!$C$5:$C$300+История!$F$5:$F$300-ABS(История!$C$5:$C$300-История!$F$5:$F$300))/2)*История!$D$5:$D$300)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IF($B109="","",IF(SUMIFS('ИТОГО Торговля'!$C$5:$C$300,'ИТОГО Торговля'!$B$5:$B$300,$B109)+SUMIFS('ИТОГО Лэндинг'!$C$5:$C$300,'ИТОГО Лэндинг'!$B$5:$B$300,$B109)+SUMIFS('История'!$C$5:$C$300,'История'!$B$5:$B$300,$B109)=0,"",SUMIFS('ИТОГО Торговля'!$C$5:$C$300,'ИТОГО Торговля'!$B$5:$B$300,$B109)+SUMIFS('ИТОГО Лэндинг'!$C$5:$C$300,'ИТОГО Лэндинг'!$B$5:$B$300,$B109)+SUMIFS('История'!$C$5:$C$300,'История'!$B$5:$B$300,$B109)))</f>
        <v/>
      </c>
      <c r="D109" s="177">
        <f>IF(C109="","",E109/C109)</f>
        <v/>
      </c>
      <c r="E109" s="241">
        <f>IF(C109="","",SUMIFS('ИТОГО Торговля'!$E$5:$E$300,'ИТОГО Торговля'!$B$5:$B$300,$B109)+SUMIFS('ИТОГО Лэндинг'!$E$5:$E$300,'ИТОГО Лэндинг'!$B$5:$B$300,$B109)+SUMIFS('История'!$E$5:$E$300,'История'!$B$5:$B$300,$B109))</f>
        <v/>
      </c>
      <c r="F109" s="240">
        <f>IF($B109="","",IF(SUMIFS('ИТОГО Торговля'!$F$5:$F$300,'ИТОГО Торговля'!$B$5:$B$300,$B109)+SUMIFS('ИТОГО Лэндинг'!$F$5:$F$300,'ИТОГО Лэндинг'!$B$5:$B$300,$B109)+SUMIFS('История'!$F$5:$F$300,'История'!$B$5:$B$300,$B109)=0,"",SUMIFS('ИТОГО Торговля'!$F$5:$F$300,'ИТОГО Торговля'!$B$5:$B$300,$B109)+SUMIFS('ИТОГО Лэндинг'!$F$5:$F$300,'ИТОГО Лэндинг'!$B$5:$B$300,$B109)+SUMIFS('История'!$F$5:$F$300,'История'!$B$5:$B$300,$B109)))</f>
        <v/>
      </c>
      <c r="G109" s="177">
        <f>IF(F109="","",H109/F109)</f>
        <v/>
      </c>
      <c r="H109" s="241">
        <f>IF(F109="","",SUMIFS('ИТОГО Торговля'!$H$5:$H$300,'ИТОГО Торговля'!$B$5:$B$300,$B109)+SUMIFS('ИТОГО Лэндинг'!$H$5:$H$300,'ИТОГО Лэндинг'!$B$5:$B$300,$B109)+SUMIFS('История'!$H$5:$H$300,'История'!$B$5:$B$300,$B109))</f>
        <v/>
      </c>
      <c r="I109" s="240">
        <f>IF($B109="","",IF(AND(C109="",F109=""),"",ROUND(SUMIFS('ИТОГО Торговля'!$I$5:$I$300,'ИТОГО Торговля'!$B$5:$B$300,$B109)+SUMIFS('ИТОГО Лэндинг'!$I$5:$I$300,'ИТОГО Лэндинг'!$B$5:$B$300,$B109)+SUMIFS('История'!$I$5:$I$300,'История'!$B$5:$B$300,$B109),8)))</f>
        <v/>
      </c>
      <c r="J109" s="241">
        <f>IF($B109="","",IF(AND(C109="",F109=""),"",ROUND(SUMIFS('ИТОГО Торговля'!$J$5:$J$300,'ИТОГО Торговля'!$B$5:$B$300,$B109)+SUMIFS('ИТОГО Лэндинг'!$J$5:$J$300,'ИТОГО Лэндинг'!$B$5:$B$300,$B109)+SUMIFS('История'!$J$5:$J$300,'История'!$B$5:$B$300,$B109),8)))</f>
        <v/>
      </c>
      <c r="K109" s="240">
        <f>IF($B109="","",ROUND(SUMIFS('ИТОГО Торговля'!$K$5:$K$300,'ИТОГО Торговля'!$B$5:$B$300,$B109)+SUMIFS('ИТОГО Лэндинг'!$K$5:$K$300,'ИТОГО Лэндинг'!$B$5:$B$300,$B109)+SUMIFS('История'!$K$5:$K$300,'История'!$B$5:$B$300,$B109),8))</f>
        <v/>
      </c>
      <c r="L109" s="177">
        <f>IF(K109="","",IF(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109)*((История!$C$5:$C$300+История!$F$5:$F$300-ABS(История!$C$5:$C$300-История!$F$5:$F$300))/2)*История!$D$5:$D$300))&lt;=0,0,ROUND(K109/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109)*((История!$C$5:$C$300+История!$F$5:$F$300-ABS(История!$C$5:$C$300-История!$F$5:$F$300))/2)*История!$D$5:$D$300)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IF($B110="","",IF(SUMIFS('ИТОГО Торговля'!$C$5:$C$300,'ИТОГО Торговля'!$B$5:$B$300,$B110)+SUMIFS('ИТОГО Лэндинг'!$C$5:$C$300,'ИТОГО Лэндинг'!$B$5:$B$300,$B110)+SUMIFS('История'!$C$5:$C$300,'История'!$B$5:$B$300,$B110)=0,"",SUMIFS('ИТОГО Торговля'!$C$5:$C$300,'ИТОГО Торговля'!$B$5:$B$300,$B110)+SUMIFS('ИТОГО Лэндинг'!$C$5:$C$300,'ИТОГО Лэндинг'!$B$5:$B$300,$B110)+SUMIFS('История'!$C$5:$C$300,'История'!$B$5:$B$300,$B110)))</f>
        <v/>
      </c>
      <c r="D110" s="183">
        <f>IF(C110="","",E110/C110)</f>
        <v/>
      </c>
      <c r="E110" s="247">
        <f>IF(C110="","",SUMIFS('ИТОГО Торговля'!$E$5:$E$300,'ИТОГО Торговля'!$B$5:$B$300,$B110)+SUMIFS('ИТОГО Лэндинг'!$E$5:$E$300,'ИТОГО Лэндинг'!$B$5:$B$300,$B110)+SUMIFS('История'!$E$5:$E$300,'История'!$B$5:$B$300,$B110))</f>
        <v/>
      </c>
      <c r="F110" s="246">
        <f>IF($B110="","",IF(SUMIFS('ИТОГО Торговля'!$F$5:$F$300,'ИТОГО Торговля'!$B$5:$B$300,$B110)+SUMIFS('ИТОГО Лэндинг'!$F$5:$F$300,'ИТОГО Лэндинг'!$B$5:$B$300,$B110)+SUMIFS('История'!$F$5:$F$300,'История'!$B$5:$B$300,$B110)=0,"",SUMIFS('ИТОГО Торговля'!$F$5:$F$300,'ИТОГО Торговля'!$B$5:$B$300,$B110)+SUMIFS('ИТОГО Лэндинг'!$F$5:$F$300,'ИТОГО Лэндинг'!$B$5:$B$300,$B110)+SUMIFS('История'!$F$5:$F$300,'История'!$B$5:$B$300,$B110)))</f>
        <v/>
      </c>
      <c r="G110" s="183">
        <f>IF(F110="","",H110/F110)</f>
        <v/>
      </c>
      <c r="H110" s="247">
        <f>IF(F110="","",SUMIFS('ИТОГО Торговля'!$H$5:$H$300,'ИТОГО Торговля'!$B$5:$B$300,$B110)+SUMIFS('ИТОГО Лэндинг'!$H$5:$H$300,'ИТОГО Лэндинг'!$B$5:$B$300,$B110)+SUMIFS('История'!$H$5:$H$300,'История'!$B$5:$B$300,$B110))</f>
        <v/>
      </c>
      <c r="I110" s="246">
        <f>IF($B110="","",IF(AND(C110="",F110=""),"",ROUND(SUMIFS('ИТОГО Торговля'!$I$5:$I$300,'ИТОГО Торговля'!$B$5:$B$300,$B110)+SUMIFS('ИТОГО Лэндинг'!$I$5:$I$300,'ИТОГО Лэндинг'!$B$5:$B$300,$B110)+SUMIFS('История'!$I$5:$I$300,'История'!$B$5:$B$300,$B110),8)))</f>
        <v/>
      </c>
      <c r="J110" s="247">
        <f>IF($B110="","",IF(AND(C110="",F110=""),"",ROUND(SUMIFS('ИТОГО Торговля'!$J$5:$J$300,'ИТОГО Торговля'!$B$5:$B$300,$B110)+SUMIFS('ИТОГО Лэндинг'!$J$5:$J$300,'ИТОГО Лэндинг'!$B$5:$B$300,$B110)+SUMIFS('История'!$J$5:$J$300,'История'!$B$5:$B$300,$B110),8)))</f>
        <v/>
      </c>
      <c r="K110" s="246">
        <f>IF($B110="","",ROUND(SUMIFS('ИТОГО Торговля'!$K$5:$K$300,'ИТОГО Торговля'!$B$5:$B$300,$B110)+SUMIFS('ИТОГО Лэндинг'!$K$5:$K$300,'ИТОГО Лэндинг'!$B$5:$B$300,$B110)+SUMIFS('История'!$K$5:$K$300,'История'!$B$5:$B$300,$B110),8))</f>
        <v/>
      </c>
      <c r="L110" s="183">
        <f>IF(K110="","",IF(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110)*((История!$C$5:$C$300+История!$F$5:$F$300-ABS(История!$C$5:$C$300-История!$F$5:$F$300))/2)*История!$D$5:$D$300))&lt;=0,0,ROUND(K110/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110)*((История!$C$5:$C$300+История!$F$5:$F$300-ABS(История!$C$5:$C$300-История!$F$5:$F$300))/2)*История!$D$5:$D$300)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IF($B111="","",IF(SUMIFS('ИТОГО Торговля'!$C$5:$C$300,'ИТОГО Торговля'!$B$5:$B$300,$B111)+SUMIFS('ИТОГО Лэндинг'!$C$5:$C$300,'ИТОГО Лэндинг'!$B$5:$B$300,$B111)+SUMIFS('История'!$C$5:$C$300,'История'!$B$5:$B$300,$B111)=0,"",SUMIFS('ИТОГО Торговля'!$C$5:$C$300,'ИТОГО Торговля'!$B$5:$B$300,$B111)+SUMIFS('ИТОГО Лэндинг'!$C$5:$C$300,'ИТОГО Лэндинг'!$B$5:$B$300,$B111)+SUMIFS('История'!$C$5:$C$300,'История'!$B$5:$B$300,$B111)))</f>
        <v/>
      </c>
      <c r="D111" s="177">
        <f>IF(C111="","",E111/C111)</f>
        <v/>
      </c>
      <c r="E111" s="241">
        <f>IF(C111="","",SUMIFS('ИТОГО Торговля'!$E$5:$E$300,'ИТОГО Торговля'!$B$5:$B$300,$B111)+SUMIFS('ИТОГО Лэндинг'!$E$5:$E$300,'ИТОГО Лэндинг'!$B$5:$B$300,$B111)+SUMIFS('История'!$E$5:$E$300,'История'!$B$5:$B$300,$B111))</f>
        <v/>
      </c>
      <c r="F111" s="240">
        <f>IF($B111="","",IF(SUMIFS('ИТОГО Торговля'!$F$5:$F$300,'ИТОГО Торговля'!$B$5:$B$300,$B111)+SUMIFS('ИТОГО Лэндинг'!$F$5:$F$300,'ИТОГО Лэндинг'!$B$5:$B$300,$B111)+SUMIFS('История'!$F$5:$F$300,'История'!$B$5:$B$300,$B111)=0,"",SUMIFS('ИТОГО Торговля'!$F$5:$F$300,'ИТОГО Торговля'!$B$5:$B$300,$B111)+SUMIFS('ИТОГО Лэндинг'!$F$5:$F$300,'ИТОГО Лэндинг'!$B$5:$B$300,$B111)+SUMIFS('История'!$F$5:$F$300,'История'!$B$5:$B$300,$B111)))</f>
        <v/>
      </c>
      <c r="G111" s="177">
        <f>IF(F111="","",H111/F111)</f>
        <v/>
      </c>
      <c r="H111" s="241">
        <f>IF(F111="","",SUMIFS('ИТОГО Торговля'!$H$5:$H$300,'ИТОГО Торговля'!$B$5:$B$300,$B111)+SUMIFS('ИТОГО Лэндинг'!$H$5:$H$300,'ИТОГО Лэндинг'!$B$5:$B$300,$B111)+SUMIFS('История'!$H$5:$H$300,'История'!$B$5:$B$300,$B111))</f>
        <v/>
      </c>
      <c r="I111" s="240">
        <f>IF($B111="","",IF(AND(C111="",F111=""),"",ROUND(SUMIFS('ИТОГО Торговля'!$I$5:$I$300,'ИТОГО Торговля'!$B$5:$B$300,$B111)+SUMIFS('ИТОГО Лэндинг'!$I$5:$I$300,'ИТОГО Лэндинг'!$B$5:$B$300,$B111)+SUMIFS('История'!$I$5:$I$300,'История'!$B$5:$B$300,$B111),8)))</f>
        <v/>
      </c>
      <c r="J111" s="241">
        <f>IF($B111="","",IF(AND(C111="",F111=""),"",ROUND(SUMIFS('ИТОГО Торговля'!$J$5:$J$300,'ИТОГО Торговля'!$B$5:$B$300,$B111)+SUMIFS('ИТОГО Лэндинг'!$J$5:$J$300,'ИТОГО Лэндинг'!$B$5:$B$300,$B111)+SUMIFS('История'!$J$5:$J$300,'История'!$B$5:$B$300,$B111),8)))</f>
        <v/>
      </c>
      <c r="K111" s="240">
        <f>IF($B111="","",ROUND(SUMIFS('ИТОГО Торговля'!$K$5:$K$300,'ИТОГО Торговля'!$B$5:$B$300,$B111)+SUMIFS('ИТОГО Лэндинг'!$K$5:$K$300,'ИТОГО Лэндинг'!$B$5:$B$300,$B111)+SUMIFS('История'!$K$5:$K$300,'История'!$B$5:$B$300,$B111),8))</f>
        <v/>
      </c>
      <c r="L111" s="177">
        <f>IF(K111="","",IF(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111)*((История!$C$5:$C$300+История!$F$5:$F$300-ABS(История!$C$5:$C$300-История!$F$5:$F$300))/2)*История!$D$5:$D$300))&lt;=0,0,ROUND(K111/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111)*((История!$C$5:$C$300+История!$F$5:$F$300-ABS(История!$C$5:$C$300-История!$F$5:$F$300))/2)*История!$D$5:$D$300)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IF($B112="","",IF(SUMIFS('ИТОГО Торговля'!$C$5:$C$300,'ИТОГО Торговля'!$B$5:$B$300,$B112)+SUMIFS('ИТОГО Лэндинг'!$C$5:$C$300,'ИТОГО Лэндинг'!$B$5:$B$300,$B112)+SUMIFS('История'!$C$5:$C$300,'История'!$B$5:$B$300,$B112)=0,"",SUMIFS('ИТОГО Торговля'!$C$5:$C$300,'ИТОГО Торговля'!$B$5:$B$300,$B112)+SUMIFS('ИТОГО Лэндинг'!$C$5:$C$300,'ИТОГО Лэндинг'!$B$5:$B$300,$B112)+SUMIFS('История'!$C$5:$C$300,'История'!$B$5:$B$300,$B112)))</f>
        <v/>
      </c>
      <c r="D112" s="183">
        <f>IF(C112="","",E112/C112)</f>
        <v/>
      </c>
      <c r="E112" s="247">
        <f>IF(C112="","",SUMIFS('ИТОГО Торговля'!$E$5:$E$300,'ИТОГО Торговля'!$B$5:$B$300,$B112)+SUMIFS('ИТОГО Лэндинг'!$E$5:$E$300,'ИТОГО Лэндинг'!$B$5:$B$300,$B112)+SUMIFS('История'!$E$5:$E$300,'История'!$B$5:$B$300,$B112))</f>
        <v/>
      </c>
      <c r="F112" s="246">
        <f>IF($B112="","",IF(SUMIFS('ИТОГО Торговля'!$F$5:$F$300,'ИТОГО Торговля'!$B$5:$B$300,$B112)+SUMIFS('ИТОГО Лэндинг'!$F$5:$F$300,'ИТОГО Лэндинг'!$B$5:$B$300,$B112)+SUMIFS('История'!$F$5:$F$300,'История'!$B$5:$B$300,$B112)=0,"",SUMIFS('ИТОГО Торговля'!$F$5:$F$300,'ИТОГО Торговля'!$B$5:$B$300,$B112)+SUMIFS('ИТОГО Лэндинг'!$F$5:$F$300,'ИТОГО Лэндинг'!$B$5:$B$300,$B112)+SUMIFS('История'!$F$5:$F$300,'История'!$B$5:$B$300,$B112)))</f>
        <v/>
      </c>
      <c r="G112" s="183">
        <f>IF(F112="","",H112/F112)</f>
        <v/>
      </c>
      <c r="H112" s="247">
        <f>IF(F112="","",SUMIFS('ИТОГО Торговля'!$H$5:$H$300,'ИТОГО Торговля'!$B$5:$B$300,$B112)+SUMIFS('ИТОГО Лэндинг'!$H$5:$H$300,'ИТОГО Лэндинг'!$B$5:$B$300,$B112)+SUMIFS('История'!$H$5:$H$300,'История'!$B$5:$B$300,$B112))</f>
        <v/>
      </c>
      <c r="I112" s="246">
        <f>IF($B112="","",IF(AND(C112="",F112=""),"",ROUND(SUMIFS('ИТОГО Торговля'!$I$5:$I$300,'ИТОГО Торговля'!$B$5:$B$300,$B112)+SUMIFS('ИТОГО Лэндинг'!$I$5:$I$300,'ИТОГО Лэндинг'!$B$5:$B$300,$B112)+SUMIFS('История'!$I$5:$I$300,'История'!$B$5:$B$300,$B112),8)))</f>
        <v/>
      </c>
      <c r="J112" s="247">
        <f>IF($B112="","",IF(AND(C112="",F112=""),"",ROUND(SUMIFS('ИТОГО Торговля'!$J$5:$J$300,'ИТОГО Торговля'!$B$5:$B$300,$B112)+SUMIFS('ИТОГО Лэндинг'!$J$5:$J$300,'ИТОГО Лэндинг'!$B$5:$B$300,$B112)+SUMIFS('История'!$J$5:$J$300,'История'!$B$5:$B$300,$B112),8)))</f>
        <v/>
      </c>
      <c r="K112" s="246">
        <f>IF($B112="","",ROUND(SUMIFS('ИТОГО Торговля'!$K$5:$K$300,'ИТОГО Торговля'!$B$5:$B$300,$B112)+SUMIFS('ИТОГО Лэндинг'!$K$5:$K$300,'ИТОГО Лэндинг'!$B$5:$B$300,$B112)+SUMIFS('История'!$K$5:$K$300,'История'!$B$5:$B$300,$B112),8))</f>
        <v/>
      </c>
      <c r="L112" s="183">
        <f>IF(K112="","",IF(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112)*((История!$C$5:$C$300+История!$F$5:$F$300-ABS(История!$C$5:$C$300-История!$F$5:$F$300))/2)*История!$D$5:$D$300))&lt;=0,0,ROUND(K112/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112)*((История!$C$5:$C$300+История!$F$5:$F$300-ABS(История!$C$5:$C$300-История!$F$5:$F$300))/2)*История!$D$5:$D$300)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IF($B113="","",IF(SUMIFS('ИТОГО Торговля'!$C$5:$C$300,'ИТОГО Торговля'!$B$5:$B$300,$B113)+SUMIFS('ИТОГО Лэндинг'!$C$5:$C$300,'ИТОГО Лэндинг'!$B$5:$B$300,$B113)+SUMIFS('История'!$C$5:$C$300,'История'!$B$5:$B$300,$B113)=0,"",SUMIFS('ИТОГО Торговля'!$C$5:$C$300,'ИТОГО Торговля'!$B$5:$B$300,$B113)+SUMIFS('ИТОГО Лэндинг'!$C$5:$C$300,'ИТОГО Лэндинг'!$B$5:$B$300,$B113)+SUMIFS('История'!$C$5:$C$300,'История'!$B$5:$B$300,$B113)))</f>
        <v/>
      </c>
      <c r="D113" s="177">
        <f>IF(C113="","",E113/C113)</f>
        <v/>
      </c>
      <c r="E113" s="241">
        <f>IF(C113="","",SUMIFS('ИТОГО Торговля'!$E$5:$E$300,'ИТОГО Торговля'!$B$5:$B$300,$B113)+SUMIFS('ИТОГО Лэндинг'!$E$5:$E$300,'ИТОГО Лэндинг'!$B$5:$B$300,$B113)+SUMIFS('История'!$E$5:$E$300,'История'!$B$5:$B$300,$B113))</f>
        <v/>
      </c>
      <c r="F113" s="240">
        <f>IF($B113="","",IF(SUMIFS('ИТОГО Торговля'!$F$5:$F$300,'ИТОГО Торговля'!$B$5:$B$300,$B113)+SUMIFS('ИТОГО Лэндинг'!$F$5:$F$300,'ИТОГО Лэндинг'!$B$5:$B$300,$B113)+SUMIFS('История'!$F$5:$F$300,'История'!$B$5:$B$300,$B113)=0,"",SUMIFS('ИТОГО Торговля'!$F$5:$F$300,'ИТОГО Торговля'!$B$5:$B$300,$B113)+SUMIFS('ИТОГО Лэндинг'!$F$5:$F$300,'ИТОГО Лэндинг'!$B$5:$B$300,$B113)+SUMIFS('История'!$F$5:$F$300,'История'!$B$5:$B$300,$B113)))</f>
        <v/>
      </c>
      <c r="G113" s="177">
        <f>IF(F113="","",H113/F113)</f>
        <v/>
      </c>
      <c r="H113" s="241">
        <f>IF(F113="","",SUMIFS('ИТОГО Торговля'!$H$5:$H$300,'ИТОГО Торговля'!$B$5:$B$300,$B113)+SUMIFS('ИТОГО Лэндинг'!$H$5:$H$300,'ИТОГО Лэндинг'!$B$5:$B$300,$B113)+SUMIFS('История'!$H$5:$H$300,'История'!$B$5:$B$300,$B113))</f>
        <v/>
      </c>
      <c r="I113" s="240">
        <f>IF($B113="","",IF(AND(C113="",F113=""),"",ROUND(SUMIFS('ИТОГО Торговля'!$I$5:$I$300,'ИТОГО Торговля'!$B$5:$B$300,$B113)+SUMIFS('ИТОГО Лэндинг'!$I$5:$I$300,'ИТОГО Лэндинг'!$B$5:$B$300,$B113)+SUMIFS('История'!$I$5:$I$300,'История'!$B$5:$B$300,$B113),8)))</f>
        <v/>
      </c>
      <c r="J113" s="241">
        <f>IF($B113="","",IF(AND(C113="",F113=""),"",ROUND(SUMIFS('ИТОГО Торговля'!$J$5:$J$300,'ИТОГО Торговля'!$B$5:$B$300,$B113)+SUMIFS('ИТОГО Лэндинг'!$J$5:$J$300,'ИТОГО Лэндинг'!$B$5:$B$300,$B113)+SUMIFS('История'!$J$5:$J$300,'История'!$B$5:$B$300,$B113),8)))</f>
        <v/>
      </c>
      <c r="K113" s="240">
        <f>IF($B113="","",ROUND(SUMIFS('ИТОГО Торговля'!$K$5:$K$300,'ИТОГО Торговля'!$B$5:$B$300,$B113)+SUMIFS('ИТОГО Лэндинг'!$K$5:$K$300,'ИТОГО Лэндинг'!$B$5:$B$300,$B113)+SUMIFS('История'!$K$5:$K$300,'История'!$B$5:$B$300,$B113),8))</f>
        <v/>
      </c>
      <c r="L113" s="177">
        <f>IF(K113="","",IF(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113)*((История!$C$5:$C$300+История!$F$5:$F$300-ABS(История!$C$5:$C$300-История!$F$5:$F$300))/2)*История!$D$5:$D$300))&lt;=0,0,ROUND(K113/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113)*((История!$C$5:$C$300+История!$F$5:$F$300-ABS(История!$C$5:$C$300-История!$F$5:$F$300))/2)*История!$D$5:$D$300)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IF($B114="","",IF(SUMIFS('ИТОГО Торговля'!$C$5:$C$300,'ИТОГО Торговля'!$B$5:$B$300,$B114)+SUMIFS('ИТОГО Лэндинг'!$C$5:$C$300,'ИТОГО Лэндинг'!$B$5:$B$300,$B114)+SUMIFS('История'!$C$5:$C$300,'История'!$B$5:$B$300,$B114)=0,"",SUMIFS('ИТОГО Торговля'!$C$5:$C$300,'ИТОГО Торговля'!$B$5:$B$300,$B114)+SUMIFS('ИТОГО Лэндинг'!$C$5:$C$300,'ИТОГО Лэндинг'!$B$5:$B$300,$B114)+SUMIFS('История'!$C$5:$C$300,'История'!$B$5:$B$300,$B114)))</f>
        <v/>
      </c>
      <c r="D114" s="183">
        <f>IF(C114="","",E114/C114)</f>
        <v/>
      </c>
      <c r="E114" s="247">
        <f>IF(C114="","",SUMIFS('ИТОГО Торговля'!$E$5:$E$300,'ИТОГО Торговля'!$B$5:$B$300,$B114)+SUMIFS('ИТОГО Лэндинг'!$E$5:$E$300,'ИТОГО Лэндинг'!$B$5:$B$300,$B114)+SUMIFS('История'!$E$5:$E$300,'История'!$B$5:$B$300,$B114))</f>
        <v/>
      </c>
      <c r="F114" s="246">
        <f>IF($B114="","",IF(SUMIFS('ИТОГО Торговля'!$F$5:$F$300,'ИТОГО Торговля'!$B$5:$B$300,$B114)+SUMIFS('ИТОГО Лэндинг'!$F$5:$F$300,'ИТОГО Лэндинг'!$B$5:$B$300,$B114)+SUMIFS('История'!$F$5:$F$300,'История'!$B$5:$B$300,$B114)=0,"",SUMIFS('ИТОГО Торговля'!$F$5:$F$300,'ИТОГО Торговля'!$B$5:$B$300,$B114)+SUMIFS('ИТОГО Лэндинг'!$F$5:$F$300,'ИТОГО Лэндинг'!$B$5:$B$300,$B114)+SUMIFS('История'!$F$5:$F$300,'История'!$B$5:$B$300,$B114)))</f>
        <v/>
      </c>
      <c r="G114" s="183">
        <f>IF(F114="","",H114/F114)</f>
        <v/>
      </c>
      <c r="H114" s="247">
        <f>IF(F114="","",SUMIFS('ИТОГО Торговля'!$H$5:$H$300,'ИТОГО Торговля'!$B$5:$B$300,$B114)+SUMIFS('ИТОГО Лэндинг'!$H$5:$H$300,'ИТОГО Лэндинг'!$B$5:$B$300,$B114)+SUMIFS('История'!$H$5:$H$300,'История'!$B$5:$B$300,$B114))</f>
        <v/>
      </c>
      <c r="I114" s="246">
        <f>IF($B114="","",IF(AND(C114="",F114=""),"",ROUND(SUMIFS('ИТОГО Торговля'!$I$5:$I$300,'ИТОГО Торговля'!$B$5:$B$300,$B114)+SUMIFS('ИТОГО Лэндинг'!$I$5:$I$300,'ИТОГО Лэндинг'!$B$5:$B$300,$B114)+SUMIFS('История'!$I$5:$I$300,'История'!$B$5:$B$300,$B114),8)))</f>
        <v/>
      </c>
      <c r="J114" s="247">
        <f>IF($B114="","",IF(AND(C114="",F114=""),"",ROUND(SUMIFS('ИТОГО Торговля'!$J$5:$J$300,'ИТОГО Торговля'!$B$5:$B$300,$B114)+SUMIFS('ИТОГО Лэндинг'!$J$5:$J$300,'ИТОГО Лэндинг'!$B$5:$B$300,$B114)+SUMIFS('История'!$J$5:$J$300,'История'!$B$5:$B$300,$B114),8)))</f>
        <v/>
      </c>
      <c r="K114" s="246">
        <f>IF($B114="","",ROUND(SUMIFS('ИТОГО Торговля'!$K$5:$K$300,'ИТОГО Торговля'!$B$5:$B$300,$B114)+SUMIFS('ИТОГО Лэндинг'!$K$5:$K$300,'ИТОГО Лэндинг'!$B$5:$B$300,$B114)+SUMIFS('История'!$K$5:$K$300,'История'!$B$5:$B$300,$B114),8))</f>
        <v/>
      </c>
      <c r="L114" s="183">
        <f>IF(K114="","",IF(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114)*((История!$C$5:$C$300+История!$F$5:$F$300-ABS(История!$C$5:$C$300-История!$F$5:$F$300))/2)*История!$D$5:$D$300))&lt;=0,0,ROUND(K114/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114)*((История!$C$5:$C$300+История!$F$5:$F$300-ABS(История!$C$5:$C$300-История!$F$5:$F$300))/2)*История!$D$5:$D$300)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IF($B115="","",IF(SUMIFS('ИТОГО Торговля'!$C$5:$C$300,'ИТОГО Торговля'!$B$5:$B$300,$B115)+SUMIFS('ИТОГО Лэндинг'!$C$5:$C$300,'ИТОГО Лэндинг'!$B$5:$B$300,$B115)+SUMIFS('История'!$C$5:$C$300,'История'!$B$5:$B$300,$B115)=0,"",SUMIFS('ИТОГО Торговля'!$C$5:$C$300,'ИТОГО Торговля'!$B$5:$B$300,$B115)+SUMIFS('ИТОГО Лэндинг'!$C$5:$C$300,'ИТОГО Лэндинг'!$B$5:$B$300,$B115)+SUMIFS('История'!$C$5:$C$300,'История'!$B$5:$B$300,$B115)))</f>
        <v/>
      </c>
      <c r="D115" s="177">
        <f>IF(C115="","",E115/C115)</f>
        <v/>
      </c>
      <c r="E115" s="241">
        <f>IF(C115="","",SUMIFS('ИТОГО Торговля'!$E$5:$E$300,'ИТОГО Торговля'!$B$5:$B$300,$B115)+SUMIFS('ИТОГО Лэндинг'!$E$5:$E$300,'ИТОГО Лэндинг'!$B$5:$B$300,$B115)+SUMIFS('История'!$E$5:$E$300,'История'!$B$5:$B$300,$B115))</f>
        <v/>
      </c>
      <c r="F115" s="240">
        <f>IF($B115="","",IF(SUMIFS('ИТОГО Торговля'!$F$5:$F$300,'ИТОГО Торговля'!$B$5:$B$300,$B115)+SUMIFS('ИТОГО Лэндинг'!$F$5:$F$300,'ИТОГО Лэндинг'!$B$5:$B$300,$B115)+SUMIFS('История'!$F$5:$F$300,'История'!$B$5:$B$300,$B115)=0,"",SUMIFS('ИТОГО Торговля'!$F$5:$F$300,'ИТОГО Торговля'!$B$5:$B$300,$B115)+SUMIFS('ИТОГО Лэндинг'!$F$5:$F$300,'ИТОГО Лэндинг'!$B$5:$B$300,$B115)+SUMIFS('История'!$F$5:$F$300,'История'!$B$5:$B$300,$B115)))</f>
        <v/>
      </c>
      <c r="G115" s="177">
        <f>IF(F115="","",H115/F115)</f>
        <v/>
      </c>
      <c r="H115" s="241">
        <f>IF(F115="","",SUMIFS('ИТОГО Торговля'!$H$5:$H$300,'ИТОГО Торговля'!$B$5:$B$300,$B115)+SUMIFS('ИТОГО Лэндинг'!$H$5:$H$300,'ИТОГО Лэндинг'!$B$5:$B$300,$B115)+SUMIFS('История'!$H$5:$H$300,'История'!$B$5:$B$300,$B115))</f>
        <v/>
      </c>
      <c r="I115" s="240">
        <f>IF($B115="","",IF(AND(C115="",F115=""),"",ROUND(SUMIFS('ИТОГО Торговля'!$I$5:$I$300,'ИТОГО Торговля'!$B$5:$B$300,$B115)+SUMIFS('ИТОГО Лэндинг'!$I$5:$I$300,'ИТОГО Лэндинг'!$B$5:$B$300,$B115)+SUMIFS('История'!$I$5:$I$300,'История'!$B$5:$B$300,$B115),8)))</f>
        <v/>
      </c>
      <c r="J115" s="241">
        <f>IF($B115="","",IF(AND(C115="",F115=""),"",ROUND(SUMIFS('ИТОГО Торговля'!$J$5:$J$300,'ИТОГО Торговля'!$B$5:$B$300,$B115)+SUMIFS('ИТОГО Лэндинг'!$J$5:$J$300,'ИТОГО Лэндинг'!$B$5:$B$300,$B115)+SUMIFS('История'!$J$5:$J$300,'История'!$B$5:$B$300,$B115),8)))</f>
        <v/>
      </c>
      <c r="K115" s="240">
        <f>IF($B115="","",ROUND(SUMIFS('ИТОГО Торговля'!$K$5:$K$300,'ИТОГО Торговля'!$B$5:$B$300,$B115)+SUMIFS('ИТОГО Лэндинг'!$K$5:$K$300,'ИТОГО Лэндинг'!$B$5:$B$300,$B115)+SUMIFS('История'!$K$5:$K$300,'История'!$B$5:$B$300,$B115),8))</f>
        <v/>
      </c>
      <c r="L115" s="177">
        <f>IF(K115="","",IF(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115)*((История!$C$5:$C$300+История!$F$5:$F$300-ABS(История!$C$5:$C$300-История!$F$5:$F$300))/2)*История!$D$5:$D$300))&lt;=0,0,ROUND(K115/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115)*((История!$C$5:$C$300+История!$F$5:$F$300-ABS(История!$C$5:$C$300-История!$F$5:$F$300))/2)*История!$D$5:$D$300)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IF($B116="","",IF(SUMIFS('ИТОГО Торговля'!$C$5:$C$300,'ИТОГО Торговля'!$B$5:$B$300,$B116)+SUMIFS('ИТОГО Лэндинг'!$C$5:$C$300,'ИТОГО Лэндинг'!$B$5:$B$300,$B116)+SUMIFS('История'!$C$5:$C$300,'История'!$B$5:$B$300,$B116)=0,"",SUMIFS('ИТОГО Торговля'!$C$5:$C$300,'ИТОГО Торговля'!$B$5:$B$300,$B116)+SUMIFS('ИТОГО Лэндинг'!$C$5:$C$300,'ИТОГО Лэндинг'!$B$5:$B$300,$B116)+SUMIFS('История'!$C$5:$C$300,'История'!$B$5:$B$300,$B116)))</f>
        <v/>
      </c>
      <c r="D116" s="183">
        <f>IF(C116="","",E116/C116)</f>
        <v/>
      </c>
      <c r="E116" s="247">
        <f>IF(C116="","",SUMIFS('ИТОГО Торговля'!$E$5:$E$300,'ИТОГО Торговля'!$B$5:$B$300,$B116)+SUMIFS('ИТОГО Лэндинг'!$E$5:$E$300,'ИТОГО Лэндинг'!$B$5:$B$300,$B116)+SUMIFS('История'!$E$5:$E$300,'История'!$B$5:$B$300,$B116))</f>
        <v/>
      </c>
      <c r="F116" s="246">
        <f>IF($B116="","",IF(SUMIFS('ИТОГО Торговля'!$F$5:$F$300,'ИТОГО Торговля'!$B$5:$B$300,$B116)+SUMIFS('ИТОГО Лэндинг'!$F$5:$F$300,'ИТОГО Лэндинг'!$B$5:$B$300,$B116)+SUMIFS('История'!$F$5:$F$300,'История'!$B$5:$B$300,$B116)=0,"",SUMIFS('ИТОГО Торговля'!$F$5:$F$300,'ИТОГО Торговля'!$B$5:$B$300,$B116)+SUMIFS('ИТОГО Лэндинг'!$F$5:$F$300,'ИТОГО Лэндинг'!$B$5:$B$300,$B116)+SUMIFS('История'!$F$5:$F$300,'История'!$B$5:$B$300,$B116)))</f>
        <v/>
      </c>
      <c r="G116" s="183">
        <f>IF(F116="","",H116/F116)</f>
        <v/>
      </c>
      <c r="H116" s="247">
        <f>IF(F116="","",SUMIFS('ИТОГО Торговля'!$H$5:$H$300,'ИТОГО Торговля'!$B$5:$B$300,$B116)+SUMIFS('ИТОГО Лэндинг'!$H$5:$H$300,'ИТОГО Лэндинг'!$B$5:$B$300,$B116)+SUMIFS('История'!$H$5:$H$300,'История'!$B$5:$B$300,$B116))</f>
        <v/>
      </c>
      <c r="I116" s="246">
        <f>IF($B116="","",IF(AND(C116="",F116=""),"",ROUND(SUMIFS('ИТОГО Торговля'!$I$5:$I$300,'ИТОГО Торговля'!$B$5:$B$300,$B116)+SUMIFS('ИТОГО Лэндинг'!$I$5:$I$300,'ИТОГО Лэндинг'!$B$5:$B$300,$B116)+SUMIFS('История'!$I$5:$I$300,'История'!$B$5:$B$300,$B116),8)))</f>
        <v/>
      </c>
      <c r="J116" s="247">
        <f>IF($B116="","",IF(AND(C116="",F116=""),"",ROUND(SUMIFS('ИТОГО Торговля'!$J$5:$J$300,'ИТОГО Торговля'!$B$5:$B$300,$B116)+SUMIFS('ИТОГО Лэндинг'!$J$5:$J$300,'ИТОГО Лэндинг'!$B$5:$B$300,$B116)+SUMIFS('История'!$J$5:$J$300,'История'!$B$5:$B$300,$B116),8)))</f>
        <v/>
      </c>
      <c r="K116" s="246">
        <f>IF($B116="","",ROUND(SUMIFS('ИТОГО Торговля'!$K$5:$K$300,'ИТОГО Торговля'!$B$5:$B$300,$B116)+SUMIFS('ИТОГО Лэндинг'!$K$5:$K$300,'ИТОГО Лэндинг'!$B$5:$B$300,$B116)+SUMIFS('История'!$K$5:$K$300,'История'!$B$5:$B$300,$B116),8))</f>
        <v/>
      </c>
      <c r="L116" s="183">
        <f>IF(K116="","",IF(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116)*((История!$C$5:$C$300+История!$F$5:$F$300-ABS(История!$C$5:$C$300-История!$F$5:$F$300))/2)*История!$D$5:$D$300))&lt;=0,0,ROUND(K116/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116)*((История!$C$5:$C$300+История!$F$5:$F$300-ABS(История!$C$5:$C$300-История!$F$5:$F$300))/2)*История!$D$5:$D$300)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IF($B117="","",IF(SUMIFS('ИТОГО Торговля'!$C$5:$C$300,'ИТОГО Торговля'!$B$5:$B$300,$B117)+SUMIFS('ИТОГО Лэндинг'!$C$5:$C$300,'ИТОГО Лэндинг'!$B$5:$B$300,$B117)+SUMIFS('История'!$C$5:$C$300,'История'!$B$5:$B$300,$B117)=0,"",SUMIFS('ИТОГО Торговля'!$C$5:$C$300,'ИТОГО Торговля'!$B$5:$B$300,$B117)+SUMIFS('ИТОГО Лэндинг'!$C$5:$C$300,'ИТОГО Лэндинг'!$B$5:$B$300,$B117)+SUMIFS('История'!$C$5:$C$300,'История'!$B$5:$B$300,$B117)))</f>
        <v/>
      </c>
      <c r="D117" s="177">
        <f>IF(C117="","",E117/C117)</f>
        <v/>
      </c>
      <c r="E117" s="241">
        <f>IF(C117="","",SUMIFS('ИТОГО Торговля'!$E$5:$E$300,'ИТОГО Торговля'!$B$5:$B$300,$B117)+SUMIFS('ИТОГО Лэндинг'!$E$5:$E$300,'ИТОГО Лэндинг'!$B$5:$B$300,$B117)+SUMIFS('История'!$E$5:$E$300,'История'!$B$5:$B$300,$B117))</f>
        <v/>
      </c>
      <c r="F117" s="240">
        <f>IF($B117="","",IF(SUMIFS('ИТОГО Торговля'!$F$5:$F$300,'ИТОГО Торговля'!$B$5:$B$300,$B117)+SUMIFS('ИТОГО Лэндинг'!$F$5:$F$300,'ИТОГО Лэндинг'!$B$5:$B$300,$B117)+SUMIFS('История'!$F$5:$F$300,'История'!$B$5:$B$300,$B117)=0,"",SUMIFS('ИТОГО Торговля'!$F$5:$F$300,'ИТОГО Торговля'!$B$5:$B$300,$B117)+SUMIFS('ИТОГО Лэндинг'!$F$5:$F$300,'ИТОГО Лэндинг'!$B$5:$B$300,$B117)+SUMIFS('История'!$F$5:$F$300,'История'!$B$5:$B$300,$B117)))</f>
        <v/>
      </c>
      <c r="G117" s="177">
        <f>IF(F117="","",H117/F117)</f>
        <v/>
      </c>
      <c r="H117" s="241">
        <f>IF(F117="","",SUMIFS('ИТОГО Торговля'!$H$5:$H$300,'ИТОГО Торговля'!$B$5:$B$300,$B117)+SUMIFS('ИТОГО Лэндинг'!$H$5:$H$300,'ИТОГО Лэндинг'!$B$5:$B$300,$B117)+SUMIFS('История'!$H$5:$H$300,'История'!$B$5:$B$300,$B117))</f>
        <v/>
      </c>
      <c r="I117" s="240">
        <f>IF($B117="","",IF(AND(C117="",F117=""),"",ROUND(SUMIFS('ИТОГО Торговля'!$I$5:$I$300,'ИТОГО Торговля'!$B$5:$B$300,$B117)+SUMIFS('ИТОГО Лэндинг'!$I$5:$I$300,'ИТОГО Лэндинг'!$B$5:$B$300,$B117)+SUMIFS('История'!$I$5:$I$300,'История'!$B$5:$B$300,$B117),8)))</f>
        <v/>
      </c>
      <c r="J117" s="241">
        <f>IF($B117="","",IF(AND(C117="",F117=""),"",ROUND(SUMIFS('ИТОГО Торговля'!$J$5:$J$300,'ИТОГО Торговля'!$B$5:$B$300,$B117)+SUMIFS('ИТОГО Лэндинг'!$J$5:$J$300,'ИТОГО Лэндинг'!$B$5:$B$300,$B117)+SUMIFS('История'!$J$5:$J$300,'История'!$B$5:$B$300,$B117),8)))</f>
        <v/>
      </c>
      <c r="K117" s="240">
        <f>IF($B117="","",ROUND(SUMIFS('ИТОГО Торговля'!$K$5:$K$300,'ИТОГО Торговля'!$B$5:$B$300,$B117)+SUMIFS('ИТОГО Лэндинг'!$K$5:$K$300,'ИТОГО Лэндинг'!$B$5:$B$300,$B117)+SUMIFS('История'!$K$5:$K$300,'История'!$B$5:$B$300,$B117),8))</f>
        <v/>
      </c>
      <c r="L117" s="177">
        <f>IF(K117="","",IF(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117)*((История!$C$5:$C$300+История!$F$5:$F$300-ABS(История!$C$5:$C$300-История!$F$5:$F$300))/2)*История!$D$5:$D$300))&lt;=0,0,ROUND(K117/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117)*((История!$C$5:$C$300+История!$F$5:$F$300-ABS(История!$C$5:$C$300-История!$F$5:$F$300))/2)*История!$D$5:$D$300)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IF($B118="","",IF(SUMIFS('ИТОГО Торговля'!$C$5:$C$300,'ИТОГО Торговля'!$B$5:$B$300,$B118)+SUMIFS('ИТОГО Лэндинг'!$C$5:$C$300,'ИТОГО Лэндинг'!$B$5:$B$300,$B118)+SUMIFS('История'!$C$5:$C$300,'История'!$B$5:$B$300,$B118)=0,"",SUMIFS('ИТОГО Торговля'!$C$5:$C$300,'ИТОГО Торговля'!$B$5:$B$300,$B118)+SUMIFS('ИТОГО Лэндинг'!$C$5:$C$300,'ИТОГО Лэндинг'!$B$5:$B$300,$B118)+SUMIFS('История'!$C$5:$C$300,'История'!$B$5:$B$300,$B118)))</f>
        <v/>
      </c>
      <c r="D118" s="183">
        <f>IF(C118="","",E118/C118)</f>
        <v/>
      </c>
      <c r="E118" s="247">
        <f>IF(C118="","",SUMIFS('ИТОГО Торговля'!$E$5:$E$300,'ИТОГО Торговля'!$B$5:$B$300,$B118)+SUMIFS('ИТОГО Лэндинг'!$E$5:$E$300,'ИТОГО Лэндинг'!$B$5:$B$300,$B118)+SUMIFS('История'!$E$5:$E$300,'История'!$B$5:$B$300,$B118))</f>
        <v/>
      </c>
      <c r="F118" s="246">
        <f>IF($B118="","",IF(SUMIFS('ИТОГО Торговля'!$F$5:$F$300,'ИТОГО Торговля'!$B$5:$B$300,$B118)+SUMIFS('ИТОГО Лэндинг'!$F$5:$F$300,'ИТОГО Лэндинг'!$B$5:$B$300,$B118)+SUMIFS('История'!$F$5:$F$300,'История'!$B$5:$B$300,$B118)=0,"",SUMIFS('ИТОГО Торговля'!$F$5:$F$300,'ИТОГО Торговля'!$B$5:$B$300,$B118)+SUMIFS('ИТОГО Лэндинг'!$F$5:$F$300,'ИТОГО Лэндинг'!$B$5:$B$300,$B118)+SUMIFS('История'!$F$5:$F$300,'История'!$B$5:$B$300,$B118)))</f>
        <v/>
      </c>
      <c r="G118" s="183">
        <f>IF(F118="","",H118/F118)</f>
        <v/>
      </c>
      <c r="H118" s="247">
        <f>IF(F118="","",SUMIFS('ИТОГО Торговля'!$H$5:$H$300,'ИТОГО Торговля'!$B$5:$B$300,$B118)+SUMIFS('ИТОГО Лэндинг'!$H$5:$H$300,'ИТОГО Лэндинг'!$B$5:$B$300,$B118)+SUMIFS('История'!$H$5:$H$300,'История'!$B$5:$B$300,$B118))</f>
        <v/>
      </c>
      <c r="I118" s="246">
        <f>IF($B118="","",IF(AND(C118="",F118=""),"",ROUND(SUMIFS('ИТОГО Торговля'!$I$5:$I$300,'ИТОГО Торговля'!$B$5:$B$300,$B118)+SUMIFS('ИТОГО Лэндинг'!$I$5:$I$300,'ИТОГО Лэндинг'!$B$5:$B$300,$B118)+SUMIFS('История'!$I$5:$I$300,'История'!$B$5:$B$300,$B118),8)))</f>
        <v/>
      </c>
      <c r="J118" s="247">
        <f>IF($B118="","",IF(AND(C118="",F118=""),"",ROUND(SUMIFS('ИТОГО Торговля'!$J$5:$J$300,'ИТОГО Торговля'!$B$5:$B$300,$B118)+SUMIFS('ИТОГО Лэндинг'!$J$5:$J$300,'ИТОГО Лэндинг'!$B$5:$B$300,$B118)+SUMIFS('История'!$J$5:$J$300,'История'!$B$5:$B$300,$B118),8)))</f>
        <v/>
      </c>
      <c r="K118" s="246">
        <f>IF($B118="","",ROUND(SUMIFS('ИТОГО Торговля'!$K$5:$K$300,'ИТОГО Торговля'!$B$5:$B$300,$B118)+SUMIFS('ИТОГО Лэндинг'!$K$5:$K$300,'ИТОГО Лэндинг'!$B$5:$B$300,$B118)+SUMIFS('История'!$K$5:$K$300,'История'!$B$5:$B$300,$B118),8))</f>
        <v/>
      </c>
      <c r="L118" s="183">
        <f>IF(K118="","",IF(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118)*((История!$C$5:$C$300+История!$F$5:$F$300-ABS(История!$C$5:$C$300-История!$F$5:$F$300))/2)*История!$D$5:$D$300))&lt;=0,0,ROUND(K118/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118)*((История!$C$5:$C$300+История!$F$5:$F$300-ABS(История!$C$5:$C$300-История!$F$5:$F$300))/2)*История!$D$5:$D$300)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IF($B119="","",IF(SUMIFS('ИТОГО Торговля'!$C$5:$C$300,'ИТОГО Торговля'!$B$5:$B$300,$B119)+SUMIFS('ИТОГО Лэндинг'!$C$5:$C$300,'ИТОГО Лэндинг'!$B$5:$B$300,$B119)+SUMIFS('История'!$C$5:$C$300,'История'!$B$5:$B$300,$B119)=0,"",SUMIFS('ИТОГО Торговля'!$C$5:$C$300,'ИТОГО Торговля'!$B$5:$B$300,$B119)+SUMIFS('ИТОГО Лэндинг'!$C$5:$C$300,'ИТОГО Лэндинг'!$B$5:$B$300,$B119)+SUMIFS('История'!$C$5:$C$300,'История'!$B$5:$B$300,$B119)))</f>
        <v/>
      </c>
      <c r="D119" s="177">
        <f>IF(C119="","",E119/C119)</f>
        <v/>
      </c>
      <c r="E119" s="241">
        <f>IF(C119="","",SUMIFS('ИТОГО Торговля'!$E$5:$E$300,'ИТОГО Торговля'!$B$5:$B$300,$B119)+SUMIFS('ИТОГО Лэндинг'!$E$5:$E$300,'ИТОГО Лэндинг'!$B$5:$B$300,$B119)+SUMIFS('История'!$E$5:$E$300,'История'!$B$5:$B$300,$B119))</f>
        <v/>
      </c>
      <c r="F119" s="240">
        <f>IF($B119="","",IF(SUMIFS('ИТОГО Торговля'!$F$5:$F$300,'ИТОГО Торговля'!$B$5:$B$300,$B119)+SUMIFS('ИТОГО Лэндинг'!$F$5:$F$300,'ИТОГО Лэндинг'!$B$5:$B$300,$B119)+SUMIFS('История'!$F$5:$F$300,'История'!$B$5:$B$300,$B119)=0,"",SUMIFS('ИТОГО Торговля'!$F$5:$F$300,'ИТОГО Торговля'!$B$5:$B$300,$B119)+SUMIFS('ИТОГО Лэндинг'!$F$5:$F$300,'ИТОГО Лэндинг'!$B$5:$B$300,$B119)+SUMIFS('История'!$F$5:$F$300,'История'!$B$5:$B$300,$B119)))</f>
        <v/>
      </c>
      <c r="G119" s="177">
        <f>IF(F119="","",H119/F119)</f>
        <v/>
      </c>
      <c r="H119" s="241">
        <f>IF(F119="","",SUMIFS('ИТОГО Торговля'!$H$5:$H$300,'ИТОГО Торговля'!$B$5:$B$300,$B119)+SUMIFS('ИТОГО Лэндинг'!$H$5:$H$300,'ИТОГО Лэндинг'!$B$5:$B$300,$B119)+SUMIFS('История'!$H$5:$H$300,'История'!$B$5:$B$300,$B119))</f>
        <v/>
      </c>
      <c r="I119" s="240">
        <f>IF($B119="","",IF(AND(C119="",F119=""),"",ROUND(SUMIFS('ИТОГО Торговля'!$I$5:$I$300,'ИТОГО Торговля'!$B$5:$B$300,$B119)+SUMIFS('ИТОГО Лэндинг'!$I$5:$I$300,'ИТОГО Лэндинг'!$B$5:$B$300,$B119)+SUMIFS('История'!$I$5:$I$300,'История'!$B$5:$B$300,$B119),8)))</f>
        <v/>
      </c>
      <c r="J119" s="241">
        <f>IF($B119="","",IF(AND(C119="",F119=""),"",ROUND(SUMIFS('ИТОГО Торговля'!$J$5:$J$300,'ИТОГО Торговля'!$B$5:$B$300,$B119)+SUMIFS('ИТОГО Лэндинг'!$J$5:$J$300,'ИТОГО Лэндинг'!$B$5:$B$300,$B119)+SUMIFS('История'!$J$5:$J$300,'История'!$B$5:$B$300,$B119),8)))</f>
        <v/>
      </c>
      <c r="K119" s="240">
        <f>IF($B119="","",ROUND(SUMIFS('ИТОГО Торговля'!$K$5:$K$300,'ИТОГО Торговля'!$B$5:$B$300,$B119)+SUMIFS('ИТОГО Лэндинг'!$K$5:$K$300,'ИТОГО Лэндинг'!$B$5:$B$300,$B119)+SUMIFS('История'!$K$5:$K$300,'История'!$B$5:$B$300,$B119),8))</f>
        <v/>
      </c>
      <c r="L119" s="177">
        <f>IF(K119="","",IF(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119)*((История!$C$5:$C$300+История!$F$5:$F$300-ABS(История!$C$5:$C$300-История!$F$5:$F$300))/2)*История!$D$5:$D$300))&lt;=0,0,ROUND(K119/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119)*((История!$C$5:$C$300+История!$F$5:$F$300-ABS(История!$C$5:$C$300-История!$F$5:$F$300))/2)*История!$D$5:$D$300)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IF($B120="","",IF(SUMIFS('ИТОГО Торговля'!$C$5:$C$300,'ИТОГО Торговля'!$B$5:$B$300,$B120)+SUMIFS('ИТОГО Лэндинг'!$C$5:$C$300,'ИТОГО Лэндинг'!$B$5:$B$300,$B120)+SUMIFS('История'!$C$5:$C$300,'История'!$B$5:$B$300,$B120)=0,"",SUMIFS('ИТОГО Торговля'!$C$5:$C$300,'ИТОГО Торговля'!$B$5:$B$300,$B120)+SUMIFS('ИТОГО Лэндинг'!$C$5:$C$300,'ИТОГО Лэндинг'!$B$5:$B$300,$B120)+SUMIFS('История'!$C$5:$C$300,'История'!$B$5:$B$300,$B120)))</f>
        <v/>
      </c>
      <c r="D120" s="183">
        <f>IF(C120="","",E120/C120)</f>
        <v/>
      </c>
      <c r="E120" s="247">
        <f>IF(C120="","",SUMIFS('ИТОГО Торговля'!$E$5:$E$300,'ИТОГО Торговля'!$B$5:$B$300,$B120)+SUMIFS('ИТОГО Лэндинг'!$E$5:$E$300,'ИТОГО Лэндинг'!$B$5:$B$300,$B120)+SUMIFS('История'!$E$5:$E$300,'История'!$B$5:$B$300,$B120))</f>
        <v/>
      </c>
      <c r="F120" s="246">
        <f>IF($B120="","",IF(SUMIFS('ИТОГО Торговля'!$F$5:$F$300,'ИТОГО Торговля'!$B$5:$B$300,$B120)+SUMIFS('ИТОГО Лэндинг'!$F$5:$F$300,'ИТОГО Лэндинг'!$B$5:$B$300,$B120)+SUMIFS('История'!$F$5:$F$300,'История'!$B$5:$B$300,$B120)=0,"",SUMIFS('ИТОГО Торговля'!$F$5:$F$300,'ИТОГО Торговля'!$B$5:$B$300,$B120)+SUMIFS('ИТОГО Лэндинг'!$F$5:$F$300,'ИТОГО Лэндинг'!$B$5:$B$300,$B120)+SUMIFS('История'!$F$5:$F$300,'История'!$B$5:$B$300,$B120)))</f>
        <v/>
      </c>
      <c r="G120" s="183">
        <f>IF(F120="","",H120/F120)</f>
        <v/>
      </c>
      <c r="H120" s="247">
        <f>IF(F120="","",SUMIFS('ИТОГО Торговля'!$H$5:$H$300,'ИТОГО Торговля'!$B$5:$B$300,$B120)+SUMIFS('ИТОГО Лэндинг'!$H$5:$H$300,'ИТОГО Лэндинг'!$B$5:$B$300,$B120)+SUMIFS('История'!$H$5:$H$300,'История'!$B$5:$B$300,$B120))</f>
        <v/>
      </c>
      <c r="I120" s="246">
        <f>IF($B120="","",IF(AND(C120="",F120=""),"",ROUND(SUMIFS('ИТОГО Торговля'!$I$5:$I$300,'ИТОГО Торговля'!$B$5:$B$300,$B120)+SUMIFS('ИТОГО Лэндинг'!$I$5:$I$300,'ИТОГО Лэндинг'!$B$5:$B$300,$B120)+SUMIFS('История'!$I$5:$I$300,'История'!$B$5:$B$300,$B120),8)))</f>
        <v/>
      </c>
      <c r="J120" s="247">
        <f>IF($B120="","",IF(AND(C120="",F120=""),"",ROUND(SUMIFS('ИТОГО Торговля'!$J$5:$J$300,'ИТОГО Торговля'!$B$5:$B$300,$B120)+SUMIFS('ИТОГО Лэндинг'!$J$5:$J$300,'ИТОГО Лэндинг'!$B$5:$B$300,$B120)+SUMIFS('История'!$J$5:$J$300,'История'!$B$5:$B$300,$B120),8)))</f>
        <v/>
      </c>
      <c r="K120" s="246">
        <f>IF($B120="","",ROUND(SUMIFS('ИТОГО Торговля'!$K$5:$K$300,'ИТОГО Торговля'!$B$5:$B$300,$B120)+SUMIFS('ИТОГО Лэндинг'!$K$5:$K$300,'ИТОГО Лэндинг'!$B$5:$B$300,$B120)+SUMIFS('История'!$K$5:$K$300,'История'!$B$5:$B$300,$B120),8))</f>
        <v/>
      </c>
      <c r="L120" s="183">
        <f>IF(K120="","",IF(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120)*((История!$C$5:$C$300+История!$F$5:$F$300-ABS(История!$C$5:$C$300-История!$F$5:$F$300))/2)*История!$D$5:$D$300))&lt;=0,0,ROUND(K120/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120)*((История!$C$5:$C$300+История!$F$5:$F$300-ABS(История!$C$5:$C$300-История!$F$5:$F$300))/2)*История!$D$5:$D$300)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IF($B121="","",IF(SUMIFS('ИТОГО Торговля'!$C$5:$C$300,'ИТОГО Торговля'!$B$5:$B$300,$B121)+SUMIFS('ИТОГО Лэндинг'!$C$5:$C$300,'ИТОГО Лэндинг'!$B$5:$B$300,$B121)+SUMIFS('История'!$C$5:$C$300,'История'!$B$5:$B$300,$B121)=0,"",SUMIFS('ИТОГО Торговля'!$C$5:$C$300,'ИТОГО Торговля'!$B$5:$B$300,$B121)+SUMIFS('ИТОГО Лэндинг'!$C$5:$C$300,'ИТОГО Лэндинг'!$B$5:$B$300,$B121)+SUMIFS('История'!$C$5:$C$300,'История'!$B$5:$B$300,$B121)))</f>
        <v/>
      </c>
      <c r="D121" s="177">
        <f>IF(C121="","",E121/C121)</f>
        <v/>
      </c>
      <c r="E121" s="241">
        <f>IF(C121="","",SUMIFS('ИТОГО Торговля'!$E$5:$E$300,'ИТОГО Торговля'!$B$5:$B$300,$B121)+SUMIFS('ИТОГО Лэндинг'!$E$5:$E$300,'ИТОГО Лэндинг'!$B$5:$B$300,$B121)+SUMIFS('История'!$E$5:$E$300,'История'!$B$5:$B$300,$B121))</f>
        <v/>
      </c>
      <c r="F121" s="240">
        <f>IF($B121="","",IF(SUMIFS('ИТОГО Торговля'!$F$5:$F$300,'ИТОГО Торговля'!$B$5:$B$300,$B121)+SUMIFS('ИТОГО Лэндинг'!$F$5:$F$300,'ИТОГО Лэндинг'!$B$5:$B$300,$B121)+SUMIFS('История'!$F$5:$F$300,'История'!$B$5:$B$300,$B121)=0,"",SUMIFS('ИТОГО Торговля'!$F$5:$F$300,'ИТОГО Торговля'!$B$5:$B$300,$B121)+SUMIFS('ИТОГО Лэндинг'!$F$5:$F$300,'ИТОГО Лэндинг'!$B$5:$B$300,$B121)+SUMIFS('История'!$F$5:$F$300,'История'!$B$5:$B$300,$B121)))</f>
        <v/>
      </c>
      <c r="G121" s="177">
        <f>IF(F121="","",H121/F121)</f>
        <v/>
      </c>
      <c r="H121" s="241">
        <f>IF(F121="","",SUMIFS('ИТОГО Торговля'!$H$5:$H$300,'ИТОГО Торговля'!$B$5:$B$300,$B121)+SUMIFS('ИТОГО Лэндинг'!$H$5:$H$300,'ИТОГО Лэндинг'!$B$5:$B$300,$B121)+SUMIFS('История'!$H$5:$H$300,'История'!$B$5:$B$300,$B121))</f>
        <v/>
      </c>
      <c r="I121" s="240">
        <f>IF($B121="","",IF(AND(C121="",F121=""),"",ROUND(SUMIFS('ИТОГО Торговля'!$I$5:$I$300,'ИТОГО Торговля'!$B$5:$B$300,$B121)+SUMIFS('ИТОГО Лэндинг'!$I$5:$I$300,'ИТОГО Лэндинг'!$B$5:$B$300,$B121)+SUMIFS('История'!$I$5:$I$300,'История'!$B$5:$B$300,$B121),8)))</f>
        <v/>
      </c>
      <c r="J121" s="241">
        <f>IF($B121="","",IF(AND(C121="",F121=""),"",ROUND(SUMIFS('ИТОГО Торговля'!$J$5:$J$300,'ИТОГО Торговля'!$B$5:$B$300,$B121)+SUMIFS('ИТОГО Лэндинг'!$J$5:$J$300,'ИТОГО Лэндинг'!$B$5:$B$300,$B121)+SUMIFS('История'!$J$5:$J$300,'История'!$B$5:$B$300,$B121),8)))</f>
        <v/>
      </c>
      <c r="K121" s="240">
        <f>IF($B121="","",ROUND(SUMIFS('ИТОГО Торговля'!$K$5:$K$300,'ИТОГО Торговля'!$B$5:$B$300,$B121)+SUMIFS('ИТОГО Лэндинг'!$K$5:$K$300,'ИТОГО Лэндинг'!$B$5:$B$300,$B121)+SUMIFS('История'!$K$5:$K$300,'История'!$B$5:$B$300,$B121),8))</f>
        <v/>
      </c>
      <c r="L121" s="177">
        <f>IF(K121="","",IF(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121)*((История!$C$5:$C$300+История!$F$5:$F$300-ABS(История!$C$5:$C$300-История!$F$5:$F$300))/2)*История!$D$5:$D$300))&lt;=0,0,ROUND(K121/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121)*((История!$C$5:$C$300+История!$F$5:$F$300-ABS(История!$C$5:$C$300-История!$F$5:$F$300))/2)*История!$D$5:$D$300)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IF($B122="","",IF(SUMIFS('ИТОГО Торговля'!$C$5:$C$300,'ИТОГО Торговля'!$B$5:$B$300,$B122)+SUMIFS('ИТОГО Лэндинг'!$C$5:$C$300,'ИТОГО Лэндинг'!$B$5:$B$300,$B122)+SUMIFS('История'!$C$5:$C$300,'История'!$B$5:$B$300,$B122)=0,"",SUMIFS('ИТОГО Торговля'!$C$5:$C$300,'ИТОГО Торговля'!$B$5:$B$300,$B122)+SUMIFS('ИТОГО Лэндинг'!$C$5:$C$300,'ИТОГО Лэндинг'!$B$5:$B$300,$B122)+SUMIFS('История'!$C$5:$C$300,'История'!$B$5:$B$300,$B122)))</f>
        <v/>
      </c>
      <c r="D122" s="183">
        <f>IF(C122="","",E122/C122)</f>
        <v/>
      </c>
      <c r="E122" s="247">
        <f>IF(C122="","",SUMIFS('ИТОГО Торговля'!$E$5:$E$300,'ИТОГО Торговля'!$B$5:$B$300,$B122)+SUMIFS('ИТОГО Лэндинг'!$E$5:$E$300,'ИТОГО Лэндинг'!$B$5:$B$300,$B122)+SUMIFS('История'!$E$5:$E$300,'История'!$B$5:$B$300,$B122))</f>
        <v/>
      </c>
      <c r="F122" s="246">
        <f>IF($B122="","",IF(SUMIFS('ИТОГО Торговля'!$F$5:$F$300,'ИТОГО Торговля'!$B$5:$B$300,$B122)+SUMIFS('ИТОГО Лэндинг'!$F$5:$F$300,'ИТОГО Лэндинг'!$B$5:$B$300,$B122)+SUMIFS('История'!$F$5:$F$300,'История'!$B$5:$B$300,$B122)=0,"",SUMIFS('ИТОГО Торговля'!$F$5:$F$300,'ИТОГО Торговля'!$B$5:$B$300,$B122)+SUMIFS('ИТОГО Лэндинг'!$F$5:$F$300,'ИТОГО Лэндинг'!$B$5:$B$300,$B122)+SUMIFS('История'!$F$5:$F$300,'История'!$B$5:$B$300,$B122)))</f>
        <v/>
      </c>
      <c r="G122" s="183">
        <f>IF(F122="","",H122/F122)</f>
        <v/>
      </c>
      <c r="H122" s="247">
        <f>IF(F122="","",SUMIFS('ИТОГО Торговля'!$H$5:$H$300,'ИТОГО Торговля'!$B$5:$B$300,$B122)+SUMIFS('ИТОГО Лэндинг'!$H$5:$H$300,'ИТОГО Лэндинг'!$B$5:$B$300,$B122)+SUMIFS('История'!$H$5:$H$300,'История'!$B$5:$B$300,$B122))</f>
        <v/>
      </c>
      <c r="I122" s="246">
        <f>IF($B122="","",IF(AND(C122="",F122=""),"",ROUND(SUMIFS('ИТОГО Торговля'!$I$5:$I$300,'ИТОГО Торговля'!$B$5:$B$300,$B122)+SUMIFS('ИТОГО Лэндинг'!$I$5:$I$300,'ИТОГО Лэндинг'!$B$5:$B$300,$B122)+SUMIFS('История'!$I$5:$I$300,'История'!$B$5:$B$300,$B122),8)))</f>
        <v/>
      </c>
      <c r="J122" s="247">
        <f>IF($B122="","",IF(AND(C122="",F122=""),"",ROUND(SUMIFS('ИТОГО Торговля'!$J$5:$J$300,'ИТОГО Торговля'!$B$5:$B$300,$B122)+SUMIFS('ИТОГО Лэндинг'!$J$5:$J$300,'ИТОГО Лэндинг'!$B$5:$B$300,$B122)+SUMIFS('История'!$J$5:$J$300,'История'!$B$5:$B$300,$B122),8)))</f>
        <v/>
      </c>
      <c r="K122" s="246">
        <f>IF($B122="","",ROUND(SUMIFS('ИТОГО Торговля'!$K$5:$K$300,'ИТОГО Торговля'!$B$5:$B$300,$B122)+SUMIFS('ИТОГО Лэндинг'!$K$5:$K$300,'ИТОГО Лэндинг'!$B$5:$B$300,$B122)+SUMIFS('История'!$K$5:$K$300,'История'!$B$5:$B$300,$B122),8))</f>
        <v/>
      </c>
      <c r="L122" s="183">
        <f>IF(K122="","",IF(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122)*((История!$C$5:$C$300+История!$F$5:$F$300-ABS(История!$C$5:$C$300-История!$F$5:$F$300))/2)*История!$D$5:$D$300))&lt;=0,0,ROUND(K122/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122)*((История!$C$5:$C$300+История!$F$5:$F$300-ABS(История!$C$5:$C$300-История!$F$5:$F$300))/2)*История!$D$5:$D$300)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IF($B123="","",IF(SUMIFS('ИТОГО Торговля'!$C$5:$C$300,'ИТОГО Торговля'!$B$5:$B$300,$B123)+SUMIFS('ИТОГО Лэндинг'!$C$5:$C$300,'ИТОГО Лэндинг'!$B$5:$B$300,$B123)+SUMIFS('История'!$C$5:$C$300,'История'!$B$5:$B$300,$B123)=0,"",SUMIFS('ИТОГО Торговля'!$C$5:$C$300,'ИТОГО Торговля'!$B$5:$B$300,$B123)+SUMIFS('ИТОГО Лэндинг'!$C$5:$C$300,'ИТОГО Лэндинг'!$B$5:$B$300,$B123)+SUMIFS('История'!$C$5:$C$300,'История'!$B$5:$B$300,$B123)))</f>
        <v/>
      </c>
      <c r="D123" s="177">
        <f>IF(C123="","",E123/C123)</f>
        <v/>
      </c>
      <c r="E123" s="241">
        <f>IF(C123="","",SUMIFS('ИТОГО Торговля'!$E$5:$E$300,'ИТОГО Торговля'!$B$5:$B$300,$B123)+SUMIFS('ИТОГО Лэндинг'!$E$5:$E$300,'ИТОГО Лэндинг'!$B$5:$B$300,$B123)+SUMIFS('История'!$E$5:$E$300,'История'!$B$5:$B$300,$B123))</f>
        <v/>
      </c>
      <c r="F123" s="240">
        <f>IF($B123="","",IF(SUMIFS('ИТОГО Торговля'!$F$5:$F$300,'ИТОГО Торговля'!$B$5:$B$300,$B123)+SUMIFS('ИТОГО Лэндинг'!$F$5:$F$300,'ИТОГО Лэндинг'!$B$5:$B$300,$B123)+SUMIFS('История'!$F$5:$F$300,'История'!$B$5:$B$300,$B123)=0,"",SUMIFS('ИТОГО Торговля'!$F$5:$F$300,'ИТОГО Торговля'!$B$5:$B$300,$B123)+SUMIFS('ИТОГО Лэндинг'!$F$5:$F$300,'ИТОГО Лэндинг'!$B$5:$B$300,$B123)+SUMIFS('История'!$F$5:$F$300,'История'!$B$5:$B$300,$B123)))</f>
        <v/>
      </c>
      <c r="G123" s="177">
        <f>IF(F123="","",H123/F123)</f>
        <v/>
      </c>
      <c r="H123" s="241">
        <f>IF(F123="","",SUMIFS('ИТОГО Торговля'!$H$5:$H$300,'ИТОГО Торговля'!$B$5:$B$300,$B123)+SUMIFS('ИТОГО Лэндинг'!$H$5:$H$300,'ИТОГО Лэндинг'!$B$5:$B$300,$B123)+SUMIFS('История'!$H$5:$H$300,'История'!$B$5:$B$300,$B123))</f>
        <v/>
      </c>
      <c r="I123" s="240">
        <f>IF($B123="","",IF(AND(C123="",F123=""),"",ROUND(SUMIFS('ИТОГО Торговля'!$I$5:$I$300,'ИТОГО Торговля'!$B$5:$B$300,$B123)+SUMIFS('ИТОГО Лэндинг'!$I$5:$I$300,'ИТОГО Лэндинг'!$B$5:$B$300,$B123)+SUMIFS('История'!$I$5:$I$300,'История'!$B$5:$B$300,$B123),8)))</f>
        <v/>
      </c>
      <c r="J123" s="241">
        <f>IF($B123="","",IF(AND(C123="",F123=""),"",ROUND(SUMIFS('ИТОГО Торговля'!$J$5:$J$300,'ИТОГО Торговля'!$B$5:$B$300,$B123)+SUMIFS('ИТОГО Лэндинг'!$J$5:$J$300,'ИТОГО Лэндинг'!$B$5:$B$300,$B123)+SUMIFS('История'!$J$5:$J$300,'История'!$B$5:$B$300,$B123),8)))</f>
        <v/>
      </c>
      <c r="K123" s="240">
        <f>IF($B123="","",ROUND(SUMIFS('ИТОГО Торговля'!$K$5:$K$300,'ИТОГО Торговля'!$B$5:$B$300,$B123)+SUMIFS('ИТОГО Лэндинг'!$K$5:$K$300,'ИТОГО Лэндинг'!$B$5:$B$300,$B123)+SUMIFS('История'!$K$5:$K$300,'История'!$B$5:$B$300,$B123),8))</f>
        <v/>
      </c>
      <c r="L123" s="177">
        <f>IF(K123="","",IF(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123)*((История!$C$5:$C$300+История!$F$5:$F$300-ABS(История!$C$5:$C$300-История!$F$5:$F$300))/2)*История!$D$5:$D$300))&lt;=0,0,ROUND(K123/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123)*((История!$C$5:$C$300+История!$F$5:$F$300-ABS(История!$C$5:$C$300-История!$F$5:$F$300))/2)*История!$D$5:$D$300)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IF($B124="","",IF(SUMIFS('ИТОГО Торговля'!$C$5:$C$300,'ИТОГО Торговля'!$B$5:$B$300,$B124)+SUMIFS('ИТОГО Лэндинг'!$C$5:$C$300,'ИТОГО Лэндинг'!$B$5:$B$300,$B124)+SUMIFS('История'!$C$5:$C$300,'История'!$B$5:$B$300,$B124)=0,"",SUMIFS('ИТОГО Торговля'!$C$5:$C$300,'ИТОГО Торговля'!$B$5:$B$300,$B124)+SUMIFS('ИТОГО Лэндинг'!$C$5:$C$300,'ИТОГО Лэндинг'!$B$5:$B$300,$B124)+SUMIFS('История'!$C$5:$C$300,'История'!$B$5:$B$300,$B124)))</f>
        <v/>
      </c>
      <c r="D124" s="183">
        <f>IF(C124="","",E124/C124)</f>
        <v/>
      </c>
      <c r="E124" s="247">
        <f>IF(C124="","",SUMIFS('ИТОГО Торговля'!$E$5:$E$300,'ИТОГО Торговля'!$B$5:$B$300,$B124)+SUMIFS('ИТОГО Лэндинг'!$E$5:$E$300,'ИТОГО Лэндинг'!$B$5:$B$300,$B124)+SUMIFS('История'!$E$5:$E$300,'История'!$B$5:$B$300,$B124))</f>
        <v/>
      </c>
      <c r="F124" s="246">
        <f>IF($B124="","",IF(SUMIFS('ИТОГО Торговля'!$F$5:$F$300,'ИТОГО Торговля'!$B$5:$B$300,$B124)+SUMIFS('ИТОГО Лэндинг'!$F$5:$F$300,'ИТОГО Лэндинг'!$B$5:$B$300,$B124)+SUMIFS('История'!$F$5:$F$300,'История'!$B$5:$B$300,$B124)=0,"",SUMIFS('ИТОГО Торговля'!$F$5:$F$300,'ИТОГО Торговля'!$B$5:$B$300,$B124)+SUMIFS('ИТОГО Лэндинг'!$F$5:$F$300,'ИТОГО Лэндинг'!$B$5:$B$300,$B124)+SUMIFS('История'!$F$5:$F$300,'История'!$B$5:$B$300,$B124)))</f>
        <v/>
      </c>
      <c r="G124" s="183">
        <f>IF(F124="","",H124/F124)</f>
        <v/>
      </c>
      <c r="H124" s="247">
        <f>IF(F124="","",SUMIFS('ИТОГО Торговля'!$H$5:$H$300,'ИТОГО Торговля'!$B$5:$B$300,$B124)+SUMIFS('ИТОГО Лэндинг'!$H$5:$H$300,'ИТОГО Лэндинг'!$B$5:$B$300,$B124)+SUMIFS('История'!$H$5:$H$300,'История'!$B$5:$B$300,$B124))</f>
        <v/>
      </c>
      <c r="I124" s="246">
        <f>IF($B124="","",IF(AND(C124="",F124=""),"",ROUND(SUMIFS('ИТОГО Торговля'!$I$5:$I$300,'ИТОГО Торговля'!$B$5:$B$300,$B124)+SUMIFS('ИТОГО Лэндинг'!$I$5:$I$300,'ИТОГО Лэндинг'!$B$5:$B$300,$B124)+SUMIFS('История'!$I$5:$I$300,'История'!$B$5:$B$300,$B124),8)))</f>
        <v/>
      </c>
      <c r="J124" s="247">
        <f>IF($B124="","",IF(AND(C124="",F124=""),"",ROUND(SUMIFS('ИТОГО Торговля'!$J$5:$J$300,'ИТОГО Торговля'!$B$5:$B$300,$B124)+SUMIFS('ИТОГО Лэндинг'!$J$5:$J$300,'ИТОГО Лэндинг'!$B$5:$B$300,$B124)+SUMIFS('История'!$J$5:$J$300,'История'!$B$5:$B$300,$B124),8)))</f>
        <v/>
      </c>
      <c r="K124" s="246">
        <f>IF($B124="","",ROUND(SUMIFS('ИТОГО Торговля'!$K$5:$K$300,'ИТОГО Торговля'!$B$5:$B$300,$B124)+SUMIFS('ИТОГО Лэндинг'!$K$5:$K$300,'ИТОГО Лэндинг'!$B$5:$B$300,$B124)+SUMIFS('История'!$K$5:$K$300,'История'!$B$5:$B$300,$B124),8))</f>
        <v/>
      </c>
      <c r="L124" s="183">
        <f>IF(K124="","",IF(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124)*((История!$C$5:$C$300+История!$F$5:$F$300-ABS(История!$C$5:$C$300-История!$F$5:$F$300))/2)*История!$D$5:$D$300))&lt;=0,0,ROUND(K124/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124)*((История!$C$5:$C$300+История!$F$5:$F$300-ABS(История!$C$5:$C$300-История!$F$5:$F$300))/2)*История!$D$5:$D$300)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IF($B125="","",IF(SUMIFS('ИТОГО Торговля'!$C$5:$C$300,'ИТОГО Торговля'!$B$5:$B$300,$B125)+SUMIFS('ИТОГО Лэндинг'!$C$5:$C$300,'ИТОГО Лэндинг'!$B$5:$B$300,$B125)+SUMIFS('История'!$C$5:$C$300,'История'!$B$5:$B$300,$B125)=0,"",SUMIFS('ИТОГО Торговля'!$C$5:$C$300,'ИТОГО Торговля'!$B$5:$B$300,$B125)+SUMIFS('ИТОГО Лэндинг'!$C$5:$C$300,'ИТОГО Лэндинг'!$B$5:$B$300,$B125)+SUMIFS('История'!$C$5:$C$300,'История'!$B$5:$B$300,$B125)))</f>
        <v/>
      </c>
      <c r="D125" s="177">
        <f>IF(C125="","",E125/C125)</f>
        <v/>
      </c>
      <c r="E125" s="241">
        <f>IF(C125="","",SUMIFS('ИТОГО Торговля'!$E$5:$E$300,'ИТОГО Торговля'!$B$5:$B$300,$B125)+SUMIFS('ИТОГО Лэндинг'!$E$5:$E$300,'ИТОГО Лэндинг'!$B$5:$B$300,$B125)+SUMIFS('История'!$E$5:$E$300,'История'!$B$5:$B$300,$B125))</f>
        <v/>
      </c>
      <c r="F125" s="240">
        <f>IF($B125="","",IF(SUMIFS('ИТОГО Торговля'!$F$5:$F$300,'ИТОГО Торговля'!$B$5:$B$300,$B125)+SUMIFS('ИТОГО Лэндинг'!$F$5:$F$300,'ИТОГО Лэндинг'!$B$5:$B$300,$B125)+SUMIFS('История'!$F$5:$F$300,'История'!$B$5:$B$300,$B125)=0,"",SUMIFS('ИТОГО Торговля'!$F$5:$F$300,'ИТОГО Торговля'!$B$5:$B$300,$B125)+SUMIFS('ИТОГО Лэндинг'!$F$5:$F$300,'ИТОГО Лэндинг'!$B$5:$B$300,$B125)+SUMIFS('История'!$F$5:$F$300,'История'!$B$5:$B$300,$B125)))</f>
        <v/>
      </c>
      <c r="G125" s="177">
        <f>IF(F125="","",H125/F125)</f>
        <v/>
      </c>
      <c r="H125" s="241">
        <f>IF(F125="","",SUMIFS('ИТОГО Торговля'!$H$5:$H$300,'ИТОГО Торговля'!$B$5:$B$300,$B125)+SUMIFS('ИТОГО Лэндинг'!$H$5:$H$300,'ИТОГО Лэндинг'!$B$5:$B$300,$B125)+SUMIFS('История'!$H$5:$H$300,'История'!$B$5:$B$300,$B125))</f>
        <v/>
      </c>
      <c r="I125" s="240">
        <f>IF($B125="","",IF(AND(C125="",F125=""),"",ROUND(SUMIFS('ИТОГО Торговля'!$I$5:$I$300,'ИТОГО Торговля'!$B$5:$B$300,$B125)+SUMIFS('ИТОГО Лэндинг'!$I$5:$I$300,'ИТОГО Лэндинг'!$B$5:$B$300,$B125)+SUMIFS('История'!$I$5:$I$300,'История'!$B$5:$B$300,$B125),8)))</f>
        <v/>
      </c>
      <c r="J125" s="241">
        <f>IF($B125="","",IF(AND(C125="",F125=""),"",ROUND(SUMIFS('ИТОГО Торговля'!$J$5:$J$300,'ИТОГО Торговля'!$B$5:$B$300,$B125)+SUMIFS('ИТОГО Лэндинг'!$J$5:$J$300,'ИТОГО Лэндинг'!$B$5:$B$300,$B125)+SUMIFS('История'!$J$5:$J$300,'История'!$B$5:$B$300,$B125),8)))</f>
        <v/>
      </c>
      <c r="K125" s="240">
        <f>IF($B125="","",ROUND(SUMIFS('ИТОГО Торговля'!$K$5:$K$300,'ИТОГО Торговля'!$B$5:$B$300,$B125)+SUMIFS('ИТОГО Лэндинг'!$K$5:$K$300,'ИТОГО Лэндинг'!$B$5:$B$300,$B125)+SUMIFS('История'!$K$5:$K$300,'История'!$B$5:$B$300,$B125),8))</f>
        <v/>
      </c>
      <c r="L125" s="177">
        <f>IF(K125="","",IF(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125)*((История!$C$5:$C$300+История!$F$5:$F$300-ABS(История!$C$5:$C$300-История!$F$5:$F$300))/2)*История!$D$5:$D$300))&lt;=0,0,ROUND(K125/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125)*((История!$C$5:$C$300+История!$F$5:$F$300-ABS(История!$C$5:$C$300-История!$F$5:$F$300))/2)*История!$D$5:$D$300)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IF($B126="","",IF(SUMIFS('ИТОГО Торговля'!$C$5:$C$300,'ИТОГО Торговля'!$B$5:$B$300,$B126)+SUMIFS('ИТОГО Лэндинг'!$C$5:$C$300,'ИТОГО Лэндинг'!$B$5:$B$300,$B126)+SUMIFS('История'!$C$5:$C$300,'История'!$B$5:$B$300,$B126)=0,"",SUMIFS('ИТОГО Торговля'!$C$5:$C$300,'ИТОГО Торговля'!$B$5:$B$300,$B126)+SUMIFS('ИТОГО Лэндинг'!$C$5:$C$300,'ИТОГО Лэндинг'!$B$5:$B$300,$B126)+SUMIFS('История'!$C$5:$C$300,'История'!$B$5:$B$300,$B126)))</f>
        <v/>
      </c>
      <c r="D126" s="183">
        <f>IF(C126="","",E126/C126)</f>
        <v/>
      </c>
      <c r="E126" s="247">
        <f>IF(C126="","",SUMIFS('ИТОГО Торговля'!$E$5:$E$300,'ИТОГО Торговля'!$B$5:$B$300,$B126)+SUMIFS('ИТОГО Лэндинг'!$E$5:$E$300,'ИТОГО Лэндинг'!$B$5:$B$300,$B126)+SUMIFS('История'!$E$5:$E$300,'История'!$B$5:$B$300,$B126))</f>
        <v/>
      </c>
      <c r="F126" s="246">
        <f>IF($B126="","",IF(SUMIFS('ИТОГО Торговля'!$F$5:$F$300,'ИТОГО Торговля'!$B$5:$B$300,$B126)+SUMIFS('ИТОГО Лэндинг'!$F$5:$F$300,'ИТОГО Лэндинг'!$B$5:$B$300,$B126)+SUMIFS('История'!$F$5:$F$300,'История'!$B$5:$B$300,$B126)=0,"",SUMIFS('ИТОГО Торговля'!$F$5:$F$300,'ИТОГО Торговля'!$B$5:$B$300,$B126)+SUMIFS('ИТОГО Лэндинг'!$F$5:$F$300,'ИТОГО Лэндинг'!$B$5:$B$300,$B126)+SUMIFS('История'!$F$5:$F$300,'История'!$B$5:$B$300,$B126)))</f>
        <v/>
      </c>
      <c r="G126" s="183">
        <f>IF(F126="","",H126/F126)</f>
        <v/>
      </c>
      <c r="H126" s="247">
        <f>IF(F126="","",SUMIFS('ИТОГО Торговля'!$H$5:$H$300,'ИТОГО Торговля'!$B$5:$B$300,$B126)+SUMIFS('ИТОГО Лэндинг'!$H$5:$H$300,'ИТОГО Лэндинг'!$B$5:$B$300,$B126)+SUMIFS('История'!$H$5:$H$300,'История'!$B$5:$B$300,$B126))</f>
        <v/>
      </c>
      <c r="I126" s="246">
        <f>IF($B126="","",IF(AND(C126="",F126=""),"",ROUND(SUMIFS('ИТОГО Торговля'!$I$5:$I$300,'ИТОГО Торговля'!$B$5:$B$300,$B126)+SUMIFS('ИТОГО Лэндинг'!$I$5:$I$300,'ИТОГО Лэндинг'!$B$5:$B$300,$B126)+SUMIFS('История'!$I$5:$I$300,'История'!$B$5:$B$300,$B126),8)))</f>
        <v/>
      </c>
      <c r="J126" s="247">
        <f>IF($B126="","",IF(AND(C126="",F126=""),"",ROUND(SUMIFS('ИТОГО Торговля'!$J$5:$J$300,'ИТОГО Торговля'!$B$5:$B$300,$B126)+SUMIFS('ИТОГО Лэндинг'!$J$5:$J$300,'ИТОГО Лэндинг'!$B$5:$B$300,$B126)+SUMIFS('История'!$J$5:$J$300,'История'!$B$5:$B$300,$B126),8)))</f>
        <v/>
      </c>
      <c r="K126" s="246">
        <f>IF($B126="","",ROUND(SUMIFS('ИТОГО Торговля'!$K$5:$K$300,'ИТОГО Торговля'!$B$5:$B$300,$B126)+SUMIFS('ИТОГО Лэндинг'!$K$5:$K$300,'ИТОГО Лэндинг'!$B$5:$B$300,$B126)+SUMIFS('История'!$K$5:$K$300,'История'!$B$5:$B$300,$B126),8))</f>
        <v/>
      </c>
      <c r="L126" s="183">
        <f>IF(K126="","",IF(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126)*((История!$C$5:$C$300+История!$F$5:$F$300-ABS(История!$C$5:$C$300-История!$F$5:$F$300))/2)*История!$D$5:$D$300))&lt;=0,0,ROUND(K126/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126)*((История!$C$5:$C$300+История!$F$5:$F$300-ABS(История!$C$5:$C$300-История!$F$5:$F$300))/2)*История!$D$5:$D$300)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IF($B127="","",IF(SUMIFS('ИТОГО Торговля'!$C$5:$C$300,'ИТОГО Торговля'!$B$5:$B$300,$B127)+SUMIFS('ИТОГО Лэндинг'!$C$5:$C$300,'ИТОГО Лэндинг'!$B$5:$B$300,$B127)+SUMIFS('История'!$C$5:$C$300,'История'!$B$5:$B$300,$B127)=0,"",SUMIFS('ИТОГО Торговля'!$C$5:$C$300,'ИТОГО Торговля'!$B$5:$B$300,$B127)+SUMIFS('ИТОГО Лэндинг'!$C$5:$C$300,'ИТОГО Лэндинг'!$B$5:$B$300,$B127)+SUMIFS('История'!$C$5:$C$300,'История'!$B$5:$B$300,$B127)))</f>
        <v/>
      </c>
      <c r="D127" s="177">
        <f>IF(C127="","",E127/C127)</f>
        <v/>
      </c>
      <c r="E127" s="241">
        <f>IF(C127="","",SUMIFS('ИТОГО Торговля'!$E$5:$E$300,'ИТОГО Торговля'!$B$5:$B$300,$B127)+SUMIFS('ИТОГО Лэндинг'!$E$5:$E$300,'ИТОГО Лэндинг'!$B$5:$B$300,$B127)+SUMIFS('История'!$E$5:$E$300,'История'!$B$5:$B$300,$B127))</f>
        <v/>
      </c>
      <c r="F127" s="240">
        <f>IF($B127="","",IF(SUMIFS('ИТОГО Торговля'!$F$5:$F$300,'ИТОГО Торговля'!$B$5:$B$300,$B127)+SUMIFS('ИТОГО Лэндинг'!$F$5:$F$300,'ИТОГО Лэндинг'!$B$5:$B$300,$B127)+SUMIFS('История'!$F$5:$F$300,'История'!$B$5:$B$300,$B127)=0,"",SUMIFS('ИТОГО Торговля'!$F$5:$F$300,'ИТОГО Торговля'!$B$5:$B$300,$B127)+SUMIFS('ИТОГО Лэндинг'!$F$5:$F$300,'ИТОГО Лэндинг'!$B$5:$B$300,$B127)+SUMIFS('История'!$F$5:$F$300,'История'!$B$5:$B$300,$B127)))</f>
        <v/>
      </c>
      <c r="G127" s="177">
        <f>IF(F127="","",H127/F127)</f>
        <v/>
      </c>
      <c r="H127" s="241">
        <f>IF(F127="","",SUMIFS('ИТОГО Торговля'!$H$5:$H$300,'ИТОГО Торговля'!$B$5:$B$300,$B127)+SUMIFS('ИТОГО Лэндинг'!$H$5:$H$300,'ИТОГО Лэндинг'!$B$5:$B$300,$B127)+SUMIFS('История'!$H$5:$H$300,'История'!$B$5:$B$300,$B127))</f>
        <v/>
      </c>
      <c r="I127" s="240">
        <f>IF($B127="","",IF(AND(C127="",F127=""),"",ROUND(SUMIFS('ИТОГО Торговля'!$I$5:$I$300,'ИТОГО Торговля'!$B$5:$B$300,$B127)+SUMIFS('ИТОГО Лэндинг'!$I$5:$I$300,'ИТОГО Лэндинг'!$B$5:$B$300,$B127)+SUMIFS('История'!$I$5:$I$300,'История'!$B$5:$B$300,$B127),8)))</f>
        <v/>
      </c>
      <c r="J127" s="241">
        <f>IF($B127="","",IF(AND(C127="",F127=""),"",ROUND(SUMIFS('ИТОГО Торговля'!$J$5:$J$300,'ИТОГО Торговля'!$B$5:$B$300,$B127)+SUMIFS('ИТОГО Лэндинг'!$J$5:$J$300,'ИТОГО Лэндинг'!$B$5:$B$300,$B127)+SUMIFS('История'!$J$5:$J$300,'История'!$B$5:$B$300,$B127),8)))</f>
        <v/>
      </c>
      <c r="K127" s="240">
        <f>IF($B127="","",ROUND(SUMIFS('ИТОГО Торговля'!$K$5:$K$300,'ИТОГО Торговля'!$B$5:$B$300,$B127)+SUMIFS('ИТОГО Лэндинг'!$K$5:$K$300,'ИТОГО Лэндинг'!$B$5:$B$300,$B127)+SUMIFS('История'!$K$5:$K$300,'История'!$B$5:$B$300,$B127),8))</f>
        <v/>
      </c>
      <c r="L127" s="177">
        <f>IF(K127="","",IF(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127)*((История!$C$5:$C$300+История!$F$5:$F$300-ABS(История!$C$5:$C$300-История!$F$5:$F$300))/2)*История!$D$5:$D$300))&lt;=0,0,ROUND(K127/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127)*((История!$C$5:$C$300+История!$F$5:$F$300-ABS(История!$C$5:$C$300-История!$F$5:$F$300))/2)*История!$D$5:$D$300)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IF($B128="","",IF(SUMIFS('ИТОГО Торговля'!$C$5:$C$300,'ИТОГО Торговля'!$B$5:$B$300,$B128)+SUMIFS('ИТОГО Лэндинг'!$C$5:$C$300,'ИТОГО Лэндинг'!$B$5:$B$300,$B128)+SUMIFS('История'!$C$5:$C$300,'История'!$B$5:$B$300,$B128)=0,"",SUMIFS('ИТОГО Торговля'!$C$5:$C$300,'ИТОГО Торговля'!$B$5:$B$300,$B128)+SUMIFS('ИТОГО Лэндинг'!$C$5:$C$300,'ИТОГО Лэндинг'!$B$5:$B$300,$B128)+SUMIFS('История'!$C$5:$C$300,'История'!$B$5:$B$300,$B128)))</f>
        <v/>
      </c>
      <c r="D128" s="183">
        <f>IF(C128="","",E128/C128)</f>
        <v/>
      </c>
      <c r="E128" s="247">
        <f>IF(C128="","",SUMIFS('ИТОГО Торговля'!$E$5:$E$300,'ИТОГО Торговля'!$B$5:$B$300,$B128)+SUMIFS('ИТОГО Лэндинг'!$E$5:$E$300,'ИТОГО Лэндинг'!$B$5:$B$300,$B128)+SUMIFS('История'!$E$5:$E$300,'История'!$B$5:$B$300,$B128))</f>
        <v/>
      </c>
      <c r="F128" s="246">
        <f>IF($B128="","",IF(SUMIFS('ИТОГО Торговля'!$F$5:$F$300,'ИТОГО Торговля'!$B$5:$B$300,$B128)+SUMIFS('ИТОГО Лэндинг'!$F$5:$F$300,'ИТОГО Лэндинг'!$B$5:$B$300,$B128)+SUMIFS('История'!$F$5:$F$300,'История'!$B$5:$B$300,$B128)=0,"",SUMIFS('ИТОГО Торговля'!$F$5:$F$300,'ИТОГО Торговля'!$B$5:$B$300,$B128)+SUMIFS('ИТОГО Лэндинг'!$F$5:$F$300,'ИТОГО Лэндинг'!$B$5:$B$300,$B128)+SUMIFS('История'!$F$5:$F$300,'История'!$B$5:$B$300,$B128)))</f>
        <v/>
      </c>
      <c r="G128" s="183">
        <f>IF(F128="","",H128/F128)</f>
        <v/>
      </c>
      <c r="H128" s="247">
        <f>IF(F128="","",SUMIFS('ИТОГО Торговля'!$H$5:$H$300,'ИТОГО Торговля'!$B$5:$B$300,$B128)+SUMIFS('ИТОГО Лэндинг'!$H$5:$H$300,'ИТОГО Лэндинг'!$B$5:$B$300,$B128)+SUMIFS('История'!$H$5:$H$300,'История'!$B$5:$B$300,$B128))</f>
        <v/>
      </c>
      <c r="I128" s="246">
        <f>IF($B128="","",IF(AND(C128="",F128=""),"",ROUND(SUMIFS('ИТОГО Торговля'!$I$5:$I$300,'ИТОГО Торговля'!$B$5:$B$300,$B128)+SUMIFS('ИТОГО Лэндинг'!$I$5:$I$300,'ИТОГО Лэндинг'!$B$5:$B$300,$B128)+SUMIFS('История'!$I$5:$I$300,'История'!$B$5:$B$300,$B128),8)))</f>
        <v/>
      </c>
      <c r="J128" s="247">
        <f>IF($B128="","",IF(AND(C128="",F128=""),"",ROUND(SUMIFS('ИТОГО Торговля'!$J$5:$J$300,'ИТОГО Торговля'!$B$5:$B$300,$B128)+SUMIFS('ИТОГО Лэндинг'!$J$5:$J$300,'ИТОГО Лэндинг'!$B$5:$B$300,$B128)+SUMIFS('История'!$J$5:$J$300,'История'!$B$5:$B$300,$B128),8)))</f>
        <v/>
      </c>
      <c r="K128" s="246">
        <f>IF($B128="","",ROUND(SUMIFS('ИТОГО Торговля'!$K$5:$K$300,'ИТОГО Торговля'!$B$5:$B$300,$B128)+SUMIFS('ИТОГО Лэндинг'!$K$5:$K$300,'ИТОГО Лэндинг'!$B$5:$B$300,$B128)+SUMIFS('История'!$K$5:$K$300,'История'!$B$5:$B$300,$B128),8))</f>
        <v/>
      </c>
      <c r="L128" s="183">
        <f>IF(K128="","",IF(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128)*((История!$C$5:$C$300+История!$F$5:$F$300-ABS(История!$C$5:$C$300-История!$F$5:$F$300))/2)*История!$D$5:$D$300))&lt;=0,0,ROUND(K128/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128)*((История!$C$5:$C$300+История!$F$5:$F$300-ABS(История!$C$5:$C$300-История!$F$5:$F$300))/2)*История!$D$5:$D$300)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IF($B129="","",IF(SUMIFS('ИТОГО Торговля'!$C$5:$C$300,'ИТОГО Торговля'!$B$5:$B$300,$B129)+SUMIFS('ИТОГО Лэндинг'!$C$5:$C$300,'ИТОГО Лэндинг'!$B$5:$B$300,$B129)+SUMIFS('История'!$C$5:$C$300,'История'!$B$5:$B$300,$B129)=0,"",SUMIFS('ИТОГО Торговля'!$C$5:$C$300,'ИТОГО Торговля'!$B$5:$B$300,$B129)+SUMIFS('ИТОГО Лэндинг'!$C$5:$C$300,'ИТОГО Лэндинг'!$B$5:$B$300,$B129)+SUMIFS('История'!$C$5:$C$300,'История'!$B$5:$B$300,$B129)))</f>
        <v/>
      </c>
      <c r="D129" s="177">
        <f>IF(C129="","",E129/C129)</f>
        <v/>
      </c>
      <c r="E129" s="241">
        <f>IF(C129="","",SUMIFS('ИТОГО Торговля'!$E$5:$E$300,'ИТОГО Торговля'!$B$5:$B$300,$B129)+SUMIFS('ИТОГО Лэндинг'!$E$5:$E$300,'ИТОГО Лэндинг'!$B$5:$B$300,$B129)+SUMIFS('История'!$E$5:$E$300,'История'!$B$5:$B$300,$B129))</f>
        <v/>
      </c>
      <c r="F129" s="240">
        <f>IF($B129="","",IF(SUMIFS('ИТОГО Торговля'!$F$5:$F$300,'ИТОГО Торговля'!$B$5:$B$300,$B129)+SUMIFS('ИТОГО Лэндинг'!$F$5:$F$300,'ИТОГО Лэндинг'!$B$5:$B$300,$B129)+SUMIFS('История'!$F$5:$F$300,'История'!$B$5:$B$300,$B129)=0,"",SUMIFS('ИТОГО Торговля'!$F$5:$F$300,'ИТОГО Торговля'!$B$5:$B$300,$B129)+SUMIFS('ИТОГО Лэндинг'!$F$5:$F$300,'ИТОГО Лэндинг'!$B$5:$B$300,$B129)+SUMIFS('История'!$F$5:$F$300,'История'!$B$5:$B$300,$B129)))</f>
        <v/>
      </c>
      <c r="G129" s="177">
        <f>IF(F129="","",H129/F129)</f>
        <v/>
      </c>
      <c r="H129" s="241">
        <f>IF(F129="","",SUMIFS('ИТОГО Торговля'!$H$5:$H$300,'ИТОГО Торговля'!$B$5:$B$300,$B129)+SUMIFS('ИТОГО Лэндинг'!$H$5:$H$300,'ИТОГО Лэндинг'!$B$5:$B$300,$B129)+SUMIFS('История'!$H$5:$H$300,'История'!$B$5:$B$300,$B129))</f>
        <v/>
      </c>
      <c r="I129" s="240">
        <f>IF($B129="","",IF(AND(C129="",F129=""),"",ROUND(SUMIFS('ИТОГО Торговля'!$I$5:$I$300,'ИТОГО Торговля'!$B$5:$B$300,$B129)+SUMIFS('ИТОГО Лэндинг'!$I$5:$I$300,'ИТОГО Лэндинг'!$B$5:$B$300,$B129)+SUMIFS('История'!$I$5:$I$300,'История'!$B$5:$B$300,$B129),8)))</f>
        <v/>
      </c>
      <c r="J129" s="241">
        <f>IF($B129="","",IF(AND(C129="",F129=""),"",ROUND(SUMIFS('ИТОГО Торговля'!$J$5:$J$300,'ИТОГО Торговля'!$B$5:$B$300,$B129)+SUMIFS('ИТОГО Лэндинг'!$J$5:$J$300,'ИТОГО Лэндинг'!$B$5:$B$300,$B129)+SUMIFS('История'!$J$5:$J$300,'История'!$B$5:$B$300,$B129),8)))</f>
        <v/>
      </c>
      <c r="K129" s="240">
        <f>IF($B129="","",ROUND(SUMIFS('ИТОГО Торговля'!$K$5:$K$300,'ИТОГО Торговля'!$B$5:$B$300,$B129)+SUMIFS('ИТОГО Лэндинг'!$K$5:$K$300,'ИТОГО Лэндинг'!$B$5:$B$300,$B129)+SUMIFS('История'!$K$5:$K$300,'История'!$B$5:$B$300,$B129),8))</f>
        <v/>
      </c>
      <c r="L129" s="177">
        <f>IF(K129="","",IF(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129)*((История!$C$5:$C$300+История!$F$5:$F$300-ABS(История!$C$5:$C$300-История!$F$5:$F$300))/2)*История!$D$5:$D$300))&lt;=0,0,ROUND(K129/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129)*((История!$C$5:$C$300+История!$F$5:$F$300-ABS(История!$C$5:$C$300-История!$F$5:$F$300))/2)*История!$D$5:$D$300)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IF($B130="","",IF(SUMIFS('ИТОГО Торговля'!$C$5:$C$300,'ИТОГО Торговля'!$B$5:$B$300,$B130)+SUMIFS('ИТОГО Лэндинг'!$C$5:$C$300,'ИТОГО Лэндинг'!$B$5:$B$300,$B130)+SUMIFS('История'!$C$5:$C$300,'История'!$B$5:$B$300,$B130)=0,"",SUMIFS('ИТОГО Торговля'!$C$5:$C$300,'ИТОГО Торговля'!$B$5:$B$300,$B130)+SUMIFS('ИТОГО Лэндинг'!$C$5:$C$300,'ИТОГО Лэндинг'!$B$5:$B$300,$B130)+SUMIFS('История'!$C$5:$C$300,'История'!$B$5:$B$300,$B130)))</f>
        <v/>
      </c>
      <c r="D130" s="183">
        <f>IF(C130="","",E130/C130)</f>
        <v/>
      </c>
      <c r="E130" s="247">
        <f>IF(C130="","",SUMIFS('ИТОГО Торговля'!$E$5:$E$300,'ИТОГО Торговля'!$B$5:$B$300,$B130)+SUMIFS('ИТОГО Лэндинг'!$E$5:$E$300,'ИТОГО Лэндинг'!$B$5:$B$300,$B130)+SUMIFS('История'!$E$5:$E$300,'История'!$B$5:$B$300,$B130))</f>
        <v/>
      </c>
      <c r="F130" s="246">
        <f>IF($B130="","",IF(SUMIFS('ИТОГО Торговля'!$F$5:$F$300,'ИТОГО Торговля'!$B$5:$B$300,$B130)+SUMIFS('ИТОГО Лэндинг'!$F$5:$F$300,'ИТОГО Лэндинг'!$B$5:$B$300,$B130)+SUMIFS('История'!$F$5:$F$300,'История'!$B$5:$B$300,$B130)=0,"",SUMIFS('ИТОГО Торговля'!$F$5:$F$300,'ИТОГО Торговля'!$B$5:$B$300,$B130)+SUMIFS('ИТОГО Лэндинг'!$F$5:$F$300,'ИТОГО Лэндинг'!$B$5:$B$300,$B130)+SUMIFS('История'!$F$5:$F$300,'История'!$B$5:$B$300,$B130)))</f>
        <v/>
      </c>
      <c r="G130" s="183">
        <f>IF(F130="","",H130/F130)</f>
        <v/>
      </c>
      <c r="H130" s="247">
        <f>IF(F130="","",SUMIFS('ИТОГО Торговля'!$H$5:$H$300,'ИТОГО Торговля'!$B$5:$B$300,$B130)+SUMIFS('ИТОГО Лэндинг'!$H$5:$H$300,'ИТОГО Лэндинг'!$B$5:$B$300,$B130)+SUMIFS('История'!$H$5:$H$300,'История'!$B$5:$B$300,$B130))</f>
        <v/>
      </c>
      <c r="I130" s="246">
        <f>IF($B130="","",IF(AND(C130="",F130=""),"",ROUND(SUMIFS('ИТОГО Торговля'!$I$5:$I$300,'ИТОГО Торговля'!$B$5:$B$300,$B130)+SUMIFS('ИТОГО Лэндинг'!$I$5:$I$300,'ИТОГО Лэндинг'!$B$5:$B$300,$B130)+SUMIFS('История'!$I$5:$I$300,'История'!$B$5:$B$300,$B130),8)))</f>
        <v/>
      </c>
      <c r="J130" s="247">
        <f>IF($B130="","",IF(AND(C130="",F130=""),"",ROUND(SUMIFS('ИТОГО Торговля'!$J$5:$J$300,'ИТОГО Торговля'!$B$5:$B$300,$B130)+SUMIFS('ИТОГО Лэндинг'!$J$5:$J$300,'ИТОГО Лэндинг'!$B$5:$B$300,$B130)+SUMIFS('История'!$J$5:$J$300,'История'!$B$5:$B$300,$B130),8)))</f>
        <v/>
      </c>
      <c r="K130" s="246">
        <f>IF($B130="","",ROUND(SUMIFS('ИТОГО Торговля'!$K$5:$K$300,'ИТОГО Торговля'!$B$5:$B$300,$B130)+SUMIFS('ИТОГО Лэндинг'!$K$5:$K$300,'ИТОГО Лэндинг'!$B$5:$B$300,$B130)+SUMIFS('История'!$K$5:$K$300,'История'!$B$5:$B$300,$B130),8))</f>
        <v/>
      </c>
      <c r="L130" s="183">
        <f>IF(K130="","",IF(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130)*((История!$C$5:$C$300+История!$F$5:$F$300-ABS(История!$C$5:$C$300-История!$F$5:$F$300))/2)*История!$D$5:$D$300))&lt;=0,0,ROUND(K130/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130)*((История!$C$5:$C$300+История!$F$5:$F$300-ABS(История!$C$5:$C$300-История!$F$5:$F$300))/2)*История!$D$5:$D$300)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IF($B131="","",IF(SUMIFS('ИТОГО Торговля'!$C$5:$C$300,'ИТОГО Торговля'!$B$5:$B$300,$B131)+SUMIFS('ИТОГО Лэндинг'!$C$5:$C$300,'ИТОГО Лэндинг'!$B$5:$B$300,$B131)+SUMIFS('История'!$C$5:$C$300,'История'!$B$5:$B$300,$B131)=0,"",SUMIFS('ИТОГО Торговля'!$C$5:$C$300,'ИТОГО Торговля'!$B$5:$B$300,$B131)+SUMIFS('ИТОГО Лэндинг'!$C$5:$C$300,'ИТОГО Лэндинг'!$B$5:$B$300,$B131)+SUMIFS('История'!$C$5:$C$300,'История'!$B$5:$B$300,$B131)))</f>
        <v/>
      </c>
      <c r="D131" s="177">
        <f>IF(C131="","",E131/C131)</f>
        <v/>
      </c>
      <c r="E131" s="241">
        <f>IF(C131="","",SUMIFS('ИТОГО Торговля'!$E$5:$E$300,'ИТОГО Торговля'!$B$5:$B$300,$B131)+SUMIFS('ИТОГО Лэндинг'!$E$5:$E$300,'ИТОГО Лэндинг'!$B$5:$B$300,$B131)+SUMIFS('История'!$E$5:$E$300,'История'!$B$5:$B$300,$B131))</f>
        <v/>
      </c>
      <c r="F131" s="240">
        <f>IF($B131="","",IF(SUMIFS('ИТОГО Торговля'!$F$5:$F$300,'ИТОГО Торговля'!$B$5:$B$300,$B131)+SUMIFS('ИТОГО Лэндинг'!$F$5:$F$300,'ИТОГО Лэндинг'!$B$5:$B$300,$B131)+SUMIFS('История'!$F$5:$F$300,'История'!$B$5:$B$300,$B131)=0,"",SUMIFS('ИТОГО Торговля'!$F$5:$F$300,'ИТОГО Торговля'!$B$5:$B$300,$B131)+SUMIFS('ИТОГО Лэндинг'!$F$5:$F$300,'ИТОГО Лэндинг'!$B$5:$B$300,$B131)+SUMIFS('История'!$F$5:$F$300,'История'!$B$5:$B$300,$B131)))</f>
        <v/>
      </c>
      <c r="G131" s="177">
        <f>IF(F131="","",H131/F131)</f>
        <v/>
      </c>
      <c r="H131" s="241">
        <f>IF(F131="","",SUMIFS('ИТОГО Торговля'!$H$5:$H$300,'ИТОГО Торговля'!$B$5:$B$300,$B131)+SUMIFS('ИТОГО Лэндинг'!$H$5:$H$300,'ИТОГО Лэндинг'!$B$5:$B$300,$B131)+SUMIFS('История'!$H$5:$H$300,'История'!$B$5:$B$300,$B131))</f>
        <v/>
      </c>
      <c r="I131" s="240">
        <f>IF($B131="","",IF(AND(C131="",F131=""),"",ROUND(SUMIFS('ИТОГО Торговля'!$I$5:$I$300,'ИТОГО Торговля'!$B$5:$B$300,$B131)+SUMIFS('ИТОГО Лэндинг'!$I$5:$I$300,'ИТОГО Лэндинг'!$B$5:$B$300,$B131)+SUMIFS('История'!$I$5:$I$300,'История'!$B$5:$B$300,$B131),8)))</f>
        <v/>
      </c>
      <c r="J131" s="241">
        <f>IF($B131="","",IF(AND(C131="",F131=""),"",ROUND(SUMIFS('ИТОГО Торговля'!$J$5:$J$300,'ИТОГО Торговля'!$B$5:$B$300,$B131)+SUMIFS('ИТОГО Лэндинг'!$J$5:$J$300,'ИТОГО Лэндинг'!$B$5:$B$300,$B131)+SUMIFS('История'!$J$5:$J$300,'История'!$B$5:$B$300,$B131),8)))</f>
        <v/>
      </c>
      <c r="K131" s="240">
        <f>IF($B131="","",ROUND(SUMIFS('ИТОГО Торговля'!$K$5:$K$300,'ИТОГО Торговля'!$B$5:$B$300,$B131)+SUMIFS('ИТОГО Лэндинг'!$K$5:$K$300,'ИТОГО Лэндинг'!$B$5:$B$300,$B131)+SUMIFS('История'!$K$5:$K$300,'История'!$B$5:$B$300,$B131),8))</f>
        <v/>
      </c>
      <c r="L131" s="177">
        <f>IF(K131="","",IF(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131)*((История!$C$5:$C$300+История!$F$5:$F$300-ABS(История!$C$5:$C$300-История!$F$5:$F$300))/2)*История!$D$5:$D$300))&lt;=0,0,ROUND(K131/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131)*((История!$C$5:$C$300+История!$F$5:$F$300-ABS(История!$C$5:$C$300-История!$F$5:$F$300))/2)*История!$D$5:$D$300)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IF($B132="","",IF(SUMIFS('ИТОГО Торговля'!$C$5:$C$300,'ИТОГО Торговля'!$B$5:$B$300,$B132)+SUMIFS('ИТОГО Лэндинг'!$C$5:$C$300,'ИТОГО Лэндинг'!$B$5:$B$300,$B132)+SUMIFS('История'!$C$5:$C$300,'История'!$B$5:$B$300,$B132)=0,"",SUMIFS('ИТОГО Торговля'!$C$5:$C$300,'ИТОГО Торговля'!$B$5:$B$300,$B132)+SUMIFS('ИТОГО Лэндинг'!$C$5:$C$300,'ИТОГО Лэндинг'!$B$5:$B$300,$B132)+SUMIFS('История'!$C$5:$C$300,'История'!$B$5:$B$300,$B132)))</f>
        <v/>
      </c>
      <c r="D132" s="183">
        <f>IF(C132="","",E132/C132)</f>
        <v/>
      </c>
      <c r="E132" s="247">
        <f>IF(C132="","",SUMIFS('ИТОГО Торговля'!$E$5:$E$300,'ИТОГО Торговля'!$B$5:$B$300,$B132)+SUMIFS('ИТОГО Лэндинг'!$E$5:$E$300,'ИТОГО Лэндинг'!$B$5:$B$300,$B132)+SUMIFS('История'!$E$5:$E$300,'История'!$B$5:$B$300,$B132))</f>
        <v/>
      </c>
      <c r="F132" s="246">
        <f>IF($B132="","",IF(SUMIFS('ИТОГО Торговля'!$F$5:$F$300,'ИТОГО Торговля'!$B$5:$B$300,$B132)+SUMIFS('ИТОГО Лэндинг'!$F$5:$F$300,'ИТОГО Лэндинг'!$B$5:$B$300,$B132)+SUMIFS('История'!$F$5:$F$300,'История'!$B$5:$B$300,$B132)=0,"",SUMIFS('ИТОГО Торговля'!$F$5:$F$300,'ИТОГО Торговля'!$B$5:$B$300,$B132)+SUMIFS('ИТОГО Лэндинг'!$F$5:$F$300,'ИТОГО Лэндинг'!$B$5:$B$300,$B132)+SUMIFS('История'!$F$5:$F$300,'История'!$B$5:$B$300,$B132)))</f>
        <v/>
      </c>
      <c r="G132" s="183">
        <f>IF(F132="","",H132/F132)</f>
        <v/>
      </c>
      <c r="H132" s="247">
        <f>IF(F132="","",SUMIFS('ИТОГО Торговля'!$H$5:$H$300,'ИТОГО Торговля'!$B$5:$B$300,$B132)+SUMIFS('ИТОГО Лэндинг'!$H$5:$H$300,'ИТОГО Лэндинг'!$B$5:$B$300,$B132)+SUMIFS('История'!$H$5:$H$300,'История'!$B$5:$B$300,$B132))</f>
        <v/>
      </c>
      <c r="I132" s="246">
        <f>IF($B132="","",IF(AND(C132="",F132=""),"",ROUND(SUMIFS('ИТОГО Торговля'!$I$5:$I$300,'ИТОГО Торговля'!$B$5:$B$300,$B132)+SUMIFS('ИТОГО Лэндинг'!$I$5:$I$300,'ИТОГО Лэндинг'!$B$5:$B$300,$B132)+SUMIFS('История'!$I$5:$I$300,'История'!$B$5:$B$300,$B132),8)))</f>
        <v/>
      </c>
      <c r="J132" s="247">
        <f>IF($B132="","",IF(AND(C132="",F132=""),"",ROUND(SUMIFS('ИТОГО Торговля'!$J$5:$J$300,'ИТОГО Торговля'!$B$5:$B$300,$B132)+SUMIFS('ИТОГО Лэндинг'!$J$5:$J$300,'ИТОГО Лэндинг'!$B$5:$B$300,$B132)+SUMIFS('История'!$J$5:$J$300,'История'!$B$5:$B$300,$B132),8)))</f>
        <v/>
      </c>
      <c r="K132" s="246">
        <f>IF($B132="","",ROUND(SUMIFS('ИТОГО Торговля'!$K$5:$K$300,'ИТОГО Торговля'!$B$5:$B$300,$B132)+SUMIFS('ИТОГО Лэндинг'!$K$5:$K$300,'ИТОГО Лэндинг'!$B$5:$B$300,$B132)+SUMIFS('История'!$K$5:$K$300,'История'!$B$5:$B$300,$B132),8))</f>
        <v/>
      </c>
      <c r="L132" s="183">
        <f>IF(K132="","",IF(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132)*((История!$C$5:$C$300+История!$F$5:$F$300-ABS(История!$C$5:$C$300-История!$F$5:$F$300))/2)*История!$D$5:$D$300))&lt;=0,0,ROUND(K132/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132)*((История!$C$5:$C$300+История!$F$5:$F$300-ABS(История!$C$5:$C$300-История!$F$5:$F$300))/2)*История!$D$5:$D$300)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IF($B133="","",IF(SUMIFS('ИТОГО Торговля'!$C$5:$C$300,'ИТОГО Торговля'!$B$5:$B$300,$B133)+SUMIFS('ИТОГО Лэндинг'!$C$5:$C$300,'ИТОГО Лэндинг'!$B$5:$B$300,$B133)+SUMIFS('История'!$C$5:$C$300,'История'!$B$5:$B$300,$B133)=0,"",SUMIFS('ИТОГО Торговля'!$C$5:$C$300,'ИТОГО Торговля'!$B$5:$B$300,$B133)+SUMIFS('ИТОГО Лэндинг'!$C$5:$C$300,'ИТОГО Лэндинг'!$B$5:$B$300,$B133)+SUMIFS('История'!$C$5:$C$300,'История'!$B$5:$B$300,$B133)))</f>
        <v/>
      </c>
      <c r="D133" s="177">
        <f>IF(C133="","",E133/C133)</f>
        <v/>
      </c>
      <c r="E133" s="241">
        <f>IF(C133="","",SUMIFS('ИТОГО Торговля'!$E$5:$E$300,'ИТОГО Торговля'!$B$5:$B$300,$B133)+SUMIFS('ИТОГО Лэндинг'!$E$5:$E$300,'ИТОГО Лэндинг'!$B$5:$B$300,$B133)+SUMIFS('История'!$E$5:$E$300,'История'!$B$5:$B$300,$B133))</f>
        <v/>
      </c>
      <c r="F133" s="240">
        <f>IF($B133="","",IF(SUMIFS('ИТОГО Торговля'!$F$5:$F$300,'ИТОГО Торговля'!$B$5:$B$300,$B133)+SUMIFS('ИТОГО Лэндинг'!$F$5:$F$300,'ИТОГО Лэндинг'!$B$5:$B$300,$B133)+SUMIFS('История'!$F$5:$F$300,'История'!$B$5:$B$300,$B133)=0,"",SUMIFS('ИТОГО Торговля'!$F$5:$F$300,'ИТОГО Торговля'!$B$5:$B$300,$B133)+SUMIFS('ИТОГО Лэндинг'!$F$5:$F$300,'ИТОГО Лэндинг'!$B$5:$B$300,$B133)+SUMIFS('История'!$F$5:$F$300,'История'!$B$5:$B$300,$B133)))</f>
        <v/>
      </c>
      <c r="G133" s="177">
        <f>IF(F133="","",H133/F133)</f>
        <v/>
      </c>
      <c r="H133" s="241">
        <f>IF(F133="","",SUMIFS('ИТОГО Торговля'!$H$5:$H$300,'ИТОГО Торговля'!$B$5:$B$300,$B133)+SUMIFS('ИТОГО Лэндинг'!$H$5:$H$300,'ИТОГО Лэндинг'!$B$5:$B$300,$B133)+SUMIFS('История'!$H$5:$H$300,'История'!$B$5:$B$300,$B133))</f>
        <v/>
      </c>
      <c r="I133" s="240">
        <f>IF($B133="","",IF(AND(C133="",F133=""),"",ROUND(SUMIFS('ИТОГО Торговля'!$I$5:$I$300,'ИТОГО Торговля'!$B$5:$B$300,$B133)+SUMIFS('ИТОГО Лэндинг'!$I$5:$I$300,'ИТОГО Лэндинг'!$B$5:$B$300,$B133)+SUMIFS('История'!$I$5:$I$300,'История'!$B$5:$B$300,$B133),8)))</f>
        <v/>
      </c>
      <c r="J133" s="241">
        <f>IF($B133="","",IF(AND(C133="",F133=""),"",ROUND(SUMIFS('ИТОГО Торговля'!$J$5:$J$300,'ИТОГО Торговля'!$B$5:$B$300,$B133)+SUMIFS('ИТОГО Лэндинг'!$J$5:$J$300,'ИТОГО Лэндинг'!$B$5:$B$300,$B133)+SUMIFS('История'!$J$5:$J$300,'История'!$B$5:$B$300,$B133),8)))</f>
        <v/>
      </c>
      <c r="K133" s="240">
        <f>IF($B133="","",ROUND(SUMIFS('ИТОГО Торговля'!$K$5:$K$300,'ИТОГО Торговля'!$B$5:$B$300,$B133)+SUMIFS('ИТОГО Лэндинг'!$K$5:$K$300,'ИТОГО Лэндинг'!$B$5:$B$300,$B133)+SUMIFS('История'!$K$5:$K$300,'История'!$B$5:$B$300,$B133),8))</f>
        <v/>
      </c>
      <c r="L133" s="177">
        <f>IF(K133="","",IF(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133)*((История!$C$5:$C$300+История!$F$5:$F$300-ABS(История!$C$5:$C$300-История!$F$5:$F$300))/2)*История!$D$5:$D$300))&lt;=0,0,ROUND(K133/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133)*((История!$C$5:$C$300+История!$F$5:$F$300-ABS(История!$C$5:$C$300-История!$F$5:$F$300))/2)*История!$D$5:$D$300)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IF($B134="","",IF(SUMIFS('ИТОГО Торговля'!$C$5:$C$300,'ИТОГО Торговля'!$B$5:$B$300,$B134)+SUMIFS('ИТОГО Лэндинг'!$C$5:$C$300,'ИТОГО Лэндинг'!$B$5:$B$300,$B134)+SUMIFS('История'!$C$5:$C$300,'История'!$B$5:$B$300,$B134)=0,"",SUMIFS('ИТОГО Торговля'!$C$5:$C$300,'ИТОГО Торговля'!$B$5:$B$300,$B134)+SUMIFS('ИТОГО Лэндинг'!$C$5:$C$300,'ИТОГО Лэндинг'!$B$5:$B$300,$B134)+SUMIFS('История'!$C$5:$C$300,'История'!$B$5:$B$300,$B134)))</f>
        <v/>
      </c>
      <c r="D134" s="183">
        <f>IF(C134="","",E134/C134)</f>
        <v/>
      </c>
      <c r="E134" s="247">
        <f>IF(C134="","",SUMIFS('ИТОГО Торговля'!$E$5:$E$300,'ИТОГО Торговля'!$B$5:$B$300,$B134)+SUMIFS('ИТОГО Лэндинг'!$E$5:$E$300,'ИТОГО Лэндинг'!$B$5:$B$300,$B134)+SUMIFS('История'!$E$5:$E$300,'История'!$B$5:$B$300,$B134))</f>
        <v/>
      </c>
      <c r="F134" s="246">
        <f>IF($B134="","",IF(SUMIFS('ИТОГО Торговля'!$F$5:$F$300,'ИТОГО Торговля'!$B$5:$B$300,$B134)+SUMIFS('ИТОГО Лэндинг'!$F$5:$F$300,'ИТОГО Лэндинг'!$B$5:$B$300,$B134)+SUMIFS('История'!$F$5:$F$300,'История'!$B$5:$B$300,$B134)=0,"",SUMIFS('ИТОГО Торговля'!$F$5:$F$300,'ИТОГО Торговля'!$B$5:$B$300,$B134)+SUMIFS('ИТОГО Лэндинг'!$F$5:$F$300,'ИТОГО Лэндинг'!$B$5:$B$300,$B134)+SUMIFS('История'!$F$5:$F$300,'История'!$B$5:$B$300,$B134)))</f>
        <v/>
      </c>
      <c r="G134" s="183">
        <f>IF(F134="","",H134/F134)</f>
        <v/>
      </c>
      <c r="H134" s="247">
        <f>IF(F134="","",SUMIFS('ИТОГО Торговля'!$H$5:$H$300,'ИТОГО Торговля'!$B$5:$B$300,$B134)+SUMIFS('ИТОГО Лэндинг'!$H$5:$H$300,'ИТОГО Лэндинг'!$B$5:$B$300,$B134)+SUMIFS('История'!$H$5:$H$300,'История'!$B$5:$B$300,$B134))</f>
        <v/>
      </c>
      <c r="I134" s="246">
        <f>IF($B134="","",IF(AND(C134="",F134=""),"",ROUND(SUMIFS('ИТОГО Торговля'!$I$5:$I$300,'ИТОГО Торговля'!$B$5:$B$300,$B134)+SUMIFS('ИТОГО Лэндинг'!$I$5:$I$300,'ИТОГО Лэндинг'!$B$5:$B$300,$B134)+SUMIFS('История'!$I$5:$I$300,'История'!$B$5:$B$300,$B134),8)))</f>
        <v/>
      </c>
      <c r="J134" s="247">
        <f>IF($B134="","",IF(AND(C134="",F134=""),"",ROUND(SUMIFS('ИТОГО Торговля'!$J$5:$J$300,'ИТОГО Торговля'!$B$5:$B$300,$B134)+SUMIFS('ИТОГО Лэндинг'!$J$5:$J$300,'ИТОГО Лэндинг'!$B$5:$B$300,$B134)+SUMIFS('История'!$J$5:$J$300,'История'!$B$5:$B$300,$B134),8)))</f>
        <v/>
      </c>
      <c r="K134" s="246">
        <f>IF($B134="","",ROUND(SUMIFS('ИТОГО Торговля'!$K$5:$K$300,'ИТОГО Торговля'!$B$5:$B$300,$B134)+SUMIFS('ИТОГО Лэндинг'!$K$5:$K$300,'ИТОГО Лэндинг'!$B$5:$B$300,$B134)+SUMIFS('История'!$K$5:$K$300,'История'!$B$5:$B$300,$B134),8))</f>
        <v/>
      </c>
      <c r="L134" s="183">
        <f>IF(K134="","",IF(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134)*((История!$C$5:$C$300+История!$F$5:$F$300-ABS(История!$C$5:$C$300-История!$F$5:$F$300))/2)*История!$D$5:$D$300))&lt;=0,0,ROUND(K134/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134)*((История!$C$5:$C$300+История!$F$5:$F$300-ABS(История!$C$5:$C$300-История!$F$5:$F$300))/2)*История!$D$5:$D$300)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IF($B135="","",IF(SUMIFS('ИТОГО Торговля'!$C$5:$C$300,'ИТОГО Торговля'!$B$5:$B$300,$B135)+SUMIFS('ИТОГО Лэндинг'!$C$5:$C$300,'ИТОГО Лэндинг'!$B$5:$B$300,$B135)+SUMIFS('История'!$C$5:$C$300,'История'!$B$5:$B$300,$B135)=0,"",SUMIFS('ИТОГО Торговля'!$C$5:$C$300,'ИТОГО Торговля'!$B$5:$B$300,$B135)+SUMIFS('ИТОГО Лэндинг'!$C$5:$C$300,'ИТОГО Лэндинг'!$B$5:$B$300,$B135)+SUMIFS('История'!$C$5:$C$300,'История'!$B$5:$B$300,$B135)))</f>
        <v/>
      </c>
      <c r="D135" s="177">
        <f>IF(C135="","",E135/C135)</f>
        <v/>
      </c>
      <c r="E135" s="241">
        <f>IF(C135="","",SUMIFS('ИТОГО Торговля'!$E$5:$E$300,'ИТОГО Торговля'!$B$5:$B$300,$B135)+SUMIFS('ИТОГО Лэндинг'!$E$5:$E$300,'ИТОГО Лэндинг'!$B$5:$B$300,$B135)+SUMIFS('История'!$E$5:$E$300,'История'!$B$5:$B$300,$B135))</f>
        <v/>
      </c>
      <c r="F135" s="240">
        <f>IF($B135="","",IF(SUMIFS('ИТОГО Торговля'!$F$5:$F$300,'ИТОГО Торговля'!$B$5:$B$300,$B135)+SUMIFS('ИТОГО Лэндинг'!$F$5:$F$300,'ИТОГО Лэндинг'!$B$5:$B$300,$B135)+SUMIFS('История'!$F$5:$F$300,'История'!$B$5:$B$300,$B135)=0,"",SUMIFS('ИТОГО Торговля'!$F$5:$F$300,'ИТОГО Торговля'!$B$5:$B$300,$B135)+SUMIFS('ИТОГО Лэндинг'!$F$5:$F$300,'ИТОГО Лэндинг'!$B$5:$B$300,$B135)+SUMIFS('История'!$F$5:$F$300,'История'!$B$5:$B$300,$B135)))</f>
        <v/>
      </c>
      <c r="G135" s="177">
        <f>IF(F135="","",H135/F135)</f>
        <v/>
      </c>
      <c r="H135" s="241">
        <f>IF(F135="","",SUMIFS('ИТОГО Торговля'!$H$5:$H$300,'ИТОГО Торговля'!$B$5:$B$300,$B135)+SUMIFS('ИТОГО Лэндинг'!$H$5:$H$300,'ИТОГО Лэндинг'!$B$5:$B$300,$B135)+SUMIFS('История'!$H$5:$H$300,'История'!$B$5:$B$300,$B135))</f>
        <v/>
      </c>
      <c r="I135" s="240">
        <f>IF($B135="","",IF(AND(C135="",F135=""),"",ROUND(SUMIFS('ИТОГО Торговля'!$I$5:$I$300,'ИТОГО Торговля'!$B$5:$B$300,$B135)+SUMIFS('ИТОГО Лэндинг'!$I$5:$I$300,'ИТОГО Лэндинг'!$B$5:$B$300,$B135)+SUMIFS('История'!$I$5:$I$300,'История'!$B$5:$B$300,$B135),8)))</f>
        <v/>
      </c>
      <c r="J135" s="241">
        <f>IF($B135="","",IF(AND(C135="",F135=""),"",ROUND(SUMIFS('ИТОГО Торговля'!$J$5:$J$300,'ИТОГО Торговля'!$B$5:$B$300,$B135)+SUMIFS('ИТОГО Лэндинг'!$J$5:$J$300,'ИТОГО Лэндинг'!$B$5:$B$300,$B135)+SUMIFS('История'!$J$5:$J$300,'История'!$B$5:$B$300,$B135),8)))</f>
        <v/>
      </c>
      <c r="K135" s="240">
        <f>IF($B135="","",ROUND(SUMIFS('ИТОГО Торговля'!$K$5:$K$300,'ИТОГО Торговля'!$B$5:$B$300,$B135)+SUMIFS('ИТОГО Лэндинг'!$K$5:$K$300,'ИТОГО Лэндинг'!$B$5:$B$300,$B135)+SUMIFS('История'!$K$5:$K$300,'История'!$B$5:$B$300,$B135),8))</f>
        <v/>
      </c>
      <c r="L135" s="177">
        <f>IF(K135="","",IF(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135)*((История!$C$5:$C$300+История!$F$5:$F$300-ABS(История!$C$5:$C$300-История!$F$5:$F$300))/2)*История!$D$5:$D$300))&lt;=0,0,ROUND(K135/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135)*((История!$C$5:$C$300+История!$F$5:$F$300-ABS(История!$C$5:$C$300-История!$F$5:$F$300))/2)*История!$D$5:$D$300)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IF($B136="","",IF(SUMIFS('ИТОГО Торговля'!$C$5:$C$300,'ИТОГО Торговля'!$B$5:$B$300,$B136)+SUMIFS('ИТОГО Лэндинг'!$C$5:$C$300,'ИТОГО Лэндинг'!$B$5:$B$300,$B136)+SUMIFS('История'!$C$5:$C$300,'История'!$B$5:$B$300,$B136)=0,"",SUMIFS('ИТОГО Торговля'!$C$5:$C$300,'ИТОГО Торговля'!$B$5:$B$300,$B136)+SUMIFS('ИТОГО Лэндинг'!$C$5:$C$300,'ИТОГО Лэндинг'!$B$5:$B$300,$B136)+SUMIFS('История'!$C$5:$C$300,'История'!$B$5:$B$300,$B136)))</f>
        <v/>
      </c>
      <c r="D136" s="183">
        <f>IF(C136="","",E136/C136)</f>
        <v/>
      </c>
      <c r="E136" s="247">
        <f>IF(C136="","",SUMIFS('ИТОГО Торговля'!$E$5:$E$300,'ИТОГО Торговля'!$B$5:$B$300,$B136)+SUMIFS('ИТОГО Лэндинг'!$E$5:$E$300,'ИТОГО Лэндинг'!$B$5:$B$300,$B136)+SUMIFS('История'!$E$5:$E$300,'История'!$B$5:$B$300,$B136))</f>
        <v/>
      </c>
      <c r="F136" s="246">
        <f>IF($B136="","",IF(SUMIFS('ИТОГО Торговля'!$F$5:$F$300,'ИТОГО Торговля'!$B$5:$B$300,$B136)+SUMIFS('ИТОГО Лэндинг'!$F$5:$F$300,'ИТОГО Лэндинг'!$B$5:$B$300,$B136)+SUMIFS('История'!$F$5:$F$300,'История'!$B$5:$B$300,$B136)=0,"",SUMIFS('ИТОГО Торговля'!$F$5:$F$300,'ИТОГО Торговля'!$B$5:$B$300,$B136)+SUMIFS('ИТОГО Лэндинг'!$F$5:$F$300,'ИТОГО Лэндинг'!$B$5:$B$300,$B136)+SUMIFS('История'!$F$5:$F$300,'История'!$B$5:$B$300,$B136)))</f>
        <v/>
      </c>
      <c r="G136" s="183">
        <f>IF(F136="","",H136/F136)</f>
        <v/>
      </c>
      <c r="H136" s="247">
        <f>IF(F136="","",SUMIFS('ИТОГО Торговля'!$H$5:$H$300,'ИТОГО Торговля'!$B$5:$B$300,$B136)+SUMIFS('ИТОГО Лэндинг'!$H$5:$H$300,'ИТОГО Лэндинг'!$B$5:$B$300,$B136)+SUMIFS('История'!$H$5:$H$300,'История'!$B$5:$B$300,$B136))</f>
        <v/>
      </c>
      <c r="I136" s="246">
        <f>IF($B136="","",IF(AND(C136="",F136=""),"",ROUND(SUMIFS('ИТОГО Торговля'!$I$5:$I$300,'ИТОГО Торговля'!$B$5:$B$300,$B136)+SUMIFS('ИТОГО Лэндинг'!$I$5:$I$300,'ИТОГО Лэндинг'!$B$5:$B$300,$B136)+SUMIFS('История'!$I$5:$I$300,'История'!$B$5:$B$300,$B136),8)))</f>
        <v/>
      </c>
      <c r="J136" s="247">
        <f>IF($B136="","",IF(AND(C136="",F136=""),"",ROUND(SUMIFS('ИТОГО Торговля'!$J$5:$J$300,'ИТОГО Торговля'!$B$5:$B$300,$B136)+SUMIFS('ИТОГО Лэндинг'!$J$5:$J$300,'ИТОГО Лэндинг'!$B$5:$B$300,$B136)+SUMIFS('История'!$J$5:$J$300,'История'!$B$5:$B$300,$B136),8)))</f>
        <v/>
      </c>
      <c r="K136" s="246">
        <f>IF($B136="","",ROUND(SUMIFS('ИТОГО Торговля'!$K$5:$K$300,'ИТОГО Торговля'!$B$5:$B$300,$B136)+SUMIFS('ИТОГО Лэндинг'!$K$5:$K$300,'ИТОГО Лэндинг'!$B$5:$B$300,$B136)+SUMIFS('История'!$K$5:$K$300,'История'!$B$5:$B$300,$B136),8))</f>
        <v/>
      </c>
      <c r="L136" s="183">
        <f>IF(K136="","",IF(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136)*((История!$C$5:$C$300+История!$F$5:$F$300-ABS(История!$C$5:$C$300-История!$F$5:$F$300))/2)*История!$D$5:$D$300))&lt;=0,0,ROUND(K136/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136)*((История!$C$5:$C$300+История!$F$5:$F$300-ABS(История!$C$5:$C$300-История!$F$5:$F$300))/2)*История!$D$5:$D$300)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IF($B137="","",IF(SUMIFS('ИТОГО Торговля'!$C$5:$C$300,'ИТОГО Торговля'!$B$5:$B$300,$B137)+SUMIFS('ИТОГО Лэндинг'!$C$5:$C$300,'ИТОГО Лэндинг'!$B$5:$B$300,$B137)+SUMIFS('История'!$C$5:$C$300,'История'!$B$5:$B$300,$B137)=0,"",SUMIFS('ИТОГО Торговля'!$C$5:$C$300,'ИТОГО Торговля'!$B$5:$B$300,$B137)+SUMIFS('ИТОГО Лэндинг'!$C$5:$C$300,'ИТОГО Лэндинг'!$B$5:$B$300,$B137)+SUMIFS('История'!$C$5:$C$300,'История'!$B$5:$B$300,$B137)))</f>
        <v/>
      </c>
      <c r="D137" s="177">
        <f>IF(C137="","",E137/C137)</f>
        <v/>
      </c>
      <c r="E137" s="241">
        <f>IF(C137="","",SUMIFS('ИТОГО Торговля'!$E$5:$E$300,'ИТОГО Торговля'!$B$5:$B$300,$B137)+SUMIFS('ИТОГО Лэндинг'!$E$5:$E$300,'ИТОГО Лэндинг'!$B$5:$B$300,$B137)+SUMIFS('История'!$E$5:$E$300,'История'!$B$5:$B$300,$B137))</f>
        <v/>
      </c>
      <c r="F137" s="240">
        <f>IF($B137="","",IF(SUMIFS('ИТОГО Торговля'!$F$5:$F$300,'ИТОГО Торговля'!$B$5:$B$300,$B137)+SUMIFS('ИТОГО Лэндинг'!$F$5:$F$300,'ИТОГО Лэндинг'!$B$5:$B$300,$B137)+SUMIFS('История'!$F$5:$F$300,'История'!$B$5:$B$300,$B137)=0,"",SUMIFS('ИТОГО Торговля'!$F$5:$F$300,'ИТОГО Торговля'!$B$5:$B$300,$B137)+SUMIFS('ИТОГО Лэндинг'!$F$5:$F$300,'ИТОГО Лэндинг'!$B$5:$B$300,$B137)+SUMIFS('История'!$F$5:$F$300,'История'!$B$5:$B$300,$B137)))</f>
        <v/>
      </c>
      <c r="G137" s="177">
        <f>IF(F137="","",H137/F137)</f>
        <v/>
      </c>
      <c r="H137" s="241">
        <f>IF(F137="","",SUMIFS('ИТОГО Торговля'!$H$5:$H$300,'ИТОГО Торговля'!$B$5:$B$300,$B137)+SUMIFS('ИТОГО Лэндинг'!$H$5:$H$300,'ИТОГО Лэндинг'!$B$5:$B$300,$B137)+SUMIFS('История'!$H$5:$H$300,'История'!$B$5:$B$300,$B137))</f>
        <v/>
      </c>
      <c r="I137" s="240">
        <f>IF($B137="","",IF(AND(C137="",F137=""),"",ROUND(SUMIFS('ИТОГО Торговля'!$I$5:$I$300,'ИТОГО Торговля'!$B$5:$B$300,$B137)+SUMIFS('ИТОГО Лэндинг'!$I$5:$I$300,'ИТОГО Лэндинг'!$B$5:$B$300,$B137)+SUMIFS('История'!$I$5:$I$300,'История'!$B$5:$B$300,$B137),8)))</f>
        <v/>
      </c>
      <c r="J137" s="241">
        <f>IF($B137="","",IF(AND(C137="",F137=""),"",ROUND(SUMIFS('ИТОГО Торговля'!$J$5:$J$300,'ИТОГО Торговля'!$B$5:$B$300,$B137)+SUMIFS('ИТОГО Лэндинг'!$J$5:$J$300,'ИТОГО Лэндинг'!$B$5:$B$300,$B137)+SUMIFS('История'!$J$5:$J$300,'История'!$B$5:$B$300,$B137),8)))</f>
        <v/>
      </c>
      <c r="K137" s="240">
        <f>IF($B137="","",ROUND(SUMIFS('ИТОГО Торговля'!$K$5:$K$300,'ИТОГО Торговля'!$B$5:$B$300,$B137)+SUMIFS('ИТОГО Лэндинг'!$K$5:$K$300,'ИТОГО Лэндинг'!$B$5:$B$300,$B137)+SUMIFS('История'!$K$5:$K$300,'История'!$B$5:$B$300,$B137),8))</f>
        <v/>
      </c>
      <c r="L137" s="177">
        <f>IF(K137="","",IF(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137)*((История!$C$5:$C$300+История!$F$5:$F$300-ABS(История!$C$5:$C$300-История!$F$5:$F$300))/2)*История!$D$5:$D$300))&lt;=0,0,ROUND(K137/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137)*((История!$C$5:$C$300+История!$F$5:$F$300-ABS(История!$C$5:$C$300-История!$F$5:$F$300))/2)*История!$D$5:$D$300)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IF($B138="","",IF(SUMIFS('ИТОГО Торговля'!$C$5:$C$300,'ИТОГО Торговля'!$B$5:$B$300,$B138)+SUMIFS('ИТОГО Лэндинг'!$C$5:$C$300,'ИТОГО Лэндинг'!$B$5:$B$300,$B138)+SUMIFS('История'!$C$5:$C$300,'История'!$B$5:$B$300,$B138)=0,"",SUMIFS('ИТОГО Торговля'!$C$5:$C$300,'ИТОГО Торговля'!$B$5:$B$300,$B138)+SUMIFS('ИТОГО Лэндинг'!$C$5:$C$300,'ИТОГО Лэндинг'!$B$5:$B$300,$B138)+SUMIFS('История'!$C$5:$C$300,'История'!$B$5:$B$300,$B138)))</f>
        <v/>
      </c>
      <c r="D138" s="183">
        <f>IF(C138="","",E138/C138)</f>
        <v/>
      </c>
      <c r="E138" s="247">
        <f>IF(C138="","",SUMIFS('ИТОГО Торговля'!$E$5:$E$300,'ИТОГО Торговля'!$B$5:$B$300,$B138)+SUMIFS('ИТОГО Лэндинг'!$E$5:$E$300,'ИТОГО Лэндинг'!$B$5:$B$300,$B138)+SUMIFS('История'!$E$5:$E$300,'История'!$B$5:$B$300,$B138))</f>
        <v/>
      </c>
      <c r="F138" s="246">
        <f>IF($B138="","",IF(SUMIFS('ИТОГО Торговля'!$F$5:$F$300,'ИТОГО Торговля'!$B$5:$B$300,$B138)+SUMIFS('ИТОГО Лэндинг'!$F$5:$F$300,'ИТОГО Лэндинг'!$B$5:$B$300,$B138)+SUMIFS('История'!$F$5:$F$300,'История'!$B$5:$B$300,$B138)=0,"",SUMIFS('ИТОГО Торговля'!$F$5:$F$300,'ИТОГО Торговля'!$B$5:$B$300,$B138)+SUMIFS('ИТОГО Лэндинг'!$F$5:$F$300,'ИТОГО Лэндинг'!$B$5:$B$300,$B138)+SUMIFS('История'!$F$5:$F$300,'История'!$B$5:$B$300,$B138)))</f>
        <v/>
      </c>
      <c r="G138" s="183">
        <f>IF(F138="","",H138/F138)</f>
        <v/>
      </c>
      <c r="H138" s="247">
        <f>IF(F138="","",SUMIFS('ИТОГО Торговля'!$H$5:$H$300,'ИТОГО Торговля'!$B$5:$B$300,$B138)+SUMIFS('ИТОГО Лэндинг'!$H$5:$H$300,'ИТОГО Лэндинг'!$B$5:$B$300,$B138)+SUMIFS('История'!$H$5:$H$300,'История'!$B$5:$B$300,$B138))</f>
        <v/>
      </c>
      <c r="I138" s="246">
        <f>IF($B138="","",IF(AND(C138="",F138=""),"",ROUND(SUMIFS('ИТОГО Торговля'!$I$5:$I$300,'ИТОГО Торговля'!$B$5:$B$300,$B138)+SUMIFS('ИТОГО Лэндинг'!$I$5:$I$300,'ИТОГО Лэндинг'!$B$5:$B$300,$B138)+SUMIFS('История'!$I$5:$I$300,'История'!$B$5:$B$300,$B138),8)))</f>
        <v/>
      </c>
      <c r="J138" s="247">
        <f>IF($B138="","",IF(AND(C138="",F138=""),"",ROUND(SUMIFS('ИТОГО Торговля'!$J$5:$J$300,'ИТОГО Торговля'!$B$5:$B$300,$B138)+SUMIFS('ИТОГО Лэндинг'!$J$5:$J$300,'ИТОГО Лэндинг'!$B$5:$B$300,$B138)+SUMIFS('История'!$J$5:$J$300,'История'!$B$5:$B$300,$B138),8)))</f>
        <v/>
      </c>
      <c r="K138" s="246">
        <f>IF($B138="","",ROUND(SUMIFS('ИТОГО Торговля'!$K$5:$K$300,'ИТОГО Торговля'!$B$5:$B$300,$B138)+SUMIFS('ИТОГО Лэндинг'!$K$5:$K$300,'ИТОГО Лэндинг'!$B$5:$B$300,$B138)+SUMIFS('История'!$K$5:$K$300,'История'!$B$5:$B$300,$B138),8))</f>
        <v/>
      </c>
      <c r="L138" s="183">
        <f>IF(K138="","",IF(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138)*((История!$C$5:$C$300+История!$F$5:$F$300-ABS(История!$C$5:$C$300-История!$F$5:$F$300))/2)*История!$D$5:$D$300))&lt;=0,0,ROUND(K138/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138)*((История!$C$5:$C$300+История!$F$5:$F$300-ABS(История!$C$5:$C$300-История!$F$5:$F$300))/2)*История!$D$5:$D$300)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IF($B139="","",IF(SUMIFS('ИТОГО Торговля'!$C$5:$C$300,'ИТОГО Торговля'!$B$5:$B$300,$B139)+SUMIFS('ИТОГО Лэндинг'!$C$5:$C$300,'ИТОГО Лэндинг'!$B$5:$B$300,$B139)+SUMIFS('История'!$C$5:$C$300,'История'!$B$5:$B$300,$B139)=0,"",SUMIFS('ИТОГО Торговля'!$C$5:$C$300,'ИТОГО Торговля'!$B$5:$B$300,$B139)+SUMIFS('ИТОГО Лэндинг'!$C$5:$C$300,'ИТОГО Лэндинг'!$B$5:$B$300,$B139)+SUMIFS('История'!$C$5:$C$300,'История'!$B$5:$B$300,$B139)))</f>
        <v/>
      </c>
      <c r="D139" s="177">
        <f>IF(C139="","",E139/C139)</f>
        <v/>
      </c>
      <c r="E139" s="241">
        <f>IF(C139="","",SUMIFS('ИТОГО Торговля'!$E$5:$E$300,'ИТОГО Торговля'!$B$5:$B$300,$B139)+SUMIFS('ИТОГО Лэндинг'!$E$5:$E$300,'ИТОГО Лэндинг'!$B$5:$B$300,$B139)+SUMIFS('История'!$E$5:$E$300,'История'!$B$5:$B$300,$B139))</f>
        <v/>
      </c>
      <c r="F139" s="240">
        <f>IF($B139="","",IF(SUMIFS('ИТОГО Торговля'!$F$5:$F$300,'ИТОГО Торговля'!$B$5:$B$300,$B139)+SUMIFS('ИТОГО Лэндинг'!$F$5:$F$300,'ИТОГО Лэндинг'!$B$5:$B$300,$B139)+SUMIFS('История'!$F$5:$F$300,'История'!$B$5:$B$300,$B139)=0,"",SUMIFS('ИТОГО Торговля'!$F$5:$F$300,'ИТОГО Торговля'!$B$5:$B$300,$B139)+SUMIFS('ИТОГО Лэндинг'!$F$5:$F$300,'ИТОГО Лэндинг'!$B$5:$B$300,$B139)+SUMIFS('История'!$F$5:$F$300,'История'!$B$5:$B$300,$B139)))</f>
        <v/>
      </c>
      <c r="G139" s="177">
        <f>IF(F139="","",H139/F139)</f>
        <v/>
      </c>
      <c r="H139" s="241">
        <f>IF(F139="","",SUMIFS('ИТОГО Торговля'!$H$5:$H$300,'ИТОГО Торговля'!$B$5:$B$300,$B139)+SUMIFS('ИТОГО Лэндинг'!$H$5:$H$300,'ИТОГО Лэндинг'!$B$5:$B$300,$B139)+SUMIFS('История'!$H$5:$H$300,'История'!$B$5:$B$300,$B139))</f>
        <v/>
      </c>
      <c r="I139" s="240">
        <f>IF($B139="","",IF(AND(C139="",F139=""),"",ROUND(SUMIFS('ИТОГО Торговля'!$I$5:$I$300,'ИТОГО Торговля'!$B$5:$B$300,$B139)+SUMIFS('ИТОГО Лэндинг'!$I$5:$I$300,'ИТОГО Лэндинг'!$B$5:$B$300,$B139)+SUMIFS('История'!$I$5:$I$300,'История'!$B$5:$B$300,$B139),8)))</f>
        <v/>
      </c>
      <c r="J139" s="241">
        <f>IF($B139="","",IF(AND(C139="",F139=""),"",ROUND(SUMIFS('ИТОГО Торговля'!$J$5:$J$300,'ИТОГО Торговля'!$B$5:$B$300,$B139)+SUMIFS('ИТОГО Лэндинг'!$J$5:$J$300,'ИТОГО Лэндинг'!$B$5:$B$300,$B139)+SUMIFS('История'!$J$5:$J$300,'История'!$B$5:$B$300,$B139),8)))</f>
        <v/>
      </c>
      <c r="K139" s="240">
        <f>IF($B139="","",ROUND(SUMIFS('ИТОГО Торговля'!$K$5:$K$300,'ИТОГО Торговля'!$B$5:$B$300,$B139)+SUMIFS('ИТОГО Лэндинг'!$K$5:$K$300,'ИТОГО Лэндинг'!$B$5:$B$300,$B139)+SUMIFS('История'!$K$5:$K$300,'История'!$B$5:$B$300,$B139),8))</f>
        <v/>
      </c>
      <c r="L139" s="177">
        <f>IF(K139="","",IF(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139)*((История!$C$5:$C$300+История!$F$5:$F$300-ABS(История!$C$5:$C$300-История!$F$5:$F$300))/2)*История!$D$5:$D$300))&lt;=0,0,ROUND(K139/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139)*((История!$C$5:$C$300+История!$F$5:$F$300-ABS(История!$C$5:$C$300-История!$F$5:$F$300))/2)*История!$D$5:$D$300)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IF($B140="","",IF(SUMIFS('ИТОГО Торговля'!$C$5:$C$300,'ИТОГО Торговля'!$B$5:$B$300,$B140)+SUMIFS('ИТОГО Лэндинг'!$C$5:$C$300,'ИТОГО Лэндинг'!$B$5:$B$300,$B140)+SUMIFS('История'!$C$5:$C$300,'История'!$B$5:$B$300,$B140)=0,"",SUMIFS('ИТОГО Торговля'!$C$5:$C$300,'ИТОГО Торговля'!$B$5:$B$300,$B140)+SUMIFS('ИТОГО Лэндинг'!$C$5:$C$300,'ИТОГО Лэндинг'!$B$5:$B$300,$B140)+SUMIFS('История'!$C$5:$C$300,'История'!$B$5:$B$300,$B140)))</f>
        <v/>
      </c>
      <c r="D140" s="183">
        <f>IF(C140="","",E140/C140)</f>
        <v/>
      </c>
      <c r="E140" s="247">
        <f>IF(C140="","",SUMIFS('ИТОГО Торговля'!$E$5:$E$300,'ИТОГО Торговля'!$B$5:$B$300,$B140)+SUMIFS('ИТОГО Лэндинг'!$E$5:$E$300,'ИТОГО Лэндинг'!$B$5:$B$300,$B140)+SUMIFS('История'!$E$5:$E$300,'История'!$B$5:$B$300,$B140))</f>
        <v/>
      </c>
      <c r="F140" s="246">
        <f>IF($B140="","",IF(SUMIFS('ИТОГО Торговля'!$F$5:$F$300,'ИТОГО Торговля'!$B$5:$B$300,$B140)+SUMIFS('ИТОГО Лэндинг'!$F$5:$F$300,'ИТОГО Лэндинг'!$B$5:$B$300,$B140)+SUMIFS('История'!$F$5:$F$300,'История'!$B$5:$B$300,$B140)=0,"",SUMIFS('ИТОГО Торговля'!$F$5:$F$300,'ИТОГО Торговля'!$B$5:$B$300,$B140)+SUMIFS('ИТОГО Лэндинг'!$F$5:$F$300,'ИТОГО Лэндинг'!$B$5:$B$300,$B140)+SUMIFS('История'!$F$5:$F$300,'История'!$B$5:$B$300,$B140)))</f>
        <v/>
      </c>
      <c r="G140" s="183">
        <f>IF(F140="","",H140/F140)</f>
        <v/>
      </c>
      <c r="H140" s="247">
        <f>IF(F140="","",SUMIFS('ИТОГО Торговля'!$H$5:$H$300,'ИТОГО Торговля'!$B$5:$B$300,$B140)+SUMIFS('ИТОГО Лэндинг'!$H$5:$H$300,'ИТОГО Лэндинг'!$B$5:$B$300,$B140)+SUMIFS('История'!$H$5:$H$300,'История'!$B$5:$B$300,$B140))</f>
        <v/>
      </c>
      <c r="I140" s="246">
        <f>IF($B140="","",IF(AND(C140="",F140=""),"",ROUND(SUMIFS('ИТОГО Торговля'!$I$5:$I$300,'ИТОГО Торговля'!$B$5:$B$300,$B140)+SUMIFS('ИТОГО Лэндинг'!$I$5:$I$300,'ИТОГО Лэндинг'!$B$5:$B$300,$B140)+SUMIFS('История'!$I$5:$I$300,'История'!$B$5:$B$300,$B140),8)))</f>
        <v/>
      </c>
      <c r="J140" s="247">
        <f>IF($B140="","",IF(AND(C140="",F140=""),"",ROUND(SUMIFS('ИТОГО Торговля'!$J$5:$J$300,'ИТОГО Торговля'!$B$5:$B$300,$B140)+SUMIFS('ИТОГО Лэндинг'!$J$5:$J$300,'ИТОГО Лэндинг'!$B$5:$B$300,$B140)+SUMIFS('История'!$J$5:$J$300,'История'!$B$5:$B$300,$B140),8)))</f>
        <v/>
      </c>
      <c r="K140" s="246">
        <f>IF($B140="","",ROUND(SUMIFS('ИТОГО Торговля'!$K$5:$K$300,'ИТОГО Торговля'!$B$5:$B$300,$B140)+SUMIFS('ИТОГО Лэндинг'!$K$5:$K$300,'ИТОГО Лэндинг'!$B$5:$B$300,$B140)+SUMIFS('История'!$K$5:$K$300,'История'!$B$5:$B$300,$B140),8))</f>
        <v/>
      </c>
      <c r="L140" s="183">
        <f>IF(K140="","",IF(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140)*((История!$C$5:$C$300+История!$F$5:$F$300-ABS(История!$C$5:$C$300-История!$F$5:$F$300))/2)*История!$D$5:$D$300))&lt;=0,0,ROUND(K140/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140)*((История!$C$5:$C$300+История!$F$5:$F$300-ABS(История!$C$5:$C$300-История!$F$5:$F$300))/2)*История!$D$5:$D$300)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IF($B141="","",IF(SUMIFS('ИТОГО Торговля'!$C$5:$C$300,'ИТОГО Торговля'!$B$5:$B$300,$B141)+SUMIFS('ИТОГО Лэндинг'!$C$5:$C$300,'ИТОГО Лэндинг'!$B$5:$B$300,$B141)+SUMIFS('История'!$C$5:$C$300,'История'!$B$5:$B$300,$B141)=0,"",SUMIFS('ИТОГО Торговля'!$C$5:$C$300,'ИТОГО Торговля'!$B$5:$B$300,$B141)+SUMIFS('ИТОГО Лэндинг'!$C$5:$C$300,'ИТОГО Лэндинг'!$B$5:$B$300,$B141)+SUMIFS('История'!$C$5:$C$300,'История'!$B$5:$B$300,$B141)))</f>
        <v/>
      </c>
      <c r="D141" s="177">
        <f>IF(C141="","",E141/C141)</f>
        <v/>
      </c>
      <c r="E141" s="241">
        <f>IF(C141="","",SUMIFS('ИТОГО Торговля'!$E$5:$E$300,'ИТОГО Торговля'!$B$5:$B$300,$B141)+SUMIFS('ИТОГО Лэндинг'!$E$5:$E$300,'ИТОГО Лэндинг'!$B$5:$B$300,$B141)+SUMIFS('История'!$E$5:$E$300,'История'!$B$5:$B$300,$B141))</f>
        <v/>
      </c>
      <c r="F141" s="240">
        <f>IF($B141="","",IF(SUMIFS('ИТОГО Торговля'!$F$5:$F$300,'ИТОГО Торговля'!$B$5:$B$300,$B141)+SUMIFS('ИТОГО Лэндинг'!$F$5:$F$300,'ИТОГО Лэндинг'!$B$5:$B$300,$B141)+SUMIFS('История'!$F$5:$F$300,'История'!$B$5:$B$300,$B141)=0,"",SUMIFS('ИТОГО Торговля'!$F$5:$F$300,'ИТОГО Торговля'!$B$5:$B$300,$B141)+SUMIFS('ИТОГО Лэндинг'!$F$5:$F$300,'ИТОГО Лэндинг'!$B$5:$B$300,$B141)+SUMIFS('История'!$F$5:$F$300,'История'!$B$5:$B$300,$B141)))</f>
        <v/>
      </c>
      <c r="G141" s="177">
        <f>IF(F141="","",H141/F141)</f>
        <v/>
      </c>
      <c r="H141" s="241">
        <f>IF(F141="","",SUMIFS('ИТОГО Торговля'!$H$5:$H$300,'ИТОГО Торговля'!$B$5:$B$300,$B141)+SUMIFS('ИТОГО Лэндинг'!$H$5:$H$300,'ИТОГО Лэндинг'!$B$5:$B$300,$B141)+SUMIFS('История'!$H$5:$H$300,'История'!$B$5:$B$300,$B141))</f>
        <v/>
      </c>
      <c r="I141" s="240">
        <f>IF($B141="","",IF(AND(C141="",F141=""),"",ROUND(SUMIFS('ИТОГО Торговля'!$I$5:$I$300,'ИТОГО Торговля'!$B$5:$B$300,$B141)+SUMIFS('ИТОГО Лэндинг'!$I$5:$I$300,'ИТОГО Лэндинг'!$B$5:$B$300,$B141)+SUMIFS('История'!$I$5:$I$300,'История'!$B$5:$B$300,$B141),8)))</f>
        <v/>
      </c>
      <c r="J141" s="241">
        <f>IF($B141="","",IF(AND(C141="",F141=""),"",ROUND(SUMIFS('ИТОГО Торговля'!$J$5:$J$300,'ИТОГО Торговля'!$B$5:$B$300,$B141)+SUMIFS('ИТОГО Лэндинг'!$J$5:$J$300,'ИТОГО Лэндинг'!$B$5:$B$300,$B141)+SUMIFS('История'!$J$5:$J$300,'История'!$B$5:$B$300,$B141),8)))</f>
        <v/>
      </c>
      <c r="K141" s="240">
        <f>IF($B141="","",ROUND(SUMIFS('ИТОГО Торговля'!$K$5:$K$300,'ИТОГО Торговля'!$B$5:$B$300,$B141)+SUMIFS('ИТОГО Лэндинг'!$K$5:$K$300,'ИТОГО Лэндинг'!$B$5:$B$300,$B141)+SUMIFS('История'!$K$5:$K$300,'История'!$B$5:$B$300,$B141),8))</f>
        <v/>
      </c>
      <c r="L141" s="177">
        <f>IF(K141="","",IF(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141)*((История!$C$5:$C$300+История!$F$5:$F$300-ABS(История!$C$5:$C$300-История!$F$5:$F$300))/2)*История!$D$5:$D$300))&lt;=0,0,ROUND(K141/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141)*((История!$C$5:$C$300+История!$F$5:$F$300-ABS(История!$C$5:$C$300-История!$F$5:$F$300))/2)*История!$D$5:$D$300)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IF($B142="","",IF(SUMIFS('ИТОГО Торговля'!$C$5:$C$300,'ИТОГО Торговля'!$B$5:$B$300,$B142)+SUMIFS('ИТОГО Лэндинг'!$C$5:$C$300,'ИТОГО Лэндинг'!$B$5:$B$300,$B142)+SUMIFS('История'!$C$5:$C$300,'История'!$B$5:$B$300,$B142)=0,"",SUMIFS('ИТОГО Торговля'!$C$5:$C$300,'ИТОГО Торговля'!$B$5:$B$300,$B142)+SUMIFS('ИТОГО Лэндинг'!$C$5:$C$300,'ИТОГО Лэндинг'!$B$5:$B$300,$B142)+SUMIFS('История'!$C$5:$C$300,'История'!$B$5:$B$300,$B142)))</f>
        <v/>
      </c>
      <c r="D142" s="183">
        <f>IF(C142="","",E142/C142)</f>
        <v/>
      </c>
      <c r="E142" s="247">
        <f>IF(C142="","",SUMIFS('ИТОГО Торговля'!$E$5:$E$300,'ИТОГО Торговля'!$B$5:$B$300,$B142)+SUMIFS('ИТОГО Лэндинг'!$E$5:$E$300,'ИТОГО Лэндинг'!$B$5:$B$300,$B142)+SUMIFS('История'!$E$5:$E$300,'История'!$B$5:$B$300,$B142))</f>
        <v/>
      </c>
      <c r="F142" s="246">
        <f>IF($B142="","",IF(SUMIFS('ИТОГО Торговля'!$F$5:$F$300,'ИТОГО Торговля'!$B$5:$B$300,$B142)+SUMIFS('ИТОГО Лэндинг'!$F$5:$F$300,'ИТОГО Лэндинг'!$B$5:$B$300,$B142)+SUMIFS('История'!$F$5:$F$300,'История'!$B$5:$B$300,$B142)=0,"",SUMIFS('ИТОГО Торговля'!$F$5:$F$300,'ИТОГО Торговля'!$B$5:$B$300,$B142)+SUMIFS('ИТОГО Лэндинг'!$F$5:$F$300,'ИТОГО Лэндинг'!$B$5:$B$300,$B142)+SUMIFS('История'!$F$5:$F$300,'История'!$B$5:$B$300,$B142)))</f>
        <v/>
      </c>
      <c r="G142" s="183">
        <f>IF(F142="","",H142/F142)</f>
        <v/>
      </c>
      <c r="H142" s="247">
        <f>IF(F142="","",SUMIFS('ИТОГО Торговля'!$H$5:$H$300,'ИТОГО Торговля'!$B$5:$B$300,$B142)+SUMIFS('ИТОГО Лэндинг'!$H$5:$H$300,'ИТОГО Лэндинг'!$B$5:$B$300,$B142)+SUMIFS('История'!$H$5:$H$300,'История'!$B$5:$B$300,$B142))</f>
        <v/>
      </c>
      <c r="I142" s="246">
        <f>IF($B142="","",IF(AND(C142="",F142=""),"",ROUND(SUMIFS('ИТОГО Торговля'!$I$5:$I$300,'ИТОГО Торговля'!$B$5:$B$300,$B142)+SUMIFS('ИТОГО Лэндинг'!$I$5:$I$300,'ИТОГО Лэндинг'!$B$5:$B$300,$B142)+SUMIFS('История'!$I$5:$I$300,'История'!$B$5:$B$300,$B142),8)))</f>
        <v/>
      </c>
      <c r="J142" s="247">
        <f>IF($B142="","",IF(AND(C142="",F142=""),"",ROUND(SUMIFS('ИТОГО Торговля'!$J$5:$J$300,'ИТОГО Торговля'!$B$5:$B$300,$B142)+SUMIFS('ИТОГО Лэндинг'!$J$5:$J$300,'ИТОГО Лэндинг'!$B$5:$B$300,$B142)+SUMIFS('История'!$J$5:$J$300,'История'!$B$5:$B$300,$B142),8)))</f>
        <v/>
      </c>
      <c r="K142" s="246">
        <f>IF($B142="","",ROUND(SUMIFS('ИТОГО Торговля'!$K$5:$K$300,'ИТОГО Торговля'!$B$5:$B$300,$B142)+SUMIFS('ИТОГО Лэндинг'!$K$5:$K$300,'ИТОГО Лэндинг'!$B$5:$B$300,$B142)+SUMIFS('История'!$K$5:$K$300,'История'!$B$5:$B$300,$B142),8))</f>
        <v/>
      </c>
      <c r="L142" s="183">
        <f>IF(K142="","",IF(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142)*((История!$C$5:$C$300+История!$F$5:$F$300-ABS(История!$C$5:$C$300-История!$F$5:$F$300))/2)*История!$D$5:$D$300))&lt;=0,0,ROUND(K142/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142)*((История!$C$5:$C$300+История!$F$5:$F$300-ABS(История!$C$5:$C$300-История!$F$5:$F$300))/2)*История!$D$5:$D$300)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IF($B143="","",IF(SUMIFS('ИТОГО Торговля'!$C$5:$C$300,'ИТОГО Торговля'!$B$5:$B$300,$B143)+SUMIFS('ИТОГО Лэндинг'!$C$5:$C$300,'ИТОГО Лэндинг'!$B$5:$B$300,$B143)+SUMIFS('История'!$C$5:$C$300,'История'!$B$5:$B$300,$B143)=0,"",SUMIFS('ИТОГО Торговля'!$C$5:$C$300,'ИТОГО Торговля'!$B$5:$B$300,$B143)+SUMIFS('ИТОГО Лэндинг'!$C$5:$C$300,'ИТОГО Лэндинг'!$B$5:$B$300,$B143)+SUMIFS('История'!$C$5:$C$300,'История'!$B$5:$B$300,$B143)))</f>
        <v/>
      </c>
      <c r="D143" s="177">
        <f>IF(C143="","",E143/C143)</f>
        <v/>
      </c>
      <c r="E143" s="241">
        <f>IF(C143="","",SUMIFS('ИТОГО Торговля'!$E$5:$E$300,'ИТОГО Торговля'!$B$5:$B$300,$B143)+SUMIFS('ИТОГО Лэндинг'!$E$5:$E$300,'ИТОГО Лэндинг'!$B$5:$B$300,$B143)+SUMIFS('История'!$E$5:$E$300,'История'!$B$5:$B$300,$B143))</f>
        <v/>
      </c>
      <c r="F143" s="240">
        <f>IF($B143="","",IF(SUMIFS('ИТОГО Торговля'!$F$5:$F$300,'ИТОГО Торговля'!$B$5:$B$300,$B143)+SUMIFS('ИТОГО Лэндинг'!$F$5:$F$300,'ИТОГО Лэндинг'!$B$5:$B$300,$B143)+SUMIFS('История'!$F$5:$F$300,'История'!$B$5:$B$300,$B143)=0,"",SUMIFS('ИТОГО Торговля'!$F$5:$F$300,'ИТОГО Торговля'!$B$5:$B$300,$B143)+SUMIFS('ИТОГО Лэндинг'!$F$5:$F$300,'ИТОГО Лэндинг'!$B$5:$B$300,$B143)+SUMIFS('История'!$F$5:$F$300,'История'!$B$5:$B$300,$B143)))</f>
        <v/>
      </c>
      <c r="G143" s="177">
        <f>IF(F143="","",H143/F143)</f>
        <v/>
      </c>
      <c r="H143" s="241">
        <f>IF(F143="","",SUMIFS('ИТОГО Торговля'!$H$5:$H$300,'ИТОГО Торговля'!$B$5:$B$300,$B143)+SUMIFS('ИТОГО Лэндинг'!$H$5:$H$300,'ИТОГО Лэндинг'!$B$5:$B$300,$B143)+SUMIFS('История'!$H$5:$H$300,'История'!$B$5:$B$300,$B143))</f>
        <v/>
      </c>
      <c r="I143" s="240">
        <f>IF($B143="","",IF(AND(C143="",F143=""),"",ROUND(SUMIFS('ИТОГО Торговля'!$I$5:$I$300,'ИТОГО Торговля'!$B$5:$B$300,$B143)+SUMIFS('ИТОГО Лэндинг'!$I$5:$I$300,'ИТОГО Лэндинг'!$B$5:$B$300,$B143)+SUMIFS('История'!$I$5:$I$300,'История'!$B$5:$B$300,$B143),8)))</f>
        <v/>
      </c>
      <c r="J143" s="241">
        <f>IF($B143="","",IF(AND(C143="",F143=""),"",ROUND(SUMIFS('ИТОГО Торговля'!$J$5:$J$300,'ИТОГО Торговля'!$B$5:$B$300,$B143)+SUMIFS('ИТОГО Лэндинг'!$J$5:$J$300,'ИТОГО Лэндинг'!$B$5:$B$300,$B143)+SUMIFS('История'!$J$5:$J$300,'История'!$B$5:$B$300,$B143),8)))</f>
        <v/>
      </c>
      <c r="K143" s="240">
        <f>IF($B143="","",ROUND(SUMIFS('ИТОГО Торговля'!$K$5:$K$300,'ИТОГО Торговля'!$B$5:$B$300,$B143)+SUMIFS('ИТОГО Лэндинг'!$K$5:$K$300,'ИТОГО Лэндинг'!$B$5:$B$300,$B143)+SUMIFS('История'!$K$5:$K$300,'История'!$B$5:$B$300,$B143),8))</f>
        <v/>
      </c>
      <c r="L143" s="177">
        <f>IF(K143="","",IF(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143)*((История!$C$5:$C$300+История!$F$5:$F$300-ABS(История!$C$5:$C$300-История!$F$5:$F$300))/2)*История!$D$5:$D$300))&lt;=0,0,ROUND(K143/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143)*((История!$C$5:$C$300+История!$F$5:$F$300-ABS(История!$C$5:$C$300-История!$F$5:$F$300))/2)*История!$D$5:$D$300)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IF($B144="","",IF(SUMIFS('ИТОГО Торговля'!$C$5:$C$300,'ИТОГО Торговля'!$B$5:$B$300,$B144)+SUMIFS('ИТОГО Лэндинг'!$C$5:$C$300,'ИТОГО Лэндинг'!$B$5:$B$300,$B144)+SUMIFS('История'!$C$5:$C$300,'История'!$B$5:$B$300,$B144)=0,"",SUMIFS('ИТОГО Торговля'!$C$5:$C$300,'ИТОГО Торговля'!$B$5:$B$300,$B144)+SUMIFS('ИТОГО Лэндинг'!$C$5:$C$300,'ИТОГО Лэндинг'!$B$5:$B$300,$B144)+SUMIFS('История'!$C$5:$C$300,'История'!$B$5:$B$300,$B144)))</f>
        <v/>
      </c>
      <c r="D144" s="183">
        <f>IF(C144="","",E144/C144)</f>
        <v/>
      </c>
      <c r="E144" s="247">
        <f>IF(C144="","",SUMIFS('ИТОГО Торговля'!$E$5:$E$300,'ИТОГО Торговля'!$B$5:$B$300,$B144)+SUMIFS('ИТОГО Лэндинг'!$E$5:$E$300,'ИТОГО Лэндинг'!$B$5:$B$300,$B144)+SUMIFS('История'!$E$5:$E$300,'История'!$B$5:$B$300,$B144))</f>
        <v/>
      </c>
      <c r="F144" s="246">
        <f>IF($B144="","",IF(SUMIFS('ИТОГО Торговля'!$F$5:$F$300,'ИТОГО Торговля'!$B$5:$B$300,$B144)+SUMIFS('ИТОГО Лэндинг'!$F$5:$F$300,'ИТОГО Лэндинг'!$B$5:$B$300,$B144)+SUMIFS('История'!$F$5:$F$300,'История'!$B$5:$B$300,$B144)=0,"",SUMIFS('ИТОГО Торговля'!$F$5:$F$300,'ИТОГО Торговля'!$B$5:$B$300,$B144)+SUMIFS('ИТОГО Лэндинг'!$F$5:$F$300,'ИТОГО Лэндинг'!$B$5:$B$300,$B144)+SUMIFS('История'!$F$5:$F$300,'История'!$B$5:$B$300,$B144)))</f>
        <v/>
      </c>
      <c r="G144" s="183">
        <f>IF(F144="","",H144/F144)</f>
        <v/>
      </c>
      <c r="H144" s="247">
        <f>IF(F144="","",SUMIFS('ИТОГО Торговля'!$H$5:$H$300,'ИТОГО Торговля'!$B$5:$B$300,$B144)+SUMIFS('ИТОГО Лэндинг'!$H$5:$H$300,'ИТОГО Лэндинг'!$B$5:$B$300,$B144)+SUMIFS('История'!$H$5:$H$300,'История'!$B$5:$B$300,$B144))</f>
        <v/>
      </c>
      <c r="I144" s="246">
        <f>IF($B144="","",IF(AND(C144="",F144=""),"",ROUND(SUMIFS('ИТОГО Торговля'!$I$5:$I$300,'ИТОГО Торговля'!$B$5:$B$300,$B144)+SUMIFS('ИТОГО Лэндинг'!$I$5:$I$300,'ИТОГО Лэндинг'!$B$5:$B$300,$B144)+SUMIFS('История'!$I$5:$I$300,'История'!$B$5:$B$300,$B144),8)))</f>
        <v/>
      </c>
      <c r="J144" s="247">
        <f>IF($B144="","",IF(AND(C144="",F144=""),"",ROUND(SUMIFS('ИТОГО Торговля'!$J$5:$J$300,'ИТОГО Торговля'!$B$5:$B$300,$B144)+SUMIFS('ИТОГО Лэндинг'!$J$5:$J$300,'ИТОГО Лэндинг'!$B$5:$B$300,$B144)+SUMIFS('История'!$J$5:$J$300,'История'!$B$5:$B$300,$B144),8)))</f>
        <v/>
      </c>
      <c r="K144" s="246">
        <f>IF($B144="","",ROUND(SUMIFS('ИТОГО Торговля'!$K$5:$K$300,'ИТОГО Торговля'!$B$5:$B$300,$B144)+SUMIFS('ИТОГО Лэндинг'!$K$5:$K$300,'ИТОГО Лэндинг'!$B$5:$B$300,$B144)+SUMIFS('История'!$K$5:$K$300,'История'!$B$5:$B$300,$B144),8))</f>
        <v/>
      </c>
      <c r="L144" s="183">
        <f>IF(K144="","",IF(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144)*((История!$C$5:$C$300+История!$F$5:$F$300-ABS(История!$C$5:$C$300-История!$F$5:$F$300))/2)*История!$D$5:$D$300))&lt;=0,0,ROUND(K144/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144)*((История!$C$5:$C$300+История!$F$5:$F$300-ABS(История!$C$5:$C$300-История!$F$5:$F$300))/2)*История!$D$5:$D$300)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IF($B145="","",IF(SUMIFS('ИТОГО Торговля'!$C$5:$C$300,'ИТОГО Торговля'!$B$5:$B$300,$B145)+SUMIFS('ИТОГО Лэндинг'!$C$5:$C$300,'ИТОГО Лэндинг'!$B$5:$B$300,$B145)+SUMIFS('История'!$C$5:$C$300,'История'!$B$5:$B$300,$B145)=0,"",SUMIFS('ИТОГО Торговля'!$C$5:$C$300,'ИТОГО Торговля'!$B$5:$B$300,$B145)+SUMIFS('ИТОГО Лэндинг'!$C$5:$C$300,'ИТОГО Лэндинг'!$B$5:$B$300,$B145)+SUMIFS('История'!$C$5:$C$300,'История'!$B$5:$B$300,$B145)))</f>
        <v/>
      </c>
      <c r="D145" s="177">
        <f>IF(C145="","",E145/C145)</f>
        <v/>
      </c>
      <c r="E145" s="241">
        <f>IF(C145="","",SUMIFS('ИТОГО Торговля'!$E$5:$E$300,'ИТОГО Торговля'!$B$5:$B$300,$B145)+SUMIFS('ИТОГО Лэндинг'!$E$5:$E$300,'ИТОГО Лэндинг'!$B$5:$B$300,$B145)+SUMIFS('История'!$E$5:$E$300,'История'!$B$5:$B$300,$B145))</f>
        <v/>
      </c>
      <c r="F145" s="240">
        <f>IF($B145="","",IF(SUMIFS('ИТОГО Торговля'!$F$5:$F$300,'ИТОГО Торговля'!$B$5:$B$300,$B145)+SUMIFS('ИТОГО Лэндинг'!$F$5:$F$300,'ИТОГО Лэндинг'!$B$5:$B$300,$B145)+SUMIFS('История'!$F$5:$F$300,'История'!$B$5:$B$300,$B145)=0,"",SUMIFS('ИТОГО Торговля'!$F$5:$F$300,'ИТОГО Торговля'!$B$5:$B$300,$B145)+SUMIFS('ИТОГО Лэндинг'!$F$5:$F$300,'ИТОГО Лэндинг'!$B$5:$B$300,$B145)+SUMIFS('История'!$F$5:$F$300,'История'!$B$5:$B$300,$B145)))</f>
        <v/>
      </c>
      <c r="G145" s="177">
        <f>IF(F145="","",H145/F145)</f>
        <v/>
      </c>
      <c r="H145" s="241">
        <f>IF(F145="","",SUMIFS('ИТОГО Торговля'!$H$5:$H$300,'ИТОГО Торговля'!$B$5:$B$300,$B145)+SUMIFS('ИТОГО Лэндинг'!$H$5:$H$300,'ИТОГО Лэндинг'!$B$5:$B$300,$B145)+SUMIFS('История'!$H$5:$H$300,'История'!$B$5:$B$300,$B145))</f>
        <v/>
      </c>
      <c r="I145" s="240">
        <f>IF($B145="","",IF(AND(C145="",F145=""),"",ROUND(SUMIFS('ИТОГО Торговля'!$I$5:$I$300,'ИТОГО Торговля'!$B$5:$B$300,$B145)+SUMIFS('ИТОГО Лэндинг'!$I$5:$I$300,'ИТОГО Лэндинг'!$B$5:$B$300,$B145)+SUMIFS('История'!$I$5:$I$300,'История'!$B$5:$B$300,$B145),8)))</f>
        <v/>
      </c>
      <c r="J145" s="241">
        <f>IF($B145="","",IF(AND(C145="",F145=""),"",ROUND(SUMIFS('ИТОГО Торговля'!$J$5:$J$300,'ИТОГО Торговля'!$B$5:$B$300,$B145)+SUMIFS('ИТОГО Лэндинг'!$J$5:$J$300,'ИТОГО Лэндинг'!$B$5:$B$300,$B145)+SUMIFS('История'!$J$5:$J$300,'История'!$B$5:$B$300,$B145),8)))</f>
        <v/>
      </c>
      <c r="K145" s="240">
        <f>IF($B145="","",ROUND(SUMIFS('ИТОГО Торговля'!$K$5:$K$300,'ИТОГО Торговля'!$B$5:$B$300,$B145)+SUMIFS('ИТОГО Лэндинг'!$K$5:$K$300,'ИТОГО Лэндинг'!$B$5:$B$300,$B145)+SUMIFS('История'!$K$5:$K$300,'История'!$B$5:$B$300,$B145),8))</f>
        <v/>
      </c>
      <c r="L145" s="177">
        <f>IF(K145="","",IF(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145)*((История!$C$5:$C$300+История!$F$5:$F$300-ABS(История!$C$5:$C$300-История!$F$5:$F$300))/2)*История!$D$5:$D$300))&lt;=0,0,ROUND(K145/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145)*((История!$C$5:$C$300+История!$F$5:$F$300-ABS(История!$C$5:$C$300-История!$F$5:$F$300))/2)*История!$D$5:$D$300)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IF($B146="","",IF(SUMIFS('ИТОГО Торговля'!$C$5:$C$300,'ИТОГО Торговля'!$B$5:$B$300,$B146)+SUMIFS('ИТОГО Лэндинг'!$C$5:$C$300,'ИТОГО Лэндинг'!$B$5:$B$300,$B146)+SUMIFS('История'!$C$5:$C$300,'История'!$B$5:$B$300,$B146)=0,"",SUMIFS('ИТОГО Торговля'!$C$5:$C$300,'ИТОГО Торговля'!$B$5:$B$300,$B146)+SUMIFS('ИТОГО Лэндинг'!$C$5:$C$300,'ИТОГО Лэндинг'!$B$5:$B$300,$B146)+SUMIFS('История'!$C$5:$C$300,'История'!$B$5:$B$300,$B146)))</f>
        <v/>
      </c>
      <c r="D146" s="183">
        <f>IF(C146="","",E146/C146)</f>
        <v/>
      </c>
      <c r="E146" s="247">
        <f>IF(C146="","",SUMIFS('ИТОГО Торговля'!$E$5:$E$300,'ИТОГО Торговля'!$B$5:$B$300,$B146)+SUMIFS('ИТОГО Лэндинг'!$E$5:$E$300,'ИТОГО Лэндинг'!$B$5:$B$300,$B146)+SUMIFS('История'!$E$5:$E$300,'История'!$B$5:$B$300,$B146))</f>
        <v/>
      </c>
      <c r="F146" s="246">
        <f>IF($B146="","",IF(SUMIFS('ИТОГО Торговля'!$F$5:$F$300,'ИТОГО Торговля'!$B$5:$B$300,$B146)+SUMIFS('ИТОГО Лэндинг'!$F$5:$F$300,'ИТОГО Лэндинг'!$B$5:$B$300,$B146)+SUMIFS('История'!$F$5:$F$300,'История'!$B$5:$B$300,$B146)=0,"",SUMIFS('ИТОГО Торговля'!$F$5:$F$300,'ИТОГО Торговля'!$B$5:$B$300,$B146)+SUMIFS('ИТОГО Лэндинг'!$F$5:$F$300,'ИТОГО Лэндинг'!$B$5:$B$300,$B146)+SUMIFS('История'!$F$5:$F$300,'История'!$B$5:$B$300,$B146)))</f>
        <v/>
      </c>
      <c r="G146" s="183">
        <f>IF(F146="","",H146/F146)</f>
        <v/>
      </c>
      <c r="H146" s="247">
        <f>IF(F146="","",SUMIFS('ИТОГО Торговля'!$H$5:$H$300,'ИТОГО Торговля'!$B$5:$B$300,$B146)+SUMIFS('ИТОГО Лэндинг'!$H$5:$H$300,'ИТОГО Лэндинг'!$B$5:$B$300,$B146)+SUMIFS('История'!$H$5:$H$300,'История'!$B$5:$B$300,$B146))</f>
        <v/>
      </c>
      <c r="I146" s="246">
        <f>IF($B146="","",IF(AND(C146="",F146=""),"",ROUND(SUMIFS('ИТОГО Торговля'!$I$5:$I$300,'ИТОГО Торговля'!$B$5:$B$300,$B146)+SUMIFS('ИТОГО Лэндинг'!$I$5:$I$300,'ИТОГО Лэндинг'!$B$5:$B$300,$B146)+SUMIFS('История'!$I$5:$I$300,'История'!$B$5:$B$300,$B146),8)))</f>
        <v/>
      </c>
      <c r="J146" s="247">
        <f>IF($B146="","",IF(AND(C146="",F146=""),"",ROUND(SUMIFS('ИТОГО Торговля'!$J$5:$J$300,'ИТОГО Торговля'!$B$5:$B$300,$B146)+SUMIFS('ИТОГО Лэндинг'!$J$5:$J$300,'ИТОГО Лэндинг'!$B$5:$B$300,$B146)+SUMIFS('История'!$J$5:$J$300,'История'!$B$5:$B$300,$B146),8)))</f>
        <v/>
      </c>
      <c r="K146" s="246">
        <f>IF($B146="","",ROUND(SUMIFS('ИТОГО Торговля'!$K$5:$K$300,'ИТОГО Торговля'!$B$5:$B$300,$B146)+SUMIFS('ИТОГО Лэндинг'!$K$5:$K$300,'ИТОГО Лэндинг'!$B$5:$B$300,$B146)+SUMIFS('История'!$K$5:$K$300,'История'!$B$5:$B$300,$B146),8))</f>
        <v/>
      </c>
      <c r="L146" s="183">
        <f>IF(K146="","",IF(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146)*((История!$C$5:$C$300+История!$F$5:$F$300-ABS(История!$C$5:$C$300-История!$F$5:$F$300))/2)*История!$D$5:$D$300))&lt;=0,0,ROUND(K146/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146)*((История!$C$5:$C$300+История!$F$5:$F$300-ABS(История!$C$5:$C$300-История!$F$5:$F$300))/2)*История!$D$5:$D$300)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IF($B147="","",IF(SUMIFS('ИТОГО Торговля'!$C$5:$C$300,'ИТОГО Торговля'!$B$5:$B$300,$B147)+SUMIFS('ИТОГО Лэндинг'!$C$5:$C$300,'ИТОГО Лэндинг'!$B$5:$B$300,$B147)+SUMIFS('История'!$C$5:$C$300,'История'!$B$5:$B$300,$B147)=0,"",SUMIFS('ИТОГО Торговля'!$C$5:$C$300,'ИТОГО Торговля'!$B$5:$B$300,$B147)+SUMIFS('ИТОГО Лэндинг'!$C$5:$C$300,'ИТОГО Лэндинг'!$B$5:$B$300,$B147)+SUMIFS('История'!$C$5:$C$300,'История'!$B$5:$B$300,$B147)))</f>
        <v/>
      </c>
      <c r="D147" s="177">
        <f>IF(C147="","",E147/C147)</f>
        <v/>
      </c>
      <c r="E147" s="241">
        <f>IF(C147="","",SUMIFS('ИТОГО Торговля'!$E$5:$E$300,'ИТОГО Торговля'!$B$5:$B$300,$B147)+SUMIFS('ИТОГО Лэндинг'!$E$5:$E$300,'ИТОГО Лэндинг'!$B$5:$B$300,$B147)+SUMIFS('История'!$E$5:$E$300,'История'!$B$5:$B$300,$B147))</f>
        <v/>
      </c>
      <c r="F147" s="240">
        <f>IF($B147="","",IF(SUMIFS('ИТОГО Торговля'!$F$5:$F$300,'ИТОГО Торговля'!$B$5:$B$300,$B147)+SUMIFS('ИТОГО Лэндинг'!$F$5:$F$300,'ИТОГО Лэндинг'!$B$5:$B$300,$B147)+SUMIFS('История'!$F$5:$F$300,'История'!$B$5:$B$300,$B147)=0,"",SUMIFS('ИТОГО Торговля'!$F$5:$F$300,'ИТОГО Торговля'!$B$5:$B$300,$B147)+SUMIFS('ИТОГО Лэндинг'!$F$5:$F$300,'ИТОГО Лэндинг'!$B$5:$B$300,$B147)+SUMIFS('История'!$F$5:$F$300,'История'!$B$5:$B$300,$B147)))</f>
        <v/>
      </c>
      <c r="G147" s="177">
        <f>IF(F147="","",H147/F147)</f>
        <v/>
      </c>
      <c r="H147" s="241">
        <f>IF(F147="","",SUMIFS('ИТОГО Торговля'!$H$5:$H$300,'ИТОГО Торговля'!$B$5:$B$300,$B147)+SUMIFS('ИТОГО Лэндинг'!$H$5:$H$300,'ИТОГО Лэндинг'!$B$5:$B$300,$B147)+SUMIFS('История'!$H$5:$H$300,'История'!$B$5:$B$300,$B147))</f>
        <v/>
      </c>
      <c r="I147" s="240">
        <f>IF($B147="","",IF(AND(C147="",F147=""),"",ROUND(SUMIFS('ИТОГО Торговля'!$I$5:$I$300,'ИТОГО Торговля'!$B$5:$B$300,$B147)+SUMIFS('ИТОГО Лэндинг'!$I$5:$I$300,'ИТОГО Лэндинг'!$B$5:$B$300,$B147)+SUMIFS('История'!$I$5:$I$300,'История'!$B$5:$B$300,$B147),8)))</f>
        <v/>
      </c>
      <c r="J147" s="241">
        <f>IF($B147="","",IF(AND(C147="",F147=""),"",ROUND(SUMIFS('ИТОГО Торговля'!$J$5:$J$300,'ИТОГО Торговля'!$B$5:$B$300,$B147)+SUMIFS('ИТОГО Лэндинг'!$J$5:$J$300,'ИТОГО Лэндинг'!$B$5:$B$300,$B147)+SUMIFS('История'!$J$5:$J$300,'История'!$B$5:$B$300,$B147),8)))</f>
        <v/>
      </c>
      <c r="K147" s="240">
        <f>IF($B147="","",ROUND(SUMIFS('ИТОГО Торговля'!$K$5:$K$300,'ИТОГО Торговля'!$B$5:$B$300,$B147)+SUMIFS('ИТОГО Лэндинг'!$K$5:$K$300,'ИТОГО Лэндинг'!$B$5:$B$300,$B147)+SUMIFS('История'!$K$5:$K$300,'История'!$B$5:$B$300,$B147),8))</f>
        <v/>
      </c>
      <c r="L147" s="177">
        <f>IF(K147="","",IF(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147)*((История!$C$5:$C$300+История!$F$5:$F$300-ABS(История!$C$5:$C$300-История!$F$5:$F$300))/2)*История!$D$5:$D$300))&lt;=0,0,ROUND(K147/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147)*((История!$C$5:$C$300+История!$F$5:$F$300-ABS(История!$C$5:$C$300-История!$F$5:$F$300))/2)*История!$D$5:$D$300)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IF($B148="","",IF(SUMIFS('ИТОГО Торговля'!$C$5:$C$300,'ИТОГО Торговля'!$B$5:$B$300,$B148)+SUMIFS('ИТОГО Лэндинг'!$C$5:$C$300,'ИТОГО Лэндинг'!$B$5:$B$300,$B148)+SUMIFS('История'!$C$5:$C$300,'История'!$B$5:$B$300,$B148)=0,"",SUMIFS('ИТОГО Торговля'!$C$5:$C$300,'ИТОГО Торговля'!$B$5:$B$300,$B148)+SUMIFS('ИТОГО Лэндинг'!$C$5:$C$300,'ИТОГО Лэндинг'!$B$5:$B$300,$B148)+SUMIFS('История'!$C$5:$C$300,'История'!$B$5:$B$300,$B148)))</f>
        <v/>
      </c>
      <c r="D148" s="183">
        <f>IF(C148="","",E148/C148)</f>
        <v/>
      </c>
      <c r="E148" s="247">
        <f>IF(C148="","",SUMIFS('ИТОГО Торговля'!$E$5:$E$300,'ИТОГО Торговля'!$B$5:$B$300,$B148)+SUMIFS('ИТОГО Лэндинг'!$E$5:$E$300,'ИТОГО Лэндинг'!$B$5:$B$300,$B148)+SUMIFS('История'!$E$5:$E$300,'История'!$B$5:$B$300,$B148))</f>
        <v/>
      </c>
      <c r="F148" s="246">
        <f>IF($B148="","",IF(SUMIFS('ИТОГО Торговля'!$F$5:$F$300,'ИТОГО Торговля'!$B$5:$B$300,$B148)+SUMIFS('ИТОГО Лэндинг'!$F$5:$F$300,'ИТОГО Лэндинг'!$B$5:$B$300,$B148)+SUMIFS('История'!$F$5:$F$300,'История'!$B$5:$B$300,$B148)=0,"",SUMIFS('ИТОГО Торговля'!$F$5:$F$300,'ИТОГО Торговля'!$B$5:$B$300,$B148)+SUMIFS('ИТОГО Лэндинг'!$F$5:$F$300,'ИТОГО Лэндинг'!$B$5:$B$300,$B148)+SUMIFS('История'!$F$5:$F$300,'История'!$B$5:$B$300,$B148)))</f>
        <v/>
      </c>
      <c r="G148" s="183">
        <f>IF(F148="","",H148/F148)</f>
        <v/>
      </c>
      <c r="H148" s="247">
        <f>IF(F148="","",SUMIFS('ИТОГО Торговля'!$H$5:$H$300,'ИТОГО Торговля'!$B$5:$B$300,$B148)+SUMIFS('ИТОГО Лэндинг'!$H$5:$H$300,'ИТОГО Лэндинг'!$B$5:$B$300,$B148)+SUMIFS('История'!$H$5:$H$300,'История'!$B$5:$B$300,$B148))</f>
        <v/>
      </c>
      <c r="I148" s="246">
        <f>IF($B148="","",IF(AND(C148="",F148=""),"",ROUND(SUMIFS('ИТОГО Торговля'!$I$5:$I$300,'ИТОГО Торговля'!$B$5:$B$300,$B148)+SUMIFS('ИТОГО Лэндинг'!$I$5:$I$300,'ИТОГО Лэндинг'!$B$5:$B$300,$B148)+SUMIFS('История'!$I$5:$I$300,'История'!$B$5:$B$300,$B148),8)))</f>
        <v/>
      </c>
      <c r="J148" s="247">
        <f>IF($B148="","",IF(AND(C148="",F148=""),"",ROUND(SUMIFS('ИТОГО Торговля'!$J$5:$J$300,'ИТОГО Торговля'!$B$5:$B$300,$B148)+SUMIFS('ИТОГО Лэндинг'!$J$5:$J$300,'ИТОГО Лэндинг'!$B$5:$B$300,$B148)+SUMIFS('История'!$J$5:$J$300,'История'!$B$5:$B$300,$B148),8)))</f>
        <v/>
      </c>
      <c r="K148" s="246">
        <f>IF($B148="","",ROUND(SUMIFS('ИТОГО Торговля'!$K$5:$K$300,'ИТОГО Торговля'!$B$5:$B$300,$B148)+SUMIFS('ИТОГО Лэндинг'!$K$5:$K$300,'ИТОГО Лэндинг'!$B$5:$B$300,$B148)+SUMIFS('История'!$K$5:$K$300,'История'!$B$5:$B$300,$B148),8))</f>
        <v/>
      </c>
      <c r="L148" s="183">
        <f>IF(K148="","",IF(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148)*((История!$C$5:$C$300+История!$F$5:$F$300-ABS(История!$C$5:$C$300-История!$F$5:$F$300))/2)*История!$D$5:$D$300))&lt;=0,0,ROUND(K148/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148)*((История!$C$5:$C$300+История!$F$5:$F$300-ABS(История!$C$5:$C$300-История!$F$5:$F$300))/2)*История!$D$5:$D$300)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IF($B149="","",IF(SUMIFS('ИТОГО Торговля'!$C$5:$C$300,'ИТОГО Торговля'!$B$5:$B$300,$B149)+SUMIFS('ИТОГО Лэндинг'!$C$5:$C$300,'ИТОГО Лэндинг'!$B$5:$B$300,$B149)+SUMIFS('История'!$C$5:$C$300,'История'!$B$5:$B$300,$B149)=0,"",SUMIFS('ИТОГО Торговля'!$C$5:$C$300,'ИТОГО Торговля'!$B$5:$B$300,$B149)+SUMIFS('ИТОГО Лэндинг'!$C$5:$C$300,'ИТОГО Лэндинг'!$B$5:$B$300,$B149)+SUMIFS('История'!$C$5:$C$300,'История'!$B$5:$B$300,$B149)))</f>
        <v/>
      </c>
      <c r="D149" s="177">
        <f>IF(C149="","",E149/C149)</f>
        <v/>
      </c>
      <c r="E149" s="241">
        <f>IF(C149="","",SUMIFS('ИТОГО Торговля'!$E$5:$E$300,'ИТОГО Торговля'!$B$5:$B$300,$B149)+SUMIFS('ИТОГО Лэндинг'!$E$5:$E$300,'ИТОГО Лэндинг'!$B$5:$B$300,$B149)+SUMIFS('История'!$E$5:$E$300,'История'!$B$5:$B$300,$B149))</f>
        <v/>
      </c>
      <c r="F149" s="240">
        <f>IF($B149="","",IF(SUMIFS('ИТОГО Торговля'!$F$5:$F$300,'ИТОГО Торговля'!$B$5:$B$300,$B149)+SUMIFS('ИТОГО Лэндинг'!$F$5:$F$300,'ИТОГО Лэндинг'!$B$5:$B$300,$B149)+SUMIFS('История'!$F$5:$F$300,'История'!$B$5:$B$300,$B149)=0,"",SUMIFS('ИТОГО Торговля'!$F$5:$F$300,'ИТОГО Торговля'!$B$5:$B$300,$B149)+SUMIFS('ИТОГО Лэндинг'!$F$5:$F$300,'ИТОГО Лэндинг'!$B$5:$B$300,$B149)+SUMIFS('История'!$F$5:$F$300,'История'!$B$5:$B$300,$B149)))</f>
        <v/>
      </c>
      <c r="G149" s="177">
        <f>IF(F149="","",H149/F149)</f>
        <v/>
      </c>
      <c r="H149" s="241">
        <f>IF(F149="","",SUMIFS('ИТОГО Торговля'!$H$5:$H$300,'ИТОГО Торговля'!$B$5:$B$300,$B149)+SUMIFS('ИТОГО Лэндинг'!$H$5:$H$300,'ИТОГО Лэндинг'!$B$5:$B$300,$B149)+SUMIFS('История'!$H$5:$H$300,'История'!$B$5:$B$300,$B149))</f>
        <v/>
      </c>
      <c r="I149" s="240">
        <f>IF($B149="","",IF(AND(C149="",F149=""),"",ROUND(SUMIFS('ИТОГО Торговля'!$I$5:$I$300,'ИТОГО Торговля'!$B$5:$B$300,$B149)+SUMIFS('ИТОГО Лэндинг'!$I$5:$I$300,'ИТОГО Лэндинг'!$B$5:$B$300,$B149)+SUMIFS('История'!$I$5:$I$300,'История'!$B$5:$B$300,$B149),8)))</f>
        <v/>
      </c>
      <c r="J149" s="241">
        <f>IF($B149="","",IF(AND(C149="",F149=""),"",ROUND(SUMIFS('ИТОГО Торговля'!$J$5:$J$300,'ИТОГО Торговля'!$B$5:$B$300,$B149)+SUMIFS('ИТОГО Лэндинг'!$J$5:$J$300,'ИТОГО Лэндинг'!$B$5:$B$300,$B149)+SUMIFS('История'!$J$5:$J$300,'История'!$B$5:$B$300,$B149),8)))</f>
        <v/>
      </c>
      <c r="K149" s="240">
        <f>IF($B149="","",ROUND(SUMIFS('ИТОГО Торговля'!$K$5:$K$300,'ИТОГО Торговля'!$B$5:$B$300,$B149)+SUMIFS('ИТОГО Лэндинг'!$K$5:$K$300,'ИТОГО Лэндинг'!$B$5:$B$300,$B149)+SUMIFS('История'!$K$5:$K$300,'История'!$B$5:$B$300,$B149),8))</f>
        <v/>
      </c>
      <c r="L149" s="177">
        <f>IF(K149="","",IF(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149)*((История!$C$5:$C$300+История!$F$5:$F$300-ABS(История!$C$5:$C$300-История!$F$5:$F$300))/2)*История!$D$5:$D$300))&lt;=0,0,ROUND(K149/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149)*((История!$C$5:$C$300+История!$F$5:$F$300-ABS(История!$C$5:$C$300-История!$F$5:$F$300))/2)*История!$D$5:$D$300)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IF($B150="","",IF(SUMIFS('ИТОГО Торговля'!$C$5:$C$300,'ИТОГО Торговля'!$B$5:$B$300,$B150)+SUMIFS('ИТОГО Лэндинг'!$C$5:$C$300,'ИТОГО Лэндинг'!$B$5:$B$300,$B150)+SUMIFS('История'!$C$5:$C$300,'История'!$B$5:$B$300,$B150)=0,"",SUMIFS('ИТОГО Торговля'!$C$5:$C$300,'ИТОГО Торговля'!$B$5:$B$300,$B150)+SUMIFS('ИТОГО Лэндинг'!$C$5:$C$300,'ИТОГО Лэндинг'!$B$5:$B$300,$B150)+SUMIFS('История'!$C$5:$C$300,'История'!$B$5:$B$300,$B150)))</f>
        <v/>
      </c>
      <c r="D150" s="183">
        <f>IF(C150="","",E150/C150)</f>
        <v/>
      </c>
      <c r="E150" s="247">
        <f>IF(C150="","",SUMIFS('ИТОГО Торговля'!$E$5:$E$300,'ИТОГО Торговля'!$B$5:$B$300,$B150)+SUMIFS('ИТОГО Лэндинг'!$E$5:$E$300,'ИТОГО Лэндинг'!$B$5:$B$300,$B150)+SUMIFS('История'!$E$5:$E$300,'История'!$B$5:$B$300,$B150))</f>
        <v/>
      </c>
      <c r="F150" s="246">
        <f>IF($B150="","",IF(SUMIFS('ИТОГО Торговля'!$F$5:$F$300,'ИТОГО Торговля'!$B$5:$B$300,$B150)+SUMIFS('ИТОГО Лэндинг'!$F$5:$F$300,'ИТОГО Лэндинг'!$B$5:$B$300,$B150)+SUMIFS('История'!$F$5:$F$300,'История'!$B$5:$B$300,$B150)=0,"",SUMIFS('ИТОГО Торговля'!$F$5:$F$300,'ИТОГО Торговля'!$B$5:$B$300,$B150)+SUMIFS('ИТОГО Лэндинг'!$F$5:$F$300,'ИТОГО Лэндинг'!$B$5:$B$300,$B150)+SUMIFS('История'!$F$5:$F$300,'История'!$B$5:$B$300,$B150)))</f>
        <v/>
      </c>
      <c r="G150" s="183">
        <f>IF(F150="","",H150/F150)</f>
        <v/>
      </c>
      <c r="H150" s="247">
        <f>IF(F150="","",SUMIFS('ИТОГО Торговля'!$H$5:$H$300,'ИТОГО Торговля'!$B$5:$B$300,$B150)+SUMIFS('ИТОГО Лэндинг'!$H$5:$H$300,'ИТОГО Лэндинг'!$B$5:$B$300,$B150)+SUMIFS('История'!$H$5:$H$300,'История'!$B$5:$B$300,$B150))</f>
        <v/>
      </c>
      <c r="I150" s="246">
        <f>IF($B150="","",IF(AND(C150="",F150=""),"",ROUND(SUMIFS('ИТОГО Торговля'!$I$5:$I$300,'ИТОГО Торговля'!$B$5:$B$300,$B150)+SUMIFS('ИТОГО Лэндинг'!$I$5:$I$300,'ИТОГО Лэндинг'!$B$5:$B$300,$B150)+SUMIFS('История'!$I$5:$I$300,'История'!$B$5:$B$300,$B150),8)))</f>
        <v/>
      </c>
      <c r="J150" s="247">
        <f>IF($B150="","",IF(AND(C150="",F150=""),"",ROUND(SUMIFS('ИТОГО Торговля'!$J$5:$J$300,'ИТОГО Торговля'!$B$5:$B$300,$B150)+SUMIFS('ИТОГО Лэндинг'!$J$5:$J$300,'ИТОГО Лэндинг'!$B$5:$B$300,$B150)+SUMIFS('История'!$J$5:$J$300,'История'!$B$5:$B$300,$B150),8)))</f>
        <v/>
      </c>
      <c r="K150" s="246">
        <f>IF($B150="","",ROUND(SUMIFS('ИТОГО Торговля'!$K$5:$K$300,'ИТОГО Торговля'!$B$5:$B$300,$B150)+SUMIFS('ИТОГО Лэндинг'!$K$5:$K$300,'ИТОГО Лэндинг'!$B$5:$B$300,$B150)+SUMIFS('История'!$K$5:$K$300,'История'!$B$5:$B$300,$B150),8))</f>
        <v/>
      </c>
      <c r="L150" s="183">
        <f>IF(K150="","",IF(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150)*((История!$C$5:$C$300+История!$F$5:$F$300-ABS(История!$C$5:$C$300-История!$F$5:$F$300))/2)*История!$D$5:$D$300))&lt;=0,0,ROUND(K150/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150)*((История!$C$5:$C$300+История!$F$5:$F$300-ABS(История!$C$5:$C$300-История!$F$5:$F$300))/2)*История!$D$5:$D$300)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IF($B151="","",IF(SUMIFS('ИТОГО Торговля'!$C$5:$C$300,'ИТОГО Торговля'!$B$5:$B$300,$B151)+SUMIFS('ИТОГО Лэндинг'!$C$5:$C$300,'ИТОГО Лэндинг'!$B$5:$B$300,$B151)+SUMIFS('История'!$C$5:$C$300,'История'!$B$5:$B$300,$B151)=0,"",SUMIFS('ИТОГО Торговля'!$C$5:$C$300,'ИТОГО Торговля'!$B$5:$B$300,$B151)+SUMIFS('ИТОГО Лэндинг'!$C$5:$C$300,'ИТОГО Лэндинг'!$B$5:$B$300,$B151)+SUMIFS('История'!$C$5:$C$300,'История'!$B$5:$B$300,$B151)))</f>
        <v/>
      </c>
      <c r="D151" s="177">
        <f>IF(C151="","",E151/C151)</f>
        <v/>
      </c>
      <c r="E151" s="241">
        <f>IF(C151="","",SUMIFS('ИТОГО Торговля'!$E$5:$E$300,'ИТОГО Торговля'!$B$5:$B$300,$B151)+SUMIFS('ИТОГО Лэндинг'!$E$5:$E$300,'ИТОГО Лэндинг'!$B$5:$B$300,$B151)+SUMIFS('История'!$E$5:$E$300,'История'!$B$5:$B$300,$B151))</f>
        <v/>
      </c>
      <c r="F151" s="240">
        <f>IF($B151="","",IF(SUMIFS('ИТОГО Торговля'!$F$5:$F$300,'ИТОГО Торговля'!$B$5:$B$300,$B151)+SUMIFS('ИТОГО Лэндинг'!$F$5:$F$300,'ИТОГО Лэндинг'!$B$5:$B$300,$B151)+SUMIFS('История'!$F$5:$F$300,'История'!$B$5:$B$300,$B151)=0,"",SUMIFS('ИТОГО Торговля'!$F$5:$F$300,'ИТОГО Торговля'!$B$5:$B$300,$B151)+SUMIFS('ИТОГО Лэндинг'!$F$5:$F$300,'ИТОГО Лэндинг'!$B$5:$B$300,$B151)+SUMIFS('История'!$F$5:$F$300,'История'!$B$5:$B$300,$B151)))</f>
        <v/>
      </c>
      <c r="G151" s="177">
        <f>IF(F151="","",H151/F151)</f>
        <v/>
      </c>
      <c r="H151" s="241">
        <f>IF(F151="","",SUMIFS('ИТОГО Торговля'!$H$5:$H$300,'ИТОГО Торговля'!$B$5:$B$300,$B151)+SUMIFS('ИТОГО Лэндинг'!$H$5:$H$300,'ИТОГО Лэндинг'!$B$5:$B$300,$B151)+SUMIFS('История'!$H$5:$H$300,'История'!$B$5:$B$300,$B151))</f>
        <v/>
      </c>
      <c r="I151" s="240">
        <f>IF($B151="","",IF(AND(C151="",F151=""),"",ROUND(SUMIFS('ИТОГО Торговля'!$I$5:$I$300,'ИТОГО Торговля'!$B$5:$B$300,$B151)+SUMIFS('ИТОГО Лэндинг'!$I$5:$I$300,'ИТОГО Лэндинг'!$B$5:$B$300,$B151)+SUMIFS('История'!$I$5:$I$300,'История'!$B$5:$B$300,$B151),8)))</f>
        <v/>
      </c>
      <c r="J151" s="241">
        <f>IF($B151="","",IF(AND(C151="",F151=""),"",ROUND(SUMIFS('ИТОГО Торговля'!$J$5:$J$300,'ИТОГО Торговля'!$B$5:$B$300,$B151)+SUMIFS('ИТОГО Лэндинг'!$J$5:$J$300,'ИТОГО Лэндинг'!$B$5:$B$300,$B151)+SUMIFS('История'!$J$5:$J$300,'История'!$B$5:$B$300,$B151),8)))</f>
        <v/>
      </c>
      <c r="K151" s="240">
        <f>IF($B151="","",ROUND(SUMIFS('ИТОГО Торговля'!$K$5:$K$300,'ИТОГО Торговля'!$B$5:$B$300,$B151)+SUMIFS('ИТОГО Лэндинг'!$K$5:$K$300,'ИТОГО Лэндинг'!$B$5:$B$300,$B151)+SUMIFS('История'!$K$5:$K$300,'История'!$B$5:$B$300,$B151),8))</f>
        <v/>
      </c>
      <c r="L151" s="177">
        <f>IF(K151="","",IF(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151)*((История!$C$5:$C$300+История!$F$5:$F$300-ABS(История!$C$5:$C$300-История!$F$5:$F$300))/2)*История!$D$5:$D$300))&lt;=0,0,ROUND(K151/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151)*((История!$C$5:$C$300+История!$F$5:$F$300-ABS(История!$C$5:$C$300-История!$F$5:$F$300))/2)*История!$D$5:$D$300)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IF($B152="","",IF(SUMIFS('ИТОГО Торговля'!$C$5:$C$300,'ИТОГО Торговля'!$B$5:$B$300,$B152)+SUMIFS('ИТОГО Лэндинг'!$C$5:$C$300,'ИТОГО Лэндинг'!$B$5:$B$300,$B152)+SUMIFS('История'!$C$5:$C$300,'История'!$B$5:$B$300,$B152)=0,"",SUMIFS('ИТОГО Торговля'!$C$5:$C$300,'ИТОГО Торговля'!$B$5:$B$300,$B152)+SUMIFS('ИТОГО Лэндинг'!$C$5:$C$300,'ИТОГО Лэндинг'!$B$5:$B$300,$B152)+SUMIFS('История'!$C$5:$C$300,'История'!$B$5:$B$300,$B152)))</f>
        <v/>
      </c>
      <c r="D152" s="183">
        <f>IF(C152="","",E152/C152)</f>
        <v/>
      </c>
      <c r="E152" s="247">
        <f>IF(C152="","",SUMIFS('ИТОГО Торговля'!$E$5:$E$300,'ИТОГО Торговля'!$B$5:$B$300,$B152)+SUMIFS('ИТОГО Лэндинг'!$E$5:$E$300,'ИТОГО Лэндинг'!$B$5:$B$300,$B152)+SUMIFS('История'!$E$5:$E$300,'История'!$B$5:$B$300,$B152))</f>
        <v/>
      </c>
      <c r="F152" s="246">
        <f>IF($B152="","",IF(SUMIFS('ИТОГО Торговля'!$F$5:$F$300,'ИТОГО Торговля'!$B$5:$B$300,$B152)+SUMIFS('ИТОГО Лэндинг'!$F$5:$F$300,'ИТОГО Лэндинг'!$B$5:$B$300,$B152)+SUMIFS('История'!$F$5:$F$300,'История'!$B$5:$B$300,$B152)=0,"",SUMIFS('ИТОГО Торговля'!$F$5:$F$300,'ИТОГО Торговля'!$B$5:$B$300,$B152)+SUMIFS('ИТОГО Лэндинг'!$F$5:$F$300,'ИТОГО Лэндинг'!$B$5:$B$300,$B152)+SUMIFS('История'!$F$5:$F$300,'История'!$B$5:$B$300,$B152)))</f>
        <v/>
      </c>
      <c r="G152" s="183">
        <f>IF(F152="","",H152/F152)</f>
        <v/>
      </c>
      <c r="H152" s="247">
        <f>IF(F152="","",SUMIFS('ИТОГО Торговля'!$H$5:$H$300,'ИТОГО Торговля'!$B$5:$B$300,$B152)+SUMIFS('ИТОГО Лэндинг'!$H$5:$H$300,'ИТОГО Лэндинг'!$B$5:$B$300,$B152)+SUMIFS('История'!$H$5:$H$300,'История'!$B$5:$B$300,$B152))</f>
        <v/>
      </c>
      <c r="I152" s="246">
        <f>IF($B152="","",IF(AND(C152="",F152=""),"",ROUND(SUMIFS('ИТОГО Торговля'!$I$5:$I$300,'ИТОГО Торговля'!$B$5:$B$300,$B152)+SUMIFS('ИТОГО Лэндинг'!$I$5:$I$300,'ИТОГО Лэндинг'!$B$5:$B$300,$B152)+SUMIFS('История'!$I$5:$I$300,'История'!$B$5:$B$300,$B152),8)))</f>
        <v/>
      </c>
      <c r="J152" s="247">
        <f>IF($B152="","",IF(AND(C152="",F152=""),"",ROUND(SUMIFS('ИТОГО Торговля'!$J$5:$J$300,'ИТОГО Торговля'!$B$5:$B$300,$B152)+SUMIFS('ИТОГО Лэндинг'!$J$5:$J$300,'ИТОГО Лэндинг'!$B$5:$B$300,$B152)+SUMIFS('История'!$J$5:$J$300,'История'!$B$5:$B$300,$B152),8)))</f>
        <v/>
      </c>
      <c r="K152" s="246">
        <f>IF($B152="","",ROUND(SUMIFS('ИТОГО Торговля'!$K$5:$K$300,'ИТОГО Торговля'!$B$5:$B$300,$B152)+SUMIFS('ИТОГО Лэндинг'!$K$5:$K$300,'ИТОГО Лэндинг'!$B$5:$B$300,$B152)+SUMIFS('История'!$K$5:$K$300,'История'!$B$5:$B$300,$B152),8))</f>
        <v/>
      </c>
      <c r="L152" s="183">
        <f>IF(K152="","",IF(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152)*((История!$C$5:$C$300+История!$F$5:$F$300-ABS(История!$C$5:$C$300-История!$F$5:$F$300))/2)*История!$D$5:$D$300))&lt;=0,0,ROUND(K152/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152)*((История!$C$5:$C$300+История!$F$5:$F$300-ABS(История!$C$5:$C$300-История!$F$5:$F$300))/2)*История!$D$5:$D$300)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IF($B153="","",IF(SUMIFS('ИТОГО Торговля'!$C$5:$C$300,'ИТОГО Торговля'!$B$5:$B$300,$B153)+SUMIFS('ИТОГО Лэндинг'!$C$5:$C$300,'ИТОГО Лэндинг'!$B$5:$B$300,$B153)+SUMIFS('История'!$C$5:$C$300,'История'!$B$5:$B$300,$B153)=0,"",SUMIFS('ИТОГО Торговля'!$C$5:$C$300,'ИТОГО Торговля'!$B$5:$B$300,$B153)+SUMIFS('ИТОГО Лэндинг'!$C$5:$C$300,'ИТОГО Лэндинг'!$B$5:$B$300,$B153)+SUMIFS('История'!$C$5:$C$300,'История'!$B$5:$B$300,$B153)))</f>
        <v/>
      </c>
      <c r="D153" s="177">
        <f>IF(C153="","",E153/C153)</f>
        <v/>
      </c>
      <c r="E153" s="241">
        <f>IF(C153="","",SUMIFS('ИТОГО Торговля'!$E$5:$E$300,'ИТОГО Торговля'!$B$5:$B$300,$B153)+SUMIFS('ИТОГО Лэндинг'!$E$5:$E$300,'ИТОГО Лэндинг'!$B$5:$B$300,$B153)+SUMIFS('История'!$E$5:$E$300,'История'!$B$5:$B$300,$B153))</f>
        <v/>
      </c>
      <c r="F153" s="240">
        <f>IF($B153="","",IF(SUMIFS('ИТОГО Торговля'!$F$5:$F$300,'ИТОГО Торговля'!$B$5:$B$300,$B153)+SUMIFS('ИТОГО Лэндинг'!$F$5:$F$300,'ИТОГО Лэндинг'!$B$5:$B$300,$B153)+SUMIFS('История'!$F$5:$F$300,'История'!$B$5:$B$300,$B153)=0,"",SUMIFS('ИТОГО Торговля'!$F$5:$F$300,'ИТОГО Торговля'!$B$5:$B$300,$B153)+SUMIFS('ИТОГО Лэндинг'!$F$5:$F$300,'ИТОГО Лэндинг'!$B$5:$B$300,$B153)+SUMIFS('История'!$F$5:$F$300,'История'!$B$5:$B$300,$B153)))</f>
        <v/>
      </c>
      <c r="G153" s="177">
        <f>IF(F153="","",H153/F153)</f>
        <v/>
      </c>
      <c r="H153" s="241">
        <f>IF(F153="","",SUMIFS('ИТОГО Торговля'!$H$5:$H$300,'ИТОГО Торговля'!$B$5:$B$300,$B153)+SUMIFS('ИТОГО Лэндинг'!$H$5:$H$300,'ИТОГО Лэндинг'!$B$5:$B$300,$B153)+SUMIFS('История'!$H$5:$H$300,'История'!$B$5:$B$300,$B153))</f>
        <v/>
      </c>
      <c r="I153" s="240">
        <f>IF($B153="","",IF(AND(C153="",F153=""),"",ROUND(SUMIFS('ИТОГО Торговля'!$I$5:$I$300,'ИТОГО Торговля'!$B$5:$B$300,$B153)+SUMIFS('ИТОГО Лэндинг'!$I$5:$I$300,'ИТОГО Лэндинг'!$B$5:$B$300,$B153)+SUMIFS('История'!$I$5:$I$300,'История'!$B$5:$B$300,$B153),8)))</f>
        <v/>
      </c>
      <c r="J153" s="241">
        <f>IF($B153="","",IF(AND(C153="",F153=""),"",ROUND(SUMIFS('ИТОГО Торговля'!$J$5:$J$300,'ИТОГО Торговля'!$B$5:$B$300,$B153)+SUMIFS('ИТОГО Лэндинг'!$J$5:$J$300,'ИТОГО Лэндинг'!$B$5:$B$300,$B153)+SUMIFS('История'!$J$5:$J$300,'История'!$B$5:$B$300,$B153),8)))</f>
        <v/>
      </c>
      <c r="K153" s="240">
        <f>IF($B153="","",ROUND(SUMIFS('ИТОГО Торговля'!$K$5:$K$300,'ИТОГО Торговля'!$B$5:$B$300,$B153)+SUMIFS('ИТОГО Лэндинг'!$K$5:$K$300,'ИТОГО Лэндинг'!$B$5:$B$300,$B153)+SUMIFS('История'!$K$5:$K$300,'История'!$B$5:$B$300,$B153),8))</f>
        <v/>
      </c>
      <c r="L153" s="177">
        <f>IF(K153="","",IF(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153)*((История!$C$5:$C$300+История!$F$5:$F$300-ABS(История!$C$5:$C$300-История!$F$5:$F$300))/2)*История!$D$5:$D$300))&lt;=0,0,ROUND(K153/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153)*((История!$C$5:$C$300+История!$F$5:$F$300-ABS(История!$C$5:$C$300-История!$F$5:$F$300))/2)*История!$D$5:$D$300)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IF($B154="","",IF(SUMIFS('ИТОГО Торговля'!$C$5:$C$300,'ИТОГО Торговля'!$B$5:$B$300,$B154)+SUMIFS('ИТОГО Лэндинг'!$C$5:$C$300,'ИТОГО Лэндинг'!$B$5:$B$300,$B154)+SUMIFS('История'!$C$5:$C$300,'История'!$B$5:$B$300,$B154)=0,"",SUMIFS('ИТОГО Торговля'!$C$5:$C$300,'ИТОГО Торговля'!$B$5:$B$300,$B154)+SUMIFS('ИТОГО Лэндинг'!$C$5:$C$300,'ИТОГО Лэндинг'!$B$5:$B$300,$B154)+SUMIFS('История'!$C$5:$C$300,'История'!$B$5:$B$300,$B154)))</f>
        <v/>
      </c>
      <c r="D154" s="183">
        <f>IF(C154="","",E154/C154)</f>
        <v/>
      </c>
      <c r="E154" s="247">
        <f>IF(C154="","",SUMIFS('ИТОГО Торговля'!$E$5:$E$300,'ИТОГО Торговля'!$B$5:$B$300,$B154)+SUMIFS('ИТОГО Лэндинг'!$E$5:$E$300,'ИТОГО Лэндинг'!$B$5:$B$300,$B154)+SUMIFS('История'!$E$5:$E$300,'История'!$B$5:$B$300,$B154))</f>
        <v/>
      </c>
      <c r="F154" s="246">
        <f>IF($B154="","",IF(SUMIFS('ИТОГО Торговля'!$F$5:$F$300,'ИТОГО Торговля'!$B$5:$B$300,$B154)+SUMIFS('ИТОГО Лэндинг'!$F$5:$F$300,'ИТОГО Лэндинг'!$B$5:$B$300,$B154)+SUMIFS('История'!$F$5:$F$300,'История'!$B$5:$B$300,$B154)=0,"",SUMIFS('ИТОГО Торговля'!$F$5:$F$300,'ИТОГО Торговля'!$B$5:$B$300,$B154)+SUMIFS('ИТОГО Лэндинг'!$F$5:$F$300,'ИТОГО Лэндинг'!$B$5:$B$300,$B154)+SUMIFS('История'!$F$5:$F$300,'История'!$B$5:$B$300,$B154)))</f>
        <v/>
      </c>
      <c r="G154" s="183">
        <f>IF(F154="","",H154/F154)</f>
        <v/>
      </c>
      <c r="H154" s="247">
        <f>IF(F154="","",SUMIFS('ИТОГО Торговля'!$H$5:$H$300,'ИТОГО Торговля'!$B$5:$B$300,$B154)+SUMIFS('ИТОГО Лэндинг'!$H$5:$H$300,'ИТОГО Лэндинг'!$B$5:$B$300,$B154)+SUMIFS('История'!$H$5:$H$300,'История'!$B$5:$B$300,$B154))</f>
        <v/>
      </c>
      <c r="I154" s="246">
        <f>IF($B154="","",IF(AND(C154="",F154=""),"",ROUND(SUMIFS('ИТОГО Торговля'!$I$5:$I$300,'ИТОГО Торговля'!$B$5:$B$300,$B154)+SUMIFS('ИТОГО Лэндинг'!$I$5:$I$300,'ИТОГО Лэндинг'!$B$5:$B$300,$B154)+SUMIFS('История'!$I$5:$I$300,'История'!$B$5:$B$300,$B154),8)))</f>
        <v/>
      </c>
      <c r="J154" s="247">
        <f>IF($B154="","",IF(AND(C154="",F154=""),"",ROUND(SUMIFS('ИТОГО Торговля'!$J$5:$J$300,'ИТОГО Торговля'!$B$5:$B$300,$B154)+SUMIFS('ИТОГО Лэндинг'!$J$5:$J$300,'ИТОГО Лэндинг'!$B$5:$B$300,$B154)+SUMIFS('История'!$J$5:$J$300,'История'!$B$5:$B$300,$B154),8)))</f>
        <v/>
      </c>
      <c r="K154" s="246">
        <f>IF($B154="","",ROUND(SUMIFS('ИТОГО Торговля'!$K$5:$K$300,'ИТОГО Торговля'!$B$5:$B$300,$B154)+SUMIFS('ИТОГО Лэндинг'!$K$5:$K$300,'ИТОГО Лэндинг'!$B$5:$B$300,$B154)+SUMIFS('История'!$K$5:$K$300,'История'!$B$5:$B$300,$B154),8))</f>
        <v/>
      </c>
      <c r="L154" s="183">
        <f>IF(K154="","",IF(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154)*((История!$C$5:$C$300+История!$F$5:$F$300-ABS(История!$C$5:$C$300-История!$F$5:$F$300))/2)*История!$D$5:$D$300))&lt;=0,0,ROUND(K154/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154)*((История!$C$5:$C$300+История!$F$5:$F$300-ABS(История!$C$5:$C$300-История!$F$5:$F$300))/2)*История!$D$5:$D$300)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IF($B155="","",IF(SUMIFS('ИТОГО Торговля'!$C$5:$C$300,'ИТОГО Торговля'!$B$5:$B$300,$B155)+SUMIFS('ИТОГО Лэндинг'!$C$5:$C$300,'ИТОГО Лэндинг'!$B$5:$B$300,$B155)+SUMIFS('История'!$C$5:$C$300,'История'!$B$5:$B$300,$B155)=0,"",SUMIFS('ИТОГО Торговля'!$C$5:$C$300,'ИТОГО Торговля'!$B$5:$B$300,$B155)+SUMIFS('ИТОГО Лэндинг'!$C$5:$C$300,'ИТОГО Лэндинг'!$B$5:$B$300,$B155)+SUMIFS('История'!$C$5:$C$300,'История'!$B$5:$B$300,$B155)))</f>
        <v/>
      </c>
      <c r="D155" s="177">
        <f>IF(C155="","",E155/C155)</f>
        <v/>
      </c>
      <c r="E155" s="241">
        <f>IF(C155="","",SUMIFS('ИТОГО Торговля'!$E$5:$E$300,'ИТОГО Торговля'!$B$5:$B$300,$B155)+SUMIFS('ИТОГО Лэндинг'!$E$5:$E$300,'ИТОГО Лэндинг'!$B$5:$B$300,$B155)+SUMIFS('История'!$E$5:$E$300,'История'!$B$5:$B$300,$B155))</f>
        <v/>
      </c>
      <c r="F155" s="240">
        <f>IF($B155="","",IF(SUMIFS('ИТОГО Торговля'!$F$5:$F$300,'ИТОГО Торговля'!$B$5:$B$300,$B155)+SUMIFS('ИТОГО Лэндинг'!$F$5:$F$300,'ИТОГО Лэндинг'!$B$5:$B$300,$B155)+SUMIFS('История'!$F$5:$F$300,'История'!$B$5:$B$300,$B155)=0,"",SUMIFS('ИТОГО Торговля'!$F$5:$F$300,'ИТОГО Торговля'!$B$5:$B$300,$B155)+SUMIFS('ИТОГО Лэндинг'!$F$5:$F$300,'ИТОГО Лэндинг'!$B$5:$B$300,$B155)+SUMIFS('История'!$F$5:$F$300,'История'!$B$5:$B$300,$B155)))</f>
        <v/>
      </c>
      <c r="G155" s="177">
        <f>IF(F155="","",H155/F155)</f>
        <v/>
      </c>
      <c r="H155" s="241">
        <f>IF(F155="","",SUMIFS('ИТОГО Торговля'!$H$5:$H$300,'ИТОГО Торговля'!$B$5:$B$300,$B155)+SUMIFS('ИТОГО Лэндинг'!$H$5:$H$300,'ИТОГО Лэндинг'!$B$5:$B$300,$B155)+SUMIFS('История'!$H$5:$H$300,'История'!$B$5:$B$300,$B155))</f>
        <v/>
      </c>
      <c r="I155" s="240">
        <f>IF($B155="","",IF(AND(C155="",F155=""),"",ROUND(SUMIFS('ИТОГО Торговля'!$I$5:$I$300,'ИТОГО Торговля'!$B$5:$B$300,$B155)+SUMIFS('ИТОГО Лэндинг'!$I$5:$I$300,'ИТОГО Лэндинг'!$B$5:$B$300,$B155)+SUMIFS('История'!$I$5:$I$300,'История'!$B$5:$B$300,$B155),8)))</f>
        <v/>
      </c>
      <c r="J155" s="241">
        <f>IF($B155="","",IF(AND(C155="",F155=""),"",ROUND(SUMIFS('ИТОГО Торговля'!$J$5:$J$300,'ИТОГО Торговля'!$B$5:$B$300,$B155)+SUMIFS('ИТОГО Лэндинг'!$J$5:$J$300,'ИТОГО Лэндинг'!$B$5:$B$300,$B155)+SUMIFS('История'!$J$5:$J$300,'История'!$B$5:$B$300,$B155),8)))</f>
        <v/>
      </c>
      <c r="K155" s="240">
        <f>IF($B155="","",ROUND(SUMIFS('ИТОГО Торговля'!$K$5:$K$300,'ИТОГО Торговля'!$B$5:$B$300,$B155)+SUMIFS('ИТОГО Лэндинг'!$K$5:$K$300,'ИТОГО Лэндинг'!$B$5:$B$300,$B155)+SUMIFS('История'!$K$5:$K$300,'История'!$B$5:$B$300,$B155),8))</f>
        <v/>
      </c>
      <c r="L155" s="177">
        <f>IF(K155="","",IF(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155)*((История!$C$5:$C$300+История!$F$5:$F$300-ABS(История!$C$5:$C$300-История!$F$5:$F$300))/2)*История!$D$5:$D$300))&lt;=0,0,ROUND(K155/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155)*((История!$C$5:$C$300+История!$F$5:$F$300-ABS(История!$C$5:$C$300-История!$F$5:$F$300))/2)*История!$D$5:$D$300)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IF($B156="","",IF(SUMIFS('ИТОГО Торговля'!$C$5:$C$300,'ИТОГО Торговля'!$B$5:$B$300,$B156)+SUMIFS('ИТОГО Лэндинг'!$C$5:$C$300,'ИТОГО Лэндинг'!$B$5:$B$300,$B156)+SUMIFS('История'!$C$5:$C$300,'История'!$B$5:$B$300,$B156)=0,"",SUMIFS('ИТОГО Торговля'!$C$5:$C$300,'ИТОГО Торговля'!$B$5:$B$300,$B156)+SUMIFS('ИТОГО Лэндинг'!$C$5:$C$300,'ИТОГО Лэндинг'!$B$5:$B$300,$B156)+SUMIFS('История'!$C$5:$C$300,'История'!$B$5:$B$300,$B156)))</f>
        <v/>
      </c>
      <c r="D156" s="183">
        <f>IF(C156="","",E156/C156)</f>
        <v/>
      </c>
      <c r="E156" s="247">
        <f>IF(C156="","",SUMIFS('ИТОГО Торговля'!$E$5:$E$300,'ИТОГО Торговля'!$B$5:$B$300,$B156)+SUMIFS('ИТОГО Лэндинг'!$E$5:$E$300,'ИТОГО Лэндинг'!$B$5:$B$300,$B156)+SUMIFS('История'!$E$5:$E$300,'История'!$B$5:$B$300,$B156))</f>
        <v/>
      </c>
      <c r="F156" s="246">
        <f>IF($B156="","",IF(SUMIFS('ИТОГО Торговля'!$F$5:$F$300,'ИТОГО Торговля'!$B$5:$B$300,$B156)+SUMIFS('ИТОГО Лэндинг'!$F$5:$F$300,'ИТОГО Лэндинг'!$B$5:$B$300,$B156)+SUMIFS('История'!$F$5:$F$300,'История'!$B$5:$B$300,$B156)=0,"",SUMIFS('ИТОГО Торговля'!$F$5:$F$300,'ИТОГО Торговля'!$B$5:$B$300,$B156)+SUMIFS('ИТОГО Лэндинг'!$F$5:$F$300,'ИТОГО Лэндинг'!$B$5:$B$300,$B156)+SUMIFS('История'!$F$5:$F$300,'История'!$B$5:$B$300,$B156)))</f>
        <v/>
      </c>
      <c r="G156" s="183">
        <f>IF(F156="","",H156/F156)</f>
        <v/>
      </c>
      <c r="H156" s="247">
        <f>IF(F156="","",SUMIFS('ИТОГО Торговля'!$H$5:$H$300,'ИТОГО Торговля'!$B$5:$B$300,$B156)+SUMIFS('ИТОГО Лэндинг'!$H$5:$H$300,'ИТОГО Лэндинг'!$B$5:$B$300,$B156)+SUMIFS('История'!$H$5:$H$300,'История'!$B$5:$B$300,$B156))</f>
        <v/>
      </c>
      <c r="I156" s="246">
        <f>IF($B156="","",IF(AND(C156="",F156=""),"",ROUND(SUMIFS('ИТОГО Торговля'!$I$5:$I$300,'ИТОГО Торговля'!$B$5:$B$300,$B156)+SUMIFS('ИТОГО Лэндинг'!$I$5:$I$300,'ИТОГО Лэндинг'!$B$5:$B$300,$B156)+SUMIFS('История'!$I$5:$I$300,'История'!$B$5:$B$300,$B156),8)))</f>
        <v/>
      </c>
      <c r="J156" s="247">
        <f>IF($B156="","",IF(AND(C156="",F156=""),"",ROUND(SUMIFS('ИТОГО Торговля'!$J$5:$J$300,'ИТОГО Торговля'!$B$5:$B$300,$B156)+SUMIFS('ИТОГО Лэндинг'!$J$5:$J$300,'ИТОГО Лэндинг'!$B$5:$B$300,$B156)+SUMIFS('История'!$J$5:$J$300,'История'!$B$5:$B$300,$B156),8)))</f>
        <v/>
      </c>
      <c r="K156" s="246">
        <f>IF($B156="","",ROUND(SUMIFS('ИТОГО Торговля'!$K$5:$K$300,'ИТОГО Торговля'!$B$5:$B$300,$B156)+SUMIFS('ИТОГО Лэндинг'!$K$5:$K$300,'ИТОГО Лэндинг'!$B$5:$B$300,$B156)+SUMIFS('История'!$K$5:$K$300,'История'!$B$5:$B$300,$B156),8))</f>
        <v/>
      </c>
      <c r="L156" s="183">
        <f>IF(K156="","",IF(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156)*((История!$C$5:$C$300+История!$F$5:$F$300-ABS(История!$C$5:$C$300-История!$F$5:$F$300))/2)*История!$D$5:$D$300))&lt;=0,0,ROUND(K156/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156)*((История!$C$5:$C$300+История!$F$5:$F$300-ABS(История!$C$5:$C$300-История!$F$5:$F$300))/2)*История!$D$5:$D$300)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IF($B157="","",IF(SUMIFS('ИТОГО Торговля'!$C$5:$C$300,'ИТОГО Торговля'!$B$5:$B$300,$B157)+SUMIFS('ИТОГО Лэндинг'!$C$5:$C$300,'ИТОГО Лэндинг'!$B$5:$B$300,$B157)+SUMIFS('История'!$C$5:$C$300,'История'!$B$5:$B$300,$B157)=0,"",SUMIFS('ИТОГО Торговля'!$C$5:$C$300,'ИТОГО Торговля'!$B$5:$B$300,$B157)+SUMIFS('ИТОГО Лэндинг'!$C$5:$C$300,'ИТОГО Лэндинг'!$B$5:$B$300,$B157)+SUMIFS('История'!$C$5:$C$300,'История'!$B$5:$B$300,$B157)))</f>
        <v/>
      </c>
      <c r="D157" s="177">
        <f>IF(C157="","",E157/C157)</f>
        <v/>
      </c>
      <c r="E157" s="241">
        <f>IF(C157="","",SUMIFS('ИТОГО Торговля'!$E$5:$E$300,'ИТОГО Торговля'!$B$5:$B$300,$B157)+SUMIFS('ИТОГО Лэндинг'!$E$5:$E$300,'ИТОГО Лэндинг'!$B$5:$B$300,$B157)+SUMIFS('История'!$E$5:$E$300,'История'!$B$5:$B$300,$B157))</f>
        <v/>
      </c>
      <c r="F157" s="240">
        <f>IF($B157="","",IF(SUMIFS('ИТОГО Торговля'!$F$5:$F$300,'ИТОГО Торговля'!$B$5:$B$300,$B157)+SUMIFS('ИТОГО Лэндинг'!$F$5:$F$300,'ИТОГО Лэндинг'!$B$5:$B$300,$B157)+SUMIFS('История'!$F$5:$F$300,'История'!$B$5:$B$300,$B157)=0,"",SUMIFS('ИТОГО Торговля'!$F$5:$F$300,'ИТОГО Торговля'!$B$5:$B$300,$B157)+SUMIFS('ИТОГО Лэндинг'!$F$5:$F$300,'ИТОГО Лэндинг'!$B$5:$B$300,$B157)+SUMIFS('История'!$F$5:$F$300,'История'!$B$5:$B$300,$B157)))</f>
        <v/>
      </c>
      <c r="G157" s="177">
        <f>IF(F157="","",H157/F157)</f>
        <v/>
      </c>
      <c r="H157" s="241">
        <f>IF(F157="","",SUMIFS('ИТОГО Торговля'!$H$5:$H$300,'ИТОГО Торговля'!$B$5:$B$300,$B157)+SUMIFS('ИТОГО Лэндинг'!$H$5:$H$300,'ИТОГО Лэндинг'!$B$5:$B$300,$B157)+SUMIFS('История'!$H$5:$H$300,'История'!$B$5:$B$300,$B157))</f>
        <v/>
      </c>
      <c r="I157" s="240">
        <f>IF($B157="","",IF(AND(C157="",F157=""),"",ROUND(SUMIFS('ИТОГО Торговля'!$I$5:$I$300,'ИТОГО Торговля'!$B$5:$B$300,$B157)+SUMIFS('ИТОГО Лэндинг'!$I$5:$I$300,'ИТОГО Лэндинг'!$B$5:$B$300,$B157)+SUMIFS('История'!$I$5:$I$300,'История'!$B$5:$B$300,$B157),8)))</f>
        <v/>
      </c>
      <c r="J157" s="241">
        <f>IF($B157="","",IF(AND(C157="",F157=""),"",ROUND(SUMIFS('ИТОГО Торговля'!$J$5:$J$300,'ИТОГО Торговля'!$B$5:$B$300,$B157)+SUMIFS('ИТОГО Лэндинг'!$J$5:$J$300,'ИТОГО Лэндинг'!$B$5:$B$300,$B157)+SUMIFS('История'!$J$5:$J$300,'История'!$B$5:$B$300,$B157),8)))</f>
        <v/>
      </c>
      <c r="K157" s="240">
        <f>IF($B157="","",ROUND(SUMIFS('ИТОГО Торговля'!$K$5:$K$300,'ИТОГО Торговля'!$B$5:$B$300,$B157)+SUMIFS('ИТОГО Лэндинг'!$K$5:$K$300,'ИТОГО Лэндинг'!$B$5:$B$300,$B157)+SUMIFS('История'!$K$5:$K$300,'История'!$B$5:$B$300,$B157),8))</f>
        <v/>
      </c>
      <c r="L157" s="177">
        <f>IF(K157="","",IF(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157)*((История!$C$5:$C$300+История!$F$5:$F$300-ABS(История!$C$5:$C$300-История!$F$5:$F$300))/2)*История!$D$5:$D$300))&lt;=0,0,ROUND(K157/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157)*((История!$C$5:$C$300+История!$F$5:$F$300-ABS(История!$C$5:$C$300-История!$F$5:$F$300))/2)*История!$D$5:$D$300)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IF($B158="","",IF(SUMIFS('ИТОГО Торговля'!$C$5:$C$300,'ИТОГО Торговля'!$B$5:$B$300,$B158)+SUMIFS('ИТОГО Лэндинг'!$C$5:$C$300,'ИТОГО Лэндинг'!$B$5:$B$300,$B158)+SUMIFS('История'!$C$5:$C$300,'История'!$B$5:$B$300,$B158)=0,"",SUMIFS('ИТОГО Торговля'!$C$5:$C$300,'ИТОГО Торговля'!$B$5:$B$300,$B158)+SUMIFS('ИТОГО Лэндинг'!$C$5:$C$300,'ИТОГО Лэндинг'!$B$5:$B$300,$B158)+SUMIFS('История'!$C$5:$C$300,'История'!$B$5:$B$300,$B158)))</f>
        <v/>
      </c>
      <c r="D158" s="183">
        <f>IF(C158="","",E158/C158)</f>
        <v/>
      </c>
      <c r="E158" s="247">
        <f>IF(C158="","",SUMIFS('ИТОГО Торговля'!$E$5:$E$300,'ИТОГО Торговля'!$B$5:$B$300,$B158)+SUMIFS('ИТОГО Лэндинг'!$E$5:$E$300,'ИТОГО Лэндинг'!$B$5:$B$300,$B158)+SUMIFS('История'!$E$5:$E$300,'История'!$B$5:$B$300,$B158))</f>
        <v/>
      </c>
      <c r="F158" s="246">
        <f>IF($B158="","",IF(SUMIFS('ИТОГО Торговля'!$F$5:$F$300,'ИТОГО Торговля'!$B$5:$B$300,$B158)+SUMIFS('ИТОГО Лэндинг'!$F$5:$F$300,'ИТОГО Лэндинг'!$B$5:$B$300,$B158)+SUMIFS('История'!$F$5:$F$300,'История'!$B$5:$B$300,$B158)=0,"",SUMIFS('ИТОГО Торговля'!$F$5:$F$300,'ИТОГО Торговля'!$B$5:$B$300,$B158)+SUMIFS('ИТОГО Лэндинг'!$F$5:$F$300,'ИТОГО Лэндинг'!$B$5:$B$300,$B158)+SUMIFS('История'!$F$5:$F$300,'История'!$B$5:$B$300,$B158)))</f>
        <v/>
      </c>
      <c r="G158" s="183">
        <f>IF(F158="","",H158/F158)</f>
        <v/>
      </c>
      <c r="H158" s="247">
        <f>IF(F158="","",SUMIFS('ИТОГО Торговля'!$H$5:$H$300,'ИТОГО Торговля'!$B$5:$B$300,$B158)+SUMIFS('ИТОГО Лэндинг'!$H$5:$H$300,'ИТОГО Лэндинг'!$B$5:$B$300,$B158)+SUMIFS('История'!$H$5:$H$300,'История'!$B$5:$B$300,$B158))</f>
        <v/>
      </c>
      <c r="I158" s="246">
        <f>IF($B158="","",IF(AND(C158="",F158=""),"",ROUND(SUMIFS('ИТОГО Торговля'!$I$5:$I$300,'ИТОГО Торговля'!$B$5:$B$300,$B158)+SUMIFS('ИТОГО Лэндинг'!$I$5:$I$300,'ИТОГО Лэндинг'!$B$5:$B$300,$B158)+SUMIFS('История'!$I$5:$I$300,'История'!$B$5:$B$300,$B158),8)))</f>
        <v/>
      </c>
      <c r="J158" s="247">
        <f>IF($B158="","",IF(AND(C158="",F158=""),"",ROUND(SUMIFS('ИТОГО Торговля'!$J$5:$J$300,'ИТОГО Торговля'!$B$5:$B$300,$B158)+SUMIFS('ИТОГО Лэндинг'!$J$5:$J$300,'ИТОГО Лэндинг'!$B$5:$B$300,$B158)+SUMIFS('История'!$J$5:$J$300,'История'!$B$5:$B$300,$B158),8)))</f>
        <v/>
      </c>
      <c r="K158" s="246">
        <f>IF($B158="","",ROUND(SUMIFS('ИТОГО Торговля'!$K$5:$K$300,'ИТОГО Торговля'!$B$5:$B$300,$B158)+SUMIFS('ИТОГО Лэндинг'!$K$5:$K$300,'ИТОГО Лэндинг'!$B$5:$B$300,$B158)+SUMIFS('История'!$K$5:$K$300,'История'!$B$5:$B$300,$B158),8))</f>
        <v/>
      </c>
      <c r="L158" s="183">
        <f>IF(K158="","",IF(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158)*((История!$C$5:$C$300+История!$F$5:$F$300-ABS(История!$C$5:$C$300-История!$F$5:$F$300))/2)*История!$D$5:$D$300))&lt;=0,0,ROUND(K158/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158)*((История!$C$5:$C$300+История!$F$5:$F$300-ABS(История!$C$5:$C$300-История!$F$5:$F$300))/2)*История!$D$5:$D$300)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IF($B159="","",IF(SUMIFS('ИТОГО Торговля'!$C$5:$C$300,'ИТОГО Торговля'!$B$5:$B$300,$B159)+SUMIFS('ИТОГО Лэндинг'!$C$5:$C$300,'ИТОГО Лэндинг'!$B$5:$B$300,$B159)+SUMIFS('История'!$C$5:$C$300,'История'!$B$5:$B$300,$B159)=0,"",SUMIFS('ИТОГО Торговля'!$C$5:$C$300,'ИТОГО Торговля'!$B$5:$B$300,$B159)+SUMIFS('ИТОГО Лэндинг'!$C$5:$C$300,'ИТОГО Лэндинг'!$B$5:$B$300,$B159)+SUMIFS('История'!$C$5:$C$300,'История'!$B$5:$B$300,$B159)))</f>
        <v/>
      </c>
      <c r="D159" s="177">
        <f>IF(C159="","",E159/C159)</f>
        <v/>
      </c>
      <c r="E159" s="241">
        <f>IF(C159="","",SUMIFS('ИТОГО Торговля'!$E$5:$E$300,'ИТОГО Торговля'!$B$5:$B$300,$B159)+SUMIFS('ИТОГО Лэндинг'!$E$5:$E$300,'ИТОГО Лэндинг'!$B$5:$B$300,$B159)+SUMIFS('История'!$E$5:$E$300,'История'!$B$5:$B$300,$B159))</f>
        <v/>
      </c>
      <c r="F159" s="240">
        <f>IF($B159="","",IF(SUMIFS('ИТОГО Торговля'!$F$5:$F$300,'ИТОГО Торговля'!$B$5:$B$300,$B159)+SUMIFS('ИТОГО Лэндинг'!$F$5:$F$300,'ИТОГО Лэндинг'!$B$5:$B$300,$B159)+SUMIFS('История'!$F$5:$F$300,'История'!$B$5:$B$300,$B159)=0,"",SUMIFS('ИТОГО Торговля'!$F$5:$F$300,'ИТОГО Торговля'!$B$5:$B$300,$B159)+SUMIFS('ИТОГО Лэндинг'!$F$5:$F$300,'ИТОГО Лэндинг'!$B$5:$B$300,$B159)+SUMIFS('История'!$F$5:$F$300,'История'!$B$5:$B$300,$B159)))</f>
        <v/>
      </c>
      <c r="G159" s="177">
        <f>IF(F159="","",H159/F159)</f>
        <v/>
      </c>
      <c r="H159" s="241">
        <f>IF(F159="","",SUMIFS('ИТОГО Торговля'!$H$5:$H$300,'ИТОГО Торговля'!$B$5:$B$300,$B159)+SUMIFS('ИТОГО Лэндинг'!$H$5:$H$300,'ИТОГО Лэндинг'!$B$5:$B$300,$B159)+SUMIFS('История'!$H$5:$H$300,'История'!$B$5:$B$300,$B159))</f>
        <v/>
      </c>
      <c r="I159" s="240">
        <f>IF($B159="","",IF(AND(C159="",F159=""),"",ROUND(SUMIFS('ИТОГО Торговля'!$I$5:$I$300,'ИТОГО Торговля'!$B$5:$B$300,$B159)+SUMIFS('ИТОГО Лэндинг'!$I$5:$I$300,'ИТОГО Лэндинг'!$B$5:$B$300,$B159)+SUMIFS('История'!$I$5:$I$300,'История'!$B$5:$B$300,$B159),8)))</f>
        <v/>
      </c>
      <c r="J159" s="241">
        <f>IF($B159="","",IF(AND(C159="",F159=""),"",ROUND(SUMIFS('ИТОГО Торговля'!$J$5:$J$300,'ИТОГО Торговля'!$B$5:$B$300,$B159)+SUMIFS('ИТОГО Лэндинг'!$J$5:$J$300,'ИТОГО Лэндинг'!$B$5:$B$300,$B159)+SUMIFS('История'!$J$5:$J$300,'История'!$B$5:$B$300,$B159),8)))</f>
        <v/>
      </c>
      <c r="K159" s="240">
        <f>IF($B159="","",ROUND(SUMIFS('ИТОГО Торговля'!$K$5:$K$300,'ИТОГО Торговля'!$B$5:$B$300,$B159)+SUMIFS('ИТОГО Лэндинг'!$K$5:$K$300,'ИТОГО Лэндинг'!$B$5:$B$300,$B159)+SUMIFS('История'!$K$5:$K$300,'История'!$B$5:$B$300,$B159),8))</f>
        <v/>
      </c>
      <c r="L159" s="177">
        <f>IF(K159="","",IF(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159)*((История!$C$5:$C$300+История!$F$5:$F$300-ABS(История!$C$5:$C$300-История!$F$5:$F$300))/2)*История!$D$5:$D$300))&lt;=0,0,ROUND(K159/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159)*((История!$C$5:$C$300+История!$F$5:$F$300-ABS(История!$C$5:$C$300-История!$F$5:$F$300))/2)*История!$D$5:$D$300)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IF($B160="","",IF(SUMIFS('ИТОГО Торговля'!$C$5:$C$300,'ИТОГО Торговля'!$B$5:$B$300,$B160)+SUMIFS('ИТОГО Лэндинг'!$C$5:$C$300,'ИТОГО Лэндинг'!$B$5:$B$300,$B160)+SUMIFS('История'!$C$5:$C$300,'История'!$B$5:$B$300,$B160)=0,"",SUMIFS('ИТОГО Торговля'!$C$5:$C$300,'ИТОГО Торговля'!$B$5:$B$300,$B160)+SUMIFS('ИТОГО Лэндинг'!$C$5:$C$300,'ИТОГО Лэндинг'!$B$5:$B$300,$B160)+SUMIFS('История'!$C$5:$C$300,'История'!$B$5:$B$300,$B160)))</f>
        <v/>
      </c>
      <c r="D160" s="183">
        <f>IF(C160="","",E160/C160)</f>
        <v/>
      </c>
      <c r="E160" s="247">
        <f>IF(C160="","",SUMIFS('ИТОГО Торговля'!$E$5:$E$300,'ИТОГО Торговля'!$B$5:$B$300,$B160)+SUMIFS('ИТОГО Лэндинг'!$E$5:$E$300,'ИТОГО Лэндинг'!$B$5:$B$300,$B160)+SUMIFS('История'!$E$5:$E$300,'История'!$B$5:$B$300,$B160))</f>
        <v/>
      </c>
      <c r="F160" s="246">
        <f>IF($B160="","",IF(SUMIFS('ИТОГО Торговля'!$F$5:$F$300,'ИТОГО Торговля'!$B$5:$B$300,$B160)+SUMIFS('ИТОГО Лэндинг'!$F$5:$F$300,'ИТОГО Лэндинг'!$B$5:$B$300,$B160)+SUMIFS('История'!$F$5:$F$300,'История'!$B$5:$B$300,$B160)=0,"",SUMIFS('ИТОГО Торговля'!$F$5:$F$300,'ИТОГО Торговля'!$B$5:$B$300,$B160)+SUMIFS('ИТОГО Лэндинг'!$F$5:$F$300,'ИТОГО Лэндинг'!$B$5:$B$300,$B160)+SUMIFS('История'!$F$5:$F$300,'История'!$B$5:$B$300,$B160)))</f>
        <v/>
      </c>
      <c r="G160" s="183">
        <f>IF(F160="","",H160/F160)</f>
        <v/>
      </c>
      <c r="H160" s="247">
        <f>IF(F160="","",SUMIFS('ИТОГО Торговля'!$H$5:$H$300,'ИТОГО Торговля'!$B$5:$B$300,$B160)+SUMIFS('ИТОГО Лэндинг'!$H$5:$H$300,'ИТОГО Лэндинг'!$B$5:$B$300,$B160)+SUMIFS('История'!$H$5:$H$300,'История'!$B$5:$B$300,$B160))</f>
        <v/>
      </c>
      <c r="I160" s="246">
        <f>IF($B160="","",IF(AND(C160="",F160=""),"",ROUND(SUMIFS('ИТОГО Торговля'!$I$5:$I$300,'ИТОГО Торговля'!$B$5:$B$300,$B160)+SUMIFS('ИТОГО Лэндинг'!$I$5:$I$300,'ИТОГО Лэндинг'!$B$5:$B$300,$B160)+SUMIFS('История'!$I$5:$I$300,'История'!$B$5:$B$300,$B160),8)))</f>
        <v/>
      </c>
      <c r="J160" s="247">
        <f>IF($B160="","",IF(AND(C160="",F160=""),"",ROUND(SUMIFS('ИТОГО Торговля'!$J$5:$J$300,'ИТОГО Торговля'!$B$5:$B$300,$B160)+SUMIFS('ИТОГО Лэндинг'!$J$5:$J$300,'ИТОГО Лэндинг'!$B$5:$B$300,$B160)+SUMIFS('История'!$J$5:$J$300,'История'!$B$5:$B$300,$B160),8)))</f>
        <v/>
      </c>
      <c r="K160" s="246">
        <f>IF($B160="","",ROUND(SUMIFS('ИТОГО Торговля'!$K$5:$K$300,'ИТОГО Торговля'!$B$5:$B$300,$B160)+SUMIFS('ИТОГО Лэндинг'!$K$5:$K$300,'ИТОГО Лэндинг'!$B$5:$B$300,$B160)+SUMIFS('История'!$K$5:$K$300,'История'!$B$5:$B$300,$B160),8))</f>
        <v/>
      </c>
      <c r="L160" s="183">
        <f>IF(K160="","",IF(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160)*((История!$C$5:$C$300+История!$F$5:$F$300-ABS(История!$C$5:$C$300-История!$F$5:$F$300))/2)*История!$D$5:$D$300))&lt;=0,0,ROUND(K160/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160)*((История!$C$5:$C$300+История!$F$5:$F$300-ABS(История!$C$5:$C$300-История!$F$5:$F$300))/2)*История!$D$5:$D$300)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IF($B161="","",IF(SUMIFS('ИТОГО Торговля'!$C$5:$C$300,'ИТОГО Торговля'!$B$5:$B$300,$B161)+SUMIFS('ИТОГО Лэндинг'!$C$5:$C$300,'ИТОГО Лэндинг'!$B$5:$B$300,$B161)+SUMIFS('История'!$C$5:$C$300,'История'!$B$5:$B$300,$B161)=0,"",SUMIFS('ИТОГО Торговля'!$C$5:$C$300,'ИТОГО Торговля'!$B$5:$B$300,$B161)+SUMIFS('ИТОГО Лэндинг'!$C$5:$C$300,'ИТОГО Лэндинг'!$B$5:$B$300,$B161)+SUMIFS('История'!$C$5:$C$300,'История'!$B$5:$B$300,$B161)))</f>
        <v/>
      </c>
      <c r="D161" s="177">
        <f>IF(C161="","",E161/C161)</f>
        <v/>
      </c>
      <c r="E161" s="241">
        <f>IF(C161="","",SUMIFS('ИТОГО Торговля'!$E$5:$E$300,'ИТОГО Торговля'!$B$5:$B$300,$B161)+SUMIFS('ИТОГО Лэндинг'!$E$5:$E$300,'ИТОГО Лэндинг'!$B$5:$B$300,$B161)+SUMIFS('История'!$E$5:$E$300,'История'!$B$5:$B$300,$B161))</f>
        <v/>
      </c>
      <c r="F161" s="240">
        <f>IF($B161="","",IF(SUMIFS('ИТОГО Торговля'!$F$5:$F$300,'ИТОГО Торговля'!$B$5:$B$300,$B161)+SUMIFS('ИТОГО Лэндинг'!$F$5:$F$300,'ИТОГО Лэндинг'!$B$5:$B$300,$B161)+SUMIFS('История'!$F$5:$F$300,'История'!$B$5:$B$300,$B161)=0,"",SUMIFS('ИТОГО Торговля'!$F$5:$F$300,'ИТОГО Торговля'!$B$5:$B$300,$B161)+SUMIFS('ИТОГО Лэндинг'!$F$5:$F$300,'ИТОГО Лэндинг'!$B$5:$B$300,$B161)+SUMIFS('История'!$F$5:$F$300,'История'!$B$5:$B$300,$B161)))</f>
        <v/>
      </c>
      <c r="G161" s="177">
        <f>IF(F161="","",H161/F161)</f>
        <v/>
      </c>
      <c r="H161" s="241">
        <f>IF(F161="","",SUMIFS('ИТОГО Торговля'!$H$5:$H$300,'ИТОГО Торговля'!$B$5:$B$300,$B161)+SUMIFS('ИТОГО Лэндинг'!$H$5:$H$300,'ИТОГО Лэндинг'!$B$5:$B$300,$B161)+SUMIFS('История'!$H$5:$H$300,'История'!$B$5:$B$300,$B161))</f>
        <v/>
      </c>
      <c r="I161" s="240">
        <f>IF($B161="","",IF(AND(C161="",F161=""),"",ROUND(SUMIFS('ИТОГО Торговля'!$I$5:$I$300,'ИТОГО Торговля'!$B$5:$B$300,$B161)+SUMIFS('ИТОГО Лэндинг'!$I$5:$I$300,'ИТОГО Лэндинг'!$B$5:$B$300,$B161)+SUMIFS('История'!$I$5:$I$300,'История'!$B$5:$B$300,$B161),8)))</f>
        <v/>
      </c>
      <c r="J161" s="241">
        <f>IF($B161="","",IF(AND(C161="",F161=""),"",ROUND(SUMIFS('ИТОГО Торговля'!$J$5:$J$300,'ИТОГО Торговля'!$B$5:$B$300,$B161)+SUMIFS('ИТОГО Лэндинг'!$J$5:$J$300,'ИТОГО Лэндинг'!$B$5:$B$300,$B161)+SUMIFS('История'!$J$5:$J$300,'История'!$B$5:$B$300,$B161),8)))</f>
        <v/>
      </c>
      <c r="K161" s="240">
        <f>IF($B161="","",ROUND(SUMIFS('ИТОГО Торговля'!$K$5:$K$300,'ИТОГО Торговля'!$B$5:$B$300,$B161)+SUMIFS('ИТОГО Лэндинг'!$K$5:$K$300,'ИТОГО Лэндинг'!$B$5:$B$300,$B161)+SUMIFS('История'!$K$5:$K$300,'История'!$B$5:$B$300,$B161),8))</f>
        <v/>
      </c>
      <c r="L161" s="177">
        <f>IF(K161="","",IF(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161)*((История!$C$5:$C$300+История!$F$5:$F$300-ABS(История!$C$5:$C$300-История!$F$5:$F$300))/2)*История!$D$5:$D$300))&lt;=0,0,ROUND(K161/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161)*((История!$C$5:$C$300+История!$F$5:$F$300-ABS(История!$C$5:$C$300-История!$F$5:$F$300))/2)*История!$D$5:$D$300)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IF($B162="","",IF(SUMIFS('ИТОГО Торговля'!$C$5:$C$300,'ИТОГО Торговля'!$B$5:$B$300,$B162)+SUMIFS('ИТОГО Лэндинг'!$C$5:$C$300,'ИТОГО Лэндинг'!$B$5:$B$300,$B162)+SUMIFS('История'!$C$5:$C$300,'История'!$B$5:$B$300,$B162)=0,"",SUMIFS('ИТОГО Торговля'!$C$5:$C$300,'ИТОГО Торговля'!$B$5:$B$300,$B162)+SUMIFS('ИТОГО Лэндинг'!$C$5:$C$300,'ИТОГО Лэндинг'!$B$5:$B$300,$B162)+SUMIFS('История'!$C$5:$C$300,'История'!$B$5:$B$300,$B162)))</f>
        <v/>
      </c>
      <c r="D162" s="183">
        <f>IF(C162="","",E162/C162)</f>
        <v/>
      </c>
      <c r="E162" s="247">
        <f>IF(C162="","",SUMIFS('ИТОГО Торговля'!$E$5:$E$300,'ИТОГО Торговля'!$B$5:$B$300,$B162)+SUMIFS('ИТОГО Лэндинг'!$E$5:$E$300,'ИТОГО Лэндинг'!$B$5:$B$300,$B162)+SUMIFS('История'!$E$5:$E$300,'История'!$B$5:$B$300,$B162))</f>
        <v/>
      </c>
      <c r="F162" s="246">
        <f>IF($B162="","",IF(SUMIFS('ИТОГО Торговля'!$F$5:$F$300,'ИТОГО Торговля'!$B$5:$B$300,$B162)+SUMIFS('ИТОГО Лэндинг'!$F$5:$F$300,'ИТОГО Лэндинг'!$B$5:$B$300,$B162)+SUMIFS('История'!$F$5:$F$300,'История'!$B$5:$B$300,$B162)=0,"",SUMIFS('ИТОГО Торговля'!$F$5:$F$300,'ИТОГО Торговля'!$B$5:$B$300,$B162)+SUMIFS('ИТОГО Лэндинг'!$F$5:$F$300,'ИТОГО Лэндинг'!$B$5:$B$300,$B162)+SUMIFS('История'!$F$5:$F$300,'История'!$B$5:$B$300,$B162)))</f>
        <v/>
      </c>
      <c r="G162" s="183">
        <f>IF(F162="","",H162/F162)</f>
        <v/>
      </c>
      <c r="H162" s="247">
        <f>IF(F162="","",SUMIFS('ИТОГО Торговля'!$H$5:$H$300,'ИТОГО Торговля'!$B$5:$B$300,$B162)+SUMIFS('ИТОГО Лэндинг'!$H$5:$H$300,'ИТОГО Лэндинг'!$B$5:$B$300,$B162)+SUMIFS('История'!$H$5:$H$300,'История'!$B$5:$B$300,$B162))</f>
        <v/>
      </c>
      <c r="I162" s="246">
        <f>IF($B162="","",IF(AND(C162="",F162=""),"",ROUND(SUMIFS('ИТОГО Торговля'!$I$5:$I$300,'ИТОГО Торговля'!$B$5:$B$300,$B162)+SUMIFS('ИТОГО Лэндинг'!$I$5:$I$300,'ИТОГО Лэндинг'!$B$5:$B$300,$B162)+SUMIFS('История'!$I$5:$I$300,'История'!$B$5:$B$300,$B162),8)))</f>
        <v/>
      </c>
      <c r="J162" s="247">
        <f>IF($B162="","",IF(AND(C162="",F162=""),"",ROUND(SUMIFS('ИТОГО Торговля'!$J$5:$J$300,'ИТОГО Торговля'!$B$5:$B$300,$B162)+SUMIFS('ИТОГО Лэндинг'!$J$5:$J$300,'ИТОГО Лэндинг'!$B$5:$B$300,$B162)+SUMIFS('История'!$J$5:$J$300,'История'!$B$5:$B$300,$B162),8)))</f>
        <v/>
      </c>
      <c r="K162" s="246">
        <f>IF($B162="","",ROUND(SUMIFS('ИТОГО Торговля'!$K$5:$K$300,'ИТОГО Торговля'!$B$5:$B$300,$B162)+SUMIFS('ИТОГО Лэндинг'!$K$5:$K$300,'ИТОГО Лэндинг'!$B$5:$B$300,$B162)+SUMIFS('История'!$K$5:$K$300,'История'!$B$5:$B$300,$B162),8))</f>
        <v/>
      </c>
      <c r="L162" s="183">
        <f>IF(K162="","",IF(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162)*((История!$C$5:$C$300+История!$F$5:$F$300-ABS(История!$C$5:$C$300-История!$F$5:$F$300))/2)*История!$D$5:$D$300))&lt;=0,0,ROUND(K162/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162)*((История!$C$5:$C$300+История!$F$5:$F$300-ABS(История!$C$5:$C$300-История!$F$5:$F$300))/2)*История!$D$5:$D$300)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IF($B163="","",IF(SUMIFS('ИТОГО Торговля'!$C$5:$C$300,'ИТОГО Торговля'!$B$5:$B$300,$B163)+SUMIFS('ИТОГО Лэндинг'!$C$5:$C$300,'ИТОГО Лэндинг'!$B$5:$B$300,$B163)+SUMIFS('История'!$C$5:$C$300,'История'!$B$5:$B$300,$B163)=0,"",SUMIFS('ИТОГО Торговля'!$C$5:$C$300,'ИТОГО Торговля'!$B$5:$B$300,$B163)+SUMIFS('ИТОГО Лэндинг'!$C$5:$C$300,'ИТОГО Лэндинг'!$B$5:$B$300,$B163)+SUMIFS('История'!$C$5:$C$300,'История'!$B$5:$B$300,$B163)))</f>
        <v/>
      </c>
      <c r="D163" s="177">
        <f>IF(C163="","",E163/C163)</f>
        <v/>
      </c>
      <c r="E163" s="241">
        <f>IF(C163="","",SUMIFS('ИТОГО Торговля'!$E$5:$E$300,'ИТОГО Торговля'!$B$5:$B$300,$B163)+SUMIFS('ИТОГО Лэндинг'!$E$5:$E$300,'ИТОГО Лэндинг'!$B$5:$B$300,$B163)+SUMIFS('История'!$E$5:$E$300,'История'!$B$5:$B$300,$B163))</f>
        <v/>
      </c>
      <c r="F163" s="240">
        <f>IF($B163="","",IF(SUMIFS('ИТОГО Торговля'!$F$5:$F$300,'ИТОГО Торговля'!$B$5:$B$300,$B163)+SUMIFS('ИТОГО Лэндинг'!$F$5:$F$300,'ИТОГО Лэндинг'!$B$5:$B$300,$B163)+SUMIFS('История'!$F$5:$F$300,'История'!$B$5:$B$300,$B163)=0,"",SUMIFS('ИТОГО Торговля'!$F$5:$F$300,'ИТОГО Торговля'!$B$5:$B$300,$B163)+SUMIFS('ИТОГО Лэндинг'!$F$5:$F$300,'ИТОГО Лэндинг'!$B$5:$B$300,$B163)+SUMIFS('История'!$F$5:$F$300,'История'!$B$5:$B$300,$B163)))</f>
        <v/>
      </c>
      <c r="G163" s="177">
        <f>IF(F163="","",H163/F163)</f>
        <v/>
      </c>
      <c r="H163" s="241">
        <f>IF(F163="","",SUMIFS('ИТОГО Торговля'!$H$5:$H$300,'ИТОГО Торговля'!$B$5:$B$300,$B163)+SUMIFS('ИТОГО Лэндинг'!$H$5:$H$300,'ИТОГО Лэндинг'!$B$5:$B$300,$B163)+SUMIFS('История'!$H$5:$H$300,'История'!$B$5:$B$300,$B163))</f>
        <v/>
      </c>
      <c r="I163" s="240">
        <f>IF($B163="","",IF(AND(C163="",F163=""),"",ROUND(SUMIFS('ИТОГО Торговля'!$I$5:$I$300,'ИТОГО Торговля'!$B$5:$B$300,$B163)+SUMIFS('ИТОГО Лэндинг'!$I$5:$I$300,'ИТОГО Лэндинг'!$B$5:$B$300,$B163)+SUMIFS('История'!$I$5:$I$300,'История'!$B$5:$B$300,$B163),8)))</f>
        <v/>
      </c>
      <c r="J163" s="241">
        <f>IF($B163="","",IF(AND(C163="",F163=""),"",ROUND(SUMIFS('ИТОГО Торговля'!$J$5:$J$300,'ИТОГО Торговля'!$B$5:$B$300,$B163)+SUMIFS('ИТОГО Лэндинг'!$J$5:$J$300,'ИТОГО Лэндинг'!$B$5:$B$300,$B163)+SUMIFS('История'!$J$5:$J$300,'История'!$B$5:$B$300,$B163),8)))</f>
        <v/>
      </c>
      <c r="K163" s="240">
        <f>IF($B163="","",ROUND(SUMIFS('ИТОГО Торговля'!$K$5:$K$300,'ИТОГО Торговля'!$B$5:$B$300,$B163)+SUMIFS('ИТОГО Лэндинг'!$K$5:$K$300,'ИТОГО Лэндинг'!$B$5:$B$300,$B163)+SUMIFS('История'!$K$5:$K$300,'История'!$B$5:$B$300,$B163),8))</f>
        <v/>
      </c>
      <c r="L163" s="177">
        <f>IF(K163="","",IF(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163)*((История!$C$5:$C$300+История!$F$5:$F$300-ABS(История!$C$5:$C$300-История!$F$5:$F$300))/2)*История!$D$5:$D$300))&lt;=0,0,ROUND(K163/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163)*((История!$C$5:$C$300+История!$F$5:$F$300-ABS(История!$C$5:$C$300-История!$F$5:$F$300))/2)*История!$D$5:$D$300)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IF($B164="","",IF(SUMIFS('ИТОГО Торговля'!$C$5:$C$300,'ИТОГО Торговля'!$B$5:$B$300,$B164)+SUMIFS('ИТОГО Лэндинг'!$C$5:$C$300,'ИТОГО Лэндинг'!$B$5:$B$300,$B164)+SUMIFS('История'!$C$5:$C$300,'История'!$B$5:$B$300,$B164)=0,"",SUMIFS('ИТОГО Торговля'!$C$5:$C$300,'ИТОГО Торговля'!$B$5:$B$300,$B164)+SUMIFS('ИТОГО Лэндинг'!$C$5:$C$300,'ИТОГО Лэндинг'!$B$5:$B$300,$B164)+SUMIFS('История'!$C$5:$C$300,'История'!$B$5:$B$300,$B164)))</f>
        <v/>
      </c>
      <c r="D164" s="183">
        <f>IF(C164="","",E164/C164)</f>
        <v/>
      </c>
      <c r="E164" s="247">
        <f>IF(C164="","",SUMIFS('ИТОГО Торговля'!$E$5:$E$300,'ИТОГО Торговля'!$B$5:$B$300,$B164)+SUMIFS('ИТОГО Лэндинг'!$E$5:$E$300,'ИТОГО Лэндинг'!$B$5:$B$300,$B164)+SUMIFS('История'!$E$5:$E$300,'История'!$B$5:$B$300,$B164))</f>
        <v/>
      </c>
      <c r="F164" s="246">
        <f>IF($B164="","",IF(SUMIFS('ИТОГО Торговля'!$F$5:$F$300,'ИТОГО Торговля'!$B$5:$B$300,$B164)+SUMIFS('ИТОГО Лэндинг'!$F$5:$F$300,'ИТОГО Лэндинг'!$B$5:$B$300,$B164)+SUMIFS('История'!$F$5:$F$300,'История'!$B$5:$B$300,$B164)=0,"",SUMIFS('ИТОГО Торговля'!$F$5:$F$300,'ИТОГО Торговля'!$B$5:$B$300,$B164)+SUMIFS('ИТОГО Лэндинг'!$F$5:$F$300,'ИТОГО Лэндинг'!$B$5:$B$300,$B164)+SUMIFS('История'!$F$5:$F$300,'История'!$B$5:$B$300,$B164)))</f>
        <v/>
      </c>
      <c r="G164" s="183">
        <f>IF(F164="","",H164/F164)</f>
        <v/>
      </c>
      <c r="H164" s="247">
        <f>IF(F164="","",SUMIFS('ИТОГО Торговля'!$H$5:$H$300,'ИТОГО Торговля'!$B$5:$B$300,$B164)+SUMIFS('ИТОГО Лэндинг'!$H$5:$H$300,'ИТОГО Лэндинг'!$B$5:$B$300,$B164)+SUMIFS('История'!$H$5:$H$300,'История'!$B$5:$B$300,$B164))</f>
        <v/>
      </c>
      <c r="I164" s="246">
        <f>IF($B164="","",IF(AND(C164="",F164=""),"",ROUND(SUMIFS('ИТОГО Торговля'!$I$5:$I$300,'ИТОГО Торговля'!$B$5:$B$300,$B164)+SUMIFS('ИТОГО Лэндинг'!$I$5:$I$300,'ИТОГО Лэндинг'!$B$5:$B$300,$B164)+SUMIFS('История'!$I$5:$I$300,'История'!$B$5:$B$300,$B164),8)))</f>
        <v/>
      </c>
      <c r="J164" s="247">
        <f>IF($B164="","",IF(AND(C164="",F164=""),"",ROUND(SUMIFS('ИТОГО Торговля'!$J$5:$J$300,'ИТОГО Торговля'!$B$5:$B$300,$B164)+SUMIFS('ИТОГО Лэндинг'!$J$5:$J$300,'ИТОГО Лэндинг'!$B$5:$B$300,$B164)+SUMIFS('История'!$J$5:$J$300,'История'!$B$5:$B$300,$B164),8)))</f>
        <v/>
      </c>
      <c r="K164" s="246">
        <f>IF($B164="","",ROUND(SUMIFS('ИТОГО Торговля'!$K$5:$K$300,'ИТОГО Торговля'!$B$5:$B$300,$B164)+SUMIFS('ИТОГО Лэндинг'!$K$5:$K$300,'ИТОГО Лэндинг'!$B$5:$B$300,$B164)+SUMIFS('История'!$K$5:$K$300,'История'!$B$5:$B$300,$B164),8))</f>
        <v/>
      </c>
      <c r="L164" s="183">
        <f>IF(K164="","",IF(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164)*((История!$C$5:$C$300+История!$F$5:$F$300-ABS(История!$C$5:$C$300-История!$F$5:$F$300))/2)*История!$D$5:$D$300))&lt;=0,0,ROUND(K164/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164)*((История!$C$5:$C$300+История!$F$5:$F$300-ABS(История!$C$5:$C$300-История!$F$5:$F$300))/2)*История!$D$5:$D$300)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IF($B165="","",IF(SUMIFS('ИТОГО Торговля'!$C$5:$C$300,'ИТОГО Торговля'!$B$5:$B$300,$B165)+SUMIFS('ИТОГО Лэндинг'!$C$5:$C$300,'ИТОГО Лэндинг'!$B$5:$B$300,$B165)+SUMIFS('История'!$C$5:$C$300,'История'!$B$5:$B$300,$B165)=0,"",SUMIFS('ИТОГО Торговля'!$C$5:$C$300,'ИТОГО Торговля'!$B$5:$B$300,$B165)+SUMIFS('ИТОГО Лэндинг'!$C$5:$C$300,'ИТОГО Лэндинг'!$B$5:$B$300,$B165)+SUMIFS('История'!$C$5:$C$300,'История'!$B$5:$B$300,$B165)))</f>
        <v/>
      </c>
      <c r="D165" s="177">
        <f>IF(C165="","",E165/C165)</f>
        <v/>
      </c>
      <c r="E165" s="241">
        <f>IF(C165="","",SUMIFS('ИТОГО Торговля'!$E$5:$E$300,'ИТОГО Торговля'!$B$5:$B$300,$B165)+SUMIFS('ИТОГО Лэндинг'!$E$5:$E$300,'ИТОГО Лэндинг'!$B$5:$B$300,$B165)+SUMIFS('История'!$E$5:$E$300,'История'!$B$5:$B$300,$B165))</f>
        <v/>
      </c>
      <c r="F165" s="240">
        <f>IF($B165="","",IF(SUMIFS('ИТОГО Торговля'!$F$5:$F$300,'ИТОГО Торговля'!$B$5:$B$300,$B165)+SUMIFS('ИТОГО Лэндинг'!$F$5:$F$300,'ИТОГО Лэндинг'!$B$5:$B$300,$B165)+SUMIFS('История'!$F$5:$F$300,'История'!$B$5:$B$300,$B165)=0,"",SUMIFS('ИТОГО Торговля'!$F$5:$F$300,'ИТОГО Торговля'!$B$5:$B$300,$B165)+SUMIFS('ИТОГО Лэндинг'!$F$5:$F$300,'ИТОГО Лэндинг'!$B$5:$B$300,$B165)+SUMIFS('История'!$F$5:$F$300,'История'!$B$5:$B$300,$B165)))</f>
        <v/>
      </c>
      <c r="G165" s="177">
        <f>IF(F165="","",H165/F165)</f>
        <v/>
      </c>
      <c r="H165" s="241">
        <f>IF(F165="","",SUMIFS('ИТОГО Торговля'!$H$5:$H$300,'ИТОГО Торговля'!$B$5:$B$300,$B165)+SUMIFS('ИТОГО Лэндинг'!$H$5:$H$300,'ИТОГО Лэндинг'!$B$5:$B$300,$B165)+SUMIFS('История'!$H$5:$H$300,'История'!$B$5:$B$300,$B165))</f>
        <v/>
      </c>
      <c r="I165" s="240">
        <f>IF($B165="","",IF(AND(C165="",F165=""),"",ROUND(SUMIFS('ИТОГО Торговля'!$I$5:$I$300,'ИТОГО Торговля'!$B$5:$B$300,$B165)+SUMIFS('ИТОГО Лэндинг'!$I$5:$I$300,'ИТОГО Лэндинг'!$B$5:$B$300,$B165)+SUMIFS('История'!$I$5:$I$300,'История'!$B$5:$B$300,$B165),8)))</f>
        <v/>
      </c>
      <c r="J165" s="241">
        <f>IF($B165="","",IF(AND(C165="",F165=""),"",ROUND(SUMIFS('ИТОГО Торговля'!$J$5:$J$300,'ИТОГО Торговля'!$B$5:$B$300,$B165)+SUMIFS('ИТОГО Лэндинг'!$J$5:$J$300,'ИТОГО Лэндинг'!$B$5:$B$300,$B165)+SUMIFS('История'!$J$5:$J$300,'История'!$B$5:$B$300,$B165),8)))</f>
        <v/>
      </c>
      <c r="K165" s="240">
        <f>IF($B165="","",ROUND(SUMIFS('ИТОГО Торговля'!$K$5:$K$300,'ИТОГО Торговля'!$B$5:$B$300,$B165)+SUMIFS('ИТОГО Лэндинг'!$K$5:$K$300,'ИТОГО Лэндинг'!$B$5:$B$300,$B165)+SUMIFS('История'!$K$5:$K$300,'История'!$B$5:$B$300,$B165),8))</f>
        <v/>
      </c>
      <c r="L165" s="177">
        <f>IF(K165="","",IF(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165)*((История!$C$5:$C$300+История!$F$5:$F$300-ABS(История!$C$5:$C$300-История!$F$5:$F$300))/2)*История!$D$5:$D$300))&lt;=0,0,ROUND(K165/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165)*((История!$C$5:$C$300+История!$F$5:$F$300-ABS(История!$C$5:$C$300-История!$F$5:$F$300))/2)*История!$D$5:$D$300)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IF($B166="","",IF(SUMIFS('ИТОГО Торговля'!$C$5:$C$300,'ИТОГО Торговля'!$B$5:$B$300,$B166)+SUMIFS('ИТОГО Лэндинг'!$C$5:$C$300,'ИТОГО Лэндинг'!$B$5:$B$300,$B166)+SUMIFS('История'!$C$5:$C$300,'История'!$B$5:$B$300,$B166)=0,"",SUMIFS('ИТОГО Торговля'!$C$5:$C$300,'ИТОГО Торговля'!$B$5:$B$300,$B166)+SUMIFS('ИТОГО Лэндинг'!$C$5:$C$300,'ИТОГО Лэндинг'!$B$5:$B$300,$B166)+SUMIFS('История'!$C$5:$C$300,'История'!$B$5:$B$300,$B166)))</f>
        <v/>
      </c>
      <c r="D166" s="183">
        <f>IF(C166="","",E166/C166)</f>
        <v/>
      </c>
      <c r="E166" s="247">
        <f>IF(C166="","",SUMIFS('ИТОГО Торговля'!$E$5:$E$300,'ИТОГО Торговля'!$B$5:$B$300,$B166)+SUMIFS('ИТОГО Лэндинг'!$E$5:$E$300,'ИТОГО Лэндинг'!$B$5:$B$300,$B166)+SUMIFS('История'!$E$5:$E$300,'История'!$B$5:$B$300,$B166))</f>
        <v/>
      </c>
      <c r="F166" s="246">
        <f>IF($B166="","",IF(SUMIFS('ИТОГО Торговля'!$F$5:$F$300,'ИТОГО Торговля'!$B$5:$B$300,$B166)+SUMIFS('ИТОГО Лэндинг'!$F$5:$F$300,'ИТОГО Лэндинг'!$B$5:$B$300,$B166)+SUMIFS('История'!$F$5:$F$300,'История'!$B$5:$B$300,$B166)=0,"",SUMIFS('ИТОГО Торговля'!$F$5:$F$300,'ИТОГО Торговля'!$B$5:$B$300,$B166)+SUMIFS('ИТОГО Лэндинг'!$F$5:$F$300,'ИТОГО Лэндинг'!$B$5:$B$300,$B166)+SUMIFS('История'!$F$5:$F$300,'История'!$B$5:$B$300,$B166)))</f>
        <v/>
      </c>
      <c r="G166" s="183">
        <f>IF(F166="","",H166/F166)</f>
        <v/>
      </c>
      <c r="H166" s="247">
        <f>IF(F166="","",SUMIFS('ИТОГО Торговля'!$H$5:$H$300,'ИТОГО Торговля'!$B$5:$B$300,$B166)+SUMIFS('ИТОГО Лэндинг'!$H$5:$H$300,'ИТОГО Лэндинг'!$B$5:$B$300,$B166)+SUMIFS('История'!$H$5:$H$300,'История'!$B$5:$B$300,$B166))</f>
        <v/>
      </c>
      <c r="I166" s="246">
        <f>IF($B166="","",IF(AND(C166="",F166=""),"",ROUND(SUMIFS('ИТОГО Торговля'!$I$5:$I$300,'ИТОГО Торговля'!$B$5:$B$300,$B166)+SUMIFS('ИТОГО Лэндинг'!$I$5:$I$300,'ИТОГО Лэндинг'!$B$5:$B$300,$B166)+SUMIFS('История'!$I$5:$I$300,'История'!$B$5:$B$300,$B166),8)))</f>
        <v/>
      </c>
      <c r="J166" s="247">
        <f>IF($B166="","",IF(AND(C166="",F166=""),"",ROUND(SUMIFS('ИТОГО Торговля'!$J$5:$J$300,'ИТОГО Торговля'!$B$5:$B$300,$B166)+SUMIFS('ИТОГО Лэндинг'!$J$5:$J$300,'ИТОГО Лэндинг'!$B$5:$B$300,$B166)+SUMIFS('История'!$J$5:$J$300,'История'!$B$5:$B$300,$B166),8)))</f>
        <v/>
      </c>
      <c r="K166" s="246">
        <f>IF($B166="","",ROUND(SUMIFS('ИТОГО Торговля'!$K$5:$K$300,'ИТОГО Торговля'!$B$5:$B$300,$B166)+SUMIFS('ИТОГО Лэндинг'!$K$5:$K$300,'ИТОГО Лэндинг'!$B$5:$B$300,$B166)+SUMIFS('История'!$K$5:$K$300,'История'!$B$5:$B$300,$B166),8))</f>
        <v/>
      </c>
      <c r="L166" s="183">
        <f>IF(K166="","",IF(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166)*((История!$C$5:$C$300+История!$F$5:$F$300-ABS(История!$C$5:$C$300-История!$F$5:$F$300))/2)*История!$D$5:$D$300))&lt;=0,0,ROUND(K166/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166)*((История!$C$5:$C$300+История!$F$5:$F$300-ABS(История!$C$5:$C$300-История!$F$5:$F$300))/2)*История!$D$5:$D$300)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IF($B167="","",IF(SUMIFS('ИТОГО Торговля'!$C$5:$C$300,'ИТОГО Торговля'!$B$5:$B$300,$B167)+SUMIFS('ИТОГО Лэндинг'!$C$5:$C$300,'ИТОГО Лэндинг'!$B$5:$B$300,$B167)+SUMIFS('История'!$C$5:$C$300,'История'!$B$5:$B$300,$B167)=0,"",SUMIFS('ИТОГО Торговля'!$C$5:$C$300,'ИТОГО Торговля'!$B$5:$B$300,$B167)+SUMIFS('ИТОГО Лэндинг'!$C$5:$C$300,'ИТОГО Лэндинг'!$B$5:$B$300,$B167)+SUMIFS('История'!$C$5:$C$300,'История'!$B$5:$B$300,$B167)))</f>
        <v/>
      </c>
      <c r="D167" s="177">
        <f>IF(C167="","",E167/C167)</f>
        <v/>
      </c>
      <c r="E167" s="241">
        <f>IF(C167="","",SUMIFS('ИТОГО Торговля'!$E$5:$E$300,'ИТОГО Торговля'!$B$5:$B$300,$B167)+SUMIFS('ИТОГО Лэндинг'!$E$5:$E$300,'ИТОГО Лэндинг'!$B$5:$B$300,$B167)+SUMIFS('История'!$E$5:$E$300,'История'!$B$5:$B$300,$B167))</f>
        <v/>
      </c>
      <c r="F167" s="240">
        <f>IF($B167="","",IF(SUMIFS('ИТОГО Торговля'!$F$5:$F$300,'ИТОГО Торговля'!$B$5:$B$300,$B167)+SUMIFS('ИТОГО Лэндинг'!$F$5:$F$300,'ИТОГО Лэндинг'!$B$5:$B$300,$B167)+SUMIFS('История'!$F$5:$F$300,'История'!$B$5:$B$300,$B167)=0,"",SUMIFS('ИТОГО Торговля'!$F$5:$F$300,'ИТОГО Торговля'!$B$5:$B$300,$B167)+SUMIFS('ИТОГО Лэндинг'!$F$5:$F$300,'ИТОГО Лэндинг'!$B$5:$B$300,$B167)+SUMIFS('История'!$F$5:$F$300,'История'!$B$5:$B$300,$B167)))</f>
        <v/>
      </c>
      <c r="G167" s="177">
        <f>IF(F167="","",H167/F167)</f>
        <v/>
      </c>
      <c r="H167" s="241">
        <f>IF(F167="","",SUMIFS('ИТОГО Торговля'!$H$5:$H$300,'ИТОГО Торговля'!$B$5:$B$300,$B167)+SUMIFS('ИТОГО Лэндинг'!$H$5:$H$300,'ИТОГО Лэндинг'!$B$5:$B$300,$B167)+SUMIFS('История'!$H$5:$H$300,'История'!$B$5:$B$300,$B167))</f>
        <v/>
      </c>
      <c r="I167" s="240">
        <f>IF($B167="","",IF(AND(C167="",F167=""),"",ROUND(SUMIFS('ИТОГО Торговля'!$I$5:$I$300,'ИТОГО Торговля'!$B$5:$B$300,$B167)+SUMIFS('ИТОГО Лэндинг'!$I$5:$I$300,'ИТОГО Лэндинг'!$B$5:$B$300,$B167)+SUMIFS('История'!$I$5:$I$300,'История'!$B$5:$B$300,$B167),8)))</f>
        <v/>
      </c>
      <c r="J167" s="241">
        <f>IF($B167="","",IF(AND(C167="",F167=""),"",ROUND(SUMIFS('ИТОГО Торговля'!$J$5:$J$300,'ИТОГО Торговля'!$B$5:$B$300,$B167)+SUMIFS('ИТОГО Лэндинг'!$J$5:$J$300,'ИТОГО Лэндинг'!$B$5:$B$300,$B167)+SUMIFS('История'!$J$5:$J$300,'История'!$B$5:$B$300,$B167),8)))</f>
        <v/>
      </c>
      <c r="K167" s="240">
        <f>IF($B167="","",ROUND(SUMIFS('ИТОГО Торговля'!$K$5:$K$300,'ИТОГО Торговля'!$B$5:$B$300,$B167)+SUMIFS('ИТОГО Лэндинг'!$K$5:$K$300,'ИТОГО Лэндинг'!$B$5:$B$300,$B167)+SUMIFS('История'!$K$5:$K$300,'История'!$B$5:$B$300,$B167),8))</f>
        <v/>
      </c>
      <c r="L167" s="177">
        <f>IF(K167="","",IF(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167)*((История!$C$5:$C$300+История!$F$5:$F$300-ABS(История!$C$5:$C$300-История!$F$5:$F$300))/2)*История!$D$5:$D$300))&lt;=0,0,ROUND(K167/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167)*((История!$C$5:$C$300+История!$F$5:$F$300-ABS(История!$C$5:$C$300-История!$F$5:$F$300))/2)*История!$D$5:$D$300)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IF($B168="","",IF(SUMIFS('ИТОГО Торговля'!$C$5:$C$300,'ИТОГО Торговля'!$B$5:$B$300,$B168)+SUMIFS('ИТОГО Лэндинг'!$C$5:$C$300,'ИТОГО Лэндинг'!$B$5:$B$300,$B168)+SUMIFS('История'!$C$5:$C$300,'История'!$B$5:$B$300,$B168)=0,"",SUMIFS('ИТОГО Торговля'!$C$5:$C$300,'ИТОГО Торговля'!$B$5:$B$300,$B168)+SUMIFS('ИТОГО Лэндинг'!$C$5:$C$300,'ИТОГО Лэндинг'!$B$5:$B$300,$B168)+SUMIFS('История'!$C$5:$C$300,'История'!$B$5:$B$300,$B168)))</f>
        <v/>
      </c>
      <c r="D168" s="183">
        <f>IF(C168="","",E168/C168)</f>
        <v/>
      </c>
      <c r="E168" s="247">
        <f>IF(C168="","",SUMIFS('ИТОГО Торговля'!$E$5:$E$300,'ИТОГО Торговля'!$B$5:$B$300,$B168)+SUMIFS('ИТОГО Лэндинг'!$E$5:$E$300,'ИТОГО Лэндинг'!$B$5:$B$300,$B168)+SUMIFS('История'!$E$5:$E$300,'История'!$B$5:$B$300,$B168))</f>
        <v/>
      </c>
      <c r="F168" s="246">
        <f>IF($B168="","",IF(SUMIFS('ИТОГО Торговля'!$F$5:$F$300,'ИТОГО Торговля'!$B$5:$B$300,$B168)+SUMIFS('ИТОГО Лэндинг'!$F$5:$F$300,'ИТОГО Лэндинг'!$B$5:$B$300,$B168)+SUMIFS('История'!$F$5:$F$300,'История'!$B$5:$B$300,$B168)=0,"",SUMIFS('ИТОГО Торговля'!$F$5:$F$300,'ИТОГО Торговля'!$B$5:$B$300,$B168)+SUMIFS('ИТОГО Лэндинг'!$F$5:$F$300,'ИТОГО Лэндинг'!$B$5:$B$300,$B168)+SUMIFS('История'!$F$5:$F$300,'История'!$B$5:$B$300,$B168)))</f>
        <v/>
      </c>
      <c r="G168" s="183">
        <f>IF(F168="","",H168/F168)</f>
        <v/>
      </c>
      <c r="H168" s="247">
        <f>IF(F168="","",SUMIFS('ИТОГО Торговля'!$H$5:$H$300,'ИТОГО Торговля'!$B$5:$B$300,$B168)+SUMIFS('ИТОГО Лэндинг'!$H$5:$H$300,'ИТОГО Лэндинг'!$B$5:$B$300,$B168)+SUMIFS('История'!$H$5:$H$300,'История'!$B$5:$B$300,$B168))</f>
        <v/>
      </c>
      <c r="I168" s="246">
        <f>IF($B168="","",IF(AND(C168="",F168=""),"",ROUND(SUMIFS('ИТОГО Торговля'!$I$5:$I$300,'ИТОГО Торговля'!$B$5:$B$300,$B168)+SUMIFS('ИТОГО Лэндинг'!$I$5:$I$300,'ИТОГО Лэндинг'!$B$5:$B$300,$B168)+SUMIFS('История'!$I$5:$I$300,'История'!$B$5:$B$300,$B168),8)))</f>
        <v/>
      </c>
      <c r="J168" s="247">
        <f>IF($B168="","",IF(AND(C168="",F168=""),"",ROUND(SUMIFS('ИТОГО Торговля'!$J$5:$J$300,'ИТОГО Торговля'!$B$5:$B$300,$B168)+SUMIFS('ИТОГО Лэндинг'!$J$5:$J$300,'ИТОГО Лэндинг'!$B$5:$B$300,$B168)+SUMIFS('История'!$J$5:$J$300,'История'!$B$5:$B$300,$B168),8)))</f>
        <v/>
      </c>
      <c r="K168" s="246">
        <f>IF($B168="","",ROUND(SUMIFS('ИТОГО Торговля'!$K$5:$K$300,'ИТОГО Торговля'!$B$5:$B$300,$B168)+SUMIFS('ИТОГО Лэндинг'!$K$5:$K$300,'ИТОГО Лэндинг'!$B$5:$B$300,$B168)+SUMIFS('История'!$K$5:$K$300,'История'!$B$5:$B$300,$B168),8))</f>
        <v/>
      </c>
      <c r="L168" s="183">
        <f>IF(K168="","",IF(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168)*((История!$C$5:$C$300+История!$F$5:$F$300-ABS(История!$C$5:$C$300-История!$F$5:$F$300))/2)*История!$D$5:$D$300))&lt;=0,0,ROUND(K168/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168)*((История!$C$5:$C$300+История!$F$5:$F$300-ABS(История!$C$5:$C$300-История!$F$5:$F$300))/2)*История!$D$5:$D$300)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IF($B169="","",IF(SUMIFS('ИТОГО Торговля'!$C$5:$C$300,'ИТОГО Торговля'!$B$5:$B$300,$B169)+SUMIFS('ИТОГО Лэндинг'!$C$5:$C$300,'ИТОГО Лэндинг'!$B$5:$B$300,$B169)+SUMIFS('История'!$C$5:$C$300,'История'!$B$5:$B$300,$B169)=0,"",SUMIFS('ИТОГО Торговля'!$C$5:$C$300,'ИТОГО Торговля'!$B$5:$B$300,$B169)+SUMIFS('ИТОГО Лэндинг'!$C$5:$C$300,'ИТОГО Лэндинг'!$B$5:$B$300,$B169)+SUMIFS('История'!$C$5:$C$300,'История'!$B$5:$B$300,$B169)))</f>
        <v/>
      </c>
      <c r="D169" s="177">
        <f>IF(C169="","",E169/C169)</f>
        <v/>
      </c>
      <c r="E169" s="241">
        <f>IF(C169="","",SUMIFS('ИТОГО Торговля'!$E$5:$E$300,'ИТОГО Торговля'!$B$5:$B$300,$B169)+SUMIFS('ИТОГО Лэндинг'!$E$5:$E$300,'ИТОГО Лэндинг'!$B$5:$B$300,$B169)+SUMIFS('История'!$E$5:$E$300,'История'!$B$5:$B$300,$B169))</f>
        <v/>
      </c>
      <c r="F169" s="240">
        <f>IF($B169="","",IF(SUMIFS('ИТОГО Торговля'!$F$5:$F$300,'ИТОГО Торговля'!$B$5:$B$300,$B169)+SUMIFS('ИТОГО Лэндинг'!$F$5:$F$300,'ИТОГО Лэндинг'!$B$5:$B$300,$B169)+SUMIFS('История'!$F$5:$F$300,'История'!$B$5:$B$300,$B169)=0,"",SUMIFS('ИТОГО Торговля'!$F$5:$F$300,'ИТОГО Торговля'!$B$5:$B$300,$B169)+SUMIFS('ИТОГО Лэндинг'!$F$5:$F$300,'ИТОГО Лэндинг'!$B$5:$B$300,$B169)+SUMIFS('История'!$F$5:$F$300,'История'!$B$5:$B$300,$B169)))</f>
        <v/>
      </c>
      <c r="G169" s="177">
        <f>IF(F169="","",H169/F169)</f>
        <v/>
      </c>
      <c r="H169" s="241">
        <f>IF(F169="","",SUMIFS('ИТОГО Торговля'!$H$5:$H$300,'ИТОГО Торговля'!$B$5:$B$300,$B169)+SUMIFS('ИТОГО Лэндинг'!$H$5:$H$300,'ИТОГО Лэндинг'!$B$5:$B$300,$B169)+SUMIFS('История'!$H$5:$H$300,'История'!$B$5:$B$300,$B169))</f>
        <v/>
      </c>
      <c r="I169" s="240">
        <f>IF($B169="","",IF(AND(C169="",F169=""),"",ROUND(SUMIFS('ИТОГО Торговля'!$I$5:$I$300,'ИТОГО Торговля'!$B$5:$B$300,$B169)+SUMIFS('ИТОГО Лэндинг'!$I$5:$I$300,'ИТОГО Лэндинг'!$B$5:$B$300,$B169)+SUMIFS('История'!$I$5:$I$300,'История'!$B$5:$B$300,$B169),8)))</f>
        <v/>
      </c>
      <c r="J169" s="241">
        <f>IF($B169="","",IF(AND(C169="",F169=""),"",ROUND(SUMIFS('ИТОГО Торговля'!$J$5:$J$300,'ИТОГО Торговля'!$B$5:$B$300,$B169)+SUMIFS('ИТОГО Лэндинг'!$J$5:$J$300,'ИТОГО Лэндинг'!$B$5:$B$300,$B169)+SUMIFS('История'!$J$5:$J$300,'История'!$B$5:$B$300,$B169),8)))</f>
        <v/>
      </c>
      <c r="K169" s="240">
        <f>IF($B169="","",ROUND(SUMIFS('ИТОГО Торговля'!$K$5:$K$300,'ИТОГО Торговля'!$B$5:$B$300,$B169)+SUMIFS('ИТОГО Лэндинг'!$K$5:$K$300,'ИТОГО Лэндинг'!$B$5:$B$300,$B169)+SUMIFS('История'!$K$5:$K$300,'История'!$B$5:$B$300,$B169),8))</f>
        <v/>
      </c>
      <c r="L169" s="177">
        <f>IF(K169="","",IF(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169)*((История!$C$5:$C$300+История!$F$5:$F$300-ABS(История!$C$5:$C$300-История!$F$5:$F$300))/2)*История!$D$5:$D$300))&lt;=0,0,ROUND(K169/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169)*((История!$C$5:$C$300+История!$F$5:$F$300-ABS(История!$C$5:$C$300-История!$F$5:$F$300))/2)*История!$D$5:$D$300)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IF($B170="","",IF(SUMIFS('ИТОГО Торговля'!$C$5:$C$300,'ИТОГО Торговля'!$B$5:$B$300,$B170)+SUMIFS('ИТОГО Лэндинг'!$C$5:$C$300,'ИТОГО Лэндинг'!$B$5:$B$300,$B170)+SUMIFS('История'!$C$5:$C$300,'История'!$B$5:$B$300,$B170)=0,"",SUMIFS('ИТОГО Торговля'!$C$5:$C$300,'ИТОГО Торговля'!$B$5:$B$300,$B170)+SUMIFS('ИТОГО Лэндинг'!$C$5:$C$300,'ИТОГО Лэндинг'!$B$5:$B$300,$B170)+SUMIFS('История'!$C$5:$C$300,'История'!$B$5:$B$300,$B170)))</f>
        <v/>
      </c>
      <c r="D170" s="183">
        <f>IF(C170="","",E170/C170)</f>
        <v/>
      </c>
      <c r="E170" s="247">
        <f>IF(C170="","",SUMIFS('ИТОГО Торговля'!$E$5:$E$300,'ИТОГО Торговля'!$B$5:$B$300,$B170)+SUMIFS('ИТОГО Лэндинг'!$E$5:$E$300,'ИТОГО Лэндинг'!$B$5:$B$300,$B170)+SUMIFS('История'!$E$5:$E$300,'История'!$B$5:$B$300,$B170))</f>
        <v/>
      </c>
      <c r="F170" s="246">
        <f>IF($B170="","",IF(SUMIFS('ИТОГО Торговля'!$F$5:$F$300,'ИТОГО Торговля'!$B$5:$B$300,$B170)+SUMIFS('ИТОГО Лэндинг'!$F$5:$F$300,'ИТОГО Лэндинг'!$B$5:$B$300,$B170)+SUMIFS('История'!$F$5:$F$300,'История'!$B$5:$B$300,$B170)=0,"",SUMIFS('ИТОГО Торговля'!$F$5:$F$300,'ИТОГО Торговля'!$B$5:$B$300,$B170)+SUMIFS('ИТОГО Лэндинг'!$F$5:$F$300,'ИТОГО Лэндинг'!$B$5:$B$300,$B170)+SUMIFS('История'!$F$5:$F$300,'История'!$B$5:$B$300,$B170)))</f>
        <v/>
      </c>
      <c r="G170" s="183">
        <f>IF(F170="","",H170/F170)</f>
        <v/>
      </c>
      <c r="H170" s="247">
        <f>IF(F170="","",SUMIFS('ИТОГО Торговля'!$H$5:$H$300,'ИТОГО Торговля'!$B$5:$B$300,$B170)+SUMIFS('ИТОГО Лэндинг'!$H$5:$H$300,'ИТОГО Лэндинг'!$B$5:$B$300,$B170)+SUMIFS('История'!$H$5:$H$300,'История'!$B$5:$B$300,$B170))</f>
        <v/>
      </c>
      <c r="I170" s="246">
        <f>IF($B170="","",IF(AND(C170="",F170=""),"",ROUND(SUMIFS('ИТОГО Торговля'!$I$5:$I$300,'ИТОГО Торговля'!$B$5:$B$300,$B170)+SUMIFS('ИТОГО Лэндинг'!$I$5:$I$300,'ИТОГО Лэндинг'!$B$5:$B$300,$B170)+SUMIFS('История'!$I$5:$I$300,'История'!$B$5:$B$300,$B170),8)))</f>
        <v/>
      </c>
      <c r="J170" s="247">
        <f>IF($B170="","",IF(AND(C170="",F170=""),"",ROUND(SUMIFS('ИТОГО Торговля'!$J$5:$J$300,'ИТОГО Торговля'!$B$5:$B$300,$B170)+SUMIFS('ИТОГО Лэндинг'!$J$5:$J$300,'ИТОГО Лэндинг'!$B$5:$B$300,$B170)+SUMIFS('История'!$J$5:$J$300,'История'!$B$5:$B$300,$B170),8)))</f>
        <v/>
      </c>
      <c r="K170" s="246">
        <f>IF($B170="","",ROUND(SUMIFS('ИТОГО Торговля'!$K$5:$K$300,'ИТОГО Торговля'!$B$5:$B$300,$B170)+SUMIFS('ИТОГО Лэндинг'!$K$5:$K$300,'ИТОГО Лэндинг'!$B$5:$B$300,$B170)+SUMIFS('История'!$K$5:$K$300,'История'!$B$5:$B$300,$B170),8))</f>
        <v/>
      </c>
      <c r="L170" s="183">
        <f>IF(K170="","",IF(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170)*((История!$C$5:$C$300+История!$F$5:$F$300-ABS(История!$C$5:$C$300-История!$F$5:$F$300))/2)*История!$D$5:$D$300))&lt;=0,0,ROUND(K170/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170)*((История!$C$5:$C$300+История!$F$5:$F$300-ABS(История!$C$5:$C$300-История!$F$5:$F$300))/2)*История!$D$5:$D$300)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IF($B171="","",IF(SUMIFS('ИТОГО Торговля'!$C$5:$C$300,'ИТОГО Торговля'!$B$5:$B$300,$B171)+SUMIFS('ИТОГО Лэндинг'!$C$5:$C$300,'ИТОГО Лэндинг'!$B$5:$B$300,$B171)+SUMIFS('История'!$C$5:$C$300,'История'!$B$5:$B$300,$B171)=0,"",SUMIFS('ИТОГО Торговля'!$C$5:$C$300,'ИТОГО Торговля'!$B$5:$B$300,$B171)+SUMIFS('ИТОГО Лэндинг'!$C$5:$C$300,'ИТОГО Лэндинг'!$B$5:$B$300,$B171)+SUMIFS('История'!$C$5:$C$300,'История'!$B$5:$B$300,$B171)))</f>
        <v/>
      </c>
      <c r="D171" s="177">
        <f>IF(C171="","",E171/C171)</f>
        <v/>
      </c>
      <c r="E171" s="241">
        <f>IF(C171="","",SUMIFS('ИТОГО Торговля'!$E$5:$E$300,'ИТОГО Торговля'!$B$5:$B$300,$B171)+SUMIFS('ИТОГО Лэндинг'!$E$5:$E$300,'ИТОГО Лэндинг'!$B$5:$B$300,$B171)+SUMIFS('История'!$E$5:$E$300,'История'!$B$5:$B$300,$B171))</f>
        <v/>
      </c>
      <c r="F171" s="240">
        <f>IF($B171="","",IF(SUMIFS('ИТОГО Торговля'!$F$5:$F$300,'ИТОГО Торговля'!$B$5:$B$300,$B171)+SUMIFS('ИТОГО Лэндинг'!$F$5:$F$300,'ИТОГО Лэндинг'!$B$5:$B$300,$B171)+SUMIFS('История'!$F$5:$F$300,'История'!$B$5:$B$300,$B171)=0,"",SUMIFS('ИТОГО Торговля'!$F$5:$F$300,'ИТОГО Торговля'!$B$5:$B$300,$B171)+SUMIFS('ИТОГО Лэндинг'!$F$5:$F$300,'ИТОГО Лэндинг'!$B$5:$B$300,$B171)+SUMIFS('История'!$F$5:$F$300,'История'!$B$5:$B$300,$B171)))</f>
        <v/>
      </c>
      <c r="G171" s="177">
        <f>IF(F171="","",H171/F171)</f>
        <v/>
      </c>
      <c r="H171" s="241">
        <f>IF(F171="","",SUMIFS('ИТОГО Торговля'!$H$5:$H$300,'ИТОГО Торговля'!$B$5:$B$300,$B171)+SUMIFS('ИТОГО Лэндинг'!$H$5:$H$300,'ИТОГО Лэндинг'!$B$5:$B$300,$B171)+SUMIFS('История'!$H$5:$H$300,'История'!$B$5:$B$300,$B171))</f>
        <v/>
      </c>
      <c r="I171" s="240">
        <f>IF($B171="","",IF(AND(C171="",F171=""),"",ROUND(SUMIFS('ИТОГО Торговля'!$I$5:$I$300,'ИТОГО Торговля'!$B$5:$B$300,$B171)+SUMIFS('ИТОГО Лэндинг'!$I$5:$I$300,'ИТОГО Лэндинг'!$B$5:$B$300,$B171)+SUMIFS('История'!$I$5:$I$300,'История'!$B$5:$B$300,$B171),8)))</f>
        <v/>
      </c>
      <c r="J171" s="241">
        <f>IF($B171="","",IF(AND(C171="",F171=""),"",ROUND(SUMIFS('ИТОГО Торговля'!$J$5:$J$300,'ИТОГО Торговля'!$B$5:$B$300,$B171)+SUMIFS('ИТОГО Лэндинг'!$J$5:$J$300,'ИТОГО Лэндинг'!$B$5:$B$300,$B171)+SUMIFS('История'!$J$5:$J$300,'История'!$B$5:$B$300,$B171),8)))</f>
        <v/>
      </c>
      <c r="K171" s="240">
        <f>IF($B171="","",ROUND(SUMIFS('ИТОГО Торговля'!$K$5:$K$300,'ИТОГО Торговля'!$B$5:$B$300,$B171)+SUMIFS('ИТОГО Лэндинг'!$K$5:$K$300,'ИТОГО Лэндинг'!$B$5:$B$300,$B171)+SUMIFS('История'!$K$5:$K$300,'История'!$B$5:$B$300,$B171),8))</f>
        <v/>
      </c>
      <c r="L171" s="177">
        <f>IF(K171="","",IF(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171)*((История!$C$5:$C$300+История!$F$5:$F$300-ABS(История!$C$5:$C$300-История!$F$5:$F$300))/2)*История!$D$5:$D$300))&lt;=0,0,ROUND(K171/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171)*((История!$C$5:$C$300+История!$F$5:$F$300-ABS(История!$C$5:$C$300-История!$F$5:$F$300))/2)*История!$D$5:$D$300)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IF($B172="","",IF(SUMIFS('ИТОГО Торговля'!$C$5:$C$300,'ИТОГО Торговля'!$B$5:$B$300,$B172)+SUMIFS('ИТОГО Лэндинг'!$C$5:$C$300,'ИТОГО Лэндинг'!$B$5:$B$300,$B172)+SUMIFS('История'!$C$5:$C$300,'История'!$B$5:$B$300,$B172)=0,"",SUMIFS('ИТОГО Торговля'!$C$5:$C$300,'ИТОГО Торговля'!$B$5:$B$300,$B172)+SUMIFS('ИТОГО Лэндинг'!$C$5:$C$300,'ИТОГО Лэндинг'!$B$5:$B$300,$B172)+SUMIFS('История'!$C$5:$C$300,'История'!$B$5:$B$300,$B172)))</f>
        <v/>
      </c>
      <c r="D172" s="183">
        <f>IF(C172="","",E172/C172)</f>
        <v/>
      </c>
      <c r="E172" s="247">
        <f>IF(C172="","",SUMIFS('ИТОГО Торговля'!$E$5:$E$300,'ИТОГО Торговля'!$B$5:$B$300,$B172)+SUMIFS('ИТОГО Лэндинг'!$E$5:$E$300,'ИТОГО Лэндинг'!$B$5:$B$300,$B172)+SUMIFS('История'!$E$5:$E$300,'История'!$B$5:$B$300,$B172))</f>
        <v/>
      </c>
      <c r="F172" s="246">
        <f>IF($B172="","",IF(SUMIFS('ИТОГО Торговля'!$F$5:$F$300,'ИТОГО Торговля'!$B$5:$B$300,$B172)+SUMIFS('ИТОГО Лэндинг'!$F$5:$F$300,'ИТОГО Лэндинг'!$B$5:$B$300,$B172)+SUMIFS('История'!$F$5:$F$300,'История'!$B$5:$B$300,$B172)=0,"",SUMIFS('ИТОГО Торговля'!$F$5:$F$300,'ИТОГО Торговля'!$B$5:$B$300,$B172)+SUMIFS('ИТОГО Лэндинг'!$F$5:$F$300,'ИТОГО Лэндинг'!$B$5:$B$300,$B172)+SUMIFS('История'!$F$5:$F$300,'История'!$B$5:$B$300,$B172)))</f>
        <v/>
      </c>
      <c r="G172" s="183">
        <f>IF(F172="","",H172/F172)</f>
        <v/>
      </c>
      <c r="H172" s="247">
        <f>IF(F172="","",SUMIFS('ИТОГО Торговля'!$H$5:$H$300,'ИТОГО Торговля'!$B$5:$B$300,$B172)+SUMIFS('ИТОГО Лэндинг'!$H$5:$H$300,'ИТОГО Лэндинг'!$B$5:$B$300,$B172)+SUMIFS('История'!$H$5:$H$300,'История'!$B$5:$B$300,$B172))</f>
        <v/>
      </c>
      <c r="I172" s="246">
        <f>IF($B172="","",IF(AND(C172="",F172=""),"",ROUND(SUMIFS('ИТОГО Торговля'!$I$5:$I$300,'ИТОГО Торговля'!$B$5:$B$300,$B172)+SUMIFS('ИТОГО Лэндинг'!$I$5:$I$300,'ИТОГО Лэндинг'!$B$5:$B$300,$B172)+SUMIFS('История'!$I$5:$I$300,'История'!$B$5:$B$300,$B172),8)))</f>
        <v/>
      </c>
      <c r="J172" s="247">
        <f>IF($B172="","",IF(AND(C172="",F172=""),"",ROUND(SUMIFS('ИТОГО Торговля'!$J$5:$J$300,'ИТОГО Торговля'!$B$5:$B$300,$B172)+SUMIFS('ИТОГО Лэндинг'!$J$5:$J$300,'ИТОГО Лэндинг'!$B$5:$B$300,$B172)+SUMIFS('История'!$J$5:$J$300,'История'!$B$5:$B$300,$B172),8)))</f>
        <v/>
      </c>
      <c r="K172" s="246">
        <f>IF($B172="","",ROUND(SUMIFS('ИТОГО Торговля'!$K$5:$K$300,'ИТОГО Торговля'!$B$5:$B$300,$B172)+SUMIFS('ИТОГО Лэндинг'!$K$5:$K$300,'ИТОГО Лэндинг'!$B$5:$B$300,$B172)+SUMIFS('История'!$K$5:$K$300,'История'!$B$5:$B$300,$B172),8))</f>
        <v/>
      </c>
      <c r="L172" s="183">
        <f>IF(K172="","",IF(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172)*((История!$C$5:$C$300+История!$F$5:$F$300-ABS(История!$C$5:$C$300-История!$F$5:$F$300))/2)*История!$D$5:$D$300))&lt;=0,0,ROUND(K172/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172)*((История!$C$5:$C$300+История!$F$5:$F$300-ABS(История!$C$5:$C$300-История!$F$5:$F$300))/2)*История!$D$5:$D$300)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IF($B173="","",IF(SUMIFS('ИТОГО Торговля'!$C$5:$C$300,'ИТОГО Торговля'!$B$5:$B$300,$B173)+SUMIFS('ИТОГО Лэндинг'!$C$5:$C$300,'ИТОГО Лэндинг'!$B$5:$B$300,$B173)+SUMIFS('История'!$C$5:$C$300,'История'!$B$5:$B$300,$B173)=0,"",SUMIFS('ИТОГО Торговля'!$C$5:$C$300,'ИТОГО Торговля'!$B$5:$B$300,$B173)+SUMIFS('ИТОГО Лэндинг'!$C$5:$C$300,'ИТОГО Лэндинг'!$B$5:$B$300,$B173)+SUMIFS('История'!$C$5:$C$300,'История'!$B$5:$B$300,$B173)))</f>
        <v/>
      </c>
      <c r="D173" s="177">
        <f>IF(C173="","",E173/C173)</f>
        <v/>
      </c>
      <c r="E173" s="241">
        <f>IF(C173="","",SUMIFS('ИТОГО Торговля'!$E$5:$E$300,'ИТОГО Торговля'!$B$5:$B$300,$B173)+SUMIFS('ИТОГО Лэндинг'!$E$5:$E$300,'ИТОГО Лэндинг'!$B$5:$B$300,$B173)+SUMIFS('История'!$E$5:$E$300,'История'!$B$5:$B$300,$B173))</f>
        <v/>
      </c>
      <c r="F173" s="240">
        <f>IF($B173="","",IF(SUMIFS('ИТОГО Торговля'!$F$5:$F$300,'ИТОГО Торговля'!$B$5:$B$300,$B173)+SUMIFS('ИТОГО Лэндинг'!$F$5:$F$300,'ИТОГО Лэндинг'!$B$5:$B$300,$B173)+SUMIFS('История'!$F$5:$F$300,'История'!$B$5:$B$300,$B173)=0,"",SUMIFS('ИТОГО Торговля'!$F$5:$F$300,'ИТОГО Торговля'!$B$5:$B$300,$B173)+SUMIFS('ИТОГО Лэндинг'!$F$5:$F$300,'ИТОГО Лэндинг'!$B$5:$B$300,$B173)+SUMIFS('История'!$F$5:$F$300,'История'!$B$5:$B$300,$B173)))</f>
        <v/>
      </c>
      <c r="G173" s="177">
        <f>IF(F173="","",H173/F173)</f>
        <v/>
      </c>
      <c r="H173" s="241">
        <f>IF(F173="","",SUMIFS('ИТОГО Торговля'!$H$5:$H$300,'ИТОГО Торговля'!$B$5:$B$300,$B173)+SUMIFS('ИТОГО Лэндинг'!$H$5:$H$300,'ИТОГО Лэндинг'!$B$5:$B$300,$B173)+SUMIFS('История'!$H$5:$H$300,'История'!$B$5:$B$300,$B173))</f>
        <v/>
      </c>
      <c r="I173" s="240">
        <f>IF($B173="","",IF(AND(C173="",F173=""),"",ROUND(SUMIFS('ИТОГО Торговля'!$I$5:$I$300,'ИТОГО Торговля'!$B$5:$B$300,$B173)+SUMIFS('ИТОГО Лэндинг'!$I$5:$I$300,'ИТОГО Лэндинг'!$B$5:$B$300,$B173)+SUMIFS('История'!$I$5:$I$300,'История'!$B$5:$B$300,$B173),8)))</f>
        <v/>
      </c>
      <c r="J173" s="241">
        <f>IF($B173="","",IF(AND(C173="",F173=""),"",ROUND(SUMIFS('ИТОГО Торговля'!$J$5:$J$300,'ИТОГО Торговля'!$B$5:$B$300,$B173)+SUMIFS('ИТОГО Лэндинг'!$J$5:$J$300,'ИТОГО Лэндинг'!$B$5:$B$300,$B173)+SUMIFS('История'!$J$5:$J$300,'История'!$B$5:$B$300,$B173),8)))</f>
        <v/>
      </c>
      <c r="K173" s="240">
        <f>IF($B173="","",ROUND(SUMIFS('ИТОГО Торговля'!$K$5:$K$300,'ИТОГО Торговля'!$B$5:$B$300,$B173)+SUMIFS('ИТОГО Лэндинг'!$K$5:$K$300,'ИТОГО Лэндинг'!$B$5:$B$300,$B173)+SUMIFS('История'!$K$5:$K$300,'История'!$B$5:$B$300,$B173),8))</f>
        <v/>
      </c>
      <c r="L173" s="177">
        <f>IF(K173="","",IF(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173)*((История!$C$5:$C$300+История!$F$5:$F$300-ABS(История!$C$5:$C$300-История!$F$5:$F$300))/2)*История!$D$5:$D$300))&lt;=0,0,ROUND(K173/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173)*((История!$C$5:$C$300+История!$F$5:$F$300-ABS(История!$C$5:$C$300-История!$F$5:$F$300))/2)*История!$D$5:$D$300)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IF($B174="","",IF(SUMIFS('ИТОГО Торговля'!$C$5:$C$300,'ИТОГО Торговля'!$B$5:$B$300,$B174)+SUMIFS('ИТОГО Лэндинг'!$C$5:$C$300,'ИТОГО Лэндинг'!$B$5:$B$300,$B174)+SUMIFS('История'!$C$5:$C$300,'История'!$B$5:$B$300,$B174)=0,"",SUMIFS('ИТОГО Торговля'!$C$5:$C$300,'ИТОГО Торговля'!$B$5:$B$300,$B174)+SUMIFS('ИТОГО Лэндинг'!$C$5:$C$300,'ИТОГО Лэндинг'!$B$5:$B$300,$B174)+SUMIFS('История'!$C$5:$C$300,'История'!$B$5:$B$300,$B174)))</f>
        <v/>
      </c>
      <c r="D174" s="183">
        <f>IF(C174="","",E174/C174)</f>
        <v/>
      </c>
      <c r="E174" s="247">
        <f>IF(C174="","",SUMIFS('ИТОГО Торговля'!$E$5:$E$300,'ИТОГО Торговля'!$B$5:$B$300,$B174)+SUMIFS('ИТОГО Лэндинг'!$E$5:$E$300,'ИТОГО Лэндинг'!$B$5:$B$300,$B174)+SUMIFS('История'!$E$5:$E$300,'История'!$B$5:$B$300,$B174))</f>
        <v/>
      </c>
      <c r="F174" s="246">
        <f>IF($B174="","",IF(SUMIFS('ИТОГО Торговля'!$F$5:$F$300,'ИТОГО Торговля'!$B$5:$B$300,$B174)+SUMIFS('ИТОГО Лэндинг'!$F$5:$F$300,'ИТОГО Лэндинг'!$B$5:$B$300,$B174)+SUMIFS('История'!$F$5:$F$300,'История'!$B$5:$B$300,$B174)=0,"",SUMIFS('ИТОГО Торговля'!$F$5:$F$300,'ИТОГО Торговля'!$B$5:$B$300,$B174)+SUMIFS('ИТОГО Лэндинг'!$F$5:$F$300,'ИТОГО Лэндинг'!$B$5:$B$300,$B174)+SUMIFS('История'!$F$5:$F$300,'История'!$B$5:$B$300,$B174)))</f>
        <v/>
      </c>
      <c r="G174" s="183">
        <f>IF(F174="","",H174/F174)</f>
        <v/>
      </c>
      <c r="H174" s="247">
        <f>IF(F174="","",SUMIFS('ИТОГО Торговля'!$H$5:$H$300,'ИТОГО Торговля'!$B$5:$B$300,$B174)+SUMIFS('ИТОГО Лэндинг'!$H$5:$H$300,'ИТОГО Лэндинг'!$B$5:$B$300,$B174)+SUMIFS('История'!$H$5:$H$300,'История'!$B$5:$B$300,$B174))</f>
        <v/>
      </c>
      <c r="I174" s="246">
        <f>IF($B174="","",IF(AND(C174="",F174=""),"",ROUND(SUMIFS('ИТОГО Торговля'!$I$5:$I$300,'ИТОГО Торговля'!$B$5:$B$300,$B174)+SUMIFS('ИТОГО Лэндинг'!$I$5:$I$300,'ИТОГО Лэндинг'!$B$5:$B$300,$B174)+SUMIFS('История'!$I$5:$I$300,'История'!$B$5:$B$300,$B174),8)))</f>
        <v/>
      </c>
      <c r="J174" s="247">
        <f>IF($B174="","",IF(AND(C174="",F174=""),"",ROUND(SUMIFS('ИТОГО Торговля'!$J$5:$J$300,'ИТОГО Торговля'!$B$5:$B$300,$B174)+SUMIFS('ИТОГО Лэндинг'!$J$5:$J$300,'ИТОГО Лэндинг'!$B$5:$B$300,$B174)+SUMIFS('История'!$J$5:$J$300,'История'!$B$5:$B$300,$B174),8)))</f>
        <v/>
      </c>
      <c r="K174" s="246">
        <f>IF($B174="","",ROUND(SUMIFS('ИТОГО Торговля'!$K$5:$K$300,'ИТОГО Торговля'!$B$5:$B$300,$B174)+SUMIFS('ИТОГО Лэндинг'!$K$5:$K$300,'ИТОГО Лэндинг'!$B$5:$B$300,$B174)+SUMIFS('История'!$K$5:$K$300,'История'!$B$5:$B$300,$B174),8))</f>
        <v/>
      </c>
      <c r="L174" s="183">
        <f>IF(K174="","",IF(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174)*((История!$C$5:$C$300+История!$F$5:$F$300-ABS(История!$C$5:$C$300-История!$F$5:$F$300))/2)*История!$D$5:$D$300))&lt;=0,0,ROUND(K174/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174)*((История!$C$5:$C$300+История!$F$5:$F$300-ABS(История!$C$5:$C$300-История!$F$5:$F$300))/2)*История!$D$5:$D$300)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IF($B175="","",IF(SUMIFS('ИТОГО Торговля'!$C$5:$C$300,'ИТОГО Торговля'!$B$5:$B$300,$B175)+SUMIFS('ИТОГО Лэндинг'!$C$5:$C$300,'ИТОГО Лэндинг'!$B$5:$B$300,$B175)+SUMIFS('История'!$C$5:$C$300,'История'!$B$5:$B$300,$B175)=0,"",SUMIFS('ИТОГО Торговля'!$C$5:$C$300,'ИТОГО Торговля'!$B$5:$B$300,$B175)+SUMIFS('ИТОГО Лэндинг'!$C$5:$C$300,'ИТОГО Лэндинг'!$B$5:$B$300,$B175)+SUMIFS('История'!$C$5:$C$300,'История'!$B$5:$B$300,$B175)))</f>
        <v/>
      </c>
      <c r="D175" s="177">
        <f>IF(C175="","",E175/C175)</f>
        <v/>
      </c>
      <c r="E175" s="241">
        <f>IF(C175="","",SUMIFS('ИТОГО Торговля'!$E$5:$E$300,'ИТОГО Торговля'!$B$5:$B$300,$B175)+SUMIFS('ИТОГО Лэндинг'!$E$5:$E$300,'ИТОГО Лэндинг'!$B$5:$B$300,$B175)+SUMIFS('История'!$E$5:$E$300,'История'!$B$5:$B$300,$B175))</f>
        <v/>
      </c>
      <c r="F175" s="240">
        <f>IF($B175="","",IF(SUMIFS('ИТОГО Торговля'!$F$5:$F$300,'ИТОГО Торговля'!$B$5:$B$300,$B175)+SUMIFS('ИТОГО Лэндинг'!$F$5:$F$300,'ИТОГО Лэндинг'!$B$5:$B$300,$B175)+SUMIFS('История'!$F$5:$F$300,'История'!$B$5:$B$300,$B175)=0,"",SUMIFS('ИТОГО Торговля'!$F$5:$F$300,'ИТОГО Торговля'!$B$5:$B$300,$B175)+SUMIFS('ИТОГО Лэндинг'!$F$5:$F$300,'ИТОГО Лэндинг'!$B$5:$B$300,$B175)+SUMIFS('История'!$F$5:$F$300,'История'!$B$5:$B$300,$B175)))</f>
        <v/>
      </c>
      <c r="G175" s="177">
        <f>IF(F175="","",H175/F175)</f>
        <v/>
      </c>
      <c r="H175" s="241">
        <f>IF(F175="","",SUMIFS('ИТОГО Торговля'!$H$5:$H$300,'ИТОГО Торговля'!$B$5:$B$300,$B175)+SUMIFS('ИТОГО Лэндинг'!$H$5:$H$300,'ИТОГО Лэндинг'!$B$5:$B$300,$B175)+SUMIFS('История'!$H$5:$H$300,'История'!$B$5:$B$300,$B175))</f>
        <v/>
      </c>
      <c r="I175" s="240">
        <f>IF($B175="","",IF(AND(C175="",F175=""),"",ROUND(SUMIFS('ИТОГО Торговля'!$I$5:$I$300,'ИТОГО Торговля'!$B$5:$B$300,$B175)+SUMIFS('ИТОГО Лэндинг'!$I$5:$I$300,'ИТОГО Лэндинг'!$B$5:$B$300,$B175)+SUMIFS('История'!$I$5:$I$300,'История'!$B$5:$B$300,$B175),8)))</f>
        <v/>
      </c>
      <c r="J175" s="241">
        <f>IF($B175="","",IF(AND(C175="",F175=""),"",ROUND(SUMIFS('ИТОГО Торговля'!$J$5:$J$300,'ИТОГО Торговля'!$B$5:$B$300,$B175)+SUMIFS('ИТОГО Лэндинг'!$J$5:$J$300,'ИТОГО Лэндинг'!$B$5:$B$300,$B175)+SUMIFS('История'!$J$5:$J$300,'История'!$B$5:$B$300,$B175),8)))</f>
        <v/>
      </c>
      <c r="K175" s="240">
        <f>IF($B175="","",ROUND(SUMIFS('ИТОГО Торговля'!$K$5:$K$300,'ИТОГО Торговля'!$B$5:$B$300,$B175)+SUMIFS('ИТОГО Лэндинг'!$K$5:$K$300,'ИТОГО Лэндинг'!$B$5:$B$300,$B175)+SUMIFS('История'!$K$5:$K$300,'История'!$B$5:$B$300,$B175),8))</f>
        <v/>
      </c>
      <c r="L175" s="177">
        <f>IF(K175="","",IF(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175)*((История!$C$5:$C$300+История!$F$5:$F$300-ABS(История!$C$5:$C$300-История!$F$5:$F$300))/2)*История!$D$5:$D$300))&lt;=0,0,ROUND(K175/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175)*((История!$C$5:$C$300+История!$F$5:$F$300-ABS(История!$C$5:$C$300-История!$F$5:$F$300))/2)*История!$D$5:$D$300)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IF($B176="","",IF(SUMIFS('ИТОГО Торговля'!$C$5:$C$300,'ИТОГО Торговля'!$B$5:$B$300,$B176)+SUMIFS('ИТОГО Лэндинг'!$C$5:$C$300,'ИТОГО Лэндинг'!$B$5:$B$300,$B176)+SUMIFS('История'!$C$5:$C$300,'История'!$B$5:$B$300,$B176)=0,"",SUMIFS('ИТОГО Торговля'!$C$5:$C$300,'ИТОГО Торговля'!$B$5:$B$300,$B176)+SUMIFS('ИТОГО Лэндинг'!$C$5:$C$300,'ИТОГО Лэндинг'!$B$5:$B$300,$B176)+SUMIFS('История'!$C$5:$C$300,'История'!$B$5:$B$300,$B176)))</f>
        <v/>
      </c>
      <c r="D176" s="183">
        <f>IF(C176="","",E176/C176)</f>
        <v/>
      </c>
      <c r="E176" s="247">
        <f>IF(C176="","",SUMIFS('ИТОГО Торговля'!$E$5:$E$300,'ИТОГО Торговля'!$B$5:$B$300,$B176)+SUMIFS('ИТОГО Лэндинг'!$E$5:$E$300,'ИТОГО Лэндинг'!$B$5:$B$300,$B176)+SUMIFS('История'!$E$5:$E$300,'История'!$B$5:$B$300,$B176))</f>
        <v/>
      </c>
      <c r="F176" s="246">
        <f>IF($B176="","",IF(SUMIFS('ИТОГО Торговля'!$F$5:$F$300,'ИТОГО Торговля'!$B$5:$B$300,$B176)+SUMIFS('ИТОГО Лэндинг'!$F$5:$F$300,'ИТОГО Лэндинг'!$B$5:$B$300,$B176)+SUMIFS('История'!$F$5:$F$300,'История'!$B$5:$B$300,$B176)=0,"",SUMIFS('ИТОГО Торговля'!$F$5:$F$300,'ИТОГО Торговля'!$B$5:$B$300,$B176)+SUMIFS('ИТОГО Лэндинг'!$F$5:$F$300,'ИТОГО Лэндинг'!$B$5:$B$300,$B176)+SUMIFS('История'!$F$5:$F$300,'История'!$B$5:$B$300,$B176)))</f>
        <v/>
      </c>
      <c r="G176" s="183">
        <f>IF(F176="","",H176/F176)</f>
        <v/>
      </c>
      <c r="H176" s="247">
        <f>IF(F176="","",SUMIFS('ИТОГО Торговля'!$H$5:$H$300,'ИТОГО Торговля'!$B$5:$B$300,$B176)+SUMIFS('ИТОГО Лэндинг'!$H$5:$H$300,'ИТОГО Лэндинг'!$B$5:$B$300,$B176)+SUMIFS('История'!$H$5:$H$300,'История'!$B$5:$B$300,$B176))</f>
        <v/>
      </c>
      <c r="I176" s="246">
        <f>IF($B176="","",IF(AND(C176="",F176=""),"",ROUND(SUMIFS('ИТОГО Торговля'!$I$5:$I$300,'ИТОГО Торговля'!$B$5:$B$300,$B176)+SUMIFS('ИТОГО Лэндинг'!$I$5:$I$300,'ИТОГО Лэндинг'!$B$5:$B$300,$B176)+SUMIFS('История'!$I$5:$I$300,'История'!$B$5:$B$300,$B176),8)))</f>
        <v/>
      </c>
      <c r="J176" s="247">
        <f>IF($B176="","",IF(AND(C176="",F176=""),"",ROUND(SUMIFS('ИТОГО Торговля'!$J$5:$J$300,'ИТОГО Торговля'!$B$5:$B$300,$B176)+SUMIFS('ИТОГО Лэндинг'!$J$5:$J$300,'ИТОГО Лэндинг'!$B$5:$B$300,$B176)+SUMIFS('История'!$J$5:$J$300,'История'!$B$5:$B$300,$B176),8)))</f>
        <v/>
      </c>
      <c r="K176" s="246">
        <f>IF($B176="","",ROUND(SUMIFS('ИТОГО Торговля'!$K$5:$K$300,'ИТОГО Торговля'!$B$5:$B$300,$B176)+SUMIFS('ИТОГО Лэндинг'!$K$5:$K$300,'ИТОГО Лэндинг'!$B$5:$B$300,$B176)+SUMIFS('История'!$K$5:$K$300,'История'!$B$5:$B$300,$B176),8))</f>
        <v/>
      </c>
      <c r="L176" s="183">
        <f>IF(K176="","",IF(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176)*((История!$C$5:$C$300+История!$F$5:$F$300-ABS(История!$C$5:$C$300-История!$F$5:$F$300))/2)*История!$D$5:$D$300))&lt;=0,0,ROUND(K176/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176)*((История!$C$5:$C$300+История!$F$5:$F$300-ABS(История!$C$5:$C$300-История!$F$5:$F$300))/2)*История!$D$5:$D$300)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IF($B177="","",IF(SUMIFS('ИТОГО Торговля'!$C$5:$C$300,'ИТОГО Торговля'!$B$5:$B$300,$B177)+SUMIFS('ИТОГО Лэндинг'!$C$5:$C$300,'ИТОГО Лэндинг'!$B$5:$B$300,$B177)+SUMIFS('История'!$C$5:$C$300,'История'!$B$5:$B$300,$B177)=0,"",SUMIFS('ИТОГО Торговля'!$C$5:$C$300,'ИТОГО Торговля'!$B$5:$B$300,$B177)+SUMIFS('ИТОГО Лэндинг'!$C$5:$C$300,'ИТОГО Лэндинг'!$B$5:$B$300,$B177)+SUMIFS('История'!$C$5:$C$300,'История'!$B$5:$B$300,$B177)))</f>
        <v/>
      </c>
      <c r="D177" s="177">
        <f>IF(C177="","",E177/C177)</f>
        <v/>
      </c>
      <c r="E177" s="241">
        <f>IF(C177="","",SUMIFS('ИТОГО Торговля'!$E$5:$E$300,'ИТОГО Торговля'!$B$5:$B$300,$B177)+SUMIFS('ИТОГО Лэндинг'!$E$5:$E$300,'ИТОГО Лэндинг'!$B$5:$B$300,$B177)+SUMIFS('История'!$E$5:$E$300,'История'!$B$5:$B$300,$B177))</f>
        <v/>
      </c>
      <c r="F177" s="240">
        <f>IF($B177="","",IF(SUMIFS('ИТОГО Торговля'!$F$5:$F$300,'ИТОГО Торговля'!$B$5:$B$300,$B177)+SUMIFS('ИТОГО Лэндинг'!$F$5:$F$300,'ИТОГО Лэндинг'!$B$5:$B$300,$B177)+SUMIFS('История'!$F$5:$F$300,'История'!$B$5:$B$300,$B177)=0,"",SUMIFS('ИТОГО Торговля'!$F$5:$F$300,'ИТОГО Торговля'!$B$5:$B$300,$B177)+SUMIFS('ИТОГО Лэндинг'!$F$5:$F$300,'ИТОГО Лэндинг'!$B$5:$B$300,$B177)+SUMIFS('История'!$F$5:$F$300,'История'!$B$5:$B$300,$B177)))</f>
        <v/>
      </c>
      <c r="G177" s="177">
        <f>IF(F177="","",H177/F177)</f>
        <v/>
      </c>
      <c r="H177" s="241">
        <f>IF(F177="","",SUMIFS('ИТОГО Торговля'!$H$5:$H$300,'ИТОГО Торговля'!$B$5:$B$300,$B177)+SUMIFS('ИТОГО Лэндинг'!$H$5:$H$300,'ИТОГО Лэндинг'!$B$5:$B$300,$B177)+SUMIFS('История'!$H$5:$H$300,'История'!$B$5:$B$300,$B177))</f>
        <v/>
      </c>
      <c r="I177" s="240">
        <f>IF($B177="","",IF(AND(C177="",F177=""),"",ROUND(SUMIFS('ИТОГО Торговля'!$I$5:$I$300,'ИТОГО Торговля'!$B$5:$B$300,$B177)+SUMIFS('ИТОГО Лэндинг'!$I$5:$I$300,'ИТОГО Лэндинг'!$B$5:$B$300,$B177)+SUMIFS('История'!$I$5:$I$300,'История'!$B$5:$B$300,$B177),8)))</f>
        <v/>
      </c>
      <c r="J177" s="241">
        <f>IF($B177="","",IF(AND(C177="",F177=""),"",ROUND(SUMIFS('ИТОГО Торговля'!$J$5:$J$300,'ИТОГО Торговля'!$B$5:$B$300,$B177)+SUMIFS('ИТОГО Лэндинг'!$J$5:$J$300,'ИТОГО Лэндинг'!$B$5:$B$300,$B177)+SUMIFS('История'!$J$5:$J$300,'История'!$B$5:$B$300,$B177),8)))</f>
        <v/>
      </c>
      <c r="K177" s="240">
        <f>IF($B177="","",ROUND(SUMIFS('ИТОГО Торговля'!$K$5:$K$300,'ИТОГО Торговля'!$B$5:$B$300,$B177)+SUMIFS('ИТОГО Лэндинг'!$K$5:$K$300,'ИТОГО Лэндинг'!$B$5:$B$300,$B177)+SUMIFS('История'!$K$5:$K$300,'История'!$B$5:$B$300,$B177),8))</f>
        <v/>
      </c>
      <c r="L177" s="177">
        <f>IF(K177="","",IF(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177)*((История!$C$5:$C$300+История!$F$5:$F$300-ABS(История!$C$5:$C$300-История!$F$5:$F$300))/2)*История!$D$5:$D$300))&lt;=0,0,ROUND(K177/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177)*((История!$C$5:$C$300+История!$F$5:$F$300-ABS(История!$C$5:$C$300-История!$F$5:$F$300))/2)*История!$D$5:$D$300)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IF($B178="","",IF(SUMIFS('ИТОГО Торговля'!$C$5:$C$300,'ИТОГО Торговля'!$B$5:$B$300,$B178)+SUMIFS('ИТОГО Лэндинг'!$C$5:$C$300,'ИТОГО Лэндинг'!$B$5:$B$300,$B178)+SUMIFS('История'!$C$5:$C$300,'История'!$B$5:$B$300,$B178)=0,"",SUMIFS('ИТОГО Торговля'!$C$5:$C$300,'ИТОГО Торговля'!$B$5:$B$300,$B178)+SUMIFS('ИТОГО Лэндинг'!$C$5:$C$300,'ИТОГО Лэндинг'!$B$5:$B$300,$B178)+SUMIFS('История'!$C$5:$C$300,'История'!$B$5:$B$300,$B178)))</f>
        <v/>
      </c>
      <c r="D178" s="183">
        <f>IF(C178="","",E178/C178)</f>
        <v/>
      </c>
      <c r="E178" s="247">
        <f>IF(C178="","",SUMIFS('ИТОГО Торговля'!$E$5:$E$300,'ИТОГО Торговля'!$B$5:$B$300,$B178)+SUMIFS('ИТОГО Лэндинг'!$E$5:$E$300,'ИТОГО Лэндинг'!$B$5:$B$300,$B178)+SUMIFS('История'!$E$5:$E$300,'История'!$B$5:$B$300,$B178))</f>
        <v/>
      </c>
      <c r="F178" s="246">
        <f>IF($B178="","",IF(SUMIFS('ИТОГО Торговля'!$F$5:$F$300,'ИТОГО Торговля'!$B$5:$B$300,$B178)+SUMIFS('ИТОГО Лэндинг'!$F$5:$F$300,'ИТОГО Лэндинг'!$B$5:$B$300,$B178)+SUMIFS('История'!$F$5:$F$300,'История'!$B$5:$B$300,$B178)=0,"",SUMIFS('ИТОГО Торговля'!$F$5:$F$300,'ИТОГО Торговля'!$B$5:$B$300,$B178)+SUMIFS('ИТОГО Лэндинг'!$F$5:$F$300,'ИТОГО Лэндинг'!$B$5:$B$300,$B178)+SUMIFS('История'!$F$5:$F$300,'История'!$B$5:$B$300,$B178)))</f>
        <v/>
      </c>
      <c r="G178" s="183">
        <f>IF(F178="","",H178/F178)</f>
        <v/>
      </c>
      <c r="H178" s="247">
        <f>IF(F178="","",SUMIFS('ИТОГО Торговля'!$H$5:$H$300,'ИТОГО Торговля'!$B$5:$B$300,$B178)+SUMIFS('ИТОГО Лэндинг'!$H$5:$H$300,'ИТОГО Лэндинг'!$B$5:$B$300,$B178)+SUMIFS('История'!$H$5:$H$300,'История'!$B$5:$B$300,$B178))</f>
        <v/>
      </c>
      <c r="I178" s="246">
        <f>IF($B178="","",IF(AND(C178="",F178=""),"",ROUND(SUMIFS('ИТОГО Торговля'!$I$5:$I$300,'ИТОГО Торговля'!$B$5:$B$300,$B178)+SUMIFS('ИТОГО Лэндинг'!$I$5:$I$300,'ИТОГО Лэндинг'!$B$5:$B$300,$B178)+SUMIFS('История'!$I$5:$I$300,'История'!$B$5:$B$300,$B178),8)))</f>
        <v/>
      </c>
      <c r="J178" s="247">
        <f>IF($B178="","",IF(AND(C178="",F178=""),"",ROUND(SUMIFS('ИТОГО Торговля'!$J$5:$J$300,'ИТОГО Торговля'!$B$5:$B$300,$B178)+SUMIFS('ИТОГО Лэндинг'!$J$5:$J$300,'ИТОГО Лэндинг'!$B$5:$B$300,$B178)+SUMIFS('История'!$J$5:$J$300,'История'!$B$5:$B$300,$B178),8)))</f>
        <v/>
      </c>
      <c r="K178" s="246">
        <f>IF($B178="","",ROUND(SUMIFS('ИТОГО Торговля'!$K$5:$K$300,'ИТОГО Торговля'!$B$5:$B$300,$B178)+SUMIFS('ИТОГО Лэндинг'!$K$5:$K$300,'ИТОГО Лэндинг'!$B$5:$B$300,$B178)+SUMIFS('История'!$K$5:$K$300,'История'!$B$5:$B$300,$B178),8))</f>
        <v/>
      </c>
      <c r="L178" s="183">
        <f>IF(K178="","",IF(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178)*((История!$C$5:$C$300+История!$F$5:$F$300-ABS(История!$C$5:$C$300-История!$F$5:$F$300))/2)*История!$D$5:$D$300))&lt;=0,0,ROUND(K178/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178)*((История!$C$5:$C$300+История!$F$5:$F$300-ABS(История!$C$5:$C$300-История!$F$5:$F$300))/2)*История!$D$5:$D$300)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IF($B179="","",IF(SUMIFS('ИТОГО Торговля'!$C$5:$C$300,'ИТОГО Торговля'!$B$5:$B$300,$B179)+SUMIFS('ИТОГО Лэндинг'!$C$5:$C$300,'ИТОГО Лэндинг'!$B$5:$B$300,$B179)+SUMIFS('История'!$C$5:$C$300,'История'!$B$5:$B$300,$B179)=0,"",SUMIFS('ИТОГО Торговля'!$C$5:$C$300,'ИТОГО Торговля'!$B$5:$B$300,$B179)+SUMIFS('ИТОГО Лэндинг'!$C$5:$C$300,'ИТОГО Лэндинг'!$B$5:$B$300,$B179)+SUMIFS('История'!$C$5:$C$300,'История'!$B$5:$B$300,$B179)))</f>
        <v/>
      </c>
      <c r="D179" s="177">
        <f>IF(C179="","",E179/C179)</f>
        <v/>
      </c>
      <c r="E179" s="241">
        <f>IF(C179="","",SUMIFS('ИТОГО Торговля'!$E$5:$E$300,'ИТОГО Торговля'!$B$5:$B$300,$B179)+SUMIFS('ИТОГО Лэндинг'!$E$5:$E$300,'ИТОГО Лэндинг'!$B$5:$B$300,$B179)+SUMIFS('История'!$E$5:$E$300,'История'!$B$5:$B$300,$B179))</f>
        <v/>
      </c>
      <c r="F179" s="240">
        <f>IF($B179="","",IF(SUMIFS('ИТОГО Торговля'!$F$5:$F$300,'ИТОГО Торговля'!$B$5:$B$300,$B179)+SUMIFS('ИТОГО Лэндинг'!$F$5:$F$300,'ИТОГО Лэндинг'!$B$5:$B$300,$B179)+SUMIFS('История'!$F$5:$F$300,'История'!$B$5:$B$300,$B179)=0,"",SUMIFS('ИТОГО Торговля'!$F$5:$F$300,'ИТОГО Торговля'!$B$5:$B$300,$B179)+SUMIFS('ИТОГО Лэндинг'!$F$5:$F$300,'ИТОГО Лэндинг'!$B$5:$B$300,$B179)+SUMIFS('История'!$F$5:$F$300,'История'!$B$5:$B$300,$B179)))</f>
        <v/>
      </c>
      <c r="G179" s="177">
        <f>IF(F179="","",H179/F179)</f>
        <v/>
      </c>
      <c r="H179" s="241">
        <f>IF(F179="","",SUMIFS('ИТОГО Торговля'!$H$5:$H$300,'ИТОГО Торговля'!$B$5:$B$300,$B179)+SUMIFS('ИТОГО Лэндинг'!$H$5:$H$300,'ИТОГО Лэндинг'!$B$5:$B$300,$B179)+SUMIFS('История'!$H$5:$H$300,'История'!$B$5:$B$300,$B179))</f>
        <v/>
      </c>
      <c r="I179" s="240">
        <f>IF($B179="","",IF(AND(C179="",F179=""),"",ROUND(SUMIFS('ИТОГО Торговля'!$I$5:$I$300,'ИТОГО Торговля'!$B$5:$B$300,$B179)+SUMIFS('ИТОГО Лэндинг'!$I$5:$I$300,'ИТОГО Лэндинг'!$B$5:$B$300,$B179)+SUMIFS('История'!$I$5:$I$300,'История'!$B$5:$B$300,$B179),8)))</f>
        <v/>
      </c>
      <c r="J179" s="241">
        <f>IF($B179="","",IF(AND(C179="",F179=""),"",ROUND(SUMIFS('ИТОГО Торговля'!$J$5:$J$300,'ИТОГО Торговля'!$B$5:$B$300,$B179)+SUMIFS('ИТОГО Лэндинг'!$J$5:$J$300,'ИТОГО Лэндинг'!$B$5:$B$300,$B179)+SUMIFS('История'!$J$5:$J$300,'История'!$B$5:$B$300,$B179),8)))</f>
        <v/>
      </c>
      <c r="K179" s="240">
        <f>IF($B179="","",ROUND(SUMIFS('ИТОГО Торговля'!$K$5:$K$300,'ИТОГО Торговля'!$B$5:$B$300,$B179)+SUMIFS('ИТОГО Лэндинг'!$K$5:$K$300,'ИТОГО Лэндинг'!$B$5:$B$300,$B179)+SUMIFS('История'!$K$5:$K$300,'История'!$B$5:$B$300,$B179),8))</f>
        <v/>
      </c>
      <c r="L179" s="177">
        <f>IF(K179="","",IF(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179)*((История!$C$5:$C$300+История!$F$5:$F$300-ABS(История!$C$5:$C$300-История!$F$5:$F$300))/2)*История!$D$5:$D$300))&lt;=0,0,ROUND(K179/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179)*((История!$C$5:$C$300+История!$F$5:$F$300-ABS(История!$C$5:$C$300-История!$F$5:$F$300))/2)*История!$D$5:$D$300)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IF($B180="","",IF(SUMIFS('ИТОГО Торговля'!$C$5:$C$300,'ИТОГО Торговля'!$B$5:$B$300,$B180)+SUMIFS('ИТОГО Лэндинг'!$C$5:$C$300,'ИТОГО Лэндинг'!$B$5:$B$300,$B180)+SUMIFS('История'!$C$5:$C$300,'История'!$B$5:$B$300,$B180)=0,"",SUMIFS('ИТОГО Торговля'!$C$5:$C$300,'ИТОГО Торговля'!$B$5:$B$300,$B180)+SUMIFS('ИТОГО Лэндинг'!$C$5:$C$300,'ИТОГО Лэндинг'!$B$5:$B$300,$B180)+SUMIFS('История'!$C$5:$C$300,'История'!$B$5:$B$300,$B180)))</f>
        <v/>
      </c>
      <c r="D180" s="183">
        <f>IF(C180="","",E180/C180)</f>
        <v/>
      </c>
      <c r="E180" s="247">
        <f>IF(C180="","",SUMIFS('ИТОГО Торговля'!$E$5:$E$300,'ИТОГО Торговля'!$B$5:$B$300,$B180)+SUMIFS('ИТОГО Лэндинг'!$E$5:$E$300,'ИТОГО Лэндинг'!$B$5:$B$300,$B180)+SUMIFS('История'!$E$5:$E$300,'История'!$B$5:$B$300,$B180))</f>
        <v/>
      </c>
      <c r="F180" s="246">
        <f>IF($B180="","",IF(SUMIFS('ИТОГО Торговля'!$F$5:$F$300,'ИТОГО Торговля'!$B$5:$B$300,$B180)+SUMIFS('ИТОГО Лэндинг'!$F$5:$F$300,'ИТОГО Лэндинг'!$B$5:$B$300,$B180)+SUMIFS('История'!$F$5:$F$300,'История'!$B$5:$B$300,$B180)=0,"",SUMIFS('ИТОГО Торговля'!$F$5:$F$300,'ИТОГО Торговля'!$B$5:$B$300,$B180)+SUMIFS('ИТОГО Лэндинг'!$F$5:$F$300,'ИТОГО Лэндинг'!$B$5:$B$300,$B180)+SUMIFS('История'!$F$5:$F$300,'История'!$B$5:$B$300,$B180)))</f>
        <v/>
      </c>
      <c r="G180" s="183">
        <f>IF(F180="","",H180/F180)</f>
        <v/>
      </c>
      <c r="H180" s="247">
        <f>IF(F180="","",SUMIFS('ИТОГО Торговля'!$H$5:$H$300,'ИТОГО Торговля'!$B$5:$B$300,$B180)+SUMIFS('ИТОГО Лэндинг'!$H$5:$H$300,'ИТОГО Лэндинг'!$B$5:$B$300,$B180)+SUMIFS('История'!$H$5:$H$300,'История'!$B$5:$B$300,$B180))</f>
        <v/>
      </c>
      <c r="I180" s="246">
        <f>IF($B180="","",IF(AND(C180="",F180=""),"",ROUND(SUMIFS('ИТОГО Торговля'!$I$5:$I$300,'ИТОГО Торговля'!$B$5:$B$300,$B180)+SUMIFS('ИТОГО Лэндинг'!$I$5:$I$300,'ИТОГО Лэндинг'!$B$5:$B$300,$B180)+SUMIFS('История'!$I$5:$I$300,'История'!$B$5:$B$300,$B180),8)))</f>
        <v/>
      </c>
      <c r="J180" s="247">
        <f>IF($B180="","",IF(AND(C180="",F180=""),"",ROUND(SUMIFS('ИТОГО Торговля'!$J$5:$J$300,'ИТОГО Торговля'!$B$5:$B$300,$B180)+SUMIFS('ИТОГО Лэндинг'!$J$5:$J$300,'ИТОГО Лэндинг'!$B$5:$B$300,$B180)+SUMIFS('История'!$J$5:$J$300,'История'!$B$5:$B$300,$B180),8)))</f>
        <v/>
      </c>
      <c r="K180" s="246">
        <f>IF($B180="","",ROUND(SUMIFS('ИТОГО Торговля'!$K$5:$K$300,'ИТОГО Торговля'!$B$5:$B$300,$B180)+SUMIFS('ИТОГО Лэндинг'!$K$5:$K$300,'ИТОГО Лэндинг'!$B$5:$B$300,$B180)+SUMIFS('История'!$K$5:$K$300,'История'!$B$5:$B$300,$B180),8))</f>
        <v/>
      </c>
      <c r="L180" s="183">
        <f>IF(K180="","",IF(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180)*((История!$C$5:$C$300+История!$F$5:$F$300-ABS(История!$C$5:$C$300-История!$F$5:$F$300))/2)*История!$D$5:$D$300))&lt;=0,0,ROUND(K180/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180)*((История!$C$5:$C$300+История!$F$5:$F$300-ABS(История!$C$5:$C$300-История!$F$5:$F$300))/2)*История!$D$5:$D$300)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IF($B181="","",IF(SUMIFS('ИТОГО Торговля'!$C$5:$C$300,'ИТОГО Торговля'!$B$5:$B$300,$B181)+SUMIFS('ИТОГО Лэндинг'!$C$5:$C$300,'ИТОГО Лэндинг'!$B$5:$B$300,$B181)+SUMIFS('История'!$C$5:$C$300,'История'!$B$5:$B$300,$B181)=0,"",SUMIFS('ИТОГО Торговля'!$C$5:$C$300,'ИТОГО Торговля'!$B$5:$B$300,$B181)+SUMIFS('ИТОГО Лэндинг'!$C$5:$C$300,'ИТОГО Лэндинг'!$B$5:$B$300,$B181)+SUMIFS('История'!$C$5:$C$300,'История'!$B$5:$B$300,$B181)))</f>
        <v/>
      </c>
      <c r="D181" s="177">
        <f>IF(C181="","",E181/C181)</f>
        <v/>
      </c>
      <c r="E181" s="241">
        <f>IF(C181="","",SUMIFS('ИТОГО Торговля'!$E$5:$E$300,'ИТОГО Торговля'!$B$5:$B$300,$B181)+SUMIFS('ИТОГО Лэндинг'!$E$5:$E$300,'ИТОГО Лэндинг'!$B$5:$B$300,$B181)+SUMIFS('История'!$E$5:$E$300,'История'!$B$5:$B$300,$B181))</f>
        <v/>
      </c>
      <c r="F181" s="240">
        <f>IF($B181="","",IF(SUMIFS('ИТОГО Торговля'!$F$5:$F$300,'ИТОГО Торговля'!$B$5:$B$300,$B181)+SUMIFS('ИТОГО Лэндинг'!$F$5:$F$300,'ИТОГО Лэндинг'!$B$5:$B$300,$B181)+SUMIFS('История'!$F$5:$F$300,'История'!$B$5:$B$300,$B181)=0,"",SUMIFS('ИТОГО Торговля'!$F$5:$F$300,'ИТОГО Торговля'!$B$5:$B$300,$B181)+SUMIFS('ИТОГО Лэндинг'!$F$5:$F$300,'ИТОГО Лэндинг'!$B$5:$B$300,$B181)+SUMIFS('История'!$F$5:$F$300,'История'!$B$5:$B$300,$B181)))</f>
        <v/>
      </c>
      <c r="G181" s="177">
        <f>IF(F181="","",H181/F181)</f>
        <v/>
      </c>
      <c r="H181" s="241">
        <f>IF(F181="","",SUMIFS('ИТОГО Торговля'!$H$5:$H$300,'ИТОГО Торговля'!$B$5:$B$300,$B181)+SUMIFS('ИТОГО Лэндинг'!$H$5:$H$300,'ИТОГО Лэндинг'!$B$5:$B$300,$B181)+SUMIFS('История'!$H$5:$H$300,'История'!$B$5:$B$300,$B181))</f>
        <v/>
      </c>
      <c r="I181" s="240">
        <f>IF($B181="","",IF(AND(C181="",F181=""),"",ROUND(SUMIFS('ИТОГО Торговля'!$I$5:$I$300,'ИТОГО Торговля'!$B$5:$B$300,$B181)+SUMIFS('ИТОГО Лэндинг'!$I$5:$I$300,'ИТОГО Лэндинг'!$B$5:$B$300,$B181)+SUMIFS('История'!$I$5:$I$300,'История'!$B$5:$B$300,$B181),8)))</f>
        <v/>
      </c>
      <c r="J181" s="241">
        <f>IF($B181="","",IF(AND(C181="",F181=""),"",ROUND(SUMIFS('ИТОГО Торговля'!$J$5:$J$300,'ИТОГО Торговля'!$B$5:$B$300,$B181)+SUMIFS('ИТОГО Лэндинг'!$J$5:$J$300,'ИТОГО Лэндинг'!$B$5:$B$300,$B181)+SUMIFS('История'!$J$5:$J$300,'История'!$B$5:$B$300,$B181),8)))</f>
        <v/>
      </c>
      <c r="K181" s="240">
        <f>IF($B181="","",ROUND(SUMIFS('ИТОГО Торговля'!$K$5:$K$300,'ИТОГО Торговля'!$B$5:$B$300,$B181)+SUMIFS('ИТОГО Лэндинг'!$K$5:$K$300,'ИТОГО Лэндинг'!$B$5:$B$300,$B181)+SUMIFS('История'!$K$5:$K$300,'История'!$B$5:$B$300,$B181),8))</f>
        <v/>
      </c>
      <c r="L181" s="177">
        <f>IF(K181="","",IF(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181)*((История!$C$5:$C$300+История!$F$5:$F$300-ABS(История!$C$5:$C$300-История!$F$5:$F$300))/2)*История!$D$5:$D$300))&lt;=0,0,ROUND(K181/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181)*((История!$C$5:$C$300+История!$F$5:$F$300-ABS(История!$C$5:$C$300-История!$F$5:$F$300))/2)*История!$D$5:$D$300)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IF($B182="","",IF(SUMIFS('ИТОГО Торговля'!$C$5:$C$300,'ИТОГО Торговля'!$B$5:$B$300,$B182)+SUMIFS('ИТОГО Лэндинг'!$C$5:$C$300,'ИТОГО Лэндинг'!$B$5:$B$300,$B182)+SUMIFS('История'!$C$5:$C$300,'История'!$B$5:$B$300,$B182)=0,"",SUMIFS('ИТОГО Торговля'!$C$5:$C$300,'ИТОГО Торговля'!$B$5:$B$300,$B182)+SUMIFS('ИТОГО Лэндинг'!$C$5:$C$300,'ИТОГО Лэндинг'!$B$5:$B$300,$B182)+SUMIFS('История'!$C$5:$C$300,'История'!$B$5:$B$300,$B182)))</f>
        <v/>
      </c>
      <c r="D182" s="183">
        <f>IF(C182="","",E182/C182)</f>
        <v/>
      </c>
      <c r="E182" s="247">
        <f>IF(C182="","",SUMIFS('ИТОГО Торговля'!$E$5:$E$300,'ИТОГО Торговля'!$B$5:$B$300,$B182)+SUMIFS('ИТОГО Лэндинг'!$E$5:$E$300,'ИТОГО Лэндинг'!$B$5:$B$300,$B182)+SUMIFS('История'!$E$5:$E$300,'История'!$B$5:$B$300,$B182))</f>
        <v/>
      </c>
      <c r="F182" s="246">
        <f>IF($B182="","",IF(SUMIFS('ИТОГО Торговля'!$F$5:$F$300,'ИТОГО Торговля'!$B$5:$B$300,$B182)+SUMIFS('ИТОГО Лэндинг'!$F$5:$F$300,'ИТОГО Лэндинг'!$B$5:$B$300,$B182)+SUMIFS('История'!$F$5:$F$300,'История'!$B$5:$B$300,$B182)=0,"",SUMIFS('ИТОГО Торговля'!$F$5:$F$300,'ИТОГО Торговля'!$B$5:$B$300,$B182)+SUMIFS('ИТОГО Лэндинг'!$F$5:$F$300,'ИТОГО Лэндинг'!$B$5:$B$300,$B182)+SUMIFS('История'!$F$5:$F$300,'История'!$B$5:$B$300,$B182)))</f>
        <v/>
      </c>
      <c r="G182" s="183">
        <f>IF(F182="","",H182/F182)</f>
        <v/>
      </c>
      <c r="H182" s="247">
        <f>IF(F182="","",SUMIFS('ИТОГО Торговля'!$H$5:$H$300,'ИТОГО Торговля'!$B$5:$B$300,$B182)+SUMIFS('ИТОГО Лэндинг'!$H$5:$H$300,'ИТОГО Лэндинг'!$B$5:$B$300,$B182)+SUMIFS('История'!$H$5:$H$300,'История'!$B$5:$B$300,$B182))</f>
        <v/>
      </c>
      <c r="I182" s="246">
        <f>IF($B182="","",IF(AND(C182="",F182=""),"",ROUND(SUMIFS('ИТОГО Торговля'!$I$5:$I$300,'ИТОГО Торговля'!$B$5:$B$300,$B182)+SUMIFS('ИТОГО Лэндинг'!$I$5:$I$300,'ИТОГО Лэндинг'!$B$5:$B$300,$B182)+SUMIFS('История'!$I$5:$I$300,'История'!$B$5:$B$300,$B182),8)))</f>
        <v/>
      </c>
      <c r="J182" s="247">
        <f>IF($B182="","",IF(AND(C182="",F182=""),"",ROUND(SUMIFS('ИТОГО Торговля'!$J$5:$J$300,'ИТОГО Торговля'!$B$5:$B$300,$B182)+SUMIFS('ИТОГО Лэндинг'!$J$5:$J$300,'ИТОГО Лэндинг'!$B$5:$B$300,$B182)+SUMIFS('История'!$J$5:$J$300,'История'!$B$5:$B$300,$B182),8)))</f>
        <v/>
      </c>
      <c r="K182" s="246">
        <f>IF($B182="","",ROUND(SUMIFS('ИТОГО Торговля'!$K$5:$K$300,'ИТОГО Торговля'!$B$5:$B$300,$B182)+SUMIFS('ИТОГО Лэндинг'!$K$5:$K$300,'ИТОГО Лэндинг'!$B$5:$B$300,$B182)+SUMIFS('История'!$K$5:$K$300,'История'!$B$5:$B$300,$B182),8))</f>
        <v/>
      </c>
      <c r="L182" s="183">
        <f>IF(K182="","",IF(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182)*((История!$C$5:$C$300+История!$F$5:$F$300-ABS(История!$C$5:$C$300-История!$F$5:$F$300))/2)*История!$D$5:$D$300))&lt;=0,0,ROUND(K182/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182)*((История!$C$5:$C$300+История!$F$5:$F$300-ABS(История!$C$5:$C$300-История!$F$5:$F$300))/2)*История!$D$5:$D$300)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IF($B183="","",IF(SUMIFS('ИТОГО Торговля'!$C$5:$C$300,'ИТОГО Торговля'!$B$5:$B$300,$B183)+SUMIFS('ИТОГО Лэндинг'!$C$5:$C$300,'ИТОГО Лэндинг'!$B$5:$B$300,$B183)+SUMIFS('История'!$C$5:$C$300,'История'!$B$5:$B$300,$B183)=0,"",SUMIFS('ИТОГО Торговля'!$C$5:$C$300,'ИТОГО Торговля'!$B$5:$B$300,$B183)+SUMIFS('ИТОГО Лэндинг'!$C$5:$C$300,'ИТОГО Лэндинг'!$B$5:$B$300,$B183)+SUMIFS('История'!$C$5:$C$300,'История'!$B$5:$B$300,$B183)))</f>
        <v/>
      </c>
      <c r="D183" s="177">
        <f>IF(C183="","",E183/C183)</f>
        <v/>
      </c>
      <c r="E183" s="241">
        <f>IF(C183="","",SUMIFS('ИТОГО Торговля'!$E$5:$E$300,'ИТОГО Торговля'!$B$5:$B$300,$B183)+SUMIFS('ИТОГО Лэндинг'!$E$5:$E$300,'ИТОГО Лэндинг'!$B$5:$B$300,$B183)+SUMIFS('История'!$E$5:$E$300,'История'!$B$5:$B$300,$B183))</f>
        <v/>
      </c>
      <c r="F183" s="240">
        <f>IF($B183="","",IF(SUMIFS('ИТОГО Торговля'!$F$5:$F$300,'ИТОГО Торговля'!$B$5:$B$300,$B183)+SUMIFS('ИТОГО Лэндинг'!$F$5:$F$300,'ИТОГО Лэндинг'!$B$5:$B$300,$B183)+SUMIFS('История'!$F$5:$F$300,'История'!$B$5:$B$300,$B183)=0,"",SUMIFS('ИТОГО Торговля'!$F$5:$F$300,'ИТОГО Торговля'!$B$5:$B$300,$B183)+SUMIFS('ИТОГО Лэндинг'!$F$5:$F$300,'ИТОГО Лэндинг'!$B$5:$B$300,$B183)+SUMIFS('История'!$F$5:$F$300,'История'!$B$5:$B$300,$B183)))</f>
        <v/>
      </c>
      <c r="G183" s="177">
        <f>IF(F183="","",H183/F183)</f>
        <v/>
      </c>
      <c r="H183" s="241">
        <f>IF(F183="","",SUMIFS('ИТОГО Торговля'!$H$5:$H$300,'ИТОГО Торговля'!$B$5:$B$300,$B183)+SUMIFS('ИТОГО Лэндинг'!$H$5:$H$300,'ИТОГО Лэндинг'!$B$5:$B$300,$B183)+SUMIFS('История'!$H$5:$H$300,'История'!$B$5:$B$300,$B183))</f>
        <v/>
      </c>
      <c r="I183" s="240">
        <f>IF($B183="","",IF(AND(C183="",F183=""),"",ROUND(SUMIFS('ИТОГО Торговля'!$I$5:$I$300,'ИТОГО Торговля'!$B$5:$B$300,$B183)+SUMIFS('ИТОГО Лэндинг'!$I$5:$I$300,'ИТОГО Лэндинг'!$B$5:$B$300,$B183)+SUMIFS('История'!$I$5:$I$300,'История'!$B$5:$B$300,$B183),8)))</f>
        <v/>
      </c>
      <c r="J183" s="241">
        <f>IF($B183="","",IF(AND(C183="",F183=""),"",ROUND(SUMIFS('ИТОГО Торговля'!$J$5:$J$300,'ИТОГО Торговля'!$B$5:$B$300,$B183)+SUMIFS('ИТОГО Лэндинг'!$J$5:$J$300,'ИТОГО Лэндинг'!$B$5:$B$300,$B183)+SUMIFS('История'!$J$5:$J$300,'История'!$B$5:$B$300,$B183),8)))</f>
        <v/>
      </c>
      <c r="K183" s="240">
        <f>IF($B183="","",ROUND(SUMIFS('ИТОГО Торговля'!$K$5:$K$300,'ИТОГО Торговля'!$B$5:$B$300,$B183)+SUMIFS('ИТОГО Лэндинг'!$K$5:$K$300,'ИТОГО Лэндинг'!$B$5:$B$300,$B183)+SUMIFS('История'!$K$5:$K$300,'История'!$B$5:$B$300,$B183),8))</f>
        <v/>
      </c>
      <c r="L183" s="177">
        <f>IF(K183="","",IF(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183)*((История!$C$5:$C$300+История!$F$5:$F$300-ABS(История!$C$5:$C$300-История!$F$5:$F$300))/2)*История!$D$5:$D$300))&lt;=0,0,ROUND(K183/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183)*((История!$C$5:$C$300+История!$F$5:$F$300-ABS(История!$C$5:$C$300-История!$F$5:$F$300))/2)*История!$D$5:$D$300)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IF($B184="","",IF(SUMIFS('ИТОГО Торговля'!$C$5:$C$300,'ИТОГО Торговля'!$B$5:$B$300,$B184)+SUMIFS('ИТОГО Лэндинг'!$C$5:$C$300,'ИТОГО Лэндинг'!$B$5:$B$300,$B184)+SUMIFS('История'!$C$5:$C$300,'История'!$B$5:$B$300,$B184)=0,"",SUMIFS('ИТОГО Торговля'!$C$5:$C$300,'ИТОГО Торговля'!$B$5:$B$300,$B184)+SUMIFS('ИТОГО Лэндинг'!$C$5:$C$300,'ИТОГО Лэндинг'!$B$5:$B$300,$B184)+SUMIFS('История'!$C$5:$C$300,'История'!$B$5:$B$300,$B184)))</f>
        <v/>
      </c>
      <c r="D184" s="183">
        <f>IF(C184="","",E184/C184)</f>
        <v/>
      </c>
      <c r="E184" s="247">
        <f>IF(C184="","",SUMIFS('ИТОГО Торговля'!$E$5:$E$300,'ИТОГО Торговля'!$B$5:$B$300,$B184)+SUMIFS('ИТОГО Лэндинг'!$E$5:$E$300,'ИТОГО Лэндинг'!$B$5:$B$300,$B184)+SUMIFS('История'!$E$5:$E$300,'История'!$B$5:$B$300,$B184))</f>
        <v/>
      </c>
      <c r="F184" s="246">
        <f>IF($B184="","",IF(SUMIFS('ИТОГО Торговля'!$F$5:$F$300,'ИТОГО Торговля'!$B$5:$B$300,$B184)+SUMIFS('ИТОГО Лэндинг'!$F$5:$F$300,'ИТОГО Лэндинг'!$B$5:$B$300,$B184)+SUMIFS('История'!$F$5:$F$300,'История'!$B$5:$B$300,$B184)=0,"",SUMIFS('ИТОГО Торговля'!$F$5:$F$300,'ИТОГО Торговля'!$B$5:$B$300,$B184)+SUMIFS('ИТОГО Лэндинг'!$F$5:$F$300,'ИТОГО Лэндинг'!$B$5:$B$300,$B184)+SUMIFS('История'!$F$5:$F$300,'История'!$B$5:$B$300,$B184)))</f>
        <v/>
      </c>
      <c r="G184" s="183">
        <f>IF(F184="","",H184/F184)</f>
        <v/>
      </c>
      <c r="H184" s="247">
        <f>IF(F184="","",SUMIFS('ИТОГО Торговля'!$H$5:$H$300,'ИТОГО Торговля'!$B$5:$B$300,$B184)+SUMIFS('ИТОГО Лэндинг'!$H$5:$H$300,'ИТОГО Лэндинг'!$B$5:$B$300,$B184)+SUMIFS('История'!$H$5:$H$300,'История'!$B$5:$B$300,$B184))</f>
        <v/>
      </c>
      <c r="I184" s="246">
        <f>IF($B184="","",IF(AND(C184="",F184=""),"",ROUND(SUMIFS('ИТОГО Торговля'!$I$5:$I$300,'ИТОГО Торговля'!$B$5:$B$300,$B184)+SUMIFS('ИТОГО Лэндинг'!$I$5:$I$300,'ИТОГО Лэндинг'!$B$5:$B$300,$B184)+SUMIFS('История'!$I$5:$I$300,'История'!$B$5:$B$300,$B184),8)))</f>
        <v/>
      </c>
      <c r="J184" s="247">
        <f>IF($B184="","",IF(AND(C184="",F184=""),"",ROUND(SUMIFS('ИТОГО Торговля'!$J$5:$J$300,'ИТОГО Торговля'!$B$5:$B$300,$B184)+SUMIFS('ИТОГО Лэндинг'!$J$5:$J$300,'ИТОГО Лэндинг'!$B$5:$B$300,$B184)+SUMIFS('История'!$J$5:$J$300,'История'!$B$5:$B$300,$B184),8)))</f>
        <v/>
      </c>
      <c r="K184" s="246">
        <f>IF($B184="","",ROUND(SUMIFS('ИТОГО Торговля'!$K$5:$K$300,'ИТОГО Торговля'!$B$5:$B$300,$B184)+SUMIFS('ИТОГО Лэндинг'!$K$5:$K$300,'ИТОГО Лэндинг'!$B$5:$B$300,$B184)+SUMIFS('История'!$K$5:$K$300,'История'!$B$5:$B$300,$B184),8))</f>
        <v/>
      </c>
      <c r="L184" s="183">
        <f>IF(K184="","",IF(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184)*((История!$C$5:$C$300+История!$F$5:$F$300-ABS(История!$C$5:$C$300-История!$F$5:$F$300))/2)*История!$D$5:$D$300))&lt;=0,0,ROUND(K184/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184)*((История!$C$5:$C$300+История!$F$5:$F$300-ABS(История!$C$5:$C$300-История!$F$5:$F$300))/2)*История!$D$5:$D$300)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IF($B185="","",IF(SUMIFS('ИТОГО Торговля'!$C$5:$C$300,'ИТОГО Торговля'!$B$5:$B$300,$B185)+SUMIFS('ИТОГО Лэндинг'!$C$5:$C$300,'ИТОГО Лэндинг'!$B$5:$B$300,$B185)+SUMIFS('История'!$C$5:$C$300,'История'!$B$5:$B$300,$B185)=0,"",SUMIFS('ИТОГО Торговля'!$C$5:$C$300,'ИТОГО Торговля'!$B$5:$B$300,$B185)+SUMIFS('ИТОГО Лэндинг'!$C$5:$C$300,'ИТОГО Лэндинг'!$B$5:$B$300,$B185)+SUMIFS('История'!$C$5:$C$300,'История'!$B$5:$B$300,$B185)))</f>
        <v/>
      </c>
      <c r="D185" s="177">
        <f>IF(C185="","",E185/C185)</f>
        <v/>
      </c>
      <c r="E185" s="241">
        <f>IF(C185="","",SUMIFS('ИТОГО Торговля'!$E$5:$E$300,'ИТОГО Торговля'!$B$5:$B$300,$B185)+SUMIFS('ИТОГО Лэндинг'!$E$5:$E$300,'ИТОГО Лэндинг'!$B$5:$B$300,$B185)+SUMIFS('История'!$E$5:$E$300,'История'!$B$5:$B$300,$B185))</f>
        <v/>
      </c>
      <c r="F185" s="240">
        <f>IF($B185="","",IF(SUMIFS('ИТОГО Торговля'!$F$5:$F$300,'ИТОГО Торговля'!$B$5:$B$300,$B185)+SUMIFS('ИТОГО Лэндинг'!$F$5:$F$300,'ИТОГО Лэндинг'!$B$5:$B$300,$B185)+SUMIFS('История'!$F$5:$F$300,'История'!$B$5:$B$300,$B185)=0,"",SUMIFS('ИТОГО Торговля'!$F$5:$F$300,'ИТОГО Торговля'!$B$5:$B$300,$B185)+SUMIFS('ИТОГО Лэндинг'!$F$5:$F$300,'ИТОГО Лэндинг'!$B$5:$B$300,$B185)+SUMIFS('История'!$F$5:$F$300,'История'!$B$5:$B$300,$B185)))</f>
        <v/>
      </c>
      <c r="G185" s="177">
        <f>IF(F185="","",H185/F185)</f>
        <v/>
      </c>
      <c r="H185" s="241">
        <f>IF(F185="","",SUMIFS('ИТОГО Торговля'!$H$5:$H$300,'ИТОГО Торговля'!$B$5:$B$300,$B185)+SUMIFS('ИТОГО Лэндинг'!$H$5:$H$300,'ИТОГО Лэндинг'!$B$5:$B$300,$B185)+SUMIFS('История'!$H$5:$H$300,'История'!$B$5:$B$300,$B185))</f>
        <v/>
      </c>
      <c r="I185" s="240">
        <f>IF($B185="","",IF(AND(C185="",F185=""),"",ROUND(SUMIFS('ИТОГО Торговля'!$I$5:$I$300,'ИТОГО Торговля'!$B$5:$B$300,$B185)+SUMIFS('ИТОГО Лэндинг'!$I$5:$I$300,'ИТОГО Лэндинг'!$B$5:$B$300,$B185)+SUMIFS('История'!$I$5:$I$300,'История'!$B$5:$B$300,$B185),8)))</f>
        <v/>
      </c>
      <c r="J185" s="241">
        <f>IF($B185="","",IF(AND(C185="",F185=""),"",ROUND(SUMIFS('ИТОГО Торговля'!$J$5:$J$300,'ИТОГО Торговля'!$B$5:$B$300,$B185)+SUMIFS('ИТОГО Лэндинг'!$J$5:$J$300,'ИТОГО Лэндинг'!$B$5:$B$300,$B185)+SUMIFS('История'!$J$5:$J$300,'История'!$B$5:$B$300,$B185),8)))</f>
        <v/>
      </c>
      <c r="K185" s="240">
        <f>IF($B185="","",ROUND(SUMIFS('ИТОГО Торговля'!$K$5:$K$300,'ИТОГО Торговля'!$B$5:$B$300,$B185)+SUMIFS('ИТОГО Лэндинг'!$K$5:$K$300,'ИТОГО Лэндинг'!$B$5:$B$300,$B185)+SUMIFS('История'!$K$5:$K$300,'История'!$B$5:$B$300,$B185),8))</f>
        <v/>
      </c>
      <c r="L185" s="177">
        <f>IF(K185="","",IF(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185)*((История!$C$5:$C$300+История!$F$5:$F$300-ABS(История!$C$5:$C$300-История!$F$5:$F$300))/2)*История!$D$5:$D$300))&lt;=0,0,ROUND(K185/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185)*((История!$C$5:$C$300+История!$F$5:$F$300-ABS(История!$C$5:$C$300-История!$F$5:$F$300))/2)*История!$D$5:$D$300)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IF($B186="","",IF(SUMIFS('ИТОГО Торговля'!$C$5:$C$300,'ИТОГО Торговля'!$B$5:$B$300,$B186)+SUMIFS('ИТОГО Лэндинг'!$C$5:$C$300,'ИТОГО Лэндинг'!$B$5:$B$300,$B186)+SUMIFS('История'!$C$5:$C$300,'История'!$B$5:$B$300,$B186)=0,"",SUMIFS('ИТОГО Торговля'!$C$5:$C$300,'ИТОГО Торговля'!$B$5:$B$300,$B186)+SUMIFS('ИТОГО Лэндинг'!$C$5:$C$300,'ИТОГО Лэндинг'!$B$5:$B$300,$B186)+SUMIFS('История'!$C$5:$C$300,'История'!$B$5:$B$300,$B186)))</f>
        <v/>
      </c>
      <c r="D186" s="183">
        <f>IF(C186="","",E186/C186)</f>
        <v/>
      </c>
      <c r="E186" s="247">
        <f>IF(C186="","",SUMIFS('ИТОГО Торговля'!$E$5:$E$300,'ИТОГО Торговля'!$B$5:$B$300,$B186)+SUMIFS('ИТОГО Лэндинг'!$E$5:$E$300,'ИТОГО Лэндинг'!$B$5:$B$300,$B186)+SUMIFS('История'!$E$5:$E$300,'История'!$B$5:$B$300,$B186))</f>
        <v/>
      </c>
      <c r="F186" s="246">
        <f>IF($B186="","",IF(SUMIFS('ИТОГО Торговля'!$F$5:$F$300,'ИТОГО Торговля'!$B$5:$B$300,$B186)+SUMIFS('ИТОГО Лэндинг'!$F$5:$F$300,'ИТОГО Лэндинг'!$B$5:$B$300,$B186)+SUMIFS('История'!$F$5:$F$300,'История'!$B$5:$B$300,$B186)=0,"",SUMIFS('ИТОГО Торговля'!$F$5:$F$300,'ИТОГО Торговля'!$B$5:$B$300,$B186)+SUMIFS('ИТОГО Лэндинг'!$F$5:$F$300,'ИТОГО Лэндинг'!$B$5:$B$300,$B186)+SUMIFS('История'!$F$5:$F$300,'История'!$B$5:$B$300,$B186)))</f>
        <v/>
      </c>
      <c r="G186" s="183">
        <f>IF(F186="","",H186/F186)</f>
        <v/>
      </c>
      <c r="H186" s="247">
        <f>IF(F186="","",SUMIFS('ИТОГО Торговля'!$H$5:$H$300,'ИТОГО Торговля'!$B$5:$B$300,$B186)+SUMIFS('ИТОГО Лэндинг'!$H$5:$H$300,'ИТОГО Лэндинг'!$B$5:$B$300,$B186)+SUMIFS('История'!$H$5:$H$300,'История'!$B$5:$B$300,$B186))</f>
        <v/>
      </c>
      <c r="I186" s="246">
        <f>IF($B186="","",IF(AND(C186="",F186=""),"",ROUND(SUMIFS('ИТОГО Торговля'!$I$5:$I$300,'ИТОГО Торговля'!$B$5:$B$300,$B186)+SUMIFS('ИТОГО Лэндинг'!$I$5:$I$300,'ИТОГО Лэндинг'!$B$5:$B$300,$B186)+SUMIFS('История'!$I$5:$I$300,'История'!$B$5:$B$300,$B186),8)))</f>
        <v/>
      </c>
      <c r="J186" s="247">
        <f>IF($B186="","",IF(AND(C186="",F186=""),"",ROUND(SUMIFS('ИТОГО Торговля'!$J$5:$J$300,'ИТОГО Торговля'!$B$5:$B$300,$B186)+SUMIFS('ИТОГО Лэндинг'!$J$5:$J$300,'ИТОГО Лэндинг'!$B$5:$B$300,$B186)+SUMIFS('История'!$J$5:$J$300,'История'!$B$5:$B$300,$B186),8)))</f>
        <v/>
      </c>
      <c r="K186" s="246">
        <f>IF($B186="","",ROUND(SUMIFS('ИТОГО Торговля'!$K$5:$K$300,'ИТОГО Торговля'!$B$5:$B$300,$B186)+SUMIFS('ИТОГО Лэндинг'!$K$5:$K$300,'ИТОГО Лэндинг'!$B$5:$B$300,$B186)+SUMIFS('История'!$K$5:$K$300,'История'!$B$5:$B$300,$B186),8))</f>
        <v/>
      </c>
      <c r="L186" s="183">
        <f>IF(K186="","",IF(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186)*((История!$C$5:$C$300+История!$F$5:$F$300-ABS(История!$C$5:$C$300-История!$F$5:$F$300))/2)*История!$D$5:$D$300))&lt;=0,0,ROUND(K186/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186)*((История!$C$5:$C$300+История!$F$5:$F$300-ABS(История!$C$5:$C$300-История!$F$5:$F$300))/2)*История!$D$5:$D$300)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IF($B187="","",IF(SUMIFS('ИТОГО Торговля'!$C$5:$C$300,'ИТОГО Торговля'!$B$5:$B$300,$B187)+SUMIFS('ИТОГО Лэндинг'!$C$5:$C$300,'ИТОГО Лэндинг'!$B$5:$B$300,$B187)+SUMIFS('История'!$C$5:$C$300,'История'!$B$5:$B$300,$B187)=0,"",SUMIFS('ИТОГО Торговля'!$C$5:$C$300,'ИТОГО Торговля'!$B$5:$B$300,$B187)+SUMIFS('ИТОГО Лэндинг'!$C$5:$C$300,'ИТОГО Лэндинг'!$B$5:$B$300,$B187)+SUMIFS('История'!$C$5:$C$300,'История'!$B$5:$B$300,$B187)))</f>
        <v/>
      </c>
      <c r="D187" s="177">
        <f>IF(C187="","",E187/C187)</f>
        <v/>
      </c>
      <c r="E187" s="241">
        <f>IF(C187="","",SUMIFS('ИТОГО Торговля'!$E$5:$E$300,'ИТОГО Торговля'!$B$5:$B$300,$B187)+SUMIFS('ИТОГО Лэндинг'!$E$5:$E$300,'ИТОГО Лэндинг'!$B$5:$B$300,$B187)+SUMIFS('История'!$E$5:$E$300,'История'!$B$5:$B$300,$B187))</f>
        <v/>
      </c>
      <c r="F187" s="240">
        <f>IF($B187="","",IF(SUMIFS('ИТОГО Торговля'!$F$5:$F$300,'ИТОГО Торговля'!$B$5:$B$300,$B187)+SUMIFS('ИТОГО Лэндинг'!$F$5:$F$300,'ИТОГО Лэндинг'!$B$5:$B$300,$B187)+SUMIFS('История'!$F$5:$F$300,'История'!$B$5:$B$300,$B187)=0,"",SUMIFS('ИТОГО Торговля'!$F$5:$F$300,'ИТОГО Торговля'!$B$5:$B$300,$B187)+SUMIFS('ИТОГО Лэндинг'!$F$5:$F$300,'ИТОГО Лэндинг'!$B$5:$B$300,$B187)+SUMIFS('История'!$F$5:$F$300,'История'!$B$5:$B$300,$B187)))</f>
        <v/>
      </c>
      <c r="G187" s="177">
        <f>IF(F187="","",H187/F187)</f>
        <v/>
      </c>
      <c r="H187" s="241">
        <f>IF(F187="","",SUMIFS('ИТОГО Торговля'!$H$5:$H$300,'ИТОГО Торговля'!$B$5:$B$300,$B187)+SUMIFS('ИТОГО Лэндинг'!$H$5:$H$300,'ИТОГО Лэндинг'!$B$5:$B$300,$B187)+SUMIFS('История'!$H$5:$H$300,'История'!$B$5:$B$300,$B187))</f>
        <v/>
      </c>
      <c r="I187" s="240">
        <f>IF($B187="","",IF(AND(C187="",F187=""),"",ROUND(SUMIFS('ИТОГО Торговля'!$I$5:$I$300,'ИТОГО Торговля'!$B$5:$B$300,$B187)+SUMIFS('ИТОГО Лэндинг'!$I$5:$I$300,'ИТОГО Лэндинг'!$B$5:$B$300,$B187)+SUMIFS('История'!$I$5:$I$300,'История'!$B$5:$B$300,$B187),8)))</f>
        <v/>
      </c>
      <c r="J187" s="241">
        <f>IF($B187="","",IF(AND(C187="",F187=""),"",ROUND(SUMIFS('ИТОГО Торговля'!$J$5:$J$300,'ИТОГО Торговля'!$B$5:$B$300,$B187)+SUMIFS('ИТОГО Лэндинг'!$J$5:$J$300,'ИТОГО Лэндинг'!$B$5:$B$300,$B187)+SUMIFS('История'!$J$5:$J$300,'История'!$B$5:$B$300,$B187),8)))</f>
        <v/>
      </c>
      <c r="K187" s="240">
        <f>IF($B187="","",ROUND(SUMIFS('ИТОГО Торговля'!$K$5:$K$300,'ИТОГО Торговля'!$B$5:$B$300,$B187)+SUMIFS('ИТОГО Лэндинг'!$K$5:$K$300,'ИТОГО Лэндинг'!$B$5:$B$300,$B187)+SUMIFS('История'!$K$5:$K$300,'История'!$B$5:$B$300,$B187),8))</f>
        <v/>
      </c>
      <c r="L187" s="177">
        <f>IF(K187="","",IF(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187)*((История!$C$5:$C$300+История!$F$5:$F$300-ABS(История!$C$5:$C$300-История!$F$5:$F$300))/2)*История!$D$5:$D$300))&lt;=0,0,ROUND(K187/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187)*((История!$C$5:$C$300+История!$F$5:$F$300-ABS(История!$C$5:$C$300-История!$F$5:$F$300))/2)*История!$D$5:$D$300)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IF($B188="","",IF(SUMIFS('ИТОГО Торговля'!$C$5:$C$300,'ИТОГО Торговля'!$B$5:$B$300,$B188)+SUMIFS('ИТОГО Лэндинг'!$C$5:$C$300,'ИТОГО Лэндинг'!$B$5:$B$300,$B188)+SUMIFS('История'!$C$5:$C$300,'История'!$B$5:$B$300,$B188)=0,"",SUMIFS('ИТОГО Торговля'!$C$5:$C$300,'ИТОГО Торговля'!$B$5:$B$300,$B188)+SUMIFS('ИТОГО Лэндинг'!$C$5:$C$300,'ИТОГО Лэндинг'!$B$5:$B$300,$B188)+SUMIFS('История'!$C$5:$C$300,'История'!$B$5:$B$300,$B188)))</f>
        <v/>
      </c>
      <c r="D188" s="183">
        <f>IF(C188="","",E188/C188)</f>
        <v/>
      </c>
      <c r="E188" s="247">
        <f>IF(C188="","",SUMIFS('ИТОГО Торговля'!$E$5:$E$300,'ИТОГО Торговля'!$B$5:$B$300,$B188)+SUMIFS('ИТОГО Лэндинг'!$E$5:$E$300,'ИТОГО Лэндинг'!$B$5:$B$300,$B188)+SUMIFS('История'!$E$5:$E$300,'История'!$B$5:$B$300,$B188))</f>
        <v/>
      </c>
      <c r="F188" s="246">
        <f>IF($B188="","",IF(SUMIFS('ИТОГО Торговля'!$F$5:$F$300,'ИТОГО Торговля'!$B$5:$B$300,$B188)+SUMIFS('ИТОГО Лэндинг'!$F$5:$F$300,'ИТОГО Лэндинг'!$B$5:$B$300,$B188)+SUMIFS('История'!$F$5:$F$300,'История'!$B$5:$B$300,$B188)=0,"",SUMIFS('ИТОГО Торговля'!$F$5:$F$300,'ИТОГО Торговля'!$B$5:$B$300,$B188)+SUMIFS('ИТОГО Лэндинг'!$F$5:$F$300,'ИТОГО Лэндинг'!$B$5:$B$300,$B188)+SUMIFS('История'!$F$5:$F$300,'История'!$B$5:$B$300,$B188)))</f>
        <v/>
      </c>
      <c r="G188" s="183">
        <f>IF(F188="","",H188/F188)</f>
        <v/>
      </c>
      <c r="H188" s="247">
        <f>IF(F188="","",SUMIFS('ИТОГО Торговля'!$H$5:$H$300,'ИТОГО Торговля'!$B$5:$B$300,$B188)+SUMIFS('ИТОГО Лэндинг'!$H$5:$H$300,'ИТОГО Лэндинг'!$B$5:$B$300,$B188)+SUMIFS('История'!$H$5:$H$300,'История'!$B$5:$B$300,$B188))</f>
        <v/>
      </c>
      <c r="I188" s="246">
        <f>IF($B188="","",IF(AND(C188="",F188=""),"",ROUND(SUMIFS('ИТОГО Торговля'!$I$5:$I$300,'ИТОГО Торговля'!$B$5:$B$300,$B188)+SUMIFS('ИТОГО Лэндинг'!$I$5:$I$300,'ИТОГО Лэндинг'!$B$5:$B$300,$B188)+SUMIFS('История'!$I$5:$I$300,'История'!$B$5:$B$300,$B188),8)))</f>
        <v/>
      </c>
      <c r="J188" s="247">
        <f>IF($B188="","",IF(AND(C188="",F188=""),"",ROUND(SUMIFS('ИТОГО Торговля'!$J$5:$J$300,'ИТОГО Торговля'!$B$5:$B$300,$B188)+SUMIFS('ИТОГО Лэндинг'!$J$5:$J$300,'ИТОГО Лэндинг'!$B$5:$B$300,$B188)+SUMIFS('История'!$J$5:$J$300,'История'!$B$5:$B$300,$B188),8)))</f>
        <v/>
      </c>
      <c r="K188" s="246">
        <f>IF($B188="","",ROUND(SUMIFS('ИТОГО Торговля'!$K$5:$K$300,'ИТОГО Торговля'!$B$5:$B$300,$B188)+SUMIFS('ИТОГО Лэндинг'!$K$5:$K$300,'ИТОГО Лэндинг'!$B$5:$B$300,$B188)+SUMIFS('История'!$K$5:$K$300,'История'!$B$5:$B$300,$B188),8))</f>
        <v/>
      </c>
      <c r="L188" s="183">
        <f>IF(K188="","",IF(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188)*((История!$C$5:$C$300+История!$F$5:$F$300-ABS(История!$C$5:$C$300-История!$F$5:$F$300))/2)*История!$D$5:$D$300))&lt;=0,0,ROUND(K188/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188)*((История!$C$5:$C$300+История!$F$5:$F$300-ABS(История!$C$5:$C$300-История!$F$5:$F$300))/2)*История!$D$5:$D$300)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IF($B189="","",IF(SUMIFS('ИТОГО Торговля'!$C$5:$C$300,'ИТОГО Торговля'!$B$5:$B$300,$B189)+SUMIFS('ИТОГО Лэндинг'!$C$5:$C$300,'ИТОГО Лэндинг'!$B$5:$B$300,$B189)+SUMIFS('История'!$C$5:$C$300,'История'!$B$5:$B$300,$B189)=0,"",SUMIFS('ИТОГО Торговля'!$C$5:$C$300,'ИТОГО Торговля'!$B$5:$B$300,$B189)+SUMIFS('ИТОГО Лэндинг'!$C$5:$C$300,'ИТОГО Лэндинг'!$B$5:$B$300,$B189)+SUMIFS('История'!$C$5:$C$300,'История'!$B$5:$B$300,$B189)))</f>
        <v/>
      </c>
      <c r="D189" s="177">
        <f>IF(C189="","",E189/C189)</f>
        <v/>
      </c>
      <c r="E189" s="241">
        <f>IF(C189="","",SUMIFS('ИТОГО Торговля'!$E$5:$E$300,'ИТОГО Торговля'!$B$5:$B$300,$B189)+SUMIFS('ИТОГО Лэндинг'!$E$5:$E$300,'ИТОГО Лэндинг'!$B$5:$B$300,$B189)+SUMIFS('История'!$E$5:$E$300,'История'!$B$5:$B$300,$B189))</f>
        <v/>
      </c>
      <c r="F189" s="240">
        <f>IF($B189="","",IF(SUMIFS('ИТОГО Торговля'!$F$5:$F$300,'ИТОГО Торговля'!$B$5:$B$300,$B189)+SUMIFS('ИТОГО Лэндинг'!$F$5:$F$300,'ИТОГО Лэндинг'!$B$5:$B$300,$B189)+SUMIFS('История'!$F$5:$F$300,'История'!$B$5:$B$300,$B189)=0,"",SUMIFS('ИТОГО Торговля'!$F$5:$F$300,'ИТОГО Торговля'!$B$5:$B$300,$B189)+SUMIFS('ИТОГО Лэндинг'!$F$5:$F$300,'ИТОГО Лэндинг'!$B$5:$B$300,$B189)+SUMIFS('История'!$F$5:$F$300,'История'!$B$5:$B$300,$B189)))</f>
        <v/>
      </c>
      <c r="G189" s="177">
        <f>IF(F189="","",H189/F189)</f>
        <v/>
      </c>
      <c r="H189" s="241">
        <f>IF(F189="","",SUMIFS('ИТОГО Торговля'!$H$5:$H$300,'ИТОГО Торговля'!$B$5:$B$300,$B189)+SUMIFS('ИТОГО Лэндинг'!$H$5:$H$300,'ИТОГО Лэндинг'!$B$5:$B$300,$B189)+SUMIFS('История'!$H$5:$H$300,'История'!$B$5:$B$300,$B189))</f>
        <v/>
      </c>
      <c r="I189" s="240">
        <f>IF($B189="","",IF(AND(C189="",F189=""),"",ROUND(SUMIFS('ИТОГО Торговля'!$I$5:$I$300,'ИТОГО Торговля'!$B$5:$B$300,$B189)+SUMIFS('ИТОГО Лэндинг'!$I$5:$I$300,'ИТОГО Лэндинг'!$B$5:$B$300,$B189)+SUMIFS('История'!$I$5:$I$300,'История'!$B$5:$B$300,$B189),8)))</f>
        <v/>
      </c>
      <c r="J189" s="241">
        <f>IF($B189="","",IF(AND(C189="",F189=""),"",ROUND(SUMIFS('ИТОГО Торговля'!$J$5:$J$300,'ИТОГО Торговля'!$B$5:$B$300,$B189)+SUMIFS('ИТОГО Лэндинг'!$J$5:$J$300,'ИТОГО Лэндинг'!$B$5:$B$300,$B189)+SUMIFS('История'!$J$5:$J$300,'История'!$B$5:$B$300,$B189),8)))</f>
        <v/>
      </c>
      <c r="K189" s="240">
        <f>IF($B189="","",ROUND(SUMIFS('ИТОГО Торговля'!$K$5:$K$300,'ИТОГО Торговля'!$B$5:$B$300,$B189)+SUMIFS('ИТОГО Лэндинг'!$K$5:$K$300,'ИТОГО Лэндинг'!$B$5:$B$300,$B189)+SUMIFS('История'!$K$5:$K$300,'История'!$B$5:$B$300,$B189),8))</f>
        <v/>
      </c>
      <c r="L189" s="177">
        <f>IF(K189="","",IF(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189)*((История!$C$5:$C$300+История!$F$5:$F$300-ABS(История!$C$5:$C$300-История!$F$5:$F$300))/2)*История!$D$5:$D$300))&lt;=0,0,ROUND(K189/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189)*((История!$C$5:$C$300+История!$F$5:$F$300-ABS(История!$C$5:$C$300-История!$F$5:$F$300))/2)*История!$D$5:$D$300)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IF($B190="","",IF(SUMIFS('ИТОГО Торговля'!$C$5:$C$300,'ИТОГО Торговля'!$B$5:$B$300,$B190)+SUMIFS('ИТОГО Лэндинг'!$C$5:$C$300,'ИТОГО Лэндинг'!$B$5:$B$300,$B190)+SUMIFS('История'!$C$5:$C$300,'История'!$B$5:$B$300,$B190)=0,"",SUMIFS('ИТОГО Торговля'!$C$5:$C$300,'ИТОГО Торговля'!$B$5:$B$300,$B190)+SUMIFS('ИТОГО Лэндинг'!$C$5:$C$300,'ИТОГО Лэндинг'!$B$5:$B$300,$B190)+SUMIFS('История'!$C$5:$C$300,'История'!$B$5:$B$300,$B190)))</f>
        <v/>
      </c>
      <c r="D190" s="183">
        <f>IF(C190="","",E190/C190)</f>
        <v/>
      </c>
      <c r="E190" s="247">
        <f>IF(C190="","",SUMIFS('ИТОГО Торговля'!$E$5:$E$300,'ИТОГО Торговля'!$B$5:$B$300,$B190)+SUMIFS('ИТОГО Лэндинг'!$E$5:$E$300,'ИТОГО Лэндинг'!$B$5:$B$300,$B190)+SUMIFS('История'!$E$5:$E$300,'История'!$B$5:$B$300,$B190))</f>
        <v/>
      </c>
      <c r="F190" s="246">
        <f>IF($B190="","",IF(SUMIFS('ИТОГО Торговля'!$F$5:$F$300,'ИТОГО Торговля'!$B$5:$B$300,$B190)+SUMIFS('ИТОГО Лэндинг'!$F$5:$F$300,'ИТОГО Лэндинг'!$B$5:$B$300,$B190)+SUMIFS('История'!$F$5:$F$300,'История'!$B$5:$B$300,$B190)=0,"",SUMIFS('ИТОГО Торговля'!$F$5:$F$300,'ИТОГО Торговля'!$B$5:$B$300,$B190)+SUMIFS('ИТОГО Лэндинг'!$F$5:$F$300,'ИТОГО Лэндинг'!$B$5:$B$300,$B190)+SUMIFS('История'!$F$5:$F$300,'История'!$B$5:$B$300,$B190)))</f>
        <v/>
      </c>
      <c r="G190" s="183">
        <f>IF(F190="","",H190/F190)</f>
        <v/>
      </c>
      <c r="H190" s="247">
        <f>IF(F190="","",SUMIFS('ИТОГО Торговля'!$H$5:$H$300,'ИТОГО Торговля'!$B$5:$B$300,$B190)+SUMIFS('ИТОГО Лэндинг'!$H$5:$H$300,'ИТОГО Лэндинг'!$B$5:$B$300,$B190)+SUMIFS('История'!$H$5:$H$300,'История'!$B$5:$B$300,$B190))</f>
        <v/>
      </c>
      <c r="I190" s="246">
        <f>IF($B190="","",IF(AND(C190="",F190=""),"",ROUND(SUMIFS('ИТОГО Торговля'!$I$5:$I$300,'ИТОГО Торговля'!$B$5:$B$300,$B190)+SUMIFS('ИТОГО Лэндинг'!$I$5:$I$300,'ИТОГО Лэндинг'!$B$5:$B$300,$B190)+SUMIFS('История'!$I$5:$I$300,'История'!$B$5:$B$300,$B190),8)))</f>
        <v/>
      </c>
      <c r="J190" s="247">
        <f>IF($B190="","",IF(AND(C190="",F190=""),"",ROUND(SUMIFS('ИТОГО Торговля'!$J$5:$J$300,'ИТОГО Торговля'!$B$5:$B$300,$B190)+SUMIFS('ИТОГО Лэндинг'!$J$5:$J$300,'ИТОГО Лэндинг'!$B$5:$B$300,$B190)+SUMIFS('История'!$J$5:$J$300,'История'!$B$5:$B$300,$B190),8)))</f>
        <v/>
      </c>
      <c r="K190" s="246">
        <f>IF($B190="","",ROUND(SUMIFS('ИТОГО Торговля'!$K$5:$K$300,'ИТОГО Торговля'!$B$5:$B$300,$B190)+SUMIFS('ИТОГО Лэндинг'!$K$5:$K$300,'ИТОГО Лэндинг'!$B$5:$B$300,$B190)+SUMIFS('История'!$K$5:$K$300,'История'!$B$5:$B$300,$B190),8))</f>
        <v/>
      </c>
      <c r="L190" s="183">
        <f>IF(K190="","",IF(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190)*((История!$C$5:$C$300+История!$F$5:$F$300-ABS(История!$C$5:$C$300-История!$F$5:$F$300))/2)*История!$D$5:$D$300))&lt;=0,0,ROUND(K190/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190)*((История!$C$5:$C$300+История!$F$5:$F$300-ABS(История!$C$5:$C$300-История!$F$5:$F$300))/2)*История!$D$5:$D$300)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IF($B191="","",IF(SUMIFS('ИТОГО Торговля'!$C$5:$C$300,'ИТОГО Торговля'!$B$5:$B$300,$B191)+SUMIFS('ИТОГО Лэндинг'!$C$5:$C$300,'ИТОГО Лэндинг'!$B$5:$B$300,$B191)+SUMIFS('История'!$C$5:$C$300,'История'!$B$5:$B$300,$B191)=0,"",SUMIFS('ИТОГО Торговля'!$C$5:$C$300,'ИТОГО Торговля'!$B$5:$B$300,$B191)+SUMIFS('ИТОГО Лэндинг'!$C$5:$C$300,'ИТОГО Лэндинг'!$B$5:$B$300,$B191)+SUMIFS('История'!$C$5:$C$300,'История'!$B$5:$B$300,$B191)))</f>
        <v/>
      </c>
      <c r="D191" s="177">
        <f>IF(C191="","",E191/C191)</f>
        <v/>
      </c>
      <c r="E191" s="241">
        <f>IF(C191="","",SUMIFS('ИТОГО Торговля'!$E$5:$E$300,'ИТОГО Торговля'!$B$5:$B$300,$B191)+SUMIFS('ИТОГО Лэндинг'!$E$5:$E$300,'ИТОГО Лэндинг'!$B$5:$B$300,$B191)+SUMIFS('История'!$E$5:$E$300,'История'!$B$5:$B$300,$B191))</f>
        <v/>
      </c>
      <c r="F191" s="240">
        <f>IF($B191="","",IF(SUMIFS('ИТОГО Торговля'!$F$5:$F$300,'ИТОГО Торговля'!$B$5:$B$300,$B191)+SUMIFS('ИТОГО Лэндинг'!$F$5:$F$300,'ИТОГО Лэндинг'!$B$5:$B$300,$B191)+SUMIFS('История'!$F$5:$F$300,'История'!$B$5:$B$300,$B191)=0,"",SUMIFS('ИТОГО Торговля'!$F$5:$F$300,'ИТОГО Торговля'!$B$5:$B$300,$B191)+SUMIFS('ИТОГО Лэндинг'!$F$5:$F$300,'ИТОГО Лэндинг'!$B$5:$B$300,$B191)+SUMIFS('История'!$F$5:$F$300,'История'!$B$5:$B$300,$B191)))</f>
        <v/>
      </c>
      <c r="G191" s="177">
        <f>IF(F191="","",H191/F191)</f>
        <v/>
      </c>
      <c r="H191" s="241">
        <f>IF(F191="","",SUMIFS('ИТОГО Торговля'!$H$5:$H$300,'ИТОГО Торговля'!$B$5:$B$300,$B191)+SUMIFS('ИТОГО Лэндинг'!$H$5:$H$300,'ИТОГО Лэндинг'!$B$5:$B$300,$B191)+SUMIFS('История'!$H$5:$H$300,'История'!$B$5:$B$300,$B191))</f>
        <v/>
      </c>
      <c r="I191" s="240">
        <f>IF($B191="","",IF(AND(C191="",F191=""),"",ROUND(SUMIFS('ИТОГО Торговля'!$I$5:$I$300,'ИТОГО Торговля'!$B$5:$B$300,$B191)+SUMIFS('ИТОГО Лэндинг'!$I$5:$I$300,'ИТОГО Лэндинг'!$B$5:$B$300,$B191)+SUMIFS('История'!$I$5:$I$300,'История'!$B$5:$B$300,$B191),8)))</f>
        <v/>
      </c>
      <c r="J191" s="241">
        <f>IF($B191="","",IF(AND(C191="",F191=""),"",ROUND(SUMIFS('ИТОГО Торговля'!$J$5:$J$300,'ИТОГО Торговля'!$B$5:$B$300,$B191)+SUMIFS('ИТОГО Лэндинг'!$J$5:$J$300,'ИТОГО Лэндинг'!$B$5:$B$300,$B191)+SUMIFS('История'!$J$5:$J$300,'История'!$B$5:$B$300,$B191),8)))</f>
        <v/>
      </c>
      <c r="K191" s="240">
        <f>IF($B191="","",ROUND(SUMIFS('ИТОГО Торговля'!$K$5:$K$300,'ИТОГО Торговля'!$B$5:$B$300,$B191)+SUMIFS('ИТОГО Лэндинг'!$K$5:$K$300,'ИТОГО Лэндинг'!$B$5:$B$300,$B191)+SUMIFS('История'!$K$5:$K$300,'История'!$B$5:$B$300,$B191),8))</f>
        <v/>
      </c>
      <c r="L191" s="177">
        <f>IF(K191="","",IF(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191)*((История!$C$5:$C$300+История!$F$5:$F$300-ABS(История!$C$5:$C$300-История!$F$5:$F$300))/2)*История!$D$5:$D$300))&lt;=0,0,ROUND(K191/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191)*((История!$C$5:$C$300+История!$F$5:$F$300-ABS(История!$C$5:$C$300-История!$F$5:$F$300))/2)*История!$D$5:$D$300)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IF($B192="","",IF(SUMIFS('ИТОГО Торговля'!$C$5:$C$300,'ИТОГО Торговля'!$B$5:$B$300,$B192)+SUMIFS('ИТОГО Лэндинг'!$C$5:$C$300,'ИТОГО Лэндинг'!$B$5:$B$300,$B192)+SUMIFS('История'!$C$5:$C$300,'История'!$B$5:$B$300,$B192)=0,"",SUMIFS('ИТОГО Торговля'!$C$5:$C$300,'ИТОГО Торговля'!$B$5:$B$300,$B192)+SUMIFS('ИТОГО Лэндинг'!$C$5:$C$300,'ИТОГО Лэндинг'!$B$5:$B$300,$B192)+SUMIFS('История'!$C$5:$C$300,'История'!$B$5:$B$300,$B192)))</f>
        <v/>
      </c>
      <c r="D192" s="183">
        <f>IF(C192="","",E192/C192)</f>
        <v/>
      </c>
      <c r="E192" s="247">
        <f>IF(C192="","",SUMIFS('ИТОГО Торговля'!$E$5:$E$300,'ИТОГО Торговля'!$B$5:$B$300,$B192)+SUMIFS('ИТОГО Лэндинг'!$E$5:$E$300,'ИТОГО Лэндинг'!$B$5:$B$300,$B192)+SUMIFS('История'!$E$5:$E$300,'История'!$B$5:$B$300,$B192))</f>
        <v/>
      </c>
      <c r="F192" s="246">
        <f>IF($B192="","",IF(SUMIFS('ИТОГО Торговля'!$F$5:$F$300,'ИТОГО Торговля'!$B$5:$B$300,$B192)+SUMIFS('ИТОГО Лэндинг'!$F$5:$F$300,'ИТОГО Лэндинг'!$B$5:$B$300,$B192)+SUMIFS('История'!$F$5:$F$300,'История'!$B$5:$B$300,$B192)=0,"",SUMIFS('ИТОГО Торговля'!$F$5:$F$300,'ИТОГО Торговля'!$B$5:$B$300,$B192)+SUMIFS('ИТОГО Лэндинг'!$F$5:$F$300,'ИТОГО Лэндинг'!$B$5:$B$300,$B192)+SUMIFS('История'!$F$5:$F$300,'История'!$B$5:$B$300,$B192)))</f>
        <v/>
      </c>
      <c r="G192" s="183">
        <f>IF(F192="","",H192/F192)</f>
        <v/>
      </c>
      <c r="H192" s="247">
        <f>IF(F192="","",SUMIFS('ИТОГО Торговля'!$H$5:$H$300,'ИТОГО Торговля'!$B$5:$B$300,$B192)+SUMIFS('ИТОГО Лэндинг'!$H$5:$H$300,'ИТОГО Лэндинг'!$B$5:$B$300,$B192)+SUMIFS('История'!$H$5:$H$300,'История'!$B$5:$B$300,$B192))</f>
        <v/>
      </c>
      <c r="I192" s="246">
        <f>IF($B192="","",IF(AND(C192="",F192=""),"",ROUND(SUMIFS('ИТОГО Торговля'!$I$5:$I$300,'ИТОГО Торговля'!$B$5:$B$300,$B192)+SUMIFS('ИТОГО Лэндинг'!$I$5:$I$300,'ИТОГО Лэндинг'!$B$5:$B$300,$B192)+SUMIFS('История'!$I$5:$I$300,'История'!$B$5:$B$300,$B192),8)))</f>
        <v/>
      </c>
      <c r="J192" s="247">
        <f>IF($B192="","",IF(AND(C192="",F192=""),"",ROUND(SUMIFS('ИТОГО Торговля'!$J$5:$J$300,'ИТОГО Торговля'!$B$5:$B$300,$B192)+SUMIFS('ИТОГО Лэндинг'!$J$5:$J$300,'ИТОГО Лэндинг'!$B$5:$B$300,$B192)+SUMIFS('История'!$J$5:$J$300,'История'!$B$5:$B$300,$B192),8)))</f>
        <v/>
      </c>
      <c r="K192" s="246">
        <f>IF($B192="","",ROUND(SUMIFS('ИТОГО Торговля'!$K$5:$K$300,'ИТОГО Торговля'!$B$5:$B$300,$B192)+SUMIFS('ИТОГО Лэндинг'!$K$5:$K$300,'ИТОГО Лэндинг'!$B$5:$B$300,$B192)+SUMIFS('История'!$K$5:$K$300,'История'!$B$5:$B$300,$B192),8))</f>
        <v/>
      </c>
      <c r="L192" s="183">
        <f>IF(K192="","",IF(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192)*((История!$C$5:$C$300+История!$F$5:$F$300-ABS(История!$C$5:$C$300-История!$F$5:$F$300))/2)*История!$D$5:$D$300))&lt;=0,0,ROUND(K192/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192)*((История!$C$5:$C$300+История!$F$5:$F$300-ABS(История!$C$5:$C$300-История!$F$5:$F$300))/2)*История!$D$5:$D$300)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IF($B193="","",IF(SUMIFS('ИТОГО Торговля'!$C$5:$C$300,'ИТОГО Торговля'!$B$5:$B$300,$B193)+SUMIFS('ИТОГО Лэндинг'!$C$5:$C$300,'ИТОГО Лэндинг'!$B$5:$B$300,$B193)+SUMIFS('История'!$C$5:$C$300,'История'!$B$5:$B$300,$B193)=0,"",SUMIFS('ИТОГО Торговля'!$C$5:$C$300,'ИТОГО Торговля'!$B$5:$B$300,$B193)+SUMIFS('ИТОГО Лэндинг'!$C$5:$C$300,'ИТОГО Лэндинг'!$B$5:$B$300,$B193)+SUMIFS('История'!$C$5:$C$300,'История'!$B$5:$B$300,$B193)))</f>
        <v/>
      </c>
      <c r="D193" s="177">
        <f>IF(C193="","",E193/C193)</f>
        <v/>
      </c>
      <c r="E193" s="241">
        <f>IF(C193="","",SUMIFS('ИТОГО Торговля'!$E$5:$E$300,'ИТОГО Торговля'!$B$5:$B$300,$B193)+SUMIFS('ИТОГО Лэндинг'!$E$5:$E$300,'ИТОГО Лэндинг'!$B$5:$B$300,$B193)+SUMIFS('История'!$E$5:$E$300,'История'!$B$5:$B$300,$B193))</f>
        <v/>
      </c>
      <c r="F193" s="240">
        <f>IF($B193="","",IF(SUMIFS('ИТОГО Торговля'!$F$5:$F$300,'ИТОГО Торговля'!$B$5:$B$300,$B193)+SUMIFS('ИТОГО Лэндинг'!$F$5:$F$300,'ИТОГО Лэндинг'!$B$5:$B$300,$B193)+SUMIFS('История'!$F$5:$F$300,'История'!$B$5:$B$300,$B193)=0,"",SUMIFS('ИТОГО Торговля'!$F$5:$F$300,'ИТОГО Торговля'!$B$5:$B$300,$B193)+SUMIFS('ИТОГО Лэндинг'!$F$5:$F$300,'ИТОГО Лэндинг'!$B$5:$B$300,$B193)+SUMIFS('История'!$F$5:$F$300,'История'!$B$5:$B$300,$B193)))</f>
        <v/>
      </c>
      <c r="G193" s="177">
        <f>IF(F193="","",H193/F193)</f>
        <v/>
      </c>
      <c r="H193" s="241">
        <f>IF(F193="","",SUMIFS('ИТОГО Торговля'!$H$5:$H$300,'ИТОГО Торговля'!$B$5:$B$300,$B193)+SUMIFS('ИТОГО Лэндинг'!$H$5:$H$300,'ИТОГО Лэндинг'!$B$5:$B$300,$B193)+SUMIFS('История'!$H$5:$H$300,'История'!$B$5:$B$300,$B193))</f>
        <v/>
      </c>
      <c r="I193" s="240">
        <f>IF($B193="","",IF(AND(C193="",F193=""),"",ROUND(SUMIFS('ИТОГО Торговля'!$I$5:$I$300,'ИТОГО Торговля'!$B$5:$B$300,$B193)+SUMIFS('ИТОГО Лэндинг'!$I$5:$I$300,'ИТОГО Лэндинг'!$B$5:$B$300,$B193)+SUMIFS('История'!$I$5:$I$300,'История'!$B$5:$B$300,$B193),8)))</f>
        <v/>
      </c>
      <c r="J193" s="241">
        <f>IF($B193="","",IF(AND(C193="",F193=""),"",ROUND(SUMIFS('ИТОГО Торговля'!$J$5:$J$300,'ИТОГО Торговля'!$B$5:$B$300,$B193)+SUMIFS('ИТОГО Лэндинг'!$J$5:$J$300,'ИТОГО Лэндинг'!$B$5:$B$300,$B193)+SUMIFS('История'!$J$5:$J$300,'История'!$B$5:$B$300,$B193),8)))</f>
        <v/>
      </c>
      <c r="K193" s="240">
        <f>IF($B193="","",ROUND(SUMIFS('ИТОГО Торговля'!$K$5:$K$300,'ИТОГО Торговля'!$B$5:$B$300,$B193)+SUMIFS('ИТОГО Лэндинг'!$K$5:$K$300,'ИТОГО Лэндинг'!$B$5:$B$300,$B193)+SUMIFS('История'!$K$5:$K$300,'История'!$B$5:$B$300,$B193),8))</f>
        <v/>
      </c>
      <c r="L193" s="177">
        <f>IF(K193="","",IF(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193)*((История!$C$5:$C$300+История!$F$5:$F$300-ABS(История!$C$5:$C$300-История!$F$5:$F$300))/2)*История!$D$5:$D$300))&lt;=0,0,ROUND(K193/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193)*((История!$C$5:$C$300+История!$F$5:$F$300-ABS(История!$C$5:$C$300-История!$F$5:$F$300))/2)*История!$D$5:$D$300)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IF($B194="","",IF(SUMIFS('ИТОГО Торговля'!$C$5:$C$300,'ИТОГО Торговля'!$B$5:$B$300,$B194)+SUMIFS('ИТОГО Лэндинг'!$C$5:$C$300,'ИТОГО Лэндинг'!$B$5:$B$300,$B194)+SUMIFS('История'!$C$5:$C$300,'История'!$B$5:$B$300,$B194)=0,"",SUMIFS('ИТОГО Торговля'!$C$5:$C$300,'ИТОГО Торговля'!$B$5:$B$300,$B194)+SUMIFS('ИТОГО Лэндинг'!$C$5:$C$300,'ИТОГО Лэндинг'!$B$5:$B$300,$B194)+SUMIFS('История'!$C$5:$C$300,'История'!$B$5:$B$300,$B194)))</f>
        <v/>
      </c>
      <c r="D194" s="183">
        <f>IF(C194="","",E194/C194)</f>
        <v/>
      </c>
      <c r="E194" s="247">
        <f>IF(C194="","",SUMIFS('ИТОГО Торговля'!$E$5:$E$300,'ИТОГО Торговля'!$B$5:$B$300,$B194)+SUMIFS('ИТОГО Лэндинг'!$E$5:$E$300,'ИТОГО Лэндинг'!$B$5:$B$300,$B194)+SUMIFS('История'!$E$5:$E$300,'История'!$B$5:$B$300,$B194))</f>
        <v/>
      </c>
      <c r="F194" s="246">
        <f>IF($B194="","",IF(SUMIFS('ИТОГО Торговля'!$F$5:$F$300,'ИТОГО Торговля'!$B$5:$B$300,$B194)+SUMIFS('ИТОГО Лэндинг'!$F$5:$F$300,'ИТОГО Лэндинг'!$B$5:$B$300,$B194)+SUMIFS('История'!$F$5:$F$300,'История'!$B$5:$B$300,$B194)=0,"",SUMIFS('ИТОГО Торговля'!$F$5:$F$300,'ИТОГО Торговля'!$B$5:$B$300,$B194)+SUMIFS('ИТОГО Лэндинг'!$F$5:$F$300,'ИТОГО Лэндинг'!$B$5:$B$300,$B194)+SUMIFS('История'!$F$5:$F$300,'История'!$B$5:$B$300,$B194)))</f>
        <v/>
      </c>
      <c r="G194" s="183">
        <f>IF(F194="","",H194/F194)</f>
        <v/>
      </c>
      <c r="H194" s="247">
        <f>IF(F194="","",SUMIFS('ИТОГО Торговля'!$H$5:$H$300,'ИТОГО Торговля'!$B$5:$B$300,$B194)+SUMIFS('ИТОГО Лэндинг'!$H$5:$H$300,'ИТОГО Лэндинг'!$B$5:$B$300,$B194)+SUMIFS('История'!$H$5:$H$300,'История'!$B$5:$B$300,$B194))</f>
        <v/>
      </c>
      <c r="I194" s="246">
        <f>IF($B194="","",IF(AND(C194="",F194=""),"",ROUND(SUMIFS('ИТОГО Торговля'!$I$5:$I$300,'ИТОГО Торговля'!$B$5:$B$300,$B194)+SUMIFS('ИТОГО Лэндинг'!$I$5:$I$300,'ИТОГО Лэндинг'!$B$5:$B$300,$B194)+SUMIFS('История'!$I$5:$I$300,'История'!$B$5:$B$300,$B194),8)))</f>
        <v/>
      </c>
      <c r="J194" s="247">
        <f>IF($B194="","",IF(AND(C194="",F194=""),"",ROUND(SUMIFS('ИТОГО Торговля'!$J$5:$J$300,'ИТОГО Торговля'!$B$5:$B$300,$B194)+SUMIFS('ИТОГО Лэндинг'!$J$5:$J$300,'ИТОГО Лэндинг'!$B$5:$B$300,$B194)+SUMIFS('История'!$J$5:$J$300,'История'!$B$5:$B$300,$B194),8)))</f>
        <v/>
      </c>
      <c r="K194" s="246">
        <f>IF($B194="","",ROUND(SUMIFS('ИТОГО Торговля'!$K$5:$K$300,'ИТОГО Торговля'!$B$5:$B$300,$B194)+SUMIFS('ИТОГО Лэндинг'!$K$5:$K$300,'ИТОГО Лэндинг'!$B$5:$B$300,$B194)+SUMIFS('История'!$K$5:$K$300,'История'!$B$5:$B$300,$B194),8))</f>
        <v/>
      </c>
      <c r="L194" s="183">
        <f>IF(K194="","",IF(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194)*((История!$C$5:$C$300+История!$F$5:$F$300-ABS(История!$C$5:$C$300-История!$F$5:$F$300))/2)*История!$D$5:$D$300))&lt;=0,0,ROUND(K194/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194)*((История!$C$5:$C$300+История!$F$5:$F$300-ABS(История!$C$5:$C$300-История!$F$5:$F$300))/2)*История!$D$5:$D$300)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IF($B195="","",IF(SUMIFS('ИТОГО Торговля'!$C$5:$C$300,'ИТОГО Торговля'!$B$5:$B$300,$B195)+SUMIFS('ИТОГО Лэндинг'!$C$5:$C$300,'ИТОГО Лэндинг'!$B$5:$B$300,$B195)+SUMIFS('История'!$C$5:$C$300,'История'!$B$5:$B$300,$B195)=0,"",SUMIFS('ИТОГО Торговля'!$C$5:$C$300,'ИТОГО Торговля'!$B$5:$B$300,$B195)+SUMIFS('ИТОГО Лэндинг'!$C$5:$C$300,'ИТОГО Лэндинг'!$B$5:$B$300,$B195)+SUMIFS('История'!$C$5:$C$300,'История'!$B$5:$B$300,$B195)))</f>
        <v/>
      </c>
      <c r="D195" s="177">
        <f>IF(C195="","",E195/C195)</f>
        <v/>
      </c>
      <c r="E195" s="241">
        <f>IF(C195="","",SUMIFS('ИТОГО Торговля'!$E$5:$E$300,'ИТОГО Торговля'!$B$5:$B$300,$B195)+SUMIFS('ИТОГО Лэндинг'!$E$5:$E$300,'ИТОГО Лэндинг'!$B$5:$B$300,$B195)+SUMIFS('История'!$E$5:$E$300,'История'!$B$5:$B$300,$B195))</f>
        <v/>
      </c>
      <c r="F195" s="240">
        <f>IF($B195="","",IF(SUMIFS('ИТОГО Торговля'!$F$5:$F$300,'ИТОГО Торговля'!$B$5:$B$300,$B195)+SUMIFS('ИТОГО Лэндинг'!$F$5:$F$300,'ИТОГО Лэндинг'!$B$5:$B$300,$B195)+SUMIFS('История'!$F$5:$F$300,'История'!$B$5:$B$300,$B195)=0,"",SUMIFS('ИТОГО Торговля'!$F$5:$F$300,'ИТОГО Торговля'!$B$5:$B$300,$B195)+SUMIFS('ИТОГО Лэндинг'!$F$5:$F$300,'ИТОГО Лэндинг'!$B$5:$B$300,$B195)+SUMIFS('История'!$F$5:$F$300,'История'!$B$5:$B$300,$B195)))</f>
        <v/>
      </c>
      <c r="G195" s="177">
        <f>IF(F195="","",H195/F195)</f>
        <v/>
      </c>
      <c r="H195" s="241">
        <f>IF(F195="","",SUMIFS('ИТОГО Торговля'!$H$5:$H$300,'ИТОГО Торговля'!$B$5:$B$300,$B195)+SUMIFS('ИТОГО Лэндинг'!$H$5:$H$300,'ИТОГО Лэндинг'!$B$5:$B$300,$B195)+SUMIFS('История'!$H$5:$H$300,'История'!$B$5:$B$300,$B195))</f>
        <v/>
      </c>
      <c r="I195" s="240">
        <f>IF($B195="","",IF(AND(C195="",F195=""),"",ROUND(SUMIFS('ИТОГО Торговля'!$I$5:$I$300,'ИТОГО Торговля'!$B$5:$B$300,$B195)+SUMIFS('ИТОГО Лэндинг'!$I$5:$I$300,'ИТОГО Лэндинг'!$B$5:$B$300,$B195)+SUMIFS('История'!$I$5:$I$300,'История'!$B$5:$B$300,$B195),8)))</f>
        <v/>
      </c>
      <c r="J195" s="241">
        <f>IF($B195="","",IF(AND(C195="",F195=""),"",ROUND(SUMIFS('ИТОГО Торговля'!$J$5:$J$300,'ИТОГО Торговля'!$B$5:$B$300,$B195)+SUMIFS('ИТОГО Лэндинг'!$J$5:$J$300,'ИТОГО Лэндинг'!$B$5:$B$300,$B195)+SUMIFS('История'!$J$5:$J$300,'История'!$B$5:$B$300,$B195),8)))</f>
        <v/>
      </c>
      <c r="K195" s="240">
        <f>IF($B195="","",ROUND(SUMIFS('ИТОГО Торговля'!$K$5:$K$300,'ИТОГО Торговля'!$B$5:$B$300,$B195)+SUMIFS('ИТОГО Лэндинг'!$K$5:$K$300,'ИТОГО Лэндинг'!$B$5:$B$300,$B195)+SUMIFS('История'!$K$5:$K$300,'История'!$B$5:$B$300,$B195),8))</f>
        <v/>
      </c>
      <c r="L195" s="177">
        <f>IF(K195="","",IF(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195)*((История!$C$5:$C$300+История!$F$5:$F$300-ABS(История!$C$5:$C$300-История!$F$5:$F$300))/2)*История!$D$5:$D$300))&lt;=0,0,ROUND(K195/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195)*((История!$C$5:$C$300+История!$F$5:$F$300-ABS(История!$C$5:$C$300-История!$F$5:$F$300))/2)*История!$D$5:$D$300)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IF($B196="","",IF(SUMIFS('ИТОГО Торговля'!$C$5:$C$300,'ИТОГО Торговля'!$B$5:$B$300,$B196)+SUMIFS('ИТОГО Лэндинг'!$C$5:$C$300,'ИТОГО Лэндинг'!$B$5:$B$300,$B196)+SUMIFS('История'!$C$5:$C$300,'История'!$B$5:$B$300,$B196)=0,"",SUMIFS('ИТОГО Торговля'!$C$5:$C$300,'ИТОГО Торговля'!$B$5:$B$300,$B196)+SUMIFS('ИТОГО Лэндинг'!$C$5:$C$300,'ИТОГО Лэндинг'!$B$5:$B$300,$B196)+SUMIFS('История'!$C$5:$C$300,'История'!$B$5:$B$300,$B196)))</f>
        <v/>
      </c>
      <c r="D196" s="183">
        <f>IF(C196="","",E196/C196)</f>
        <v/>
      </c>
      <c r="E196" s="247">
        <f>IF(C196="","",SUMIFS('ИТОГО Торговля'!$E$5:$E$300,'ИТОГО Торговля'!$B$5:$B$300,$B196)+SUMIFS('ИТОГО Лэндинг'!$E$5:$E$300,'ИТОГО Лэндинг'!$B$5:$B$300,$B196)+SUMIFS('История'!$E$5:$E$300,'История'!$B$5:$B$300,$B196))</f>
        <v/>
      </c>
      <c r="F196" s="246">
        <f>IF($B196="","",IF(SUMIFS('ИТОГО Торговля'!$F$5:$F$300,'ИТОГО Торговля'!$B$5:$B$300,$B196)+SUMIFS('ИТОГО Лэндинг'!$F$5:$F$300,'ИТОГО Лэндинг'!$B$5:$B$300,$B196)+SUMIFS('История'!$F$5:$F$300,'История'!$B$5:$B$300,$B196)=0,"",SUMIFS('ИТОГО Торговля'!$F$5:$F$300,'ИТОГО Торговля'!$B$5:$B$300,$B196)+SUMIFS('ИТОГО Лэндинг'!$F$5:$F$300,'ИТОГО Лэндинг'!$B$5:$B$300,$B196)+SUMIFS('История'!$F$5:$F$300,'История'!$B$5:$B$300,$B196)))</f>
        <v/>
      </c>
      <c r="G196" s="183">
        <f>IF(F196="","",H196/F196)</f>
        <v/>
      </c>
      <c r="H196" s="247">
        <f>IF(F196="","",SUMIFS('ИТОГО Торговля'!$H$5:$H$300,'ИТОГО Торговля'!$B$5:$B$300,$B196)+SUMIFS('ИТОГО Лэндинг'!$H$5:$H$300,'ИТОГО Лэндинг'!$B$5:$B$300,$B196)+SUMIFS('История'!$H$5:$H$300,'История'!$B$5:$B$300,$B196))</f>
        <v/>
      </c>
      <c r="I196" s="246">
        <f>IF($B196="","",IF(AND(C196="",F196=""),"",ROUND(SUMIFS('ИТОГО Торговля'!$I$5:$I$300,'ИТОГО Торговля'!$B$5:$B$300,$B196)+SUMIFS('ИТОГО Лэндинг'!$I$5:$I$300,'ИТОГО Лэндинг'!$B$5:$B$300,$B196)+SUMIFS('История'!$I$5:$I$300,'История'!$B$5:$B$300,$B196),8)))</f>
        <v/>
      </c>
      <c r="J196" s="247">
        <f>IF($B196="","",IF(AND(C196="",F196=""),"",ROUND(SUMIFS('ИТОГО Торговля'!$J$5:$J$300,'ИТОГО Торговля'!$B$5:$B$300,$B196)+SUMIFS('ИТОГО Лэндинг'!$J$5:$J$300,'ИТОГО Лэндинг'!$B$5:$B$300,$B196)+SUMIFS('История'!$J$5:$J$300,'История'!$B$5:$B$300,$B196),8)))</f>
        <v/>
      </c>
      <c r="K196" s="246">
        <f>IF($B196="","",ROUND(SUMIFS('ИТОГО Торговля'!$K$5:$K$300,'ИТОГО Торговля'!$B$5:$B$300,$B196)+SUMIFS('ИТОГО Лэндинг'!$K$5:$K$300,'ИТОГО Лэндинг'!$B$5:$B$300,$B196)+SUMIFS('История'!$K$5:$K$300,'История'!$B$5:$B$300,$B196),8))</f>
        <v/>
      </c>
      <c r="L196" s="183">
        <f>IF(K196="","",IF(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196)*((История!$C$5:$C$300+История!$F$5:$F$300-ABS(История!$C$5:$C$300-История!$F$5:$F$300))/2)*История!$D$5:$D$300))&lt;=0,0,ROUND(K196/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196)*((История!$C$5:$C$300+История!$F$5:$F$300-ABS(История!$C$5:$C$300-История!$F$5:$F$300))/2)*История!$D$5:$D$300)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IF($B197="","",IF(SUMIFS('ИТОГО Торговля'!$C$5:$C$300,'ИТОГО Торговля'!$B$5:$B$300,$B197)+SUMIFS('ИТОГО Лэндинг'!$C$5:$C$300,'ИТОГО Лэндинг'!$B$5:$B$300,$B197)+SUMIFS('История'!$C$5:$C$300,'История'!$B$5:$B$300,$B197)=0,"",SUMIFS('ИТОГО Торговля'!$C$5:$C$300,'ИТОГО Торговля'!$B$5:$B$300,$B197)+SUMIFS('ИТОГО Лэндинг'!$C$5:$C$300,'ИТОГО Лэндинг'!$B$5:$B$300,$B197)+SUMIFS('История'!$C$5:$C$300,'История'!$B$5:$B$300,$B197)))</f>
        <v/>
      </c>
      <c r="D197" s="177">
        <f>IF(C197="","",E197/C197)</f>
        <v/>
      </c>
      <c r="E197" s="241">
        <f>IF(C197="","",SUMIFS('ИТОГО Торговля'!$E$5:$E$300,'ИТОГО Торговля'!$B$5:$B$300,$B197)+SUMIFS('ИТОГО Лэндинг'!$E$5:$E$300,'ИТОГО Лэндинг'!$B$5:$B$300,$B197)+SUMIFS('История'!$E$5:$E$300,'История'!$B$5:$B$300,$B197))</f>
        <v/>
      </c>
      <c r="F197" s="240">
        <f>IF($B197="","",IF(SUMIFS('ИТОГО Торговля'!$F$5:$F$300,'ИТОГО Торговля'!$B$5:$B$300,$B197)+SUMIFS('ИТОГО Лэндинг'!$F$5:$F$300,'ИТОГО Лэндинг'!$B$5:$B$300,$B197)+SUMIFS('История'!$F$5:$F$300,'История'!$B$5:$B$300,$B197)=0,"",SUMIFS('ИТОГО Торговля'!$F$5:$F$300,'ИТОГО Торговля'!$B$5:$B$300,$B197)+SUMIFS('ИТОГО Лэндинг'!$F$5:$F$300,'ИТОГО Лэндинг'!$B$5:$B$300,$B197)+SUMIFS('История'!$F$5:$F$300,'История'!$B$5:$B$300,$B197)))</f>
        <v/>
      </c>
      <c r="G197" s="177">
        <f>IF(F197="","",H197/F197)</f>
        <v/>
      </c>
      <c r="H197" s="241">
        <f>IF(F197="","",SUMIFS('ИТОГО Торговля'!$H$5:$H$300,'ИТОГО Торговля'!$B$5:$B$300,$B197)+SUMIFS('ИТОГО Лэндинг'!$H$5:$H$300,'ИТОГО Лэндинг'!$B$5:$B$300,$B197)+SUMIFS('История'!$H$5:$H$300,'История'!$B$5:$B$300,$B197))</f>
        <v/>
      </c>
      <c r="I197" s="240">
        <f>IF($B197="","",IF(AND(C197="",F197=""),"",ROUND(SUMIFS('ИТОГО Торговля'!$I$5:$I$300,'ИТОГО Торговля'!$B$5:$B$300,$B197)+SUMIFS('ИТОГО Лэндинг'!$I$5:$I$300,'ИТОГО Лэндинг'!$B$5:$B$300,$B197)+SUMIFS('История'!$I$5:$I$300,'История'!$B$5:$B$300,$B197),8)))</f>
        <v/>
      </c>
      <c r="J197" s="241">
        <f>IF($B197="","",IF(AND(C197="",F197=""),"",ROUND(SUMIFS('ИТОГО Торговля'!$J$5:$J$300,'ИТОГО Торговля'!$B$5:$B$300,$B197)+SUMIFS('ИТОГО Лэндинг'!$J$5:$J$300,'ИТОГО Лэндинг'!$B$5:$B$300,$B197)+SUMIFS('История'!$J$5:$J$300,'История'!$B$5:$B$300,$B197),8)))</f>
        <v/>
      </c>
      <c r="K197" s="240">
        <f>IF($B197="","",ROUND(SUMIFS('ИТОГО Торговля'!$K$5:$K$300,'ИТОГО Торговля'!$B$5:$B$300,$B197)+SUMIFS('ИТОГО Лэндинг'!$K$5:$K$300,'ИТОГО Лэндинг'!$B$5:$B$300,$B197)+SUMIFS('История'!$K$5:$K$300,'История'!$B$5:$B$300,$B197),8))</f>
        <v/>
      </c>
      <c r="L197" s="177">
        <f>IF(K197="","",IF(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197)*((История!$C$5:$C$300+История!$F$5:$F$300-ABS(История!$C$5:$C$300-История!$F$5:$F$300))/2)*История!$D$5:$D$300))&lt;=0,0,ROUND(K197/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197)*((История!$C$5:$C$300+История!$F$5:$F$300-ABS(История!$C$5:$C$300-История!$F$5:$F$300))/2)*История!$D$5:$D$300)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IF($B198="","",IF(SUMIFS('ИТОГО Торговля'!$C$5:$C$300,'ИТОГО Торговля'!$B$5:$B$300,$B198)+SUMIFS('ИТОГО Лэндинг'!$C$5:$C$300,'ИТОГО Лэндинг'!$B$5:$B$300,$B198)+SUMIFS('История'!$C$5:$C$300,'История'!$B$5:$B$300,$B198)=0,"",SUMIFS('ИТОГО Торговля'!$C$5:$C$300,'ИТОГО Торговля'!$B$5:$B$300,$B198)+SUMIFS('ИТОГО Лэндинг'!$C$5:$C$300,'ИТОГО Лэндинг'!$B$5:$B$300,$B198)+SUMIFS('История'!$C$5:$C$300,'История'!$B$5:$B$300,$B198)))</f>
        <v/>
      </c>
      <c r="D198" s="183">
        <f>IF(C198="","",E198/C198)</f>
        <v/>
      </c>
      <c r="E198" s="247">
        <f>IF(C198="","",SUMIFS('ИТОГО Торговля'!$E$5:$E$300,'ИТОГО Торговля'!$B$5:$B$300,$B198)+SUMIFS('ИТОГО Лэндинг'!$E$5:$E$300,'ИТОГО Лэндинг'!$B$5:$B$300,$B198)+SUMIFS('История'!$E$5:$E$300,'История'!$B$5:$B$300,$B198))</f>
        <v/>
      </c>
      <c r="F198" s="246">
        <f>IF($B198="","",IF(SUMIFS('ИТОГО Торговля'!$F$5:$F$300,'ИТОГО Торговля'!$B$5:$B$300,$B198)+SUMIFS('ИТОГО Лэндинг'!$F$5:$F$300,'ИТОГО Лэндинг'!$B$5:$B$300,$B198)+SUMIFS('История'!$F$5:$F$300,'История'!$B$5:$B$300,$B198)=0,"",SUMIFS('ИТОГО Торговля'!$F$5:$F$300,'ИТОГО Торговля'!$B$5:$B$300,$B198)+SUMIFS('ИТОГО Лэндинг'!$F$5:$F$300,'ИТОГО Лэндинг'!$B$5:$B$300,$B198)+SUMIFS('История'!$F$5:$F$300,'История'!$B$5:$B$300,$B198)))</f>
        <v/>
      </c>
      <c r="G198" s="183">
        <f>IF(F198="","",H198/F198)</f>
        <v/>
      </c>
      <c r="H198" s="247">
        <f>IF(F198="","",SUMIFS('ИТОГО Торговля'!$H$5:$H$300,'ИТОГО Торговля'!$B$5:$B$300,$B198)+SUMIFS('ИТОГО Лэндинг'!$H$5:$H$300,'ИТОГО Лэндинг'!$B$5:$B$300,$B198)+SUMIFS('История'!$H$5:$H$300,'История'!$B$5:$B$300,$B198))</f>
        <v/>
      </c>
      <c r="I198" s="246">
        <f>IF($B198="","",IF(AND(C198="",F198=""),"",ROUND(SUMIFS('ИТОГО Торговля'!$I$5:$I$300,'ИТОГО Торговля'!$B$5:$B$300,$B198)+SUMIFS('ИТОГО Лэндинг'!$I$5:$I$300,'ИТОГО Лэндинг'!$B$5:$B$300,$B198)+SUMIFS('История'!$I$5:$I$300,'История'!$B$5:$B$300,$B198),8)))</f>
        <v/>
      </c>
      <c r="J198" s="247">
        <f>IF($B198="","",IF(AND(C198="",F198=""),"",ROUND(SUMIFS('ИТОГО Торговля'!$J$5:$J$300,'ИТОГО Торговля'!$B$5:$B$300,$B198)+SUMIFS('ИТОГО Лэндинг'!$J$5:$J$300,'ИТОГО Лэндинг'!$B$5:$B$300,$B198)+SUMIFS('История'!$J$5:$J$300,'История'!$B$5:$B$300,$B198),8)))</f>
        <v/>
      </c>
      <c r="K198" s="246">
        <f>IF($B198="","",ROUND(SUMIFS('ИТОГО Торговля'!$K$5:$K$300,'ИТОГО Торговля'!$B$5:$B$300,$B198)+SUMIFS('ИТОГО Лэндинг'!$K$5:$K$300,'ИТОГО Лэндинг'!$B$5:$B$300,$B198)+SUMIFS('История'!$K$5:$K$300,'История'!$B$5:$B$300,$B198),8))</f>
        <v/>
      </c>
      <c r="L198" s="183">
        <f>IF(K198="","",IF(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198)*((История!$C$5:$C$300+История!$F$5:$F$300-ABS(История!$C$5:$C$300-История!$F$5:$F$300))/2)*История!$D$5:$D$300))&lt;=0,0,ROUND(K198/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198)*((История!$C$5:$C$300+История!$F$5:$F$300-ABS(История!$C$5:$C$300-История!$F$5:$F$300))/2)*История!$D$5:$D$300)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IF($B199="","",IF(SUMIFS('ИТОГО Торговля'!$C$5:$C$300,'ИТОГО Торговля'!$B$5:$B$300,$B199)+SUMIFS('ИТОГО Лэндинг'!$C$5:$C$300,'ИТОГО Лэндинг'!$B$5:$B$300,$B199)+SUMIFS('История'!$C$5:$C$300,'История'!$B$5:$B$300,$B199)=0,"",SUMIFS('ИТОГО Торговля'!$C$5:$C$300,'ИТОГО Торговля'!$B$5:$B$300,$B199)+SUMIFS('ИТОГО Лэндинг'!$C$5:$C$300,'ИТОГО Лэндинг'!$B$5:$B$300,$B199)+SUMIFS('История'!$C$5:$C$300,'История'!$B$5:$B$300,$B199)))</f>
        <v/>
      </c>
      <c r="D199" s="177">
        <f>IF(C199="","",E199/C199)</f>
        <v/>
      </c>
      <c r="E199" s="241">
        <f>IF(C199="","",SUMIFS('ИТОГО Торговля'!$E$5:$E$300,'ИТОГО Торговля'!$B$5:$B$300,$B199)+SUMIFS('ИТОГО Лэндинг'!$E$5:$E$300,'ИТОГО Лэндинг'!$B$5:$B$300,$B199)+SUMIFS('История'!$E$5:$E$300,'История'!$B$5:$B$300,$B199))</f>
        <v/>
      </c>
      <c r="F199" s="240">
        <f>IF($B199="","",IF(SUMIFS('ИТОГО Торговля'!$F$5:$F$300,'ИТОГО Торговля'!$B$5:$B$300,$B199)+SUMIFS('ИТОГО Лэндинг'!$F$5:$F$300,'ИТОГО Лэндинг'!$B$5:$B$300,$B199)+SUMIFS('История'!$F$5:$F$300,'История'!$B$5:$B$300,$B199)=0,"",SUMIFS('ИТОГО Торговля'!$F$5:$F$300,'ИТОГО Торговля'!$B$5:$B$300,$B199)+SUMIFS('ИТОГО Лэндинг'!$F$5:$F$300,'ИТОГО Лэндинг'!$B$5:$B$300,$B199)+SUMIFS('История'!$F$5:$F$300,'История'!$B$5:$B$300,$B199)))</f>
        <v/>
      </c>
      <c r="G199" s="177">
        <f>IF(F199="","",H199/F199)</f>
        <v/>
      </c>
      <c r="H199" s="241">
        <f>IF(F199="","",SUMIFS('ИТОГО Торговля'!$H$5:$H$300,'ИТОГО Торговля'!$B$5:$B$300,$B199)+SUMIFS('ИТОГО Лэндинг'!$H$5:$H$300,'ИТОГО Лэндинг'!$B$5:$B$300,$B199)+SUMIFS('История'!$H$5:$H$300,'История'!$B$5:$B$300,$B199))</f>
        <v/>
      </c>
      <c r="I199" s="240">
        <f>IF($B199="","",IF(AND(C199="",F199=""),"",ROUND(SUMIFS('ИТОГО Торговля'!$I$5:$I$300,'ИТОГО Торговля'!$B$5:$B$300,$B199)+SUMIFS('ИТОГО Лэндинг'!$I$5:$I$300,'ИТОГО Лэндинг'!$B$5:$B$300,$B199)+SUMIFS('История'!$I$5:$I$300,'История'!$B$5:$B$300,$B199),8)))</f>
        <v/>
      </c>
      <c r="J199" s="241">
        <f>IF($B199="","",IF(AND(C199="",F199=""),"",ROUND(SUMIFS('ИТОГО Торговля'!$J$5:$J$300,'ИТОГО Торговля'!$B$5:$B$300,$B199)+SUMIFS('ИТОГО Лэндинг'!$J$5:$J$300,'ИТОГО Лэндинг'!$B$5:$B$300,$B199)+SUMIFS('История'!$J$5:$J$300,'История'!$B$5:$B$300,$B199),8)))</f>
        <v/>
      </c>
      <c r="K199" s="240">
        <f>IF($B199="","",ROUND(SUMIFS('ИТОГО Торговля'!$K$5:$K$300,'ИТОГО Торговля'!$B$5:$B$300,$B199)+SUMIFS('ИТОГО Лэндинг'!$K$5:$K$300,'ИТОГО Лэндинг'!$B$5:$B$300,$B199)+SUMIFS('История'!$K$5:$K$300,'История'!$B$5:$B$300,$B199),8))</f>
        <v/>
      </c>
      <c r="L199" s="177">
        <f>IF(K199="","",IF(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199)*((История!$C$5:$C$300+История!$F$5:$F$300-ABS(История!$C$5:$C$300-История!$F$5:$F$300))/2)*История!$D$5:$D$300))&lt;=0,0,ROUND(K199/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199)*((История!$C$5:$C$300+История!$F$5:$F$300-ABS(История!$C$5:$C$300-История!$F$5:$F$300))/2)*История!$D$5:$D$300)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IF($B200="","",IF(SUMIFS('ИТОГО Торговля'!$C$5:$C$300,'ИТОГО Торговля'!$B$5:$B$300,$B200)+SUMIFS('ИТОГО Лэндинг'!$C$5:$C$300,'ИТОГО Лэндинг'!$B$5:$B$300,$B200)+SUMIFS('История'!$C$5:$C$300,'История'!$B$5:$B$300,$B200)=0,"",SUMIFS('ИТОГО Торговля'!$C$5:$C$300,'ИТОГО Торговля'!$B$5:$B$300,$B200)+SUMIFS('ИТОГО Лэндинг'!$C$5:$C$300,'ИТОГО Лэндинг'!$B$5:$B$300,$B200)+SUMIFS('История'!$C$5:$C$300,'История'!$B$5:$B$300,$B200)))</f>
        <v/>
      </c>
      <c r="D200" s="183">
        <f>IF(C200="","",E200/C200)</f>
        <v/>
      </c>
      <c r="E200" s="247">
        <f>IF(C200="","",SUMIFS('ИТОГО Торговля'!$E$5:$E$300,'ИТОГО Торговля'!$B$5:$B$300,$B200)+SUMIFS('ИТОГО Лэндинг'!$E$5:$E$300,'ИТОГО Лэндинг'!$B$5:$B$300,$B200)+SUMIFS('История'!$E$5:$E$300,'История'!$B$5:$B$300,$B200))</f>
        <v/>
      </c>
      <c r="F200" s="246">
        <f>IF($B200="","",IF(SUMIFS('ИТОГО Торговля'!$F$5:$F$300,'ИТОГО Торговля'!$B$5:$B$300,$B200)+SUMIFS('ИТОГО Лэндинг'!$F$5:$F$300,'ИТОГО Лэндинг'!$B$5:$B$300,$B200)+SUMIFS('История'!$F$5:$F$300,'История'!$B$5:$B$300,$B200)=0,"",SUMIFS('ИТОГО Торговля'!$F$5:$F$300,'ИТОГО Торговля'!$B$5:$B$300,$B200)+SUMIFS('ИТОГО Лэндинг'!$F$5:$F$300,'ИТОГО Лэндинг'!$B$5:$B$300,$B200)+SUMIFS('История'!$F$5:$F$300,'История'!$B$5:$B$300,$B200)))</f>
        <v/>
      </c>
      <c r="G200" s="183">
        <f>IF(F200="","",H200/F200)</f>
        <v/>
      </c>
      <c r="H200" s="247">
        <f>IF(F200="","",SUMIFS('ИТОГО Торговля'!$H$5:$H$300,'ИТОГО Торговля'!$B$5:$B$300,$B200)+SUMIFS('ИТОГО Лэндинг'!$H$5:$H$300,'ИТОГО Лэндинг'!$B$5:$B$300,$B200)+SUMIFS('История'!$H$5:$H$300,'История'!$B$5:$B$300,$B200))</f>
        <v/>
      </c>
      <c r="I200" s="246">
        <f>IF($B200="","",IF(AND(C200="",F200=""),"",ROUND(SUMIFS('ИТОГО Торговля'!$I$5:$I$300,'ИТОГО Торговля'!$B$5:$B$300,$B200)+SUMIFS('ИТОГО Лэндинг'!$I$5:$I$300,'ИТОГО Лэндинг'!$B$5:$B$300,$B200)+SUMIFS('История'!$I$5:$I$300,'История'!$B$5:$B$300,$B200),8)))</f>
        <v/>
      </c>
      <c r="J200" s="247">
        <f>IF($B200="","",IF(AND(C200="",F200=""),"",ROUND(SUMIFS('ИТОГО Торговля'!$J$5:$J$300,'ИТОГО Торговля'!$B$5:$B$300,$B200)+SUMIFS('ИТОГО Лэндинг'!$J$5:$J$300,'ИТОГО Лэндинг'!$B$5:$B$300,$B200)+SUMIFS('История'!$J$5:$J$300,'История'!$B$5:$B$300,$B200),8)))</f>
        <v/>
      </c>
      <c r="K200" s="246">
        <f>IF($B200="","",ROUND(SUMIFS('ИТОГО Торговля'!$K$5:$K$300,'ИТОГО Торговля'!$B$5:$B$300,$B200)+SUMIFS('ИТОГО Лэндинг'!$K$5:$K$300,'ИТОГО Лэндинг'!$B$5:$B$300,$B200)+SUMIFS('История'!$K$5:$K$300,'История'!$B$5:$B$300,$B200),8))</f>
        <v/>
      </c>
      <c r="L200" s="183">
        <f>IF(K200="","",IF(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200)*((История!$C$5:$C$300+История!$F$5:$F$300-ABS(История!$C$5:$C$300-История!$F$5:$F$300))/2)*История!$D$5:$D$300))&lt;=0,0,ROUND(K200/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200)*((История!$C$5:$C$300+История!$F$5:$F$300-ABS(История!$C$5:$C$300-История!$F$5:$F$300))/2)*История!$D$5:$D$300)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IF($B201="","",IF(SUMIFS('ИТОГО Торговля'!$C$5:$C$300,'ИТОГО Торговля'!$B$5:$B$300,$B201)+SUMIFS('ИТОГО Лэндинг'!$C$5:$C$300,'ИТОГО Лэндинг'!$B$5:$B$300,$B201)+SUMIFS('История'!$C$5:$C$300,'История'!$B$5:$B$300,$B201)=0,"",SUMIFS('ИТОГО Торговля'!$C$5:$C$300,'ИТОГО Торговля'!$B$5:$B$300,$B201)+SUMIFS('ИТОГО Лэндинг'!$C$5:$C$300,'ИТОГО Лэндинг'!$B$5:$B$300,$B201)+SUMIFS('История'!$C$5:$C$300,'История'!$B$5:$B$300,$B201)))</f>
        <v/>
      </c>
      <c r="D201" s="177">
        <f>IF(C201="","",E201/C201)</f>
        <v/>
      </c>
      <c r="E201" s="241">
        <f>IF(C201="","",SUMIFS('ИТОГО Торговля'!$E$5:$E$300,'ИТОГО Торговля'!$B$5:$B$300,$B201)+SUMIFS('ИТОГО Лэндинг'!$E$5:$E$300,'ИТОГО Лэндинг'!$B$5:$B$300,$B201)+SUMIFS('История'!$E$5:$E$300,'История'!$B$5:$B$300,$B201))</f>
        <v/>
      </c>
      <c r="F201" s="240">
        <f>IF($B201="","",IF(SUMIFS('ИТОГО Торговля'!$F$5:$F$300,'ИТОГО Торговля'!$B$5:$B$300,$B201)+SUMIFS('ИТОГО Лэндинг'!$F$5:$F$300,'ИТОГО Лэндинг'!$B$5:$B$300,$B201)+SUMIFS('История'!$F$5:$F$300,'История'!$B$5:$B$300,$B201)=0,"",SUMIFS('ИТОГО Торговля'!$F$5:$F$300,'ИТОГО Торговля'!$B$5:$B$300,$B201)+SUMIFS('ИТОГО Лэндинг'!$F$5:$F$300,'ИТОГО Лэндинг'!$B$5:$B$300,$B201)+SUMIFS('История'!$F$5:$F$300,'История'!$B$5:$B$300,$B201)))</f>
        <v/>
      </c>
      <c r="G201" s="177">
        <f>IF(F201="","",H201/F201)</f>
        <v/>
      </c>
      <c r="H201" s="241">
        <f>IF(F201="","",SUMIFS('ИТОГО Торговля'!$H$5:$H$300,'ИТОГО Торговля'!$B$5:$B$300,$B201)+SUMIFS('ИТОГО Лэндинг'!$H$5:$H$300,'ИТОГО Лэндинг'!$B$5:$B$300,$B201)+SUMIFS('История'!$H$5:$H$300,'История'!$B$5:$B$300,$B201))</f>
        <v/>
      </c>
      <c r="I201" s="240">
        <f>IF($B201="","",IF(AND(C201="",F201=""),"",ROUND(SUMIFS('ИТОГО Торговля'!$I$5:$I$300,'ИТОГО Торговля'!$B$5:$B$300,$B201)+SUMIFS('ИТОГО Лэндинг'!$I$5:$I$300,'ИТОГО Лэндинг'!$B$5:$B$300,$B201)+SUMIFS('История'!$I$5:$I$300,'История'!$B$5:$B$300,$B201),8)))</f>
        <v/>
      </c>
      <c r="J201" s="241">
        <f>IF($B201="","",IF(AND(C201="",F201=""),"",ROUND(SUMIFS('ИТОГО Торговля'!$J$5:$J$300,'ИТОГО Торговля'!$B$5:$B$300,$B201)+SUMIFS('ИТОГО Лэндинг'!$J$5:$J$300,'ИТОГО Лэндинг'!$B$5:$B$300,$B201)+SUMIFS('История'!$J$5:$J$300,'История'!$B$5:$B$300,$B201),8)))</f>
        <v/>
      </c>
      <c r="K201" s="240">
        <f>IF($B201="","",ROUND(SUMIFS('ИТОГО Торговля'!$K$5:$K$300,'ИТОГО Торговля'!$B$5:$B$300,$B201)+SUMIFS('ИТОГО Лэндинг'!$K$5:$K$300,'ИТОГО Лэндинг'!$B$5:$B$300,$B201)+SUMIFS('История'!$K$5:$K$300,'История'!$B$5:$B$300,$B201),8))</f>
        <v/>
      </c>
      <c r="L201" s="177">
        <f>IF(K201="","",IF(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201)*((История!$C$5:$C$300+История!$F$5:$F$300-ABS(История!$C$5:$C$300-История!$F$5:$F$300))/2)*История!$D$5:$D$300))&lt;=0,0,ROUND(K201/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201)*((История!$C$5:$C$300+История!$F$5:$F$300-ABS(История!$C$5:$C$300-История!$F$5:$F$300))/2)*История!$D$5:$D$300)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IF($B202="","",IF(SUMIFS('ИТОГО Торговля'!$C$5:$C$300,'ИТОГО Торговля'!$B$5:$B$300,$B202)+SUMIFS('ИТОГО Лэндинг'!$C$5:$C$300,'ИТОГО Лэндинг'!$B$5:$B$300,$B202)+SUMIFS('История'!$C$5:$C$300,'История'!$B$5:$B$300,$B202)=0,"",SUMIFS('ИТОГО Торговля'!$C$5:$C$300,'ИТОГО Торговля'!$B$5:$B$300,$B202)+SUMIFS('ИТОГО Лэндинг'!$C$5:$C$300,'ИТОГО Лэндинг'!$B$5:$B$300,$B202)+SUMIFS('История'!$C$5:$C$300,'История'!$B$5:$B$300,$B202)))</f>
        <v/>
      </c>
      <c r="D202" s="183">
        <f>IF(C202="","",E202/C202)</f>
        <v/>
      </c>
      <c r="E202" s="247">
        <f>IF(C202="","",SUMIFS('ИТОГО Торговля'!$E$5:$E$300,'ИТОГО Торговля'!$B$5:$B$300,$B202)+SUMIFS('ИТОГО Лэндинг'!$E$5:$E$300,'ИТОГО Лэндинг'!$B$5:$B$300,$B202)+SUMIFS('История'!$E$5:$E$300,'История'!$B$5:$B$300,$B202))</f>
        <v/>
      </c>
      <c r="F202" s="246">
        <f>IF($B202="","",IF(SUMIFS('ИТОГО Торговля'!$F$5:$F$300,'ИТОГО Торговля'!$B$5:$B$300,$B202)+SUMIFS('ИТОГО Лэндинг'!$F$5:$F$300,'ИТОГО Лэндинг'!$B$5:$B$300,$B202)+SUMIFS('История'!$F$5:$F$300,'История'!$B$5:$B$300,$B202)=0,"",SUMIFS('ИТОГО Торговля'!$F$5:$F$300,'ИТОГО Торговля'!$B$5:$B$300,$B202)+SUMIFS('ИТОГО Лэндинг'!$F$5:$F$300,'ИТОГО Лэндинг'!$B$5:$B$300,$B202)+SUMIFS('История'!$F$5:$F$300,'История'!$B$5:$B$300,$B202)))</f>
        <v/>
      </c>
      <c r="G202" s="183">
        <f>IF(F202="","",H202/F202)</f>
        <v/>
      </c>
      <c r="H202" s="247">
        <f>IF(F202="","",SUMIFS('ИТОГО Торговля'!$H$5:$H$300,'ИТОГО Торговля'!$B$5:$B$300,$B202)+SUMIFS('ИТОГО Лэндинг'!$H$5:$H$300,'ИТОГО Лэндинг'!$B$5:$B$300,$B202)+SUMIFS('История'!$H$5:$H$300,'История'!$B$5:$B$300,$B202))</f>
        <v/>
      </c>
      <c r="I202" s="246">
        <f>IF($B202="","",IF(AND(C202="",F202=""),"",ROUND(SUMIFS('ИТОГО Торговля'!$I$5:$I$300,'ИТОГО Торговля'!$B$5:$B$300,$B202)+SUMIFS('ИТОГО Лэндинг'!$I$5:$I$300,'ИТОГО Лэндинг'!$B$5:$B$300,$B202)+SUMIFS('История'!$I$5:$I$300,'История'!$B$5:$B$300,$B202),8)))</f>
        <v/>
      </c>
      <c r="J202" s="247">
        <f>IF($B202="","",IF(AND(C202="",F202=""),"",ROUND(SUMIFS('ИТОГО Торговля'!$J$5:$J$300,'ИТОГО Торговля'!$B$5:$B$300,$B202)+SUMIFS('ИТОГО Лэндинг'!$J$5:$J$300,'ИТОГО Лэндинг'!$B$5:$B$300,$B202)+SUMIFS('История'!$J$5:$J$300,'История'!$B$5:$B$300,$B202),8)))</f>
        <v/>
      </c>
      <c r="K202" s="246">
        <f>IF($B202="","",ROUND(SUMIFS('ИТОГО Торговля'!$K$5:$K$300,'ИТОГО Торговля'!$B$5:$B$300,$B202)+SUMIFS('ИТОГО Лэндинг'!$K$5:$K$300,'ИТОГО Лэндинг'!$B$5:$B$300,$B202)+SUMIFS('История'!$K$5:$K$300,'История'!$B$5:$B$300,$B202),8))</f>
        <v/>
      </c>
      <c r="L202" s="183">
        <f>IF(K202="","",IF(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202)*((История!$C$5:$C$300+История!$F$5:$F$300-ABS(История!$C$5:$C$300-История!$F$5:$F$300))/2)*История!$D$5:$D$300))&lt;=0,0,ROUND(K202/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202)*((История!$C$5:$C$300+История!$F$5:$F$300-ABS(История!$C$5:$C$300-История!$F$5:$F$300))/2)*История!$D$5:$D$300)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IF($B203="","",IF(SUMIFS('ИТОГО Торговля'!$C$5:$C$300,'ИТОГО Торговля'!$B$5:$B$300,$B203)+SUMIFS('ИТОГО Лэндинг'!$C$5:$C$300,'ИТОГО Лэндинг'!$B$5:$B$300,$B203)+SUMIFS('История'!$C$5:$C$300,'История'!$B$5:$B$300,$B203)=0,"",SUMIFS('ИТОГО Торговля'!$C$5:$C$300,'ИТОГО Торговля'!$B$5:$B$300,$B203)+SUMIFS('ИТОГО Лэндинг'!$C$5:$C$300,'ИТОГО Лэндинг'!$B$5:$B$300,$B203)+SUMIFS('История'!$C$5:$C$300,'История'!$B$5:$B$300,$B203)))</f>
        <v/>
      </c>
      <c r="D203" s="177">
        <f>IF(C203="","",E203/C203)</f>
        <v/>
      </c>
      <c r="E203" s="241">
        <f>IF(C203="","",SUMIFS('ИТОГО Торговля'!$E$5:$E$300,'ИТОГО Торговля'!$B$5:$B$300,$B203)+SUMIFS('ИТОГО Лэндинг'!$E$5:$E$300,'ИТОГО Лэндинг'!$B$5:$B$300,$B203)+SUMIFS('История'!$E$5:$E$300,'История'!$B$5:$B$300,$B203))</f>
        <v/>
      </c>
      <c r="F203" s="240">
        <f>IF($B203="","",IF(SUMIFS('ИТОГО Торговля'!$F$5:$F$300,'ИТОГО Торговля'!$B$5:$B$300,$B203)+SUMIFS('ИТОГО Лэндинг'!$F$5:$F$300,'ИТОГО Лэндинг'!$B$5:$B$300,$B203)+SUMIFS('История'!$F$5:$F$300,'История'!$B$5:$B$300,$B203)=0,"",SUMIFS('ИТОГО Торговля'!$F$5:$F$300,'ИТОГО Торговля'!$B$5:$B$300,$B203)+SUMIFS('ИТОГО Лэндинг'!$F$5:$F$300,'ИТОГО Лэндинг'!$B$5:$B$300,$B203)+SUMIFS('История'!$F$5:$F$300,'История'!$B$5:$B$300,$B203)))</f>
        <v/>
      </c>
      <c r="G203" s="177">
        <f>IF(F203="","",H203/F203)</f>
        <v/>
      </c>
      <c r="H203" s="241">
        <f>IF(F203="","",SUMIFS('ИТОГО Торговля'!$H$5:$H$300,'ИТОГО Торговля'!$B$5:$B$300,$B203)+SUMIFS('ИТОГО Лэндинг'!$H$5:$H$300,'ИТОГО Лэндинг'!$B$5:$B$300,$B203)+SUMIFS('История'!$H$5:$H$300,'История'!$B$5:$B$300,$B203))</f>
        <v/>
      </c>
      <c r="I203" s="240">
        <f>IF($B203="","",IF(AND(C203="",F203=""),"",ROUND(SUMIFS('ИТОГО Торговля'!$I$5:$I$300,'ИТОГО Торговля'!$B$5:$B$300,$B203)+SUMIFS('ИТОГО Лэндинг'!$I$5:$I$300,'ИТОГО Лэндинг'!$B$5:$B$300,$B203)+SUMIFS('История'!$I$5:$I$300,'История'!$B$5:$B$300,$B203),8)))</f>
        <v/>
      </c>
      <c r="J203" s="241">
        <f>IF($B203="","",IF(AND(C203="",F203=""),"",ROUND(SUMIFS('ИТОГО Торговля'!$J$5:$J$300,'ИТОГО Торговля'!$B$5:$B$300,$B203)+SUMIFS('ИТОГО Лэндинг'!$J$5:$J$300,'ИТОГО Лэндинг'!$B$5:$B$300,$B203)+SUMIFS('История'!$J$5:$J$300,'История'!$B$5:$B$300,$B203),8)))</f>
        <v/>
      </c>
      <c r="K203" s="240">
        <f>IF($B203="","",ROUND(SUMIFS('ИТОГО Торговля'!$K$5:$K$300,'ИТОГО Торговля'!$B$5:$B$300,$B203)+SUMIFS('ИТОГО Лэндинг'!$K$5:$K$300,'ИТОГО Лэндинг'!$B$5:$B$300,$B203)+SUMIFS('История'!$K$5:$K$300,'История'!$B$5:$B$300,$B203),8))</f>
        <v/>
      </c>
      <c r="L203" s="177">
        <f>IF(K203="","",IF(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203)*((История!$C$5:$C$300+История!$F$5:$F$300-ABS(История!$C$5:$C$300-История!$F$5:$F$300))/2)*История!$D$5:$D$300))&lt;=0,0,ROUND(K203/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203)*((История!$C$5:$C$300+История!$F$5:$F$300-ABS(История!$C$5:$C$300-История!$F$5:$F$300))/2)*История!$D$5:$D$300)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IF($B204="","",IF(SUMIFS('ИТОГО Торговля'!$C$5:$C$300,'ИТОГО Торговля'!$B$5:$B$300,$B204)+SUMIFS('ИТОГО Лэндинг'!$C$5:$C$300,'ИТОГО Лэндинг'!$B$5:$B$300,$B204)+SUMIFS('История'!$C$5:$C$300,'История'!$B$5:$B$300,$B204)=0,"",SUMIFS('ИТОГО Торговля'!$C$5:$C$300,'ИТОГО Торговля'!$B$5:$B$300,$B204)+SUMIFS('ИТОГО Лэндинг'!$C$5:$C$300,'ИТОГО Лэндинг'!$B$5:$B$300,$B204)+SUMIFS('История'!$C$5:$C$300,'История'!$B$5:$B$300,$B204)))</f>
        <v/>
      </c>
      <c r="D204" s="183">
        <f>IF(C204="","",E204/C204)</f>
        <v/>
      </c>
      <c r="E204" s="247">
        <f>IF(C204="","",SUMIFS('ИТОГО Торговля'!$E$5:$E$300,'ИТОГО Торговля'!$B$5:$B$300,$B204)+SUMIFS('ИТОГО Лэндинг'!$E$5:$E$300,'ИТОГО Лэндинг'!$B$5:$B$300,$B204)+SUMIFS('История'!$E$5:$E$300,'История'!$B$5:$B$300,$B204))</f>
        <v/>
      </c>
      <c r="F204" s="246">
        <f>IF($B204="","",IF(SUMIFS('ИТОГО Торговля'!$F$5:$F$300,'ИТОГО Торговля'!$B$5:$B$300,$B204)+SUMIFS('ИТОГО Лэндинг'!$F$5:$F$300,'ИТОГО Лэндинг'!$B$5:$B$300,$B204)+SUMIFS('История'!$F$5:$F$300,'История'!$B$5:$B$300,$B204)=0,"",SUMIFS('ИТОГО Торговля'!$F$5:$F$300,'ИТОГО Торговля'!$B$5:$B$300,$B204)+SUMIFS('ИТОГО Лэндинг'!$F$5:$F$300,'ИТОГО Лэндинг'!$B$5:$B$300,$B204)+SUMIFS('История'!$F$5:$F$300,'История'!$B$5:$B$300,$B204)))</f>
        <v/>
      </c>
      <c r="G204" s="183">
        <f>IF(F204="","",H204/F204)</f>
        <v/>
      </c>
      <c r="H204" s="247">
        <f>IF(F204="","",SUMIFS('ИТОГО Торговля'!$H$5:$H$300,'ИТОГО Торговля'!$B$5:$B$300,$B204)+SUMIFS('ИТОГО Лэндинг'!$H$5:$H$300,'ИТОГО Лэндинг'!$B$5:$B$300,$B204)+SUMIFS('История'!$H$5:$H$300,'История'!$B$5:$B$300,$B204))</f>
        <v/>
      </c>
      <c r="I204" s="246">
        <f>IF($B204="","",IF(AND(C204="",F204=""),"",ROUND(SUMIFS('ИТОГО Торговля'!$I$5:$I$300,'ИТОГО Торговля'!$B$5:$B$300,$B204)+SUMIFS('ИТОГО Лэндинг'!$I$5:$I$300,'ИТОГО Лэндинг'!$B$5:$B$300,$B204)+SUMIFS('История'!$I$5:$I$300,'История'!$B$5:$B$300,$B204),8)))</f>
        <v/>
      </c>
      <c r="J204" s="247">
        <f>IF($B204="","",IF(AND(C204="",F204=""),"",ROUND(SUMIFS('ИТОГО Торговля'!$J$5:$J$300,'ИТОГО Торговля'!$B$5:$B$300,$B204)+SUMIFS('ИТОГО Лэндинг'!$J$5:$J$300,'ИТОГО Лэндинг'!$B$5:$B$300,$B204)+SUMIFS('История'!$J$5:$J$300,'История'!$B$5:$B$300,$B204),8)))</f>
        <v/>
      </c>
      <c r="K204" s="246">
        <f>IF($B204="","",ROUND(SUMIFS('ИТОГО Торговля'!$K$5:$K$300,'ИТОГО Торговля'!$B$5:$B$300,$B204)+SUMIFS('ИТОГО Лэндинг'!$K$5:$K$300,'ИТОГО Лэндинг'!$B$5:$B$300,$B204)+SUMIFS('История'!$K$5:$K$300,'История'!$B$5:$B$300,$B204),8))</f>
        <v/>
      </c>
      <c r="L204" s="183">
        <f>IF(K204="","",IF(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204)*((История!$C$5:$C$300+История!$F$5:$F$300-ABS(История!$C$5:$C$300-История!$F$5:$F$300))/2)*История!$D$5:$D$300))&lt;=0,0,ROUND(K204/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204)*((История!$C$5:$C$300+История!$F$5:$F$300-ABS(История!$C$5:$C$300-История!$F$5:$F$300))/2)*История!$D$5:$D$300)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IF($B205="","",IF(SUMIFS('ИТОГО Торговля'!$C$5:$C$300,'ИТОГО Торговля'!$B$5:$B$300,$B205)+SUMIFS('ИТОГО Лэндинг'!$C$5:$C$300,'ИТОГО Лэндинг'!$B$5:$B$300,$B205)+SUMIFS('История'!$C$5:$C$300,'История'!$B$5:$B$300,$B205)=0,"",SUMIFS('ИТОГО Торговля'!$C$5:$C$300,'ИТОГО Торговля'!$B$5:$B$300,$B205)+SUMIFS('ИТОГО Лэндинг'!$C$5:$C$300,'ИТОГО Лэндинг'!$B$5:$B$300,$B205)+SUMIFS('История'!$C$5:$C$300,'История'!$B$5:$B$300,$B205)))</f>
        <v/>
      </c>
      <c r="D205" s="177">
        <f>IF(C205="","",E205/C205)</f>
        <v/>
      </c>
      <c r="E205" s="241">
        <f>IF(C205="","",SUMIFS('ИТОГО Торговля'!$E$5:$E$300,'ИТОГО Торговля'!$B$5:$B$300,$B205)+SUMIFS('ИТОГО Лэндинг'!$E$5:$E$300,'ИТОГО Лэндинг'!$B$5:$B$300,$B205)+SUMIFS('История'!$E$5:$E$300,'История'!$B$5:$B$300,$B205))</f>
        <v/>
      </c>
      <c r="F205" s="240">
        <f>IF($B205="","",IF(SUMIFS('ИТОГО Торговля'!$F$5:$F$300,'ИТОГО Торговля'!$B$5:$B$300,$B205)+SUMIFS('ИТОГО Лэндинг'!$F$5:$F$300,'ИТОГО Лэндинг'!$B$5:$B$300,$B205)+SUMIFS('История'!$F$5:$F$300,'История'!$B$5:$B$300,$B205)=0,"",SUMIFS('ИТОГО Торговля'!$F$5:$F$300,'ИТОГО Торговля'!$B$5:$B$300,$B205)+SUMIFS('ИТОГО Лэндинг'!$F$5:$F$300,'ИТОГО Лэндинг'!$B$5:$B$300,$B205)+SUMIFS('История'!$F$5:$F$300,'История'!$B$5:$B$300,$B205)))</f>
        <v/>
      </c>
      <c r="G205" s="177">
        <f>IF(F205="","",H205/F205)</f>
        <v/>
      </c>
      <c r="H205" s="241">
        <f>IF(F205="","",SUMIFS('ИТОГО Торговля'!$H$5:$H$300,'ИТОГО Торговля'!$B$5:$B$300,$B205)+SUMIFS('ИТОГО Лэндинг'!$H$5:$H$300,'ИТОГО Лэндинг'!$B$5:$B$300,$B205)+SUMIFS('История'!$H$5:$H$300,'История'!$B$5:$B$300,$B205))</f>
        <v/>
      </c>
      <c r="I205" s="240">
        <f>IF($B205="","",IF(AND(C205="",F205=""),"",ROUND(SUMIFS('ИТОГО Торговля'!$I$5:$I$300,'ИТОГО Торговля'!$B$5:$B$300,$B205)+SUMIFS('ИТОГО Лэндинг'!$I$5:$I$300,'ИТОГО Лэндинг'!$B$5:$B$300,$B205)+SUMIFS('История'!$I$5:$I$300,'История'!$B$5:$B$300,$B205),8)))</f>
        <v/>
      </c>
      <c r="J205" s="241">
        <f>IF($B205="","",IF(AND(C205="",F205=""),"",ROUND(SUMIFS('ИТОГО Торговля'!$J$5:$J$300,'ИТОГО Торговля'!$B$5:$B$300,$B205)+SUMIFS('ИТОГО Лэндинг'!$J$5:$J$300,'ИТОГО Лэндинг'!$B$5:$B$300,$B205)+SUMIFS('История'!$J$5:$J$300,'История'!$B$5:$B$300,$B205),8)))</f>
        <v/>
      </c>
      <c r="K205" s="240">
        <f>IF($B205="","",ROUND(SUMIFS('ИТОГО Торговля'!$K$5:$K$300,'ИТОГО Торговля'!$B$5:$B$300,$B205)+SUMIFS('ИТОГО Лэндинг'!$K$5:$K$300,'ИТОГО Лэндинг'!$B$5:$B$300,$B205)+SUMIFS('История'!$K$5:$K$300,'История'!$B$5:$B$300,$B205),8))</f>
        <v/>
      </c>
      <c r="L205" s="177">
        <f>IF(K205="","",IF(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205)*((История!$C$5:$C$300+История!$F$5:$F$300-ABS(История!$C$5:$C$300-История!$F$5:$F$300))/2)*История!$D$5:$D$300))&lt;=0,0,ROUND(K205/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205)*((История!$C$5:$C$300+История!$F$5:$F$300-ABS(История!$C$5:$C$300-История!$F$5:$F$300))/2)*История!$D$5:$D$300)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IF($B206="","",IF(SUMIFS('ИТОГО Торговля'!$C$5:$C$300,'ИТОГО Торговля'!$B$5:$B$300,$B206)+SUMIFS('ИТОГО Лэндинг'!$C$5:$C$300,'ИТОГО Лэндинг'!$B$5:$B$300,$B206)+SUMIFS('История'!$C$5:$C$300,'История'!$B$5:$B$300,$B206)=0,"",SUMIFS('ИТОГО Торговля'!$C$5:$C$300,'ИТОГО Торговля'!$B$5:$B$300,$B206)+SUMIFS('ИТОГО Лэндинг'!$C$5:$C$300,'ИТОГО Лэндинг'!$B$5:$B$300,$B206)+SUMIFS('История'!$C$5:$C$300,'История'!$B$5:$B$300,$B206)))</f>
        <v/>
      </c>
      <c r="D206" s="183">
        <f>IF(C206="","",E206/C206)</f>
        <v/>
      </c>
      <c r="E206" s="247">
        <f>IF(C206="","",SUMIFS('ИТОГО Торговля'!$E$5:$E$300,'ИТОГО Торговля'!$B$5:$B$300,$B206)+SUMIFS('ИТОГО Лэндинг'!$E$5:$E$300,'ИТОГО Лэндинг'!$B$5:$B$300,$B206)+SUMIFS('История'!$E$5:$E$300,'История'!$B$5:$B$300,$B206))</f>
        <v/>
      </c>
      <c r="F206" s="246">
        <f>IF($B206="","",IF(SUMIFS('ИТОГО Торговля'!$F$5:$F$300,'ИТОГО Торговля'!$B$5:$B$300,$B206)+SUMIFS('ИТОГО Лэндинг'!$F$5:$F$300,'ИТОГО Лэндинг'!$B$5:$B$300,$B206)+SUMIFS('История'!$F$5:$F$300,'История'!$B$5:$B$300,$B206)=0,"",SUMIFS('ИТОГО Торговля'!$F$5:$F$300,'ИТОГО Торговля'!$B$5:$B$300,$B206)+SUMIFS('ИТОГО Лэндинг'!$F$5:$F$300,'ИТОГО Лэндинг'!$B$5:$B$300,$B206)+SUMIFS('История'!$F$5:$F$300,'История'!$B$5:$B$300,$B206)))</f>
        <v/>
      </c>
      <c r="G206" s="183">
        <f>IF(F206="","",H206/F206)</f>
        <v/>
      </c>
      <c r="H206" s="247">
        <f>IF(F206="","",SUMIFS('ИТОГО Торговля'!$H$5:$H$300,'ИТОГО Торговля'!$B$5:$B$300,$B206)+SUMIFS('ИТОГО Лэндинг'!$H$5:$H$300,'ИТОГО Лэндинг'!$B$5:$B$300,$B206)+SUMIFS('История'!$H$5:$H$300,'История'!$B$5:$B$300,$B206))</f>
        <v/>
      </c>
      <c r="I206" s="246">
        <f>IF($B206="","",IF(AND(C206="",F206=""),"",ROUND(SUMIFS('ИТОГО Торговля'!$I$5:$I$300,'ИТОГО Торговля'!$B$5:$B$300,$B206)+SUMIFS('ИТОГО Лэндинг'!$I$5:$I$300,'ИТОГО Лэндинг'!$B$5:$B$300,$B206)+SUMIFS('История'!$I$5:$I$300,'История'!$B$5:$B$300,$B206),8)))</f>
        <v/>
      </c>
      <c r="J206" s="247">
        <f>IF($B206="","",IF(AND(C206="",F206=""),"",ROUND(SUMIFS('ИТОГО Торговля'!$J$5:$J$300,'ИТОГО Торговля'!$B$5:$B$300,$B206)+SUMIFS('ИТОГО Лэндинг'!$J$5:$J$300,'ИТОГО Лэндинг'!$B$5:$B$300,$B206)+SUMIFS('История'!$J$5:$J$300,'История'!$B$5:$B$300,$B206),8)))</f>
        <v/>
      </c>
      <c r="K206" s="246">
        <f>IF($B206="","",ROUND(SUMIFS('ИТОГО Торговля'!$K$5:$K$300,'ИТОГО Торговля'!$B$5:$B$300,$B206)+SUMIFS('ИТОГО Лэндинг'!$K$5:$K$300,'ИТОГО Лэндинг'!$B$5:$B$300,$B206)+SUMIFS('История'!$K$5:$K$300,'История'!$B$5:$B$300,$B206),8))</f>
        <v/>
      </c>
      <c r="L206" s="183">
        <f>IF(K206="","",IF(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206)*((История!$C$5:$C$300+История!$F$5:$F$300-ABS(История!$C$5:$C$300-История!$F$5:$F$300))/2)*История!$D$5:$D$300))&lt;=0,0,ROUND(K206/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206)*((История!$C$5:$C$300+История!$F$5:$F$300-ABS(История!$C$5:$C$300-История!$F$5:$F$300))/2)*История!$D$5:$D$300)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IF($B207="","",IF(SUMIFS('ИТОГО Торговля'!$C$5:$C$300,'ИТОГО Торговля'!$B$5:$B$300,$B207)+SUMIFS('ИТОГО Лэндинг'!$C$5:$C$300,'ИТОГО Лэндинг'!$B$5:$B$300,$B207)+SUMIFS('История'!$C$5:$C$300,'История'!$B$5:$B$300,$B207)=0,"",SUMIFS('ИТОГО Торговля'!$C$5:$C$300,'ИТОГО Торговля'!$B$5:$B$300,$B207)+SUMIFS('ИТОГО Лэндинг'!$C$5:$C$300,'ИТОГО Лэндинг'!$B$5:$B$300,$B207)+SUMIFS('История'!$C$5:$C$300,'История'!$B$5:$B$300,$B207)))</f>
        <v/>
      </c>
      <c r="D207" s="177">
        <f>IF(C207="","",E207/C207)</f>
        <v/>
      </c>
      <c r="E207" s="241">
        <f>IF(C207="","",SUMIFS('ИТОГО Торговля'!$E$5:$E$300,'ИТОГО Торговля'!$B$5:$B$300,$B207)+SUMIFS('ИТОГО Лэндинг'!$E$5:$E$300,'ИТОГО Лэндинг'!$B$5:$B$300,$B207)+SUMIFS('История'!$E$5:$E$300,'История'!$B$5:$B$300,$B207))</f>
        <v/>
      </c>
      <c r="F207" s="240">
        <f>IF($B207="","",IF(SUMIFS('ИТОГО Торговля'!$F$5:$F$300,'ИТОГО Торговля'!$B$5:$B$300,$B207)+SUMIFS('ИТОГО Лэндинг'!$F$5:$F$300,'ИТОГО Лэндинг'!$B$5:$B$300,$B207)+SUMIFS('История'!$F$5:$F$300,'История'!$B$5:$B$300,$B207)=0,"",SUMIFS('ИТОГО Торговля'!$F$5:$F$300,'ИТОГО Торговля'!$B$5:$B$300,$B207)+SUMIFS('ИТОГО Лэндинг'!$F$5:$F$300,'ИТОГО Лэндинг'!$B$5:$B$300,$B207)+SUMIFS('История'!$F$5:$F$300,'История'!$B$5:$B$300,$B207)))</f>
        <v/>
      </c>
      <c r="G207" s="177">
        <f>IF(F207="","",H207/F207)</f>
        <v/>
      </c>
      <c r="H207" s="241">
        <f>IF(F207="","",SUMIFS('ИТОГО Торговля'!$H$5:$H$300,'ИТОГО Торговля'!$B$5:$B$300,$B207)+SUMIFS('ИТОГО Лэндинг'!$H$5:$H$300,'ИТОГО Лэндинг'!$B$5:$B$300,$B207)+SUMIFS('История'!$H$5:$H$300,'История'!$B$5:$B$300,$B207))</f>
        <v/>
      </c>
      <c r="I207" s="240">
        <f>IF($B207="","",IF(AND(C207="",F207=""),"",ROUND(SUMIFS('ИТОГО Торговля'!$I$5:$I$300,'ИТОГО Торговля'!$B$5:$B$300,$B207)+SUMIFS('ИТОГО Лэндинг'!$I$5:$I$300,'ИТОГО Лэндинг'!$B$5:$B$300,$B207)+SUMIFS('История'!$I$5:$I$300,'История'!$B$5:$B$300,$B207),8)))</f>
        <v/>
      </c>
      <c r="J207" s="241">
        <f>IF($B207="","",IF(AND(C207="",F207=""),"",ROUND(SUMIFS('ИТОГО Торговля'!$J$5:$J$300,'ИТОГО Торговля'!$B$5:$B$300,$B207)+SUMIFS('ИТОГО Лэндинг'!$J$5:$J$300,'ИТОГО Лэндинг'!$B$5:$B$300,$B207)+SUMIFS('История'!$J$5:$J$300,'История'!$B$5:$B$300,$B207),8)))</f>
        <v/>
      </c>
      <c r="K207" s="240">
        <f>IF($B207="","",ROUND(SUMIFS('ИТОГО Торговля'!$K$5:$K$300,'ИТОГО Торговля'!$B$5:$B$300,$B207)+SUMIFS('ИТОГО Лэндинг'!$K$5:$K$300,'ИТОГО Лэндинг'!$B$5:$B$300,$B207)+SUMIFS('История'!$K$5:$K$300,'История'!$B$5:$B$300,$B207),8))</f>
        <v/>
      </c>
      <c r="L207" s="177">
        <f>IF(K207="","",IF(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207)*((История!$C$5:$C$300+История!$F$5:$F$300-ABS(История!$C$5:$C$300-История!$F$5:$F$300))/2)*История!$D$5:$D$300))&lt;=0,0,ROUND(K207/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207)*((История!$C$5:$C$300+История!$F$5:$F$300-ABS(История!$C$5:$C$300-История!$F$5:$F$300))/2)*История!$D$5:$D$300)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IF($B208="","",IF(SUMIFS('ИТОГО Торговля'!$C$5:$C$300,'ИТОГО Торговля'!$B$5:$B$300,$B208)+SUMIFS('ИТОГО Лэндинг'!$C$5:$C$300,'ИТОГО Лэндинг'!$B$5:$B$300,$B208)+SUMIFS('История'!$C$5:$C$300,'История'!$B$5:$B$300,$B208)=0,"",SUMIFS('ИТОГО Торговля'!$C$5:$C$300,'ИТОГО Торговля'!$B$5:$B$300,$B208)+SUMIFS('ИТОГО Лэндинг'!$C$5:$C$300,'ИТОГО Лэндинг'!$B$5:$B$300,$B208)+SUMIFS('История'!$C$5:$C$300,'История'!$B$5:$B$300,$B208)))</f>
        <v/>
      </c>
      <c r="D208" s="183">
        <f>IF(C208="","",E208/C208)</f>
        <v/>
      </c>
      <c r="E208" s="247">
        <f>IF(C208="","",SUMIFS('ИТОГО Торговля'!$E$5:$E$300,'ИТОГО Торговля'!$B$5:$B$300,$B208)+SUMIFS('ИТОГО Лэндинг'!$E$5:$E$300,'ИТОГО Лэндинг'!$B$5:$B$300,$B208)+SUMIFS('История'!$E$5:$E$300,'История'!$B$5:$B$300,$B208))</f>
        <v/>
      </c>
      <c r="F208" s="246">
        <f>IF($B208="","",IF(SUMIFS('ИТОГО Торговля'!$F$5:$F$300,'ИТОГО Торговля'!$B$5:$B$300,$B208)+SUMIFS('ИТОГО Лэндинг'!$F$5:$F$300,'ИТОГО Лэндинг'!$B$5:$B$300,$B208)+SUMIFS('История'!$F$5:$F$300,'История'!$B$5:$B$300,$B208)=0,"",SUMIFS('ИТОГО Торговля'!$F$5:$F$300,'ИТОГО Торговля'!$B$5:$B$300,$B208)+SUMIFS('ИТОГО Лэндинг'!$F$5:$F$300,'ИТОГО Лэндинг'!$B$5:$B$300,$B208)+SUMIFS('История'!$F$5:$F$300,'История'!$B$5:$B$300,$B208)))</f>
        <v/>
      </c>
      <c r="G208" s="183">
        <f>IF(F208="","",H208/F208)</f>
        <v/>
      </c>
      <c r="H208" s="247">
        <f>IF(F208="","",SUMIFS('ИТОГО Торговля'!$H$5:$H$300,'ИТОГО Торговля'!$B$5:$B$300,$B208)+SUMIFS('ИТОГО Лэндинг'!$H$5:$H$300,'ИТОГО Лэндинг'!$B$5:$B$300,$B208)+SUMIFS('История'!$H$5:$H$300,'История'!$B$5:$B$300,$B208))</f>
        <v/>
      </c>
      <c r="I208" s="246">
        <f>IF($B208="","",IF(AND(C208="",F208=""),"",ROUND(SUMIFS('ИТОГО Торговля'!$I$5:$I$300,'ИТОГО Торговля'!$B$5:$B$300,$B208)+SUMIFS('ИТОГО Лэндинг'!$I$5:$I$300,'ИТОГО Лэндинг'!$B$5:$B$300,$B208)+SUMIFS('История'!$I$5:$I$300,'История'!$B$5:$B$300,$B208),8)))</f>
        <v/>
      </c>
      <c r="J208" s="247">
        <f>IF($B208="","",IF(AND(C208="",F208=""),"",ROUND(SUMIFS('ИТОГО Торговля'!$J$5:$J$300,'ИТОГО Торговля'!$B$5:$B$300,$B208)+SUMIFS('ИТОГО Лэндинг'!$J$5:$J$300,'ИТОГО Лэндинг'!$B$5:$B$300,$B208)+SUMIFS('История'!$J$5:$J$300,'История'!$B$5:$B$300,$B208),8)))</f>
        <v/>
      </c>
      <c r="K208" s="246">
        <f>IF($B208="","",ROUND(SUMIFS('ИТОГО Торговля'!$K$5:$K$300,'ИТОГО Торговля'!$B$5:$B$300,$B208)+SUMIFS('ИТОГО Лэндинг'!$K$5:$K$300,'ИТОГО Лэндинг'!$B$5:$B$300,$B208)+SUMIFS('История'!$K$5:$K$300,'История'!$B$5:$B$300,$B208),8))</f>
        <v/>
      </c>
      <c r="L208" s="183">
        <f>IF(K208="","",IF(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208)*((История!$C$5:$C$300+История!$F$5:$F$300-ABS(История!$C$5:$C$300-История!$F$5:$F$300))/2)*История!$D$5:$D$300))&lt;=0,0,ROUND(K208/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208)*((История!$C$5:$C$300+История!$F$5:$F$300-ABS(История!$C$5:$C$300-История!$F$5:$F$300))/2)*История!$D$5:$D$300)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IF($B209="","",IF(SUMIFS('ИТОГО Торговля'!$C$5:$C$300,'ИТОГО Торговля'!$B$5:$B$300,$B209)+SUMIFS('ИТОГО Лэндинг'!$C$5:$C$300,'ИТОГО Лэндинг'!$B$5:$B$300,$B209)+SUMIFS('История'!$C$5:$C$300,'История'!$B$5:$B$300,$B209)=0,"",SUMIFS('ИТОГО Торговля'!$C$5:$C$300,'ИТОГО Торговля'!$B$5:$B$300,$B209)+SUMIFS('ИТОГО Лэндинг'!$C$5:$C$300,'ИТОГО Лэндинг'!$B$5:$B$300,$B209)+SUMIFS('История'!$C$5:$C$300,'История'!$B$5:$B$300,$B209)))</f>
        <v/>
      </c>
      <c r="D209" s="177">
        <f>IF(C209="","",E209/C209)</f>
        <v/>
      </c>
      <c r="E209" s="241">
        <f>IF(C209="","",SUMIFS('ИТОГО Торговля'!$E$5:$E$300,'ИТОГО Торговля'!$B$5:$B$300,$B209)+SUMIFS('ИТОГО Лэндинг'!$E$5:$E$300,'ИТОГО Лэндинг'!$B$5:$B$300,$B209)+SUMIFS('История'!$E$5:$E$300,'История'!$B$5:$B$300,$B209))</f>
        <v/>
      </c>
      <c r="F209" s="240">
        <f>IF($B209="","",IF(SUMIFS('ИТОГО Торговля'!$F$5:$F$300,'ИТОГО Торговля'!$B$5:$B$300,$B209)+SUMIFS('ИТОГО Лэндинг'!$F$5:$F$300,'ИТОГО Лэндинг'!$B$5:$B$300,$B209)+SUMIFS('История'!$F$5:$F$300,'История'!$B$5:$B$300,$B209)=0,"",SUMIFS('ИТОГО Торговля'!$F$5:$F$300,'ИТОГО Торговля'!$B$5:$B$300,$B209)+SUMIFS('ИТОГО Лэндинг'!$F$5:$F$300,'ИТОГО Лэндинг'!$B$5:$B$300,$B209)+SUMIFS('История'!$F$5:$F$300,'История'!$B$5:$B$300,$B209)))</f>
        <v/>
      </c>
      <c r="G209" s="177">
        <f>IF(F209="","",H209/F209)</f>
        <v/>
      </c>
      <c r="H209" s="241">
        <f>IF(F209="","",SUMIFS('ИТОГО Торговля'!$H$5:$H$300,'ИТОГО Торговля'!$B$5:$B$300,$B209)+SUMIFS('ИТОГО Лэндинг'!$H$5:$H$300,'ИТОГО Лэндинг'!$B$5:$B$300,$B209)+SUMIFS('История'!$H$5:$H$300,'История'!$B$5:$B$300,$B209))</f>
        <v/>
      </c>
      <c r="I209" s="240">
        <f>IF($B209="","",IF(AND(C209="",F209=""),"",ROUND(SUMIFS('ИТОГО Торговля'!$I$5:$I$300,'ИТОГО Торговля'!$B$5:$B$300,$B209)+SUMIFS('ИТОГО Лэндинг'!$I$5:$I$300,'ИТОГО Лэндинг'!$B$5:$B$300,$B209)+SUMIFS('История'!$I$5:$I$300,'История'!$B$5:$B$300,$B209),8)))</f>
        <v/>
      </c>
      <c r="J209" s="241">
        <f>IF($B209="","",IF(AND(C209="",F209=""),"",ROUND(SUMIFS('ИТОГО Торговля'!$J$5:$J$300,'ИТОГО Торговля'!$B$5:$B$300,$B209)+SUMIFS('ИТОГО Лэндинг'!$J$5:$J$300,'ИТОГО Лэндинг'!$B$5:$B$300,$B209)+SUMIFS('История'!$J$5:$J$300,'История'!$B$5:$B$300,$B209),8)))</f>
        <v/>
      </c>
      <c r="K209" s="240">
        <f>IF($B209="","",ROUND(SUMIFS('ИТОГО Торговля'!$K$5:$K$300,'ИТОГО Торговля'!$B$5:$B$300,$B209)+SUMIFS('ИТОГО Лэндинг'!$K$5:$K$300,'ИТОГО Лэндинг'!$B$5:$B$300,$B209)+SUMIFS('История'!$K$5:$K$300,'История'!$B$5:$B$300,$B209),8))</f>
        <v/>
      </c>
      <c r="L209" s="177">
        <f>IF(K209="","",IF(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209)*((История!$C$5:$C$300+История!$F$5:$F$300-ABS(История!$C$5:$C$300-История!$F$5:$F$300))/2)*История!$D$5:$D$300))&lt;=0,0,ROUND(K209/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209)*((История!$C$5:$C$300+История!$F$5:$F$300-ABS(История!$C$5:$C$300-История!$F$5:$F$300))/2)*История!$D$5:$D$300)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IF($B210="","",IF(SUMIFS('ИТОГО Торговля'!$C$5:$C$300,'ИТОГО Торговля'!$B$5:$B$300,$B210)+SUMIFS('ИТОГО Лэндинг'!$C$5:$C$300,'ИТОГО Лэндинг'!$B$5:$B$300,$B210)+SUMIFS('История'!$C$5:$C$300,'История'!$B$5:$B$300,$B210)=0,"",SUMIFS('ИТОГО Торговля'!$C$5:$C$300,'ИТОГО Торговля'!$B$5:$B$300,$B210)+SUMIFS('ИТОГО Лэндинг'!$C$5:$C$300,'ИТОГО Лэндинг'!$B$5:$B$300,$B210)+SUMIFS('История'!$C$5:$C$300,'История'!$B$5:$B$300,$B210)))</f>
        <v/>
      </c>
      <c r="D210" s="183">
        <f>IF(C210="","",E210/C210)</f>
        <v/>
      </c>
      <c r="E210" s="247">
        <f>IF(C210="","",SUMIFS('ИТОГО Торговля'!$E$5:$E$300,'ИТОГО Торговля'!$B$5:$B$300,$B210)+SUMIFS('ИТОГО Лэндинг'!$E$5:$E$300,'ИТОГО Лэндинг'!$B$5:$B$300,$B210)+SUMIFS('История'!$E$5:$E$300,'История'!$B$5:$B$300,$B210))</f>
        <v/>
      </c>
      <c r="F210" s="246">
        <f>IF($B210="","",IF(SUMIFS('ИТОГО Торговля'!$F$5:$F$300,'ИТОГО Торговля'!$B$5:$B$300,$B210)+SUMIFS('ИТОГО Лэндинг'!$F$5:$F$300,'ИТОГО Лэндинг'!$B$5:$B$300,$B210)+SUMIFS('История'!$F$5:$F$300,'История'!$B$5:$B$300,$B210)=0,"",SUMIFS('ИТОГО Торговля'!$F$5:$F$300,'ИТОГО Торговля'!$B$5:$B$300,$B210)+SUMIFS('ИТОГО Лэндинг'!$F$5:$F$300,'ИТОГО Лэндинг'!$B$5:$B$300,$B210)+SUMIFS('История'!$F$5:$F$300,'История'!$B$5:$B$300,$B210)))</f>
        <v/>
      </c>
      <c r="G210" s="183">
        <f>IF(F210="","",H210/F210)</f>
        <v/>
      </c>
      <c r="H210" s="247">
        <f>IF(F210="","",SUMIFS('ИТОГО Торговля'!$H$5:$H$300,'ИТОГО Торговля'!$B$5:$B$300,$B210)+SUMIFS('ИТОГО Лэндинг'!$H$5:$H$300,'ИТОГО Лэндинг'!$B$5:$B$300,$B210)+SUMIFS('История'!$H$5:$H$300,'История'!$B$5:$B$300,$B210))</f>
        <v/>
      </c>
      <c r="I210" s="246">
        <f>IF($B210="","",IF(AND(C210="",F210=""),"",ROUND(SUMIFS('ИТОГО Торговля'!$I$5:$I$300,'ИТОГО Торговля'!$B$5:$B$300,$B210)+SUMIFS('ИТОГО Лэндинг'!$I$5:$I$300,'ИТОГО Лэндинг'!$B$5:$B$300,$B210)+SUMIFS('История'!$I$5:$I$300,'История'!$B$5:$B$300,$B210),8)))</f>
        <v/>
      </c>
      <c r="J210" s="247">
        <f>IF($B210="","",IF(AND(C210="",F210=""),"",ROUND(SUMIFS('ИТОГО Торговля'!$J$5:$J$300,'ИТОГО Торговля'!$B$5:$B$300,$B210)+SUMIFS('ИТОГО Лэндинг'!$J$5:$J$300,'ИТОГО Лэндинг'!$B$5:$B$300,$B210)+SUMIFS('История'!$J$5:$J$300,'История'!$B$5:$B$300,$B210),8)))</f>
        <v/>
      </c>
      <c r="K210" s="246">
        <f>IF($B210="","",ROUND(SUMIFS('ИТОГО Торговля'!$K$5:$K$300,'ИТОГО Торговля'!$B$5:$B$300,$B210)+SUMIFS('ИТОГО Лэндинг'!$K$5:$K$300,'ИТОГО Лэндинг'!$B$5:$B$300,$B210)+SUMIFS('История'!$K$5:$K$300,'История'!$B$5:$B$300,$B210),8))</f>
        <v/>
      </c>
      <c r="L210" s="183">
        <f>IF(K210="","",IF(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210)*((История!$C$5:$C$300+История!$F$5:$F$300-ABS(История!$C$5:$C$300-История!$F$5:$F$300))/2)*История!$D$5:$D$300))&lt;=0,0,ROUND(K210/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210)*((История!$C$5:$C$300+История!$F$5:$F$300-ABS(История!$C$5:$C$300-История!$F$5:$F$300))/2)*История!$D$5:$D$300)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IF($B211="","",IF(SUMIFS('ИТОГО Торговля'!$C$5:$C$300,'ИТОГО Торговля'!$B$5:$B$300,$B211)+SUMIFS('ИТОГО Лэндинг'!$C$5:$C$300,'ИТОГО Лэндинг'!$B$5:$B$300,$B211)+SUMIFS('История'!$C$5:$C$300,'История'!$B$5:$B$300,$B211)=0,"",SUMIFS('ИТОГО Торговля'!$C$5:$C$300,'ИТОГО Торговля'!$B$5:$B$300,$B211)+SUMIFS('ИТОГО Лэндинг'!$C$5:$C$300,'ИТОГО Лэндинг'!$B$5:$B$300,$B211)+SUMIFS('История'!$C$5:$C$300,'История'!$B$5:$B$300,$B211)))</f>
        <v/>
      </c>
      <c r="D211" s="177">
        <f>IF(C211="","",E211/C211)</f>
        <v/>
      </c>
      <c r="E211" s="241">
        <f>IF(C211="","",SUMIFS('ИТОГО Торговля'!$E$5:$E$300,'ИТОГО Торговля'!$B$5:$B$300,$B211)+SUMIFS('ИТОГО Лэндинг'!$E$5:$E$300,'ИТОГО Лэндинг'!$B$5:$B$300,$B211)+SUMIFS('История'!$E$5:$E$300,'История'!$B$5:$B$300,$B211))</f>
        <v/>
      </c>
      <c r="F211" s="240">
        <f>IF($B211="","",IF(SUMIFS('ИТОГО Торговля'!$F$5:$F$300,'ИТОГО Торговля'!$B$5:$B$300,$B211)+SUMIFS('ИТОГО Лэндинг'!$F$5:$F$300,'ИТОГО Лэндинг'!$B$5:$B$300,$B211)+SUMIFS('История'!$F$5:$F$300,'История'!$B$5:$B$300,$B211)=0,"",SUMIFS('ИТОГО Торговля'!$F$5:$F$300,'ИТОГО Торговля'!$B$5:$B$300,$B211)+SUMIFS('ИТОГО Лэндинг'!$F$5:$F$300,'ИТОГО Лэндинг'!$B$5:$B$300,$B211)+SUMIFS('История'!$F$5:$F$300,'История'!$B$5:$B$300,$B211)))</f>
        <v/>
      </c>
      <c r="G211" s="177">
        <f>IF(F211="","",H211/F211)</f>
        <v/>
      </c>
      <c r="H211" s="241">
        <f>IF(F211="","",SUMIFS('ИТОГО Торговля'!$H$5:$H$300,'ИТОГО Торговля'!$B$5:$B$300,$B211)+SUMIFS('ИТОГО Лэндинг'!$H$5:$H$300,'ИТОГО Лэндинг'!$B$5:$B$300,$B211)+SUMIFS('История'!$H$5:$H$300,'История'!$B$5:$B$300,$B211))</f>
        <v/>
      </c>
      <c r="I211" s="240">
        <f>IF($B211="","",IF(AND(C211="",F211=""),"",ROUND(SUMIFS('ИТОГО Торговля'!$I$5:$I$300,'ИТОГО Торговля'!$B$5:$B$300,$B211)+SUMIFS('ИТОГО Лэндинг'!$I$5:$I$300,'ИТОГО Лэндинг'!$B$5:$B$300,$B211)+SUMIFS('История'!$I$5:$I$300,'История'!$B$5:$B$300,$B211),8)))</f>
        <v/>
      </c>
      <c r="J211" s="241">
        <f>IF($B211="","",IF(AND(C211="",F211=""),"",ROUND(SUMIFS('ИТОГО Торговля'!$J$5:$J$300,'ИТОГО Торговля'!$B$5:$B$300,$B211)+SUMIFS('ИТОГО Лэндинг'!$J$5:$J$300,'ИТОГО Лэндинг'!$B$5:$B$300,$B211)+SUMIFS('История'!$J$5:$J$300,'История'!$B$5:$B$300,$B211),8)))</f>
        <v/>
      </c>
      <c r="K211" s="240">
        <f>IF($B211="","",ROUND(SUMIFS('ИТОГО Торговля'!$K$5:$K$300,'ИТОГО Торговля'!$B$5:$B$300,$B211)+SUMIFS('ИТОГО Лэндинг'!$K$5:$K$300,'ИТОГО Лэндинг'!$B$5:$B$300,$B211)+SUMIFS('История'!$K$5:$K$300,'История'!$B$5:$B$300,$B211),8))</f>
        <v/>
      </c>
      <c r="L211" s="177">
        <f>IF(K211="","",IF(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211)*((История!$C$5:$C$300+История!$F$5:$F$300-ABS(История!$C$5:$C$300-История!$F$5:$F$300))/2)*История!$D$5:$D$300))&lt;=0,0,ROUND(K211/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211)*((История!$C$5:$C$300+История!$F$5:$F$300-ABS(История!$C$5:$C$300-История!$F$5:$F$300))/2)*История!$D$5:$D$300)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IF($B212="","",IF(SUMIFS('ИТОГО Торговля'!$C$5:$C$300,'ИТОГО Торговля'!$B$5:$B$300,$B212)+SUMIFS('ИТОГО Лэндинг'!$C$5:$C$300,'ИТОГО Лэндинг'!$B$5:$B$300,$B212)+SUMIFS('История'!$C$5:$C$300,'История'!$B$5:$B$300,$B212)=0,"",SUMIFS('ИТОГО Торговля'!$C$5:$C$300,'ИТОГО Торговля'!$B$5:$B$300,$B212)+SUMIFS('ИТОГО Лэндинг'!$C$5:$C$300,'ИТОГО Лэндинг'!$B$5:$B$300,$B212)+SUMIFS('История'!$C$5:$C$300,'История'!$B$5:$B$300,$B212)))</f>
        <v/>
      </c>
      <c r="D212" s="183">
        <f>IF(C212="","",E212/C212)</f>
        <v/>
      </c>
      <c r="E212" s="247">
        <f>IF(C212="","",SUMIFS('ИТОГО Торговля'!$E$5:$E$300,'ИТОГО Торговля'!$B$5:$B$300,$B212)+SUMIFS('ИТОГО Лэндинг'!$E$5:$E$300,'ИТОГО Лэндинг'!$B$5:$B$300,$B212)+SUMIFS('История'!$E$5:$E$300,'История'!$B$5:$B$300,$B212))</f>
        <v/>
      </c>
      <c r="F212" s="246">
        <f>IF($B212="","",IF(SUMIFS('ИТОГО Торговля'!$F$5:$F$300,'ИТОГО Торговля'!$B$5:$B$300,$B212)+SUMIFS('ИТОГО Лэндинг'!$F$5:$F$300,'ИТОГО Лэндинг'!$B$5:$B$300,$B212)+SUMIFS('История'!$F$5:$F$300,'История'!$B$5:$B$300,$B212)=0,"",SUMIFS('ИТОГО Торговля'!$F$5:$F$300,'ИТОГО Торговля'!$B$5:$B$300,$B212)+SUMIFS('ИТОГО Лэндинг'!$F$5:$F$300,'ИТОГО Лэндинг'!$B$5:$B$300,$B212)+SUMIFS('История'!$F$5:$F$300,'История'!$B$5:$B$300,$B212)))</f>
        <v/>
      </c>
      <c r="G212" s="183">
        <f>IF(F212="","",H212/F212)</f>
        <v/>
      </c>
      <c r="H212" s="247">
        <f>IF(F212="","",SUMIFS('ИТОГО Торговля'!$H$5:$H$300,'ИТОГО Торговля'!$B$5:$B$300,$B212)+SUMIFS('ИТОГО Лэндинг'!$H$5:$H$300,'ИТОГО Лэндинг'!$B$5:$B$300,$B212)+SUMIFS('История'!$H$5:$H$300,'История'!$B$5:$B$300,$B212))</f>
        <v/>
      </c>
      <c r="I212" s="246">
        <f>IF($B212="","",IF(AND(C212="",F212=""),"",ROUND(SUMIFS('ИТОГО Торговля'!$I$5:$I$300,'ИТОГО Торговля'!$B$5:$B$300,$B212)+SUMIFS('ИТОГО Лэндинг'!$I$5:$I$300,'ИТОГО Лэндинг'!$B$5:$B$300,$B212)+SUMIFS('История'!$I$5:$I$300,'История'!$B$5:$B$300,$B212),8)))</f>
        <v/>
      </c>
      <c r="J212" s="247">
        <f>IF($B212="","",IF(AND(C212="",F212=""),"",ROUND(SUMIFS('ИТОГО Торговля'!$J$5:$J$300,'ИТОГО Торговля'!$B$5:$B$300,$B212)+SUMIFS('ИТОГО Лэндинг'!$J$5:$J$300,'ИТОГО Лэндинг'!$B$5:$B$300,$B212)+SUMIFS('История'!$J$5:$J$300,'История'!$B$5:$B$300,$B212),8)))</f>
        <v/>
      </c>
      <c r="K212" s="246">
        <f>IF($B212="","",ROUND(SUMIFS('ИТОГО Торговля'!$K$5:$K$300,'ИТОГО Торговля'!$B$5:$B$300,$B212)+SUMIFS('ИТОГО Лэндинг'!$K$5:$K$300,'ИТОГО Лэндинг'!$B$5:$B$300,$B212)+SUMIFS('История'!$K$5:$K$300,'История'!$B$5:$B$300,$B212),8))</f>
        <v/>
      </c>
      <c r="L212" s="183">
        <f>IF(K212="","",IF(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212)*((История!$C$5:$C$300+История!$F$5:$F$300-ABS(История!$C$5:$C$300-История!$F$5:$F$300))/2)*История!$D$5:$D$300))&lt;=0,0,ROUND(K212/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212)*((История!$C$5:$C$300+История!$F$5:$F$300-ABS(История!$C$5:$C$300-История!$F$5:$F$300))/2)*История!$D$5:$D$300)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IF($B213="","",IF(SUMIFS('ИТОГО Торговля'!$C$5:$C$300,'ИТОГО Торговля'!$B$5:$B$300,$B213)+SUMIFS('ИТОГО Лэндинг'!$C$5:$C$300,'ИТОГО Лэндинг'!$B$5:$B$300,$B213)+SUMIFS('История'!$C$5:$C$300,'История'!$B$5:$B$300,$B213)=0,"",SUMIFS('ИТОГО Торговля'!$C$5:$C$300,'ИТОГО Торговля'!$B$5:$B$300,$B213)+SUMIFS('ИТОГО Лэндинг'!$C$5:$C$300,'ИТОГО Лэндинг'!$B$5:$B$300,$B213)+SUMIFS('История'!$C$5:$C$300,'История'!$B$5:$B$300,$B213)))</f>
        <v/>
      </c>
      <c r="D213" s="177">
        <f>IF(C213="","",E213/C213)</f>
        <v/>
      </c>
      <c r="E213" s="241">
        <f>IF(C213="","",SUMIFS('ИТОГО Торговля'!$E$5:$E$300,'ИТОГО Торговля'!$B$5:$B$300,$B213)+SUMIFS('ИТОГО Лэндинг'!$E$5:$E$300,'ИТОГО Лэндинг'!$B$5:$B$300,$B213)+SUMIFS('История'!$E$5:$E$300,'История'!$B$5:$B$300,$B213))</f>
        <v/>
      </c>
      <c r="F213" s="240">
        <f>IF($B213="","",IF(SUMIFS('ИТОГО Торговля'!$F$5:$F$300,'ИТОГО Торговля'!$B$5:$B$300,$B213)+SUMIFS('ИТОГО Лэндинг'!$F$5:$F$300,'ИТОГО Лэндинг'!$B$5:$B$300,$B213)+SUMIFS('История'!$F$5:$F$300,'История'!$B$5:$B$300,$B213)=0,"",SUMIFS('ИТОГО Торговля'!$F$5:$F$300,'ИТОГО Торговля'!$B$5:$B$300,$B213)+SUMIFS('ИТОГО Лэндинг'!$F$5:$F$300,'ИТОГО Лэндинг'!$B$5:$B$300,$B213)+SUMIFS('История'!$F$5:$F$300,'История'!$B$5:$B$300,$B213)))</f>
        <v/>
      </c>
      <c r="G213" s="177">
        <f>IF(F213="","",H213/F213)</f>
        <v/>
      </c>
      <c r="H213" s="241">
        <f>IF(F213="","",SUMIFS('ИТОГО Торговля'!$H$5:$H$300,'ИТОГО Торговля'!$B$5:$B$300,$B213)+SUMIFS('ИТОГО Лэндинг'!$H$5:$H$300,'ИТОГО Лэндинг'!$B$5:$B$300,$B213)+SUMIFS('История'!$H$5:$H$300,'История'!$B$5:$B$300,$B213))</f>
        <v/>
      </c>
      <c r="I213" s="240">
        <f>IF($B213="","",IF(AND(C213="",F213=""),"",ROUND(SUMIFS('ИТОГО Торговля'!$I$5:$I$300,'ИТОГО Торговля'!$B$5:$B$300,$B213)+SUMIFS('ИТОГО Лэндинг'!$I$5:$I$300,'ИТОГО Лэндинг'!$B$5:$B$300,$B213)+SUMIFS('История'!$I$5:$I$300,'История'!$B$5:$B$300,$B213),8)))</f>
        <v/>
      </c>
      <c r="J213" s="241">
        <f>IF($B213="","",IF(AND(C213="",F213=""),"",ROUND(SUMIFS('ИТОГО Торговля'!$J$5:$J$300,'ИТОГО Торговля'!$B$5:$B$300,$B213)+SUMIFS('ИТОГО Лэндинг'!$J$5:$J$300,'ИТОГО Лэндинг'!$B$5:$B$300,$B213)+SUMIFS('История'!$J$5:$J$300,'История'!$B$5:$B$300,$B213),8)))</f>
        <v/>
      </c>
      <c r="K213" s="240">
        <f>IF($B213="","",ROUND(SUMIFS('ИТОГО Торговля'!$K$5:$K$300,'ИТОГО Торговля'!$B$5:$B$300,$B213)+SUMIFS('ИТОГО Лэндинг'!$K$5:$K$300,'ИТОГО Лэндинг'!$B$5:$B$300,$B213)+SUMIFS('История'!$K$5:$K$300,'История'!$B$5:$B$300,$B213),8))</f>
        <v/>
      </c>
      <c r="L213" s="177">
        <f>IF(K213="","",IF(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213)*((История!$C$5:$C$300+История!$F$5:$F$300-ABS(История!$C$5:$C$300-История!$F$5:$F$300))/2)*История!$D$5:$D$300))&lt;=0,0,ROUND(K213/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213)*((История!$C$5:$C$300+История!$F$5:$F$300-ABS(История!$C$5:$C$300-История!$F$5:$F$300))/2)*История!$D$5:$D$300)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IF($B214="","",IF(SUMIFS('ИТОГО Торговля'!$C$5:$C$300,'ИТОГО Торговля'!$B$5:$B$300,$B214)+SUMIFS('ИТОГО Лэндинг'!$C$5:$C$300,'ИТОГО Лэндинг'!$B$5:$B$300,$B214)+SUMIFS('История'!$C$5:$C$300,'История'!$B$5:$B$300,$B214)=0,"",SUMIFS('ИТОГО Торговля'!$C$5:$C$300,'ИТОГО Торговля'!$B$5:$B$300,$B214)+SUMIFS('ИТОГО Лэндинг'!$C$5:$C$300,'ИТОГО Лэндинг'!$B$5:$B$300,$B214)+SUMIFS('История'!$C$5:$C$300,'История'!$B$5:$B$300,$B214)))</f>
        <v/>
      </c>
      <c r="D214" s="183">
        <f>IF(C214="","",E214/C214)</f>
        <v/>
      </c>
      <c r="E214" s="247">
        <f>IF(C214="","",SUMIFS('ИТОГО Торговля'!$E$5:$E$300,'ИТОГО Торговля'!$B$5:$B$300,$B214)+SUMIFS('ИТОГО Лэндинг'!$E$5:$E$300,'ИТОГО Лэндинг'!$B$5:$B$300,$B214)+SUMIFS('История'!$E$5:$E$300,'История'!$B$5:$B$300,$B214))</f>
        <v/>
      </c>
      <c r="F214" s="246">
        <f>IF($B214="","",IF(SUMIFS('ИТОГО Торговля'!$F$5:$F$300,'ИТОГО Торговля'!$B$5:$B$300,$B214)+SUMIFS('ИТОГО Лэндинг'!$F$5:$F$300,'ИТОГО Лэндинг'!$B$5:$B$300,$B214)+SUMIFS('История'!$F$5:$F$300,'История'!$B$5:$B$300,$B214)=0,"",SUMIFS('ИТОГО Торговля'!$F$5:$F$300,'ИТОГО Торговля'!$B$5:$B$300,$B214)+SUMIFS('ИТОГО Лэндинг'!$F$5:$F$300,'ИТОГО Лэндинг'!$B$5:$B$300,$B214)+SUMIFS('История'!$F$5:$F$300,'История'!$B$5:$B$300,$B214)))</f>
        <v/>
      </c>
      <c r="G214" s="183">
        <f>IF(F214="","",H214/F214)</f>
        <v/>
      </c>
      <c r="H214" s="247">
        <f>IF(F214="","",SUMIFS('ИТОГО Торговля'!$H$5:$H$300,'ИТОГО Торговля'!$B$5:$B$300,$B214)+SUMIFS('ИТОГО Лэндинг'!$H$5:$H$300,'ИТОГО Лэндинг'!$B$5:$B$300,$B214)+SUMIFS('История'!$H$5:$H$300,'История'!$B$5:$B$300,$B214))</f>
        <v/>
      </c>
      <c r="I214" s="246">
        <f>IF($B214="","",IF(AND(C214="",F214=""),"",ROUND(SUMIFS('ИТОГО Торговля'!$I$5:$I$300,'ИТОГО Торговля'!$B$5:$B$300,$B214)+SUMIFS('ИТОГО Лэндинг'!$I$5:$I$300,'ИТОГО Лэндинг'!$B$5:$B$300,$B214)+SUMIFS('История'!$I$5:$I$300,'История'!$B$5:$B$300,$B214),8)))</f>
        <v/>
      </c>
      <c r="J214" s="247">
        <f>IF($B214="","",IF(AND(C214="",F214=""),"",ROUND(SUMIFS('ИТОГО Торговля'!$J$5:$J$300,'ИТОГО Торговля'!$B$5:$B$300,$B214)+SUMIFS('ИТОГО Лэндинг'!$J$5:$J$300,'ИТОГО Лэндинг'!$B$5:$B$300,$B214)+SUMIFS('История'!$J$5:$J$300,'История'!$B$5:$B$300,$B214),8)))</f>
        <v/>
      </c>
      <c r="K214" s="246">
        <f>IF($B214="","",ROUND(SUMIFS('ИТОГО Торговля'!$K$5:$K$300,'ИТОГО Торговля'!$B$5:$B$300,$B214)+SUMIFS('ИТОГО Лэндинг'!$K$5:$K$300,'ИТОГО Лэндинг'!$B$5:$B$300,$B214)+SUMIFS('История'!$K$5:$K$300,'История'!$B$5:$B$300,$B214),8))</f>
        <v/>
      </c>
      <c r="L214" s="183">
        <f>IF(K214="","",IF(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214)*((История!$C$5:$C$300+История!$F$5:$F$300-ABS(История!$C$5:$C$300-История!$F$5:$F$300))/2)*История!$D$5:$D$300))&lt;=0,0,ROUND(K214/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214)*((История!$C$5:$C$300+История!$F$5:$F$300-ABS(История!$C$5:$C$300-История!$F$5:$F$300))/2)*История!$D$5:$D$300)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IF($B215="","",IF(SUMIFS('ИТОГО Торговля'!$C$5:$C$300,'ИТОГО Торговля'!$B$5:$B$300,$B215)+SUMIFS('ИТОГО Лэндинг'!$C$5:$C$300,'ИТОГО Лэндинг'!$B$5:$B$300,$B215)+SUMIFS('История'!$C$5:$C$300,'История'!$B$5:$B$300,$B215)=0,"",SUMIFS('ИТОГО Торговля'!$C$5:$C$300,'ИТОГО Торговля'!$B$5:$B$300,$B215)+SUMIFS('ИТОГО Лэндинг'!$C$5:$C$300,'ИТОГО Лэндинг'!$B$5:$B$300,$B215)+SUMIFS('История'!$C$5:$C$300,'История'!$B$5:$B$300,$B215)))</f>
        <v/>
      </c>
      <c r="D215" s="177">
        <f>IF(C215="","",E215/C215)</f>
        <v/>
      </c>
      <c r="E215" s="241">
        <f>IF(C215="","",SUMIFS('ИТОГО Торговля'!$E$5:$E$300,'ИТОГО Торговля'!$B$5:$B$300,$B215)+SUMIFS('ИТОГО Лэндинг'!$E$5:$E$300,'ИТОГО Лэндинг'!$B$5:$B$300,$B215)+SUMIFS('История'!$E$5:$E$300,'История'!$B$5:$B$300,$B215))</f>
        <v/>
      </c>
      <c r="F215" s="240">
        <f>IF($B215="","",IF(SUMIFS('ИТОГО Торговля'!$F$5:$F$300,'ИТОГО Торговля'!$B$5:$B$300,$B215)+SUMIFS('ИТОГО Лэндинг'!$F$5:$F$300,'ИТОГО Лэндинг'!$B$5:$B$300,$B215)+SUMIFS('История'!$F$5:$F$300,'История'!$B$5:$B$300,$B215)=0,"",SUMIFS('ИТОГО Торговля'!$F$5:$F$300,'ИТОГО Торговля'!$B$5:$B$300,$B215)+SUMIFS('ИТОГО Лэндинг'!$F$5:$F$300,'ИТОГО Лэндинг'!$B$5:$B$300,$B215)+SUMIFS('История'!$F$5:$F$300,'История'!$B$5:$B$300,$B215)))</f>
        <v/>
      </c>
      <c r="G215" s="177">
        <f>IF(F215="","",H215/F215)</f>
        <v/>
      </c>
      <c r="H215" s="241">
        <f>IF(F215="","",SUMIFS('ИТОГО Торговля'!$H$5:$H$300,'ИТОГО Торговля'!$B$5:$B$300,$B215)+SUMIFS('ИТОГО Лэндинг'!$H$5:$H$300,'ИТОГО Лэндинг'!$B$5:$B$300,$B215)+SUMIFS('История'!$H$5:$H$300,'История'!$B$5:$B$300,$B215))</f>
        <v/>
      </c>
      <c r="I215" s="240">
        <f>IF($B215="","",IF(AND(C215="",F215=""),"",ROUND(SUMIFS('ИТОГО Торговля'!$I$5:$I$300,'ИТОГО Торговля'!$B$5:$B$300,$B215)+SUMIFS('ИТОГО Лэндинг'!$I$5:$I$300,'ИТОГО Лэндинг'!$B$5:$B$300,$B215)+SUMIFS('История'!$I$5:$I$300,'История'!$B$5:$B$300,$B215),8)))</f>
        <v/>
      </c>
      <c r="J215" s="241">
        <f>IF($B215="","",IF(AND(C215="",F215=""),"",ROUND(SUMIFS('ИТОГО Торговля'!$J$5:$J$300,'ИТОГО Торговля'!$B$5:$B$300,$B215)+SUMIFS('ИТОГО Лэндинг'!$J$5:$J$300,'ИТОГО Лэндинг'!$B$5:$B$300,$B215)+SUMIFS('История'!$J$5:$J$300,'История'!$B$5:$B$300,$B215),8)))</f>
        <v/>
      </c>
      <c r="K215" s="240">
        <f>IF($B215="","",ROUND(SUMIFS('ИТОГО Торговля'!$K$5:$K$300,'ИТОГО Торговля'!$B$5:$B$300,$B215)+SUMIFS('ИТОГО Лэндинг'!$K$5:$K$300,'ИТОГО Лэндинг'!$B$5:$B$300,$B215)+SUMIFS('История'!$K$5:$K$300,'История'!$B$5:$B$300,$B215),8))</f>
        <v/>
      </c>
      <c r="L215" s="177">
        <f>IF(K215="","",IF(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215)*((История!$C$5:$C$300+История!$F$5:$F$300-ABS(История!$C$5:$C$300-История!$F$5:$F$300))/2)*История!$D$5:$D$300))&lt;=0,0,ROUND(K215/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215)*((История!$C$5:$C$300+История!$F$5:$F$300-ABS(История!$C$5:$C$300-История!$F$5:$F$300))/2)*История!$D$5:$D$300)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IF($B216="","",IF(SUMIFS('ИТОГО Торговля'!$C$5:$C$300,'ИТОГО Торговля'!$B$5:$B$300,$B216)+SUMIFS('ИТОГО Лэндинг'!$C$5:$C$300,'ИТОГО Лэндинг'!$B$5:$B$300,$B216)+SUMIFS('История'!$C$5:$C$300,'История'!$B$5:$B$300,$B216)=0,"",SUMIFS('ИТОГО Торговля'!$C$5:$C$300,'ИТОГО Торговля'!$B$5:$B$300,$B216)+SUMIFS('ИТОГО Лэндинг'!$C$5:$C$300,'ИТОГО Лэндинг'!$B$5:$B$300,$B216)+SUMIFS('История'!$C$5:$C$300,'История'!$B$5:$B$300,$B216)))</f>
        <v/>
      </c>
      <c r="D216" s="183">
        <f>IF(C216="","",E216/C216)</f>
        <v/>
      </c>
      <c r="E216" s="247">
        <f>IF(C216="","",SUMIFS('ИТОГО Торговля'!$E$5:$E$300,'ИТОГО Торговля'!$B$5:$B$300,$B216)+SUMIFS('ИТОГО Лэндинг'!$E$5:$E$300,'ИТОГО Лэндинг'!$B$5:$B$300,$B216)+SUMIFS('История'!$E$5:$E$300,'История'!$B$5:$B$300,$B216))</f>
        <v/>
      </c>
      <c r="F216" s="246">
        <f>IF($B216="","",IF(SUMIFS('ИТОГО Торговля'!$F$5:$F$300,'ИТОГО Торговля'!$B$5:$B$300,$B216)+SUMIFS('ИТОГО Лэндинг'!$F$5:$F$300,'ИТОГО Лэндинг'!$B$5:$B$300,$B216)+SUMIFS('История'!$F$5:$F$300,'История'!$B$5:$B$300,$B216)=0,"",SUMIFS('ИТОГО Торговля'!$F$5:$F$300,'ИТОГО Торговля'!$B$5:$B$300,$B216)+SUMIFS('ИТОГО Лэндинг'!$F$5:$F$300,'ИТОГО Лэндинг'!$B$5:$B$300,$B216)+SUMIFS('История'!$F$5:$F$300,'История'!$B$5:$B$300,$B216)))</f>
        <v/>
      </c>
      <c r="G216" s="183">
        <f>IF(F216="","",H216/F216)</f>
        <v/>
      </c>
      <c r="H216" s="247">
        <f>IF(F216="","",SUMIFS('ИТОГО Торговля'!$H$5:$H$300,'ИТОГО Торговля'!$B$5:$B$300,$B216)+SUMIFS('ИТОГО Лэндинг'!$H$5:$H$300,'ИТОГО Лэндинг'!$B$5:$B$300,$B216)+SUMIFS('История'!$H$5:$H$300,'История'!$B$5:$B$300,$B216))</f>
        <v/>
      </c>
      <c r="I216" s="246">
        <f>IF($B216="","",IF(AND(C216="",F216=""),"",ROUND(SUMIFS('ИТОГО Торговля'!$I$5:$I$300,'ИТОГО Торговля'!$B$5:$B$300,$B216)+SUMIFS('ИТОГО Лэндинг'!$I$5:$I$300,'ИТОГО Лэндинг'!$B$5:$B$300,$B216)+SUMIFS('История'!$I$5:$I$300,'История'!$B$5:$B$300,$B216),8)))</f>
        <v/>
      </c>
      <c r="J216" s="247">
        <f>IF($B216="","",IF(AND(C216="",F216=""),"",ROUND(SUMIFS('ИТОГО Торговля'!$J$5:$J$300,'ИТОГО Торговля'!$B$5:$B$300,$B216)+SUMIFS('ИТОГО Лэндинг'!$J$5:$J$300,'ИТОГО Лэндинг'!$B$5:$B$300,$B216)+SUMIFS('История'!$J$5:$J$300,'История'!$B$5:$B$300,$B216),8)))</f>
        <v/>
      </c>
      <c r="K216" s="246">
        <f>IF($B216="","",ROUND(SUMIFS('ИТОГО Торговля'!$K$5:$K$300,'ИТОГО Торговля'!$B$5:$B$300,$B216)+SUMIFS('ИТОГО Лэндинг'!$K$5:$K$300,'ИТОГО Лэндинг'!$B$5:$B$300,$B216)+SUMIFS('История'!$K$5:$K$300,'История'!$B$5:$B$300,$B216),8))</f>
        <v/>
      </c>
      <c r="L216" s="183">
        <f>IF(K216="","",IF(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216)*((История!$C$5:$C$300+История!$F$5:$F$300-ABS(История!$C$5:$C$300-История!$F$5:$F$300))/2)*История!$D$5:$D$300))&lt;=0,0,ROUND(K216/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216)*((История!$C$5:$C$300+История!$F$5:$F$300-ABS(История!$C$5:$C$300-История!$F$5:$F$300))/2)*История!$D$5:$D$300)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IF($B217="","",IF(SUMIFS('ИТОГО Торговля'!$C$5:$C$300,'ИТОГО Торговля'!$B$5:$B$300,$B217)+SUMIFS('ИТОГО Лэндинг'!$C$5:$C$300,'ИТОГО Лэндинг'!$B$5:$B$300,$B217)+SUMIFS('История'!$C$5:$C$300,'История'!$B$5:$B$300,$B217)=0,"",SUMIFS('ИТОГО Торговля'!$C$5:$C$300,'ИТОГО Торговля'!$B$5:$B$300,$B217)+SUMIFS('ИТОГО Лэндинг'!$C$5:$C$300,'ИТОГО Лэндинг'!$B$5:$B$300,$B217)+SUMIFS('История'!$C$5:$C$300,'История'!$B$5:$B$300,$B217)))</f>
        <v/>
      </c>
      <c r="D217" s="177">
        <f>IF(C217="","",E217/C217)</f>
        <v/>
      </c>
      <c r="E217" s="241">
        <f>IF(C217="","",SUMIFS('ИТОГО Торговля'!$E$5:$E$300,'ИТОГО Торговля'!$B$5:$B$300,$B217)+SUMIFS('ИТОГО Лэндинг'!$E$5:$E$300,'ИТОГО Лэндинг'!$B$5:$B$300,$B217)+SUMIFS('История'!$E$5:$E$300,'История'!$B$5:$B$300,$B217))</f>
        <v/>
      </c>
      <c r="F217" s="240">
        <f>IF($B217="","",IF(SUMIFS('ИТОГО Торговля'!$F$5:$F$300,'ИТОГО Торговля'!$B$5:$B$300,$B217)+SUMIFS('ИТОГО Лэндинг'!$F$5:$F$300,'ИТОГО Лэндинг'!$B$5:$B$300,$B217)+SUMIFS('История'!$F$5:$F$300,'История'!$B$5:$B$300,$B217)=0,"",SUMIFS('ИТОГО Торговля'!$F$5:$F$300,'ИТОГО Торговля'!$B$5:$B$300,$B217)+SUMIFS('ИТОГО Лэндинг'!$F$5:$F$300,'ИТОГО Лэндинг'!$B$5:$B$300,$B217)+SUMIFS('История'!$F$5:$F$300,'История'!$B$5:$B$300,$B217)))</f>
        <v/>
      </c>
      <c r="G217" s="177">
        <f>IF(F217="","",H217/F217)</f>
        <v/>
      </c>
      <c r="H217" s="241">
        <f>IF(F217="","",SUMIFS('ИТОГО Торговля'!$H$5:$H$300,'ИТОГО Торговля'!$B$5:$B$300,$B217)+SUMIFS('ИТОГО Лэндинг'!$H$5:$H$300,'ИТОГО Лэндинг'!$B$5:$B$300,$B217)+SUMIFS('История'!$H$5:$H$300,'История'!$B$5:$B$300,$B217))</f>
        <v/>
      </c>
      <c r="I217" s="240">
        <f>IF($B217="","",IF(AND(C217="",F217=""),"",ROUND(SUMIFS('ИТОГО Торговля'!$I$5:$I$300,'ИТОГО Торговля'!$B$5:$B$300,$B217)+SUMIFS('ИТОГО Лэндинг'!$I$5:$I$300,'ИТОГО Лэндинг'!$B$5:$B$300,$B217)+SUMIFS('История'!$I$5:$I$300,'История'!$B$5:$B$300,$B217),8)))</f>
        <v/>
      </c>
      <c r="J217" s="241">
        <f>IF($B217="","",IF(AND(C217="",F217=""),"",ROUND(SUMIFS('ИТОГО Торговля'!$J$5:$J$300,'ИТОГО Торговля'!$B$5:$B$300,$B217)+SUMIFS('ИТОГО Лэндинг'!$J$5:$J$300,'ИТОГО Лэндинг'!$B$5:$B$300,$B217)+SUMIFS('История'!$J$5:$J$300,'История'!$B$5:$B$300,$B217),8)))</f>
        <v/>
      </c>
      <c r="K217" s="240">
        <f>IF($B217="","",ROUND(SUMIFS('ИТОГО Торговля'!$K$5:$K$300,'ИТОГО Торговля'!$B$5:$B$300,$B217)+SUMIFS('ИТОГО Лэндинг'!$K$5:$K$300,'ИТОГО Лэндинг'!$B$5:$B$300,$B217)+SUMIFS('История'!$K$5:$K$300,'История'!$B$5:$B$300,$B217),8))</f>
        <v/>
      </c>
      <c r="L217" s="177">
        <f>IF(K217="","",IF(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217)*((История!$C$5:$C$300+История!$F$5:$F$300-ABS(История!$C$5:$C$300-История!$F$5:$F$300))/2)*История!$D$5:$D$300))&lt;=0,0,ROUND(K217/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217)*((История!$C$5:$C$300+История!$F$5:$F$300-ABS(История!$C$5:$C$300-История!$F$5:$F$300))/2)*История!$D$5:$D$300)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IF($B218="","",IF(SUMIFS('ИТОГО Торговля'!$C$5:$C$300,'ИТОГО Торговля'!$B$5:$B$300,$B218)+SUMIFS('ИТОГО Лэндинг'!$C$5:$C$300,'ИТОГО Лэндинг'!$B$5:$B$300,$B218)+SUMIFS('История'!$C$5:$C$300,'История'!$B$5:$B$300,$B218)=0,"",SUMIFS('ИТОГО Торговля'!$C$5:$C$300,'ИТОГО Торговля'!$B$5:$B$300,$B218)+SUMIFS('ИТОГО Лэндинг'!$C$5:$C$300,'ИТОГО Лэндинг'!$B$5:$B$300,$B218)+SUMIFS('История'!$C$5:$C$300,'История'!$B$5:$B$300,$B218)))</f>
        <v/>
      </c>
      <c r="D218" s="183">
        <f>IF(C218="","",E218/C218)</f>
        <v/>
      </c>
      <c r="E218" s="247">
        <f>IF(C218="","",SUMIFS('ИТОГО Торговля'!$E$5:$E$300,'ИТОГО Торговля'!$B$5:$B$300,$B218)+SUMIFS('ИТОГО Лэндинг'!$E$5:$E$300,'ИТОГО Лэндинг'!$B$5:$B$300,$B218)+SUMIFS('История'!$E$5:$E$300,'История'!$B$5:$B$300,$B218))</f>
        <v/>
      </c>
      <c r="F218" s="246">
        <f>IF($B218="","",IF(SUMIFS('ИТОГО Торговля'!$F$5:$F$300,'ИТОГО Торговля'!$B$5:$B$300,$B218)+SUMIFS('ИТОГО Лэндинг'!$F$5:$F$300,'ИТОГО Лэндинг'!$B$5:$B$300,$B218)+SUMIFS('История'!$F$5:$F$300,'История'!$B$5:$B$300,$B218)=0,"",SUMIFS('ИТОГО Торговля'!$F$5:$F$300,'ИТОГО Торговля'!$B$5:$B$300,$B218)+SUMIFS('ИТОГО Лэндинг'!$F$5:$F$300,'ИТОГО Лэндинг'!$B$5:$B$300,$B218)+SUMIFS('История'!$F$5:$F$300,'История'!$B$5:$B$300,$B218)))</f>
        <v/>
      </c>
      <c r="G218" s="183">
        <f>IF(F218="","",H218/F218)</f>
        <v/>
      </c>
      <c r="H218" s="247">
        <f>IF(F218="","",SUMIFS('ИТОГО Торговля'!$H$5:$H$300,'ИТОГО Торговля'!$B$5:$B$300,$B218)+SUMIFS('ИТОГО Лэндинг'!$H$5:$H$300,'ИТОГО Лэндинг'!$B$5:$B$300,$B218)+SUMIFS('История'!$H$5:$H$300,'История'!$B$5:$B$300,$B218))</f>
        <v/>
      </c>
      <c r="I218" s="246">
        <f>IF($B218="","",IF(AND(C218="",F218=""),"",ROUND(SUMIFS('ИТОГО Торговля'!$I$5:$I$300,'ИТОГО Торговля'!$B$5:$B$300,$B218)+SUMIFS('ИТОГО Лэндинг'!$I$5:$I$300,'ИТОГО Лэндинг'!$B$5:$B$300,$B218)+SUMIFS('История'!$I$5:$I$300,'История'!$B$5:$B$300,$B218),8)))</f>
        <v/>
      </c>
      <c r="J218" s="247">
        <f>IF($B218="","",IF(AND(C218="",F218=""),"",ROUND(SUMIFS('ИТОГО Торговля'!$J$5:$J$300,'ИТОГО Торговля'!$B$5:$B$300,$B218)+SUMIFS('ИТОГО Лэндинг'!$J$5:$J$300,'ИТОГО Лэндинг'!$B$5:$B$300,$B218)+SUMIFS('История'!$J$5:$J$300,'История'!$B$5:$B$300,$B218),8)))</f>
        <v/>
      </c>
      <c r="K218" s="246">
        <f>IF($B218="","",ROUND(SUMIFS('ИТОГО Торговля'!$K$5:$K$300,'ИТОГО Торговля'!$B$5:$B$300,$B218)+SUMIFS('ИТОГО Лэндинг'!$K$5:$K$300,'ИТОГО Лэндинг'!$B$5:$B$300,$B218)+SUMIFS('История'!$K$5:$K$300,'История'!$B$5:$B$300,$B218),8))</f>
        <v/>
      </c>
      <c r="L218" s="183">
        <f>IF(K218="","",IF(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218)*((История!$C$5:$C$300+История!$F$5:$F$300-ABS(История!$C$5:$C$300-История!$F$5:$F$300))/2)*История!$D$5:$D$300))&lt;=0,0,ROUND(K218/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218)*((История!$C$5:$C$300+История!$F$5:$F$300-ABS(История!$C$5:$C$300-История!$F$5:$F$300))/2)*История!$D$5:$D$300)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IF($B219="","",IF(SUMIFS('ИТОГО Торговля'!$C$5:$C$300,'ИТОГО Торговля'!$B$5:$B$300,$B219)+SUMIFS('ИТОГО Лэндинг'!$C$5:$C$300,'ИТОГО Лэндинг'!$B$5:$B$300,$B219)+SUMIFS('История'!$C$5:$C$300,'История'!$B$5:$B$300,$B219)=0,"",SUMIFS('ИТОГО Торговля'!$C$5:$C$300,'ИТОГО Торговля'!$B$5:$B$300,$B219)+SUMIFS('ИТОГО Лэндинг'!$C$5:$C$300,'ИТОГО Лэндинг'!$B$5:$B$300,$B219)+SUMIFS('История'!$C$5:$C$300,'История'!$B$5:$B$300,$B219)))</f>
        <v/>
      </c>
      <c r="D219" s="177">
        <f>IF(C219="","",E219/C219)</f>
        <v/>
      </c>
      <c r="E219" s="241">
        <f>IF(C219="","",SUMIFS('ИТОГО Торговля'!$E$5:$E$300,'ИТОГО Торговля'!$B$5:$B$300,$B219)+SUMIFS('ИТОГО Лэндинг'!$E$5:$E$300,'ИТОГО Лэндинг'!$B$5:$B$300,$B219)+SUMIFS('История'!$E$5:$E$300,'История'!$B$5:$B$300,$B219))</f>
        <v/>
      </c>
      <c r="F219" s="240">
        <f>IF($B219="","",IF(SUMIFS('ИТОГО Торговля'!$F$5:$F$300,'ИТОГО Торговля'!$B$5:$B$300,$B219)+SUMIFS('ИТОГО Лэндинг'!$F$5:$F$300,'ИТОГО Лэндинг'!$B$5:$B$300,$B219)+SUMIFS('История'!$F$5:$F$300,'История'!$B$5:$B$300,$B219)=0,"",SUMIFS('ИТОГО Торговля'!$F$5:$F$300,'ИТОГО Торговля'!$B$5:$B$300,$B219)+SUMIFS('ИТОГО Лэндинг'!$F$5:$F$300,'ИТОГО Лэндинг'!$B$5:$B$300,$B219)+SUMIFS('История'!$F$5:$F$300,'История'!$B$5:$B$300,$B219)))</f>
        <v/>
      </c>
      <c r="G219" s="177">
        <f>IF(F219="","",H219/F219)</f>
        <v/>
      </c>
      <c r="H219" s="241">
        <f>IF(F219="","",SUMIFS('ИТОГО Торговля'!$H$5:$H$300,'ИТОГО Торговля'!$B$5:$B$300,$B219)+SUMIFS('ИТОГО Лэндинг'!$H$5:$H$300,'ИТОГО Лэндинг'!$B$5:$B$300,$B219)+SUMIFS('История'!$H$5:$H$300,'История'!$B$5:$B$300,$B219))</f>
        <v/>
      </c>
      <c r="I219" s="240">
        <f>IF($B219="","",IF(AND(C219="",F219=""),"",ROUND(SUMIFS('ИТОГО Торговля'!$I$5:$I$300,'ИТОГО Торговля'!$B$5:$B$300,$B219)+SUMIFS('ИТОГО Лэндинг'!$I$5:$I$300,'ИТОГО Лэндинг'!$B$5:$B$300,$B219)+SUMIFS('История'!$I$5:$I$300,'История'!$B$5:$B$300,$B219),8)))</f>
        <v/>
      </c>
      <c r="J219" s="241">
        <f>IF($B219="","",IF(AND(C219="",F219=""),"",ROUND(SUMIFS('ИТОГО Торговля'!$J$5:$J$300,'ИТОГО Торговля'!$B$5:$B$300,$B219)+SUMIFS('ИТОГО Лэндинг'!$J$5:$J$300,'ИТОГО Лэндинг'!$B$5:$B$300,$B219)+SUMIFS('История'!$J$5:$J$300,'История'!$B$5:$B$300,$B219),8)))</f>
        <v/>
      </c>
      <c r="K219" s="240">
        <f>IF($B219="","",ROUND(SUMIFS('ИТОГО Торговля'!$K$5:$K$300,'ИТОГО Торговля'!$B$5:$B$300,$B219)+SUMIFS('ИТОГО Лэндинг'!$K$5:$K$300,'ИТОГО Лэндинг'!$B$5:$B$300,$B219)+SUMIFS('История'!$K$5:$K$300,'История'!$B$5:$B$300,$B219),8))</f>
        <v/>
      </c>
      <c r="L219" s="177">
        <f>IF(K219="","",IF(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219)*((История!$C$5:$C$300+История!$F$5:$F$300-ABS(История!$C$5:$C$300-История!$F$5:$F$300))/2)*История!$D$5:$D$300))&lt;=0,0,ROUND(K219/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219)*((История!$C$5:$C$300+История!$F$5:$F$300-ABS(История!$C$5:$C$300-История!$F$5:$F$300))/2)*История!$D$5:$D$300)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IF($B220="","",IF(SUMIFS('ИТОГО Торговля'!$C$5:$C$300,'ИТОГО Торговля'!$B$5:$B$300,$B220)+SUMIFS('ИТОГО Лэндинг'!$C$5:$C$300,'ИТОГО Лэндинг'!$B$5:$B$300,$B220)+SUMIFS('История'!$C$5:$C$300,'История'!$B$5:$B$300,$B220)=0,"",SUMIFS('ИТОГО Торговля'!$C$5:$C$300,'ИТОГО Торговля'!$B$5:$B$300,$B220)+SUMIFS('ИТОГО Лэндинг'!$C$5:$C$300,'ИТОГО Лэндинг'!$B$5:$B$300,$B220)+SUMIFS('История'!$C$5:$C$300,'История'!$B$5:$B$300,$B220)))</f>
        <v/>
      </c>
      <c r="D220" s="183">
        <f>IF(C220="","",E220/C220)</f>
        <v/>
      </c>
      <c r="E220" s="247">
        <f>IF(C220="","",SUMIFS('ИТОГО Торговля'!$E$5:$E$300,'ИТОГО Торговля'!$B$5:$B$300,$B220)+SUMIFS('ИТОГО Лэндинг'!$E$5:$E$300,'ИТОГО Лэндинг'!$B$5:$B$300,$B220)+SUMIFS('История'!$E$5:$E$300,'История'!$B$5:$B$300,$B220))</f>
        <v/>
      </c>
      <c r="F220" s="246">
        <f>IF($B220="","",IF(SUMIFS('ИТОГО Торговля'!$F$5:$F$300,'ИТОГО Торговля'!$B$5:$B$300,$B220)+SUMIFS('ИТОГО Лэндинг'!$F$5:$F$300,'ИТОГО Лэндинг'!$B$5:$B$300,$B220)+SUMIFS('История'!$F$5:$F$300,'История'!$B$5:$B$300,$B220)=0,"",SUMIFS('ИТОГО Торговля'!$F$5:$F$300,'ИТОГО Торговля'!$B$5:$B$300,$B220)+SUMIFS('ИТОГО Лэндинг'!$F$5:$F$300,'ИТОГО Лэндинг'!$B$5:$B$300,$B220)+SUMIFS('История'!$F$5:$F$300,'История'!$B$5:$B$300,$B220)))</f>
        <v/>
      </c>
      <c r="G220" s="183">
        <f>IF(F220="","",H220/F220)</f>
        <v/>
      </c>
      <c r="H220" s="247">
        <f>IF(F220="","",SUMIFS('ИТОГО Торговля'!$H$5:$H$300,'ИТОГО Торговля'!$B$5:$B$300,$B220)+SUMIFS('ИТОГО Лэндинг'!$H$5:$H$300,'ИТОГО Лэндинг'!$B$5:$B$300,$B220)+SUMIFS('История'!$H$5:$H$300,'История'!$B$5:$B$300,$B220))</f>
        <v/>
      </c>
      <c r="I220" s="246">
        <f>IF($B220="","",IF(AND(C220="",F220=""),"",ROUND(SUMIFS('ИТОГО Торговля'!$I$5:$I$300,'ИТОГО Торговля'!$B$5:$B$300,$B220)+SUMIFS('ИТОГО Лэндинг'!$I$5:$I$300,'ИТОГО Лэндинг'!$B$5:$B$300,$B220)+SUMIFS('История'!$I$5:$I$300,'История'!$B$5:$B$300,$B220),8)))</f>
        <v/>
      </c>
      <c r="J220" s="247">
        <f>IF($B220="","",IF(AND(C220="",F220=""),"",ROUND(SUMIFS('ИТОГО Торговля'!$J$5:$J$300,'ИТОГО Торговля'!$B$5:$B$300,$B220)+SUMIFS('ИТОГО Лэндинг'!$J$5:$J$300,'ИТОГО Лэндинг'!$B$5:$B$300,$B220)+SUMIFS('История'!$J$5:$J$300,'История'!$B$5:$B$300,$B220),8)))</f>
        <v/>
      </c>
      <c r="K220" s="246">
        <f>IF($B220="","",ROUND(SUMIFS('ИТОГО Торговля'!$K$5:$K$300,'ИТОГО Торговля'!$B$5:$B$300,$B220)+SUMIFS('ИТОГО Лэндинг'!$K$5:$K$300,'ИТОГО Лэндинг'!$B$5:$B$300,$B220)+SUMIFS('История'!$K$5:$K$300,'История'!$B$5:$B$300,$B220),8))</f>
        <v/>
      </c>
      <c r="L220" s="183">
        <f>IF(K220="","",IF(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220)*((История!$C$5:$C$300+История!$F$5:$F$300-ABS(История!$C$5:$C$300-История!$F$5:$F$300))/2)*История!$D$5:$D$300))&lt;=0,0,ROUND(K220/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220)*((История!$C$5:$C$300+История!$F$5:$F$300-ABS(История!$C$5:$C$300-История!$F$5:$F$300))/2)*История!$D$5:$D$300)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IF($B221="","",IF(SUMIFS('ИТОГО Торговля'!$C$5:$C$300,'ИТОГО Торговля'!$B$5:$B$300,$B221)+SUMIFS('ИТОГО Лэндинг'!$C$5:$C$300,'ИТОГО Лэндинг'!$B$5:$B$300,$B221)+SUMIFS('История'!$C$5:$C$300,'История'!$B$5:$B$300,$B221)=0,"",SUMIFS('ИТОГО Торговля'!$C$5:$C$300,'ИТОГО Торговля'!$B$5:$B$300,$B221)+SUMIFS('ИТОГО Лэндинг'!$C$5:$C$300,'ИТОГО Лэндинг'!$B$5:$B$300,$B221)+SUMIFS('История'!$C$5:$C$300,'История'!$B$5:$B$300,$B221)))</f>
        <v/>
      </c>
      <c r="D221" s="177">
        <f>IF(C221="","",E221/C221)</f>
        <v/>
      </c>
      <c r="E221" s="241">
        <f>IF(C221="","",SUMIFS('ИТОГО Торговля'!$E$5:$E$300,'ИТОГО Торговля'!$B$5:$B$300,$B221)+SUMIFS('ИТОГО Лэндинг'!$E$5:$E$300,'ИТОГО Лэндинг'!$B$5:$B$300,$B221)+SUMIFS('История'!$E$5:$E$300,'История'!$B$5:$B$300,$B221))</f>
        <v/>
      </c>
      <c r="F221" s="240">
        <f>IF($B221="","",IF(SUMIFS('ИТОГО Торговля'!$F$5:$F$300,'ИТОГО Торговля'!$B$5:$B$300,$B221)+SUMIFS('ИТОГО Лэндинг'!$F$5:$F$300,'ИТОГО Лэндинг'!$B$5:$B$300,$B221)+SUMIFS('История'!$F$5:$F$300,'История'!$B$5:$B$300,$B221)=0,"",SUMIFS('ИТОГО Торговля'!$F$5:$F$300,'ИТОГО Торговля'!$B$5:$B$300,$B221)+SUMIFS('ИТОГО Лэндинг'!$F$5:$F$300,'ИТОГО Лэндинг'!$B$5:$B$300,$B221)+SUMIFS('История'!$F$5:$F$300,'История'!$B$5:$B$300,$B221)))</f>
        <v/>
      </c>
      <c r="G221" s="177">
        <f>IF(F221="","",H221/F221)</f>
        <v/>
      </c>
      <c r="H221" s="241">
        <f>IF(F221="","",SUMIFS('ИТОГО Торговля'!$H$5:$H$300,'ИТОГО Торговля'!$B$5:$B$300,$B221)+SUMIFS('ИТОГО Лэндинг'!$H$5:$H$300,'ИТОГО Лэндинг'!$B$5:$B$300,$B221)+SUMIFS('История'!$H$5:$H$300,'История'!$B$5:$B$300,$B221))</f>
        <v/>
      </c>
      <c r="I221" s="240">
        <f>IF($B221="","",IF(AND(C221="",F221=""),"",ROUND(SUMIFS('ИТОГО Торговля'!$I$5:$I$300,'ИТОГО Торговля'!$B$5:$B$300,$B221)+SUMIFS('ИТОГО Лэндинг'!$I$5:$I$300,'ИТОГО Лэндинг'!$B$5:$B$300,$B221)+SUMIFS('История'!$I$5:$I$300,'История'!$B$5:$B$300,$B221),8)))</f>
        <v/>
      </c>
      <c r="J221" s="241">
        <f>IF($B221="","",IF(AND(C221="",F221=""),"",ROUND(SUMIFS('ИТОГО Торговля'!$J$5:$J$300,'ИТОГО Торговля'!$B$5:$B$300,$B221)+SUMIFS('ИТОГО Лэндинг'!$J$5:$J$300,'ИТОГО Лэндинг'!$B$5:$B$300,$B221)+SUMIFS('История'!$J$5:$J$300,'История'!$B$5:$B$300,$B221),8)))</f>
        <v/>
      </c>
      <c r="K221" s="240">
        <f>IF($B221="","",ROUND(SUMIFS('ИТОГО Торговля'!$K$5:$K$300,'ИТОГО Торговля'!$B$5:$B$300,$B221)+SUMIFS('ИТОГО Лэндинг'!$K$5:$K$300,'ИТОГО Лэндинг'!$B$5:$B$300,$B221)+SUMIFS('История'!$K$5:$K$300,'История'!$B$5:$B$300,$B221),8))</f>
        <v/>
      </c>
      <c r="L221" s="177">
        <f>IF(K221="","",IF(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221)*((История!$C$5:$C$300+История!$F$5:$F$300-ABS(История!$C$5:$C$300-История!$F$5:$F$300))/2)*История!$D$5:$D$300))&lt;=0,0,ROUND(K221/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221)*((История!$C$5:$C$300+История!$F$5:$F$300-ABS(История!$C$5:$C$300-История!$F$5:$F$300))/2)*История!$D$5:$D$300)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IF($B222="","",IF(SUMIFS('ИТОГО Торговля'!$C$5:$C$300,'ИТОГО Торговля'!$B$5:$B$300,$B222)+SUMIFS('ИТОГО Лэндинг'!$C$5:$C$300,'ИТОГО Лэндинг'!$B$5:$B$300,$B222)+SUMIFS('История'!$C$5:$C$300,'История'!$B$5:$B$300,$B222)=0,"",SUMIFS('ИТОГО Торговля'!$C$5:$C$300,'ИТОГО Торговля'!$B$5:$B$300,$B222)+SUMIFS('ИТОГО Лэндинг'!$C$5:$C$300,'ИТОГО Лэндинг'!$B$5:$B$300,$B222)+SUMIFS('История'!$C$5:$C$300,'История'!$B$5:$B$300,$B222)))</f>
        <v/>
      </c>
      <c r="D222" s="183">
        <f>IF(C222="","",E222/C222)</f>
        <v/>
      </c>
      <c r="E222" s="247">
        <f>IF(C222="","",SUMIFS('ИТОГО Торговля'!$E$5:$E$300,'ИТОГО Торговля'!$B$5:$B$300,$B222)+SUMIFS('ИТОГО Лэндинг'!$E$5:$E$300,'ИТОГО Лэндинг'!$B$5:$B$300,$B222)+SUMIFS('История'!$E$5:$E$300,'История'!$B$5:$B$300,$B222))</f>
        <v/>
      </c>
      <c r="F222" s="246">
        <f>IF($B222="","",IF(SUMIFS('ИТОГО Торговля'!$F$5:$F$300,'ИТОГО Торговля'!$B$5:$B$300,$B222)+SUMIFS('ИТОГО Лэндинг'!$F$5:$F$300,'ИТОГО Лэндинг'!$B$5:$B$300,$B222)+SUMIFS('История'!$F$5:$F$300,'История'!$B$5:$B$300,$B222)=0,"",SUMIFS('ИТОГО Торговля'!$F$5:$F$300,'ИТОГО Торговля'!$B$5:$B$300,$B222)+SUMIFS('ИТОГО Лэндинг'!$F$5:$F$300,'ИТОГО Лэндинг'!$B$5:$B$300,$B222)+SUMIFS('История'!$F$5:$F$300,'История'!$B$5:$B$300,$B222)))</f>
        <v/>
      </c>
      <c r="G222" s="183">
        <f>IF(F222="","",H222/F222)</f>
        <v/>
      </c>
      <c r="H222" s="247">
        <f>IF(F222="","",SUMIFS('ИТОГО Торговля'!$H$5:$H$300,'ИТОГО Торговля'!$B$5:$B$300,$B222)+SUMIFS('ИТОГО Лэндинг'!$H$5:$H$300,'ИТОГО Лэндинг'!$B$5:$B$300,$B222)+SUMIFS('История'!$H$5:$H$300,'История'!$B$5:$B$300,$B222))</f>
        <v/>
      </c>
      <c r="I222" s="246">
        <f>IF($B222="","",IF(AND(C222="",F222=""),"",ROUND(SUMIFS('ИТОГО Торговля'!$I$5:$I$300,'ИТОГО Торговля'!$B$5:$B$300,$B222)+SUMIFS('ИТОГО Лэндинг'!$I$5:$I$300,'ИТОГО Лэндинг'!$B$5:$B$300,$B222)+SUMIFS('История'!$I$5:$I$300,'История'!$B$5:$B$300,$B222),8)))</f>
        <v/>
      </c>
      <c r="J222" s="247">
        <f>IF($B222="","",IF(AND(C222="",F222=""),"",ROUND(SUMIFS('ИТОГО Торговля'!$J$5:$J$300,'ИТОГО Торговля'!$B$5:$B$300,$B222)+SUMIFS('ИТОГО Лэндинг'!$J$5:$J$300,'ИТОГО Лэндинг'!$B$5:$B$300,$B222)+SUMIFS('История'!$J$5:$J$300,'История'!$B$5:$B$300,$B222),8)))</f>
        <v/>
      </c>
      <c r="K222" s="246">
        <f>IF($B222="","",ROUND(SUMIFS('ИТОГО Торговля'!$K$5:$K$300,'ИТОГО Торговля'!$B$5:$B$300,$B222)+SUMIFS('ИТОГО Лэндинг'!$K$5:$K$300,'ИТОГО Лэндинг'!$B$5:$B$300,$B222)+SUMIFS('История'!$K$5:$K$300,'История'!$B$5:$B$300,$B222),8))</f>
        <v/>
      </c>
      <c r="L222" s="183">
        <f>IF(K222="","",IF(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222)*((История!$C$5:$C$300+История!$F$5:$F$300-ABS(История!$C$5:$C$300-История!$F$5:$F$300))/2)*История!$D$5:$D$300))&lt;=0,0,ROUND(K222/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222)*((История!$C$5:$C$300+История!$F$5:$F$300-ABS(История!$C$5:$C$300-История!$F$5:$F$300))/2)*История!$D$5:$D$300)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IF($B223="","",IF(SUMIFS('ИТОГО Торговля'!$C$5:$C$300,'ИТОГО Торговля'!$B$5:$B$300,$B223)+SUMIFS('ИТОГО Лэндинг'!$C$5:$C$300,'ИТОГО Лэндинг'!$B$5:$B$300,$B223)+SUMIFS('История'!$C$5:$C$300,'История'!$B$5:$B$300,$B223)=0,"",SUMIFS('ИТОГО Торговля'!$C$5:$C$300,'ИТОГО Торговля'!$B$5:$B$300,$B223)+SUMIFS('ИТОГО Лэндинг'!$C$5:$C$300,'ИТОГО Лэндинг'!$B$5:$B$300,$B223)+SUMIFS('История'!$C$5:$C$300,'История'!$B$5:$B$300,$B223)))</f>
        <v/>
      </c>
      <c r="D223" s="177">
        <f>IF(C223="","",E223/C223)</f>
        <v/>
      </c>
      <c r="E223" s="241">
        <f>IF(C223="","",SUMIFS('ИТОГО Торговля'!$E$5:$E$300,'ИТОГО Торговля'!$B$5:$B$300,$B223)+SUMIFS('ИТОГО Лэндинг'!$E$5:$E$300,'ИТОГО Лэндинг'!$B$5:$B$300,$B223)+SUMIFS('История'!$E$5:$E$300,'История'!$B$5:$B$300,$B223))</f>
        <v/>
      </c>
      <c r="F223" s="240">
        <f>IF($B223="","",IF(SUMIFS('ИТОГО Торговля'!$F$5:$F$300,'ИТОГО Торговля'!$B$5:$B$300,$B223)+SUMIFS('ИТОГО Лэндинг'!$F$5:$F$300,'ИТОГО Лэндинг'!$B$5:$B$300,$B223)+SUMIFS('История'!$F$5:$F$300,'История'!$B$5:$B$300,$B223)=0,"",SUMIFS('ИТОГО Торговля'!$F$5:$F$300,'ИТОГО Торговля'!$B$5:$B$300,$B223)+SUMIFS('ИТОГО Лэндинг'!$F$5:$F$300,'ИТОГО Лэндинг'!$B$5:$B$300,$B223)+SUMIFS('История'!$F$5:$F$300,'История'!$B$5:$B$300,$B223)))</f>
        <v/>
      </c>
      <c r="G223" s="177">
        <f>IF(F223="","",H223/F223)</f>
        <v/>
      </c>
      <c r="H223" s="241">
        <f>IF(F223="","",SUMIFS('ИТОГО Торговля'!$H$5:$H$300,'ИТОГО Торговля'!$B$5:$B$300,$B223)+SUMIFS('ИТОГО Лэндинг'!$H$5:$H$300,'ИТОГО Лэндинг'!$B$5:$B$300,$B223)+SUMIFS('История'!$H$5:$H$300,'История'!$B$5:$B$300,$B223))</f>
        <v/>
      </c>
      <c r="I223" s="240">
        <f>IF($B223="","",IF(AND(C223="",F223=""),"",ROUND(SUMIFS('ИТОГО Торговля'!$I$5:$I$300,'ИТОГО Торговля'!$B$5:$B$300,$B223)+SUMIFS('ИТОГО Лэндинг'!$I$5:$I$300,'ИТОГО Лэндинг'!$B$5:$B$300,$B223)+SUMIFS('История'!$I$5:$I$300,'История'!$B$5:$B$300,$B223),8)))</f>
        <v/>
      </c>
      <c r="J223" s="241">
        <f>IF($B223="","",IF(AND(C223="",F223=""),"",ROUND(SUMIFS('ИТОГО Торговля'!$J$5:$J$300,'ИТОГО Торговля'!$B$5:$B$300,$B223)+SUMIFS('ИТОГО Лэндинг'!$J$5:$J$300,'ИТОГО Лэндинг'!$B$5:$B$300,$B223)+SUMIFS('История'!$J$5:$J$300,'История'!$B$5:$B$300,$B223),8)))</f>
        <v/>
      </c>
      <c r="K223" s="240">
        <f>IF($B223="","",ROUND(SUMIFS('ИТОГО Торговля'!$K$5:$K$300,'ИТОГО Торговля'!$B$5:$B$300,$B223)+SUMIFS('ИТОГО Лэндинг'!$K$5:$K$300,'ИТОГО Лэндинг'!$B$5:$B$300,$B223)+SUMIFS('История'!$K$5:$K$300,'История'!$B$5:$B$300,$B223),8))</f>
        <v/>
      </c>
      <c r="L223" s="177">
        <f>IF(K223="","",IF(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223)*((История!$C$5:$C$300+История!$F$5:$F$300-ABS(История!$C$5:$C$300-История!$F$5:$F$300))/2)*История!$D$5:$D$300))&lt;=0,0,ROUND(K223/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223)*((История!$C$5:$C$300+История!$F$5:$F$300-ABS(История!$C$5:$C$300-История!$F$5:$F$300))/2)*История!$D$5:$D$300)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IF($B224="","",IF(SUMIFS('ИТОГО Торговля'!$C$5:$C$300,'ИТОГО Торговля'!$B$5:$B$300,$B224)+SUMIFS('ИТОГО Лэндинг'!$C$5:$C$300,'ИТОГО Лэндинг'!$B$5:$B$300,$B224)+SUMIFS('История'!$C$5:$C$300,'История'!$B$5:$B$300,$B224)=0,"",SUMIFS('ИТОГО Торговля'!$C$5:$C$300,'ИТОГО Торговля'!$B$5:$B$300,$B224)+SUMIFS('ИТОГО Лэндинг'!$C$5:$C$300,'ИТОГО Лэндинг'!$B$5:$B$300,$B224)+SUMIFS('История'!$C$5:$C$300,'История'!$B$5:$B$300,$B224)))</f>
        <v/>
      </c>
      <c r="D224" s="183">
        <f>IF(C224="","",E224/C224)</f>
        <v/>
      </c>
      <c r="E224" s="247">
        <f>IF(C224="","",SUMIFS('ИТОГО Торговля'!$E$5:$E$300,'ИТОГО Торговля'!$B$5:$B$300,$B224)+SUMIFS('ИТОГО Лэндинг'!$E$5:$E$300,'ИТОГО Лэндинг'!$B$5:$B$300,$B224)+SUMIFS('История'!$E$5:$E$300,'История'!$B$5:$B$300,$B224))</f>
        <v/>
      </c>
      <c r="F224" s="246">
        <f>IF($B224="","",IF(SUMIFS('ИТОГО Торговля'!$F$5:$F$300,'ИТОГО Торговля'!$B$5:$B$300,$B224)+SUMIFS('ИТОГО Лэндинг'!$F$5:$F$300,'ИТОГО Лэндинг'!$B$5:$B$300,$B224)+SUMIFS('История'!$F$5:$F$300,'История'!$B$5:$B$300,$B224)=0,"",SUMIFS('ИТОГО Торговля'!$F$5:$F$300,'ИТОГО Торговля'!$B$5:$B$300,$B224)+SUMIFS('ИТОГО Лэндинг'!$F$5:$F$300,'ИТОГО Лэндинг'!$B$5:$B$300,$B224)+SUMIFS('История'!$F$5:$F$300,'История'!$B$5:$B$300,$B224)))</f>
        <v/>
      </c>
      <c r="G224" s="183">
        <f>IF(F224="","",H224/F224)</f>
        <v/>
      </c>
      <c r="H224" s="247">
        <f>IF(F224="","",SUMIFS('ИТОГО Торговля'!$H$5:$H$300,'ИТОГО Торговля'!$B$5:$B$300,$B224)+SUMIFS('ИТОГО Лэндинг'!$H$5:$H$300,'ИТОГО Лэндинг'!$B$5:$B$300,$B224)+SUMIFS('История'!$H$5:$H$300,'История'!$B$5:$B$300,$B224))</f>
        <v/>
      </c>
      <c r="I224" s="246">
        <f>IF($B224="","",IF(AND(C224="",F224=""),"",ROUND(SUMIFS('ИТОГО Торговля'!$I$5:$I$300,'ИТОГО Торговля'!$B$5:$B$300,$B224)+SUMIFS('ИТОГО Лэндинг'!$I$5:$I$300,'ИТОГО Лэндинг'!$B$5:$B$300,$B224)+SUMIFS('История'!$I$5:$I$300,'История'!$B$5:$B$300,$B224),8)))</f>
        <v/>
      </c>
      <c r="J224" s="247">
        <f>IF($B224="","",IF(AND(C224="",F224=""),"",ROUND(SUMIFS('ИТОГО Торговля'!$J$5:$J$300,'ИТОГО Торговля'!$B$5:$B$300,$B224)+SUMIFS('ИТОГО Лэндинг'!$J$5:$J$300,'ИТОГО Лэндинг'!$B$5:$B$300,$B224)+SUMIFS('История'!$J$5:$J$300,'История'!$B$5:$B$300,$B224),8)))</f>
        <v/>
      </c>
      <c r="K224" s="246">
        <f>IF($B224="","",ROUND(SUMIFS('ИТОГО Торговля'!$K$5:$K$300,'ИТОГО Торговля'!$B$5:$B$300,$B224)+SUMIFS('ИТОГО Лэндинг'!$K$5:$K$300,'ИТОГО Лэндинг'!$B$5:$B$300,$B224)+SUMIFS('История'!$K$5:$K$300,'История'!$B$5:$B$300,$B224),8))</f>
        <v/>
      </c>
      <c r="L224" s="183">
        <f>IF(K224="","",IF(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224)*((История!$C$5:$C$300+История!$F$5:$F$300-ABS(История!$C$5:$C$300-История!$F$5:$F$300))/2)*История!$D$5:$D$300))&lt;=0,0,ROUND(K224/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224)*((История!$C$5:$C$300+История!$F$5:$F$300-ABS(История!$C$5:$C$300-История!$F$5:$F$300))/2)*История!$D$5:$D$300)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IF($B225="","",IF(SUMIFS('ИТОГО Торговля'!$C$5:$C$300,'ИТОГО Торговля'!$B$5:$B$300,$B225)+SUMIFS('ИТОГО Лэндинг'!$C$5:$C$300,'ИТОГО Лэндинг'!$B$5:$B$300,$B225)+SUMIFS('История'!$C$5:$C$300,'История'!$B$5:$B$300,$B225)=0,"",SUMIFS('ИТОГО Торговля'!$C$5:$C$300,'ИТОГО Торговля'!$B$5:$B$300,$B225)+SUMIFS('ИТОГО Лэндинг'!$C$5:$C$300,'ИТОГО Лэндинг'!$B$5:$B$300,$B225)+SUMIFS('История'!$C$5:$C$300,'История'!$B$5:$B$300,$B225)))</f>
        <v/>
      </c>
      <c r="D225" s="177">
        <f>IF(C225="","",E225/C225)</f>
        <v/>
      </c>
      <c r="E225" s="241">
        <f>IF(C225="","",SUMIFS('ИТОГО Торговля'!$E$5:$E$300,'ИТОГО Торговля'!$B$5:$B$300,$B225)+SUMIFS('ИТОГО Лэндинг'!$E$5:$E$300,'ИТОГО Лэндинг'!$B$5:$B$300,$B225)+SUMIFS('История'!$E$5:$E$300,'История'!$B$5:$B$300,$B225))</f>
        <v/>
      </c>
      <c r="F225" s="240">
        <f>IF($B225="","",IF(SUMIFS('ИТОГО Торговля'!$F$5:$F$300,'ИТОГО Торговля'!$B$5:$B$300,$B225)+SUMIFS('ИТОГО Лэндинг'!$F$5:$F$300,'ИТОГО Лэндинг'!$B$5:$B$300,$B225)+SUMIFS('История'!$F$5:$F$300,'История'!$B$5:$B$300,$B225)=0,"",SUMIFS('ИТОГО Торговля'!$F$5:$F$300,'ИТОГО Торговля'!$B$5:$B$300,$B225)+SUMIFS('ИТОГО Лэндинг'!$F$5:$F$300,'ИТОГО Лэндинг'!$B$5:$B$300,$B225)+SUMIFS('История'!$F$5:$F$300,'История'!$B$5:$B$300,$B225)))</f>
        <v/>
      </c>
      <c r="G225" s="177">
        <f>IF(F225="","",H225/F225)</f>
        <v/>
      </c>
      <c r="H225" s="241">
        <f>IF(F225="","",SUMIFS('ИТОГО Торговля'!$H$5:$H$300,'ИТОГО Торговля'!$B$5:$B$300,$B225)+SUMIFS('ИТОГО Лэндинг'!$H$5:$H$300,'ИТОГО Лэндинг'!$B$5:$B$300,$B225)+SUMIFS('История'!$H$5:$H$300,'История'!$B$5:$B$300,$B225))</f>
        <v/>
      </c>
      <c r="I225" s="240">
        <f>IF($B225="","",IF(AND(C225="",F225=""),"",ROUND(SUMIFS('ИТОГО Торговля'!$I$5:$I$300,'ИТОГО Торговля'!$B$5:$B$300,$B225)+SUMIFS('ИТОГО Лэндинг'!$I$5:$I$300,'ИТОГО Лэндинг'!$B$5:$B$300,$B225)+SUMIFS('История'!$I$5:$I$300,'История'!$B$5:$B$300,$B225),8)))</f>
        <v/>
      </c>
      <c r="J225" s="241">
        <f>IF($B225="","",IF(AND(C225="",F225=""),"",ROUND(SUMIFS('ИТОГО Торговля'!$J$5:$J$300,'ИТОГО Торговля'!$B$5:$B$300,$B225)+SUMIFS('ИТОГО Лэндинг'!$J$5:$J$300,'ИТОГО Лэндинг'!$B$5:$B$300,$B225)+SUMIFS('История'!$J$5:$J$300,'История'!$B$5:$B$300,$B225),8)))</f>
        <v/>
      </c>
      <c r="K225" s="240">
        <f>IF($B225="","",ROUND(SUMIFS('ИТОГО Торговля'!$K$5:$K$300,'ИТОГО Торговля'!$B$5:$B$300,$B225)+SUMIFS('ИТОГО Лэндинг'!$K$5:$K$300,'ИТОГО Лэндинг'!$B$5:$B$300,$B225)+SUMIFS('История'!$K$5:$K$300,'История'!$B$5:$B$300,$B225),8))</f>
        <v/>
      </c>
      <c r="L225" s="177">
        <f>IF(K225="","",IF(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225)*((История!$C$5:$C$300+История!$F$5:$F$300-ABS(История!$C$5:$C$300-История!$F$5:$F$300))/2)*История!$D$5:$D$300))&lt;=0,0,ROUND(K225/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225)*((История!$C$5:$C$300+История!$F$5:$F$300-ABS(История!$C$5:$C$300-История!$F$5:$F$300))/2)*История!$D$5:$D$300)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IF($B226="","",IF(SUMIFS('ИТОГО Торговля'!$C$5:$C$300,'ИТОГО Торговля'!$B$5:$B$300,$B226)+SUMIFS('ИТОГО Лэндинг'!$C$5:$C$300,'ИТОГО Лэндинг'!$B$5:$B$300,$B226)+SUMIFS('История'!$C$5:$C$300,'История'!$B$5:$B$300,$B226)=0,"",SUMIFS('ИТОГО Торговля'!$C$5:$C$300,'ИТОГО Торговля'!$B$5:$B$300,$B226)+SUMIFS('ИТОГО Лэндинг'!$C$5:$C$300,'ИТОГО Лэндинг'!$B$5:$B$300,$B226)+SUMIFS('История'!$C$5:$C$300,'История'!$B$5:$B$300,$B226)))</f>
        <v/>
      </c>
      <c r="D226" s="183">
        <f>IF(C226="","",E226/C226)</f>
        <v/>
      </c>
      <c r="E226" s="247">
        <f>IF(C226="","",SUMIFS('ИТОГО Торговля'!$E$5:$E$300,'ИТОГО Торговля'!$B$5:$B$300,$B226)+SUMIFS('ИТОГО Лэндинг'!$E$5:$E$300,'ИТОГО Лэндинг'!$B$5:$B$300,$B226)+SUMIFS('История'!$E$5:$E$300,'История'!$B$5:$B$300,$B226))</f>
        <v/>
      </c>
      <c r="F226" s="246">
        <f>IF($B226="","",IF(SUMIFS('ИТОГО Торговля'!$F$5:$F$300,'ИТОГО Торговля'!$B$5:$B$300,$B226)+SUMIFS('ИТОГО Лэндинг'!$F$5:$F$300,'ИТОГО Лэндинг'!$B$5:$B$300,$B226)+SUMIFS('История'!$F$5:$F$300,'История'!$B$5:$B$300,$B226)=0,"",SUMIFS('ИТОГО Торговля'!$F$5:$F$300,'ИТОГО Торговля'!$B$5:$B$300,$B226)+SUMIFS('ИТОГО Лэндинг'!$F$5:$F$300,'ИТОГО Лэндинг'!$B$5:$B$300,$B226)+SUMIFS('История'!$F$5:$F$300,'История'!$B$5:$B$300,$B226)))</f>
        <v/>
      </c>
      <c r="G226" s="183">
        <f>IF(F226="","",H226/F226)</f>
        <v/>
      </c>
      <c r="H226" s="247">
        <f>IF(F226="","",SUMIFS('ИТОГО Торговля'!$H$5:$H$300,'ИТОГО Торговля'!$B$5:$B$300,$B226)+SUMIFS('ИТОГО Лэндинг'!$H$5:$H$300,'ИТОГО Лэндинг'!$B$5:$B$300,$B226)+SUMIFS('История'!$H$5:$H$300,'История'!$B$5:$B$300,$B226))</f>
        <v/>
      </c>
      <c r="I226" s="246">
        <f>IF($B226="","",IF(AND(C226="",F226=""),"",ROUND(SUMIFS('ИТОГО Торговля'!$I$5:$I$300,'ИТОГО Торговля'!$B$5:$B$300,$B226)+SUMIFS('ИТОГО Лэндинг'!$I$5:$I$300,'ИТОГО Лэндинг'!$B$5:$B$300,$B226)+SUMIFS('История'!$I$5:$I$300,'История'!$B$5:$B$300,$B226),8)))</f>
        <v/>
      </c>
      <c r="J226" s="247">
        <f>IF($B226="","",IF(AND(C226="",F226=""),"",ROUND(SUMIFS('ИТОГО Торговля'!$J$5:$J$300,'ИТОГО Торговля'!$B$5:$B$300,$B226)+SUMIFS('ИТОГО Лэндинг'!$J$5:$J$300,'ИТОГО Лэндинг'!$B$5:$B$300,$B226)+SUMIFS('История'!$J$5:$J$300,'История'!$B$5:$B$300,$B226),8)))</f>
        <v/>
      </c>
      <c r="K226" s="246">
        <f>IF($B226="","",ROUND(SUMIFS('ИТОГО Торговля'!$K$5:$K$300,'ИТОГО Торговля'!$B$5:$B$300,$B226)+SUMIFS('ИТОГО Лэндинг'!$K$5:$K$300,'ИТОГО Лэндинг'!$B$5:$B$300,$B226)+SUMIFS('История'!$K$5:$K$300,'История'!$B$5:$B$300,$B226),8))</f>
        <v/>
      </c>
      <c r="L226" s="183">
        <f>IF(K226="","",IF(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226)*((История!$C$5:$C$300+История!$F$5:$F$300-ABS(История!$C$5:$C$300-История!$F$5:$F$300))/2)*История!$D$5:$D$300))&lt;=0,0,ROUND(K226/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226)*((История!$C$5:$C$300+История!$F$5:$F$300-ABS(История!$C$5:$C$300-История!$F$5:$F$300))/2)*История!$D$5:$D$300)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IF($B227="","",IF(SUMIFS('ИТОГО Торговля'!$C$5:$C$300,'ИТОГО Торговля'!$B$5:$B$300,$B227)+SUMIFS('ИТОГО Лэндинг'!$C$5:$C$300,'ИТОГО Лэндинг'!$B$5:$B$300,$B227)+SUMIFS('История'!$C$5:$C$300,'История'!$B$5:$B$300,$B227)=0,"",SUMIFS('ИТОГО Торговля'!$C$5:$C$300,'ИТОГО Торговля'!$B$5:$B$300,$B227)+SUMIFS('ИТОГО Лэндинг'!$C$5:$C$300,'ИТОГО Лэндинг'!$B$5:$B$300,$B227)+SUMIFS('История'!$C$5:$C$300,'История'!$B$5:$B$300,$B227)))</f>
        <v/>
      </c>
      <c r="D227" s="177">
        <f>IF(C227="","",E227/C227)</f>
        <v/>
      </c>
      <c r="E227" s="241">
        <f>IF(C227="","",SUMIFS('ИТОГО Торговля'!$E$5:$E$300,'ИТОГО Торговля'!$B$5:$B$300,$B227)+SUMIFS('ИТОГО Лэндинг'!$E$5:$E$300,'ИТОГО Лэндинг'!$B$5:$B$300,$B227)+SUMIFS('История'!$E$5:$E$300,'История'!$B$5:$B$300,$B227))</f>
        <v/>
      </c>
      <c r="F227" s="240">
        <f>IF($B227="","",IF(SUMIFS('ИТОГО Торговля'!$F$5:$F$300,'ИТОГО Торговля'!$B$5:$B$300,$B227)+SUMIFS('ИТОГО Лэндинг'!$F$5:$F$300,'ИТОГО Лэндинг'!$B$5:$B$300,$B227)+SUMIFS('История'!$F$5:$F$300,'История'!$B$5:$B$300,$B227)=0,"",SUMIFS('ИТОГО Торговля'!$F$5:$F$300,'ИТОГО Торговля'!$B$5:$B$300,$B227)+SUMIFS('ИТОГО Лэндинг'!$F$5:$F$300,'ИТОГО Лэндинг'!$B$5:$B$300,$B227)+SUMIFS('История'!$F$5:$F$300,'История'!$B$5:$B$300,$B227)))</f>
        <v/>
      </c>
      <c r="G227" s="177">
        <f>IF(F227="","",H227/F227)</f>
        <v/>
      </c>
      <c r="H227" s="241">
        <f>IF(F227="","",SUMIFS('ИТОГО Торговля'!$H$5:$H$300,'ИТОГО Торговля'!$B$5:$B$300,$B227)+SUMIFS('ИТОГО Лэндинг'!$H$5:$H$300,'ИТОГО Лэндинг'!$B$5:$B$300,$B227)+SUMIFS('История'!$H$5:$H$300,'История'!$B$5:$B$300,$B227))</f>
        <v/>
      </c>
      <c r="I227" s="240">
        <f>IF($B227="","",IF(AND(C227="",F227=""),"",ROUND(SUMIFS('ИТОГО Торговля'!$I$5:$I$300,'ИТОГО Торговля'!$B$5:$B$300,$B227)+SUMIFS('ИТОГО Лэндинг'!$I$5:$I$300,'ИТОГО Лэндинг'!$B$5:$B$300,$B227)+SUMIFS('История'!$I$5:$I$300,'История'!$B$5:$B$300,$B227),8)))</f>
        <v/>
      </c>
      <c r="J227" s="241">
        <f>IF($B227="","",IF(AND(C227="",F227=""),"",ROUND(SUMIFS('ИТОГО Торговля'!$J$5:$J$300,'ИТОГО Торговля'!$B$5:$B$300,$B227)+SUMIFS('ИТОГО Лэндинг'!$J$5:$J$300,'ИТОГО Лэндинг'!$B$5:$B$300,$B227)+SUMIFS('История'!$J$5:$J$300,'История'!$B$5:$B$300,$B227),8)))</f>
        <v/>
      </c>
      <c r="K227" s="240">
        <f>IF($B227="","",ROUND(SUMIFS('ИТОГО Торговля'!$K$5:$K$300,'ИТОГО Торговля'!$B$5:$B$300,$B227)+SUMIFS('ИТОГО Лэндинг'!$K$5:$K$300,'ИТОГО Лэндинг'!$B$5:$B$300,$B227)+SUMIFS('История'!$K$5:$K$300,'История'!$B$5:$B$300,$B227),8))</f>
        <v/>
      </c>
      <c r="L227" s="177">
        <f>IF(K227="","",IF(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227)*((История!$C$5:$C$300+История!$F$5:$F$300-ABS(История!$C$5:$C$300-История!$F$5:$F$300))/2)*История!$D$5:$D$300))&lt;=0,0,ROUND(K227/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227)*((История!$C$5:$C$300+История!$F$5:$F$300-ABS(История!$C$5:$C$300-История!$F$5:$F$300))/2)*История!$D$5:$D$300)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IF($B228="","",IF(SUMIFS('ИТОГО Торговля'!$C$5:$C$300,'ИТОГО Торговля'!$B$5:$B$300,$B228)+SUMIFS('ИТОГО Лэндинг'!$C$5:$C$300,'ИТОГО Лэндинг'!$B$5:$B$300,$B228)+SUMIFS('История'!$C$5:$C$300,'История'!$B$5:$B$300,$B228)=0,"",SUMIFS('ИТОГО Торговля'!$C$5:$C$300,'ИТОГО Торговля'!$B$5:$B$300,$B228)+SUMIFS('ИТОГО Лэндинг'!$C$5:$C$300,'ИТОГО Лэндинг'!$B$5:$B$300,$B228)+SUMIFS('История'!$C$5:$C$300,'История'!$B$5:$B$300,$B228)))</f>
        <v/>
      </c>
      <c r="D228" s="183">
        <f>IF(C228="","",E228/C228)</f>
        <v/>
      </c>
      <c r="E228" s="247">
        <f>IF(C228="","",SUMIFS('ИТОГО Торговля'!$E$5:$E$300,'ИТОГО Торговля'!$B$5:$B$300,$B228)+SUMIFS('ИТОГО Лэндинг'!$E$5:$E$300,'ИТОГО Лэндинг'!$B$5:$B$300,$B228)+SUMIFS('История'!$E$5:$E$300,'История'!$B$5:$B$300,$B228))</f>
        <v/>
      </c>
      <c r="F228" s="246">
        <f>IF($B228="","",IF(SUMIFS('ИТОГО Торговля'!$F$5:$F$300,'ИТОГО Торговля'!$B$5:$B$300,$B228)+SUMIFS('ИТОГО Лэндинг'!$F$5:$F$300,'ИТОГО Лэндинг'!$B$5:$B$300,$B228)+SUMIFS('История'!$F$5:$F$300,'История'!$B$5:$B$300,$B228)=0,"",SUMIFS('ИТОГО Торговля'!$F$5:$F$300,'ИТОГО Торговля'!$B$5:$B$300,$B228)+SUMIFS('ИТОГО Лэндинг'!$F$5:$F$300,'ИТОГО Лэндинг'!$B$5:$B$300,$B228)+SUMIFS('История'!$F$5:$F$300,'История'!$B$5:$B$300,$B228)))</f>
        <v/>
      </c>
      <c r="G228" s="183">
        <f>IF(F228="","",H228/F228)</f>
        <v/>
      </c>
      <c r="H228" s="247">
        <f>IF(F228="","",SUMIFS('ИТОГО Торговля'!$H$5:$H$300,'ИТОГО Торговля'!$B$5:$B$300,$B228)+SUMIFS('ИТОГО Лэндинг'!$H$5:$H$300,'ИТОГО Лэндинг'!$B$5:$B$300,$B228)+SUMIFS('История'!$H$5:$H$300,'История'!$B$5:$B$300,$B228))</f>
        <v/>
      </c>
      <c r="I228" s="246">
        <f>IF($B228="","",IF(AND(C228="",F228=""),"",ROUND(SUMIFS('ИТОГО Торговля'!$I$5:$I$300,'ИТОГО Торговля'!$B$5:$B$300,$B228)+SUMIFS('ИТОГО Лэндинг'!$I$5:$I$300,'ИТОГО Лэндинг'!$B$5:$B$300,$B228)+SUMIFS('История'!$I$5:$I$300,'История'!$B$5:$B$300,$B228),8)))</f>
        <v/>
      </c>
      <c r="J228" s="247">
        <f>IF($B228="","",IF(AND(C228="",F228=""),"",ROUND(SUMIFS('ИТОГО Торговля'!$J$5:$J$300,'ИТОГО Торговля'!$B$5:$B$300,$B228)+SUMIFS('ИТОГО Лэндинг'!$J$5:$J$300,'ИТОГО Лэндинг'!$B$5:$B$300,$B228)+SUMIFS('История'!$J$5:$J$300,'История'!$B$5:$B$300,$B228),8)))</f>
        <v/>
      </c>
      <c r="K228" s="246">
        <f>IF($B228="","",ROUND(SUMIFS('ИТОГО Торговля'!$K$5:$K$300,'ИТОГО Торговля'!$B$5:$B$300,$B228)+SUMIFS('ИТОГО Лэндинг'!$K$5:$K$300,'ИТОГО Лэндинг'!$B$5:$B$300,$B228)+SUMIFS('История'!$K$5:$K$300,'История'!$B$5:$B$300,$B228),8))</f>
        <v/>
      </c>
      <c r="L228" s="183">
        <f>IF(K228="","",IF(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228)*((История!$C$5:$C$300+История!$F$5:$F$300-ABS(История!$C$5:$C$300-История!$F$5:$F$300))/2)*История!$D$5:$D$300))&lt;=0,0,ROUND(K228/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228)*((История!$C$5:$C$300+История!$F$5:$F$300-ABS(История!$C$5:$C$300-История!$F$5:$F$300))/2)*История!$D$5:$D$300)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IF($B229="","",IF(SUMIFS('ИТОГО Торговля'!$C$5:$C$300,'ИТОГО Торговля'!$B$5:$B$300,$B229)+SUMIFS('ИТОГО Лэндинг'!$C$5:$C$300,'ИТОГО Лэндинг'!$B$5:$B$300,$B229)+SUMIFS('История'!$C$5:$C$300,'История'!$B$5:$B$300,$B229)=0,"",SUMIFS('ИТОГО Торговля'!$C$5:$C$300,'ИТОГО Торговля'!$B$5:$B$300,$B229)+SUMIFS('ИТОГО Лэндинг'!$C$5:$C$300,'ИТОГО Лэндинг'!$B$5:$B$300,$B229)+SUMIFS('История'!$C$5:$C$300,'История'!$B$5:$B$300,$B229)))</f>
        <v/>
      </c>
      <c r="D229" s="177">
        <f>IF(C229="","",E229/C229)</f>
        <v/>
      </c>
      <c r="E229" s="241">
        <f>IF(C229="","",SUMIFS('ИТОГО Торговля'!$E$5:$E$300,'ИТОГО Торговля'!$B$5:$B$300,$B229)+SUMIFS('ИТОГО Лэндинг'!$E$5:$E$300,'ИТОГО Лэндинг'!$B$5:$B$300,$B229)+SUMIFS('История'!$E$5:$E$300,'История'!$B$5:$B$300,$B229))</f>
        <v/>
      </c>
      <c r="F229" s="240">
        <f>IF($B229="","",IF(SUMIFS('ИТОГО Торговля'!$F$5:$F$300,'ИТОГО Торговля'!$B$5:$B$300,$B229)+SUMIFS('ИТОГО Лэндинг'!$F$5:$F$300,'ИТОГО Лэндинг'!$B$5:$B$300,$B229)+SUMIFS('История'!$F$5:$F$300,'История'!$B$5:$B$300,$B229)=0,"",SUMIFS('ИТОГО Торговля'!$F$5:$F$300,'ИТОГО Торговля'!$B$5:$B$300,$B229)+SUMIFS('ИТОГО Лэндинг'!$F$5:$F$300,'ИТОГО Лэндинг'!$B$5:$B$300,$B229)+SUMIFS('История'!$F$5:$F$300,'История'!$B$5:$B$300,$B229)))</f>
        <v/>
      </c>
      <c r="G229" s="177">
        <f>IF(F229="","",H229/F229)</f>
        <v/>
      </c>
      <c r="H229" s="241">
        <f>IF(F229="","",SUMIFS('ИТОГО Торговля'!$H$5:$H$300,'ИТОГО Торговля'!$B$5:$B$300,$B229)+SUMIFS('ИТОГО Лэндинг'!$H$5:$H$300,'ИТОГО Лэндинг'!$B$5:$B$300,$B229)+SUMIFS('История'!$H$5:$H$300,'История'!$B$5:$B$300,$B229))</f>
        <v/>
      </c>
      <c r="I229" s="240">
        <f>IF($B229="","",IF(AND(C229="",F229=""),"",ROUND(SUMIFS('ИТОГО Торговля'!$I$5:$I$300,'ИТОГО Торговля'!$B$5:$B$300,$B229)+SUMIFS('ИТОГО Лэндинг'!$I$5:$I$300,'ИТОГО Лэндинг'!$B$5:$B$300,$B229)+SUMIFS('История'!$I$5:$I$300,'История'!$B$5:$B$300,$B229),8)))</f>
        <v/>
      </c>
      <c r="J229" s="241">
        <f>IF($B229="","",IF(AND(C229="",F229=""),"",ROUND(SUMIFS('ИТОГО Торговля'!$J$5:$J$300,'ИТОГО Торговля'!$B$5:$B$300,$B229)+SUMIFS('ИТОГО Лэндинг'!$J$5:$J$300,'ИТОГО Лэндинг'!$B$5:$B$300,$B229)+SUMIFS('История'!$J$5:$J$300,'История'!$B$5:$B$300,$B229),8)))</f>
        <v/>
      </c>
      <c r="K229" s="240">
        <f>IF($B229="","",ROUND(SUMIFS('ИТОГО Торговля'!$K$5:$K$300,'ИТОГО Торговля'!$B$5:$B$300,$B229)+SUMIFS('ИТОГО Лэндинг'!$K$5:$K$300,'ИТОГО Лэндинг'!$B$5:$B$300,$B229)+SUMIFS('История'!$K$5:$K$300,'История'!$B$5:$B$300,$B229),8))</f>
        <v/>
      </c>
      <c r="L229" s="177">
        <f>IF(K229="","",IF(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229)*((История!$C$5:$C$300+История!$F$5:$F$300-ABS(История!$C$5:$C$300-История!$F$5:$F$300))/2)*История!$D$5:$D$300))&lt;=0,0,ROUND(K229/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229)*((История!$C$5:$C$300+История!$F$5:$F$300-ABS(История!$C$5:$C$300-История!$F$5:$F$300))/2)*История!$D$5:$D$300)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IF($B230="","",IF(SUMIFS('ИТОГО Торговля'!$C$5:$C$300,'ИТОГО Торговля'!$B$5:$B$300,$B230)+SUMIFS('ИТОГО Лэндинг'!$C$5:$C$300,'ИТОГО Лэндинг'!$B$5:$B$300,$B230)+SUMIFS('История'!$C$5:$C$300,'История'!$B$5:$B$300,$B230)=0,"",SUMIFS('ИТОГО Торговля'!$C$5:$C$300,'ИТОГО Торговля'!$B$5:$B$300,$B230)+SUMIFS('ИТОГО Лэндинг'!$C$5:$C$300,'ИТОГО Лэндинг'!$B$5:$B$300,$B230)+SUMIFS('История'!$C$5:$C$300,'История'!$B$5:$B$300,$B230)))</f>
        <v/>
      </c>
      <c r="D230" s="183">
        <f>IF(C230="","",E230/C230)</f>
        <v/>
      </c>
      <c r="E230" s="247">
        <f>IF(C230="","",SUMIFS('ИТОГО Торговля'!$E$5:$E$300,'ИТОГО Торговля'!$B$5:$B$300,$B230)+SUMIFS('ИТОГО Лэндинг'!$E$5:$E$300,'ИТОГО Лэндинг'!$B$5:$B$300,$B230)+SUMIFS('История'!$E$5:$E$300,'История'!$B$5:$B$300,$B230))</f>
        <v/>
      </c>
      <c r="F230" s="246">
        <f>IF($B230="","",IF(SUMIFS('ИТОГО Торговля'!$F$5:$F$300,'ИТОГО Торговля'!$B$5:$B$300,$B230)+SUMIFS('ИТОГО Лэндинг'!$F$5:$F$300,'ИТОГО Лэндинг'!$B$5:$B$300,$B230)+SUMIFS('История'!$F$5:$F$300,'История'!$B$5:$B$300,$B230)=0,"",SUMIFS('ИТОГО Торговля'!$F$5:$F$300,'ИТОГО Торговля'!$B$5:$B$300,$B230)+SUMIFS('ИТОГО Лэндинг'!$F$5:$F$300,'ИТОГО Лэндинг'!$B$5:$B$300,$B230)+SUMIFS('История'!$F$5:$F$300,'История'!$B$5:$B$300,$B230)))</f>
        <v/>
      </c>
      <c r="G230" s="183">
        <f>IF(F230="","",H230/F230)</f>
        <v/>
      </c>
      <c r="H230" s="247">
        <f>IF(F230="","",SUMIFS('ИТОГО Торговля'!$H$5:$H$300,'ИТОГО Торговля'!$B$5:$B$300,$B230)+SUMIFS('ИТОГО Лэндинг'!$H$5:$H$300,'ИТОГО Лэндинг'!$B$5:$B$300,$B230)+SUMIFS('История'!$H$5:$H$300,'История'!$B$5:$B$300,$B230))</f>
        <v/>
      </c>
      <c r="I230" s="246">
        <f>IF($B230="","",IF(AND(C230="",F230=""),"",ROUND(SUMIFS('ИТОГО Торговля'!$I$5:$I$300,'ИТОГО Торговля'!$B$5:$B$300,$B230)+SUMIFS('ИТОГО Лэндинг'!$I$5:$I$300,'ИТОГО Лэндинг'!$B$5:$B$300,$B230)+SUMIFS('История'!$I$5:$I$300,'История'!$B$5:$B$300,$B230),8)))</f>
        <v/>
      </c>
      <c r="J230" s="247">
        <f>IF($B230="","",IF(AND(C230="",F230=""),"",ROUND(SUMIFS('ИТОГО Торговля'!$J$5:$J$300,'ИТОГО Торговля'!$B$5:$B$300,$B230)+SUMIFS('ИТОГО Лэндинг'!$J$5:$J$300,'ИТОГО Лэндинг'!$B$5:$B$300,$B230)+SUMIFS('История'!$J$5:$J$300,'История'!$B$5:$B$300,$B230),8)))</f>
        <v/>
      </c>
      <c r="K230" s="246">
        <f>IF($B230="","",ROUND(SUMIFS('ИТОГО Торговля'!$K$5:$K$300,'ИТОГО Торговля'!$B$5:$B$300,$B230)+SUMIFS('ИТОГО Лэндинг'!$K$5:$K$300,'ИТОГО Лэндинг'!$B$5:$B$300,$B230)+SUMIFS('История'!$K$5:$K$300,'История'!$B$5:$B$300,$B230),8))</f>
        <v/>
      </c>
      <c r="L230" s="183">
        <f>IF(K230="","",IF(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230)*((История!$C$5:$C$300+История!$F$5:$F$300-ABS(История!$C$5:$C$300-История!$F$5:$F$300))/2)*История!$D$5:$D$300))&lt;=0,0,ROUND(K230/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230)*((История!$C$5:$C$300+История!$F$5:$F$300-ABS(История!$C$5:$C$300-История!$F$5:$F$300))/2)*История!$D$5:$D$300)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IF($B231="","",IF(SUMIFS('ИТОГО Торговля'!$C$5:$C$300,'ИТОГО Торговля'!$B$5:$B$300,$B231)+SUMIFS('ИТОГО Лэндинг'!$C$5:$C$300,'ИТОГО Лэндинг'!$B$5:$B$300,$B231)+SUMIFS('История'!$C$5:$C$300,'История'!$B$5:$B$300,$B231)=0,"",SUMIFS('ИТОГО Торговля'!$C$5:$C$300,'ИТОГО Торговля'!$B$5:$B$300,$B231)+SUMIFS('ИТОГО Лэндинг'!$C$5:$C$300,'ИТОГО Лэндинг'!$B$5:$B$300,$B231)+SUMIFS('История'!$C$5:$C$300,'История'!$B$5:$B$300,$B231)))</f>
        <v/>
      </c>
      <c r="D231" s="177">
        <f>IF(C231="","",E231/C231)</f>
        <v/>
      </c>
      <c r="E231" s="241">
        <f>IF(C231="","",SUMIFS('ИТОГО Торговля'!$E$5:$E$300,'ИТОГО Торговля'!$B$5:$B$300,$B231)+SUMIFS('ИТОГО Лэндинг'!$E$5:$E$300,'ИТОГО Лэндинг'!$B$5:$B$300,$B231)+SUMIFS('История'!$E$5:$E$300,'История'!$B$5:$B$300,$B231))</f>
        <v/>
      </c>
      <c r="F231" s="240">
        <f>IF($B231="","",IF(SUMIFS('ИТОГО Торговля'!$F$5:$F$300,'ИТОГО Торговля'!$B$5:$B$300,$B231)+SUMIFS('ИТОГО Лэндинг'!$F$5:$F$300,'ИТОГО Лэндинг'!$B$5:$B$300,$B231)+SUMIFS('История'!$F$5:$F$300,'История'!$B$5:$B$300,$B231)=0,"",SUMIFS('ИТОГО Торговля'!$F$5:$F$300,'ИТОГО Торговля'!$B$5:$B$300,$B231)+SUMIFS('ИТОГО Лэндинг'!$F$5:$F$300,'ИТОГО Лэндинг'!$B$5:$B$300,$B231)+SUMIFS('История'!$F$5:$F$300,'История'!$B$5:$B$300,$B231)))</f>
        <v/>
      </c>
      <c r="G231" s="177">
        <f>IF(F231="","",H231/F231)</f>
        <v/>
      </c>
      <c r="H231" s="241">
        <f>IF(F231="","",SUMIFS('ИТОГО Торговля'!$H$5:$H$300,'ИТОГО Торговля'!$B$5:$B$300,$B231)+SUMIFS('ИТОГО Лэндинг'!$H$5:$H$300,'ИТОГО Лэндинг'!$B$5:$B$300,$B231)+SUMIFS('История'!$H$5:$H$300,'История'!$B$5:$B$300,$B231))</f>
        <v/>
      </c>
      <c r="I231" s="240">
        <f>IF($B231="","",IF(AND(C231="",F231=""),"",ROUND(SUMIFS('ИТОГО Торговля'!$I$5:$I$300,'ИТОГО Торговля'!$B$5:$B$300,$B231)+SUMIFS('ИТОГО Лэндинг'!$I$5:$I$300,'ИТОГО Лэндинг'!$B$5:$B$300,$B231)+SUMIFS('История'!$I$5:$I$300,'История'!$B$5:$B$300,$B231),8)))</f>
        <v/>
      </c>
      <c r="J231" s="241">
        <f>IF($B231="","",IF(AND(C231="",F231=""),"",ROUND(SUMIFS('ИТОГО Торговля'!$J$5:$J$300,'ИТОГО Торговля'!$B$5:$B$300,$B231)+SUMIFS('ИТОГО Лэндинг'!$J$5:$J$300,'ИТОГО Лэндинг'!$B$5:$B$300,$B231)+SUMIFS('История'!$J$5:$J$300,'История'!$B$5:$B$300,$B231),8)))</f>
        <v/>
      </c>
      <c r="K231" s="240">
        <f>IF($B231="","",ROUND(SUMIFS('ИТОГО Торговля'!$K$5:$K$300,'ИТОГО Торговля'!$B$5:$B$300,$B231)+SUMIFS('ИТОГО Лэндинг'!$K$5:$K$300,'ИТОГО Лэндинг'!$B$5:$B$300,$B231)+SUMIFS('История'!$K$5:$K$300,'История'!$B$5:$B$300,$B231),8))</f>
        <v/>
      </c>
      <c r="L231" s="177">
        <f>IF(K231="","",IF(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231)*((История!$C$5:$C$300+История!$F$5:$F$300-ABS(История!$C$5:$C$300-История!$F$5:$F$300))/2)*История!$D$5:$D$300))&lt;=0,0,ROUND(K231/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231)*((История!$C$5:$C$300+История!$F$5:$F$300-ABS(История!$C$5:$C$300-История!$F$5:$F$300))/2)*История!$D$5:$D$300)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IF($B232="","",IF(SUMIFS('ИТОГО Торговля'!$C$5:$C$300,'ИТОГО Торговля'!$B$5:$B$300,$B232)+SUMIFS('ИТОГО Лэндинг'!$C$5:$C$300,'ИТОГО Лэндинг'!$B$5:$B$300,$B232)+SUMIFS('История'!$C$5:$C$300,'История'!$B$5:$B$300,$B232)=0,"",SUMIFS('ИТОГО Торговля'!$C$5:$C$300,'ИТОГО Торговля'!$B$5:$B$300,$B232)+SUMIFS('ИТОГО Лэндинг'!$C$5:$C$300,'ИТОГО Лэндинг'!$B$5:$B$300,$B232)+SUMIFS('История'!$C$5:$C$300,'История'!$B$5:$B$300,$B232)))</f>
        <v/>
      </c>
      <c r="D232" s="183">
        <f>IF(C232="","",E232/C232)</f>
        <v/>
      </c>
      <c r="E232" s="247">
        <f>IF(C232="","",SUMIFS('ИТОГО Торговля'!$E$5:$E$300,'ИТОГО Торговля'!$B$5:$B$300,$B232)+SUMIFS('ИТОГО Лэндинг'!$E$5:$E$300,'ИТОГО Лэндинг'!$B$5:$B$300,$B232)+SUMIFS('История'!$E$5:$E$300,'История'!$B$5:$B$300,$B232))</f>
        <v/>
      </c>
      <c r="F232" s="246">
        <f>IF($B232="","",IF(SUMIFS('ИТОГО Торговля'!$F$5:$F$300,'ИТОГО Торговля'!$B$5:$B$300,$B232)+SUMIFS('ИТОГО Лэндинг'!$F$5:$F$300,'ИТОГО Лэндинг'!$B$5:$B$300,$B232)+SUMIFS('История'!$F$5:$F$300,'История'!$B$5:$B$300,$B232)=0,"",SUMIFS('ИТОГО Торговля'!$F$5:$F$300,'ИТОГО Торговля'!$B$5:$B$300,$B232)+SUMIFS('ИТОГО Лэндинг'!$F$5:$F$300,'ИТОГО Лэндинг'!$B$5:$B$300,$B232)+SUMIFS('История'!$F$5:$F$300,'История'!$B$5:$B$300,$B232)))</f>
        <v/>
      </c>
      <c r="G232" s="183">
        <f>IF(F232="","",H232/F232)</f>
        <v/>
      </c>
      <c r="H232" s="247">
        <f>IF(F232="","",SUMIFS('ИТОГО Торговля'!$H$5:$H$300,'ИТОГО Торговля'!$B$5:$B$300,$B232)+SUMIFS('ИТОГО Лэндинг'!$H$5:$H$300,'ИТОГО Лэндинг'!$B$5:$B$300,$B232)+SUMIFS('История'!$H$5:$H$300,'История'!$B$5:$B$300,$B232))</f>
        <v/>
      </c>
      <c r="I232" s="246">
        <f>IF($B232="","",IF(AND(C232="",F232=""),"",ROUND(SUMIFS('ИТОГО Торговля'!$I$5:$I$300,'ИТОГО Торговля'!$B$5:$B$300,$B232)+SUMIFS('ИТОГО Лэндинг'!$I$5:$I$300,'ИТОГО Лэндинг'!$B$5:$B$300,$B232)+SUMIFS('История'!$I$5:$I$300,'История'!$B$5:$B$300,$B232),8)))</f>
        <v/>
      </c>
      <c r="J232" s="247">
        <f>IF($B232="","",IF(AND(C232="",F232=""),"",ROUND(SUMIFS('ИТОГО Торговля'!$J$5:$J$300,'ИТОГО Торговля'!$B$5:$B$300,$B232)+SUMIFS('ИТОГО Лэндинг'!$J$5:$J$300,'ИТОГО Лэндинг'!$B$5:$B$300,$B232)+SUMIFS('История'!$J$5:$J$300,'История'!$B$5:$B$300,$B232),8)))</f>
        <v/>
      </c>
      <c r="K232" s="246">
        <f>IF($B232="","",ROUND(SUMIFS('ИТОГО Торговля'!$K$5:$K$300,'ИТОГО Торговля'!$B$5:$B$300,$B232)+SUMIFS('ИТОГО Лэндинг'!$K$5:$K$300,'ИТОГО Лэндинг'!$B$5:$B$300,$B232)+SUMIFS('История'!$K$5:$K$300,'История'!$B$5:$B$300,$B232),8))</f>
        <v/>
      </c>
      <c r="L232" s="183">
        <f>IF(K232="","",IF(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232)*((История!$C$5:$C$300+История!$F$5:$F$300-ABS(История!$C$5:$C$300-История!$F$5:$F$300))/2)*История!$D$5:$D$300))&lt;=0,0,ROUND(K232/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232)*((История!$C$5:$C$300+История!$F$5:$F$300-ABS(История!$C$5:$C$300-История!$F$5:$F$300))/2)*История!$D$5:$D$300)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IF($B233="","",IF(SUMIFS('ИТОГО Торговля'!$C$5:$C$300,'ИТОГО Торговля'!$B$5:$B$300,$B233)+SUMIFS('ИТОГО Лэндинг'!$C$5:$C$300,'ИТОГО Лэндинг'!$B$5:$B$300,$B233)+SUMIFS('История'!$C$5:$C$300,'История'!$B$5:$B$300,$B233)=0,"",SUMIFS('ИТОГО Торговля'!$C$5:$C$300,'ИТОГО Торговля'!$B$5:$B$300,$B233)+SUMIFS('ИТОГО Лэндинг'!$C$5:$C$300,'ИТОГО Лэндинг'!$B$5:$B$300,$B233)+SUMIFS('История'!$C$5:$C$300,'История'!$B$5:$B$300,$B233)))</f>
        <v/>
      </c>
      <c r="D233" s="177">
        <f>IF(C233="","",E233/C233)</f>
        <v/>
      </c>
      <c r="E233" s="241">
        <f>IF(C233="","",SUMIFS('ИТОГО Торговля'!$E$5:$E$300,'ИТОГО Торговля'!$B$5:$B$300,$B233)+SUMIFS('ИТОГО Лэндинг'!$E$5:$E$300,'ИТОГО Лэндинг'!$B$5:$B$300,$B233)+SUMIFS('История'!$E$5:$E$300,'История'!$B$5:$B$300,$B233))</f>
        <v/>
      </c>
      <c r="F233" s="240">
        <f>IF($B233="","",IF(SUMIFS('ИТОГО Торговля'!$F$5:$F$300,'ИТОГО Торговля'!$B$5:$B$300,$B233)+SUMIFS('ИТОГО Лэндинг'!$F$5:$F$300,'ИТОГО Лэндинг'!$B$5:$B$300,$B233)+SUMIFS('История'!$F$5:$F$300,'История'!$B$5:$B$300,$B233)=0,"",SUMIFS('ИТОГО Торговля'!$F$5:$F$300,'ИТОГО Торговля'!$B$5:$B$300,$B233)+SUMIFS('ИТОГО Лэндинг'!$F$5:$F$300,'ИТОГО Лэндинг'!$B$5:$B$300,$B233)+SUMIFS('История'!$F$5:$F$300,'История'!$B$5:$B$300,$B233)))</f>
        <v/>
      </c>
      <c r="G233" s="177">
        <f>IF(F233="","",H233/F233)</f>
        <v/>
      </c>
      <c r="H233" s="241">
        <f>IF(F233="","",SUMIFS('ИТОГО Торговля'!$H$5:$H$300,'ИТОГО Торговля'!$B$5:$B$300,$B233)+SUMIFS('ИТОГО Лэндинг'!$H$5:$H$300,'ИТОГО Лэндинг'!$B$5:$B$300,$B233)+SUMIFS('История'!$H$5:$H$300,'История'!$B$5:$B$300,$B233))</f>
        <v/>
      </c>
      <c r="I233" s="240">
        <f>IF($B233="","",IF(AND(C233="",F233=""),"",ROUND(SUMIFS('ИТОГО Торговля'!$I$5:$I$300,'ИТОГО Торговля'!$B$5:$B$300,$B233)+SUMIFS('ИТОГО Лэндинг'!$I$5:$I$300,'ИТОГО Лэндинг'!$B$5:$B$300,$B233)+SUMIFS('История'!$I$5:$I$300,'История'!$B$5:$B$300,$B233),8)))</f>
        <v/>
      </c>
      <c r="J233" s="241">
        <f>IF($B233="","",IF(AND(C233="",F233=""),"",ROUND(SUMIFS('ИТОГО Торговля'!$J$5:$J$300,'ИТОГО Торговля'!$B$5:$B$300,$B233)+SUMIFS('ИТОГО Лэндинг'!$J$5:$J$300,'ИТОГО Лэндинг'!$B$5:$B$300,$B233)+SUMIFS('История'!$J$5:$J$300,'История'!$B$5:$B$300,$B233),8)))</f>
        <v/>
      </c>
      <c r="K233" s="240">
        <f>IF($B233="","",ROUND(SUMIFS('ИТОГО Торговля'!$K$5:$K$300,'ИТОГО Торговля'!$B$5:$B$300,$B233)+SUMIFS('ИТОГО Лэндинг'!$K$5:$K$300,'ИТОГО Лэндинг'!$B$5:$B$300,$B233)+SUMIFS('История'!$K$5:$K$300,'История'!$B$5:$B$300,$B233),8))</f>
        <v/>
      </c>
      <c r="L233" s="177">
        <f>IF(K233="","",IF(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233)*((История!$C$5:$C$300+История!$F$5:$F$300-ABS(История!$C$5:$C$300-История!$F$5:$F$300))/2)*История!$D$5:$D$300))&lt;=0,0,ROUND(K233/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233)*((История!$C$5:$C$300+История!$F$5:$F$300-ABS(История!$C$5:$C$300-История!$F$5:$F$300))/2)*История!$D$5:$D$300)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IF($B234="","",IF(SUMIFS('ИТОГО Торговля'!$C$5:$C$300,'ИТОГО Торговля'!$B$5:$B$300,$B234)+SUMIFS('ИТОГО Лэндинг'!$C$5:$C$300,'ИТОГО Лэндинг'!$B$5:$B$300,$B234)+SUMIFS('История'!$C$5:$C$300,'История'!$B$5:$B$300,$B234)=0,"",SUMIFS('ИТОГО Торговля'!$C$5:$C$300,'ИТОГО Торговля'!$B$5:$B$300,$B234)+SUMIFS('ИТОГО Лэндинг'!$C$5:$C$300,'ИТОГО Лэндинг'!$B$5:$B$300,$B234)+SUMIFS('История'!$C$5:$C$300,'История'!$B$5:$B$300,$B234)))</f>
        <v/>
      </c>
      <c r="D234" s="183">
        <f>IF(C234="","",E234/C234)</f>
        <v/>
      </c>
      <c r="E234" s="247">
        <f>IF(C234="","",SUMIFS('ИТОГО Торговля'!$E$5:$E$300,'ИТОГО Торговля'!$B$5:$B$300,$B234)+SUMIFS('ИТОГО Лэндинг'!$E$5:$E$300,'ИТОГО Лэндинг'!$B$5:$B$300,$B234)+SUMIFS('История'!$E$5:$E$300,'История'!$B$5:$B$300,$B234))</f>
        <v/>
      </c>
      <c r="F234" s="246">
        <f>IF($B234="","",IF(SUMIFS('ИТОГО Торговля'!$F$5:$F$300,'ИТОГО Торговля'!$B$5:$B$300,$B234)+SUMIFS('ИТОГО Лэндинг'!$F$5:$F$300,'ИТОГО Лэндинг'!$B$5:$B$300,$B234)+SUMIFS('История'!$F$5:$F$300,'История'!$B$5:$B$300,$B234)=0,"",SUMIFS('ИТОГО Торговля'!$F$5:$F$300,'ИТОГО Торговля'!$B$5:$B$300,$B234)+SUMIFS('ИТОГО Лэндинг'!$F$5:$F$300,'ИТОГО Лэндинг'!$B$5:$B$300,$B234)+SUMIFS('История'!$F$5:$F$300,'История'!$B$5:$B$300,$B234)))</f>
        <v/>
      </c>
      <c r="G234" s="183">
        <f>IF(F234="","",H234/F234)</f>
        <v/>
      </c>
      <c r="H234" s="247">
        <f>IF(F234="","",SUMIFS('ИТОГО Торговля'!$H$5:$H$300,'ИТОГО Торговля'!$B$5:$B$300,$B234)+SUMIFS('ИТОГО Лэндинг'!$H$5:$H$300,'ИТОГО Лэндинг'!$B$5:$B$300,$B234)+SUMIFS('История'!$H$5:$H$300,'История'!$B$5:$B$300,$B234))</f>
        <v/>
      </c>
      <c r="I234" s="246">
        <f>IF($B234="","",IF(AND(C234="",F234=""),"",ROUND(SUMIFS('ИТОГО Торговля'!$I$5:$I$300,'ИТОГО Торговля'!$B$5:$B$300,$B234)+SUMIFS('ИТОГО Лэндинг'!$I$5:$I$300,'ИТОГО Лэндинг'!$B$5:$B$300,$B234)+SUMIFS('История'!$I$5:$I$300,'История'!$B$5:$B$300,$B234),8)))</f>
        <v/>
      </c>
      <c r="J234" s="247">
        <f>IF($B234="","",IF(AND(C234="",F234=""),"",ROUND(SUMIFS('ИТОГО Торговля'!$J$5:$J$300,'ИТОГО Торговля'!$B$5:$B$300,$B234)+SUMIFS('ИТОГО Лэндинг'!$J$5:$J$300,'ИТОГО Лэндинг'!$B$5:$B$300,$B234)+SUMIFS('История'!$J$5:$J$300,'История'!$B$5:$B$300,$B234),8)))</f>
        <v/>
      </c>
      <c r="K234" s="246">
        <f>IF($B234="","",ROUND(SUMIFS('ИТОГО Торговля'!$K$5:$K$300,'ИТОГО Торговля'!$B$5:$B$300,$B234)+SUMIFS('ИТОГО Лэндинг'!$K$5:$K$300,'ИТОГО Лэндинг'!$B$5:$B$300,$B234)+SUMIFS('История'!$K$5:$K$300,'История'!$B$5:$B$300,$B234),8))</f>
        <v/>
      </c>
      <c r="L234" s="183">
        <f>IF(K234="","",IF(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234)*((История!$C$5:$C$300+История!$F$5:$F$300-ABS(История!$C$5:$C$300-История!$F$5:$F$300))/2)*История!$D$5:$D$300))&lt;=0,0,ROUND(K234/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234)*((История!$C$5:$C$300+История!$F$5:$F$300-ABS(История!$C$5:$C$300-История!$F$5:$F$300))/2)*История!$D$5:$D$300)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IF($B235="","",IF(SUMIFS('ИТОГО Торговля'!$C$5:$C$300,'ИТОГО Торговля'!$B$5:$B$300,$B235)+SUMIFS('ИТОГО Лэндинг'!$C$5:$C$300,'ИТОГО Лэндинг'!$B$5:$B$300,$B235)+SUMIFS('История'!$C$5:$C$300,'История'!$B$5:$B$300,$B235)=0,"",SUMIFS('ИТОГО Торговля'!$C$5:$C$300,'ИТОГО Торговля'!$B$5:$B$300,$B235)+SUMIFS('ИТОГО Лэндинг'!$C$5:$C$300,'ИТОГО Лэндинг'!$B$5:$B$300,$B235)+SUMIFS('История'!$C$5:$C$300,'История'!$B$5:$B$300,$B235)))</f>
        <v/>
      </c>
      <c r="D235" s="177">
        <f>IF(C235="","",E235/C235)</f>
        <v/>
      </c>
      <c r="E235" s="241">
        <f>IF(C235="","",SUMIFS('ИТОГО Торговля'!$E$5:$E$300,'ИТОГО Торговля'!$B$5:$B$300,$B235)+SUMIFS('ИТОГО Лэндинг'!$E$5:$E$300,'ИТОГО Лэндинг'!$B$5:$B$300,$B235)+SUMIFS('История'!$E$5:$E$300,'История'!$B$5:$B$300,$B235))</f>
        <v/>
      </c>
      <c r="F235" s="240">
        <f>IF($B235="","",IF(SUMIFS('ИТОГО Торговля'!$F$5:$F$300,'ИТОГО Торговля'!$B$5:$B$300,$B235)+SUMIFS('ИТОГО Лэндинг'!$F$5:$F$300,'ИТОГО Лэндинг'!$B$5:$B$300,$B235)+SUMIFS('История'!$F$5:$F$300,'История'!$B$5:$B$300,$B235)=0,"",SUMIFS('ИТОГО Торговля'!$F$5:$F$300,'ИТОГО Торговля'!$B$5:$B$300,$B235)+SUMIFS('ИТОГО Лэндинг'!$F$5:$F$300,'ИТОГО Лэндинг'!$B$5:$B$300,$B235)+SUMIFS('История'!$F$5:$F$300,'История'!$B$5:$B$300,$B235)))</f>
        <v/>
      </c>
      <c r="G235" s="177">
        <f>IF(F235="","",H235/F235)</f>
        <v/>
      </c>
      <c r="H235" s="241">
        <f>IF(F235="","",SUMIFS('ИТОГО Торговля'!$H$5:$H$300,'ИТОГО Торговля'!$B$5:$B$300,$B235)+SUMIFS('ИТОГО Лэндинг'!$H$5:$H$300,'ИТОГО Лэндинг'!$B$5:$B$300,$B235)+SUMIFS('История'!$H$5:$H$300,'История'!$B$5:$B$300,$B235))</f>
        <v/>
      </c>
      <c r="I235" s="240">
        <f>IF($B235="","",IF(AND(C235="",F235=""),"",ROUND(SUMIFS('ИТОГО Торговля'!$I$5:$I$300,'ИТОГО Торговля'!$B$5:$B$300,$B235)+SUMIFS('ИТОГО Лэндинг'!$I$5:$I$300,'ИТОГО Лэндинг'!$B$5:$B$300,$B235)+SUMIFS('История'!$I$5:$I$300,'История'!$B$5:$B$300,$B235),8)))</f>
        <v/>
      </c>
      <c r="J235" s="241">
        <f>IF($B235="","",IF(AND(C235="",F235=""),"",ROUND(SUMIFS('ИТОГО Торговля'!$J$5:$J$300,'ИТОГО Торговля'!$B$5:$B$300,$B235)+SUMIFS('ИТОГО Лэндинг'!$J$5:$J$300,'ИТОГО Лэндинг'!$B$5:$B$300,$B235)+SUMIFS('История'!$J$5:$J$300,'История'!$B$5:$B$300,$B235),8)))</f>
        <v/>
      </c>
      <c r="K235" s="240">
        <f>IF($B235="","",ROUND(SUMIFS('ИТОГО Торговля'!$K$5:$K$300,'ИТОГО Торговля'!$B$5:$B$300,$B235)+SUMIFS('ИТОГО Лэндинг'!$K$5:$K$300,'ИТОГО Лэндинг'!$B$5:$B$300,$B235)+SUMIFS('История'!$K$5:$K$300,'История'!$B$5:$B$300,$B235),8))</f>
        <v/>
      </c>
      <c r="L235" s="177">
        <f>IF(K235="","",IF(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235)*((История!$C$5:$C$300+История!$F$5:$F$300-ABS(История!$C$5:$C$300-История!$F$5:$F$300))/2)*История!$D$5:$D$300))&lt;=0,0,ROUND(K235/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235)*((История!$C$5:$C$300+История!$F$5:$F$300-ABS(История!$C$5:$C$300-История!$F$5:$F$300))/2)*История!$D$5:$D$300)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IF($B236="","",IF(SUMIFS('ИТОГО Торговля'!$C$5:$C$300,'ИТОГО Торговля'!$B$5:$B$300,$B236)+SUMIFS('ИТОГО Лэндинг'!$C$5:$C$300,'ИТОГО Лэндинг'!$B$5:$B$300,$B236)+SUMIFS('История'!$C$5:$C$300,'История'!$B$5:$B$300,$B236)=0,"",SUMIFS('ИТОГО Торговля'!$C$5:$C$300,'ИТОГО Торговля'!$B$5:$B$300,$B236)+SUMIFS('ИТОГО Лэндинг'!$C$5:$C$300,'ИТОГО Лэндинг'!$B$5:$B$300,$B236)+SUMIFS('История'!$C$5:$C$300,'История'!$B$5:$B$300,$B236)))</f>
        <v/>
      </c>
      <c r="D236" s="183">
        <f>IF(C236="","",E236/C236)</f>
        <v/>
      </c>
      <c r="E236" s="247">
        <f>IF(C236="","",SUMIFS('ИТОГО Торговля'!$E$5:$E$300,'ИТОГО Торговля'!$B$5:$B$300,$B236)+SUMIFS('ИТОГО Лэндинг'!$E$5:$E$300,'ИТОГО Лэндинг'!$B$5:$B$300,$B236)+SUMIFS('История'!$E$5:$E$300,'История'!$B$5:$B$300,$B236))</f>
        <v/>
      </c>
      <c r="F236" s="246">
        <f>IF($B236="","",IF(SUMIFS('ИТОГО Торговля'!$F$5:$F$300,'ИТОГО Торговля'!$B$5:$B$300,$B236)+SUMIFS('ИТОГО Лэндинг'!$F$5:$F$300,'ИТОГО Лэндинг'!$B$5:$B$300,$B236)+SUMIFS('История'!$F$5:$F$300,'История'!$B$5:$B$300,$B236)=0,"",SUMIFS('ИТОГО Торговля'!$F$5:$F$300,'ИТОГО Торговля'!$B$5:$B$300,$B236)+SUMIFS('ИТОГО Лэндинг'!$F$5:$F$300,'ИТОГО Лэндинг'!$B$5:$B$300,$B236)+SUMIFS('История'!$F$5:$F$300,'История'!$B$5:$B$300,$B236)))</f>
        <v/>
      </c>
      <c r="G236" s="183">
        <f>IF(F236="","",H236/F236)</f>
        <v/>
      </c>
      <c r="H236" s="247">
        <f>IF(F236="","",SUMIFS('ИТОГО Торговля'!$H$5:$H$300,'ИТОГО Торговля'!$B$5:$B$300,$B236)+SUMIFS('ИТОГО Лэндинг'!$H$5:$H$300,'ИТОГО Лэндинг'!$B$5:$B$300,$B236)+SUMIFS('История'!$H$5:$H$300,'История'!$B$5:$B$300,$B236))</f>
        <v/>
      </c>
      <c r="I236" s="246">
        <f>IF($B236="","",IF(AND(C236="",F236=""),"",ROUND(SUMIFS('ИТОГО Торговля'!$I$5:$I$300,'ИТОГО Торговля'!$B$5:$B$300,$B236)+SUMIFS('ИТОГО Лэндинг'!$I$5:$I$300,'ИТОГО Лэндинг'!$B$5:$B$300,$B236)+SUMIFS('История'!$I$5:$I$300,'История'!$B$5:$B$300,$B236),8)))</f>
        <v/>
      </c>
      <c r="J236" s="247">
        <f>IF($B236="","",IF(AND(C236="",F236=""),"",ROUND(SUMIFS('ИТОГО Торговля'!$J$5:$J$300,'ИТОГО Торговля'!$B$5:$B$300,$B236)+SUMIFS('ИТОГО Лэндинг'!$J$5:$J$300,'ИТОГО Лэндинг'!$B$5:$B$300,$B236)+SUMIFS('История'!$J$5:$J$300,'История'!$B$5:$B$300,$B236),8)))</f>
        <v/>
      </c>
      <c r="K236" s="246">
        <f>IF($B236="","",ROUND(SUMIFS('ИТОГО Торговля'!$K$5:$K$300,'ИТОГО Торговля'!$B$5:$B$300,$B236)+SUMIFS('ИТОГО Лэндинг'!$K$5:$K$300,'ИТОГО Лэндинг'!$B$5:$B$300,$B236)+SUMIFS('История'!$K$5:$K$300,'История'!$B$5:$B$300,$B236),8))</f>
        <v/>
      </c>
      <c r="L236" s="183">
        <f>IF(K236="","",IF(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236)*((История!$C$5:$C$300+История!$F$5:$F$300-ABS(История!$C$5:$C$300-История!$F$5:$F$300))/2)*История!$D$5:$D$300))&lt;=0,0,ROUND(K236/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236)*((История!$C$5:$C$300+История!$F$5:$F$300-ABS(История!$C$5:$C$300-История!$F$5:$F$300))/2)*История!$D$5:$D$300)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IF($B237="","",IF(SUMIFS('ИТОГО Торговля'!$C$5:$C$300,'ИТОГО Торговля'!$B$5:$B$300,$B237)+SUMIFS('ИТОГО Лэндинг'!$C$5:$C$300,'ИТОГО Лэндинг'!$B$5:$B$300,$B237)+SUMIFS('История'!$C$5:$C$300,'История'!$B$5:$B$300,$B237)=0,"",SUMIFS('ИТОГО Торговля'!$C$5:$C$300,'ИТОГО Торговля'!$B$5:$B$300,$B237)+SUMIFS('ИТОГО Лэндинг'!$C$5:$C$300,'ИТОГО Лэндинг'!$B$5:$B$300,$B237)+SUMIFS('История'!$C$5:$C$300,'История'!$B$5:$B$300,$B237)))</f>
        <v/>
      </c>
      <c r="D237" s="177">
        <f>IF(C237="","",E237/C237)</f>
        <v/>
      </c>
      <c r="E237" s="241">
        <f>IF(C237="","",SUMIFS('ИТОГО Торговля'!$E$5:$E$300,'ИТОГО Торговля'!$B$5:$B$300,$B237)+SUMIFS('ИТОГО Лэндинг'!$E$5:$E$300,'ИТОГО Лэндинг'!$B$5:$B$300,$B237)+SUMIFS('История'!$E$5:$E$300,'История'!$B$5:$B$300,$B237))</f>
        <v/>
      </c>
      <c r="F237" s="240">
        <f>IF($B237="","",IF(SUMIFS('ИТОГО Торговля'!$F$5:$F$300,'ИТОГО Торговля'!$B$5:$B$300,$B237)+SUMIFS('ИТОГО Лэндинг'!$F$5:$F$300,'ИТОГО Лэндинг'!$B$5:$B$300,$B237)+SUMIFS('История'!$F$5:$F$300,'История'!$B$5:$B$300,$B237)=0,"",SUMIFS('ИТОГО Торговля'!$F$5:$F$300,'ИТОГО Торговля'!$B$5:$B$300,$B237)+SUMIFS('ИТОГО Лэндинг'!$F$5:$F$300,'ИТОГО Лэндинг'!$B$5:$B$300,$B237)+SUMIFS('История'!$F$5:$F$300,'История'!$B$5:$B$300,$B237)))</f>
        <v/>
      </c>
      <c r="G237" s="177">
        <f>IF(F237="","",H237/F237)</f>
        <v/>
      </c>
      <c r="H237" s="241">
        <f>IF(F237="","",SUMIFS('ИТОГО Торговля'!$H$5:$H$300,'ИТОГО Торговля'!$B$5:$B$300,$B237)+SUMIFS('ИТОГО Лэндинг'!$H$5:$H$300,'ИТОГО Лэндинг'!$B$5:$B$300,$B237)+SUMIFS('История'!$H$5:$H$300,'История'!$B$5:$B$300,$B237))</f>
        <v/>
      </c>
      <c r="I237" s="240">
        <f>IF($B237="","",IF(AND(C237="",F237=""),"",ROUND(SUMIFS('ИТОГО Торговля'!$I$5:$I$300,'ИТОГО Торговля'!$B$5:$B$300,$B237)+SUMIFS('ИТОГО Лэндинг'!$I$5:$I$300,'ИТОГО Лэндинг'!$B$5:$B$300,$B237)+SUMIFS('История'!$I$5:$I$300,'История'!$B$5:$B$300,$B237),8)))</f>
        <v/>
      </c>
      <c r="J237" s="241">
        <f>IF($B237="","",IF(AND(C237="",F237=""),"",ROUND(SUMIFS('ИТОГО Торговля'!$J$5:$J$300,'ИТОГО Торговля'!$B$5:$B$300,$B237)+SUMIFS('ИТОГО Лэндинг'!$J$5:$J$300,'ИТОГО Лэндинг'!$B$5:$B$300,$B237)+SUMIFS('История'!$J$5:$J$300,'История'!$B$5:$B$300,$B237),8)))</f>
        <v/>
      </c>
      <c r="K237" s="240">
        <f>IF($B237="","",ROUND(SUMIFS('ИТОГО Торговля'!$K$5:$K$300,'ИТОГО Торговля'!$B$5:$B$300,$B237)+SUMIFS('ИТОГО Лэндинг'!$K$5:$K$300,'ИТОГО Лэндинг'!$B$5:$B$300,$B237)+SUMIFS('История'!$K$5:$K$300,'История'!$B$5:$B$300,$B237),8))</f>
        <v/>
      </c>
      <c r="L237" s="177">
        <f>IF(K237="","",IF(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237)*((История!$C$5:$C$300+История!$F$5:$F$300-ABS(История!$C$5:$C$300-История!$F$5:$F$300))/2)*История!$D$5:$D$300))&lt;=0,0,ROUND(K237/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237)*((История!$C$5:$C$300+История!$F$5:$F$300-ABS(История!$C$5:$C$300-История!$F$5:$F$300))/2)*История!$D$5:$D$300)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IF($B238="","",IF(SUMIFS('ИТОГО Торговля'!$C$5:$C$300,'ИТОГО Торговля'!$B$5:$B$300,$B238)+SUMIFS('ИТОГО Лэндинг'!$C$5:$C$300,'ИТОГО Лэндинг'!$B$5:$B$300,$B238)+SUMIFS('История'!$C$5:$C$300,'История'!$B$5:$B$300,$B238)=0,"",SUMIFS('ИТОГО Торговля'!$C$5:$C$300,'ИТОГО Торговля'!$B$5:$B$300,$B238)+SUMIFS('ИТОГО Лэндинг'!$C$5:$C$300,'ИТОГО Лэндинг'!$B$5:$B$300,$B238)+SUMIFS('История'!$C$5:$C$300,'История'!$B$5:$B$300,$B238)))</f>
        <v/>
      </c>
      <c r="D238" s="183">
        <f>IF(C238="","",E238/C238)</f>
        <v/>
      </c>
      <c r="E238" s="247">
        <f>IF(C238="","",SUMIFS('ИТОГО Торговля'!$E$5:$E$300,'ИТОГО Торговля'!$B$5:$B$300,$B238)+SUMIFS('ИТОГО Лэндинг'!$E$5:$E$300,'ИТОГО Лэндинг'!$B$5:$B$300,$B238)+SUMIFS('История'!$E$5:$E$300,'История'!$B$5:$B$300,$B238))</f>
        <v/>
      </c>
      <c r="F238" s="246">
        <f>IF($B238="","",IF(SUMIFS('ИТОГО Торговля'!$F$5:$F$300,'ИТОГО Торговля'!$B$5:$B$300,$B238)+SUMIFS('ИТОГО Лэндинг'!$F$5:$F$300,'ИТОГО Лэндинг'!$B$5:$B$300,$B238)+SUMIFS('История'!$F$5:$F$300,'История'!$B$5:$B$300,$B238)=0,"",SUMIFS('ИТОГО Торговля'!$F$5:$F$300,'ИТОГО Торговля'!$B$5:$B$300,$B238)+SUMIFS('ИТОГО Лэндинг'!$F$5:$F$300,'ИТОГО Лэндинг'!$B$5:$B$300,$B238)+SUMIFS('История'!$F$5:$F$300,'История'!$B$5:$B$300,$B238)))</f>
        <v/>
      </c>
      <c r="G238" s="183">
        <f>IF(F238="","",H238/F238)</f>
        <v/>
      </c>
      <c r="H238" s="247">
        <f>IF(F238="","",SUMIFS('ИТОГО Торговля'!$H$5:$H$300,'ИТОГО Торговля'!$B$5:$B$300,$B238)+SUMIFS('ИТОГО Лэндинг'!$H$5:$H$300,'ИТОГО Лэндинг'!$B$5:$B$300,$B238)+SUMIFS('История'!$H$5:$H$300,'История'!$B$5:$B$300,$B238))</f>
        <v/>
      </c>
      <c r="I238" s="246">
        <f>IF($B238="","",IF(AND(C238="",F238=""),"",ROUND(SUMIFS('ИТОГО Торговля'!$I$5:$I$300,'ИТОГО Торговля'!$B$5:$B$300,$B238)+SUMIFS('ИТОГО Лэндинг'!$I$5:$I$300,'ИТОГО Лэндинг'!$B$5:$B$300,$B238)+SUMIFS('История'!$I$5:$I$300,'История'!$B$5:$B$300,$B238),8)))</f>
        <v/>
      </c>
      <c r="J238" s="247">
        <f>IF($B238="","",IF(AND(C238="",F238=""),"",ROUND(SUMIFS('ИТОГО Торговля'!$J$5:$J$300,'ИТОГО Торговля'!$B$5:$B$300,$B238)+SUMIFS('ИТОГО Лэндинг'!$J$5:$J$300,'ИТОГО Лэндинг'!$B$5:$B$300,$B238)+SUMIFS('История'!$J$5:$J$300,'История'!$B$5:$B$300,$B238),8)))</f>
        <v/>
      </c>
      <c r="K238" s="246">
        <f>IF($B238="","",ROUND(SUMIFS('ИТОГО Торговля'!$K$5:$K$300,'ИТОГО Торговля'!$B$5:$B$300,$B238)+SUMIFS('ИТОГО Лэндинг'!$K$5:$K$300,'ИТОГО Лэндинг'!$B$5:$B$300,$B238)+SUMIFS('История'!$K$5:$K$300,'История'!$B$5:$B$300,$B238),8))</f>
        <v/>
      </c>
      <c r="L238" s="183">
        <f>IF(K238="","",IF(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238)*((История!$C$5:$C$300+История!$F$5:$F$300-ABS(История!$C$5:$C$300-История!$F$5:$F$300))/2)*История!$D$5:$D$300))&lt;=0,0,ROUND(K238/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238)*((История!$C$5:$C$300+История!$F$5:$F$300-ABS(История!$C$5:$C$300-История!$F$5:$F$300))/2)*История!$D$5:$D$300)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IF($B239="","",IF(SUMIFS('ИТОГО Торговля'!$C$5:$C$300,'ИТОГО Торговля'!$B$5:$B$300,$B239)+SUMIFS('ИТОГО Лэндинг'!$C$5:$C$300,'ИТОГО Лэндинг'!$B$5:$B$300,$B239)+SUMIFS('История'!$C$5:$C$300,'История'!$B$5:$B$300,$B239)=0,"",SUMIFS('ИТОГО Торговля'!$C$5:$C$300,'ИТОГО Торговля'!$B$5:$B$300,$B239)+SUMIFS('ИТОГО Лэндинг'!$C$5:$C$300,'ИТОГО Лэндинг'!$B$5:$B$300,$B239)+SUMIFS('История'!$C$5:$C$300,'История'!$B$5:$B$300,$B239)))</f>
        <v/>
      </c>
      <c r="D239" s="177">
        <f>IF(C239="","",E239/C239)</f>
        <v/>
      </c>
      <c r="E239" s="241">
        <f>IF(C239="","",SUMIFS('ИТОГО Торговля'!$E$5:$E$300,'ИТОГО Торговля'!$B$5:$B$300,$B239)+SUMIFS('ИТОГО Лэндинг'!$E$5:$E$300,'ИТОГО Лэндинг'!$B$5:$B$300,$B239)+SUMIFS('История'!$E$5:$E$300,'История'!$B$5:$B$300,$B239))</f>
        <v/>
      </c>
      <c r="F239" s="240">
        <f>IF($B239="","",IF(SUMIFS('ИТОГО Торговля'!$F$5:$F$300,'ИТОГО Торговля'!$B$5:$B$300,$B239)+SUMIFS('ИТОГО Лэндинг'!$F$5:$F$300,'ИТОГО Лэндинг'!$B$5:$B$300,$B239)+SUMIFS('История'!$F$5:$F$300,'История'!$B$5:$B$300,$B239)=0,"",SUMIFS('ИТОГО Торговля'!$F$5:$F$300,'ИТОГО Торговля'!$B$5:$B$300,$B239)+SUMIFS('ИТОГО Лэндинг'!$F$5:$F$300,'ИТОГО Лэндинг'!$B$5:$B$300,$B239)+SUMIFS('История'!$F$5:$F$300,'История'!$B$5:$B$300,$B239)))</f>
        <v/>
      </c>
      <c r="G239" s="177">
        <f>IF(F239="","",H239/F239)</f>
        <v/>
      </c>
      <c r="H239" s="241">
        <f>IF(F239="","",SUMIFS('ИТОГО Торговля'!$H$5:$H$300,'ИТОГО Торговля'!$B$5:$B$300,$B239)+SUMIFS('ИТОГО Лэндинг'!$H$5:$H$300,'ИТОГО Лэндинг'!$B$5:$B$300,$B239)+SUMIFS('История'!$H$5:$H$300,'История'!$B$5:$B$300,$B239))</f>
        <v/>
      </c>
      <c r="I239" s="240">
        <f>IF($B239="","",IF(AND(C239="",F239=""),"",ROUND(SUMIFS('ИТОГО Торговля'!$I$5:$I$300,'ИТОГО Торговля'!$B$5:$B$300,$B239)+SUMIFS('ИТОГО Лэндинг'!$I$5:$I$300,'ИТОГО Лэндинг'!$B$5:$B$300,$B239)+SUMIFS('История'!$I$5:$I$300,'История'!$B$5:$B$300,$B239),8)))</f>
        <v/>
      </c>
      <c r="J239" s="241">
        <f>IF($B239="","",IF(AND(C239="",F239=""),"",ROUND(SUMIFS('ИТОГО Торговля'!$J$5:$J$300,'ИТОГО Торговля'!$B$5:$B$300,$B239)+SUMIFS('ИТОГО Лэндинг'!$J$5:$J$300,'ИТОГО Лэндинг'!$B$5:$B$300,$B239)+SUMIFS('История'!$J$5:$J$300,'История'!$B$5:$B$300,$B239),8)))</f>
        <v/>
      </c>
      <c r="K239" s="240">
        <f>IF($B239="","",ROUND(SUMIFS('ИТОГО Торговля'!$K$5:$K$300,'ИТОГО Торговля'!$B$5:$B$300,$B239)+SUMIFS('ИТОГО Лэндинг'!$K$5:$K$300,'ИТОГО Лэндинг'!$B$5:$B$300,$B239)+SUMIFS('История'!$K$5:$K$300,'История'!$B$5:$B$300,$B239),8))</f>
        <v/>
      </c>
      <c r="L239" s="177">
        <f>IF(K239="","",IF(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239)*((История!$C$5:$C$300+История!$F$5:$F$300-ABS(История!$C$5:$C$300-История!$F$5:$F$300))/2)*История!$D$5:$D$300))&lt;=0,0,ROUND(K239/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239)*((История!$C$5:$C$300+История!$F$5:$F$300-ABS(История!$C$5:$C$300-История!$F$5:$F$300))/2)*История!$D$5:$D$300)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IF($B240="","",IF(SUMIFS('ИТОГО Торговля'!$C$5:$C$300,'ИТОГО Торговля'!$B$5:$B$300,$B240)+SUMIFS('ИТОГО Лэндинг'!$C$5:$C$300,'ИТОГО Лэндинг'!$B$5:$B$300,$B240)+SUMIFS('История'!$C$5:$C$300,'История'!$B$5:$B$300,$B240)=0,"",SUMIFS('ИТОГО Торговля'!$C$5:$C$300,'ИТОГО Торговля'!$B$5:$B$300,$B240)+SUMIFS('ИТОГО Лэндинг'!$C$5:$C$300,'ИТОГО Лэндинг'!$B$5:$B$300,$B240)+SUMIFS('История'!$C$5:$C$300,'История'!$B$5:$B$300,$B240)))</f>
        <v/>
      </c>
      <c r="D240" s="183">
        <f>IF(C240="","",E240/C240)</f>
        <v/>
      </c>
      <c r="E240" s="247">
        <f>IF(C240="","",SUMIFS('ИТОГО Торговля'!$E$5:$E$300,'ИТОГО Торговля'!$B$5:$B$300,$B240)+SUMIFS('ИТОГО Лэндинг'!$E$5:$E$300,'ИТОГО Лэндинг'!$B$5:$B$300,$B240)+SUMIFS('История'!$E$5:$E$300,'История'!$B$5:$B$300,$B240))</f>
        <v/>
      </c>
      <c r="F240" s="246">
        <f>IF($B240="","",IF(SUMIFS('ИТОГО Торговля'!$F$5:$F$300,'ИТОГО Торговля'!$B$5:$B$300,$B240)+SUMIFS('ИТОГО Лэндинг'!$F$5:$F$300,'ИТОГО Лэндинг'!$B$5:$B$300,$B240)+SUMIFS('История'!$F$5:$F$300,'История'!$B$5:$B$300,$B240)=0,"",SUMIFS('ИТОГО Торговля'!$F$5:$F$300,'ИТОГО Торговля'!$B$5:$B$300,$B240)+SUMIFS('ИТОГО Лэндинг'!$F$5:$F$300,'ИТОГО Лэндинг'!$B$5:$B$300,$B240)+SUMIFS('История'!$F$5:$F$300,'История'!$B$5:$B$300,$B240)))</f>
        <v/>
      </c>
      <c r="G240" s="183">
        <f>IF(F240="","",H240/F240)</f>
        <v/>
      </c>
      <c r="H240" s="247">
        <f>IF(F240="","",SUMIFS('ИТОГО Торговля'!$H$5:$H$300,'ИТОГО Торговля'!$B$5:$B$300,$B240)+SUMIFS('ИТОГО Лэндинг'!$H$5:$H$300,'ИТОГО Лэндинг'!$B$5:$B$300,$B240)+SUMIFS('История'!$H$5:$H$300,'История'!$B$5:$B$300,$B240))</f>
        <v/>
      </c>
      <c r="I240" s="246">
        <f>IF($B240="","",IF(AND(C240="",F240=""),"",ROUND(SUMIFS('ИТОГО Торговля'!$I$5:$I$300,'ИТОГО Торговля'!$B$5:$B$300,$B240)+SUMIFS('ИТОГО Лэндинг'!$I$5:$I$300,'ИТОГО Лэндинг'!$B$5:$B$300,$B240)+SUMIFS('История'!$I$5:$I$300,'История'!$B$5:$B$300,$B240),8)))</f>
        <v/>
      </c>
      <c r="J240" s="247">
        <f>IF($B240="","",IF(AND(C240="",F240=""),"",ROUND(SUMIFS('ИТОГО Торговля'!$J$5:$J$300,'ИТОГО Торговля'!$B$5:$B$300,$B240)+SUMIFS('ИТОГО Лэндинг'!$J$5:$J$300,'ИТОГО Лэндинг'!$B$5:$B$300,$B240)+SUMIFS('История'!$J$5:$J$300,'История'!$B$5:$B$300,$B240),8)))</f>
        <v/>
      </c>
      <c r="K240" s="246">
        <f>IF($B240="","",ROUND(SUMIFS('ИТОГО Торговля'!$K$5:$K$300,'ИТОГО Торговля'!$B$5:$B$300,$B240)+SUMIFS('ИТОГО Лэндинг'!$K$5:$K$300,'ИТОГО Лэндинг'!$B$5:$B$300,$B240)+SUMIFS('История'!$K$5:$K$300,'История'!$B$5:$B$300,$B240),8))</f>
        <v/>
      </c>
      <c r="L240" s="183">
        <f>IF(K240="","",IF(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240)*((История!$C$5:$C$300+История!$F$5:$F$300-ABS(История!$C$5:$C$300-История!$F$5:$F$300))/2)*История!$D$5:$D$300))&lt;=0,0,ROUND(K240/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240)*((История!$C$5:$C$300+История!$F$5:$F$300-ABS(История!$C$5:$C$300-История!$F$5:$F$300))/2)*История!$D$5:$D$300)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IF($B241="","",IF(SUMIFS('ИТОГО Торговля'!$C$5:$C$300,'ИТОГО Торговля'!$B$5:$B$300,$B241)+SUMIFS('ИТОГО Лэндинг'!$C$5:$C$300,'ИТОГО Лэндинг'!$B$5:$B$300,$B241)+SUMIFS('История'!$C$5:$C$300,'История'!$B$5:$B$300,$B241)=0,"",SUMIFS('ИТОГО Торговля'!$C$5:$C$300,'ИТОГО Торговля'!$B$5:$B$300,$B241)+SUMIFS('ИТОГО Лэндинг'!$C$5:$C$300,'ИТОГО Лэндинг'!$B$5:$B$300,$B241)+SUMIFS('История'!$C$5:$C$300,'История'!$B$5:$B$300,$B241)))</f>
        <v/>
      </c>
      <c r="D241" s="177">
        <f>IF(C241="","",E241/C241)</f>
        <v/>
      </c>
      <c r="E241" s="241">
        <f>IF(C241="","",SUMIFS('ИТОГО Торговля'!$E$5:$E$300,'ИТОГО Торговля'!$B$5:$B$300,$B241)+SUMIFS('ИТОГО Лэндинг'!$E$5:$E$300,'ИТОГО Лэндинг'!$B$5:$B$300,$B241)+SUMIFS('История'!$E$5:$E$300,'История'!$B$5:$B$300,$B241))</f>
        <v/>
      </c>
      <c r="F241" s="240">
        <f>IF($B241="","",IF(SUMIFS('ИТОГО Торговля'!$F$5:$F$300,'ИТОГО Торговля'!$B$5:$B$300,$B241)+SUMIFS('ИТОГО Лэндинг'!$F$5:$F$300,'ИТОГО Лэндинг'!$B$5:$B$300,$B241)+SUMIFS('История'!$F$5:$F$300,'История'!$B$5:$B$300,$B241)=0,"",SUMIFS('ИТОГО Торговля'!$F$5:$F$300,'ИТОГО Торговля'!$B$5:$B$300,$B241)+SUMIFS('ИТОГО Лэндинг'!$F$5:$F$300,'ИТОГО Лэндинг'!$B$5:$B$300,$B241)+SUMIFS('История'!$F$5:$F$300,'История'!$B$5:$B$300,$B241)))</f>
        <v/>
      </c>
      <c r="G241" s="177">
        <f>IF(F241="","",H241/F241)</f>
        <v/>
      </c>
      <c r="H241" s="241">
        <f>IF(F241="","",SUMIFS('ИТОГО Торговля'!$H$5:$H$300,'ИТОГО Торговля'!$B$5:$B$300,$B241)+SUMIFS('ИТОГО Лэндинг'!$H$5:$H$300,'ИТОГО Лэндинг'!$B$5:$B$300,$B241)+SUMIFS('История'!$H$5:$H$300,'История'!$B$5:$B$300,$B241))</f>
        <v/>
      </c>
      <c r="I241" s="240">
        <f>IF($B241="","",IF(AND(C241="",F241=""),"",ROUND(SUMIFS('ИТОГО Торговля'!$I$5:$I$300,'ИТОГО Торговля'!$B$5:$B$300,$B241)+SUMIFS('ИТОГО Лэндинг'!$I$5:$I$300,'ИТОГО Лэндинг'!$B$5:$B$300,$B241)+SUMIFS('История'!$I$5:$I$300,'История'!$B$5:$B$300,$B241),8)))</f>
        <v/>
      </c>
      <c r="J241" s="241">
        <f>IF($B241="","",IF(AND(C241="",F241=""),"",ROUND(SUMIFS('ИТОГО Торговля'!$J$5:$J$300,'ИТОГО Торговля'!$B$5:$B$300,$B241)+SUMIFS('ИТОГО Лэндинг'!$J$5:$J$300,'ИТОГО Лэндинг'!$B$5:$B$300,$B241)+SUMIFS('История'!$J$5:$J$300,'История'!$B$5:$B$300,$B241),8)))</f>
        <v/>
      </c>
      <c r="K241" s="240">
        <f>IF($B241="","",ROUND(SUMIFS('ИТОГО Торговля'!$K$5:$K$300,'ИТОГО Торговля'!$B$5:$B$300,$B241)+SUMIFS('ИТОГО Лэндинг'!$K$5:$K$300,'ИТОГО Лэндинг'!$B$5:$B$300,$B241)+SUMIFS('История'!$K$5:$K$300,'История'!$B$5:$B$300,$B241),8))</f>
        <v/>
      </c>
      <c r="L241" s="177">
        <f>IF(K241="","",IF(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241)*((История!$C$5:$C$300+История!$F$5:$F$300-ABS(История!$C$5:$C$300-История!$F$5:$F$300))/2)*История!$D$5:$D$300))&lt;=0,0,ROUND(K241/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241)*((История!$C$5:$C$300+История!$F$5:$F$300-ABS(История!$C$5:$C$300-История!$F$5:$F$300))/2)*История!$D$5:$D$300)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IF($B242="","",IF(SUMIFS('ИТОГО Торговля'!$C$5:$C$300,'ИТОГО Торговля'!$B$5:$B$300,$B242)+SUMIFS('ИТОГО Лэндинг'!$C$5:$C$300,'ИТОГО Лэндинг'!$B$5:$B$300,$B242)+SUMIFS('История'!$C$5:$C$300,'История'!$B$5:$B$300,$B242)=0,"",SUMIFS('ИТОГО Торговля'!$C$5:$C$300,'ИТОГО Торговля'!$B$5:$B$300,$B242)+SUMIFS('ИТОГО Лэндинг'!$C$5:$C$300,'ИТОГО Лэндинг'!$B$5:$B$300,$B242)+SUMIFS('История'!$C$5:$C$300,'История'!$B$5:$B$300,$B242)))</f>
        <v/>
      </c>
      <c r="D242" s="183">
        <f>IF(C242="","",E242/C242)</f>
        <v/>
      </c>
      <c r="E242" s="247">
        <f>IF(C242="","",SUMIFS('ИТОГО Торговля'!$E$5:$E$300,'ИТОГО Торговля'!$B$5:$B$300,$B242)+SUMIFS('ИТОГО Лэндинг'!$E$5:$E$300,'ИТОГО Лэндинг'!$B$5:$B$300,$B242)+SUMIFS('История'!$E$5:$E$300,'История'!$B$5:$B$300,$B242))</f>
        <v/>
      </c>
      <c r="F242" s="246">
        <f>IF($B242="","",IF(SUMIFS('ИТОГО Торговля'!$F$5:$F$300,'ИТОГО Торговля'!$B$5:$B$300,$B242)+SUMIFS('ИТОГО Лэндинг'!$F$5:$F$300,'ИТОГО Лэндинг'!$B$5:$B$300,$B242)+SUMIFS('История'!$F$5:$F$300,'История'!$B$5:$B$300,$B242)=0,"",SUMIFS('ИТОГО Торговля'!$F$5:$F$300,'ИТОГО Торговля'!$B$5:$B$300,$B242)+SUMIFS('ИТОГО Лэндинг'!$F$5:$F$300,'ИТОГО Лэндинг'!$B$5:$B$300,$B242)+SUMIFS('История'!$F$5:$F$300,'История'!$B$5:$B$300,$B242)))</f>
        <v/>
      </c>
      <c r="G242" s="183">
        <f>IF(F242="","",H242/F242)</f>
        <v/>
      </c>
      <c r="H242" s="247">
        <f>IF(F242="","",SUMIFS('ИТОГО Торговля'!$H$5:$H$300,'ИТОГО Торговля'!$B$5:$B$300,$B242)+SUMIFS('ИТОГО Лэндинг'!$H$5:$H$300,'ИТОГО Лэндинг'!$B$5:$B$300,$B242)+SUMIFS('История'!$H$5:$H$300,'История'!$B$5:$B$300,$B242))</f>
        <v/>
      </c>
      <c r="I242" s="246">
        <f>IF($B242="","",IF(AND(C242="",F242=""),"",ROUND(SUMIFS('ИТОГО Торговля'!$I$5:$I$300,'ИТОГО Торговля'!$B$5:$B$300,$B242)+SUMIFS('ИТОГО Лэндинг'!$I$5:$I$300,'ИТОГО Лэндинг'!$B$5:$B$300,$B242)+SUMIFS('История'!$I$5:$I$300,'История'!$B$5:$B$300,$B242),8)))</f>
        <v/>
      </c>
      <c r="J242" s="247">
        <f>IF($B242="","",IF(AND(C242="",F242=""),"",ROUND(SUMIFS('ИТОГО Торговля'!$J$5:$J$300,'ИТОГО Торговля'!$B$5:$B$300,$B242)+SUMIFS('ИТОГО Лэндинг'!$J$5:$J$300,'ИТОГО Лэндинг'!$B$5:$B$300,$B242)+SUMIFS('История'!$J$5:$J$300,'История'!$B$5:$B$300,$B242),8)))</f>
        <v/>
      </c>
      <c r="K242" s="246">
        <f>IF($B242="","",ROUND(SUMIFS('ИТОГО Торговля'!$K$5:$K$300,'ИТОГО Торговля'!$B$5:$B$300,$B242)+SUMIFS('ИТОГО Лэндинг'!$K$5:$K$300,'ИТОГО Лэндинг'!$B$5:$B$300,$B242)+SUMIFS('История'!$K$5:$K$300,'История'!$B$5:$B$300,$B242),8))</f>
        <v/>
      </c>
      <c r="L242" s="183">
        <f>IF(K242="","",IF(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242)*((История!$C$5:$C$300+История!$F$5:$F$300-ABS(История!$C$5:$C$300-История!$F$5:$F$300))/2)*История!$D$5:$D$300))&lt;=0,0,ROUND(K242/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242)*((История!$C$5:$C$300+История!$F$5:$F$300-ABS(История!$C$5:$C$300-История!$F$5:$F$300))/2)*История!$D$5:$D$300)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IF($B243="","",IF(SUMIFS('ИТОГО Торговля'!$C$5:$C$300,'ИТОГО Торговля'!$B$5:$B$300,$B243)+SUMIFS('ИТОГО Лэндинг'!$C$5:$C$300,'ИТОГО Лэндинг'!$B$5:$B$300,$B243)+SUMIFS('История'!$C$5:$C$300,'История'!$B$5:$B$300,$B243)=0,"",SUMIFS('ИТОГО Торговля'!$C$5:$C$300,'ИТОГО Торговля'!$B$5:$B$300,$B243)+SUMIFS('ИТОГО Лэндинг'!$C$5:$C$300,'ИТОГО Лэндинг'!$B$5:$B$300,$B243)+SUMIFS('История'!$C$5:$C$300,'История'!$B$5:$B$300,$B243)))</f>
        <v/>
      </c>
      <c r="D243" s="177">
        <f>IF(C243="","",E243/C243)</f>
        <v/>
      </c>
      <c r="E243" s="241">
        <f>IF(C243="","",SUMIFS('ИТОГО Торговля'!$E$5:$E$300,'ИТОГО Торговля'!$B$5:$B$300,$B243)+SUMIFS('ИТОГО Лэндинг'!$E$5:$E$300,'ИТОГО Лэндинг'!$B$5:$B$300,$B243)+SUMIFS('История'!$E$5:$E$300,'История'!$B$5:$B$300,$B243))</f>
        <v/>
      </c>
      <c r="F243" s="240">
        <f>IF($B243="","",IF(SUMIFS('ИТОГО Торговля'!$F$5:$F$300,'ИТОГО Торговля'!$B$5:$B$300,$B243)+SUMIFS('ИТОГО Лэндинг'!$F$5:$F$300,'ИТОГО Лэндинг'!$B$5:$B$300,$B243)+SUMIFS('История'!$F$5:$F$300,'История'!$B$5:$B$300,$B243)=0,"",SUMIFS('ИТОГО Торговля'!$F$5:$F$300,'ИТОГО Торговля'!$B$5:$B$300,$B243)+SUMIFS('ИТОГО Лэндинг'!$F$5:$F$300,'ИТОГО Лэндинг'!$B$5:$B$300,$B243)+SUMIFS('История'!$F$5:$F$300,'История'!$B$5:$B$300,$B243)))</f>
        <v/>
      </c>
      <c r="G243" s="177">
        <f>IF(F243="","",H243/F243)</f>
        <v/>
      </c>
      <c r="H243" s="241">
        <f>IF(F243="","",SUMIFS('ИТОГО Торговля'!$H$5:$H$300,'ИТОГО Торговля'!$B$5:$B$300,$B243)+SUMIFS('ИТОГО Лэндинг'!$H$5:$H$300,'ИТОГО Лэндинг'!$B$5:$B$300,$B243)+SUMIFS('История'!$H$5:$H$300,'История'!$B$5:$B$300,$B243))</f>
        <v/>
      </c>
      <c r="I243" s="240">
        <f>IF($B243="","",IF(AND(C243="",F243=""),"",ROUND(SUMIFS('ИТОГО Торговля'!$I$5:$I$300,'ИТОГО Торговля'!$B$5:$B$300,$B243)+SUMIFS('ИТОГО Лэндинг'!$I$5:$I$300,'ИТОГО Лэндинг'!$B$5:$B$300,$B243)+SUMIFS('История'!$I$5:$I$300,'История'!$B$5:$B$300,$B243),8)))</f>
        <v/>
      </c>
      <c r="J243" s="241">
        <f>IF($B243="","",IF(AND(C243="",F243=""),"",ROUND(SUMIFS('ИТОГО Торговля'!$J$5:$J$300,'ИТОГО Торговля'!$B$5:$B$300,$B243)+SUMIFS('ИТОГО Лэндинг'!$J$5:$J$300,'ИТОГО Лэндинг'!$B$5:$B$300,$B243)+SUMIFS('История'!$J$5:$J$300,'История'!$B$5:$B$300,$B243),8)))</f>
        <v/>
      </c>
      <c r="K243" s="240">
        <f>IF($B243="","",ROUND(SUMIFS('ИТОГО Торговля'!$K$5:$K$300,'ИТОГО Торговля'!$B$5:$B$300,$B243)+SUMIFS('ИТОГО Лэндинг'!$K$5:$K$300,'ИТОГО Лэндинг'!$B$5:$B$300,$B243)+SUMIFS('История'!$K$5:$K$300,'История'!$B$5:$B$300,$B243),8))</f>
        <v/>
      </c>
      <c r="L243" s="177">
        <f>IF(K243="","",IF(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243)*((История!$C$5:$C$300+История!$F$5:$F$300-ABS(История!$C$5:$C$300-История!$F$5:$F$300))/2)*История!$D$5:$D$300))&lt;=0,0,ROUND(K243/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243)*((История!$C$5:$C$300+История!$F$5:$F$300-ABS(История!$C$5:$C$300-История!$F$5:$F$300))/2)*История!$D$5:$D$300)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IF($B244="","",IF(SUMIFS('ИТОГО Торговля'!$C$5:$C$300,'ИТОГО Торговля'!$B$5:$B$300,$B244)+SUMIFS('ИТОГО Лэндинг'!$C$5:$C$300,'ИТОГО Лэндинг'!$B$5:$B$300,$B244)+SUMIFS('История'!$C$5:$C$300,'История'!$B$5:$B$300,$B244)=0,"",SUMIFS('ИТОГО Торговля'!$C$5:$C$300,'ИТОГО Торговля'!$B$5:$B$300,$B244)+SUMIFS('ИТОГО Лэндинг'!$C$5:$C$300,'ИТОГО Лэндинг'!$B$5:$B$300,$B244)+SUMIFS('История'!$C$5:$C$300,'История'!$B$5:$B$300,$B244)))</f>
        <v/>
      </c>
      <c r="D244" s="183">
        <f>IF(C244="","",E244/C244)</f>
        <v/>
      </c>
      <c r="E244" s="247">
        <f>IF(C244="","",SUMIFS('ИТОГО Торговля'!$E$5:$E$300,'ИТОГО Торговля'!$B$5:$B$300,$B244)+SUMIFS('ИТОГО Лэндинг'!$E$5:$E$300,'ИТОГО Лэндинг'!$B$5:$B$300,$B244)+SUMIFS('История'!$E$5:$E$300,'История'!$B$5:$B$300,$B244))</f>
        <v/>
      </c>
      <c r="F244" s="246">
        <f>IF($B244="","",IF(SUMIFS('ИТОГО Торговля'!$F$5:$F$300,'ИТОГО Торговля'!$B$5:$B$300,$B244)+SUMIFS('ИТОГО Лэндинг'!$F$5:$F$300,'ИТОГО Лэндинг'!$B$5:$B$300,$B244)+SUMIFS('История'!$F$5:$F$300,'История'!$B$5:$B$300,$B244)=0,"",SUMIFS('ИТОГО Торговля'!$F$5:$F$300,'ИТОГО Торговля'!$B$5:$B$300,$B244)+SUMIFS('ИТОГО Лэндинг'!$F$5:$F$300,'ИТОГО Лэндинг'!$B$5:$B$300,$B244)+SUMIFS('История'!$F$5:$F$300,'История'!$B$5:$B$300,$B244)))</f>
        <v/>
      </c>
      <c r="G244" s="183">
        <f>IF(F244="","",H244/F244)</f>
        <v/>
      </c>
      <c r="H244" s="247">
        <f>IF(F244="","",SUMIFS('ИТОГО Торговля'!$H$5:$H$300,'ИТОГО Торговля'!$B$5:$B$300,$B244)+SUMIFS('ИТОГО Лэндинг'!$H$5:$H$300,'ИТОГО Лэндинг'!$B$5:$B$300,$B244)+SUMIFS('История'!$H$5:$H$300,'История'!$B$5:$B$300,$B244))</f>
        <v/>
      </c>
      <c r="I244" s="246">
        <f>IF($B244="","",IF(AND(C244="",F244=""),"",ROUND(SUMIFS('ИТОГО Торговля'!$I$5:$I$300,'ИТОГО Торговля'!$B$5:$B$300,$B244)+SUMIFS('ИТОГО Лэндинг'!$I$5:$I$300,'ИТОГО Лэндинг'!$B$5:$B$300,$B244)+SUMIFS('История'!$I$5:$I$300,'История'!$B$5:$B$300,$B244),8)))</f>
        <v/>
      </c>
      <c r="J244" s="247">
        <f>IF($B244="","",IF(AND(C244="",F244=""),"",ROUND(SUMIFS('ИТОГО Торговля'!$J$5:$J$300,'ИТОГО Торговля'!$B$5:$B$300,$B244)+SUMIFS('ИТОГО Лэндинг'!$J$5:$J$300,'ИТОГО Лэндинг'!$B$5:$B$300,$B244)+SUMIFS('История'!$J$5:$J$300,'История'!$B$5:$B$300,$B244),8)))</f>
        <v/>
      </c>
      <c r="K244" s="246">
        <f>IF($B244="","",ROUND(SUMIFS('ИТОГО Торговля'!$K$5:$K$300,'ИТОГО Торговля'!$B$5:$B$300,$B244)+SUMIFS('ИТОГО Лэндинг'!$K$5:$K$300,'ИТОГО Лэндинг'!$B$5:$B$300,$B244)+SUMIFS('История'!$K$5:$K$300,'История'!$B$5:$B$300,$B244),8))</f>
        <v/>
      </c>
      <c r="L244" s="183">
        <f>IF(K244="","",IF(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244)*((История!$C$5:$C$300+История!$F$5:$F$300-ABS(История!$C$5:$C$300-История!$F$5:$F$300))/2)*История!$D$5:$D$300))&lt;=0,0,ROUND(K244/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244)*((История!$C$5:$C$300+История!$F$5:$F$300-ABS(История!$C$5:$C$300-История!$F$5:$F$300))/2)*История!$D$5:$D$300)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IF($B245="","",IF(SUMIFS('ИТОГО Торговля'!$C$5:$C$300,'ИТОГО Торговля'!$B$5:$B$300,$B245)+SUMIFS('ИТОГО Лэндинг'!$C$5:$C$300,'ИТОГО Лэндинг'!$B$5:$B$300,$B245)+SUMIFS('История'!$C$5:$C$300,'История'!$B$5:$B$300,$B245)=0,"",SUMIFS('ИТОГО Торговля'!$C$5:$C$300,'ИТОГО Торговля'!$B$5:$B$300,$B245)+SUMIFS('ИТОГО Лэндинг'!$C$5:$C$300,'ИТОГО Лэндинг'!$B$5:$B$300,$B245)+SUMIFS('История'!$C$5:$C$300,'История'!$B$5:$B$300,$B245)))</f>
        <v/>
      </c>
      <c r="D245" s="177">
        <f>IF(C245="","",E245/C245)</f>
        <v/>
      </c>
      <c r="E245" s="241">
        <f>IF(C245="","",SUMIFS('ИТОГО Торговля'!$E$5:$E$300,'ИТОГО Торговля'!$B$5:$B$300,$B245)+SUMIFS('ИТОГО Лэндинг'!$E$5:$E$300,'ИТОГО Лэндинг'!$B$5:$B$300,$B245)+SUMIFS('История'!$E$5:$E$300,'История'!$B$5:$B$300,$B245))</f>
        <v/>
      </c>
      <c r="F245" s="240">
        <f>IF($B245="","",IF(SUMIFS('ИТОГО Торговля'!$F$5:$F$300,'ИТОГО Торговля'!$B$5:$B$300,$B245)+SUMIFS('ИТОГО Лэндинг'!$F$5:$F$300,'ИТОГО Лэндинг'!$B$5:$B$300,$B245)+SUMIFS('История'!$F$5:$F$300,'История'!$B$5:$B$300,$B245)=0,"",SUMIFS('ИТОГО Торговля'!$F$5:$F$300,'ИТОГО Торговля'!$B$5:$B$300,$B245)+SUMIFS('ИТОГО Лэндинг'!$F$5:$F$300,'ИТОГО Лэндинг'!$B$5:$B$300,$B245)+SUMIFS('История'!$F$5:$F$300,'История'!$B$5:$B$300,$B245)))</f>
        <v/>
      </c>
      <c r="G245" s="177">
        <f>IF(F245="","",H245/F245)</f>
        <v/>
      </c>
      <c r="H245" s="241">
        <f>IF(F245="","",SUMIFS('ИТОГО Торговля'!$H$5:$H$300,'ИТОГО Торговля'!$B$5:$B$300,$B245)+SUMIFS('ИТОГО Лэндинг'!$H$5:$H$300,'ИТОГО Лэндинг'!$B$5:$B$300,$B245)+SUMIFS('История'!$H$5:$H$300,'История'!$B$5:$B$300,$B245))</f>
        <v/>
      </c>
      <c r="I245" s="240">
        <f>IF($B245="","",IF(AND(C245="",F245=""),"",ROUND(SUMIFS('ИТОГО Торговля'!$I$5:$I$300,'ИТОГО Торговля'!$B$5:$B$300,$B245)+SUMIFS('ИТОГО Лэндинг'!$I$5:$I$300,'ИТОГО Лэндинг'!$B$5:$B$300,$B245)+SUMIFS('История'!$I$5:$I$300,'История'!$B$5:$B$300,$B245),8)))</f>
        <v/>
      </c>
      <c r="J245" s="241">
        <f>IF($B245="","",IF(AND(C245="",F245=""),"",ROUND(SUMIFS('ИТОГО Торговля'!$J$5:$J$300,'ИТОГО Торговля'!$B$5:$B$300,$B245)+SUMIFS('ИТОГО Лэндинг'!$J$5:$J$300,'ИТОГО Лэндинг'!$B$5:$B$300,$B245)+SUMIFS('История'!$J$5:$J$300,'История'!$B$5:$B$300,$B245),8)))</f>
        <v/>
      </c>
      <c r="K245" s="240">
        <f>IF($B245="","",ROUND(SUMIFS('ИТОГО Торговля'!$K$5:$K$300,'ИТОГО Торговля'!$B$5:$B$300,$B245)+SUMIFS('ИТОГО Лэндинг'!$K$5:$K$300,'ИТОГО Лэндинг'!$B$5:$B$300,$B245)+SUMIFS('История'!$K$5:$K$300,'История'!$B$5:$B$300,$B245),8))</f>
        <v/>
      </c>
      <c r="L245" s="177">
        <f>IF(K245="","",IF(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245)*((История!$C$5:$C$300+История!$F$5:$F$300-ABS(История!$C$5:$C$300-История!$F$5:$F$300))/2)*История!$D$5:$D$300))&lt;=0,0,ROUND(K245/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245)*((История!$C$5:$C$300+История!$F$5:$F$300-ABS(История!$C$5:$C$300-История!$F$5:$F$300))/2)*История!$D$5:$D$300)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IF($B246="","",IF(SUMIFS('ИТОГО Торговля'!$C$5:$C$300,'ИТОГО Торговля'!$B$5:$B$300,$B246)+SUMIFS('ИТОГО Лэндинг'!$C$5:$C$300,'ИТОГО Лэндинг'!$B$5:$B$300,$B246)+SUMIFS('История'!$C$5:$C$300,'История'!$B$5:$B$300,$B246)=0,"",SUMIFS('ИТОГО Торговля'!$C$5:$C$300,'ИТОГО Торговля'!$B$5:$B$300,$B246)+SUMIFS('ИТОГО Лэндинг'!$C$5:$C$300,'ИТОГО Лэндинг'!$B$5:$B$300,$B246)+SUMIFS('История'!$C$5:$C$300,'История'!$B$5:$B$300,$B246)))</f>
        <v/>
      </c>
      <c r="D246" s="183">
        <f>IF(C246="","",E246/C246)</f>
        <v/>
      </c>
      <c r="E246" s="247">
        <f>IF(C246="","",SUMIFS('ИТОГО Торговля'!$E$5:$E$300,'ИТОГО Торговля'!$B$5:$B$300,$B246)+SUMIFS('ИТОГО Лэндинг'!$E$5:$E$300,'ИТОГО Лэндинг'!$B$5:$B$300,$B246)+SUMIFS('История'!$E$5:$E$300,'История'!$B$5:$B$300,$B246))</f>
        <v/>
      </c>
      <c r="F246" s="246">
        <f>IF($B246="","",IF(SUMIFS('ИТОГО Торговля'!$F$5:$F$300,'ИТОГО Торговля'!$B$5:$B$300,$B246)+SUMIFS('ИТОГО Лэндинг'!$F$5:$F$300,'ИТОГО Лэндинг'!$B$5:$B$300,$B246)+SUMIFS('История'!$F$5:$F$300,'История'!$B$5:$B$300,$B246)=0,"",SUMIFS('ИТОГО Торговля'!$F$5:$F$300,'ИТОГО Торговля'!$B$5:$B$300,$B246)+SUMIFS('ИТОГО Лэндинг'!$F$5:$F$300,'ИТОГО Лэндинг'!$B$5:$B$300,$B246)+SUMIFS('История'!$F$5:$F$300,'История'!$B$5:$B$300,$B246)))</f>
        <v/>
      </c>
      <c r="G246" s="183">
        <f>IF(F246="","",H246/F246)</f>
        <v/>
      </c>
      <c r="H246" s="247">
        <f>IF(F246="","",SUMIFS('ИТОГО Торговля'!$H$5:$H$300,'ИТОГО Торговля'!$B$5:$B$300,$B246)+SUMIFS('ИТОГО Лэндинг'!$H$5:$H$300,'ИТОГО Лэндинг'!$B$5:$B$300,$B246)+SUMIFS('История'!$H$5:$H$300,'История'!$B$5:$B$300,$B246))</f>
        <v/>
      </c>
      <c r="I246" s="246">
        <f>IF($B246="","",IF(AND(C246="",F246=""),"",ROUND(SUMIFS('ИТОГО Торговля'!$I$5:$I$300,'ИТОГО Торговля'!$B$5:$B$300,$B246)+SUMIFS('ИТОГО Лэндинг'!$I$5:$I$300,'ИТОГО Лэндинг'!$B$5:$B$300,$B246)+SUMIFS('История'!$I$5:$I$300,'История'!$B$5:$B$300,$B246),8)))</f>
        <v/>
      </c>
      <c r="J246" s="247">
        <f>IF($B246="","",IF(AND(C246="",F246=""),"",ROUND(SUMIFS('ИТОГО Торговля'!$J$5:$J$300,'ИТОГО Торговля'!$B$5:$B$300,$B246)+SUMIFS('ИТОГО Лэндинг'!$J$5:$J$300,'ИТОГО Лэндинг'!$B$5:$B$300,$B246)+SUMIFS('История'!$J$5:$J$300,'История'!$B$5:$B$300,$B246),8)))</f>
        <v/>
      </c>
      <c r="K246" s="246">
        <f>IF($B246="","",ROUND(SUMIFS('ИТОГО Торговля'!$K$5:$K$300,'ИТОГО Торговля'!$B$5:$B$300,$B246)+SUMIFS('ИТОГО Лэндинг'!$K$5:$K$300,'ИТОГО Лэндинг'!$B$5:$B$300,$B246)+SUMIFS('История'!$K$5:$K$300,'История'!$B$5:$B$300,$B246),8))</f>
        <v/>
      </c>
      <c r="L246" s="183">
        <f>IF(K246="","",IF(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246)*((История!$C$5:$C$300+История!$F$5:$F$300-ABS(История!$C$5:$C$300-История!$F$5:$F$300))/2)*История!$D$5:$D$300))&lt;=0,0,ROUND(K246/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246)*((История!$C$5:$C$300+История!$F$5:$F$300-ABS(История!$C$5:$C$300-История!$F$5:$F$300))/2)*История!$D$5:$D$300)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IF($B247="","",IF(SUMIFS('ИТОГО Торговля'!$C$5:$C$300,'ИТОГО Торговля'!$B$5:$B$300,$B247)+SUMIFS('ИТОГО Лэндинг'!$C$5:$C$300,'ИТОГО Лэндинг'!$B$5:$B$300,$B247)+SUMIFS('История'!$C$5:$C$300,'История'!$B$5:$B$300,$B247)=0,"",SUMIFS('ИТОГО Торговля'!$C$5:$C$300,'ИТОГО Торговля'!$B$5:$B$300,$B247)+SUMIFS('ИТОГО Лэндинг'!$C$5:$C$300,'ИТОГО Лэндинг'!$B$5:$B$300,$B247)+SUMIFS('История'!$C$5:$C$300,'История'!$B$5:$B$300,$B247)))</f>
        <v/>
      </c>
      <c r="D247" s="177">
        <f>IF(C247="","",E247/C247)</f>
        <v/>
      </c>
      <c r="E247" s="241">
        <f>IF(C247="","",SUMIFS('ИТОГО Торговля'!$E$5:$E$300,'ИТОГО Торговля'!$B$5:$B$300,$B247)+SUMIFS('ИТОГО Лэндинг'!$E$5:$E$300,'ИТОГО Лэндинг'!$B$5:$B$300,$B247)+SUMIFS('История'!$E$5:$E$300,'История'!$B$5:$B$300,$B247))</f>
        <v/>
      </c>
      <c r="F247" s="240">
        <f>IF($B247="","",IF(SUMIFS('ИТОГО Торговля'!$F$5:$F$300,'ИТОГО Торговля'!$B$5:$B$300,$B247)+SUMIFS('ИТОГО Лэндинг'!$F$5:$F$300,'ИТОГО Лэндинг'!$B$5:$B$300,$B247)+SUMIFS('История'!$F$5:$F$300,'История'!$B$5:$B$300,$B247)=0,"",SUMIFS('ИТОГО Торговля'!$F$5:$F$300,'ИТОГО Торговля'!$B$5:$B$300,$B247)+SUMIFS('ИТОГО Лэндинг'!$F$5:$F$300,'ИТОГО Лэндинг'!$B$5:$B$300,$B247)+SUMIFS('История'!$F$5:$F$300,'История'!$B$5:$B$300,$B247)))</f>
        <v/>
      </c>
      <c r="G247" s="177">
        <f>IF(F247="","",H247/F247)</f>
        <v/>
      </c>
      <c r="H247" s="241">
        <f>IF(F247="","",SUMIFS('ИТОГО Торговля'!$H$5:$H$300,'ИТОГО Торговля'!$B$5:$B$300,$B247)+SUMIFS('ИТОГО Лэндинг'!$H$5:$H$300,'ИТОГО Лэндинг'!$B$5:$B$300,$B247)+SUMIFS('История'!$H$5:$H$300,'История'!$B$5:$B$300,$B247))</f>
        <v/>
      </c>
      <c r="I247" s="240">
        <f>IF($B247="","",IF(AND(C247="",F247=""),"",ROUND(SUMIFS('ИТОГО Торговля'!$I$5:$I$300,'ИТОГО Торговля'!$B$5:$B$300,$B247)+SUMIFS('ИТОГО Лэндинг'!$I$5:$I$300,'ИТОГО Лэндинг'!$B$5:$B$300,$B247)+SUMIFS('История'!$I$5:$I$300,'История'!$B$5:$B$300,$B247),8)))</f>
        <v/>
      </c>
      <c r="J247" s="241">
        <f>IF($B247="","",IF(AND(C247="",F247=""),"",ROUND(SUMIFS('ИТОГО Торговля'!$J$5:$J$300,'ИТОГО Торговля'!$B$5:$B$300,$B247)+SUMIFS('ИТОГО Лэндинг'!$J$5:$J$300,'ИТОГО Лэндинг'!$B$5:$B$300,$B247)+SUMIFS('История'!$J$5:$J$300,'История'!$B$5:$B$300,$B247),8)))</f>
        <v/>
      </c>
      <c r="K247" s="240">
        <f>IF($B247="","",ROUND(SUMIFS('ИТОГО Торговля'!$K$5:$K$300,'ИТОГО Торговля'!$B$5:$B$300,$B247)+SUMIFS('ИТОГО Лэндинг'!$K$5:$K$300,'ИТОГО Лэндинг'!$B$5:$B$300,$B247)+SUMIFS('История'!$K$5:$K$300,'История'!$B$5:$B$300,$B247),8))</f>
        <v/>
      </c>
      <c r="L247" s="177">
        <f>IF(K247="","",IF(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247)*((История!$C$5:$C$300+История!$F$5:$F$300-ABS(История!$C$5:$C$300-История!$F$5:$F$300))/2)*История!$D$5:$D$300))&lt;=0,0,ROUND(K247/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247)*((История!$C$5:$C$300+История!$F$5:$F$300-ABS(История!$C$5:$C$300-История!$F$5:$F$300))/2)*История!$D$5:$D$300)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IF($B248="","",IF(SUMIFS('ИТОГО Торговля'!$C$5:$C$300,'ИТОГО Торговля'!$B$5:$B$300,$B248)+SUMIFS('ИТОГО Лэндинг'!$C$5:$C$300,'ИТОГО Лэндинг'!$B$5:$B$300,$B248)+SUMIFS('История'!$C$5:$C$300,'История'!$B$5:$B$300,$B248)=0,"",SUMIFS('ИТОГО Торговля'!$C$5:$C$300,'ИТОГО Торговля'!$B$5:$B$300,$B248)+SUMIFS('ИТОГО Лэндинг'!$C$5:$C$300,'ИТОГО Лэндинг'!$B$5:$B$300,$B248)+SUMIFS('История'!$C$5:$C$300,'История'!$B$5:$B$300,$B248)))</f>
        <v/>
      </c>
      <c r="D248" s="183">
        <f>IF(C248="","",E248/C248)</f>
        <v/>
      </c>
      <c r="E248" s="247">
        <f>IF(C248="","",SUMIFS('ИТОГО Торговля'!$E$5:$E$300,'ИТОГО Торговля'!$B$5:$B$300,$B248)+SUMIFS('ИТОГО Лэндинг'!$E$5:$E$300,'ИТОГО Лэндинг'!$B$5:$B$300,$B248)+SUMIFS('История'!$E$5:$E$300,'История'!$B$5:$B$300,$B248))</f>
        <v/>
      </c>
      <c r="F248" s="246">
        <f>IF($B248="","",IF(SUMIFS('ИТОГО Торговля'!$F$5:$F$300,'ИТОГО Торговля'!$B$5:$B$300,$B248)+SUMIFS('ИТОГО Лэндинг'!$F$5:$F$300,'ИТОГО Лэндинг'!$B$5:$B$300,$B248)+SUMIFS('История'!$F$5:$F$300,'История'!$B$5:$B$300,$B248)=0,"",SUMIFS('ИТОГО Торговля'!$F$5:$F$300,'ИТОГО Торговля'!$B$5:$B$300,$B248)+SUMIFS('ИТОГО Лэндинг'!$F$5:$F$300,'ИТОГО Лэндинг'!$B$5:$B$300,$B248)+SUMIFS('История'!$F$5:$F$300,'История'!$B$5:$B$300,$B248)))</f>
        <v/>
      </c>
      <c r="G248" s="183">
        <f>IF(F248="","",H248/F248)</f>
        <v/>
      </c>
      <c r="H248" s="247">
        <f>IF(F248="","",SUMIFS('ИТОГО Торговля'!$H$5:$H$300,'ИТОГО Торговля'!$B$5:$B$300,$B248)+SUMIFS('ИТОГО Лэндинг'!$H$5:$H$300,'ИТОГО Лэндинг'!$B$5:$B$300,$B248)+SUMIFS('История'!$H$5:$H$300,'История'!$B$5:$B$300,$B248))</f>
        <v/>
      </c>
      <c r="I248" s="246">
        <f>IF($B248="","",IF(AND(C248="",F248=""),"",ROUND(SUMIFS('ИТОГО Торговля'!$I$5:$I$300,'ИТОГО Торговля'!$B$5:$B$300,$B248)+SUMIFS('ИТОГО Лэндинг'!$I$5:$I$300,'ИТОГО Лэндинг'!$B$5:$B$300,$B248)+SUMIFS('История'!$I$5:$I$300,'История'!$B$5:$B$300,$B248),8)))</f>
        <v/>
      </c>
      <c r="J248" s="247">
        <f>IF($B248="","",IF(AND(C248="",F248=""),"",ROUND(SUMIFS('ИТОГО Торговля'!$J$5:$J$300,'ИТОГО Торговля'!$B$5:$B$300,$B248)+SUMIFS('ИТОГО Лэндинг'!$J$5:$J$300,'ИТОГО Лэндинг'!$B$5:$B$300,$B248)+SUMIFS('История'!$J$5:$J$300,'История'!$B$5:$B$300,$B248),8)))</f>
        <v/>
      </c>
      <c r="K248" s="246">
        <f>IF($B248="","",ROUND(SUMIFS('ИТОГО Торговля'!$K$5:$K$300,'ИТОГО Торговля'!$B$5:$B$300,$B248)+SUMIFS('ИТОГО Лэндинг'!$K$5:$K$300,'ИТОГО Лэндинг'!$B$5:$B$300,$B248)+SUMIFS('История'!$K$5:$K$300,'История'!$B$5:$B$300,$B248),8))</f>
        <v/>
      </c>
      <c r="L248" s="183">
        <f>IF(K248="","",IF(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248)*((История!$C$5:$C$300+История!$F$5:$F$300-ABS(История!$C$5:$C$300-История!$F$5:$F$300))/2)*История!$D$5:$D$300))&lt;=0,0,ROUND(K248/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248)*((История!$C$5:$C$300+История!$F$5:$F$300-ABS(История!$C$5:$C$300-История!$F$5:$F$300))/2)*История!$D$5:$D$300)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IF($B249="","",IF(SUMIFS('ИТОГО Торговля'!$C$5:$C$300,'ИТОГО Торговля'!$B$5:$B$300,$B249)+SUMIFS('ИТОГО Лэндинг'!$C$5:$C$300,'ИТОГО Лэндинг'!$B$5:$B$300,$B249)+SUMIFS('История'!$C$5:$C$300,'История'!$B$5:$B$300,$B249)=0,"",SUMIFS('ИТОГО Торговля'!$C$5:$C$300,'ИТОГО Торговля'!$B$5:$B$300,$B249)+SUMIFS('ИТОГО Лэндинг'!$C$5:$C$300,'ИТОГО Лэндинг'!$B$5:$B$300,$B249)+SUMIFS('История'!$C$5:$C$300,'История'!$B$5:$B$300,$B249)))</f>
        <v/>
      </c>
      <c r="D249" s="177">
        <f>IF(C249="","",E249/C249)</f>
        <v/>
      </c>
      <c r="E249" s="241">
        <f>IF(C249="","",SUMIFS('ИТОГО Торговля'!$E$5:$E$300,'ИТОГО Торговля'!$B$5:$B$300,$B249)+SUMIFS('ИТОГО Лэндинг'!$E$5:$E$300,'ИТОГО Лэндинг'!$B$5:$B$300,$B249)+SUMIFS('История'!$E$5:$E$300,'История'!$B$5:$B$300,$B249))</f>
        <v/>
      </c>
      <c r="F249" s="240">
        <f>IF($B249="","",IF(SUMIFS('ИТОГО Торговля'!$F$5:$F$300,'ИТОГО Торговля'!$B$5:$B$300,$B249)+SUMIFS('ИТОГО Лэндинг'!$F$5:$F$300,'ИТОГО Лэндинг'!$B$5:$B$300,$B249)+SUMIFS('История'!$F$5:$F$300,'История'!$B$5:$B$300,$B249)=0,"",SUMIFS('ИТОГО Торговля'!$F$5:$F$300,'ИТОГО Торговля'!$B$5:$B$300,$B249)+SUMIFS('ИТОГО Лэндинг'!$F$5:$F$300,'ИТОГО Лэндинг'!$B$5:$B$300,$B249)+SUMIFS('История'!$F$5:$F$300,'История'!$B$5:$B$300,$B249)))</f>
        <v/>
      </c>
      <c r="G249" s="177">
        <f>IF(F249="","",H249/F249)</f>
        <v/>
      </c>
      <c r="H249" s="241">
        <f>IF(F249="","",SUMIFS('ИТОГО Торговля'!$H$5:$H$300,'ИТОГО Торговля'!$B$5:$B$300,$B249)+SUMIFS('ИТОГО Лэндинг'!$H$5:$H$300,'ИТОГО Лэндинг'!$B$5:$B$300,$B249)+SUMIFS('История'!$H$5:$H$300,'История'!$B$5:$B$300,$B249))</f>
        <v/>
      </c>
      <c r="I249" s="240">
        <f>IF($B249="","",IF(AND(C249="",F249=""),"",ROUND(SUMIFS('ИТОГО Торговля'!$I$5:$I$300,'ИТОГО Торговля'!$B$5:$B$300,$B249)+SUMIFS('ИТОГО Лэндинг'!$I$5:$I$300,'ИТОГО Лэндинг'!$B$5:$B$300,$B249)+SUMIFS('История'!$I$5:$I$300,'История'!$B$5:$B$300,$B249),8)))</f>
        <v/>
      </c>
      <c r="J249" s="241">
        <f>IF($B249="","",IF(AND(C249="",F249=""),"",ROUND(SUMIFS('ИТОГО Торговля'!$J$5:$J$300,'ИТОГО Торговля'!$B$5:$B$300,$B249)+SUMIFS('ИТОГО Лэндинг'!$J$5:$J$300,'ИТОГО Лэндинг'!$B$5:$B$300,$B249)+SUMIFS('История'!$J$5:$J$300,'История'!$B$5:$B$300,$B249),8)))</f>
        <v/>
      </c>
      <c r="K249" s="240">
        <f>IF($B249="","",ROUND(SUMIFS('ИТОГО Торговля'!$K$5:$K$300,'ИТОГО Торговля'!$B$5:$B$300,$B249)+SUMIFS('ИТОГО Лэндинг'!$K$5:$K$300,'ИТОГО Лэндинг'!$B$5:$B$300,$B249)+SUMIFS('История'!$K$5:$K$300,'История'!$B$5:$B$300,$B249),8))</f>
        <v/>
      </c>
      <c r="L249" s="177">
        <f>IF(K249="","",IF(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249)*((История!$C$5:$C$300+История!$F$5:$F$300-ABS(История!$C$5:$C$300-История!$F$5:$F$300))/2)*История!$D$5:$D$300))&lt;=0,0,ROUND(K249/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249)*((История!$C$5:$C$300+История!$F$5:$F$300-ABS(История!$C$5:$C$300-История!$F$5:$F$300))/2)*История!$D$5:$D$300)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IF($B250="","",IF(SUMIFS('ИТОГО Торговля'!$C$5:$C$300,'ИТОГО Торговля'!$B$5:$B$300,$B250)+SUMIFS('ИТОГО Лэндинг'!$C$5:$C$300,'ИТОГО Лэндинг'!$B$5:$B$300,$B250)+SUMIFS('История'!$C$5:$C$300,'История'!$B$5:$B$300,$B250)=0,"",SUMIFS('ИТОГО Торговля'!$C$5:$C$300,'ИТОГО Торговля'!$B$5:$B$300,$B250)+SUMIFS('ИТОГО Лэндинг'!$C$5:$C$300,'ИТОГО Лэндинг'!$B$5:$B$300,$B250)+SUMIFS('История'!$C$5:$C$300,'История'!$B$5:$B$300,$B250)))</f>
        <v/>
      </c>
      <c r="D250" s="183">
        <f>IF(C250="","",E250/C250)</f>
        <v/>
      </c>
      <c r="E250" s="247">
        <f>IF(C250="","",SUMIFS('ИТОГО Торговля'!$E$5:$E$300,'ИТОГО Торговля'!$B$5:$B$300,$B250)+SUMIFS('ИТОГО Лэндинг'!$E$5:$E$300,'ИТОГО Лэндинг'!$B$5:$B$300,$B250)+SUMIFS('История'!$E$5:$E$300,'История'!$B$5:$B$300,$B250))</f>
        <v/>
      </c>
      <c r="F250" s="246">
        <f>IF($B250="","",IF(SUMIFS('ИТОГО Торговля'!$F$5:$F$300,'ИТОГО Торговля'!$B$5:$B$300,$B250)+SUMIFS('ИТОГО Лэндинг'!$F$5:$F$300,'ИТОГО Лэндинг'!$B$5:$B$300,$B250)+SUMIFS('История'!$F$5:$F$300,'История'!$B$5:$B$300,$B250)=0,"",SUMIFS('ИТОГО Торговля'!$F$5:$F$300,'ИТОГО Торговля'!$B$5:$B$300,$B250)+SUMIFS('ИТОГО Лэндинг'!$F$5:$F$300,'ИТОГО Лэндинг'!$B$5:$B$300,$B250)+SUMIFS('История'!$F$5:$F$300,'История'!$B$5:$B$300,$B250)))</f>
        <v/>
      </c>
      <c r="G250" s="183">
        <f>IF(F250="","",H250/F250)</f>
        <v/>
      </c>
      <c r="H250" s="247">
        <f>IF(F250="","",SUMIFS('ИТОГО Торговля'!$H$5:$H$300,'ИТОГО Торговля'!$B$5:$B$300,$B250)+SUMIFS('ИТОГО Лэндинг'!$H$5:$H$300,'ИТОГО Лэндинг'!$B$5:$B$300,$B250)+SUMIFS('История'!$H$5:$H$300,'История'!$B$5:$B$300,$B250))</f>
        <v/>
      </c>
      <c r="I250" s="246">
        <f>IF($B250="","",IF(AND(C250="",F250=""),"",ROUND(SUMIFS('ИТОГО Торговля'!$I$5:$I$300,'ИТОГО Торговля'!$B$5:$B$300,$B250)+SUMIFS('ИТОГО Лэндинг'!$I$5:$I$300,'ИТОГО Лэндинг'!$B$5:$B$300,$B250)+SUMIFS('История'!$I$5:$I$300,'История'!$B$5:$B$300,$B250),8)))</f>
        <v/>
      </c>
      <c r="J250" s="247">
        <f>IF($B250="","",IF(AND(C250="",F250=""),"",ROUND(SUMIFS('ИТОГО Торговля'!$J$5:$J$300,'ИТОГО Торговля'!$B$5:$B$300,$B250)+SUMIFS('ИТОГО Лэндинг'!$J$5:$J$300,'ИТОГО Лэндинг'!$B$5:$B$300,$B250)+SUMIFS('История'!$J$5:$J$300,'История'!$B$5:$B$300,$B250),8)))</f>
        <v/>
      </c>
      <c r="K250" s="246">
        <f>IF($B250="","",ROUND(SUMIFS('ИТОГО Торговля'!$K$5:$K$300,'ИТОГО Торговля'!$B$5:$B$300,$B250)+SUMIFS('ИТОГО Лэндинг'!$K$5:$K$300,'ИТОГО Лэндинг'!$B$5:$B$300,$B250)+SUMIFS('История'!$K$5:$K$300,'История'!$B$5:$B$300,$B250),8))</f>
        <v/>
      </c>
      <c r="L250" s="183">
        <f>IF(K250="","",IF(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250)*((История!$C$5:$C$300+История!$F$5:$F$300-ABS(История!$C$5:$C$300-История!$F$5:$F$300))/2)*История!$D$5:$D$300))&lt;=0,0,ROUND(K250/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250)*((История!$C$5:$C$300+История!$F$5:$F$300-ABS(История!$C$5:$C$300-История!$F$5:$F$300))/2)*История!$D$5:$D$300)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IF($B251="","",IF(SUMIFS('ИТОГО Торговля'!$C$5:$C$300,'ИТОГО Торговля'!$B$5:$B$300,$B251)+SUMIFS('ИТОГО Лэндинг'!$C$5:$C$300,'ИТОГО Лэндинг'!$B$5:$B$300,$B251)+SUMIFS('История'!$C$5:$C$300,'История'!$B$5:$B$300,$B251)=0,"",SUMIFS('ИТОГО Торговля'!$C$5:$C$300,'ИТОГО Торговля'!$B$5:$B$300,$B251)+SUMIFS('ИТОГО Лэндинг'!$C$5:$C$300,'ИТОГО Лэндинг'!$B$5:$B$300,$B251)+SUMIFS('История'!$C$5:$C$300,'История'!$B$5:$B$300,$B251)))</f>
        <v/>
      </c>
      <c r="D251" s="177">
        <f>IF(C251="","",E251/C251)</f>
        <v/>
      </c>
      <c r="E251" s="241">
        <f>IF(C251="","",SUMIFS('ИТОГО Торговля'!$E$5:$E$300,'ИТОГО Торговля'!$B$5:$B$300,$B251)+SUMIFS('ИТОГО Лэндинг'!$E$5:$E$300,'ИТОГО Лэндинг'!$B$5:$B$300,$B251)+SUMIFS('История'!$E$5:$E$300,'История'!$B$5:$B$300,$B251))</f>
        <v/>
      </c>
      <c r="F251" s="240">
        <f>IF($B251="","",IF(SUMIFS('ИТОГО Торговля'!$F$5:$F$300,'ИТОГО Торговля'!$B$5:$B$300,$B251)+SUMIFS('ИТОГО Лэндинг'!$F$5:$F$300,'ИТОГО Лэндинг'!$B$5:$B$300,$B251)+SUMIFS('История'!$F$5:$F$300,'История'!$B$5:$B$300,$B251)=0,"",SUMIFS('ИТОГО Торговля'!$F$5:$F$300,'ИТОГО Торговля'!$B$5:$B$300,$B251)+SUMIFS('ИТОГО Лэндинг'!$F$5:$F$300,'ИТОГО Лэндинг'!$B$5:$B$300,$B251)+SUMIFS('История'!$F$5:$F$300,'История'!$B$5:$B$300,$B251)))</f>
        <v/>
      </c>
      <c r="G251" s="177">
        <f>IF(F251="","",H251/F251)</f>
        <v/>
      </c>
      <c r="H251" s="241">
        <f>IF(F251="","",SUMIFS('ИТОГО Торговля'!$H$5:$H$300,'ИТОГО Торговля'!$B$5:$B$300,$B251)+SUMIFS('ИТОГО Лэндинг'!$H$5:$H$300,'ИТОГО Лэндинг'!$B$5:$B$300,$B251)+SUMIFS('История'!$H$5:$H$300,'История'!$B$5:$B$300,$B251))</f>
        <v/>
      </c>
      <c r="I251" s="240">
        <f>IF($B251="","",IF(AND(C251="",F251=""),"",ROUND(SUMIFS('ИТОГО Торговля'!$I$5:$I$300,'ИТОГО Торговля'!$B$5:$B$300,$B251)+SUMIFS('ИТОГО Лэндинг'!$I$5:$I$300,'ИТОГО Лэндинг'!$B$5:$B$300,$B251)+SUMIFS('История'!$I$5:$I$300,'История'!$B$5:$B$300,$B251),8)))</f>
        <v/>
      </c>
      <c r="J251" s="241">
        <f>IF($B251="","",IF(AND(C251="",F251=""),"",ROUND(SUMIFS('ИТОГО Торговля'!$J$5:$J$300,'ИТОГО Торговля'!$B$5:$B$300,$B251)+SUMIFS('ИТОГО Лэндинг'!$J$5:$J$300,'ИТОГО Лэндинг'!$B$5:$B$300,$B251)+SUMIFS('История'!$J$5:$J$300,'История'!$B$5:$B$300,$B251),8)))</f>
        <v/>
      </c>
      <c r="K251" s="240">
        <f>IF($B251="","",ROUND(SUMIFS('ИТОГО Торговля'!$K$5:$K$300,'ИТОГО Торговля'!$B$5:$B$300,$B251)+SUMIFS('ИТОГО Лэндинг'!$K$5:$K$300,'ИТОГО Лэндинг'!$B$5:$B$300,$B251)+SUMIFS('История'!$K$5:$K$300,'История'!$B$5:$B$300,$B251),8))</f>
        <v/>
      </c>
      <c r="L251" s="177">
        <f>IF(K251="","",IF(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251)*((История!$C$5:$C$300+История!$F$5:$F$300-ABS(История!$C$5:$C$300-История!$F$5:$F$300))/2)*История!$D$5:$D$300))&lt;=0,0,ROUND(K251/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251)*((История!$C$5:$C$300+История!$F$5:$F$300-ABS(История!$C$5:$C$300-История!$F$5:$F$300))/2)*История!$D$5:$D$300)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IF($B252="","",IF(SUMIFS('ИТОГО Торговля'!$C$5:$C$300,'ИТОГО Торговля'!$B$5:$B$300,$B252)+SUMIFS('ИТОГО Лэндинг'!$C$5:$C$300,'ИТОГО Лэндинг'!$B$5:$B$300,$B252)+SUMIFS('История'!$C$5:$C$300,'История'!$B$5:$B$300,$B252)=0,"",SUMIFS('ИТОГО Торговля'!$C$5:$C$300,'ИТОГО Торговля'!$B$5:$B$300,$B252)+SUMIFS('ИТОГО Лэндинг'!$C$5:$C$300,'ИТОГО Лэндинг'!$B$5:$B$300,$B252)+SUMIFS('История'!$C$5:$C$300,'История'!$B$5:$B$300,$B252)))</f>
        <v/>
      </c>
      <c r="D252" s="183">
        <f>IF(C252="","",E252/C252)</f>
        <v/>
      </c>
      <c r="E252" s="247">
        <f>IF(C252="","",SUMIFS('ИТОГО Торговля'!$E$5:$E$300,'ИТОГО Торговля'!$B$5:$B$300,$B252)+SUMIFS('ИТОГО Лэндинг'!$E$5:$E$300,'ИТОГО Лэндинг'!$B$5:$B$300,$B252)+SUMIFS('История'!$E$5:$E$300,'История'!$B$5:$B$300,$B252))</f>
        <v/>
      </c>
      <c r="F252" s="246">
        <f>IF($B252="","",IF(SUMIFS('ИТОГО Торговля'!$F$5:$F$300,'ИТОГО Торговля'!$B$5:$B$300,$B252)+SUMIFS('ИТОГО Лэндинг'!$F$5:$F$300,'ИТОГО Лэндинг'!$B$5:$B$300,$B252)+SUMIFS('История'!$F$5:$F$300,'История'!$B$5:$B$300,$B252)=0,"",SUMIFS('ИТОГО Торговля'!$F$5:$F$300,'ИТОГО Торговля'!$B$5:$B$300,$B252)+SUMIFS('ИТОГО Лэндинг'!$F$5:$F$300,'ИТОГО Лэндинг'!$B$5:$B$300,$B252)+SUMIFS('История'!$F$5:$F$300,'История'!$B$5:$B$300,$B252)))</f>
        <v/>
      </c>
      <c r="G252" s="183">
        <f>IF(F252="","",H252/F252)</f>
        <v/>
      </c>
      <c r="H252" s="247">
        <f>IF(F252="","",SUMIFS('ИТОГО Торговля'!$H$5:$H$300,'ИТОГО Торговля'!$B$5:$B$300,$B252)+SUMIFS('ИТОГО Лэндинг'!$H$5:$H$300,'ИТОГО Лэндинг'!$B$5:$B$300,$B252)+SUMIFS('История'!$H$5:$H$300,'История'!$B$5:$B$300,$B252))</f>
        <v/>
      </c>
      <c r="I252" s="246">
        <f>IF($B252="","",IF(AND(C252="",F252=""),"",ROUND(SUMIFS('ИТОГО Торговля'!$I$5:$I$300,'ИТОГО Торговля'!$B$5:$B$300,$B252)+SUMIFS('ИТОГО Лэндинг'!$I$5:$I$300,'ИТОГО Лэндинг'!$B$5:$B$300,$B252)+SUMIFS('История'!$I$5:$I$300,'История'!$B$5:$B$300,$B252),8)))</f>
        <v/>
      </c>
      <c r="J252" s="247">
        <f>IF($B252="","",IF(AND(C252="",F252=""),"",ROUND(SUMIFS('ИТОГО Торговля'!$J$5:$J$300,'ИТОГО Торговля'!$B$5:$B$300,$B252)+SUMIFS('ИТОГО Лэндинг'!$J$5:$J$300,'ИТОГО Лэндинг'!$B$5:$B$300,$B252)+SUMIFS('История'!$J$5:$J$300,'История'!$B$5:$B$300,$B252),8)))</f>
        <v/>
      </c>
      <c r="K252" s="246">
        <f>IF($B252="","",ROUND(SUMIFS('ИТОГО Торговля'!$K$5:$K$300,'ИТОГО Торговля'!$B$5:$B$300,$B252)+SUMIFS('ИТОГО Лэндинг'!$K$5:$K$300,'ИТОГО Лэндинг'!$B$5:$B$300,$B252)+SUMIFS('История'!$K$5:$K$300,'История'!$B$5:$B$300,$B252),8))</f>
        <v/>
      </c>
      <c r="L252" s="183">
        <f>IF(K252="","",IF(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252)*((История!$C$5:$C$300+История!$F$5:$F$300-ABS(История!$C$5:$C$300-История!$F$5:$F$300))/2)*История!$D$5:$D$300))&lt;=0,0,ROUND(K252/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252)*((История!$C$5:$C$300+История!$F$5:$F$300-ABS(История!$C$5:$C$300-История!$F$5:$F$300))/2)*История!$D$5:$D$300)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IF($B253="","",IF(SUMIFS('ИТОГО Торговля'!$C$5:$C$300,'ИТОГО Торговля'!$B$5:$B$300,$B253)+SUMIFS('ИТОГО Лэндинг'!$C$5:$C$300,'ИТОГО Лэндинг'!$B$5:$B$300,$B253)+SUMIFS('История'!$C$5:$C$300,'История'!$B$5:$B$300,$B253)=0,"",SUMIFS('ИТОГО Торговля'!$C$5:$C$300,'ИТОГО Торговля'!$B$5:$B$300,$B253)+SUMIFS('ИТОГО Лэндинг'!$C$5:$C$300,'ИТОГО Лэндинг'!$B$5:$B$300,$B253)+SUMIFS('История'!$C$5:$C$300,'История'!$B$5:$B$300,$B253)))</f>
        <v/>
      </c>
      <c r="D253" s="177">
        <f>IF(C253="","",E253/C253)</f>
        <v/>
      </c>
      <c r="E253" s="241">
        <f>IF(C253="","",SUMIFS('ИТОГО Торговля'!$E$5:$E$300,'ИТОГО Торговля'!$B$5:$B$300,$B253)+SUMIFS('ИТОГО Лэндинг'!$E$5:$E$300,'ИТОГО Лэндинг'!$B$5:$B$300,$B253)+SUMIFS('История'!$E$5:$E$300,'История'!$B$5:$B$300,$B253))</f>
        <v/>
      </c>
      <c r="F253" s="240">
        <f>IF($B253="","",IF(SUMIFS('ИТОГО Торговля'!$F$5:$F$300,'ИТОГО Торговля'!$B$5:$B$300,$B253)+SUMIFS('ИТОГО Лэндинг'!$F$5:$F$300,'ИТОГО Лэндинг'!$B$5:$B$300,$B253)+SUMIFS('История'!$F$5:$F$300,'История'!$B$5:$B$300,$B253)=0,"",SUMIFS('ИТОГО Торговля'!$F$5:$F$300,'ИТОГО Торговля'!$B$5:$B$300,$B253)+SUMIFS('ИТОГО Лэндинг'!$F$5:$F$300,'ИТОГО Лэндинг'!$B$5:$B$300,$B253)+SUMIFS('История'!$F$5:$F$300,'История'!$B$5:$B$300,$B253)))</f>
        <v/>
      </c>
      <c r="G253" s="177">
        <f>IF(F253="","",H253/F253)</f>
        <v/>
      </c>
      <c r="H253" s="241">
        <f>IF(F253="","",SUMIFS('ИТОГО Торговля'!$H$5:$H$300,'ИТОГО Торговля'!$B$5:$B$300,$B253)+SUMIFS('ИТОГО Лэндинг'!$H$5:$H$300,'ИТОГО Лэндинг'!$B$5:$B$300,$B253)+SUMIFS('История'!$H$5:$H$300,'История'!$B$5:$B$300,$B253))</f>
        <v/>
      </c>
      <c r="I253" s="240">
        <f>IF($B253="","",IF(AND(C253="",F253=""),"",ROUND(SUMIFS('ИТОГО Торговля'!$I$5:$I$300,'ИТОГО Торговля'!$B$5:$B$300,$B253)+SUMIFS('ИТОГО Лэндинг'!$I$5:$I$300,'ИТОГО Лэндинг'!$B$5:$B$300,$B253)+SUMIFS('История'!$I$5:$I$300,'История'!$B$5:$B$300,$B253),8)))</f>
        <v/>
      </c>
      <c r="J253" s="241">
        <f>IF($B253="","",IF(AND(C253="",F253=""),"",ROUND(SUMIFS('ИТОГО Торговля'!$J$5:$J$300,'ИТОГО Торговля'!$B$5:$B$300,$B253)+SUMIFS('ИТОГО Лэндинг'!$J$5:$J$300,'ИТОГО Лэндинг'!$B$5:$B$300,$B253)+SUMIFS('История'!$J$5:$J$300,'История'!$B$5:$B$300,$B253),8)))</f>
        <v/>
      </c>
      <c r="K253" s="240">
        <f>IF($B253="","",ROUND(SUMIFS('ИТОГО Торговля'!$K$5:$K$300,'ИТОГО Торговля'!$B$5:$B$300,$B253)+SUMIFS('ИТОГО Лэндинг'!$K$5:$K$300,'ИТОГО Лэндинг'!$B$5:$B$300,$B253)+SUMIFS('История'!$K$5:$K$300,'История'!$B$5:$B$300,$B253),8))</f>
        <v/>
      </c>
      <c r="L253" s="177">
        <f>IF(K253="","",IF(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253)*((История!$C$5:$C$300+История!$F$5:$F$300-ABS(История!$C$5:$C$300-История!$F$5:$F$300))/2)*История!$D$5:$D$300))&lt;=0,0,ROUND(K253/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253)*((История!$C$5:$C$300+История!$F$5:$F$300-ABS(История!$C$5:$C$300-История!$F$5:$F$300))/2)*История!$D$5:$D$300)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IF($B254="","",IF(SUMIFS('ИТОГО Торговля'!$C$5:$C$300,'ИТОГО Торговля'!$B$5:$B$300,$B254)+SUMIFS('ИТОГО Лэндинг'!$C$5:$C$300,'ИТОГО Лэндинг'!$B$5:$B$300,$B254)+SUMIFS('История'!$C$5:$C$300,'История'!$B$5:$B$300,$B254)=0,"",SUMIFS('ИТОГО Торговля'!$C$5:$C$300,'ИТОГО Торговля'!$B$5:$B$300,$B254)+SUMIFS('ИТОГО Лэндинг'!$C$5:$C$300,'ИТОГО Лэндинг'!$B$5:$B$300,$B254)+SUMIFS('История'!$C$5:$C$300,'История'!$B$5:$B$300,$B254)))</f>
        <v/>
      </c>
      <c r="D254" s="183">
        <f>IF(C254="","",E254/C254)</f>
        <v/>
      </c>
      <c r="E254" s="247">
        <f>IF(C254="","",SUMIFS('ИТОГО Торговля'!$E$5:$E$300,'ИТОГО Торговля'!$B$5:$B$300,$B254)+SUMIFS('ИТОГО Лэндинг'!$E$5:$E$300,'ИТОГО Лэндинг'!$B$5:$B$300,$B254)+SUMIFS('История'!$E$5:$E$300,'История'!$B$5:$B$300,$B254))</f>
        <v/>
      </c>
      <c r="F254" s="246">
        <f>IF($B254="","",IF(SUMIFS('ИТОГО Торговля'!$F$5:$F$300,'ИТОГО Торговля'!$B$5:$B$300,$B254)+SUMIFS('ИТОГО Лэндинг'!$F$5:$F$300,'ИТОГО Лэндинг'!$B$5:$B$300,$B254)+SUMIFS('История'!$F$5:$F$300,'История'!$B$5:$B$300,$B254)=0,"",SUMIFS('ИТОГО Торговля'!$F$5:$F$300,'ИТОГО Торговля'!$B$5:$B$300,$B254)+SUMIFS('ИТОГО Лэндинг'!$F$5:$F$300,'ИТОГО Лэндинг'!$B$5:$B$300,$B254)+SUMIFS('История'!$F$5:$F$300,'История'!$B$5:$B$300,$B254)))</f>
        <v/>
      </c>
      <c r="G254" s="183">
        <f>IF(F254="","",H254/F254)</f>
        <v/>
      </c>
      <c r="H254" s="247">
        <f>IF(F254="","",SUMIFS('ИТОГО Торговля'!$H$5:$H$300,'ИТОГО Торговля'!$B$5:$B$300,$B254)+SUMIFS('ИТОГО Лэндинг'!$H$5:$H$300,'ИТОГО Лэндинг'!$B$5:$B$300,$B254)+SUMIFS('История'!$H$5:$H$300,'История'!$B$5:$B$300,$B254))</f>
        <v/>
      </c>
      <c r="I254" s="246">
        <f>IF($B254="","",IF(AND(C254="",F254=""),"",ROUND(SUMIFS('ИТОГО Торговля'!$I$5:$I$300,'ИТОГО Торговля'!$B$5:$B$300,$B254)+SUMIFS('ИТОГО Лэндинг'!$I$5:$I$300,'ИТОГО Лэндинг'!$B$5:$B$300,$B254)+SUMIFS('История'!$I$5:$I$300,'История'!$B$5:$B$300,$B254),8)))</f>
        <v/>
      </c>
      <c r="J254" s="247">
        <f>IF($B254="","",IF(AND(C254="",F254=""),"",ROUND(SUMIFS('ИТОГО Торговля'!$J$5:$J$300,'ИТОГО Торговля'!$B$5:$B$300,$B254)+SUMIFS('ИТОГО Лэндинг'!$J$5:$J$300,'ИТОГО Лэндинг'!$B$5:$B$300,$B254)+SUMIFS('История'!$J$5:$J$300,'История'!$B$5:$B$300,$B254),8)))</f>
        <v/>
      </c>
      <c r="K254" s="246">
        <f>IF($B254="","",ROUND(SUMIFS('ИТОГО Торговля'!$K$5:$K$300,'ИТОГО Торговля'!$B$5:$B$300,$B254)+SUMIFS('ИТОГО Лэндинг'!$K$5:$K$300,'ИТОГО Лэндинг'!$B$5:$B$300,$B254)+SUMIFS('История'!$K$5:$K$300,'История'!$B$5:$B$300,$B254),8))</f>
        <v/>
      </c>
      <c r="L254" s="183">
        <f>IF(K254="","",IF(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254)*((История!$C$5:$C$300+История!$F$5:$F$300-ABS(История!$C$5:$C$300-История!$F$5:$F$300))/2)*История!$D$5:$D$300))&lt;=0,0,ROUND(K254/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254)*((История!$C$5:$C$300+История!$F$5:$F$300-ABS(История!$C$5:$C$300-История!$F$5:$F$300))/2)*История!$D$5:$D$300)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IF($B255="","",IF(SUMIFS('ИТОГО Торговля'!$C$5:$C$300,'ИТОГО Торговля'!$B$5:$B$300,$B255)+SUMIFS('ИТОГО Лэндинг'!$C$5:$C$300,'ИТОГО Лэндинг'!$B$5:$B$300,$B255)+SUMIFS('История'!$C$5:$C$300,'История'!$B$5:$B$300,$B255)=0,"",SUMIFS('ИТОГО Торговля'!$C$5:$C$300,'ИТОГО Торговля'!$B$5:$B$300,$B255)+SUMIFS('ИТОГО Лэндинг'!$C$5:$C$300,'ИТОГО Лэндинг'!$B$5:$B$300,$B255)+SUMIFS('История'!$C$5:$C$300,'История'!$B$5:$B$300,$B255)))</f>
        <v/>
      </c>
      <c r="D255" s="177">
        <f>IF(C255="","",E255/C255)</f>
        <v/>
      </c>
      <c r="E255" s="241">
        <f>IF(C255="","",SUMIFS('ИТОГО Торговля'!$E$5:$E$300,'ИТОГО Торговля'!$B$5:$B$300,$B255)+SUMIFS('ИТОГО Лэндинг'!$E$5:$E$300,'ИТОГО Лэндинг'!$B$5:$B$300,$B255)+SUMIFS('История'!$E$5:$E$300,'История'!$B$5:$B$300,$B255))</f>
        <v/>
      </c>
      <c r="F255" s="240">
        <f>IF($B255="","",IF(SUMIFS('ИТОГО Торговля'!$F$5:$F$300,'ИТОГО Торговля'!$B$5:$B$300,$B255)+SUMIFS('ИТОГО Лэндинг'!$F$5:$F$300,'ИТОГО Лэндинг'!$B$5:$B$300,$B255)+SUMIFS('История'!$F$5:$F$300,'История'!$B$5:$B$300,$B255)=0,"",SUMIFS('ИТОГО Торговля'!$F$5:$F$300,'ИТОГО Торговля'!$B$5:$B$300,$B255)+SUMIFS('ИТОГО Лэндинг'!$F$5:$F$300,'ИТОГО Лэндинг'!$B$5:$B$300,$B255)+SUMIFS('История'!$F$5:$F$300,'История'!$B$5:$B$300,$B255)))</f>
        <v/>
      </c>
      <c r="G255" s="177">
        <f>IF(F255="","",H255/F255)</f>
        <v/>
      </c>
      <c r="H255" s="241">
        <f>IF(F255="","",SUMIFS('ИТОГО Торговля'!$H$5:$H$300,'ИТОГО Торговля'!$B$5:$B$300,$B255)+SUMIFS('ИТОГО Лэндинг'!$H$5:$H$300,'ИТОГО Лэндинг'!$B$5:$B$300,$B255)+SUMIFS('История'!$H$5:$H$300,'История'!$B$5:$B$300,$B255))</f>
        <v/>
      </c>
      <c r="I255" s="240">
        <f>IF($B255="","",IF(AND(C255="",F255=""),"",ROUND(SUMIFS('ИТОГО Торговля'!$I$5:$I$300,'ИТОГО Торговля'!$B$5:$B$300,$B255)+SUMIFS('ИТОГО Лэндинг'!$I$5:$I$300,'ИТОГО Лэндинг'!$B$5:$B$300,$B255)+SUMIFS('История'!$I$5:$I$300,'История'!$B$5:$B$300,$B255),8)))</f>
        <v/>
      </c>
      <c r="J255" s="241">
        <f>IF($B255="","",IF(AND(C255="",F255=""),"",ROUND(SUMIFS('ИТОГО Торговля'!$J$5:$J$300,'ИТОГО Торговля'!$B$5:$B$300,$B255)+SUMIFS('ИТОГО Лэндинг'!$J$5:$J$300,'ИТОГО Лэндинг'!$B$5:$B$300,$B255)+SUMIFS('История'!$J$5:$J$300,'История'!$B$5:$B$300,$B255),8)))</f>
        <v/>
      </c>
      <c r="K255" s="240">
        <f>IF($B255="","",ROUND(SUMIFS('ИТОГО Торговля'!$K$5:$K$300,'ИТОГО Торговля'!$B$5:$B$300,$B255)+SUMIFS('ИТОГО Лэндинг'!$K$5:$K$300,'ИТОГО Лэндинг'!$B$5:$B$300,$B255)+SUMIFS('История'!$K$5:$K$300,'История'!$B$5:$B$300,$B255),8))</f>
        <v/>
      </c>
      <c r="L255" s="177">
        <f>IF(K255="","",IF(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255)*((История!$C$5:$C$300+История!$F$5:$F$300-ABS(История!$C$5:$C$300-История!$F$5:$F$300))/2)*История!$D$5:$D$300))&lt;=0,0,ROUND(K255/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255)*((История!$C$5:$C$300+История!$F$5:$F$300-ABS(История!$C$5:$C$300-История!$F$5:$F$300))/2)*История!$D$5:$D$300)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IF($B256="","",IF(SUMIFS('ИТОГО Торговля'!$C$5:$C$300,'ИТОГО Торговля'!$B$5:$B$300,$B256)+SUMIFS('ИТОГО Лэндинг'!$C$5:$C$300,'ИТОГО Лэндинг'!$B$5:$B$300,$B256)+SUMIFS('История'!$C$5:$C$300,'История'!$B$5:$B$300,$B256)=0,"",SUMIFS('ИТОГО Торговля'!$C$5:$C$300,'ИТОГО Торговля'!$B$5:$B$300,$B256)+SUMIFS('ИТОГО Лэндинг'!$C$5:$C$300,'ИТОГО Лэндинг'!$B$5:$B$300,$B256)+SUMIFS('История'!$C$5:$C$300,'История'!$B$5:$B$300,$B256)))</f>
        <v/>
      </c>
      <c r="D256" s="183">
        <f>IF(C256="","",E256/C256)</f>
        <v/>
      </c>
      <c r="E256" s="247">
        <f>IF(C256="","",SUMIFS('ИТОГО Торговля'!$E$5:$E$300,'ИТОГО Торговля'!$B$5:$B$300,$B256)+SUMIFS('ИТОГО Лэндинг'!$E$5:$E$300,'ИТОГО Лэндинг'!$B$5:$B$300,$B256)+SUMIFS('История'!$E$5:$E$300,'История'!$B$5:$B$300,$B256))</f>
        <v/>
      </c>
      <c r="F256" s="246">
        <f>IF($B256="","",IF(SUMIFS('ИТОГО Торговля'!$F$5:$F$300,'ИТОГО Торговля'!$B$5:$B$300,$B256)+SUMIFS('ИТОГО Лэндинг'!$F$5:$F$300,'ИТОГО Лэндинг'!$B$5:$B$300,$B256)+SUMIFS('История'!$F$5:$F$300,'История'!$B$5:$B$300,$B256)=0,"",SUMIFS('ИТОГО Торговля'!$F$5:$F$300,'ИТОГО Торговля'!$B$5:$B$300,$B256)+SUMIFS('ИТОГО Лэндинг'!$F$5:$F$300,'ИТОГО Лэндинг'!$B$5:$B$300,$B256)+SUMIFS('История'!$F$5:$F$300,'История'!$B$5:$B$300,$B256)))</f>
        <v/>
      </c>
      <c r="G256" s="183">
        <f>IF(F256="","",H256/F256)</f>
        <v/>
      </c>
      <c r="H256" s="247">
        <f>IF(F256="","",SUMIFS('ИТОГО Торговля'!$H$5:$H$300,'ИТОГО Торговля'!$B$5:$B$300,$B256)+SUMIFS('ИТОГО Лэндинг'!$H$5:$H$300,'ИТОГО Лэндинг'!$B$5:$B$300,$B256)+SUMIFS('История'!$H$5:$H$300,'История'!$B$5:$B$300,$B256))</f>
        <v/>
      </c>
      <c r="I256" s="246">
        <f>IF($B256="","",IF(AND(C256="",F256=""),"",ROUND(SUMIFS('ИТОГО Торговля'!$I$5:$I$300,'ИТОГО Торговля'!$B$5:$B$300,$B256)+SUMIFS('ИТОГО Лэндинг'!$I$5:$I$300,'ИТОГО Лэндинг'!$B$5:$B$300,$B256)+SUMIFS('История'!$I$5:$I$300,'История'!$B$5:$B$300,$B256),8)))</f>
        <v/>
      </c>
      <c r="J256" s="247">
        <f>IF($B256="","",IF(AND(C256="",F256=""),"",ROUND(SUMIFS('ИТОГО Торговля'!$J$5:$J$300,'ИТОГО Торговля'!$B$5:$B$300,$B256)+SUMIFS('ИТОГО Лэндинг'!$J$5:$J$300,'ИТОГО Лэндинг'!$B$5:$B$300,$B256)+SUMIFS('История'!$J$5:$J$300,'История'!$B$5:$B$300,$B256),8)))</f>
        <v/>
      </c>
      <c r="K256" s="246">
        <f>IF($B256="","",ROUND(SUMIFS('ИТОГО Торговля'!$K$5:$K$300,'ИТОГО Торговля'!$B$5:$B$300,$B256)+SUMIFS('ИТОГО Лэндинг'!$K$5:$K$300,'ИТОГО Лэндинг'!$B$5:$B$300,$B256)+SUMIFS('История'!$K$5:$K$300,'История'!$B$5:$B$300,$B256),8))</f>
        <v/>
      </c>
      <c r="L256" s="183">
        <f>IF(K256="","",IF(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256)*((История!$C$5:$C$300+История!$F$5:$F$300-ABS(История!$C$5:$C$300-История!$F$5:$F$300))/2)*История!$D$5:$D$300))&lt;=0,0,ROUND(K256/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256)*((История!$C$5:$C$300+История!$F$5:$F$300-ABS(История!$C$5:$C$300-История!$F$5:$F$300))/2)*История!$D$5:$D$300)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IF($B257="","",IF(SUMIFS('ИТОГО Торговля'!$C$5:$C$300,'ИТОГО Торговля'!$B$5:$B$300,$B257)+SUMIFS('ИТОГО Лэндинг'!$C$5:$C$300,'ИТОГО Лэндинг'!$B$5:$B$300,$B257)+SUMIFS('История'!$C$5:$C$300,'История'!$B$5:$B$300,$B257)=0,"",SUMIFS('ИТОГО Торговля'!$C$5:$C$300,'ИТОГО Торговля'!$B$5:$B$300,$B257)+SUMIFS('ИТОГО Лэндинг'!$C$5:$C$300,'ИТОГО Лэндинг'!$B$5:$B$300,$B257)+SUMIFS('История'!$C$5:$C$300,'История'!$B$5:$B$300,$B257)))</f>
        <v/>
      </c>
      <c r="D257" s="177">
        <f>IF(C257="","",E257/C257)</f>
        <v/>
      </c>
      <c r="E257" s="241">
        <f>IF(C257="","",SUMIFS('ИТОГО Торговля'!$E$5:$E$300,'ИТОГО Торговля'!$B$5:$B$300,$B257)+SUMIFS('ИТОГО Лэндинг'!$E$5:$E$300,'ИТОГО Лэндинг'!$B$5:$B$300,$B257)+SUMIFS('История'!$E$5:$E$300,'История'!$B$5:$B$300,$B257))</f>
        <v/>
      </c>
      <c r="F257" s="240">
        <f>IF($B257="","",IF(SUMIFS('ИТОГО Торговля'!$F$5:$F$300,'ИТОГО Торговля'!$B$5:$B$300,$B257)+SUMIFS('ИТОГО Лэндинг'!$F$5:$F$300,'ИТОГО Лэндинг'!$B$5:$B$300,$B257)+SUMIFS('История'!$F$5:$F$300,'История'!$B$5:$B$300,$B257)=0,"",SUMIFS('ИТОГО Торговля'!$F$5:$F$300,'ИТОГО Торговля'!$B$5:$B$300,$B257)+SUMIFS('ИТОГО Лэндинг'!$F$5:$F$300,'ИТОГО Лэндинг'!$B$5:$B$300,$B257)+SUMIFS('История'!$F$5:$F$300,'История'!$B$5:$B$300,$B257)))</f>
        <v/>
      </c>
      <c r="G257" s="177">
        <f>IF(F257="","",H257/F257)</f>
        <v/>
      </c>
      <c r="H257" s="241">
        <f>IF(F257="","",SUMIFS('ИТОГО Торговля'!$H$5:$H$300,'ИТОГО Торговля'!$B$5:$B$300,$B257)+SUMIFS('ИТОГО Лэндинг'!$H$5:$H$300,'ИТОГО Лэндинг'!$B$5:$B$300,$B257)+SUMIFS('История'!$H$5:$H$300,'История'!$B$5:$B$300,$B257))</f>
        <v/>
      </c>
      <c r="I257" s="240">
        <f>IF($B257="","",IF(AND(C257="",F257=""),"",ROUND(SUMIFS('ИТОГО Торговля'!$I$5:$I$300,'ИТОГО Торговля'!$B$5:$B$300,$B257)+SUMIFS('ИТОГО Лэндинг'!$I$5:$I$300,'ИТОГО Лэндинг'!$B$5:$B$300,$B257)+SUMIFS('История'!$I$5:$I$300,'История'!$B$5:$B$300,$B257),8)))</f>
        <v/>
      </c>
      <c r="J257" s="241">
        <f>IF($B257="","",IF(AND(C257="",F257=""),"",ROUND(SUMIFS('ИТОГО Торговля'!$J$5:$J$300,'ИТОГО Торговля'!$B$5:$B$300,$B257)+SUMIFS('ИТОГО Лэндинг'!$J$5:$J$300,'ИТОГО Лэндинг'!$B$5:$B$300,$B257)+SUMIFS('История'!$J$5:$J$300,'История'!$B$5:$B$300,$B257),8)))</f>
        <v/>
      </c>
      <c r="K257" s="240">
        <f>IF($B257="","",ROUND(SUMIFS('ИТОГО Торговля'!$K$5:$K$300,'ИТОГО Торговля'!$B$5:$B$300,$B257)+SUMIFS('ИТОГО Лэндинг'!$K$5:$K$300,'ИТОГО Лэндинг'!$B$5:$B$300,$B257)+SUMIFS('История'!$K$5:$K$300,'История'!$B$5:$B$300,$B257),8))</f>
        <v/>
      </c>
      <c r="L257" s="177">
        <f>IF(K257="","",IF(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257)*((История!$C$5:$C$300+История!$F$5:$F$300-ABS(История!$C$5:$C$300-История!$F$5:$F$300))/2)*История!$D$5:$D$300))&lt;=0,0,ROUND(K257/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257)*((История!$C$5:$C$300+История!$F$5:$F$300-ABS(История!$C$5:$C$300-История!$F$5:$F$300))/2)*История!$D$5:$D$300)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IF($B258="","",IF(SUMIFS('ИТОГО Торговля'!$C$5:$C$300,'ИТОГО Торговля'!$B$5:$B$300,$B258)+SUMIFS('ИТОГО Лэндинг'!$C$5:$C$300,'ИТОГО Лэндинг'!$B$5:$B$300,$B258)+SUMIFS('История'!$C$5:$C$300,'История'!$B$5:$B$300,$B258)=0,"",SUMIFS('ИТОГО Торговля'!$C$5:$C$300,'ИТОГО Торговля'!$B$5:$B$300,$B258)+SUMIFS('ИТОГО Лэндинг'!$C$5:$C$300,'ИТОГО Лэндинг'!$B$5:$B$300,$B258)+SUMIFS('История'!$C$5:$C$300,'История'!$B$5:$B$300,$B258)))</f>
        <v/>
      </c>
      <c r="D258" s="183">
        <f>IF(C258="","",E258/C258)</f>
        <v/>
      </c>
      <c r="E258" s="247">
        <f>IF(C258="","",SUMIFS('ИТОГО Торговля'!$E$5:$E$300,'ИТОГО Торговля'!$B$5:$B$300,$B258)+SUMIFS('ИТОГО Лэндинг'!$E$5:$E$300,'ИТОГО Лэндинг'!$B$5:$B$300,$B258)+SUMIFS('История'!$E$5:$E$300,'История'!$B$5:$B$300,$B258))</f>
        <v/>
      </c>
      <c r="F258" s="246">
        <f>IF($B258="","",IF(SUMIFS('ИТОГО Торговля'!$F$5:$F$300,'ИТОГО Торговля'!$B$5:$B$300,$B258)+SUMIFS('ИТОГО Лэндинг'!$F$5:$F$300,'ИТОГО Лэндинг'!$B$5:$B$300,$B258)+SUMIFS('История'!$F$5:$F$300,'История'!$B$5:$B$300,$B258)=0,"",SUMIFS('ИТОГО Торговля'!$F$5:$F$300,'ИТОГО Торговля'!$B$5:$B$300,$B258)+SUMIFS('ИТОГО Лэндинг'!$F$5:$F$300,'ИТОГО Лэндинг'!$B$5:$B$300,$B258)+SUMIFS('История'!$F$5:$F$300,'История'!$B$5:$B$300,$B258)))</f>
        <v/>
      </c>
      <c r="G258" s="183">
        <f>IF(F258="","",H258/F258)</f>
        <v/>
      </c>
      <c r="H258" s="247">
        <f>IF(F258="","",SUMIFS('ИТОГО Торговля'!$H$5:$H$300,'ИТОГО Торговля'!$B$5:$B$300,$B258)+SUMIFS('ИТОГО Лэндинг'!$H$5:$H$300,'ИТОГО Лэндинг'!$B$5:$B$300,$B258)+SUMIFS('История'!$H$5:$H$300,'История'!$B$5:$B$300,$B258))</f>
        <v/>
      </c>
      <c r="I258" s="246">
        <f>IF($B258="","",IF(AND(C258="",F258=""),"",ROUND(SUMIFS('ИТОГО Торговля'!$I$5:$I$300,'ИТОГО Торговля'!$B$5:$B$300,$B258)+SUMIFS('ИТОГО Лэндинг'!$I$5:$I$300,'ИТОГО Лэндинг'!$B$5:$B$300,$B258)+SUMIFS('История'!$I$5:$I$300,'История'!$B$5:$B$300,$B258),8)))</f>
        <v/>
      </c>
      <c r="J258" s="247">
        <f>IF($B258="","",IF(AND(C258="",F258=""),"",ROUND(SUMIFS('ИТОГО Торговля'!$J$5:$J$300,'ИТОГО Торговля'!$B$5:$B$300,$B258)+SUMIFS('ИТОГО Лэндинг'!$J$5:$J$300,'ИТОГО Лэндинг'!$B$5:$B$300,$B258)+SUMIFS('История'!$J$5:$J$300,'История'!$B$5:$B$300,$B258),8)))</f>
        <v/>
      </c>
      <c r="K258" s="246">
        <f>IF($B258="","",ROUND(SUMIFS('ИТОГО Торговля'!$K$5:$K$300,'ИТОГО Торговля'!$B$5:$B$300,$B258)+SUMIFS('ИТОГО Лэндинг'!$K$5:$K$300,'ИТОГО Лэндинг'!$B$5:$B$300,$B258)+SUMIFS('История'!$K$5:$K$300,'История'!$B$5:$B$300,$B258),8))</f>
        <v/>
      </c>
      <c r="L258" s="183">
        <f>IF(K258="","",IF(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258)*((История!$C$5:$C$300+История!$F$5:$F$300-ABS(История!$C$5:$C$300-История!$F$5:$F$300))/2)*История!$D$5:$D$300))&lt;=0,0,ROUND(K258/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258)*((История!$C$5:$C$300+История!$F$5:$F$300-ABS(История!$C$5:$C$300-История!$F$5:$F$300))/2)*История!$D$5:$D$300)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IF($B259="","",IF(SUMIFS('ИТОГО Торговля'!$C$5:$C$300,'ИТОГО Торговля'!$B$5:$B$300,$B259)+SUMIFS('ИТОГО Лэндинг'!$C$5:$C$300,'ИТОГО Лэндинг'!$B$5:$B$300,$B259)+SUMIFS('История'!$C$5:$C$300,'История'!$B$5:$B$300,$B259)=0,"",SUMIFS('ИТОГО Торговля'!$C$5:$C$300,'ИТОГО Торговля'!$B$5:$B$300,$B259)+SUMIFS('ИТОГО Лэндинг'!$C$5:$C$300,'ИТОГО Лэндинг'!$B$5:$B$300,$B259)+SUMIFS('История'!$C$5:$C$300,'История'!$B$5:$B$300,$B259)))</f>
        <v/>
      </c>
      <c r="D259" s="177">
        <f>IF(C259="","",E259/C259)</f>
        <v/>
      </c>
      <c r="E259" s="241">
        <f>IF(C259="","",SUMIFS('ИТОГО Торговля'!$E$5:$E$300,'ИТОГО Торговля'!$B$5:$B$300,$B259)+SUMIFS('ИТОГО Лэндинг'!$E$5:$E$300,'ИТОГО Лэндинг'!$B$5:$B$300,$B259)+SUMIFS('История'!$E$5:$E$300,'История'!$B$5:$B$300,$B259))</f>
        <v/>
      </c>
      <c r="F259" s="240">
        <f>IF($B259="","",IF(SUMIFS('ИТОГО Торговля'!$F$5:$F$300,'ИТОГО Торговля'!$B$5:$B$300,$B259)+SUMIFS('ИТОГО Лэндинг'!$F$5:$F$300,'ИТОГО Лэндинг'!$B$5:$B$300,$B259)+SUMIFS('История'!$F$5:$F$300,'История'!$B$5:$B$300,$B259)=0,"",SUMIFS('ИТОГО Торговля'!$F$5:$F$300,'ИТОГО Торговля'!$B$5:$B$300,$B259)+SUMIFS('ИТОГО Лэндинг'!$F$5:$F$300,'ИТОГО Лэндинг'!$B$5:$B$300,$B259)+SUMIFS('История'!$F$5:$F$300,'История'!$B$5:$B$300,$B259)))</f>
        <v/>
      </c>
      <c r="G259" s="177">
        <f>IF(F259="","",H259/F259)</f>
        <v/>
      </c>
      <c r="H259" s="241">
        <f>IF(F259="","",SUMIFS('ИТОГО Торговля'!$H$5:$H$300,'ИТОГО Торговля'!$B$5:$B$300,$B259)+SUMIFS('ИТОГО Лэндинг'!$H$5:$H$300,'ИТОГО Лэндинг'!$B$5:$B$300,$B259)+SUMIFS('История'!$H$5:$H$300,'История'!$B$5:$B$300,$B259))</f>
        <v/>
      </c>
      <c r="I259" s="240">
        <f>IF($B259="","",IF(AND(C259="",F259=""),"",ROUND(SUMIFS('ИТОГО Торговля'!$I$5:$I$300,'ИТОГО Торговля'!$B$5:$B$300,$B259)+SUMIFS('ИТОГО Лэндинг'!$I$5:$I$300,'ИТОГО Лэндинг'!$B$5:$B$300,$B259)+SUMIFS('История'!$I$5:$I$300,'История'!$B$5:$B$300,$B259),8)))</f>
        <v/>
      </c>
      <c r="J259" s="241">
        <f>IF($B259="","",IF(AND(C259="",F259=""),"",ROUND(SUMIFS('ИТОГО Торговля'!$J$5:$J$300,'ИТОГО Торговля'!$B$5:$B$300,$B259)+SUMIFS('ИТОГО Лэндинг'!$J$5:$J$300,'ИТОГО Лэндинг'!$B$5:$B$300,$B259)+SUMIFS('История'!$J$5:$J$300,'История'!$B$5:$B$300,$B259),8)))</f>
        <v/>
      </c>
      <c r="K259" s="240">
        <f>IF($B259="","",ROUND(SUMIFS('ИТОГО Торговля'!$K$5:$K$300,'ИТОГО Торговля'!$B$5:$B$300,$B259)+SUMIFS('ИТОГО Лэндинг'!$K$5:$K$300,'ИТОГО Лэндинг'!$B$5:$B$300,$B259)+SUMIFS('История'!$K$5:$K$300,'История'!$B$5:$B$300,$B259),8))</f>
        <v/>
      </c>
      <c r="L259" s="177">
        <f>IF(K259="","",IF(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259)*((История!$C$5:$C$300+История!$F$5:$F$300-ABS(История!$C$5:$C$300-История!$F$5:$F$300))/2)*История!$D$5:$D$300))&lt;=0,0,ROUND(K259/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259)*((История!$C$5:$C$300+История!$F$5:$F$300-ABS(История!$C$5:$C$300-История!$F$5:$F$300))/2)*История!$D$5:$D$300)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IF($B260="","",IF(SUMIFS('ИТОГО Торговля'!$C$5:$C$300,'ИТОГО Торговля'!$B$5:$B$300,$B260)+SUMIFS('ИТОГО Лэндинг'!$C$5:$C$300,'ИТОГО Лэндинг'!$B$5:$B$300,$B260)+SUMIFS('История'!$C$5:$C$300,'История'!$B$5:$B$300,$B260)=0,"",SUMIFS('ИТОГО Торговля'!$C$5:$C$300,'ИТОГО Торговля'!$B$5:$B$300,$B260)+SUMIFS('ИТОГО Лэндинг'!$C$5:$C$300,'ИТОГО Лэндинг'!$B$5:$B$300,$B260)+SUMIFS('История'!$C$5:$C$300,'История'!$B$5:$B$300,$B260)))</f>
        <v/>
      </c>
      <c r="D260" s="183">
        <f>IF(C260="","",E260/C260)</f>
        <v/>
      </c>
      <c r="E260" s="247">
        <f>IF(C260="","",SUMIFS('ИТОГО Торговля'!$E$5:$E$300,'ИТОГО Торговля'!$B$5:$B$300,$B260)+SUMIFS('ИТОГО Лэндинг'!$E$5:$E$300,'ИТОГО Лэндинг'!$B$5:$B$300,$B260)+SUMIFS('История'!$E$5:$E$300,'История'!$B$5:$B$300,$B260))</f>
        <v/>
      </c>
      <c r="F260" s="246">
        <f>IF($B260="","",IF(SUMIFS('ИТОГО Торговля'!$F$5:$F$300,'ИТОГО Торговля'!$B$5:$B$300,$B260)+SUMIFS('ИТОГО Лэндинг'!$F$5:$F$300,'ИТОГО Лэндинг'!$B$5:$B$300,$B260)+SUMIFS('История'!$F$5:$F$300,'История'!$B$5:$B$300,$B260)=0,"",SUMIFS('ИТОГО Торговля'!$F$5:$F$300,'ИТОГО Торговля'!$B$5:$B$300,$B260)+SUMIFS('ИТОГО Лэндинг'!$F$5:$F$300,'ИТОГО Лэндинг'!$B$5:$B$300,$B260)+SUMIFS('История'!$F$5:$F$300,'История'!$B$5:$B$300,$B260)))</f>
        <v/>
      </c>
      <c r="G260" s="183">
        <f>IF(F260="","",H260/F260)</f>
        <v/>
      </c>
      <c r="H260" s="247">
        <f>IF(F260="","",SUMIFS('ИТОГО Торговля'!$H$5:$H$300,'ИТОГО Торговля'!$B$5:$B$300,$B260)+SUMIFS('ИТОГО Лэндинг'!$H$5:$H$300,'ИТОГО Лэндинг'!$B$5:$B$300,$B260)+SUMIFS('История'!$H$5:$H$300,'История'!$B$5:$B$300,$B260))</f>
        <v/>
      </c>
      <c r="I260" s="246">
        <f>IF($B260="","",IF(AND(C260="",F260=""),"",ROUND(SUMIFS('ИТОГО Торговля'!$I$5:$I$300,'ИТОГО Торговля'!$B$5:$B$300,$B260)+SUMIFS('ИТОГО Лэндинг'!$I$5:$I$300,'ИТОГО Лэндинг'!$B$5:$B$300,$B260)+SUMIFS('История'!$I$5:$I$300,'История'!$B$5:$B$300,$B260),8)))</f>
        <v/>
      </c>
      <c r="J260" s="247">
        <f>IF($B260="","",IF(AND(C260="",F260=""),"",ROUND(SUMIFS('ИТОГО Торговля'!$J$5:$J$300,'ИТОГО Торговля'!$B$5:$B$300,$B260)+SUMIFS('ИТОГО Лэндинг'!$J$5:$J$300,'ИТОГО Лэндинг'!$B$5:$B$300,$B260)+SUMIFS('История'!$J$5:$J$300,'История'!$B$5:$B$300,$B260),8)))</f>
        <v/>
      </c>
      <c r="K260" s="246">
        <f>IF($B260="","",ROUND(SUMIFS('ИТОГО Торговля'!$K$5:$K$300,'ИТОГО Торговля'!$B$5:$B$300,$B260)+SUMIFS('ИТОГО Лэндинг'!$K$5:$K$300,'ИТОГО Лэндинг'!$B$5:$B$300,$B260)+SUMIFS('История'!$K$5:$K$300,'История'!$B$5:$B$300,$B260),8))</f>
        <v/>
      </c>
      <c r="L260" s="183">
        <f>IF(K260="","",IF(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260)*((История!$C$5:$C$300+История!$F$5:$F$300-ABS(История!$C$5:$C$300-История!$F$5:$F$300))/2)*История!$D$5:$D$300))&lt;=0,0,ROUND(K260/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260)*((История!$C$5:$C$300+История!$F$5:$F$300-ABS(История!$C$5:$C$300-История!$F$5:$F$300))/2)*История!$D$5:$D$300)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IF($B261="","",IF(SUMIFS('ИТОГО Торговля'!$C$5:$C$300,'ИТОГО Торговля'!$B$5:$B$300,$B261)+SUMIFS('ИТОГО Лэндинг'!$C$5:$C$300,'ИТОГО Лэндинг'!$B$5:$B$300,$B261)+SUMIFS('История'!$C$5:$C$300,'История'!$B$5:$B$300,$B261)=0,"",SUMIFS('ИТОГО Торговля'!$C$5:$C$300,'ИТОГО Торговля'!$B$5:$B$300,$B261)+SUMIFS('ИТОГО Лэндинг'!$C$5:$C$300,'ИТОГО Лэндинг'!$B$5:$B$300,$B261)+SUMIFS('История'!$C$5:$C$300,'История'!$B$5:$B$300,$B261)))</f>
        <v/>
      </c>
      <c r="D261" s="177">
        <f>IF(C261="","",E261/C261)</f>
        <v/>
      </c>
      <c r="E261" s="241">
        <f>IF(C261="","",SUMIFS('ИТОГО Торговля'!$E$5:$E$300,'ИТОГО Торговля'!$B$5:$B$300,$B261)+SUMIFS('ИТОГО Лэндинг'!$E$5:$E$300,'ИТОГО Лэндинг'!$B$5:$B$300,$B261)+SUMIFS('История'!$E$5:$E$300,'История'!$B$5:$B$300,$B261))</f>
        <v/>
      </c>
      <c r="F261" s="240">
        <f>IF($B261="","",IF(SUMIFS('ИТОГО Торговля'!$F$5:$F$300,'ИТОГО Торговля'!$B$5:$B$300,$B261)+SUMIFS('ИТОГО Лэндинг'!$F$5:$F$300,'ИТОГО Лэндинг'!$B$5:$B$300,$B261)+SUMIFS('История'!$F$5:$F$300,'История'!$B$5:$B$300,$B261)=0,"",SUMIFS('ИТОГО Торговля'!$F$5:$F$300,'ИТОГО Торговля'!$B$5:$B$300,$B261)+SUMIFS('ИТОГО Лэндинг'!$F$5:$F$300,'ИТОГО Лэндинг'!$B$5:$B$300,$B261)+SUMIFS('История'!$F$5:$F$300,'История'!$B$5:$B$300,$B261)))</f>
        <v/>
      </c>
      <c r="G261" s="177">
        <f>IF(F261="","",H261/F261)</f>
        <v/>
      </c>
      <c r="H261" s="241">
        <f>IF(F261="","",SUMIFS('ИТОГО Торговля'!$H$5:$H$300,'ИТОГО Торговля'!$B$5:$B$300,$B261)+SUMIFS('ИТОГО Лэндинг'!$H$5:$H$300,'ИТОГО Лэндинг'!$B$5:$B$300,$B261)+SUMIFS('История'!$H$5:$H$300,'История'!$B$5:$B$300,$B261))</f>
        <v/>
      </c>
      <c r="I261" s="240">
        <f>IF($B261="","",IF(AND(C261="",F261=""),"",ROUND(SUMIFS('ИТОГО Торговля'!$I$5:$I$300,'ИТОГО Торговля'!$B$5:$B$300,$B261)+SUMIFS('ИТОГО Лэндинг'!$I$5:$I$300,'ИТОГО Лэндинг'!$B$5:$B$300,$B261)+SUMIFS('История'!$I$5:$I$300,'История'!$B$5:$B$300,$B261),8)))</f>
        <v/>
      </c>
      <c r="J261" s="241">
        <f>IF($B261="","",IF(AND(C261="",F261=""),"",ROUND(SUMIFS('ИТОГО Торговля'!$J$5:$J$300,'ИТОГО Торговля'!$B$5:$B$300,$B261)+SUMIFS('ИТОГО Лэндинг'!$J$5:$J$300,'ИТОГО Лэндинг'!$B$5:$B$300,$B261)+SUMIFS('История'!$J$5:$J$300,'История'!$B$5:$B$300,$B261),8)))</f>
        <v/>
      </c>
      <c r="K261" s="240">
        <f>IF($B261="","",ROUND(SUMIFS('ИТОГО Торговля'!$K$5:$K$300,'ИТОГО Торговля'!$B$5:$B$300,$B261)+SUMIFS('ИТОГО Лэндинг'!$K$5:$K$300,'ИТОГО Лэндинг'!$B$5:$B$300,$B261)+SUMIFS('История'!$K$5:$K$300,'История'!$B$5:$B$300,$B261),8))</f>
        <v/>
      </c>
      <c r="L261" s="177">
        <f>IF(K261="","",IF(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261)*((История!$C$5:$C$300+История!$F$5:$F$300-ABS(История!$C$5:$C$300-История!$F$5:$F$300))/2)*История!$D$5:$D$300))&lt;=0,0,ROUND(K261/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261)*((История!$C$5:$C$300+История!$F$5:$F$300-ABS(История!$C$5:$C$300-История!$F$5:$F$300))/2)*История!$D$5:$D$300)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IF($B262="","",IF(SUMIFS('ИТОГО Торговля'!$C$5:$C$300,'ИТОГО Торговля'!$B$5:$B$300,$B262)+SUMIFS('ИТОГО Лэндинг'!$C$5:$C$300,'ИТОГО Лэндинг'!$B$5:$B$300,$B262)+SUMIFS('История'!$C$5:$C$300,'История'!$B$5:$B$300,$B262)=0,"",SUMIFS('ИТОГО Торговля'!$C$5:$C$300,'ИТОГО Торговля'!$B$5:$B$300,$B262)+SUMIFS('ИТОГО Лэндинг'!$C$5:$C$300,'ИТОГО Лэндинг'!$B$5:$B$300,$B262)+SUMIFS('История'!$C$5:$C$300,'История'!$B$5:$B$300,$B262)))</f>
        <v/>
      </c>
      <c r="D262" s="183">
        <f>IF(C262="","",E262/C262)</f>
        <v/>
      </c>
      <c r="E262" s="247">
        <f>IF(C262="","",SUMIFS('ИТОГО Торговля'!$E$5:$E$300,'ИТОГО Торговля'!$B$5:$B$300,$B262)+SUMIFS('ИТОГО Лэндинг'!$E$5:$E$300,'ИТОГО Лэндинг'!$B$5:$B$300,$B262)+SUMIFS('История'!$E$5:$E$300,'История'!$B$5:$B$300,$B262))</f>
        <v/>
      </c>
      <c r="F262" s="246">
        <f>IF($B262="","",IF(SUMIFS('ИТОГО Торговля'!$F$5:$F$300,'ИТОГО Торговля'!$B$5:$B$300,$B262)+SUMIFS('ИТОГО Лэндинг'!$F$5:$F$300,'ИТОГО Лэндинг'!$B$5:$B$300,$B262)+SUMIFS('История'!$F$5:$F$300,'История'!$B$5:$B$300,$B262)=0,"",SUMIFS('ИТОГО Торговля'!$F$5:$F$300,'ИТОГО Торговля'!$B$5:$B$300,$B262)+SUMIFS('ИТОГО Лэндинг'!$F$5:$F$300,'ИТОГО Лэндинг'!$B$5:$B$300,$B262)+SUMIFS('История'!$F$5:$F$300,'История'!$B$5:$B$300,$B262)))</f>
        <v/>
      </c>
      <c r="G262" s="183">
        <f>IF(F262="","",H262/F262)</f>
        <v/>
      </c>
      <c r="H262" s="247">
        <f>IF(F262="","",SUMIFS('ИТОГО Торговля'!$H$5:$H$300,'ИТОГО Торговля'!$B$5:$B$300,$B262)+SUMIFS('ИТОГО Лэндинг'!$H$5:$H$300,'ИТОГО Лэндинг'!$B$5:$B$300,$B262)+SUMIFS('История'!$H$5:$H$300,'История'!$B$5:$B$300,$B262))</f>
        <v/>
      </c>
      <c r="I262" s="246">
        <f>IF($B262="","",IF(AND(C262="",F262=""),"",ROUND(SUMIFS('ИТОГО Торговля'!$I$5:$I$300,'ИТОГО Торговля'!$B$5:$B$300,$B262)+SUMIFS('ИТОГО Лэндинг'!$I$5:$I$300,'ИТОГО Лэндинг'!$B$5:$B$300,$B262)+SUMIFS('История'!$I$5:$I$300,'История'!$B$5:$B$300,$B262),8)))</f>
        <v/>
      </c>
      <c r="J262" s="247">
        <f>IF($B262="","",IF(AND(C262="",F262=""),"",ROUND(SUMIFS('ИТОГО Торговля'!$J$5:$J$300,'ИТОГО Торговля'!$B$5:$B$300,$B262)+SUMIFS('ИТОГО Лэндинг'!$J$5:$J$300,'ИТОГО Лэндинг'!$B$5:$B$300,$B262)+SUMIFS('История'!$J$5:$J$300,'История'!$B$5:$B$300,$B262),8)))</f>
        <v/>
      </c>
      <c r="K262" s="246">
        <f>IF($B262="","",ROUND(SUMIFS('ИТОГО Торговля'!$K$5:$K$300,'ИТОГО Торговля'!$B$5:$B$300,$B262)+SUMIFS('ИТОГО Лэндинг'!$K$5:$K$300,'ИТОГО Лэндинг'!$B$5:$B$300,$B262)+SUMIFS('История'!$K$5:$K$300,'История'!$B$5:$B$300,$B262),8))</f>
        <v/>
      </c>
      <c r="L262" s="183">
        <f>IF(K262="","",IF(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262)*((История!$C$5:$C$300+История!$F$5:$F$300-ABS(История!$C$5:$C$300-История!$F$5:$F$300))/2)*История!$D$5:$D$300))&lt;=0,0,ROUND(K262/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262)*((История!$C$5:$C$300+История!$F$5:$F$300-ABS(История!$C$5:$C$300-История!$F$5:$F$300))/2)*История!$D$5:$D$300)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IF($B263="","",IF(SUMIFS('ИТОГО Торговля'!$C$5:$C$300,'ИТОГО Торговля'!$B$5:$B$300,$B263)+SUMIFS('ИТОГО Лэндинг'!$C$5:$C$300,'ИТОГО Лэндинг'!$B$5:$B$300,$B263)+SUMIFS('История'!$C$5:$C$300,'История'!$B$5:$B$300,$B263)=0,"",SUMIFS('ИТОГО Торговля'!$C$5:$C$300,'ИТОГО Торговля'!$B$5:$B$300,$B263)+SUMIFS('ИТОГО Лэндинг'!$C$5:$C$300,'ИТОГО Лэндинг'!$B$5:$B$300,$B263)+SUMIFS('История'!$C$5:$C$300,'История'!$B$5:$B$300,$B263)))</f>
        <v/>
      </c>
      <c r="D263" s="177">
        <f>IF(C263="","",E263/C263)</f>
        <v/>
      </c>
      <c r="E263" s="241">
        <f>IF(C263="","",SUMIFS('ИТОГО Торговля'!$E$5:$E$300,'ИТОГО Торговля'!$B$5:$B$300,$B263)+SUMIFS('ИТОГО Лэндинг'!$E$5:$E$300,'ИТОГО Лэндинг'!$B$5:$B$300,$B263)+SUMIFS('История'!$E$5:$E$300,'История'!$B$5:$B$300,$B263))</f>
        <v/>
      </c>
      <c r="F263" s="240">
        <f>IF($B263="","",IF(SUMIFS('ИТОГО Торговля'!$F$5:$F$300,'ИТОГО Торговля'!$B$5:$B$300,$B263)+SUMIFS('ИТОГО Лэндинг'!$F$5:$F$300,'ИТОГО Лэндинг'!$B$5:$B$300,$B263)+SUMIFS('История'!$F$5:$F$300,'История'!$B$5:$B$300,$B263)=0,"",SUMIFS('ИТОГО Торговля'!$F$5:$F$300,'ИТОГО Торговля'!$B$5:$B$300,$B263)+SUMIFS('ИТОГО Лэндинг'!$F$5:$F$300,'ИТОГО Лэндинг'!$B$5:$B$300,$B263)+SUMIFS('История'!$F$5:$F$300,'История'!$B$5:$B$300,$B263)))</f>
        <v/>
      </c>
      <c r="G263" s="177">
        <f>IF(F263="","",H263/F263)</f>
        <v/>
      </c>
      <c r="H263" s="241">
        <f>IF(F263="","",SUMIFS('ИТОГО Торговля'!$H$5:$H$300,'ИТОГО Торговля'!$B$5:$B$300,$B263)+SUMIFS('ИТОГО Лэндинг'!$H$5:$H$300,'ИТОГО Лэндинг'!$B$5:$B$300,$B263)+SUMIFS('История'!$H$5:$H$300,'История'!$B$5:$B$300,$B263))</f>
        <v/>
      </c>
      <c r="I263" s="240">
        <f>IF($B263="","",IF(AND(C263="",F263=""),"",ROUND(SUMIFS('ИТОГО Торговля'!$I$5:$I$300,'ИТОГО Торговля'!$B$5:$B$300,$B263)+SUMIFS('ИТОГО Лэндинг'!$I$5:$I$300,'ИТОГО Лэндинг'!$B$5:$B$300,$B263)+SUMIFS('История'!$I$5:$I$300,'История'!$B$5:$B$300,$B263),8)))</f>
        <v/>
      </c>
      <c r="J263" s="241">
        <f>IF($B263="","",IF(AND(C263="",F263=""),"",ROUND(SUMIFS('ИТОГО Торговля'!$J$5:$J$300,'ИТОГО Торговля'!$B$5:$B$300,$B263)+SUMIFS('ИТОГО Лэндинг'!$J$5:$J$300,'ИТОГО Лэндинг'!$B$5:$B$300,$B263)+SUMIFS('История'!$J$5:$J$300,'История'!$B$5:$B$300,$B263),8)))</f>
        <v/>
      </c>
      <c r="K263" s="240">
        <f>IF($B263="","",ROUND(SUMIFS('ИТОГО Торговля'!$K$5:$K$300,'ИТОГО Торговля'!$B$5:$B$300,$B263)+SUMIFS('ИТОГО Лэндинг'!$K$5:$K$300,'ИТОГО Лэндинг'!$B$5:$B$300,$B263)+SUMIFS('История'!$K$5:$K$300,'История'!$B$5:$B$300,$B263),8))</f>
        <v/>
      </c>
      <c r="L263" s="177">
        <f>IF(K263="","",IF(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263)*((История!$C$5:$C$300+История!$F$5:$F$300-ABS(История!$C$5:$C$300-История!$F$5:$F$300))/2)*История!$D$5:$D$300))&lt;=0,0,ROUND(K263/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263)*((История!$C$5:$C$300+История!$F$5:$F$300-ABS(История!$C$5:$C$300-История!$F$5:$F$300))/2)*История!$D$5:$D$300)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IF($B264="","",IF(SUMIFS('ИТОГО Торговля'!$C$5:$C$300,'ИТОГО Торговля'!$B$5:$B$300,$B264)+SUMIFS('ИТОГО Лэндинг'!$C$5:$C$300,'ИТОГО Лэндинг'!$B$5:$B$300,$B264)+SUMIFS('История'!$C$5:$C$300,'История'!$B$5:$B$300,$B264)=0,"",SUMIFS('ИТОГО Торговля'!$C$5:$C$300,'ИТОГО Торговля'!$B$5:$B$300,$B264)+SUMIFS('ИТОГО Лэндинг'!$C$5:$C$300,'ИТОГО Лэндинг'!$B$5:$B$300,$B264)+SUMIFS('История'!$C$5:$C$300,'История'!$B$5:$B$300,$B264)))</f>
        <v/>
      </c>
      <c r="D264" s="183">
        <f>IF(C264="","",E264/C264)</f>
        <v/>
      </c>
      <c r="E264" s="247">
        <f>IF(C264="","",SUMIFS('ИТОГО Торговля'!$E$5:$E$300,'ИТОГО Торговля'!$B$5:$B$300,$B264)+SUMIFS('ИТОГО Лэндинг'!$E$5:$E$300,'ИТОГО Лэндинг'!$B$5:$B$300,$B264)+SUMIFS('История'!$E$5:$E$300,'История'!$B$5:$B$300,$B264))</f>
        <v/>
      </c>
      <c r="F264" s="246">
        <f>IF($B264="","",IF(SUMIFS('ИТОГО Торговля'!$F$5:$F$300,'ИТОГО Торговля'!$B$5:$B$300,$B264)+SUMIFS('ИТОГО Лэндинг'!$F$5:$F$300,'ИТОГО Лэндинг'!$B$5:$B$300,$B264)+SUMIFS('История'!$F$5:$F$300,'История'!$B$5:$B$300,$B264)=0,"",SUMIFS('ИТОГО Торговля'!$F$5:$F$300,'ИТОГО Торговля'!$B$5:$B$300,$B264)+SUMIFS('ИТОГО Лэндинг'!$F$5:$F$300,'ИТОГО Лэндинг'!$B$5:$B$300,$B264)+SUMIFS('История'!$F$5:$F$300,'История'!$B$5:$B$300,$B264)))</f>
        <v/>
      </c>
      <c r="G264" s="183">
        <f>IF(F264="","",H264/F264)</f>
        <v/>
      </c>
      <c r="H264" s="247">
        <f>IF(F264="","",SUMIFS('ИТОГО Торговля'!$H$5:$H$300,'ИТОГО Торговля'!$B$5:$B$300,$B264)+SUMIFS('ИТОГО Лэндинг'!$H$5:$H$300,'ИТОГО Лэндинг'!$B$5:$B$300,$B264)+SUMIFS('История'!$H$5:$H$300,'История'!$B$5:$B$300,$B264))</f>
        <v/>
      </c>
      <c r="I264" s="246">
        <f>IF($B264="","",IF(AND(C264="",F264=""),"",ROUND(SUMIFS('ИТОГО Торговля'!$I$5:$I$300,'ИТОГО Торговля'!$B$5:$B$300,$B264)+SUMIFS('ИТОГО Лэндинг'!$I$5:$I$300,'ИТОГО Лэндинг'!$B$5:$B$300,$B264)+SUMIFS('История'!$I$5:$I$300,'История'!$B$5:$B$300,$B264),8)))</f>
        <v/>
      </c>
      <c r="J264" s="247">
        <f>IF($B264="","",IF(AND(C264="",F264=""),"",ROUND(SUMIFS('ИТОГО Торговля'!$J$5:$J$300,'ИТОГО Торговля'!$B$5:$B$300,$B264)+SUMIFS('ИТОГО Лэндинг'!$J$5:$J$300,'ИТОГО Лэндинг'!$B$5:$B$300,$B264)+SUMIFS('История'!$J$5:$J$300,'История'!$B$5:$B$300,$B264),8)))</f>
        <v/>
      </c>
      <c r="K264" s="246">
        <f>IF($B264="","",ROUND(SUMIFS('ИТОГО Торговля'!$K$5:$K$300,'ИТОГО Торговля'!$B$5:$B$300,$B264)+SUMIFS('ИТОГО Лэндинг'!$K$5:$K$300,'ИТОГО Лэндинг'!$B$5:$B$300,$B264)+SUMIFS('История'!$K$5:$K$300,'История'!$B$5:$B$300,$B264),8))</f>
        <v/>
      </c>
      <c r="L264" s="183">
        <f>IF(K264="","",IF(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264)*((История!$C$5:$C$300+История!$F$5:$F$300-ABS(История!$C$5:$C$300-История!$F$5:$F$300))/2)*История!$D$5:$D$300))&lt;=0,0,ROUND(K264/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264)*((История!$C$5:$C$300+История!$F$5:$F$300-ABS(История!$C$5:$C$300-История!$F$5:$F$300))/2)*История!$D$5:$D$300)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IF($B265="","",IF(SUMIFS('ИТОГО Торговля'!$C$5:$C$300,'ИТОГО Торговля'!$B$5:$B$300,$B265)+SUMIFS('ИТОГО Лэндинг'!$C$5:$C$300,'ИТОГО Лэндинг'!$B$5:$B$300,$B265)+SUMIFS('История'!$C$5:$C$300,'История'!$B$5:$B$300,$B265)=0,"",SUMIFS('ИТОГО Торговля'!$C$5:$C$300,'ИТОГО Торговля'!$B$5:$B$300,$B265)+SUMIFS('ИТОГО Лэндинг'!$C$5:$C$300,'ИТОГО Лэндинг'!$B$5:$B$300,$B265)+SUMIFS('История'!$C$5:$C$300,'История'!$B$5:$B$300,$B265)))</f>
        <v/>
      </c>
      <c r="D265" s="177">
        <f>IF(C265="","",E265/C265)</f>
        <v/>
      </c>
      <c r="E265" s="241">
        <f>IF(C265="","",SUMIFS('ИТОГО Торговля'!$E$5:$E$300,'ИТОГО Торговля'!$B$5:$B$300,$B265)+SUMIFS('ИТОГО Лэндинг'!$E$5:$E$300,'ИТОГО Лэндинг'!$B$5:$B$300,$B265)+SUMIFS('История'!$E$5:$E$300,'История'!$B$5:$B$300,$B265))</f>
        <v/>
      </c>
      <c r="F265" s="240">
        <f>IF($B265="","",IF(SUMIFS('ИТОГО Торговля'!$F$5:$F$300,'ИТОГО Торговля'!$B$5:$B$300,$B265)+SUMIFS('ИТОГО Лэндинг'!$F$5:$F$300,'ИТОГО Лэндинг'!$B$5:$B$300,$B265)+SUMIFS('История'!$F$5:$F$300,'История'!$B$5:$B$300,$B265)=0,"",SUMIFS('ИТОГО Торговля'!$F$5:$F$300,'ИТОГО Торговля'!$B$5:$B$300,$B265)+SUMIFS('ИТОГО Лэндинг'!$F$5:$F$300,'ИТОГО Лэндинг'!$B$5:$B$300,$B265)+SUMIFS('История'!$F$5:$F$300,'История'!$B$5:$B$300,$B265)))</f>
        <v/>
      </c>
      <c r="G265" s="177">
        <f>IF(F265="","",H265/F265)</f>
        <v/>
      </c>
      <c r="H265" s="241">
        <f>IF(F265="","",SUMIFS('ИТОГО Торговля'!$H$5:$H$300,'ИТОГО Торговля'!$B$5:$B$300,$B265)+SUMIFS('ИТОГО Лэндинг'!$H$5:$H$300,'ИТОГО Лэндинг'!$B$5:$B$300,$B265)+SUMIFS('История'!$H$5:$H$300,'История'!$B$5:$B$300,$B265))</f>
        <v/>
      </c>
      <c r="I265" s="240">
        <f>IF($B265="","",IF(AND(C265="",F265=""),"",ROUND(SUMIFS('ИТОГО Торговля'!$I$5:$I$300,'ИТОГО Торговля'!$B$5:$B$300,$B265)+SUMIFS('ИТОГО Лэндинг'!$I$5:$I$300,'ИТОГО Лэндинг'!$B$5:$B$300,$B265)+SUMIFS('История'!$I$5:$I$300,'История'!$B$5:$B$300,$B265),8)))</f>
        <v/>
      </c>
      <c r="J265" s="241">
        <f>IF($B265="","",IF(AND(C265="",F265=""),"",ROUND(SUMIFS('ИТОГО Торговля'!$J$5:$J$300,'ИТОГО Торговля'!$B$5:$B$300,$B265)+SUMIFS('ИТОГО Лэндинг'!$J$5:$J$300,'ИТОГО Лэндинг'!$B$5:$B$300,$B265)+SUMIFS('История'!$J$5:$J$300,'История'!$B$5:$B$300,$B265),8)))</f>
        <v/>
      </c>
      <c r="K265" s="240">
        <f>IF($B265="","",ROUND(SUMIFS('ИТОГО Торговля'!$K$5:$K$300,'ИТОГО Торговля'!$B$5:$B$300,$B265)+SUMIFS('ИТОГО Лэндинг'!$K$5:$K$300,'ИТОГО Лэндинг'!$B$5:$B$300,$B265)+SUMIFS('История'!$K$5:$K$300,'История'!$B$5:$B$300,$B265),8))</f>
        <v/>
      </c>
      <c r="L265" s="177">
        <f>IF(K265="","",IF(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265)*((История!$C$5:$C$300+История!$F$5:$F$300-ABS(История!$C$5:$C$300-История!$F$5:$F$300))/2)*История!$D$5:$D$300))&lt;=0,0,ROUND(K265/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265)*((История!$C$5:$C$300+История!$F$5:$F$300-ABS(История!$C$5:$C$300-История!$F$5:$F$300))/2)*История!$D$5:$D$300)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IF($B266="","",IF(SUMIFS('ИТОГО Торговля'!$C$5:$C$300,'ИТОГО Торговля'!$B$5:$B$300,$B266)+SUMIFS('ИТОГО Лэндинг'!$C$5:$C$300,'ИТОГО Лэндинг'!$B$5:$B$300,$B266)+SUMIFS('История'!$C$5:$C$300,'История'!$B$5:$B$300,$B266)=0,"",SUMIFS('ИТОГО Торговля'!$C$5:$C$300,'ИТОГО Торговля'!$B$5:$B$300,$B266)+SUMIFS('ИТОГО Лэндинг'!$C$5:$C$300,'ИТОГО Лэндинг'!$B$5:$B$300,$B266)+SUMIFS('История'!$C$5:$C$300,'История'!$B$5:$B$300,$B266)))</f>
        <v/>
      </c>
      <c r="D266" s="183">
        <f>IF(C266="","",E266/C266)</f>
        <v/>
      </c>
      <c r="E266" s="247">
        <f>IF(C266="","",SUMIFS('ИТОГО Торговля'!$E$5:$E$300,'ИТОГО Торговля'!$B$5:$B$300,$B266)+SUMIFS('ИТОГО Лэндинг'!$E$5:$E$300,'ИТОГО Лэндинг'!$B$5:$B$300,$B266)+SUMIFS('История'!$E$5:$E$300,'История'!$B$5:$B$300,$B266))</f>
        <v/>
      </c>
      <c r="F266" s="246">
        <f>IF($B266="","",IF(SUMIFS('ИТОГО Торговля'!$F$5:$F$300,'ИТОГО Торговля'!$B$5:$B$300,$B266)+SUMIFS('ИТОГО Лэндинг'!$F$5:$F$300,'ИТОГО Лэндинг'!$B$5:$B$300,$B266)+SUMIFS('История'!$F$5:$F$300,'История'!$B$5:$B$300,$B266)=0,"",SUMIFS('ИТОГО Торговля'!$F$5:$F$300,'ИТОГО Торговля'!$B$5:$B$300,$B266)+SUMIFS('ИТОГО Лэндинг'!$F$5:$F$300,'ИТОГО Лэндинг'!$B$5:$B$300,$B266)+SUMIFS('История'!$F$5:$F$300,'История'!$B$5:$B$300,$B266)))</f>
        <v/>
      </c>
      <c r="G266" s="183">
        <f>IF(F266="","",H266/F266)</f>
        <v/>
      </c>
      <c r="H266" s="247">
        <f>IF(F266="","",SUMIFS('ИТОГО Торговля'!$H$5:$H$300,'ИТОГО Торговля'!$B$5:$B$300,$B266)+SUMIFS('ИТОГО Лэндинг'!$H$5:$H$300,'ИТОГО Лэндинг'!$B$5:$B$300,$B266)+SUMIFS('История'!$H$5:$H$300,'История'!$B$5:$B$300,$B266))</f>
        <v/>
      </c>
      <c r="I266" s="246">
        <f>IF($B266="","",IF(AND(C266="",F266=""),"",ROUND(SUMIFS('ИТОГО Торговля'!$I$5:$I$300,'ИТОГО Торговля'!$B$5:$B$300,$B266)+SUMIFS('ИТОГО Лэндинг'!$I$5:$I$300,'ИТОГО Лэндинг'!$B$5:$B$300,$B266)+SUMIFS('История'!$I$5:$I$300,'История'!$B$5:$B$300,$B266),8)))</f>
        <v/>
      </c>
      <c r="J266" s="247">
        <f>IF($B266="","",IF(AND(C266="",F266=""),"",ROUND(SUMIFS('ИТОГО Торговля'!$J$5:$J$300,'ИТОГО Торговля'!$B$5:$B$300,$B266)+SUMIFS('ИТОГО Лэндинг'!$J$5:$J$300,'ИТОГО Лэндинг'!$B$5:$B$300,$B266)+SUMIFS('История'!$J$5:$J$300,'История'!$B$5:$B$300,$B266),8)))</f>
        <v/>
      </c>
      <c r="K266" s="246">
        <f>IF($B266="","",ROUND(SUMIFS('ИТОГО Торговля'!$K$5:$K$300,'ИТОГО Торговля'!$B$5:$B$300,$B266)+SUMIFS('ИТОГО Лэндинг'!$K$5:$K$300,'ИТОГО Лэндинг'!$B$5:$B$300,$B266)+SUMIFS('История'!$K$5:$K$300,'История'!$B$5:$B$300,$B266),8))</f>
        <v/>
      </c>
      <c r="L266" s="183">
        <f>IF(K266="","",IF(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266)*((История!$C$5:$C$300+История!$F$5:$F$300-ABS(История!$C$5:$C$300-История!$F$5:$F$300))/2)*История!$D$5:$D$300))&lt;=0,0,ROUND(K266/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266)*((История!$C$5:$C$300+История!$F$5:$F$300-ABS(История!$C$5:$C$300-История!$F$5:$F$300))/2)*История!$D$5:$D$300)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IF($B267="","",IF(SUMIFS('ИТОГО Торговля'!$C$5:$C$300,'ИТОГО Торговля'!$B$5:$B$300,$B267)+SUMIFS('ИТОГО Лэндинг'!$C$5:$C$300,'ИТОГО Лэндинг'!$B$5:$B$300,$B267)+SUMIFS('История'!$C$5:$C$300,'История'!$B$5:$B$300,$B267)=0,"",SUMIFS('ИТОГО Торговля'!$C$5:$C$300,'ИТОГО Торговля'!$B$5:$B$300,$B267)+SUMIFS('ИТОГО Лэндинг'!$C$5:$C$300,'ИТОГО Лэндинг'!$B$5:$B$300,$B267)+SUMIFS('История'!$C$5:$C$300,'История'!$B$5:$B$300,$B267)))</f>
        <v/>
      </c>
      <c r="D267" s="177">
        <f>IF(C267="","",E267/C267)</f>
        <v/>
      </c>
      <c r="E267" s="241">
        <f>IF(C267="","",SUMIFS('ИТОГО Торговля'!$E$5:$E$300,'ИТОГО Торговля'!$B$5:$B$300,$B267)+SUMIFS('ИТОГО Лэндинг'!$E$5:$E$300,'ИТОГО Лэндинг'!$B$5:$B$300,$B267)+SUMIFS('История'!$E$5:$E$300,'История'!$B$5:$B$300,$B267))</f>
        <v/>
      </c>
      <c r="F267" s="240">
        <f>IF($B267="","",IF(SUMIFS('ИТОГО Торговля'!$F$5:$F$300,'ИТОГО Торговля'!$B$5:$B$300,$B267)+SUMIFS('ИТОГО Лэндинг'!$F$5:$F$300,'ИТОГО Лэндинг'!$B$5:$B$300,$B267)+SUMIFS('История'!$F$5:$F$300,'История'!$B$5:$B$300,$B267)=0,"",SUMIFS('ИТОГО Торговля'!$F$5:$F$300,'ИТОГО Торговля'!$B$5:$B$300,$B267)+SUMIFS('ИТОГО Лэндинг'!$F$5:$F$300,'ИТОГО Лэндинг'!$B$5:$B$300,$B267)+SUMIFS('История'!$F$5:$F$300,'История'!$B$5:$B$300,$B267)))</f>
        <v/>
      </c>
      <c r="G267" s="177">
        <f>IF(F267="","",H267/F267)</f>
        <v/>
      </c>
      <c r="H267" s="241">
        <f>IF(F267="","",SUMIFS('ИТОГО Торговля'!$H$5:$H$300,'ИТОГО Торговля'!$B$5:$B$300,$B267)+SUMIFS('ИТОГО Лэндинг'!$H$5:$H$300,'ИТОГО Лэндинг'!$B$5:$B$300,$B267)+SUMIFS('История'!$H$5:$H$300,'История'!$B$5:$B$300,$B267))</f>
        <v/>
      </c>
      <c r="I267" s="240">
        <f>IF($B267="","",IF(AND(C267="",F267=""),"",ROUND(SUMIFS('ИТОГО Торговля'!$I$5:$I$300,'ИТОГО Торговля'!$B$5:$B$300,$B267)+SUMIFS('ИТОГО Лэндинг'!$I$5:$I$300,'ИТОГО Лэндинг'!$B$5:$B$300,$B267)+SUMIFS('История'!$I$5:$I$300,'История'!$B$5:$B$300,$B267),8)))</f>
        <v/>
      </c>
      <c r="J267" s="241">
        <f>IF($B267="","",IF(AND(C267="",F267=""),"",ROUND(SUMIFS('ИТОГО Торговля'!$J$5:$J$300,'ИТОГО Торговля'!$B$5:$B$300,$B267)+SUMIFS('ИТОГО Лэндинг'!$J$5:$J$300,'ИТОГО Лэндинг'!$B$5:$B$300,$B267)+SUMIFS('История'!$J$5:$J$300,'История'!$B$5:$B$300,$B267),8)))</f>
        <v/>
      </c>
      <c r="K267" s="240">
        <f>IF($B267="","",ROUND(SUMIFS('ИТОГО Торговля'!$K$5:$K$300,'ИТОГО Торговля'!$B$5:$B$300,$B267)+SUMIFS('ИТОГО Лэндинг'!$K$5:$K$300,'ИТОГО Лэндинг'!$B$5:$B$300,$B267)+SUMIFS('История'!$K$5:$K$300,'История'!$B$5:$B$300,$B267),8))</f>
        <v/>
      </c>
      <c r="L267" s="177">
        <f>IF(K267="","",IF(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267)*((История!$C$5:$C$300+История!$F$5:$F$300-ABS(История!$C$5:$C$300-История!$F$5:$F$300))/2)*История!$D$5:$D$300))&lt;=0,0,ROUND(K267/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267)*((История!$C$5:$C$300+История!$F$5:$F$300-ABS(История!$C$5:$C$300-История!$F$5:$F$300))/2)*История!$D$5:$D$300)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IF($B268="","",IF(SUMIFS('ИТОГО Торговля'!$C$5:$C$300,'ИТОГО Торговля'!$B$5:$B$300,$B268)+SUMIFS('ИТОГО Лэндинг'!$C$5:$C$300,'ИТОГО Лэндинг'!$B$5:$B$300,$B268)+SUMIFS('История'!$C$5:$C$300,'История'!$B$5:$B$300,$B268)=0,"",SUMIFS('ИТОГО Торговля'!$C$5:$C$300,'ИТОГО Торговля'!$B$5:$B$300,$B268)+SUMIFS('ИТОГО Лэндинг'!$C$5:$C$300,'ИТОГО Лэндинг'!$B$5:$B$300,$B268)+SUMIFS('История'!$C$5:$C$300,'История'!$B$5:$B$300,$B268)))</f>
        <v/>
      </c>
      <c r="D268" s="183">
        <f>IF(C268="","",E268/C268)</f>
        <v/>
      </c>
      <c r="E268" s="247">
        <f>IF(C268="","",SUMIFS('ИТОГО Торговля'!$E$5:$E$300,'ИТОГО Торговля'!$B$5:$B$300,$B268)+SUMIFS('ИТОГО Лэндинг'!$E$5:$E$300,'ИТОГО Лэндинг'!$B$5:$B$300,$B268)+SUMIFS('История'!$E$5:$E$300,'История'!$B$5:$B$300,$B268))</f>
        <v/>
      </c>
      <c r="F268" s="246">
        <f>IF($B268="","",IF(SUMIFS('ИТОГО Торговля'!$F$5:$F$300,'ИТОГО Торговля'!$B$5:$B$300,$B268)+SUMIFS('ИТОГО Лэндинг'!$F$5:$F$300,'ИТОГО Лэндинг'!$B$5:$B$300,$B268)+SUMIFS('История'!$F$5:$F$300,'История'!$B$5:$B$300,$B268)=0,"",SUMIFS('ИТОГО Торговля'!$F$5:$F$300,'ИТОГО Торговля'!$B$5:$B$300,$B268)+SUMIFS('ИТОГО Лэндинг'!$F$5:$F$300,'ИТОГО Лэндинг'!$B$5:$B$300,$B268)+SUMIFS('История'!$F$5:$F$300,'История'!$B$5:$B$300,$B268)))</f>
        <v/>
      </c>
      <c r="G268" s="183">
        <f>IF(F268="","",H268/F268)</f>
        <v/>
      </c>
      <c r="H268" s="247">
        <f>IF(F268="","",SUMIFS('ИТОГО Торговля'!$H$5:$H$300,'ИТОГО Торговля'!$B$5:$B$300,$B268)+SUMIFS('ИТОГО Лэндинг'!$H$5:$H$300,'ИТОГО Лэндинг'!$B$5:$B$300,$B268)+SUMIFS('История'!$H$5:$H$300,'История'!$B$5:$B$300,$B268))</f>
        <v/>
      </c>
      <c r="I268" s="246">
        <f>IF($B268="","",IF(AND(C268="",F268=""),"",ROUND(SUMIFS('ИТОГО Торговля'!$I$5:$I$300,'ИТОГО Торговля'!$B$5:$B$300,$B268)+SUMIFS('ИТОГО Лэндинг'!$I$5:$I$300,'ИТОГО Лэндинг'!$B$5:$B$300,$B268)+SUMIFS('История'!$I$5:$I$300,'История'!$B$5:$B$300,$B268),8)))</f>
        <v/>
      </c>
      <c r="J268" s="247">
        <f>IF($B268="","",IF(AND(C268="",F268=""),"",ROUND(SUMIFS('ИТОГО Торговля'!$J$5:$J$300,'ИТОГО Торговля'!$B$5:$B$300,$B268)+SUMIFS('ИТОГО Лэндинг'!$J$5:$J$300,'ИТОГО Лэндинг'!$B$5:$B$300,$B268)+SUMIFS('История'!$J$5:$J$300,'История'!$B$5:$B$300,$B268),8)))</f>
        <v/>
      </c>
      <c r="K268" s="246">
        <f>IF($B268="","",ROUND(SUMIFS('ИТОГО Торговля'!$K$5:$K$300,'ИТОГО Торговля'!$B$5:$B$300,$B268)+SUMIFS('ИТОГО Лэндинг'!$K$5:$K$300,'ИТОГО Лэндинг'!$B$5:$B$300,$B268)+SUMIFS('История'!$K$5:$K$300,'История'!$B$5:$B$300,$B268),8))</f>
        <v/>
      </c>
      <c r="L268" s="183">
        <f>IF(K268="","",IF(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268)*((История!$C$5:$C$300+История!$F$5:$F$300-ABS(История!$C$5:$C$300-История!$F$5:$F$300))/2)*История!$D$5:$D$300))&lt;=0,0,ROUND(K268/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268)*((История!$C$5:$C$300+История!$F$5:$F$300-ABS(История!$C$5:$C$300-История!$F$5:$F$300))/2)*История!$D$5:$D$300)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IF($B269="","",IF(SUMIFS('ИТОГО Торговля'!$C$5:$C$300,'ИТОГО Торговля'!$B$5:$B$300,$B269)+SUMIFS('ИТОГО Лэндинг'!$C$5:$C$300,'ИТОГО Лэндинг'!$B$5:$B$300,$B269)+SUMIFS('История'!$C$5:$C$300,'История'!$B$5:$B$300,$B269)=0,"",SUMIFS('ИТОГО Торговля'!$C$5:$C$300,'ИТОГО Торговля'!$B$5:$B$300,$B269)+SUMIFS('ИТОГО Лэндинг'!$C$5:$C$300,'ИТОГО Лэндинг'!$B$5:$B$300,$B269)+SUMIFS('История'!$C$5:$C$300,'История'!$B$5:$B$300,$B269)))</f>
        <v/>
      </c>
      <c r="D269" s="177">
        <f>IF(C269="","",E269/C269)</f>
        <v/>
      </c>
      <c r="E269" s="241">
        <f>IF(C269="","",SUMIFS('ИТОГО Торговля'!$E$5:$E$300,'ИТОГО Торговля'!$B$5:$B$300,$B269)+SUMIFS('ИТОГО Лэндинг'!$E$5:$E$300,'ИТОГО Лэндинг'!$B$5:$B$300,$B269)+SUMIFS('История'!$E$5:$E$300,'История'!$B$5:$B$300,$B269))</f>
        <v/>
      </c>
      <c r="F269" s="240">
        <f>IF($B269="","",IF(SUMIFS('ИТОГО Торговля'!$F$5:$F$300,'ИТОГО Торговля'!$B$5:$B$300,$B269)+SUMIFS('ИТОГО Лэндинг'!$F$5:$F$300,'ИТОГО Лэндинг'!$B$5:$B$300,$B269)+SUMIFS('История'!$F$5:$F$300,'История'!$B$5:$B$300,$B269)=0,"",SUMIFS('ИТОГО Торговля'!$F$5:$F$300,'ИТОГО Торговля'!$B$5:$B$300,$B269)+SUMIFS('ИТОГО Лэндинг'!$F$5:$F$300,'ИТОГО Лэндинг'!$B$5:$B$300,$B269)+SUMIFS('История'!$F$5:$F$300,'История'!$B$5:$B$300,$B269)))</f>
        <v/>
      </c>
      <c r="G269" s="177">
        <f>IF(F269="","",H269/F269)</f>
        <v/>
      </c>
      <c r="H269" s="241">
        <f>IF(F269="","",SUMIFS('ИТОГО Торговля'!$H$5:$H$300,'ИТОГО Торговля'!$B$5:$B$300,$B269)+SUMIFS('ИТОГО Лэндинг'!$H$5:$H$300,'ИТОГО Лэндинг'!$B$5:$B$300,$B269)+SUMIFS('История'!$H$5:$H$300,'История'!$B$5:$B$300,$B269))</f>
        <v/>
      </c>
      <c r="I269" s="240">
        <f>IF($B269="","",IF(AND(C269="",F269=""),"",ROUND(SUMIFS('ИТОГО Торговля'!$I$5:$I$300,'ИТОГО Торговля'!$B$5:$B$300,$B269)+SUMIFS('ИТОГО Лэндинг'!$I$5:$I$300,'ИТОГО Лэндинг'!$B$5:$B$300,$B269)+SUMIFS('История'!$I$5:$I$300,'История'!$B$5:$B$300,$B269),8)))</f>
        <v/>
      </c>
      <c r="J269" s="241">
        <f>IF($B269="","",IF(AND(C269="",F269=""),"",ROUND(SUMIFS('ИТОГО Торговля'!$J$5:$J$300,'ИТОГО Торговля'!$B$5:$B$300,$B269)+SUMIFS('ИТОГО Лэндинг'!$J$5:$J$300,'ИТОГО Лэндинг'!$B$5:$B$300,$B269)+SUMIFS('История'!$J$5:$J$300,'История'!$B$5:$B$300,$B269),8)))</f>
        <v/>
      </c>
      <c r="K269" s="240">
        <f>IF($B269="","",ROUND(SUMIFS('ИТОГО Торговля'!$K$5:$K$300,'ИТОГО Торговля'!$B$5:$B$300,$B269)+SUMIFS('ИТОГО Лэндинг'!$K$5:$K$300,'ИТОГО Лэндинг'!$B$5:$B$300,$B269)+SUMIFS('История'!$K$5:$K$300,'История'!$B$5:$B$300,$B269),8))</f>
        <v/>
      </c>
      <c r="L269" s="177">
        <f>IF(K269="","",IF(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269)*((История!$C$5:$C$300+История!$F$5:$F$300-ABS(История!$C$5:$C$300-История!$F$5:$F$300))/2)*История!$D$5:$D$300))&lt;=0,0,ROUND(K269/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269)*((История!$C$5:$C$300+История!$F$5:$F$300-ABS(История!$C$5:$C$300-История!$F$5:$F$300))/2)*История!$D$5:$D$300)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IF($B270="","",IF(SUMIFS('ИТОГО Торговля'!$C$5:$C$300,'ИТОГО Торговля'!$B$5:$B$300,$B270)+SUMIFS('ИТОГО Лэндинг'!$C$5:$C$300,'ИТОГО Лэндинг'!$B$5:$B$300,$B270)+SUMIFS('История'!$C$5:$C$300,'История'!$B$5:$B$300,$B270)=0,"",SUMIFS('ИТОГО Торговля'!$C$5:$C$300,'ИТОГО Торговля'!$B$5:$B$300,$B270)+SUMIFS('ИТОГО Лэндинг'!$C$5:$C$300,'ИТОГО Лэндинг'!$B$5:$B$300,$B270)+SUMIFS('История'!$C$5:$C$300,'История'!$B$5:$B$300,$B270)))</f>
        <v/>
      </c>
      <c r="D270" s="183">
        <f>IF(C270="","",E270/C270)</f>
        <v/>
      </c>
      <c r="E270" s="247">
        <f>IF(C270="","",SUMIFS('ИТОГО Торговля'!$E$5:$E$300,'ИТОГО Торговля'!$B$5:$B$300,$B270)+SUMIFS('ИТОГО Лэндинг'!$E$5:$E$300,'ИТОГО Лэндинг'!$B$5:$B$300,$B270)+SUMIFS('История'!$E$5:$E$300,'История'!$B$5:$B$300,$B270))</f>
        <v/>
      </c>
      <c r="F270" s="246">
        <f>IF($B270="","",IF(SUMIFS('ИТОГО Торговля'!$F$5:$F$300,'ИТОГО Торговля'!$B$5:$B$300,$B270)+SUMIFS('ИТОГО Лэндинг'!$F$5:$F$300,'ИТОГО Лэндинг'!$B$5:$B$300,$B270)+SUMIFS('История'!$F$5:$F$300,'История'!$B$5:$B$300,$B270)=0,"",SUMIFS('ИТОГО Торговля'!$F$5:$F$300,'ИТОГО Торговля'!$B$5:$B$300,$B270)+SUMIFS('ИТОГО Лэндинг'!$F$5:$F$300,'ИТОГО Лэндинг'!$B$5:$B$300,$B270)+SUMIFS('История'!$F$5:$F$300,'История'!$B$5:$B$300,$B270)))</f>
        <v/>
      </c>
      <c r="G270" s="183">
        <f>IF(F270="","",H270/F270)</f>
        <v/>
      </c>
      <c r="H270" s="247">
        <f>IF(F270="","",SUMIFS('ИТОГО Торговля'!$H$5:$H$300,'ИТОГО Торговля'!$B$5:$B$300,$B270)+SUMIFS('ИТОГО Лэндинг'!$H$5:$H$300,'ИТОГО Лэндинг'!$B$5:$B$300,$B270)+SUMIFS('История'!$H$5:$H$300,'История'!$B$5:$B$300,$B270))</f>
        <v/>
      </c>
      <c r="I270" s="246">
        <f>IF($B270="","",IF(AND(C270="",F270=""),"",ROUND(SUMIFS('ИТОГО Торговля'!$I$5:$I$300,'ИТОГО Торговля'!$B$5:$B$300,$B270)+SUMIFS('ИТОГО Лэндинг'!$I$5:$I$300,'ИТОГО Лэндинг'!$B$5:$B$300,$B270)+SUMIFS('История'!$I$5:$I$300,'История'!$B$5:$B$300,$B270),8)))</f>
        <v/>
      </c>
      <c r="J270" s="247">
        <f>IF($B270="","",IF(AND(C270="",F270=""),"",ROUND(SUMIFS('ИТОГО Торговля'!$J$5:$J$300,'ИТОГО Торговля'!$B$5:$B$300,$B270)+SUMIFS('ИТОГО Лэндинг'!$J$5:$J$300,'ИТОГО Лэндинг'!$B$5:$B$300,$B270)+SUMIFS('История'!$J$5:$J$300,'История'!$B$5:$B$300,$B270),8)))</f>
        <v/>
      </c>
      <c r="K270" s="246">
        <f>IF($B270="","",ROUND(SUMIFS('ИТОГО Торговля'!$K$5:$K$300,'ИТОГО Торговля'!$B$5:$B$300,$B270)+SUMIFS('ИТОГО Лэндинг'!$K$5:$K$300,'ИТОГО Лэндинг'!$B$5:$B$300,$B270)+SUMIFS('История'!$K$5:$K$300,'История'!$B$5:$B$300,$B270),8))</f>
        <v/>
      </c>
      <c r="L270" s="183">
        <f>IF(K270="","",IF(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270)*((История!$C$5:$C$300+История!$F$5:$F$300-ABS(История!$C$5:$C$300-История!$F$5:$F$300))/2)*История!$D$5:$D$300))&lt;=0,0,ROUND(K270/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270)*((История!$C$5:$C$300+История!$F$5:$F$300-ABS(История!$C$5:$C$300-История!$F$5:$F$300))/2)*История!$D$5:$D$300)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IF($B271="","",IF(SUMIFS('ИТОГО Торговля'!$C$5:$C$300,'ИТОГО Торговля'!$B$5:$B$300,$B271)+SUMIFS('ИТОГО Лэндинг'!$C$5:$C$300,'ИТОГО Лэндинг'!$B$5:$B$300,$B271)+SUMIFS('История'!$C$5:$C$300,'История'!$B$5:$B$300,$B271)=0,"",SUMIFS('ИТОГО Торговля'!$C$5:$C$300,'ИТОГО Торговля'!$B$5:$B$300,$B271)+SUMIFS('ИТОГО Лэндинг'!$C$5:$C$300,'ИТОГО Лэндинг'!$B$5:$B$300,$B271)+SUMIFS('История'!$C$5:$C$300,'История'!$B$5:$B$300,$B271)))</f>
        <v/>
      </c>
      <c r="D271" s="177">
        <f>IF(C271="","",E271/C271)</f>
        <v/>
      </c>
      <c r="E271" s="241">
        <f>IF(C271="","",SUMIFS('ИТОГО Торговля'!$E$5:$E$300,'ИТОГО Торговля'!$B$5:$B$300,$B271)+SUMIFS('ИТОГО Лэндинг'!$E$5:$E$300,'ИТОГО Лэндинг'!$B$5:$B$300,$B271)+SUMIFS('История'!$E$5:$E$300,'История'!$B$5:$B$300,$B271))</f>
        <v/>
      </c>
      <c r="F271" s="240">
        <f>IF($B271="","",IF(SUMIFS('ИТОГО Торговля'!$F$5:$F$300,'ИТОГО Торговля'!$B$5:$B$300,$B271)+SUMIFS('ИТОГО Лэндинг'!$F$5:$F$300,'ИТОГО Лэндинг'!$B$5:$B$300,$B271)+SUMIFS('История'!$F$5:$F$300,'История'!$B$5:$B$300,$B271)=0,"",SUMIFS('ИТОГО Торговля'!$F$5:$F$300,'ИТОГО Торговля'!$B$5:$B$300,$B271)+SUMIFS('ИТОГО Лэндинг'!$F$5:$F$300,'ИТОГО Лэндинг'!$B$5:$B$300,$B271)+SUMIFS('История'!$F$5:$F$300,'История'!$B$5:$B$300,$B271)))</f>
        <v/>
      </c>
      <c r="G271" s="177">
        <f>IF(F271="","",H271/F271)</f>
        <v/>
      </c>
      <c r="H271" s="241">
        <f>IF(F271="","",SUMIFS('ИТОГО Торговля'!$H$5:$H$300,'ИТОГО Торговля'!$B$5:$B$300,$B271)+SUMIFS('ИТОГО Лэндинг'!$H$5:$H$300,'ИТОГО Лэндинг'!$B$5:$B$300,$B271)+SUMIFS('История'!$H$5:$H$300,'История'!$B$5:$B$300,$B271))</f>
        <v/>
      </c>
      <c r="I271" s="240">
        <f>IF($B271="","",IF(AND(C271="",F271=""),"",ROUND(SUMIFS('ИТОГО Торговля'!$I$5:$I$300,'ИТОГО Торговля'!$B$5:$B$300,$B271)+SUMIFS('ИТОГО Лэндинг'!$I$5:$I$300,'ИТОГО Лэндинг'!$B$5:$B$300,$B271)+SUMIFS('История'!$I$5:$I$300,'История'!$B$5:$B$300,$B271),8)))</f>
        <v/>
      </c>
      <c r="J271" s="241">
        <f>IF($B271="","",IF(AND(C271="",F271=""),"",ROUND(SUMIFS('ИТОГО Торговля'!$J$5:$J$300,'ИТОГО Торговля'!$B$5:$B$300,$B271)+SUMIFS('ИТОГО Лэндинг'!$J$5:$J$300,'ИТОГО Лэндинг'!$B$5:$B$300,$B271)+SUMIFS('История'!$J$5:$J$300,'История'!$B$5:$B$300,$B271),8)))</f>
        <v/>
      </c>
      <c r="K271" s="240">
        <f>IF($B271="","",ROUND(SUMIFS('ИТОГО Торговля'!$K$5:$K$300,'ИТОГО Торговля'!$B$5:$B$300,$B271)+SUMIFS('ИТОГО Лэндинг'!$K$5:$K$300,'ИТОГО Лэндинг'!$B$5:$B$300,$B271)+SUMIFS('История'!$K$5:$K$300,'История'!$B$5:$B$300,$B271),8))</f>
        <v/>
      </c>
      <c r="L271" s="177">
        <f>IF(K271="","",IF(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271)*((История!$C$5:$C$300+История!$F$5:$F$300-ABS(История!$C$5:$C$300-История!$F$5:$F$300))/2)*История!$D$5:$D$300))&lt;=0,0,ROUND(K271/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271)*((История!$C$5:$C$300+История!$F$5:$F$300-ABS(История!$C$5:$C$300-История!$F$5:$F$300))/2)*История!$D$5:$D$300)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IF($B272="","",IF(SUMIFS('ИТОГО Торговля'!$C$5:$C$300,'ИТОГО Торговля'!$B$5:$B$300,$B272)+SUMIFS('ИТОГО Лэндинг'!$C$5:$C$300,'ИТОГО Лэндинг'!$B$5:$B$300,$B272)+SUMIFS('История'!$C$5:$C$300,'История'!$B$5:$B$300,$B272)=0,"",SUMIFS('ИТОГО Торговля'!$C$5:$C$300,'ИТОГО Торговля'!$B$5:$B$300,$B272)+SUMIFS('ИТОГО Лэндинг'!$C$5:$C$300,'ИТОГО Лэндинг'!$B$5:$B$300,$B272)+SUMIFS('История'!$C$5:$C$300,'История'!$B$5:$B$300,$B272)))</f>
        <v/>
      </c>
      <c r="D272" s="183">
        <f>IF(C272="","",E272/C272)</f>
        <v/>
      </c>
      <c r="E272" s="247">
        <f>IF(C272="","",SUMIFS('ИТОГО Торговля'!$E$5:$E$300,'ИТОГО Торговля'!$B$5:$B$300,$B272)+SUMIFS('ИТОГО Лэндинг'!$E$5:$E$300,'ИТОГО Лэндинг'!$B$5:$B$300,$B272)+SUMIFS('История'!$E$5:$E$300,'История'!$B$5:$B$300,$B272))</f>
        <v/>
      </c>
      <c r="F272" s="246">
        <f>IF($B272="","",IF(SUMIFS('ИТОГО Торговля'!$F$5:$F$300,'ИТОГО Торговля'!$B$5:$B$300,$B272)+SUMIFS('ИТОГО Лэндинг'!$F$5:$F$300,'ИТОГО Лэндинг'!$B$5:$B$300,$B272)+SUMIFS('История'!$F$5:$F$300,'История'!$B$5:$B$300,$B272)=0,"",SUMIFS('ИТОГО Торговля'!$F$5:$F$300,'ИТОГО Торговля'!$B$5:$B$300,$B272)+SUMIFS('ИТОГО Лэндинг'!$F$5:$F$300,'ИТОГО Лэндинг'!$B$5:$B$300,$B272)+SUMIFS('История'!$F$5:$F$300,'История'!$B$5:$B$300,$B272)))</f>
        <v/>
      </c>
      <c r="G272" s="183">
        <f>IF(F272="","",H272/F272)</f>
        <v/>
      </c>
      <c r="H272" s="247">
        <f>IF(F272="","",SUMIFS('ИТОГО Торговля'!$H$5:$H$300,'ИТОГО Торговля'!$B$5:$B$300,$B272)+SUMIFS('ИТОГО Лэндинг'!$H$5:$H$300,'ИТОГО Лэндинг'!$B$5:$B$300,$B272)+SUMIFS('История'!$H$5:$H$300,'История'!$B$5:$B$300,$B272))</f>
        <v/>
      </c>
      <c r="I272" s="246">
        <f>IF($B272="","",IF(AND(C272="",F272=""),"",ROUND(SUMIFS('ИТОГО Торговля'!$I$5:$I$300,'ИТОГО Торговля'!$B$5:$B$300,$B272)+SUMIFS('ИТОГО Лэндинг'!$I$5:$I$300,'ИТОГО Лэндинг'!$B$5:$B$300,$B272)+SUMIFS('История'!$I$5:$I$300,'История'!$B$5:$B$300,$B272),8)))</f>
        <v/>
      </c>
      <c r="J272" s="247">
        <f>IF($B272="","",IF(AND(C272="",F272=""),"",ROUND(SUMIFS('ИТОГО Торговля'!$J$5:$J$300,'ИТОГО Торговля'!$B$5:$B$300,$B272)+SUMIFS('ИТОГО Лэндинг'!$J$5:$J$300,'ИТОГО Лэндинг'!$B$5:$B$300,$B272)+SUMIFS('История'!$J$5:$J$300,'История'!$B$5:$B$300,$B272),8)))</f>
        <v/>
      </c>
      <c r="K272" s="246">
        <f>IF($B272="","",ROUND(SUMIFS('ИТОГО Торговля'!$K$5:$K$300,'ИТОГО Торговля'!$B$5:$B$300,$B272)+SUMIFS('ИТОГО Лэндинг'!$K$5:$K$300,'ИТОГО Лэндинг'!$B$5:$B$300,$B272)+SUMIFS('История'!$K$5:$K$300,'История'!$B$5:$B$300,$B272),8))</f>
        <v/>
      </c>
      <c r="L272" s="183">
        <f>IF(K272="","",IF(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272)*((История!$C$5:$C$300+История!$F$5:$F$300-ABS(История!$C$5:$C$300-История!$F$5:$F$300))/2)*История!$D$5:$D$300))&lt;=0,0,ROUND(K272/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272)*((История!$C$5:$C$300+История!$F$5:$F$300-ABS(История!$C$5:$C$300-История!$F$5:$F$300))/2)*История!$D$5:$D$300)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IF($B273="","",IF(SUMIFS('ИТОГО Торговля'!$C$5:$C$300,'ИТОГО Торговля'!$B$5:$B$300,$B273)+SUMIFS('ИТОГО Лэндинг'!$C$5:$C$300,'ИТОГО Лэндинг'!$B$5:$B$300,$B273)+SUMIFS('История'!$C$5:$C$300,'История'!$B$5:$B$300,$B273)=0,"",SUMIFS('ИТОГО Торговля'!$C$5:$C$300,'ИТОГО Торговля'!$B$5:$B$300,$B273)+SUMIFS('ИТОГО Лэндинг'!$C$5:$C$300,'ИТОГО Лэндинг'!$B$5:$B$300,$B273)+SUMIFS('История'!$C$5:$C$300,'История'!$B$5:$B$300,$B273)))</f>
        <v/>
      </c>
      <c r="D273" s="177">
        <f>IF(C273="","",E273/C273)</f>
        <v/>
      </c>
      <c r="E273" s="241">
        <f>IF(C273="","",SUMIFS('ИТОГО Торговля'!$E$5:$E$300,'ИТОГО Торговля'!$B$5:$B$300,$B273)+SUMIFS('ИТОГО Лэндинг'!$E$5:$E$300,'ИТОГО Лэндинг'!$B$5:$B$300,$B273)+SUMIFS('История'!$E$5:$E$300,'История'!$B$5:$B$300,$B273))</f>
        <v/>
      </c>
      <c r="F273" s="240">
        <f>IF($B273="","",IF(SUMIFS('ИТОГО Торговля'!$F$5:$F$300,'ИТОГО Торговля'!$B$5:$B$300,$B273)+SUMIFS('ИТОГО Лэндинг'!$F$5:$F$300,'ИТОГО Лэндинг'!$B$5:$B$300,$B273)+SUMIFS('История'!$F$5:$F$300,'История'!$B$5:$B$300,$B273)=0,"",SUMIFS('ИТОГО Торговля'!$F$5:$F$300,'ИТОГО Торговля'!$B$5:$B$300,$B273)+SUMIFS('ИТОГО Лэндинг'!$F$5:$F$300,'ИТОГО Лэндинг'!$B$5:$B$300,$B273)+SUMIFS('История'!$F$5:$F$300,'История'!$B$5:$B$300,$B273)))</f>
        <v/>
      </c>
      <c r="G273" s="177">
        <f>IF(F273="","",H273/F273)</f>
        <v/>
      </c>
      <c r="H273" s="241">
        <f>IF(F273="","",SUMIFS('ИТОГО Торговля'!$H$5:$H$300,'ИТОГО Торговля'!$B$5:$B$300,$B273)+SUMIFS('ИТОГО Лэндинг'!$H$5:$H$300,'ИТОГО Лэндинг'!$B$5:$B$300,$B273)+SUMIFS('История'!$H$5:$H$300,'История'!$B$5:$B$300,$B273))</f>
        <v/>
      </c>
      <c r="I273" s="240">
        <f>IF($B273="","",IF(AND(C273="",F273=""),"",ROUND(SUMIFS('ИТОГО Торговля'!$I$5:$I$300,'ИТОГО Торговля'!$B$5:$B$300,$B273)+SUMIFS('ИТОГО Лэндинг'!$I$5:$I$300,'ИТОГО Лэндинг'!$B$5:$B$300,$B273)+SUMIFS('История'!$I$5:$I$300,'История'!$B$5:$B$300,$B273),8)))</f>
        <v/>
      </c>
      <c r="J273" s="241">
        <f>IF($B273="","",IF(AND(C273="",F273=""),"",ROUND(SUMIFS('ИТОГО Торговля'!$J$5:$J$300,'ИТОГО Торговля'!$B$5:$B$300,$B273)+SUMIFS('ИТОГО Лэндинг'!$J$5:$J$300,'ИТОГО Лэндинг'!$B$5:$B$300,$B273)+SUMIFS('История'!$J$5:$J$300,'История'!$B$5:$B$300,$B273),8)))</f>
        <v/>
      </c>
      <c r="K273" s="240">
        <f>IF($B273="","",ROUND(SUMIFS('ИТОГО Торговля'!$K$5:$K$300,'ИТОГО Торговля'!$B$5:$B$300,$B273)+SUMIFS('ИТОГО Лэндинг'!$K$5:$K$300,'ИТОГО Лэндинг'!$B$5:$B$300,$B273)+SUMIFS('История'!$K$5:$K$300,'История'!$B$5:$B$300,$B273),8))</f>
        <v/>
      </c>
      <c r="L273" s="177">
        <f>IF(K273="","",IF(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273)*((История!$C$5:$C$300+История!$F$5:$F$300-ABS(История!$C$5:$C$300-История!$F$5:$F$300))/2)*История!$D$5:$D$300))&lt;=0,0,ROUND(K273/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273)*((История!$C$5:$C$300+История!$F$5:$F$300-ABS(История!$C$5:$C$300-История!$F$5:$F$300))/2)*История!$D$5:$D$300)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IF($B274="","",IF(SUMIFS('ИТОГО Торговля'!$C$5:$C$300,'ИТОГО Торговля'!$B$5:$B$300,$B274)+SUMIFS('ИТОГО Лэндинг'!$C$5:$C$300,'ИТОГО Лэндинг'!$B$5:$B$300,$B274)+SUMIFS('История'!$C$5:$C$300,'История'!$B$5:$B$300,$B274)=0,"",SUMIFS('ИТОГО Торговля'!$C$5:$C$300,'ИТОГО Торговля'!$B$5:$B$300,$B274)+SUMIFS('ИТОГО Лэндинг'!$C$5:$C$300,'ИТОГО Лэндинг'!$B$5:$B$300,$B274)+SUMIFS('История'!$C$5:$C$300,'История'!$B$5:$B$300,$B274)))</f>
        <v/>
      </c>
      <c r="D274" s="183">
        <f>IF(C274="","",E274/C274)</f>
        <v/>
      </c>
      <c r="E274" s="247">
        <f>IF(C274="","",SUMIFS('ИТОГО Торговля'!$E$5:$E$300,'ИТОГО Торговля'!$B$5:$B$300,$B274)+SUMIFS('ИТОГО Лэндинг'!$E$5:$E$300,'ИТОГО Лэндинг'!$B$5:$B$300,$B274)+SUMIFS('История'!$E$5:$E$300,'История'!$B$5:$B$300,$B274))</f>
        <v/>
      </c>
      <c r="F274" s="246">
        <f>IF($B274="","",IF(SUMIFS('ИТОГО Торговля'!$F$5:$F$300,'ИТОГО Торговля'!$B$5:$B$300,$B274)+SUMIFS('ИТОГО Лэндинг'!$F$5:$F$300,'ИТОГО Лэндинг'!$B$5:$B$300,$B274)+SUMIFS('История'!$F$5:$F$300,'История'!$B$5:$B$300,$B274)=0,"",SUMIFS('ИТОГО Торговля'!$F$5:$F$300,'ИТОГО Торговля'!$B$5:$B$300,$B274)+SUMIFS('ИТОГО Лэндинг'!$F$5:$F$300,'ИТОГО Лэндинг'!$B$5:$B$300,$B274)+SUMIFS('История'!$F$5:$F$300,'История'!$B$5:$B$300,$B274)))</f>
        <v/>
      </c>
      <c r="G274" s="183">
        <f>IF(F274="","",H274/F274)</f>
        <v/>
      </c>
      <c r="H274" s="247">
        <f>IF(F274="","",SUMIFS('ИТОГО Торговля'!$H$5:$H$300,'ИТОГО Торговля'!$B$5:$B$300,$B274)+SUMIFS('ИТОГО Лэндинг'!$H$5:$H$300,'ИТОГО Лэндинг'!$B$5:$B$300,$B274)+SUMIFS('История'!$H$5:$H$300,'История'!$B$5:$B$300,$B274))</f>
        <v/>
      </c>
      <c r="I274" s="246">
        <f>IF($B274="","",IF(AND(C274="",F274=""),"",ROUND(SUMIFS('ИТОГО Торговля'!$I$5:$I$300,'ИТОГО Торговля'!$B$5:$B$300,$B274)+SUMIFS('ИТОГО Лэндинг'!$I$5:$I$300,'ИТОГО Лэндинг'!$B$5:$B$300,$B274)+SUMIFS('История'!$I$5:$I$300,'История'!$B$5:$B$300,$B274),8)))</f>
        <v/>
      </c>
      <c r="J274" s="247">
        <f>IF($B274="","",IF(AND(C274="",F274=""),"",ROUND(SUMIFS('ИТОГО Торговля'!$J$5:$J$300,'ИТОГО Торговля'!$B$5:$B$300,$B274)+SUMIFS('ИТОГО Лэндинг'!$J$5:$J$300,'ИТОГО Лэндинг'!$B$5:$B$300,$B274)+SUMIFS('История'!$J$5:$J$300,'История'!$B$5:$B$300,$B274),8)))</f>
        <v/>
      </c>
      <c r="K274" s="246">
        <f>IF($B274="","",ROUND(SUMIFS('ИТОГО Торговля'!$K$5:$K$300,'ИТОГО Торговля'!$B$5:$B$300,$B274)+SUMIFS('ИТОГО Лэндинг'!$K$5:$K$300,'ИТОГО Лэндинг'!$B$5:$B$300,$B274)+SUMIFS('История'!$K$5:$K$300,'История'!$B$5:$B$300,$B274),8))</f>
        <v/>
      </c>
      <c r="L274" s="183">
        <f>IF(K274="","",IF(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274)*((История!$C$5:$C$300+История!$F$5:$F$300-ABS(История!$C$5:$C$300-История!$F$5:$F$300))/2)*История!$D$5:$D$300))&lt;=0,0,ROUND(K274/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274)*((История!$C$5:$C$300+История!$F$5:$F$300-ABS(История!$C$5:$C$300-История!$F$5:$F$300))/2)*История!$D$5:$D$300)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IF($B275="","",IF(SUMIFS('ИТОГО Торговля'!$C$5:$C$300,'ИТОГО Торговля'!$B$5:$B$300,$B275)+SUMIFS('ИТОГО Лэндинг'!$C$5:$C$300,'ИТОГО Лэндинг'!$B$5:$B$300,$B275)+SUMIFS('История'!$C$5:$C$300,'История'!$B$5:$B$300,$B275)=0,"",SUMIFS('ИТОГО Торговля'!$C$5:$C$300,'ИТОГО Торговля'!$B$5:$B$300,$B275)+SUMIFS('ИТОГО Лэндинг'!$C$5:$C$300,'ИТОГО Лэндинг'!$B$5:$B$300,$B275)+SUMIFS('История'!$C$5:$C$300,'История'!$B$5:$B$300,$B275)))</f>
        <v/>
      </c>
      <c r="D275" s="177">
        <f>IF(C275="","",E275/C275)</f>
        <v/>
      </c>
      <c r="E275" s="241">
        <f>IF(C275="","",SUMIFS('ИТОГО Торговля'!$E$5:$E$300,'ИТОГО Торговля'!$B$5:$B$300,$B275)+SUMIFS('ИТОГО Лэндинг'!$E$5:$E$300,'ИТОГО Лэндинг'!$B$5:$B$300,$B275)+SUMIFS('История'!$E$5:$E$300,'История'!$B$5:$B$300,$B275))</f>
        <v/>
      </c>
      <c r="F275" s="240">
        <f>IF($B275="","",IF(SUMIFS('ИТОГО Торговля'!$F$5:$F$300,'ИТОГО Торговля'!$B$5:$B$300,$B275)+SUMIFS('ИТОГО Лэндинг'!$F$5:$F$300,'ИТОГО Лэндинг'!$B$5:$B$300,$B275)+SUMIFS('История'!$F$5:$F$300,'История'!$B$5:$B$300,$B275)=0,"",SUMIFS('ИТОГО Торговля'!$F$5:$F$300,'ИТОГО Торговля'!$B$5:$B$300,$B275)+SUMIFS('ИТОГО Лэндинг'!$F$5:$F$300,'ИТОГО Лэндинг'!$B$5:$B$300,$B275)+SUMIFS('История'!$F$5:$F$300,'История'!$B$5:$B$300,$B275)))</f>
        <v/>
      </c>
      <c r="G275" s="177">
        <f>IF(F275="","",H275/F275)</f>
        <v/>
      </c>
      <c r="H275" s="241">
        <f>IF(F275="","",SUMIFS('ИТОГО Торговля'!$H$5:$H$300,'ИТОГО Торговля'!$B$5:$B$300,$B275)+SUMIFS('ИТОГО Лэндинг'!$H$5:$H$300,'ИТОГО Лэндинг'!$B$5:$B$300,$B275)+SUMIFS('История'!$H$5:$H$300,'История'!$B$5:$B$300,$B275))</f>
        <v/>
      </c>
      <c r="I275" s="240">
        <f>IF($B275="","",IF(AND(C275="",F275=""),"",ROUND(SUMIFS('ИТОГО Торговля'!$I$5:$I$300,'ИТОГО Торговля'!$B$5:$B$300,$B275)+SUMIFS('ИТОГО Лэндинг'!$I$5:$I$300,'ИТОГО Лэндинг'!$B$5:$B$300,$B275)+SUMIFS('История'!$I$5:$I$300,'История'!$B$5:$B$300,$B275),8)))</f>
        <v/>
      </c>
      <c r="J275" s="241">
        <f>IF($B275="","",IF(AND(C275="",F275=""),"",ROUND(SUMIFS('ИТОГО Торговля'!$J$5:$J$300,'ИТОГО Торговля'!$B$5:$B$300,$B275)+SUMIFS('ИТОГО Лэндинг'!$J$5:$J$300,'ИТОГО Лэндинг'!$B$5:$B$300,$B275)+SUMIFS('История'!$J$5:$J$300,'История'!$B$5:$B$300,$B275),8)))</f>
        <v/>
      </c>
      <c r="K275" s="240">
        <f>IF($B275="","",ROUND(SUMIFS('ИТОГО Торговля'!$K$5:$K$300,'ИТОГО Торговля'!$B$5:$B$300,$B275)+SUMIFS('ИТОГО Лэндинг'!$K$5:$K$300,'ИТОГО Лэндинг'!$B$5:$B$300,$B275)+SUMIFS('История'!$K$5:$K$300,'История'!$B$5:$B$300,$B275),8))</f>
        <v/>
      </c>
      <c r="L275" s="177">
        <f>IF(K275="","",IF(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275)*((История!$C$5:$C$300+История!$F$5:$F$300-ABS(История!$C$5:$C$300-История!$F$5:$F$300))/2)*История!$D$5:$D$300))&lt;=0,0,ROUND(K275/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275)*((История!$C$5:$C$300+История!$F$5:$F$300-ABS(История!$C$5:$C$300-История!$F$5:$F$300))/2)*История!$D$5:$D$300)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IF($B276="","",IF(SUMIFS('ИТОГО Торговля'!$C$5:$C$300,'ИТОГО Торговля'!$B$5:$B$300,$B276)+SUMIFS('ИТОГО Лэндинг'!$C$5:$C$300,'ИТОГО Лэндинг'!$B$5:$B$300,$B276)+SUMIFS('История'!$C$5:$C$300,'История'!$B$5:$B$300,$B276)=0,"",SUMIFS('ИТОГО Торговля'!$C$5:$C$300,'ИТОГО Торговля'!$B$5:$B$300,$B276)+SUMIFS('ИТОГО Лэндинг'!$C$5:$C$300,'ИТОГО Лэндинг'!$B$5:$B$300,$B276)+SUMIFS('История'!$C$5:$C$300,'История'!$B$5:$B$300,$B276)))</f>
        <v/>
      </c>
      <c r="D276" s="183">
        <f>IF(C276="","",E276/C276)</f>
        <v/>
      </c>
      <c r="E276" s="247">
        <f>IF(C276="","",SUMIFS('ИТОГО Торговля'!$E$5:$E$300,'ИТОГО Торговля'!$B$5:$B$300,$B276)+SUMIFS('ИТОГО Лэндинг'!$E$5:$E$300,'ИТОГО Лэндинг'!$B$5:$B$300,$B276)+SUMIFS('История'!$E$5:$E$300,'История'!$B$5:$B$300,$B276))</f>
        <v/>
      </c>
      <c r="F276" s="246">
        <f>IF($B276="","",IF(SUMIFS('ИТОГО Торговля'!$F$5:$F$300,'ИТОГО Торговля'!$B$5:$B$300,$B276)+SUMIFS('ИТОГО Лэндинг'!$F$5:$F$300,'ИТОГО Лэндинг'!$B$5:$B$300,$B276)+SUMIFS('История'!$F$5:$F$300,'История'!$B$5:$B$300,$B276)=0,"",SUMIFS('ИТОГО Торговля'!$F$5:$F$300,'ИТОГО Торговля'!$B$5:$B$300,$B276)+SUMIFS('ИТОГО Лэндинг'!$F$5:$F$300,'ИТОГО Лэндинг'!$B$5:$B$300,$B276)+SUMIFS('История'!$F$5:$F$300,'История'!$B$5:$B$300,$B276)))</f>
        <v/>
      </c>
      <c r="G276" s="183">
        <f>IF(F276="","",H276/F276)</f>
        <v/>
      </c>
      <c r="H276" s="247">
        <f>IF(F276="","",SUMIFS('ИТОГО Торговля'!$H$5:$H$300,'ИТОГО Торговля'!$B$5:$B$300,$B276)+SUMIFS('ИТОГО Лэндинг'!$H$5:$H$300,'ИТОГО Лэндинг'!$B$5:$B$300,$B276)+SUMIFS('История'!$H$5:$H$300,'История'!$B$5:$B$300,$B276))</f>
        <v/>
      </c>
      <c r="I276" s="246">
        <f>IF($B276="","",IF(AND(C276="",F276=""),"",ROUND(SUMIFS('ИТОГО Торговля'!$I$5:$I$300,'ИТОГО Торговля'!$B$5:$B$300,$B276)+SUMIFS('ИТОГО Лэндинг'!$I$5:$I$300,'ИТОГО Лэндинг'!$B$5:$B$300,$B276)+SUMIFS('История'!$I$5:$I$300,'История'!$B$5:$B$300,$B276),8)))</f>
        <v/>
      </c>
      <c r="J276" s="247">
        <f>IF($B276="","",IF(AND(C276="",F276=""),"",ROUND(SUMIFS('ИТОГО Торговля'!$J$5:$J$300,'ИТОГО Торговля'!$B$5:$B$300,$B276)+SUMIFS('ИТОГО Лэндинг'!$J$5:$J$300,'ИТОГО Лэндинг'!$B$5:$B$300,$B276)+SUMIFS('История'!$J$5:$J$300,'История'!$B$5:$B$300,$B276),8)))</f>
        <v/>
      </c>
      <c r="K276" s="246">
        <f>IF($B276="","",ROUND(SUMIFS('ИТОГО Торговля'!$K$5:$K$300,'ИТОГО Торговля'!$B$5:$B$300,$B276)+SUMIFS('ИТОГО Лэндинг'!$K$5:$K$300,'ИТОГО Лэндинг'!$B$5:$B$300,$B276)+SUMIFS('История'!$K$5:$K$300,'История'!$B$5:$B$300,$B276),8))</f>
        <v/>
      </c>
      <c r="L276" s="183">
        <f>IF(K276="","",IF(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276)*((История!$C$5:$C$300+История!$F$5:$F$300-ABS(История!$C$5:$C$300-История!$F$5:$F$300))/2)*История!$D$5:$D$300))&lt;=0,0,ROUND(K276/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276)*((История!$C$5:$C$300+История!$F$5:$F$300-ABS(История!$C$5:$C$300-История!$F$5:$F$300))/2)*История!$D$5:$D$300)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IF($B277="","",IF(SUMIFS('ИТОГО Торговля'!$C$5:$C$300,'ИТОГО Торговля'!$B$5:$B$300,$B277)+SUMIFS('ИТОГО Лэндинг'!$C$5:$C$300,'ИТОГО Лэндинг'!$B$5:$B$300,$B277)+SUMIFS('История'!$C$5:$C$300,'История'!$B$5:$B$300,$B277)=0,"",SUMIFS('ИТОГО Торговля'!$C$5:$C$300,'ИТОГО Торговля'!$B$5:$B$300,$B277)+SUMIFS('ИТОГО Лэндинг'!$C$5:$C$300,'ИТОГО Лэндинг'!$B$5:$B$300,$B277)+SUMIFS('История'!$C$5:$C$300,'История'!$B$5:$B$300,$B277)))</f>
        <v/>
      </c>
      <c r="D277" s="177">
        <f>IF(C277="","",E277/C277)</f>
        <v/>
      </c>
      <c r="E277" s="241">
        <f>IF(C277="","",SUMIFS('ИТОГО Торговля'!$E$5:$E$300,'ИТОГО Торговля'!$B$5:$B$300,$B277)+SUMIFS('ИТОГО Лэндинг'!$E$5:$E$300,'ИТОГО Лэндинг'!$B$5:$B$300,$B277)+SUMIFS('История'!$E$5:$E$300,'История'!$B$5:$B$300,$B277))</f>
        <v/>
      </c>
      <c r="F277" s="240">
        <f>IF($B277="","",IF(SUMIFS('ИТОГО Торговля'!$F$5:$F$300,'ИТОГО Торговля'!$B$5:$B$300,$B277)+SUMIFS('ИТОГО Лэндинг'!$F$5:$F$300,'ИТОГО Лэндинг'!$B$5:$B$300,$B277)+SUMIFS('История'!$F$5:$F$300,'История'!$B$5:$B$300,$B277)=0,"",SUMIFS('ИТОГО Торговля'!$F$5:$F$300,'ИТОГО Торговля'!$B$5:$B$300,$B277)+SUMIFS('ИТОГО Лэндинг'!$F$5:$F$300,'ИТОГО Лэндинг'!$B$5:$B$300,$B277)+SUMIFS('История'!$F$5:$F$300,'История'!$B$5:$B$300,$B277)))</f>
        <v/>
      </c>
      <c r="G277" s="177">
        <f>IF(F277="","",H277/F277)</f>
        <v/>
      </c>
      <c r="H277" s="241">
        <f>IF(F277="","",SUMIFS('ИТОГО Торговля'!$H$5:$H$300,'ИТОГО Торговля'!$B$5:$B$300,$B277)+SUMIFS('ИТОГО Лэндинг'!$H$5:$H$300,'ИТОГО Лэндинг'!$B$5:$B$300,$B277)+SUMIFS('История'!$H$5:$H$300,'История'!$B$5:$B$300,$B277))</f>
        <v/>
      </c>
      <c r="I277" s="240">
        <f>IF($B277="","",IF(AND(C277="",F277=""),"",ROUND(SUMIFS('ИТОГО Торговля'!$I$5:$I$300,'ИТОГО Торговля'!$B$5:$B$300,$B277)+SUMIFS('ИТОГО Лэндинг'!$I$5:$I$300,'ИТОГО Лэндинг'!$B$5:$B$300,$B277)+SUMIFS('История'!$I$5:$I$300,'История'!$B$5:$B$300,$B277),8)))</f>
        <v/>
      </c>
      <c r="J277" s="241">
        <f>IF($B277="","",IF(AND(C277="",F277=""),"",ROUND(SUMIFS('ИТОГО Торговля'!$J$5:$J$300,'ИТОГО Торговля'!$B$5:$B$300,$B277)+SUMIFS('ИТОГО Лэндинг'!$J$5:$J$300,'ИТОГО Лэндинг'!$B$5:$B$300,$B277)+SUMIFS('История'!$J$5:$J$300,'История'!$B$5:$B$300,$B277),8)))</f>
        <v/>
      </c>
      <c r="K277" s="240">
        <f>IF($B277="","",ROUND(SUMIFS('ИТОГО Торговля'!$K$5:$K$300,'ИТОГО Торговля'!$B$5:$B$300,$B277)+SUMIFS('ИТОГО Лэндинг'!$K$5:$K$300,'ИТОГО Лэндинг'!$B$5:$B$300,$B277)+SUMIFS('История'!$K$5:$K$300,'История'!$B$5:$B$300,$B277),8))</f>
        <v/>
      </c>
      <c r="L277" s="177">
        <f>IF(K277="","",IF(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277)*((История!$C$5:$C$300+История!$F$5:$F$300-ABS(История!$C$5:$C$300-История!$F$5:$F$300))/2)*История!$D$5:$D$300))&lt;=0,0,ROUND(K277/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277)*((История!$C$5:$C$300+История!$F$5:$F$300-ABS(История!$C$5:$C$300-История!$F$5:$F$300))/2)*История!$D$5:$D$300)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IF($B278="","",IF(SUMIFS('ИТОГО Торговля'!$C$5:$C$300,'ИТОГО Торговля'!$B$5:$B$300,$B278)+SUMIFS('ИТОГО Лэндинг'!$C$5:$C$300,'ИТОГО Лэндинг'!$B$5:$B$300,$B278)+SUMIFS('История'!$C$5:$C$300,'История'!$B$5:$B$300,$B278)=0,"",SUMIFS('ИТОГО Торговля'!$C$5:$C$300,'ИТОГО Торговля'!$B$5:$B$300,$B278)+SUMIFS('ИТОГО Лэндинг'!$C$5:$C$300,'ИТОГО Лэндинг'!$B$5:$B$300,$B278)+SUMIFS('История'!$C$5:$C$300,'История'!$B$5:$B$300,$B278)))</f>
        <v/>
      </c>
      <c r="D278" s="183">
        <f>IF(C278="","",E278/C278)</f>
        <v/>
      </c>
      <c r="E278" s="247">
        <f>IF(C278="","",SUMIFS('ИТОГО Торговля'!$E$5:$E$300,'ИТОГО Торговля'!$B$5:$B$300,$B278)+SUMIFS('ИТОГО Лэндинг'!$E$5:$E$300,'ИТОГО Лэндинг'!$B$5:$B$300,$B278)+SUMIFS('История'!$E$5:$E$300,'История'!$B$5:$B$300,$B278))</f>
        <v/>
      </c>
      <c r="F278" s="246">
        <f>IF($B278="","",IF(SUMIFS('ИТОГО Торговля'!$F$5:$F$300,'ИТОГО Торговля'!$B$5:$B$300,$B278)+SUMIFS('ИТОГО Лэндинг'!$F$5:$F$300,'ИТОГО Лэндинг'!$B$5:$B$300,$B278)+SUMIFS('История'!$F$5:$F$300,'История'!$B$5:$B$300,$B278)=0,"",SUMIFS('ИТОГО Торговля'!$F$5:$F$300,'ИТОГО Торговля'!$B$5:$B$300,$B278)+SUMIFS('ИТОГО Лэндинг'!$F$5:$F$300,'ИТОГО Лэндинг'!$B$5:$B$300,$B278)+SUMIFS('История'!$F$5:$F$300,'История'!$B$5:$B$300,$B278)))</f>
        <v/>
      </c>
      <c r="G278" s="183">
        <f>IF(F278="","",H278/F278)</f>
        <v/>
      </c>
      <c r="H278" s="247">
        <f>IF(F278="","",SUMIFS('ИТОГО Торговля'!$H$5:$H$300,'ИТОГО Торговля'!$B$5:$B$300,$B278)+SUMIFS('ИТОГО Лэндинг'!$H$5:$H$300,'ИТОГО Лэндинг'!$B$5:$B$300,$B278)+SUMIFS('История'!$H$5:$H$300,'История'!$B$5:$B$300,$B278))</f>
        <v/>
      </c>
      <c r="I278" s="246">
        <f>IF($B278="","",IF(AND(C278="",F278=""),"",ROUND(SUMIFS('ИТОГО Торговля'!$I$5:$I$300,'ИТОГО Торговля'!$B$5:$B$300,$B278)+SUMIFS('ИТОГО Лэндинг'!$I$5:$I$300,'ИТОГО Лэндинг'!$B$5:$B$300,$B278)+SUMIFS('История'!$I$5:$I$300,'История'!$B$5:$B$300,$B278),8)))</f>
        <v/>
      </c>
      <c r="J278" s="247">
        <f>IF($B278="","",IF(AND(C278="",F278=""),"",ROUND(SUMIFS('ИТОГО Торговля'!$J$5:$J$300,'ИТОГО Торговля'!$B$5:$B$300,$B278)+SUMIFS('ИТОГО Лэндинг'!$J$5:$J$300,'ИТОГО Лэндинг'!$B$5:$B$300,$B278)+SUMIFS('История'!$J$5:$J$300,'История'!$B$5:$B$300,$B278),8)))</f>
        <v/>
      </c>
      <c r="K278" s="246">
        <f>IF($B278="","",ROUND(SUMIFS('ИТОГО Торговля'!$K$5:$K$300,'ИТОГО Торговля'!$B$5:$B$300,$B278)+SUMIFS('ИТОГО Лэндинг'!$K$5:$K$300,'ИТОГО Лэндинг'!$B$5:$B$300,$B278)+SUMIFS('История'!$K$5:$K$300,'История'!$B$5:$B$300,$B278),8))</f>
        <v/>
      </c>
      <c r="L278" s="183">
        <f>IF(K278="","",IF(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278)*((История!$C$5:$C$300+История!$F$5:$F$300-ABS(История!$C$5:$C$300-История!$F$5:$F$300))/2)*История!$D$5:$D$300))&lt;=0,0,ROUND(K278/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278)*((История!$C$5:$C$300+История!$F$5:$F$300-ABS(История!$C$5:$C$300-История!$F$5:$F$300))/2)*История!$D$5:$D$300)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IF($B279="","",IF(SUMIFS('ИТОГО Торговля'!$C$5:$C$300,'ИТОГО Торговля'!$B$5:$B$300,$B279)+SUMIFS('ИТОГО Лэндинг'!$C$5:$C$300,'ИТОГО Лэндинг'!$B$5:$B$300,$B279)+SUMIFS('История'!$C$5:$C$300,'История'!$B$5:$B$300,$B279)=0,"",SUMIFS('ИТОГО Торговля'!$C$5:$C$300,'ИТОГО Торговля'!$B$5:$B$300,$B279)+SUMIFS('ИТОГО Лэндинг'!$C$5:$C$300,'ИТОГО Лэндинг'!$B$5:$B$300,$B279)+SUMIFS('История'!$C$5:$C$300,'История'!$B$5:$B$300,$B279)))</f>
        <v/>
      </c>
      <c r="D279" s="177">
        <f>IF(C279="","",E279/C279)</f>
        <v/>
      </c>
      <c r="E279" s="241">
        <f>IF(C279="","",SUMIFS('ИТОГО Торговля'!$E$5:$E$300,'ИТОГО Торговля'!$B$5:$B$300,$B279)+SUMIFS('ИТОГО Лэндинг'!$E$5:$E$300,'ИТОГО Лэндинг'!$B$5:$B$300,$B279)+SUMIFS('История'!$E$5:$E$300,'История'!$B$5:$B$300,$B279))</f>
        <v/>
      </c>
      <c r="F279" s="240">
        <f>IF($B279="","",IF(SUMIFS('ИТОГО Торговля'!$F$5:$F$300,'ИТОГО Торговля'!$B$5:$B$300,$B279)+SUMIFS('ИТОГО Лэндинг'!$F$5:$F$300,'ИТОГО Лэндинг'!$B$5:$B$300,$B279)+SUMIFS('История'!$F$5:$F$300,'История'!$B$5:$B$300,$B279)=0,"",SUMIFS('ИТОГО Торговля'!$F$5:$F$300,'ИТОГО Торговля'!$B$5:$B$300,$B279)+SUMIFS('ИТОГО Лэндинг'!$F$5:$F$300,'ИТОГО Лэндинг'!$B$5:$B$300,$B279)+SUMIFS('История'!$F$5:$F$300,'История'!$B$5:$B$300,$B279)))</f>
        <v/>
      </c>
      <c r="G279" s="177">
        <f>IF(F279="","",H279/F279)</f>
        <v/>
      </c>
      <c r="H279" s="241">
        <f>IF(F279="","",SUMIFS('ИТОГО Торговля'!$H$5:$H$300,'ИТОГО Торговля'!$B$5:$B$300,$B279)+SUMIFS('ИТОГО Лэндинг'!$H$5:$H$300,'ИТОГО Лэндинг'!$B$5:$B$300,$B279)+SUMIFS('История'!$H$5:$H$300,'История'!$B$5:$B$300,$B279))</f>
        <v/>
      </c>
      <c r="I279" s="240">
        <f>IF($B279="","",IF(AND(C279="",F279=""),"",ROUND(SUMIFS('ИТОГО Торговля'!$I$5:$I$300,'ИТОГО Торговля'!$B$5:$B$300,$B279)+SUMIFS('ИТОГО Лэндинг'!$I$5:$I$300,'ИТОГО Лэндинг'!$B$5:$B$300,$B279)+SUMIFS('История'!$I$5:$I$300,'История'!$B$5:$B$300,$B279),8)))</f>
        <v/>
      </c>
      <c r="J279" s="241">
        <f>IF($B279="","",IF(AND(C279="",F279=""),"",ROUND(SUMIFS('ИТОГО Торговля'!$J$5:$J$300,'ИТОГО Торговля'!$B$5:$B$300,$B279)+SUMIFS('ИТОГО Лэндинг'!$J$5:$J$300,'ИТОГО Лэндинг'!$B$5:$B$300,$B279)+SUMIFS('История'!$J$5:$J$300,'История'!$B$5:$B$300,$B279),8)))</f>
        <v/>
      </c>
      <c r="K279" s="240">
        <f>IF($B279="","",ROUND(SUMIFS('ИТОГО Торговля'!$K$5:$K$300,'ИТОГО Торговля'!$B$5:$B$300,$B279)+SUMIFS('ИТОГО Лэндинг'!$K$5:$K$300,'ИТОГО Лэндинг'!$B$5:$B$300,$B279)+SUMIFS('История'!$K$5:$K$300,'История'!$B$5:$B$300,$B279),8))</f>
        <v/>
      </c>
      <c r="L279" s="177">
        <f>IF(K279="","",IF(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279)*((История!$C$5:$C$300+История!$F$5:$F$300-ABS(История!$C$5:$C$300-История!$F$5:$F$300))/2)*История!$D$5:$D$300))&lt;=0,0,ROUND(K279/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279)*((История!$C$5:$C$300+История!$F$5:$F$300-ABS(История!$C$5:$C$300-История!$F$5:$F$300))/2)*История!$D$5:$D$300)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IF($B280="","",IF(SUMIFS('ИТОГО Торговля'!$C$5:$C$300,'ИТОГО Торговля'!$B$5:$B$300,$B280)+SUMIFS('ИТОГО Лэндинг'!$C$5:$C$300,'ИТОГО Лэндинг'!$B$5:$B$300,$B280)+SUMIFS('История'!$C$5:$C$300,'История'!$B$5:$B$300,$B280)=0,"",SUMIFS('ИТОГО Торговля'!$C$5:$C$300,'ИТОГО Торговля'!$B$5:$B$300,$B280)+SUMIFS('ИТОГО Лэндинг'!$C$5:$C$300,'ИТОГО Лэндинг'!$B$5:$B$300,$B280)+SUMIFS('История'!$C$5:$C$300,'История'!$B$5:$B$300,$B280)))</f>
        <v/>
      </c>
      <c r="D280" s="183">
        <f>IF(C280="","",E280/C280)</f>
        <v/>
      </c>
      <c r="E280" s="247">
        <f>IF(C280="","",SUMIFS('ИТОГО Торговля'!$E$5:$E$300,'ИТОГО Торговля'!$B$5:$B$300,$B280)+SUMIFS('ИТОГО Лэндинг'!$E$5:$E$300,'ИТОГО Лэндинг'!$B$5:$B$300,$B280)+SUMIFS('История'!$E$5:$E$300,'История'!$B$5:$B$300,$B280))</f>
        <v/>
      </c>
      <c r="F280" s="246">
        <f>IF($B280="","",IF(SUMIFS('ИТОГО Торговля'!$F$5:$F$300,'ИТОГО Торговля'!$B$5:$B$300,$B280)+SUMIFS('ИТОГО Лэндинг'!$F$5:$F$300,'ИТОГО Лэндинг'!$B$5:$B$300,$B280)+SUMIFS('История'!$F$5:$F$300,'История'!$B$5:$B$300,$B280)=0,"",SUMIFS('ИТОГО Торговля'!$F$5:$F$300,'ИТОГО Торговля'!$B$5:$B$300,$B280)+SUMIFS('ИТОГО Лэндинг'!$F$5:$F$300,'ИТОГО Лэндинг'!$B$5:$B$300,$B280)+SUMIFS('История'!$F$5:$F$300,'История'!$B$5:$B$300,$B280)))</f>
        <v/>
      </c>
      <c r="G280" s="183">
        <f>IF(F280="","",H280/F280)</f>
        <v/>
      </c>
      <c r="H280" s="247">
        <f>IF(F280="","",SUMIFS('ИТОГО Торговля'!$H$5:$H$300,'ИТОГО Торговля'!$B$5:$B$300,$B280)+SUMIFS('ИТОГО Лэндинг'!$H$5:$H$300,'ИТОГО Лэндинг'!$B$5:$B$300,$B280)+SUMIFS('История'!$H$5:$H$300,'История'!$B$5:$B$300,$B280))</f>
        <v/>
      </c>
      <c r="I280" s="246">
        <f>IF($B280="","",IF(AND(C280="",F280=""),"",ROUND(SUMIFS('ИТОГО Торговля'!$I$5:$I$300,'ИТОГО Торговля'!$B$5:$B$300,$B280)+SUMIFS('ИТОГО Лэндинг'!$I$5:$I$300,'ИТОГО Лэндинг'!$B$5:$B$300,$B280)+SUMIFS('История'!$I$5:$I$300,'История'!$B$5:$B$300,$B280),8)))</f>
        <v/>
      </c>
      <c r="J280" s="247">
        <f>IF($B280="","",IF(AND(C280="",F280=""),"",ROUND(SUMIFS('ИТОГО Торговля'!$J$5:$J$300,'ИТОГО Торговля'!$B$5:$B$300,$B280)+SUMIFS('ИТОГО Лэндинг'!$J$5:$J$300,'ИТОГО Лэндинг'!$B$5:$B$300,$B280)+SUMIFS('История'!$J$5:$J$300,'История'!$B$5:$B$300,$B280),8)))</f>
        <v/>
      </c>
      <c r="K280" s="246">
        <f>IF($B280="","",ROUND(SUMIFS('ИТОГО Торговля'!$K$5:$K$300,'ИТОГО Торговля'!$B$5:$B$300,$B280)+SUMIFS('ИТОГО Лэндинг'!$K$5:$K$300,'ИТОГО Лэндинг'!$B$5:$B$300,$B280)+SUMIFS('История'!$K$5:$K$300,'История'!$B$5:$B$300,$B280),8))</f>
        <v/>
      </c>
      <c r="L280" s="183">
        <f>IF(K280="","",IF(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280)*((История!$C$5:$C$300+История!$F$5:$F$300-ABS(История!$C$5:$C$300-История!$F$5:$F$300))/2)*История!$D$5:$D$300))&lt;=0,0,ROUND(K280/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280)*((История!$C$5:$C$300+История!$F$5:$F$300-ABS(История!$C$5:$C$300-История!$F$5:$F$300))/2)*История!$D$5:$D$300)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IF($B281="","",IF(SUMIFS('ИТОГО Торговля'!$C$5:$C$300,'ИТОГО Торговля'!$B$5:$B$300,$B281)+SUMIFS('ИТОГО Лэндинг'!$C$5:$C$300,'ИТОГО Лэндинг'!$B$5:$B$300,$B281)+SUMIFS('История'!$C$5:$C$300,'История'!$B$5:$B$300,$B281)=0,"",SUMIFS('ИТОГО Торговля'!$C$5:$C$300,'ИТОГО Торговля'!$B$5:$B$300,$B281)+SUMIFS('ИТОГО Лэндинг'!$C$5:$C$300,'ИТОГО Лэндинг'!$B$5:$B$300,$B281)+SUMIFS('История'!$C$5:$C$300,'История'!$B$5:$B$300,$B281)))</f>
        <v/>
      </c>
      <c r="D281" s="177">
        <f>IF(C281="","",E281/C281)</f>
        <v/>
      </c>
      <c r="E281" s="241">
        <f>IF(C281="","",SUMIFS('ИТОГО Торговля'!$E$5:$E$300,'ИТОГО Торговля'!$B$5:$B$300,$B281)+SUMIFS('ИТОГО Лэндинг'!$E$5:$E$300,'ИТОГО Лэндинг'!$B$5:$B$300,$B281)+SUMIFS('История'!$E$5:$E$300,'История'!$B$5:$B$300,$B281))</f>
        <v/>
      </c>
      <c r="F281" s="240">
        <f>IF($B281="","",IF(SUMIFS('ИТОГО Торговля'!$F$5:$F$300,'ИТОГО Торговля'!$B$5:$B$300,$B281)+SUMIFS('ИТОГО Лэндинг'!$F$5:$F$300,'ИТОГО Лэндинг'!$B$5:$B$300,$B281)+SUMIFS('История'!$F$5:$F$300,'История'!$B$5:$B$300,$B281)=0,"",SUMIFS('ИТОГО Торговля'!$F$5:$F$300,'ИТОГО Торговля'!$B$5:$B$300,$B281)+SUMIFS('ИТОГО Лэндинг'!$F$5:$F$300,'ИТОГО Лэндинг'!$B$5:$B$300,$B281)+SUMIFS('История'!$F$5:$F$300,'История'!$B$5:$B$300,$B281)))</f>
        <v/>
      </c>
      <c r="G281" s="177">
        <f>IF(F281="","",H281/F281)</f>
        <v/>
      </c>
      <c r="H281" s="241">
        <f>IF(F281="","",SUMIFS('ИТОГО Торговля'!$H$5:$H$300,'ИТОГО Торговля'!$B$5:$B$300,$B281)+SUMIFS('ИТОГО Лэндинг'!$H$5:$H$300,'ИТОГО Лэндинг'!$B$5:$B$300,$B281)+SUMIFS('История'!$H$5:$H$300,'История'!$B$5:$B$300,$B281))</f>
        <v/>
      </c>
      <c r="I281" s="240">
        <f>IF($B281="","",IF(AND(C281="",F281=""),"",ROUND(SUMIFS('ИТОГО Торговля'!$I$5:$I$300,'ИТОГО Торговля'!$B$5:$B$300,$B281)+SUMIFS('ИТОГО Лэндинг'!$I$5:$I$300,'ИТОГО Лэндинг'!$B$5:$B$300,$B281)+SUMIFS('История'!$I$5:$I$300,'История'!$B$5:$B$300,$B281),8)))</f>
        <v/>
      </c>
      <c r="J281" s="241">
        <f>IF($B281="","",IF(AND(C281="",F281=""),"",ROUND(SUMIFS('ИТОГО Торговля'!$J$5:$J$300,'ИТОГО Торговля'!$B$5:$B$300,$B281)+SUMIFS('ИТОГО Лэндинг'!$J$5:$J$300,'ИТОГО Лэндинг'!$B$5:$B$300,$B281)+SUMIFS('История'!$J$5:$J$300,'История'!$B$5:$B$300,$B281),8)))</f>
        <v/>
      </c>
      <c r="K281" s="240">
        <f>IF($B281="","",ROUND(SUMIFS('ИТОГО Торговля'!$K$5:$K$300,'ИТОГО Торговля'!$B$5:$B$300,$B281)+SUMIFS('ИТОГО Лэндинг'!$K$5:$K$300,'ИТОГО Лэндинг'!$B$5:$B$300,$B281)+SUMIFS('История'!$K$5:$K$300,'История'!$B$5:$B$300,$B281),8))</f>
        <v/>
      </c>
      <c r="L281" s="177">
        <f>IF(K281="","",IF(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281)*((История!$C$5:$C$300+История!$F$5:$F$300-ABS(История!$C$5:$C$300-История!$F$5:$F$300))/2)*История!$D$5:$D$300))&lt;=0,0,ROUND(K281/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281)*((История!$C$5:$C$300+История!$F$5:$F$300-ABS(История!$C$5:$C$300-История!$F$5:$F$300))/2)*История!$D$5:$D$300)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IF($B282="","",IF(SUMIFS('ИТОГО Торговля'!$C$5:$C$300,'ИТОГО Торговля'!$B$5:$B$300,$B282)+SUMIFS('ИТОГО Лэндинг'!$C$5:$C$300,'ИТОГО Лэндинг'!$B$5:$B$300,$B282)+SUMIFS('История'!$C$5:$C$300,'История'!$B$5:$B$300,$B282)=0,"",SUMIFS('ИТОГО Торговля'!$C$5:$C$300,'ИТОГО Торговля'!$B$5:$B$300,$B282)+SUMIFS('ИТОГО Лэндинг'!$C$5:$C$300,'ИТОГО Лэндинг'!$B$5:$B$300,$B282)+SUMIFS('История'!$C$5:$C$300,'История'!$B$5:$B$300,$B282)))</f>
        <v/>
      </c>
      <c r="D282" s="183">
        <f>IF(C282="","",E282/C282)</f>
        <v/>
      </c>
      <c r="E282" s="247">
        <f>IF(C282="","",SUMIFS('ИТОГО Торговля'!$E$5:$E$300,'ИТОГО Торговля'!$B$5:$B$300,$B282)+SUMIFS('ИТОГО Лэндинг'!$E$5:$E$300,'ИТОГО Лэндинг'!$B$5:$B$300,$B282)+SUMIFS('История'!$E$5:$E$300,'История'!$B$5:$B$300,$B282))</f>
        <v/>
      </c>
      <c r="F282" s="246">
        <f>IF($B282="","",IF(SUMIFS('ИТОГО Торговля'!$F$5:$F$300,'ИТОГО Торговля'!$B$5:$B$300,$B282)+SUMIFS('ИТОГО Лэндинг'!$F$5:$F$300,'ИТОГО Лэндинг'!$B$5:$B$300,$B282)+SUMIFS('История'!$F$5:$F$300,'История'!$B$5:$B$300,$B282)=0,"",SUMIFS('ИТОГО Торговля'!$F$5:$F$300,'ИТОГО Торговля'!$B$5:$B$300,$B282)+SUMIFS('ИТОГО Лэндинг'!$F$5:$F$300,'ИТОГО Лэндинг'!$B$5:$B$300,$B282)+SUMIFS('История'!$F$5:$F$300,'История'!$B$5:$B$300,$B282)))</f>
        <v/>
      </c>
      <c r="G282" s="183">
        <f>IF(F282="","",H282/F282)</f>
        <v/>
      </c>
      <c r="H282" s="247">
        <f>IF(F282="","",SUMIFS('ИТОГО Торговля'!$H$5:$H$300,'ИТОГО Торговля'!$B$5:$B$300,$B282)+SUMIFS('ИТОГО Лэндинг'!$H$5:$H$300,'ИТОГО Лэндинг'!$B$5:$B$300,$B282)+SUMIFS('История'!$H$5:$H$300,'История'!$B$5:$B$300,$B282))</f>
        <v/>
      </c>
      <c r="I282" s="246">
        <f>IF($B282="","",IF(AND(C282="",F282=""),"",ROUND(SUMIFS('ИТОГО Торговля'!$I$5:$I$300,'ИТОГО Торговля'!$B$5:$B$300,$B282)+SUMIFS('ИТОГО Лэндинг'!$I$5:$I$300,'ИТОГО Лэндинг'!$B$5:$B$300,$B282)+SUMIFS('История'!$I$5:$I$300,'История'!$B$5:$B$300,$B282),8)))</f>
        <v/>
      </c>
      <c r="J282" s="247">
        <f>IF($B282="","",IF(AND(C282="",F282=""),"",ROUND(SUMIFS('ИТОГО Торговля'!$J$5:$J$300,'ИТОГО Торговля'!$B$5:$B$300,$B282)+SUMIFS('ИТОГО Лэндинг'!$J$5:$J$300,'ИТОГО Лэндинг'!$B$5:$B$300,$B282)+SUMIFS('История'!$J$5:$J$300,'История'!$B$5:$B$300,$B282),8)))</f>
        <v/>
      </c>
      <c r="K282" s="246">
        <f>IF($B282="","",ROUND(SUMIFS('ИТОГО Торговля'!$K$5:$K$300,'ИТОГО Торговля'!$B$5:$B$300,$B282)+SUMIFS('ИТОГО Лэндинг'!$K$5:$K$300,'ИТОГО Лэндинг'!$B$5:$B$300,$B282)+SUMIFS('История'!$K$5:$K$300,'История'!$B$5:$B$300,$B282),8))</f>
        <v/>
      </c>
      <c r="L282" s="183">
        <f>IF(K282="","",IF(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282)*((История!$C$5:$C$300+История!$F$5:$F$300-ABS(История!$C$5:$C$300-История!$F$5:$F$300))/2)*История!$D$5:$D$300))&lt;=0,0,ROUND(K282/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282)*((История!$C$5:$C$300+История!$F$5:$F$300-ABS(История!$C$5:$C$300-История!$F$5:$F$300))/2)*История!$D$5:$D$300)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IF($B283="","",IF(SUMIFS('ИТОГО Торговля'!$C$5:$C$300,'ИТОГО Торговля'!$B$5:$B$300,$B283)+SUMIFS('ИТОГО Лэндинг'!$C$5:$C$300,'ИТОГО Лэндинг'!$B$5:$B$300,$B283)+SUMIFS('История'!$C$5:$C$300,'История'!$B$5:$B$300,$B283)=0,"",SUMIFS('ИТОГО Торговля'!$C$5:$C$300,'ИТОГО Торговля'!$B$5:$B$300,$B283)+SUMIFS('ИТОГО Лэндинг'!$C$5:$C$300,'ИТОГО Лэндинг'!$B$5:$B$300,$B283)+SUMIFS('История'!$C$5:$C$300,'История'!$B$5:$B$300,$B283)))</f>
        <v/>
      </c>
      <c r="D283" s="177">
        <f>IF(C283="","",E283/C283)</f>
        <v/>
      </c>
      <c r="E283" s="241">
        <f>IF(C283="","",SUMIFS('ИТОГО Торговля'!$E$5:$E$300,'ИТОГО Торговля'!$B$5:$B$300,$B283)+SUMIFS('ИТОГО Лэндинг'!$E$5:$E$300,'ИТОГО Лэндинг'!$B$5:$B$300,$B283)+SUMIFS('История'!$E$5:$E$300,'История'!$B$5:$B$300,$B283))</f>
        <v/>
      </c>
      <c r="F283" s="240">
        <f>IF($B283="","",IF(SUMIFS('ИТОГО Торговля'!$F$5:$F$300,'ИТОГО Торговля'!$B$5:$B$300,$B283)+SUMIFS('ИТОГО Лэндинг'!$F$5:$F$300,'ИТОГО Лэндинг'!$B$5:$B$300,$B283)+SUMIFS('История'!$F$5:$F$300,'История'!$B$5:$B$300,$B283)=0,"",SUMIFS('ИТОГО Торговля'!$F$5:$F$300,'ИТОГО Торговля'!$B$5:$B$300,$B283)+SUMIFS('ИТОГО Лэндинг'!$F$5:$F$300,'ИТОГО Лэндинг'!$B$5:$B$300,$B283)+SUMIFS('История'!$F$5:$F$300,'История'!$B$5:$B$300,$B283)))</f>
        <v/>
      </c>
      <c r="G283" s="177">
        <f>IF(F283="","",H283/F283)</f>
        <v/>
      </c>
      <c r="H283" s="241">
        <f>IF(F283="","",SUMIFS('ИТОГО Торговля'!$H$5:$H$300,'ИТОГО Торговля'!$B$5:$B$300,$B283)+SUMIFS('ИТОГО Лэндинг'!$H$5:$H$300,'ИТОГО Лэндинг'!$B$5:$B$300,$B283)+SUMIFS('История'!$H$5:$H$300,'История'!$B$5:$B$300,$B283))</f>
        <v/>
      </c>
      <c r="I283" s="240">
        <f>IF($B283="","",IF(AND(C283="",F283=""),"",ROUND(SUMIFS('ИТОГО Торговля'!$I$5:$I$300,'ИТОГО Торговля'!$B$5:$B$300,$B283)+SUMIFS('ИТОГО Лэндинг'!$I$5:$I$300,'ИТОГО Лэндинг'!$B$5:$B$300,$B283)+SUMIFS('История'!$I$5:$I$300,'История'!$B$5:$B$300,$B283),8)))</f>
        <v/>
      </c>
      <c r="J283" s="241">
        <f>IF($B283="","",IF(AND(C283="",F283=""),"",ROUND(SUMIFS('ИТОГО Торговля'!$J$5:$J$300,'ИТОГО Торговля'!$B$5:$B$300,$B283)+SUMIFS('ИТОГО Лэндинг'!$J$5:$J$300,'ИТОГО Лэндинг'!$B$5:$B$300,$B283)+SUMIFS('История'!$J$5:$J$300,'История'!$B$5:$B$300,$B283),8)))</f>
        <v/>
      </c>
      <c r="K283" s="240">
        <f>IF($B283="","",ROUND(SUMIFS('ИТОГО Торговля'!$K$5:$K$300,'ИТОГО Торговля'!$B$5:$B$300,$B283)+SUMIFS('ИТОГО Лэндинг'!$K$5:$K$300,'ИТОГО Лэндинг'!$B$5:$B$300,$B283)+SUMIFS('История'!$K$5:$K$300,'История'!$B$5:$B$300,$B283),8))</f>
        <v/>
      </c>
      <c r="L283" s="177">
        <f>IF(K283="","",IF(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283)*((История!$C$5:$C$300+История!$F$5:$F$300-ABS(История!$C$5:$C$300-История!$F$5:$F$300))/2)*История!$D$5:$D$300))&lt;=0,0,ROUND(K283/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283)*((История!$C$5:$C$300+История!$F$5:$F$300-ABS(История!$C$5:$C$300-История!$F$5:$F$300))/2)*История!$D$5:$D$300)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IF($B284="","",IF(SUMIFS('ИТОГО Торговля'!$C$5:$C$300,'ИТОГО Торговля'!$B$5:$B$300,$B284)+SUMIFS('ИТОГО Лэндинг'!$C$5:$C$300,'ИТОГО Лэндинг'!$B$5:$B$300,$B284)+SUMIFS('История'!$C$5:$C$300,'История'!$B$5:$B$300,$B284)=0,"",SUMIFS('ИТОГО Торговля'!$C$5:$C$300,'ИТОГО Торговля'!$B$5:$B$300,$B284)+SUMIFS('ИТОГО Лэндинг'!$C$5:$C$300,'ИТОГО Лэндинг'!$B$5:$B$300,$B284)+SUMIFS('История'!$C$5:$C$300,'История'!$B$5:$B$300,$B284)))</f>
        <v/>
      </c>
      <c r="D284" s="183">
        <f>IF(C284="","",E284/C284)</f>
        <v/>
      </c>
      <c r="E284" s="247">
        <f>IF(C284="","",SUMIFS('ИТОГО Торговля'!$E$5:$E$300,'ИТОГО Торговля'!$B$5:$B$300,$B284)+SUMIFS('ИТОГО Лэндинг'!$E$5:$E$300,'ИТОГО Лэндинг'!$B$5:$B$300,$B284)+SUMIFS('История'!$E$5:$E$300,'История'!$B$5:$B$300,$B284))</f>
        <v/>
      </c>
      <c r="F284" s="246">
        <f>IF($B284="","",IF(SUMIFS('ИТОГО Торговля'!$F$5:$F$300,'ИТОГО Торговля'!$B$5:$B$300,$B284)+SUMIFS('ИТОГО Лэндинг'!$F$5:$F$300,'ИТОГО Лэндинг'!$B$5:$B$300,$B284)+SUMIFS('История'!$F$5:$F$300,'История'!$B$5:$B$300,$B284)=0,"",SUMIFS('ИТОГО Торговля'!$F$5:$F$300,'ИТОГО Торговля'!$B$5:$B$300,$B284)+SUMIFS('ИТОГО Лэндинг'!$F$5:$F$300,'ИТОГО Лэндинг'!$B$5:$B$300,$B284)+SUMIFS('История'!$F$5:$F$300,'История'!$B$5:$B$300,$B284)))</f>
        <v/>
      </c>
      <c r="G284" s="183">
        <f>IF(F284="","",H284/F284)</f>
        <v/>
      </c>
      <c r="H284" s="247">
        <f>IF(F284="","",SUMIFS('ИТОГО Торговля'!$H$5:$H$300,'ИТОГО Торговля'!$B$5:$B$300,$B284)+SUMIFS('ИТОГО Лэндинг'!$H$5:$H$300,'ИТОГО Лэндинг'!$B$5:$B$300,$B284)+SUMIFS('История'!$H$5:$H$300,'История'!$B$5:$B$300,$B284))</f>
        <v/>
      </c>
      <c r="I284" s="246">
        <f>IF($B284="","",IF(AND(C284="",F284=""),"",ROUND(SUMIFS('ИТОГО Торговля'!$I$5:$I$300,'ИТОГО Торговля'!$B$5:$B$300,$B284)+SUMIFS('ИТОГО Лэндинг'!$I$5:$I$300,'ИТОГО Лэндинг'!$B$5:$B$300,$B284)+SUMIFS('История'!$I$5:$I$300,'История'!$B$5:$B$300,$B284),8)))</f>
        <v/>
      </c>
      <c r="J284" s="247">
        <f>IF($B284="","",IF(AND(C284="",F284=""),"",ROUND(SUMIFS('ИТОГО Торговля'!$J$5:$J$300,'ИТОГО Торговля'!$B$5:$B$300,$B284)+SUMIFS('ИТОГО Лэндинг'!$J$5:$J$300,'ИТОГО Лэндинг'!$B$5:$B$300,$B284)+SUMIFS('История'!$J$5:$J$300,'История'!$B$5:$B$300,$B284),8)))</f>
        <v/>
      </c>
      <c r="K284" s="246">
        <f>IF($B284="","",ROUND(SUMIFS('ИТОГО Торговля'!$K$5:$K$300,'ИТОГО Торговля'!$B$5:$B$300,$B284)+SUMIFS('ИТОГО Лэндинг'!$K$5:$K$300,'ИТОГО Лэндинг'!$B$5:$B$300,$B284)+SUMIFS('История'!$K$5:$K$300,'История'!$B$5:$B$300,$B284),8))</f>
        <v/>
      </c>
      <c r="L284" s="183">
        <f>IF(K284="","",IF(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284)*((История!$C$5:$C$300+История!$F$5:$F$300-ABS(История!$C$5:$C$300-История!$F$5:$F$300))/2)*История!$D$5:$D$300))&lt;=0,0,ROUND(K284/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284)*((История!$C$5:$C$300+История!$F$5:$F$300-ABS(История!$C$5:$C$300-История!$F$5:$F$300))/2)*История!$D$5:$D$300)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IF($B285="","",IF(SUMIFS('ИТОГО Торговля'!$C$5:$C$300,'ИТОГО Торговля'!$B$5:$B$300,$B285)+SUMIFS('ИТОГО Лэндинг'!$C$5:$C$300,'ИТОГО Лэндинг'!$B$5:$B$300,$B285)+SUMIFS('История'!$C$5:$C$300,'История'!$B$5:$B$300,$B285)=0,"",SUMIFS('ИТОГО Торговля'!$C$5:$C$300,'ИТОГО Торговля'!$B$5:$B$300,$B285)+SUMIFS('ИТОГО Лэндинг'!$C$5:$C$300,'ИТОГО Лэндинг'!$B$5:$B$300,$B285)+SUMIFS('История'!$C$5:$C$300,'История'!$B$5:$B$300,$B285)))</f>
        <v/>
      </c>
      <c r="D285" s="177">
        <f>IF(C285="","",E285/C285)</f>
        <v/>
      </c>
      <c r="E285" s="241">
        <f>IF(C285="","",SUMIFS('ИТОГО Торговля'!$E$5:$E$300,'ИТОГО Торговля'!$B$5:$B$300,$B285)+SUMIFS('ИТОГО Лэндинг'!$E$5:$E$300,'ИТОГО Лэндинг'!$B$5:$B$300,$B285)+SUMIFS('История'!$E$5:$E$300,'История'!$B$5:$B$300,$B285))</f>
        <v/>
      </c>
      <c r="F285" s="240">
        <f>IF($B285="","",IF(SUMIFS('ИТОГО Торговля'!$F$5:$F$300,'ИТОГО Торговля'!$B$5:$B$300,$B285)+SUMIFS('ИТОГО Лэндинг'!$F$5:$F$300,'ИТОГО Лэндинг'!$B$5:$B$300,$B285)+SUMIFS('История'!$F$5:$F$300,'История'!$B$5:$B$300,$B285)=0,"",SUMIFS('ИТОГО Торговля'!$F$5:$F$300,'ИТОГО Торговля'!$B$5:$B$300,$B285)+SUMIFS('ИТОГО Лэндинг'!$F$5:$F$300,'ИТОГО Лэндинг'!$B$5:$B$300,$B285)+SUMIFS('История'!$F$5:$F$300,'История'!$B$5:$B$300,$B285)))</f>
        <v/>
      </c>
      <c r="G285" s="177">
        <f>IF(F285="","",H285/F285)</f>
        <v/>
      </c>
      <c r="H285" s="241">
        <f>IF(F285="","",SUMIFS('ИТОГО Торговля'!$H$5:$H$300,'ИТОГО Торговля'!$B$5:$B$300,$B285)+SUMIFS('ИТОГО Лэндинг'!$H$5:$H$300,'ИТОГО Лэндинг'!$B$5:$B$300,$B285)+SUMIFS('История'!$H$5:$H$300,'История'!$B$5:$B$300,$B285))</f>
        <v/>
      </c>
      <c r="I285" s="240">
        <f>IF($B285="","",IF(AND(C285="",F285=""),"",ROUND(SUMIFS('ИТОГО Торговля'!$I$5:$I$300,'ИТОГО Торговля'!$B$5:$B$300,$B285)+SUMIFS('ИТОГО Лэндинг'!$I$5:$I$300,'ИТОГО Лэндинг'!$B$5:$B$300,$B285)+SUMIFS('История'!$I$5:$I$300,'История'!$B$5:$B$300,$B285),8)))</f>
        <v/>
      </c>
      <c r="J285" s="241">
        <f>IF($B285="","",IF(AND(C285="",F285=""),"",ROUND(SUMIFS('ИТОГО Торговля'!$J$5:$J$300,'ИТОГО Торговля'!$B$5:$B$300,$B285)+SUMIFS('ИТОГО Лэндинг'!$J$5:$J$300,'ИТОГО Лэндинг'!$B$5:$B$300,$B285)+SUMIFS('История'!$J$5:$J$300,'История'!$B$5:$B$300,$B285),8)))</f>
        <v/>
      </c>
      <c r="K285" s="240">
        <f>IF($B285="","",ROUND(SUMIFS('ИТОГО Торговля'!$K$5:$K$300,'ИТОГО Торговля'!$B$5:$B$300,$B285)+SUMIFS('ИТОГО Лэндинг'!$K$5:$K$300,'ИТОГО Лэндинг'!$B$5:$B$300,$B285)+SUMIFS('История'!$K$5:$K$300,'История'!$B$5:$B$300,$B285),8))</f>
        <v/>
      </c>
      <c r="L285" s="177">
        <f>IF(K285="","",IF(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285)*((История!$C$5:$C$300+История!$F$5:$F$300-ABS(История!$C$5:$C$300-История!$F$5:$F$300))/2)*История!$D$5:$D$300))&lt;=0,0,ROUND(K285/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285)*((История!$C$5:$C$300+История!$F$5:$F$300-ABS(История!$C$5:$C$300-История!$F$5:$F$300))/2)*История!$D$5:$D$300)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IF($B286="","",IF(SUMIFS('ИТОГО Торговля'!$C$5:$C$300,'ИТОГО Торговля'!$B$5:$B$300,$B286)+SUMIFS('ИТОГО Лэндинг'!$C$5:$C$300,'ИТОГО Лэндинг'!$B$5:$B$300,$B286)+SUMIFS('История'!$C$5:$C$300,'История'!$B$5:$B$300,$B286)=0,"",SUMIFS('ИТОГО Торговля'!$C$5:$C$300,'ИТОГО Торговля'!$B$5:$B$300,$B286)+SUMIFS('ИТОГО Лэндинг'!$C$5:$C$300,'ИТОГО Лэндинг'!$B$5:$B$300,$B286)+SUMIFS('История'!$C$5:$C$300,'История'!$B$5:$B$300,$B286)))</f>
        <v/>
      </c>
      <c r="D286" s="183">
        <f>IF(C286="","",E286/C286)</f>
        <v/>
      </c>
      <c r="E286" s="247">
        <f>IF(C286="","",SUMIFS('ИТОГО Торговля'!$E$5:$E$300,'ИТОГО Торговля'!$B$5:$B$300,$B286)+SUMIFS('ИТОГО Лэндинг'!$E$5:$E$300,'ИТОГО Лэндинг'!$B$5:$B$300,$B286)+SUMIFS('История'!$E$5:$E$300,'История'!$B$5:$B$300,$B286))</f>
        <v/>
      </c>
      <c r="F286" s="246">
        <f>IF($B286="","",IF(SUMIFS('ИТОГО Торговля'!$F$5:$F$300,'ИТОГО Торговля'!$B$5:$B$300,$B286)+SUMIFS('ИТОГО Лэндинг'!$F$5:$F$300,'ИТОГО Лэндинг'!$B$5:$B$300,$B286)+SUMIFS('История'!$F$5:$F$300,'История'!$B$5:$B$300,$B286)=0,"",SUMIFS('ИТОГО Торговля'!$F$5:$F$300,'ИТОГО Торговля'!$B$5:$B$300,$B286)+SUMIFS('ИТОГО Лэндинг'!$F$5:$F$300,'ИТОГО Лэндинг'!$B$5:$B$300,$B286)+SUMIFS('История'!$F$5:$F$300,'История'!$B$5:$B$300,$B286)))</f>
        <v/>
      </c>
      <c r="G286" s="183">
        <f>IF(F286="","",H286/F286)</f>
        <v/>
      </c>
      <c r="H286" s="247">
        <f>IF(F286="","",SUMIFS('ИТОГО Торговля'!$H$5:$H$300,'ИТОГО Торговля'!$B$5:$B$300,$B286)+SUMIFS('ИТОГО Лэндинг'!$H$5:$H$300,'ИТОГО Лэндинг'!$B$5:$B$300,$B286)+SUMIFS('История'!$H$5:$H$300,'История'!$B$5:$B$300,$B286))</f>
        <v/>
      </c>
      <c r="I286" s="246">
        <f>IF($B286="","",IF(AND(C286="",F286=""),"",ROUND(SUMIFS('ИТОГО Торговля'!$I$5:$I$300,'ИТОГО Торговля'!$B$5:$B$300,$B286)+SUMIFS('ИТОГО Лэндинг'!$I$5:$I$300,'ИТОГО Лэндинг'!$B$5:$B$300,$B286)+SUMIFS('История'!$I$5:$I$300,'История'!$B$5:$B$300,$B286),8)))</f>
        <v/>
      </c>
      <c r="J286" s="247">
        <f>IF($B286="","",IF(AND(C286="",F286=""),"",ROUND(SUMIFS('ИТОГО Торговля'!$J$5:$J$300,'ИТОГО Торговля'!$B$5:$B$300,$B286)+SUMIFS('ИТОГО Лэндинг'!$J$5:$J$300,'ИТОГО Лэндинг'!$B$5:$B$300,$B286)+SUMIFS('История'!$J$5:$J$300,'История'!$B$5:$B$300,$B286),8)))</f>
        <v/>
      </c>
      <c r="K286" s="246">
        <f>IF($B286="","",ROUND(SUMIFS('ИТОГО Торговля'!$K$5:$K$300,'ИТОГО Торговля'!$B$5:$B$300,$B286)+SUMIFS('ИТОГО Лэндинг'!$K$5:$K$300,'ИТОГО Лэндинг'!$B$5:$B$300,$B286)+SUMIFS('История'!$K$5:$K$300,'История'!$B$5:$B$300,$B286),8))</f>
        <v/>
      </c>
      <c r="L286" s="183">
        <f>IF(K286="","",IF(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286)*((История!$C$5:$C$300+История!$F$5:$F$300-ABS(История!$C$5:$C$300-История!$F$5:$F$300))/2)*История!$D$5:$D$300))&lt;=0,0,ROUND(K286/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286)*((История!$C$5:$C$300+История!$F$5:$F$300-ABS(История!$C$5:$C$300-История!$F$5:$F$300))/2)*История!$D$5:$D$300)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IF($B287="","",IF(SUMIFS('ИТОГО Торговля'!$C$5:$C$300,'ИТОГО Торговля'!$B$5:$B$300,$B287)+SUMIFS('ИТОГО Лэндинг'!$C$5:$C$300,'ИТОГО Лэндинг'!$B$5:$B$300,$B287)+SUMIFS('История'!$C$5:$C$300,'История'!$B$5:$B$300,$B287)=0,"",SUMIFS('ИТОГО Торговля'!$C$5:$C$300,'ИТОГО Торговля'!$B$5:$B$300,$B287)+SUMIFS('ИТОГО Лэндинг'!$C$5:$C$300,'ИТОГО Лэндинг'!$B$5:$B$300,$B287)+SUMIFS('История'!$C$5:$C$300,'История'!$B$5:$B$300,$B287)))</f>
        <v/>
      </c>
      <c r="D287" s="177">
        <f>IF(C287="","",E287/C287)</f>
        <v/>
      </c>
      <c r="E287" s="241">
        <f>IF(C287="","",SUMIFS('ИТОГО Торговля'!$E$5:$E$300,'ИТОГО Торговля'!$B$5:$B$300,$B287)+SUMIFS('ИТОГО Лэндинг'!$E$5:$E$300,'ИТОГО Лэндинг'!$B$5:$B$300,$B287)+SUMIFS('История'!$E$5:$E$300,'История'!$B$5:$B$300,$B287))</f>
        <v/>
      </c>
      <c r="F287" s="240">
        <f>IF($B287="","",IF(SUMIFS('ИТОГО Торговля'!$F$5:$F$300,'ИТОГО Торговля'!$B$5:$B$300,$B287)+SUMIFS('ИТОГО Лэндинг'!$F$5:$F$300,'ИТОГО Лэндинг'!$B$5:$B$300,$B287)+SUMIFS('История'!$F$5:$F$300,'История'!$B$5:$B$300,$B287)=0,"",SUMIFS('ИТОГО Торговля'!$F$5:$F$300,'ИТОГО Торговля'!$B$5:$B$300,$B287)+SUMIFS('ИТОГО Лэндинг'!$F$5:$F$300,'ИТОГО Лэндинг'!$B$5:$B$300,$B287)+SUMIFS('История'!$F$5:$F$300,'История'!$B$5:$B$300,$B287)))</f>
        <v/>
      </c>
      <c r="G287" s="177">
        <f>IF(F287="","",H287/F287)</f>
        <v/>
      </c>
      <c r="H287" s="241">
        <f>IF(F287="","",SUMIFS('ИТОГО Торговля'!$H$5:$H$300,'ИТОГО Торговля'!$B$5:$B$300,$B287)+SUMIFS('ИТОГО Лэндинг'!$H$5:$H$300,'ИТОГО Лэндинг'!$B$5:$B$300,$B287)+SUMIFS('История'!$H$5:$H$300,'История'!$B$5:$B$300,$B287))</f>
        <v/>
      </c>
      <c r="I287" s="240">
        <f>IF($B287="","",IF(AND(C287="",F287=""),"",ROUND(SUMIFS('ИТОГО Торговля'!$I$5:$I$300,'ИТОГО Торговля'!$B$5:$B$300,$B287)+SUMIFS('ИТОГО Лэндинг'!$I$5:$I$300,'ИТОГО Лэндинг'!$B$5:$B$300,$B287)+SUMIFS('История'!$I$5:$I$300,'История'!$B$5:$B$300,$B287),8)))</f>
        <v/>
      </c>
      <c r="J287" s="241">
        <f>IF($B287="","",IF(AND(C287="",F287=""),"",ROUND(SUMIFS('ИТОГО Торговля'!$J$5:$J$300,'ИТОГО Торговля'!$B$5:$B$300,$B287)+SUMIFS('ИТОГО Лэндинг'!$J$5:$J$300,'ИТОГО Лэндинг'!$B$5:$B$300,$B287)+SUMIFS('История'!$J$5:$J$300,'История'!$B$5:$B$300,$B287),8)))</f>
        <v/>
      </c>
      <c r="K287" s="240">
        <f>IF($B287="","",ROUND(SUMIFS('ИТОГО Торговля'!$K$5:$K$300,'ИТОГО Торговля'!$B$5:$B$300,$B287)+SUMIFS('ИТОГО Лэндинг'!$K$5:$K$300,'ИТОГО Лэндинг'!$B$5:$B$300,$B287)+SUMIFS('История'!$K$5:$K$300,'История'!$B$5:$B$300,$B287),8))</f>
        <v/>
      </c>
      <c r="L287" s="177">
        <f>IF(K287="","",IF(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287)*((История!$C$5:$C$300+История!$F$5:$F$300-ABS(История!$C$5:$C$300-История!$F$5:$F$300))/2)*История!$D$5:$D$300))&lt;=0,0,ROUND(K287/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287)*((История!$C$5:$C$300+История!$F$5:$F$300-ABS(История!$C$5:$C$300-История!$F$5:$F$300))/2)*История!$D$5:$D$300)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IF($B288="","",IF(SUMIFS('ИТОГО Торговля'!$C$5:$C$300,'ИТОГО Торговля'!$B$5:$B$300,$B288)+SUMIFS('ИТОГО Лэндинг'!$C$5:$C$300,'ИТОГО Лэндинг'!$B$5:$B$300,$B288)+SUMIFS('История'!$C$5:$C$300,'История'!$B$5:$B$300,$B288)=0,"",SUMIFS('ИТОГО Торговля'!$C$5:$C$300,'ИТОГО Торговля'!$B$5:$B$300,$B288)+SUMIFS('ИТОГО Лэндинг'!$C$5:$C$300,'ИТОГО Лэндинг'!$B$5:$B$300,$B288)+SUMIFS('История'!$C$5:$C$300,'История'!$B$5:$B$300,$B288)))</f>
        <v/>
      </c>
      <c r="D288" s="183">
        <f>IF(C288="","",E288/C288)</f>
        <v/>
      </c>
      <c r="E288" s="247">
        <f>IF(C288="","",SUMIFS('ИТОГО Торговля'!$E$5:$E$300,'ИТОГО Торговля'!$B$5:$B$300,$B288)+SUMIFS('ИТОГО Лэндинг'!$E$5:$E$300,'ИТОГО Лэндинг'!$B$5:$B$300,$B288)+SUMIFS('История'!$E$5:$E$300,'История'!$B$5:$B$300,$B288))</f>
        <v/>
      </c>
      <c r="F288" s="246">
        <f>IF($B288="","",IF(SUMIFS('ИТОГО Торговля'!$F$5:$F$300,'ИТОГО Торговля'!$B$5:$B$300,$B288)+SUMIFS('ИТОГО Лэндинг'!$F$5:$F$300,'ИТОГО Лэндинг'!$B$5:$B$300,$B288)+SUMIFS('История'!$F$5:$F$300,'История'!$B$5:$B$300,$B288)=0,"",SUMIFS('ИТОГО Торговля'!$F$5:$F$300,'ИТОГО Торговля'!$B$5:$B$300,$B288)+SUMIFS('ИТОГО Лэндинг'!$F$5:$F$300,'ИТОГО Лэндинг'!$B$5:$B$300,$B288)+SUMIFS('История'!$F$5:$F$300,'История'!$B$5:$B$300,$B288)))</f>
        <v/>
      </c>
      <c r="G288" s="183">
        <f>IF(F288="","",H288/F288)</f>
        <v/>
      </c>
      <c r="H288" s="247">
        <f>IF(F288="","",SUMIFS('ИТОГО Торговля'!$H$5:$H$300,'ИТОГО Торговля'!$B$5:$B$300,$B288)+SUMIFS('ИТОГО Лэндинг'!$H$5:$H$300,'ИТОГО Лэндинг'!$B$5:$B$300,$B288)+SUMIFS('История'!$H$5:$H$300,'История'!$B$5:$B$300,$B288))</f>
        <v/>
      </c>
      <c r="I288" s="246">
        <f>IF($B288="","",IF(AND(C288="",F288=""),"",ROUND(SUMIFS('ИТОГО Торговля'!$I$5:$I$300,'ИТОГО Торговля'!$B$5:$B$300,$B288)+SUMIFS('ИТОГО Лэндинг'!$I$5:$I$300,'ИТОГО Лэндинг'!$B$5:$B$300,$B288)+SUMIFS('История'!$I$5:$I$300,'История'!$B$5:$B$300,$B288),8)))</f>
        <v/>
      </c>
      <c r="J288" s="247">
        <f>IF($B288="","",IF(AND(C288="",F288=""),"",ROUND(SUMIFS('ИТОГО Торговля'!$J$5:$J$300,'ИТОГО Торговля'!$B$5:$B$300,$B288)+SUMIFS('ИТОГО Лэндинг'!$J$5:$J$300,'ИТОГО Лэндинг'!$B$5:$B$300,$B288)+SUMIFS('История'!$J$5:$J$300,'История'!$B$5:$B$300,$B288),8)))</f>
        <v/>
      </c>
      <c r="K288" s="246">
        <f>IF($B288="","",ROUND(SUMIFS('ИТОГО Торговля'!$K$5:$K$300,'ИТОГО Торговля'!$B$5:$B$300,$B288)+SUMIFS('ИТОГО Лэндинг'!$K$5:$K$300,'ИТОГО Лэндинг'!$B$5:$B$300,$B288)+SUMIFS('История'!$K$5:$K$300,'История'!$B$5:$B$300,$B288),8))</f>
        <v/>
      </c>
      <c r="L288" s="183">
        <f>IF(K288="","",IF(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288)*((История!$C$5:$C$300+История!$F$5:$F$300-ABS(История!$C$5:$C$300-История!$F$5:$F$300))/2)*История!$D$5:$D$300))&lt;=0,0,ROUND(K288/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288)*((История!$C$5:$C$300+История!$F$5:$F$300-ABS(История!$C$5:$C$300-История!$F$5:$F$300))/2)*История!$D$5:$D$300)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IF($B289="","",IF(SUMIFS('ИТОГО Торговля'!$C$5:$C$300,'ИТОГО Торговля'!$B$5:$B$300,$B289)+SUMIFS('ИТОГО Лэндинг'!$C$5:$C$300,'ИТОГО Лэндинг'!$B$5:$B$300,$B289)+SUMIFS('История'!$C$5:$C$300,'История'!$B$5:$B$300,$B289)=0,"",SUMIFS('ИТОГО Торговля'!$C$5:$C$300,'ИТОГО Торговля'!$B$5:$B$300,$B289)+SUMIFS('ИТОГО Лэндинг'!$C$5:$C$300,'ИТОГО Лэндинг'!$B$5:$B$300,$B289)+SUMIFS('История'!$C$5:$C$300,'История'!$B$5:$B$300,$B289)))</f>
        <v/>
      </c>
      <c r="D289" s="177">
        <f>IF(C289="","",E289/C289)</f>
        <v/>
      </c>
      <c r="E289" s="241">
        <f>IF(C289="","",SUMIFS('ИТОГО Торговля'!$E$5:$E$300,'ИТОГО Торговля'!$B$5:$B$300,$B289)+SUMIFS('ИТОГО Лэндинг'!$E$5:$E$300,'ИТОГО Лэндинг'!$B$5:$B$300,$B289)+SUMIFS('История'!$E$5:$E$300,'История'!$B$5:$B$300,$B289))</f>
        <v/>
      </c>
      <c r="F289" s="240">
        <f>IF($B289="","",IF(SUMIFS('ИТОГО Торговля'!$F$5:$F$300,'ИТОГО Торговля'!$B$5:$B$300,$B289)+SUMIFS('ИТОГО Лэндинг'!$F$5:$F$300,'ИТОГО Лэндинг'!$B$5:$B$300,$B289)+SUMIFS('История'!$F$5:$F$300,'История'!$B$5:$B$300,$B289)=0,"",SUMIFS('ИТОГО Торговля'!$F$5:$F$300,'ИТОГО Торговля'!$B$5:$B$300,$B289)+SUMIFS('ИТОГО Лэндинг'!$F$5:$F$300,'ИТОГО Лэндинг'!$B$5:$B$300,$B289)+SUMIFS('История'!$F$5:$F$300,'История'!$B$5:$B$300,$B289)))</f>
        <v/>
      </c>
      <c r="G289" s="177">
        <f>IF(F289="","",H289/F289)</f>
        <v/>
      </c>
      <c r="H289" s="241">
        <f>IF(F289="","",SUMIFS('ИТОГО Торговля'!$H$5:$H$300,'ИТОГО Торговля'!$B$5:$B$300,$B289)+SUMIFS('ИТОГО Лэндинг'!$H$5:$H$300,'ИТОГО Лэндинг'!$B$5:$B$300,$B289)+SUMIFS('История'!$H$5:$H$300,'История'!$B$5:$B$300,$B289))</f>
        <v/>
      </c>
      <c r="I289" s="240">
        <f>IF($B289="","",IF(AND(C289="",F289=""),"",ROUND(SUMIFS('ИТОГО Торговля'!$I$5:$I$300,'ИТОГО Торговля'!$B$5:$B$300,$B289)+SUMIFS('ИТОГО Лэндинг'!$I$5:$I$300,'ИТОГО Лэндинг'!$B$5:$B$300,$B289)+SUMIFS('История'!$I$5:$I$300,'История'!$B$5:$B$300,$B289),8)))</f>
        <v/>
      </c>
      <c r="J289" s="241">
        <f>IF($B289="","",IF(AND(C289="",F289=""),"",ROUND(SUMIFS('ИТОГО Торговля'!$J$5:$J$300,'ИТОГО Торговля'!$B$5:$B$300,$B289)+SUMIFS('ИТОГО Лэндинг'!$J$5:$J$300,'ИТОГО Лэндинг'!$B$5:$B$300,$B289)+SUMIFS('История'!$J$5:$J$300,'История'!$B$5:$B$300,$B289),8)))</f>
        <v/>
      </c>
      <c r="K289" s="240">
        <f>IF($B289="","",ROUND(SUMIFS('ИТОГО Торговля'!$K$5:$K$300,'ИТОГО Торговля'!$B$5:$B$300,$B289)+SUMIFS('ИТОГО Лэндинг'!$K$5:$K$300,'ИТОГО Лэндинг'!$B$5:$B$300,$B289)+SUMIFS('История'!$K$5:$K$300,'История'!$B$5:$B$300,$B289),8))</f>
        <v/>
      </c>
      <c r="L289" s="177">
        <f>IF(K289="","",IF(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289)*((История!$C$5:$C$300+История!$F$5:$F$300-ABS(История!$C$5:$C$300-История!$F$5:$F$300))/2)*История!$D$5:$D$300))&lt;=0,0,ROUND(K289/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289)*((История!$C$5:$C$300+История!$F$5:$F$300-ABS(История!$C$5:$C$300-История!$F$5:$F$300))/2)*История!$D$5:$D$300)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IF($B290="","",IF(SUMIFS('ИТОГО Торговля'!$C$5:$C$300,'ИТОГО Торговля'!$B$5:$B$300,$B290)+SUMIFS('ИТОГО Лэндинг'!$C$5:$C$300,'ИТОГО Лэндинг'!$B$5:$B$300,$B290)+SUMIFS('История'!$C$5:$C$300,'История'!$B$5:$B$300,$B290)=0,"",SUMIFS('ИТОГО Торговля'!$C$5:$C$300,'ИТОГО Торговля'!$B$5:$B$300,$B290)+SUMIFS('ИТОГО Лэндинг'!$C$5:$C$300,'ИТОГО Лэндинг'!$B$5:$B$300,$B290)+SUMIFS('История'!$C$5:$C$300,'История'!$B$5:$B$300,$B290)))</f>
        <v/>
      </c>
      <c r="D290" s="183">
        <f>IF(C290="","",E290/C290)</f>
        <v/>
      </c>
      <c r="E290" s="247">
        <f>IF(C290="","",SUMIFS('ИТОГО Торговля'!$E$5:$E$300,'ИТОГО Торговля'!$B$5:$B$300,$B290)+SUMIFS('ИТОГО Лэндинг'!$E$5:$E$300,'ИТОГО Лэндинг'!$B$5:$B$300,$B290)+SUMIFS('История'!$E$5:$E$300,'История'!$B$5:$B$300,$B290))</f>
        <v/>
      </c>
      <c r="F290" s="246">
        <f>IF($B290="","",IF(SUMIFS('ИТОГО Торговля'!$F$5:$F$300,'ИТОГО Торговля'!$B$5:$B$300,$B290)+SUMIFS('ИТОГО Лэндинг'!$F$5:$F$300,'ИТОГО Лэндинг'!$B$5:$B$300,$B290)+SUMIFS('История'!$F$5:$F$300,'История'!$B$5:$B$300,$B290)=0,"",SUMIFS('ИТОГО Торговля'!$F$5:$F$300,'ИТОГО Торговля'!$B$5:$B$300,$B290)+SUMIFS('ИТОГО Лэндинг'!$F$5:$F$300,'ИТОГО Лэндинг'!$B$5:$B$300,$B290)+SUMIFS('История'!$F$5:$F$300,'История'!$B$5:$B$300,$B290)))</f>
        <v/>
      </c>
      <c r="G290" s="183">
        <f>IF(F290="","",H290/F290)</f>
        <v/>
      </c>
      <c r="H290" s="247">
        <f>IF(F290="","",SUMIFS('ИТОГО Торговля'!$H$5:$H$300,'ИТОГО Торговля'!$B$5:$B$300,$B290)+SUMIFS('ИТОГО Лэндинг'!$H$5:$H$300,'ИТОГО Лэндинг'!$B$5:$B$300,$B290)+SUMIFS('История'!$H$5:$H$300,'История'!$B$5:$B$300,$B290))</f>
        <v/>
      </c>
      <c r="I290" s="246">
        <f>IF($B290="","",IF(AND(C290="",F290=""),"",ROUND(SUMIFS('ИТОГО Торговля'!$I$5:$I$300,'ИТОГО Торговля'!$B$5:$B$300,$B290)+SUMIFS('ИТОГО Лэндинг'!$I$5:$I$300,'ИТОГО Лэндинг'!$B$5:$B$300,$B290)+SUMIFS('История'!$I$5:$I$300,'История'!$B$5:$B$300,$B290),8)))</f>
        <v/>
      </c>
      <c r="J290" s="247">
        <f>IF($B290="","",IF(AND(C290="",F290=""),"",ROUND(SUMIFS('ИТОГО Торговля'!$J$5:$J$300,'ИТОГО Торговля'!$B$5:$B$300,$B290)+SUMIFS('ИТОГО Лэндинг'!$J$5:$J$300,'ИТОГО Лэндинг'!$B$5:$B$300,$B290)+SUMIFS('История'!$J$5:$J$300,'История'!$B$5:$B$300,$B290),8)))</f>
        <v/>
      </c>
      <c r="K290" s="246">
        <f>IF($B290="","",ROUND(SUMIFS('ИТОГО Торговля'!$K$5:$K$300,'ИТОГО Торговля'!$B$5:$B$300,$B290)+SUMIFS('ИТОГО Лэндинг'!$K$5:$K$300,'ИТОГО Лэндинг'!$B$5:$B$300,$B290)+SUMIFS('История'!$K$5:$K$300,'История'!$B$5:$B$300,$B290),8))</f>
        <v/>
      </c>
      <c r="L290" s="183">
        <f>IF(K290="","",IF(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290)*((История!$C$5:$C$300+История!$F$5:$F$300-ABS(История!$C$5:$C$300-История!$F$5:$F$300))/2)*История!$D$5:$D$300))&lt;=0,0,ROUND(K290/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290)*((История!$C$5:$C$300+История!$F$5:$F$300-ABS(История!$C$5:$C$300-История!$F$5:$F$300))/2)*История!$D$5:$D$300)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IF($B291="","",IF(SUMIFS('ИТОГО Торговля'!$C$5:$C$300,'ИТОГО Торговля'!$B$5:$B$300,$B291)+SUMIFS('ИТОГО Лэндинг'!$C$5:$C$300,'ИТОГО Лэндинг'!$B$5:$B$300,$B291)+SUMIFS('История'!$C$5:$C$300,'История'!$B$5:$B$300,$B291)=0,"",SUMIFS('ИТОГО Торговля'!$C$5:$C$300,'ИТОГО Торговля'!$B$5:$B$300,$B291)+SUMIFS('ИТОГО Лэндинг'!$C$5:$C$300,'ИТОГО Лэндинг'!$B$5:$B$300,$B291)+SUMIFS('История'!$C$5:$C$300,'История'!$B$5:$B$300,$B291)))</f>
        <v/>
      </c>
      <c r="D291" s="177">
        <f>IF(C291="","",E291/C291)</f>
        <v/>
      </c>
      <c r="E291" s="241">
        <f>IF(C291="","",SUMIFS('ИТОГО Торговля'!$E$5:$E$300,'ИТОГО Торговля'!$B$5:$B$300,$B291)+SUMIFS('ИТОГО Лэндинг'!$E$5:$E$300,'ИТОГО Лэндинг'!$B$5:$B$300,$B291)+SUMIFS('История'!$E$5:$E$300,'История'!$B$5:$B$300,$B291))</f>
        <v/>
      </c>
      <c r="F291" s="240">
        <f>IF($B291="","",IF(SUMIFS('ИТОГО Торговля'!$F$5:$F$300,'ИТОГО Торговля'!$B$5:$B$300,$B291)+SUMIFS('ИТОГО Лэндинг'!$F$5:$F$300,'ИТОГО Лэндинг'!$B$5:$B$300,$B291)+SUMIFS('История'!$F$5:$F$300,'История'!$B$5:$B$300,$B291)=0,"",SUMIFS('ИТОГО Торговля'!$F$5:$F$300,'ИТОГО Торговля'!$B$5:$B$300,$B291)+SUMIFS('ИТОГО Лэндинг'!$F$5:$F$300,'ИТОГО Лэндинг'!$B$5:$B$300,$B291)+SUMIFS('История'!$F$5:$F$300,'История'!$B$5:$B$300,$B291)))</f>
        <v/>
      </c>
      <c r="G291" s="177">
        <f>IF(F291="","",H291/F291)</f>
        <v/>
      </c>
      <c r="H291" s="241">
        <f>IF(F291="","",SUMIFS('ИТОГО Торговля'!$H$5:$H$300,'ИТОГО Торговля'!$B$5:$B$300,$B291)+SUMIFS('ИТОГО Лэндинг'!$H$5:$H$300,'ИТОГО Лэндинг'!$B$5:$B$300,$B291)+SUMIFS('История'!$H$5:$H$300,'История'!$B$5:$B$300,$B291))</f>
        <v/>
      </c>
      <c r="I291" s="240">
        <f>IF($B291="","",IF(AND(C291="",F291=""),"",ROUND(SUMIFS('ИТОГО Торговля'!$I$5:$I$300,'ИТОГО Торговля'!$B$5:$B$300,$B291)+SUMIFS('ИТОГО Лэндинг'!$I$5:$I$300,'ИТОГО Лэндинг'!$B$5:$B$300,$B291)+SUMIFS('История'!$I$5:$I$300,'История'!$B$5:$B$300,$B291),8)))</f>
        <v/>
      </c>
      <c r="J291" s="241">
        <f>IF($B291="","",IF(AND(C291="",F291=""),"",ROUND(SUMIFS('ИТОГО Торговля'!$J$5:$J$300,'ИТОГО Торговля'!$B$5:$B$300,$B291)+SUMIFS('ИТОГО Лэндинг'!$J$5:$J$300,'ИТОГО Лэндинг'!$B$5:$B$300,$B291)+SUMIFS('История'!$J$5:$J$300,'История'!$B$5:$B$300,$B291),8)))</f>
        <v/>
      </c>
      <c r="K291" s="240">
        <f>IF($B291="","",ROUND(SUMIFS('ИТОГО Торговля'!$K$5:$K$300,'ИТОГО Торговля'!$B$5:$B$300,$B291)+SUMIFS('ИТОГО Лэндинг'!$K$5:$K$300,'ИТОГО Лэндинг'!$B$5:$B$300,$B291)+SUMIFS('История'!$K$5:$K$300,'История'!$B$5:$B$300,$B291),8))</f>
        <v/>
      </c>
      <c r="L291" s="177">
        <f>IF(K291="","",IF(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291)*((История!$C$5:$C$300+История!$F$5:$F$300-ABS(История!$C$5:$C$300-История!$F$5:$F$300))/2)*История!$D$5:$D$300))&lt;=0,0,ROUND(K291/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291)*((История!$C$5:$C$300+История!$F$5:$F$300-ABS(История!$C$5:$C$300-История!$F$5:$F$300))/2)*История!$D$5:$D$300)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IF($B292="","",IF(SUMIFS('ИТОГО Торговля'!$C$5:$C$300,'ИТОГО Торговля'!$B$5:$B$300,$B292)+SUMIFS('ИТОГО Лэндинг'!$C$5:$C$300,'ИТОГО Лэндинг'!$B$5:$B$300,$B292)+SUMIFS('История'!$C$5:$C$300,'История'!$B$5:$B$300,$B292)=0,"",SUMIFS('ИТОГО Торговля'!$C$5:$C$300,'ИТОГО Торговля'!$B$5:$B$300,$B292)+SUMIFS('ИТОГО Лэндинг'!$C$5:$C$300,'ИТОГО Лэндинг'!$B$5:$B$300,$B292)+SUMIFS('История'!$C$5:$C$300,'История'!$B$5:$B$300,$B292)))</f>
        <v/>
      </c>
      <c r="D292" s="183">
        <f>IF(C292="","",E292/C292)</f>
        <v/>
      </c>
      <c r="E292" s="247">
        <f>IF(C292="","",SUMIFS('ИТОГО Торговля'!$E$5:$E$300,'ИТОГО Торговля'!$B$5:$B$300,$B292)+SUMIFS('ИТОГО Лэндинг'!$E$5:$E$300,'ИТОГО Лэндинг'!$B$5:$B$300,$B292)+SUMIFS('История'!$E$5:$E$300,'История'!$B$5:$B$300,$B292))</f>
        <v/>
      </c>
      <c r="F292" s="246">
        <f>IF($B292="","",IF(SUMIFS('ИТОГО Торговля'!$F$5:$F$300,'ИТОГО Торговля'!$B$5:$B$300,$B292)+SUMIFS('ИТОГО Лэндинг'!$F$5:$F$300,'ИТОГО Лэндинг'!$B$5:$B$300,$B292)+SUMIFS('История'!$F$5:$F$300,'История'!$B$5:$B$300,$B292)=0,"",SUMIFS('ИТОГО Торговля'!$F$5:$F$300,'ИТОГО Торговля'!$B$5:$B$300,$B292)+SUMIFS('ИТОГО Лэндинг'!$F$5:$F$300,'ИТОГО Лэндинг'!$B$5:$B$300,$B292)+SUMIFS('История'!$F$5:$F$300,'История'!$B$5:$B$300,$B292)))</f>
        <v/>
      </c>
      <c r="G292" s="183">
        <f>IF(F292="","",H292/F292)</f>
        <v/>
      </c>
      <c r="H292" s="247">
        <f>IF(F292="","",SUMIFS('ИТОГО Торговля'!$H$5:$H$300,'ИТОГО Торговля'!$B$5:$B$300,$B292)+SUMIFS('ИТОГО Лэндинг'!$H$5:$H$300,'ИТОГО Лэндинг'!$B$5:$B$300,$B292)+SUMIFS('История'!$H$5:$H$300,'История'!$B$5:$B$300,$B292))</f>
        <v/>
      </c>
      <c r="I292" s="246">
        <f>IF($B292="","",IF(AND(C292="",F292=""),"",ROUND(SUMIFS('ИТОГО Торговля'!$I$5:$I$300,'ИТОГО Торговля'!$B$5:$B$300,$B292)+SUMIFS('ИТОГО Лэндинг'!$I$5:$I$300,'ИТОГО Лэндинг'!$B$5:$B$300,$B292)+SUMIFS('История'!$I$5:$I$300,'История'!$B$5:$B$300,$B292),8)))</f>
        <v/>
      </c>
      <c r="J292" s="247">
        <f>IF($B292="","",IF(AND(C292="",F292=""),"",ROUND(SUMIFS('ИТОГО Торговля'!$J$5:$J$300,'ИТОГО Торговля'!$B$5:$B$300,$B292)+SUMIFS('ИТОГО Лэндинг'!$J$5:$J$300,'ИТОГО Лэндинг'!$B$5:$B$300,$B292)+SUMIFS('История'!$J$5:$J$300,'История'!$B$5:$B$300,$B292),8)))</f>
        <v/>
      </c>
      <c r="K292" s="246">
        <f>IF($B292="","",ROUND(SUMIFS('ИТОГО Торговля'!$K$5:$K$300,'ИТОГО Торговля'!$B$5:$B$300,$B292)+SUMIFS('ИТОГО Лэндинг'!$K$5:$K$300,'ИТОГО Лэндинг'!$B$5:$B$300,$B292)+SUMIFS('История'!$K$5:$K$300,'История'!$B$5:$B$300,$B292),8))</f>
        <v/>
      </c>
      <c r="L292" s="183">
        <f>IF(K292="","",IF(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292)*((История!$C$5:$C$300+История!$F$5:$F$300-ABS(История!$C$5:$C$300-История!$F$5:$F$300))/2)*История!$D$5:$D$300))&lt;=0,0,ROUND(K292/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292)*((История!$C$5:$C$300+История!$F$5:$F$300-ABS(История!$C$5:$C$300-История!$F$5:$F$300))/2)*История!$D$5:$D$300)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IF($B293="","",IF(SUMIFS('ИТОГО Торговля'!$C$5:$C$300,'ИТОГО Торговля'!$B$5:$B$300,$B293)+SUMIFS('ИТОГО Лэндинг'!$C$5:$C$300,'ИТОГО Лэндинг'!$B$5:$B$300,$B293)+SUMIFS('История'!$C$5:$C$300,'История'!$B$5:$B$300,$B293)=0,"",SUMIFS('ИТОГО Торговля'!$C$5:$C$300,'ИТОГО Торговля'!$B$5:$B$300,$B293)+SUMIFS('ИТОГО Лэндинг'!$C$5:$C$300,'ИТОГО Лэндинг'!$B$5:$B$300,$B293)+SUMIFS('История'!$C$5:$C$300,'История'!$B$5:$B$300,$B293)))</f>
        <v/>
      </c>
      <c r="D293" s="177">
        <f>IF(C293="","",E293/C293)</f>
        <v/>
      </c>
      <c r="E293" s="241">
        <f>IF(C293="","",SUMIFS('ИТОГО Торговля'!$E$5:$E$300,'ИТОГО Торговля'!$B$5:$B$300,$B293)+SUMIFS('ИТОГО Лэндинг'!$E$5:$E$300,'ИТОГО Лэндинг'!$B$5:$B$300,$B293)+SUMIFS('История'!$E$5:$E$300,'История'!$B$5:$B$300,$B293))</f>
        <v/>
      </c>
      <c r="F293" s="240">
        <f>IF($B293="","",IF(SUMIFS('ИТОГО Торговля'!$F$5:$F$300,'ИТОГО Торговля'!$B$5:$B$300,$B293)+SUMIFS('ИТОГО Лэндинг'!$F$5:$F$300,'ИТОГО Лэндинг'!$B$5:$B$300,$B293)+SUMIFS('История'!$F$5:$F$300,'История'!$B$5:$B$300,$B293)=0,"",SUMIFS('ИТОГО Торговля'!$F$5:$F$300,'ИТОГО Торговля'!$B$5:$B$300,$B293)+SUMIFS('ИТОГО Лэндинг'!$F$5:$F$300,'ИТОГО Лэндинг'!$B$5:$B$300,$B293)+SUMIFS('История'!$F$5:$F$300,'История'!$B$5:$B$300,$B293)))</f>
        <v/>
      </c>
      <c r="G293" s="177">
        <f>IF(F293="","",H293/F293)</f>
        <v/>
      </c>
      <c r="H293" s="241">
        <f>IF(F293="","",SUMIFS('ИТОГО Торговля'!$H$5:$H$300,'ИТОГО Торговля'!$B$5:$B$300,$B293)+SUMIFS('ИТОГО Лэндинг'!$H$5:$H$300,'ИТОГО Лэндинг'!$B$5:$B$300,$B293)+SUMIFS('История'!$H$5:$H$300,'История'!$B$5:$B$300,$B293))</f>
        <v/>
      </c>
      <c r="I293" s="240">
        <f>IF($B293="","",IF(AND(C293="",F293=""),"",ROUND(SUMIFS('ИТОГО Торговля'!$I$5:$I$300,'ИТОГО Торговля'!$B$5:$B$300,$B293)+SUMIFS('ИТОГО Лэндинг'!$I$5:$I$300,'ИТОГО Лэндинг'!$B$5:$B$300,$B293)+SUMIFS('История'!$I$5:$I$300,'История'!$B$5:$B$300,$B293),8)))</f>
        <v/>
      </c>
      <c r="J293" s="241">
        <f>IF($B293="","",IF(AND(C293="",F293=""),"",ROUND(SUMIFS('ИТОГО Торговля'!$J$5:$J$300,'ИТОГО Торговля'!$B$5:$B$300,$B293)+SUMIFS('ИТОГО Лэндинг'!$J$5:$J$300,'ИТОГО Лэндинг'!$B$5:$B$300,$B293)+SUMIFS('История'!$J$5:$J$300,'История'!$B$5:$B$300,$B293),8)))</f>
        <v/>
      </c>
      <c r="K293" s="240">
        <f>IF($B293="","",ROUND(SUMIFS('ИТОГО Торговля'!$K$5:$K$300,'ИТОГО Торговля'!$B$5:$B$300,$B293)+SUMIFS('ИТОГО Лэндинг'!$K$5:$K$300,'ИТОГО Лэндинг'!$B$5:$B$300,$B293)+SUMIFS('История'!$K$5:$K$300,'История'!$B$5:$B$300,$B293),8))</f>
        <v/>
      </c>
      <c r="L293" s="177">
        <f>IF(K293="","",IF(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293)*((История!$C$5:$C$300+История!$F$5:$F$300-ABS(История!$C$5:$C$300-История!$F$5:$F$300))/2)*История!$D$5:$D$300))&lt;=0,0,ROUND(K293/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293)*((История!$C$5:$C$300+История!$F$5:$F$300-ABS(История!$C$5:$C$300-История!$F$5:$F$300))/2)*История!$D$5:$D$300)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IF($B294="","",IF(SUMIFS('ИТОГО Торговля'!$C$5:$C$300,'ИТОГО Торговля'!$B$5:$B$300,$B294)+SUMIFS('ИТОГО Лэндинг'!$C$5:$C$300,'ИТОГО Лэндинг'!$B$5:$B$300,$B294)+SUMIFS('История'!$C$5:$C$300,'История'!$B$5:$B$300,$B294)=0,"",SUMIFS('ИТОГО Торговля'!$C$5:$C$300,'ИТОГО Торговля'!$B$5:$B$300,$B294)+SUMIFS('ИТОГО Лэндинг'!$C$5:$C$300,'ИТОГО Лэндинг'!$B$5:$B$300,$B294)+SUMIFS('История'!$C$5:$C$300,'История'!$B$5:$B$300,$B294)))</f>
        <v/>
      </c>
      <c r="D294" s="183">
        <f>IF(C294="","",E294/C294)</f>
        <v/>
      </c>
      <c r="E294" s="247">
        <f>IF(C294="","",SUMIFS('ИТОГО Торговля'!$E$5:$E$300,'ИТОГО Торговля'!$B$5:$B$300,$B294)+SUMIFS('ИТОГО Лэндинг'!$E$5:$E$300,'ИТОГО Лэндинг'!$B$5:$B$300,$B294)+SUMIFS('История'!$E$5:$E$300,'История'!$B$5:$B$300,$B294))</f>
        <v/>
      </c>
      <c r="F294" s="246">
        <f>IF($B294="","",IF(SUMIFS('ИТОГО Торговля'!$F$5:$F$300,'ИТОГО Торговля'!$B$5:$B$300,$B294)+SUMIFS('ИТОГО Лэндинг'!$F$5:$F$300,'ИТОГО Лэндинг'!$B$5:$B$300,$B294)+SUMIFS('История'!$F$5:$F$300,'История'!$B$5:$B$300,$B294)=0,"",SUMIFS('ИТОГО Торговля'!$F$5:$F$300,'ИТОГО Торговля'!$B$5:$B$300,$B294)+SUMIFS('ИТОГО Лэндинг'!$F$5:$F$300,'ИТОГО Лэндинг'!$B$5:$B$300,$B294)+SUMIFS('История'!$F$5:$F$300,'История'!$B$5:$B$300,$B294)))</f>
        <v/>
      </c>
      <c r="G294" s="183">
        <f>IF(F294="","",H294/F294)</f>
        <v/>
      </c>
      <c r="H294" s="247">
        <f>IF(F294="","",SUMIFS('ИТОГО Торговля'!$H$5:$H$300,'ИТОГО Торговля'!$B$5:$B$300,$B294)+SUMIFS('ИТОГО Лэндинг'!$H$5:$H$300,'ИТОГО Лэндинг'!$B$5:$B$300,$B294)+SUMIFS('История'!$H$5:$H$300,'История'!$B$5:$B$300,$B294))</f>
        <v/>
      </c>
      <c r="I294" s="246">
        <f>IF($B294="","",IF(AND(C294="",F294=""),"",ROUND(SUMIFS('ИТОГО Торговля'!$I$5:$I$300,'ИТОГО Торговля'!$B$5:$B$300,$B294)+SUMIFS('ИТОГО Лэндинг'!$I$5:$I$300,'ИТОГО Лэндинг'!$B$5:$B$300,$B294)+SUMIFS('История'!$I$5:$I$300,'История'!$B$5:$B$300,$B294),8)))</f>
        <v/>
      </c>
      <c r="J294" s="247">
        <f>IF($B294="","",IF(AND(C294="",F294=""),"",ROUND(SUMIFS('ИТОГО Торговля'!$J$5:$J$300,'ИТОГО Торговля'!$B$5:$B$300,$B294)+SUMIFS('ИТОГО Лэндинг'!$J$5:$J$300,'ИТОГО Лэндинг'!$B$5:$B$300,$B294)+SUMIFS('История'!$J$5:$J$300,'История'!$B$5:$B$300,$B294),8)))</f>
        <v/>
      </c>
      <c r="K294" s="246">
        <f>IF($B294="","",ROUND(SUMIFS('ИТОГО Торговля'!$K$5:$K$300,'ИТОГО Торговля'!$B$5:$B$300,$B294)+SUMIFS('ИТОГО Лэндинг'!$K$5:$K$300,'ИТОГО Лэндинг'!$B$5:$B$300,$B294)+SUMIFS('История'!$K$5:$K$300,'История'!$B$5:$B$300,$B294),8))</f>
        <v/>
      </c>
      <c r="L294" s="183">
        <f>IF(K294="","",IF(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294)*((История!$C$5:$C$300+История!$F$5:$F$300-ABS(История!$C$5:$C$300-История!$F$5:$F$300))/2)*История!$D$5:$D$300))&lt;=0,0,ROUND(K294/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294)*((История!$C$5:$C$300+История!$F$5:$F$300-ABS(История!$C$5:$C$300-История!$F$5:$F$300))/2)*История!$D$5:$D$300)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IF($B295="","",IF(SUMIFS('ИТОГО Торговля'!$C$5:$C$300,'ИТОГО Торговля'!$B$5:$B$300,$B295)+SUMIFS('ИТОГО Лэндинг'!$C$5:$C$300,'ИТОГО Лэндинг'!$B$5:$B$300,$B295)+SUMIFS('История'!$C$5:$C$300,'История'!$B$5:$B$300,$B295)=0,"",SUMIFS('ИТОГО Торговля'!$C$5:$C$300,'ИТОГО Торговля'!$B$5:$B$300,$B295)+SUMIFS('ИТОГО Лэндинг'!$C$5:$C$300,'ИТОГО Лэндинг'!$B$5:$B$300,$B295)+SUMIFS('История'!$C$5:$C$300,'История'!$B$5:$B$300,$B295)))</f>
        <v/>
      </c>
      <c r="D295" s="177">
        <f>IF(C295="","",E295/C295)</f>
        <v/>
      </c>
      <c r="E295" s="241">
        <f>IF(C295="","",SUMIFS('ИТОГО Торговля'!$E$5:$E$300,'ИТОГО Торговля'!$B$5:$B$300,$B295)+SUMIFS('ИТОГО Лэндинг'!$E$5:$E$300,'ИТОГО Лэндинг'!$B$5:$B$300,$B295)+SUMIFS('История'!$E$5:$E$300,'История'!$B$5:$B$300,$B295))</f>
        <v/>
      </c>
      <c r="F295" s="240">
        <f>IF($B295="","",IF(SUMIFS('ИТОГО Торговля'!$F$5:$F$300,'ИТОГО Торговля'!$B$5:$B$300,$B295)+SUMIFS('ИТОГО Лэндинг'!$F$5:$F$300,'ИТОГО Лэндинг'!$B$5:$B$300,$B295)+SUMIFS('История'!$F$5:$F$300,'История'!$B$5:$B$300,$B295)=0,"",SUMIFS('ИТОГО Торговля'!$F$5:$F$300,'ИТОГО Торговля'!$B$5:$B$300,$B295)+SUMIFS('ИТОГО Лэндинг'!$F$5:$F$300,'ИТОГО Лэндинг'!$B$5:$B$300,$B295)+SUMIFS('История'!$F$5:$F$300,'История'!$B$5:$B$300,$B295)))</f>
        <v/>
      </c>
      <c r="G295" s="177">
        <f>IF(F295="","",H295/F295)</f>
        <v/>
      </c>
      <c r="H295" s="241">
        <f>IF(F295="","",SUMIFS('ИТОГО Торговля'!$H$5:$H$300,'ИТОГО Торговля'!$B$5:$B$300,$B295)+SUMIFS('ИТОГО Лэндинг'!$H$5:$H$300,'ИТОГО Лэндинг'!$B$5:$B$300,$B295)+SUMIFS('История'!$H$5:$H$300,'История'!$B$5:$B$300,$B295))</f>
        <v/>
      </c>
      <c r="I295" s="240">
        <f>IF($B295="","",IF(AND(C295="",F295=""),"",ROUND(SUMIFS('ИТОГО Торговля'!$I$5:$I$300,'ИТОГО Торговля'!$B$5:$B$300,$B295)+SUMIFS('ИТОГО Лэндинг'!$I$5:$I$300,'ИТОГО Лэндинг'!$B$5:$B$300,$B295)+SUMIFS('История'!$I$5:$I$300,'История'!$B$5:$B$300,$B295),8)))</f>
        <v/>
      </c>
      <c r="J295" s="241">
        <f>IF($B295="","",IF(AND(C295="",F295=""),"",ROUND(SUMIFS('ИТОГО Торговля'!$J$5:$J$300,'ИТОГО Торговля'!$B$5:$B$300,$B295)+SUMIFS('ИТОГО Лэндинг'!$J$5:$J$300,'ИТОГО Лэндинг'!$B$5:$B$300,$B295)+SUMIFS('История'!$J$5:$J$300,'История'!$B$5:$B$300,$B295),8)))</f>
        <v/>
      </c>
      <c r="K295" s="240">
        <f>IF($B295="","",ROUND(SUMIFS('ИТОГО Торговля'!$K$5:$K$300,'ИТОГО Торговля'!$B$5:$B$300,$B295)+SUMIFS('ИТОГО Лэндинг'!$K$5:$K$300,'ИТОГО Лэндинг'!$B$5:$B$300,$B295)+SUMIFS('История'!$K$5:$K$300,'История'!$B$5:$B$300,$B295),8))</f>
        <v/>
      </c>
      <c r="L295" s="177">
        <f>IF(K295="","",IF(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295)*((История!$C$5:$C$300+История!$F$5:$F$300-ABS(История!$C$5:$C$300-История!$F$5:$F$300))/2)*История!$D$5:$D$300))&lt;=0,0,ROUND(K295/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295)*((История!$C$5:$C$300+История!$F$5:$F$300-ABS(История!$C$5:$C$300-История!$F$5:$F$300))/2)*История!$D$5:$D$300)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IF($B296="","",IF(SUMIFS('ИТОГО Торговля'!$C$5:$C$300,'ИТОГО Торговля'!$B$5:$B$300,$B296)+SUMIFS('ИТОГО Лэндинг'!$C$5:$C$300,'ИТОГО Лэндинг'!$B$5:$B$300,$B296)+SUMIFS('История'!$C$5:$C$300,'История'!$B$5:$B$300,$B296)=0,"",SUMIFS('ИТОГО Торговля'!$C$5:$C$300,'ИТОГО Торговля'!$B$5:$B$300,$B296)+SUMIFS('ИТОГО Лэндинг'!$C$5:$C$300,'ИТОГО Лэндинг'!$B$5:$B$300,$B296)+SUMIFS('История'!$C$5:$C$300,'История'!$B$5:$B$300,$B296)))</f>
        <v/>
      </c>
      <c r="D296" s="183">
        <f>IF(C296="","",E296/C296)</f>
        <v/>
      </c>
      <c r="E296" s="247">
        <f>IF(C296="","",SUMIFS('ИТОГО Торговля'!$E$5:$E$300,'ИТОГО Торговля'!$B$5:$B$300,$B296)+SUMIFS('ИТОГО Лэндинг'!$E$5:$E$300,'ИТОГО Лэндинг'!$B$5:$B$300,$B296)+SUMIFS('История'!$E$5:$E$300,'История'!$B$5:$B$300,$B296))</f>
        <v/>
      </c>
      <c r="F296" s="246">
        <f>IF($B296="","",IF(SUMIFS('ИТОГО Торговля'!$F$5:$F$300,'ИТОГО Торговля'!$B$5:$B$300,$B296)+SUMIFS('ИТОГО Лэндинг'!$F$5:$F$300,'ИТОГО Лэндинг'!$B$5:$B$300,$B296)+SUMIFS('История'!$F$5:$F$300,'История'!$B$5:$B$300,$B296)=0,"",SUMIFS('ИТОГО Торговля'!$F$5:$F$300,'ИТОГО Торговля'!$B$5:$B$300,$B296)+SUMIFS('ИТОГО Лэндинг'!$F$5:$F$300,'ИТОГО Лэндинг'!$B$5:$B$300,$B296)+SUMIFS('История'!$F$5:$F$300,'История'!$B$5:$B$300,$B296)))</f>
        <v/>
      </c>
      <c r="G296" s="183">
        <f>IF(F296="","",H296/F296)</f>
        <v/>
      </c>
      <c r="H296" s="247">
        <f>IF(F296="","",SUMIFS('ИТОГО Торговля'!$H$5:$H$300,'ИТОГО Торговля'!$B$5:$B$300,$B296)+SUMIFS('ИТОГО Лэндинг'!$H$5:$H$300,'ИТОГО Лэндинг'!$B$5:$B$300,$B296)+SUMIFS('История'!$H$5:$H$300,'История'!$B$5:$B$300,$B296))</f>
        <v/>
      </c>
      <c r="I296" s="246">
        <f>IF($B296="","",IF(AND(C296="",F296=""),"",ROUND(SUMIFS('ИТОГО Торговля'!$I$5:$I$300,'ИТОГО Торговля'!$B$5:$B$300,$B296)+SUMIFS('ИТОГО Лэндинг'!$I$5:$I$300,'ИТОГО Лэндинг'!$B$5:$B$300,$B296)+SUMIFS('История'!$I$5:$I$300,'История'!$B$5:$B$300,$B296),8)))</f>
        <v/>
      </c>
      <c r="J296" s="247">
        <f>IF($B296="","",IF(AND(C296="",F296=""),"",ROUND(SUMIFS('ИТОГО Торговля'!$J$5:$J$300,'ИТОГО Торговля'!$B$5:$B$300,$B296)+SUMIFS('ИТОГО Лэндинг'!$J$5:$J$300,'ИТОГО Лэндинг'!$B$5:$B$300,$B296)+SUMIFS('История'!$J$5:$J$300,'История'!$B$5:$B$300,$B296),8)))</f>
        <v/>
      </c>
      <c r="K296" s="246">
        <f>IF($B296="","",ROUND(SUMIFS('ИТОГО Торговля'!$K$5:$K$300,'ИТОГО Торговля'!$B$5:$B$300,$B296)+SUMIFS('ИТОГО Лэндинг'!$K$5:$K$300,'ИТОГО Лэндинг'!$B$5:$B$300,$B296)+SUMIFS('История'!$K$5:$K$300,'История'!$B$5:$B$300,$B296),8))</f>
        <v/>
      </c>
      <c r="L296" s="183">
        <f>IF(K296="","",IF(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296)*((История!$C$5:$C$300+История!$F$5:$F$300-ABS(История!$C$5:$C$300-История!$F$5:$F$300))/2)*История!$D$5:$D$300))&lt;=0,0,ROUND(K296/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296)*((История!$C$5:$C$300+История!$F$5:$F$300-ABS(История!$C$5:$C$300-История!$F$5:$F$300))/2)*История!$D$5:$D$300)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IF($B297="","",IF(SUMIFS('ИТОГО Торговля'!$C$5:$C$300,'ИТОГО Торговля'!$B$5:$B$300,$B297)+SUMIFS('ИТОГО Лэндинг'!$C$5:$C$300,'ИТОГО Лэндинг'!$B$5:$B$300,$B297)+SUMIFS('История'!$C$5:$C$300,'История'!$B$5:$B$300,$B297)=0,"",SUMIFS('ИТОГО Торговля'!$C$5:$C$300,'ИТОГО Торговля'!$B$5:$B$300,$B297)+SUMIFS('ИТОГО Лэндинг'!$C$5:$C$300,'ИТОГО Лэндинг'!$B$5:$B$300,$B297)+SUMIFS('История'!$C$5:$C$300,'История'!$B$5:$B$300,$B297)))</f>
        <v/>
      </c>
      <c r="D297" s="177">
        <f>IF(C297="","",E297/C297)</f>
        <v/>
      </c>
      <c r="E297" s="241">
        <f>IF(C297="","",SUMIFS('ИТОГО Торговля'!$E$5:$E$300,'ИТОГО Торговля'!$B$5:$B$300,$B297)+SUMIFS('ИТОГО Лэндинг'!$E$5:$E$300,'ИТОГО Лэндинг'!$B$5:$B$300,$B297)+SUMIFS('История'!$E$5:$E$300,'История'!$B$5:$B$300,$B297))</f>
        <v/>
      </c>
      <c r="F297" s="240">
        <f>IF($B297="","",IF(SUMIFS('ИТОГО Торговля'!$F$5:$F$300,'ИТОГО Торговля'!$B$5:$B$300,$B297)+SUMIFS('ИТОГО Лэндинг'!$F$5:$F$300,'ИТОГО Лэндинг'!$B$5:$B$300,$B297)+SUMIFS('История'!$F$5:$F$300,'История'!$B$5:$B$300,$B297)=0,"",SUMIFS('ИТОГО Торговля'!$F$5:$F$300,'ИТОГО Торговля'!$B$5:$B$300,$B297)+SUMIFS('ИТОГО Лэндинг'!$F$5:$F$300,'ИТОГО Лэндинг'!$B$5:$B$300,$B297)+SUMIFS('История'!$F$5:$F$300,'История'!$B$5:$B$300,$B297)))</f>
        <v/>
      </c>
      <c r="G297" s="177">
        <f>IF(F297="","",H297/F297)</f>
        <v/>
      </c>
      <c r="H297" s="241">
        <f>IF(F297="","",SUMIFS('ИТОГО Торговля'!$H$5:$H$300,'ИТОГО Торговля'!$B$5:$B$300,$B297)+SUMIFS('ИТОГО Лэндинг'!$H$5:$H$300,'ИТОГО Лэндинг'!$B$5:$B$300,$B297)+SUMIFS('История'!$H$5:$H$300,'История'!$B$5:$B$300,$B297))</f>
        <v/>
      </c>
      <c r="I297" s="240">
        <f>IF($B297="","",IF(AND(C297="",F297=""),"",ROUND(SUMIFS('ИТОГО Торговля'!$I$5:$I$300,'ИТОГО Торговля'!$B$5:$B$300,$B297)+SUMIFS('ИТОГО Лэндинг'!$I$5:$I$300,'ИТОГО Лэндинг'!$B$5:$B$300,$B297)+SUMIFS('История'!$I$5:$I$300,'История'!$B$5:$B$300,$B297),8)))</f>
        <v/>
      </c>
      <c r="J297" s="241">
        <f>IF($B297="","",IF(AND(C297="",F297=""),"",ROUND(SUMIFS('ИТОГО Торговля'!$J$5:$J$300,'ИТОГО Торговля'!$B$5:$B$300,$B297)+SUMIFS('ИТОГО Лэндинг'!$J$5:$J$300,'ИТОГО Лэндинг'!$B$5:$B$300,$B297)+SUMIFS('История'!$J$5:$J$300,'История'!$B$5:$B$300,$B297),8)))</f>
        <v/>
      </c>
      <c r="K297" s="240">
        <f>IF($B297="","",ROUND(SUMIFS('ИТОГО Торговля'!$K$5:$K$300,'ИТОГО Торговля'!$B$5:$B$300,$B297)+SUMIFS('ИТОГО Лэндинг'!$K$5:$K$300,'ИТОГО Лэндинг'!$B$5:$B$300,$B297)+SUMIFS('История'!$K$5:$K$300,'История'!$B$5:$B$300,$B297),8))</f>
        <v/>
      </c>
      <c r="L297" s="177">
        <f>IF(K297="","",IF(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297)*((История!$C$5:$C$300+История!$F$5:$F$300-ABS(История!$C$5:$C$300-История!$F$5:$F$300))/2)*История!$D$5:$D$300))&lt;=0,0,ROUND(K297/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297)*((История!$C$5:$C$300+История!$F$5:$F$300-ABS(История!$C$5:$C$300-История!$F$5:$F$300))/2)*История!$D$5:$D$300)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IF($B298="","",IF(SUMIFS('ИТОГО Торговля'!$C$5:$C$300,'ИТОГО Торговля'!$B$5:$B$300,$B298)+SUMIFS('ИТОГО Лэндинг'!$C$5:$C$300,'ИТОГО Лэндинг'!$B$5:$B$300,$B298)+SUMIFS('История'!$C$5:$C$300,'История'!$B$5:$B$300,$B298)=0,"",SUMIFS('ИТОГО Торговля'!$C$5:$C$300,'ИТОГО Торговля'!$B$5:$B$300,$B298)+SUMIFS('ИТОГО Лэндинг'!$C$5:$C$300,'ИТОГО Лэндинг'!$B$5:$B$300,$B298)+SUMIFS('История'!$C$5:$C$300,'История'!$B$5:$B$300,$B298)))</f>
        <v/>
      </c>
      <c r="D298" s="183">
        <f>IF(C298="","",E298/C298)</f>
        <v/>
      </c>
      <c r="E298" s="247">
        <f>IF(C298="","",SUMIFS('ИТОГО Торговля'!$E$5:$E$300,'ИТОГО Торговля'!$B$5:$B$300,$B298)+SUMIFS('ИТОГО Лэндинг'!$E$5:$E$300,'ИТОГО Лэндинг'!$B$5:$B$300,$B298)+SUMIFS('История'!$E$5:$E$300,'История'!$B$5:$B$300,$B298))</f>
        <v/>
      </c>
      <c r="F298" s="246">
        <f>IF($B298="","",IF(SUMIFS('ИТОГО Торговля'!$F$5:$F$300,'ИТОГО Торговля'!$B$5:$B$300,$B298)+SUMIFS('ИТОГО Лэндинг'!$F$5:$F$300,'ИТОГО Лэндинг'!$B$5:$B$300,$B298)+SUMIFS('История'!$F$5:$F$300,'История'!$B$5:$B$300,$B298)=0,"",SUMIFS('ИТОГО Торговля'!$F$5:$F$300,'ИТОГО Торговля'!$B$5:$B$300,$B298)+SUMIFS('ИТОГО Лэндинг'!$F$5:$F$300,'ИТОГО Лэндинг'!$B$5:$B$300,$B298)+SUMIFS('История'!$F$5:$F$300,'История'!$B$5:$B$300,$B298)))</f>
        <v/>
      </c>
      <c r="G298" s="183">
        <f>IF(F298="","",H298/F298)</f>
        <v/>
      </c>
      <c r="H298" s="247">
        <f>IF(F298="","",SUMIFS('ИТОГО Торговля'!$H$5:$H$300,'ИТОГО Торговля'!$B$5:$B$300,$B298)+SUMIFS('ИТОГО Лэндинг'!$H$5:$H$300,'ИТОГО Лэндинг'!$B$5:$B$300,$B298)+SUMIFS('История'!$H$5:$H$300,'История'!$B$5:$B$300,$B298))</f>
        <v/>
      </c>
      <c r="I298" s="246">
        <f>IF($B298="","",IF(AND(C298="",F298=""),"",ROUND(SUMIFS('ИТОГО Торговля'!$I$5:$I$300,'ИТОГО Торговля'!$B$5:$B$300,$B298)+SUMIFS('ИТОГО Лэндинг'!$I$5:$I$300,'ИТОГО Лэндинг'!$B$5:$B$300,$B298)+SUMIFS('История'!$I$5:$I$300,'История'!$B$5:$B$300,$B298),8)))</f>
        <v/>
      </c>
      <c r="J298" s="247">
        <f>IF($B298="","",IF(AND(C298="",F298=""),"",ROUND(SUMIFS('ИТОГО Торговля'!$J$5:$J$300,'ИТОГО Торговля'!$B$5:$B$300,$B298)+SUMIFS('ИТОГО Лэндинг'!$J$5:$J$300,'ИТОГО Лэндинг'!$B$5:$B$300,$B298)+SUMIFS('История'!$J$5:$J$300,'История'!$B$5:$B$300,$B298),8)))</f>
        <v/>
      </c>
      <c r="K298" s="246">
        <f>IF($B298="","",ROUND(SUMIFS('ИТОГО Торговля'!$K$5:$K$300,'ИТОГО Торговля'!$B$5:$B$300,$B298)+SUMIFS('ИТОГО Лэндинг'!$K$5:$K$300,'ИТОГО Лэндинг'!$B$5:$B$300,$B298)+SUMIFS('История'!$K$5:$K$300,'История'!$B$5:$B$300,$B298),8))</f>
        <v/>
      </c>
      <c r="L298" s="183">
        <f>IF(K298="","",IF(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298)*((История!$C$5:$C$300+История!$F$5:$F$300-ABS(История!$C$5:$C$300-История!$F$5:$F$300))/2)*История!$D$5:$D$300))&lt;=0,0,ROUND(K298/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298)*((История!$C$5:$C$300+История!$F$5:$F$300-ABS(История!$C$5:$C$300-История!$F$5:$F$300))/2)*История!$D$5:$D$300)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IF($B299="","",IF(SUMIFS('ИТОГО Торговля'!$C$5:$C$300,'ИТОГО Торговля'!$B$5:$B$300,$B299)+SUMIFS('ИТОГО Лэндинг'!$C$5:$C$300,'ИТОГО Лэндинг'!$B$5:$B$300,$B299)+SUMIFS('История'!$C$5:$C$300,'История'!$B$5:$B$300,$B299)=0,"",SUMIFS('ИТОГО Торговля'!$C$5:$C$300,'ИТОГО Торговля'!$B$5:$B$300,$B299)+SUMIFS('ИТОГО Лэндинг'!$C$5:$C$300,'ИТОГО Лэндинг'!$B$5:$B$300,$B299)+SUMIFS('История'!$C$5:$C$300,'История'!$B$5:$B$300,$B299)))</f>
        <v/>
      </c>
      <c r="D299" s="177">
        <f>IF(C299="","",E299/C299)</f>
        <v/>
      </c>
      <c r="E299" s="241">
        <f>IF(C299="","",SUMIFS('ИТОГО Торговля'!$E$5:$E$300,'ИТОГО Торговля'!$B$5:$B$300,$B299)+SUMIFS('ИТОГО Лэндинг'!$E$5:$E$300,'ИТОГО Лэндинг'!$B$5:$B$300,$B299)+SUMIFS('История'!$E$5:$E$300,'История'!$B$5:$B$300,$B299))</f>
        <v/>
      </c>
      <c r="F299" s="240">
        <f>IF($B299="","",IF(SUMIFS('ИТОГО Торговля'!$F$5:$F$300,'ИТОГО Торговля'!$B$5:$B$300,$B299)+SUMIFS('ИТОГО Лэндинг'!$F$5:$F$300,'ИТОГО Лэндинг'!$B$5:$B$300,$B299)+SUMIFS('История'!$F$5:$F$300,'История'!$B$5:$B$300,$B299)=0,"",SUMIFS('ИТОГО Торговля'!$F$5:$F$300,'ИТОГО Торговля'!$B$5:$B$300,$B299)+SUMIFS('ИТОГО Лэндинг'!$F$5:$F$300,'ИТОГО Лэндинг'!$B$5:$B$300,$B299)+SUMIFS('История'!$F$5:$F$300,'История'!$B$5:$B$300,$B299)))</f>
        <v/>
      </c>
      <c r="G299" s="177">
        <f>IF(F299="","",H299/F299)</f>
        <v/>
      </c>
      <c r="H299" s="241">
        <f>IF(F299="","",SUMIFS('ИТОГО Торговля'!$H$5:$H$300,'ИТОГО Торговля'!$B$5:$B$300,$B299)+SUMIFS('ИТОГО Лэндинг'!$H$5:$H$300,'ИТОГО Лэндинг'!$B$5:$B$300,$B299)+SUMIFS('История'!$H$5:$H$300,'История'!$B$5:$B$300,$B299))</f>
        <v/>
      </c>
      <c r="I299" s="240">
        <f>IF($B299="","",IF(AND(C299="",F299=""),"",ROUND(SUMIFS('ИТОГО Торговля'!$I$5:$I$300,'ИТОГО Торговля'!$B$5:$B$300,$B299)+SUMIFS('ИТОГО Лэндинг'!$I$5:$I$300,'ИТОГО Лэндинг'!$B$5:$B$300,$B299)+SUMIFS('История'!$I$5:$I$300,'История'!$B$5:$B$300,$B299),8)))</f>
        <v/>
      </c>
      <c r="J299" s="241">
        <f>IF($B299="","",IF(AND(C299="",F299=""),"",ROUND(SUMIFS('ИТОГО Торговля'!$J$5:$J$300,'ИТОГО Торговля'!$B$5:$B$300,$B299)+SUMIFS('ИТОГО Лэндинг'!$J$5:$J$300,'ИТОГО Лэндинг'!$B$5:$B$300,$B299)+SUMIFS('История'!$J$5:$J$300,'История'!$B$5:$B$300,$B299),8)))</f>
        <v/>
      </c>
      <c r="K299" s="240">
        <f>IF($B299="","",ROUND(SUMIFS('ИТОГО Торговля'!$K$5:$K$300,'ИТОГО Торговля'!$B$5:$B$300,$B299)+SUMIFS('ИТОГО Лэндинг'!$K$5:$K$300,'ИТОГО Лэндинг'!$B$5:$B$300,$B299)+SUMIFS('История'!$K$5:$K$300,'История'!$B$5:$B$300,$B299),8))</f>
        <v/>
      </c>
      <c r="L299" s="177">
        <f>IF(K299="","",IF(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299)*((История!$C$5:$C$300+История!$F$5:$F$300-ABS(История!$C$5:$C$300-История!$F$5:$F$300))/2)*История!$D$5:$D$300))&lt;=0,0,ROUND(K299/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299)*((История!$C$5:$C$300+История!$F$5:$F$300-ABS(История!$C$5:$C$300-История!$F$5:$F$300))/2)*История!$D$5:$D$300)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IF($B300="","",IF(SUMIFS('ИТОГО Торговля'!$C$5:$C$300,'ИТОГО Торговля'!$B$5:$B$300,$B300)+SUMIFS('ИТОГО Лэндинг'!$C$5:$C$300,'ИТОГО Лэндинг'!$B$5:$B$300,$B300)+SUMIFS('История'!$C$5:$C$300,'История'!$B$5:$B$300,$B300)=0,"",SUMIFS('ИТОГО Торговля'!$C$5:$C$300,'ИТОГО Торговля'!$B$5:$B$300,$B300)+SUMIFS('ИТОГО Лэндинг'!$C$5:$C$300,'ИТОГО Лэндинг'!$B$5:$B$300,$B300)+SUMIFS('История'!$C$5:$C$300,'История'!$B$5:$B$300,$B300)))</f>
        <v/>
      </c>
      <c r="D300" s="183">
        <f>IF(C300="","",E300/C300)</f>
        <v/>
      </c>
      <c r="E300" s="247">
        <f>IF(C300="","",SUMIFS('ИТОГО Торговля'!$E$5:$E$300,'ИТОГО Торговля'!$B$5:$B$300,$B300)+SUMIFS('ИТОГО Лэндинг'!$E$5:$E$300,'ИТОГО Лэндинг'!$B$5:$B$300,$B300)+SUMIFS('История'!$E$5:$E$300,'История'!$B$5:$B$300,$B300))</f>
        <v/>
      </c>
      <c r="F300" s="246">
        <f>IF($B300="","",IF(SUMIFS('ИТОГО Торговля'!$F$5:$F$300,'ИТОГО Торговля'!$B$5:$B$300,$B300)+SUMIFS('ИТОГО Лэндинг'!$F$5:$F$300,'ИТОГО Лэндинг'!$B$5:$B$300,$B300)+SUMIFS('История'!$F$5:$F$300,'История'!$B$5:$B$300,$B300)=0,"",SUMIFS('ИТОГО Торговля'!$F$5:$F$300,'ИТОГО Торговля'!$B$5:$B$300,$B300)+SUMIFS('ИТОГО Лэндинг'!$F$5:$F$300,'ИТОГО Лэндинг'!$B$5:$B$300,$B300)+SUMIFS('История'!$F$5:$F$300,'История'!$B$5:$B$300,$B300)))</f>
        <v/>
      </c>
      <c r="G300" s="183">
        <f>IF(F300="","",H300/F300)</f>
        <v/>
      </c>
      <c r="H300" s="247">
        <f>IF(F300="","",SUMIFS('ИТОГО Торговля'!$H$5:$H$300,'ИТОГО Торговля'!$B$5:$B$300,$B300)+SUMIFS('ИТОГО Лэндинг'!$H$5:$H$300,'ИТОГО Лэндинг'!$B$5:$B$300,$B300)+SUMIFS('История'!$H$5:$H$300,'История'!$B$5:$B$300,$B300))</f>
        <v/>
      </c>
      <c r="I300" s="246">
        <f>IF($B300="","",IF(AND(C300="",F300=""),"",ROUND(SUMIFS('ИТОГО Торговля'!$I$5:$I$300,'ИТОГО Торговля'!$B$5:$B$300,$B300)+SUMIFS('ИТОГО Лэндинг'!$I$5:$I$300,'ИТОГО Лэндинг'!$B$5:$B$300,$B300)+SUMIFS('История'!$I$5:$I$300,'История'!$B$5:$B$300,$B300),8)))</f>
        <v/>
      </c>
      <c r="J300" s="247">
        <f>IF($B300="","",IF(AND(C300="",F300=""),"",ROUND(SUMIFS('ИТОГО Торговля'!$J$5:$J$300,'ИТОГО Торговля'!$B$5:$B$300,$B300)+SUMIFS('ИТОГО Лэндинг'!$J$5:$J$300,'ИТОГО Лэндинг'!$B$5:$B$300,$B300)+SUMIFS('История'!$J$5:$J$300,'История'!$B$5:$B$300,$B300),8)))</f>
        <v/>
      </c>
      <c r="K300" s="246">
        <f>IF($B300="","",ROUND(SUMIFS('ИТОГО Торговля'!$K$5:$K$300,'ИТОГО Торговля'!$B$5:$B$300,$B300)+SUMIFS('ИТОГО Лэндинг'!$K$5:$K$300,'ИТОГО Лэндинг'!$B$5:$B$300,$B300)+SUMIFS('История'!$K$5:$K$300,'История'!$B$5:$B$300,$B300),8))</f>
        <v/>
      </c>
      <c r="L300" s="183">
        <f>IF(K300="","",IF(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300)*((История!$C$5:$C$300+История!$F$5:$F$300-ABS(История!$C$5:$C$300-История!$F$5:$F$300))/2)*История!$D$5:$D$300))&lt;=0,0,ROUND(K300/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300)*((История!$C$5:$C$300+История!$F$5:$F$300-ABS(История!$C$5:$C$300-История!$F$5:$F$300))/2)*История!$D$5:$D$300)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I30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56" t="n"/>
      <c r="G3" s="57" t="n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  <c r="I4" s="205" t="inlineStr">
        <is>
          <t>Монеты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0</v>
      </c>
      <c r="I5" s="206" t="inlineStr">
        <is>
          <t>AAVE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0</v>
      </c>
      <c r="I6" s="206" t="inlineStr">
        <is>
          <t>ADA</t>
        </is>
      </c>
    </row>
    <row r="7" ht="22" customHeight="1">
      <c r="B7" s="206" t="inlineStr">
        <is>
          <t>OKX</t>
        </is>
      </c>
      <c r="C7" s="207" t="n"/>
      <c r="E7" s="206" t="inlineStr">
        <is>
          <t>Пул</t>
        </is>
      </c>
      <c r="F7" s="206" t="inlineStr">
        <is>
          <t>P</t>
        </is>
      </c>
      <c r="G7" s="206" t="n">
        <v>0</v>
      </c>
      <c r="I7" s="206" t="inlineStr">
        <is>
          <t>ARB</t>
        </is>
      </c>
    </row>
    <row r="8" ht="22" customHeight="1">
      <c r="B8" s="206" t="inlineStr">
        <is>
          <t>Uniswap</t>
        </is>
      </c>
      <c r="C8" s="207" t="n"/>
      <c r="I8" s="206" t="inlineStr">
        <is>
          <t>BCH</t>
        </is>
      </c>
    </row>
    <row r="9" ht="22" customHeight="1">
      <c r="B9" s="206" t="inlineStr">
        <is>
          <t>AAVE</t>
        </is>
      </c>
      <c r="C9" s="207" t="n"/>
      <c r="I9" s="206" t="inlineStr">
        <is>
          <t>BNB</t>
        </is>
      </c>
    </row>
    <row r="10" ht="22" customHeight="1">
      <c r="B10" s="206" t="inlineStr">
        <is>
          <t>Raydium</t>
        </is>
      </c>
      <c r="C10" s="207" t="n"/>
      <c r="I10" s="206" t="inlineStr">
        <is>
          <t>BTC</t>
        </is>
      </c>
    </row>
    <row r="11" ht="22" customHeight="1">
      <c r="B11" s="206" t="inlineStr">
        <is>
          <t>PancakeSwap</t>
        </is>
      </c>
      <c r="C11" s="207" t="n"/>
      <c r="I11" s="206" t="inlineStr">
        <is>
          <t>CAKE</t>
        </is>
      </c>
    </row>
    <row r="12" ht="22" customHeight="1">
      <c r="B12" s="206" t="inlineStr">
        <is>
          <t>Orca</t>
        </is>
      </c>
      <c r="C12" s="207" t="n"/>
      <c r="I12" s="206" t="inlineStr">
        <is>
          <t>DASH</t>
        </is>
      </c>
    </row>
    <row r="13">
      <c r="I13" s="206" t="inlineStr">
        <is>
          <t>DOGE</t>
        </is>
      </c>
    </row>
    <row r="14">
      <c r="I14" s="206" t="inlineStr">
        <is>
          <t>ELIZAOS</t>
        </is>
      </c>
    </row>
    <row r="15">
      <c r="I15" s="206" t="inlineStr">
        <is>
          <t>ETH</t>
        </is>
      </c>
    </row>
    <row r="16">
      <c r="I16" s="206" t="inlineStr">
        <is>
          <t>LINK</t>
        </is>
      </c>
    </row>
    <row r="17">
      <c r="I17" s="206" t="inlineStr">
        <is>
          <t>LTC</t>
        </is>
      </c>
    </row>
    <row r="18">
      <c r="I18" s="206" t="inlineStr">
        <is>
          <t>SOL</t>
        </is>
      </c>
    </row>
    <row r="19">
      <c r="I19" s="206" t="inlineStr">
        <is>
          <t>TRX</t>
        </is>
      </c>
    </row>
    <row r="20">
      <c r="I20" s="206" t="inlineStr">
        <is>
          <t>USDT</t>
        </is>
      </c>
    </row>
    <row r="21">
      <c r="I21" s="206" t="inlineStr">
        <is>
          <t>XRP</t>
        </is>
      </c>
    </row>
    <row r="22">
      <c r="I22" s="206" t="n"/>
    </row>
    <row r="23">
      <c r="I23" s="206" t="n"/>
    </row>
    <row r="24">
      <c r="I24" s="206" t="n"/>
    </row>
    <row r="25">
      <c r="I25" s="206" t="n"/>
    </row>
    <row r="26">
      <c r="I26" s="206" t="n"/>
    </row>
    <row r="27">
      <c r="I27" s="206" t="n"/>
    </row>
    <row r="28">
      <c r="I28" s="206" t="n"/>
    </row>
    <row r="29">
      <c r="I29" s="206" t="n"/>
    </row>
    <row r="30">
      <c r="I30" s="206" t="n"/>
    </row>
    <row r="31">
      <c r="I31" s="206" t="n"/>
    </row>
    <row r="32">
      <c r="I32" s="206" t="n"/>
    </row>
    <row r="33">
      <c r="I33" s="206" t="n"/>
    </row>
    <row r="34">
      <c r="I34" s="206" t="n"/>
    </row>
    <row r="35">
      <c r="I35" s="206" t="n"/>
    </row>
    <row r="36">
      <c r="I36" s="206" t="n"/>
    </row>
    <row r="37">
      <c r="I37" s="206" t="n"/>
    </row>
    <row r="38">
      <c r="I38" s="206" t="n"/>
    </row>
    <row r="39">
      <c r="I39" s="206" t="n"/>
    </row>
    <row r="40">
      <c r="I40" s="206" t="n"/>
    </row>
    <row r="41">
      <c r="I41" s="206" t="n"/>
    </row>
    <row r="42">
      <c r="I42" s="206" t="n"/>
    </row>
    <row r="43">
      <c r="I43" s="206" t="n"/>
    </row>
    <row r="44">
      <c r="I44" s="206" t="n"/>
    </row>
    <row r="45">
      <c r="I45" s="206" t="n"/>
    </row>
    <row r="46">
      <c r="I46" s="206" t="n"/>
    </row>
    <row r="47">
      <c r="I47" s="206" t="n"/>
    </row>
    <row r="48">
      <c r="I48" s="206" t="n"/>
    </row>
    <row r="49">
      <c r="I49" s="206" t="n"/>
    </row>
    <row r="50">
      <c r="I50" s="206" t="n"/>
    </row>
    <row r="51">
      <c r="I51" s="206" t="n"/>
    </row>
    <row r="52">
      <c r="I52" s="206" t="n"/>
    </row>
    <row r="53">
      <c r="I53" s="206" t="n"/>
    </row>
    <row r="54">
      <c r="I54" s="206" t="n"/>
    </row>
    <row r="55">
      <c r="I55" s="206" t="n"/>
    </row>
    <row r="56">
      <c r="I56" s="206" t="n"/>
    </row>
    <row r="57">
      <c r="I57" s="206" t="n"/>
    </row>
    <row r="58">
      <c r="I58" s="206" t="n"/>
    </row>
    <row r="59">
      <c r="I59" s="206" t="n"/>
    </row>
    <row r="60">
      <c r="I60" s="206" t="n"/>
    </row>
    <row r="61">
      <c r="I61" s="206" t="n"/>
    </row>
    <row r="62">
      <c r="I62" s="206" t="n"/>
    </row>
    <row r="63">
      <c r="I63" s="206" t="n"/>
    </row>
    <row r="64">
      <c r="I64" s="206" t="n"/>
    </row>
    <row r="65">
      <c r="I65" s="206" t="n"/>
    </row>
    <row r="66">
      <c r="I66" s="206" t="n"/>
    </row>
    <row r="67">
      <c r="I67" s="206" t="n"/>
    </row>
    <row r="68">
      <c r="I68" s="206" t="n"/>
    </row>
    <row r="69">
      <c r="I69" s="206" t="n"/>
    </row>
    <row r="70">
      <c r="I70" s="206" t="n"/>
    </row>
    <row r="71">
      <c r="I71" s="206" t="n"/>
    </row>
    <row r="72">
      <c r="I72" s="206" t="n"/>
    </row>
    <row r="73">
      <c r="I73" s="206" t="n"/>
    </row>
    <row r="74">
      <c r="I74" s="206" t="n"/>
    </row>
    <row r="75">
      <c r="I75" s="206" t="n"/>
    </row>
    <row r="76">
      <c r="I76" s="206" t="n"/>
    </row>
    <row r="77">
      <c r="I77" s="206" t="n"/>
    </row>
    <row r="78">
      <c r="I78" s="206" t="n"/>
    </row>
    <row r="79">
      <c r="I79" s="206" t="n"/>
    </row>
    <row r="80">
      <c r="I80" s="206" t="n"/>
    </row>
    <row r="81">
      <c r="I81" s="206" t="n"/>
    </row>
    <row r="82">
      <c r="I82" s="206" t="n"/>
    </row>
    <row r="83">
      <c r="I83" s="206" t="n"/>
    </row>
    <row r="84">
      <c r="I84" s="206" t="n"/>
    </row>
    <row r="85">
      <c r="I85" s="206" t="n"/>
    </row>
    <row r="86">
      <c r="I86" s="206" t="n"/>
    </row>
    <row r="87">
      <c r="I87" s="206" t="n"/>
    </row>
    <row r="88">
      <c r="I88" s="206" t="n"/>
    </row>
    <row r="89">
      <c r="I89" s="206" t="n"/>
    </row>
    <row r="90">
      <c r="I90" s="206" t="n"/>
    </row>
    <row r="91">
      <c r="I91" s="206" t="n"/>
    </row>
    <row r="92">
      <c r="I92" s="206" t="n"/>
    </row>
    <row r="93">
      <c r="I93" s="206" t="n"/>
    </row>
    <row r="94">
      <c r="I94" s="206" t="n"/>
    </row>
    <row r="95">
      <c r="I95" s="206" t="n"/>
    </row>
    <row r="96">
      <c r="I96" s="206" t="n"/>
    </row>
    <row r="97">
      <c r="I97" s="206" t="n"/>
    </row>
    <row r="98">
      <c r="I98" s="206" t="n"/>
    </row>
    <row r="99">
      <c r="I99" s="206" t="n"/>
    </row>
    <row r="100">
      <c r="I100" s="206" t="n"/>
    </row>
    <row r="101">
      <c r="I101" s="206" t="n"/>
    </row>
    <row r="102">
      <c r="I102" s="206" t="n"/>
    </row>
    <row r="103">
      <c r="I103" s="206" t="n"/>
    </row>
    <row r="104">
      <c r="I104" s="206" t="n"/>
    </row>
    <row r="105">
      <c r="I105" s="206" t="n"/>
    </row>
    <row r="106">
      <c r="I106" s="206" t="n"/>
    </row>
    <row r="107">
      <c r="I107" s="206" t="n"/>
    </row>
    <row r="108">
      <c r="I108" s="206" t="n"/>
    </row>
    <row r="109">
      <c r="I109" s="206" t="n"/>
    </row>
    <row r="110">
      <c r="I110" s="206" t="n"/>
    </row>
    <row r="111">
      <c r="I111" s="206" t="n"/>
    </row>
    <row r="112">
      <c r="I112" s="206" t="n"/>
    </row>
    <row r="113">
      <c r="I113" s="206" t="n"/>
    </row>
    <row r="114">
      <c r="I114" s="206" t="n"/>
    </row>
    <row r="115">
      <c r="I115" s="206" t="n"/>
    </row>
    <row r="116">
      <c r="I116" s="206" t="n"/>
    </row>
    <row r="117">
      <c r="I117" s="206" t="n"/>
    </row>
    <row r="118">
      <c r="I118" s="206" t="n"/>
    </row>
    <row r="119">
      <c r="I119" s="206" t="n"/>
    </row>
    <row r="120">
      <c r="I120" s="206" t="n"/>
    </row>
    <row r="121">
      <c r="I121" s="206" t="n"/>
    </row>
    <row r="122">
      <c r="I122" s="206" t="n"/>
    </row>
    <row r="123">
      <c r="I123" s="206" t="n"/>
    </row>
    <row r="124">
      <c r="I124" s="206" t="n"/>
    </row>
    <row r="125">
      <c r="I125" s="206" t="n"/>
    </row>
    <row r="126">
      <c r="I126" s="206" t="n"/>
    </row>
    <row r="127">
      <c r="I127" s="206" t="n"/>
    </row>
    <row r="128">
      <c r="I128" s="206" t="n"/>
    </row>
    <row r="129">
      <c r="I129" s="206" t="n"/>
    </row>
    <row r="130">
      <c r="I130" s="206" t="n"/>
    </row>
    <row r="131">
      <c r="I131" s="206" t="n"/>
    </row>
    <row r="132">
      <c r="I132" s="206" t="n"/>
    </row>
    <row r="133">
      <c r="I133" s="206" t="n"/>
    </row>
    <row r="134">
      <c r="I134" s="206" t="n"/>
    </row>
    <row r="135">
      <c r="I135" s="206" t="n"/>
    </row>
    <row r="136">
      <c r="I136" s="206" t="n"/>
    </row>
    <row r="137">
      <c r="I137" s="206" t="n"/>
    </row>
    <row r="138">
      <c r="I138" s="206" t="n"/>
    </row>
    <row r="139">
      <c r="I139" s="206" t="n"/>
    </row>
    <row r="140">
      <c r="I140" s="206" t="n"/>
    </row>
    <row r="141">
      <c r="I141" s="206" t="n"/>
    </row>
    <row r="142">
      <c r="I142" s="206" t="n"/>
    </row>
    <row r="143">
      <c r="I143" s="206" t="n"/>
    </row>
    <row r="144">
      <c r="I144" s="206" t="n"/>
    </row>
    <row r="145">
      <c r="I145" s="206" t="n"/>
    </row>
    <row r="146">
      <c r="I146" s="206" t="n"/>
    </row>
    <row r="147">
      <c r="I147" s="206" t="n"/>
    </row>
    <row r="148">
      <c r="I148" s="206" t="n"/>
    </row>
    <row r="149">
      <c r="I149" s="206" t="n"/>
    </row>
    <row r="150">
      <c r="I150" s="206" t="n"/>
    </row>
    <row r="151">
      <c r="I151" s="206" t="n"/>
    </row>
    <row r="152">
      <c r="I152" s="206" t="n"/>
    </row>
    <row r="153">
      <c r="I153" s="206" t="n"/>
    </row>
    <row r="154">
      <c r="I154" s="206" t="n"/>
    </row>
    <row r="155">
      <c r="I155" s="206" t="n"/>
    </row>
    <row r="156">
      <c r="I156" s="206" t="n"/>
    </row>
    <row r="157">
      <c r="I157" s="206" t="n"/>
    </row>
    <row r="158">
      <c r="I158" s="206" t="n"/>
    </row>
    <row r="159">
      <c r="I159" s="206" t="n"/>
    </row>
    <row r="160">
      <c r="I160" s="206" t="n"/>
    </row>
    <row r="161">
      <c r="I161" s="206" t="n"/>
    </row>
    <row r="162">
      <c r="I162" s="206" t="n"/>
    </row>
    <row r="163">
      <c r="I163" s="206" t="n"/>
    </row>
    <row r="164">
      <c r="I164" s="206" t="n"/>
    </row>
    <row r="165">
      <c r="I165" s="206" t="n"/>
    </row>
    <row r="166">
      <c r="I166" s="206" t="n"/>
    </row>
    <row r="167">
      <c r="I167" s="206" t="n"/>
    </row>
    <row r="168">
      <c r="I168" s="206" t="n"/>
    </row>
    <row r="169">
      <c r="I169" s="206" t="n"/>
    </row>
    <row r="170">
      <c r="I170" s="206" t="n"/>
    </row>
    <row r="171">
      <c r="I171" s="206" t="n"/>
    </row>
    <row r="172">
      <c r="I172" s="206" t="n"/>
    </row>
    <row r="173">
      <c r="I173" s="206" t="n"/>
    </row>
    <row r="174">
      <c r="I174" s="206" t="n"/>
    </row>
    <row r="175">
      <c r="I175" s="206" t="n"/>
    </row>
    <row r="176">
      <c r="I176" s="206" t="n"/>
    </row>
    <row r="177">
      <c r="I177" s="206" t="n"/>
    </row>
    <row r="178">
      <c r="I178" s="206" t="n"/>
    </row>
    <row r="179">
      <c r="I179" s="206" t="n"/>
    </row>
    <row r="180">
      <c r="I180" s="206" t="n"/>
    </row>
    <row r="181">
      <c r="I181" s="206" t="n"/>
    </row>
    <row r="182">
      <c r="I182" s="206" t="n"/>
    </row>
    <row r="183">
      <c r="I183" s="206" t="n"/>
    </row>
    <row r="184">
      <c r="I184" s="206" t="n"/>
    </row>
    <row r="185">
      <c r="I185" s="206" t="n"/>
    </row>
    <row r="186">
      <c r="I186" s="206" t="n"/>
    </row>
    <row r="187">
      <c r="I187" s="206" t="n"/>
    </row>
    <row r="188">
      <c r="I188" s="206" t="n"/>
    </row>
    <row r="189">
      <c r="I189" s="206" t="n"/>
    </row>
    <row r="190">
      <c r="I190" s="206" t="n"/>
    </row>
    <row r="191">
      <c r="I191" s="206" t="n"/>
    </row>
    <row r="192">
      <c r="I192" s="206" t="n"/>
    </row>
    <row r="193">
      <c r="I193" s="206" t="n"/>
    </row>
    <row r="194">
      <c r="I194" s="206" t="n"/>
    </row>
    <row r="195">
      <c r="I195" s="206" t="n"/>
    </row>
    <row r="196">
      <c r="I196" s="206" t="n"/>
    </row>
    <row r="197">
      <c r="I197" s="206" t="n"/>
    </row>
    <row r="198">
      <c r="I198" s="206" t="n"/>
    </row>
    <row r="199">
      <c r="I199" s="206" t="n"/>
    </row>
    <row r="200">
      <c r="I200" s="206" t="n"/>
    </row>
    <row r="201">
      <c r="I201" s="206" t="n"/>
    </row>
    <row r="202">
      <c r="I202" s="206" t="n"/>
    </row>
    <row r="203">
      <c r="I203" s="206" t="n"/>
    </row>
    <row r="204">
      <c r="I204" s="206" t="n"/>
    </row>
    <row r="205">
      <c r="I205" s="206" t="n"/>
    </row>
    <row r="206">
      <c r="I206" s="206" t="n"/>
    </row>
    <row r="207">
      <c r="I207" s="206" t="n"/>
    </row>
    <row r="208">
      <c r="I208" s="206" t="n"/>
    </row>
    <row r="209">
      <c r="I209" s="206" t="n"/>
    </row>
    <row r="210">
      <c r="I210" s="206" t="n"/>
    </row>
    <row r="211">
      <c r="I211" s="206" t="n"/>
    </row>
    <row r="212">
      <c r="I212" s="206" t="n"/>
    </row>
    <row r="213">
      <c r="I213" s="206" t="n"/>
    </row>
    <row r="214">
      <c r="I214" s="206" t="n"/>
    </row>
    <row r="215">
      <c r="I215" s="206" t="n"/>
    </row>
    <row r="216">
      <c r="I216" s="206" t="n"/>
    </row>
    <row r="217">
      <c r="I217" s="206" t="n"/>
    </row>
    <row r="218">
      <c r="I218" s="206" t="n"/>
    </row>
    <row r="219">
      <c r="I219" s="206" t="n"/>
    </row>
    <row r="220">
      <c r="I220" s="206" t="n"/>
    </row>
    <row r="221">
      <c r="I221" s="206" t="n"/>
    </row>
    <row r="222">
      <c r="I222" s="206" t="n"/>
    </row>
    <row r="223">
      <c r="I223" s="206" t="n"/>
    </row>
    <row r="224">
      <c r="I224" s="206" t="n"/>
    </row>
    <row r="225">
      <c r="I225" s="206" t="n"/>
    </row>
    <row r="226">
      <c r="I226" s="206" t="n"/>
    </row>
    <row r="227">
      <c r="I227" s="206" t="n"/>
    </row>
    <row r="228">
      <c r="I228" s="206" t="n"/>
    </row>
    <row r="229">
      <c r="I229" s="206" t="n"/>
    </row>
    <row r="230">
      <c r="I230" s="206" t="n"/>
    </row>
    <row r="231">
      <c r="I231" s="206" t="n"/>
    </row>
    <row r="232">
      <c r="I232" s="206" t="n"/>
    </row>
    <row r="233">
      <c r="I233" s="206" t="n"/>
    </row>
    <row r="234">
      <c r="I234" s="206" t="n"/>
    </row>
    <row r="235">
      <c r="I235" s="206" t="n"/>
    </row>
    <row r="236">
      <c r="I236" s="206" t="n"/>
    </row>
    <row r="237">
      <c r="I237" s="206" t="n"/>
    </row>
    <row r="238">
      <c r="I238" s="206" t="n"/>
    </row>
    <row r="239">
      <c r="I239" s="206" t="n"/>
    </row>
    <row r="240">
      <c r="I240" s="206" t="n"/>
    </row>
    <row r="241">
      <c r="I241" s="206" t="n"/>
    </row>
    <row r="242">
      <c r="I242" s="206" t="n"/>
    </row>
    <row r="243">
      <c r="I243" s="206" t="n"/>
    </row>
    <row r="244">
      <c r="I244" s="206" t="n"/>
    </row>
    <row r="245">
      <c r="I245" s="206" t="n"/>
    </row>
    <row r="246">
      <c r="I246" s="206" t="n"/>
    </row>
    <row r="247">
      <c r="I247" s="206" t="n"/>
    </row>
    <row r="248">
      <c r="I248" s="206" t="n"/>
    </row>
    <row r="249">
      <c r="I249" s="206" t="n"/>
    </row>
    <row r="250">
      <c r="I250" s="206" t="n"/>
    </row>
    <row r="251">
      <c r="I251" s="206" t="n"/>
    </row>
    <row r="252">
      <c r="I252" s="206" t="n"/>
    </row>
    <row r="253">
      <c r="I253" s="206" t="n"/>
    </row>
    <row r="254">
      <c r="I254" s="206" t="n"/>
    </row>
    <row r="255">
      <c r="I255" s="206" t="n"/>
    </row>
    <row r="256">
      <c r="I256" s="206" t="n"/>
    </row>
    <row r="257">
      <c r="I257" s="206" t="n"/>
    </row>
    <row r="258">
      <c r="I258" s="206" t="n"/>
    </row>
    <row r="259">
      <c r="I259" s="206" t="n"/>
    </row>
    <row r="260">
      <c r="I260" s="206" t="n"/>
    </row>
    <row r="261">
      <c r="I261" s="206" t="n"/>
    </row>
    <row r="262">
      <c r="I262" s="206" t="n"/>
    </row>
    <row r="263">
      <c r="I263" s="206" t="n"/>
    </row>
    <row r="264">
      <c r="I264" s="206" t="n"/>
    </row>
    <row r="265">
      <c r="I265" s="206" t="n"/>
    </row>
    <row r="266">
      <c r="I266" s="206" t="n"/>
    </row>
    <row r="267">
      <c r="I267" s="206" t="n"/>
    </row>
    <row r="268">
      <c r="I268" s="206" t="n"/>
    </row>
    <row r="269">
      <c r="I269" s="206" t="n"/>
    </row>
    <row r="270">
      <c r="I270" s="206" t="n"/>
    </row>
    <row r="271">
      <c r="I271" s="206" t="n"/>
    </row>
    <row r="272">
      <c r="I272" s="206" t="n"/>
    </row>
    <row r="273">
      <c r="I273" s="206" t="n"/>
    </row>
    <row r="274">
      <c r="I274" s="206" t="n"/>
    </row>
    <row r="275">
      <c r="I275" s="206" t="n"/>
    </row>
    <row r="276">
      <c r="I276" s="206" t="n"/>
    </row>
    <row r="277">
      <c r="I277" s="206" t="n"/>
    </row>
    <row r="278">
      <c r="I278" s="206" t="n"/>
    </row>
    <row r="279">
      <c r="I279" s="206" t="n"/>
    </row>
    <row r="280">
      <c r="I280" s="206" t="n"/>
    </row>
    <row r="281">
      <c r="I281" s="206" t="n"/>
    </row>
    <row r="282">
      <c r="I282" s="206" t="n"/>
    </row>
    <row r="283">
      <c r="I283" s="206" t="n"/>
    </row>
    <row r="284">
      <c r="I284" s="206" t="n"/>
    </row>
    <row r="285">
      <c r="I285" s="206" t="n"/>
    </row>
    <row r="286">
      <c r="I286" s="206" t="n"/>
    </row>
    <row r="287">
      <c r="I287" s="206" t="n"/>
    </row>
    <row r="288">
      <c r="I288" s="206" t="n"/>
    </row>
    <row r="289">
      <c r="I289" s="206" t="n"/>
    </row>
    <row r="290">
      <c r="I290" s="206" t="n"/>
    </row>
    <row r="291">
      <c r="I291" s="206" t="n"/>
    </row>
    <row r="292">
      <c r="I292" s="206" t="n"/>
    </row>
    <row r="293">
      <c r="I293" s="206" t="n"/>
    </row>
    <row r="294">
      <c r="I294" s="206" t="n"/>
    </row>
    <row r="295">
      <c r="I295" s="206" t="n"/>
    </row>
    <row r="296">
      <c r="I296" s="206" t="n"/>
    </row>
    <row r="297">
      <c r="I297" s="206" t="n"/>
    </row>
    <row r="298">
      <c r="I298" s="206" t="n"/>
    </row>
    <row r="299">
      <c r="I299" s="206" t="n"/>
    </row>
    <row r="300">
      <c r="I300" s="206" t="n"/>
    </row>
    <row r="301">
      <c r="I301" s="206" t="n"/>
    </row>
    <row r="302">
      <c r="I302" s="206" t="n"/>
    </row>
    <row r="303">
      <c r="I303" s="206" t="n"/>
    </row>
    <row r="304">
      <c r="I304" s="206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FF6F9EB3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ИСТОРИЯ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n"/>
      <c r="C5" s="316" t="n"/>
      <c r="D5" s="317" t="n"/>
      <c r="E5" s="241">
        <f>IF(AND(ISNUMBER(C5),ISNUMBER(D5)),C5*D5,"")</f>
        <v/>
      </c>
      <c r="F5" s="316" t="n"/>
      <c r="G5" s="317" t="n"/>
      <c r="H5" s="241">
        <f>IF(AND(ISNUMBER(F5),ISNUMBER(G5)),F5*G5,"")</f>
        <v/>
      </c>
      <c r="I5" s="240">
        <f>IF(COUNT(C5,F5)=0,"",N(C5)-N(F5))</f>
        <v/>
      </c>
      <c r="J5" s="241">
        <f>IF(COUNT(E5,H5)=0,"",N(H5)-N(E5))</f>
        <v/>
      </c>
      <c r="K5" s="316" t="n"/>
      <c r="L5" s="177">
        <f>IF(OR(NOT(ISNUMBER(K5)),COUNT(C5,F5,D5)&lt;3),"",IF(MIN(C5,F5)*D5&lt;=0,"",ROUND(K5/(MIN(C5,F5)*D5)*100,2)))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n"/>
      <c r="C6" s="321" t="n"/>
      <c r="D6" s="322" t="n"/>
      <c r="E6" s="247">
        <f>IF(AND(ISNUMBER(C6),ISNUMBER(D6)),C6*D6,"")</f>
        <v/>
      </c>
      <c r="F6" s="321" t="n"/>
      <c r="G6" s="322" t="n"/>
      <c r="H6" s="247">
        <f>IF(AND(ISNUMBER(F6),ISNUMBER(G6)),F6*G6,"")</f>
        <v/>
      </c>
      <c r="I6" s="246">
        <f>IF(COUNT(C6,F6)=0,"",N(C6)-N(F6))</f>
        <v/>
      </c>
      <c r="J6" s="247">
        <f>IF(COUNT(E6,H6)=0,"",N(H6)-N(E6))</f>
        <v/>
      </c>
      <c r="K6" s="321" t="n"/>
      <c r="L6" s="183">
        <f>IF(OR(NOT(ISNUMBER(K6)),COUNT(C6,F6,D6)&lt;3),"",IF(MIN(C6,F6)*D6&lt;=0,"",ROUND(K6/(MIN(C6,F6)*D6)*100,2)))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n"/>
      <c r="C7" s="316" t="n"/>
      <c r="D7" s="317" t="n"/>
      <c r="E7" s="241">
        <f>IF(AND(ISNUMBER(C7),ISNUMBER(D7)),C7*D7,"")</f>
        <v/>
      </c>
      <c r="F7" s="316" t="n"/>
      <c r="G7" s="317" t="n"/>
      <c r="H7" s="241">
        <f>IF(AND(ISNUMBER(F7),ISNUMBER(G7)),F7*G7,"")</f>
        <v/>
      </c>
      <c r="I7" s="240">
        <f>IF(COUNT(C7,F7)=0,"",N(C7)-N(F7))</f>
        <v/>
      </c>
      <c r="J7" s="241">
        <f>IF(COUNT(E7,H7)=0,"",N(H7)-N(E7))</f>
        <v/>
      </c>
      <c r="K7" s="316" t="n"/>
      <c r="L7" s="177">
        <f>IF(OR(NOT(ISNUMBER(K7)),COUNT(C7,F7,D7)&lt;3),"",IF(MIN(C7,F7)*D7&lt;=0,"",ROUND(K7/(MIN(C7,F7)*D7)*100,2)))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n"/>
      <c r="C8" s="321" t="n"/>
      <c r="D8" s="322" t="n"/>
      <c r="E8" s="247">
        <f>IF(AND(ISNUMBER(C8),ISNUMBER(D8)),C8*D8,"")</f>
        <v/>
      </c>
      <c r="F8" s="321" t="n"/>
      <c r="G8" s="322" t="n"/>
      <c r="H8" s="247">
        <f>IF(AND(ISNUMBER(F8),ISNUMBER(G8)),F8*G8,"")</f>
        <v/>
      </c>
      <c r="I8" s="246">
        <f>IF(COUNT(C8,F8)=0,"",N(C8)-N(F8))</f>
        <v/>
      </c>
      <c r="J8" s="247">
        <f>IF(COUNT(E8,H8)=0,"",N(H8)-N(E8))</f>
        <v/>
      </c>
      <c r="K8" s="321" t="n"/>
      <c r="L8" s="183">
        <f>IF(OR(NOT(ISNUMBER(K8)),COUNT(C8,F8,D8)&lt;3),"",IF(MIN(C8,F8)*D8&lt;=0,"",ROUND(K8/(MIN(C8,F8)*D8)*100,2)))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n"/>
      <c r="C9" s="316" t="n"/>
      <c r="D9" s="317" t="n"/>
      <c r="E9" s="241">
        <f>IF(AND(ISNUMBER(C9),ISNUMBER(D9)),C9*D9,"")</f>
        <v/>
      </c>
      <c r="F9" s="316" t="n"/>
      <c r="G9" s="317" t="n"/>
      <c r="H9" s="241">
        <f>IF(AND(ISNUMBER(F9),ISNUMBER(G9)),F9*G9,"")</f>
        <v/>
      </c>
      <c r="I9" s="240">
        <f>IF(COUNT(C9,F9)=0,"",N(C9)-N(F9))</f>
        <v/>
      </c>
      <c r="J9" s="241">
        <f>IF(COUNT(E9,H9)=0,"",N(H9)-N(E9))</f>
        <v/>
      </c>
      <c r="K9" s="316" t="n"/>
      <c r="L9" s="177">
        <f>IF(OR(NOT(ISNUMBER(K9)),COUNT(C9,F9,D9)&lt;3),"",IF(MIN(C9,F9)*D9&lt;=0,"",ROUND(K9/(MIN(C9,F9)*D9)*100,2)))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n"/>
      <c r="C10" s="321" t="n"/>
      <c r="D10" s="322" t="n"/>
      <c r="E10" s="247">
        <f>IF(AND(ISNUMBER(C10),ISNUMBER(D10)),C10*D10,"")</f>
        <v/>
      </c>
      <c r="F10" s="321" t="n"/>
      <c r="G10" s="322" t="n"/>
      <c r="H10" s="247">
        <f>IF(AND(ISNUMBER(F10),ISNUMBER(G10)),F10*G10,"")</f>
        <v/>
      </c>
      <c r="I10" s="246">
        <f>IF(COUNT(C10,F10)=0,"",N(C10)-N(F10))</f>
        <v/>
      </c>
      <c r="J10" s="247">
        <f>IF(COUNT(E10,H10)=0,"",N(H10)-N(E10))</f>
        <v/>
      </c>
      <c r="K10" s="321" t="n"/>
      <c r="L10" s="183">
        <f>IF(OR(NOT(ISNUMBER(K10)),COUNT(C10,F10,D10)&lt;3),"",IF(MIN(C10,F10)*D10&lt;=0,"",ROUND(K10/(MIN(C10,F10)*D10)*100,2)))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n"/>
      <c r="C11" s="316" t="n"/>
      <c r="D11" s="317" t="n"/>
      <c r="E11" s="241">
        <f>IF(AND(ISNUMBER(C11),ISNUMBER(D11)),C11*D11,"")</f>
        <v/>
      </c>
      <c r="F11" s="316" t="n"/>
      <c r="G11" s="317" t="n"/>
      <c r="H11" s="241">
        <f>IF(AND(ISNUMBER(F11),ISNUMBER(G11)),F11*G11,"")</f>
        <v/>
      </c>
      <c r="I11" s="240">
        <f>IF(COUNT(C11,F11)=0,"",N(C11)-N(F11))</f>
        <v/>
      </c>
      <c r="J11" s="241">
        <f>IF(COUNT(E11,H11)=0,"",N(H11)-N(E11))</f>
        <v/>
      </c>
      <c r="K11" s="316" t="n"/>
      <c r="L11" s="177">
        <f>IF(OR(NOT(ISNUMBER(K11)),COUNT(C11,F11,D11)&lt;3),"",IF(MIN(C11,F11)*D11&lt;=0,"",ROUND(K11/(MIN(C11,F11)*D11)*100,2)))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n"/>
      <c r="C12" s="321" t="n"/>
      <c r="D12" s="322" t="n"/>
      <c r="E12" s="247">
        <f>IF(AND(ISNUMBER(C12),ISNUMBER(D12)),C12*D12,"")</f>
        <v/>
      </c>
      <c r="F12" s="321" t="n"/>
      <c r="G12" s="322" t="n"/>
      <c r="H12" s="247">
        <f>IF(AND(ISNUMBER(F12),ISNUMBER(G12)),F12*G12,"")</f>
        <v/>
      </c>
      <c r="I12" s="246">
        <f>IF(COUNT(C12,F12)=0,"",N(C12)-N(F12))</f>
        <v/>
      </c>
      <c r="J12" s="247">
        <f>IF(COUNT(E12,H12)=0,"",N(H12)-N(E12))</f>
        <v/>
      </c>
      <c r="K12" s="321" t="n"/>
      <c r="L12" s="183">
        <f>IF(OR(NOT(ISNUMBER(K12)),COUNT(C12,F12,D12)&lt;3),"",IF(MIN(C12,F12)*D12&lt;=0,"",ROUND(K12/(MIN(C12,F12)*D12)*100,2)))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n"/>
      <c r="C13" s="316" t="n"/>
      <c r="D13" s="317" t="n"/>
      <c r="E13" s="241">
        <f>IF(AND(ISNUMBER(C13),ISNUMBER(D13)),C13*D13,"")</f>
        <v/>
      </c>
      <c r="F13" s="316" t="n"/>
      <c r="G13" s="317" t="n"/>
      <c r="H13" s="241">
        <f>IF(AND(ISNUMBER(F13),ISNUMBER(G13)),F13*G13,"")</f>
        <v/>
      </c>
      <c r="I13" s="240">
        <f>IF(COUNT(C13,F13)=0,"",N(C13)-N(F13))</f>
        <v/>
      </c>
      <c r="J13" s="241">
        <f>IF(COUNT(E13,H13)=0,"",N(H13)-N(E13))</f>
        <v/>
      </c>
      <c r="K13" s="316" t="n"/>
      <c r="L13" s="177">
        <f>IF(OR(NOT(ISNUMBER(K13)),COUNT(C13,F13,D13)&lt;3),"",IF(MIN(C13,F13)*D13&lt;=0,"",ROUND(K13/(MIN(C13,F13)*D13)*100,2)))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n"/>
      <c r="C14" s="321" t="n"/>
      <c r="D14" s="322" t="n"/>
      <c r="E14" s="247">
        <f>IF(AND(ISNUMBER(C14),ISNUMBER(D14)),C14*D14,"")</f>
        <v/>
      </c>
      <c r="F14" s="321" t="n"/>
      <c r="G14" s="322" t="n"/>
      <c r="H14" s="247">
        <f>IF(AND(ISNUMBER(F14),ISNUMBER(G14)),F14*G14,"")</f>
        <v/>
      </c>
      <c r="I14" s="246">
        <f>IF(COUNT(C14,F14)=0,"",N(C14)-N(F14))</f>
        <v/>
      </c>
      <c r="J14" s="247">
        <f>IF(COUNT(E14,H14)=0,"",N(H14)-N(E14))</f>
        <v/>
      </c>
      <c r="K14" s="321" t="n"/>
      <c r="L14" s="183">
        <f>IF(OR(NOT(ISNUMBER(K14)),COUNT(C14,F14,D14)&lt;3),"",IF(MIN(C14,F14)*D14&lt;=0,"",ROUND(K14/(MIN(C14,F14)*D14)*100,2)))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n"/>
      <c r="C15" s="316" t="n"/>
      <c r="D15" s="317" t="n"/>
      <c r="E15" s="241">
        <f>IF(AND(ISNUMBER(C15),ISNUMBER(D15)),C15*D15,"")</f>
        <v/>
      </c>
      <c r="F15" s="316" t="n"/>
      <c r="G15" s="317" t="n"/>
      <c r="H15" s="241">
        <f>IF(AND(ISNUMBER(F15),ISNUMBER(G15)),F15*G15,"")</f>
        <v/>
      </c>
      <c r="I15" s="240">
        <f>IF(COUNT(C15,F15)=0,"",N(C15)-N(F15))</f>
        <v/>
      </c>
      <c r="J15" s="241">
        <f>IF(COUNT(E15,H15)=0,"",N(H15)-N(E15))</f>
        <v/>
      </c>
      <c r="K15" s="316" t="n"/>
      <c r="L15" s="177">
        <f>IF(OR(NOT(ISNUMBER(K15)),COUNT(C15,F15,D15)&lt;3),"",IF(MIN(C15,F15)*D15&lt;=0,"",ROUND(K15/(MIN(C15,F15)*D15)*100,2)))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321" t="n"/>
      <c r="D16" s="322" t="n"/>
      <c r="E16" s="247">
        <f>IF(AND(ISNUMBER(C16),ISNUMBER(D16)),C16*D16,"")</f>
        <v/>
      </c>
      <c r="F16" s="321" t="n"/>
      <c r="G16" s="322" t="n"/>
      <c r="H16" s="247">
        <f>IF(AND(ISNUMBER(F16),ISNUMBER(G16)),F16*G16,"")</f>
        <v/>
      </c>
      <c r="I16" s="246">
        <f>IF(COUNT(C16,F16)=0,"",N(C16)-N(F16))</f>
        <v/>
      </c>
      <c r="J16" s="247">
        <f>IF(COUNT(E16,H16)=0,"",N(H16)-N(E16))</f>
        <v/>
      </c>
      <c r="K16" s="321" t="n"/>
      <c r="L16" s="183">
        <f>IF(OR(NOT(ISNUMBER(K16)),COUNT(C16,F16,D16)&lt;3),"",IF(MIN(C16,F16)*D16&lt;=0,"",ROUND(K16/(MIN(C16,F16)*D16)*100,2)))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316" t="n"/>
      <c r="D17" s="317" t="n"/>
      <c r="E17" s="241">
        <f>IF(AND(ISNUMBER(C17),ISNUMBER(D17)),C17*D17,"")</f>
        <v/>
      </c>
      <c r="F17" s="316" t="n"/>
      <c r="G17" s="317" t="n"/>
      <c r="H17" s="241">
        <f>IF(AND(ISNUMBER(F17),ISNUMBER(G17)),F17*G17,"")</f>
        <v/>
      </c>
      <c r="I17" s="240">
        <f>IF(COUNT(C17,F17)=0,"",N(C17)-N(F17))</f>
        <v/>
      </c>
      <c r="J17" s="241">
        <f>IF(COUNT(E17,H17)=0,"",N(H17)-N(E17))</f>
        <v/>
      </c>
      <c r="K17" s="316" t="n"/>
      <c r="L17" s="177">
        <f>IF(OR(NOT(ISNUMBER(K17)),COUNT(C17,F17,D17)&lt;3),"",IF(MIN(C17,F17)*D17&lt;=0,"",ROUND(K17/(MIN(C17,F17)*D17)*100,2)))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321" t="n"/>
      <c r="D18" s="322" t="n"/>
      <c r="E18" s="247">
        <f>IF(AND(ISNUMBER(C18),ISNUMBER(D18)),C18*D18,"")</f>
        <v/>
      </c>
      <c r="F18" s="321" t="n"/>
      <c r="G18" s="322" t="n"/>
      <c r="H18" s="247">
        <f>IF(AND(ISNUMBER(F18),ISNUMBER(G18)),F18*G18,"")</f>
        <v/>
      </c>
      <c r="I18" s="246">
        <f>IF(COUNT(C18,F18)=0,"",N(C18)-N(F18))</f>
        <v/>
      </c>
      <c r="J18" s="247">
        <f>IF(COUNT(E18,H18)=0,"",N(H18)-N(E18))</f>
        <v/>
      </c>
      <c r="K18" s="321" t="n"/>
      <c r="L18" s="183">
        <f>IF(OR(NOT(ISNUMBER(K18)),COUNT(C18,F18,D18)&lt;3),"",IF(MIN(C18,F18)*D18&lt;=0,"",ROUND(K18/(MIN(C18,F18)*D18)*100,2)))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316" t="n"/>
      <c r="D19" s="317" t="n"/>
      <c r="E19" s="241">
        <f>IF(AND(ISNUMBER(C19),ISNUMBER(D19)),C19*D19,"")</f>
        <v/>
      </c>
      <c r="F19" s="316" t="n"/>
      <c r="G19" s="317" t="n"/>
      <c r="H19" s="241">
        <f>IF(AND(ISNUMBER(F19),ISNUMBER(G19)),F19*G19,"")</f>
        <v/>
      </c>
      <c r="I19" s="240">
        <f>IF(COUNT(C19,F19)=0,"",N(C19)-N(F19))</f>
        <v/>
      </c>
      <c r="J19" s="241">
        <f>IF(COUNT(E19,H19)=0,"",N(H19)-N(E19))</f>
        <v/>
      </c>
      <c r="K19" s="316" t="n"/>
      <c r="L19" s="177">
        <f>IF(OR(NOT(ISNUMBER(K19)),COUNT(C19,F19,D19)&lt;3),"",IF(MIN(C19,F19)*D19&lt;=0,"",ROUND(K19/(MIN(C19,F19)*D19)*100,2)))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321" t="n"/>
      <c r="D20" s="322" t="n"/>
      <c r="E20" s="247">
        <f>IF(AND(ISNUMBER(C20),ISNUMBER(D20)),C20*D20,"")</f>
        <v/>
      </c>
      <c r="F20" s="321" t="n"/>
      <c r="G20" s="322" t="n"/>
      <c r="H20" s="247">
        <f>IF(AND(ISNUMBER(F20),ISNUMBER(G20)),F20*G20,"")</f>
        <v/>
      </c>
      <c r="I20" s="246">
        <f>IF(COUNT(C20,F20)=0,"",N(C20)-N(F20))</f>
        <v/>
      </c>
      <c r="J20" s="247">
        <f>IF(COUNT(E20,H20)=0,"",N(H20)-N(E20))</f>
        <v/>
      </c>
      <c r="K20" s="321" t="n"/>
      <c r="L20" s="183">
        <f>IF(OR(NOT(ISNUMBER(K20)),COUNT(C20,F20,D20)&lt;3),"",IF(MIN(C20,F20)*D20&lt;=0,"",ROUND(K20/(MIN(C20,F20)*D20)*100,2)))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316" t="n"/>
      <c r="D21" s="317" t="n"/>
      <c r="E21" s="241">
        <f>IF(AND(ISNUMBER(C21),ISNUMBER(D21)),C21*D21,"")</f>
        <v/>
      </c>
      <c r="F21" s="316" t="n"/>
      <c r="G21" s="317" t="n"/>
      <c r="H21" s="241">
        <f>IF(AND(ISNUMBER(F21),ISNUMBER(G21)),F21*G21,"")</f>
        <v/>
      </c>
      <c r="I21" s="240">
        <f>IF(COUNT(C21,F21)=0,"",N(C21)-N(F21))</f>
        <v/>
      </c>
      <c r="J21" s="241">
        <f>IF(COUNT(E21,H21)=0,"",N(H21)-N(E21))</f>
        <v/>
      </c>
      <c r="K21" s="316" t="n"/>
      <c r="L21" s="177">
        <f>IF(OR(NOT(ISNUMBER(K21)),COUNT(C21,F21,D21)&lt;3),"",IF(MIN(C21,F21)*D21&lt;=0,"",ROUND(K21/(MIN(C21,F21)*D21)*100,2)))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321" t="n"/>
      <c r="D22" s="322" t="n"/>
      <c r="E22" s="247">
        <f>IF(AND(ISNUMBER(C22),ISNUMBER(D22)),C22*D22,"")</f>
        <v/>
      </c>
      <c r="F22" s="321" t="n"/>
      <c r="G22" s="322" t="n"/>
      <c r="H22" s="247">
        <f>IF(AND(ISNUMBER(F22),ISNUMBER(G22)),F22*G22,"")</f>
        <v/>
      </c>
      <c r="I22" s="246">
        <f>IF(COUNT(C22,F22)=0,"",N(C22)-N(F22))</f>
        <v/>
      </c>
      <c r="J22" s="247">
        <f>IF(COUNT(E22,H22)=0,"",N(H22)-N(E22))</f>
        <v/>
      </c>
      <c r="K22" s="321" t="n"/>
      <c r="L22" s="183">
        <f>IF(OR(NOT(ISNUMBER(K22)),COUNT(C22,F22,D22)&lt;3),"",IF(MIN(C22,F22)*D22&lt;=0,"",ROUND(K22/(MIN(C22,F22)*D22)*100,2)))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316" t="n"/>
      <c r="D23" s="317" t="n"/>
      <c r="E23" s="241">
        <f>IF(AND(ISNUMBER(C23),ISNUMBER(D23)),C23*D23,"")</f>
        <v/>
      </c>
      <c r="F23" s="316" t="n"/>
      <c r="G23" s="317" t="n"/>
      <c r="H23" s="241">
        <f>IF(AND(ISNUMBER(F23),ISNUMBER(G23)),F23*G23,"")</f>
        <v/>
      </c>
      <c r="I23" s="240">
        <f>IF(COUNT(C23,F23)=0,"",N(C23)-N(F23))</f>
        <v/>
      </c>
      <c r="J23" s="241">
        <f>IF(COUNT(E23,H23)=0,"",N(H23)-N(E23))</f>
        <v/>
      </c>
      <c r="K23" s="316" t="n"/>
      <c r="L23" s="177">
        <f>IF(OR(NOT(ISNUMBER(K23)),COUNT(C23,F23,D23)&lt;3),"",IF(MIN(C23,F23)*D23&lt;=0,"",ROUND(K23/(MIN(C23,F23)*D23)*100,2)))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321" t="n"/>
      <c r="D24" s="322" t="n"/>
      <c r="E24" s="247">
        <f>IF(AND(ISNUMBER(C24),ISNUMBER(D24)),C24*D24,"")</f>
        <v/>
      </c>
      <c r="F24" s="321" t="n"/>
      <c r="G24" s="322" t="n"/>
      <c r="H24" s="247">
        <f>IF(AND(ISNUMBER(F24),ISNUMBER(G24)),F24*G24,"")</f>
        <v/>
      </c>
      <c r="I24" s="246">
        <f>IF(COUNT(C24,F24)=0,"",N(C24)-N(F24))</f>
        <v/>
      </c>
      <c r="J24" s="247">
        <f>IF(COUNT(E24,H24)=0,"",N(H24)-N(E24))</f>
        <v/>
      </c>
      <c r="K24" s="321" t="n"/>
      <c r="L24" s="183">
        <f>IF(OR(NOT(ISNUMBER(K24)),COUNT(C24,F24,D24)&lt;3),"",IF(MIN(C24,F24)*D24&lt;=0,"",ROUND(K24/(MIN(C24,F24)*D24)*100,2)))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316" t="n"/>
      <c r="D25" s="317" t="n"/>
      <c r="E25" s="241">
        <f>IF(AND(ISNUMBER(C25),ISNUMBER(D25)),C25*D25,"")</f>
        <v/>
      </c>
      <c r="F25" s="316" t="n"/>
      <c r="G25" s="317" t="n"/>
      <c r="H25" s="241">
        <f>IF(AND(ISNUMBER(F25),ISNUMBER(G25)),F25*G25,"")</f>
        <v/>
      </c>
      <c r="I25" s="240">
        <f>IF(COUNT(C25,F25)=0,"",N(C25)-N(F25))</f>
        <v/>
      </c>
      <c r="J25" s="241">
        <f>IF(COUNT(E25,H25)=0,"",N(H25)-N(E25))</f>
        <v/>
      </c>
      <c r="K25" s="316" t="n"/>
      <c r="L25" s="177">
        <f>IF(OR(NOT(ISNUMBER(K25)),COUNT(C25,F25,D25)&lt;3),"",IF(MIN(C25,F25)*D25&lt;=0,"",ROUND(K25/(MIN(C25,F25)*D25)*100,2)))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321" t="n"/>
      <c r="D26" s="322" t="n"/>
      <c r="E26" s="247">
        <f>IF(AND(ISNUMBER(C26),ISNUMBER(D26)),C26*D26,"")</f>
        <v/>
      </c>
      <c r="F26" s="321" t="n"/>
      <c r="G26" s="322" t="n"/>
      <c r="H26" s="247">
        <f>IF(AND(ISNUMBER(F26),ISNUMBER(G26)),F26*G26,"")</f>
        <v/>
      </c>
      <c r="I26" s="246">
        <f>IF(COUNT(C26,F26)=0,"",N(C26)-N(F26))</f>
        <v/>
      </c>
      <c r="J26" s="247">
        <f>IF(COUNT(E26,H26)=0,"",N(H26)-N(E26))</f>
        <v/>
      </c>
      <c r="K26" s="321" t="n"/>
      <c r="L26" s="183">
        <f>IF(OR(NOT(ISNUMBER(K26)),COUNT(C26,F26,D26)&lt;3),"",IF(MIN(C26,F26)*D26&lt;=0,"",ROUND(K26/(MIN(C26,F26)*D26)*100,2)))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316" t="n"/>
      <c r="D27" s="317" t="n"/>
      <c r="E27" s="241">
        <f>IF(AND(ISNUMBER(C27),ISNUMBER(D27)),C27*D27,"")</f>
        <v/>
      </c>
      <c r="F27" s="316" t="n"/>
      <c r="G27" s="317" t="n"/>
      <c r="H27" s="241">
        <f>IF(AND(ISNUMBER(F27),ISNUMBER(G27)),F27*G27,"")</f>
        <v/>
      </c>
      <c r="I27" s="240">
        <f>IF(COUNT(C27,F27)=0,"",N(C27)-N(F27))</f>
        <v/>
      </c>
      <c r="J27" s="241">
        <f>IF(COUNT(E27,H27)=0,"",N(H27)-N(E27))</f>
        <v/>
      </c>
      <c r="K27" s="316" t="n"/>
      <c r="L27" s="177">
        <f>IF(OR(NOT(ISNUMBER(K27)),COUNT(C27,F27,D27)&lt;3),"",IF(MIN(C27,F27)*D27&lt;=0,"",ROUND(K27/(MIN(C27,F27)*D27)*100,2)))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321" t="n"/>
      <c r="D28" s="322" t="n"/>
      <c r="E28" s="247">
        <f>IF(AND(ISNUMBER(C28),ISNUMBER(D28)),C28*D28,"")</f>
        <v/>
      </c>
      <c r="F28" s="321" t="n"/>
      <c r="G28" s="322" t="n"/>
      <c r="H28" s="247">
        <f>IF(AND(ISNUMBER(F28),ISNUMBER(G28)),F28*G28,"")</f>
        <v/>
      </c>
      <c r="I28" s="246">
        <f>IF(COUNT(C28,F28)=0,"",N(C28)-N(F28))</f>
        <v/>
      </c>
      <c r="J28" s="247">
        <f>IF(COUNT(E28,H28)=0,"",N(H28)-N(E28))</f>
        <v/>
      </c>
      <c r="K28" s="321" t="n"/>
      <c r="L28" s="183">
        <f>IF(OR(NOT(ISNUMBER(K28)),COUNT(C28,F28,D28)&lt;3),"",IF(MIN(C28,F28)*D28&lt;=0,"",ROUND(K28/(MIN(C28,F28)*D28)*100,2)))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316" t="n"/>
      <c r="D29" s="317" t="n"/>
      <c r="E29" s="241">
        <f>IF(AND(ISNUMBER(C29),ISNUMBER(D29)),C29*D29,"")</f>
        <v/>
      </c>
      <c r="F29" s="316" t="n"/>
      <c r="G29" s="317" t="n"/>
      <c r="H29" s="241">
        <f>IF(AND(ISNUMBER(F29),ISNUMBER(G29)),F29*G29,"")</f>
        <v/>
      </c>
      <c r="I29" s="240">
        <f>IF(COUNT(C29,F29)=0,"",N(C29)-N(F29))</f>
        <v/>
      </c>
      <c r="J29" s="241">
        <f>IF(COUNT(E29,H29)=0,"",N(H29)-N(E29))</f>
        <v/>
      </c>
      <c r="K29" s="316" t="n"/>
      <c r="L29" s="177">
        <f>IF(OR(NOT(ISNUMBER(K29)),COUNT(C29,F29,D29)&lt;3),"",IF(MIN(C29,F29)*D29&lt;=0,"",ROUND(K29/(MIN(C29,F29)*D29)*100,2)))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321" t="n"/>
      <c r="D30" s="322" t="n"/>
      <c r="E30" s="247">
        <f>IF(AND(ISNUMBER(C30),ISNUMBER(D30)),C30*D30,"")</f>
        <v/>
      </c>
      <c r="F30" s="321" t="n"/>
      <c r="G30" s="322" t="n"/>
      <c r="H30" s="247">
        <f>IF(AND(ISNUMBER(F30),ISNUMBER(G30)),F30*G30,"")</f>
        <v/>
      </c>
      <c r="I30" s="246">
        <f>IF(COUNT(C30,F30)=0,"",N(C30)-N(F30))</f>
        <v/>
      </c>
      <c r="J30" s="247">
        <f>IF(COUNT(E30,H30)=0,"",N(H30)-N(E30))</f>
        <v/>
      </c>
      <c r="K30" s="321" t="n"/>
      <c r="L30" s="183">
        <f>IF(OR(NOT(ISNUMBER(K30)),COUNT(C30,F30,D30)&lt;3),"",IF(MIN(C30,F30)*D30&lt;=0,"",ROUND(K30/(MIN(C30,F30)*D30)*100,2)))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316" t="n"/>
      <c r="D31" s="317" t="n"/>
      <c r="E31" s="241">
        <f>IF(AND(ISNUMBER(C31),ISNUMBER(D31)),C31*D31,"")</f>
        <v/>
      </c>
      <c r="F31" s="316" t="n"/>
      <c r="G31" s="317" t="n"/>
      <c r="H31" s="241">
        <f>IF(AND(ISNUMBER(F31),ISNUMBER(G31)),F31*G31,"")</f>
        <v/>
      </c>
      <c r="I31" s="240">
        <f>IF(COUNT(C31,F31)=0,"",N(C31)-N(F31))</f>
        <v/>
      </c>
      <c r="J31" s="241">
        <f>IF(COUNT(E31,H31)=0,"",N(H31)-N(E31))</f>
        <v/>
      </c>
      <c r="K31" s="316" t="n"/>
      <c r="L31" s="177">
        <f>IF(OR(NOT(ISNUMBER(K31)),COUNT(C31,F31,D31)&lt;3),"",IF(MIN(C31,F31)*D31&lt;=0,"",ROUND(K31/(MIN(C31,F31)*D31)*100,2)))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321" t="n"/>
      <c r="D32" s="322" t="n"/>
      <c r="E32" s="247">
        <f>IF(AND(ISNUMBER(C32),ISNUMBER(D32)),C32*D32,"")</f>
        <v/>
      </c>
      <c r="F32" s="321" t="n"/>
      <c r="G32" s="322" t="n"/>
      <c r="H32" s="247">
        <f>IF(AND(ISNUMBER(F32),ISNUMBER(G32)),F32*G32,"")</f>
        <v/>
      </c>
      <c r="I32" s="246">
        <f>IF(COUNT(C32,F32)=0,"",N(C32)-N(F32))</f>
        <v/>
      </c>
      <c r="J32" s="247">
        <f>IF(COUNT(E32,H32)=0,"",N(H32)-N(E32))</f>
        <v/>
      </c>
      <c r="K32" s="321" t="n"/>
      <c r="L32" s="183">
        <f>IF(OR(NOT(ISNUMBER(K32)),COUNT(C32,F32,D32)&lt;3),"",IF(MIN(C32,F32)*D32&lt;=0,"",ROUND(K32/(MIN(C32,F32)*D32)*100,2)))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316" t="n"/>
      <c r="D33" s="317" t="n"/>
      <c r="E33" s="241">
        <f>IF(AND(ISNUMBER(C33),ISNUMBER(D33)),C33*D33,"")</f>
        <v/>
      </c>
      <c r="F33" s="316" t="n"/>
      <c r="G33" s="317" t="n"/>
      <c r="H33" s="241">
        <f>IF(AND(ISNUMBER(F33),ISNUMBER(G33)),F33*G33,"")</f>
        <v/>
      </c>
      <c r="I33" s="240">
        <f>IF(COUNT(C33,F33)=0,"",N(C33)-N(F33))</f>
        <v/>
      </c>
      <c r="J33" s="241">
        <f>IF(COUNT(E33,H33)=0,"",N(H33)-N(E33))</f>
        <v/>
      </c>
      <c r="K33" s="316" t="n"/>
      <c r="L33" s="177">
        <f>IF(OR(NOT(ISNUMBER(K33)),COUNT(C33,F33,D33)&lt;3),"",IF(MIN(C33,F33)*D33&lt;=0,"",ROUND(K33/(MIN(C33,F33)*D33)*100,2)))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321" t="n"/>
      <c r="D34" s="322" t="n"/>
      <c r="E34" s="247">
        <f>IF(AND(ISNUMBER(C34),ISNUMBER(D34)),C34*D34,"")</f>
        <v/>
      </c>
      <c r="F34" s="321" t="n"/>
      <c r="G34" s="322" t="n"/>
      <c r="H34" s="247">
        <f>IF(AND(ISNUMBER(F34),ISNUMBER(G34)),F34*G34,"")</f>
        <v/>
      </c>
      <c r="I34" s="246">
        <f>IF(COUNT(C34,F34)=0,"",N(C34)-N(F34))</f>
        <v/>
      </c>
      <c r="J34" s="247">
        <f>IF(COUNT(E34,H34)=0,"",N(H34)-N(E34))</f>
        <v/>
      </c>
      <c r="K34" s="321" t="n"/>
      <c r="L34" s="183">
        <f>IF(OR(NOT(ISNUMBER(K34)),COUNT(C34,F34,D34)&lt;3),"",IF(MIN(C34,F34)*D34&lt;=0,"",ROUND(K34/(MIN(C34,F34)*D34)*100,2)))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316" t="n"/>
      <c r="D35" s="317" t="n"/>
      <c r="E35" s="241">
        <f>IF(AND(ISNUMBER(C35),ISNUMBER(D35)),C35*D35,"")</f>
        <v/>
      </c>
      <c r="F35" s="316" t="n"/>
      <c r="G35" s="317" t="n"/>
      <c r="H35" s="241">
        <f>IF(AND(ISNUMBER(F35),ISNUMBER(G35)),F35*G35,"")</f>
        <v/>
      </c>
      <c r="I35" s="240">
        <f>IF(COUNT(C35,F35)=0,"",N(C35)-N(F35))</f>
        <v/>
      </c>
      <c r="J35" s="241">
        <f>IF(COUNT(E35,H35)=0,"",N(H35)-N(E35))</f>
        <v/>
      </c>
      <c r="K35" s="316" t="n"/>
      <c r="L35" s="177">
        <f>IF(OR(NOT(ISNUMBER(K35)),COUNT(C35,F35,D35)&lt;3),"",IF(MIN(C35,F35)*D35&lt;=0,"",ROUND(K35/(MIN(C35,F35)*D35)*100,2)))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321" t="n"/>
      <c r="D36" s="322" t="n"/>
      <c r="E36" s="247">
        <f>IF(AND(ISNUMBER(C36),ISNUMBER(D36)),C36*D36,"")</f>
        <v/>
      </c>
      <c r="F36" s="321" t="n"/>
      <c r="G36" s="322" t="n"/>
      <c r="H36" s="247">
        <f>IF(AND(ISNUMBER(F36),ISNUMBER(G36)),F36*G36,"")</f>
        <v/>
      </c>
      <c r="I36" s="246">
        <f>IF(COUNT(C36,F36)=0,"",N(C36)-N(F36))</f>
        <v/>
      </c>
      <c r="J36" s="247">
        <f>IF(COUNT(E36,H36)=0,"",N(H36)-N(E36))</f>
        <v/>
      </c>
      <c r="K36" s="321" t="n"/>
      <c r="L36" s="183">
        <f>IF(OR(NOT(ISNUMBER(K36)),COUNT(C36,F36,D36)&lt;3),"",IF(MIN(C36,F36)*D36&lt;=0,"",ROUND(K36/(MIN(C36,F36)*D36)*100,2)))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316" t="n"/>
      <c r="D37" s="317" t="n"/>
      <c r="E37" s="241">
        <f>IF(AND(ISNUMBER(C37),ISNUMBER(D37)),C37*D37,"")</f>
        <v/>
      </c>
      <c r="F37" s="316" t="n"/>
      <c r="G37" s="317" t="n"/>
      <c r="H37" s="241">
        <f>IF(AND(ISNUMBER(F37),ISNUMBER(G37)),F37*G37,"")</f>
        <v/>
      </c>
      <c r="I37" s="240">
        <f>IF(COUNT(C37,F37)=0,"",N(C37)-N(F37))</f>
        <v/>
      </c>
      <c r="J37" s="241">
        <f>IF(COUNT(E37,H37)=0,"",N(H37)-N(E37))</f>
        <v/>
      </c>
      <c r="K37" s="316" t="n"/>
      <c r="L37" s="177">
        <f>IF(OR(NOT(ISNUMBER(K37)),COUNT(C37,F37,D37)&lt;3),"",IF(MIN(C37,F37)*D37&lt;=0,"",ROUND(K37/(MIN(C37,F37)*D37)*100,2)))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321" t="n"/>
      <c r="D38" s="322" t="n"/>
      <c r="E38" s="247">
        <f>IF(AND(ISNUMBER(C38),ISNUMBER(D38)),C38*D38,"")</f>
        <v/>
      </c>
      <c r="F38" s="321" t="n"/>
      <c r="G38" s="322" t="n"/>
      <c r="H38" s="247">
        <f>IF(AND(ISNUMBER(F38),ISNUMBER(G38)),F38*G38,"")</f>
        <v/>
      </c>
      <c r="I38" s="246">
        <f>IF(COUNT(C38,F38)=0,"",N(C38)-N(F38))</f>
        <v/>
      </c>
      <c r="J38" s="247">
        <f>IF(COUNT(E38,H38)=0,"",N(H38)-N(E38))</f>
        <v/>
      </c>
      <c r="K38" s="321" t="n"/>
      <c r="L38" s="183">
        <f>IF(OR(NOT(ISNUMBER(K38)),COUNT(C38,F38,D38)&lt;3),"",IF(MIN(C38,F38)*D38&lt;=0,"",ROUND(K38/(MIN(C38,F38)*D38)*100,2)))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316" t="n"/>
      <c r="D39" s="317" t="n"/>
      <c r="E39" s="241">
        <f>IF(AND(ISNUMBER(C39),ISNUMBER(D39)),C39*D39,"")</f>
        <v/>
      </c>
      <c r="F39" s="316" t="n"/>
      <c r="G39" s="317" t="n"/>
      <c r="H39" s="241">
        <f>IF(AND(ISNUMBER(F39),ISNUMBER(G39)),F39*G39,"")</f>
        <v/>
      </c>
      <c r="I39" s="240">
        <f>IF(COUNT(C39,F39)=0,"",N(C39)-N(F39))</f>
        <v/>
      </c>
      <c r="J39" s="241">
        <f>IF(COUNT(E39,H39)=0,"",N(H39)-N(E39))</f>
        <v/>
      </c>
      <c r="K39" s="316" t="n"/>
      <c r="L39" s="177">
        <f>IF(OR(NOT(ISNUMBER(K39)),COUNT(C39,F39,D39)&lt;3),"",IF(MIN(C39,F39)*D39&lt;=0,"",ROUND(K39/(MIN(C39,F39)*D39)*100,2)))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321" t="n"/>
      <c r="D40" s="322" t="n"/>
      <c r="E40" s="247">
        <f>IF(AND(ISNUMBER(C40),ISNUMBER(D40)),C40*D40,"")</f>
        <v/>
      </c>
      <c r="F40" s="321" t="n"/>
      <c r="G40" s="322" t="n"/>
      <c r="H40" s="247">
        <f>IF(AND(ISNUMBER(F40),ISNUMBER(G40)),F40*G40,"")</f>
        <v/>
      </c>
      <c r="I40" s="246">
        <f>IF(COUNT(C40,F40)=0,"",N(C40)-N(F40))</f>
        <v/>
      </c>
      <c r="J40" s="247">
        <f>IF(COUNT(E40,H40)=0,"",N(H40)-N(E40))</f>
        <v/>
      </c>
      <c r="K40" s="321" t="n"/>
      <c r="L40" s="183">
        <f>IF(OR(NOT(ISNUMBER(K40)),COUNT(C40,F40,D40)&lt;3),"",IF(MIN(C40,F40)*D40&lt;=0,"",ROUND(K40/(MIN(C40,F40)*D40)*100,2)))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316" t="n"/>
      <c r="D41" s="317" t="n"/>
      <c r="E41" s="241">
        <f>IF(AND(ISNUMBER(C41),ISNUMBER(D41)),C41*D41,"")</f>
        <v/>
      </c>
      <c r="F41" s="316" t="n"/>
      <c r="G41" s="317" t="n"/>
      <c r="H41" s="241">
        <f>IF(AND(ISNUMBER(F41),ISNUMBER(G41)),F41*G41,"")</f>
        <v/>
      </c>
      <c r="I41" s="240">
        <f>IF(COUNT(C41,F41)=0,"",N(C41)-N(F41))</f>
        <v/>
      </c>
      <c r="J41" s="241">
        <f>IF(COUNT(E41,H41)=0,"",N(H41)-N(E41))</f>
        <v/>
      </c>
      <c r="K41" s="316" t="n"/>
      <c r="L41" s="177">
        <f>IF(OR(NOT(ISNUMBER(K41)),COUNT(C41,F41,D41)&lt;3),"",IF(MIN(C41,F41)*D41&lt;=0,"",ROUND(K41/(MIN(C41,F41)*D41)*100,2)))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321" t="n"/>
      <c r="D42" s="322" t="n"/>
      <c r="E42" s="247">
        <f>IF(AND(ISNUMBER(C42),ISNUMBER(D42)),C42*D42,"")</f>
        <v/>
      </c>
      <c r="F42" s="321" t="n"/>
      <c r="G42" s="322" t="n"/>
      <c r="H42" s="247">
        <f>IF(AND(ISNUMBER(F42),ISNUMBER(G42)),F42*G42,"")</f>
        <v/>
      </c>
      <c r="I42" s="246">
        <f>IF(COUNT(C42,F42)=0,"",N(C42)-N(F42))</f>
        <v/>
      </c>
      <c r="J42" s="247">
        <f>IF(COUNT(E42,H42)=0,"",N(H42)-N(E42))</f>
        <v/>
      </c>
      <c r="K42" s="321" t="n"/>
      <c r="L42" s="183">
        <f>IF(OR(NOT(ISNUMBER(K42)),COUNT(C42,F42,D42)&lt;3),"",IF(MIN(C42,F42)*D42&lt;=0,"",ROUND(K42/(MIN(C42,F42)*D42)*100,2)))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316" t="n"/>
      <c r="D43" s="317" t="n"/>
      <c r="E43" s="241">
        <f>IF(AND(ISNUMBER(C43),ISNUMBER(D43)),C43*D43,"")</f>
        <v/>
      </c>
      <c r="F43" s="316" t="n"/>
      <c r="G43" s="317" t="n"/>
      <c r="H43" s="241">
        <f>IF(AND(ISNUMBER(F43),ISNUMBER(G43)),F43*G43,"")</f>
        <v/>
      </c>
      <c r="I43" s="240">
        <f>IF(COUNT(C43,F43)=0,"",N(C43)-N(F43))</f>
        <v/>
      </c>
      <c r="J43" s="241">
        <f>IF(COUNT(E43,H43)=0,"",N(H43)-N(E43))</f>
        <v/>
      </c>
      <c r="K43" s="316" t="n"/>
      <c r="L43" s="177">
        <f>IF(OR(NOT(ISNUMBER(K43)),COUNT(C43,F43,D43)&lt;3),"",IF(MIN(C43,F43)*D43&lt;=0,"",ROUND(K43/(MIN(C43,F43)*D43)*100,2)))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321" t="n"/>
      <c r="D44" s="322" t="n"/>
      <c r="E44" s="247">
        <f>IF(AND(ISNUMBER(C44),ISNUMBER(D44)),C44*D44,"")</f>
        <v/>
      </c>
      <c r="F44" s="321" t="n"/>
      <c r="G44" s="322" t="n"/>
      <c r="H44" s="247">
        <f>IF(AND(ISNUMBER(F44),ISNUMBER(G44)),F44*G44,"")</f>
        <v/>
      </c>
      <c r="I44" s="246">
        <f>IF(COUNT(C44,F44)=0,"",N(C44)-N(F44))</f>
        <v/>
      </c>
      <c r="J44" s="247">
        <f>IF(COUNT(E44,H44)=0,"",N(H44)-N(E44))</f>
        <v/>
      </c>
      <c r="K44" s="321" t="n"/>
      <c r="L44" s="183">
        <f>IF(OR(NOT(ISNUMBER(K44)),COUNT(C44,F44,D44)&lt;3),"",IF(MIN(C44,F44)*D44&lt;=0,"",ROUND(K44/(MIN(C44,F44)*D44)*100,2)))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316" t="n"/>
      <c r="D45" s="317" t="n"/>
      <c r="E45" s="241">
        <f>IF(AND(ISNUMBER(C45),ISNUMBER(D45)),C45*D45,"")</f>
        <v/>
      </c>
      <c r="F45" s="316" t="n"/>
      <c r="G45" s="317" t="n"/>
      <c r="H45" s="241">
        <f>IF(AND(ISNUMBER(F45),ISNUMBER(G45)),F45*G45,"")</f>
        <v/>
      </c>
      <c r="I45" s="240">
        <f>IF(COUNT(C45,F45)=0,"",N(C45)-N(F45))</f>
        <v/>
      </c>
      <c r="J45" s="241">
        <f>IF(COUNT(E45,H45)=0,"",N(H45)-N(E45))</f>
        <v/>
      </c>
      <c r="K45" s="316" t="n"/>
      <c r="L45" s="177">
        <f>IF(OR(NOT(ISNUMBER(K45)),COUNT(C45,F45,D45)&lt;3),"",IF(MIN(C45,F45)*D45&lt;=0,"",ROUND(K45/(MIN(C45,F45)*D45)*100,2)))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321" t="n"/>
      <c r="D46" s="322" t="n"/>
      <c r="E46" s="247">
        <f>IF(AND(ISNUMBER(C46),ISNUMBER(D46)),C46*D46,"")</f>
        <v/>
      </c>
      <c r="F46" s="321" t="n"/>
      <c r="G46" s="322" t="n"/>
      <c r="H46" s="247">
        <f>IF(AND(ISNUMBER(F46),ISNUMBER(G46)),F46*G46,"")</f>
        <v/>
      </c>
      <c r="I46" s="246">
        <f>IF(COUNT(C46,F46)=0,"",N(C46)-N(F46))</f>
        <v/>
      </c>
      <c r="J46" s="247">
        <f>IF(COUNT(E46,H46)=0,"",N(H46)-N(E46))</f>
        <v/>
      </c>
      <c r="K46" s="321" t="n"/>
      <c r="L46" s="183">
        <f>IF(OR(NOT(ISNUMBER(K46)),COUNT(C46,F46,D46)&lt;3),"",IF(MIN(C46,F46)*D46&lt;=0,"",ROUND(K46/(MIN(C46,F46)*D46)*100,2)))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316" t="n"/>
      <c r="D47" s="317" t="n"/>
      <c r="E47" s="241">
        <f>IF(AND(ISNUMBER(C47),ISNUMBER(D47)),C47*D47,"")</f>
        <v/>
      </c>
      <c r="F47" s="316" t="n"/>
      <c r="G47" s="317" t="n"/>
      <c r="H47" s="241">
        <f>IF(AND(ISNUMBER(F47),ISNUMBER(G47)),F47*G47,"")</f>
        <v/>
      </c>
      <c r="I47" s="240">
        <f>IF(COUNT(C47,F47)=0,"",N(C47)-N(F47))</f>
        <v/>
      </c>
      <c r="J47" s="241">
        <f>IF(COUNT(E47,H47)=0,"",N(H47)-N(E47))</f>
        <v/>
      </c>
      <c r="K47" s="316" t="n"/>
      <c r="L47" s="177">
        <f>IF(OR(NOT(ISNUMBER(K47)),COUNT(C47,F47,D47)&lt;3),"",IF(MIN(C47,F47)*D47&lt;=0,"",ROUND(K47/(MIN(C47,F47)*D47)*100,2)))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321" t="n"/>
      <c r="D48" s="322" t="n"/>
      <c r="E48" s="247">
        <f>IF(AND(ISNUMBER(C48),ISNUMBER(D48)),C48*D48,"")</f>
        <v/>
      </c>
      <c r="F48" s="321" t="n"/>
      <c r="G48" s="322" t="n"/>
      <c r="H48" s="247">
        <f>IF(AND(ISNUMBER(F48),ISNUMBER(G48)),F48*G48,"")</f>
        <v/>
      </c>
      <c r="I48" s="246">
        <f>IF(COUNT(C48,F48)=0,"",N(C48)-N(F48))</f>
        <v/>
      </c>
      <c r="J48" s="247">
        <f>IF(COUNT(E48,H48)=0,"",N(H48)-N(E48))</f>
        <v/>
      </c>
      <c r="K48" s="321" t="n"/>
      <c r="L48" s="183">
        <f>IF(OR(NOT(ISNUMBER(K48)),COUNT(C48,F48,D48)&lt;3),"",IF(MIN(C48,F48)*D48&lt;=0,"",ROUND(K48/(MIN(C48,F48)*D48)*100,2)))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316" t="n"/>
      <c r="D49" s="317" t="n"/>
      <c r="E49" s="241">
        <f>IF(AND(ISNUMBER(C49),ISNUMBER(D49)),C49*D49,"")</f>
        <v/>
      </c>
      <c r="F49" s="316" t="n"/>
      <c r="G49" s="317" t="n"/>
      <c r="H49" s="241">
        <f>IF(AND(ISNUMBER(F49),ISNUMBER(G49)),F49*G49,"")</f>
        <v/>
      </c>
      <c r="I49" s="240">
        <f>IF(COUNT(C49,F49)=0,"",N(C49)-N(F49))</f>
        <v/>
      </c>
      <c r="J49" s="241">
        <f>IF(COUNT(E49,H49)=0,"",N(H49)-N(E49))</f>
        <v/>
      </c>
      <c r="K49" s="316" t="n"/>
      <c r="L49" s="177">
        <f>IF(OR(NOT(ISNUMBER(K49)),COUNT(C49,F49,D49)&lt;3),"",IF(MIN(C49,F49)*D49&lt;=0,"",ROUND(K49/(MIN(C49,F49)*D49)*100,2)))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321" t="n"/>
      <c r="D50" s="322" t="n"/>
      <c r="E50" s="247">
        <f>IF(AND(ISNUMBER(C50),ISNUMBER(D50)),C50*D50,"")</f>
        <v/>
      </c>
      <c r="F50" s="321" t="n"/>
      <c r="G50" s="322" t="n"/>
      <c r="H50" s="247">
        <f>IF(AND(ISNUMBER(F50),ISNUMBER(G50)),F50*G50,"")</f>
        <v/>
      </c>
      <c r="I50" s="246">
        <f>IF(COUNT(C50,F50)=0,"",N(C50)-N(F50))</f>
        <v/>
      </c>
      <c r="J50" s="247">
        <f>IF(COUNT(E50,H50)=0,"",N(H50)-N(E50))</f>
        <v/>
      </c>
      <c r="K50" s="321" t="n"/>
      <c r="L50" s="183">
        <f>IF(OR(NOT(ISNUMBER(K50)),COUNT(C50,F50,D50)&lt;3),"",IF(MIN(C50,F50)*D50&lt;=0,"",ROUND(K50/(MIN(C50,F50)*D50)*100,2)))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316" t="n"/>
      <c r="D51" s="317" t="n"/>
      <c r="E51" s="241">
        <f>IF(AND(ISNUMBER(C51),ISNUMBER(D51)),C51*D51,"")</f>
        <v/>
      </c>
      <c r="F51" s="316" t="n"/>
      <c r="G51" s="317" t="n"/>
      <c r="H51" s="241">
        <f>IF(AND(ISNUMBER(F51),ISNUMBER(G51)),F51*G51,"")</f>
        <v/>
      </c>
      <c r="I51" s="240">
        <f>IF(COUNT(C51,F51)=0,"",N(C51)-N(F51))</f>
        <v/>
      </c>
      <c r="J51" s="241">
        <f>IF(COUNT(E51,H51)=0,"",N(H51)-N(E51))</f>
        <v/>
      </c>
      <c r="K51" s="316" t="n"/>
      <c r="L51" s="177">
        <f>IF(OR(NOT(ISNUMBER(K51)),COUNT(C51,F51,D51)&lt;3),"",IF(MIN(C51,F51)*D51&lt;=0,"",ROUND(K51/(MIN(C51,F51)*D51)*100,2)))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321" t="n"/>
      <c r="D52" s="322" t="n"/>
      <c r="E52" s="247">
        <f>IF(AND(ISNUMBER(C52),ISNUMBER(D52)),C52*D52,"")</f>
        <v/>
      </c>
      <c r="F52" s="321" t="n"/>
      <c r="G52" s="322" t="n"/>
      <c r="H52" s="247">
        <f>IF(AND(ISNUMBER(F52),ISNUMBER(G52)),F52*G52,"")</f>
        <v/>
      </c>
      <c r="I52" s="246">
        <f>IF(COUNT(C52,F52)=0,"",N(C52)-N(F52))</f>
        <v/>
      </c>
      <c r="J52" s="247">
        <f>IF(COUNT(E52,H52)=0,"",N(H52)-N(E52))</f>
        <v/>
      </c>
      <c r="K52" s="321" t="n"/>
      <c r="L52" s="183">
        <f>IF(OR(NOT(ISNUMBER(K52)),COUNT(C52,F52,D52)&lt;3),"",IF(MIN(C52,F52)*D52&lt;=0,"",ROUND(K52/(MIN(C52,F52)*D52)*100,2)))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316" t="n"/>
      <c r="D53" s="317" t="n"/>
      <c r="E53" s="241">
        <f>IF(AND(ISNUMBER(C53),ISNUMBER(D53)),C53*D53,"")</f>
        <v/>
      </c>
      <c r="F53" s="316" t="n"/>
      <c r="G53" s="317" t="n"/>
      <c r="H53" s="241">
        <f>IF(AND(ISNUMBER(F53),ISNUMBER(G53)),F53*G53,"")</f>
        <v/>
      </c>
      <c r="I53" s="240">
        <f>IF(COUNT(C53,F53)=0,"",N(C53)-N(F53))</f>
        <v/>
      </c>
      <c r="J53" s="241">
        <f>IF(COUNT(E53,H53)=0,"",N(H53)-N(E53))</f>
        <v/>
      </c>
      <c r="K53" s="316" t="n"/>
      <c r="L53" s="177">
        <f>IF(OR(NOT(ISNUMBER(K53)),COUNT(C53,F53,D53)&lt;3),"",IF(MIN(C53,F53)*D53&lt;=0,"",ROUND(K53/(MIN(C53,F53)*D53)*100,2)))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321" t="n"/>
      <c r="D54" s="322" t="n"/>
      <c r="E54" s="247">
        <f>IF(AND(ISNUMBER(C54),ISNUMBER(D54)),C54*D54,"")</f>
        <v/>
      </c>
      <c r="F54" s="321" t="n"/>
      <c r="G54" s="322" t="n"/>
      <c r="H54" s="247">
        <f>IF(AND(ISNUMBER(F54),ISNUMBER(G54)),F54*G54,"")</f>
        <v/>
      </c>
      <c r="I54" s="246">
        <f>IF(COUNT(C54,F54)=0,"",N(C54)-N(F54))</f>
        <v/>
      </c>
      <c r="J54" s="247">
        <f>IF(COUNT(E54,H54)=0,"",N(H54)-N(E54))</f>
        <v/>
      </c>
      <c r="K54" s="321" t="n"/>
      <c r="L54" s="183">
        <f>IF(OR(NOT(ISNUMBER(K54)),COUNT(C54,F54,D54)&lt;3),"",IF(MIN(C54,F54)*D54&lt;=0,"",ROUND(K54/(MIN(C54,F54)*D54)*100,2)))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316" t="n"/>
      <c r="D55" s="317" t="n"/>
      <c r="E55" s="241">
        <f>IF(AND(ISNUMBER(C55),ISNUMBER(D55)),C55*D55,"")</f>
        <v/>
      </c>
      <c r="F55" s="316" t="n"/>
      <c r="G55" s="317" t="n"/>
      <c r="H55" s="241">
        <f>IF(AND(ISNUMBER(F55),ISNUMBER(G55)),F55*G55,"")</f>
        <v/>
      </c>
      <c r="I55" s="240">
        <f>IF(COUNT(C55,F55)=0,"",N(C55)-N(F55))</f>
        <v/>
      </c>
      <c r="J55" s="241">
        <f>IF(COUNT(E55,H55)=0,"",N(H55)-N(E55))</f>
        <v/>
      </c>
      <c r="K55" s="316" t="n"/>
      <c r="L55" s="177">
        <f>IF(OR(NOT(ISNUMBER(K55)),COUNT(C55,F55,D55)&lt;3),"",IF(MIN(C55,F55)*D55&lt;=0,"",ROUND(K55/(MIN(C55,F55)*D55)*100,2)))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321" t="n"/>
      <c r="D56" s="322" t="n"/>
      <c r="E56" s="247">
        <f>IF(AND(ISNUMBER(C56),ISNUMBER(D56)),C56*D56,"")</f>
        <v/>
      </c>
      <c r="F56" s="321" t="n"/>
      <c r="G56" s="322" t="n"/>
      <c r="H56" s="247">
        <f>IF(AND(ISNUMBER(F56),ISNUMBER(G56)),F56*G56,"")</f>
        <v/>
      </c>
      <c r="I56" s="246">
        <f>IF(COUNT(C56,F56)=0,"",N(C56)-N(F56))</f>
        <v/>
      </c>
      <c r="J56" s="247">
        <f>IF(COUNT(E56,H56)=0,"",N(H56)-N(E56))</f>
        <v/>
      </c>
      <c r="K56" s="321" t="n"/>
      <c r="L56" s="183">
        <f>IF(OR(NOT(ISNUMBER(K56)),COUNT(C56,F56,D56)&lt;3),"",IF(MIN(C56,F56)*D56&lt;=0,"",ROUND(K56/(MIN(C56,F56)*D56)*100,2)))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316" t="n"/>
      <c r="D57" s="317" t="n"/>
      <c r="E57" s="241">
        <f>IF(AND(ISNUMBER(C57),ISNUMBER(D57)),C57*D57,"")</f>
        <v/>
      </c>
      <c r="F57" s="316" t="n"/>
      <c r="G57" s="317" t="n"/>
      <c r="H57" s="241">
        <f>IF(AND(ISNUMBER(F57),ISNUMBER(G57)),F57*G57,"")</f>
        <v/>
      </c>
      <c r="I57" s="240">
        <f>IF(COUNT(C57,F57)=0,"",N(C57)-N(F57))</f>
        <v/>
      </c>
      <c r="J57" s="241">
        <f>IF(COUNT(E57,H57)=0,"",N(H57)-N(E57))</f>
        <v/>
      </c>
      <c r="K57" s="316" t="n"/>
      <c r="L57" s="177">
        <f>IF(OR(NOT(ISNUMBER(K57)),COUNT(C57,F57,D57)&lt;3),"",IF(MIN(C57,F57)*D57&lt;=0,"",ROUND(K57/(MIN(C57,F57)*D57)*100,2)))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321" t="n"/>
      <c r="D58" s="322" t="n"/>
      <c r="E58" s="247">
        <f>IF(AND(ISNUMBER(C58),ISNUMBER(D58)),C58*D58,"")</f>
        <v/>
      </c>
      <c r="F58" s="321" t="n"/>
      <c r="G58" s="322" t="n"/>
      <c r="H58" s="247">
        <f>IF(AND(ISNUMBER(F58),ISNUMBER(G58)),F58*G58,"")</f>
        <v/>
      </c>
      <c r="I58" s="246">
        <f>IF(COUNT(C58,F58)=0,"",N(C58)-N(F58))</f>
        <v/>
      </c>
      <c r="J58" s="247">
        <f>IF(COUNT(E58,H58)=0,"",N(H58)-N(E58))</f>
        <v/>
      </c>
      <c r="K58" s="321" t="n"/>
      <c r="L58" s="183">
        <f>IF(OR(NOT(ISNUMBER(K58)),COUNT(C58,F58,D58)&lt;3),"",IF(MIN(C58,F58)*D58&lt;=0,"",ROUND(K58/(MIN(C58,F58)*D58)*100,2)))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316" t="n"/>
      <c r="D59" s="317" t="n"/>
      <c r="E59" s="241">
        <f>IF(AND(ISNUMBER(C59),ISNUMBER(D59)),C59*D59,"")</f>
        <v/>
      </c>
      <c r="F59" s="316" t="n"/>
      <c r="G59" s="317" t="n"/>
      <c r="H59" s="241">
        <f>IF(AND(ISNUMBER(F59),ISNUMBER(G59)),F59*G59,"")</f>
        <v/>
      </c>
      <c r="I59" s="240">
        <f>IF(COUNT(C59,F59)=0,"",N(C59)-N(F59))</f>
        <v/>
      </c>
      <c r="J59" s="241">
        <f>IF(COUNT(E59,H59)=0,"",N(H59)-N(E59))</f>
        <v/>
      </c>
      <c r="K59" s="316" t="n"/>
      <c r="L59" s="177">
        <f>IF(OR(NOT(ISNUMBER(K59)),COUNT(C59,F59,D59)&lt;3),"",IF(MIN(C59,F59)*D59&lt;=0,"",ROUND(K59/(MIN(C59,F59)*D59)*100,2)))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321" t="n"/>
      <c r="D60" s="322" t="n"/>
      <c r="E60" s="247">
        <f>IF(AND(ISNUMBER(C60),ISNUMBER(D60)),C60*D60,"")</f>
        <v/>
      </c>
      <c r="F60" s="321" t="n"/>
      <c r="G60" s="322" t="n"/>
      <c r="H60" s="247">
        <f>IF(AND(ISNUMBER(F60),ISNUMBER(G60)),F60*G60,"")</f>
        <v/>
      </c>
      <c r="I60" s="246">
        <f>IF(COUNT(C60,F60)=0,"",N(C60)-N(F60))</f>
        <v/>
      </c>
      <c r="J60" s="247">
        <f>IF(COUNT(E60,H60)=0,"",N(H60)-N(E60))</f>
        <v/>
      </c>
      <c r="K60" s="321" t="n"/>
      <c r="L60" s="183">
        <f>IF(OR(NOT(ISNUMBER(K60)),COUNT(C60,F60,D60)&lt;3),"",IF(MIN(C60,F60)*D60&lt;=0,"",ROUND(K60/(MIN(C60,F60)*D60)*100,2)))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316" t="n"/>
      <c r="D61" s="317" t="n"/>
      <c r="E61" s="241">
        <f>IF(AND(ISNUMBER(C61),ISNUMBER(D61)),C61*D61,"")</f>
        <v/>
      </c>
      <c r="F61" s="316" t="n"/>
      <c r="G61" s="317" t="n"/>
      <c r="H61" s="241">
        <f>IF(AND(ISNUMBER(F61),ISNUMBER(G61)),F61*G61,"")</f>
        <v/>
      </c>
      <c r="I61" s="240">
        <f>IF(COUNT(C61,F61)=0,"",N(C61)-N(F61))</f>
        <v/>
      </c>
      <c r="J61" s="241">
        <f>IF(COUNT(E61,H61)=0,"",N(H61)-N(E61))</f>
        <v/>
      </c>
      <c r="K61" s="316" t="n"/>
      <c r="L61" s="177">
        <f>IF(OR(NOT(ISNUMBER(K61)),COUNT(C61,F61,D61)&lt;3),"",IF(MIN(C61,F61)*D61&lt;=0,"",ROUND(K61/(MIN(C61,F61)*D61)*100,2)))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321" t="n"/>
      <c r="D62" s="322" t="n"/>
      <c r="E62" s="247">
        <f>IF(AND(ISNUMBER(C62),ISNUMBER(D62)),C62*D62,"")</f>
        <v/>
      </c>
      <c r="F62" s="321" t="n"/>
      <c r="G62" s="322" t="n"/>
      <c r="H62" s="247">
        <f>IF(AND(ISNUMBER(F62),ISNUMBER(G62)),F62*G62,"")</f>
        <v/>
      </c>
      <c r="I62" s="246">
        <f>IF(COUNT(C62,F62)=0,"",N(C62)-N(F62))</f>
        <v/>
      </c>
      <c r="J62" s="247">
        <f>IF(COUNT(E62,H62)=0,"",N(H62)-N(E62))</f>
        <v/>
      </c>
      <c r="K62" s="321" t="n"/>
      <c r="L62" s="183">
        <f>IF(OR(NOT(ISNUMBER(K62)),COUNT(C62,F62,D62)&lt;3),"",IF(MIN(C62,F62)*D62&lt;=0,"",ROUND(K62/(MIN(C62,F62)*D62)*100,2)))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316" t="n"/>
      <c r="D63" s="317" t="n"/>
      <c r="E63" s="241">
        <f>IF(AND(ISNUMBER(C63),ISNUMBER(D63)),C63*D63,"")</f>
        <v/>
      </c>
      <c r="F63" s="316" t="n"/>
      <c r="G63" s="317" t="n"/>
      <c r="H63" s="241">
        <f>IF(AND(ISNUMBER(F63),ISNUMBER(G63)),F63*G63,"")</f>
        <v/>
      </c>
      <c r="I63" s="240">
        <f>IF(COUNT(C63,F63)=0,"",N(C63)-N(F63))</f>
        <v/>
      </c>
      <c r="J63" s="241">
        <f>IF(COUNT(E63,H63)=0,"",N(H63)-N(E63))</f>
        <v/>
      </c>
      <c r="K63" s="316" t="n"/>
      <c r="L63" s="177">
        <f>IF(OR(NOT(ISNUMBER(K63)),COUNT(C63,F63,D63)&lt;3),"",IF(MIN(C63,F63)*D63&lt;=0,"",ROUND(K63/(MIN(C63,F63)*D63)*100,2)))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321" t="n"/>
      <c r="D64" s="322" t="n"/>
      <c r="E64" s="247">
        <f>IF(AND(ISNUMBER(C64),ISNUMBER(D64)),C64*D64,"")</f>
        <v/>
      </c>
      <c r="F64" s="321" t="n"/>
      <c r="G64" s="322" t="n"/>
      <c r="H64" s="247">
        <f>IF(AND(ISNUMBER(F64),ISNUMBER(G64)),F64*G64,"")</f>
        <v/>
      </c>
      <c r="I64" s="246">
        <f>IF(COUNT(C64,F64)=0,"",N(C64)-N(F64))</f>
        <v/>
      </c>
      <c r="J64" s="247">
        <f>IF(COUNT(E64,H64)=0,"",N(H64)-N(E64))</f>
        <v/>
      </c>
      <c r="K64" s="321" t="n"/>
      <c r="L64" s="183">
        <f>IF(OR(NOT(ISNUMBER(K64)),COUNT(C64,F64,D64)&lt;3),"",IF(MIN(C64,F64)*D64&lt;=0,"",ROUND(K64/(MIN(C64,F64)*D64)*100,2)))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316" t="n"/>
      <c r="D65" s="317" t="n"/>
      <c r="E65" s="241">
        <f>IF(AND(ISNUMBER(C65),ISNUMBER(D65)),C65*D65,"")</f>
        <v/>
      </c>
      <c r="F65" s="316" t="n"/>
      <c r="G65" s="317" t="n"/>
      <c r="H65" s="241">
        <f>IF(AND(ISNUMBER(F65),ISNUMBER(G65)),F65*G65,"")</f>
        <v/>
      </c>
      <c r="I65" s="240">
        <f>IF(COUNT(C65,F65)=0,"",N(C65)-N(F65))</f>
        <v/>
      </c>
      <c r="J65" s="241">
        <f>IF(COUNT(E65,H65)=0,"",N(H65)-N(E65))</f>
        <v/>
      </c>
      <c r="K65" s="316" t="n"/>
      <c r="L65" s="177">
        <f>IF(OR(NOT(ISNUMBER(K65)),COUNT(C65,F65,D65)&lt;3),"",IF(MIN(C65,F65)*D65&lt;=0,"",ROUND(K65/(MIN(C65,F65)*D65)*100,2)))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321" t="n"/>
      <c r="D66" s="322" t="n"/>
      <c r="E66" s="247">
        <f>IF(AND(ISNUMBER(C66),ISNUMBER(D66)),C66*D66,"")</f>
        <v/>
      </c>
      <c r="F66" s="321" t="n"/>
      <c r="G66" s="322" t="n"/>
      <c r="H66" s="247">
        <f>IF(AND(ISNUMBER(F66),ISNUMBER(G66)),F66*G66,"")</f>
        <v/>
      </c>
      <c r="I66" s="246">
        <f>IF(COUNT(C66,F66)=0,"",N(C66)-N(F66))</f>
        <v/>
      </c>
      <c r="J66" s="247">
        <f>IF(COUNT(E66,H66)=0,"",N(H66)-N(E66))</f>
        <v/>
      </c>
      <c r="K66" s="321" t="n"/>
      <c r="L66" s="183">
        <f>IF(OR(NOT(ISNUMBER(K66)),COUNT(C66,F66,D66)&lt;3),"",IF(MIN(C66,F66)*D66&lt;=0,"",ROUND(K66/(MIN(C66,F66)*D66)*100,2)))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316" t="n"/>
      <c r="D67" s="317" t="n"/>
      <c r="E67" s="241">
        <f>IF(AND(ISNUMBER(C67),ISNUMBER(D67)),C67*D67,"")</f>
        <v/>
      </c>
      <c r="F67" s="316" t="n"/>
      <c r="G67" s="317" t="n"/>
      <c r="H67" s="241">
        <f>IF(AND(ISNUMBER(F67),ISNUMBER(G67)),F67*G67,"")</f>
        <v/>
      </c>
      <c r="I67" s="240">
        <f>IF(COUNT(C67,F67)=0,"",N(C67)-N(F67))</f>
        <v/>
      </c>
      <c r="J67" s="241">
        <f>IF(COUNT(E67,H67)=0,"",N(H67)-N(E67))</f>
        <v/>
      </c>
      <c r="K67" s="316" t="n"/>
      <c r="L67" s="177">
        <f>IF(OR(NOT(ISNUMBER(K67)),COUNT(C67,F67,D67)&lt;3),"",IF(MIN(C67,F67)*D67&lt;=0,"",ROUND(K67/(MIN(C67,F67)*D67)*100,2)))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321" t="n"/>
      <c r="D68" s="322" t="n"/>
      <c r="E68" s="247">
        <f>IF(AND(ISNUMBER(C68),ISNUMBER(D68)),C68*D68,"")</f>
        <v/>
      </c>
      <c r="F68" s="321" t="n"/>
      <c r="G68" s="322" t="n"/>
      <c r="H68" s="247">
        <f>IF(AND(ISNUMBER(F68),ISNUMBER(G68)),F68*G68,"")</f>
        <v/>
      </c>
      <c r="I68" s="246">
        <f>IF(COUNT(C68,F68)=0,"",N(C68)-N(F68))</f>
        <v/>
      </c>
      <c r="J68" s="247">
        <f>IF(COUNT(E68,H68)=0,"",N(H68)-N(E68))</f>
        <v/>
      </c>
      <c r="K68" s="321" t="n"/>
      <c r="L68" s="183">
        <f>IF(OR(NOT(ISNUMBER(K68)),COUNT(C68,F68,D68)&lt;3),"",IF(MIN(C68,F68)*D68&lt;=0,"",ROUND(K68/(MIN(C68,F68)*D68)*100,2)))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316" t="n"/>
      <c r="D69" s="317" t="n"/>
      <c r="E69" s="241">
        <f>IF(AND(ISNUMBER(C69),ISNUMBER(D69)),C69*D69,"")</f>
        <v/>
      </c>
      <c r="F69" s="316" t="n"/>
      <c r="G69" s="317" t="n"/>
      <c r="H69" s="241">
        <f>IF(AND(ISNUMBER(F69),ISNUMBER(G69)),F69*G69,"")</f>
        <v/>
      </c>
      <c r="I69" s="240">
        <f>IF(COUNT(C69,F69)=0,"",N(C69)-N(F69))</f>
        <v/>
      </c>
      <c r="J69" s="241">
        <f>IF(COUNT(E69,H69)=0,"",N(H69)-N(E69))</f>
        <v/>
      </c>
      <c r="K69" s="316" t="n"/>
      <c r="L69" s="177">
        <f>IF(OR(NOT(ISNUMBER(K69)),COUNT(C69,F69,D69)&lt;3),"",IF(MIN(C69,F69)*D69&lt;=0,"",ROUND(K69/(MIN(C69,F69)*D69)*100,2)))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321" t="n"/>
      <c r="D70" s="322" t="n"/>
      <c r="E70" s="247">
        <f>IF(AND(ISNUMBER(C70),ISNUMBER(D70)),C70*D70,"")</f>
        <v/>
      </c>
      <c r="F70" s="321" t="n"/>
      <c r="G70" s="322" t="n"/>
      <c r="H70" s="247">
        <f>IF(AND(ISNUMBER(F70),ISNUMBER(G70)),F70*G70,"")</f>
        <v/>
      </c>
      <c r="I70" s="246">
        <f>IF(COUNT(C70,F70)=0,"",N(C70)-N(F70))</f>
        <v/>
      </c>
      <c r="J70" s="247">
        <f>IF(COUNT(E70,H70)=0,"",N(H70)-N(E70))</f>
        <v/>
      </c>
      <c r="K70" s="321" t="n"/>
      <c r="L70" s="183">
        <f>IF(OR(NOT(ISNUMBER(K70)),COUNT(C70,F70,D70)&lt;3),"",IF(MIN(C70,F70)*D70&lt;=0,"",ROUND(K70/(MIN(C70,F70)*D70)*100,2)))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316" t="n"/>
      <c r="D71" s="317" t="n"/>
      <c r="E71" s="241">
        <f>IF(AND(ISNUMBER(C71),ISNUMBER(D71)),C71*D71,"")</f>
        <v/>
      </c>
      <c r="F71" s="316" t="n"/>
      <c r="G71" s="317" t="n"/>
      <c r="H71" s="241">
        <f>IF(AND(ISNUMBER(F71),ISNUMBER(G71)),F71*G71,"")</f>
        <v/>
      </c>
      <c r="I71" s="240">
        <f>IF(COUNT(C71,F71)=0,"",N(C71)-N(F71))</f>
        <v/>
      </c>
      <c r="J71" s="241">
        <f>IF(COUNT(E71,H71)=0,"",N(H71)-N(E71))</f>
        <v/>
      </c>
      <c r="K71" s="316" t="n"/>
      <c r="L71" s="177">
        <f>IF(OR(NOT(ISNUMBER(K71)),COUNT(C71,F71,D71)&lt;3),"",IF(MIN(C71,F71)*D71&lt;=0,"",ROUND(K71/(MIN(C71,F71)*D71)*100,2)))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321" t="n"/>
      <c r="D72" s="322" t="n"/>
      <c r="E72" s="247">
        <f>IF(AND(ISNUMBER(C72),ISNUMBER(D72)),C72*D72,"")</f>
        <v/>
      </c>
      <c r="F72" s="321" t="n"/>
      <c r="G72" s="322" t="n"/>
      <c r="H72" s="247">
        <f>IF(AND(ISNUMBER(F72),ISNUMBER(G72)),F72*G72,"")</f>
        <v/>
      </c>
      <c r="I72" s="246">
        <f>IF(COUNT(C72,F72)=0,"",N(C72)-N(F72))</f>
        <v/>
      </c>
      <c r="J72" s="247">
        <f>IF(COUNT(E72,H72)=0,"",N(H72)-N(E72))</f>
        <v/>
      </c>
      <c r="K72" s="321" t="n"/>
      <c r="L72" s="183">
        <f>IF(OR(NOT(ISNUMBER(K72)),COUNT(C72,F72,D72)&lt;3),"",IF(MIN(C72,F72)*D72&lt;=0,"",ROUND(K72/(MIN(C72,F72)*D72)*100,2)))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316" t="n"/>
      <c r="D73" s="317" t="n"/>
      <c r="E73" s="241">
        <f>IF(AND(ISNUMBER(C73),ISNUMBER(D73)),C73*D73,"")</f>
        <v/>
      </c>
      <c r="F73" s="316" t="n"/>
      <c r="G73" s="317" t="n"/>
      <c r="H73" s="241">
        <f>IF(AND(ISNUMBER(F73),ISNUMBER(G73)),F73*G73,"")</f>
        <v/>
      </c>
      <c r="I73" s="240">
        <f>IF(COUNT(C73,F73)=0,"",N(C73)-N(F73))</f>
        <v/>
      </c>
      <c r="J73" s="241">
        <f>IF(COUNT(E73,H73)=0,"",N(H73)-N(E73))</f>
        <v/>
      </c>
      <c r="K73" s="316" t="n"/>
      <c r="L73" s="177">
        <f>IF(OR(NOT(ISNUMBER(K73)),COUNT(C73,F73,D73)&lt;3),"",IF(MIN(C73,F73)*D73&lt;=0,"",ROUND(K73/(MIN(C73,F73)*D73)*100,2)))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321" t="n"/>
      <c r="D74" s="322" t="n"/>
      <c r="E74" s="247">
        <f>IF(AND(ISNUMBER(C74),ISNUMBER(D74)),C74*D74,"")</f>
        <v/>
      </c>
      <c r="F74" s="321" t="n"/>
      <c r="G74" s="322" t="n"/>
      <c r="H74" s="247">
        <f>IF(AND(ISNUMBER(F74),ISNUMBER(G74)),F74*G74,"")</f>
        <v/>
      </c>
      <c r="I74" s="246">
        <f>IF(COUNT(C74,F74)=0,"",N(C74)-N(F74))</f>
        <v/>
      </c>
      <c r="J74" s="247">
        <f>IF(COUNT(E74,H74)=0,"",N(H74)-N(E74))</f>
        <v/>
      </c>
      <c r="K74" s="321" t="n"/>
      <c r="L74" s="183">
        <f>IF(OR(NOT(ISNUMBER(K74)),COUNT(C74,F74,D74)&lt;3),"",IF(MIN(C74,F74)*D74&lt;=0,"",ROUND(K74/(MIN(C74,F74)*D74)*100,2)))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316" t="n"/>
      <c r="D75" s="317" t="n"/>
      <c r="E75" s="241">
        <f>IF(AND(ISNUMBER(C75),ISNUMBER(D75)),C75*D75,"")</f>
        <v/>
      </c>
      <c r="F75" s="316" t="n"/>
      <c r="G75" s="317" t="n"/>
      <c r="H75" s="241">
        <f>IF(AND(ISNUMBER(F75),ISNUMBER(G75)),F75*G75,"")</f>
        <v/>
      </c>
      <c r="I75" s="240">
        <f>IF(COUNT(C75,F75)=0,"",N(C75)-N(F75))</f>
        <v/>
      </c>
      <c r="J75" s="241">
        <f>IF(COUNT(E75,H75)=0,"",N(H75)-N(E75))</f>
        <v/>
      </c>
      <c r="K75" s="316" t="n"/>
      <c r="L75" s="177">
        <f>IF(OR(NOT(ISNUMBER(K75)),COUNT(C75,F75,D75)&lt;3),"",IF(MIN(C75,F75)*D75&lt;=0,"",ROUND(K75/(MIN(C75,F75)*D75)*100,2)))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321" t="n"/>
      <c r="D76" s="322" t="n"/>
      <c r="E76" s="247">
        <f>IF(AND(ISNUMBER(C76),ISNUMBER(D76)),C76*D76,"")</f>
        <v/>
      </c>
      <c r="F76" s="321" t="n"/>
      <c r="G76" s="322" t="n"/>
      <c r="H76" s="247">
        <f>IF(AND(ISNUMBER(F76),ISNUMBER(G76)),F76*G76,"")</f>
        <v/>
      </c>
      <c r="I76" s="246">
        <f>IF(COUNT(C76,F76)=0,"",N(C76)-N(F76))</f>
        <v/>
      </c>
      <c r="J76" s="247">
        <f>IF(COUNT(E76,H76)=0,"",N(H76)-N(E76))</f>
        <v/>
      </c>
      <c r="K76" s="321" t="n"/>
      <c r="L76" s="183">
        <f>IF(OR(NOT(ISNUMBER(K76)),COUNT(C76,F76,D76)&lt;3),"",IF(MIN(C76,F76)*D76&lt;=0,"",ROUND(K76/(MIN(C76,F76)*D76)*100,2)))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316" t="n"/>
      <c r="D77" s="317" t="n"/>
      <c r="E77" s="241">
        <f>IF(AND(ISNUMBER(C77),ISNUMBER(D77)),C77*D77,"")</f>
        <v/>
      </c>
      <c r="F77" s="316" t="n"/>
      <c r="G77" s="317" t="n"/>
      <c r="H77" s="241">
        <f>IF(AND(ISNUMBER(F77),ISNUMBER(G77)),F77*G77,"")</f>
        <v/>
      </c>
      <c r="I77" s="240">
        <f>IF(COUNT(C77,F77)=0,"",N(C77)-N(F77))</f>
        <v/>
      </c>
      <c r="J77" s="241">
        <f>IF(COUNT(E77,H77)=0,"",N(H77)-N(E77))</f>
        <v/>
      </c>
      <c r="K77" s="316" t="n"/>
      <c r="L77" s="177">
        <f>IF(OR(NOT(ISNUMBER(K77)),COUNT(C77,F77,D77)&lt;3),"",IF(MIN(C77,F77)*D77&lt;=0,"",ROUND(K77/(MIN(C77,F77)*D77)*100,2)))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321" t="n"/>
      <c r="D78" s="322" t="n"/>
      <c r="E78" s="247">
        <f>IF(AND(ISNUMBER(C78),ISNUMBER(D78)),C78*D78,"")</f>
        <v/>
      </c>
      <c r="F78" s="321" t="n"/>
      <c r="G78" s="322" t="n"/>
      <c r="H78" s="247">
        <f>IF(AND(ISNUMBER(F78),ISNUMBER(G78)),F78*G78,"")</f>
        <v/>
      </c>
      <c r="I78" s="246">
        <f>IF(COUNT(C78,F78)=0,"",N(C78)-N(F78))</f>
        <v/>
      </c>
      <c r="J78" s="247">
        <f>IF(COUNT(E78,H78)=0,"",N(H78)-N(E78))</f>
        <v/>
      </c>
      <c r="K78" s="321" t="n"/>
      <c r="L78" s="183">
        <f>IF(OR(NOT(ISNUMBER(K78)),COUNT(C78,F78,D78)&lt;3),"",IF(MIN(C78,F78)*D78&lt;=0,"",ROUND(K78/(MIN(C78,F78)*D78)*100,2)))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316" t="n"/>
      <c r="D79" s="317" t="n"/>
      <c r="E79" s="241">
        <f>IF(AND(ISNUMBER(C79),ISNUMBER(D79)),C79*D79,"")</f>
        <v/>
      </c>
      <c r="F79" s="316" t="n"/>
      <c r="G79" s="317" t="n"/>
      <c r="H79" s="241">
        <f>IF(AND(ISNUMBER(F79),ISNUMBER(G79)),F79*G79,"")</f>
        <v/>
      </c>
      <c r="I79" s="240">
        <f>IF(COUNT(C79,F79)=0,"",N(C79)-N(F79))</f>
        <v/>
      </c>
      <c r="J79" s="241">
        <f>IF(COUNT(E79,H79)=0,"",N(H79)-N(E79))</f>
        <v/>
      </c>
      <c r="K79" s="316" t="n"/>
      <c r="L79" s="177">
        <f>IF(OR(NOT(ISNUMBER(K79)),COUNT(C79,F79,D79)&lt;3),"",IF(MIN(C79,F79)*D79&lt;=0,"",ROUND(K79/(MIN(C79,F79)*D79)*100,2)))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321" t="n"/>
      <c r="D80" s="322" t="n"/>
      <c r="E80" s="247">
        <f>IF(AND(ISNUMBER(C80),ISNUMBER(D80)),C80*D80,"")</f>
        <v/>
      </c>
      <c r="F80" s="321" t="n"/>
      <c r="G80" s="322" t="n"/>
      <c r="H80" s="247">
        <f>IF(AND(ISNUMBER(F80),ISNUMBER(G80)),F80*G80,"")</f>
        <v/>
      </c>
      <c r="I80" s="246">
        <f>IF(COUNT(C80,F80)=0,"",N(C80)-N(F80))</f>
        <v/>
      </c>
      <c r="J80" s="247">
        <f>IF(COUNT(E80,H80)=0,"",N(H80)-N(E80))</f>
        <v/>
      </c>
      <c r="K80" s="321" t="n"/>
      <c r="L80" s="183">
        <f>IF(OR(NOT(ISNUMBER(K80)),COUNT(C80,F80,D80)&lt;3),"",IF(MIN(C80,F80)*D80&lt;=0,"",ROUND(K80/(MIN(C80,F80)*D80)*100,2)))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316" t="n"/>
      <c r="D81" s="317" t="n"/>
      <c r="E81" s="241">
        <f>IF(AND(ISNUMBER(C81),ISNUMBER(D81)),C81*D81,"")</f>
        <v/>
      </c>
      <c r="F81" s="316" t="n"/>
      <c r="G81" s="317" t="n"/>
      <c r="H81" s="241">
        <f>IF(AND(ISNUMBER(F81),ISNUMBER(G81)),F81*G81,"")</f>
        <v/>
      </c>
      <c r="I81" s="240">
        <f>IF(COUNT(C81,F81)=0,"",N(C81)-N(F81))</f>
        <v/>
      </c>
      <c r="J81" s="241">
        <f>IF(COUNT(E81,H81)=0,"",N(H81)-N(E81))</f>
        <v/>
      </c>
      <c r="K81" s="316" t="n"/>
      <c r="L81" s="177">
        <f>IF(OR(NOT(ISNUMBER(K81)),COUNT(C81,F81,D81)&lt;3),"",IF(MIN(C81,F81)*D81&lt;=0,"",ROUND(K81/(MIN(C81,F81)*D81)*100,2)))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321" t="n"/>
      <c r="D82" s="322" t="n"/>
      <c r="E82" s="247">
        <f>IF(AND(ISNUMBER(C82),ISNUMBER(D82)),C82*D82,"")</f>
        <v/>
      </c>
      <c r="F82" s="321" t="n"/>
      <c r="G82" s="322" t="n"/>
      <c r="H82" s="247">
        <f>IF(AND(ISNUMBER(F82),ISNUMBER(G82)),F82*G82,"")</f>
        <v/>
      </c>
      <c r="I82" s="246">
        <f>IF(COUNT(C82,F82)=0,"",N(C82)-N(F82))</f>
        <v/>
      </c>
      <c r="J82" s="247">
        <f>IF(COUNT(E82,H82)=0,"",N(H82)-N(E82))</f>
        <v/>
      </c>
      <c r="K82" s="321" t="n"/>
      <c r="L82" s="183">
        <f>IF(OR(NOT(ISNUMBER(K82)),COUNT(C82,F82,D82)&lt;3),"",IF(MIN(C82,F82)*D82&lt;=0,"",ROUND(K82/(MIN(C82,F82)*D82)*100,2)))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316" t="n"/>
      <c r="D83" s="317" t="n"/>
      <c r="E83" s="241">
        <f>IF(AND(ISNUMBER(C83),ISNUMBER(D83)),C83*D83,"")</f>
        <v/>
      </c>
      <c r="F83" s="316" t="n"/>
      <c r="G83" s="317" t="n"/>
      <c r="H83" s="241">
        <f>IF(AND(ISNUMBER(F83),ISNUMBER(G83)),F83*G83,"")</f>
        <v/>
      </c>
      <c r="I83" s="240">
        <f>IF(COUNT(C83,F83)=0,"",N(C83)-N(F83))</f>
        <v/>
      </c>
      <c r="J83" s="241">
        <f>IF(COUNT(E83,H83)=0,"",N(H83)-N(E83))</f>
        <v/>
      </c>
      <c r="K83" s="316" t="n"/>
      <c r="L83" s="177">
        <f>IF(OR(NOT(ISNUMBER(K83)),COUNT(C83,F83,D83)&lt;3),"",IF(MIN(C83,F83)*D83&lt;=0,"",ROUND(K83/(MIN(C83,F83)*D83)*100,2)))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321" t="n"/>
      <c r="D84" s="322" t="n"/>
      <c r="E84" s="247">
        <f>IF(AND(ISNUMBER(C84),ISNUMBER(D84)),C84*D84,"")</f>
        <v/>
      </c>
      <c r="F84" s="321" t="n"/>
      <c r="G84" s="322" t="n"/>
      <c r="H84" s="247">
        <f>IF(AND(ISNUMBER(F84),ISNUMBER(G84)),F84*G84,"")</f>
        <v/>
      </c>
      <c r="I84" s="246">
        <f>IF(COUNT(C84,F84)=0,"",N(C84)-N(F84))</f>
        <v/>
      </c>
      <c r="J84" s="247">
        <f>IF(COUNT(E84,H84)=0,"",N(H84)-N(E84))</f>
        <v/>
      </c>
      <c r="K84" s="321" t="n"/>
      <c r="L84" s="183">
        <f>IF(OR(NOT(ISNUMBER(K84)),COUNT(C84,F84,D84)&lt;3),"",IF(MIN(C84,F84)*D84&lt;=0,"",ROUND(K84/(MIN(C84,F84)*D84)*100,2)))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316" t="n"/>
      <c r="D85" s="317" t="n"/>
      <c r="E85" s="241">
        <f>IF(AND(ISNUMBER(C85),ISNUMBER(D85)),C85*D85,"")</f>
        <v/>
      </c>
      <c r="F85" s="316" t="n"/>
      <c r="G85" s="317" t="n"/>
      <c r="H85" s="241">
        <f>IF(AND(ISNUMBER(F85),ISNUMBER(G85)),F85*G85,"")</f>
        <v/>
      </c>
      <c r="I85" s="240">
        <f>IF(COUNT(C85,F85)=0,"",N(C85)-N(F85))</f>
        <v/>
      </c>
      <c r="J85" s="241">
        <f>IF(COUNT(E85,H85)=0,"",N(H85)-N(E85))</f>
        <v/>
      </c>
      <c r="K85" s="316" t="n"/>
      <c r="L85" s="177">
        <f>IF(OR(NOT(ISNUMBER(K85)),COUNT(C85,F85,D85)&lt;3),"",IF(MIN(C85,F85)*D85&lt;=0,"",ROUND(K85/(MIN(C85,F85)*D85)*100,2)))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321" t="n"/>
      <c r="D86" s="322" t="n"/>
      <c r="E86" s="247">
        <f>IF(AND(ISNUMBER(C86),ISNUMBER(D86)),C86*D86,"")</f>
        <v/>
      </c>
      <c r="F86" s="321" t="n"/>
      <c r="G86" s="322" t="n"/>
      <c r="H86" s="247">
        <f>IF(AND(ISNUMBER(F86),ISNUMBER(G86)),F86*G86,"")</f>
        <v/>
      </c>
      <c r="I86" s="246">
        <f>IF(COUNT(C86,F86)=0,"",N(C86)-N(F86))</f>
        <v/>
      </c>
      <c r="J86" s="247">
        <f>IF(COUNT(E86,H86)=0,"",N(H86)-N(E86))</f>
        <v/>
      </c>
      <c r="K86" s="321" t="n"/>
      <c r="L86" s="183">
        <f>IF(OR(NOT(ISNUMBER(K86)),COUNT(C86,F86,D86)&lt;3),"",IF(MIN(C86,F86)*D86&lt;=0,"",ROUND(K86/(MIN(C86,F86)*D86)*100,2)))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316" t="n"/>
      <c r="D87" s="317" t="n"/>
      <c r="E87" s="241">
        <f>IF(AND(ISNUMBER(C87),ISNUMBER(D87)),C87*D87,"")</f>
        <v/>
      </c>
      <c r="F87" s="316" t="n"/>
      <c r="G87" s="317" t="n"/>
      <c r="H87" s="241">
        <f>IF(AND(ISNUMBER(F87),ISNUMBER(G87)),F87*G87,"")</f>
        <v/>
      </c>
      <c r="I87" s="240">
        <f>IF(COUNT(C87,F87)=0,"",N(C87)-N(F87))</f>
        <v/>
      </c>
      <c r="J87" s="241">
        <f>IF(COUNT(E87,H87)=0,"",N(H87)-N(E87))</f>
        <v/>
      </c>
      <c r="K87" s="316" t="n"/>
      <c r="L87" s="177">
        <f>IF(OR(NOT(ISNUMBER(K87)),COUNT(C87,F87,D87)&lt;3),"",IF(MIN(C87,F87)*D87&lt;=0,"",ROUND(K87/(MIN(C87,F87)*D87)*100,2)))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321" t="n"/>
      <c r="D88" s="322" t="n"/>
      <c r="E88" s="247">
        <f>IF(AND(ISNUMBER(C88),ISNUMBER(D88)),C88*D88,"")</f>
        <v/>
      </c>
      <c r="F88" s="321" t="n"/>
      <c r="G88" s="322" t="n"/>
      <c r="H88" s="247">
        <f>IF(AND(ISNUMBER(F88),ISNUMBER(G88)),F88*G88,"")</f>
        <v/>
      </c>
      <c r="I88" s="246">
        <f>IF(COUNT(C88,F88)=0,"",N(C88)-N(F88))</f>
        <v/>
      </c>
      <c r="J88" s="247">
        <f>IF(COUNT(E88,H88)=0,"",N(H88)-N(E88))</f>
        <v/>
      </c>
      <c r="K88" s="321" t="n"/>
      <c r="L88" s="183">
        <f>IF(OR(NOT(ISNUMBER(K88)),COUNT(C88,F88,D88)&lt;3),"",IF(MIN(C88,F88)*D88&lt;=0,"",ROUND(K88/(MIN(C88,F88)*D88)*100,2)))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316" t="n"/>
      <c r="D89" s="317" t="n"/>
      <c r="E89" s="241">
        <f>IF(AND(ISNUMBER(C89),ISNUMBER(D89)),C89*D89,"")</f>
        <v/>
      </c>
      <c r="F89" s="316" t="n"/>
      <c r="G89" s="317" t="n"/>
      <c r="H89" s="241">
        <f>IF(AND(ISNUMBER(F89),ISNUMBER(G89)),F89*G89,"")</f>
        <v/>
      </c>
      <c r="I89" s="240">
        <f>IF(COUNT(C89,F89)=0,"",N(C89)-N(F89))</f>
        <v/>
      </c>
      <c r="J89" s="241">
        <f>IF(COUNT(E89,H89)=0,"",N(H89)-N(E89))</f>
        <v/>
      </c>
      <c r="K89" s="316" t="n"/>
      <c r="L89" s="177">
        <f>IF(OR(NOT(ISNUMBER(K89)),COUNT(C89,F89,D89)&lt;3),"",IF(MIN(C89,F89)*D89&lt;=0,"",ROUND(K89/(MIN(C89,F89)*D89)*100,2)))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321" t="n"/>
      <c r="D90" s="322" t="n"/>
      <c r="E90" s="247">
        <f>IF(AND(ISNUMBER(C90),ISNUMBER(D90)),C90*D90,"")</f>
        <v/>
      </c>
      <c r="F90" s="321" t="n"/>
      <c r="G90" s="322" t="n"/>
      <c r="H90" s="247">
        <f>IF(AND(ISNUMBER(F90),ISNUMBER(G90)),F90*G90,"")</f>
        <v/>
      </c>
      <c r="I90" s="246">
        <f>IF(COUNT(C90,F90)=0,"",N(C90)-N(F90))</f>
        <v/>
      </c>
      <c r="J90" s="247">
        <f>IF(COUNT(E90,H90)=0,"",N(H90)-N(E90))</f>
        <v/>
      </c>
      <c r="K90" s="321" t="n"/>
      <c r="L90" s="183">
        <f>IF(OR(NOT(ISNUMBER(K90)),COUNT(C90,F90,D90)&lt;3),"",IF(MIN(C90,F90)*D90&lt;=0,"",ROUND(K90/(MIN(C90,F90)*D90)*100,2)))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316" t="n"/>
      <c r="D91" s="317" t="n"/>
      <c r="E91" s="241">
        <f>IF(AND(ISNUMBER(C91),ISNUMBER(D91)),C91*D91,"")</f>
        <v/>
      </c>
      <c r="F91" s="316" t="n"/>
      <c r="G91" s="317" t="n"/>
      <c r="H91" s="241">
        <f>IF(AND(ISNUMBER(F91),ISNUMBER(G91)),F91*G91,"")</f>
        <v/>
      </c>
      <c r="I91" s="240">
        <f>IF(COUNT(C91,F91)=0,"",N(C91)-N(F91))</f>
        <v/>
      </c>
      <c r="J91" s="241">
        <f>IF(COUNT(E91,H91)=0,"",N(H91)-N(E91))</f>
        <v/>
      </c>
      <c r="K91" s="316" t="n"/>
      <c r="L91" s="177">
        <f>IF(OR(NOT(ISNUMBER(K91)),COUNT(C91,F91,D91)&lt;3),"",IF(MIN(C91,F91)*D91&lt;=0,"",ROUND(K91/(MIN(C91,F91)*D91)*100,2)))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321" t="n"/>
      <c r="D92" s="322" t="n"/>
      <c r="E92" s="247">
        <f>IF(AND(ISNUMBER(C92),ISNUMBER(D92)),C92*D92,"")</f>
        <v/>
      </c>
      <c r="F92" s="321" t="n"/>
      <c r="G92" s="322" t="n"/>
      <c r="H92" s="247">
        <f>IF(AND(ISNUMBER(F92),ISNUMBER(G92)),F92*G92,"")</f>
        <v/>
      </c>
      <c r="I92" s="246">
        <f>IF(COUNT(C92,F92)=0,"",N(C92)-N(F92))</f>
        <v/>
      </c>
      <c r="J92" s="247">
        <f>IF(COUNT(E92,H92)=0,"",N(H92)-N(E92))</f>
        <v/>
      </c>
      <c r="K92" s="321" t="n"/>
      <c r="L92" s="183">
        <f>IF(OR(NOT(ISNUMBER(K92)),COUNT(C92,F92,D92)&lt;3),"",IF(MIN(C92,F92)*D92&lt;=0,"",ROUND(K92/(MIN(C92,F92)*D92)*100,2)))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316" t="n"/>
      <c r="D93" s="317" t="n"/>
      <c r="E93" s="241">
        <f>IF(AND(ISNUMBER(C93),ISNUMBER(D93)),C93*D93,"")</f>
        <v/>
      </c>
      <c r="F93" s="316" t="n"/>
      <c r="G93" s="317" t="n"/>
      <c r="H93" s="241">
        <f>IF(AND(ISNUMBER(F93),ISNUMBER(G93)),F93*G93,"")</f>
        <v/>
      </c>
      <c r="I93" s="240">
        <f>IF(COUNT(C93,F93)=0,"",N(C93)-N(F93))</f>
        <v/>
      </c>
      <c r="J93" s="241">
        <f>IF(COUNT(E93,H93)=0,"",N(H93)-N(E93))</f>
        <v/>
      </c>
      <c r="K93" s="316" t="n"/>
      <c r="L93" s="177">
        <f>IF(OR(NOT(ISNUMBER(K93)),COUNT(C93,F93,D93)&lt;3),"",IF(MIN(C93,F93)*D93&lt;=0,"",ROUND(K93/(MIN(C93,F93)*D93)*100,2)))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321" t="n"/>
      <c r="D94" s="322" t="n"/>
      <c r="E94" s="247">
        <f>IF(AND(ISNUMBER(C94),ISNUMBER(D94)),C94*D94,"")</f>
        <v/>
      </c>
      <c r="F94" s="321" t="n"/>
      <c r="G94" s="322" t="n"/>
      <c r="H94" s="247">
        <f>IF(AND(ISNUMBER(F94),ISNUMBER(G94)),F94*G94,"")</f>
        <v/>
      </c>
      <c r="I94" s="246">
        <f>IF(COUNT(C94,F94)=0,"",N(C94)-N(F94))</f>
        <v/>
      </c>
      <c r="J94" s="247">
        <f>IF(COUNT(E94,H94)=0,"",N(H94)-N(E94))</f>
        <v/>
      </c>
      <c r="K94" s="321" t="n"/>
      <c r="L94" s="183">
        <f>IF(OR(NOT(ISNUMBER(K94)),COUNT(C94,F94,D94)&lt;3),"",IF(MIN(C94,F94)*D94&lt;=0,"",ROUND(K94/(MIN(C94,F94)*D94)*100,2)))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316" t="n"/>
      <c r="D95" s="317" t="n"/>
      <c r="E95" s="241">
        <f>IF(AND(ISNUMBER(C95),ISNUMBER(D95)),C95*D95,"")</f>
        <v/>
      </c>
      <c r="F95" s="316" t="n"/>
      <c r="G95" s="317" t="n"/>
      <c r="H95" s="241">
        <f>IF(AND(ISNUMBER(F95),ISNUMBER(G95)),F95*G95,"")</f>
        <v/>
      </c>
      <c r="I95" s="240">
        <f>IF(COUNT(C95,F95)=0,"",N(C95)-N(F95))</f>
        <v/>
      </c>
      <c r="J95" s="241">
        <f>IF(COUNT(E95,H95)=0,"",N(H95)-N(E95))</f>
        <v/>
      </c>
      <c r="K95" s="316" t="n"/>
      <c r="L95" s="177">
        <f>IF(OR(NOT(ISNUMBER(K95)),COUNT(C95,F95,D95)&lt;3),"",IF(MIN(C95,F95)*D95&lt;=0,"",ROUND(K95/(MIN(C95,F95)*D95)*100,2)))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321" t="n"/>
      <c r="D96" s="322" t="n"/>
      <c r="E96" s="247">
        <f>IF(AND(ISNUMBER(C96),ISNUMBER(D96)),C96*D96,"")</f>
        <v/>
      </c>
      <c r="F96" s="321" t="n"/>
      <c r="G96" s="322" t="n"/>
      <c r="H96" s="247">
        <f>IF(AND(ISNUMBER(F96),ISNUMBER(G96)),F96*G96,"")</f>
        <v/>
      </c>
      <c r="I96" s="246">
        <f>IF(COUNT(C96,F96)=0,"",N(C96)-N(F96))</f>
        <v/>
      </c>
      <c r="J96" s="247">
        <f>IF(COUNT(E96,H96)=0,"",N(H96)-N(E96))</f>
        <v/>
      </c>
      <c r="K96" s="321" t="n"/>
      <c r="L96" s="183">
        <f>IF(OR(NOT(ISNUMBER(K96)),COUNT(C96,F96,D96)&lt;3),"",IF(MIN(C96,F96)*D96&lt;=0,"",ROUND(K96/(MIN(C96,F96)*D96)*100,2)))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316" t="n"/>
      <c r="D97" s="317" t="n"/>
      <c r="E97" s="241">
        <f>IF(AND(ISNUMBER(C97),ISNUMBER(D97)),C97*D97,"")</f>
        <v/>
      </c>
      <c r="F97" s="316" t="n"/>
      <c r="G97" s="317" t="n"/>
      <c r="H97" s="241">
        <f>IF(AND(ISNUMBER(F97),ISNUMBER(G97)),F97*G97,"")</f>
        <v/>
      </c>
      <c r="I97" s="240">
        <f>IF(COUNT(C97,F97)=0,"",N(C97)-N(F97))</f>
        <v/>
      </c>
      <c r="J97" s="241">
        <f>IF(COUNT(E97,H97)=0,"",N(H97)-N(E97))</f>
        <v/>
      </c>
      <c r="K97" s="316" t="n"/>
      <c r="L97" s="177">
        <f>IF(OR(NOT(ISNUMBER(K97)),COUNT(C97,F97,D97)&lt;3),"",IF(MIN(C97,F97)*D97&lt;=0,"",ROUND(K97/(MIN(C97,F97)*D97)*100,2)))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321" t="n"/>
      <c r="D98" s="322" t="n"/>
      <c r="E98" s="247">
        <f>IF(AND(ISNUMBER(C98),ISNUMBER(D98)),C98*D98,"")</f>
        <v/>
      </c>
      <c r="F98" s="321" t="n"/>
      <c r="G98" s="322" t="n"/>
      <c r="H98" s="247">
        <f>IF(AND(ISNUMBER(F98),ISNUMBER(G98)),F98*G98,"")</f>
        <v/>
      </c>
      <c r="I98" s="246">
        <f>IF(COUNT(C98,F98)=0,"",N(C98)-N(F98))</f>
        <v/>
      </c>
      <c r="J98" s="247">
        <f>IF(COUNT(E98,H98)=0,"",N(H98)-N(E98))</f>
        <v/>
      </c>
      <c r="K98" s="321" t="n"/>
      <c r="L98" s="183">
        <f>IF(OR(NOT(ISNUMBER(K98)),COUNT(C98,F98,D98)&lt;3),"",IF(MIN(C98,F98)*D98&lt;=0,"",ROUND(K98/(MIN(C98,F98)*D98)*100,2)))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316" t="n"/>
      <c r="D99" s="317" t="n"/>
      <c r="E99" s="241">
        <f>IF(AND(ISNUMBER(C99),ISNUMBER(D99)),C99*D99,"")</f>
        <v/>
      </c>
      <c r="F99" s="316" t="n"/>
      <c r="G99" s="317" t="n"/>
      <c r="H99" s="241">
        <f>IF(AND(ISNUMBER(F99),ISNUMBER(G99)),F99*G99,"")</f>
        <v/>
      </c>
      <c r="I99" s="240">
        <f>IF(COUNT(C99,F99)=0,"",N(C99)-N(F99))</f>
        <v/>
      </c>
      <c r="J99" s="241">
        <f>IF(COUNT(E99,H99)=0,"",N(H99)-N(E99))</f>
        <v/>
      </c>
      <c r="K99" s="316" t="n"/>
      <c r="L99" s="177">
        <f>IF(OR(NOT(ISNUMBER(K99)),COUNT(C99,F99,D99)&lt;3),"",IF(MIN(C99,F99)*D99&lt;=0,"",ROUND(K99/(MIN(C99,F99)*D99)*100,2)))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321" t="n"/>
      <c r="D100" s="322" t="n"/>
      <c r="E100" s="247">
        <f>IF(AND(ISNUMBER(C100),ISNUMBER(D100)),C100*D100,"")</f>
        <v/>
      </c>
      <c r="F100" s="321" t="n"/>
      <c r="G100" s="322" t="n"/>
      <c r="H100" s="247">
        <f>IF(AND(ISNUMBER(F100),ISNUMBER(G100)),F100*G100,"")</f>
        <v/>
      </c>
      <c r="I100" s="246">
        <f>IF(COUNT(C100,F100)=0,"",N(C100)-N(F100))</f>
        <v/>
      </c>
      <c r="J100" s="247">
        <f>IF(COUNT(E100,H100)=0,"",N(H100)-N(E100))</f>
        <v/>
      </c>
      <c r="K100" s="321" t="n"/>
      <c r="L100" s="183">
        <f>IF(OR(NOT(ISNUMBER(K100)),COUNT(C100,F100,D100)&lt;3),"",IF(MIN(C100,F100)*D100&lt;=0,"",ROUND(K100/(MIN(C100,F100)*D100)*100,2)))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316" t="n"/>
      <c r="D101" s="317" t="n"/>
      <c r="E101" s="241">
        <f>IF(AND(ISNUMBER(C101),ISNUMBER(D101)),C101*D101,"")</f>
        <v/>
      </c>
      <c r="F101" s="316" t="n"/>
      <c r="G101" s="317" t="n"/>
      <c r="H101" s="241">
        <f>IF(AND(ISNUMBER(F101),ISNUMBER(G101)),F101*G101,"")</f>
        <v/>
      </c>
      <c r="I101" s="240">
        <f>IF(COUNT(C101,F101)=0,"",N(C101)-N(F101))</f>
        <v/>
      </c>
      <c r="J101" s="241">
        <f>IF(COUNT(E101,H101)=0,"",N(H101)-N(E101))</f>
        <v/>
      </c>
      <c r="K101" s="316" t="n"/>
      <c r="L101" s="177">
        <f>IF(OR(NOT(ISNUMBER(K101)),COUNT(C101,F101,D101)&lt;3),"",IF(MIN(C101,F101)*D101&lt;=0,"",ROUND(K101/(MIN(C101,F101)*D101)*100,2)))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321" t="n"/>
      <c r="D102" s="322" t="n"/>
      <c r="E102" s="247">
        <f>IF(AND(ISNUMBER(C102),ISNUMBER(D102)),C102*D102,"")</f>
        <v/>
      </c>
      <c r="F102" s="321" t="n"/>
      <c r="G102" s="322" t="n"/>
      <c r="H102" s="247">
        <f>IF(AND(ISNUMBER(F102),ISNUMBER(G102)),F102*G102,"")</f>
        <v/>
      </c>
      <c r="I102" s="246">
        <f>IF(COUNT(C102,F102)=0,"",N(C102)-N(F102))</f>
        <v/>
      </c>
      <c r="J102" s="247">
        <f>IF(COUNT(E102,H102)=0,"",N(H102)-N(E102))</f>
        <v/>
      </c>
      <c r="K102" s="321" t="n"/>
      <c r="L102" s="183">
        <f>IF(OR(NOT(ISNUMBER(K102)),COUNT(C102,F102,D102)&lt;3),"",IF(MIN(C102,F102)*D102&lt;=0,"",ROUND(K102/(MIN(C102,F102)*D102)*100,2)))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316" t="n"/>
      <c r="D103" s="317" t="n"/>
      <c r="E103" s="241">
        <f>IF(AND(ISNUMBER(C103),ISNUMBER(D103)),C103*D103,"")</f>
        <v/>
      </c>
      <c r="F103" s="316" t="n"/>
      <c r="G103" s="317" t="n"/>
      <c r="H103" s="241">
        <f>IF(AND(ISNUMBER(F103),ISNUMBER(G103)),F103*G103,"")</f>
        <v/>
      </c>
      <c r="I103" s="240">
        <f>IF(COUNT(C103,F103)=0,"",N(C103)-N(F103))</f>
        <v/>
      </c>
      <c r="J103" s="241">
        <f>IF(COUNT(E103,H103)=0,"",N(H103)-N(E103))</f>
        <v/>
      </c>
      <c r="K103" s="316" t="n"/>
      <c r="L103" s="177">
        <f>IF(OR(NOT(ISNUMBER(K103)),COUNT(C103,F103,D103)&lt;3),"",IF(MIN(C103,F103)*D103&lt;=0,"",ROUND(K103/(MIN(C103,F103)*D103)*100,2)))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321" t="n"/>
      <c r="D104" s="322" t="n"/>
      <c r="E104" s="247">
        <f>IF(AND(ISNUMBER(C104),ISNUMBER(D104)),C104*D104,"")</f>
        <v/>
      </c>
      <c r="F104" s="321" t="n"/>
      <c r="G104" s="322" t="n"/>
      <c r="H104" s="247">
        <f>IF(AND(ISNUMBER(F104),ISNUMBER(G104)),F104*G104,"")</f>
        <v/>
      </c>
      <c r="I104" s="246">
        <f>IF(COUNT(C104,F104)=0,"",N(C104)-N(F104))</f>
        <v/>
      </c>
      <c r="J104" s="247">
        <f>IF(COUNT(E104,H104)=0,"",N(H104)-N(E104))</f>
        <v/>
      </c>
      <c r="K104" s="321" t="n"/>
      <c r="L104" s="183">
        <f>IF(OR(NOT(ISNUMBER(K104)),COUNT(C104,F104,D104)&lt;3),"",IF(MIN(C104,F104)*D104&lt;=0,"",ROUND(K104/(MIN(C104,F104)*D104)*100,2)))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316" t="n"/>
      <c r="D105" s="317" t="n"/>
      <c r="E105" s="241">
        <f>IF(AND(ISNUMBER(C105),ISNUMBER(D105)),C105*D105,"")</f>
        <v/>
      </c>
      <c r="F105" s="316" t="n"/>
      <c r="G105" s="317" t="n"/>
      <c r="H105" s="241">
        <f>IF(AND(ISNUMBER(F105),ISNUMBER(G105)),F105*G105,"")</f>
        <v/>
      </c>
      <c r="I105" s="240">
        <f>IF(COUNT(C105,F105)=0,"",N(C105)-N(F105))</f>
        <v/>
      </c>
      <c r="J105" s="241">
        <f>IF(COUNT(E105,H105)=0,"",N(H105)-N(E105))</f>
        <v/>
      </c>
      <c r="K105" s="316" t="n"/>
      <c r="L105" s="177">
        <f>IF(OR(NOT(ISNUMBER(K105)),COUNT(C105,F105,D105)&lt;3),"",IF(MIN(C105,F105)*D105&lt;=0,"",ROUND(K105/(MIN(C105,F105)*D105)*100,2)))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321" t="n"/>
      <c r="D106" s="322" t="n"/>
      <c r="E106" s="247">
        <f>IF(AND(ISNUMBER(C106),ISNUMBER(D106)),C106*D106,"")</f>
        <v/>
      </c>
      <c r="F106" s="321" t="n"/>
      <c r="G106" s="322" t="n"/>
      <c r="H106" s="247">
        <f>IF(AND(ISNUMBER(F106),ISNUMBER(G106)),F106*G106,"")</f>
        <v/>
      </c>
      <c r="I106" s="246">
        <f>IF(COUNT(C106,F106)=0,"",N(C106)-N(F106))</f>
        <v/>
      </c>
      <c r="J106" s="247">
        <f>IF(COUNT(E106,H106)=0,"",N(H106)-N(E106))</f>
        <v/>
      </c>
      <c r="K106" s="321" t="n"/>
      <c r="L106" s="183">
        <f>IF(OR(NOT(ISNUMBER(K106)),COUNT(C106,F106,D106)&lt;3),"",IF(MIN(C106,F106)*D106&lt;=0,"",ROUND(K106/(MIN(C106,F106)*D106)*100,2)))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316" t="n"/>
      <c r="D107" s="317" t="n"/>
      <c r="E107" s="241">
        <f>IF(AND(ISNUMBER(C107),ISNUMBER(D107)),C107*D107,"")</f>
        <v/>
      </c>
      <c r="F107" s="316" t="n"/>
      <c r="G107" s="317" t="n"/>
      <c r="H107" s="241">
        <f>IF(AND(ISNUMBER(F107),ISNUMBER(G107)),F107*G107,"")</f>
        <v/>
      </c>
      <c r="I107" s="240">
        <f>IF(COUNT(C107,F107)=0,"",N(C107)-N(F107))</f>
        <v/>
      </c>
      <c r="J107" s="241">
        <f>IF(COUNT(E107,H107)=0,"",N(H107)-N(E107))</f>
        <v/>
      </c>
      <c r="K107" s="316" t="n"/>
      <c r="L107" s="177">
        <f>IF(OR(NOT(ISNUMBER(K107)),COUNT(C107,F107,D107)&lt;3),"",IF(MIN(C107,F107)*D107&lt;=0,"",ROUND(K107/(MIN(C107,F107)*D107)*100,2)))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321" t="n"/>
      <c r="D108" s="322" t="n"/>
      <c r="E108" s="247">
        <f>IF(AND(ISNUMBER(C108),ISNUMBER(D108)),C108*D108,"")</f>
        <v/>
      </c>
      <c r="F108" s="321" t="n"/>
      <c r="G108" s="322" t="n"/>
      <c r="H108" s="247">
        <f>IF(AND(ISNUMBER(F108),ISNUMBER(G108)),F108*G108,"")</f>
        <v/>
      </c>
      <c r="I108" s="246">
        <f>IF(COUNT(C108,F108)=0,"",N(C108)-N(F108))</f>
        <v/>
      </c>
      <c r="J108" s="247">
        <f>IF(COUNT(E108,H108)=0,"",N(H108)-N(E108))</f>
        <v/>
      </c>
      <c r="K108" s="321" t="n"/>
      <c r="L108" s="183">
        <f>IF(OR(NOT(ISNUMBER(K108)),COUNT(C108,F108,D108)&lt;3),"",IF(MIN(C108,F108)*D108&lt;=0,"",ROUND(K108/(MIN(C108,F108)*D108)*100,2)))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316" t="n"/>
      <c r="D109" s="317" t="n"/>
      <c r="E109" s="241">
        <f>IF(AND(ISNUMBER(C109),ISNUMBER(D109)),C109*D109,"")</f>
        <v/>
      </c>
      <c r="F109" s="316" t="n"/>
      <c r="G109" s="317" t="n"/>
      <c r="H109" s="241">
        <f>IF(AND(ISNUMBER(F109),ISNUMBER(G109)),F109*G109,"")</f>
        <v/>
      </c>
      <c r="I109" s="240">
        <f>IF(COUNT(C109,F109)=0,"",N(C109)-N(F109))</f>
        <v/>
      </c>
      <c r="J109" s="241">
        <f>IF(COUNT(E109,H109)=0,"",N(H109)-N(E109))</f>
        <v/>
      </c>
      <c r="K109" s="316" t="n"/>
      <c r="L109" s="177">
        <f>IF(OR(NOT(ISNUMBER(K109)),COUNT(C109,F109,D109)&lt;3),"",IF(MIN(C109,F109)*D109&lt;=0,"",ROUND(K109/(MIN(C109,F109)*D109)*100,2)))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321" t="n"/>
      <c r="D110" s="322" t="n"/>
      <c r="E110" s="247">
        <f>IF(AND(ISNUMBER(C110),ISNUMBER(D110)),C110*D110,"")</f>
        <v/>
      </c>
      <c r="F110" s="321" t="n"/>
      <c r="G110" s="322" t="n"/>
      <c r="H110" s="247">
        <f>IF(AND(ISNUMBER(F110),ISNUMBER(G110)),F110*G110,"")</f>
        <v/>
      </c>
      <c r="I110" s="246">
        <f>IF(COUNT(C110,F110)=0,"",N(C110)-N(F110))</f>
        <v/>
      </c>
      <c r="J110" s="247">
        <f>IF(COUNT(E110,H110)=0,"",N(H110)-N(E110))</f>
        <v/>
      </c>
      <c r="K110" s="321" t="n"/>
      <c r="L110" s="183">
        <f>IF(OR(NOT(ISNUMBER(K110)),COUNT(C110,F110,D110)&lt;3),"",IF(MIN(C110,F110)*D110&lt;=0,"",ROUND(K110/(MIN(C110,F110)*D110)*100,2)))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316" t="n"/>
      <c r="D111" s="317" t="n"/>
      <c r="E111" s="241">
        <f>IF(AND(ISNUMBER(C111),ISNUMBER(D111)),C111*D111,"")</f>
        <v/>
      </c>
      <c r="F111" s="316" t="n"/>
      <c r="G111" s="317" t="n"/>
      <c r="H111" s="241">
        <f>IF(AND(ISNUMBER(F111),ISNUMBER(G111)),F111*G111,"")</f>
        <v/>
      </c>
      <c r="I111" s="240">
        <f>IF(COUNT(C111,F111)=0,"",N(C111)-N(F111))</f>
        <v/>
      </c>
      <c r="J111" s="241">
        <f>IF(COUNT(E111,H111)=0,"",N(H111)-N(E111))</f>
        <v/>
      </c>
      <c r="K111" s="316" t="n"/>
      <c r="L111" s="177">
        <f>IF(OR(NOT(ISNUMBER(K111)),COUNT(C111,F111,D111)&lt;3),"",IF(MIN(C111,F111)*D111&lt;=0,"",ROUND(K111/(MIN(C111,F111)*D111)*100,2)))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321" t="n"/>
      <c r="D112" s="322" t="n"/>
      <c r="E112" s="247">
        <f>IF(AND(ISNUMBER(C112),ISNUMBER(D112)),C112*D112,"")</f>
        <v/>
      </c>
      <c r="F112" s="321" t="n"/>
      <c r="G112" s="322" t="n"/>
      <c r="H112" s="247">
        <f>IF(AND(ISNUMBER(F112),ISNUMBER(G112)),F112*G112,"")</f>
        <v/>
      </c>
      <c r="I112" s="246">
        <f>IF(COUNT(C112,F112)=0,"",N(C112)-N(F112))</f>
        <v/>
      </c>
      <c r="J112" s="247">
        <f>IF(COUNT(E112,H112)=0,"",N(H112)-N(E112))</f>
        <v/>
      </c>
      <c r="K112" s="321" t="n"/>
      <c r="L112" s="183">
        <f>IF(OR(NOT(ISNUMBER(K112)),COUNT(C112,F112,D112)&lt;3),"",IF(MIN(C112,F112)*D112&lt;=0,"",ROUND(K112/(MIN(C112,F112)*D112)*100,2)))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316" t="n"/>
      <c r="D113" s="317" t="n"/>
      <c r="E113" s="241">
        <f>IF(AND(ISNUMBER(C113),ISNUMBER(D113)),C113*D113,"")</f>
        <v/>
      </c>
      <c r="F113" s="316" t="n"/>
      <c r="G113" s="317" t="n"/>
      <c r="H113" s="241">
        <f>IF(AND(ISNUMBER(F113),ISNUMBER(G113)),F113*G113,"")</f>
        <v/>
      </c>
      <c r="I113" s="240">
        <f>IF(COUNT(C113,F113)=0,"",N(C113)-N(F113))</f>
        <v/>
      </c>
      <c r="J113" s="241">
        <f>IF(COUNT(E113,H113)=0,"",N(H113)-N(E113))</f>
        <v/>
      </c>
      <c r="K113" s="316" t="n"/>
      <c r="L113" s="177">
        <f>IF(OR(NOT(ISNUMBER(K113)),COUNT(C113,F113,D113)&lt;3),"",IF(MIN(C113,F113)*D113&lt;=0,"",ROUND(K113/(MIN(C113,F113)*D113)*100,2)))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321" t="n"/>
      <c r="D114" s="322" t="n"/>
      <c r="E114" s="247">
        <f>IF(AND(ISNUMBER(C114),ISNUMBER(D114)),C114*D114,"")</f>
        <v/>
      </c>
      <c r="F114" s="321" t="n"/>
      <c r="G114" s="322" t="n"/>
      <c r="H114" s="247">
        <f>IF(AND(ISNUMBER(F114),ISNUMBER(G114)),F114*G114,"")</f>
        <v/>
      </c>
      <c r="I114" s="246">
        <f>IF(COUNT(C114,F114)=0,"",N(C114)-N(F114))</f>
        <v/>
      </c>
      <c r="J114" s="247">
        <f>IF(COUNT(E114,H114)=0,"",N(H114)-N(E114))</f>
        <v/>
      </c>
      <c r="K114" s="321" t="n"/>
      <c r="L114" s="183">
        <f>IF(OR(NOT(ISNUMBER(K114)),COUNT(C114,F114,D114)&lt;3),"",IF(MIN(C114,F114)*D114&lt;=0,"",ROUND(K114/(MIN(C114,F114)*D114)*100,2)))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316" t="n"/>
      <c r="D115" s="317" t="n"/>
      <c r="E115" s="241">
        <f>IF(AND(ISNUMBER(C115),ISNUMBER(D115)),C115*D115,"")</f>
        <v/>
      </c>
      <c r="F115" s="316" t="n"/>
      <c r="G115" s="317" t="n"/>
      <c r="H115" s="241">
        <f>IF(AND(ISNUMBER(F115),ISNUMBER(G115)),F115*G115,"")</f>
        <v/>
      </c>
      <c r="I115" s="240">
        <f>IF(COUNT(C115,F115)=0,"",N(C115)-N(F115))</f>
        <v/>
      </c>
      <c r="J115" s="241">
        <f>IF(COUNT(E115,H115)=0,"",N(H115)-N(E115))</f>
        <v/>
      </c>
      <c r="K115" s="316" t="n"/>
      <c r="L115" s="177">
        <f>IF(OR(NOT(ISNUMBER(K115)),COUNT(C115,F115,D115)&lt;3),"",IF(MIN(C115,F115)*D115&lt;=0,"",ROUND(K115/(MIN(C115,F115)*D115)*100,2)))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321" t="n"/>
      <c r="D116" s="322" t="n"/>
      <c r="E116" s="247">
        <f>IF(AND(ISNUMBER(C116),ISNUMBER(D116)),C116*D116,"")</f>
        <v/>
      </c>
      <c r="F116" s="321" t="n"/>
      <c r="G116" s="322" t="n"/>
      <c r="H116" s="247">
        <f>IF(AND(ISNUMBER(F116),ISNUMBER(G116)),F116*G116,"")</f>
        <v/>
      </c>
      <c r="I116" s="246">
        <f>IF(COUNT(C116,F116)=0,"",N(C116)-N(F116))</f>
        <v/>
      </c>
      <c r="J116" s="247">
        <f>IF(COUNT(E116,H116)=0,"",N(H116)-N(E116))</f>
        <v/>
      </c>
      <c r="K116" s="321" t="n"/>
      <c r="L116" s="183">
        <f>IF(OR(NOT(ISNUMBER(K116)),COUNT(C116,F116,D116)&lt;3),"",IF(MIN(C116,F116)*D116&lt;=0,"",ROUND(K116/(MIN(C116,F116)*D116)*100,2)))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316" t="n"/>
      <c r="D117" s="317" t="n"/>
      <c r="E117" s="241">
        <f>IF(AND(ISNUMBER(C117),ISNUMBER(D117)),C117*D117,"")</f>
        <v/>
      </c>
      <c r="F117" s="316" t="n"/>
      <c r="G117" s="317" t="n"/>
      <c r="H117" s="241">
        <f>IF(AND(ISNUMBER(F117),ISNUMBER(G117)),F117*G117,"")</f>
        <v/>
      </c>
      <c r="I117" s="240">
        <f>IF(COUNT(C117,F117)=0,"",N(C117)-N(F117))</f>
        <v/>
      </c>
      <c r="J117" s="241">
        <f>IF(COUNT(E117,H117)=0,"",N(H117)-N(E117))</f>
        <v/>
      </c>
      <c r="K117" s="316" t="n"/>
      <c r="L117" s="177">
        <f>IF(OR(NOT(ISNUMBER(K117)),COUNT(C117,F117,D117)&lt;3),"",IF(MIN(C117,F117)*D117&lt;=0,"",ROUND(K117/(MIN(C117,F117)*D117)*100,2)))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321" t="n"/>
      <c r="D118" s="322" t="n"/>
      <c r="E118" s="247">
        <f>IF(AND(ISNUMBER(C118),ISNUMBER(D118)),C118*D118,"")</f>
        <v/>
      </c>
      <c r="F118" s="321" t="n"/>
      <c r="G118" s="322" t="n"/>
      <c r="H118" s="247">
        <f>IF(AND(ISNUMBER(F118),ISNUMBER(G118)),F118*G118,"")</f>
        <v/>
      </c>
      <c r="I118" s="246">
        <f>IF(COUNT(C118,F118)=0,"",N(C118)-N(F118))</f>
        <v/>
      </c>
      <c r="J118" s="247">
        <f>IF(COUNT(E118,H118)=0,"",N(H118)-N(E118))</f>
        <v/>
      </c>
      <c r="K118" s="321" t="n"/>
      <c r="L118" s="183">
        <f>IF(OR(NOT(ISNUMBER(K118)),COUNT(C118,F118,D118)&lt;3),"",IF(MIN(C118,F118)*D118&lt;=0,"",ROUND(K118/(MIN(C118,F118)*D118)*100,2)))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316" t="n"/>
      <c r="D119" s="317" t="n"/>
      <c r="E119" s="241">
        <f>IF(AND(ISNUMBER(C119),ISNUMBER(D119)),C119*D119,"")</f>
        <v/>
      </c>
      <c r="F119" s="316" t="n"/>
      <c r="G119" s="317" t="n"/>
      <c r="H119" s="241">
        <f>IF(AND(ISNUMBER(F119),ISNUMBER(G119)),F119*G119,"")</f>
        <v/>
      </c>
      <c r="I119" s="240">
        <f>IF(COUNT(C119,F119)=0,"",N(C119)-N(F119))</f>
        <v/>
      </c>
      <c r="J119" s="241">
        <f>IF(COUNT(E119,H119)=0,"",N(H119)-N(E119))</f>
        <v/>
      </c>
      <c r="K119" s="316" t="n"/>
      <c r="L119" s="177">
        <f>IF(OR(NOT(ISNUMBER(K119)),COUNT(C119,F119,D119)&lt;3),"",IF(MIN(C119,F119)*D119&lt;=0,"",ROUND(K119/(MIN(C119,F119)*D119)*100,2)))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321" t="n"/>
      <c r="D120" s="322" t="n"/>
      <c r="E120" s="247">
        <f>IF(AND(ISNUMBER(C120),ISNUMBER(D120)),C120*D120,"")</f>
        <v/>
      </c>
      <c r="F120" s="321" t="n"/>
      <c r="G120" s="322" t="n"/>
      <c r="H120" s="247">
        <f>IF(AND(ISNUMBER(F120),ISNUMBER(G120)),F120*G120,"")</f>
        <v/>
      </c>
      <c r="I120" s="246">
        <f>IF(COUNT(C120,F120)=0,"",N(C120)-N(F120))</f>
        <v/>
      </c>
      <c r="J120" s="247">
        <f>IF(COUNT(E120,H120)=0,"",N(H120)-N(E120))</f>
        <v/>
      </c>
      <c r="K120" s="321" t="n"/>
      <c r="L120" s="183">
        <f>IF(OR(NOT(ISNUMBER(K120)),COUNT(C120,F120,D120)&lt;3),"",IF(MIN(C120,F120)*D120&lt;=0,"",ROUND(K120/(MIN(C120,F120)*D120)*100,2)))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316" t="n"/>
      <c r="D121" s="317" t="n"/>
      <c r="E121" s="241">
        <f>IF(AND(ISNUMBER(C121),ISNUMBER(D121)),C121*D121,"")</f>
        <v/>
      </c>
      <c r="F121" s="316" t="n"/>
      <c r="G121" s="317" t="n"/>
      <c r="H121" s="241">
        <f>IF(AND(ISNUMBER(F121),ISNUMBER(G121)),F121*G121,"")</f>
        <v/>
      </c>
      <c r="I121" s="240">
        <f>IF(COUNT(C121,F121)=0,"",N(C121)-N(F121))</f>
        <v/>
      </c>
      <c r="J121" s="241">
        <f>IF(COUNT(E121,H121)=0,"",N(H121)-N(E121))</f>
        <v/>
      </c>
      <c r="K121" s="316" t="n"/>
      <c r="L121" s="177">
        <f>IF(OR(NOT(ISNUMBER(K121)),COUNT(C121,F121,D121)&lt;3),"",IF(MIN(C121,F121)*D121&lt;=0,"",ROUND(K121/(MIN(C121,F121)*D121)*100,2)))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321" t="n"/>
      <c r="D122" s="322" t="n"/>
      <c r="E122" s="247">
        <f>IF(AND(ISNUMBER(C122),ISNUMBER(D122)),C122*D122,"")</f>
        <v/>
      </c>
      <c r="F122" s="321" t="n"/>
      <c r="G122" s="322" t="n"/>
      <c r="H122" s="247">
        <f>IF(AND(ISNUMBER(F122),ISNUMBER(G122)),F122*G122,"")</f>
        <v/>
      </c>
      <c r="I122" s="246">
        <f>IF(COUNT(C122,F122)=0,"",N(C122)-N(F122))</f>
        <v/>
      </c>
      <c r="J122" s="247">
        <f>IF(COUNT(E122,H122)=0,"",N(H122)-N(E122))</f>
        <v/>
      </c>
      <c r="K122" s="321" t="n"/>
      <c r="L122" s="183">
        <f>IF(OR(NOT(ISNUMBER(K122)),COUNT(C122,F122,D122)&lt;3),"",IF(MIN(C122,F122)*D122&lt;=0,"",ROUND(K122/(MIN(C122,F122)*D122)*100,2)))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316" t="n"/>
      <c r="D123" s="317" t="n"/>
      <c r="E123" s="241">
        <f>IF(AND(ISNUMBER(C123),ISNUMBER(D123)),C123*D123,"")</f>
        <v/>
      </c>
      <c r="F123" s="316" t="n"/>
      <c r="G123" s="317" t="n"/>
      <c r="H123" s="241">
        <f>IF(AND(ISNUMBER(F123),ISNUMBER(G123)),F123*G123,"")</f>
        <v/>
      </c>
      <c r="I123" s="240">
        <f>IF(COUNT(C123,F123)=0,"",N(C123)-N(F123))</f>
        <v/>
      </c>
      <c r="J123" s="241">
        <f>IF(COUNT(E123,H123)=0,"",N(H123)-N(E123))</f>
        <v/>
      </c>
      <c r="K123" s="316" t="n"/>
      <c r="L123" s="177">
        <f>IF(OR(NOT(ISNUMBER(K123)),COUNT(C123,F123,D123)&lt;3),"",IF(MIN(C123,F123)*D123&lt;=0,"",ROUND(K123/(MIN(C123,F123)*D123)*100,2)))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321" t="n"/>
      <c r="D124" s="322" t="n"/>
      <c r="E124" s="247">
        <f>IF(AND(ISNUMBER(C124),ISNUMBER(D124)),C124*D124,"")</f>
        <v/>
      </c>
      <c r="F124" s="321" t="n"/>
      <c r="G124" s="322" t="n"/>
      <c r="H124" s="247">
        <f>IF(AND(ISNUMBER(F124),ISNUMBER(G124)),F124*G124,"")</f>
        <v/>
      </c>
      <c r="I124" s="246">
        <f>IF(COUNT(C124,F124)=0,"",N(C124)-N(F124))</f>
        <v/>
      </c>
      <c r="J124" s="247">
        <f>IF(COUNT(E124,H124)=0,"",N(H124)-N(E124))</f>
        <v/>
      </c>
      <c r="K124" s="321" t="n"/>
      <c r="L124" s="183">
        <f>IF(OR(NOT(ISNUMBER(K124)),COUNT(C124,F124,D124)&lt;3),"",IF(MIN(C124,F124)*D124&lt;=0,"",ROUND(K124/(MIN(C124,F124)*D124)*100,2)))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316" t="n"/>
      <c r="D125" s="317" t="n"/>
      <c r="E125" s="241">
        <f>IF(AND(ISNUMBER(C125),ISNUMBER(D125)),C125*D125,"")</f>
        <v/>
      </c>
      <c r="F125" s="316" t="n"/>
      <c r="G125" s="317" t="n"/>
      <c r="H125" s="241">
        <f>IF(AND(ISNUMBER(F125),ISNUMBER(G125)),F125*G125,"")</f>
        <v/>
      </c>
      <c r="I125" s="240">
        <f>IF(COUNT(C125,F125)=0,"",N(C125)-N(F125))</f>
        <v/>
      </c>
      <c r="J125" s="241">
        <f>IF(COUNT(E125,H125)=0,"",N(H125)-N(E125))</f>
        <v/>
      </c>
      <c r="K125" s="316" t="n"/>
      <c r="L125" s="177">
        <f>IF(OR(NOT(ISNUMBER(K125)),COUNT(C125,F125,D125)&lt;3),"",IF(MIN(C125,F125)*D125&lt;=0,"",ROUND(K125/(MIN(C125,F125)*D125)*100,2)))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321" t="n"/>
      <c r="D126" s="322" t="n"/>
      <c r="E126" s="247">
        <f>IF(AND(ISNUMBER(C126),ISNUMBER(D126)),C126*D126,"")</f>
        <v/>
      </c>
      <c r="F126" s="321" t="n"/>
      <c r="G126" s="322" t="n"/>
      <c r="H126" s="247">
        <f>IF(AND(ISNUMBER(F126),ISNUMBER(G126)),F126*G126,"")</f>
        <v/>
      </c>
      <c r="I126" s="246">
        <f>IF(COUNT(C126,F126)=0,"",N(C126)-N(F126))</f>
        <v/>
      </c>
      <c r="J126" s="247">
        <f>IF(COUNT(E126,H126)=0,"",N(H126)-N(E126))</f>
        <v/>
      </c>
      <c r="K126" s="321" t="n"/>
      <c r="L126" s="183">
        <f>IF(OR(NOT(ISNUMBER(K126)),COUNT(C126,F126,D126)&lt;3),"",IF(MIN(C126,F126)*D126&lt;=0,"",ROUND(K126/(MIN(C126,F126)*D126)*100,2)))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316" t="n"/>
      <c r="D127" s="317" t="n"/>
      <c r="E127" s="241">
        <f>IF(AND(ISNUMBER(C127),ISNUMBER(D127)),C127*D127,"")</f>
        <v/>
      </c>
      <c r="F127" s="316" t="n"/>
      <c r="G127" s="317" t="n"/>
      <c r="H127" s="241">
        <f>IF(AND(ISNUMBER(F127),ISNUMBER(G127)),F127*G127,"")</f>
        <v/>
      </c>
      <c r="I127" s="240">
        <f>IF(COUNT(C127,F127)=0,"",N(C127)-N(F127))</f>
        <v/>
      </c>
      <c r="J127" s="241">
        <f>IF(COUNT(E127,H127)=0,"",N(H127)-N(E127))</f>
        <v/>
      </c>
      <c r="K127" s="316" t="n"/>
      <c r="L127" s="177">
        <f>IF(OR(NOT(ISNUMBER(K127)),COUNT(C127,F127,D127)&lt;3),"",IF(MIN(C127,F127)*D127&lt;=0,"",ROUND(K127/(MIN(C127,F127)*D127)*100,2)))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321" t="n"/>
      <c r="D128" s="322" t="n"/>
      <c r="E128" s="247">
        <f>IF(AND(ISNUMBER(C128),ISNUMBER(D128)),C128*D128,"")</f>
        <v/>
      </c>
      <c r="F128" s="321" t="n"/>
      <c r="G128" s="322" t="n"/>
      <c r="H128" s="247">
        <f>IF(AND(ISNUMBER(F128),ISNUMBER(G128)),F128*G128,"")</f>
        <v/>
      </c>
      <c r="I128" s="246">
        <f>IF(COUNT(C128,F128)=0,"",N(C128)-N(F128))</f>
        <v/>
      </c>
      <c r="J128" s="247">
        <f>IF(COUNT(E128,H128)=0,"",N(H128)-N(E128))</f>
        <v/>
      </c>
      <c r="K128" s="321" t="n"/>
      <c r="L128" s="183">
        <f>IF(OR(NOT(ISNUMBER(K128)),COUNT(C128,F128,D128)&lt;3),"",IF(MIN(C128,F128)*D128&lt;=0,"",ROUND(K128/(MIN(C128,F128)*D128)*100,2)))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316" t="n"/>
      <c r="D129" s="317" t="n"/>
      <c r="E129" s="241">
        <f>IF(AND(ISNUMBER(C129),ISNUMBER(D129)),C129*D129,"")</f>
        <v/>
      </c>
      <c r="F129" s="316" t="n"/>
      <c r="G129" s="317" t="n"/>
      <c r="H129" s="241">
        <f>IF(AND(ISNUMBER(F129),ISNUMBER(G129)),F129*G129,"")</f>
        <v/>
      </c>
      <c r="I129" s="240">
        <f>IF(COUNT(C129,F129)=0,"",N(C129)-N(F129))</f>
        <v/>
      </c>
      <c r="J129" s="241">
        <f>IF(COUNT(E129,H129)=0,"",N(H129)-N(E129))</f>
        <v/>
      </c>
      <c r="K129" s="316" t="n"/>
      <c r="L129" s="177">
        <f>IF(OR(NOT(ISNUMBER(K129)),COUNT(C129,F129,D129)&lt;3),"",IF(MIN(C129,F129)*D129&lt;=0,"",ROUND(K129/(MIN(C129,F129)*D129)*100,2)))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321" t="n"/>
      <c r="D130" s="322" t="n"/>
      <c r="E130" s="247">
        <f>IF(AND(ISNUMBER(C130),ISNUMBER(D130)),C130*D130,"")</f>
        <v/>
      </c>
      <c r="F130" s="321" t="n"/>
      <c r="G130" s="322" t="n"/>
      <c r="H130" s="247">
        <f>IF(AND(ISNUMBER(F130),ISNUMBER(G130)),F130*G130,"")</f>
        <v/>
      </c>
      <c r="I130" s="246">
        <f>IF(COUNT(C130,F130)=0,"",N(C130)-N(F130))</f>
        <v/>
      </c>
      <c r="J130" s="247">
        <f>IF(COUNT(E130,H130)=0,"",N(H130)-N(E130))</f>
        <v/>
      </c>
      <c r="K130" s="321" t="n"/>
      <c r="L130" s="183">
        <f>IF(OR(NOT(ISNUMBER(K130)),COUNT(C130,F130,D130)&lt;3),"",IF(MIN(C130,F130)*D130&lt;=0,"",ROUND(K130/(MIN(C130,F130)*D130)*100,2)))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316" t="n"/>
      <c r="D131" s="317" t="n"/>
      <c r="E131" s="241">
        <f>IF(AND(ISNUMBER(C131),ISNUMBER(D131)),C131*D131,"")</f>
        <v/>
      </c>
      <c r="F131" s="316" t="n"/>
      <c r="G131" s="317" t="n"/>
      <c r="H131" s="241">
        <f>IF(AND(ISNUMBER(F131),ISNUMBER(G131)),F131*G131,"")</f>
        <v/>
      </c>
      <c r="I131" s="240">
        <f>IF(COUNT(C131,F131)=0,"",N(C131)-N(F131))</f>
        <v/>
      </c>
      <c r="J131" s="241">
        <f>IF(COUNT(E131,H131)=0,"",N(H131)-N(E131))</f>
        <v/>
      </c>
      <c r="K131" s="316" t="n"/>
      <c r="L131" s="177">
        <f>IF(OR(NOT(ISNUMBER(K131)),COUNT(C131,F131,D131)&lt;3),"",IF(MIN(C131,F131)*D131&lt;=0,"",ROUND(K131/(MIN(C131,F131)*D131)*100,2)))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321" t="n"/>
      <c r="D132" s="322" t="n"/>
      <c r="E132" s="247">
        <f>IF(AND(ISNUMBER(C132),ISNUMBER(D132)),C132*D132,"")</f>
        <v/>
      </c>
      <c r="F132" s="321" t="n"/>
      <c r="G132" s="322" t="n"/>
      <c r="H132" s="247">
        <f>IF(AND(ISNUMBER(F132),ISNUMBER(G132)),F132*G132,"")</f>
        <v/>
      </c>
      <c r="I132" s="246">
        <f>IF(COUNT(C132,F132)=0,"",N(C132)-N(F132))</f>
        <v/>
      </c>
      <c r="J132" s="247">
        <f>IF(COUNT(E132,H132)=0,"",N(H132)-N(E132))</f>
        <v/>
      </c>
      <c r="K132" s="321" t="n"/>
      <c r="L132" s="183">
        <f>IF(OR(NOT(ISNUMBER(K132)),COUNT(C132,F132,D132)&lt;3),"",IF(MIN(C132,F132)*D132&lt;=0,"",ROUND(K132/(MIN(C132,F132)*D132)*100,2)))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316" t="n"/>
      <c r="D133" s="317" t="n"/>
      <c r="E133" s="241">
        <f>IF(AND(ISNUMBER(C133),ISNUMBER(D133)),C133*D133,"")</f>
        <v/>
      </c>
      <c r="F133" s="316" t="n"/>
      <c r="G133" s="317" t="n"/>
      <c r="H133" s="241">
        <f>IF(AND(ISNUMBER(F133),ISNUMBER(G133)),F133*G133,"")</f>
        <v/>
      </c>
      <c r="I133" s="240">
        <f>IF(COUNT(C133,F133)=0,"",N(C133)-N(F133))</f>
        <v/>
      </c>
      <c r="J133" s="241">
        <f>IF(COUNT(E133,H133)=0,"",N(H133)-N(E133))</f>
        <v/>
      </c>
      <c r="K133" s="316" t="n"/>
      <c r="L133" s="177">
        <f>IF(OR(NOT(ISNUMBER(K133)),COUNT(C133,F133,D133)&lt;3),"",IF(MIN(C133,F133)*D133&lt;=0,"",ROUND(K133/(MIN(C133,F133)*D133)*100,2)))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321" t="n"/>
      <c r="D134" s="322" t="n"/>
      <c r="E134" s="247">
        <f>IF(AND(ISNUMBER(C134),ISNUMBER(D134)),C134*D134,"")</f>
        <v/>
      </c>
      <c r="F134" s="321" t="n"/>
      <c r="G134" s="322" t="n"/>
      <c r="H134" s="247">
        <f>IF(AND(ISNUMBER(F134),ISNUMBER(G134)),F134*G134,"")</f>
        <v/>
      </c>
      <c r="I134" s="246">
        <f>IF(COUNT(C134,F134)=0,"",N(C134)-N(F134))</f>
        <v/>
      </c>
      <c r="J134" s="247">
        <f>IF(COUNT(E134,H134)=0,"",N(H134)-N(E134))</f>
        <v/>
      </c>
      <c r="K134" s="321" t="n"/>
      <c r="L134" s="183">
        <f>IF(OR(NOT(ISNUMBER(K134)),COUNT(C134,F134,D134)&lt;3),"",IF(MIN(C134,F134)*D134&lt;=0,"",ROUND(K134/(MIN(C134,F134)*D134)*100,2)))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316" t="n"/>
      <c r="D135" s="317" t="n"/>
      <c r="E135" s="241">
        <f>IF(AND(ISNUMBER(C135),ISNUMBER(D135)),C135*D135,"")</f>
        <v/>
      </c>
      <c r="F135" s="316" t="n"/>
      <c r="G135" s="317" t="n"/>
      <c r="H135" s="241">
        <f>IF(AND(ISNUMBER(F135),ISNUMBER(G135)),F135*G135,"")</f>
        <v/>
      </c>
      <c r="I135" s="240">
        <f>IF(COUNT(C135,F135)=0,"",N(C135)-N(F135))</f>
        <v/>
      </c>
      <c r="J135" s="241">
        <f>IF(COUNT(E135,H135)=0,"",N(H135)-N(E135))</f>
        <v/>
      </c>
      <c r="K135" s="316" t="n"/>
      <c r="L135" s="177">
        <f>IF(OR(NOT(ISNUMBER(K135)),COUNT(C135,F135,D135)&lt;3),"",IF(MIN(C135,F135)*D135&lt;=0,"",ROUND(K135/(MIN(C135,F135)*D135)*100,2)))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321" t="n"/>
      <c r="D136" s="322" t="n"/>
      <c r="E136" s="247">
        <f>IF(AND(ISNUMBER(C136),ISNUMBER(D136)),C136*D136,"")</f>
        <v/>
      </c>
      <c r="F136" s="321" t="n"/>
      <c r="G136" s="322" t="n"/>
      <c r="H136" s="247">
        <f>IF(AND(ISNUMBER(F136),ISNUMBER(G136)),F136*G136,"")</f>
        <v/>
      </c>
      <c r="I136" s="246">
        <f>IF(COUNT(C136,F136)=0,"",N(C136)-N(F136))</f>
        <v/>
      </c>
      <c r="J136" s="247">
        <f>IF(COUNT(E136,H136)=0,"",N(H136)-N(E136))</f>
        <v/>
      </c>
      <c r="K136" s="321" t="n"/>
      <c r="L136" s="183">
        <f>IF(OR(NOT(ISNUMBER(K136)),COUNT(C136,F136,D136)&lt;3),"",IF(MIN(C136,F136)*D136&lt;=0,"",ROUND(K136/(MIN(C136,F136)*D136)*100,2)))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316" t="n"/>
      <c r="D137" s="317" t="n"/>
      <c r="E137" s="241">
        <f>IF(AND(ISNUMBER(C137),ISNUMBER(D137)),C137*D137,"")</f>
        <v/>
      </c>
      <c r="F137" s="316" t="n"/>
      <c r="G137" s="317" t="n"/>
      <c r="H137" s="241">
        <f>IF(AND(ISNUMBER(F137),ISNUMBER(G137)),F137*G137,"")</f>
        <v/>
      </c>
      <c r="I137" s="240">
        <f>IF(COUNT(C137,F137)=0,"",N(C137)-N(F137))</f>
        <v/>
      </c>
      <c r="J137" s="241">
        <f>IF(COUNT(E137,H137)=0,"",N(H137)-N(E137))</f>
        <v/>
      </c>
      <c r="K137" s="316" t="n"/>
      <c r="L137" s="177">
        <f>IF(OR(NOT(ISNUMBER(K137)),COUNT(C137,F137,D137)&lt;3),"",IF(MIN(C137,F137)*D137&lt;=0,"",ROUND(K137/(MIN(C137,F137)*D137)*100,2)))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321" t="n"/>
      <c r="D138" s="322" t="n"/>
      <c r="E138" s="247">
        <f>IF(AND(ISNUMBER(C138),ISNUMBER(D138)),C138*D138,"")</f>
        <v/>
      </c>
      <c r="F138" s="321" t="n"/>
      <c r="G138" s="322" t="n"/>
      <c r="H138" s="247">
        <f>IF(AND(ISNUMBER(F138),ISNUMBER(G138)),F138*G138,"")</f>
        <v/>
      </c>
      <c r="I138" s="246">
        <f>IF(COUNT(C138,F138)=0,"",N(C138)-N(F138))</f>
        <v/>
      </c>
      <c r="J138" s="247">
        <f>IF(COUNT(E138,H138)=0,"",N(H138)-N(E138))</f>
        <v/>
      </c>
      <c r="K138" s="321" t="n"/>
      <c r="L138" s="183">
        <f>IF(OR(NOT(ISNUMBER(K138)),COUNT(C138,F138,D138)&lt;3),"",IF(MIN(C138,F138)*D138&lt;=0,"",ROUND(K138/(MIN(C138,F138)*D138)*100,2)))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316" t="n"/>
      <c r="D139" s="317" t="n"/>
      <c r="E139" s="241">
        <f>IF(AND(ISNUMBER(C139),ISNUMBER(D139)),C139*D139,"")</f>
        <v/>
      </c>
      <c r="F139" s="316" t="n"/>
      <c r="G139" s="317" t="n"/>
      <c r="H139" s="241">
        <f>IF(AND(ISNUMBER(F139),ISNUMBER(G139)),F139*G139,"")</f>
        <v/>
      </c>
      <c r="I139" s="240">
        <f>IF(COUNT(C139,F139)=0,"",N(C139)-N(F139))</f>
        <v/>
      </c>
      <c r="J139" s="241">
        <f>IF(COUNT(E139,H139)=0,"",N(H139)-N(E139))</f>
        <v/>
      </c>
      <c r="K139" s="316" t="n"/>
      <c r="L139" s="177">
        <f>IF(OR(NOT(ISNUMBER(K139)),COUNT(C139,F139,D139)&lt;3),"",IF(MIN(C139,F139)*D139&lt;=0,"",ROUND(K139/(MIN(C139,F139)*D139)*100,2)))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321" t="n"/>
      <c r="D140" s="322" t="n"/>
      <c r="E140" s="247">
        <f>IF(AND(ISNUMBER(C140),ISNUMBER(D140)),C140*D140,"")</f>
        <v/>
      </c>
      <c r="F140" s="321" t="n"/>
      <c r="G140" s="322" t="n"/>
      <c r="H140" s="247">
        <f>IF(AND(ISNUMBER(F140),ISNUMBER(G140)),F140*G140,"")</f>
        <v/>
      </c>
      <c r="I140" s="246">
        <f>IF(COUNT(C140,F140)=0,"",N(C140)-N(F140))</f>
        <v/>
      </c>
      <c r="J140" s="247">
        <f>IF(COUNT(E140,H140)=0,"",N(H140)-N(E140))</f>
        <v/>
      </c>
      <c r="K140" s="321" t="n"/>
      <c r="L140" s="183">
        <f>IF(OR(NOT(ISNUMBER(K140)),COUNT(C140,F140,D140)&lt;3),"",IF(MIN(C140,F140)*D140&lt;=0,"",ROUND(K140/(MIN(C140,F140)*D140)*100,2)))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316" t="n"/>
      <c r="D141" s="317" t="n"/>
      <c r="E141" s="241">
        <f>IF(AND(ISNUMBER(C141),ISNUMBER(D141)),C141*D141,"")</f>
        <v/>
      </c>
      <c r="F141" s="316" t="n"/>
      <c r="G141" s="317" t="n"/>
      <c r="H141" s="241">
        <f>IF(AND(ISNUMBER(F141),ISNUMBER(G141)),F141*G141,"")</f>
        <v/>
      </c>
      <c r="I141" s="240">
        <f>IF(COUNT(C141,F141)=0,"",N(C141)-N(F141))</f>
        <v/>
      </c>
      <c r="J141" s="241">
        <f>IF(COUNT(E141,H141)=0,"",N(H141)-N(E141))</f>
        <v/>
      </c>
      <c r="K141" s="316" t="n"/>
      <c r="L141" s="177">
        <f>IF(OR(NOT(ISNUMBER(K141)),COUNT(C141,F141,D141)&lt;3),"",IF(MIN(C141,F141)*D141&lt;=0,"",ROUND(K141/(MIN(C141,F141)*D141)*100,2)))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321" t="n"/>
      <c r="D142" s="322" t="n"/>
      <c r="E142" s="247">
        <f>IF(AND(ISNUMBER(C142),ISNUMBER(D142)),C142*D142,"")</f>
        <v/>
      </c>
      <c r="F142" s="321" t="n"/>
      <c r="G142" s="322" t="n"/>
      <c r="H142" s="247">
        <f>IF(AND(ISNUMBER(F142),ISNUMBER(G142)),F142*G142,"")</f>
        <v/>
      </c>
      <c r="I142" s="246">
        <f>IF(COUNT(C142,F142)=0,"",N(C142)-N(F142))</f>
        <v/>
      </c>
      <c r="J142" s="247">
        <f>IF(COUNT(E142,H142)=0,"",N(H142)-N(E142))</f>
        <v/>
      </c>
      <c r="K142" s="321" t="n"/>
      <c r="L142" s="183">
        <f>IF(OR(NOT(ISNUMBER(K142)),COUNT(C142,F142,D142)&lt;3),"",IF(MIN(C142,F142)*D142&lt;=0,"",ROUND(K142/(MIN(C142,F142)*D142)*100,2)))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316" t="n"/>
      <c r="D143" s="317" t="n"/>
      <c r="E143" s="241">
        <f>IF(AND(ISNUMBER(C143),ISNUMBER(D143)),C143*D143,"")</f>
        <v/>
      </c>
      <c r="F143" s="316" t="n"/>
      <c r="G143" s="317" t="n"/>
      <c r="H143" s="241">
        <f>IF(AND(ISNUMBER(F143),ISNUMBER(G143)),F143*G143,"")</f>
        <v/>
      </c>
      <c r="I143" s="240">
        <f>IF(COUNT(C143,F143)=0,"",N(C143)-N(F143))</f>
        <v/>
      </c>
      <c r="J143" s="241">
        <f>IF(COUNT(E143,H143)=0,"",N(H143)-N(E143))</f>
        <v/>
      </c>
      <c r="K143" s="316" t="n"/>
      <c r="L143" s="177">
        <f>IF(OR(NOT(ISNUMBER(K143)),COUNT(C143,F143,D143)&lt;3),"",IF(MIN(C143,F143)*D143&lt;=0,"",ROUND(K143/(MIN(C143,F143)*D143)*100,2)))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321" t="n"/>
      <c r="D144" s="322" t="n"/>
      <c r="E144" s="247">
        <f>IF(AND(ISNUMBER(C144),ISNUMBER(D144)),C144*D144,"")</f>
        <v/>
      </c>
      <c r="F144" s="321" t="n"/>
      <c r="G144" s="322" t="n"/>
      <c r="H144" s="247">
        <f>IF(AND(ISNUMBER(F144),ISNUMBER(G144)),F144*G144,"")</f>
        <v/>
      </c>
      <c r="I144" s="246">
        <f>IF(COUNT(C144,F144)=0,"",N(C144)-N(F144))</f>
        <v/>
      </c>
      <c r="J144" s="247">
        <f>IF(COUNT(E144,H144)=0,"",N(H144)-N(E144))</f>
        <v/>
      </c>
      <c r="K144" s="321" t="n"/>
      <c r="L144" s="183">
        <f>IF(OR(NOT(ISNUMBER(K144)),COUNT(C144,F144,D144)&lt;3),"",IF(MIN(C144,F144)*D144&lt;=0,"",ROUND(K144/(MIN(C144,F144)*D144)*100,2)))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316" t="n"/>
      <c r="D145" s="317" t="n"/>
      <c r="E145" s="241">
        <f>IF(AND(ISNUMBER(C145),ISNUMBER(D145)),C145*D145,"")</f>
        <v/>
      </c>
      <c r="F145" s="316" t="n"/>
      <c r="G145" s="317" t="n"/>
      <c r="H145" s="241">
        <f>IF(AND(ISNUMBER(F145),ISNUMBER(G145)),F145*G145,"")</f>
        <v/>
      </c>
      <c r="I145" s="240">
        <f>IF(COUNT(C145,F145)=0,"",N(C145)-N(F145))</f>
        <v/>
      </c>
      <c r="J145" s="241">
        <f>IF(COUNT(E145,H145)=0,"",N(H145)-N(E145))</f>
        <v/>
      </c>
      <c r="K145" s="316" t="n"/>
      <c r="L145" s="177">
        <f>IF(OR(NOT(ISNUMBER(K145)),COUNT(C145,F145,D145)&lt;3),"",IF(MIN(C145,F145)*D145&lt;=0,"",ROUND(K145/(MIN(C145,F145)*D145)*100,2)))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321" t="n"/>
      <c r="D146" s="322" t="n"/>
      <c r="E146" s="247">
        <f>IF(AND(ISNUMBER(C146),ISNUMBER(D146)),C146*D146,"")</f>
        <v/>
      </c>
      <c r="F146" s="321" t="n"/>
      <c r="G146" s="322" t="n"/>
      <c r="H146" s="247">
        <f>IF(AND(ISNUMBER(F146),ISNUMBER(G146)),F146*G146,"")</f>
        <v/>
      </c>
      <c r="I146" s="246">
        <f>IF(COUNT(C146,F146)=0,"",N(C146)-N(F146))</f>
        <v/>
      </c>
      <c r="J146" s="247">
        <f>IF(COUNT(E146,H146)=0,"",N(H146)-N(E146))</f>
        <v/>
      </c>
      <c r="K146" s="321" t="n"/>
      <c r="L146" s="183">
        <f>IF(OR(NOT(ISNUMBER(K146)),COUNT(C146,F146,D146)&lt;3),"",IF(MIN(C146,F146)*D146&lt;=0,"",ROUND(K146/(MIN(C146,F146)*D146)*100,2)))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316" t="n"/>
      <c r="D147" s="317" t="n"/>
      <c r="E147" s="241">
        <f>IF(AND(ISNUMBER(C147),ISNUMBER(D147)),C147*D147,"")</f>
        <v/>
      </c>
      <c r="F147" s="316" t="n"/>
      <c r="G147" s="317" t="n"/>
      <c r="H147" s="241">
        <f>IF(AND(ISNUMBER(F147),ISNUMBER(G147)),F147*G147,"")</f>
        <v/>
      </c>
      <c r="I147" s="240">
        <f>IF(COUNT(C147,F147)=0,"",N(C147)-N(F147))</f>
        <v/>
      </c>
      <c r="J147" s="241">
        <f>IF(COUNT(E147,H147)=0,"",N(H147)-N(E147))</f>
        <v/>
      </c>
      <c r="K147" s="316" t="n"/>
      <c r="L147" s="177">
        <f>IF(OR(NOT(ISNUMBER(K147)),COUNT(C147,F147,D147)&lt;3),"",IF(MIN(C147,F147)*D147&lt;=0,"",ROUND(K147/(MIN(C147,F147)*D147)*100,2)))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321" t="n"/>
      <c r="D148" s="322" t="n"/>
      <c r="E148" s="247">
        <f>IF(AND(ISNUMBER(C148),ISNUMBER(D148)),C148*D148,"")</f>
        <v/>
      </c>
      <c r="F148" s="321" t="n"/>
      <c r="G148" s="322" t="n"/>
      <c r="H148" s="247">
        <f>IF(AND(ISNUMBER(F148),ISNUMBER(G148)),F148*G148,"")</f>
        <v/>
      </c>
      <c r="I148" s="246">
        <f>IF(COUNT(C148,F148)=0,"",N(C148)-N(F148))</f>
        <v/>
      </c>
      <c r="J148" s="247">
        <f>IF(COUNT(E148,H148)=0,"",N(H148)-N(E148))</f>
        <v/>
      </c>
      <c r="K148" s="321" t="n"/>
      <c r="L148" s="183">
        <f>IF(OR(NOT(ISNUMBER(K148)),COUNT(C148,F148,D148)&lt;3),"",IF(MIN(C148,F148)*D148&lt;=0,"",ROUND(K148/(MIN(C148,F148)*D148)*100,2)))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316" t="n"/>
      <c r="D149" s="317" t="n"/>
      <c r="E149" s="241">
        <f>IF(AND(ISNUMBER(C149),ISNUMBER(D149)),C149*D149,"")</f>
        <v/>
      </c>
      <c r="F149" s="316" t="n"/>
      <c r="G149" s="317" t="n"/>
      <c r="H149" s="241">
        <f>IF(AND(ISNUMBER(F149),ISNUMBER(G149)),F149*G149,"")</f>
        <v/>
      </c>
      <c r="I149" s="240">
        <f>IF(COUNT(C149,F149)=0,"",N(C149)-N(F149))</f>
        <v/>
      </c>
      <c r="J149" s="241">
        <f>IF(COUNT(E149,H149)=0,"",N(H149)-N(E149))</f>
        <v/>
      </c>
      <c r="K149" s="316" t="n"/>
      <c r="L149" s="177">
        <f>IF(OR(NOT(ISNUMBER(K149)),COUNT(C149,F149,D149)&lt;3),"",IF(MIN(C149,F149)*D149&lt;=0,"",ROUND(K149/(MIN(C149,F149)*D149)*100,2)))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321" t="n"/>
      <c r="D150" s="322" t="n"/>
      <c r="E150" s="247">
        <f>IF(AND(ISNUMBER(C150),ISNUMBER(D150)),C150*D150,"")</f>
        <v/>
      </c>
      <c r="F150" s="321" t="n"/>
      <c r="G150" s="322" t="n"/>
      <c r="H150" s="247">
        <f>IF(AND(ISNUMBER(F150),ISNUMBER(G150)),F150*G150,"")</f>
        <v/>
      </c>
      <c r="I150" s="246">
        <f>IF(COUNT(C150,F150)=0,"",N(C150)-N(F150))</f>
        <v/>
      </c>
      <c r="J150" s="247">
        <f>IF(COUNT(E150,H150)=0,"",N(H150)-N(E150))</f>
        <v/>
      </c>
      <c r="K150" s="321" t="n"/>
      <c r="L150" s="183">
        <f>IF(OR(NOT(ISNUMBER(K150)),COUNT(C150,F150,D150)&lt;3),"",IF(MIN(C150,F150)*D150&lt;=0,"",ROUND(K150/(MIN(C150,F150)*D150)*100,2)))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316" t="n"/>
      <c r="D151" s="317" t="n"/>
      <c r="E151" s="241">
        <f>IF(AND(ISNUMBER(C151),ISNUMBER(D151)),C151*D151,"")</f>
        <v/>
      </c>
      <c r="F151" s="316" t="n"/>
      <c r="G151" s="317" t="n"/>
      <c r="H151" s="241">
        <f>IF(AND(ISNUMBER(F151),ISNUMBER(G151)),F151*G151,"")</f>
        <v/>
      </c>
      <c r="I151" s="240">
        <f>IF(COUNT(C151,F151)=0,"",N(C151)-N(F151))</f>
        <v/>
      </c>
      <c r="J151" s="241">
        <f>IF(COUNT(E151,H151)=0,"",N(H151)-N(E151))</f>
        <v/>
      </c>
      <c r="K151" s="316" t="n"/>
      <c r="L151" s="177">
        <f>IF(OR(NOT(ISNUMBER(K151)),COUNT(C151,F151,D151)&lt;3),"",IF(MIN(C151,F151)*D151&lt;=0,"",ROUND(K151/(MIN(C151,F151)*D151)*100,2)))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321" t="n"/>
      <c r="D152" s="322" t="n"/>
      <c r="E152" s="247">
        <f>IF(AND(ISNUMBER(C152),ISNUMBER(D152)),C152*D152,"")</f>
        <v/>
      </c>
      <c r="F152" s="321" t="n"/>
      <c r="G152" s="322" t="n"/>
      <c r="H152" s="247">
        <f>IF(AND(ISNUMBER(F152),ISNUMBER(G152)),F152*G152,"")</f>
        <v/>
      </c>
      <c r="I152" s="246">
        <f>IF(COUNT(C152,F152)=0,"",N(C152)-N(F152))</f>
        <v/>
      </c>
      <c r="J152" s="247">
        <f>IF(COUNT(E152,H152)=0,"",N(H152)-N(E152))</f>
        <v/>
      </c>
      <c r="K152" s="321" t="n"/>
      <c r="L152" s="183">
        <f>IF(OR(NOT(ISNUMBER(K152)),COUNT(C152,F152,D152)&lt;3),"",IF(MIN(C152,F152)*D152&lt;=0,"",ROUND(K152/(MIN(C152,F152)*D152)*100,2)))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316" t="n"/>
      <c r="D153" s="317" t="n"/>
      <c r="E153" s="241">
        <f>IF(AND(ISNUMBER(C153),ISNUMBER(D153)),C153*D153,"")</f>
        <v/>
      </c>
      <c r="F153" s="316" t="n"/>
      <c r="G153" s="317" t="n"/>
      <c r="H153" s="241">
        <f>IF(AND(ISNUMBER(F153),ISNUMBER(G153)),F153*G153,"")</f>
        <v/>
      </c>
      <c r="I153" s="240">
        <f>IF(COUNT(C153,F153)=0,"",N(C153)-N(F153))</f>
        <v/>
      </c>
      <c r="J153" s="241">
        <f>IF(COUNT(E153,H153)=0,"",N(H153)-N(E153))</f>
        <v/>
      </c>
      <c r="K153" s="316" t="n"/>
      <c r="L153" s="177">
        <f>IF(OR(NOT(ISNUMBER(K153)),COUNT(C153,F153,D153)&lt;3),"",IF(MIN(C153,F153)*D153&lt;=0,"",ROUND(K153/(MIN(C153,F153)*D153)*100,2)))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321" t="n"/>
      <c r="D154" s="322" t="n"/>
      <c r="E154" s="247">
        <f>IF(AND(ISNUMBER(C154),ISNUMBER(D154)),C154*D154,"")</f>
        <v/>
      </c>
      <c r="F154" s="321" t="n"/>
      <c r="G154" s="322" t="n"/>
      <c r="H154" s="247">
        <f>IF(AND(ISNUMBER(F154),ISNUMBER(G154)),F154*G154,"")</f>
        <v/>
      </c>
      <c r="I154" s="246">
        <f>IF(COUNT(C154,F154)=0,"",N(C154)-N(F154))</f>
        <v/>
      </c>
      <c r="J154" s="247">
        <f>IF(COUNT(E154,H154)=0,"",N(H154)-N(E154))</f>
        <v/>
      </c>
      <c r="K154" s="321" t="n"/>
      <c r="L154" s="183">
        <f>IF(OR(NOT(ISNUMBER(K154)),COUNT(C154,F154,D154)&lt;3),"",IF(MIN(C154,F154)*D154&lt;=0,"",ROUND(K154/(MIN(C154,F154)*D154)*100,2)))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316" t="n"/>
      <c r="D155" s="317" t="n"/>
      <c r="E155" s="241">
        <f>IF(AND(ISNUMBER(C155),ISNUMBER(D155)),C155*D155,"")</f>
        <v/>
      </c>
      <c r="F155" s="316" t="n"/>
      <c r="G155" s="317" t="n"/>
      <c r="H155" s="241">
        <f>IF(AND(ISNUMBER(F155),ISNUMBER(G155)),F155*G155,"")</f>
        <v/>
      </c>
      <c r="I155" s="240">
        <f>IF(COUNT(C155,F155)=0,"",N(C155)-N(F155))</f>
        <v/>
      </c>
      <c r="J155" s="241">
        <f>IF(COUNT(E155,H155)=0,"",N(H155)-N(E155))</f>
        <v/>
      </c>
      <c r="K155" s="316" t="n"/>
      <c r="L155" s="177">
        <f>IF(OR(NOT(ISNUMBER(K155)),COUNT(C155,F155,D155)&lt;3),"",IF(MIN(C155,F155)*D155&lt;=0,"",ROUND(K155/(MIN(C155,F155)*D155)*100,2)))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321" t="n"/>
      <c r="D156" s="322" t="n"/>
      <c r="E156" s="247">
        <f>IF(AND(ISNUMBER(C156),ISNUMBER(D156)),C156*D156,"")</f>
        <v/>
      </c>
      <c r="F156" s="321" t="n"/>
      <c r="G156" s="322" t="n"/>
      <c r="H156" s="247">
        <f>IF(AND(ISNUMBER(F156),ISNUMBER(G156)),F156*G156,"")</f>
        <v/>
      </c>
      <c r="I156" s="246">
        <f>IF(COUNT(C156,F156)=0,"",N(C156)-N(F156))</f>
        <v/>
      </c>
      <c r="J156" s="247">
        <f>IF(COUNT(E156,H156)=0,"",N(H156)-N(E156))</f>
        <v/>
      </c>
      <c r="K156" s="321" t="n"/>
      <c r="L156" s="183">
        <f>IF(OR(NOT(ISNUMBER(K156)),COUNT(C156,F156,D156)&lt;3),"",IF(MIN(C156,F156)*D156&lt;=0,"",ROUND(K156/(MIN(C156,F156)*D156)*100,2)))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316" t="n"/>
      <c r="D157" s="317" t="n"/>
      <c r="E157" s="241">
        <f>IF(AND(ISNUMBER(C157),ISNUMBER(D157)),C157*D157,"")</f>
        <v/>
      </c>
      <c r="F157" s="316" t="n"/>
      <c r="G157" s="317" t="n"/>
      <c r="H157" s="241">
        <f>IF(AND(ISNUMBER(F157),ISNUMBER(G157)),F157*G157,"")</f>
        <v/>
      </c>
      <c r="I157" s="240">
        <f>IF(COUNT(C157,F157)=0,"",N(C157)-N(F157))</f>
        <v/>
      </c>
      <c r="J157" s="241">
        <f>IF(COUNT(E157,H157)=0,"",N(H157)-N(E157))</f>
        <v/>
      </c>
      <c r="K157" s="316" t="n"/>
      <c r="L157" s="177">
        <f>IF(OR(NOT(ISNUMBER(K157)),COUNT(C157,F157,D157)&lt;3),"",IF(MIN(C157,F157)*D157&lt;=0,"",ROUND(K157/(MIN(C157,F157)*D157)*100,2)))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321" t="n"/>
      <c r="D158" s="322" t="n"/>
      <c r="E158" s="247">
        <f>IF(AND(ISNUMBER(C158),ISNUMBER(D158)),C158*D158,"")</f>
        <v/>
      </c>
      <c r="F158" s="321" t="n"/>
      <c r="G158" s="322" t="n"/>
      <c r="H158" s="247">
        <f>IF(AND(ISNUMBER(F158),ISNUMBER(G158)),F158*G158,"")</f>
        <v/>
      </c>
      <c r="I158" s="246">
        <f>IF(COUNT(C158,F158)=0,"",N(C158)-N(F158))</f>
        <v/>
      </c>
      <c r="J158" s="247">
        <f>IF(COUNT(E158,H158)=0,"",N(H158)-N(E158))</f>
        <v/>
      </c>
      <c r="K158" s="321" t="n"/>
      <c r="L158" s="183">
        <f>IF(OR(NOT(ISNUMBER(K158)),COUNT(C158,F158,D158)&lt;3),"",IF(MIN(C158,F158)*D158&lt;=0,"",ROUND(K158/(MIN(C158,F158)*D158)*100,2)))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316" t="n"/>
      <c r="D159" s="317" t="n"/>
      <c r="E159" s="241">
        <f>IF(AND(ISNUMBER(C159),ISNUMBER(D159)),C159*D159,"")</f>
        <v/>
      </c>
      <c r="F159" s="316" t="n"/>
      <c r="G159" s="317" t="n"/>
      <c r="H159" s="241">
        <f>IF(AND(ISNUMBER(F159),ISNUMBER(G159)),F159*G159,"")</f>
        <v/>
      </c>
      <c r="I159" s="240">
        <f>IF(COUNT(C159,F159)=0,"",N(C159)-N(F159))</f>
        <v/>
      </c>
      <c r="J159" s="241">
        <f>IF(COUNT(E159,H159)=0,"",N(H159)-N(E159))</f>
        <v/>
      </c>
      <c r="K159" s="316" t="n"/>
      <c r="L159" s="177">
        <f>IF(OR(NOT(ISNUMBER(K159)),COUNT(C159,F159,D159)&lt;3),"",IF(MIN(C159,F159)*D159&lt;=0,"",ROUND(K159/(MIN(C159,F159)*D159)*100,2)))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321" t="n"/>
      <c r="D160" s="322" t="n"/>
      <c r="E160" s="247">
        <f>IF(AND(ISNUMBER(C160),ISNUMBER(D160)),C160*D160,"")</f>
        <v/>
      </c>
      <c r="F160" s="321" t="n"/>
      <c r="G160" s="322" t="n"/>
      <c r="H160" s="247">
        <f>IF(AND(ISNUMBER(F160),ISNUMBER(G160)),F160*G160,"")</f>
        <v/>
      </c>
      <c r="I160" s="246">
        <f>IF(COUNT(C160,F160)=0,"",N(C160)-N(F160))</f>
        <v/>
      </c>
      <c r="J160" s="247">
        <f>IF(COUNT(E160,H160)=0,"",N(H160)-N(E160))</f>
        <v/>
      </c>
      <c r="K160" s="321" t="n"/>
      <c r="L160" s="183">
        <f>IF(OR(NOT(ISNUMBER(K160)),COUNT(C160,F160,D160)&lt;3),"",IF(MIN(C160,F160)*D160&lt;=0,"",ROUND(K160/(MIN(C160,F160)*D160)*100,2)))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316" t="n"/>
      <c r="D161" s="317" t="n"/>
      <c r="E161" s="241">
        <f>IF(AND(ISNUMBER(C161),ISNUMBER(D161)),C161*D161,"")</f>
        <v/>
      </c>
      <c r="F161" s="316" t="n"/>
      <c r="G161" s="317" t="n"/>
      <c r="H161" s="241">
        <f>IF(AND(ISNUMBER(F161),ISNUMBER(G161)),F161*G161,"")</f>
        <v/>
      </c>
      <c r="I161" s="240">
        <f>IF(COUNT(C161,F161)=0,"",N(C161)-N(F161))</f>
        <v/>
      </c>
      <c r="J161" s="241">
        <f>IF(COUNT(E161,H161)=0,"",N(H161)-N(E161))</f>
        <v/>
      </c>
      <c r="K161" s="316" t="n"/>
      <c r="L161" s="177">
        <f>IF(OR(NOT(ISNUMBER(K161)),COUNT(C161,F161,D161)&lt;3),"",IF(MIN(C161,F161)*D161&lt;=0,"",ROUND(K161/(MIN(C161,F161)*D161)*100,2)))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321" t="n"/>
      <c r="D162" s="322" t="n"/>
      <c r="E162" s="247">
        <f>IF(AND(ISNUMBER(C162),ISNUMBER(D162)),C162*D162,"")</f>
        <v/>
      </c>
      <c r="F162" s="321" t="n"/>
      <c r="G162" s="322" t="n"/>
      <c r="H162" s="247">
        <f>IF(AND(ISNUMBER(F162),ISNUMBER(G162)),F162*G162,"")</f>
        <v/>
      </c>
      <c r="I162" s="246">
        <f>IF(COUNT(C162,F162)=0,"",N(C162)-N(F162))</f>
        <v/>
      </c>
      <c r="J162" s="247">
        <f>IF(COUNT(E162,H162)=0,"",N(H162)-N(E162))</f>
        <v/>
      </c>
      <c r="K162" s="321" t="n"/>
      <c r="L162" s="183">
        <f>IF(OR(NOT(ISNUMBER(K162)),COUNT(C162,F162,D162)&lt;3),"",IF(MIN(C162,F162)*D162&lt;=0,"",ROUND(K162/(MIN(C162,F162)*D162)*100,2)))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316" t="n"/>
      <c r="D163" s="317" t="n"/>
      <c r="E163" s="241">
        <f>IF(AND(ISNUMBER(C163),ISNUMBER(D163)),C163*D163,"")</f>
        <v/>
      </c>
      <c r="F163" s="316" t="n"/>
      <c r="G163" s="317" t="n"/>
      <c r="H163" s="241">
        <f>IF(AND(ISNUMBER(F163),ISNUMBER(G163)),F163*G163,"")</f>
        <v/>
      </c>
      <c r="I163" s="240">
        <f>IF(COUNT(C163,F163)=0,"",N(C163)-N(F163))</f>
        <v/>
      </c>
      <c r="J163" s="241">
        <f>IF(COUNT(E163,H163)=0,"",N(H163)-N(E163))</f>
        <v/>
      </c>
      <c r="K163" s="316" t="n"/>
      <c r="L163" s="177">
        <f>IF(OR(NOT(ISNUMBER(K163)),COUNT(C163,F163,D163)&lt;3),"",IF(MIN(C163,F163)*D163&lt;=0,"",ROUND(K163/(MIN(C163,F163)*D163)*100,2)))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321" t="n"/>
      <c r="D164" s="322" t="n"/>
      <c r="E164" s="247">
        <f>IF(AND(ISNUMBER(C164),ISNUMBER(D164)),C164*D164,"")</f>
        <v/>
      </c>
      <c r="F164" s="321" t="n"/>
      <c r="G164" s="322" t="n"/>
      <c r="H164" s="247">
        <f>IF(AND(ISNUMBER(F164),ISNUMBER(G164)),F164*G164,"")</f>
        <v/>
      </c>
      <c r="I164" s="246">
        <f>IF(COUNT(C164,F164)=0,"",N(C164)-N(F164))</f>
        <v/>
      </c>
      <c r="J164" s="247">
        <f>IF(COUNT(E164,H164)=0,"",N(H164)-N(E164))</f>
        <v/>
      </c>
      <c r="K164" s="321" t="n"/>
      <c r="L164" s="183">
        <f>IF(OR(NOT(ISNUMBER(K164)),COUNT(C164,F164,D164)&lt;3),"",IF(MIN(C164,F164)*D164&lt;=0,"",ROUND(K164/(MIN(C164,F164)*D164)*100,2)))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316" t="n"/>
      <c r="D165" s="317" t="n"/>
      <c r="E165" s="241">
        <f>IF(AND(ISNUMBER(C165),ISNUMBER(D165)),C165*D165,"")</f>
        <v/>
      </c>
      <c r="F165" s="316" t="n"/>
      <c r="G165" s="317" t="n"/>
      <c r="H165" s="241">
        <f>IF(AND(ISNUMBER(F165),ISNUMBER(G165)),F165*G165,"")</f>
        <v/>
      </c>
      <c r="I165" s="240">
        <f>IF(COUNT(C165,F165)=0,"",N(C165)-N(F165))</f>
        <v/>
      </c>
      <c r="J165" s="241">
        <f>IF(COUNT(E165,H165)=0,"",N(H165)-N(E165))</f>
        <v/>
      </c>
      <c r="K165" s="316" t="n"/>
      <c r="L165" s="177">
        <f>IF(OR(NOT(ISNUMBER(K165)),COUNT(C165,F165,D165)&lt;3),"",IF(MIN(C165,F165)*D165&lt;=0,"",ROUND(K165/(MIN(C165,F165)*D165)*100,2)))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321" t="n"/>
      <c r="D166" s="322" t="n"/>
      <c r="E166" s="247">
        <f>IF(AND(ISNUMBER(C166),ISNUMBER(D166)),C166*D166,"")</f>
        <v/>
      </c>
      <c r="F166" s="321" t="n"/>
      <c r="G166" s="322" t="n"/>
      <c r="H166" s="247">
        <f>IF(AND(ISNUMBER(F166),ISNUMBER(G166)),F166*G166,"")</f>
        <v/>
      </c>
      <c r="I166" s="246">
        <f>IF(COUNT(C166,F166)=0,"",N(C166)-N(F166))</f>
        <v/>
      </c>
      <c r="J166" s="247">
        <f>IF(COUNT(E166,H166)=0,"",N(H166)-N(E166))</f>
        <v/>
      </c>
      <c r="K166" s="321" t="n"/>
      <c r="L166" s="183">
        <f>IF(OR(NOT(ISNUMBER(K166)),COUNT(C166,F166,D166)&lt;3),"",IF(MIN(C166,F166)*D166&lt;=0,"",ROUND(K166/(MIN(C166,F166)*D166)*100,2)))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316" t="n"/>
      <c r="D167" s="317" t="n"/>
      <c r="E167" s="241">
        <f>IF(AND(ISNUMBER(C167),ISNUMBER(D167)),C167*D167,"")</f>
        <v/>
      </c>
      <c r="F167" s="316" t="n"/>
      <c r="G167" s="317" t="n"/>
      <c r="H167" s="241">
        <f>IF(AND(ISNUMBER(F167),ISNUMBER(G167)),F167*G167,"")</f>
        <v/>
      </c>
      <c r="I167" s="240">
        <f>IF(COUNT(C167,F167)=0,"",N(C167)-N(F167))</f>
        <v/>
      </c>
      <c r="J167" s="241">
        <f>IF(COUNT(E167,H167)=0,"",N(H167)-N(E167))</f>
        <v/>
      </c>
      <c r="K167" s="316" t="n"/>
      <c r="L167" s="177">
        <f>IF(OR(NOT(ISNUMBER(K167)),COUNT(C167,F167,D167)&lt;3),"",IF(MIN(C167,F167)*D167&lt;=0,"",ROUND(K167/(MIN(C167,F167)*D167)*100,2)))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321" t="n"/>
      <c r="D168" s="322" t="n"/>
      <c r="E168" s="247">
        <f>IF(AND(ISNUMBER(C168),ISNUMBER(D168)),C168*D168,"")</f>
        <v/>
      </c>
      <c r="F168" s="321" t="n"/>
      <c r="G168" s="322" t="n"/>
      <c r="H168" s="247">
        <f>IF(AND(ISNUMBER(F168),ISNUMBER(G168)),F168*G168,"")</f>
        <v/>
      </c>
      <c r="I168" s="246">
        <f>IF(COUNT(C168,F168)=0,"",N(C168)-N(F168))</f>
        <v/>
      </c>
      <c r="J168" s="247">
        <f>IF(COUNT(E168,H168)=0,"",N(H168)-N(E168))</f>
        <v/>
      </c>
      <c r="K168" s="321" t="n"/>
      <c r="L168" s="183">
        <f>IF(OR(NOT(ISNUMBER(K168)),COUNT(C168,F168,D168)&lt;3),"",IF(MIN(C168,F168)*D168&lt;=0,"",ROUND(K168/(MIN(C168,F168)*D168)*100,2)))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316" t="n"/>
      <c r="D169" s="317" t="n"/>
      <c r="E169" s="241">
        <f>IF(AND(ISNUMBER(C169),ISNUMBER(D169)),C169*D169,"")</f>
        <v/>
      </c>
      <c r="F169" s="316" t="n"/>
      <c r="G169" s="317" t="n"/>
      <c r="H169" s="241">
        <f>IF(AND(ISNUMBER(F169),ISNUMBER(G169)),F169*G169,"")</f>
        <v/>
      </c>
      <c r="I169" s="240">
        <f>IF(COUNT(C169,F169)=0,"",N(C169)-N(F169))</f>
        <v/>
      </c>
      <c r="J169" s="241">
        <f>IF(COUNT(E169,H169)=0,"",N(H169)-N(E169))</f>
        <v/>
      </c>
      <c r="K169" s="316" t="n"/>
      <c r="L169" s="177">
        <f>IF(OR(NOT(ISNUMBER(K169)),COUNT(C169,F169,D169)&lt;3),"",IF(MIN(C169,F169)*D169&lt;=0,"",ROUND(K169/(MIN(C169,F169)*D169)*100,2)))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321" t="n"/>
      <c r="D170" s="322" t="n"/>
      <c r="E170" s="247">
        <f>IF(AND(ISNUMBER(C170),ISNUMBER(D170)),C170*D170,"")</f>
        <v/>
      </c>
      <c r="F170" s="321" t="n"/>
      <c r="G170" s="322" t="n"/>
      <c r="H170" s="247">
        <f>IF(AND(ISNUMBER(F170),ISNUMBER(G170)),F170*G170,"")</f>
        <v/>
      </c>
      <c r="I170" s="246">
        <f>IF(COUNT(C170,F170)=0,"",N(C170)-N(F170))</f>
        <v/>
      </c>
      <c r="J170" s="247">
        <f>IF(COUNT(E170,H170)=0,"",N(H170)-N(E170))</f>
        <v/>
      </c>
      <c r="K170" s="321" t="n"/>
      <c r="L170" s="183">
        <f>IF(OR(NOT(ISNUMBER(K170)),COUNT(C170,F170,D170)&lt;3),"",IF(MIN(C170,F170)*D170&lt;=0,"",ROUND(K170/(MIN(C170,F170)*D170)*100,2)))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316" t="n"/>
      <c r="D171" s="317" t="n"/>
      <c r="E171" s="241">
        <f>IF(AND(ISNUMBER(C171),ISNUMBER(D171)),C171*D171,"")</f>
        <v/>
      </c>
      <c r="F171" s="316" t="n"/>
      <c r="G171" s="317" t="n"/>
      <c r="H171" s="241">
        <f>IF(AND(ISNUMBER(F171),ISNUMBER(G171)),F171*G171,"")</f>
        <v/>
      </c>
      <c r="I171" s="240">
        <f>IF(COUNT(C171,F171)=0,"",N(C171)-N(F171))</f>
        <v/>
      </c>
      <c r="J171" s="241">
        <f>IF(COUNT(E171,H171)=0,"",N(H171)-N(E171))</f>
        <v/>
      </c>
      <c r="K171" s="316" t="n"/>
      <c r="L171" s="177">
        <f>IF(OR(NOT(ISNUMBER(K171)),COUNT(C171,F171,D171)&lt;3),"",IF(MIN(C171,F171)*D171&lt;=0,"",ROUND(K171/(MIN(C171,F171)*D171)*100,2)))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321" t="n"/>
      <c r="D172" s="322" t="n"/>
      <c r="E172" s="247">
        <f>IF(AND(ISNUMBER(C172),ISNUMBER(D172)),C172*D172,"")</f>
        <v/>
      </c>
      <c r="F172" s="321" t="n"/>
      <c r="G172" s="322" t="n"/>
      <c r="H172" s="247">
        <f>IF(AND(ISNUMBER(F172),ISNUMBER(G172)),F172*G172,"")</f>
        <v/>
      </c>
      <c r="I172" s="246">
        <f>IF(COUNT(C172,F172)=0,"",N(C172)-N(F172))</f>
        <v/>
      </c>
      <c r="J172" s="247">
        <f>IF(COUNT(E172,H172)=0,"",N(H172)-N(E172))</f>
        <v/>
      </c>
      <c r="K172" s="321" t="n"/>
      <c r="L172" s="183">
        <f>IF(OR(NOT(ISNUMBER(K172)),COUNT(C172,F172,D172)&lt;3),"",IF(MIN(C172,F172)*D172&lt;=0,"",ROUND(K172/(MIN(C172,F172)*D172)*100,2)))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316" t="n"/>
      <c r="D173" s="317" t="n"/>
      <c r="E173" s="241">
        <f>IF(AND(ISNUMBER(C173),ISNUMBER(D173)),C173*D173,"")</f>
        <v/>
      </c>
      <c r="F173" s="316" t="n"/>
      <c r="G173" s="317" t="n"/>
      <c r="H173" s="241">
        <f>IF(AND(ISNUMBER(F173),ISNUMBER(G173)),F173*G173,"")</f>
        <v/>
      </c>
      <c r="I173" s="240">
        <f>IF(COUNT(C173,F173)=0,"",N(C173)-N(F173))</f>
        <v/>
      </c>
      <c r="J173" s="241">
        <f>IF(COUNT(E173,H173)=0,"",N(H173)-N(E173))</f>
        <v/>
      </c>
      <c r="K173" s="316" t="n"/>
      <c r="L173" s="177">
        <f>IF(OR(NOT(ISNUMBER(K173)),COUNT(C173,F173,D173)&lt;3),"",IF(MIN(C173,F173)*D173&lt;=0,"",ROUND(K173/(MIN(C173,F173)*D173)*100,2)))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321" t="n"/>
      <c r="D174" s="322" t="n"/>
      <c r="E174" s="247">
        <f>IF(AND(ISNUMBER(C174),ISNUMBER(D174)),C174*D174,"")</f>
        <v/>
      </c>
      <c r="F174" s="321" t="n"/>
      <c r="G174" s="322" t="n"/>
      <c r="H174" s="247">
        <f>IF(AND(ISNUMBER(F174),ISNUMBER(G174)),F174*G174,"")</f>
        <v/>
      </c>
      <c r="I174" s="246">
        <f>IF(COUNT(C174,F174)=0,"",N(C174)-N(F174))</f>
        <v/>
      </c>
      <c r="J174" s="247">
        <f>IF(COUNT(E174,H174)=0,"",N(H174)-N(E174))</f>
        <v/>
      </c>
      <c r="K174" s="321" t="n"/>
      <c r="L174" s="183">
        <f>IF(OR(NOT(ISNUMBER(K174)),COUNT(C174,F174,D174)&lt;3),"",IF(MIN(C174,F174)*D174&lt;=0,"",ROUND(K174/(MIN(C174,F174)*D174)*100,2)))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316" t="n"/>
      <c r="D175" s="317" t="n"/>
      <c r="E175" s="241">
        <f>IF(AND(ISNUMBER(C175),ISNUMBER(D175)),C175*D175,"")</f>
        <v/>
      </c>
      <c r="F175" s="316" t="n"/>
      <c r="G175" s="317" t="n"/>
      <c r="H175" s="241">
        <f>IF(AND(ISNUMBER(F175),ISNUMBER(G175)),F175*G175,"")</f>
        <v/>
      </c>
      <c r="I175" s="240">
        <f>IF(COUNT(C175,F175)=0,"",N(C175)-N(F175))</f>
        <v/>
      </c>
      <c r="J175" s="241">
        <f>IF(COUNT(E175,H175)=0,"",N(H175)-N(E175))</f>
        <v/>
      </c>
      <c r="K175" s="316" t="n"/>
      <c r="L175" s="177">
        <f>IF(OR(NOT(ISNUMBER(K175)),COUNT(C175,F175,D175)&lt;3),"",IF(MIN(C175,F175)*D175&lt;=0,"",ROUND(K175/(MIN(C175,F175)*D175)*100,2)))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321" t="n"/>
      <c r="D176" s="322" t="n"/>
      <c r="E176" s="247">
        <f>IF(AND(ISNUMBER(C176),ISNUMBER(D176)),C176*D176,"")</f>
        <v/>
      </c>
      <c r="F176" s="321" t="n"/>
      <c r="G176" s="322" t="n"/>
      <c r="H176" s="247">
        <f>IF(AND(ISNUMBER(F176),ISNUMBER(G176)),F176*G176,"")</f>
        <v/>
      </c>
      <c r="I176" s="246">
        <f>IF(COUNT(C176,F176)=0,"",N(C176)-N(F176))</f>
        <v/>
      </c>
      <c r="J176" s="247">
        <f>IF(COUNT(E176,H176)=0,"",N(H176)-N(E176))</f>
        <v/>
      </c>
      <c r="K176" s="321" t="n"/>
      <c r="L176" s="183">
        <f>IF(OR(NOT(ISNUMBER(K176)),COUNT(C176,F176,D176)&lt;3),"",IF(MIN(C176,F176)*D176&lt;=0,"",ROUND(K176/(MIN(C176,F176)*D176)*100,2)))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316" t="n"/>
      <c r="D177" s="317" t="n"/>
      <c r="E177" s="241">
        <f>IF(AND(ISNUMBER(C177),ISNUMBER(D177)),C177*D177,"")</f>
        <v/>
      </c>
      <c r="F177" s="316" t="n"/>
      <c r="G177" s="317" t="n"/>
      <c r="H177" s="241">
        <f>IF(AND(ISNUMBER(F177),ISNUMBER(G177)),F177*G177,"")</f>
        <v/>
      </c>
      <c r="I177" s="240">
        <f>IF(COUNT(C177,F177)=0,"",N(C177)-N(F177))</f>
        <v/>
      </c>
      <c r="J177" s="241">
        <f>IF(COUNT(E177,H177)=0,"",N(H177)-N(E177))</f>
        <v/>
      </c>
      <c r="K177" s="316" t="n"/>
      <c r="L177" s="177">
        <f>IF(OR(NOT(ISNUMBER(K177)),COUNT(C177,F177,D177)&lt;3),"",IF(MIN(C177,F177)*D177&lt;=0,"",ROUND(K177/(MIN(C177,F177)*D177)*100,2)))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321" t="n"/>
      <c r="D178" s="322" t="n"/>
      <c r="E178" s="247">
        <f>IF(AND(ISNUMBER(C178),ISNUMBER(D178)),C178*D178,"")</f>
        <v/>
      </c>
      <c r="F178" s="321" t="n"/>
      <c r="G178" s="322" t="n"/>
      <c r="H178" s="247">
        <f>IF(AND(ISNUMBER(F178),ISNUMBER(G178)),F178*G178,"")</f>
        <v/>
      </c>
      <c r="I178" s="246">
        <f>IF(COUNT(C178,F178)=0,"",N(C178)-N(F178))</f>
        <v/>
      </c>
      <c r="J178" s="247">
        <f>IF(COUNT(E178,H178)=0,"",N(H178)-N(E178))</f>
        <v/>
      </c>
      <c r="K178" s="321" t="n"/>
      <c r="L178" s="183">
        <f>IF(OR(NOT(ISNUMBER(K178)),COUNT(C178,F178,D178)&lt;3),"",IF(MIN(C178,F178)*D178&lt;=0,"",ROUND(K178/(MIN(C178,F178)*D178)*100,2)))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316" t="n"/>
      <c r="D179" s="317" t="n"/>
      <c r="E179" s="241">
        <f>IF(AND(ISNUMBER(C179),ISNUMBER(D179)),C179*D179,"")</f>
        <v/>
      </c>
      <c r="F179" s="316" t="n"/>
      <c r="G179" s="317" t="n"/>
      <c r="H179" s="241">
        <f>IF(AND(ISNUMBER(F179),ISNUMBER(G179)),F179*G179,"")</f>
        <v/>
      </c>
      <c r="I179" s="240">
        <f>IF(COUNT(C179,F179)=0,"",N(C179)-N(F179))</f>
        <v/>
      </c>
      <c r="J179" s="241">
        <f>IF(COUNT(E179,H179)=0,"",N(H179)-N(E179))</f>
        <v/>
      </c>
      <c r="K179" s="316" t="n"/>
      <c r="L179" s="177">
        <f>IF(OR(NOT(ISNUMBER(K179)),COUNT(C179,F179,D179)&lt;3),"",IF(MIN(C179,F179)*D179&lt;=0,"",ROUND(K179/(MIN(C179,F179)*D179)*100,2)))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321" t="n"/>
      <c r="D180" s="322" t="n"/>
      <c r="E180" s="247">
        <f>IF(AND(ISNUMBER(C180),ISNUMBER(D180)),C180*D180,"")</f>
        <v/>
      </c>
      <c r="F180" s="321" t="n"/>
      <c r="G180" s="322" t="n"/>
      <c r="H180" s="247">
        <f>IF(AND(ISNUMBER(F180),ISNUMBER(G180)),F180*G180,"")</f>
        <v/>
      </c>
      <c r="I180" s="246">
        <f>IF(COUNT(C180,F180)=0,"",N(C180)-N(F180))</f>
        <v/>
      </c>
      <c r="J180" s="247">
        <f>IF(COUNT(E180,H180)=0,"",N(H180)-N(E180))</f>
        <v/>
      </c>
      <c r="K180" s="321" t="n"/>
      <c r="L180" s="183">
        <f>IF(OR(NOT(ISNUMBER(K180)),COUNT(C180,F180,D180)&lt;3),"",IF(MIN(C180,F180)*D180&lt;=0,"",ROUND(K180/(MIN(C180,F180)*D180)*100,2)))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316" t="n"/>
      <c r="D181" s="317" t="n"/>
      <c r="E181" s="241">
        <f>IF(AND(ISNUMBER(C181),ISNUMBER(D181)),C181*D181,"")</f>
        <v/>
      </c>
      <c r="F181" s="316" t="n"/>
      <c r="G181" s="317" t="n"/>
      <c r="H181" s="241">
        <f>IF(AND(ISNUMBER(F181),ISNUMBER(G181)),F181*G181,"")</f>
        <v/>
      </c>
      <c r="I181" s="240">
        <f>IF(COUNT(C181,F181)=0,"",N(C181)-N(F181))</f>
        <v/>
      </c>
      <c r="J181" s="241">
        <f>IF(COUNT(E181,H181)=0,"",N(H181)-N(E181))</f>
        <v/>
      </c>
      <c r="K181" s="316" t="n"/>
      <c r="L181" s="177">
        <f>IF(OR(NOT(ISNUMBER(K181)),COUNT(C181,F181,D181)&lt;3),"",IF(MIN(C181,F181)*D181&lt;=0,"",ROUND(K181/(MIN(C181,F181)*D181)*100,2)))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321" t="n"/>
      <c r="D182" s="322" t="n"/>
      <c r="E182" s="247">
        <f>IF(AND(ISNUMBER(C182),ISNUMBER(D182)),C182*D182,"")</f>
        <v/>
      </c>
      <c r="F182" s="321" t="n"/>
      <c r="G182" s="322" t="n"/>
      <c r="H182" s="247">
        <f>IF(AND(ISNUMBER(F182),ISNUMBER(G182)),F182*G182,"")</f>
        <v/>
      </c>
      <c r="I182" s="246">
        <f>IF(COUNT(C182,F182)=0,"",N(C182)-N(F182))</f>
        <v/>
      </c>
      <c r="J182" s="247">
        <f>IF(COUNT(E182,H182)=0,"",N(H182)-N(E182))</f>
        <v/>
      </c>
      <c r="K182" s="321" t="n"/>
      <c r="L182" s="183">
        <f>IF(OR(NOT(ISNUMBER(K182)),COUNT(C182,F182,D182)&lt;3),"",IF(MIN(C182,F182)*D182&lt;=0,"",ROUND(K182/(MIN(C182,F182)*D182)*100,2)))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316" t="n"/>
      <c r="D183" s="317" t="n"/>
      <c r="E183" s="241">
        <f>IF(AND(ISNUMBER(C183),ISNUMBER(D183)),C183*D183,"")</f>
        <v/>
      </c>
      <c r="F183" s="316" t="n"/>
      <c r="G183" s="317" t="n"/>
      <c r="H183" s="241">
        <f>IF(AND(ISNUMBER(F183),ISNUMBER(G183)),F183*G183,"")</f>
        <v/>
      </c>
      <c r="I183" s="240">
        <f>IF(COUNT(C183,F183)=0,"",N(C183)-N(F183))</f>
        <v/>
      </c>
      <c r="J183" s="241">
        <f>IF(COUNT(E183,H183)=0,"",N(H183)-N(E183))</f>
        <v/>
      </c>
      <c r="K183" s="316" t="n"/>
      <c r="L183" s="177">
        <f>IF(OR(NOT(ISNUMBER(K183)),COUNT(C183,F183,D183)&lt;3),"",IF(MIN(C183,F183)*D183&lt;=0,"",ROUND(K183/(MIN(C183,F183)*D183)*100,2)))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321" t="n"/>
      <c r="D184" s="322" t="n"/>
      <c r="E184" s="247">
        <f>IF(AND(ISNUMBER(C184),ISNUMBER(D184)),C184*D184,"")</f>
        <v/>
      </c>
      <c r="F184" s="321" t="n"/>
      <c r="G184" s="322" t="n"/>
      <c r="H184" s="247">
        <f>IF(AND(ISNUMBER(F184),ISNUMBER(G184)),F184*G184,"")</f>
        <v/>
      </c>
      <c r="I184" s="246">
        <f>IF(COUNT(C184,F184)=0,"",N(C184)-N(F184))</f>
        <v/>
      </c>
      <c r="J184" s="247">
        <f>IF(COUNT(E184,H184)=0,"",N(H184)-N(E184))</f>
        <v/>
      </c>
      <c r="K184" s="321" t="n"/>
      <c r="L184" s="183">
        <f>IF(OR(NOT(ISNUMBER(K184)),COUNT(C184,F184,D184)&lt;3),"",IF(MIN(C184,F184)*D184&lt;=0,"",ROUND(K184/(MIN(C184,F184)*D184)*100,2)))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316" t="n"/>
      <c r="D185" s="317" t="n"/>
      <c r="E185" s="241">
        <f>IF(AND(ISNUMBER(C185),ISNUMBER(D185)),C185*D185,"")</f>
        <v/>
      </c>
      <c r="F185" s="316" t="n"/>
      <c r="G185" s="317" t="n"/>
      <c r="H185" s="241">
        <f>IF(AND(ISNUMBER(F185),ISNUMBER(G185)),F185*G185,"")</f>
        <v/>
      </c>
      <c r="I185" s="240">
        <f>IF(COUNT(C185,F185)=0,"",N(C185)-N(F185))</f>
        <v/>
      </c>
      <c r="J185" s="241">
        <f>IF(COUNT(E185,H185)=0,"",N(H185)-N(E185))</f>
        <v/>
      </c>
      <c r="K185" s="316" t="n"/>
      <c r="L185" s="177">
        <f>IF(OR(NOT(ISNUMBER(K185)),COUNT(C185,F185,D185)&lt;3),"",IF(MIN(C185,F185)*D185&lt;=0,"",ROUND(K185/(MIN(C185,F185)*D185)*100,2)))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321" t="n"/>
      <c r="D186" s="322" t="n"/>
      <c r="E186" s="247">
        <f>IF(AND(ISNUMBER(C186),ISNUMBER(D186)),C186*D186,"")</f>
        <v/>
      </c>
      <c r="F186" s="321" t="n"/>
      <c r="G186" s="322" t="n"/>
      <c r="H186" s="247">
        <f>IF(AND(ISNUMBER(F186),ISNUMBER(G186)),F186*G186,"")</f>
        <v/>
      </c>
      <c r="I186" s="246">
        <f>IF(COUNT(C186,F186)=0,"",N(C186)-N(F186))</f>
        <v/>
      </c>
      <c r="J186" s="247">
        <f>IF(COUNT(E186,H186)=0,"",N(H186)-N(E186))</f>
        <v/>
      </c>
      <c r="K186" s="321" t="n"/>
      <c r="L186" s="183">
        <f>IF(OR(NOT(ISNUMBER(K186)),COUNT(C186,F186,D186)&lt;3),"",IF(MIN(C186,F186)*D186&lt;=0,"",ROUND(K186/(MIN(C186,F186)*D186)*100,2)))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316" t="n"/>
      <c r="D187" s="317" t="n"/>
      <c r="E187" s="241">
        <f>IF(AND(ISNUMBER(C187),ISNUMBER(D187)),C187*D187,"")</f>
        <v/>
      </c>
      <c r="F187" s="316" t="n"/>
      <c r="G187" s="317" t="n"/>
      <c r="H187" s="241">
        <f>IF(AND(ISNUMBER(F187),ISNUMBER(G187)),F187*G187,"")</f>
        <v/>
      </c>
      <c r="I187" s="240">
        <f>IF(COUNT(C187,F187)=0,"",N(C187)-N(F187))</f>
        <v/>
      </c>
      <c r="J187" s="241">
        <f>IF(COUNT(E187,H187)=0,"",N(H187)-N(E187))</f>
        <v/>
      </c>
      <c r="K187" s="316" t="n"/>
      <c r="L187" s="177">
        <f>IF(OR(NOT(ISNUMBER(K187)),COUNT(C187,F187,D187)&lt;3),"",IF(MIN(C187,F187)*D187&lt;=0,"",ROUND(K187/(MIN(C187,F187)*D187)*100,2)))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321" t="n"/>
      <c r="D188" s="322" t="n"/>
      <c r="E188" s="247">
        <f>IF(AND(ISNUMBER(C188),ISNUMBER(D188)),C188*D188,"")</f>
        <v/>
      </c>
      <c r="F188" s="321" t="n"/>
      <c r="G188" s="322" t="n"/>
      <c r="H188" s="247">
        <f>IF(AND(ISNUMBER(F188),ISNUMBER(G188)),F188*G188,"")</f>
        <v/>
      </c>
      <c r="I188" s="246">
        <f>IF(COUNT(C188,F188)=0,"",N(C188)-N(F188))</f>
        <v/>
      </c>
      <c r="J188" s="247">
        <f>IF(COUNT(E188,H188)=0,"",N(H188)-N(E188))</f>
        <v/>
      </c>
      <c r="K188" s="321" t="n"/>
      <c r="L188" s="183">
        <f>IF(OR(NOT(ISNUMBER(K188)),COUNT(C188,F188,D188)&lt;3),"",IF(MIN(C188,F188)*D188&lt;=0,"",ROUND(K188/(MIN(C188,F188)*D188)*100,2)))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316" t="n"/>
      <c r="D189" s="317" t="n"/>
      <c r="E189" s="241">
        <f>IF(AND(ISNUMBER(C189),ISNUMBER(D189)),C189*D189,"")</f>
        <v/>
      </c>
      <c r="F189" s="316" t="n"/>
      <c r="G189" s="317" t="n"/>
      <c r="H189" s="241">
        <f>IF(AND(ISNUMBER(F189),ISNUMBER(G189)),F189*G189,"")</f>
        <v/>
      </c>
      <c r="I189" s="240">
        <f>IF(COUNT(C189,F189)=0,"",N(C189)-N(F189))</f>
        <v/>
      </c>
      <c r="J189" s="241">
        <f>IF(COUNT(E189,H189)=0,"",N(H189)-N(E189))</f>
        <v/>
      </c>
      <c r="K189" s="316" t="n"/>
      <c r="L189" s="177">
        <f>IF(OR(NOT(ISNUMBER(K189)),COUNT(C189,F189,D189)&lt;3),"",IF(MIN(C189,F189)*D189&lt;=0,"",ROUND(K189/(MIN(C189,F189)*D189)*100,2)))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321" t="n"/>
      <c r="D190" s="322" t="n"/>
      <c r="E190" s="247">
        <f>IF(AND(ISNUMBER(C190),ISNUMBER(D190)),C190*D190,"")</f>
        <v/>
      </c>
      <c r="F190" s="321" t="n"/>
      <c r="G190" s="322" t="n"/>
      <c r="H190" s="247">
        <f>IF(AND(ISNUMBER(F190),ISNUMBER(G190)),F190*G190,"")</f>
        <v/>
      </c>
      <c r="I190" s="246">
        <f>IF(COUNT(C190,F190)=0,"",N(C190)-N(F190))</f>
        <v/>
      </c>
      <c r="J190" s="247">
        <f>IF(COUNT(E190,H190)=0,"",N(H190)-N(E190))</f>
        <v/>
      </c>
      <c r="K190" s="321" t="n"/>
      <c r="L190" s="183">
        <f>IF(OR(NOT(ISNUMBER(K190)),COUNT(C190,F190,D190)&lt;3),"",IF(MIN(C190,F190)*D190&lt;=0,"",ROUND(K190/(MIN(C190,F190)*D190)*100,2)))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316" t="n"/>
      <c r="D191" s="317" t="n"/>
      <c r="E191" s="241">
        <f>IF(AND(ISNUMBER(C191),ISNUMBER(D191)),C191*D191,"")</f>
        <v/>
      </c>
      <c r="F191" s="316" t="n"/>
      <c r="G191" s="317" t="n"/>
      <c r="H191" s="241">
        <f>IF(AND(ISNUMBER(F191),ISNUMBER(G191)),F191*G191,"")</f>
        <v/>
      </c>
      <c r="I191" s="240">
        <f>IF(COUNT(C191,F191)=0,"",N(C191)-N(F191))</f>
        <v/>
      </c>
      <c r="J191" s="241">
        <f>IF(COUNT(E191,H191)=0,"",N(H191)-N(E191))</f>
        <v/>
      </c>
      <c r="K191" s="316" t="n"/>
      <c r="L191" s="177">
        <f>IF(OR(NOT(ISNUMBER(K191)),COUNT(C191,F191,D191)&lt;3),"",IF(MIN(C191,F191)*D191&lt;=0,"",ROUND(K191/(MIN(C191,F191)*D191)*100,2)))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321" t="n"/>
      <c r="D192" s="322" t="n"/>
      <c r="E192" s="247">
        <f>IF(AND(ISNUMBER(C192),ISNUMBER(D192)),C192*D192,"")</f>
        <v/>
      </c>
      <c r="F192" s="321" t="n"/>
      <c r="G192" s="322" t="n"/>
      <c r="H192" s="247">
        <f>IF(AND(ISNUMBER(F192),ISNUMBER(G192)),F192*G192,"")</f>
        <v/>
      </c>
      <c r="I192" s="246">
        <f>IF(COUNT(C192,F192)=0,"",N(C192)-N(F192))</f>
        <v/>
      </c>
      <c r="J192" s="247">
        <f>IF(COUNT(E192,H192)=0,"",N(H192)-N(E192))</f>
        <v/>
      </c>
      <c r="K192" s="321" t="n"/>
      <c r="L192" s="183">
        <f>IF(OR(NOT(ISNUMBER(K192)),COUNT(C192,F192,D192)&lt;3),"",IF(MIN(C192,F192)*D192&lt;=0,"",ROUND(K192/(MIN(C192,F192)*D192)*100,2)))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316" t="n"/>
      <c r="D193" s="317" t="n"/>
      <c r="E193" s="241">
        <f>IF(AND(ISNUMBER(C193),ISNUMBER(D193)),C193*D193,"")</f>
        <v/>
      </c>
      <c r="F193" s="316" t="n"/>
      <c r="G193" s="317" t="n"/>
      <c r="H193" s="241">
        <f>IF(AND(ISNUMBER(F193),ISNUMBER(G193)),F193*G193,"")</f>
        <v/>
      </c>
      <c r="I193" s="240">
        <f>IF(COUNT(C193,F193)=0,"",N(C193)-N(F193))</f>
        <v/>
      </c>
      <c r="J193" s="241">
        <f>IF(COUNT(E193,H193)=0,"",N(H193)-N(E193))</f>
        <v/>
      </c>
      <c r="K193" s="316" t="n"/>
      <c r="L193" s="177">
        <f>IF(OR(NOT(ISNUMBER(K193)),COUNT(C193,F193,D193)&lt;3),"",IF(MIN(C193,F193)*D193&lt;=0,"",ROUND(K193/(MIN(C193,F193)*D193)*100,2)))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321" t="n"/>
      <c r="D194" s="322" t="n"/>
      <c r="E194" s="247">
        <f>IF(AND(ISNUMBER(C194),ISNUMBER(D194)),C194*D194,"")</f>
        <v/>
      </c>
      <c r="F194" s="321" t="n"/>
      <c r="G194" s="322" t="n"/>
      <c r="H194" s="247">
        <f>IF(AND(ISNUMBER(F194),ISNUMBER(G194)),F194*G194,"")</f>
        <v/>
      </c>
      <c r="I194" s="246">
        <f>IF(COUNT(C194,F194)=0,"",N(C194)-N(F194))</f>
        <v/>
      </c>
      <c r="J194" s="247">
        <f>IF(COUNT(E194,H194)=0,"",N(H194)-N(E194))</f>
        <v/>
      </c>
      <c r="K194" s="321" t="n"/>
      <c r="L194" s="183">
        <f>IF(OR(NOT(ISNUMBER(K194)),COUNT(C194,F194,D194)&lt;3),"",IF(MIN(C194,F194)*D194&lt;=0,"",ROUND(K194/(MIN(C194,F194)*D194)*100,2)))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316" t="n"/>
      <c r="D195" s="317" t="n"/>
      <c r="E195" s="241">
        <f>IF(AND(ISNUMBER(C195),ISNUMBER(D195)),C195*D195,"")</f>
        <v/>
      </c>
      <c r="F195" s="316" t="n"/>
      <c r="G195" s="317" t="n"/>
      <c r="H195" s="241">
        <f>IF(AND(ISNUMBER(F195),ISNUMBER(G195)),F195*G195,"")</f>
        <v/>
      </c>
      <c r="I195" s="240">
        <f>IF(COUNT(C195,F195)=0,"",N(C195)-N(F195))</f>
        <v/>
      </c>
      <c r="J195" s="241">
        <f>IF(COUNT(E195,H195)=0,"",N(H195)-N(E195))</f>
        <v/>
      </c>
      <c r="K195" s="316" t="n"/>
      <c r="L195" s="177">
        <f>IF(OR(NOT(ISNUMBER(K195)),COUNT(C195,F195,D195)&lt;3),"",IF(MIN(C195,F195)*D195&lt;=0,"",ROUND(K195/(MIN(C195,F195)*D195)*100,2)))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321" t="n"/>
      <c r="D196" s="322" t="n"/>
      <c r="E196" s="247">
        <f>IF(AND(ISNUMBER(C196),ISNUMBER(D196)),C196*D196,"")</f>
        <v/>
      </c>
      <c r="F196" s="321" t="n"/>
      <c r="G196" s="322" t="n"/>
      <c r="H196" s="247">
        <f>IF(AND(ISNUMBER(F196),ISNUMBER(G196)),F196*G196,"")</f>
        <v/>
      </c>
      <c r="I196" s="246">
        <f>IF(COUNT(C196,F196)=0,"",N(C196)-N(F196))</f>
        <v/>
      </c>
      <c r="J196" s="247">
        <f>IF(COUNT(E196,H196)=0,"",N(H196)-N(E196))</f>
        <v/>
      </c>
      <c r="K196" s="321" t="n"/>
      <c r="L196" s="183">
        <f>IF(OR(NOT(ISNUMBER(K196)),COUNT(C196,F196,D196)&lt;3),"",IF(MIN(C196,F196)*D196&lt;=0,"",ROUND(K196/(MIN(C196,F196)*D196)*100,2)))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316" t="n"/>
      <c r="D197" s="317" t="n"/>
      <c r="E197" s="241">
        <f>IF(AND(ISNUMBER(C197),ISNUMBER(D197)),C197*D197,"")</f>
        <v/>
      </c>
      <c r="F197" s="316" t="n"/>
      <c r="G197" s="317" t="n"/>
      <c r="H197" s="241">
        <f>IF(AND(ISNUMBER(F197),ISNUMBER(G197)),F197*G197,"")</f>
        <v/>
      </c>
      <c r="I197" s="240">
        <f>IF(COUNT(C197,F197)=0,"",N(C197)-N(F197))</f>
        <v/>
      </c>
      <c r="J197" s="241">
        <f>IF(COUNT(E197,H197)=0,"",N(H197)-N(E197))</f>
        <v/>
      </c>
      <c r="K197" s="316" t="n"/>
      <c r="L197" s="177">
        <f>IF(OR(NOT(ISNUMBER(K197)),COUNT(C197,F197,D197)&lt;3),"",IF(MIN(C197,F197)*D197&lt;=0,"",ROUND(K197/(MIN(C197,F197)*D197)*100,2)))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321" t="n"/>
      <c r="D198" s="322" t="n"/>
      <c r="E198" s="247">
        <f>IF(AND(ISNUMBER(C198),ISNUMBER(D198)),C198*D198,"")</f>
        <v/>
      </c>
      <c r="F198" s="321" t="n"/>
      <c r="G198" s="322" t="n"/>
      <c r="H198" s="247">
        <f>IF(AND(ISNUMBER(F198),ISNUMBER(G198)),F198*G198,"")</f>
        <v/>
      </c>
      <c r="I198" s="246">
        <f>IF(COUNT(C198,F198)=0,"",N(C198)-N(F198))</f>
        <v/>
      </c>
      <c r="J198" s="247">
        <f>IF(COUNT(E198,H198)=0,"",N(H198)-N(E198))</f>
        <v/>
      </c>
      <c r="K198" s="321" t="n"/>
      <c r="L198" s="183">
        <f>IF(OR(NOT(ISNUMBER(K198)),COUNT(C198,F198,D198)&lt;3),"",IF(MIN(C198,F198)*D198&lt;=0,"",ROUND(K198/(MIN(C198,F198)*D198)*100,2)))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316" t="n"/>
      <c r="D199" s="317" t="n"/>
      <c r="E199" s="241">
        <f>IF(AND(ISNUMBER(C199),ISNUMBER(D199)),C199*D199,"")</f>
        <v/>
      </c>
      <c r="F199" s="316" t="n"/>
      <c r="G199" s="317" t="n"/>
      <c r="H199" s="241">
        <f>IF(AND(ISNUMBER(F199),ISNUMBER(G199)),F199*G199,"")</f>
        <v/>
      </c>
      <c r="I199" s="240">
        <f>IF(COUNT(C199,F199)=0,"",N(C199)-N(F199))</f>
        <v/>
      </c>
      <c r="J199" s="241">
        <f>IF(COUNT(E199,H199)=0,"",N(H199)-N(E199))</f>
        <v/>
      </c>
      <c r="K199" s="316" t="n"/>
      <c r="L199" s="177">
        <f>IF(OR(NOT(ISNUMBER(K199)),COUNT(C199,F199,D199)&lt;3),"",IF(MIN(C199,F199)*D199&lt;=0,"",ROUND(K199/(MIN(C199,F199)*D199)*100,2)))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321" t="n"/>
      <c r="D200" s="322" t="n"/>
      <c r="E200" s="247">
        <f>IF(AND(ISNUMBER(C200),ISNUMBER(D200)),C200*D200,"")</f>
        <v/>
      </c>
      <c r="F200" s="321" t="n"/>
      <c r="G200" s="322" t="n"/>
      <c r="H200" s="247">
        <f>IF(AND(ISNUMBER(F200),ISNUMBER(G200)),F200*G200,"")</f>
        <v/>
      </c>
      <c r="I200" s="246">
        <f>IF(COUNT(C200,F200)=0,"",N(C200)-N(F200))</f>
        <v/>
      </c>
      <c r="J200" s="247">
        <f>IF(COUNT(E200,H200)=0,"",N(H200)-N(E200))</f>
        <v/>
      </c>
      <c r="K200" s="321" t="n"/>
      <c r="L200" s="183">
        <f>IF(OR(NOT(ISNUMBER(K200)),COUNT(C200,F200,D200)&lt;3),"",IF(MIN(C200,F200)*D200&lt;=0,"",ROUND(K200/(MIN(C200,F200)*D200)*100,2)))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316" t="n"/>
      <c r="D201" s="317" t="n"/>
      <c r="E201" s="241">
        <f>IF(AND(ISNUMBER(C201),ISNUMBER(D201)),C201*D201,"")</f>
        <v/>
      </c>
      <c r="F201" s="316" t="n"/>
      <c r="G201" s="317" t="n"/>
      <c r="H201" s="241">
        <f>IF(AND(ISNUMBER(F201),ISNUMBER(G201)),F201*G201,"")</f>
        <v/>
      </c>
      <c r="I201" s="240">
        <f>IF(COUNT(C201,F201)=0,"",N(C201)-N(F201))</f>
        <v/>
      </c>
      <c r="J201" s="241">
        <f>IF(COUNT(E201,H201)=0,"",N(H201)-N(E201))</f>
        <v/>
      </c>
      <c r="K201" s="316" t="n"/>
      <c r="L201" s="177">
        <f>IF(OR(NOT(ISNUMBER(K201)),COUNT(C201,F201,D201)&lt;3),"",IF(MIN(C201,F201)*D201&lt;=0,"",ROUND(K201/(MIN(C201,F201)*D201)*100,2)))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321" t="n"/>
      <c r="D202" s="322" t="n"/>
      <c r="E202" s="247">
        <f>IF(AND(ISNUMBER(C202),ISNUMBER(D202)),C202*D202,"")</f>
        <v/>
      </c>
      <c r="F202" s="321" t="n"/>
      <c r="G202" s="322" t="n"/>
      <c r="H202" s="247">
        <f>IF(AND(ISNUMBER(F202),ISNUMBER(G202)),F202*G202,"")</f>
        <v/>
      </c>
      <c r="I202" s="246">
        <f>IF(COUNT(C202,F202)=0,"",N(C202)-N(F202))</f>
        <v/>
      </c>
      <c r="J202" s="247">
        <f>IF(COUNT(E202,H202)=0,"",N(H202)-N(E202))</f>
        <v/>
      </c>
      <c r="K202" s="321" t="n"/>
      <c r="L202" s="183">
        <f>IF(OR(NOT(ISNUMBER(K202)),COUNT(C202,F202,D202)&lt;3),"",IF(MIN(C202,F202)*D202&lt;=0,"",ROUND(K202/(MIN(C202,F202)*D202)*100,2)))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316" t="n"/>
      <c r="D203" s="317" t="n"/>
      <c r="E203" s="241">
        <f>IF(AND(ISNUMBER(C203),ISNUMBER(D203)),C203*D203,"")</f>
        <v/>
      </c>
      <c r="F203" s="316" t="n"/>
      <c r="G203" s="317" t="n"/>
      <c r="H203" s="241">
        <f>IF(AND(ISNUMBER(F203),ISNUMBER(G203)),F203*G203,"")</f>
        <v/>
      </c>
      <c r="I203" s="240">
        <f>IF(COUNT(C203,F203)=0,"",N(C203)-N(F203))</f>
        <v/>
      </c>
      <c r="J203" s="241">
        <f>IF(COUNT(E203,H203)=0,"",N(H203)-N(E203))</f>
        <v/>
      </c>
      <c r="K203" s="316" t="n"/>
      <c r="L203" s="177">
        <f>IF(OR(NOT(ISNUMBER(K203)),COUNT(C203,F203,D203)&lt;3),"",IF(MIN(C203,F203)*D203&lt;=0,"",ROUND(K203/(MIN(C203,F203)*D203)*100,2)))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321" t="n"/>
      <c r="D204" s="322" t="n"/>
      <c r="E204" s="247">
        <f>IF(AND(ISNUMBER(C204),ISNUMBER(D204)),C204*D204,"")</f>
        <v/>
      </c>
      <c r="F204" s="321" t="n"/>
      <c r="G204" s="322" t="n"/>
      <c r="H204" s="247">
        <f>IF(AND(ISNUMBER(F204),ISNUMBER(G204)),F204*G204,"")</f>
        <v/>
      </c>
      <c r="I204" s="246">
        <f>IF(COUNT(C204,F204)=0,"",N(C204)-N(F204))</f>
        <v/>
      </c>
      <c r="J204" s="247">
        <f>IF(COUNT(E204,H204)=0,"",N(H204)-N(E204))</f>
        <v/>
      </c>
      <c r="K204" s="321" t="n"/>
      <c r="L204" s="183">
        <f>IF(OR(NOT(ISNUMBER(K204)),COUNT(C204,F204,D204)&lt;3),"",IF(MIN(C204,F204)*D204&lt;=0,"",ROUND(K204/(MIN(C204,F204)*D204)*100,2)))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316" t="n"/>
      <c r="D205" s="317" t="n"/>
      <c r="E205" s="241">
        <f>IF(AND(ISNUMBER(C205),ISNUMBER(D205)),C205*D205,"")</f>
        <v/>
      </c>
      <c r="F205" s="316" t="n"/>
      <c r="G205" s="317" t="n"/>
      <c r="H205" s="241">
        <f>IF(AND(ISNUMBER(F205),ISNUMBER(G205)),F205*G205,"")</f>
        <v/>
      </c>
      <c r="I205" s="240">
        <f>IF(COUNT(C205,F205)=0,"",N(C205)-N(F205))</f>
        <v/>
      </c>
      <c r="J205" s="241">
        <f>IF(COUNT(E205,H205)=0,"",N(H205)-N(E205))</f>
        <v/>
      </c>
      <c r="K205" s="316" t="n"/>
      <c r="L205" s="177">
        <f>IF(OR(NOT(ISNUMBER(K205)),COUNT(C205,F205,D205)&lt;3),"",IF(MIN(C205,F205)*D205&lt;=0,"",ROUND(K205/(MIN(C205,F205)*D205)*100,2)))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321" t="n"/>
      <c r="D206" s="322" t="n"/>
      <c r="E206" s="247">
        <f>IF(AND(ISNUMBER(C206),ISNUMBER(D206)),C206*D206,"")</f>
        <v/>
      </c>
      <c r="F206" s="321" t="n"/>
      <c r="G206" s="322" t="n"/>
      <c r="H206" s="247">
        <f>IF(AND(ISNUMBER(F206),ISNUMBER(G206)),F206*G206,"")</f>
        <v/>
      </c>
      <c r="I206" s="246">
        <f>IF(COUNT(C206,F206)=0,"",N(C206)-N(F206))</f>
        <v/>
      </c>
      <c r="J206" s="247">
        <f>IF(COUNT(E206,H206)=0,"",N(H206)-N(E206))</f>
        <v/>
      </c>
      <c r="K206" s="321" t="n"/>
      <c r="L206" s="183">
        <f>IF(OR(NOT(ISNUMBER(K206)),COUNT(C206,F206,D206)&lt;3),"",IF(MIN(C206,F206)*D206&lt;=0,"",ROUND(K206/(MIN(C206,F206)*D206)*100,2)))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316" t="n"/>
      <c r="D207" s="317" t="n"/>
      <c r="E207" s="241">
        <f>IF(AND(ISNUMBER(C207),ISNUMBER(D207)),C207*D207,"")</f>
        <v/>
      </c>
      <c r="F207" s="316" t="n"/>
      <c r="G207" s="317" t="n"/>
      <c r="H207" s="241">
        <f>IF(AND(ISNUMBER(F207),ISNUMBER(G207)),F207*G207,"")</f>
        <v/>
      </c>
      <c r="I207" s="240">
        <f>IF(COUNT(C207,F207)=0,"",N(C207)-N(F207))</f>
        <v/>
      </c>
      <c r="J207" s="241">
        <f>IF(COUNT(E207,H207)=0,"",N(H207)-N(E207))</f>
        <v/>
      </c>
      <c r="K207" s="316" t="n"/>
      <c r="L207" s="177">
        <f>IF(OR(NOT(ISNUMBER(K207)),COUNT(C207,F207,D207)&lt;3),"",IF(MIN(C207,F207)*D207&lt;=0,"",ROUND(K207/(MIN(C207,F207)*D207)*100,2)))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321" t="n"/>
      <c r="D208" s="322" t="n"/>
      <c r="E208" s="247">
        <f>IF(AND(ISNUMBER(C208),ISNUMBER(D208)),C208*D208,"")</f>
        <v/>
      </c>
      <c r="F208" s="321" t="n"/>
      <c r="G208" s="322" t="n"/>
      <c r="H208" s="247">
        <f>IF(AND(ISNUMBER(F208),ISNUMBER(G208)),F208*G208,"")</f>
        <v/>
      </c>
      <c r="I208" s="246">
        <f>IF(COUNT(C208,F208)=0,"",N(C208)-N(F208))</f>
        <v/>
      </c>
      <c r="J208" s="247">
        <f>IF(COUNT(E208,H208)=0,"",N(H208)-N(E208))</f>
        <v/>
      </c>
      <c r="K208" s="321" t="n"/>
      <c r="L208" s="183">
        <f>IF(OR(NOT(ISNUMBER(K208)),COUNT(C208,F208,D208)&lt;3),"",IF(MIN(C208,F208)*D208&lt;=0,"",ROUND(K208/(MIN(C208,F208)*D208)*100,2)))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316" t="n"/>
      <c r="D209" s="317" t="n"/>
      <c r="E209" s="241">
        <f>IF(AND(ISNUMBER(C209),ISNUMBER(D209)),C209*D209,"")</f>
        <v/>
      </c>
      <c r="F209" s="316" t="n"/>
      <c r="G209" s="317" t="n"/>
      <c r="H209" s="241">
        <f>IF(AND(ISNUMBER(F209),ISNUMBER(G209)),F209*G209,"")</f>
        <v/>
      </c>
      <c r="I209" s="240">
        <f>IF(COUNT(C209,F209)=0,"",N(C209)-N(F209))</f>
        <v/>
      </c>
      <c r="J209" s="241">
        <f>IF(COUNT(E209,H209)=0,"",N(H209)-N(E209))</f>
        <v/>
      </c>
      <c r="K209" s="316" t="n"/>
      <c r="L209" s="177">
        <f>IF(OR(NOT(ISNUMBER(K209)),COUNT(C209,F209,D209)&lt;3),"",IF(MIN(C209,F209)*D209&lt;=0,"",ROUND(K209/(MIN(C209,F209)*D209)*100,2)))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321" t="n"/>
      <c r="D210" s="322" t="n"/>
      <c r="E210" s="247">
        <f>IF(AND(ISNUMBER(C210),ISNUMBER(D210)),C210*D210,"")</f>
        <v/>
      </c>
      <c r="F210" s="321" t="n"/>
      <c r="G210" s="322" t="n"/>
      <c r="H210" s="247">
        <f>IF(AND(ISNUMBER(F210),ISNUMBER(G210)),F210*G210,"")</f>
        <v/>
      </c>
      <c r="I210" s="246">
        <f>IF(COUNT(C210,F210)=0,"",N(C210)-N(F210))</f>
        <v/>
      </c>
      <c r="J210" s="247">
        <f>IF(COUNT(E210,H210)=0,"",N(H210)-N(E210))</f>
        <v/>
      </c>
      <c r="K210" s="321" t="n"/>
      <c r="L210" s="183">
        <f>IF(OR(NOT(ISNUMBER(K210)),COUNT(C210,F210,D210)&lt;3),"",IF(MIN(C210,F210)*D210&lt;=0,"",ROUND(K210/(MIN(C210,F210)*D210)*100,2)))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316" t="n"/>
      <c r="D211" s="317" t="n"/>
      <c r="E211" s="241">
        <f>IF(AND(ISNUMBER(C211),ISNUMBER(D211)),C211*D211,"")</f>
        <v/>
      </c>
      <c r="F211" s="316" t="n"/>
      <c r="G211" s="317" t="n"/>
      <c r="H211" s="241">
        <f>IF(AND(ISNUMBER(F211),ISNUMBER(G211)),F211*G211,"")</f>
        <v/>
      </c>
      <c r="I211" s="240">
        <f>IF(COUNT(C211,F211)=0,"",N(C211)-N(F211))</f>
        <v/>
      </c>
      <c r="J211" s="241">
        <f>IF(COUNT(E211,H211)=0,"",N(H211)-N(E211))</f>
        <v/>
      </c>
      <c r="K211" s="316" t="n"/>
      <c r="L211" s="177">
        <f>IF(OR(NOT(ISNUMBER(K211)),COUNT(C211,F211,D211)&lt;3),"",IF(MIN(C211,F211)*D211&lt;=0,"",ROUND(K211/(MIN(C211,F211)*D211)*100,2)))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321" t="n"/>
      <c r="D212" s="322" t="n"/>
      <c r="E212" s="247">
        <f>IF(AND(ISNUMBER(C212),ISNUMBER(D212)),C212*D212,"")</f>
        <v/>
      </c>
      <c r="F212" s="321" t="n"/>
      <c r="G212" s="322" t="n"/>
      <c r="H212" s="247">
        <f>IF(AND(ISNUMBER(F212),ISNUMBER(G212)),F212*G212,"")</f>
        <v/>
      </c>
      <c r="I212" s="246">
        <f>IF(COUNT(C212,F212)=0,"",N(C212)-N(F212))</f>
        <v/>
      </c>
      <c r="J212" s="247">
        <f>IF(COUNT(E212,H212)=0,"",N(H212)-N(E212))</f>
        <v/>
      </c>
      <c r="K212" s="321" t="n"/>
      <c r="L212" s="183">
        <f>IF(OR(NOT(ISNUMBER(K212)),COUNT(C212,F212,D212)&lt;3),"",IF(MIN(C212,F212)*D212&lt;=0,"",ROUND(K212/(MIN(C212,F212)*D212)*100,2)))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316" t="n"/>
      <c r="D213" s="317" t="n"/>
      <c r="E213" s="241">
        <f>IF(AND(ISNUMBER(C213),ISNUMBER(D213)),C213*D213,"")</f>
        <v/>
      </c>
      <c r="F213" s="316" t="n"/>
      <c r="G213" s="317" t="n"/>
      <c r="H213" s="241">
        <f>IF(AND(ISNUMBER(F213),ISNUMBER(G213)),F213*G213,"")</f>
        <v/>
      </c>
      <c r="I213" s="240">
        <f>IF(COUNT(C213,F213)=0,"",N(C213)-N(F213))</f>
        <v/>
      </c>
      <c r="J213" s="241">
        <f>IF(COUNT(E213,H213)=0,"",N(H213)-N(E213))</f>
        <v/>
      </c>
      <c r="K213" s="316" t="n"/>
      <c r="L213" s="177">
        <f>IF(OR(NOT(ISNUMBER(K213)),COUNT(C213,F213,D213)&lt;3),"",IF(MIN(C213,F213)*D213&lt;=0,"",ROUND(K213/(MIN(C213,F213)*D213)*100,2)))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321" t="n"/>
      <c r="D214" s="322" t="n"/>
      <c r="E214" s="247">
        <f>IF(AND(ISNUMBER(C214),ISNUMBER(D214)),C214*D214,"")</f>
        <v/>
      </c>
      <c r="F214" s="321" t="n"/>
      <c r="G214" s="322" t="n"/>
      <c r="H214" s="247">
        <f>IF(AND(ISNUMBER(F214),ISNUMBER(G214)),F214*G214,"")</f>
        <v/>
      </c>
      <c r="I214" s="246">
        <f>IF(COUNT(C214,F214)=0,"",N(C214)-N(F214))</f>
        <v/>
      </c>
      <c r="J214" s="247">
        <f>IF(COUNT(E214,H214)=0,"",N(H214)-N(E214))</f>
        <v/>
      </c>
      <c r="K214" s="321" t="n"/>
      <c r="L214" s="183">
        <f>IF(OR(NOT(ISNUMBER(K214)),COUNT(C214,F214,D214)&lt;3),"",IF(MIN(C214,F214)*D214&lt;=0,"",ROUND(K214/(MIN(C214,F214)*D214)*100,2)))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316" t="n"/>
      <c r="D215" s="317" t="n"/>
      <c r="E215" s="241">
        <f>IF(AND(ISNUMBER(C215),ISNUMBER(D215)),C215*D215,"")</f>
        <v/>
      </c>
      <c r="F215" s="316" t="n"/>
      <c r="G215" s="317" t="n"/>
      <c r="H215" s="241">
        <f>IF(AND(ISNUMBER(F215),ISNUMBER(G215)),F215*G215,"")</f>
        <v/>
      </c>
      <c r="I215" s="240">
        <f>IF(COUNT(C215,F215)=0,"",N(C215)-N(F215))</f>
        <v/>
      </c>
      <c r="J215" s="241">
        <f>IF(COUNT(E215,H215)=0,"",N(H215)-N(E215))</f>
        <v/>
      </c>
      <c r="K215" s="316" t="n"/>
      <c r="L215" s="177">
        <f>IF(OR(NOT(ISNUMBER(K215)),COUNT(C215,F215,D215)&lt;3),"",IF(MIN(C215,F215)*D215&lt;=0,"",ROUND(K215/(MIN(C215,F215)*D215)*100,2)))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321" t="n"/>
      <c r="D216" s="322" t="n"/>
      <c r="E216" s="247">
        <f>IF(AND(ISNUMBER(C216),ISNUMBER(D216)),C216*D216,"")</f>
        <v/>
      </c>
      <c r="F216" s="321" t="n"/>
      <c r="G216" s="322" t="n"/>
      <c r="H216" s="247">
        <f>IF(AND(ISNUMBER(F216),ISNUMBER(G216)),F216*G216,"")</f>
        <v/>
      </c>
      <c r="I216" s="246">
        <f>IF(COUNT(C216,F216)=0,"",N(C216)-N(F216))</f>
        <v/>
      </c>
      <c r="J216" s="247">
        <f>IF(COUNT(E216,H216)=0,"",N(H216)-N(E216))</f>
        <v/>
      </c>
      <c r="K216" s="321" t="n"/>
      <c r="L216" s="183">
        <f>IF(OR(NOT(ISNUMBER(K216)),COUNT(C216,F216,D216)&lt;3),"",IF(MIN(C216,F216)*D216&lt;=0,"",ROUND(K216/(MIN(C216,F216)*D216)*100,2)))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316" t="n"/>
      <c r="D217" s="317" t="n"/>
      <c r="E217" s="241">
        <f>IF(AND(ISNUMBER(C217),ISNUMBER(D217)),C217*D217,"")</f>
        <v/>
      </c>
      <c r="F217" s="316" t="n"/>
      <c r="G217" s="317" t="n"/>
      <c r="H217" s="241">
        <f>IF(AND(ISNUMBER(F217),ISNUMBER(G217)),F217*G217,"")</f>
        <v/>
      </c>
      <c r="I217" s="240">
        <f>IF(COUNT(C217,F217)=0,"",N(C217)-N(F217))</f>
        <v/>
      </c>
      <c r="J217" s="241">
        <f>IF(COUNT(E217,H217)=0,"",N(H217)-N(E217))</f>
        <v/>
      </c>
      <c r="K217" s="316" t="n"/>
      <c r="L217" s="177">
        <f>IF(OR(NOT(ISNUMBER(K217)),COUNT(C217,F217,D217)&lt;3),"",IF(MIN(C217,F217)*D217&lt;=0,"",ROUND(K217/(MIN(C217,F217)*D217)*100,2)))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321" t="n"/>
      <c r="D218" s="322" t="n"/>
      <c r="E218" s="247">
        <f>IF(AND(ISNUMBER(C218),ISNUMBER(D218)),C218*D218,"")</f>
        <v/>
      </c>
      <c r="F218" s="321" t="n"/>
      <c r="G218" s="322" t="n"/>
      <c r="H218" s="247">
        <f>IF(AND(ISNUMBER(F218),ISNUMBER(G218)),F218*G218,"")</f>
        <v/>
      </c>
      <c r="I218" s="246">
        <f>IF(COUNT(C218,F218)=0,"",N(C218)-N(F218))</f>
        <v/>
      </c>
      <c r="J218" s="247">
        <f>IF(COUNT(E218,H218)=0,"",N(H218)-N(E218))</f>
        <v/>
      </c>
      <c r="K218" s="321" t="n"/>
      <c r="L218" s="183">
        <f>IF(OR(NOT(ISNUMBER(K218)),COUNT(C218,F218,D218)&lt;3),"",IF(MIN(C218,F218)*D218&lt;=0,"",ROUND(K218/(MIN(C218,F218)*D218)*100,2)))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316" t="n"/>
      <c r="D219" s="317" t="n"/>
      <c r="E219" s="241">
        <f>IF(AND(ISNUMBER(C219),ISNUMBER(D219)),C219*D219,"")</f>
        <v/>
      </c>
      <c r="F219" s="316" t="n"/>
      <c r="G219" s="317" t="n"/>
      <c r="H219" s="241">
        <f>IF(AND(ISNUMBER(F219),ISNUMBER(G219)),F219*G219,"")</f>
        <v/>
      </c>
      <c r="I219" s="240">
        <f>IF(COUNT(C219,F219)=0,"",N(C219)-N(F219))</f>
        <v/>
      </c>
      <c r="J219" s="241">
        <f>IF(COUNT(E219,H219)=0,"",N(H219)-N(E219))</f>
        <v/>
      </c>
      <c r="K219" s="316" t="n"/>
      <c r="L219" s="177">
        <f>IF(OR(NOT(ISNUMBER(K219)),COUNT(C219,F219,D219)&lt;3),"",IF(MIN(C219,F219)*D219&lt;=0,"",ROUND(K219/(MIN(C219,F219)*D219)*100,2)))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321" t="n"/>
      <c r="D220" s="322" t="n"/>
      <c r="E220" s="247">
        <f>IF(AND(ISNUMBER(C220),ISNUMBER(D220)),C220*D220,"")</f>
        <v/>
      </c>
      <c r="F220" s="321" t="n"/>
      <c r="G220" s="322" t="n"/>
      <c r="H220" s="247">
        <f>IF(AND(ISNUMBER(F220),ISNUMBER(G220)),F220*G220,"")</f>
        <v/>
      </c>
      <c r="I220" s="246">
        <f>IF(COUNT(C220,F220)=0,"",N(C220)-N(F220))</f>
        <v/>
      </c>
      <c r="J220" s="247">
        <f>IF(COUNT(E220,H220)=0,"",N(H220)-N(E220))</f>
        <v/>
      </c>
      <c r="K220" s="321" t="n"/>
      <c r="L220" s="183">
        <f>IF(OR(NOT(ISNUMBER(K220)),COUNT(C220,F220,D220)&lt;3),"",IF(MIN(C220,F220)*D220&lt;=0,"",ROUND(K220/(MIN(C220,F220)*D220)*100,2)))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316" t="n"/>
      <c r="D221" s="317" t="n"/>
      <c r="E221" s="241">
        <f>IF(AND(ISNUMBER(C221),ISNUMBER(D221)),C221*D221,"")</f>
        <v/>
      </c>
      <c r="F221" s="316" t="n"/>
      <c r="G221" s="317" t="n"/>
      <c r="H221" s="241">
        <f>IF(AND(ISNUMBER(F221),ISNUMBER(G221)),F221*G221,"")</f>
        <v/>
      </c>
      <c r="I221" s="240">
        <f>IF(COUNT(C221,F221)=0,"",N(C221)-N(F221))</f>
        <v/>
      </c>
      <c r="J221" s="241">
        <f>IF(COUNT(E221,H221)=0,"",N(H221)-N(E221))</f>
        <v/>
      </c>
      <c r="K221" s="316" t="n"/>
      <c r="L221" s="177">
        <f>IF(OR(NOT(ISNUMBER(K221)),COUNT(C221,F221,D221)&lt;3),"",IF(MIN(C221,F221)*D221&lt;=0,"",ROUND(K221/(MIN(C221,F221)*D221)*100,2)))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321" t="n"/>
      <c r="D222" s="322" t="n"/>
      <c r="E222" s="247">
        <f>IF(AND(ISNUMBER(C222),ISNUMBER(D222)),C222*D222,"")</f>
        <v/>
      </c>
      <c r="F222" s="321" t="n"/>
      <c r="G222" s="322" t="n"/>
      <c r="H222" s="247">
        <f>IF(AND(ISNUMBER(F222),ISNUMBER(G222)),F222*G222,"")</f>
        <v/>
      </c>
      <c r="I222" s="246">
        <f>IF(COUNT(C222,F222)=0,"",N(C222)-N(F222))</f>
        <v/>
      </c>
      <c r="J222" s="247">
        <f>IF(COUNT(E222,H222)=0,"",N(H222)-N(E222))</f>
        <v/>
      </c>
      <c r="K222" s="321" t="n"/>
      <c r="L222" s="183">
        <f>IF(OR(NOT(ISNUMBER(K222)),COUNT(C222,F222,D222)&lt;3),"",IF(MIN(C222,F222)*D222&lt;=0,"",ROUND(K222/(MIN(C222,F222)*D222)*100,2)))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316" t="n"/>
      <c r="D223" s="317" t="n"/>
      <c r="E223" s="241">
        <f>IF(AND(ISNUMBER(C223),ISNUMBER(D223)),C223*D223,"")</f>
        <v/>
      </c>
      <c r="F223" s="316" t="n"/>
      <c r="G223" s="317" t="n"/>
      <c r="H223" s="241">
        <f>IF(AND(ISNUMBER(F223),ISNUMBER(G223)),F223*G223,"")</f>
        <v/>
      </c>
      <c r="I223" s="240">
        <f>IF(COUNT(C223,F223)=0,"",N(C223)-N(F223))</f>
        <v/>
      </c>
      <c r="J223" s="241">
        <f>IF(COUNT(E223,H223)=0,"",N(H223)-N(E223))</f>
        <v/>
      </c>
      <c r="K223" s="316" t="n"/>
      <c r="L223" s="177">
        <f>IF(OR(NOT(ISNUMBER(K223)),COUNT(C223,F223,D223)&lt;3),"",IF(MIN(C223,F223)*D223&lt;=0,"",ROUND(K223/(MIN(C223,F223)*D223)*100,2)))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321" t="n"/>
      <c r="D224" s="322" t="n"/>
      <c r="E224" s="247">
        <f>IF(AND(ISNUMBER(C224),ISNUMBER(D224)),C224*D224,"")</f>
        <v/>
      </c>
      <c r="F224" s="321" t="n"/>
      <c r="G224" s="322" t="n"/>
      <c r="H224" s="247">
        <f>IF(AND(ISNUMBER(F224),ISNUMBER(G224)),F224*G224,"")</f>
        <v/>
      </c>
      <c r="I224" s="246">
        <f>IF(COUNT(C224,F224)=0,"",N(C224)-N(F224))</f>
        <v/>
      </c>
      <c r="J224" s="247">
        <f>IF(COUNT(E224,H224)=0,"",N(H224)-N(E224))</f>
        <v/>
      </c>
      <c r="K224" s="321" t="n"/>
      <c r="L224" s="183">
        <f>IF(OR(NOT(ISNUMBER(K224)),COUNT(C224,F224,D224)&lt;3),"",IF(MIN(C224,F224)*D224&lt;=0,"",ROUND(K224/(MIN(C224,F224)*D224)*100,2)))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316" t="n"/>
      <c r="D225" s="317" t="n"/>
      <c r="E225" s="241">
        <f>IF(AND(ISNUMBER(C225),ISNUMBER(D225)),C225*D225,"")</f>
        <v/>
      </c>
      <c r="F225" s="316" t="n"/>
      <c r="G225" s="317" t="n"/>
      <c r="H225" s="241">
        <f>IF(AND(ISNUMBER(F225),ISNUMBER(G225)),F225*G225,"")</f>
        <v/>
      </c>
      <c r="I225" s="240">
        <f>IF(COUNT(C225,F225)=0,"",N(C225)-N(F225))</f>
        <v/>
      </c>
      <c r="J225" s="241">
        <f>IF(COUNT(E225,H225)=0,"",N(H225)-N(E225))</f>
        <v/>
      </c>
      <c r="K225" s="316" t="n"/>
      <c r="L225" s="177">
        <f>IF(OR(NOT(ISNUMBER(K225)),COUNT(C225,F225,D225)&lt;3),"",IF(MIN(C225,F225)*D225&lt;=0,"",ROUND(K225/(MIN(C225,F225)*D225)*100,2)))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321" t="n"/>
      <c r="D226" s="322" t="n"/>
      <c r="E226" s="247">
        <f>IF(AND(ISNUMBER(C226),ISNUMBER(D226)),C226*D226,"")</f>
        <v/>
      </c>
      <c r="F226" s="321" t="n"/>
      <c r="G226" s="322" t="n"/>
      <c r="H226" s="247">
        <f>IF(AND(ISNUMBER(F226),ISNUMBER(G226)),F226*G226,"")</f>
        <v/>
      </c>
      <c r="I226" s="246">
        <f>IF(COUNT(C226,F226)=0,"",N(C226)-N(F226))</f>
        <v/>
      </c>
      <c r="J226" s="247">
        <f>IF(COUNT(E226,H226)=0,"",N(H226)-N(E226))</f>
        <v/>
      </c>
      <c r="K226" s="321" t="n"/>
      <c r="L226" s="183">
        <f>IF(OR(NOT(ISNUMBER(K226)),COUNT(C226,F226,D226)&lt;3),"",IF(MIN(C226,F226)*D226&lt;=0,"",ROUND(K226/(MIN(C226,F226)*D226)*100,2)))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316" t="n"/>
      <c r="D227" s="317" t="n"/>
      <c r="E227" s="241">
        <f>IF(AND(ISNUMBER(C227),ISNUMBER(D227)),C227*D227,"")</f>
        <v/>
      </c>
      <c r="F227" s="316" t="n"/>
      <c r="G227" s="317" t="n"/>
      <c r="H227" s="241">
        <f>IF(AND(ISNUMBER(F227),ISNUMBER(G227)),F227*G227,"")</f>
        <v/>
      </c>
      <c r="I227" s="240">
        <f>IF(COUNT(C227,F227)=0,"",N(C227)-N(F227))</f>
        <v/>
      </c>
      <c r="J227" s="241">
        <f>IF(COUNT(E227,H227)=0,"",N(H227)-N(E227))</f>
        <v/>
      </c>
      <c r="K227" s="316" t="n"/>
      <c r="L227" s="177">
        <f>IF(OR(NOT(ISNUMBER(K227)),COUNT(C227,F227,D227)&lt;3),"",IF(MIN(C227,F227)*D227&lt;=0,"",ROUND(K227/(MIN(C227,F227)*D227)*100,2)))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321" t="n"/>
      <c r="D228" s="322" t="n"/>
      <c r="E228" s="247">
        <f>IF(AND(ISNUMBER(C228),ISNUMBER(D228)),C228*D228,"")</f>
        <v/>
      </c>
      <c r="F228" s="321" t="n"/>
      <c r="G228" s="322" t="n"/>
      <c r="H228" s="247">
        <f>IF(AND(ISNUMBER(F228),ISNUMBER(G228)),F228*G228,"")</f>
        <v/>
      </c>
      <c r="I228" s="246">
        <f>IF(COUNT(C228,F228)=0,"",N(C228)-N(F228))</f>
        <v/>
      </c>
      <c r="J228" s="247">
        <f>IF(COUNT(E228,H228)=0,"",N(H228)-N(E228))</f>
        <v/>
      </c>
      <c r="K228" s="321" t="n"/>
      <c r="L228" s="183">
        <f>IF(OR(NOT(ISNUMBER(K228)),COUNT(C228,F228,D228)&lt;3),"",IF(MIN(C228,F228)*D228&lt;=0,"",ROUND(K228/(MIN(C228,F228)*D228)*100,2)))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316" t="n"/>
      <c r="D229" s="317" t="n"/>
      <c r="E229" s="241">
        <f>IF(AND(ISNUMBER(C229),ISNUMBER(D229)),C229*D229,"")</f>
        <v/>
      </c>
      <c r="F229" s="316" t="n"/>
      <c r="G229" s="317" t="n"/>
      <c r="H229" s="241">
        <f>IF(AND(ISNUMBER(F229),ISNUMBER(G229)),F229*G229,"")</f>
        <v/>
      </c>
      <c r="I229" s="240">
        <f>IF(COUNT(C229,F229)=0,"",N(C229)-N(F229))</f>
        <v/>
      </c>
      <c r="J229" s="241">
        <f>IF(COUNT(E229,H229)=0,"",N(H229)-N(E229))</f>
        <v/>
      </c>
      <c r="K229" s="316" t="n"/>
      <c r="L229" s="177">
        <f>IF(OR(NOT(ISNUMBER(K229)),COUNT(C229,F229,D229)&lt;3),"",IF(MIN(C229,F229)*D229&lt;=0,"",ROUND(K229/(MIN(C229,F229)*D229)*100,2)))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321" t="n"/>
      <c r="D230" s="322" t="n"/>
      <c r="E230" s="247">
        <f>IF(AND(ISNUMBER(C230),ISNUMBER(D230)),C230*D230,"")</f>
        <v/>
      </c>
      <c r="F230" s="321" t="n"/>
      <c r="G230" s="322" t="n"/>
      <c r="H230" s="247">
        <f>IF(AND(ISNUMBER(F230),ISNUMBER(G230)),F230*G230,"")</f>
        <v/>
      </c>
      <c r="I230" s="246">
        <f>IF(COUNT(C230,F230)=0,"",N(C230)-N(F230))</f>
        <v/>
      </c>
      <c r="J230" s="247">
        <f>IF(COUNT(E230,H230)=0,"",N(H230)-N(E230))</f>
        <v/>
      </c>
      <c r="K230" s="321" t="n"/>
      <c r="L230" s="183">
        <f>IF(OR(NOT(ISNUMBER(K230)),COUNT(C230,F230,D230)&lt;3),"",IF(MIN(C230,F230)*D230&lt;=0,"",ROUND(K230/(MIN(C230,F230)*D230)*100,2)))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316" t="n"/>
      <c r="D231" s="317" t="n"/>
      <c r="E231" s="241">
        <f>IF(AND(ISNUMBER(C231),ISNUMBER(D231)),C231*D231,"")</f>
        <v/>
      </c>
      <c r="F231" s="316" t="n"/>
      <c r="G231" s="317" t="n"/>
      <c r="H231" s="241">
        <f>IF(AND(ISNUMBER(F231),ISNUMBER(G231)),F231*G231,"")</f>
        <v/>
      </c>
      <c r="I231" s="240">
        <f>IF(COUNT(C231,F231)=0,"",N(C231)-N(F231))</f>
        <v/>
      </c>
      <c r="J231" s="241">
        <f>IF(COUNT(E231,H231)=0,"",N(H231)-N(E231))</f>
        <v/>
      </c>
      <c r="K231" s="316" t="n"/>
      <c r="L231" s="177">
        <f>IF(OR(NOT(ISNUMBER(K231)),COUNT(C231,F231,D231)&lt;3),"",IF(MIN(C231,F231)*D231&lt;=0,"",ROUND(K231/(MIN(C231,F231)*D231)*100,2)))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321" t="n"/>
      <c r="D232" s="322" t="n"/>
      <c r="E232" s="247">
        <f>IF(AND(ISNUMBER(C232),ISNUMBER(D232)),C232*D232,"")</f>
        <v/>
      </c>
      <c r="F232" s="321" t="n"/>
      <c r="G232" s="322" t="n"/>
      <c r="H232" s="247">
        <f>IF(AND(ISNUMBER(F232),ISNUMBER(G232)),F232*G232,"")</f>
        <v/>
      </c>
      <c r="I232" s="246">
        <f>IF(COUNT(C232,F232)=0,"",N(C232)-N(F232))</f>
        <v/>
      </c>
      <c r="J232" s="247">
        <f>IF(COUNT(E232,H232)=0,"",N(H232)-N(E232))</f>
        <v/>
      </c>
      <c r="K232" s="321" t="n"/>
      <c r="L232" s="183">
        <f>IF(OR(NOT(ISNUMBER(K232)),COUNT(C232,F232,D232)&lt;3),"",IF(MIN(C232,F232)*D232&lt;=0,"",ROUND(K232/(MIN(C232,F232)*D232)*100,2)))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316" t="n"/>
      <c r="D233" s="317" t="n"/>
      <c r="E233" s="241">
        <f>IF(AND(ISNUMBER(C233),ISNUMBER(D233)),C233*D233,"")</f>
        <v/>
      </c>
      <c r="F233" s="316" t="n"/>
      <c r="G233" s="317" t="n"/>
      <c r="H233" s="241">
        <f>IF(AND(ISNUMBER(F233),ISNUMBER(G233)),F233*G233,"")</f>
        <v/>
      </c>
      <c r="I233" s="240">
        <f>IF(COUNT(C233,F233)=0,"",N(C233)-N(F233))</f>
        <v/>
      </c>
      <c r="J233" s="241">
        <f>IF(COUNT(E233,H233)=0,"",N(H233)-N(E233))</f>
        <v/>
      </c>
      <c r="K233" s="316" t="n"/>
      <c r="L233" s="177">
        <f>IF(OR(NOT(ISNUMBER(K233)),COUNT(C233,F233,D233)&lt;3),"",IF(MIN(C233,F233)*D233&lt;=0,"",ROUND(K233/(MIN(C233,F233)*D233)*100,2)))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321" t="n"/>
      <c r="D234" s="322" t="n"/>
      <c r="E234" s="247">
        <f>IF(AND(ISNUMBER(C234),ISNUMBER(D234)),C234*D234,"")</f>
        <v/>
      </c>
      <c r="F234" s="321" t="n"/>
      <c r="G234" s="322" t="n"/>
      <c r="H234" s="247">
        <f>IF(AND(ISNUMBER(F234),ISNUMBER(G234)),F234*G234,"")</f>
        <v/>
      </c>
      <c r="I234" s="246">
        <f>IF(COUNT(C234,F234)=0,"",N(C234)-N(F234))</f>
        <v/>
      </c>
      <c r="J234" s="247">
        <f>IF(COUNT(E234,H234)=0,"",N(H234)-N(E234))</f>
        <v/>
      </c>
      <c r="K234" s="321" t="n"/>
      <c r="L234" s="183">
        <f>IF(OR(NOT(ISNUMBER(K234)),COUNT(C234,F234,D234)&lt;3),"",IF(MIN(C234,F234)*D234&lt;=0,"",ROUND(K234/(MIN(C234,F234)*D234)*100,2)))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316" t="n"/>
      <c r="D235" s="317" t="n"/>
      <c r="E235" s="241">
        <f>IF(AND(ISNUMBER(C235),ISNUMBER(D235)),C235*D235,"")</f>
        <v/>
      </c>
      <c r="F235" s="316" t="n"/>
      <c r="G235" s="317" t="n"/>
      <c r="H235" s="241">
        <f>IF(AND(ISNUMBER(F235),ISNUMBER(G235)),F235*G235,"")</f>
        <v/>
      </c>
      <c r="I235" s="240">
        <f>IF(COUNT(C235,F235)=0,"",N(C235)-N(F235))</f>
        <v/>
      </c>
      <c r="J235" s="241">
        <f>IF(COUNT(E235,H235)=0,"",N(H235)-N(E235))</f>
        <v/>
      </c>
      <c r="K235" s="316" t="n"/>
      <c r="L235" s="177">
        <f>IF(OR(NOT(ISNUMBER(K235)),COUNT(C235,F235,D235)&lt;3),"",IF(MIN(C235,F235)*D235&lt;=0,"",ROUND(K235/(MIN(C235,F235)*D235)*100,2)))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321" t="n"/>
      <c r="D236" s="322" t="n"/>
      <c r="E236" s="247">
        <f>IF(AND(ISNUMBER(C236),ISNUMBER(D236)),C236*D236,"")</f>
        <v/>
      </c>
      <c r="F236" s="321" t="n"/>
      <c r="G236" s="322" t="n"/>
      <c r="H236" s="247">
        <f>IF(AND(ISNUMBER(F236),ISNUMBER(G236)),F236*G236,"")</f>
        <v/>
      </c>
      <c r="I236" s="246">
        <f>IF(COUNT(C236,F236)=0,"",N(C236)-N(F236))</f>
        <v/>
      </c>
      <c r="J236" s="247">
        <f>IF(COUNT(E236,H236)=0,"",N(H236)-N(E236))</f>
        <v/>
      </c>
      <c r="K236" s="321" t="n"/>
      <c r="L236" s="183">
        <f>IF(OR(NOT(ISNUMBER(K236)),COUNT(C236,F236,D236)&lt;3),"",IF(MIN(C236,F236)*D236&lt;=0,"",ROUND(K236/(MIN(C236,F236)*D236)*100,2)))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316" t="n"/>
      <c r="D237" s="317" t="n"/>
      <c r="E237" s="241">
        <f>IF(AND(ISNUMBER(C237),ISNUMBER(D237)),C237*D237,"")</f>
        <v/>
      </c>
      <c r="F237" s="316" t="n"/>
      <c r="G237" s="317" t="n"/>
      <c r="H237" s="241">
        <f>IF(AND(ISNUMBER(F237),ISNUMBER(G237)),F237*G237,"")</f>
        <v/>
      </c>
      <c r="I237" s="240">
        <f>IF(COUNT(C237,F237)=0,"",N(C237)-N(F237))</f>
        <v/>
      </c>
      <c r="J237" s="241">
        <f>IF(COUNT(E237,H237)=0,"",N(H237)-N(E237))</f>
        <v/>
      </c>
      <c r="K237" s="316" t="n"/>
      <c r="L237" s="177">
        <f>IF(OR(NOT(ISNUMBER(K237)),COUNT(C237,F237,D237)&lt;3),"",IF(MIN(C237,F237)*D237&lt;=0,"",ROUND(K237/(MIN(C237,F237)*D237)*100,2)))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321" t="n"/>
      <c r="D238" s="322" t="n"/>
      <c r="E238" s="247">
        <f>IF(AND(ISNUMBER(C238),ISNUMBER(D238)),C238*D238,"")</f>
        <v/>
      </c>
      <c r="F238" s="321" t="n"/>
      <c r="G238" s="322" t="n"/>
      <c r="H238" s="247">
        <f>IF(AND(ISNUMBER(F238),ISNUMBER(G238)),F238*G238,"")</f>
        <v/>
      </c>
      <c r="I238" s="246">
        <f>IF(COUNT(C238,F238)=0,"",N(C238)-N(F238))</f>
        <v/>
      </c>
      <c r="J238" s="247">
        <f>IF(COUNT(E238,H238)=0,"",N(H238)-N(E238))</f>
        <v/>
      </c>
      <c r="K238" s="321" t="n"/>
      <c r="L238" s="183">
        <f>IF(OR(NOT(ISNUMBER(K238)),COUNT(C238,F238,D238)&lt;3),"",IF(MIN(C238,F238)*D238&lt;=0,"",ROUND(K238/(MIN(C238,F238)*D238)*100,2)))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316" t="n"/>
      <c r="D239" s="317" t="n"/>
      <c r="E239" s="241">
        <f>IF(AND(ISNUMBER(C239),ISNUMBER(D239)),C239*D239,"")</f>
        <v/>
      </c>
      <c r="F239" s="316" t="n"/>
      <c r="G239" s="317" t="n"/>
      <c r="H239" s="241">
        <f>IF(AND(ISNUMBER(F239),ISNUMBER(G239)),F239*G239,"")</f>
        <v/>
      </c>
      <c r="I239" s="240">
        <f>IF(COUNT(C239,F239)=0,"",N(C239)-N(F239))</f>
        <v/>
      </c>
      <c r="J239" s="241">
        <f>IF(COUNT(E239,H239)=0,"",N(H239)-N(E239))</f>
        <v/>
      </c>
      <c r="K239" s="316" t="n"/>
      <c r="L239" s="177">
        <f>IF(OR(NOT(ISNUMBER(K239)),COUNT(C239,F239,D239)&lt;3),"",IF(MIN(C239,F239)*D239&lt;=0,"",ROUND(K239/(MIN(C239,F239)*D239)*100,2)))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321" t="n"/>
      <c r="D240" s="322" t="n"/>
      <c r="E240" s="247">
        <f>IF(AND(ISNUMBER(C240),ISNUMBER(D240)),C240*D240,"")</f>
        <v/>
      </c>
      <c r="F240" s="321" t="n"/>
      <c r="G240" s="322" t="n"/>
      <c r="H240" s="247">
        <f>IF(AND(ISNUMBER(F240),ISNUMBER(G240)),F240*G240,"")</f>
        <v/>
      </c>
      <c r="I240" s="246">
        <f>IF(COUNT(C240,F240)=0,"",N(C240)-N(F240))</f>
        <v/>
      </c>
      <c r="J240" s="247">
        <f>IF(COUNT(E240,H240)=0,"",N(H240)-N(E240))</f>
        <v/>
      </c>
      <c r="K240" s="321" t="n"/>
      <c r="L240" s="183">
        <f>IF(OR(NOT(ISNUMBER(K240)),COUNT(C240,F240,D240)&lt;3),"",IF(MIN(C240,F240)*D240&lt;=0,"",ROUND(K240/(MIN(C240,F240)*D240)*100,2)))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316" t="n"/>
      <c r="D241" s="317" t="n"/>
      <c r="E241" s="241">
        <f>IF(AND(ISNUMBER(C241),ISNUMBER(D241)),C241*D241,"")</f>
        <v/>
      </c>
      <c r="F241" s="316" t="n"/>
      <c r="G241" s="317" t="n"/>
      <c r="H241" s="241">
        <f>IF(AND(ISNUMBER(F241),ISNUMBER(G241)),F241*G241,"")</f>
        <v/>
      </c>
      <c r="I241" s="240">
        <f>IF(COUNT(C241,F241)=0,"",N(C241)-N(F241))</f>
        <v/>
      </c>
      <c r="J241" s="241">
        <f>IF(COUNT(E241,H241)=0,"",N(H241)-N(E241))</f>
        <v/>
      </c>
      <c r="K241" s="316" t="n"/>
      <c r="L241" s="177">
        <f>IF(OR(NOT(ISNUMBER(K241)),COUNT(C241,F241,D241)&lt;3),"",IF(MIN(C241,F241)*D241&lt;=0,"",ROUND(K241/(MIN(C241,F241)*D241)*100,2)))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321" t="n"/>
      <c r="D242" s="322" t="n"/>
      <c r="E242" s="247">
        <f>IF(AND(ISNUMBER(C242),ISNUMBER(D242)),C242*D242,"")</f>
        <v/>
      </c>
      <c r="F242" s="321" t="n"/>
      <c r="G242" s="322" t="n"/>
      <c r="H242" s="247">
        <f>IF(AND(ISNUMBER(F242),ISNUMBER(G242)),F242*G242,"")</f>
        <v/>
      </c>
      <c r="I242" s="246">
        <f>IF(COUNT(C242,F242)=0,"",N(C242)-N(F242))</f>
        <v/>
      </c>
      <c r="J242" s="247">
        <f>IF(COUNT(E242,H242)=0,"",N(H242)-N(E242))</f>
        <v/>
      </c>
      <c r="K242" s="321" t="n"/>
      <c r="L242" s="183">
        <f>IF(OR(NOT(ISNUMBER(K242)),COUNT(C242,F242,D242)&lt;3),"",IF(MIN(C242,F242)*D242&lt;=0,"",ROUND(K242/(MIN(C242,F242)*D242)*100,2)))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316" t="n"/>
      <c r="D243" s="317" t="n"/>
      <c r="E243" s="241">
        <f>IF(AND(ISNUMBER(C243),ISNUMBER(D243)),C243*D243,"")</f>
        <v/>
      </c>
      <c r="F243" s="316" t="n"/>
      <c r="G243" s="317" t="n"/>
      <c r="H243" s="241">
        <f>IF(AND(ISNUMBER(F243),ISNUMBER(G243)),F243*G243,"")</f>
        <v/>
      </c>
      <c r="I243" s="240">
        <f>IF(COUNT(C243,F243)=0,"",N(C243)-N(F243))</f>
        <v/>
      </c>
      <c r="J243" s="241">
        <f>IF(COUNT(E243,H243)=0,"",N(H243)-N(E243))</f>
        <v/>
      </c>
      <c r="K243" s="316" t="n"/>
      <c r="L243" s="177">
        <f>IF(OR(NOT(ISNUMBER(K243)),COUNT(C243,F243,D243)&lt;3),"",IF(MIN(C243,F243)*D243&lt;=0,"",ROUND(K243/(MIN(C243,F243)*D243)*100,2)))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321" t="n"/>
      <c r="D244" s="322" t="n"/>
      <c r="E244" s="247">
        <f>IF(AND(ISNUMBER(C244),ISNUMBER(D244)),C244*D244,"")</f>
        <v/>
      </c>
      <c r="F244" s="321" t="n"/>
      <c r="G244" s="322" t="n"/>
      <c r="H244" s="247">
        <f>IF(AND(ISNUMBER(F244),ISNUMBER(G244)),F244*G244,"")</f>
        <v/>
      </c>
      <c r="I244" s="246">
        <f>IF(COUNT(C244,F244)=0,"",N(C244)-N(F244))</f>
        <v/>
      </c>
      <c r="J244" s="247">
        <f>IF(COUNT(E244,H244)=0,"",N(H244)-N(E244))</f>
        <v/>
      </c>
      <c r="K244" s="321" t="n"/>
      <c r="L244" s="183">
        <f>IF(OR(NOT(ISNUMBER(K244)),COUNT(C244,F244,D244)&lt;3),"",IF(MIN(C244,F244)*D244&lt;=0,"",ROUND(K244/(MIN(C244,F244)*D244)*100,2)))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316" t="n"/>
      <c r="D245" s="317" t="n"/>
      <c r="E245" s="241">
        <f>IF(AND(ISNUMBER(C245),ISNUMBER(D245)),C245*D245,"")</f>
        <v/>
      </c>
      <c r="F245" s="316" t="n"/>
      <c r="G245" s="317" t="n"/>
      <c r="H245" s="241">
        <f>IF(AND(ISNUMBER(F245),ISNUMBER(G245)),F245*G245,"")</f>
        <v/>
      </c>
      <c r="I245" s="240">
        <f>IF(COUNT(C245,F245)=0,"",N(C245)-N(F245))</f>
        <v/>
      </c>
      <c r="J245" s="241">
        <f>IF(COUNT(E245,H245)=0,"",N(H245)-N(E245))</f>
        <v/>
      </c>
      <c r="K245" s="316" t="n"/>
      <c r="L245" s="177">
        <f>IF(OR(NOT(ISNUMBER(K245)),COUNT(C245,F245,D245)&lt;3),"",IF(MIN(C245,F245)*D245&lt;=0,"",ROUND(K245/(MIN(C245,F245)*D245)*100,2)))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321" t="n"/>
      <c r="D246" s="322" t="n"/>
      <c r="E246" s="247">
        <f>IF(AND(ISNUMBER(C246),ISNUMBER(D246)),C246*D246,"")</f>
        <v/>
      </c>
      <c r="F246" s="321" t="n"/>
      <c r="G246" s="322" t="n"/>
      <c r="H246" s="247">
        <f>IF(AND(ISNUMBER(F246),ISNUMBER(G246)),F246*G246,"")</f>
        <v/>
      </c>
      <c r="I246" s="246">
        <f>IF(COUNT(C246,F246)=0,"",N(C246)-N(F246))</f>
        <v/>
      </c>
      <c r="J246" s="247">
        <f>IF(COUNT(E246,H246)=0,"",N(H246)-N(E246))</f>
        <v/>
      </c>
      <c r="K246" s="321" t="n"/>
      <c r="L246" s="183">
        <f>IF(OR(NOT(ISNUMBER(K246)),COUNT(C246,F246,D246)&lt;3),"",IF(MIN(C246,F246)*D246&lt;=0,"",ROUND(K246/(MIN(C246,F246)*D246)*100,2)))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316" t="n"/>
      <c r="D247" s="317" t="n"/>
      <c r="E247" s="241">
        <f>IF(AND(ISNUMBER(C247),ISNUMBER(D247)),C247*D247,"")</f>
        <v/>
      </c>
      <c r="F247" s="316" t="n"/>
      <c r="G247" s="317" t="n"/>
      <c r="H247" s="241">
        <f>IF(AND(ISNUMBER(F247),ISNUMBER(G247)),F247*G247,"")</f>
        <v/>
      </c>
      <c r="I247" s="240">
        <f>IF(COUNT(C247,F247)=0,"",N(C247)-N(F247))</f>
        <v/>
      </c>
      <c r="J247" s="241">
        <f>IF(COUNT(E247,H247)=0,"",N(H247)-N(E247))</f>
        <v/>
      </c>
      <c r="K247" s="316" t="n"/>
      <c r="L247" s="177">
        <f>IF(OR(NOT(ISNUMBER(K247)),COUNT(C247,F247,D247)&lt;3),"",IF(MIN(C247,F247)*D247&lt;=0,"",ROUND(K247/(MIN(C247,F247)*D247)*100,2)))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321" t="n"/>
      <c r="D248" s="322" t="n"/>
      <c r="E248" s="247">
        <f>IF(AND(ISNUMBER(C248),ISNUMBER(D248)),C248*D248,"")</f>
        <v/>
      </c>
      <c r="F248" s="321" t="n"/>
      <c r="G248" s="322" t="n"/>
      <c r="H248" s="247">
        <f>IF(AND(ISNUMBER(F248),ISNUMBER(G248)),F248*G248,"")</f>
        <v/>
      </c>
      <c r="I248" s="246">
        <f>IF(COUNT(C248,F248)=0,"",N(C248)-N(F248))</f>
        <v/>
      </c>
      <c r="J248" s="247">
        <f>IF(COUNT(E248,H248)=0,"",N(H248)-N(E248))</f>
        <v/>
      </c>
      <c r="K248" s="321" t="n"/>
      <c r="L248" s="183">
        <f>IF(OR(NOT(ISNUMBER(K248)),COUNT(C248,F248,D248)&lt;3),"",IF(MIN(C248,F248)*D248&lt;=0,"",ROUND(K248/(MIN(C248,F248)*D248)*100,2)))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316" t="n"/>
      <c r="D249" s="317" t="n"/>
      <c r="E249" s="241">
        <f>IF(AND(ISNUMBER(C249),ISNUMBER(D249)),C249*D249,"")</f>
        <v/>
      </c>
      <c r="F249" s="316" t="n"/>
      <c r="G249" s="317" t="n"/>
      <c r="H249" s="241">
        <f>IF(AND(ISNUMBER(F249),ISNUMBER(G249)),F249*G249,"")</f>
        <v/>
      </c>
      <c r="I249" s="240">
        <f>IF(COUNT(C249,F249)=0,"",N(C249)-N(F249))</f>
        <v/>
      </c>
      <c r="J249" s="241">
        <f>IF(COUNT(E249,H249)=0,"",N(H249)-N(E249))</f>
        <v/>
      </c>
      <c r="K249" s="316" t="n"/>
      <c r="L249" s="177">
        <f>IF(OR(NOT(ISNUMBER(K249)),COUNT(C249,F249,D249)&lt;3),"",IF(MIN(C249,F249)*D249&lt;=0,"",ROUND(K249/(MIN(C249,F249)*D249)*100,2)))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321" t="n"/>
      <c r="D250" s="322" t="n"/>
      <c r="E250" s="247">
        <f>IF(AND(ISNUMBER(C250),ISNUMBER(D250)),C250*D250,"")</f>
        <v/>
      </c>
      <c r="F250" s="321" t="n"/>
      <c r="G250" s="322" t="n"/>
      <c r="H250" s="247">
        <f>IF(AND(ISNUMBER(F250),ISNUMBER(G250)),F250*G250,"")</f>
        <v/>
      </c>
      <c r="I250" s="246">
        <f>IF(COUNT(C250,F250)=0,"",N(C250)-N(F250))</f>
        <v/>
      </c>
      <c r="J250" s="247">
        <f>IF(COUNT(E250,H250)=0,"",N(H250)-N(E250))</f>
        <v/>
      </c>
      <c r="K250" s="321" t="n"/>
      <c r="L250" s="183">
        <f>IF(OR(NOT(ISNUMBER(K250)),COUNT(C250,F250,D250)&lt;3),"",IF(MIN(C250,F250)*D250&lt;=0,"",ROUND(K250/(MIN(C250,F250)*D250)*100,2)))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316" t="n"/>
      <c r="D251" s="317" t="n"/>
      <c r="E251" s="241">
        <f>IF(AND(ISNUMBER(C251),ISNUMBER(D251)),C251*D251,"")</f>
        <v/>
      </c>
      <c r="F251" s="316" t="n"/>
      <c r="G251" s="317" t="n"/>
      <c r="H251" s="241">
        <f>IF(AND(ISNUMBER(F251),ISNUMBER(G251)),F251*G251,"")</f>
        <v/>
      </c>
      <c r="I251" s="240">
        <f>IF(COUNT(C251,F251)=0,"",N(C251)-N(F251))</f>
        <v/>
      </c>
      <c r="J251" s="241">
        <f>IF(COUNT(E251,H251)=0,"",N(H251)-N(E251))</f>
        <v/>
      </c>
      <c r="K251" s="316" t="n"/>
      <c r="L251" s="177">
        <f>IF(OR(NOT(ISNUMBER(K251)),COUNT(C251,F251,D251)&lt;3),"",IF(MIN(C251,F251)*D251&lt;=0,"",ROUND(K251/(MIN(C251,F251)*D251)*100,2)))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321" t="n"/>
      <c r="D252" s="322" t="n"/>
      <c r="E252" s="247">
        <f>IF(AND(ISNUMBER(C252),ISNUMBER(D252)),C252*D252,"")</f>
        <v/>
      </c>
      <c r="F252" s="321" t="n"/>
      <c r="G252" s="322" t="n"/>
      <c r="H252" s="247">
        <f>IF(AND(ISNUMBER(F252),ISNUMBER(G252)),F252*G252,"")</f>
        <v/>
      </c>
      <c r="I252" s="246">
        <f>IF(COUNT(C252,F252)=0,"",N(C252)-N(F252))</f>
        <v/>
      </c>
      <c r="J252" s="247">
        <f>IF(COUNT(E252,H252)=0,"",N(H252)-N(E252))</f>
        <v/>
      </c>
      <c r="K252" s="321" t="n"/>
      <c r="L252" s="183">
        <f>IF(OR(NOT(ISNUMBER(K252)),COUNT(C252,F252,D252)&lt;3),"",IF(MIN(C252,F252)*D252&lt;=0,"",ROUND(K252/(MIN(C252,F252)*D252)*100,2)))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316" t="n"/>
      <c r="D253" s="317" t="n"/>
      <c r="E253" s="241">
        <f>IF(AND(ISNUMBER(C253),ISNUMBER(D253)),C253*D253,"")</f>
        <v/>
      </c>
      <c r="F253" s="316" t="n"/>
      <c r="G253" s="317" t="n"/>
      <c r="H253" s="241">
        <f>IF(AND(ISNUMBER(F253),ISNUMBER(G253)),F253*G253,"")</f>
        <v/>
      </c>
      <c r="I253" s="240">
        <f>IF(COUNT(C253,F253)=0,"",N(C253)-N(F253))</f>
        <v/>
      </c>
      <c r="J253" s="241">
        <f>IF(COUNT(E253,H253)=0,"",N(H253)-N(E253))</f>
        <v/>
      </c>
      <c r="K253" s="316" t="n"/>
      <c r="L253" s="177">
        <f>IF(OR(NOT(ISNUMBER(K253)),COUNT(C253,F253,D253)&lt;3),"",IF(MIN(C253,F253)*D253&lt;=0,"",ROUND(K253/(MIN(C253,F253)*D253)*100,2)))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321" t="n"/>
      <c r="D254" s="322" t="n"/>
      <c r="E254" s="247">
        <f>IF(AND(ISNUMBER(C254),ISNUMBER(D254)),C254*D254,"")</f>
        <v/>
      </c>
      <c r="F254" s="321" t="n"/>
      <c r="G254" s="322" t="n"/>
      <c r="H254" s="247">
        <f>IF(AND(ISNUMBER(F254),ISNUMBER(G254)),F254*G254,"")</f>
        <v/>
      </c>
      <c r="I254" s="246">
        <f>IF(COUNT(C254,F254)=0,"",N(C254)-N(F254))</f>
        <v/>
      </c>
      <c r="J254" s="247">
        <f>IF(COUNT(E254,H254)=0,"",N(H254)-N(E254))</f>
        <v/>
      </c>
      <c r="K254" s="321" t="n"/>
      <c r="L254" s="183">
        <f>IF(OR(NOT(ISNUMBER(K254)),COUNT(C254,F254,D254)&lt;3),"",IF(MIN(C254,F254)*D254&lt;=0,"",ROUND(K254/(MIN(C254,F254)*D254)*100,2)))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316" t="n"/>
      <c r="D255" s="317" t="n"/>
      <c r="E255" s="241">
        <f>IF(AND(ISNUMBER(C255),ISNUMBER(D255)),C255*D255,"")</f>
        <v/>
      </c>
      <c r="F255" s="316" t="n"/>
      <c r="G255" s="317" t="n"/>
      <c r="H255" s="241">
        <f>IF(AND(ISNUMBER(F255),ISNUMBER(G255)),F255*G255,"")</f>
        <v/>
      </c>
      <c r="I255" s="240">
        <f>IF(COUNT(C255,F255)=0,"",N(C255)-N(F255))</f>
        <v/>
      </c>
      <c r="J255" s="241">
        <f>IF(COUNT(E255,H255)=0,"",N(H255)-N(E255))</f>
        <v/>
      </c>
      <c r="K255" s="316" t="n"/>
      <c r="L255" s="177">
        <f>IF(OR(NOT(ISNUMBER(K255)),COUNT(C255,F255,D255)&lt;3),"",IF(MIN(C255,F255)*D255&lt;=0,"",ROUND(K255/(MIN(C255,F255)*D255)*100,2)))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321" t="n"/>
      <c r="D256" s="322" t="n"/>
      <c r="E256" s="247">
        <f>IF(AND(ISNUMBER(C256),ISNUMBER(D256)),C256*D256,"")</f>
        <v/>
      </c>
      <c r="F256" s="321" t="n"/>
      <c r="G256" s="322" t="n"/>
      <c r="H256" s="247">
        <f>IF(AND(ISNUMBER(F256),ISNUMBER(G256)),F256*G256,"")</f>
        <v/>
      </c>
      <c r="I256" s="246">
        <f>IF(COUNT(C256,F256)=0,"",N(C256)-N(F256))</f>
        <v/>
      </c>
      <c r="J256" s="247">
        <f>IF(COUNT(E256,H256)=0,"",N(H256)-N(E256))</f>
        <v/>
      </c>
      <c r="K256" s="321" t="n"/>
      <c r="L256" s="183">
        <f>IF(OR(NOT(ISNUMBER(K256)),COUNT(C256,F256,D256)&lt;3),"",IF(MIN(C256,F256)*D256&lt;=0,"",ROUND(K256/(MIN(C256,F256)*D256)*100,2)))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316" t="n"/>
      <c r="D257" s="317" t="n"/>
      <c r="E257" s="241">
        <f>IF(AND(ISNUMBER(C257),ISNUMBER(D257)),C257*D257,"")</f>
        <v/>
      </c>
      <c r="F257" s="316" t="n"/>
      <c r="G257" s="317" t="n"/>
      <c r="H257" s="241">
        <f>IF(AND(ISNUMBER(F257),ISNUMBER(G257)),F257*G257,"")</f>
        <v/>
      </c>
      <c r="I257" s="240">
        <f>IF(COUNT(C257,F257)=0,"",N(C257)-N(F257))</f>
        <v/>
      </c>
      <c r="J257" s="241">
        <f>IF(COUNT(E257,H257)=0,"",N(H257)-N(E257))</f>
        <v/>
      </c>
      <c r="K257" s="316" t="n"/>
      <c r="L257" s="177">
        <f>IF(OR(NOT(ISNUMBER(K257)),COUNT(C257,F257,D257)&lt;3),"",IF(MIN(C257,F257)*D257&lt;=0,"",ROUND(K257/(MIN(C257,F257)*D257)*100,2)))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321" t="n"/>
      <c r="D258" s="322" t="n"/>
      <c r="E258" s="247">
        <f>IF(AND(ISNUMBER(C258),ISNUMBER(D258)),C258*D258,"")</f>
        <v/>
      </c>
      <c r="F258" s="321" t="n"/>
      <c r="G258" s="322" t="n"/>
      <c r="H258" s="247">
        <f>IF(AND(ISNUMBER(F258),ISNUMBER(G258)),F258*G258,"")</f>
        <v/>
      </c>
      <c r="I258" s="246">
        <f>IF(COUNT(C258,F258)=0,"",N(C258)-N(F258))</f>
        <v/>
      </c>
      <c r="J258" s="247">
        <f>IF(COUNT(E258,H258)=0,"",N(H258)-N(E258))</f>
        <v/>
      </c>
      <c r="K258" s="321" t="n"/>
      <c r="L258" s="183">
        <f>IF(OR(NOT(ISNUMBER(K258)),COUNT(C258,F258,D258)&lt;3),"",IF(MIN(C258,F258)*D258&lt;=0,"",ROUND(K258/(MIN(C258,F258)*D258)*100,2)))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316" t="n"/>
      <c r="D259" s="317" t="n"/>
      <c r="E259" s="241">
        <f>IF(AND(ISNUMBER(C259),ISNUMBER(D259)),C259*D259,"")</f>
        <v/>
      </c>
      <c r="F259" s="316" t="n"/>
      <c r="G259" s="317" t="n"/>
      <c r="H259" s="241">
        <f>IF(AND(ISNUMBER(F259),ISNUMBER(G259)),F259*G259,"")</f>
        <v/>
      </c>
      <c r="I259" s="240">
        <f>IF(COUNT(C259,F259)=0,"",N(C259)-N(F259))</f>
        <v/>
      </c>
      <c r="J259" s="241">
        <f>IF(COUNT(E259,H259)=0,"",N(H259)-N(E259))</f>
        <v/>
      </c>
      <c r="K259" s="316" t="n"/>
      <c r="L259" s="177">
        <f>IF(OR(NOT(ISNUMBER(K259)),COUNT(C259,F259,D259)&lt;3),"",IF(MIN(C259,F259)*D259&lt;=0,"",ROUND(K259/(MIN(C259,F259)*D259)*100,2)))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321" t="n"/>
      <c r="D260" s="322" t="n"/>
      <c r="E260" s="247">
        <f>IF(AND(ISNUMBER(C260),ISNUMBER(D260)),C260*D260,"")</f>
        <v/>
      </c>
      <c r="F260" s="321" t="n"/>
      <c r="G260" s="322" t="n"/>
      <c r="H260" s="247">
        <f>IF(AND(ISNUMBER(F260),ISNUMBER(G260)),F260*G260,"")</f>
        <v/>
      </c>
      <c r="I260" s="246">
        <f>IF(COUNT(C260,F260)=0,"",N(C260)-N(F260))</f>
        <v/>
      </c>
      <c r="J260" s="247">
        <f>IF(COUNT(E260,H260)=0,"",N(H260)-N(E260))</f>
        <v/>
      </c>
      <c r="K260" s="321" t="n"/>
      <c r="L260" s="183">
        <f>IF(OR(NOT(ISNUMBER(K260)),COUNT(C260,F260,D260)&lt;3),"",IF(MIN(C260,F260)*D260&lt;=0,"",ROUND(K260/(MIN(C260,F260)*D260)*100,2)))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316" t="n"/>
      <c r="D261" s="317" t="n"/>
      <c r="E261" s="241">
        <f>IF(AND(ISNUMBER(C261),ISNUMBER(D261)),C261*D261,"")</f>
        <v/>
      </c>
      <c r="F261" s="316" t="n"/>
      <c r="G261" s="317" t="n"/>
      <c r="H261" s="241">
        <f>IF(AND(ISNUMBER(F261),ISNUMBER(G261)),F261*G261,"")</f>
        <v/>
      </c>
      <c r="I261" s="240">
        <f>IF(COUNT(C261,F261)=0,"",N(C261)-N(F261))</f>
        <v/>
      </c>
      <c r="J261" s="241">
        <f>IF(COUNT(E261,H261)=0,"",N(H261)-N(E261))</f>
        <v/>
      </c>
      <c r="K261" s="316" t="n"/>
      <c r="L261" s="177">
        <f>IF(OR(NOT(ISNUMBER(K261)),COUNT(C261,F261,D261)&lt;3),"",IF(MIN(C261,F261)*D261&lt;=0,"",ROUND(K261/(MIN(C261,F261)*D261)*100,2)))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321" t="n"/>
      <c r="D262" s="322" t="n"/>
      <c r="E262" s="247">
        <f>IF(AND(ISNUMBER(C262),ISNUMBER(D262)),C262*D262,"")</f>
        <v/>
      </c>
      <c r="F262" s="321" t="n"/>
      <c r="G262" s="322" t="n"/>
      <c r="H262" s="247">
        <f>IF(AND(ISNUMBER(F262),ISNUMBER(G262)),F262*G262,"")</f>
        <v/>
      </c>
      <c r="I262" s="246">
        <f>IF(COUNT(C262,F262)=0,"",N(C262)-N(F262))</f>
        <v/>
      </c>
      <c r="J262" s="247">
        <f>IF(COUNT(E262,H262)=0,"",N(H262)-N(E262))</f>
        <v/>
      </c>
      <c r="K262" s="321" t="n"/>
      <c r="L262" s="183">
        <f>IF(OR(NOT(ISNUMBER(K262)),COUNT(C262,F262,D262)&lt;3),"",IF(MIN(C262,F262)*D262&lt;=0,"",ROUND(K262/(MIN(C262,F262)*D262)*100,2)))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316" t="n"/>
      <c r="D263" s="317" t="n"/>
      <c r="E263" s="241">
        <f>IF(AND(ISNUMBER(C263),ISNUMBER(D263)),C263*D263,"")</f>
        <v/>
      </c>
      <c r="F263" s="316" t="n"/>
      <c r="G263" s="317" t="n"/>
      <c r="H263" s="241">
        <f>IF(AND(ISNUMBER(F263),ISNUMBER(G263)),F263*G263,"")</f>
        <v/>
      </c>
      <c r="I263" s="240">
        <f>IF(COUNT(C263,F263)=0,"",N(C263)-N(F263))</f>
        <v/>
      </c>
      <c r="J263" s="241">
        <f>IF(COUNT(E263,H263)=0,"",N(H263)-N(E263))</f>
        <v/>
      </c>
      <c r="K263" s="316" t="n"/>
      <c r="L263" s="177">
        <f>IF(OR(NOT(ISNUMBER(K263)),COUNT(C263,F263,D263)&lt;3),"",IF(MIN(C263,F263)*D263&lt;=0,"",ROUND(K263/(MIN(C263,F263)*D263)*100,2)))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321" t="n"/>
      <c r="D264" s="322" t="n"/>
      <c r="E264" s="247">
        <f>IF(AND(ISNUMBER(C264),ISNUMBER(D264)),C264*D264,"")</f>
        <v/>
      </c>
      <c r="F264" s="321" t="n"/>
      <c r="G264" s="322" t="n"/>
      <c r="H264" s="247">
        <f>IF(AND(ISNUMBER(F264),ISNUMBER(G264)),F264*G264,"")</f>
        <v/>
      </c>
      <c r="I264" s="246">
        <f>IF(COUNT(C264,F264)=0,"",N(C264)-N(F264))</f>
        <v/>
      </c>
      <c r="J264" s="247">
        <f>IF(COUNT(E264,H264)=0,"",N(H264)-N(E264))</f>
        <v/>
      </c>
      <c r="K264" s="321" t="n"/>
      <c r="L264" s="183">
        <f>IF(OR(NOT(ISNUMBER(K264)),COUNT(C264,F264,D264)&lt;3),"",IF(MIN(C264,F264)*D264&lt;=0,"",ROUND(K264/(MIN(C264,F264)*D264)*100,2)))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316" t="n"/>
      <c r="D265" s="317" t="n"/>
      <c r="E265" s="241">
        <f>IF(AND(ISNUMBER(C265),ISNUMBER(D265)),C265*D265,"")</f>
        <v/>
      </c>
      <c r="F265" s="316" t="n"/>
      <c r="G265" s="317" t="n"/>
      <c r="H265" s="241">
        <f>IF(AND(ISNUMBER(F265),ISNUMBER(G265)),F265*G265,"")</f>
        <v/>
      </c>
      <c r="I265" s="240">
        <f>IF(COUNT(C265,F265)=0,"",N(C265)-N(F265))</f>
        <v/>
      </c>
      <c r="J265" s="241">
        <f>IF(COUNT(E265,H265)=0,"",N(H265)-N(E265))</f>
        <v/>
      </c>
      <c r="K265" s="316" t="n"/>
      <c r="L265" s="177">
        <f>IF(OR(NOT(ISNUMBER(K265)),COUNT(C265,F265,D265)&lt;3),"",IF(MIN(C265,F265)*D265&lt;=0,"",ROUND(K265/(MIN(C265,F265)*D265)*100,2)))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321" t="n"/>
      <c r="D266" s="322" t="n"/>
      <c r="E266" s="247">
        <f>IF(AND(ISNUMBER(C266),ISNUMBER(D266)),C266*D266,"")</f>
        <v/>
      </c>
      <c r="F266" s="321" t="n"/>
      <c r="G266" s="322" t="n"/>
      <c r="H266" s="247">
        <f>IF(AND(ISNUMBER(F266),ISNUMBER(G266)),F266*G266,"")</f>
        <v/>
      </c>
      <c r="I266" s="246">
        <f>IF(COUNT(C266,F266)=0,"",N(C266)-N(F266))</f>
        <v/>
      </c>
      <c r="J266" s="247">
        <f>IF(COUNT(E266,H266)=0,"",N(H266)-N(E266))</f>
        <v/>
      </c>
      <c r="K266" s="321" t="n"/>
      <c r="L266" s="183">
        <f>IF(OR(NOT(ISNUMBER(K266)),COUNT(C266,F266,D266)&lt;3),"",IF(MIN(C266,F266)*D266&lt;=0,"",ROUND(K266/(MIN(C266,F266)*D266)*100,2)))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316" t="n"/>
      <c r="D267" s="317" t="n"/>
      <c r="E267" s="241">
        <f>IF(AND(ISNUMBER(C267),ISNUMBER(D267)),C267*D267,"")</f>
        <v/>
      </c>
      <c r="F267" s="316" t="n"/>
      <c r="G267" s="317" t="n"/>
      <c r="H267" s="241">
        <f>IF(AND(ISNUMBER(F267),ISNUMBER(G267)),F267*G267,"")</f>
        <v/>
      </c>
      <c r="I267" s="240">
        <f>IF(COUNT(C267,F267)=0,"",N(C267)-N(F267))</f>
        <v/>
      </c>
      <c r="J267" s="241">
        <f>IF(COUNT(E267,H267)=0,"",N(H267)-N(E267))</f>
        <v/>
      </c>
      <c r="K267" s="316" t="n"/>
      <c r="L267" s="177">
        <f>IF(OR(NOT(ISNUMBER(K267)),COUNT(C267,F267,D267)&lt;3),"",IF(MIN(C267,F267)*D267&lt;=0,"",ROUND(K267/(MIN(C267,F267)*D267)*100,2)))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321" t="n"/>
      <c r="D268" s="322" t="n"/>
      <c r="E268" s="247">
        <f>IF(AND(ISNUMBER(C268),ISNUMBER(D268)),C268*D268,"")</f>
        <v/>
      </c>
      <c r="F268" s="321" t="n"/>
      <c r="G268" s="322" t="n"/>
      <c r="H268" s="247">
        <f>IF(AND(ISNUMBER(F268),ISNUMBER(G268)),F268*G268,"")</f>
        <v/>
      </c>
      <c r="I268" s="246">
        <f>IF(COUNT(C268,F268)=0,"",N(C268)-N(F268))</f>
        <v/>
      </c>
      <c r="J268" s="247">
        <f>IF(COUNT(E268,H268)=0,"",N(H268)-N(E268))</f>
        <v/>
      </c>
      <c r="K268" s="321" t="n"/>
      <c r="L268" s="183">
        <f>IF(OR(NOT(ISNUMBER(K268)),COUNT(C268,F268,D268)&lt;3),"",IF(MIN(C268,F268)*D268&lt;=0,"",ROUND(K268/(MIN(C268,F268)*D268)*100,2)))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316" t="n"/>
      <c r="D269" s="317" t="n"/>
      <c r="E269" s="241">
        <f>IF(AND(ISNUMBER(C269),ISNUMBER(D269)),C269*D269,"")</f>
        <v/>
      </c>
      <c r="F269" s="316" t="n"/>
      <c r="G269" s="317" t="n"/>
      <c r="H269" s="241">
        <f>IF(AND(ISNUMBER(F269),ISNUMBER(G269)),F269*G269,"")</f>
        <v/>
      </c>
      <c r="I269" s="240">
        <f>IF(COUNT(C269,F269)=0,"",N(C269)-N(F269))</f>
        <v/>
      </c>
      <c r="J269" s="241">
        <f>IF(COUNT(E269,H269)=0,"",N(H269)-N(E269))</f>
        <v/>
      </c>
      <c r="K269" s="316" t="n"/>
      <c r="L269" s="177">
        <f>IF(OR(NOT(ISNUMBER(K269)),COUNT(C269,F269,D269)&lt;3),"",IF(MIN(C269,F269)*D269&lt;=0,"",ROUND(K269/(MIN(C269,F269)*D269)*100,2)))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321" t="n"/>
      <c r="D270" s="322" t="n"/>
      <c r="E270" s="247">
        <f>IF(AND(ISNUMBER(C270),ISNUMBER(D270)),C270*D270,"")</f>
        <v/>
      </c>
      <c r="F270" s="321" t="n"/>
      <c r="G270" s="322" t="n"/>
      <c r="H270" s="247">
        <f>IF(AND(ISNUMBER(F270),ISNUMBER(G270)),F270*G270,"")</f>
        <v/>
      </c>
      <c r="I270" s="246">
        <f>IF(COUNT(C270,F270)=0,"",N(C270)-N(F270))</f>
        <v/>
      </c>
      <c r="J270" s="247">
        <f>IF(COUNT(E270,H270)=0,"",N(H270)-N(E270))</f>
        <v/>
      </c>
      <c r="K270" s="321" t="n"/>
      <c r="L270" s="183">
        <f>IF(OR(NOT(ISNUMBER(K270)),COUNT(C270,F270,D270)&lt;3),"",IF(MIN(C270,F270)*D270&lt;=0,"",ROUND(K270/(MIN(C270,F270)*D270)*100,2)))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316" t="n"/>
      <c r="D271" s="317" t="n"/>
      <c r="E271" s="241">
        <f>IF(AND(ISNUMBER(C271),ISNUMBER(D271)),C271*D271,"")</f>
        <v/>
      </c>
      <c r="F271" s="316" t="n"/>
      <c r="G271" s="317" t="n"/>
      <c r="H271" s="241">
        <f>IF(AND(ISNUMBER(F271),ISNUMBER(G271)),F271*G271,"")</f>
        <v/>
      </c>
      <c r="I271" s="240">
        <f>IF(COUNT(C271,F271)=0,"",N(C271)-N(F271))</f>
        <v/>
      </c>
      <c r="J271" s="241">
        <f>IF(COUNT(E271,H271)=0,"",N(H271)-N(E271))</f>
        <v/>
      </c>
      <c r="K271" s="316" t="n"/>
      <c r="L271" s="177">
        <f>IF(OR(NOT(ISNUMBER(K271)),COUNT(C271,F271,D271)&lt;3),"",IF(MIN(C271,F271)*D271&lt;=0,"",ROUND(K271/(MIN(C271,F271)*D271)*100,2)))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321" t="n"/>
      <c r="D272" s="322" t="n"/>
      <c r="E272" s="247">
        <f>IF(AND(ISNUMBER(C272),ISNUMBER(D272)),C272*D272,"")</f>
        <v/>
      </c>
      <c r="F272" s="321" t="n"/>
      <c r="G272" s="322" t="n"/>
      <c r="H272" s="247">
        <f>IF(AND(ISNUMBER(F272),ISNUMBER(G272)),F272*G272,"")</f>
        <v/>
      </c>
      <c r="I272" s="246">
        <f>IF(COUNT(C272,F272)=0,"",N(C272)-N(F272))</f>
        <v/>
      </c>
      <c r="J272" s="247">
        <f>IF(COUNT(E272,H272)=0,"",N(H272)-N(E272))</f>
        <v/>
      </c>
      <c r="K272" s="321" t="n"/>
      <c r="L272" s="183">
        <f>IF(OR(NOT(ISNUMBER(K272)),COUNT(C272,F272,D272)&lt;3),"",IF(MIN(C272,F272)*D272&lt;=0,"",ROUND(K272/(MIN(C272,F272)*D272)*100,2)))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316" t="n"/>
      <c r="D273" s="317" t="n"/>
      <c r="E273" s="241">
        <f>IF(AND(ISNUMBER(C273),ISNUMBER(D273)),C273*D273,"")</f>
        <v/>
      </c>
      <c r="F273" s="316" t="n"/>
      <c r="G273" s="317" t="n"/>
      <c r="H273" s="241">
        <f>IF(AND(ISNUMBER(F273),ISNUMBER(G273)),F273*G273,"")</f>
        <v/>
      </c>
      <c r="I273" s="240">
        <f>IF(COUNT(C273,F273)=0,"",N(C273)-N(F273))</f>
        <v/>
      </c>
      <c r="J273" s="241">
        <f>IF(COUNT(E273,H273)=0,"",N(H273)-N(E273))</f>
        <v/>
      </c>
      <c r="K273" s="316" t="n"/>
      <c r="L273" s="177">
        <f>IF(OR(NOT(ISNUMBER(K273)),COUNT(C273,F273,D273)&lt;3),"",IF(MIN(C273,F273)*D273&lt;=0,"",ROUND(K273/(MIN(C273,F273)*D273)*100,2)))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321" t="n"/>
      <c r="D274" s="322" t="n"/>
      <c r="E274" s="247">
        <f>IF(AND(ISNUMBER(C274),ISNUMBER(D274)),C274*D274,"")</f>
        <v/>
      </c>
      <c r="F274" s="321" t="n"/>
      <c r="G274" s="322" t="n"/>
      <c r="H274" s="247">
        <f>IF(AND(ISNUMBER(F274),ISNUMBER(G274)),F274*G274,"")</f>
        <v/>
      </c>
      <c r="I274" s="246">
        <f>IF(COUNT(C274,F274)=0,"",N(C274)-N(F274))</f>
        <v/>
      </c>
      <c r="J274" s="247">
        <f>IF(COUNT(E274,H274)=0,"",N(H274)-N(E274))</f>
        <v/>
      </c>
      <c r="K274" s="321" t="n"/>
      <c r="L274" s="183">
        <f>IF(OR(NOT(ISNUMBER(K274)),COUNT(C274,F274,D274)&lt;3),"",IF(MIN(C274,F274)*D274&lt;=0,"",ROUND(K274/(MIN(C274,F274)*D274)*100,2)))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316" t="n"/>
      <c r="D275" s="317" t="n"/>
      <c r="E275" s="241">
        <f>IF(AND(ISNUMBER(C275),ISNUMBER(D275)),C275*D275,"")</f>
        <v/>
      </c>
      <c r="F275" s="316" t="n"/>
      <c r="G275" s="317" t="n"/>
      <c r="H275" s="241">
        <f>IF(AND(ISNUMBER(F275),ISNUMBER(G275)),F275*G275,"")</f>
        <v/>
      </c>
      <c r="I275" s="240">
        <f>IF(COUNT(C275,F275)=0,"",N(C275)-N(F275))</f>
        <v/>
      </c>
      <c r="J275" s="241">
        <f>IF(COUNT(E275,H275)=0,"",N(H275)-N(E275))</f>
        <v/>
      </c>
      <c r="K275" s="316" t="n"/>
      <c r="L275" s="177">
        <f>IF(OR(NOT(ISNUMBER(K275)),COUNT(C275,F275,D275)&lt;3),"",IF(MIN(C275,F275)*D275&lt;=0,"",ROUND(K275/(MIN(C275,F275)*D275)*100,2)))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321" t="n"/>
      <c r="D276" s="322" t="n"/>
      <c r="E276" s="247">
        <f>IF(AND(ISNUMBER(C276),ISNUMBER(D276)),C276*D276,"")</f>
        <v/>
      </c>
      <c r="F276" s="321" t="n"/>
      <c r="G276" s="322" t="n"/>
      <c r="H276" s="247">
        <f>IF(AND(ISNUMBER(F276),ISNUMBER(G276)),F276*G276,"")</f>
        <v/>
      </c>
      <c r="I276" s="246">
        <f>IF(COUNT(C276,F276)=0,"",N(C276)-N(F276))</f>
        <v/>
      </c>
      <c r="J276" s="247">
        <f>IF(COUNT(E276,H276)=0,"",N(H276)-N(E276))</f>
        <v/>
      </c>
      <c r="K276" s="321" t="n"/>
      <c r="L276" s="183">
        <f>IF(OR(NOT(ISNUMBER(K276)),COUNT(C276,F276,D276)&lt;3),"",IF(MIN(C276,F276)*D276&lt;=0,"",ROUND(K276/(MIN(C276,F276)*D276)*100,2)))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316" t="n"/>
      <c r="D277" s="317" t="n"/>
      <c r="E277" s="241">
        <f>IF(AND(ISNUMBER(C277),ISNUMBER(D277)),C277*D277,"")</f>
        <v/>
      </c>
      <c r="F277" s="316" t="n"/>
      <c r="G277" s="317" t="n"/>
      <c r="H277" s="241">
        <f>IF(AND(ISNUMBER(F277),ISNUMBER(G277)),F277*G277,"")</f>
        <v/>
      </c>
      <c r="I277" s="240">
        <f>IF(COUNT(C277,F277)=0,"",N(C277)-N(F277))</f>
        <v/>
      </c>
      <c r="J277" s="241">
        <f>IF(COUNT(E277,H277)=0,"",N(H277)-N(E277))</f>
        <v/>
      </c>
      <c r="K277" s="316" t="n"/>
      <c r="L277" s="177">
        <f>IF(OR(NOT(ISNUMBER(K277)),COUNT(C277,F277,D277)&lt;3),"",IF(MIN(C277,F277)*D277&lt;=0,"",ROUND(K277/(MIN(C277,F277)*D277)*100,2)))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321" t="n"/>
      <c r="D278" s="322" t="n"/>
      <c r="E278" s="247">
        <f>IF(AND(ISNUMBER(C278),ISNUMBER(D278)),C278*D278,"")</f>
        <v/>
      </c>
      <c r="F278" s="321" t="n"/>
      <c r="G278" s="322" t="n"/>
      <c r="H278" s="247">
        <f>IF(AND(ISNUMBER(F278),ISNUMBER(G278)),F278*G278,"")</f>
        <v/>
      </c>
      <c r="I278" s="246">
        <f>IF(COUNT(C278,F278)=0,"",N(C278)-N(F278))</f>
        <v/>
      </c>
      <c r="J278" s="247">
        <f>IF(COUNT(E278,H278)=0,"",N(H278)-N(E278))</f>
        <v/>
      </c>
      <c r="K278" s="321" t="n"/>
      <c r="L278" s="183">
        <f>IF(OR(NOT(ISNUMBER(K278)),COUNT(C278,F278,D278)&lt;3),"",IF(MIN(C278,F278)*D278&lt;=0,"",ROUND(K278/(MIN(C278,F278)*D278)*100,2)))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316" t="n"/>
      <c r="D279" s="317" t="n"/>
      <c r="E279" s="241">
        <f>IF(AND(ISNUMBER(C279),ISNUMBER(D279)),C279*D279,"")</f>
        <v/>
      </c>
      <c r="F279" s="316" t="n"/>
      <c r="G279" s="317" t="n"/>
      <c r="H279" s="241">
        <f>IF(AND(ISNUMBER(F279),ISNUMBER(G279)),F279*G279,"")</f>
        <v/>
      </c>
      <c r="I279" s="240">
        <f>IF(COUNT(C279,F279)=0,"",N(C279)-N(F279))</f>
        <v/>
      </c>
      <c r="J279" s="241">
        <f>IF(COUNT(E279,H279)=0,"",N(H279)-N(E279))</f>
        <v/>
      </c>
      <c r="K279" s="316" t="n"/>
      <c r="L279" s="177">
        <f>IF(OR(NOT(ISNUMBER(K279)),COUNT(C279,F279,D279)&lt;3),"",IF(MIN(C279,F279)*D279&lt;=0,"",ROUND(K279/(MIN(C279,F279)*D279)*100,2)))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321" t="n"/>
      <c r="D280" s="322" t="n"/>
      <c r="E280" s="247">
        <f>IF(AND(ISNUMBER(C280),ISNUMBER(D280)),C280*D280,"")</f>
        <v/>
      </c>
      <c r="F280" s="321" t="n"/>
      <c r="G280" s="322" t="n"/>
      <c r="H280" s="247">
        <f>IF(AND(ISNUMBER(F280),ISNUMBER(G280)),F280*G280,"")</f>
        <v/>
      </c>
      <c r="I280" s="246">
        <f>IF(COUNT(C280,F280)=0,"",N(C280)-N(F280))</f>
        <v/>
      </c>
      <c r="J280" s="247">
        <f>IF(COUNT(E280,H280)=0,"",N(H280)-N(E280))</f>
        <v/>
      </c>
      <c r="K280" s="321" t="n"/>
      <c r="L280" s="183">
        <f>IF(OR(NOT(ISNUMBER(K280)),COUNT(C280,F280,D280)&lt;3),"",IF(MIN(C280,F280)*D280&lt;=0,"",ROUND(K280/(MIN(C280,F280)*D280)*100,2)))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316" t="n"/>
      <c r="D281" s="317" t="n"/>
      <c r="E281" s="241">
        <f>IF(AND(ISNUMBER(C281),ISNUMBER(D281)),C281*D281,"")</f>
        <v/>
      </c>
      <c r="F281" s="316" t="n"/>
      <c r="G281" s="317" t="n"/>
      <c r="H281" s="241">
        <f>IF(AND(ISNUMBER(F281),ISNUMBER(G281)),F281*G281,"")</f>
        <v/>
      </c>
      <c r="I281" s="240">
        <f>IF(COUNT(C281,F281)=0,"",N(C281)-N(F281))</f>
        <v/>
      </c>
      <c r="J281" s="241">
        <f>IF(COUNT(E281,H281)=0,"",N(H281)-N(E281))</f>
        <v/>
      </c>
      <c r="K281" s="316" t="n"/>
      <c r="L281" s="177">
        <f>IF(OR(NOT(ISNUMBER(K281)),COUNT(C281,F281,D281)&lt;3),"",IF(MIN(C281,F281)*D281&lt;=0,"",ROUND(K281/(MIN(C281,F281)*D281)*100,2)))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321" t="n"/>
      <c r="D282" s="322" t="n"/>
      <c r="E282" s="247">
        <f>IF(AND(ISNUMBER(C282),ISNUMBER(D282)),C282*D282,"")</f>
        <v/>
      </c>
      <c r="F282" s="321" t="n"/>
      <c r="G282" s="322" t="n"/>
      <c r="H282" s="247">
        <f>IF(AND(ISNUMBER(F282),ISNUMBER(G282)),F282*G282,"")</f>
        <v/>
      </c>
      <c r="I282" s="246">
        <f>IF(COUNT(C282,F282)=0,"",N(C282)-N(F282))</f>
        <v/>
      </c>
      <c r="J282" s="247">
        <f>IF(COUNT(E282,H282)=0,"",N(H282)-N(E282))</f>
        <v/>
      </c>
      <c r="K282" s="321" t="n"/>
      <c r="L282" s="183">
        <f>IF(OR(NOT(ISNUMBER(K282)),COUNT(C282,F282,D282)&lt;3),"",IF(MIN(C282,F282)*D282&lt;=0,"",ROUND(K282/(MIN(C282,F282)*D282)*100,2)))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316" t="n"/>
      <c r="D283" s="317" t="n"/>
      <c r="E283" s="241">
        <f>IF(AND(ISNUMBER(C283),ISNUMBER(D283)),C283*D283,"")</f>
        <v/>
      </c>
      <c r="F283" s="316" t="n"/>
      <c r="G283" s="317" t="n"/>
      <c r="H283" s="241">
        <f>IF(AND(ISNUMBER(F283),ISNUMBER(G283)),F283*G283,"")</f>
        <v/>
      </c>
      <c r="I283" s="240">
        <f>IF(COUNT(C283,F283)=0,"",N(C283)-N(F283))</f>
        <v/>
      </c>
      <c r="J283" s="241">
        <f>IF(COUNT(E283,H283)=0,"",N(H283)-N(E283))</f>
        <v/>
      </c>
      <c r="K283" s="316" t="n"/>
      <c r="L283" s="177">
        <f>IF(OR(NOT(ISNUMBER(K283)),COUNT(C283,F283,D283)&lt;3),"",IF(MIN(C283,F283)*D283&lt;=0,"",ROUND(K283/(MIN(C283,F283)*D283)*100,2)))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321" t="n"/>
      <c r="D284" s="322" t="n"/>
      <c r="E284" s="247">
        <f>IF(AND(ISNUMBER(C284),ISNUMBER(D284)),C284*D284,"")</f>
        <v/>
      </c>
      <c r="F284" s="321" t="n"/>
      <c r="G284" s="322" t="n"/>
      <c r="H284" s="247">
        <f>IF(AND(ISNUMBER(F284),ISNUMBER(G284)),F284*G284,"")</f>
        <v/>
      </c>
      <c r="I284" s="246">
        <f>IF(COUNT(C284,F284)=0,"",N(C284)-N(F284))</f>
        <v/>
      </c>
      <c r="J284" s="247">
        <f>IF(COUNT(E284,H284)=0,"",N(H284)-N(E284))</f>
        <v/>
      </c>
      <c r="K284" s="321" t="n"/>
      <c r="L284" s="183">
        <f>IF(OR(NOT(ISNUMBER(K284)),COUNT(C284,F284,D284)&lt;3),"",IF(MIN(C284,F284)*D284&lt;=0,"",ROUND(K284/(MIN(C284,F284)*D284)*100,2)))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316" t="n"/>
      <c r="D285" s="317" t="n"/>
      <c r="E285" s="241">
        <f>IF(AND(ISNUMBER(C285),ISNUMBER(D285)),C285*D285,"")</f>
        <v/>
      </c>
      <c r="F285" s="316" t="n"/>
      <c r="G285" s="317" t="n"/>
      <c r="H285" s="241">
        <f>IF(AND(ISNUMBER(F285),ISNUMBER(G285)),F285*G285,"")</f>
        <v/>
      </c>
      <c r="I285" s="240">
        <f>IF(COUNT(C285,F285)=0,"",N(C285)-N(F285))</f>
        <v/>
      </c>
      <c r="J285" s="241">
        <f>IF(COUNT(E285,H285)=0,"",N(H285)-N(E285))</f>
        <v/>
      </c>
      <c r="K285" s="316" t="n"/>
      <c r="L285" s="177">
        <f>IF(OR(NOT(ISNUMBER(K285)),COUNT(C285,F285,D285)&lt;3),"",IF(MIN(C285,F285)*D285&lt;=0,"",ROUND(K285/(MIN(C285,F285)*D285)*100,2)))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321" t="n"/>
      <c r="D286" s="322" t="n"/>
      <c r="E286" s="247">
        <f>IF(AND(ISNUMBER(C286),ISNUMBER(D286)),C286*D286,"")</f>
        <v/>
      </c>
      <c r="F286" s="321" t="n"/>
      <c r="G286" s="322" t="n"/>
      <c r="H286" s="247">
        <f>IF(AND(ISNUMBER(F286),ISNUMBER(G286)),F286*G286,"")</f>
        <v/>
      </c>
      <c r="I286" s="246">
        <f>IF(COUNT(C286,F286)=0,"",N(C286)-N(F286))</f>
        <v/>
      </c>
      <c r="J286" s="247">
        <f>IF(COUNT(E286,H286)=0,"",N(H286)-N(E286))</f>
        <v/>
      </c>
      <c r="K286" s="321" t="n"/>
      <c r="L286" s="183">
        <f>IF(OR(NOT(ISNUMBER(K286)),COUNT(C286,F286,D286)&lt;3),"",IF(MIN(C286,F286)*D286&lt;=0,"",ROUND(K286/(MIN(C286,F286)*D286)*100,2)))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316" t="n"/>
      <c r="D287" s="317" t="n"/>
      <c r="E287" s="241">
        <f>IF(AND(ISNUMBER(C287),ISNUMBER(D287)),C287*D287,"")</f>
        <v/>
      </c>
      <c r="F287" s="316" t="n"/>
      <c r="G287" s="317" t="n"/>
      <c r="H287" s="241">
        <f>IF(AND(ISNUMBER(F287),ISNUMBER(G287)),F287*G287,"")</f>
        <v/>
      </c>
      <c r="I287" s="240">
        <f>IF(COUNT(C287,F287)=0,"",N(C287)-N(F287))</f>
        <v/>
      </c>
      <c r="J287" s="241">
        <f>IF(COUNT(E287,H287)=0,"",N(H287)-N(E287))</f>
        <v/>
      </c>
      <c r="K287" s="316" t="n"/>
      <c r="L287" s="177">
        <f>IF(OR(NOT(ISNUMBER(K287)),COUNT(C287,F287,D287)&lt;3),"",IF(MIN(C287,F287)*D287&lt;=0,"",ROUND(K287/(MIN(C287,F287)*D287)*100,2)))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321" t="n"/>
      <c r="D288" s="322" t="n"/>
      <c r="E288" s="247">
        <f>IF(AND(ISNUMBER(C288),ISNUMBER(D288)),C288*D288,"")</f>
        <v/>
      </c>
      <c r="F288" s="321" t="n"/>
      <c r="G288" s="322" t="n"/>
      <c r="H288" s="247">
        <f>IF(AND(ISNUMBER(F288),ISNUMBER(G288)),F288*G288,"")</f>
        <v/>
      </c>
      <c r="I288" s="246">
        <f>IF(COUNT(C288,F288)=0,"",N(C288)-N(F288))</f>
        <v/>
      </c>
      <c r="J288" s="247">
        <f>IF(COUNT(E288,H288)=0,"",N(H288)-N(E288))</f>
        <v/>
      </c>
      <c r="K288" s="321" t="n"/>
      <c r="L288" s="183">
        <f>IF(OR(NOT(ISNUMBER(K288)),COUNT(C288,F288,D288)&lt;3),"",IF(MIN(C288,F288)*D288&lt;=0,"",ROUND(K288/(MIN(C288,F288)*D288)*100,2)))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316" t="n"/>
      <c r="D289" s="317" t="n"/>
      <c r="E289" s="241">
        <f>IF(AND(ISNUMBER(C289),ISNUMBER(D289)),C289*D289,"")</f>
        <v/>
      </c>
      <c r="F289" s="316" t="n"/>
      <c r="G289" s="317" t="n"/>
      <c r="H289" s="241">
        <f>IF(AND(ISNUMBER(F289),ISNUMBER(G289)),F289*G289,"")</f>
        <v/>
      </c>
      <c r="I289" s="240">
        <f>IF(COUNT(C289,F289)=0,"",N(C289)-N(F289))</f>
        <v/>
      </c>
      <c r="J289" s="241">
        <f>IF(COUNT(E289,H289)=0,"",N(H289)-N(E289))</f>
        <v/>
      </c>
      <c r="K289" s="316" t="n"/>
      <c r="L289" s="177">
        <f>IF(OR(NOT(ISNUMBER(K289)),COUNT(C289,F289,D289)&lt;3),"",IF(MIN(C289,F289)*D289&lt;=0,"",ROUND(K289/(MIN(C289,F289)*D289)*100,2)))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321" t="n"/>
      <c r="D290" s="322" t="n"/>
      <c r="E290" s="247">
        <f>IF(AND(ISNUMBER(C290),ISNUMBER(D290)),C290*D290,"")</f>
        <v/>
      </c>
      <c r="F290" s="321" t="n"/>
      <c r="G290" s="322" t="n"/>
      <c r="H290" s="247">
        <f>IF(AND(ISNUMBER(F290),ISNUMBER(G290)),F290*G290,"")</f>
        <v/>
      </c>
      <c r="I290" s="246">
        <f>IF(COUNT(C290,F290)=0,"",N(C290)-N(F290))</f>
        <v/>
      </c>
      <c r="J290" s="247">
        <f>IF(COUNT(E290,H290)=0,"",N(H290)-N(E290))</f>
        <v/>
      </c>
      <c r="K290" s="321" t="n"/>
      <c r="L290" s="183">
        <f>IF(OR(NOT(ISNUMBER(K290)),COUNT(C290,F290,D290)&lt;3),"",IF(MIN(C290,F290)*D290&lt;=0,"",ROUND(K290/(MIN(C290,F290)*D290)*100,2)))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316" t="n"/>
      <c r="D291" s="317" t="n"/>
      <c r="E291" s="241">
        <f>IF(AND(ISNUMBER(C291),ISNUMBER(D291)),C291*D291,"")</f>
        <v/>
      </c>
      <c r="F291" s="316" t="n"/>
      <c r="G291" s="317" t="n"/>
      <c r="H291" s="241">
        <f>IF(AND(ISNUMBER(F291),ISNUMBER(G291)),F291*G291,"")</f>
        <v/>
      </c>
      <c r="I291" s="240">
        <f>IF(COUNT(C291,F291)=0,"",N(C291)-N(F291))</f>
        <v/>
      </c>
      <c r="J291" s="241">
        <f>IF(COUNT(E291,H291)=0,"",N(H291)-N(E291))</f>
        <v/>
      </c>
      <c r="K291" s="316" t="n"/>
      <c r="L291" s="177">
        <f>IF(OR(NOT(ISNUMBER(K291)),COUNT(C291,F291,D291)&lt;3),"",IF(MIN(C291,F291)*D291&lt;=0,"",ROUND(K291/(MIN(C291,F291)*D291)*100,2)))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321" t="n"/>
      <c r="D292" s="322" t="n"/>
      <c r="E292" s="247">
        <f>IF(AND(ISNUMBER(C292),ISNUMBER(D292)),C292*D292,"")</f>
        <v/>
      </c>
      <c r="F292" s="321" t="n"/>
      <c r="G292" s="322" t="n"/>
      <c r="H292" s="247">
        <f>IF(AND(ISNUMBER(F292),ISNUMBER(G292)),F292*G292,"")</f>
        <v/>
      </c>
      <c r="I292" s="246">
        <f>IF(COUNT(C292,F292)=0,"",N(C292)-N(F292))</f>
        <v/>
      </c>
      <c r="J292" s="247">
        <f>IF(COUNT(E292,H292)=0,"",N(H292)-N(E292))</f>
        <v/>
      </c>
      <c r="K292" s="321" t="n"/>
      <c r="L292" s="183">
        <f>IF(OR(NOT(ISNUMBER(K292)),COUNT(C292,F292,D292)&lt;3),"",IF(MIN(C292,F292)*D292&lt;=0,"",ROUND(K292/(MIN(C292,F292)*D292)*100,2)))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316" t="n"/>
      <c r="D293" s="317" t="n"/>
      <c r="E293" s="241">
        <f>IF(AND(ISNUMBER(C293),ISNUMBER(D293)),C293*D293,"")</f>
        <v/>
      </c>
      <c r="F293" s="316" t="n"/>
      <c r="G293" s="317" t="n"/>
      <c r="H293" s="241">
        <f>IF(AND(ISNUMBER(F293),ISNUMBER(G293)),F293*G293,"")</f>
        <v/>
      </c>
      <c r="I293" s="240">
        <f>IF(COUNT(C293,F293)=0,"",N(C293)-N(F293))</f>
        <v/>
      </c>
      <c r="J293" s="241">
        <f>IF(COUNT(E293,H293)=0,"",N(H293)-N(E293))</f>
        <v/>
      </c>
      <c r="K293" s="316" t="n"/>
      <c r="L293" s="177">
        <f>IF(OR(NOT(ISNUMBER(K293)),COUNT(C293,F293,D293)&lt;3),"",IF(MIN(C293,F293)*D293&lt;=0,"",ROUND(K293/(MIN(C293,F293)*D293)*100,2)))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321" t="n"/>
      <c r="D294" s="322" t="n"/>
      <c r="E294" s="247">
        <f>IF(AND(ISNUMBER(C294),ISNUMBER(D294)),C294*D294,"")</f>
        <v/>
      </c>
      <c r="F294" s="321" t="n"/>
      <c r="G294" s="322" t="n"/>
      <c r="H294" s="247">
        <f>IF(AND(ISNUMBER(F294),ISNUMBER(G294)),F294*G294,"")</f>
        <v/>
      </c>
      <c r="I294" s="246">
        <f>IF(COUNT(C294,F294)=0,"",N(C294)-N(F294))</f>
        <v/>
      </c>
      <c r="J294" s="247">
        <f>IF(COUNT(E294,H294)=0,"",N(H294)-N(E294))</f>
        <v/>
      </c>
      <c r="K294" s="321" t="n"/>
      <c r="L294" s="183">
        <f>IF(OR(NOT(ISNUMBER(K294)),COUNT(C294,F294,D294)&lt;3),"",IF(MIN(C294,F294)*D294&lt;=0,"",ROUND(K294/(MIN(C294,F294)*D294)*100,2)))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316" t="n"/>
      <c r="D295" s="317" t="n"/>
      <c r="E295" s="241">
        <f>IF(AND(ISNUMBER(C295),ISNUMBER(D295)),C295*D295,"")</f>
        <v/>
      </c>
      <c r="F295" s="316" t="n"/>
      <c r="G295" s="317" t="n"/>
      <c r="H295" s="241">
        <f>IF(AND(ISNUMBER(F295),ISNUMBER(G295)),F295*G295,"")</f>
        <v/>
      </c>
      <c r="I295" s="240">
        <f>IF(COUNT(C295,F295)=0,"",N(C295)-N(F295))</f>
        <v/>
      </c>
      <c r="J295" s="241">
        <f>IF(COUNT(E295,H295)=0,"",N(H295)-N(E295))</f>
        <v/>
      </c>
      <c r="K295" s="316" t="n"/>
      <c r="L295" s="177">
        <f>IF(OR(NOT(ISNUMBER(K295)),COUNT(C295,F295,D295)&lt;3),"",IF(MIN(C295,F295)*D295&lt;=0,"",ROUND(K295/(MIN(C295,F295)*D295)*100,2)))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321" t="n"/>
      <c r="D296" s="322" t="n"/>
      <c r="E296" s="247">
        <f>IF(AND(ISNUMBER(C296),ISNUMBER(D296)),C296*D296,"")</f>
        <v/>
      </c>
      <c r="F296" s="321" t="n"/>
      <c r="G296" s="322" t="n"/>
      <c r="H296" s="247">
        <f>IF(AND(ISNUMBER(F296),ISNUMBER(G296)),F296*G296,"")</f>
        <v/>
      </c>
      <c r="I296" s="246">
        <f>IF(COUNT(C296,F296)=0,"",N(C296)-N(F296))</f>
        <v/>
      </c>
      <c r="J296" s="247">
        <f>IF(COUNT(E296,H296)=0,"",N(H296)-N(E296))</f>
        <v/>
      </c>
      <c r="K296" s="321" t="n"/>
      <c r="L296" s="183">
        <f>IF(OR(NOT(ISNUMBER(K296)),COUNT(C296,F296,D296)&lt;3),"",IF(MIN(C296,F296)*D296&lt;=0,"",ROUND(K296/(MIN(C296,F296)*D296)*100,2)))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316" t="n"/>
      <c r="D297" s="317" t="n"/>
      <c r="E297" s="241">
        <f>IF(AND(ISNUMBER(C297),ISNUMBER(D297)),C297*D297,"")</f>
        <v/>
      </c>
      <c r="F297" s="316" t="n"/>
      <c r="G297" s="317" t="n"/>
      <c r="H297" s="241">
        <f>IF(AND(ISNUMBER(F297),ISNUMBER(G297)),F297*G297,"")</f>
        <v/>
      </c>
      <c r="I297" s="240">
        <f>IF(COUNT(C297,F297)=0,"",N(C297)-N(F297))</f>
        <v/>
      </c>
      <c r="J297" s="241">
        <f>IF(COUNT(E297,H297)=0,"",N(H297)-N(E297))</f>
        <v/>
      </c>
      <c r="K297" s="316" t="n"/>
      <c r="L297" s="177">
        <f>IF(OR(NOT(ISNUMBER(K297)),COUNT(C297,F297,D297)&lt;3),"",IF(MIN(C297,F297)*D297&lt;=0,"",ROUND(K297/(MIN(C297,F297)*D297)*100,2)))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321" t="n"/>
      <c r="D298" s="322" t="n"/>
      <c r="E298" s="247">
        <f>IF(AND(ISNUMBER(C298),ISNUMBER(D298)),C298*D298,"")</f>
        <v/>
      </c>
      <c r="F298" s="321" t="n"/>
      <c r="G298" s="322" t="n"/>
      <c r="H298" s="247">
        <f>IF(AND(ISNUMBER(F298),ISNUMBER(G298)),F298*G298,"")</f>
        <v/>
      </c>
      <c r="I298" s="246">
        <f>IF(COUNT(C298,F298)=0,"",N(C298)-N(F298))</f>
        <v/>
      </c>
      <c r="J298" s="247">
        <f>IF(COUNT(E298,H298)=0,"",N(H298)-N(E298))</f>
        <v/>
      </c>
      <c r="K298" s="321" t="n"/>
      <c r="L298" s="183">
        <f>IF(OR(NOT(ISNUMBER(K298)),COUNT(C298,F298,D298)&lt;3),"",IF(MIN(C298,F298)*D298&lt;=0,"",ROUND(K298/(MIN(C298,F298)*D298)*100,2)))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316" t="n"/>
      <c r="D299" s="317" t="n"/>
      <c r="E299" s="241">
        <f>IF(AND(ISNUMBER(C299),ISNUMBER(D299)),C299*D299,"")</f>
        <v/>
      </c>
      <c r="F299" s="316" t="n"/>
      <c r="G299" s="317" t="n"/>
      <c r="H299" s="241">
        <f>IF(AND(ISNUMBER(F299),ISNUMBER(G299)),F299*G299,"")</f>
        <v/>
      </c>
      <c r="I299" s="240">
        <f>IF(COUNT(C299,F299)=0,"",N(C299)-N(F299))</f>
        <v/>
      </c>
      <c r="J299" s="241">
        <f>IF(COUNT(E299,H299)=0,"",N(H299)-N(E299))</f>
        <v/>
      </c>
      <c r="K299" s="316" t="n"/>
      <c r="L299" s="177">
        <f>IF(OR(NOT(ISNUMBER(K299)),COUNT(C299,F299,D299)&lt;3),"",IF(MIN(C299,F299)*D299&lt;=0,"",ROUND(K299/(MIN(C299,F299)*D299)*100,2)))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321" t="n"/>
      <c r="D300" s="322" t="n"/>
      <c r="E300" s="247">
        <f>IF(AND(ISNUMBER(C300),ISNUMBER(D300)),C300*D300,"")</f>
        <v/>
      </c>
      <c r="F300" s="321" t="n"/>
      <c r="G300" s="322" t="n"/>
      <c r="H300" s="247">
        <f>IF(AND(ISNUMBER(F300),ISNUMBER(G300)),F300*G300,"")</f>
        <v/>
      </c>
      <c r="I300" s="246">
        <f>IF(COUNT(C300,F300)=0,"",N(C300)-N(F300))</f>
        <v/>
      </c>
      <c r="J300" s="247">
        <f>IF(COUNT(E300,H300)=0,"",N(H300)-N(E300))</f>
        <v/>
      </c>
      <c r="K300" s="321" t="n"/>
      <c r="L300" s="183">
        <f>IF(OR(NOT(ISNUMBER(K300)),COUNT(C300,F300,D300)&lt;3),"",IF(MIN(C300,F300)*D300&lt;=0,"",ROUND(K300/(MIN(C300,F300)*D300)*100,2)))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6">
      <formula>MOD(ROW(),2)=1</formula>
    </cfRule>
    <cfRule type="expression" priority="2" dxfId="7">
      <formula>MOD(ROW(),2)=0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2026-10-11T10:44:02Z</dcterms:modified>
</cp:coreProperties>
</file>