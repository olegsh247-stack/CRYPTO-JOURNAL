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Список_Монеты">OFFSET(Справочники!$I$5,0,0,MAX(1,COUNTA(Справочники!$I$5:$I$304)),1)</definedName>
    <definedName name="_xlnm.Print_Area" localSheetId="0">'Ввод'!$A$1:$H$25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  <font>
      <name val="Calibri"/>
      <b val="1"/>
      <i val="1"/>
      <color rgb="FF244E62"/>
      <sz val="11"/>
    </font>
    <font>
      <name val="Calibri"/>
      <b val="1"/>
      <color rgb="00722F37"/>
      <sz val="14"/>
    </font>
    <font>
      <name val="Calibri"/>
      <color rgb="005B8499"/>
      <sz val="8"/>
    </font>
    <font>
      <name val="Calibri"/>
      <color rgb="00000000"/>
      <sz val="8"/>
    </font>
    <font>
      <name val="Calibri"/>
      <color rgb="00000000"/>
      <sz val="10"/>
    </font>
  </fonts>
  <fills count="22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  <fill>
      <patternFill patternType="solid">
        <fgColor rgb="00E8C8CD"/>
      </patternFill>
    </fill>
    <fill>
      <patternFill patternType="solid">
        <fgColor rgb="008B1A1A"/>
      </patternFill>
    </fill>
  </fills>
  <borders count="6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  <border>
      <left style="medium">
        <color rgb="FFFFFFFF"/>
      </left>
      <right/>
      <bottom style="medium">
        <color rgb="FF5E9E72"/>
      </bottom>
    </border>
    <border>
      <right/>
      <bottom style="medium">
        <color rgb="FF5E9E72"/>
      </bottom>
    </border>
    <border>
      <right/>
      <bottom style="medium">
        <color rgb="FF255B78"/>
      </bottom>
    </border>
    <border>
      <left style="medium">
        <color rgb="FFFFFFFF"/>
      </left>
      <right/>
      <bottom/>
    </border>
    <border>
      <left style="medium">
        <color rgb="FFFFFFFF"/>
      </left>
      <right/>
      <bottom style="medium">
        <color rgb="FF8064A2"/>
      </bottom>
    </border>
    <border>
      <right/>
      <bottom/>
    </border>
  </borders>
  <cellStyleXfs count="1">
    <xf numFmtId="0" fontId="0" fillId="0" borderId="0"/>
  </cellStyleXfs>
  <cellXfs count="33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0" fontId="2" fillId="5" borderId="64" applyAlignment="1" pivotButton="0" quotePrefix="0" xfId="0">
      <alignment horizontal="left" vertical="center" indent="1"/>
    </xf>
    <xf numFmtId="0" fontId="2" fillId="5" borderId="63" applyAlignment="1" pivotButton="0" quotePrefix="0" xfId="0">
      <alignment horizontal="left" vertical="center" indent="1"/>
    </xf>
    <xf numFmtId="0" fontId="2" fillId="6" borderId="67" applyAlignment="1" pivotButton="0" quotePrefix="0" xfId="0">
      <alignment horizontal="left" vertical="center" indent="1"/>
    </xf>
    <xf numFmtId="0" fontId="2" fillId="3" borderId="65" applyAlignment="1" pivotButton="0" quotePrefix="0" xfId="0">
      <alignment horizontal="left" vertical="center" indent="1"/>
    </xf>
    <xf numFmtId="0" fontId="6" fillId="3" borderId="66" applyAlignment="1" pivotButton="0" quotePrefix="0" xfId="0">
      <alignment horizontal="center" vertical="center"/>
    </xf>
    <xf numFmtId="0" fontId="10" fillId="18" borderId="43" applyAlignment="1" pivotButton="0" quotePrefix="0" xfId="0">
      <alignment horizontal="center" vertical="center"/>
    </xf>
    <xf numFmtId="0" fontId="10" fillId="18" borderId="45" applyAlignment="1" pivotButton="0" quotePrefix="0" xfId="0">
      <alignment horizontal="center" vertical="center"/>
    </xf>
    <xf numFmtId="0" fontId="4" fillId="4" borderId="52" applyAlignment="1" pivotButton="0" quotePrefix="0" xfId="0">
      <alignment horizontal="left" vertical="center" shrinkToFit="1" inden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166" fontId="4" fillId="4" borderId="1" applyAlignment="1" applyProtection="1" pivotButton="0" quotePrefix="0" xfId="0">
      <alignment horizontal="center" vertical="center"/>
      <protection locked="0" hidden="0"/>
    </xf>
    <xf numFmtId="0" fontId="4" fillId="4" borderId="20" applyAlignment="1" applyProtection="1" pivotButton="0" quotePrefix="0" xfId="0">
      <alignment horizontal="center" vertical="center"/>
      <protection locked="0" hidden="0"/>
    </xf>
    <xf numFmtId="165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1" applyAlignment="1" applyProtection="1" pivotButton="0" quotePrefix="0" xfId="0">
      <alignment horizontal="center" vertical="center"/>
      <protection locked="0" hidden="0"/>
    </xf>
    <xf numFmtId="0" fontId="4" fillId="7" borderId="1" applyAlignment="1" applyProtection="1" pivotButton="0" quotePrefix="0" xfId="0">
      <alignment horizontal="center" vertical="center"/>
      <protection locked="0" hidden="0"/>
    </xf>
    <xf numFmtId="166" fontId="4" fillId="7" borderId="1" applyAlignment="1" applyProtection="1" pivotButton="0" quotePrefix="0" xfId="0">
      <alignment horizontal="center" vertical="center"/>
      <protection locked="0" hidden="0"/>
    </xf>
    <xf numFmtId="0" fontId="4" fillId="7" borderId="20" applyAlignment="1" applyProtection="1" pivotButton="0" quotePrefix="0" xfId="0">
      <alignment horizontal="center" vertical="center"/>
      <protection locked="0" hidden="0"/>
    </xf>
    <xf numFmtId="165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1" applyAlignment="1" applyProtection="1" pivotButton="0" quotePrefix="0" xfId="0">
      <alignment horizontal="center" vertical="center"/>
      <protection locked="0" hidden="0"/>
    </xf>
    <xf numFmtId="0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20" applyAlignment="1" applyProtection="1" pivotButton="0" quotePrefix="0" xfId="0">
      <alignment horizontal="center" vertical="center"/>
      <protection locked="0" hidden="0"/>
    </xf>
    <xf numFmtId="0" fontId="4" fillId="4" borderId="62" applyAlignment="1" applyProtection="1" pivotButton="0" quotePrefix="0" xfId="0">
      <alignment horizontal="center" vertical="center"/>
      <protection locked="0" hidden="0"/>
    </xf>
    <xf numFmtId="0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20" applyAlignment="1" applyProtection="1" pivotButton="0" quotePrefix="0" xfId="0">
      <alignment horizontal="center" vertical="center"/>
      <protection locked="0" hidden="0"/>
    </xf>
    <xf numFmtId="0" fontId="4" fillId="7" borderId="62" applyAlignment="1" applyProtection="1" pivotButton="0" quotePrefix="0" xfId="0">
      <alignment horizontal="center" vertical="center"/>
      <protection locked="0" hidden="0"/>
    </xf>
    <xf numFmtId="0" fontId="11" fillId="20" borderId="40" applyAlignment="1" pivotButton="0" quotePrefix="0" xfId="0">
      <alignment horizontal="center" vertical="center"/>
    </xf>
    <xf numFmtId="0" fontId="0" fillId="2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4" fillId="4" borderId="52" applyAlignment="1" applyProtection="1" pivotButton="0" quotePrefix="0" xfId="0">
      <alignment horizontal="center" vertical="center"/>
      <protection locked="0" hidden="0"/>
    </xf>
    <xf numFmtId="0" fontId="6" fillId="16" borderId="68" applyAlignment="1" pivotButton="0" quotePrefix="0" xfId="0">
      <alignment horizontal="center" vertical="center"/>
    </xf>
    <xf numFmtId="0" fontId="6" fillId="21" borderId="66" applyAlignment="1" pivotButton="0" quotePrefix="0" xfId="0">
      <alignment horizontal="center" vertical="center"/>
    </xf>
    <xf numFmtId="0" fontId="0" fillId="16" borderId="0" pivotButton="0" quotePrefix="0" xfId="0"/>
    <xf numFmtId="0" fontId="0" fillId="21" borderId="61" pivotButton="0" quotePrefix="0" xfId="0"/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6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  <dxf>
      <font>
        <b val="1"/>
        <color rgb="FF722F37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G24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>
        <v>46299</v>
      </c>
      <c r="C5" s="279" t="n"/>
      <c r="D5" s="279" t="n"/>
      <c r="E5" s="280">
        <f>IF(AND(TRIM(C5)&lt;&gt;"",TRIM(D5)&lt;&gt;""),UPPER(TRIM(C5))&amp;"/"&amp;UPPER(TRIM(D5)),"")</f>
        <v/>
      </c>
      <c r="F5" s="279" t="n"/>
      <c r="G5" s="312">
        <f>IF((COUNTA($C$9,$C$10,$C$12,$C$13)&gt;0)+(COUNTA($E$9,$E$10,$E$12,$E$13)&gt;0)+(COUNTA($G$9:$G$13)&gt;0)&gt;1,"Два раздела",IF(COUNTA($C$9,$C$10,$C$12,$C$13)&gt;0,IF(C8="","Нет действия",IF(NOT(ISNUMBER(C9)),"Нет Кол-ва",IF(C12="",IF(C13&lt;&gt;"","Нет ID",IF(NOT(ISNUMBER(C10)),"Нет курса","Новая позиция")),IF(ISNA(MATCH(C12,Торговля!$B$5:$B$300,0)),"Нет ID",IF(NOT(ISNUMBER(C10)),"Нет курса",IF(ISNUMBER(INDEX(Торговля!$F$5:$F$300,MATCH(C12,Торговля!$B$5:$B$300,0)))=(C8="Buy"),"Увеличение",IF(C13="Полностью","Закрытие полностью","Закрытие частично"))))))),IF(COUNTA($E$9,$E$10,$E$12,$E$13)&gt;0,IF(E8="","Нет действия",IF(NOT(ISNUMBER(E9)),"Нет Кол-ва",IF(E12="",IF(E13&lt;&gt;"","Нет ID",IF(NOT(ISNUMBER(E10)),"Нет суммы","Новая позиция")),IF(ISNA(MATCH(E12,Лэндинг!$B$5:$B$300,0)),"Нет ID",IF(NOT(ISNUMBER(E10)),"Нет суммы",IF(ISNUMBER(INDEX(Лэндинг!$F$5:$F$300,MATCH(E12,Лэндинг!$B$5:$B$300,0)))=(E8="Buy"),"Увеличение",IF(E13="Полностью","Закрытие полностью","Закрытие частично"))))))),IF(COUNTA($G$9:$G$13)&gt;0,IF(G8="","Нет действия",IF(OR(NOT(ISNUMBER(G10)),NOT(ISNUMBER(G11))),"Нет Кол-ва",IF(COUNT(G12,G13)=1,"Нужны Min и Max",IF(AND(G8="Добавить",G9=""),"Новый пул",IF(G9="","Нет ID пула",IF(ISNA(MATCH(G9,Пул!$B$5:$B$300,0)),"Нет ID пула",IF(INDEX(Пул!$L$5:$L$300,MATCH(G9,Пул!$B$5:$B$300,0))="Закрыт","Пул закрыт",IF(G8="Добавить","Добавить в пул",IF(G8="Частично","Частично","Закрытие пула"))))))))),"Готово"))))</f>
        <v/>
      </c>
    </row>
    <row r="6" ht="14" customHeight="1"/>
    <row r="7" ht="22" customHeight="1">
      <c r="B7" s="305" t="inlineStr">
        <is>
          <t>ТОРГОВЛЯ</t>
        </is>
      </c>
      <c r="C7" s="297" t="n"/>
      <c r="D7" s="306" t="inlineStr">
        <is>
          <t>ЛЭНДИНГ</t>
        </is>
      </c>
      <c r="E7" s="297" t="n"/>
      <c r="F7" s="307" t="inlineStr">
        <is>
          <t>ПУЛ</t>
        </is>
      </c>
      <c r="G7" s="298" t="n"/>
    </row>
    <row r="8" ht="22" customHeight="1">
      <c r="B8" s="276" t="inlineStr">
        <is>
          <t>Действие</t>
        </is>
      </c>
      <c r="C8" s="279" t="n"/>
      <c r="D8" s="277" t="inlineStr">
        <is>
          <t>Действие</t>
        </is>
      </c>
      <c r="E8" s="279" t="n"/>
      <c r="F8" s="277" t="inlineStr">
        <is>
          <t>Действие</t>
        </is>
      </c>
      <c r="G8" s="279" t="n"/>
    </row>
    <row r="9" ht="22" customHeight="1">
      <c r="B9" s="276" t="inlineStr">
        <is>
          <t>Кол-во</t>
        </is>
      </c>
      <c r="C9" s="286" t="n"/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/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n"/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Закрыть</t>
        </is>
      </c>
      <c r="C13" s="332" t="n"/>
      <c r="D13" s="277" t="inlineStr">
        <is>
          <t>Закрыть</t>
        </is>
      </c>
      <c r="E13" s="332" t="n"/>
      <c r="F13" s="277" t="inlineStr">
        <is>
          <t>Max</t>
        </is>
      </c>
      <c r="G13" s="286" t="n"/>
    </row>
    <row r="14" ht="14" customHeight="1"/>
    <row r="15" ht="22" customHeight="1">
      <c r="B15" s="308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333" t="inlineStr">
        <is>
          <t>ЗАПИСАТЬ</t>
        </is>
      </c>
      <c r="G16" s="334" t="inlineStr">
        <is>
          <t>ОЧИСТИТЬ</t>
        </is>
      </c>
    </row>
    <row r="17" ht="26" customHeight="1">
      <c r="B17" s="294" t="n">
        <v>31000</v>
      </c>
      <c r="C17" s="294" t="n">
        <v>62000</v>
      </c>
      <c r="D17" s="295">
        <f>IF(AND(ISNUMBER(B17),ISNUMBER(C17),C17&lt;&gt;0,1-N(E17)/100&lt;&gt;0),B17/(C17*(1-N(E17)/100)),"")</f>
        <v/>
      </c>
      <c r="E17" s="294" t="n">
        <v>0.2</v>
      </c>
      <c r="G17" s="300" t="n"/>
    </row>
    <row r="18" ht="14" customHeight="1"/>
    <row r="19" ht="34" customHeight="1">
      <c r="B19" s="338" t="inlineStr">
        <is>
          <t>Торговля / Лэндинг: ID пусто — новая позиция; ID и то же Действие (Buy к Buy) — увеличение; ID и противоположное — закрытие.</t>
        </is>
      </c>
    </row>
    <row r="20" ht="34" customHeight="1">
      <c r="B20" s="338" t="inlineStr">
        <is>
          <t>Закрыть (только при ID): «Частично» списывает проданное Кол-во (пусто = Частично), «Полностью» закрывает весь остаток; разница с проданным остаётся прибылью в монетах.</t>
        </is>
      </c>
    </row>
    <row r="21" ht="34" customHeight="1">
      <c r="B21" s="338" t="inlineStr">
        <is>
          <t>Торговля: курс биржевой, без комиссии (Комиссия E17 уже учитывается в курсе журнала). Лэндинг: вводятся Кол-во и Сумма.</t>
        </is>
      </c>
    </row>
    <row r="22" ht="34" customHeight="1">
      <c r="B22" s="338" t="inlineStr">
        <is>
          <t>Пул: Min и Max — только для Web3 (могут быть дробными, меньше 1), оба поля или ни одного. Действия: Добавить, Частично (вывод части), Закрыть.</t>
        </is>
      </c>
    </row>
    <row r="23" ht="34" customHeight="1">
      <c r="B23" s="338" t="inlineStr">
        <is>
          <t>ЗАПИСАТЬ переносит данные в журнал и очищает поля (Дата и Комиссия остаются). ОЧИСТИТЬ только очищает поля. Заполняется только один раздел.</t>
        </is>
      </c>
    </row>
    <row r="24" ht="34" customHeight="1">
      <c r="B24" s="338" t="inlineStr">
        <is>
          <t>Новые монеты и новые пары добавляются в «Справочники» и в листы ИТОГО при ЗАПИСАТЬ. Актив 1 / Актив 2 можно выбрать из списка или ввести вручную.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B3:G3"/>
    <mergeCell ref="B19:G19"/>
    <mergeCell ref="B20:G20"/>
    <mergeCell ref="B1:G2"/>
    <mergeCell ref="B24:G24"/>
    <mergeCell ref="D7:E7"/>
    <mergeCell ref="B7:C7"/>
    <mergeCell ref="B22:G22"/>
    <mergeCell ref="B23:G23"/>
    <mergeCell ref="B21:G21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conditionalFormatting sqref="G5">
    <cfRule type="expression" priority="4" dxfId="5">
      <formula>OR(LEFT(G5,3)="Нет",LEFT(G5,6)="Нужны",G5="Два раздела",G5="Пул закрыт")</formula>
    </cfRule>
  </conditionalFormatting>
  <dataValidations count="20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2" showDropDown="0" showInputMessage="0" showErrorMessage="1" allowBlank="1" errorTitle="Один раздел" error="Введите ID в формате T-0001. Заполнять можно только один раздел: другой раздел уже заполнен, сначала очистите его." type="custom">
      <formula1>AND(IFERROR(AND(EXACT(LEFT(C12,2),"T-"),ISNUMBER(--MID(C12,3,20)),MID(C12,3,20)=TEXT(--MID(C12,3,20),"0000")),FALSE),COUNTA($E$9,$E$10,$E$12,$E$13,$G$9,$G$10,$G$11,$G$12,$G$13)=0)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2" showDropDown="0" showInputMessage="0" showErrorMessage="1" allowBlank="1" errorTitle="Один раздел" error="Введите ID в формате L-0001. Заполнять можно только один раздел: другой раздел уже заполнен, сначала очистите его." type="custom">
      <formula1>AND(IFERROR(AND(EXACT(LEFT(E12,2),"L-"),ISNUMBER(--MID(E12,3,20)),MID(E12,3,20)=TEXT(--MID(E12,3,20),"0000")),FALSE),COUNTA($C$9,$C$10,$C$12,$C$13,$G$9,$G$10,$G$11,$G$12,$G$13)=0)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Один раздел" error="Введите ID пула в формате P-0001. Заполнять можно только один раздел: другой раздел уже заполнен, сначала очистите его." type="custom">
      <formula1>AND(IFERROR(AND(EXACT(LEFT(G9,2),"P-"),ISNUMBER(--MID(G9,3,20)),MID(G9,3,20)=TEXT(--MID(G9,3,20),"0000")),FALSE),COUNTA($C$9,$C$10,$C$12,$C$13,$E$9,$E$10,$E$12,$E$13)=0)</formula1>
    </dataValidation>
    <dataValidation sqref="G12" showDropDown="0" showInputMessage="0" showErrorMessage="1" allowBlank="1" errorTitle="Один раздел" error="Введите число меньше Max (допустимы дробные и любые значения). Другие разделы должны быть пустыми." type="custom">
      <formula1>AND(ISNUMBER(G12),OR(NOT(ISNUMBER($G$13)),G12&lt;$G$13),COUNTA($C$9,$C$10,$C$12,$C$13,$E$9,$E$10,$E$12,$E$13)=0)</formula1>
    </dataValidation>
    <dataValidation sqref="G13" showDropDown="0" showInputMessage="0" showErrorMessage="1" allowBlank="1" errorTitle="Один раздел" error="Введите число больше Min (допустимы дробные и любые значения). Другие разделы должны быть пустыми." type="custom">
      <formula1>AND(ISNUMBER(G13),OR(NOT(ISNUMBER($G$12)),G13&gt;$G$12),COUNTA($C$9,$C$10,$C$12,$C$13,$E$9,$E$10,$E$12,$E$13)=0)</formula1>
    </dataValidation>
    <dataValidation sqref="G8" showDropDown="0" showInputMessage="0" showErrorMessage="1" allowBlank="1" errorTitle="Действие" error="Выберите значение из списка: Добавить, Частично или Закрыть." type="list">
      <formula1>"Добавить,Частично,Закрыть"</formula1>
    </dataValidation>
    <dataValidation sqref="C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E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C5 D5" showDropDown="0" showInputMessage="0" showErrorMessage="0" allowBlank="1" type="list">
      <formula1>=Список_Монеты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T-0001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T-0004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T-0002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T-0007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T-0008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T-0009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T-0010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T-0011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T-0012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T-0013</t>
        </is>
      </c>
      <c r="C15" s="314" t="n">
        <v>46302</v>
      </c>
      <c r="D15" s="313" t="inlineStr">
        <is>
          <t>Binance</t>
        </is>
      </c>
      <c r="E15" s="315" t="inlineStr">
        <is>
          <t>AAVE/ETH</t>
        </is>
      </c>
      <c r="F15" s="316" t="n">
        <v>20</v>
      </c>
      <c r="G15" s="317" t="n">
        <v>0.062625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T-0014</t>
        </is>
      </c>
      <c r="C16" s="319" t="n">
        <v>46302</v>
      </c>
      <c r="D16" s="318" t="inlineStr">
        <is>
          <t>Bybit</t>
        </is>
      </c>
      <c r="E16" s="320" t="inlineStr">
        <is>
          <t>DOGE/BTC</t>
        </is>
      </c>
      <c r="F16" s="321" t="n"/>
      <c r="G16" s="322" t="n"/>
      <c r="H16" s="271">
        <f>IF(AND(ISNUMBER(F16),ISNUMBER(G16)),F16*G16,"")</f>
        <v/>
      </c>
      <c r="I16" s="321" t="n">
        <v>100000</v>
      </c>
      <c r="J16" s="322" t="n">
        <v>2.89e-06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T-0015</t>
        </is>
      </c>
      <c r="C17" s="314" t="n">
        <v>46302</v>
      </c>
      <c r="D17" s="313" t="inlineStr">
        <is>
          <t>OKX</t>
        </is>
      </c>
      <c r="E17" s="315" t="inlineStr">
        <is>
          <t>LTC/BCH</t>
        </is>
      </c>
      <c r="F17" s="316" t="n">
        <v>50</v>
      </c>
      <c r="G17" s="317" t="n">
        <v>0.2004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T-0016</t>
        </is>
      </c>
      <c r="C18" s="319" t="n">
        <v>46302</v>
      </c>
      <c r="D18" s="318" t="inlineStr">
        <is>
          <t>Binance</t>
        </is>
      </c>
      <c r="E18" s="320" t="inlineStr">
        <is>
          <t>XRP/TRX</t>
        </is>
      </c>
      <c r="F18" s="321" t="n"/>
      <c r="G18" s="322" t="n"/>
      <c r="H18" s="271">
        <f>IF(AND(ISNUMBER(F18),ISNUMBER(G18)),F18*G18,"")</f>
        <v/>
      </c>
      <c r="I18" s="321" t="n">
        <v>3000</v>
      </c>
      <c r="J18" s="322" t="n">
        <v>8.133699999999999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T-0017</t>
        </is>
      </c>
      <c r="C19" s="314" t="n">
        <v>46302</v>
      </c>
      <c r="D19" s="313" t="inlineStr">
        <is>
          <t>Bybit</t>
        </is>
      </c>
      <c r="E19" s="315" t="inlineStr">
        <is>
          <t>SOL/USDT</t>
        </is>
      </c>
      <c r="F19" s="316" t="n">
        <v>40</v>
      </c>
      <c r="G19" s="317" t="n">
        <v>150.3</v>
      </c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T-0023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>
        <v>6</v>
      </c>
      <c r="G20" s="322" t="n">
        <v>0.187875</v>
      </c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T-0024</t>
        </is>
      </c>
      <c r="C21" s="314" t="n">
        <v>46303</v>
      </c>
      <c r="D21" s="313" t="inlineStr">
        <is>
          <t>Bybit</t>
        </is>
      </c>
      <c r="E21" s="315" t="inlineStr">
        <is>
          <t>BNB/BTC</t>
        </is>
      </c>
      <c r="F21" s="316" t="n"/>
      <c r="G21" s="317" t="n"/>
      <c r="H21" s="271">
        <f>IF(AND(ISNUMBER(F21),ISNUMBER(G21)),F21*G21,"")</f>
        <v/>
      </c>
      <c r="I21" s="316" t="n">
        <v>5</v>
      </c>
      <c r="J21" s="317" t="n">
        <v>0.00966064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T-0025</t>
        </is>
      </c>
      <c r="C22" s="319" t="n">
        <v>46303</v>
      </c>
      <c r="D22" s="318" t="inlineStr">
        <is>
          <t>OKX</t>
        </is>
      </c>
      <c r="E22" s="320" t="inlineStr">
        <is>
          <t>CAKE/ETH</t>
        </is>
      </c>
      <c r="F22" s="321" t="n">
        <v>350</v>
      </c>
      <c r="G22" s="322" t="n">
        <v>0.0007515</v>
      </c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T-0026</t>
        </is>
      </c>
      <c r="C23" s="314" t="n">
        <v>46303</v>
      </c>
      <c r="D23" s="313" t="inlineStr">
        <is>
          <t>Binance</t>
        </is>
      </c>
      <c r="E23" s="315" t="inlineStr">
        <is>
          <t>DASH/BTC</t>
        </is>
      </c>
      <c r="F23" s="316" t="n">
        <v>18</v>
      </c>
      <c r="G23" s="317" t="n">
        <v>0.00061423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T-0027</t>
        </is>
      </c>
      <c r="C24" s="319" t="n">
        <v>46304</v>
      </c>
      <c r="D24" s="318" t="inlineStr">
        <is>
          <t>Bybit</t>
        </is>
      </c>
      <c r="E24" s="320" t="inlineStr">
        <is>
          <t>DASH/LTC</t>
        </is>
      </c>
      <c r="F24" s="321" t="n"/>
      <c r="G24" s="322" t="n"/>
      <c r="H24" s="271">
        <f>IF(AND(ISNUMBER(F24),ISNUMBER(G24)),F24*G24,"")</f>
        <v/>
      </c>
      <c r="I24" s="321" t="n">
        <v>30</v>
      </c>
      <c r="J24" s="322" t="n">
        <v>0.4213556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inlineStr">
        <is>
          <t>T-0029</t>
        </is>
      </c>
      <c r="C25" s="314" t="n">
        <v>46303</v>
      </c>
      <c r="D25" s="313" t="inlineStr">
        <is>
          <t>Bybit</t>
        </is>
      </c>
      <c r="E25" s="315" t="inlineStr">
        <is>
          <t>SOL/USDT</t>
        </is>
      </c>
      <c r="F25" s="316" t="n">
        <v>12</v>
      </c>
      <c r="G25" s="317" t="n">
        <v>150.3</v>
      </c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ADA/USDT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BNB/BTC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BNB/ETH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BTC/USDT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DASH/BTC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DASH/LTC</t>
        </is>
      </c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DOGE/BTC</t>
        </is>
      </c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DOGE/USDT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ETH/BTC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ETH/USDT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LINK/ETH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LTC/BCH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SOL/USDT</t>
        </is>
      </c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XRP/TRX</t>
        </is>
      </c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XRP/USDT</t>
        </is>
      </c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240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246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240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246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240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246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240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246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240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246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240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246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240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246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240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246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240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246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240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246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240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246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240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246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240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246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240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246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240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246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240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246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240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246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240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246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240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246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240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246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240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246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240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246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240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246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240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246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240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246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240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246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240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246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240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246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240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246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240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246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240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246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240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246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240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246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240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246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240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246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240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246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240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246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240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246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240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246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240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246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240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246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240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246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240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246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240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246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240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246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240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246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240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246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240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246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240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246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240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246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240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246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240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246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240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246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240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246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240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246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240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246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240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246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240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246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240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246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240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246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240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246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240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246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240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246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240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246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240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246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240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246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240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246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240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246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240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246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240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246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240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246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240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246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240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246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240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246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240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246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240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246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240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246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240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246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240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246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240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246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240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246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240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246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240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246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240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246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240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246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240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246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240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246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240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246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240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246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240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246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240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246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240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246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240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246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240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246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240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246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240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246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240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246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240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246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240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246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240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246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240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246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240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246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240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246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240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246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240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246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240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246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240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246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240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246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240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246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240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246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240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246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240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246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240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246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240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246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240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246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240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246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240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246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240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246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240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246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240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246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240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246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240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246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240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246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240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246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240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246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240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246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240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246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240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246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240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246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240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246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240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246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240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246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240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246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240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246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240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246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240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246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240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246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240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246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240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246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L-0005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L-0001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L-0004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L-0002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L-0007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L-0008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L-0009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L-0010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L-0011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L-0012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L-0016</t>
        </is>
      </c>
      <c r="C15" s="314" t="n">
        <v>46302</v>
      </c>
      <c r="D15" s="313" t="inlineStr">
        <is>
          <t>Binance</t>
        </is>
      </c>
      <c r="E15" s="315" t="inlineStr">
        <is>
          <t>BNB/ETH</t>
        </is>
      </c>
      <c r="F15" s="316" t="n">
        <v>15</v>
      </c>
      <c r="G15" s="317" t="n">
        <v>0.188376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L-0017</t>
        </is>
      </c>
      <c r="C16" s="319" t="n">
        <v>46302</v>
      </c>
      <c r="D16" s="318" t="inlineStr">
        <is>
          <t>Bybit</t>
        </is>
      </c>
      <c r="E16" s="320" t="inlineStr">
        <is>
          <t>BNB/BTC</t>
        </is>
      </c>
      <c r="F16" s="321" t="n"/>
      <c r="G16" s="322" t="n"/>
      <c r="H16" s="271">
        <f>IF(AND(ISNUMBER(F16),ISNUMBER(G16)),F16*G16,"")</f>
        <v/>
      </c>
      <c r="I16" s="321" t="n">
        <v>10</v>
      </c>
      <c r="J16" s="322" t="n">
        <v>0.00965066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L-0018</t>
        </is>
      </c>
      <c r="C17" s="314" t="n">
        <v>46302</v>
      </c>
      <c r="D17" s="313" t="inlineStr">
        <is>
          <t>OKX</t>
        </is>
      </c>
      <c r="E17" s="315" t="inlineStr">
        <is>
          <t>CAKE/ETH</t>
        </is>
      </c>
      <c r="F17" s="316" t="n">
        <v>800</v>
      </c>
      <c r="G17" s="317" t="n">
        <v>0.0007515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L-0019</t>
        </is>
      </c>
      <c r="C18" s="319" t="n">
        <v>46303</v>
      </c>
      <c r="D18" s="318" t="inlineStr">
        <is>
          <t>AAVE</t>
        </is>
      </c>
      <c r="E18" s="320" t="inlineStr">
        <is>
          <t>ETH/BTC</t>
        </is>
      </c>
      <c r="F18" s="321" t="n">
        <v>3</v>
      </c>
      <c r="G18" s="322" t="n">
        <v>0.0517032</v>
      </c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L-0020</t>
        </is>
      </c>
      <c r="C19" s="314" t="n">
        <v>46303</v>
      </c>
      <c r="D19" s="313" t="inlineStr">
        <is>
          <t>Binance</t>
        </is>
      </c>
      <c r="E19" s="315" t="inlineStr">
        <is>
          <t>ETH/USDT</t>
        </is>
      </c>
      <c r="F19" s="316" t="n"/>
      <c r="G19" s="317" t="n"/>
      <c r="H19" s="271">
        <f>IF(AND(ISNUMBER(F19),ISNUMBER(G19)),F19*G19,"")</f>
        <v/>
      </c>
      <c r="I19" s="316" t="n">
        <v>2</v>
      </c>
      <c r="J19" s="317" t="n">
        <v>3203.58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L-0026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/>
      <c r="G20" s="322" t="n"/>
      <c r="H20" s="271">
        <f>IF(AND(ISNUMBER(F20),ISNUMBER(G20)),F20*G20,"")</f>
        <v/>
      </c>
      <c r="I20" s="321" t="n">
        <v>7</v>
      </c>
      <c r="J20" s="322" t="n">
        <v>0.188622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L-0027</t>
        </is>
      </c>
      <c r="C21" s="314" t="n">
        <v>46303</v>
      </c>
      <c r="D21" s="313" t="inlineStr">
        <is>
          <t>Bybit</t>
        </is>
      </c>
      <c r="E21" s="315" t="inlineStr">
        <is>
          <t>CAKE/BTC</t>
        </is>
      </c>
      <c r="F21" s="316" t="n">
        <v>400</v>
      </c>
      <c r="G21" s="317" t="n">
        <v>3.858e-05</v>
      </c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L-0028</t>
        </is>
      </c>
      <c r="C22" s="319" t="n">
        <v>46303</v>
      </c>
      <c r="D22" s="318" t="inlineStr">
        <is>
          <t>AAVE</t>
        </is>
      </c>
      <c r="E22" s="320" t="inlineStr">
        <is>
          <t>ETH/BTC</t>
        </is>
      </c>
      <c r="F22" s="321" t="n"/>
      <c r="G22" s="322" t="n"/>
      <c r="H22" s="271">
        <f>IF(AND(ISNUMBER(F22),ISNUMBER(G22)),F22*G22,"")</f>
        <v/>
      </c>
      <c r="I22" s="321" t="n">
        <v>2.5</v>
      </c>
      <c r="J22" s="322" t="n">
        <v>0.0516964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L-0029</t>
        </is>
      </c>
      <c r="C23" s="314" t="n">
        <v>46304</v>
      </c>
      <c r="D23" s="313" t="inlineStr">
        <is>
          <t>OKX</t>
        </is>
      </c>
      <c r="E23" s="315" t="inlineStr">
        <is>
          <t>BNB/ETH</t>
        </is>
      </c>
      <c r="F23" s="316" t="n">
        <v>5</v>
      </c>
      <c r="G23" s="317" t="n">
        <v>0.187374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L-0030</t>
        </is>
      </c>
      <c r="C24" s="319" t="n">
        <v>46304</v>
      </c>
      <c r="D24" s="318" t="inlineStr">
        <is>
          <t>Binance</t>
        </is>
      </c>
      <c r="E24" s="320" t="inlineStr">
        <is>
          <t>BTC/USDT</t>
        </is>
      </c>
      <c r="F24" s="321" t="n">
        <v>0.09</v>
      </c>
      <c r="G24" s="322" t="n">
        <v>62023.8</v>
      </c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BNB/BTC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BNB/ETH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BTC/USDT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ETH/BTC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ETH/USDT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LTC/USDT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SOL/USDT</t>
        </is>
      </c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246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240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246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240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246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240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246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240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246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240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246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240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246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240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246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240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246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240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246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240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246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240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246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240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246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240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246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240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246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240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246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240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246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240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246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240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246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240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246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240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246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240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246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240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246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240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246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240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246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240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246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240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246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240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246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240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246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240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246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240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246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240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246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240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246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240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246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240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246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240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246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240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246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240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246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240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246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240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246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240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246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240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246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240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246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240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246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240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246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240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246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240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246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240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246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240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246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240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246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240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246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240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246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240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246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240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246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240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246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240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246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240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246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240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246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240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246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240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246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240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246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240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246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240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246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240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246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240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246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240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246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240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246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240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246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240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246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240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246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240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246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240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246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240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246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240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246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240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246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240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246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240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246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240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246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240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246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240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246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240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246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240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246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240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246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240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246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240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246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240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246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240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246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240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246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240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246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240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246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240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246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240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246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240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246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240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246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240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246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240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246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240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246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240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246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240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246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240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246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240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246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240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246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240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246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240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246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240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246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240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246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240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246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240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246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240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246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240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246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240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246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240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246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240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246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240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246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240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246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240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246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240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246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240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246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240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246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240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246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240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246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240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246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240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246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240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246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240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246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240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246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240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246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240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246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240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246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240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246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240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246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240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246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240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246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240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246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240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246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240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246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240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246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240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246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240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246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240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246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240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246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240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246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240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246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  <col width="13" customWidth="1" min="13" max="13"/>
    <col width="13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10" t="inlineStr">
        <is>
          <t>Min</t>
        </is>
      </c>
      <c r="N4" s="311" t="inlineStr">
        <is>
          <t>Max</t>
        </is>
      </c>
    </row>
    <row r="5" ht="22" customHeight="1">
      <c r="B5" s="323" t="inlineStr">
        <is>
          <t>P-0003</t>
        </is>
      </c>
      <c r="C5" s="314" t="n">
        <v>46297</v>
      </c>
      <c r="D5" s="313" t="inlineStr">
        <is>
          <t>PancakeSwap</t>
        </is>
      </c>
      <c r="E5" s="315" t="inlineStr">
        <is>
          <t>BNB/USDT</t>
        </is>
      </c>
      <c r="F5" s="316" t="n">
        <v>4</v>
      </c>
      <c r="G5" s="324" t="n">
        <v>2360</v>
      </c>
      <c r="H5" s="316" t="n">
        <v>4.2</v>
      </c>
      <c r="I5" s="324" t="n">
        <v>2300</v>
      </c>
      <c r="J5" s="240">
        <f>IF(AND(L5="Закрыт",ISNUMBER(F5),ISNUMBER(H5)),ROUND(H5-F5,8),"")</f>
        <v/>
      </c>
      <c r="K5" s="241">
        <f>IF(AND(L5="Закрыт",ISNUMBER(G5),ISNUMBER(I5)),ROUND(I5-G5,8),"")</f>
        <v/>
      </c>
      <c r="L5" s="325" t="inlineStr">
        <is>
          <t>Закрыт</t>
        </is>
      </c>
      <c r="M5" s="316" t="n"/>
      <c r="N5" s="324" t="n"/>
    </row>
    <row r="6" ht="22" customHeight="1">
      <c r="B6" s="326" t="inlineStr">
        <is>
          <t>P-0006</t>
        </is>
      </c>
      <c r="C6" s="319" t="n">
        <v>46299</v>
      </c>
      <c r="D6" s="318" t="inlineStr">
        <is>
          <t>Uniswap</t>
        </is>
      </c>
      <c r="E6" s="320" t="inlineStr">
        <is>
          <t>BTC/USDT</t>
        </is>
      </c>
      <c r="F6" s="321" t="n">
        <v>0.05</v>
      </c>
      <c r="G6" s="327" t="n">
        <v>3125</v>
      </c>
      <c r="H6" s="321" t="n"/>
      <c r="I6" s="327" t="n"/>
      <c r="J6" s="246">
        <f>IF(AND(L6="Закрыт",ISNUMBER(F6),ISNUMBER(H6)),ROUND(H6-F6,8),"")</f>
        <v/>
      </c>
      <c r="K6" s="247">
        <f>IF(AND(L6="Закрыт",ISNUMBER(G6),ISNUMBER(I6)),ROUND(I6-G6,8),"")</f>
        <v/>
      </c>
      <c r="L6" s="328" t="inlineStr">
        <is>
          <t>Открыт</t>
        </is>
      </c>
      <c r="M6" s="321" t="n">
        <v>58000</v>
      </c>
      <c r="N6" s="327" t="n">
        <v>68000</v>
      </c>
    </row>
    <row r="7" ht="22" customHeight="1">
      <c r="B7" s="323" t="inlineStr">
        <is>
          <t>P-0001</t>
        </is>
      </c>
      <c r="C7" s="314" t="n">
        <v>46296</v>
      </c>
      <c r="D7" s="313" t="inlineStr">
        <is>
          <t>Uniswap</t>
        </is>
      </c>
      <c r="E7" s="315" t="inlineStr">
        <is>
          <t>ETH/BTC</t>
        </is>
      </c>
      <c r="F7" s="316" t="n">
        <v>2</v>
      </c>
      <c r="G7" s="324" t="n">
        <v>0.104</v>
      </c>
      <c r="H7" s="316" t="n">
        <v>1.96</v>
      </c>
      <c r="I7" s="324" t="n">
        <v>0.1092</v>
      </c>
      <c r="J7" s="240">
        <f>IF(AND(L7="Закрыт",ISNUMBER(F7),ISNUMBER(H7)),ROUND(H7-F7,8),"")</f>
        <v/>
      </c>
      <c r="K7" s="241">
        <f>IF(AND(L7="Закрыт",ISNUMBER(G7),ISNUMBER(I7)),ROUND(I7-G7,8),"")</f>
        <v/>
      </c>
      <c r="L7" s="325" t="inlineStr">
        <is>
          <t>Закрыт</t>
        </is>
      </c>
      <c r="M7" s="316" t="n"/>
      <c r="N7" s="324" t="n"/>
    </row>
    <row r="8" ht="22" customHeight="1">
      <c r="B8" s="326" t="inlineStr">
        <is>
          <t>P-0007</t>
        </is>
      </c>
      <c r="C8" s="319" t="n">
        <v>46299</v>
      </c>
      <c r="D8" s="318" t="inlineStr">
        <is>
          <t>PancakeSwap</t>
        </is>
      </c>
      <c r="E8" s="320" t="inlineStr">
        <is>
          <t>ETH/BTC</t>
        </is>
      </c>
      <c r="F8" s="321" t="n">
        <v>1.2</v>
      </c>
      <c r="G8" s="327" t="n">
        <v>0.0624</v>
      </c>
      <c r="H8" s="321" t="n"/>
      <c r="I8" s="327" t="n"/>
      <c r="J8" s="246">
        <f>IF(AND(L8="Закрыт",ISNUMBER(F8),ISNUMBER(H8)),ROUND(H8-F8,8),"")</f>
        <v/>
      </c>
      <c r="K8" s="247">
        <f>IF(AND(L8="Закрыт",ISNUMBER(G8),ISNUMBER(I8)),ROUND(I8-G8,8),"")</f>
        <v/>
      </c>
      <c r="L8" s="328" t="inlineStr">
        <is>
          <t>Открыт</t>
        </is>
      </c>
      <c r="M8" s="321" t="n"/>
      <c r="N8" s="327" t="n"/>
    </row>
    <row r="9" ht="22" customHeight="1">
      <c r="B9" s="323" t="inlineStr">
        <is>
          <t>P-0004</t>
        </is>
      </c>
      <c r="C9" s="314" t="n">
        <v>46298</v>
      </c>
      <c r="D9" s="313" t="inlineStr">
        <is>
          <t>Uniswap</t>
        </is>
      </c>
      <c r="E9" s="315" t="inlineStr">
        <is>
          <t>ETH/USDT</t>
        </is>
      </c>
      <c r="F9" s="316" t="n">
        <v>1.5</v>
      </c>
      <c r="G9" s="324" t="n">
        <v>4800</v>
      </c>
      <c r="H9" s="316" t="n"/>
      <c r="I9" s="324" t="n"/>
      <c r="J9" s="240">
        <f>IF(AND(L9="Закрыт",ISNUMBER(F9),ISNUMBER(H9)),ROUND(H9-F9,8),"")</f>
        <v/>
      </c>
      <c r="K9" s="241">
        <f>IF(AND(L9="Закрыт",ISNUMBER(G9),ISNUMBER(I9)),ROUND(I9-G9,8),"")</f>
        <v/>
      </c>
      <c r="L9" s="325" t="inlineStr">
        <is>
          <t>Открыт</t>
        </is>
      </c>
      <c r="M9" s="316" t="n">
        <v>2800</v>
      </c>
      <c r="N9" s="324" t="n">
        <v>3600</v>
      </c>
    </row>
    <row r="10" ht="22" customHeight="1">
      <c r="B10" s="326" t="inlineStr">
        <is>
          <t>P-0002</t>
        </is>
      </c>
      <c r="C10" s="319" t="n">
        <v>46296</v>
      </c>
      <c r="D10" s="318" t="inlineStr">
        <is>
          <t>Raydium</t>
        </is>
      </c>
      <c r="E10" s="320" t="inlineStr">
        <is>
          <t>SOL/USDT</t>
        </is>
      </c>
      <c r="F10" s="321" t="n">
        <v>30</v>
      </c>
      <c r="G10" s="327" t="n">
        <v>4350</v>
      </c>
      <c r="H10" s="321" t="n">
        <v>28.5</v>
      </c>
      <c r="I10" s="327" t="n">
        <v>4560</v>
      </c>
      <c r="J10" s="246">
        <f>IF(AND(L10="Закрыт",ISNUMBER(F10),ISNUMBER(H10)),ROUND(H10-F10,8),"")</f>
        <v/>
      </c>
      <c r="K10" s="247">
        <f>IF(AND(L10="Закрыт",ISNUMBER(G10),ISNUMBER(I10)),ROUND(I10-G10,8),"")</f>
        <v/>
      </c>
      <c r="L10" s="328" t="inlineStr">
        <is>
          <t>Закрыт</t>
        </is>
      </c>
      <c r="M10" s="321" t="n"/>
      <c r="N10" s="327" t="n"/>
    </row>
    <row r="11" ht="22" customHeight="1">
      <c r="B11" s="323" t="inlineStr">
        <is>
          <t>P-0005</t>
        </is>
      </c>
      <c r="C11" s="314" t="n">
        <v>46298</v>
      </c>
      <c r="D11" s="313" t="inlineStr">
        <is>
          <t>Orca</t>
        </is>
      </c>
      <c r="E11" s="315" t="inlineStr">
        <is>
          <t>SOL/USDT</t>
        </is>
      </c>
      <c r="F11" s="316" t="n">
        <v>12</v>
      </c>
      <c r="G11" s="324" t="n">
        <v>1740</v>
      </c>
      <c r="H11" s="316" t="n">
        <v>12.6</v>
      </c>
      <c r="I11" s="324" t="n">
        <v>1688</v>
      </c>
      <c r="J11" s="240">
        <f>IF(AND(L11="Закрыт",ISNUMBER(F11),ISNUMBER(H11)),ROUND(H11-F11,8),"")</f>
        <v/>
      </c>
      <c r="K11" s="241">
        <f>IF(AND(L11="Закрыт",ISNUMBER(G11),ISNUMBER(I11)),ROUND(I11-G11,8),"")</f>
        <v/>
      </c>
      <c r="L11" s="325" t="inlineStr">
        <is>
          <t>Закрыт</t>
        </is>
      </c>
      <c r="M11" s="316" t="n"/>
      <c r="N11" s="324" t="n"/>
    </row>
    <row r="12" ht="22" customHeight="1">
      <c r="B12" s="326" t="inlineStr">
        <is>
          <t>P-0008</t>
        </is>
      </c>
      <c r="C12" s="319" t="n">
        <v>46299</v>
      </c>
      <c r="D12" s="318" t="inlineStr">
        <is>
          <t>Raydium</t>
        </is>
      </c>
      <c r="E12" s="320" t="inlineStr">
        <is>
          <t>SOL/USDT</t>
        </is>
      </c>
      <c r="F12" s="321" t="n">
        <v>25</v>
      </c>
      <c r="G12" s="327" t="n">
        <v>3625</v>
      </c>
      <c r="H12" s="321" t="n">
        <v>10</v>
      </c>
      <c r="I12" s="327" t="n">
        <v>1480</v>
      </c>
      <c r="J12" s="246">
        <f>IF(AND(L12="Закрыт",ISNUMBER(F12),ISNUMBER(H12)),ROUND(H12-F12,8),"")</f>
        <v/>
      </c>
      <c r="K12" s="247">
        <f>IF(AND(L12="Закрыт",ISNUMBER(G12),ISNUMBER(I12)),ROUND(I12-G12,8),"")</f>
        <v/>
      </c>
      <c r="L12" s="328" t="inlineStr">
        <is>
          <t>Открыт</t>
        </is>
      </c>
      <c r="M12" s="321" t="n"/>
      <c r="N12" s="327" t="n"/>
    </row>
    <row r="13" ht="22" customHeight="1">
      <c r="B13" s="323" t="inlineStr">
        <is>
          <t>P-0009</t>
        </is>
      </c>
      <c r="C13" s="314" t="n">
        <v>46302</v>
      </c>
      <c r="D13" s="313" t="inlineStr">
        <is>
          <t>Raydium</t>
        </is>
      </c>
      <c r="E13" s="315" t="inlineStr">
        <is>
          <t>SOL/USDT</t>
        </is>
      </c>
      <c r="F13" s="316" t="n">
        <v>20</v>
      </c>
      <c r="G13" s="324" t="n">
        <v>3000</v>
      </c>
      <c r="H13" s="316" t="n"/>
      <c r="I13" s="324" t="n"/>
      <c r="J13" s="240">
        <f>IF(AND(L13="Закрыт",ISNUMBER(F13),ISNUMBER(H13)),ROUND(H13-F13,8),"")</f>
        <v/>
      </c>
      <c r="K13" s="241">
        <f>IF(AND(L13="Закрыт",ISNUMBER(G13),ISNUMBER(I13)),ROUND(I13-G13,8),"")</f>
        <v/>
      </c>
      <c r="L13" s="325" t="inlineStr">
        <is>
          <t>Открыт</t>
        </is>
      </c>
      <c r="M13" s="316" t="n">
        <v>130</v>
      </c>
      <c r="N13" s="324" t="n">
        <v>170</v>
      </c>
    </row>
    <row r="14" ht="22" customHeight="1">
      <c r="B14" s="326" t="inlineStr">
        <is>
          <t>P-0010</t>
        </is>
      </c>
      <c r="C14" s="319" t="n">
        <v>46302</v>
      </c>
      <c r="D14" s="318" t="inlineStr">
        <is>
          <t>Raydium</t>
        </is>
      </c>
      <c r="E14" s="320" t="inlineStr">
        <is>
          <t>ELIZAOS/SOL</t>
        </is>
      </c>
      <c r="F14" s="321" t="n">
        <v>10000</v>
      </c>
      <c r="G14" s="327" t="n">
        <v>23.5</v>
      </c>
      <c r="H14" s="321" t="n"/>
      <c r="I14" s="327" t="n"/>
      <c r="J14" s="246">
        <f>IF(AND(L14="Закрыт",ISNUMBER(F14),ISNUMBER(H14)),ROUND(H14-F14,8),"")</f>
        <v/>
      </c>
      <c r="K14" s="247">
        <f>IF(AND(L14="Закрыт",ISNUMBER(G14),ISNUMBER(I14)),ROUND(I14-G14,8),"")</f>
        <v/>
      </c>
      <c r="L14" s="328" t="inlineStr">
        <is>
          <t>Открыт</t>
        </is>
      </c>
      <c r="M14" s="321" t="n"/>
      <c r="N14" s="327" t="n"/>
    </row>
    <row r="15" ht="22" customHeight="1">
      <c r="B15" s="323" t="inlineStr">
        <is>
          <t>P-0011</t>
        </is>
      </c>
      <c r="C15" s="314" t="n">
        <v>46302</v>
      </c>
      <c r="D15" s="313" t="inlineStr">
        <is>
          <t>Orca</t>
        </is>
      </c>
      <c r="E15" s="315" t="inlineStr">
        <is>
          <t>SOL/USDT</t>
        </is>
      </c>
      <c r="F15" s="316" t="n">
        <v>15</v>
      </c>
      <c r="G15" s="324" t="n">
        <v>2250</v>
      </c>
      <c r="H15" s="316" t="n"/>
      <c r="I15" s="324" t="n"/>
      <c r="J15" s="240">
        <f>IF(AND(L15="Закрыт",ISNUMBER(F15),ISNUMBER(H15)),ROUND(H15-F15,8),"")</f>
        <v/>
      </c>
      <c r="K15" s="241">
        <f>IF(AND(L15="Закрыт",ISNUMBER(G15),ISNUMBER(I15)),ROUND(I15-G15,8),"")</f>
        <v/>
      </c>
      <c r="L15" s="325" t="inlineStr">
        <is>
          <t>Открыт</t>
        </is>
      </c>
      <c r="M15" s="316" t="n"/>
      <c r="N15" s="324" t="n"/>
    </row>
    <row r="16" ht="22" customHeight="1">
      <c r="B16" s="326" t="inlineStr">
        <is>
          <t>P-0012</t>
        </is>
      </c>
      <c r="C16" s="319" t="n">
        <v>46302</v>
      </c>
      <c r="D16" s="318" t="inlineStr">
        <is>
          <t>Uniswap</t>
        </is>
      </c>
      <c r="E16" s="320" t="inlineStr">
        <is>
          <t>ETH/BTC</t>
        </is>
      </c>
      <c r="F16" s="321" t="n">
        <v>2.5</v>
      </c>
      <c r="G16" s="327" t="n">
        <v>0.129</v>
      </c>
      <c r="H16" s="321" t="n"/>
      <c r="I16" s="327" t="n"/>
      <c r="J16" s="246">
        <f>IF(AND(L16="Закрыт",ISNUMBER(F16),ISNUMBER(H16)),ROUND(H16-F16,8),"")</f>
        <v/>
      </c>
      <c r="K16" s="247">
        <f>IF(AND(L16="Закрыт",ISNUMBER(G16),ISNUMBER(I16)),ROUND(I16-G16,8),"")</f>
        <v/>
      </c>
      <c r="L16" s="328" t="inlineStr">
        <is>
          <t>Открыт</t>
        </is>
      </c>
      <c r="M16" s="321" t="n"/>
      <c r="N16" s="327" t="n"/>
    </row>
    <row r="17" ht="22" customHeight="1">
      <c r="B17" s="323" t="inlineStr">
        <is>
          <t>P-0013</t>
        </is>
      </c>
      <c r="C17" s="314" t="n">
        <v>46303</v>
      </c>
      <c r="D17" s="313" t="inlineStr">
        <is>
          <t>PancakeSwap</t>
        </is>
      </c>
      <c r="E17" s="315" t="inlineStr">
        <is>
          <t>BNB/ETH</t>
        </is>
      </c>
      <c r="F17" s="316" t="n">
        <v>6</v>
      </c>
      <c r="G17" s="324" t="n">
        <v>1.125</v>
      </c>
      <c r="H17" s="316" t="n"/>
      <c r="I17" s="324" t="n"/>
      <c r="J17" s="240">
        <f>IF(AND(L17="Закрыт",ISNUMBER(F17),ISNUMBER(H17)),ROUND(H17-F17,8),"")</f>
        <v/>
      </c>
      <c r="K17" s="241">
        <f>IF(AND(L17="Закрыт",ISNUMBER(G17),ISNUMBER(I17)),ROUND(I17-G17,8),"")</f>
        <v/>
      </c>
      <c r="L17" s="325" t="inlineStr">
        <is>
          <t>Открыт</t>
        </is>
      </c>
      <c r="M17" s="316" t="n"/>
      <c r="N17" s="324" t="n"/>
    </row>
    <row r="18" ht="22" customHeight="1">
      <c r="B18" s="326" t="inlineStr">
        <is>
          <t>P-0014</t>
        </is>
      </c>
      <c r="C18" s="319" t="n">
        <v>46302</v>
      </c>
      <c r="D18" s="318" t="inlineStr">
        <is>
          <t>Uniswap</t>
        </is>
      </c>
      <c r="E18" s="320" t="inlineStr">
        <is>
          <t>ETH/USDT</t>
        </is>
      </c>
      <c r="F18" s="321" t="n">
        <v>1.5</v>
      </c>
      <c r="G18" s="327" t="n">
        <v>4800</v>
      </c>
      <c r="H18" s="321" t="n">
        <v>1.46</v>
      </c>
      <c r="I18" s="327" t="n">
        <v>4990</v>
      </c>
      <c r="J18" s="246">
        <f>IF(AND(L18="Закрыт",ISNUMBER(F18),ISNUMBER(H18)),ROUND(H18-F18,8),"")</f>
        <v/>
      </c>
      <c r="K18" s="247">
        <f>IF(AND(L18="Закрыт",ISNUMBER(G18),ISNUMBER(I18)),ROUND(I18-G18,8),"")</f>
        <v/>
      </c>
      <c r="L18" s="328" t="inlineStr">
        <is>
          <t>Закрыт</t>
        </is>
      </c>
      <c r="M18" s="321" t="n"/>
      <c r="N18" s="327" t="n"/>
    </row>
    <row r="19" ht="22" customHeight="1">
      <c r="B19" s="323" t="inlineStr">
        <is>
          <t>P-0015</t>
        </is>
      </c>
      <c r="C19" s="314" t="n">
        <v>46302</v>
      </c>
      <c r="D19" s="313" t="inlineStr">
        <is>
          <t>Uniswap</t>
        </is>
      </c>
      <c r="E19" s="315" t="inlineStr">
        <is>
          <t>ARB/ETH</t>
        </is>
      </c>
      <c r="F19" s="316" t="n">
        <v>8000</v>
      </c>
      <c r="G19" s="324" t="n">
        <v>1.375</v>
      </c>
      <c r="H19" s="316" t="n">
        <v>8350</v>
      </c>
      <c r="I19" s="324" t="n">
        <v>1.31</v>
      </c>
      <c r="J19" s="240">
        <f>IF(AND(L19="Закрыт",ISNUMBER(F19),ISNUMBER(H19)),ROUND(H19-F19,8),"")</f>
        <v/>
      </c>
      <c r="K19" s="241">
        <f>IF(AND(L19="Закрыт",ISNUMBER(G19),ISNUMBER(I19)),ROUND(I19-G19,8),"")</f>
        <v/>
      </c>
      <c r="L19" s="325" t="inlineStr">
        <is>
          <t>Закрыт</t>
        </is>
      </c>
      <c r="M19" s="316" t="n"/>
      <c r="N19" s="324" t="n"/>
    </row>
    <row r="20" ht="22" customHeight="1">
      <c r="B20" s="326" t="inlineStr">
        <is>
          <t>P-0016</t>
        </is>
      </c>
      <c r="C20" s="319" t="n">
        <v>46303</v>
      </c>
      <c r="D20" s="318" t="inlineStr">
        <is>
          <t>Orca</t>
        </is>
      </c>
      <c r="E20" s="320" t="inlineStr">
        <is>
          <t>SOL/ETH</t>
        </is>
      </c>
      <c r="F20" s="321" t="n">
        <v>30</v>
      </c>
      <c r="G20" s="327" t="n">
        <v>1.4063</v>
      </c>
      <c r="H20" s="321" t="n">
        <v>28.8</v>
      </c>
      <c r="I20" s="327" t="n">
        <v>1.46</v>
      </c>
      <c r="J20" s="246">
        <f>IF(AND(L20="Закрыт",ISNUMBER(F20),ISNUMBER(H20)),ROUND(H20-F20,8),"")</f>
        <v/>
      </c>
      <c r="K20" s="247">
        <f>IF(AND(L20="Закрыт",ISNUMBER(G20),ISNUMBER(I20)),ROUND(I20-G20,8),"")</f>
        <v/>
      </c>
      <c r="L20" s="328" t="inlineStr">
        <is>
          <t>Закрыт</t>
        </is>
      </c>
      <c r="M20" s="321" t="n"/>
      <c r="N20" s="327" t="n"/>
    </row>
    <row r="21" ht="22" customHeight="1">
      <c r="B21" s="323" t="inlineStr">
        <is>
          <t>P-0017</t>
        </is>
      </c>
      <c r="C21" s="314" t="n">
        <v>46303</v>
      </c>
      <c r="D21" s="313" t="inlineStr">
        <is>
          <t>PancakeSwap</t>
        </is>
      </c>
      <c r="E21" s="315" t="inlineStr">
        <is>
          <t>BNB/USDT</t>
        </is>
      </c>
      <c r="F21" s="316" t="n">
        <v>5</v>
      </c>
      <c r="G21" s="324" t="n">
        <v>3000</v>
      </c>
      <c r="H21" s="316" t="n">
        <v>5.2</v>
      </c>
      <c r="I21" s="324" t="n">
        <v>2920</v>
      </c>
      <c r="J21" s="240">
        <f>IF(AND(L21="Закрыт",ISNUMBER(F21),ISNUMBER(H21)),ROUND(H21-F21,8),"")</f>
        <v/>
      </c>
      <c r="K21" s="241">
        <f>IF(AND(L21="Закрыт",ISNUMBER(G21),ISNUMBER(I21)),ROUND(I21-G21,8),"")</f>
        <v/>
      </c>
      <c r="L21" s="325" t="inlineStr">
        <is>
          <t>Закрыт</t>
        </is>
      </c>
      <c r="M21" s="316" t="n"/>
      <c r="N21" s="324" t="n"/>
    </row>
    <row r="22" ht="22" customHeight="1">
      <c r="B22" s="326" t="inlineStr">
        <is>
          <t>P-0018</t>
        </is>
      </c>
      <c r="C22" s="319" t="n">
        <v>46303</v>
      </c>
      <c r="D22" s="318" t="inlineStr">
        <is>
          <t>PancakeSwap</t>
        </is>
      </c>
      <c r="E22" s="320" t="inlineStr">
        <is>
          <t>CAKE/USDT</t>
        </is>
      </c>
      <c r="F22" s="321" t="n">
        <v>1000</v>
      </c>
      <c r="G22" s="327" t="n">
        <v>2400</v>
      </c>
      <c r="H22" s="321" t="n">
        <v>940</v>
      </c>
      <c r="I22" s="327" t="n">
        <v>2530</v>
      </c>
      <c r="J22" s="246">
        <f>IF(AND(L22="Закрыт",ISNUMBER(F22),ISNUMBER(H22)),ROUND(H22-F22,8),"")</f>
        <v/>
      </c>
      <c r="K22" s="247">
        <f>IF(AND(L22="Закрыт",ISNUMBER(G22),ISNUMBER(I22)),ROUND(I22-G22,8),"")</f>
        <v/>
      </c>
      <c r="L22" s="328" t="inlineStr">
        <is>
          <t>Закрыт</t>
        </is>
      </c>
      <c r="M22" s="321" t="n"/>
      <c r="N22" s="327" t="n"/>
    </row>
    <row r="23" ht="22" customHeight="1">
      <c r="B23" s="323" t="inlineStr">
        <is>
          <t>P-0019</t>
        </is>
      </c>
      <c r="C23" s="314" t="n">
        <v>46303</v>
      </c>
      <c r="D23" s="313" t="inlineStr">
        <is>
          <t>Uniswap</t>
        </is>
      </c>
      <c r="E23" s="315" t="inlineStr">
        <is>
          <t>BTC/USDT</t>
        </is>
      </c>
      <c r="F23" s="316" t="n">
        <v>0.1</v>
      </c>
      <c r="G23" s="324" t="n">
        <v>6200</v>
      </c>
      <c r="H23" s="316" t="n">
        <v>0.04</v>
      </c>
      <c r="I23" s="324" t="n">
        <v>2600</v>
      </c>
      <c r="J23" s="240">
        <f>IF(AND(L23="Закрыт",ISNUMBER(F23),ISNUMBER(H23)),ROUND(H23-F23,8),"")</f>
        <v/>
      </c>
      <c r="K23" s="241">
        <f>IF(AND(L23="Закрыт",ISNUMBER(G23),ISNUMBER(I23)),ROUND(I23-G23,8),"")</f>
        <v/>
      </c>
      <c r="L23" s="325" t="inlineStr">
        <is>
          <t>Открыт</t>
        </is>
      </c>
      <c r="M23" s="316" t="n"/>
      <c r="N23" s="324" t="n"/>
    </row>
    <row r="24" ht="22" customHeight="1">
      <c r="B24" s="326" t="inlineStr">
        <is>
          <t>P-0020</t>
        </is>
      </c>
      <c r="C24" s="319" t="n">
        <v>46303</v>
      </c>
      <c r="D24" s="318" t="inlineStr">
        <is>
          <t>Raydium</t>
        </is>
      </c>
      <c r="E24" s="320" t="inlineStr">
        <is>
          <t>BTC/USDT</t>
        </is>
      </c>
      <c r="F24" s="321" t="n">
        <v>0.08</v>
      </c>
      <c r="G24" s="327" t="n">
        <v>4960</v>
      </c>
      <c r="H24" s="321" t="n">
        <v>0.03</v>
      </c>
      <c r="I24" s="327" t="n">
        <v>1900</v>
      </c>
      <c r="J24" s="246">
        <f>IF(AND(L24="Закрыт",ISNUMBER(F24),ISNUMBER(H24)),ROUND(H24-F24,8),"")</f>
        <v/>
      </c>
      <c r="K24" s="247">
        <f>IF(AND(L24="Закрыт",ISNUMBER(G24),ISNUMBER(I24)),ROUND(I24-G24,8),"")</f>
        <v/>
      </c>
      <c r="L24" s="328" t="inlineStr">
        <is>
          <t>Открыт</t>
        </is>
      </c>
      <c r="M24" s="321" t="n"/>
      <c r="N24" s="327" t="n"/>
    </row>
    <row r="25" ht="22" customHeight="1">
      <c r="B25" s="323" t="inlineStr">
        <is>
          <t>P-0021</t>
        </is>
      </c>
      <c r="C25" s="314" t="n">
        <v>46304</v>
      </c>
      <c r="D25" s="313" t="inlineStr">
        <is>
          <t>PancakeSwap</t>
        </is>
      </c>
      <c r="E25" s="315" t="inlineStr">
        <is>
          <t>BNB/ETH</t>
        </is>
      </c>
      <c r="F25" s="316" t="n">
        <v>4</v>
      </c>
      <c r="G25" s="324" t="n">
        <v>0.75</v>
      </c>
      <c r="H25" s="316" t="n">
        <v>1.5</v>
      </c>
      <c r="I25" s="324" t="n">
        <v>0.29</v>
      </c>
      <c r="J25" s="240">
        <f>IF(AND(L25="Закрыт",ISNUMBER(F25),ISNUMBER(H25)),ROUND(H25-F25,8),"")</f>
        <v/>
      </c>
      <c r="K25" s="241">
        <f>IF(AND(L25="Закрыт",ISNUMBER(G25),ISNUMBER(I25)),ROUND(I25-G25,8),"")</f>
        <v/>
      </c>
      <c r="L25" s="325" t="inlineStr">
        <is>
          <t>Открыт</t>
        </is>
      </c>
      <c r="M25" s="316" t="n"/>
      <c r="N25" s="324" t="n"/>
    </row>
    <row r="26" ht="22" customHeight="1">
      <c r="B26" s="326" t="inlineStr">
        <is>
          <t>P-0022</t>
        </is>
      </c>
      <c r="C26" s="319" t="n">
        <v>46304</v>
      </c>
      <c r="D26" s="318" t="inlineStr">
        <is>
          <t>PancakeSwap</t>
        </is>
      </c>
      <c r="E26" s="320" t="inlineStr">
        <is>
          <t>CAKE/BNB</t>
        </is>
      </c>
      <c r="F26" s="321" t="n">
        <v>1500</v>
      </c>
      <c r="G26" s="327" t="n">
        <v>6</v>
      </c>
      <c r="H26" s="321" t="n">
        <v>500</v>
      </c>
      <c r="I26" s="327" t="n">
        <v>2.1</v>
      </c>
      <c r="J26" s="246">
        <f>IF(AND(L26="Закрыт",ISNUMBER(F26),ISNUMBER(H26)),ROUND(H26-F26,8),"")</f>
        <v/>
      </c>
      <c r="K26" s="247">
        <f>IF(AND(L26="Закрыт",ISNUMBER(G26),ISNUMBER(I26)),ROUND(I26-G26,8),"")</f>
        <v/>
      </c>
      <c r="L26" s="328" t="inlineStr">
        <is>
          <t>Открыт</t>
        </is>
      </c>
      <c r="M26" s="321" t="n"/>
      <c r="N26" s="327" t="n"/>
    </row>
    <row r="27" ht="22" customHeight="1">
      <c r="B27" s="323" t="inlineStr">
        <is>
          <t>P-0023</t>
        </is>
      </c>
      <c r="C27" s="314" t="n">
        <v>46304</v>
      </c>
      <c r="D27" s="313" t="inlineStr">
        <is>
          <t>Uniswap</t>
        </is>
      </c>
      <c r="E27" s="315" t="inlineStr">
        <is>
          <t>ARB/BTC</t>
        </is>
      </c>
      <c r="F27" s="316" t="n">
        <v>12000</v>
      </c>
      <c r="G27" s="324" t="n">
        <v>0.1064</v>
      </c>
      <c r="H27" s="316" t="n">
        <v>5000</v>
      </c>
      <c r="I27" s="324" t="n">
        <v>0.047</v>
      </c>
      <c r="J27" s="240">
        <f>IF(AND(L27="Закрыт",ISNUMBER(F27),ISNUMBER(H27)),ROUND(H27-F27,8),"")</f>
        <v/>
      </c>
      <c r="K27" s="241">
        <f>IF(AND(L27="Закрыт",ISNUMBER(G27),ISNUMBER(I27)),ROUND(I27-G27,8),"")</f>
        <v/>
      </c>
      <c r="L27" s="325" t="inlineStr">
        <is>
          <t>Открыт</t>
        </is>
      </c>
      <c r="M27" s="316" t="n"/>
      <c r="N27" s="324" t="n"/>
    </row>
    <row r="28" ht="22" customHeight="1">
      <c r="B28" s="326" t="n"/>
      <c r="C28" s="319" t="n"/>
      <c r="D28" s="318" t="n"/>
      <c r="E28" s="320" t="n"/>
      <c r="F28" s="321" t="n"/>
      <c r="G28" s="327" t="n"/>
      <c r="H28" s="321" t="n"/>
      <c r="I28" s="327" t="n"/>
      <c r="J28" s="246">
        <f>IF(AND(L28="Закрыт",ISNUMBER(F28),ISNUMBER(H28)),ROUND(H28-F28,8),"")</f>
        <v/>
      </c>
      <c r="K28" s="247">
        <f>IF(AND(L28="Закрыт",ISNUMBER(G28),ISNUMBER(I28)),ROUND(I28-G28,8),"")</f>
        <v/>
      </c>
      <c r="L28" s="328" t="n"/>
      <c r="M28" s="321" t="n"/>
      <c r="N28" s="327" t="n"/>
    </row>
    <row r="29" ht="22" customHeight="1">
      <c r="B29" s="323" t="n"/>
      <c r="C29" s="314" t="n"/>
      <c r="D29" s="313" t="n"/>
      <c r="E29" s="315" t="n"/>
      <c r="F29" s="316" t="n"/>
      <c r="G29" s="324" t="n"/>
      <c r="H29" s="316" t="n"/>
      <c r="I29" s="324" t="n"/>
      <c r="J29" s="240">
        <f>IF(AND(L29="Закрыт",ISNUMBER(F29),ISNUMBER(H29)),ROUND(H29-F29,8),"")</f>
        <v/>
      </c>
      <c r="K29" s="241">
        <f>IF(AND(L29="Закрыт",ISNUMBER(G29),ISNUMBER(I29)),ROUND(I29-G29,8),"")</f>
        <v/>
      </c>
      <c r="L29" s="325" t="n"/>
      <c r="M29" s="316" t="n"/>
      <c r="N29" s="324" t="n"/>
    </row>
    <row r="30" ht="22" customHeight="1">
      <c r="B30" s="326" t="n"/>
      <c r="C30" s="319" t="n"/>
      <c r="D30" s="318" t="n"/>
      <c r="E30" s="320" t="n"/>
      <c r="F30" s="321" t="n"/>
      <c r="G30" s="327" t="n"/>
      <c r="H30" s="321" t="n"/>
      <c r="I30" s="327" t="n"/>
      <c r="J30" s="246">
        <f>IF(AND(L30="Закрыт",ISNUMBER(F30),ISNUMBER(H30)),ROUND(H30-F30,8),"")</f>
        <v/>
      </c>
      <c r="K30" s="247">
        <f>IF(AND(L30="Закрыт",ISNUMBER(G30),ISNUMBER(I30)),ROUND(I30-G30,8),"")</f>
        <v/>
      </c>
      <c r="L30" s="328" t="n"/>
      <c r="M30" s="321" t="n"/>
      <c r="N30" s="327" t="n"/>
    </row>
    <row r="31" ht="22" customHeight="1">
      <c r="B31" s="323" t="n"/>
      <c r="C31" s="314" t="n"/>
      <c r="D31" s="313" t="n"/>
      <c r="E31" s="315" t="n"/>
      <c r="F31" s="316" t="n"/>
      <c r="G31" s="324" t="n"/>
      <c r="H31" s="316" t="n"/>
      <c r="I31" s="324" t="n"/>
      <c r="J31" s="240">
        <f>IF(AND(L31="Закрыт",ISNUMBER(F31),ISNUMBER(H31)),ROUND(H31-F31,8),"")</f>
        <v/>
      </c>
      <c r="K31" s="241">
        <f>IF(AND(L31="Закрыт",ISNUMBER(G31),ISNUMBER(I31)),ROUND(I31-G31,8),"")</f>
        <v/>
      </c>
      <c r="L31" s="325" t="n"/>
      <c r="M31" s="316" t="n"/>
      <c r="N31" s="324" t="n"/>
    </row>
    <row r="32" ht="22" customHeight="1">
      <c r="B32" s="326" t="n"/>
      <c r="C32" s="319" t="n"/>
      <c r="D32" s="318" t="n"/>
      <c r="E32" s="320" t="n"/>
      <c r="F32" s="321" t="n"/>
      <c r="G32" s="327" t="n"/>
      <c r="H32" s="321" t="n"/>
      <c r="I32" s="327" t="n"/>
      <c r="J32" s="246">
        <f>IF(AND(L32="Закрыт",ISNUMBER(F32),ISNUMBER(H32)),ROUND(H32-F32,8),"")</f>
        <v/>
      </c>
      <c r="K32" s="247">
        <f>IF(AND(L32="Закрыт",ISNUMBER(G32),ISNUMBER(I32)),ROUND(I32-G32,8),"")</f>
        <v/>
      </c>
      <c r="L32" s="328" t="n"/>
      <c r="M32" s="321" t="n"/>
      <c r="N32" s="327" t="n"/>
    </row>
    <row r="33" ht="22" customHeight="1">
      <c r="B33" s="323" t="n"/>
      <c r="C33" s="314" t="n"/>
      <c r="D33" s="313" t="n"/>
      <c r="E33" s="315" t="n"/>
      <c r="F33" s="316" t="n"/>
      <c r="G33" s="324" t="n"/>
      <c r="H33" s="316" t="n"/>
      <c r="I33" s="324" t="n"/>
      <c r="J33" s="240">
        <f>IF(AND(L33="Закрыт",ISNUMBER(F33),ISNUMBER(H33)),ROUND(H33-F33,8),"")</f>
        <v/>
      </c>
      <c r="K33" s="241">
        <f>IF(AND(L33="Закрыт",ISNUMBER(G33),ISNUMBER(I33)),ROUND(I33-G33,8),"")</f>
        <v/>
      </c>
      <c r="L33" s="325" t="n"/>
      <c r="M33" s="316" t="n"/>
      <c r="N33" s="324" t="n"/>
    </row>
    <row r="34" ht="22" customHeight="1">
      <c r="B34" s="326" t="n"/>
      <c r="C34" s="319" t="n"/>
      <c r="D34" s="318" t="n"/>
      <c r="E34" s="320" t="n"/>
      <c r="F34" s="321" t="n"/>
      <c r="G34" s="327" t="n"/>
      <c r="H34" s="321" t="n"/>
      <c r="I34" s="327" t="n"/>
      <c r="J34" s="246">
        <f>IF(AND(L34="Закрыт",ISNUMBER(F34),ISNUMBER(H34)),ROUND(H34-F34,8),"")</f>
        <v/>
      </c>
      <c r="K34" s="247">
        <f>IF(AND(L34="Закрыт",ISNUMBER(G34),ISNUMBER(I34)),ROUND(I34-G34,8),"")</f>
        <v/>
      </c>
      <c r="L34" s="328" t="n"/>
      <c r="M34" s="321" t="n"/>
      <c r="N34" s="327" t="n"/>
    </row>
    <row r="35" ht="22" customHeight="1">
      <c r="B35" s="323" t="n"/>
      <c r="C35" s="314" t="n"/>
      <c r="D35" s="313" t="n"/>
      <c r="E35" s="315" t="n"/>
      <c r="F35" s="316" t="n"/>
      <c r="G35" s="324" t="n"/>
      <c r="H35" s="316" t="n"/>
      <c r="I35" s="324" t="n"/>
      <c r="J35" s="240">
        <f>IF(AND(L35="Закрыт",ISNUMBER(F35),ISNUMBER(H35)),ROUND(H35-F35,8),"")</f>
        <v/>
      </c>
      <c r="K35" s="241">
        <f>IF(AND(L35="Закрыт",ISNUMBER(G35),ISNUMBER(I35)),ROUND(I35-G35,8),"")</f>
        <v/>
      </c>
      <c r="L35" s="325" t="n"/>
      <c r="M35" s="316" t="n"/>
      <c r="N35" s="324" t="n"/>
    </row>
    <row r="36" ht="22" customHeight="1">
      <c r="B36" s="326" t="n"/>
      <c r="C36" s="319" t="n"/>
      <c r="D36" s="318" t="n"/>
      <c r="E36" s="320" t="n"/>
      <c r="F36" s="321" t="n"/>
      <c r="G36" s="327" t="n"/>
      <c r="H36" s="321" t="n"/>
      <c r="I36" s="327" t="n"/>
      <c r="J36" s="246">
        <f>IF(AND(L36="Закрыт",ISNUMBER(F36),ISNUMBER(H36)),ROUND(H36-F36,8),"")</f>
        <v/>
      </c>
      <c r="K36" s="247">
        <f>IF(AND(L36="Закрыт",ISNUMBER(G36),ISNUMBER(I36)),ROUND(I36-G36,8),"")</f>
        <v/>
      </c>
      <c r="L36" s="328" t="n"/>
      <c r="M36" s="321" t="n"/>
      <c r="N36" s="327" t="n"/>
    </row>
    <row r="37" ht="22" customHeight="1">
      <c r="B37" s="323" t="n"/>
      <c r="C37" s="314" t="n"/>
      <c r="D37" s="313" t="n"/>
      <c r="E37" s="315" t="n"/>
      <c r="F37" s="316" t="n"/>
      <c r="G37" s="324" t="n"/>
      <c r="H37" s="316" t="n"/>
      <c r="I37" s="324" t="n"/>
      <c r="J37" s="240">
        <f>IF(AND(L37="Закрыт",ISNUMBER(F37),ISNUMBER(H37)),ROUND(H37-F37,8),"")</f>
        <v/>
      </c>
      <c r="K37" s="241">
        <f>IF(AND(L37="Закрыт",ISNUMBER(G37),ISNUMBER(I37)),ROUND(I37-G37,8),"")</f>
        <v/>
      </c>
      <c r="L37" s="325" t="n"/>
      <c r="M37" s="316" t="n"/>
      <c r="N37" s="324" t="n"/>
    </row>
    <row r="38" ht="22" customHeight="1">
      <c r="B38" s="326" t="n"/>
      <c r="C38" s="319" t="n"/>
      <c r="D38" s="318" t="n"/>
      <c r="E38" s="320" t="n"/>
      <c r="F38" s="321" t="n"/>
      <c r="G38" s="327" t="n"/>
      <c r="H38" s="321" t="n"/>
      <c r="I38" s="327" t="n"/>
      <c r="J38" s="246">
        <f>IF(AND(L38="Закрыт",ISNUMBER(F38),ISNUMBER(H38)),ROUND(H38-F38,8),"")</f>
        <v/>
      </c>
      <c r="K38" s="247">
        <f>IF(AND(L38="Закрыт",ISNUMBER(G38),ISNUMBER(I38)),ROUND(I38-G38,8),"")</f>
        <v/>
      </c>
      <c r="L38" s="328" t="n"/>
      <c r="M38" s="321" t="n"/>
      <c r="N38" s="327" t="n"/>
    </row>
    <row r="39" ht="22" customHeight="1">
      <c r="B39" s="323" t="n"/>
      <c r="C39" s="314" t="n"/>
      <c r="D39" s="313" t="n"/>
      <c r="E39" s="315" t="n"/>
      <c r="F39" s="316" t="n"/>
      <c r="G39" s="324" t="n"/>
      <c r="H39" s="316" t="n"/>
      <c r="I39" s="324" t="n"/>
      <c r="J39" s="240">
        <f>IF(AND(L39="Закрыт",ISNUMBER(F39),ISNUMBER(H39)),ROUND(H39-F39,8),"")</f>
        <v/>
      </c>
      <c r="K39" s="241">
        <f>IF(AND(L39="Закрыт",ISNUMBER(G39),ISNUMBER(I39)),ROUND(I39-G39,8),"")</f>
        <v/>
      </c>
      <c r="L39" s="325" t="n"/>
      <c r="M39" s="316" t="n"/>
      <c r="N39" s="324" t="n"/>
    </row>
    <row r="40" ht="22" customHeight="1">
      <c r="B40" s="326" t="n"/>
      <c r="C40" s="319" t="n"/>
      <c r="D40" s="318" t="n"/>
      <c r="E40" s="320" t="n"/>
      <c r="F40" s="321" t="n"/>
      <c r="G40" s="327" t="n"/>
      <c r="H40" s="321" t="n"/>
      <c r="I40" s="327" t="n"/>
      <c r="J40" s="246">
        <f>IF(AND(L40="Закрыт",ISNUMBER(F40),ISNUMBER(H40)),ROUND(H40-F40,8),"")</f>
        <v/>
      </c>
      <c r="K40" s="247">
        <f>IF(AND(L40="Закрыт",ISNUMBER(G40),ISNUMBER(I40)),ROUND(I40-G40,8),"")</f>
        <v/>
      </c>
      <c r="L40" s="328" t="n"/>
      <c r="M40" s="321" t="n"/>
      <c r="N40" s="327" t="n"/>
    </row>
    <row r="41" ht="22" customHeight="1">
      <c r="B41" s="323" t="n"/>
      <c r="C41" s="314" t="n"/>
      <c r="D41" s="313" t="n"/>
      <c r="E41" s="315" t="n"/>
      <c r="F41" s="316" t="n"/>
      <c r="G41" s="324" t="n"/>
      <c r="H41" s="316" t="n"/>
      <c r="I41" s="324" t="n"/>
      <c r="J41" s="240">
        <f>IF(AND(L41="Закрыт",ISNUMBER(F41),ISNUMBER(H41)),ROUND(H41-F41,8),"")</f>
        <v/>
      </c>
      <c r="K41" s="241">
        <f>IF(AND(L41="Закрыт",ISNUMBER(G41),ISNUMBER(I41)),ROUND(I41-G41,8),"")</f>
        <v/>
      </c>
      <c r="L41" s="325" t="n"/>
      <c r="M41" s="316" t="n"/>
      <c r="N41" s="324" t="n"/>
    </row>
    <row r="42" ht="22" customHeight="1">
      <c r="B42" s="326" t="n"/>
      <c r="C42" s="319" t="n"/>
      <c r="D42" s="318" t="n"/>
      <c r="E42" s="320" t="n"/>
      <c r="F42" s="321" t="n"/>
      <c r="G42" s="327" t="n"/>
      <c r="H42" s="321" t="n"/>
      <c r="I42" s="327" t="n"/>
      <c r="J42" s="246">
        <f>IF(AND(L42="Закрыт",ISNUMBER(F42),ISNUMBER(H42)),ROUND(H42-F42,8),"")</f>
        <v/>
      </c>
      <c r="K42" s="247">
        <f>IF(AND(L42="Закрыт",ISNUMBER(G42),ISNUMBER(I42)),ROUND(I42-G42,8),"")</f>
        <v/>
      </c>
      <c r="L42" s="328" t="n"/>
      <c r="M42" s="321" t="n"/>
      <c r="N42" s="327" t="n"/>
    </row>
    <row r="43" ht="22" customHeight="1">
      <c r="B43" s="323" t="n"/>
      <c r="C43" s="314" t="n"/>
      <c r="D43" s="313" t="n"/>
      <c r="E43" s="315" t="n"/>
      <c r="F43" s="316" t="n"/>
      <c r="G43" s="324" t="n"/>
      <c r="H43" s="316" t="n"/>
      <c r="I43" s="324" t="n"/>
      <c r="J43" s="240">
        <f>IF(AND(L43="Закрыт",ISNUMBER(F43),ISNUMBER(H43)),ROUND(H43-F43,8),"")</f>
        <v/>
      </c>
      <c r="K43" s="241">
        <f>IF(AND(L43="Закрыт",ISNUMBER(G43),ISNUMBER(I43)),ROUND(I43-G43,8),"")</f>
        <v/>
      </c>
      <c r="L43" s="325" t="n"/>
      <c r="M43" s="316" t="n"/>
      <c r="N43" s="324" t="n"/>
    </row>
    <row r="44" ht="22" customHeight="1">
      <c r="B44" s="326" t="n"/>
      <c r="C44" s="319" t="n"/>
      <c r="D44" s="318" t="n"/>
      <c r="E44" s="320" t="n"/>
      <c r="F44" s="321" t="n"/>
      <c r="G44" s="327" t="n"/>
      <c r="H44" s="321" t="n"/>
      <c r="I44" s="327" t="n"/>
      <c r="J44" s="246">
        <f>IF(AND(L44="Закрыт",ISNUMBER(F44),ISNUMBER(H44)),ROUND(H44-F44,8),"")</f>
        <v/>
      </c>
      <c r="K44" s="247">
        <f>IF(AND(L44="Закрыт",ISNUMBER(G44),ISNUMBER(I44)),ROUND(I44-G44,8),"")</f>
        <v/>
      </c>
      <c r="L44" s="328" t="n"/>
      <c r="M44" s="321" t="n"/>
      <c r="N44" s="327" t="n"/>
    </row>
    <row r="45" ht="22" customHeight="1">
      <c r="B45" s="323" t="n"/>
      <c r="C45" s="314" t="n"/>
      <c r="D45" s="313" t="n"/>
      <c r="E45" s="315" t="n"/>
      <c r="F45" s="316" t="n"/>
      <c r="G45" s="324" t="n"/>
      <c r="H45" s="316" t="n"/>
      <c r="I45" s="324" t="n"/>
      <c r="J45" s="240">
        <f>IF(AND(L45="Закрыт",ISNUMBER(F45),ISNUMBER(H45)),ROUND(H45-F45,8),"")</f>
        <v/>
      </c>
      <c r="K45" s="241">
        <f>IF(AND(L45="Закрыт",ISNUMBER(G45),ISNUMBER(I45)),ROUND(I45-G45,8),"")</f>
        <v/>
      </c>
      <c r="L45" s="325" t="n"/>
      <c r="M45" s="316" t="n"/>
      <c r="N45" s="324" t="n"/>
    </row>
    <row r="46" ht="22" customHeight="1">
      <c r="B46" s="326" t="n"/>
      <c r="C46" s="319" t="n"/>
      <c r="D46" s="318" t="n"/>
      <c r="E46" s="320" t="n"/>
      <c r="F46" s="321" t="n"/>
      <c r="G46" s="327" t="n"/>
      <c r="H46" s="321" t="n"/>
      <c r="I46" s="327" t="n"/>
      <c r="J46" s="246">
        <f>IF(AND(L46="Закрыт",ISNUMBER(F46),ISNUMBER(H46)),ROUND(H46-F46,8),"")</f>
        <v/>
      </c>
      <c r="K46" s="247">
        <f>IF(AND(L46="Закрыт",ISNUMBER(G46),ISNUMBER(I46)),ROUND(I46-G46,8),"")</f>
        <v/>
      </c>
      <c r="L46" s="328" t="n"/>
      <c r="M46" s="321" t="n"/>
      <c r="N46" s="327" t="n"/>
    </row>
    <row r="47" ht="22" customHeight="1">
      <c r="B47" s="323" t="n"/>
      <c r="C47" s="314" t="n"/>
      <c r="D47" s="313" t="n"/>
      <c r="E47" s="315" t="n"/>
      <c r="F47" s="316" t="n"/>
      <c r="G47" s="324" t="n"/>
      <c r="H47" s="316" t="n"/>
      <c r="I47" s="324" t="n"/>
      <c r="J47" s="240">
        <f>IF(AND(L47="Закрыт",ISNUMBER(F47),ISNUMBER(H47)),ROUND(H47-F47,8),"")</f>
        <v/>
      </c>
      <c r="K47" s="241">
        <f>IF(AND(L47="Закрыт",ISNUMBER(G47),ISNUMBER(I47)),ROUND(I47-G47,8),"")</f>
        <v/>
      </c>
      <c r="L47" s="325" t="n"/>
      <c r="M47" s="316" t="n"/>
      <c r="N47" s="324" t="n"/>
    </row>
    <row r="48" ht="22" customHeight="1">
      <c r="B48" s="326" t="n"/>
      <c r="C48" s="319" t="n"/>
      <c r="D48" s="318" t="n"/>
      <c r="E48" s="320" t="n"/>
      <c r="F48" s="321" t="n"/>
      <c r="G48" s="327" t="n"/>
      <c r="H48" s="321" t="n"/>
      <c r="I48" s="327" t="n"/>
      <c r="J48" s="246">
        <f>IF(AND(L48="Закрыт",ISNUMBER(F48),ISNUMBER(H48)),ROUND(H48-F48,8),"")</f>
        <v/>
      </c>
      <c r="K48" s="247">
        <f>IF(AND(L48="Закрыт",ISNUMBER(G48),ISNUMBER(I48)),ROUND(I48-G48,8),"")</f>
        <v/>
      </c>
      <c r="L48" s="328" t="n"/>
      <c r="M48" s="321" t="n"/>
      <c r="N48" s="327" t="n"/>
    </row>
    <row r="49" ht="22" customHeight="1">
      <c r="B49" s="323" t="n"/>
      <c r="C49" s="314" t="n"/>
      <c r="D49" s="313" t="n"/>
      <c r="E49" s="315" t="n"/>
      <c r="F49" s="316" t="n"/>
      <c r="G49" s="324" t="n"/>
      <c r="H49" s="316" t="n"/>
      <c r="I49" s="324" t="n"/>
      <c r="J49" s="240">
        <f>IF(AND(L49="Закрыт",ISNUMBER(F49),ISNUMBER(H49)),ROUND(H49-F49,8),"")</f>
        <v/>
      </c>
      <c r="K49" s="241">
        <f>IF(AND(L49="Закрыт",ISNUMBER(G49),ISNUMBER(I49)),ROUND(I49-G49,8),"")</f>
        <v/>
      </c>
      <c r="L49" s="325" t="n"/>
      <c r="M49" s="316" t="n"/>
      <c r="N49" s="324" t="n"/>
    </row>
    <row r="50" ht="22" customHeight="1">
      <c r="B50" s="326" t="n"/>
      <c r="C50" s="319" t="n"/>
      <c r="D50" s="318" t="n"/>
      <c r="E50" s="320" t="n"/>
      <c r="F50" s="321" t="n"/>
      <c r="G50" s="327" t="n"/>
      <c r="H50" s="321" t="n"/>
      <c r="I50" s="327" t="n"/>
      <c r="J50" s="246">
        <f>IF(AND(L50="Закрыт",ISNUMBER(F50),ISNUMBER(H50)),ROUND(H50-F50,8),"")</f>
        <v/>
      </c>
      <c r="K50" s="247">
        <f>IF(AND(L50="Закрыт",ISNUMBER(G50),ISNUMBER(I50)),ROUND(I50-G50,8),"")</f>
        <v/>
      </c>
      <c r="L50" s="328" t="n"/>
      <c r="M50" s="321" t="n"/>
      <c r="N50" s="327" t="n"/>
    </row>
    <row r="51" ht="22" customHeight="1">
      <c r="B51" s="323" t="n"/>
      <c r="C51" s="314" t="n"/>
      <c r="D51" s="313" t="n"/>
      <c r="E51" s="315" t="n"/>
      <c r="F51" s="316" t="n"/>
      <c r="G51" s="324" t="n"/>
      <c r="H51" s="316" t="n"/>
      <c r="I51" s="324" t="n"/>
      <c r="J51" s="240">
        <f>IF(AND(L51="Закрыт",ISNUMBER(F51),ISNUMBER(H51)),ROUND(H51-F51,8),"")</f>
        <v/>
      </c>
      <c r="K51" s="241">
        <f>IF(AND(L51="Закрыт",ISNUMBER(G51),ISNUMBER(I51)),ROUND(I51-G51,8),"")</f>
        <v/>
      </c>
      <c r="L51" s="325" t="n"/>
      <c r="M51" s="316" t="n"/>
      <c r="N51" s="324" t="n"/>
    </row>
    <row r="52" ht="22" customHeight="1">
      <c r="B52" s="326" t="n"/>
      <c r="C52" s="319" t="n"/>
      <c r="D52" s="318" t="n"/>
      <c r="E52" s="320" t="n"/>
      <c r="F52" s="321" t="n"/>
      <c r="G52" s="327" t="n"/>
      <c r="H52" s="321" t="n"/>
      <c r="I52" s="327" t="n"/>
      <c r="J52" s="246">
        <f>IF(AND(L52="Закрыт",ISNUMBER(F52),ISNUMBER(H52)),ROUND(H52-F52,8),"")</f>
        <v/>
      </c>
      <c r="K52" s="247">
        <f>IF(AND(L52="Закрыт",ISNUMBER(G52),ISNUMBER(I52)),ROUND(I52-G52,8),"")</f>
        <v/>
      </c>
      <c r="L52" s="328" t="n"/>
      <c r="M52" s="321" t="n"/>
      <c r="N52" s="327" t="n"/>
    </row>
    <row r="53" ht="22" customHeight="1">
      <c r="B53" s="323" t="n"/>
      <c r="C53" s="314" t="n"/>
      <c r="D53" s="313" t="n"/>
      <c r="E53" s="315" t="n"/>
      <c r="F53" s="316" t="n"/>
      <c r="G53" s="324" t="n"/>
      <c r="H53" s="316" t="n"/>
      <c r="I53" s="324" t="n"/>
      <c r="J53" s="240">
        <f>IF(AND(L53="Закрыт",ISNUMBER(F53),ISNUMBER(H53)),ROUND(H53-F53,8),"")</f>
        <v/>
      </c>
      <c r="K53" s="241">
        <f>IF(AND(L53="Закрыт",ISNUMBER(G53),ISNUMBER(I53)),ROUND(I53-G53,8),"")</f>
        <v/>
      </c>
      <c r="L53" s="325" t="n"/>
      <c r="M53" s="316" t="n"/>
      <c r="N53" s="324" t="n"/>
    </row>
    <row r="54" ht="22" customHeight="1">
      <c r="B54" s="326" t="n"/>
      <c r="C54" s="319" t="n"/>
      <c r="D54" s="318" t="n"/>
      <c r="E54" s="320" t="n"/>
      <c r="F54" s="321" t="n"/>
      <c r="G54" s="327" t="n"/>
      <c r="H54" s="321" t="n"/>
      <c r="I54" s="327" t="n"/>
      <c r="J54" s="246">
        <f>IF(AND(L54="Закрыт",ISNUMBER(F54),ISNUMBER(H54)),ROUND(H54-F54,8),"")</f>
        <v/>
      </c>
      <c r="K54" s="247">
        <f>IF(AND(L54="Закрыт",ISNUMBER(G54),ISNUMBER(I54)),ROUND(I54-G54,8),"")</f>
        <v/>
      </c>
      <c r="L54" s="328" t="n"/>
      <c r="M54" s="321" t="n"/>
      <c r="N54" s="327" t="n"/>
    </row>
    <row r="55" ht="22" customHeight="1">
      <c r="B55" s="323" t="n"/>
      <c r="C55" s="314" t="n"/>
      <c r="D55" s="313" t="n"/>
      <c r="E55" s="315" t="n"/>
      <c r="F55" s="316" t="n"/>
      <c r="G55" s="324" t="n"/>
      <c r="H55" s="316" t="n"/>
      <c r="I55" s="324" t="n"/>
      <c r="J55" s="240">
        <f>IF(AND(L55="Закрыт",ISNUMBER(F55),ISNUMBER(H55)),ROUND(H55-F55,8),"")</f>
        <v/>
      </c>
      <c r="K55" s="241">
        <f>IF(AND(L55="Закрыт",ISNUMBER(G55),ISNUMBER(I55)),ROUND(I55-G55,8),"")</f>
        <v/>
      </c>
      <c r="L55" s="325" t="n"/>
      <c r="M55" s="316" t="n"/>
      <c r="N55" s="324" t="n"/>
    </row>
    <row r="56" ht="22" customHeight="1">
      <c r="B56" s="326" t="n"/>
      <c r="C56" s="319" t="n"/>
      <c r="D56" s="318" t="n"/>
      <c r="E56" s="320" t="n"/>
      <c r="F56" s="321" t="n"/>
      <c r="G56" s="327" t="n"/>
      <c r="H56" s="321" t="n"/>
      <c r="I56" s="327" t="n"/>
      <c r="J56" s="246">
        <f>IF(AND(L56="Закрыт",ISNUMBER(F56),ISNUMBER(H56)),ROUND(H56-F56,8),"")</f>
        <v/>
      </c>
      <c r="K56" s="247">
        <f>IF(AND(L56="Закрыт",ISNUMBER(G56),ISNUMBER(I56)),ROUND(I56-G56,8),"")</f>
        <v/>
      </c>
      <c r="L56" s="328" t="n"/>
      <c r="M56" s="321" t="n"/>
      <c r="N56" s="327" t="n"/>
    </row>
    <row r="57" ht="22" customHeight="1">
      <c r="B57" s="323" t="n"/>
      <c r="C57" s="314" t="n"/>
      <c r="D57" s="313" t="n"/>
      <c r="E57" s="315" t="n"/>
      <c r="F57" s="316" t="n"/>
      <c r="G57" s="324" t="n"/>
      <c r="H57" s="316" t="n"/>
      <c r="I57" s="324" t="n"/>
      <c r="J57" s="240">
        <f>IF(AND(L57="Закрыт",ISNUMBER(F57),ISNUMBER(H57)),ROUND(H57-F57,8),"")</f>
        <v/>
      </c>
      <c r="K57" s="241">
        <f>IF(AND(L57="Закрыт",ISNUMBER(G57),ISNUMBER(I57)),ROUND(I57-G57,8),"")</f>
        <v/>
      </c>
      <c r="L57" s="325" t="n"/>
      <c r="M57" s="316" t="n"/>
      <c r="N57" s="324" t="n"/>
    </row>
    <row r="58" ht="22" customHeight="1">
      <c r="B58" s="326" t="n"/>
      <c r="C58" s="319" t="n"/>
      <c r="D58" s="318" t="n"/>
      <c r="E58" s="320" t="n"/>
      <c r="F58" s="321" t="n"/>
      <c r="G58" s="327" t="n"/>
      <c r="H58" s="321" t="n"/>
      <c r="I58" s="327" t="n"/>
      <c r="J58" s="246">
        <f>IF(AND(L58="Закрыт",ISNUMBER(F58),ISNUMBER(H58)),ROUND(H58-F58,8),"")</f>
        <v/>
      </c>
      <c r="K58" s="247">
        <f>IF(AND(L58="Закрыт",ISNUMBER(G58),ISNUMBER(I58)),ROUND(I58-G58,8),"")</f>
        <v/>
      </c>
      <c r="L58" s="328" t="n"/>
      <c r="M58" s="321" t="n"/>
      <c r="N58" s="327" t="n"/>
    </row>
    <row r="59" ht="22" customHeight="1">
      <c r="B59" s="323" t="n"/>
      <c r="C59" s="314" t="n"/>
      <c r="D59" s="313" t="n"/>
      <c r="E59" s="315" t="n"/>
      <c r="F59" s="316" t="n"/>
      <c r="G59" s="324" t="n"/>
      <c r="H59" s="316" t="n"/>
      <c r="I59" s="324" t="n"/>
      <c r="J59" s="240">
        <f>IF(AND(L59="Закрыт",ISNUMBER(F59),ISNUMBER(H59)),ROUND(H59-F59,8),"")</f>
        <v/>
      </c>
      <c r="K59" s="241">
        <f>IF(AND(L59="Закрыт",ISNUMBER(G59),ISNUMBER(I59)),ROUND(I59-G59,8),"")</f>
        <v/>
      </c>
      <c r="L59" s="325" t="n"/>
      <c r="M59" s="316" t="n"/>
      <c r="N59" s="324" t="n"/>
    </row>
    <row r="60" ht="22" customHeight="1">
      <c r="B60" s="326" t="n"/>
      <c r="C60" s="319" t="n"/>
      <c r="D60" s="318" t="n"/>
      <c r="E60" s="320" t="n"/>
      <c r="F60" s="321" t="n"/>
      <c r="G60" s="327" t="n"/>
      <c r="H60" s="321" t="n"/>
      <c r="I60" s="327" t="n"/>
      <c r="J60" s="246">
        <f>IF(AND(L60="Закрыт",ISNUMBER(F60),ISNUMBER(H60)),ROUND(H60-F60,8),"")</f>
        <v/>
      </c>
      <c r="K60" s="247">
        <f>IF(AND(L60="Закрыт",ISNUMBER(G60),ISNUMBER(I60)),ROUND(I60-G60,8),"")</f>
        <v/>
      </c>
      <c r="L60" s="328" t="n"/>
      <c r="M60" s="321" t="n"/>
      <c r="N60" s="327" t="n"/>
    </row>
    <row r="61" ht="22" customHeight="1">
      <c r="B61" s="323" t="n"/>
      <c r="C61" s="314" t="n"/>
      <c r="D61" s="313" t="n"/>
      <c r="E61" s="315" t="n"/>
      <c r="F61" s="316" t="n"/>
      <c r="G61" s="324" t="n"/>
      <c r="H61" s="316" t="n"/>
      <c r="I61" s="324" t="n"/>
      <c r="J61" s="240">
        <f>IF(AND(L61="Закрыт",ISNUMBER(F61),ISNUMBER(H61)),ROUND(H61-F61,8),"")</f>
        <v/>
      </c>
      <c r="K61" s="241">
        <f>IF(AND(L61="Закрыт",ISNUMBER(G61),ISNUMBER(I61)),ROUND(I61-G61,8),"")</f>
        <v/>
      </c>
      <c r="L61" s="325" t="n"/>
      <c r="M61" s="316" t="n"/>
      <c r="N61" s="324" t="n"/>
    </row>
    <row r="62" ht="22" customHeight="1">
      <c r="B62" s="326" t="n"/>
      <c r="C62" s="319" t="n"/>
      <c r="D62" s="318" t="n"/>
      <c r="E62" s="320" t="n"/>
      <c r="F62" s="321" t="n"/>
      <c r="G62" s="327" t="n"/>
      <c r="H62" s="321" t="n"/>
      <c r="I62" s="327" t="n"/>
      <c r="J62" s="246">
        <f>IF(AND(L62="Закрыт",ISNUMBER(F62),ISNUMBER(H62)),ROUND(H62-F62,8),"")</f>
        <v/>
      </c>
      <c r="K62" s="247">
        <f>IF(AND(L62="Закрыт",ISNUMBER(G62),ISNUMBER(I62)),ROUND(I62-G62,8),"")</f>
        <v/>
      </c>
      <c r="L62" s="328" t="n"/>
      <c r="M62" s="321" t="n"/>
      <c r="N62" s="327" t="n"/>
    </row>
    <row r="63" ht="22" customHeight="1">
      <c r="B63" s="323" t="n"/>
      <c r="C63" s="314" t="n"/>
      <c r="D63" s="313" t="n"/>
      <c r="E63" s="315" t="n"/>
      <c r="F63" s="316" t="n"/>
      <c r="G63" s="324" t="n"/>
      <c r="H63" s="316" t="n"/>
      <c r="I63" s="324" t="n"/>
      <c r="J63" s="240">
        <f>IF(AND(L63="Закрыт",ISNUMBER(F63),ISNUMBER(H63)),ROUND(H63-F63,8),"")</f>
        <v/>
      </c>
      <c r="K63" s="241">
        <f>IF(AND(L63="Закрыт",ISNUMBER(G63),ISNUMBER(I63)),ROUND(I63-G63,8),"")</f>
        <v/>
      </c>
      <c r="L63" s="325" t="n"/>
      <c r="M63" s="316" t="n"/>
      <c r="N63" s="324" t="n"/>
    </row>
    <row r="64" ht="22" customHeight="1">
      <c r="B64" s="326" t="n"/>
      <c r="C64" s="319" t="n"/>
      <c r="D64" s="318" t="n"/>
      <c r="E64" s="320" t="n"/>
      <c r="F64" s="321" t="n"/>
      <c r="G64" s="327" t="n"/>
      <c r="H64" s="321" t="n"/>
      <c r="I64" s="327" t="n"/>
      <c r="J64" s="246">
        <f>IF(AND(L64="Закрыт",ISNUMBER(F64),ISNUMBER(H64)),ROUND(H64-F64,8),"")</f>
        <v/>
      </c>
      <c r="K64" s="247">
        <f>IF(AND(L64="Закрыт",ISNUMBER(G64),ISNUMBER(I64)),ROUND(I64-G64,8),"")</f>
        <v/>
      </c>
      <c r="L64" s="328" t="n"/>
      <c r="M64" s="321" t="n"/>
      <c r="N64" s="327" t="n"/>
    </row>
    <row r="65" ht="22" customHeight="1">
      <c r="B65" s="323" t="n"/>
      <c r="C65" s="314" t="n"/>
      <c r="D65" s="313" t="n"/>
      <c r="E65" s="315" t="n"/>
      <c r="F65" s="316" t="n"/>
      <c r="G65" s="324" t="n"/>
      <c r="H65" s="316" t="n"/>
      <c r="I65" s="324" t="n"/>
      <c r="J65" s="240">
        <f>IF(AND(L65="Закрыт",ISNUMBER(F65),ISNUMBER(H65)),ROUND(H65-F65,8),"")</f>
        <v/>
      </c>
      <c r="K65" s="241">
        <f>IF(AND(L65="Закрыт",ISNUMBER(G65),ISNUMBER(I65)),ROUND(I65-G65,8),"")</f>
        <v/>
      </c>
      <c r="L65" s="325" t="n"/>
      <c r="M65" s="316" t="n"/>
      <c r="N65" s="324" t="n"/>
    </row>
    <row r="66" ht="22" customHeight="1">
      <c r="B66" s="326" t="n"/>
      <c r="C66" s="319" t="n"/>
      <c r="D66" s="318" t="n"/>
      <c r="E66" s="320" t="n"/>
      <c r="F66" s="321" t="n"/>
      <c r="G66" s="327" t="n"/>
      <c r="H66" s="321" t="n"/>
      <c r="I66" s="327" t="n"/>
      <c r="J66" s="246">
        <f>IF(AND(L66="Закрыт",ISNUMBER(F66),ISNUMBER(H66)),ROUND(H66-F66,8),"")</f>
        <v/>
      </c>
      <c r="K66" s="247">
        <f>IF(AND(L66="Закрыт",ISNUMBER(G66),ISNUMBER(I66)),ROUND(I66-G66,8),"")</f>
        <v/>
      </c>
      <c r="L66" s="328" t="n"/>
      <c r="M66" s="321" t="n"/>
      <c r="N66" s="327" t="n"/>
    </row>
    <row r="67" ht="22" customHeight="1">
      <c r="B67" s="323" t="n"/>
      <c r="C67" s="314" t="n"/>
      <c r="D67" s="313" t="n"/>
      <c r="E67" s="315" t="n"/>
      <c r="F67" s="316" t="n"/>
      <c r="G67" s="324" t="n"/>
      <c r="H67" s="316" t="n"/>
      <c r="I67" s="324" t="n"/>
      <c r="J67" s="240">
        <f>IF(AND(L67="Закрыт",ISNUMBER(F67),ISNUMBER(H67)),ROUND(H67-F67,8),"")</f>
        <v/>
      </c>
      <c r="K67" s="241">
        <f>IF(AND(L67="Закрыт",ISNUMBER(G67),ISNUMBER(I67)),ROUND(I67-G67,8),"")</f>
        <v/>
      </c>
      <c r="L67" s="325" t="n"/>
      <c r="M67" s="316" t="n"/>
      <c r="N67" s="324" t="n"/>
    </row>
    <row r="68" ht="22" customHeight="1">
      <c r="B68" s="326" t="n"/>
      <c r="C68" s="319" t="n"/>
      <c r="D68" s="318" t="n"/>
      <c r="E68" s="320" t="n"/>
      <c r="F68" s="321" t="n"/>
      <c r="G68" s="327" t="n"/>
      <c r="H68" s="321" t="n"/>
      <c r="I68" s="327" t="n"/>
      <c r="J68" s="246">
        <f>IF(AND(L68="Закрыт",ISNUMBER(F68),ISNUMBER(H68)),ROUND(H68-F68,8),"")</f>
        <v/>
      </c>
      <c r="K68" s="247">
        <f>IF(AND(L68="Закрыт",ISNUMBER(G68),ISNUMBER(I68)),ROUND(I68-G68,8),"")</f>
        <v/>
      </c>
      <c r="L68" s="328" t="n"/>
      <c r="M68" s="321" t="n"/>
      <c r="N68" s="327" t="n"/>
    </row>
    <row r="69" ht="22" customHeight="1">
      <c r="B69" s="323" t="n"/>
      <c r="C69" s="314" t="n"/>
      <c r="D69" s="313" t="n"/>
      <c r="E69" s="315" t="n"/>
      <c r="F69" s="316" t="n"/>
      <c r="G69" s="324" t="n"/>
      <c r="H69" s="316" t="n"/>
      <c r="I69" s="324" t="n"/>
      <c r="J69" s="240">
        <f>IF(AND(L69="Закрыт",ISNUMBER(F69),ISNUMBER(H69)),ROUND(H69-F69,8),"")</f>
        <v/>
      </c>
      <c r="K69" s="241">
        <f>IF(AND(L69="Закрыт",ISNUMBER(G69),ISNUMBER(I69)),ROUND(I69-G69,8),"")</f>
        <v/>
      </c>
      <c r="L69" s="325" t="n"/>
      <c r="M69" s="316" t="n"/>
      <c r="N69" s="324" t="n"/>
    </row>
    <row r="70" ht="22" customHeight="1">
      <c r="B70" s="326" t="n"/>
      <c r="C70" s="319" t="n"/>
      <c r="D70" s="318" t="n"/>
      <c r="E70" s="320" t="n"/>
      <c r="F70" s="321" t="n"/>
      <c r="G70" s="327" t="n"/>
      <c r="H70" s="321" t="n"/>
      <c r="I70" s="327" t="n"/>
      <c r="J70" s="246">
        <f>IF(AND(L70="Закрыт",ISNUMBER(F70),ISNUMBER(H70)),ROUND(H70-F70,8),"")</f>
        <v/>
      </c>
      <c r="K70" s="247">
        <f>IF(AND(L70="Закрыт",ISNUMBER(G70),ISNUMBER(I70)),ROUND(I70-G70,8),"")</f>
        <v/>
      </c>
      <c r="L70" s="328" t="n"/>
      <c r="M70" s="321" t="n"/>
      <c r="N70" s="327" t="n"/>
    </row>
    <row r="71" ht="22" customHeight="1">
      <c r="B71" s="323" t="n"/>
      <c r="C71" s="314" t="n"/>
      <c r="D71" s="313" t="n"/>
      <c r="E71" s="315" t="n"/>
      <c r="F71" s="316" t="n"/>
      <c r="G71" s="324" t="n"/>
      <c r="H71" s="316" t="n"/>
      <c r="I71" s="324" t="n"/>
      <c r="J71" s="240">
        <f>IF(AND(L71="Закрыт",ISNUMBER(F71),ISNUMBER(H71)),ROUND(H71-F71,8),"")</f>
        <v/>
      </c>
      <c r="K71" s="241">
        <f>IF(AND(L71="Закрыт",ISNUMBER(G71),ISNUMBER(I71)),ROUND(I71-G71,8),"")</f>
        <v/>
      </c>
      <c r="L71" s="325" t="n"/>
      <c r="M71" s="316" t="n"/>
      <c r="N71" s="324" t="n"/>
    </row>
    <row r="72" ht="22" customHeight="1">
      <c r="B72" s="326" t="n"/>
      <c r="C72" s="319" t="n"/>
      <c r="D72" s="318" t="n"/>
      <c r="E72" s="320" t="n"/>
      <c r="F72" s="321" t="n"/>
      <c r="G72" s="327" t="n"/>
      <c r="H72" s="321" t="n"/>
      <c r="I72" s="327" t="n"/>
      <c r="J72" s="246">
        <f>IF(AND(L72="Закрыт",ISNUMBER(F72),ISNUMBER(H72)),ROUND(H72-F72,8),"")</f>
        <v/>
      </c>
      <c r="K72" s="247">
        <f>IF(AND(L72="Закрыт",ISNUMBER(G72),ISNUMBER(I72)),ROUND(I72-G72,8),"")</f>
        <v/>
      </c>
      <c r="L72" s="328" t="n"/>
      <c r="M72" s="321" t="n"/>
      <c r="N72" s="327" t="n"/>
    </row>
    <row r="73" ht="22" customHeight="1">
      <c r="B73" s="323" t="n"/>
      <c r="C73" s="314" t="n"/>
      <c r="D73" s="313" t="n"/>
      <c r="E73" s="315" t="n"/>
      <c r="F73" s="316" t="n"/>
      <c r="G73" s="324" t="n"/>
      <c r="H73" s="316" t="n"/>
      <c r="I73" s="324" t="n"/>
      <c r="J73" s="240">
        <f>IF(AND(L73="Закрыт",ISNUMBER(F73),ISNUMBER(H73)),ROUND(H73-F73,8),"")</f>
        <v/>
      </c>
      <c r="K73" s="241">
        <f>IF(AND(L73="Закрыт",ISNUMBER(G73),ISNUMBER(I73)),ROUND(I73-G73,8),"")</f>
        <v/>
      </c>
      <c r="L73" s="325" t="n"/>
      <c r="M73" s="316" t="n"/>
      <c r="N73" s="324" t="n"/>
    </row>
    <row r="74" ht="22" customHeight="1">
      <c r="B74" s="326" t="n"/>
      <c r="C74" s="319" t="n"/>
      <c r="D74" s="318" t="n"/>
      <c r="E74" s="320" t="n"/>
      <c r="F74" s="321" t="n"/>
      <c r="G74" s="327" t="n"/>
      <c r="H74" s="321" t="n"/>
      <c r="I74" s="327" t="n"/>
      <c r="J74" s="246">
        <f>IF(AND(L74="Закрыт",ISNUMBER(F74),ISNUMBER(H74)),ROUND(H74-F74,8),"")</f>
        <v/>
      </c>
      <c r="K74" s="247">
        <f>IF(AND(L74="Закрыт",ISNUMBER(G74),ISNUMBER(I74)),ROUND(I74-G74,8),"")</f>
        <v/>
      </c>
      <c r="L74" s="328" t="n"/>
      <c r="M74" s="321" t="n"/>
      <c r="N74" s="327" t="n"/>
    </row>
    <row r="75" ht="22" customHeight="1">
      <c r="B75" s="323" t="n"/>
      <c r="C75" s="314" t="n"/>
      <c r="D75" s="313" t="n"/>
      <c r="E75" s="315" t="n"/>
      <c r="F75" s="316" t="n"/>
      <c r="G75" s="324" t="n"/>
      <c r="H75" s="316" t="n"/>
      <c r="I75" s="324" t="n"/>
      <c r="J75" s="240">
        <f>IF(AND(L75="Закрыт",ISNUMBER(F75),ISNUMBER(H75)),ROUND(H75-F75,8),"")</f>
        <v/>
      </c>
      <c r="K75" s="241">
        <f>IF(AND(L75="Закрыт",ISNUMBER(G75),ISNUMBER(I75)),ROUND(I75-G75,8),"")</f>
        <v/>
      </c>
      <c r="L75" s="325" t="n"/>
      <c r="M75" s="316" t="n"/>
      <c r="N75" s="324" t="n"/>
    </row>
    <row r="76" ht="22" customHeight="1">
      <c r="B76" s="326" t="n"/>
      <c r="C76" s="319" t="n"/>
      <c r="D76" s="318" t="n"/>
      <c r="E76" s="320" t="n"/>
      <c r="F76" s="321" t="n"/>
      <c r="G76" s="327" t="n"/>
      <c r="H76" s="321" t="n"/>
      <c r="I76" s="327" t="n"/>
      <c r="J76" s="246">
        <f>IF(AND(L76="Закрыт",ISNUMBER(F76),ISNUMBER(H76)),ROUND(H76-F76,8),"")</f>
        <v/>
      </c>
      <c r="K76" s="247">
        <f>IF(AND(L76="Закрыт",ISNUMBER(G76),ISNUMBER(I76)),ROUND(I76-G76,8),"")</f>
        <v/>
      </c>
      <c r="L76" s="328" t="n"/>
      <c r="M76" s="321" t="n"/>
      <c r="N76" s="327" t="n"/>
    </row>
    <row r="77" ht="22" customHeight="1">
      <c r="B77" s="323" t="n"/>
      <c r="C77" s="314" t="n"/>
      <c r="D77" s="313" t="n"/>
      <c r="E77" s="315" t="n"/>
      <c r="F77" s="316" t="n"/>
      <c r="G77" s="324" t="n"/>
      <c r="H77" s="316" t="n"/>
      <c r="I77" s="324" t="n"/>
      <c r="J77" s="240">
        <f>IF(AND(L77="Закрыт",ISNUMBER(F77),ISNUMBER(H77)),ROUND(H77-F77,8),"")</f>
        <v/>
      </c>
      <c r="K77" s="241">
        <f>IF(AND(L77="Закрыт",ISNUMBER(G77),ISNUMBER(I77)),ROUND(I77-G77,8),"")</f>
        <v/>
      </c>
      <c r="L77" s="325" t="n"/>
      <c r="M77" s="316" t="n"/>
      <c r="N77" s="324" t="n"/>
    </row>
    <row r="78" ht="22" customHeight="1">
      <c r="B78" s="326" t="n"/>
      <c r="C78" s="319" t="n"/>
      <c r="D78" s="318" t="n"/>
      <c r="E78" s="320" t="n"/>
      <c r="F78" s="321" t="n"/>
      <c r="G78" s="327" t="n"/>
      <c r="H78" s="321" t="n"/>
      <c r="I78" s="327" t="n"/>
      <c r="J78" s="246">
        <f>IF(AND(L78="Закрыт",ISNUMBER(F78),ISNUMBER(H78)),ROUND(H78-F78,8),"")</f>
        <v/>
      </c>
      <c r="K78" s="247">
        <f>IF(AND(L78="Закрыт",ISNUMBER(G78),ISNUMBER(I78)),ROUND(I78-G78,8),"")</f>
        <v/>
      </c>
      <c r="L78" s="328" t="n"/>
      <c r="M78" s="321" t="n"/>
      <c r="N78" s="327" t="n"/>
    </row>
    <row r="79" ht="22" customHeight="1">
      <c r="B79" s="323" t="n"/>
      <c r="C79" s="314" t="n"/>
      <c r="D79" s="313" t="n"/>
      <c r="E79" s="315" t="n"/>
      <c r="F79" s="316" t="n"/>
      <c r="G79" s="324" t="n"/>
      <c r="H79" s="316" t="n"/>
      <c r="I79" s="324" t="n"/>
      <c r="J79" s="240">
        <f>IF(AND(L79="Закрыт",ISNUMBER(F79),ISNUMBER(H79)),ROUND(H79-F79,8),"")</f>
        <v/>
      </c>
      <c r="K79" s="241">
        <f>IF(AND(L79="Закрыт",ISNUMBER(G79),ISNUMBER(I79)),ROUND(I79-G79,8),"")</f>
        <v/>
      </c>
      <c r="L79" s="325" t="n"/>
      <c r="M79" s="316" t="n"/>
      <c r="N79" s="324" t="n"/>
    </row>
    <row r="80" ht="22" customHeight="1">
      <c r="B80" s="326" t="n"/>
      <c r="C80" s="319" t="n"/>
      <c r="D80" s="318" t="n"/>
      <c r="E80" s="320" t="n"/>
      <c r="F80" s="321" t="n"/>
      <c r="G80" s="327" t="n"/>
      <c r="H80" s="321" t="n"/>
      <c r="I80" s="327" t="n"/>
      <c r="J80" s="246">
        <f>IF(AND(L80="Закрыт",ISNUMBER(F80),ISNUMBER(H80)),ROUND(H80-F80,8),"")</f>
        <v/>
      </c>
      <c r="K80" s="247">
        <f>IF(AND(L80="Закрыт",ISNUMBER(G80),ISNUMBER(I80)),ROUND(I80-G80,8),"")</f>
        <v/>
      </c>
      <c r="L80" s="328" t="n"/>
      <c r="M80" s="321" t="n"/>
      <c r="N80" s="327" t="n"/>
    </row>
    <row r="81" ht="22" customHeight="1">
      <c r="B81" s="323" t="n"/>
      <c r="C81" s="314" t="n"/>
      <c r="D81" s="313" t="n"/>
      <c r="E81" s="315" t="n"/>
      <c r="F81" s="316" t="n"/>
      <c r="G81" s="324" t="n"/>
      <c r="H81" s="316" t="n"/>
      <c r="I81" s="324" t="n"/>
      <c r="J81" s="240">
        <f>IF(AND(L81="Закрыт",ISNUMBER(F81),ISNUMBER(H81)),ROUND(H81-F81,8),"")</f>
        <v/>
      </c>
      <c r="K81" s="241">
        <f>IF(AND(L81="Закрыт",ISNUMBER(G81),ISNUMBER(I81)),ROUND(I81-G81,8),"")</f>
        <v/>
      </c>
      <c r="L81" s="325" t="n"/>
      <c r="M81" s="316" t="n"/>
      <c r="N81" s="324" t="n"/>
    </row>
    <row r="82" ht="22" customHeight="1">
      <c r="B82" s="326" t="n"/>
      <c r="C82" s="319" t="n"/>
      <c r="D82" s="318" t="n"/>
      <c r="E82" s="320" t="n"/>
      <c r="F82" s="321" t="n"/>
      <c r="G82" s="327" t="n"/>
      <c r="H82" s="321" t="n"/>
      <c r="I82" s="327" t="n"/>
      <c r="J82" s="246">
        <f>IF(AND(L82="Закрыт",ISNUMBER(F82),ISNUMBER(H82)),ROUND(H82-F82,8),"")</f>
        <v/>
      </c>
      <c r="K82" s="247">
        <f>IF(AND(L82="Закрыт",ISNUMBER(G82),ISNUMBER(I82)),ROUND(I82-G82,8),"")</f>
        <v/>
      </c>
      <c r="L82" s="328" t="n"/>
      <c r="M82" s="321" t="n"/>
      <c r="N82" s="327" t="n"/>
    </row>
    <row r="83" ht="22" customHeight="1">
      <c r="B83" s="323" t="n"/>
      <c r="C83" s="314" t="n"/>
      <c r="D83" s="313" t="n"/>
      <c r="E83" s="315" t="n"/>
      <c r="F83" s="316" t="n"/>
      <c r="G83" s="324" t="n"/>
      <c r="H83" s="316" t="n"/>
      <c r="I83" s="324" t="n"/>
      <c r="J83" s="240">
        <f>IF(AND(L83="Закрыт",ISNUMBER(F83),ISNUMBER(H83)),ROUND(H83-F83,8),"")</f>
        <v/>
      </c>
      <c r="K83" s="241">
        <f>IF(AND(L83="Закрыт",ISNUMBER(G83),ISNUMBER(I83)),ROUND(I83-G83,8),"")</f>
        <v/>
      </c>
      <c r="L83" s="325" t="n"/>
      <c r="M83" s="316" t="n"/>
      <c r="N83" s="324" t="n"/>
    </row>
    <row r="84" ht="22" customHeight="1">
      <c r="B84" s="326" t="n"/>
      <c r="C84" s="319" t="n"/>
      <c r="D84" s="318" t="n"/>
      <c r="E84" s="320" t="n"/>
      <c r="F84" s="321" t="n"/>
      <c r="G84" s="327" t="n"/>
      <c r="H84" s="321" t="n"/>
      <c r="I84" s="327" t="n"/>
      <c r="J84" s="246">
        <f>IF(AND(L84="Закрыт",ISNUMBER(F84),ISNUMBER(H84)),ROUND(H84-F84,8),"")</f>
        <v/>
      </c>
      <c r="K84" s="247">
        <f>IF(AND(L84="Закрыт",ISNUMBER(G84),ISNUMBER(I84)),ROUND(I84-G84,8),"")</f>
        <v/>
      </c>
      <c r="L84" s="328" t="n"/>
      <c r="M84" s="321" t="n"/>
      <c r="N84" s="327" t="n"/>
    </row>
    <row r="85" ht="22" customHeight="1">
      <c r="B85" s="323" t="n"/>
      <c r="C85" s="314" t="n"/>
      <c r="D85" s="313" t="n"/>
      <c r="E85" s="315" t="n"/>
      <c r="F85" s="316" t="n"/>
      <c r="G85" s="324" t="n"/>
      <c r="H85" s="316" t="n"/>
      <c r="I85" s="324" t="n"/>
      <c r="J85" s="240">
        <f>IF(AND(L85="Закрыт",ISNUMBER(F85),ISNUMBER(H85)),ROUND(H85-F85,8),"")</f>
        <v/>
      </c>
      <c r="K85" s="241">
        <f>IF(AND(L85="Закрыт",ISNUMBER(G85),ISNUMBER(I85)),ROUND(I85-G85,8),"")</f>
        <v/>
      </c>
      <c r="L85" s="325" t="n"/>
      <c r="M85" s="316" t="n"/>
      <c r="N85" s="324" t="n"/>
    </row>
    <row r="86" ht="22" customHeight="1">
      <c r="B86" s="326" t="n"/>
      <c r="C86" s="319" t="n"/>
      <c r="D86" s="318" t="n"/>
      <c r="E86" s="320" t="n"/>
      <c r="F86" s="321" t="n"/>
      <c r="G86" s="327" t="n"/>
      <c r="H86" s="321" t="n"/>
      <c r="I86" s="327" t="n"/>
      <c r="J86" s="246">
        <f>IF(AND(L86="Закрыт",ISNUMBER(F86),ISNUMBER(H86)),ROUND(H86-F86,8),"")</f>
        <v/>
      </c>
      <c r="K86" s="247">
        <f>IF(AND(L86="Закрыт",ISNUMBER(G86),ISNUMBER(I86)),ROUND(I86-G86,8),"")</f>
        <v/>
      </c>
      <c r="L86" s="328" t="n"/>
      <c r="M86" s="321" t="n"/>
      <c r="N86" s="327" t="n"/>
    </row>
    <row r="87" ht="22" customHeight="1">
      <c r="B87" s="323" t="n"/>
      <c r="C87" s="314" t="n"/>
      <c r="D87" s="313" t="n"/>
      <c r="E87" s="315" t="n"/>
      <c r="F87" s="316" t="n"/>
      <c r="G87" s="324" t="n"/>
      <c r="H87" s="316" t="n"/>
      <c r="I87" s="324" t="n"/>
      <c r="J87" s="240">
        <f>IF(AND(L87="Закрыт",ISNUMBER(F87),ISNUMBER(H87)),ROUND(H87-F87,8),"")</f>
        <v/>
      </c>
      <c r="K87" s="241">
        <f>IF(AND(L87="Закрыт",ISNUMBER(G87),ISNUMBER(I87)),ROUND(I87-G87,8),"")</f>
        <v/>
      </c>
      <c r="L87" s="325" t="n"/>
      <c r="M87" s="316" t="n"/>
      <c r="N87" s="324" t="n"/>
    </row>
    <row r="88" ht="22" customHeight="1">
      <c r="B88" s="326" t="n"/>
      <c r="C88" s="319" t="n"/>
      <c r="D88" s="318" t="n"/>
      <c r="E88" s="320" t="n"/>
      <c r="F88" s="321" t="n"/>
      <c r="G88" s="327" t="n"/>
      <c r="H88" s="321" t="n"/>
      <c r="I88" s="327" t="n"/>
      <c r="J88" s="246">
        <f>IF(AND(L88="Закрыт",ISNUMBER(F88),ISNUMBER(H88)),ROUND(H88-F88,8),"")</f>
        <v/>
      </c>
      <c r="K88" s="247">
        <f>IF(AND(L88="Закрыт",ISNUMBER(G88),ISNUMBER(I88)),ROUND(I88-G88,8),"")</f>
        <v/>
      </c>
      <c r="L88" s="328" t="n"/>
      <c r="M88" s="321" t="n"/>
      <c r="N88" s="327" t="n"/>
    </row>
    <row r="89" ht="22" customHeight="1">
      <c r="B89" s="323" t="n"/>
      <c r="C89" s="314" t="n"/>
      <c r="D89" s="313" t="n"/>
      <c r="E89" s="315" t="n"/>
      <c r="F89" s="316" t="n"/>
      <c r="G89" s="324" t="n"/>
      <c r="H89" s="316" t="n"/>
      <c r="I89" s="324" t="n"/>
      <c r="J89" s="240">
        <f>IF(AND(L89="Закрыт",ISNUMBER(F89),ISNUMBER(H89)),ROUND(H89-F89,8),"")</f>
        <v/>
      </c>
      <c r="K89" s="241">
        <f>IF(AND(L89="Закрыт",ISNUMBER(G89),ISNUMBER(I89)),ROUND(I89-G89,8),"")</f>
        <v/>
      </c>
      <c r="L89" s="325" t="n"/>
      <c r="M89" s="316" t="n"/>
      <c r="N89" s="324" t="n"/>
    </row>
    <row r="90" ht="22" customHeight="1">
      <c r="B90" s="326" t="n"/>
      <c r="C90" s="319" t="n"/>
      <c r="D90" s="318" t="n"/>
      <c r="E90" s="320" t="n"/>
      <c r="F90" s="321" t="n"/>
      <c r="G90" s="327" t="n"/>
      <c r="H90" s="321" t="n"/>
      <c r="I90" s="327" t="n"/>
      <c r="J90" s="246">
        <f>IF(AND(L90="Закрыт",ISNUMBER(F90),ISNUMBER(H90)),ROUND(H90-F90,8),"")</f>
        <v/>
      </c>
      <c r="K90" s="247">
        <f>IF(AND(L90="Закрыт",ISNUMBER(G90),ISNUMBER(I90)),ROUND(I90-G90,8),"")</f>
        <v/>
      </c>
      <c r="L90" s="328" t="n"/>
      <c r="M90" s="321" t="n"/>
      <c r="N90" s="327" t="n"/>
    </row>
    <row r="91" ht="22" customHeight="1">
      <c r="B91" s="323" t="n"/>
      <c r="C91" s="314" t="n"/>
      <c r="D91" s="313" t="n"/>
      <c r="E91" s="315" t="n"/>
      <c r="F91" s="316" t="n"/>
      <c r="G91" s="324" t="n"/>
      <c r="H91" s="316" t="n"/>
      <c r="I91" s="324" t="n"/>
      <c r="J91" s="240">
        <f>IF(AND(L91="Закрыт",ISNUMBER(F91),ISNUMBER(H91)),ROUND(H91-F91,8),"")</f>
        <v/>
      </c>
      <c r="K91" s="241">
        <f>IF(AND(L91="Закрыт",ISNUMBER(G91),ISNUMBER(I91)),ROUND(I91-G91,8),"")</f>
        <v/>
      </c>
      <c r="L91" s="325" t="n"/>
      <c r="M91" s="316" t="n"/>
      <c r="N91" s="324" t="n"/>
    </row>
    <row r="92" ht="22" customHeight="1">
      <c r="B92" s="326" t="n"/>
      <c r="C92" s="319" t="n"/>
      <c r="D92" s="318" t="n"/>
      <c r="E92" s="320" t="n"/>
      <c r="F92" s="321" t="n"/>
      <c r="G92" s="327" t="n"/>
      <c r="H92" s="321" t="n"/>
      <c r="I92" s="327" t="n"/>
      <c r="J92" s="246">
        <f>IF(AND(L92="Закрыт",ISNUMBER(F92),ISNUMBER(H92)),ROUND(H92-F92,8),"")</f>
        <v/>
      </c>
      <c r="K92" s="247">
        <f>IF(AND(L92="Закрыт",ISNUMBER(G92),ISNUMBER(I92)),ROUND(I92-G92,8),"")</f>
        <v/>
      </c>
      <c r="L92" s="328" t="n"/>
      <c r="M92" s="321" t="n"/>
      <c r="N92" s="327" t="n"/>
    </row>
    <row r="93" ht="22" customHeight="1">
      <c r="B93" s="323" t="n"/>
      <c r="C93" s="314" t="n"/>
      <c r="D93" s="313" t="n"/>
      <c r="E93" s="315" t="n"/>
      <c r="F93" s="316" t="n"/>
      <c r="G93" s="324" t="n"/>
      <c r="H93" s="316" t="n"/>
      <c r="I93" s="324" t="n"/>
      <c r="J93" s="240">
        <f>IF(AND(L93="Закрыт",ISNUMBER(F93),ISNUMBER(H93)),ROUND(H93-F93,8),"")</f>
        <v/>
      </c>
      <c r="K93" s="241">
        <f>IF(AND(L93="Закрыт",ISNUMBER(G93),ISNUMBER(I93)),ROUND(I93-G93,8),"")</f>
        <v/>
      </c>
      <c r="L93" s="325" t="n"/>
      <c r="M93" s="316" t="n"/>
      <c r="N93" s="324" t="n"/>
    </row>
    <row r="94" ht="22" customHeight="1">
      <c r="B94" s="326" t="n"/>
      <c r="C94" s="319" t="n"/>
      <c r="D94" s="318" t="n"/>
      <c r="E94" s="320" t="n"/>
      <c r="F94" s="321" t="n"/>
      <c r="G94" s="327" t="n"/>
      <c r="H94" s="321" t="n"/>
      <c r="I94" s="327" t="n"/>
      <c r="J94" s="246">
        <f>IF(AND(L94="Закрыт",ISNUMBER(F94),ISNUMBER(H94)),ROUND(H94-F94,8),"")</f>
        <v/>
      </c>
      <c r="K94" s="247">
        <f>IF(AND(L94="Закрыт",ISNUMBER(G94),ISNUMBER(I94)),ROUND(I94-G94,8),"")</f>
        <v/>
      </c>
      <c r="L94" s="328" t="n"/>
      <c r="M94" s="321" t="n"/>
      <c r="N94" s="327" t="n"/>
    </row>
    <row r="95" ht="22" customHeight="1">
      <c r="B95" s="323" t="n"/>
      <c r="C95" s="314" t="n"/>
      <c r="D95" s="313" t="n"/>
      <c r="E95" s="315" t="n"/>
      <c r="F95" s="316" t="n"/>
      <c r="G95" s="324" t="n"/>
      <c r="H95" s="316" t="n"/>
      <c r="I95" s="324" t="n"/>
      <c r="J95" s="240">
        <f>IF(AND(L95="Закрыт",ISNUMBER(F95),ISNUMBER(H95)),ROUND(H95-F95,8),"")</f>
        <v/>
      </c>
      <c r="K95" s="241">
        <f>IF(AND(L95="Закрыт",ISNUMBER(G95),ISNUMBER(I95)),ROUND(I95-G95,8),"")</f>
        <v/>
      </c>
      <c r="L95" s="325" t="n"/>
      <c r="M95" s="316" t="n"/>
      <c r="N95" s="324" t="n"/>
    </row>
    <row r="96" ht="22" customHeight="1">
      <c r="B96" s="326" t="n"/>
      <c r="C96" s="319" t="n"/>
      <c r="D96" s="318" t="n"/>
      <c r="E96" s="320" t="n"/>
      <c r="F96" s="321" t="n"/>
      <c r="G96" s="327" t="n"/>
      <c r="H96" s="321" t="n"/>
      <c r="I96" s="327" t="n"/>
      <c r="J96" s="246">
        <f>IF(AND(L96="Закрыт",ISNUMBER(F96),ISNUMBER(H96)),ROUND(H96-F96,8),"")</f>
        <v/>
      </c>
      <c r="K96" s="247">
        <f>IF(AND(L96="Закрыт",ISNUMBER(G96),ISNUMBER(I96)),ROUND(I96-G96,8),"")</f>
        <v/>
      </c>
      <c r="L96" s="328" t="n"/>
      <c r="M96" s="321" t="n"/>
      <c r="N96" s="327" t="n"/>
    </row>
    <row r="97" ht="22" customHeight="1">
      <c r="B97" s="323" t="n"/>
      <c r="C97" s="314" t="n"/>
      <c r="D97" s="313" t="n"/>
      <c r="E97" s="315" t="n"/>
      <c r="F97" s="316" t="n"/>
      <c r="G97" s="324" t="n"/>
      <c r="H97" s="316" t="n"/>
      <c r="I97" s="324" t="n"/>
      <c r="J97" s="240">
        <f>IF(AND(L97="Закрыт",ISNUMBER(F97),ISNUMBER(H97)),ROUND(H97-F97,8),"")</f>
        <v/>
      </c>
      <c r="K97" s="241">
        <f>IF(AND(L97="Закрыт",ISNUMBER(G97),ISNUMBER(I97)),ROUND(I97-G97,8),"")</f>
        <v/>
      </c>
      <c r="L97" s="325" t="n"/>
      <c r="M97" s="316" t="n"/>
      <c r="N97" s="324" t="n"/>
    </row>
    <row r="98" ht="22" customHeight="1">
      <c r="B98" s="326" t="n"/>
      <c r="C98" s="319" t="n"/>
      <c r="D98" s="318" t="n"/>
      <c r="E98" s="320" t="n"/>
      <c r="F98" s="321" t="n"/>
      <c r="G98" s="327" t="n"/>
      <c r="H98" s="321" t="n"/>
      <c r="I98" s="327" t="n"/>
      <c r="J98" s="246">
        <f>IF(AND(L98="Закрыт",ISNUMBER(F98),ISNUMBER(H98)),ROUND(H98-F98,8),"")</f>
        <v/>
      </c>
      <c r="K98" s="247">
        <f>IF(AND(L98="Закрыт",ISNUMBER(G98),ISNUMBER(I98)),ROUND(I98-G98,8),"")</f>
        <v/>
      </c>
      <c r="L98" s="328" t="n"/>
      <c r="M98" s="321" t="n"/>
      <c r="N98" s="327" t="n"/>
    </row>
    <row r="99" ht="22" customHeight="1">
      <c r="B99" s="323" t="n"/>
      <c r="C99" s="314" t="n"/>
      <c r="D99" s="313" t="n"/>
      <c r="E99" s="315" t="n"/>
      <c r="F99" s="316" t="n"/>
      <c r="G99" s="324" t="n"/>
      <c r="H99" s="316" t="n"/>
      <c r="I99" s="324" t="n"/>
      <c r="J99" s="240">
        <f>IF(AND(L99="Закрыт",ISNUMBER(F99),ISNUMBER(H99)),ROUND(H99-F99,8),"")</f>
        <v/>
      </c>
      <c r="K99" s="241">
        <f>IF(AND(L99="Закрыт",ISNUMBER(G99),ISNUMBER(I99)),ROUND(I99-G99,8),"")</f>
        <v/>
      </c>
      <c r="L99" s="325" t="n"/>
      <c r="M99" s="316" t="n"/>
      <c r="N99" s="324" t="n"/>
    </row>
    <row r="100" ht="22" customHeight="1">
      <c r="B100" s="326" t="n"/>
      <c r="C100" s="319" t="n"/>
      <c r="D100" s="318" t="n"/>
      <c r="E100" s="320" t="n"/>
      <c r="F100" s="321" t="n"/>
      <c r="G100" s="327" t="n"/>
      <c r="H100" s="321" t="n"/>
      <c r="I100" s="327" t="n"/>
      <c r="J100" s="246">
        <f>IF(AND(L100="Закрыт",ISNUMBER(F100),ISNUMBER(H100)),ROUND(H100-F100,8),"")</f>
        <v/>
      </c>
      <c r="K100" s="247">
        <f>IF(AND(L100="Закрыт",ISNUMBER(G100),ISNUMBER(I100)),ROUND(I100-G100,8),"")</f>
        <v/>
      </c>
      <c r="L100" s="328" t="n"/>
      <c r="M100" s="321" t="n"/>
      <c r="N100" s="327" t="n"/>
    </row>
    <row r="101" ht="22" customHeight="1">
      <c r="B101" s="323" t="n"/>
      <c r="C101" s="314" t="n"/>
      <c r="D101" s="313" t="n"/>
      <c r="E101" s="315" t="n"/>
      <c r="F101" s="316" t="n"/>
      <c r="G101" s="324" t="n"/>
      <c r="H101" s="316" t="n"/>
      <c r="I101" s="324" t="n"/>
      <c r="J101" s="240">
        <f>IF(AND(L101="Закрыт",ISNUMBER(F101),ISNUMBER(H101)),ROUND(H101-F101,8),"")</f>
        <v/>
      </c>
      <c r="K101" s="241">
        <f>IF(AND(L101="Закрыт",ISNUMBER(G101),ISNUMBER(I101)),ROUND(I101-G101,8),"")</f>
        <v/>
      </c>
      <c r="L101" s="325" t="n"/>
      <c r="M101" s="316" t="n"/>
      <c r="N101" s="324" t="n"/>
    </row>
    <row r="102" ht="22" customHeight="1">
      <c r="B102" s="326" t="n"/>
      <c r="C102" s="319" t="n"/>
      <c r="D102" s="318" t="n"/>
      <c r="E102" s="320" t="n"/>
      <c r="F102" s="321" t="n"/>
      <c r="G102" s="327" t="n"/>
      <c r="H102" s="321" t="n"/>
      <c r="I102" s="327" t="n"/>
      <c r="J102" s="246">
        <f>IF(AND(L102="Закрыт",ISNUMBER(F102),ISNUMBER(H102)),ROUND(H102-F102,8),"")</f>
        <v/>
      </c>
      <c r="K102" s="247">
        <f>IF(AND(L102="Закрыт",ISNUMBER(G102),ISNUMBER(I102)),ROUND(I102-G102,8),"")</f>
        <v/>
      </c>
      <c r="L102" s="328" t="n"/>
      <c r="M102" s="321" t="n"/>
      <c r="N102" s="327" t="n"/>
    </row>
    <row r="103" ht="22" customHeight="1">
      <c r="B103" s="323" t="n"/>
      <c r="C103" s="314" t="n"/>
      <c r="D103" s="313" t="n"/>
      <c r="E103" s="315" t="n"/>
      <c r="F103" s="316" t="n"/>
      <c r="G103" s="324" t="n"/>
      <c r="H103" s="316" t="n"/>
      <c r="I103" s="324" t="n"/>
      <c r="J103" s="240">
        <f>IF(AND(L103="Закрыт",ISNUMBER(F103),ISNUMBER(H103)),ROUND(H103-F103,8),"")</f>
        <v/>
      </c>
      <c r="K103" s="241">
        <f>IF(AND(L103="Закрыт",ISNUMBER(G103),ISNUMBER(I103)),ROUND(I103-G103,8),"")</f>
        <v/>
      </c>
      <c r="L103" s="325" t="n"/>
      <c r="M103" s="316" t="n"/>
      <c r="N103" s="324" t="n"/>
    </row>
    <row r="104" ht="22" customHeight="1">
      <c r="B104" s="326" t="n"/>
      <c r="C104" s="319" t="n"/>
      <c r="D104" s="318" t="n"/>
      <c r="E104" s="320" t="n"/>
      <c r="F104" s="321" t="n"/>
      <c r="G104" s="327" t="n"/>
      <c r="H104" s="321" t="n"/>
      <c r="I104" s="327" t="n"/>
      <c r="J104" s="246">
        <f>IF(AND(L104="Закрыт",ISNUMBER(F104),ISNUMBER(H104)),ROUND(H104-F104,8),"")</f>
        <v/>
      </c>
      <c r="K104" s="247">
        <f>IF(AND(L104="Закрыт",ISNUMBER(G104),ISNUMBER(I104)),ROUND(I104-G104,8),"")</f>
        <v/>
      </c>
      <c r="L104" s="328" t="n"/>
      <c r="M104" s="321" t="n"/>
      <c r="N104" s="327" t="n"/>
    </row>
    <row r="105" ht="22" customHeight="1">
      <c r="B105" s="323" t="n"/>
      <c r="C105" s="314" t="n"/>
      <c r="D105" s="313" t="n"/>
      <c r="E105" s="315" t="n"/>
      <c r="F105" s="316" t="n"/>
      <c r="G105" s="324" t="n"/>
      <c r="H105" s="316" t="n"/>
      <c r="I105" s="324" t="n"/>
      <c r="J105" s="240">
        <f>IF(AND(L105="Закрыт",ISNUMBER(F105),ISNUMBER(H105)),ROUND(H105-F105,8),"")</f>
        <v/>
      </c>
      <c r="K105" s="241">
        <f>IF(AND(L105="Закрыт",ISNUMBER(G105),ISNUMBER(I105)),ROUND(I105-G105,8),"")</f>
        <v/>
      </c>
      <c r="L105" s="325" t="n"/>
      <c r="M105" s="316" t="n"/>
      <c r="N105" s="324" t="n"/>
    </row>
    <row r="106" ht="22" customHeight="1">
      <c r="B106" s="326" t="n"/>
      <c r="C106" s="319" t="n"/>
      <c r="D106" s="318" t="n"/>
      <c r="E106" s="320" t="n"/>
      <c r="F106" s="321" t="n"/>
      <c r="G106" s="327" t="n"/>
      <c r="H106" s="321" t="n"/>
      <c r="I106" s="327" t="n"/>
      <c r="J106" s="246">
        <f>IF(AND(L106="Закрыт",ISNUMBER(F106),ISNUMBER(H106)),ROUND(H106-F106,8),"")</f>
        <v/>
      </c>
      <c r="K106" s="247">
        <f>IF(AND(L106="Закрыт",ISNUMBER(G106),ISNUMBER(I106)),ROUND(I106-G106,8),"")</f>
        <v/>
      </c>
      <c r="L106" s="328" t="n"/>
      <c r="M106" s="321" t="n"/>
      <c r="N106" s="327" t="n"/>
    </row>
    <row r="107" ht="22" customHeight="1">
      <c r="B107" s="323" t="n"/>
      <c r="C107" s="314" t="n"/>
      <c r="D107" s="313" t="n"/>
      <c r="E107" s="315" t="n"/>
      <c r="F107" s="316" t="n"/>
      <c r="G107" s="324" t="n"/>
      <c r="H107" s="316" t="n"/>
      <c r="I107" s="324" t="n"/>
      <c r="J107" s="240">
        <f>IF(AND(L107="Закрыт",ISNUMBER(F107),ISNUMBER(H107)),ROUND(H107-F107,8),"")</f>
        <v/>
      </c>
      <c r="K107" s="241">
        <f>IF(AND(L107="Закрыт",ISNUMBER(G107),ISNUMBER(I107)),ROUND(I107-G107,8),"")</f>
        <v/>
      </c>
      <c r="L107" s="325" t="n"/>
      <c r="M107" s="316" t="n"/>
      <c r="N107" s="324" t="n"/>
    </row>
    <row r="108" ht="22" customHeight="1">
      <c r="B108" s="326" t="n"/>
      <c r="C108" s="319" t="n"/>
      <c r="D108" s="318" t="n"/>
      <c r="E108" s="320" t="n"/>
      <c r="F108" s="321" t="n"/>
      <c r="G108" s="327" t="n"/>
      <c r="H108" s="321" t="n"/>
      <c r="I108" s="327" t="n"/>
      <c r="J108" s="246">
        <f>IF(AND(L108="Закрыт",ISNUMBER(F108),ISNUMBER(H108)),ROUND(H108-F108,8),"")</f>
        <v/>
      </c>
      <c r="K108" s="247">
        <f>IF(AND(L108="Закрыт",ISNUMBER(G108),ISNUMBER(I108)),ROUND(I108-G108,8),"")</f>
        <v/>
      </c>
      <c r="L108" s="328" t="n"/>
      <c r="M108" s="321" t="n"/>
      <c r="N108" s="327" t="n"/>
    </row>
    <row r="109" ht="22" customHeight="1">
      <c r="B109" s="323" t="n"/>
      <c r="C109" s="314" t="n"/>
      <c r="D109" s="313" t="n"/>
      <c r="E109" s="315" t="n"/>
      <c r="F109" s="316" t="n"/>
      <c r="G109" s="324" t="n"/>
      <c r="H109" s="316" t="n"/>
      <c r="I109" s="324" t="n"/>
      <c r="J109" s="240">
        <f>IF(AND(L109="Закрыт",ISNUMBER(F109),ISNUMBER(H109)),ROUND(H109-F109,8),"")</f>
        <v/>
      </c>
      <c r="K109" s="241">
        <f>IF(AND(L109="Закрыт",ISNUMBER(G109),ISNUMBER(I109)),ROUND(I109-G109,8),"")</f>
        <v/>
      </c>
      <c r="L109" s="325" t="n"/>
      <c r="M109" s="316" t="n"/>
      <c r="N109" s="324" t="n"/>
    </row>
    <row r="110" ht="22" customHeight="1">
      <c r="B110" s="326" t="n"/>
      <c r="C110" s="319" t="n"/>
      <c r="D110" s="318" t="n"/>
      <c r="E110" s="320" t="n"/>
      <c r="F110" s="321" t="n"/>
      <c r="G110" s="327" t="n"/>
      <c r="H110" s="321" t="n"/>
      <c r="I110" s="327" t="n"/>
      <c r="J110" s="246">
        <f>IF(AND(L110="Закрыт",ISNUMBER(F110),ISNUMBER(H110)),ROUND(H110-F110,8),"")</f>
        <v/>
      </c>
      <c r="K110" s="247">
        <f>IF(AND(L110="Закрыт",ISNUMBER(G110),ISNUMBER(I110)),ROUND(I110-G110,8),"")</f>
        <v/>
      </c>
      <c r="L110" s="328" t="n"/>
      <c r="M110" s="321" t="n"/>
      <c r="N110" s="327" t="n"/>
    </row>
    <row r="111" ht="22" customHeight="1">
      <c r="B111" s="323" t="n"/>
      <c r="C111" s="314" t="n"/>
      <c r="D111" s="313" t="n"/>
      <c r="E111" s="315" t="n"/>
      <c r="F111" s="316" t="n"/>
      <c r="G111" s="324" t="n"/>
      <c r="H111" s="316" t="n"/>
      <c r="I111" s="324" t="n"/>
      <c r="J111" s="240">
        <f>IF(AND(L111="Закрыт",ISNUMBER(F111),ISNUMBER(H111)),ROUND(H111-F111,8),"")</f>
        <v/>
      </c>
      <c r="K111" s="241">
        <f>IF(AND(L111="Закрыт",ISNUMBER(G111),ISNUMBER(I111)),ROUND(I111-G111,8),"")</f>
        <v/>
      </c>
      <c r="L111" s="325" t="n"/>
      <c r="M111" s="316" t="n"/>
      <c r="N111" s="324" t="n"/>
    </row>
    <row r="112" ht="22" customHeight="1">
      <c r="B112" s="326" t="n"/>
      <c r="C112" s="319" t="n"/>
      <c r="D112" s="318" t="n"/>
      <c r="E112" s="320" t="n"/>
      <c r="F112" s="321" t="n"/>
      <c r="G112" s="327" t="n"/>
      <c r="H112" s="321" t="n"/>
      <c r="I112" s="327" t="n"/>
      <c r="J112" s="246">
        <f>IF(AND(L112="Закрыт",ISNUMBER(F112),ISNUMBER(H112)),ROUND(H112-F112,8),"")</f>
        <v/>
      </c>
      <c r="K112" s="247">
        <f>IF(AND(L112="Закрыт",ISNUMBER(G112),ISNUMBER(I112)),ROUND(I112-G112,8),"")</f>
        <v/>
      </c>
      <c r="L112" s="328" t="n"/>
      <c r="M112" s="321" t="n"/>
      <c r="N112" s="327" t="n"/>
    </row>
    <row r="113" ht="22" customHeight="1">
      <c r="B113" s="323" t="n"/>
      <c r="C113" s="314" t="n"/>
      <c r="D113" s="313" t="n"/>
      <c r="E113" s="315" t="n"/>
      <c r="F113" s="316" t="n"/>
      <c r="G113" s="324" t="n"/>
      <c r="H113" s="316" t="n"/>
      <c r="I113" s="324" t="n"/>
      <c r="J113" s="240">
        <f>IF(AND(L113="Закрыт",ISNUMBER(F113),ISNUMBER(H113)),ROUND(H113-F113,8),"")</f>
        <v/>
      </c>
      <c r="K113" s="241">
        <f>IF(AND(L113="Закрыт",ISNUMBER(G113),ISNUMBER(I113)),ROUND(I113-G113,8),"")</f>
        <v/>
      </c>
      <c r="L113" s="325" t="n"/>
      <c r="M113" s="316" t="n"/>
      <c r="N113" s="324" t="n"/>
    </row>
    <row r="114" ht="22" customHeight="1">
      <c r="B114" s="326" t="n"/>
      <c r="C114" s="319" t="n"/>
      <c r="D114" s="318" t="n"/>
      <c r="E114" s="320" t="n"/>
      <c r="F114" s="321" t="n"/>
      <c r="G114" s="327" t="n"/>
      <c r="H114" s="321" t="n"/>
      <c r="I114" s="327" t="n"/>
      <c r="J114" s="246">
        <f>IF(AND(L114="Закрыт",ISNUMBER(F114),ISNUMBER(H114)),ROUND(H114-F114,8),"")</f>
        <v/>
      </c>
      <c r="K114" s="247">
        <f>IF(AND(L114="Закрыт",ISNUMBER(G114),ISNUMBER(I114)),ROUND(I114-G114,8),"")</f>
        <v/>
      </c>
      <c r="L114" s="328" t="n"/>
      <c r="M114" s="321" t="n"/>
      <c r="N114" s="327" t="n"/>
    </row>
    <row r="115" ht="22" customHeight="1">
      <c r="B115" s="323" t="n"/>
      <c r="C115" s="314" t="n"/>
      <c r="D115" s="313" t="n"/>
      <c r="E115" s="315" t="n"/>
      <c r="F115" s="316" t="n"/>
      <c r="G115" s="324" t="n"/>
      <c r="H115" s="316" t="n"/>
      <c r="I115" s="324" t="n"/>
      <c r="J115" s="240">
        <f>IF(AND(L115="Закрыт",ISNUMBER(F115),ISNUMBER(H115)),ROUND(H115-F115,8),"")</f>
        <v/>
      </c>
      <c r="K115" s="241">
        <f>IF(AND(L115="Закрыт",ISNUMBER(G115),ISNUMBER(I115)),ROUND(I115-G115,8),"")</f>
        <v/>
      </c>
      <c r="L115" s="325" t="n"/>
      <c r="M115" s="316" t="n"/>
      <c r="N115" s="324" t="n"/>
    </row>
    <row r="116" ht="22" customHeight="1">
      <c r="B116" s="326" t="n"/>
      <c r="C116" s="319" t="n"/>
      <c r="D116" s="318" t="n"/>
      <c r="E116" s="320" t="n"/>
      <c r="F116" s="321" t="n"/>
      <c r="G116" s="327" t="n"/>
      <c r="H116" s="321" t="n"/>
      <c r="I116" s="327" t="n"/>
      <c r="J116" s="246">
        <f>IF(AND(L116="Закрыт",ISNUMBER(F116),ISNUMBER(H116)),ROUND(H116-F116,8),"")</f>
        <v/>
      </c>
      <c r="K116" s="247">
        <f>IF(AND(L116="Закрыт",ISNUMBER(G116),ISNUMBER(I116)),ROUND(I116-G116,8),"")</f>
        <v/>
      </c>
      <c r="L116" s="328" t="n"/>
      <c r="M116" s="321" t="n"/>
      <c r="N116" s="327" t="n"/>
    </row>
    <row r="117" ht="22" customHeight="1">
      <c r="B117" s="323" t="n"/>
      <c r="C117" s="314" t="n"/>
      <c r="D117" s="313" t="n"/>
      <c r="E117" s="315" t="n"/>
      <c r="F117" s="316" t="n"/>
      <c r="G117" s="324" t="n"/>
      <c r="H117" s="316" t="n"/>
      <c r="I117" s="324" t="n"/>
      <c r="J117" s="240">
        <f>IF(AND(L117="Закрыт",ISNUMBER(F117),ISNUMBER(H117)),ROUND(H117-F117,8),"")</f>
        <v/>
      </c>
      <c r="K117" s="241">
        <f>IF(AND(L117="Закрыт",ISNUMBER(G117),ISNUMBER(I117)),ROUND(I117-G117,8),"")</f>
        <v/>
      </c>
      <c r="L117" s="325" t="n"/>
      <c r="M117" s="316" t="n"/>
      <c r="N117" s="324" t="n"/>
    </row>
    <row r="118" ht="22" customHeight="1">
      <c r="B118" s="326" t="n"/>
      <c r="C118" s="319" t="n"/>
      <c r="D118" s="318" t="n"/>
      <c r="E118" s="320" t="n"/>
      <c r="F118" s="321" t="n"/>
      <c r="G118" s="327" t="n"/>
      <c r="H118" s="321" t="n"/>
      <c r="I118" s="327" t="n"/>
      <c r="J118" s="246">
        <f>IF(AND(L118="Закрыт",ISNUMBER(F118),ISNUMBER(H118)),ROUND(H118-F118,8),"")</f>
        <v/>
      </c>
      <c r="K118" s="247">
        <f>IF(AND(L118="Закрыт",ISNUMBER(G118),ISNUMBER(I118)),ROUND(I118-G118,8),"")</f>
        <v/>
      </c>
      <c r="L118" s="328" t="n"/>
      <c r="M118" s="321" t="n"/>
      <c r="N118" s="327" t="n"/>
    </row>
    <row r="119" ht="22" customHeight="1">
      <c r="B119" s="323" t="n"/>
      <c r="C119" s="314" t="n"/>
      <c r="D119" s="313" t="n"/>
      <c r="E119" s="315" t="n"/>
      <c r="F119" s="316" t="n"/>
      <c r="G119" s="324" t="n"/>
      <c r="H119" s="316" t="n"/>
      <c r="I119" s="324" t="n"/>
      <c r="J119" s="240">
        <f>IF(AND(L119="Закрыт",ISNUMBER(F119),ISNUMBER(H119)),ROUND(H119-F119,8),"")</f>
        <v/>
      </c>
      <c r="K119" s="241">
        <f>IF(AND(L119="Закрыт",ISNUMBER(G119),ISNUMBER(I119)),ROUND(I119-G119,8),"")</f>
        <v/>
      </c>
      <c r="L119" s="325" t="n"/>
      <c r="M119" s="316" t="n"/>
      <c r="N119" s="324" t="n"/>
    </row>
    <row r="120" ht="22" customHeight="1">
      <c r="B120" s="326" t="n"/>
      <c r="C120" s="319" t="n"/>
      <c r="D120" s="318" t="n"/>
      <c r="E120" s="320" t="n"/>
      <c r="F120" s="321" t="n"/>
      <c r="G120" s="327" t="n"/>
      <c r="H120" s="321" t="n"/>
      <c r="I120" s="327" t="n"/>
      <c r="J120" s="246">
        <f>IF(AND(L120="Закрыт",ISNUMBER(F120),ISNUMBER(H120)),ROUND(H120-F120,8),"")</f>
        <v/>
      </c>
      <c r="K120" s="247">
        <f>IF(AND(L120="Закрыт",ISNUMBER(G120),ISNUMBER(I120)),ROUND(I120-G120,8),"")</f>
        <v/>
      </c>
      <c r="L120" s="328" t="n"/>
      <c r="M120" s="321" t="n"/>
      <c r="N120" s="327" t="n"/>
    </row>
    <row r="121" ht="22" customHeight="1">
      <c r="B121" s="323" t="n"/>
      <c r="C121" s="314" t="n"/>
      <c r="D121" s="313" t="n"/>
      <c r="E121" s="315" t="n"/>
      <c r="F121" s="316" t="n"/>
      <c r="G121" s="324" t="n"/>
      <c r="H121" s="316" t="n"/>
      <c r="I121" s="324" t="n"/>
      <c r="J121" s="240">
        <f>IF(AND(L121="Закрыт",ISNUMBER(F121),ISNUMBER(H121)),ROUND(H121-F121,8),"")</f>
        <v/>
      </c>
      <c r="K121" s="241">
        <f>IF(AND(L121="Закрыт",ISNUMBER(G121),ISNUMBER(I121)),ROUND(I121-G121,8),"")</f>
        <v/>
      </c>
      <c r="L121" s="325" t="n"/>
      <c r="M121" s="316" t="n"/>
      <c r="N121" s="324" t="n"/>
    </row>
    <row r="122" ht="22" customHeight="1">
      <c r="B122" s="326" t="n"/>
      <c r="C122" s="319" t="n"/>
      <c r="D122" s="318" t="n"/>
      <c r="E122" s="320" t="n"/>
      <c r="F122" s="321" t="n"/>
      <c r="G122" s="327" t="n"/>
      <c r="H122" s="321" t="n"/>
      <c r="I122" s="327" t="n"/>
      <c r="J122" s="246">
        <f>IF(AND(L122="Закрыт",ISNUMBER(F122),ISNUMBER(H122)),ROUND(H122-F122,8),"")</f>
        <v/>
      </c>
      <c r="K122" s="247">
        <f>IF(AND(L122="Закрыт",ISNUMBER(G122),ISNUMBER(I122)),ROUND(I122-G122,8),"")</f>
        <v/>
      </c>
      <c r="L122" s="328" t="n"/>
      <c r="M122" s="321" t="n"/>
      <c r="N122" s="327" t="n"/>
    </row>
    <row r="123" ht="22" customHeight="1">
      <c r="B123" s="323" t="n"/>
      <c r="C123" s="314" t="n"/>
      <c r="D123" s="313" t="n"/>
      <c r="E123" s="315" t="n"/>
      <c r="F123" s="316" t="n"/>
      <c r="G123" s="324" t="n"/>
      <c r="H123" s="316" t="n"/>
      <c r="I123" s="324" t="n"/>
      <c r="J123" s="240">
        <f>IF(AND(L123="Закрыт",ISNUMBER(F123),ISNUMBER(H123)),ROUND(H123-F123,8),"")</f>
        <v/>
      </c>
      <c r="K123" s="241">
        <f>IF(AND(L123="Закрыт",ISNUMBER(G123),ISNUMBER(I123)),ROUND(I123-G123,8),"")</f>
        <v/>
      </c>
      <c r="L123" s="325" t="n"/>
      <c r="M123" s="316" t="n"/>
      <c r="N123" s="324" t="n"/>
    </row>
    <row r="124" ht="22" customHeight="1">
      <c r="B124" s="326" t="n"/>
      <c r="C124" s="319" t="n"/>
      <c r="D124" s="318" t="n"/>
      <c r="E124" s="320" t="n"/>
      <c r="F124" s="321" t="n"/>
      <c r="G124" s="327" t="n"/>
      <c r="H124" s="321" t="n"/>
      <c r="I124" s="327" t="n"/>
      <c r="J124" s="246">
        <f>IF(AND(L124="Закрыт",ISNUMBER(F124),ISNUMBER(H124)),ROUND(H124-F124,8),"")</f>
        <v/>
      </c>
      <c r="K124" s="247">
        <f>IF(AND(L124="Закрыт",ISNUMBER(G124),ISNUMBER(I124)),ROUND(I124-G124,8),"")</f>
        <v/>
      </c>
      <c r="L124" s="328" t="n"/>
      <c r="M124" s="321" t="n"/>
      <c r="N124" s="327" t="n"/>
    </row>
    <row r="125" ht="22" customHeight="1">
      <c r="B125" s="323" t="n"/>
      <c r="C125" s="314" t="n"/>
      <c r="D125" s="313" t="n"/>
      <c r="E125" s="315" t="n"/>
      <c r="F125" s="316" t="n"/>
      <c r="G125" s="324" t="n"/>
      <c r="H125" s="316" t="n"/>
      <c r="I125" s="324" t="n"/>
      <c r="J125" s="240">
        <f>IF(AND(L125="Закрыт",ISNUMBER(F125),ISNUMBER(H125)),ROUND(H125-F125,8),"")</f>
        <v/>
      </c>
      <c r="K125" s="241">
        <f>IF(AND(L125="Закрыт",ISNUMBER(G125),ISNUMBER(I125)),ROUND(I125-G125,8),"")</f>
        <v/>
      </c>
      <c r="L125" s="325" t="n"/>
      <c r="M125" s="316" t="n"/>
      <c r="N125" s="324" t="n"/>
    </row>
    <row r="126" ht="22" customHeight="1">
      <c r="B126" s="326" t="n"/>
      <c r="C126" s="319" t="n"/>
      <c r="D126" s="318" t="n"/>
      <c r="E126" s="320" t="n"/>
      <c r="F126" s="321" t="n"/>
      <c r="G126" s="327" t="n"/>
      <c r="H126" s="321" t="n"/>
      <c r="I126" s="327" t="n"/>
      <c r="J126" s="246">
        <f>IF(AND(L126="Закрыт",ISNUMBER(F126),ISNUMBER(H126)),ROUND(H126-F126,8),"")</f>
        <v/>
      </c>
      <c r="K126" s="247">
        <f>IF(AND(L126="Закрыт",ISNUMBER(G126),ISNUMBER(I126)),ROUND(I126-G126,8),"")</f>
        <v/>
      </c>
      <c r="L126" s="328" t="n"/>
      <c r="M126" s="321" t="n"/>
      <c r="N126" s="327" t="n"/>
    </row>
    <row r="127" ht="22" customHeight="1">
      <c r="B127" s="323" t="n"/>
      <c r="C127" s="314" t="n"/>
      <c r="D127" s="313" t="n"/>
      <c r="E127" s="315" t="n"/>
      <c r="F127" s="316" t="n"/>
      <c r="G127" s="324" t="n"/>
      <c r="H127" s="316" t="n"/>
      <c r="I127" s="324" t="n"/>
      <c r="J127" s="240">
        <f>IF(AND(L127="Закрыт",ISNUMBER(F127),ISNUMBER(H127)),ROUND(H127-F127,8),"")</f>
        <v/>
      </c>
      <c r="K127" s="241">
        <f>IF(AND(L127="Закрыт",ISNUMBER(G127),ISNUMBER(I127)),ROUND(I127-G127,8),"")</f>
        <v/>
      </c>
      <c r="L127" s="325" t="n"/>
      <c r="M127" s="316" t="n"/>
      <c r="N127" s="324" t="n"/>
    </row>
    <row r="128" ht="22" customHeight="1">
      <c r="B128" s="326" t="n"/>
      <c r="C128" s="319" t="n"/>
      <c r="D128" s="318" t="n"/>
      <c r="E128" s="320" t="n"/>
      <c r="F128" s="321" t="n"/>
      <c r="G128" s="327" t="n"/>
      <c r="H128" s="321" t="n"/>
      <c r="I128" s="327" t="n"/>
      <c r="J128" s="246">
        <f>IF(AND(L128="Закрыт",ISNUMBER(F128),ISNUMBER(H128)),ROUND(H128-F128,8),"")</f>
        <v/>
      </c>
      <c r="K128" s="247">
        <f>IF(AND(L128="Закрыт",ISNUMBER(G128),ISNUMBER(I128)),ROUND(I128-G128,8),"")</f>
        <v/>
      </c>
      <c r="L128" s="328" t="n"/>
      <c r="M128" s="321" t="n"/>
      <c r="N128" s="327" t="n"/>
    </row>
    <row r="129" ht="22" customHeight="1">
      <c r="B129" s="323" t="n"/>
      <c r="C129" s="314" t="n"/>
      <c r="D129" s="313" t="n"/>
      <c r="E129" s="315" t="n"/>
      <c r="F129" s="316" t="n"/>
      <c r="G129" s="324" t="n"/>
      <c r="H129" s="316" t="n"/>
      <c r="I129" s="324" t="n"/>
      <c r="J129" s="240">
        <f>IF(AND(L129="Закрыт",ISNUMBER(F129),ISNUMBER(H129)),ROUND(H129-F129,8),"")</f>
        <v/>
      </c>
      <c r="K129" s="241">
        <f>IF(AND(L129="Закрыт",ISNUMBER(G129),ISNUMBER(I129)),ROUND(I129-G129,8),"")</f>
        <v/>
      </c>
      <c r="L129" s="325" t="n"/>
      <c r="M129" s="316" t="n"/>
      <c r="N129" s="324" t="n"/>
    </row>
    <row r="130" ht="22" customHeight="1">
      <c r="B130" s="326" t="n"/>
      <c r="C130" s="319" t="n"/>
      <c r="D130" s="318" t="n"/>
      <c r="E130" s="320" t="n"/>
      <c r="F130" s="321" t="n"/>
      <c r="G130" s="327" t="n"/>
      <c r="H130" s="321" t="n"/>
      <c r="I130" s="327" t="n"/>
      <c r="J130" s="246">
        <f>IF(AND(L130="Закрыт",ISNUMBER(F130),ISNUMBER(H130)),ROUND(H130-F130,8),"")</f>
        <v/>
      </c>
      <c r="K130" s="247">
        <f>IF(AND(L130="Закрыт",ISNUMBER(G130),ISNUMBER(I130)),ROUND(I130-G130,8),"")</f>
        <v/>
      </c>
      <c r="L130" s="328" t="n"/>
      <c r="M130" s="321" t="n"/>
      <c r="N130" s="327" t="n"/>
    </row>
    <row r="131" ht="22" customHeight="1">
      <c r="B131" s="323" t="n"/>
      <c r="C131" s="314" t="n"/>
      <c r="D131" s="313" t="n"/>
      <c r="E131" s="315" t="n"/>
      <c r="F131" s="316" t="n"/>
      <c r="G131" s="324" t="n"/>
      <c r="H131" s="316" t="n"/>
      <c r="I131" s="324" t="n"/>
      <c r="J131" s="240">
        <f>IF(AND(L131="Закрыт",ISNUMBER(F131),ISNUMBER(H131)),ROUND(H131-F131,8),"")</f>
        <v/>
      </c>
      <c r="K131" s="241">
        <f>IF(AND(L131="Закрыт",ISNUMBER(G131),ISNUMBER(I131)),ROUND(I131-G131,8),"")</f>
        <v/>
      </c>
      <c r="L131" s="325" t="n"/>
      <c r="M131" s="316" t="n"/>
      <c r="N131" s="324" t="n"/>
    </row>
    <row r="132" ht="22" customHeight="1">
      <c r="B132" s="326" t="n"/>
      <c r="C132" s="319" t="n"/>
      <c r="D132" s="318" t="n"/>
      <c r="E132" s="320" t="n"/>
      <c r="F132" s="321" t="n"/>
      <c r="G132" s="327" t="n"/>
      <c r="H132" s="321" t="n"/>
      <c r="I132" s="327" t="n"/>
      <c r="J132" s="246">
        <f>IF(AND(L132="Закрыт",ISNUMBER(F132),ISNUMBER(H132)),ROUND(H132-F132,8),"")</f>
        <v/>
      </c>
      <c r="K132" s="247">
        <f>IF(AND(L132="Закрыт",ISNUMBER(G132),ISNUMBER(I132)),ROUND(I132-G132,8),"")</f>
        <v/>
      </c>
      <c r="L132" s="328" t="n"/>
      <c r="M132" s="321" t="n"/>
      <c r="N132" s="327" t="n"/>
    </row>
    <row r="133" ht="22" customHeight="1">
      <c r="B133" s="323" t="n"/>
      <c r="C133" s="314" t="n"/>
      <c r="D133" s="313" t="n"/>
      <c r="E133" s="315" t="n"/>
      <c r="F133" s="316" t="n"/>
      <c r="G133" s="324" t="n"/>
      <c r="H133" s="316" t="n"/>
      <c r="I133" s="324" t="n"/>
      <c r="J133" s="240">
        <f>IF(AND(L133="Закрыт",ISNUMBER(F133),ISNUMBER(H133)),ROUND(H133-F133,8),"")</f>
        <v/>
      </c>
      <c r="K133" s="241">
        <f>IF(AND(L133="Закрыт",ISNUMBER(G133),ISNUMBER(I133)),ROUND(I133-G133,8),"")</f>
        <v/>
      </c>
      <c r="L133" s="325" t="n"/>
      <c r="M133" s="316" t="n"/>
      <c r="N133" s="324" t="n"/>
    </row>
    <row r="134" ht="22" customHeight="1">
      <c r="B134" s="326" t="n"/>
      <c r="C134" s="319" t="n"/>
      <c r="D134" s="318" t="n"/>
      <c r="E134" s="320" t="n"/>
      <c r="F134" s="321" t="n"/>
      <c r="G134" s="327" t="n"/>
      <c r="H134" s="321" t="n"/>
      <c r="I134" s="327" t="n"/>
      <c r="J134" s="246">
        <f>IF(AND(L134="Закрыт",ISNUMBER(F134),ISNUMBER(H134)),ROUND(H134-F134,8),"")</f>
        <v/>
      </c>
      <c r="K134" s="247">
        <f>IF(AND(L134="Закрыт",ISNUMBER(G134),ISNUMBER(I134)),ROUND(I134-G134,8),"")</f>
        <v/>
      </c>
      <c r="L134" s="328" t="n"/>
      <c r="M134" s="321" t="n"/>
      <c r="N134" s="327" t="n"/>
    </row>
    <row r="135" ht="22" customHeight="1">
      <c r="B135" s="323" t="n"/>
      <c r="C135" s="314" t="n"/>
      <c r="D135" s="313" t="n"/>
      <c r="E135" s="315" t="n"/>
      <c r="F135" s="316" t="n"/>
      <c r="G135" s="324" t="n"/>
      <c r="H135" s="316" t="n"/>
      <c r="I135" s="324" t="n"/>
      <c r="J135" s="240">
        <f>IF(AND(L135="Закрыт",ISNUMBER(F135),ISNUMBER(H135)),ROUND(H135-F135,8),"")</f>
        <v/>
      </c>
      <c r="K135" s="241">
        <f>IF(AND(L135="Закрыт",ISNUMBER(G135),ISNUMBER(I135)),ROUND(I135-G135,8),"")</f>
        <v/>
      </c>
      <c r="L135" s="325" t="n"/>
      <c r="M135" s="316" t="n"/>
      <c r="N135" s="324" t="n"/>
    </row>
    <row r="136" ht="22" customHeight="1">
      <c r="B136" s="326" t="n"/>
      <c r="C136" s="319" t="n"/>
      <c r="D136" s="318" t="n"/>
      <c r="E136" s="320" t="n"/>
      <c r="F136" s="321" t="n"/>
      <c r="G136" s="327" t="n"/>
      <c r="H136" s="321" t="n"/>
      <c r="I136" s="327" t="n"/>
      <c r="J136" s="246">
        <f>IF(AND(L136="Закрыт",ISNUMBER(F136),ISNUMBER(H136)),ROUND(H136-F136,8),"")</f>
        <v/>
      </c>
      <c r="K136" s="247">
        <f>IF(AND(L136="Закрыт",ISNUMBER(G136),ISNUMBER(I136)),ROUND(I136-G136,8),"")</f>
        <v/>
      </c>
      <c r="L136" s="328" t="n"/>
      <c r="M136" s="321" t="n"/>
      <c r="N136" s="327" t="n"/>
    </row>
    <row r="137" ht="22" customHeight="1">
      <c r="B137" s="323" t="n"/>
      <c r="C137" s="314" t="n"/>
      <c r="D137" s="313" t="n"/>
      <c r="E137" s="315" t="n"/>
      <c r="F137" s="316" t="n"/>
      <c r="G137" s="324" t="n"/>
      <c r="H137" s="316" t="n"/>
      <c r="I137" s="324" t="n"/>
      <c r="J137" s="240">
        <f>IF(AND(L137="Закрыт",ISNUMBER(F137),ISNUMBER(H137)),ROUND(H137-F137,8),"")</f>
        <v/>
      </c>
      <c r="K137" s="241">
        <f>IF(AND(L137="Закрыт",ISNUMBER(G137),ISNUMBER(I137)),ROUND(I137-G137,8),"")</f>
        <v/>
      </c>
      <c r="L137" s="325" t="n"/>
      <c r="M137" s="316" t="n"/>
      <c r="N137" s="324" t="n"/>
    </row>
    <row r="138" ht="22" customHeight="1">
      <c r="B138" s="326" t="n"/>
      <c r="C138" s="319" t="n"/>
      <c r="D138" s="318" t="n"/>
      <c r="E138" s="320" t="n"/>
      <c r="F138" s="321" t="n"/>
      <c r="G138" s="327" t="n"/>
      <c r="H138" s="321" t="n"/>
      <c r="I138" s="327" t="n"/>
      <c r="J138" s="246">
        <f>IF(AND(L138="Закрыт",ISNUMBER(F138),ISNUMBER(H138)),ROUND(H138-F138,8),"")</f>
        <v/>
      </c>
      <c r="K138" s="247">
        <f>IF(AND(L138="Закрыт",ISNUMBER(G138),ISNUMBER(I138)),ROUND(I138-G138,8),"")</f>
        <v/>
      </c>
      <c r="L138" s="328" t="n"/>
      <c r="M138" s="321" t="n"/>
      <c r="N138" s="327" t="n"/>
    </row>
    <row r="139" ht="22" customHeight="1">
      <c r="B139" s="323" t="n"/>
      <c r="C139" s="314" t="n"/>
      <c r="D139" s="313" t="n"/>
      <c r="E139" s="315" t="n"/>
      <c r="F139" s="316" t="n"/>
      <c r="G139" s="324" t="n"/>
      <c r="H139" s="316" t="n"/>
      <c r="I139" s="324" t="n"/>
      <c r="J139" s="240">
        <f>IF(AND(L139="Закрыт",ISNUMBER(F139),ISNUMBER(H139)),ROUND(H139-F139,8),"")</f>
        <v/>
      </c>
      <c r="K139" s="241">
        <f>IF(AND(L139="Закрыт",ISNUMBER(G139),ISNUMBER(I139)),ROUND(I139-G139,8),"")</f>
        <v/>
      </c>
      <c r="L139" s="325" t="n"/>
      <c r="M139" s="316" t="n"/>
      <c r="N139" s="324" t="n"/>
    </row>
    <row r="140" ht="22" customHeight="1">
      <c r="B140" s="326" t="n"/>
      <c r="C140" s="319" t="n"/>
      <c r="D140" s="318" t="n"/>
      <c r="E140" s="320" t="n"/>
      <c r="F140" s="321" t="n"/>
      <c r="G140" s="327" t="n"/>
      <c r="H140" s="321" t="n"/>
      <c r="I140" s="327" t="n"/>
      <c r="J140" s="246">
        <f>IF(AND(L140="Закрыт",ISNUMBER(F140),ISNUMBER(H140)),ROUND(H140-F140,8),"")</f>
        <v/>
      </c>
      <c r="K140" s="247">
        <f>IF(AND(L140="Закрыт",ISNUMBER(G140),ISNUMBER(I140)),ROUND(I140-G140,8),"")</f>
        <v/>
      </c>
      <c r="L140" s="328" t="n"/>
      <c r="M140" s="321" t="n"/>
      <c r="N140" s="327" t="n"/>
    </row>
    <row r="141" ht="22" customHeight="1">
      <c r="B141" s="323" t="n"/>
      <c r="C141" s="314" t="n"/>
      <c r="D141" s="313" t="n"/>
      <c r="E141" s="315" t="n"/>
      <c r="F141" s="316" t="n"/>
      <c r="G141" s="324" t="n"/>
      <c r="H141" s="316" t="n"/>
      <c r="I141" s="324" t="n"/>
      <c r="J141" s="240">
        <f>IF(AND(L141="Закрыт",ISNUMBER(F141),ISNUMBER(H141)),ROUND(H141-F141,8),"")</f>
        <v/>
      </c>
      <c r="K141" s="241">
        <f>IF(AND(L141="Закрыт",ISNUMBER(G141),ISNUMBER(I141)),ROUND(I141-G141,8),"")</f>
        <v/>
      </c>
      <c r="L141" s="325" t="n"/>
      <c r="M141" s="316" t="n"/>
      <c r="N141" s="324" t="n"/>
    </row>
    <row r="142" ht="22" customHeight="1">
      <c r="B142" s="326" t="n"/>
      <c r="C142" s="319" t="n"/>
      <c r="D142" s="318" t="n"/>
      <c r="E142" s="320" t="n"/>
      <c r="F142" s="321" t="n"/>
      <c r="G142" s="327" t="n"/>
      <c r="H142" s="321" t="n"/>
      <c r="I142" s="327" t="n"/>
      <c r="J142" s="246">
        <f>IF(AND(L142="Закрыт",ISNUMBER(F142),ISNUMBER(H142)),ROUND(H142-F142,8),"")</f>
        <v/>
      </c>
      <c r="K142" s="247">
        <f>IF(AND(L142="Закрыт",ISNUMBER(G142),ISNUMBER(I142)),ROUND(I142-G142,8),"")</f>
        <v/>
      </c>
      <c r="L142" s="328" t="n"/>
      <c r="M142" s="321" t="n"/>
      <c r="N142" s="327" t="n"/>
    </row>
    <row r="143" ht="22" customHeight="1">
      <c r="B143" s="323" t="n"/>
      <c r="C143" s="314" t="n"/>
      <c r="D143" s="313" t="n"/>
      <c r="E143" s="315" t="n"/>
      <c r="F143" s="316" t="n"/>
      <c r="G143" s="324" t="n"/>
      <c r="H143" s="316" t="n"/>
      <c r="I143" s="324" t="n"/>
      <c r="J143" s="240">
        <f>IF(AND(L143="Закрыт",ISNUMBER(F143),ISNUMBER(H143)),ROUND(H143-F143,8),"")</f>
        <v/>
      </c>
      <c r="K143" s="241">
        <f>IF(AND(L143="Закрыт",ISNUMBER(G143),ISNUMBER(I143)),ROUND(I143-G143,8),"")</f>
        <v/>
      </c>
      <c r="L143" s="325" t="n"/>
      <c r="M143" s="316" t="n"/>
      <c r="N143" s="324" t="n"/>
    </row>
    <row r="144" ht="22" customHeight="1">
      <c r="B144" s="326" t="n"/>
      <c r="C144" s="319" t="n"/>
      <c r="D144" s="318" t="n"/>
      <c r="E144" s="320" t="n"/>
      <c r="F144" s="321" t="n"/>
      <c r="G144" s="327" t="n"/>
      <c r="H144" s="321" t="n"/>
      <c r="I144" s="327" t="n"/>
      <c r="J144" s="246">
        <f>IF(AND(L144="Закрыт",ISNUMBER(F144),ISNUMBER(H144)),ROUND(H144-F144,8),"")</f>
        <v/>
      </c>
      <c r="K144" s="247">
        <f>IF(AND(L144="Закрыт",ISNUMBER(G144),ISNUMBER(I144)),ROUND(I144-G144,8),"")</f>
        <v/>
      </c>
      <c r="L144" s="328" t="n"/>
      <c r="M144" s="321" t="n"/>
      <c r="N144" s="327" t="n"/>
    </row>
    <row r="145" ht="22" customHeight="1">
      <c r="B145" s="323" t="n"/>
      <c r="C145" s="314" t="n"/>
      <c r="D145" s="313" t="n"/>
      <c r="E145" s="315" t="n"/>
      <c r="F145" s="316" t="n"/>
      <c r="G145" s="324" t="n"/>
      <c r="H145" s="316" t="n"/>
      <c r="I145" s="324" t="n"/>
      <c r="J145" s="240">
        <f>IF(AND(L145="Закрыт",ISNUMBER(F145),ISNUMBER(H145)),ROUND(H145-F145,8),"")</f>
        <v/>
      </c>
      <c r="K145" s="241">
        <f>IF(AND(L145="Закрыт",ISNUMBER(G145),ISNUMBER(I145)),ROUND(I145-G145,8),"")</f>
        <v/>
      </c>
      <c r="L145" s="325" t="n"/>
      <c r="M145" s="316" t="n"/>
      <c r="N145" s="324" t="n"/>
    </row>
    <row r="146" ht="22" customHeight="1">
      <c r="B146" s="326" t="n"/>
      <c r="C146" s="319" t="n"/>
      <c r="D146" s="318" t="n"/>
      <c r="E146" s="320" t="n"/>
      <c r="F146" s="321" t="n"/>
      <c r="G146" s="327" t="n"/>
      <c r="H146" s="321" t="n"/>
      <c r="I146" s="327" t="n"/>
      <c r="J146" s="246">
        <f>IF(AND(L146="Закрыт",ISNUMBER(F146),ISNUMBER(H146)),ROUND(H146-F146,8),"")</f>
        <v/>
      </c>
      <c r="K146" s="247">
        <f>IF(AND(L146="Закрыт",ISNUMBER(G146),ISNUMBER(I146)),ROUND(I146-G146,8),"")</f>
        <v/>
      </c>
      <c r="L146" s="328" t="n"/>
      <c r="M146" s="321" t="n"/>
      <c r="N146" s="327" t="n"/>
    </row>
    <row r="147" ht="22" customHeight="1">
      <c r="B147" s="323" t="n"/>
      <c r="C147" s="314" t="n"/>
      <c r="D147" s="313" t="n"/>
      <c r="E147" s="315" t="n"/>
      <c r="F147" s="316" t="n"/>
      <c r="G147" s="324" t="n"/>
      <c r="H147" s="316" t="n"/>
      <c r="I147" s="324" t="n"/>
      <c r="J147" s="240">
        <f>IF(AND(L147="Закрыт",ISNUMBER(F147),ISNUMBER(H147)),ROUND(H147-F147,8),"")</f>
        <v/>
      </c>
      <c r="K147" s="241">
        <f>IF(AND(L147="Закрыт",ISNUMBER(G147),ISNUMBER(I147)),ROUND(I147-G147,8),"")</f>
        <v/>
      </c>
      <c r="L147" s="325" t="n"/>
      <c r="M147" s="316" t="n"/>
      <c r="N147" s="324" t="n"/>
    </row>
    <row r="148" ht="22" customHeight="1">
      <c r="B148" s="326" t="n"/>
      <c r="C148" s="319" t="n"/>
      <c r="D148" s="318" t="n"/>
      <c r="E148" s="320" t="n"/>
      <c r="F148" s="321" t="n"/>
      <c r="G148" s="327" t="n"/>
      <c r="H148" s="321" t="n"/>
      <c r="I148" s="327" t="n"/>
      <c r="J148" s="246">
        <f>IF(AND(L148="Закрыт",ISNUMBER(F148),ISNUMBER(H148)),ROUND(H148-F148,8),"")</f>
        <v/>
      </c>
      <c r="K148" s="247">
        <f>IF(AND(L148="Закрыт",ISNUMBER(G148),ISNUMBER(I148)),ROUND(I148-G148,8),"")</f>
        <v/>
      </c>
      <c r="L148" s="328" t="n"/>
      <c r="M148" s="321" t="n"/>
      <c r="N148" s="327" t="n"/>
    </row>
    <row r="149" ht="22" customHeight="1">
      <c r="B149" s="323" t="n"/>
      <c r="C149" s="314" t="n"/>
      <c r="D149" s="313" t="n"/>
      <c r="E149" s="315" t="n"/>
      <c r="F149" s="316" t="n"/>
      <c r="G149" s="324" t="n"/>
      <c r="H149" s="316" t="n"/>
      <c r="I149" s="324" t="n"/>
      <c r="J149" s="240">
        <f>IF(AND(L149="Закрыт",ISNUMBER(F149),ISNUMBER(H149)),ROUND(H149-F149,8),"")</f>
        <v/>
      </c>
      <c r="K149" s="241">
        <f>IF(AND(L149="Закрыт",ISNUMBER(G149),ISNUMBER(I149)),ROUND(I149-G149,8),"")</f>
        <v/>
      </c>
      <c r="L149" s="325" t="n"/>
      <c r="M149" s="316" t="n"/>
      <c r="N149" s="324" t="n"/>
    </row>
    <row r="150" ht="22" customHeight="1">
      <c r="B150" s="326" t="n"/>
      <c r="C150" s="319" t="n"/>
      <c r="D150" s="318" t="n"/>
      <c r="E150" s="320" t="n"/>
      <c r="F150" s="321" t="n"/>
      <c r="G150" s="327" t="n"/>
      <c r="H150" s="321" t="n"/>
      <c r="I150" s="327" t="n"/>
      <c r="J150" s="246">
        <f>IF(AND(L150="Закрыт",ISNUMBER(F150),ISNUMBER(H150)),ROUND(H150-F150,8),"")</f>
        <v/>
      </c>
      <c r="K150" s="247">
        <f>IF(AND(L150="Закрыт",ISNUMBER(G150),ISNUMBER(I150)),ROUND(I150-G150,8),"")</f>
        <v/>
      </c>
      <c r="L150" s="328" t="n"/>
      <c r="M150" s="321" t="n"/>
      <c r="N150" s="327" t="n"/>
    </row>
    <row r="151" ht="22" customHeight="1">
      <c r="B151" s="323" t="n"/>
      <c r="C151" s="314" t="n"/>
      <c r="D151" s="313" t="n"/>
      <c r="E151" s="315" t="n"/>
      <c r="F151" s="316" t="n"/>
      <c r="G151" s="324" t="n"/>
      <c r="H151" s="316" t="n"/>
      <c r="I151" s="324" t="n"/>
      <c r="J151" s="240">
        <f>IF(AND(L151="Закрыт",ISNUMBER(F151),ISNUMBER(H151)),ROUND(H151-F151,8),"")</f>
        <v/>
      </c>
      <c r="K151" s="241">
        <f>IF(AND(L151="Закрыт",ISNUMBER(G151),ISNUMBER(I151)),ROUND(I151-G151,8),"")</f>
        <v/>
      </c>
      <c r="L151" s="325" t="n"/>
      <c r="M151" s="316" t="n"/>
      <c r="N151" s="324" t="n"/>
    </row>
    <row r="152" ht="22" customHeight="1">
      <c r="B152" s="326" t="n"/>
      <c r="C152" s="319" t="n"/>
      <c r="D152" s="318" t="n"/>
      <c r="E152" s="320" t="n"/>
      <c r="F152" s="321" t="n"/>
      <c r="G152" s="327" t="n"/>
      <c r="H152" s="321" t="n"/>
      <c r="I152" s="327" t="n"/>
      <c r="J152" s="246">
        <f>IF(AND(L152="Закрыт",ISNUMBER(F152),ISNUMBER(H152)),ROUND(H152-F152,8),"")</f>
        <v/>
      </c>
      <c r="K152" s="247">
        <f>IF(AND(L152="Закрыт",ISNUMBER(G152),ISNUMBER(I152)),ROUND(I152-G152,8),"")</f>
        <v/>
      </c>
      <c r="L152" s="328" t="n"/>
      <c r="M152" s="321" t="n"/>
      <c r="N152" s="327" t="n"/>
    </row>
    <row r="153" ht="22" customHeight="1">
      <c r="B153" s="323" t="n"/>
      <c r="C153" s="314" t="n"/>
      <c r="D153" s="313" t="n"/>
      <c r="E153" s="315" t="n"/>
      <c r="F153" s="316" t="n"/>
      <c r="G153" s="324" t="n"/>
      <c r="H153" s="316" t="n"/>
      <c r="I153" s="324" t="n"/>
      <c r="J153" s="240">
        <f>IF(AND(L153="Закрыт",ISNUMBER(F153),ISNUMBER(H153)),ROUND(H153-F153,8),"")</f>
        <v/>
      </c>
      <c r="K153" s="241">
        <f>IF(AND(L153="Закрыт",ISNUMBER(G153),ISNUMBER(I153)),ROUND(I153-G153,8),"")</f>
        <v/>
      </c>
      <c r="L153" s="325" t="n"/>
      <c r="M153" s="316" t="n"/>
      <c r="N153" s="324" t="n"/>
    </row>
    <row r="154" ht="22" customHeight="1">
      <c r="B154" s="326" t="n"/>
      <c r="C154" s="319" t="n"/>
      <c r="D154" s="318" t="n"/>
      <c r="E154" s="320" t="n"/>
      <c r="F154" s="321" t="n"/>
      <c r="G154" s="327" t="n"/>
      <c r="H154" s="321" t="n"/>
      <c r="I154" s="327" t="n"/>
      <c r="J154" s="246">
        <f>IF(AND(L154="Закрыт",ISNUMBER(F154),ISNUMBER(H154)),ROUND(H154-F154,8),"")</f>
        <v/>
      </c>
      <c r="K154" s="247">
        <f>IF(AND(L154="Закрыт",ISNUMBER(G154),ISNUMBER(I154)),ROUND(I154-G154,8),"")</f>
        <v/>
      </c>
      <c r="L154" s="328" t="n"/>
      <c r="M154" s="321" t="n"/>
      <c r="N154" s="327" t="n"/>
    </row>
    <row r="155" ht="22" customHeight="1">
      <c r="B155" s="323" t="n"/>
      <c r="C155" s="314" t="n"/>
      <c r="D155" s="313" t="n"/>
      <c r="E155" s="315" t="n"/>
      <c r="F155" s="316" t="n"/>
      <c r="G155" s="324" t="n"/>
      <c r="H155" s="316" t="n"/>
      <c r="I155" s="324" t="n"/>
      <c r="J155" s="240">
        <f>IF(AND(L155="Закрыт",ISNUMBER(F155),ISNUMBER(H155)),ROUND(H155-F155,8),"")</f>
        <v/>
      </c>
      <c r="K155" s="241">
        <f>IF(AND(L155="Закрыт",ISNUMBER(G155),ISNUMBER(I155)),ROUND(I155-G155,8),"")</f>
        <v/>
      </c>
      <c r="L155" s="325" t="n"/>
      <c r="M155" s="316" t="n"/>
      <c r="N155" s="324" t="n"/>
    </row>
    <row r="156" ht="22" customHeight="1">
      <c r="B156" s="326" t="n"/>
      <c r="C156" s="319" t="n"/>
      <c r="D156" s="318" t="n"/>
      <c r="E156" s="320" t="n"/>
      <c r="F156" s="321" t="n"/>
      <c r="G156" s="327" t="n"/>
      <c r="H156" s="321" t="n"/>
      <c r="I156" s="327" t="n"/>
      <c r="J156" s="246">
        <f>IF(AND(L156="Закрыт",ISNUMBER(F156),ISNUMBER(H156)),ROUND(H156-F156,8),"")</f>
        <v/>
      </c>
      <c r="K156" s="247">
        <f>IF(AND(L156="Закрыт",ISNUMBER(G156),ISNUMBER(I156)),ROUND(I156-G156,8),"")</f>
        <v/>
      </c>
      <c r="L156" s="328" t="n"/>
      <c r="M156" s="321" t="n"/>
      <c r="N156" s="327" t="n"/>
    </row>
    <row r="157" ht="22" customHeight="1">
      <c r="B157" s="323" t="n"/>
      <c r="C157" s="314" t="n"/>
      <c r="D157" s="313" t="n"/>
      <c r="E157" s="315" t="n"/>
      <c r="F157" s="316" t="n"/>
      <c r="G157" s="324" t="n"/>
      <c r="H157" s="316" t="n"/>
      <c r="I157" s="324" t="n"/>
      <c r="J157" s="240">
        <f>IF(AND(L157="Закрыт",ISNUMBER(F157),ISNUMBER(H157)),ROUND(H157-F157,8),"")</f>
        <v/>
      </c>
      <c r="K157" s="241">
        <f>IF(AND(L157="Закрыт",ISNUMBER(G157),ISNUMBER(I157)),ROUND(I157-G157,8),"")</f>
        <v/>
      </c>
      <c r="L157" s="325" t="n"/>
      <c r="M157" s="316" t="n"/>
      <c r="N157" s="324" t="n"/>
    </row>
    <row r="158" ht="22" customHeight="1">
      <c r="B158" s="326" t="n"/>
      <c r="C158" s="319" t="n"/>
      <c r="D158" s="318" t="n"/>
      <c r="E158" s="320" t="n"/>
      <c r="F158" s="321" t="n"/>
      <c r="G158" s="327" t="n"/>
      <c r="H158" s="321" t="n"/>
      <c r="I158" s="327" t="n"/>
      <c r="J158" s="246">
        <f>IF(AND(L158="Закрыт",ISNUMBER(F158),ISNUMBER(H158)),ROUND(H158-F158,8),"")</f>
        <v/>
      </c>
      <c r="K158" s="247">
        <f>IF(AND(L158="Закрыт",ISNUMBER(G158),ISNUMBER(I158)),ROUND(I158-G158,8),"")</f>
        <v/>
      </c>
      <c r="L158" s="328" t="n"/>
      <c r="M158" s="321" t="n"/>
      <c r="N158" s="327" t="n"/>
    </row>
    <row r="159" ht="22" customHeight="1">
      <c r="B159" s="323" t="n"/>
      <c r="C159" s="314" t="n"/>
      <c r="D159" s="313" t="n"/>
      <c r="E159" s="315" t="n"/>
      <c r="F159" s="316" t="n"/>
      <c r="G159" s="324" t="n"/>
      <c r="H159" s="316" t="n"/>
      <c r="I159" s="324" t="n"/>
      <c r="J159" s="240">
        <f>IF(AND(L159="Закрыт",ISNUMBER(F159),ISNUMBER(H159)),ROUND(H159-F159,8),"")</f>
        <v/>
      </c>
      <c r="K159" s="241">
        <f>IF(AND(L159="Закрыт",ISNUMBER(G159),ISNUMBER(I159)),ROUND(I159-G159,8),"")</f>
        <v/>
      </c>
      <c r="L159" s="325" t="n"/>
      <c r="M159" s="316" t="n"/>
      <c r="N159" s="324" t="n"/>
    </row>
    <row r="160" ht="22" customHeight="1">
      <c r="B160" s="326" t="n"/>
      <c r="C160" s="319" t="n"/>
      <c r="D160" s="318" t="n"/>
      <c r="E160" s="320" t="n"/>
      <c r="F160" s="321" t="n"/>
      <c r="G160" s="327" t="n"/>
      <c r="H160" s="321" t="n"/>
      <c r="I160" s="327" t="n"/>
      <c r="J160" s="246">
        <f>IF(AND(L160="Закрыт",ISNUMBER(F160),ISNUMBER(H160)),ROUND(H160-F160,8),"")</f>
        <v/>
      </c>
      <c r="K160" s="247">
        <f>IF(AND(L160="Закрыт",ISNUMBER(G160),ISNUMBER(I160)),ROUND(I160-G160,8),"")</f>
        <v/>
      </c>
      <c r="L160" s="328" t="n"/>
      <c r="M160" s="321" t="n"/>
      <c r="N160" s="327" t="n"/>
    </row>
    <row r="161" ht="22" customHeight="1">
      <c r="B161" s="323" t="n"/>
      <c r="C161" s="314" t="n"/>
      <c r="D161" s="313" t="n"/>
      <c r="E161" s="315" t="n"/>
      <c r="F161" s="316" t="n"/>
      <c r="G161" s="324" t="n"/>
      <c r="H161" s="316" t="n"/>
      <c r="I161" s="324" t="n"/>
      <c r="J161" s="240">
        <f>IF(AND(L161="Закрыт",ISNUMBER(F161),ISNUMBER(H161)),ROUND(H161-F161,8),"")</f>
        <v/>
      </c>
      <c r="K161" s="241">
        <f>IF(AND(L161="Закрыт",ISNUMBER(G161),ISNUMBER(I161)),ROUND(I161-G161,8),"")</f>
        <v/>
      </c>
      <c r="L161" s="325" t="n"/>
      <c r="M161" s="316" t="n"/>
      <c r="N161" s="324" t="n"/>
    </row>
    <row r="162" ht="22" customHeight="1">
      <c r="B162" s="326" t="n"/>
      <c r="C162" s="319" t="n"/>
      <c r="D162" s="318" t="n"/>
      <c r="E162" s="320" t="n"/>
      <c r="F162" s="321" t="n"/>
      <c r="G162" s="327" t="n"/>
      <c r="H162" s="321" t="n"/>
      <c r="I162" s="327" t="n"/>
      <c r="J162" s="246">
        <f>IF(AND(L162="Закрыт",ISNUMBER(F162),ISNUMBER(H162)),ROUND(H162-F162,8),"")</f>
        <v/>
      </c>
      <c r="K162" s="247">
        <f>IF(AND(L162="Закрыт",ISNUMBER(G162),ISNUMBER(I162)),ROUND(I162-G162,8),"")</f>
        <v/>
      </c>
      <c r="L162" s="328" t="n"/>
      <c r="M162" s="321" t="n"/>
      <c r="N162" s="327" t="n"/>
    </row>
    <row r="163" ht="22" customHeight="1">
      <c r="B163" s="323" t="n"/>
      <c r="C163" s="314" t="n"/>
      <c r="D163" s="313" t="n"/>
      <c r="E163" s="315" t="n"/>
      <c r="F163" s="316" t="n"/>
      <c r="G163" s="324" t="n"/>
      <c r="H163" s="316" t="n"/>
      <c r="I163" s="324" t="n"/>
      <c r="J163" s="240">
        <f>IF(AND(L163="Закрыт",ISNUMBER(F163),ISNUMBER(H163)),ROUND(H163-F163,8),"")</f>
        <v/>
      </c>
      <c r="K163" s="241">
        <f>IF(AND(L163="Закрыт",ISNUMBER(G163),ISNUMBER(I163)),ROUND(I163-G163,8),"")</f>
        <v/>
      </c>
      <c r="L163" s="325" t="n"/>
      <c r="M163" s="316" t="n"/>
      <c r="N163" s="324" t="n"/>
    </row>
    <row r="164" ht="22" customHeight="1">
      <c r="B164" s="326" t="n"/>
      <c r="C164" s="319" t="n"/>
      <c r="D164" s="318" t="n"/>
      <c r="E164" s="320" t="n"/>
      <c r="F164" s="321" t="n"/>
      <c r="G164" s="327" t="n"/>
      <c r="H164" s="321" t="n"/>
      <c r="I164" s="327" t="n"/>
      <c r="J164" s="246">
        <f>IF(AND(L164="Закрыт",ISNUMBER(F164),ISNUMBER(H164)),ROUND(H164-F164,8),"")</f>
        <v/>
      </c>
      <c r="K164" s="247">
        <f>IF(AND(L164="Закрыт",ISNUMBER(G164),ISNUMBER(I164)),ROUND(I164-G164,8),"")</f>
        <v/>
      </c>
      <c r="L164" s="328" t="n"/>
      <c r="M164" s="321" t="n"/>
      <c r="N164" s="327" t="n"/>
    </row>
    <row r="165" ht="22" customHeight="1">
      <c r="B165" s="323" t="n"/>
      <c r="C165" s="314" t="n"/>
      <c r="D165" s="313" t="n"/>
      <c r="E165" s="315" t="n"/>
      <c r="F165" s="316" t="n"/>
      <c r="G165" s="324" t="n"/>
      <c r="H165" s="316" t="n"/>
      <c r="I165" s="324" t="n"/>
      <c r="J165" s="240">
        <f>IF(AND(L165="Закрыт",ISNUMBER(F165),ISNUMBER(H165)),ROUND(H165-F165,8),"")</f>
        <v/>
      </c>
      <c r="K165" s="241">
        <f>IF(AND(L165="Закрыт",ISNUMBER(G165),ISNUMBER(I165)),ROUND(I165-G165,8),"")</f>
        <v/>
      </c>
      <c r="L165" s="325" t="n"/>
      <c r="M165" s="316" t="n"/>
      <c r="N165" s="324" t="n"/>
    </row>
    <row r="166" ht="22" customHeight="1">
      <c r="B166" s="326" t="n"/>
      <c r="C166" s="319" t="n"/>
      <c r="D166" s="318" t="n"/>
      <c r="E166" s="320" t="n"/>
      <c r="F166" s="321" t="n"/>
      <c r="G166" s="327" t="n"/>
      <c r="H166" s="321" t="n"/>
      <c r="I166" s="327" t="n"/>
      <c r="J166" s="246">
        <f>IF(AND(L166="Закрыт",ISNUMBER(F166),ISNUMBER(H166)),ROUND(H166-F166,8),"")</f>
        <v/>
      </c>
      <c r="K166" s="247">
        <f>IF(AND(L166="Закрыт",ISNUMBER(G166),ISNUMBER(I166)),ROUND(I166-G166,8),"")</f>
        <v/>
      </c>
      <c r="L166" s="328" t="n"/>
      <c r="M166" s="321" t="n"/>
      <c r="N166" s="327" t="n"/>
    </row>
    <row r="167" ht="22" customHeight="1">
      <c r="B167" s="323" t="n"/>
      <c r="C167" s="314" t="n"/>
      <c r="D167" s="313" t="n"/>
      <c r="E167" s="315" t="n"/>
      <c r="F167" s="316" t="n"/>
      <c r="G167" s="324" t="n"/>
      <c r="H167" s="316" t="n"/>
      <c r="I167" s="324" t="n"/>
      <c r="J167" s="240">
        <f>IF(AND(L167="Закрыт",ISNUMBER(F167),ISNUMBER(H167)),ROUND(H167-F167,8),"")</f>
        <v/>
      </c>
      <c r="K167" s="241">
        <f>IF(AND(L167="Закрыт",ISNUMBER(G167),ISNUMBER(I167)),ROUND(I167-G167,8),"")</f>
        <v/>
      </c>
      <c r="L167" s="325" t="n"/>
      <c r="M167" s="316" t="n"/>
      <c r="N167" s="324" t="n"/>
    </row>
    <row r="168" ht="22" customHeight="1">
      <c r="B168" s="326" t="n"/>
      <c r="C168" s="319" t="n"/>
      <c r="D168" s="318" t="n"/>
      <c r="E168" s="320" t="n"/>
      <c r="F168" s="321" t="n"/>
      <c r="G168" s="327" t="n"/>
      <c r="H168" s="321" t="n"/>
      <c r="I168" s="327" t="n"/>
      <c r="J168" s="246">
        <f>IF(AND(L168="Закрыт",ISNUMBER(F168),ISNUMBER(H168)),ROUND(H168-F168,8),"")</f>
        <v/>
      </c>
      <c r="K168" s="247">
        <f>IF(AND(L168="Закрыт",ISNUMBER(G168),ISNUMBER(I168)),ROUND(I168-G168,8),"")</f>
        <v/>
      </c>
      <c r="L168" s="328" t="n"/>
      <c r="M168" s="321" t="n"/>
      <c r="N168" s="327" t="n"/>
    </row>
    <row r="169" ht="22" customHeight="1">
      <c r="B169" s="323" t="n"/>
      <c r="C169" s="314" t="n"/>
      <c r="D169" s="313" t="n"/>
      <c r="E169" s="315" t="n"/>
      <c r="F169" s="316" t="n"/>
      <c r="G169" s="324" t="n"/>
      <c r="H169" s="316" t="n"/>
      <c r="I169" s="324" t="n"/>
      <c r="J169" s="240">
        <f>IF(AND(L169="Закрыт",ISNUMBER(F169),ISNUMBER(H169)),ROUND(H169-F169,8),"")</f>
        <v/>
      </c>
      <c r="K169" s="241">
        <f>IF(AND(L169="Закрыт",ISNUMBER(G169),ISNUMBER(I169)),ROUND(I169-G169,8),"")</f>
        <v/>
      </c>
      <c r="L169" s="325" t="n"/>
      <c r="M169" s="316" t="n"/>
      <c r="N169" s="324" t="n"/>
    </row>
    <row r="170" ht="22" customHeight="1">
      <c r="B170" s="326" t="n"/>
      <c r="C170" s="319" t="n"/>
      <c r="D170" s="318" t="n"/>
      <c r="E170" s="320" t="n"/>
      <c r="F170" s="321" t="n"/>
      <c r="G170" s="327" t="n"/>
      <c r="H170" s="321" t="n"/>
      <c r="I170" s="327" t="n"/>
      <c r="J170" s="246">
        <f>IF(AND(L170="Закрыт",ISNUMBER(F170),ISNUMBER(H170)),ROUND(H170-F170,8),"")</f>
        <v/>
      </c>
      <c r="K170" s="247">
        <f>IF(AND(L170="Закрыт",ISNUMBER(G170),ISNUMBER(I170)),ROUND(I170-G170,8),"")</f>
        <v/>
      </c>
      <c r="L170" s="328" t="n"/>
      <c r="M170" s="321" t="n"/>
      <c r="N170" s="327" t="n"/>
    </row>
    <row r="171" ht="22" customHeight="1">
      <c r="B171" s="323" t="n"/>
      <c r="C171" s="314" t="n"/>
      <c r="D171" s="313" t="n"/>
      <c r="E171" s="315" t="n"/>
      <c r="F171" s="316" t="n"/>
      <c r="G171" s="324" t="n"/>
      <c r="H171" s="316" t="n"/>
      <c r="I171" s="324" t="n"/>
      <c r="J171" s="240">
        <f>IF(AND(L171="Закрыт",ISNUMBER(F171),ISNUMBER(H171)),ROUND(H171-F171,8),"")</f>
        <v/>
      </c>
      <c r="K171" s="241">
        <f>IF(AND(L171="Закрыт",ISNUMBER(G171),ISNUMBER(I171)),ROUND(I171-G171,8),"")</f>
        <v/>
      </c>
      <c r="L171" s="325" t="n"/>
      <c r="M171" s="316" t="n"/>
      <c r="N171" s="324" t="n"/>
    </row>
    <row r="172" ht="22" customHeight="1">
      <c r="B172" s="326" t="n"/>
      <c r="C172" s="319" t="n"/>
      <c r="D172" s="318" t="n"/>
      <c r="E172" s="320" t="n"/>
      <c r="F172" s="321" t="n"/>
      <c r="G172" s="327" t="n"/>
      <c r="H172" s="321" t="n"/>
      <c r="I172" s="327" t="n"/>
      <c r="J172" s="246">
        <f>IF(AND(L172="Закрыт",ISNUMBER(F172),ISNUMBER(H172)),ROUND(H172-F172,8),"")</f>
        <v/>
      </c>
      <c r="K172" s="247">
        <f>IF(AND(L172="Закрыт",ISNUMBER(G172),ISNUMBER(I172)),ROUND(I172-G172,8),"")</f>
        <v/>
      </c>
      <c r="L172" s="328" t="n"/>
      <c r="M172" s="321" t="n"/>
      <c r="N172" s="327" t="n"/>
    </row>
    <row r="173" ht="22" customHeight="1">
      <c r="B173" s="323" t="n"/>
      <c r="C173" s="314" t="n"/>
      <c r="D173" s="313" t="n"/>
      <c r="E173" s="315" t="n"/>
      <c r="F173" s="316" t="n"/>
      <c r="G173" s="324" t="n"/>
      <c r="H173" s="316" t="n"/>
      <c r="I173" s="324" t="n"/>
      <c r="J173" s="240">
        <f>IF(AND(L173="Закрыт",ISNUMBER(F173),ISNUMBER(H173)),ROUND(H173-F173,8),"")</f>
        <v/>
      </c>
      <c r="K173" s="241">
        <f>IF(AND(L173="Закрыт",ISNUMBER(G173),ISNUMBER(I173)),ROUND(I173-G173,8),"")</f>
        <v/>
      </c>
      <c r="L173" s="325" t="n"/>
      <c r="M173" s="316" t="n"/>
      <c r="N173" s="324" t="n"/>
    </row>
    <row r="174" ht="22" customHeight="1">
      <c r="B174" s="326" t="n"/>
      <c r="C174" s="319" t="n"/>
      <c r="D174" s="318" t="n"/>
      <c r="E174" s="320" t="n"/>
      <c r="F174" s="321" t="n"/>
      <c r="G174" s="327" t="n"/>
      <c r="H174" s="321" t="n"/>
      <c r="I174" s="327" t="n"/>
      <c r="J174" s="246">
        <f>IF(AND(L174="Закрыт",ISNUMBER(F174),ISNUMBER(H174)),ROUND(H174-F174,8),"")</f>
        <v/>
      </c>
      <c r="K174" s="247">
        <f>IF(AND(L174="Закрыт",ISNUMBER(G174),ISNUMBER(I174)),ROUND(I174-G174,8),"")</f>
        <v/>
      </c>
      <c r="L174" s="328" t="n"/>
      <c r="M174" s="321" t="n"/>
      <c r="N174" s="327" t="n"/>
    </row>
    <row r="175" ht="22" customHeight="1">
      <c r="B175" s="323" t="n"/>
      <c r="C175" s="314" t="n"/>
      <c r="D175" s="313" t="n"/>
      <c r="E175" s="315" t="n"/>
      <c r="F175" s="316" t="n"/>
      <c r="G175" s="324" t="n"/>
      <c r="H175" s="316" t="n"/>
      <c r="I175" s="324" t="n"/>
      <c r="J175" s="240">
        <f>IF(AND(L175="Закрыт",ISNUMBER(F175),ISNUMBER(H175)),ROUND(H175-F175,8),"")</f>
        <v/>
      </c>
      <c r="K175" s="241">
        <f>IF(AND(L175="Закрыт",ISNUMBER(G175),ISNUMBER(I175)),ROUND(I175-G175,8),"")</f>
        <v/>
      </c>
      <c r="L175" s="325" t="n"/>
      <c r="M175" s="316" t="n"/>
      <c r="N175" s="324" t="n"/>
    </row>
    <row r="176" ht="22" customHeight="1">
      <c r="B176" s="326" t="n"/>
      <c r="C176" s="319" t="n"/>
      <c r="D176" s="318" t="n"/>
      <c r="E176" s="320" t="n"/>
      <c r="F176" s="321" t="n"/>
      <c r="G176" s="327" t="n"/>
      <c r="H176" s="321" t="n"/>
      <c r="I176" s="327" t="n"/>
      <c r="J176" s="246">
        <f>IF(AND(L176="Закрыт",ISNUMBER(F176),ISNUMBER(H176)),ROUND(H176-F176,8),"")</f>
        <v/>
      </c>
      <c r="K176" s="247">
        <f>IF(AND(L176="Закрыт",ISNUMBER(G176),ISNUMBER(I176)),ROUND(I176-G176,8),"")</f>
        <v/>
      </c>
      <c r="L176" s="328" t="n"/>
      <c r="M176" s="321" t="n"/>
      <c r="N176" s="327" t="n"/>
    </row>
    <row r="177" ht="22" customHeight="1">
      <c r="B177" s="323" t="n"/>
      <c r="C177" s="314" t="n"/>
      <c r="D177" s="313" t="n"/>
      <c r="E177" s="315" t="n"/>
      <c r="F177" s="316" t="n"/>
      <c r="G177" s="324" t="n"/>
      <c r="H177" s="316" t="n"/>
      <c r="I177" s="324" t="n"/>
      <c r="J177" s="240">
        <f>IF(AND(L177="Закрыт",ISNUMBER(F177),ISNUMBER(H177)),ROUND(H177-F177,8),"")</f>
        <v/>
      </c>
      <c r="K177" s="241">
        <f>IF(AND(L177="Закрыт",ISNUMBER(G177),ISNUMBER(I177)),ROUND(I177-G177,8),"")</f>
        <v/>
      </c>
      <c r="L177" s="325" t="n"/>
      <c r="M177" s="316" t="n"/>
      <c r="N177" s="324" t="n"/>
    </row>
    <row r="178" ht="22" customHeight="1">
      <c r="B178" s="326" t="n"/>
      <c r="C178" s="319" t="n"/>
      <c r="D178" s="318" t="n"/>
      <c r="E178" s="320" t="n"/>
      <c r="F178" s="321" t="n"/>
      <c r="G178" s="327" t="n"/>
      <c r="H178" s="321" t="n"/>
      <c r="I178" s="327" t="n"/>
      <c r="J178" s="246">
        <f>IF(AND(L178="Закрыт",ISNUMBER(F178),ISNUMBER(H178)),ROUND(H178-F178,8),"")</f>
        <v/>
      </c>
      <c r="K178" s="247">
        <f>IF(AND(L178="Закрыт",ISNUMBER(G178),ISNUMBER(I178)),ROUND(I178-G178,8),"")</f>
        <v/>
      </c>
      <c r="L178" s="328" t="n"/>
      <c r="M178" s="321" t="n"/>
      <c r="N178" s="327" t="n"/>
    </row>
    <row r="179" ht="22" customHeight="1">
      <c r="B179" s="323" t="n"/>
      <c r="C179" s="314" t="n"/>
      <c r="D179" s="313" t="n"/>
      <c r="E179" s="315" t="n"/>
      <c r="F179" s="316" t="n"/>
      <c r="G179" s="324" t="n"/>
      <c r="H179" s="316" t="n"/>
      <c r="I179" s="324" t="n"/>
      <c r="J179" s="240">
        <f>IF(AND(L179="Закрыт",ISNUMBER(F179),ISNUMBER(H179)),ROUND(H179-F179,8),"")</f>
        <v/>
      </c>
      <c r="K179" s="241">
        <f>IF(AND(L179="Закрыт",ISNUMBER(G179),ISNUMBER(I179)),ROUND(I179-G179,8),"")</f>
        <v/>
      </c>
      <c r="L179" s="325" t="n"/>
      <c r="M179" s="316" t="n"/>
      <c r="N179" s="324" t="n"/>
    </row>
    <row r="180" ht="22" customHeight="1">
      <c r="B180" s="326" t="n"/>
      <c r="C180" s="319" t="n"/>
      <c r="D180" s="318" t="n"/>
      <c r="E180" s="320" t="n"/>
      <c r="F180" s="321" t="n"/>
      <c r="G180" s="327" t="n"/>
      <c r="H180" s="321" t="n"/>
      <c r="I180" s="327" t="n"/>
      <c r="J180" s="246">
        <f>IF(AND(L180="Закрыт",ISNUMBER(F180),ISNUMBER(H180)),ROUND(H180-F180,8),"")</f>
        <v/>
      </c>
      <c r="K180" s="247">
        <f>IF(AND(L180="Закрыт",ISNUMBER(G180),ISNUMBER(I180)),ROUND(I180-G180,8),"")</f>
        <v/>
      </c>
      <c r="L180" s="328" t="n"/>
      <c r="M180" s="321" t="n"/>
      <c r="N180" s="327" t="n"/>
    </row>
    <row r="181" ht="22" customHeight="1">
      <c r="B181" s="323" t="n"/>
      <c r="C181" s="314" t="n"/>
      <c r="D181" s="313" t="n"/>
      <c r="E181" s="315" t="n"/>
      <c r="F181" s="316" t="n"/>
      <c r="G181" s="324" t="n"/>
      <c r="H181" s="316" t="n"/>
      <c r="I181" s="324" t="n"/>
      <c r="J181" s="240">
        <f>IF(AND(L181="Закрыт",ISNUMBER(F181),ISNUMBER(H181)),ROUND(H181-F181,8),"")</f>
        <v/>
      </c>
      <c r="K181" s="241">
        <f>IF(AND(L181="Закрыт",ISNUMBER(G181),ISNUMBER(I181)),ROUND(I181-G181,8),"")</f>
        <v/>
      </c>
      <c r="L181" s="325" t="n"/>
      <c r="M181" s="316" t="n"/>
      <c r="N181" s="324" t="n"/>
    </row>
    <row r="182" ht="22" customHeight="1">
      <c r="B182" s="326" t="n"/>
      <c r="C182" s="319" t="n"/>
      <c r="D182" s="318" t="n"/>
      <c r="E182" s="320" t="n"/>
      <c r="F182" s="321" t="n"/>
      <c r="G182" s="327" t="n"/>
      <c r="H182" s="321" t="n"/>
      <c r="I182" s="327" t="n"/>
      <c r="J182" s="246">
        <f>IF(AND(L182="Закрыт",ISNUMBER(F182),ISNUMBER(H182)),ROUND(H182-F182,8),"")</f>
        <v/>
      </c>
      <c r="K182" s="247">
        <f>IF(AND(L182="Закрыт",ISNUMBER(G182),ISNUMBER(I182)),ROUND(I182-G182,8),"")</f>
        <v/>
      </c>
      <c r="L182" s="328" t="n"/>
      <c r="M182" s="321" t="n"/>
      <c r="N182" s="327" t="n"/>
    </row>
    <row r="183" ht="22" customHeight="1">
      <c r="B183" s="323" t="n"/>
      <c r="C183" s="314" t="n"/>
      <c r="D183" s="313" t="n"/>
      <c r="E183" s="315" t="n"/>
      <c r="F183" s="316" t="n"/>
      <c r="G183" s="324" t="n"/>
      <c r="H183" s="316" t="n"/>
      <c r="I183" s="324" t="n"/>
      <c r="J183" s="240">
        <f>IF(AND(L183="Закрыт",ISNUMBER(F183),ISNUMBER(H183)),ROUND(H183-F183,8),"")</f>
        <v/>
      </c>
      <c r="K183" s="241">
        <f>IF(AND(L183="Закрыт",ISNUMBER(G183),ISNUMBER(I183)),ROUND(I183-G183,8),"")</f>
        <v/>
      </c>
      <c r="L183" s="325" t="n"/>
      <c r="M183" s="316" t="n"/>
      <c r="N183" s="324" t="n"/>
    </row>
    <row r="184" ht="22" customHeight="1">
      <c r="B184" s="326" t="n"/>
      <c r="C184" s="319" t="n"/>
      <c r="D184" s="318" t="n"/>
      <c r="E184" s="320" t="n"/>
      <c r="F184" s="321" t="n"/>
      <c r="G184" s="327" t="n"/>
      <c r="H184" s="321" t="n"/>
      <c r="I184" s="327" t="n"/>
      <c r="J184" s="246">
        <f>IF(AND(L184="Закрыт",ISNUMBER(F184),ISNUMBER(H184)),ROUND(H184-F184,8),"")</f>
        <v/>
      </c>
      <c r="K184" s="247">
        <f>IF(AND(L184="Закрыт",ISNUMBER(G184),ISNUMBER(I184)),ROUND(I184-G184,8),"")</f>
        <v/>
      </c>
      <c r="L184" s="328" t="n"/>
      <c r="M184" s="321" t="n"/>
      <c r="N184" s="327" t="n"/>
    </row>
    <row r="185" ht="22" customHeight="1">
      <c r="B185" s="323" t="n"/>
      <c r="C185" s="314" t="n"/>
      <c r="D185" s="313" t="n"/>
      <c r="E185" s="315" t="n"/>
      <c r="F185" s="316" t="n"/>
      <c r="G185" s="324" t="n"/>
      <c r="H185" s="316" t="n"/>
      <c r="I185" s="324" t="n"/>
      <c r="J185" s="240">
        <f>IF(AND(L185="Закрыт",ISNUMBER(F185),ISNUMBER(H185)),ROUND(H185-F185,8),"")</f>
        <v/>
      </c>
      <c r="K185" s="241">
        <f>IF(AND(L185="Закрыт",ISNUMBER(G185),ISNUMBER(I185)),ROUND(I185-G185,8),"")</f>
        <v/>
      </c>
      <c r="L185" s="325" t="n"/>
      <c r="M185" s="316" t="n"/>
      <c r="N185" s="324" t="n"/>
    </row>
    <row r="186" ht="22" customHeight="1">
      <c r="B186" s="326" t="n"/>
      <c r="C186" s="319" t="n"/>
      <c r="D186" s="318" t="n"/>
      <c r="E186" s="320" t="n"/>
      <c r="F186" s="321" t="n"/>
      <c r="G186" s="327" t="n"/>
      <c r="H186" s="321" t="n"/>
      <c r="I186" s="327" t="n"/>
      <c r="J186" s="246">
        <f>IF(AND(L186="Закрыт",ISNUMBER(F186),ISNUMBER(H186)),ROUND(H186-F186,8),"")</f>
        <v/>
      </c>
      <c r="K186" s="247">
        <f>IF(AND(L186="Закрыт",ISNUMBER(G186),ISNUMBER(I186)),ROUND(I186-G186,8),"")</f>
        <v/>
      </c>
      <c r="L186" s="328" t="n"/>
      <c r="M186" s="321" t="n"/>
      <c r="N186" s="327" t="n"/>
    </row>
    <row r="187" ht="22" customHeight="1">
      <c r="B187" s="323" t="n"/>
      <c r="C187" s="314" t="n"/>
      <c r="D187" s="313" t="n"/>
      <c r="E187" s="315" t="n"/>
      <c r="F187" s="316" t="n"/>
      <c r="G187" s="324" t="n"/>
      <c r="H187" s="316" t="n"/>
      <c r="I187" s="324" t="n"/>
      <c r="J187" s="240">
        <f>IF(AND(L187="Закрыт",ISNUMBER(F187),ISNUMBER(H187)),ROUND(H187-F187,8),"")</f>
        <v/>
      </c>
      <c r="K187" s="241">
        <f>IF(AND(L187="Закрыт",ISNUMBER(G187),ISNUMBER(I187)),ROUND(I187-G187,8),"")</f>
        <v/>
      </c>
      <c r="L187" s="325" t="n"/>
      <c r="M187" s="316" t="n"/>
      <c r="N187" s="324" t="n"/>
    </row>
    <row r="188" ht="22" customHeight="1">
      <c r="B188" s="326" t="n"/>
      <c r="C188" s="319" t="n"/>
      <c r="D188" s="318" t="n"/>
      <c r="E188" s="320" t="n"/>
      <c r="F188" s="321" t="n"/>
      <c r="G188" s="327" t="n"/>
      <c r="H188" s="321" t="n"/>
      <c r="I188" s="327" t="n"/>
      <c r="J188" s="246">
        <f>IF(AND(L188="Закрыт",ISNUMBER(F188),ISNUMBER(H188)),ROUND(H188-F188,8),"")</f>
        <v/>
      </c>
      <c r="K188" s="247">
        <f>IF(AND(L188="Закрыт",ISNUMBER(G188),ISNUMBER(I188)),ROUND(I188-G188,8),"")</f>
        <v/>
      </c>
      <c r="L188" s="328" t="n"/>
      <c r="M188" s="321" t="n"/>
      <c r="N188" s="327" t="n"/>
    </row>
    <row r="189" ht="22" customHeight="1">
      <c r="B189" s="323" t="n"/>
      <c r="C189" s="314" t="n"/>
      <c r="D189" s="313" t="n"/>
      <c r="E189" s="315" t="n"/>
      <c r="F189" s="316" t="n"/>
      <c r="G189" s="324" t="n"/>
      <c r="H189" s="316" t="n"/>
      <c r="I189" s="324" t="n"/>
      <c r="J189" s="240">
        <f>IF(AND(L189="Закрыт",ISNUMBER(F189),ISNUMBER(H189)),ROUND(H189-F189,8),"")</f>
        <v/>
      </c>
      <c r="K189" s="241">
        <f>IF(AND(L189="Закрыт",ISNUMBER(G189),ISNUMBER(I189)),ROUND(I189-G189,8),"")</f>
        <v/>
      </c>
      <c r="L189" s="325" t="n"/>
      <c r="M189" s="316" t="n"/>
      <c r="N189" s="324" t="n"/>
    </row>
    <row r="190" ht="22" customHeight="1">
      <c r="B190" s="326" t="n"/>
      <c r="C190" s="319" t="n"/>
      <c r="D190" s="318" t="n"/>
      <c r="E190" s="320" t="n"/>
      <c r="F190" s="321" t="n"/>
      <c r="G190" s="327" t="n"/>
      <c r="H190" s="321" t="n"/>
      <c r="I190" s="327" t="n"/>
      <c r="J190" s="246">
        <f>IF(AND(L190="Закрыт",ISNUMBER(F190),ISNUMBER(H190)),ROUND(H190-F190,8),"")</f>
        <v/>
      </c>
      <c r="K190" s="247">
        <f>IF(AND(L190="Закрыт",ISNUMBER(G190),ISNUMBER(I190)),ROUND(I190-G190,8),"")</f>
        <v/>
      </c>
      <c r="L190" s="328" t="n"/>
      <c r="M190" s="321" t="n"/>
      <c r="N190" s="327" t="n"/>
    </row>
    <row r="191" ht="22" customHeight="1">
      <c r="B191" s="323" t="n"/>
      <c r="C191" s="314" t="n"/>
      <c r="D191" s="313" t="n"/>
      <c r="E191" s="315" t="n"/>
      <c r="F191" s="316" t="n"/>
      <c r="G191" s="324" t="n"/>
      <c r="H191" s="316" t="n"/>
      <c r="I191" s="324" t="n"/>
      <c r="J191" s="240">
        <f>IF(AND(L191="Закрыт",ISNUMBER(F191),ISNUMBER(H191)),ROUND(H191-F191,8),"")</f>
        <v/>
      </c>
      <c r="K191" s="241">
        <f>IF(AND(L191="Закрыт",ISNUMBER(G191),ISNUMBER(I191)),ROUND(I191-G191,8),"")</f>
        <v/>
      </c>
      <c r="L191" s="325" t="n"/>
      <c r="M191" s="316" t="n"/>
      <c r="N191" s="324" t="n"/>
    </row>
    <row r="192" ht="22" customHeight="1">
      <c r="B192" s="326" t="n"/>
      <c r="C192" s="319" t="n"/>
      <c r="D192" s="318" t="n"/>
      <c r="E192" s="320" t="n"/>
      <c r="F192" s="321" t="n"/>
      <c r="G192" s="327" t="n"/>
      <c r="H192" s="321" t="n"/>
      <c r="I192" s="327" t="n"/>
      <c r="J192" s="246">
        <f>IF(AND(L192="Закрыт",ISNUMBER(F192),ISNUMBER(H192)),ROUND(H192-F192,8),"")</f>
        <v/>
      </c>
      <c r="K192" s="247">
        <f>IF(AND(L192="Закрыт",ISNUMBER(G192),ISNUMBER(I192)),ROUND(I192-G192,8),"")</f>
        <v/>
      </c>
      <c r="L192" s="328" t="n"/>
      <c r="M192" s="321" t="n"/>
      <c r="N192" s="327" t="n"/>
    </row>
    <row r="193" ht="22" customHeight="1">
      <c r="B193" s="323" t="n"/>
      <c r="C193" s="314" t="n"/>
      <c r="D193" s="313" t="n"/>
      <c r="E193" s="315" t="n"/>
      <c r="F193" s="316" t="n"/>
      <c r="G193" s="324" t="n"/>
      <c r="H193" s="316" t="n"/>
      <c r="I193" s="324" t="n"/>
      <c r="J193" s="240">
        <f>IF(AND(L193="Закрыт",ISNUMBER(F193),ISNUMBER(H193)),ROUND(H193-F193,8),"")</f>
        <v/>
      </c>
      <c r="K193" s="241">
        <f>IF(AND(L193="Закрыт",ISNUMBER(G193),ISNUMBER(I193)),ROUND(I193-G193,8),"")</f>
        <v/>
      </c>
      <c r="L193" s="325" t="n"/>
      <c r="M193" s="316" t="n"/>
      <c r="N193" s="324" t="n"/>
    </row>
    <row r="194" ht="22" customHeight="1">
      <c r="B194" s="326" t="n"/>
      <c r="C194" s="319" t="n"/>
      <c r="D194" s="318" t="n"/>
      <c r="E194" s="320" t="n"/>
      <c r="F194" s="321" t="n"/>
      <c r="G194" s="327" t="n"/>
      <c r="H194" s="321" t="n"/>
      <c r="I194" s="327" t="n"/>
      <c r="J194" s="246">
        <f>IF(AND(L194="Закрыт",ISNUMBER(F194),ISNUMBER(H194)),ROUND(H194-F194,8),"")</f>
        <v/>
      </c>
      <c r="K194" s="247">
        <f>IF(AND(L194="Закрыт",ISNUMBER(G194),ISNUMBER(I194)),ROUND(I194-G194,8),"")</f>
        <v/>
      </c>
      <c r="L194" s="328" t="n"/>
      <c r="M194" s="321" t="n"/>
      <c r="N194" s="327" t="n"/>
    </row>
    <row r="195" ht="22" customHeight="1">
      <c r="B195" s="323" t="n"/>
      <c r="C195" s="314" t="n"/>
      <c r="D195" s="313" t="n"/>
      <c r="E195" s="315" t="n"/>
      <c r="F195" s="316" t="n"/>
      <c r="G195" s="324" t="n"/>
      <c r="H195" s="316" t="n"/>
      <c r="I195" s="324" t="n"/>
      <c r="J195" s="240">
        <f>IF(AND(L195="Закрыт",ISNUMBER(F195),ISNUMBER(H195)),ROUND(H195-F195,8),"")</f>
        <v/>
      </c>
      <c r="K195" s="241">
        <f>IF(AND(L195="Закрыт",ISNUMBER(G195),ISNUMBER(I195)),ROUND(I195-G195,8),"")</f>
        <v/>
      </c>
      <c r="L195" s="325" t="n"/>
      <c r="M195" s="316" t="n"/>
      <c r="N195" s="324" t="n"/>
    </row>
    <row r="196" ht="22" customHeight="1">
      <c r="B196" s="326" t="n"/>
      <c r="C196" s="319" t="n"/>
      <c r="D196" s="318" t="n"/>
      <c r="E196" s="320" t="n"/>
      <c r="F196" s="321" t="n"/>
      <c r="G196" s="327" t="n"/>
      <c r="H196" s="321" t="n"/>
      <c r="I196" s="327" t="n"/>
      <c r="J196" s="246">
        <f>IF(AND(L196="Закрыт",ISNUMBER(F196),ISNUMBER(H196)),ROUND(H196-F196,8),"")</f>
        <v/>
      </c>
      <c r="K196" s="247">
        <f>IF(AND(L196="Закрыт",ISNUMBER(G196),ISNUMBER(I196)),ROUND(I196-G196,8),"")</f>
        <v/>
      </c>
      <c r="L196" s="328" t="n"/>
      <c r="M196" s="321" t="n"/>
      <c r="N196" s="327" t="n"/>
    </row>
    <row r="197" ht="22" customHeight="1">
      <c r="B197" s="323" t="n"/>
      <c r="C197" s="314" t="n"/>
      <c r="D197" s="313" t="n"/>
      <c r="E197" s="315" t="n"/>
      <c r="F197" s="316" t="n"/>
      <c r="G197" s="324" t="n"/>
      <c r="H197" s="316" t="n"/>
      <c r="I197" s="324" t="n"/>
      <c r="J197" s="240">
        <f>IF(AND(L197="Закрыт",ISNUMBER(F197),ISNUMBER(H197)),ROUND(H197-F197,8),"")</f>
        <v/>
      </c>
      <c r="K197" s="241">
        <f>IF(AND(L197="Закрыт",ISNUMBER(G197),ISNUMBER(I197)),ROUND(I197-G197,8),"")</f>
        <v/>
      </c>
      <c r="L197" s="325" t="n"/>
      <c r="M197" s="316" t="n"/>
      <c r="N197" s="324" t="n"/>
    </row>
    <row r="198" ht="22" customHeight="1">
      <c r="B198" s="326" t="n"/>
      <c r="C198" s="319" t="n"/>
      <c r="D198" s="318" t="n"/>
      <c r="E198" s="320" t="n"/>
      <c r="F198" s="321" t="n"/>
      <c r="G198" s="327" t="n"/>
      <c r="H198" s="321" t="n"/>
      <c r="I198" s="327" t="n"/>
      <c r="J198" s="246">
        <f>IF(AND(L198="Закрыт",ISNUMBER(F198),ISNUMBER(H198)),ROUND(H198-F198,8),"")</f>
        <v/>
      </c>
      <c r="K198" s="247">
        <f>IF(AND(L198="Закрыт",ISNUMBER(G198),ISNUMBER(I198)),ROUND(I198-G198,8),"")</f>
        <v/>
      </c>
      <c r="L198" s="328" t="n"/>
      <c r="M198" s="321" t="n"/>
      <c r="N198" s="327" t="n"/>
    </row>
    <row r="199" ht="22" customHeight="1">
      <c r="B199" s="323" t="n"/>
      <c r="C199" s="314" t="n"/>
      <c r="D199" s="313" t="n"/>
      <c r="E199" s="315" t="n"/>
      <c r="F199" s="316" t="n"/>
      <c r="G199" s="324" t="n"/>
      <c r="H199" s="316" t="n"/>
      <c r="I199" s="324" t="n"/>
      <c r="J199" s="240">
        <f>IF(AND(L199="Закрыт",ISNUMBER(F199),ISNUMBER(H199)),ROUND(H199-F199,8),"")</f>
        <v/>
      </c>
      <c r="K199" s="241">
        <f>IF(AND(L199="Закрыт",ISNUMBER(G199),ISNUMBER(I199)),ROUND(I199-G199,8),"")</f>
        <v/>
      </c>
      <c r="L199" s="325" t="n"/>
      <c r="M199" s="316" t="n"/>
      <c r="N199" s="324" t="n"/>
    </row>
    <row r="200" ht="22" customHeight="1">
      <c r="B200" s="326" t="n"/>
      <c r="C200" s="319" t="n"/>
      <c r="D200" s="318" t="n"/>
      <c r="E200" s="320" t="n"/>
      <c r="F200" s="321" t="n"/>
      <c r="G200" s="327" t="n"/>
      <c r="H200" s="321" t="n"/>
      <c r="I200" s="327" t="n"/>
      <c r="J200" s="246">
        <f>IF(AND(L200="Закрыт",ISNUMBER(F200),ISNUMBER(H200)),ROUND(H200-F200,8),"")</f>
        <v/>
      </c>
      <c r="K200" s="247">
        <f>IF(AND(L200="Закрыт",ISNUMBER(G200),ISNUMBER(I200)),ROUND(I200-G200,8),"")</f>
        <v/>
      </c>
      <c r="L200" s="328" t="n"/>
      <c r="M200" s="321" t="n"/>
      <c r="N200" s="327" t="n"/>
    </row>
    <row r="201" ht="22" customHeight="1">
      <c r="B201" s="323" t="n"/>
      <c r="C201" s="314" t="n"/>
      <c r="D201" s="313" t="n"/>
      <c r="E201" s="315" t="n"/>
      <c r="F201" s="316" t="n"/>
      <c r="G201" s="324" t="n"/>
      <c r="H201" s="316" t="n"/>
      <c r="I201" s="324" t="n"/>
      <c r="J201" s="240">
        <f>IF(AND(L201="Закрыт",ISNUMBER(F201),ISNUMBER(H201)),ROUND(H201-F201,8),"")</f>
        <v/>
      </c>
      <c r="K201" s="241">
        <f>IF(AND(L201="Закрыт",ISNUMBER(G201),ISNUMBER(I201)),ROUND(I201-G201,8),"")</f>
        <v/>
      </c>
      <c r="L201" s="325" t="n"/>
      <c r="M201" s="316" t="n"/>
      <c r="N201" s="324" t="n"/>
    </row>
    <row r="202" ht="22" customHeight="1">
      <c r="B202" s="326" t="n"/>
      <c r="C202" s="319" t="n"/>
      <c r="D202" s="318" t="n"/>
      <c r="E202" s="320" t="n"/>
      <c r="F202" s="321" t="n"/>
      <c r="G202" s="327" t="n"/>
      <c r="H202" s="321" t="n"/>
      <c r="I202" s="327" t="n"/>
      <c r="J202" s="246">
        <f>IF(AND(L202="Закрыт",ISNUMBER(F202),ISNUMBER(H202)),ROUND(H202-F202,8),"")</f>
        <v/>
      </c>
      <c r="K202" s="247">
        <f>IF(AND(L202="Закрыт",ISNUMBER(G202),ISNUMBER(I202)),ROUND(I202-G202,8),"")</f>
        <v/>
      </c>
      <c r="L202" s="328" t="n"/>
      <c r="M202" s="321" t="n"/>
      <c r="N202" s="327" t="n"/>
    </row>
    <row r="203" ht="22" customHeight="1">
      <c r="B203" s="323" t="n"/>
      <c r="C203" s="314" t="n"/>
      <c r="D203" s="313" t="n"/>
      <c r="E203" s="315" t="n"/>
      <c r="F203" s="316" t="n"/>
      <c r="G203" s="324" t="n"/>
      <c r="H203" s="316" t="n"/>
      <c r="I203" s="324" t="n"/>
      <c r="J203" s="240">
        <f>IF(AND(L203="Закрыт",ISNUMBER(F203),ISNUMBER(H203)),ROUND(H203-F203,8),"")</f>
        <v/>
      </c>
      <c r="K203" s="241">
        <f>IF(AND(L203="Закрыт",ISNUMBER(G203),ISNUMBER(I203)),ROUND(I203-G203,8),"")</f>
        <v/>
      </c>
      <c r="L203" s="325" t="n"/>
      <c r="M203" s="316" t="n"/>
      <c r="N203" s="324" t="n"/>
    </row>
    <row r="204" ht="22" customHeight="1">
      <c r="B204" s="326" t="n"/>
      <c r="C204" s="319" t="n"/>
      <c r="D204" s="318" t="n"/>
      <c r="E204" s="320" t="n"/>
      <c r="F204" s="321" t="n"/>
      <c r="G204" s="327" t="n"/>
      <c r="H204" s="321" t="n"/>
      <c r="I204" s="327" t="n"/>
      <c r="J204" s="246">
        <f>IF(AND(L204="Закрыт",ISNUMBER(F204),ISNUMBER(H204)),ROUND(H204-F204,8),"")</f>
        <v/>
      </c>
      <c r="K204" s="247">
        <f>IF(AND(L204="Закрыт",ISNUMBER(G204),ISNUMBER(I204)),ROUND(I204-G204,8),"")</f>
        <v/>
      </c>
      <c r="L204" s="328" t="n"/>
      <c r="M204" s="321" t="n"/>
      <c r="N204" s="327" t="n"/>
    </row>
    <row r="205" ht="22" customHeight="1">
      <c r="B205" s="323" t="n"/>
      <c r="C205" s="314" t="n"/>
      <c r="D205" s="313" t="n"/>
      <c r="E205" s="315" t="n"/>
      <c r="F205" s="316" t="n"/>
      <c r="G205" s="324" t="n"/>
      <c r="H205" s="316" t="n"/>
      <c r="I205" s="324" t="n"/>
      <c r="J205" s="240">
        <f>IF(AND(L205="Закрыт",ISNUMBER(F205),ISNUMBER(H205)),ROUND(H205-F205,8),"")</f>
        <v/>
      </c>
      <c r="K205" s="241">
        <f>IF(AND(L205="Закрыт",ISNUMBER(G205),ISNUMBER(I205)),ROUND(I205-G205,8),"")</f>
        <v/>
      </c>
      <c r="L205" s="325" t="n"/>
      <c r="M205" s="316" t="n"/>
      <c r="N205" s="324" t="n"/>
    </row>
    <row r="206" ht="22" customHeight="1">
      <c r="B206" s="326" t="n"/>
      <c r="C206" s="319" t="n"/>
      <c r="D206" s="318" t="n"/>
      <c r="E206" s="320" t="n"/>
      <c r="F206" s="321" t="n"/>
      <c r="G206" s="327" t="n"/>
      <c r="H206" s="321" t="n"/>
      <c r="I206" s="327" t="n"/>
      <c r="J206" s="246">
        <f>IF(AND(L206="Закрыт",ISNUMBER(F206),ISNUMBER(H206)),ROUND(H206-F206,8),"")</f>
        <v/>
      </c>
      <c r="K206" s="247">
        <f>IF(AND(L206="Закрыт",ISNUMBER(G206),ISNUMBER(I206)),ROUND(I206-G206,8),"")</f>
        <v/>
      </c>
      <c r="L206" s="328" t="n"/>
      <c r="M206" s="321" t="n"/>
      <c r="N206" s="327" t="n"/>
    </row>
    <row r="207" ht="22" customHeight="1">
      <c r="B207" s="323" t="n"/>
      <c r="C207" s="314" t="n"/>
      <c r="D207" s="313" t="n"/>
      <c r="E207" s="315" t="n"/>
      <c r="F207" s="316" t="n"/>
      <c r="G207" s="324" t="n"/>
      <c r="H207" s="316" t="n"/>
      <c r="I207" s="324" t="n"/>
      <c r="J207" s="240">
        <f>IF(AND(L207="Закрыт",ISNUMBER(F207),ISNUMBER(H207)),ROUND(H207-F207,8),"")</f>
        <v/>
      </c>
      <c r="K207" s="241">
        <f>IF(AND(L207="Закрыт",ISNUMBER(G207),ISNUMBER(I207)),ROUND(I207-G207,8),"")</f>
        <v/>
      </c>
      <c r="L207" s="325" t="n"/>
      <c r="M207" s="316" t="n"/>
      <c r="N207" s="324" t="n"/>
    </row>
    <row r="208" ht="22" customHeight="1">
      <c r="B208" s="326" t="n"/>
      <c r="C208" s="319" t="n"/>
      <c r="D208" s="318" t="n"/>
      <c r="E208" s="320" t="n"/>
      <c r="F208" s="321" t="n"/>
      <c r="G208" s="327" t="n"/>
      <c r="H208" s="321" t="n"/>
      <c r="I208" s="327" t="n"/>
      <c r="J208" s="246">
        <f>IF(AND(L208="Закрыт",ISNUMBER(F208),ISNUMBER(H208)),ROUND(H208-F208,8),"")</f>
        <v/>
      </c>
      <c r="K208" s="247">
        <f>IF(AND(L208="Закрыт",ISNUMBER(G208),ISNUMBER(I208)),ROUND(I208-G208,8),"")</f>
        <v/>
      </c>
      <c r="L208" s="328" t="n"/>
      <c r="M208" s="321" t="n"/>
      <c r="N208" s="327" t="n"/>
    </row>
    <row r="209" ht="22" customHeight="1">
      <c r="B209" s="323" t="n"/>
      <c r="C209" s="314" t="n"/>
      <c r="D209" s="313" t="n"/>
      <c r="E209" s="315" t="n"/>
      <c r="F209" s="316" t="n"/>
      <c r="G209" s="324" t="n"/>
      <c r="H209" s="316" t="n"/>
      <c r="I209" s="324" t="n"/>
      <c r="J209" s="240">
        <f>IF(AND(L209="Закрыт",ISNUMBER(F209),ISNUMBER(H209)),ROUND(H209-F209,8),"")</f>
        <v/>
      </c>
      <c r="K209" s="241">
        <f>IF(AND(L209="Закрыт",ISNUMBER(G209),ISNUMBER(I209)),ROUND(I209-G209,8),"")</f>
        <v/>
      </c>
      <c r="L209" s="325" t="n"/>
      <c r="M209" s="316" t="n"/>
      <c r="N209" s="324" t="n"/>
    </row>
    <row r="210" ht="22" customHeight="1">
      <c r="B210" s="326" t="n"/>
      <c r="C210" s="319" t="n"/>
      <c r="D210" s="318" t="n"/>
      <c r="E210" s="320" t="n"/>
      <c r="F210" s="321" t="n"/>
      <c r="G210" s="327" t="n"/>
      <c r="H210" s="321" t="n"/>
      <c r="I210" s="327" t="n"/>
      <c r="J210" s="246">
        <f>IF(AND(L210="Закрыт",ISNUMBER(F210),ISNUMBER(H210)),ROUND(H210-F210,8),"")</f>
        <v/>
      </c>
      <c r="K210" s="247">
        <f>IF(AND(L210="Закрыт",ISNUMBER(G210),ISNUMBER(I210)),ROUND(I210-G210,8),"")</f>
        <v/>
      </c>
      <c r="L210" s="328" t="n"/>
      <c r="M210" s="321" t="n"/>
      <c r="N210" s="327" t="n"/>
    </row>
    <row r="211" ht="22" customHeight="1">
      <c r="B211" s="323" t="n"/>
      <c r="C211" s="314" t="n"/>
      <c r="D211" s="313" t="n"/>
      <c r="E211" s="315" t="n"/>
      <c r="F211" s="316" t="n"/>
      <c r="G211" s="324" t="n"/>
      <c r="H211" s="316" t="n"/>
      <c r="I211" s="324" t="n"/>
      <c r="J211" s="240">
        <f>IF(AND(L211="Закрыт",ISNUMBER(F211),ISNUMBER(H211)),ROUND(H211-F211,8),"")</f>
        <v/>
      </c>
      <c r="K211" s="241">
        <f>IF(AND(L211="Закрыт",ISNUMBER(G211),ISNUMBER(I211)),ROUND(I211-G211,8),"")</f>
        <v/>
      </c>
      <c r="L211" s="325" t="n"/>
      <c r="M211" s="316" t="n"/>
      <c r="N211" s="324" t="n"/>
    </row>
    <row r="212" ht="22" customHeight="1">
      <c r="B212" s="326" t="n"/>
      <c r="C212" s="319" t="n"/>
      <c r="D212" s="318" t="n"/>
      <c r="E212" s="320" t="n"/>
      <c r="F212" s="321" t="n"/>
      <c r="G212" s="327" t="n"/>
      <c r="H212" s="321" t="n"/>
      <c r="I212" s="327" t="n"/>
      <c r="J212" s="246">
        <f>IF(AND(L212="Закрыт",ISNUMBER(F212),ISNUMBER(H212)),ROUND(H212-F212,8),"")</f>
        <v/>
      </c>
      <c r="K212" s="247">
        <f>IF(AND(L212="Закрыт",ISNUMBER(G212),ISNUMBER(I212)),ROUND(I212-G212,8),"")</f>
        <v/>
      </c>
      <c r="L212" s="328" t="n"/>
      <c r="M212" s="321" t="n"/>
      <c r="N212" s="327" t="n"/>
    </row>
    <row r="213" ht="22" customHeight="1">
      <c r="B213" s="323" t="n"/>
      <c r="C213" s="314" t="n"/>
      <c r="D213" s="313" t="n"/>
      <c r="E213" s="315" t="n"/>
      <c r="F213" s="316" t="n"/>
      <c r="G213" s="324" t="n"/>
      <c r="H213" s="316" t="n"/>
      <c r="I213" s="324" t="n"/>
      <c r="J213" s="240">
        <f>IF(AND(L213="Закрыт",ISNUMBER(F213),ISNUMBER(H213)),ROUND(H213-F213,8),"")</f>
        <v/>
      </c>
      <c r="K213" s="241">
        <f>IF(AND(L213="Закрыт",ISNUMBER(G213),ISNUMBER(I213)),ROUND(I213-G213,8),"")</f>
        <v/>
      </c>
      <c r="L213" s="325" t="n"/>
      <c r="M213" s="316" t="n"/>
      <c r="N213" s="324" t="n"/>
    </row>
    <row r="214" ht="22" customHeight="1">
      <c r="B214" s="326" t="n"/>
      <c r="C214" s="319" t="n"/>
      <c r="D214" s="318" t="n"/>
      <c r="E214" s="320" t="n"/>
      <c r="F214" s="321" t="n"/>
      <c r="G214" s="327" t="n"/>
      <c r="H214" s="321" t="n"/>
      <c r="I214" s="327" t="n"/>
      <c r="J214" s="246">
        <f>IF(AND(L214="Закрыт",ISNUMBER(F214),ISNUMBER(H214)),ROUND(H214-F214,8),"")</f>
        <v/>
      </c>
      <c r="K214" s="247">
        <f>IF(AND(L214="Закрыт",ISNUMBER(G214),ISNUMBER(I214)),ROUND(I214-G214,8),"")</f>
        <v/>
      </c>
      <c r="L214" s="328" t="n"/>
      <c r="M214" s="321" t="n"/>
      <c r="N214" s="327" t="n"/>
    </row>
    <row r="215" ht="22" customHeight="1">
      <c r="B215" s="323" t="n"/>
      <c r="C215" s="314" t="n"/>
      <c r="D215" s="313" t="n"/>
      <c r="E215" s="315" t="n"/>
      <c r="F215" s="316" t="n"/>
      <c r="G215" s="324" t="n"/>
      <c r="H215" s="316" t="n"/>
      <c r="I215" s="324" t="n"/>
      <c r="J215" s="240">
        <f>IF(AND(L215="Закрыт",ISNUMBER(F215),ISNUMBER(H215)),ROUND(H215-F215,8),"")</f>
        <v/>
      </c>
      <c r="K215" s="241">
        <f>IF(AND(L215="Закрыт",ISNUMBER(G215),ISNUMBER(I215)),ROUND(I215-G215,8),"")</f>
        <v/>
      </c>
      <c r="L215" s="325" t="n"/>
      <c r="M215" s="316" t="n"/>
      <c r="N215" s="324" t="n"/>
    </row>
    <row r="216" ht="22" customHeight="1">
      <c r="B216" s="326" t="n"/>
      <c r="C216" s="319" t="n"/>
      <c r="D216" s="318" t="n"/>
      <c r="E216" s="320" t="n"/>
      <c r="F216" s="321" t="n"/>
      <c r="G216" s="327" t="n"/>
      <c r="H216" s="321" t="n"/>
      <c r="I216" s="327" t="n"/>
      <c r="J216" s="246">
        <f>IF(AND(L216="Закрыт",ISNUMBER(F216),ISNUMBER(H216)),ROUND(H216-F216,8),"")</f>
        <v/>
      </c>
      <c r="K216" s="247">
        <f>IF(AND(L216="Закрыт",ISNUMBER(G216),ISNUMBER(I216)),ROUND(I216-G216,8),"")</f>
        <v/>
      </c>
      <c r="L216" s="328" t="n"/>
      <c r="M216" s="321" t="n"/>
      <c r="N216" s="327" t="n"/>
    </row>
    <row r="217" ht="22" customHeight="1">
      <c r="B217" s="323" t="n"/>
      <c r="C217" s="314" t="n"/>
      <c r="D217" s="313" t="n"/>
      <c r="E217" s="315" t="n"/>
      <c r="F217" s="316" t="n"/>
      <c r="G217" s="324" t="n"/>
      <c r="H217" s="316" t="n"/>
      <c r="I217" s="324" t="n"/>
      <c r="J217" s="240">
        <f>IF(AND(L217="Закрыт",ISNUMBER(F217),ISNUMBER(H217)),ROUND(H217-F217,8),"")</f>
        <v/>
      </c>
      <c r="K217" s="241">
        <f>IF(AND(L217="Закрыт",ISNUMBER(G217),ISNUMBER(I217)),ROUND(I217-G217,8),"")</f>
        <v/>
      </c>
      <c r="L217" s="325" t="n"/>
      <c r="M217" s="316" t="n"/>
      <c r="N217" s="324" t="n"/>
    </row>
    <row r="218" ht="22" customHeight="1">
      <c r="B218" s="326" t="n"/>
      <c r="C218" s="319" t="n"/>
      <c r="D218" s="318" t="n"/>
      <c r="E218" s="320" t="n"/>
      <c r="F218" s="321" t="n"/>
      <c r="G218" s="327" t="n"/>
      <c r="H218" s="321" t="n"/>
      <c r="I218" s="327" t="n"/>
      <c r="J218" s="246">
        <f>IF(AND(L218="Закрыт",ISNUMBER(F218),ISNUMBER(H218)),ROUND(H218-F218,8),"")</f>
        <v/>
      </c>
      <c r="K218" s="247">
        <f>IF(AND(L218="Закрыт",ISNUMBER(G218),ISNUMBER(I218)),ROUND(I218-G218,8),"")</f>
        <v/>
      </c>
      <c r="L218" s="328" t="n"/>
      <c r="M218" s="321" t="n"/>
      <c r="N218" s="327" t="n"/>
    </row>
    <row r="219" ht="22" customHeight="1">
      <c r="B219" s="323" t="n"/>
      <c r="C219" s="314" t="n"/>
      <c r="D219" s="313" t="n"/>
      <c r="E219" s="315" t="n"/>
      <c r="F219" s="316" t="n"/>
      <c r="G219" s="324" t="n"/>
      <c r="H219" s="316" t="n"/>
      <c r="I219" s="324" t="n"/>
      <c r="J219" s="240">
        <f>IF(AND(L219="Закрыт",ISNUMBER(F219),ISNUMBER(H219)),ROUND(H219-F219,8),"")</f>
        <v/>
      </c>
      <c r="K219" s="241">
        <f>IF(AND(L219="Закрыт",ISNUMBER(G219),ISNUMBER(I219)),ROUND(I219-G219,8),"")</f>
        <v/>
      </c>
      <c r="L219" s="325" t="n"/>
      <c r="M219" s="316" t="n"/>
      <c r="N219" s="324" t="n"/>
    </row>
    <row r="220" ht="22" customHeight="1">
      <c r="B220" s="326" t="n"/>
      <c r="C220" s="319" t="n"/>
      <c r="D220" s="318" t="n"/>
      <c r="E220" s="320" t="n"/>
      <c r="F220" s="321" t="n"/>
      <c r="G220" s="327" t="n"/>
      <c r="H220" s="321" t="n"/>
      <c r="I220" s="327" t="n"/>
      <c r="J220" s="246">
        <f>IF(AND(L220="Закрыт",ISNUMBER(F220),ISNUMBER(H220)),ROUND(H220-F220,8),"")</f>
        <v/>
      </c>
      <c r="K220" s="247">
        <f>IF(AND(L220="Закрыт",ISNUMBER(G220),ISNUMBER(I220)),ROUND(I220-G220,8),"")</f>
        <v/>
      </c>
      <c r="L220" s="328" t="n"/>
      <c r="M220" s="321" t="n"/>
      <c r="N220" s="327" t="n"/>
    </row>
    <row r="221" ht="22" customHeight="1">
      <c r="B221" s="323" t="n"/>
      <c r="C221" s="314" t="n"/>
      <c r="D221" s="313" t="n"/>
      <c r="E221" s="315" t="n"/>
      <c r="F221" s="316" t="n"/>
      <c r="G221" s="324" t="n"/>
      <c r="H221" s="316" t="n"/>
      <c r="I221" s="324" t="n"/>
      <c r="J221" s="240">
        <f>IF(AND(L221="Закрыт",ISNUMBER(F221),ISNUMBER(H221)),ROUND(H221-F221,8),"")</f>
        <v/>
      </c>
      <c r="K221" s="241">
        <f>IF(AND(L221="Закрыт",ISNUMBER(G221),ISNUMBER(I221)),ROUND(I221-G221,8),"")</f>
        <v/>
      </c>
      <c r="L221" s="325" t="n"/>
      <c r="M221" s="316" t="n"/>
      <c r="N221" s="324" t="n"/>
    </row>
    <row r="222" ht="22" customHeight="1">
      <c r="B222" s="326" t="n"/>
      <c r="C222" s="319" t="n"/>
      <c r="D222" s="318" t="n"/>
      <c r="E222" s="320" t="n"/>
      <c r="F222" s="321" t="n"/>
      <c r="G222" s="327" t="n"/>
      <c r="H222" s="321" t="n"/>
      <c r="I222" s="327" t="n"/>
      <c r="J222" s="246">
        <f>IF(AND(L222="Закрыт",ISNUMBER(F222),ISNUMBER(H222)),ROUND(H222-F222,8),"")</f>
        <v/>
      </c>
      <c r="K222" s="247">
        <f>IF(AND(L222="Закрыт",ISNUMBER(G222),ISNUMBER(I222)),ROUND(I222-G222,8),"")</f>
        <v/>
      </c>
      <c r="L222" s="328" t="n"/>
      <c r="M222" s="321" t="n"/>
      <c r="N222" s="327" t="n"/>
    </row>
    <row r="223" ht="22" customHeight="1">
      <c r="B223" s="323" t="n"/>
      <c r="C223" s="314" t="n"/>
      <c r="D223" s="313" t="n"/>
      <c r="E223" s="315" t="n"/>
      <c r="F223" s="316" t="n"/>
      <c r="G223" s="324" t="n"/>
      <c r="H223" s="316" t="n"/>
      <c r="I223" s="324" t="n"/>
      <c r="J223" s="240">
        <f>IF(AND(L223="Закрыт",ISNUMBER(F223),ISNUMBER(H223)),ROUND(H223-F223,8),"")</f>
        <v/>
      </c>
      <c r="K223" s="241">
        <f>IF(AND(L223="Закрыт",ISNUMBER(G223),ISNUMBER(I223)),ROUND(I223-G223,8),"")</f>
        <v/>
      </c>
      <c r="L223" s="325" t="n"/>
      <c r="M223" s="316" t="n"/>
      <c r="N223" s="324" t="n"/>
    </row>
    <row r="224" ht="22" customHeight="1">
      <c r="B224" s="326" t="n"/>
      <c r="C224" s="319" t="n"/>
      <c r="D224" s="318" t="n"/>
      <c r="E224" s="320" t="n"/>
      <c r="F224" s="321" t="n"/>
      <c r="G224" s="327" t="n"/>
      <c r="H224" s="321" t="n"/>
      <c r="I224" s="327" t="n"/>
      <c r="J224" s="246">
        <f>IF(AND(L224="Закрыт",ISNUMBER(F224),ISNUMBER(H224)),ROUND(H224-F224,8),"")</f>
        <v/>
      </c>
      <c r="K224" s="247">
        <f>IF(AND(L224="Закрыт",ISNUMBER(G224),ISNUMBER(I224)),ROUND(I224-G224,8),"")</f>
        <v/>
      </c>
      <c r="L224" s="328" t="n"/>
      <c r="M224" s="321" t="n"/>
      <c r="N224" s="327" t="n"/>
    </row>
    <row r="225" ht="22" customHeight="1">
      <c r="B225" s="323" t="n"/>
      <c r="C225" s="314" t="n"/>
      <c r="D225" s="313" t="n"/>
      <c r="E225" s="315" t="n"/>
      <c r="F225" s="316" t="n"/>
      <c r="G225" s="324" t="n"/>
      <c r="H225" s="316" t="n"/>
      <c r="I225" s="324" t="n"/>
      <c r="J225" s="240">
        <f>IF(AND(L225="Закрыт",ISNUMBER(F225),ISNUMBER(H225)),ROUND(H225-F225,8),"")</f>
        <v/>
      </c>
      <c r="K225" s="241">
        <f>IF(AND(L225="Закрыт",ISNUMBER(G225),ISNUMBER(I225)),ROUND(I225-G225,8),"")</f>
        <v/>
      </c>
      <c r="L225" s="325" t="n"/>
      <c r="M225" s="316" t="n"/>
      <c r="N225" s="324" t="n"/>
    </row>
    <row r="226" ht="22" customHeight="1">
      <c r="B226" s="326" t="n"/>
      <c r="C226" s="319" t="n"/>
      <c r="D226" s="318" t="n"/>
      <c r="E226" s="320" t="n"/>
      <c r="F226" s="321" t="n"/>
      <c r="G226" s="327" t="n"/>
      <c r="H226" s="321" t="n"/>
      <c r="I226" s="327" t="n"/>
      <c r="J226" s="246">
        <f>IF(AND(L226="Закрыт",ISNUMBER(F226),ISNUMBER(H226)),ROUND(H226-F226,8),"")</f>
        <v/>
      </c>
      <c r="K226" s="247">
        <f>IF(AND(L226="Закрыт",ISNUMBER(G226),ISNUMBER(I226)),ROUND(I226-G226,8),"")</f>
        <v/>
      </c>
      <c r="L226" s="328" t="n"/>
      <c r="M226" s="321" t="n"/>
      <c r="N226" s="327" t="n"/>
    </row>
    <row r="227" ht="22" customHeight="1">
      <c r="B227" s="323" t="n"/>
      <c r="C227" s="314" t="n"/>
      <c r="D227" s="313" t="n"/>
      <c r="E227" s="315" t="n"/>
      <c r="F227" s="316" t="n"/>
      <c r="G227" s="324" t="n"/>
      <c r="H227" s="316" t="n"/>
      <c r="I227" s="324" t="n"/>
      <c r="J227" s="240">
        <f>IF(AND(L227="Закрыт",ISNUMBER(F227),ISNUMBER(H227)),ROUND(H227-F227,8),"")</f>
        <v/>
      </c>
      <c r="K227" s="241">
        <f>IF(AND(L227="Закрыт",ISNUMBER(G227),ISNUMBER(I227)),ROUND(I227-G227,8),"")</f>
        <v/>
      </c>
      <c r="L227" s="325" t="n"/>
      <c r="M227" s="316" t="n"/>
      <c r="N227" s="324" t="n"/>
    </row>
    <row r="228" ht="22" customHeight="1">
      <c r="B228" s="326" t="n"/>
      <c r="C228" s="319" t="n"/>
      <c r="D228" s="318" t="n"/>
      <c r="E228" s="320" t="n"/>
      <c r="F228" s="321" t="n"/>
      <c r="G228" s="327" t="n"/>
      <c r="H228" s="321" t="n"/>
      <c r="I228" s="327" t="n"/>
      <c r="J228" s="246">
        <f>IF(AND(L228="Закрыт",ISNUMBER(F228),ISNUMBER(H228)),ROUND(H228-F228,8),"")</f>
        <v/>
      </c>
      <c r="K228" s="247">
        <f>IF(AND(L228="Закрыт",ISNUMBER(G228),ISNUMBER(I228)),ROUND(I228-G228,8),"")</f>
        <v/>
      </c>
      <c r="L228" s="328" t="n"/>
      <c r="M228" s="321" t="n"/>
      <c r="N228" s="327" t="n"/>
    </row>
    <row r="229" ht="22" customHeight="1">
      <c r="B229" s="323" t="n"/>
      <c r="C229" s="314" t="n"/>
      <c r="D229" s="313" t="n"/>
      <c r="E229" s="315" t="n"/>
      <c r="F229" s="316" t="n"/>
      <c r="G229" s="324" t="n"/>
      <c r="H229" s="316" t="n"/>
      <c r="I229" s="324" t="n"/>
      <c r="J229" s="240">
        <f>IF(AND(L229="Закрыт",ISNUMBER(F229),ISNUMBER(H229)),ROUND(H229-F229,8),"")</f>
        <v/>
      </c>
      <c r="K229" s="241">
        <f>IF(AND(L229="Закрыт",ISNUMBER(G229),ISNUMBER(I229)),ROUND(I229-G229,8),"")</f>
        <v/>
      </c>
      <c r="L229" s="325" t="n"/>
      <c r="M229" s="316" t="n"/>
      <c r="N229" s="324" t="n"/>
    </row>
    <row r="230" ht="22" customHeight="1">
      <c r="B230" s="326" t="n"/>
      <c r="C230" s="319" t="n"/>
      <c r="D230" s="318" t="n"/>
      <c r="E230" s="320" t="n"/>
      <c r="F230" s="321" t="n"/>
      <c r="G230" s="327" t="n"/>
      <c r="H230" s="321" t="n"/>
      <c r="I230" s="327" t="n"/>
      <c r="J230" s="246">
        <f>IF(AND(L230="Закрыт",ISNUMBER(F230),ISNUMBER(H230)),ROUND(H230-F230,8),"")</f>
        <v/>
      </c>
      <c r="K230" s="247">
        <f>IF(AND(L230="Закрыт",ISNUMBER(G230),ISNUMBER(I230)),ROUND(I230-G230,8),"")</f>
        <v/>
      </c>
      <c r="L230" s="328" t="n"/>
      <c r="M230" s="321" t="n"/>
      <c r="N230" s="327" t="n"/>
    </row>
    <row r="231" ht="22" customHeight="1">
      <c r="B231" s="323" t="n"/>
      <c r="C231" s="314" t="n"/>
      <c r="D231" s="313" t="n"/>
      <c r="E231" s="315" t="n"/>
      <c r="F231" s="316" t="n"/>
      <c r="G231" s="324" t="n"/>
      <c r="H231" s="316" t="n"/>
      <c r="I231" s="324" t="n"/>
      <c r="J231" s="240">
        <f>IF(AND(L231="Закрыт",ISNUMBER(F231),ISNUMBER(H231)),ROUND(H231-F231,8),"")</f>
        <v/>
      </c>
      <c r="K231" s="241">
        <f>IF(AND(L231="Закрыт",ISNUMBER(G231),ISNUMBER(I231)),ROUND(I231-G231,8),"")</f>
        <v/>
      </c>
      <c r="L231" s="325" t="n"/>
      <c r="M231" s="316" t="n"/>
      <c r="N231" s="324" t="n"/>
    </row>
    <row r="232" ht="22" customHeight="1">
      <c r="B232" s="326" t="n"/>
      <c r="C232" s="319" t="n"/>
      <c r="D232" s="318" t="n"/>
      <c r="E232" s="320" t="n"/>
      <c r="F232" s="321" t="n"/>
      <c r="G232" s="327" t="n"/>
      <c r="H232" s="321" t="n"/>
      <c r="I232" s="327" t="n"/>
      <c r="J232" s="246">
        <f>IF(AND(L232="Закрыт",ISNUMBER(F232),ISNUMBER(H232)),ROUND(H232-F232,8),"")</f>
        <v/>
      </c>
      <c r="K232" s="247">
        <f>IF(AND(L232="Закрыт",ISNUMBER(G232),ISNUMBER(I232)),ROUND(I232-G232,8),"")</f>
        <v/>
      </c>
      <c r="L232" s="328" t="n"/>
      <c r="M232" s="321" t="n"/>
      <c r="N232" s="327" t="n"/>
    </row>
    <row r="233" ht="22" customHeight="1">
      <c r="B233" s="323" t="n"/>
      <c r="C233" s="314" t="n"/>
      <c r="D233" s="313" t="n"/>
      <c r="E233" s="315" t="n"/>
      <c r="F233" s="316" t="n"/>
      <c r="G233" s="324" t="n"/>
      <c r="H233" s="316" t="n"/>
      <c r="I233" s="324" t="n"/>
      <c r="J233" s="240">
        <f>IF(AND(L233="Закрыт",ISNUMBER(F233),ISNUMBER(H233)),ROUND(H233-F233,8),"")</f>
        <v/>
      </c>
      <c r="K233" s="241">
        <f>IF(AND(L233="Закрыт",ISNUMBER(G233),ISNUMBER(I233)),ROUND(I233-G233,8),"")</f>
        <v/>
      </c>
      <c r="L233" s="325" t="n"/>
      <c r="M233" s="316" t="n"/>
      <c r="N233" s="324" t="n"/>
    </row>
    <row r="234" ht="22" customHeight="1">
      <c r="B234" s="326" t="n"/>
      <c r="C234" s="319" t="n"/>
      <c r="D234" s="318" t="n"/>
      <c r="E234" s="320" t="n"/>
      <c r="F234" s="321" t="n"/>
      <c r="G234" s="327" t="n"/>
      <c r="H234" s="321" t="n"/>
      <c r="I234" s="327" t="n"/>
      <c r="J234" s="246">
        <f>IF(AND(L234="Закрыт",ISNUMBER(F234),ISNUMBER(H234)),ROUND(H234-F234,8),"")</f>
        <v/>
      </c>
      <c r="K234" s="247">
        <f>IF(AND(L234="Закрыт",ISNUMBER(G234),ISNUMBER(I234)),ROUND(I234-G234,8),"")</f>
        <v/>
      </c>
      <c r="L234" s="328" t="n"/>
      <c r="M234" s="321" t="n"/>
      <c r="N234" s="327" t="n"/>
    </row>
    <row r="235" ht="22" customHeight="1">
      <c r="B235" s="323" t="n"/>
      <c r="C235" s="314" t="n"/>
      <c r="D235" s="313" t="n"/>
      <c r="E235" s="315" t="n"/>
      <c r="F235" s="316" t="n"/>
      <c r="G235" s="324" t="n"/>
      <c r="H235" s="316" t="n"/>
      <c r="I235" s="324" t="n"/>
      <c r="J235" s="240">
        <f>IF(AND(L235="Закрыт",ISNUMBER(F235),ISNUMBER(H235)),ROUND(H235-F235,8),"")</f>
        <v/>
      </c>
      <c r="K235" s="241">
        <f>IF(AND(L235="Закрыт",ISNUMBER(G235),ISNUMBER(I235)),ROUND(I235-G235,8),"")</f>
        <v/>
      </c>
      <c r="L235" s="325" t="n"/>
      <c r="M235" s="316" t="n"/>
      <c r="N235" s="324" t="n"/>
    </row>
    <row r="236" ht="22" customHeight="1">
      <c r="B236" s="326" t="n"/>
      <c r="C236" s="319" t="n"/>
      <c r="D236" s="318" t="n"/>
      <c r="E236" s="320" t="n"/>
      <c r="F236" s="321" t="n"/>
      <c r="G236" s="327" t="n"/>
      <c r="H236" s="321" t="n"/>
      <c r="I236" s="327" t="n"/>
      <c r="J236" s="246">
        <f>IF(AND(L236="Закрыт",ISNUMBER(F236),ISNUMBER(H236)),ROUND(H236-F236,8),"")</f>
        <v/>
      </c>
      <c r="K236" s="247">
        <f>IF(AND(L236="Закрыт",ISNUMBER(G236),ISNUMBER(I236)),ROUND(I236-G236,8),"")</f>
        <v/>
      </c>
      <c r="L236" s="328" t="n"/>
      <c r="M236" s="321" t="n"/>
      <c r="N236" s="327" t="n"/>
    </row>
    <row r="237" ht="22" customHeight="1">
      <c r="B237" s="323" t="n"/>
      <c r="C237" s="314" t="n"/>
      <c r="D237" s="313" t="n"/>
      <c r="E237" s="315" t="n"/>
      <c r="F237" s="316" t="n"/>
      <c r="G237" s="324" t="n"/>
      <c r="H237" s="316" t="n"/>
      <c r="I237" s="324" t="n"/>
      <c r="J237" s="240">
        <f>IF(AND(L237="Закрыт",ISNUMBER(F237),ISNUMBER(H237)),ROUND(H237-F237,8),"")</f>
        <v/>
      </c>
      <c r="K237" s="241">
        <f>IF(AND(L237="Закрыт",ISNUMBER(G237),ISNUMBER(I237)),ROUND(I237-G237,8),"")</f>
        <v/>
      </c>
      <c r="L237" s="325" t="n"/>
      <c r="M237" s="316" t="n"/>
      <c r="N237" s="324" t="n"/>
    </row>
    <row r="238" ht="22" customHeight="1">
      <c r="B238" s="326" t="n"/>
      <c r="C238" s="319" t="n"/>
      <c r="D238" s="318" t="n"/>
      <c r="E238" s="320" t="n"/>
      <c r="F238" s="321" t="n"/>
      <c r="G238" s="327" t="n"/>
      <c r="H238" s="321" t="n"/>
      <c r="I238" s="327" t="n"/>
      <c r="J238" s="246">
        <f>IF(AND(L238="Закрыт",ISNUMBER(F238),ISNUMBER(H238)),ROUND(H238-F238,8),"")</f>
        <v/>
      </c>
      <c r="K238" s="247">
        <f>IF(AND(L238="Закрыт",ISNUMBER(G238),ISNUMBER(I238)),ROUND(I238-G238,8),"")</f>
        <v/>
      </c>
      <c r="L238" s="328" t="n"/>
      <c r="M238" s="321" t="n"/>
      <c r="N238" s="327" t="n"/>
    </row>
    <row r="239" ht="22" customHeight="1">
      <c r="B239" s="323" t="n"/>
      <c r="C239" s="314" t="n"/>
      <c r="D239" s="313" t="n"/>
      <c r="E239" s="315" t="n"/>
      <c r="F239" s="316" t="n"/>
      <c r="G239" s="324" t="n"/>
      <c r="H239" s="316" t="n"/>
      <c r="I239" s="324" t="n"/>
      <c r="J239" s="240">
        <f>IF(AND(L239="Закрыт",ISNUMBER(F239),ISNUMBER(H239)),ROUND(H239-F239,8),"")</f>
        <v/>
      </c>
      <c r="K239" s="241">
        <f>IF(AND(L239="Закрыт",ISNUMBER(G239),ISNUMBER(I239)),ROUND(I239-G239,8),"")</f>
        <v/>
      </c>
      <c r="L239" s="325" t="n"/>
      <c r="M239" s="316" t="n"/>
      <c r="N239" s="324" t="n"/>
    </row>
    <row r="240" ht="22" customHeight="1">
      <c r="B240" s="326" t="n"/>
      <c r="C240" s="319" t="n"/>
      <c r="D240" s="318" t="n"/>
      <c r="E240" s="320" t="n"/>
      <c r="F240" s="321" t="n"/>
      <c r="G240" s="327" t="n"/>
      <c r="H240" s="321" t="n"/>
      <c r="I240" s="327" t="n"/>
      <c r="J240" s="246">
        <f>IF(AND(L240="Закрыт",ISNUMBER(F240),ISNUMBER(H240)),ROUND(H240-F240,8),"")</f>
        <v/>
      </c>
      <c r="K240" s="247">
        <f>IF(AND(L240="Закрыт",ISNUMBER(G240),ISNUMBER(I240)),ROUND(I240-G240,8),"")</f>
        <v/>
      </c>
      <c r="L240" s="328" t="n"/>
      <c r="M240" s="321" t="n"/>
      <c r="N240" s="327" t="n"/>
    </row>
    <row r="241" ht="22" customHeight="1">
      <c r="B241" s="323" t="n"/>
      <c r="C241" s="314" t="n"/>
      <c r="D241" s="313" t="n"/>
      <c r="E241" s="315" t="n"/>
      <c r="F241" s="316" t="n"/>
      <c r="G241" s="324" t="n"/>
      <c r="H241" s="316" t="n"/>
      <c r="I241" s="324" t="n"/>
      <c r="J241" s="240">
        <f>IF(AND(L241="Закрыт",ISNUMBER(F241),ISNUMBER(H241)),ROUND(H241-F241,8),"")</f>
        <v/>
      </c>
      <c r="K241" s="241">
        <f>IF(AND(L241="Закрыт",ISNUMBER(G241),ISNUMBER(I241)),ROUND(I241-G241,8),"")</f>
        <v/>
      </c>
      <c r="L241" s="325" t="n"/>
      <c r="M241" s="316" t="n"/>
      <c r="N241" s="324" t="n"/>
    </row>
    <row r="242" ht="22" customHeight="1">
      <c r="B242" s="326" t="n"/>
      <c r="C242" s="319" t="n"/>
      <c r="D242" s="318" t="n"/>
      <c r="E242" s="320" t="n"/>
      <c r="F242" s="321" t="n"/>
      <c r="G242" s="327" t="n"/>
      <c r="H242" s="321" t="n"/>
      <c r="I242" s="327" t="n"/>
      <c r="J242" s="246">
        <f>IF(AND(L242="Закрыт",ISNUMBER(F242),ISNUMBER(H242)),ROUND(H242-F242,8),"")</f>
        <v/>
      </c>
      <c r="K242" s="247">
        <f>IF(AND(L242="Закрыт",ISNUMBER(G242),ISNUMBER(I242)),ROUND(I242-G242,8),"")</f>
        <v/>
      </c>
      <c r="L242" s="328" t="n"/>
      <c r="M242" s="321" t="n"/>
      <c r="N242" s="327" t="n"/>
    </row>
    <row r="243" ht="22" customHeight="1">
      <c r="B243" s="323" t="n"/>
      <c r="C243" s="314" t="n"/>
      <c r="D243" s="313" t="n"/>
      <c r="E243" s="315" t="n"/>
      <c r="F243" s="316" t="n"/>
      <c r="G243" s="324" t="n"/>
      <c r="H243" s="316" t="n"/>
      <c r="I243" s="324" t="n"/>
      <c r="J243" s="240">
        <f>IF(AND(L243="Закрыт",ISNUMBER(F243),ISNUMBER(H243)),ROUND(H243-F243,8),"")</f>
        <v/>
      </c>
      <c r="K243" s="241">
        <f>IF(AND(L243="Закрыт",ISNUMBER(G243),ISNUMBER(I243)),ROUND(I243-G243,8),"")</f>
        <v/>
      </c>
      <c r="L243" s="325" t="n"/>
      <c r="M243" s="316" t="n"/>
      <c r="N243" s="324" t="n"/>
    </row>
    <row r="244" ht="22" customHeight="1">
      <c r="B244" s="326" t="n"/>
      <c r="C244" s="319" t="n"/>
      <c r="D244" s="318" t="n"/>
      <c r="E244" s="320" t="n"/>
      <c r="F244" s="321" t="n"/>
      <c r="G244" s="327" t="n"/>
      <c r="H244" s="321" t="n"/>
      <c r="I244" s="327" t="n"/>
      <c r="J244" s="246">
        <f>IF(AND(L244="Закрыт",ISNUMBER(F244),ISNUMBER(H244)),ROUND(H244-F244,8),"")</f>
        <v/>
      </c>
      <c r="K244" s="247">
        <f>IF(AND(L244="Закрыт",ISNUMBER(G244),ISNUMBER(I244)),ROUND(I244-G244,8),"")</f>
        <v/>
      </c>
      <c r="L244" s="328" t="n"/>
      <c r="M244" s="321" t="n"/>
      <c r="N244" s="327" t="n"/>
    </row>
    <row r="245" ht="22" customHeight="1">
      <c r="B245" s="323" t="n"/>
      <c r="C245" s="314" t="n"/>
      <c r="D245" s="313" t="n"/>
      <c r="E245" s="315" t="n"/>
      <c r="F245" s="316" t="n"/>
      <c r="G245" s="324" t="n"/>
      <c r="H245" s="316" t="n"/>
      <c r="I245" s="324" t="n"/>
      <c r="J245" s="240">
        <f>IF(AND(L245="Закрыт",ISNUMBER(F245),ISNUMBER(H245)),ROUND(H245-F245,8),"")</f>
        <v/>
      </c>
      <c r="K245" s="241">
        <f>IF(AND(L245="Закрыт",ISNUMBER(G245),ISNUMBER(I245)),ROUND(I245-G245,8),"")</f>
        <v/>
      </c>
      <c r="L245" s="325" t="n"/>
      <c r="M245" s="316" t="n"/>
      <c r="N245" s="324" t="n"/>
    </row>
    <row r="246" ht="22" customHeight="1">
      <c r="B246" s="326" t="n"/>
      <c r="C246" s="319" t="n"/>
      <c r="D246" s="318" t="n"/>
      <c r="E246" s="320" t="n"/>
      <c r="F246" s="321" t="n"/>
      <c r="G246" s="327" t="n"/>
      <c r="H246" s="321" t="n"/>
      <c r="I246" s="327" t="n"/>
      <c r="J246" s="246">
        <f>IF(AND(L246="Закрыт",ISNUMBER(F246),ISNUMBER(H246)),ROUND(H246-F246,8),"")</f>
        <v/>
      </c>
      <c r="K246" s="247">
        <f>IF(AND(L246="Закрыт",ISNUMBER(G246),ISNUMBER(I246)),ROUND(I246-G246,8),"")</f>
        <v/>
      </c>
      <c r="L246" s="328" t="n"/>
      <c r="M246" s="321" t="n"/>
      <c r="N246" s="327" t="n"/>
    </row>
    <row r="247" ht="22" customHeight="1">
      <c r="B247" s="323" t="n"/>
      <c r="C247" s="314" t="n"/>
      <c r="D247" s="313" t="n"/>
      <c r="E247" s="315" t="n"/>
      <c r="F247" s="316" t="n"/>
      <c r="G247" s="324" t="n"/>
      <c r="H247" s="316" t="n"/>
      <c r="I247" s="324" t="n"/>
      <c r="J247" s="240">
        <f>IF(AND(L247="Закрыт",ISNUMBER(F247),ISNUMBER(H247)),ROUND(H247-F247,8),"")</f>
        <v/>
      </c>
      <c r="K247" s="241">
        <f>IF(AND(L247="Закрыт",ISNUMBER(G247),ISNUMBER(I247)),ROUND(I247-G247,8),"")</f>
        <v/>
      </c>
      <c r="L247" s="325" t="n"/>
      <c r="M247" s="316" t="n"/>
      <c r="N247" s="324" t="n"/>
    </row>
    <row r="248" ht="22" customHeight="1">
      <c r="B248" s="326" t="n"/>
      <c r="C248" s="319" t="n"/>
      <c r="D248" s="318" t="n"/>
      <c r="E248" s="320" t="n"/>
      <c r="F248" s="321" t="n"/>
      <c r="G248" s="327" t="n"/>
      <c r="H248" s="321" t="n"/>
      <c r="I248" s="327" t="n"/>
      <c r="J248" s="246">
        <f>IF(AND(L248="Закрыт",ISNUMBER(F248),ISNUMBER(H248)),ROUND(H248-F248,8),"")</f>
        <v/>
      </c>
      <c r="K248" s="247">
        <f>IF(AND(L248="Закрыт",ISNUMBER(G248),ISNUMBER(I248)),ROUND(I248-G248,8),"")</f>
        <v/>
      </c>
      <c r="L248" s="328" t="n"/>
      <c r="M248" s="321" t="n"/>
      <c r="N248" s="327" t="n"/>
    </row>
    <row r="249" ht="22" customHeight="1">
      <c r="B249" s="323" t="n"/>
      <c r="C249" s="314" t="n"/>
      <c r="D249" s="313" t="n"/>
      <c r="E249" s="315" t="n"/>
      <c r="F249" s="316" t="n"/>
      <c r="G249" s="324" t="n"/>
      <c r="H249" s="316" t="n"/>
      <c r="I249" s="324" t="n"/>
      <c r="J249" s="240">
        <f>IF(AND(L249="Закрыт",ISNUMBER(F249),ISNUMBER(H249)),ROUND(H249-F249,8),"")</f>
        <v/>
      </c>
      <c r="K249" s="241">
        <f>IF(AND(L249="Закрыт",ISNUMBER(G249),ISNUMBER(I249)),ROUND(I249-G249,8),"")</f>
        <v/>
      </c>
      <c r="L249" s="325" t="n"/>
      <c r="M249" s="316" t="n"/>
      <c r="N249" s="324" t="n"/>
    </row>
    <row r="250" ht="22" customHeight="1">
      <c r="B250" s="326" t="n"/>
      <c r="C250" s="319" t="n"/>
      <c r="D250" s="318" t="n"/>
      <c r="E250" s="320" t="n"/>
      <c r="F250" s="321" t="n"/>
      <c r="G250" s="327" t="n"/>
      <c r="H250" s="321" t="n"/>
      <c r="I250" s="327" t="n"/>
      <c r="J250" s="246">
        <f>IF(AND(L250="Закрыт",ISNUMBER(F250),ISNUMBER(H250)),ROUND(H250-F250,8),"")</f>
        <v/>
      </c>
      <c r="K250" s="247">
        <f>IF(AND(L250="Закрыт",ISNUMBER(G250),ISNUMBER(I250)),ROUND(I250-G250,8),"")</f>
        <v/>
      </c>
      <c r="L250" s="328" t="n"/>
      <c r="M250" s="321" t="n"/>
      <c r="N250" s="327" t="n"/>
    </row>
    <row r="251" ht="22" customHeight="1">
      <c r="B251" s="323" t="n"/>
      <c r="C251" s="314" t="n"/>
      <c r="D251" s="313" t="n"/>
      <c r="E251" s="315" t="n"/>
      <c r="F251" s="316" t="n"/>
      <c r="G251" s="324" t="n"/>
      <c r="H251" s="316" t="n"/>
      <c r="I251" s="324" t="n"/>
      <c r="J251" s="240">
        <f>IF(AND(L251="Закрыт",ISNUMBER(F251),ISNUMBER(H251)),ROUND(H251-F251,8),"")</f>
        <v/>
      </c>
      <c r="K251" s="241">
        <f>IF(AND(L251="Закрыт",ISNUMBER(G251),ISNUMBER(I251)),ROUND(I251-G251,8),"")</f>
        <v/>
      </c>
      <c r="L251" s="325" t="n"/>
      <c r="M251" s="316" t="n"/>
      <c r="N251" s="324" t="n"/>
    </row>
    <row r="252" ht="22" customHeight="1">
      <c r="B252" s="326" t="n"/>
      <c r="C252" s="319" t="n"/>
      <c r="D252" s="318" t="n"/>
      <c r="E252" s="320" t="n"/>
      <c r="F252" s="321" t="n"/>
      <c r="G252" s="327" t="n"/>
      <c r="H252" s="321" t="n"/>
      <c r="I252" s="327" t="n"/>
      <c r="J252" s="246">
        <f>IF(AND(L252="Закрыт",ISNUMBER(F252),ISNUMBER(H252)),ROUND(H252-F252,8),"")</f>
        <v/>
      </c>
      <c r="K252" s="247">
        <f>IF(AND(L252="Закрыт",ISNUMBER(G252),ISNUMBER(I252)),ROUND(I252-G252,8),"")</f>
        <v/>
      </c>
      <c r="L252" s="328" t="n"/>
      <c r="M252" s="321" t="n"/>
      <c r="N252" s="327" t="n"/>
    </row>
    <row r="253" ht="22" customHeight="1">
      <c r="B253" s="323" t="n"/>
      <c r="C253" s="314" t="n"/>
      <c r="D253" s="313" t="n"/>
      <c r="E253" s="315" t="n"/>
      <c r="F253" s="316" t="n"/>
      <c r="G253" s="324" t="n"/>
      <c r="H253" s="316" t="n"/>
      <c r="I253" s="324" t="n"/>
      <c r="J253" s="240">
        <f>IF(AND(L253="Закрыт",ISNUMBER(F253),ISNUMBER(H253)),ROUND(H253-F253,8),"")</f>
        <v/>
      </c>
      <c r="K253" s="241">
        <f>IF(AND(L253="Закрыт",ISNUMBER(G253),ISNUMBER(I253)),ROUND(I253-G253,8),"")</f>
        <v/>
      </c>
      <c r="L253" s="325" t="n"/>
      <c r="M253" s="316" t="n"/>
      <c r="N253" s="324" t="n"/>
    </row>
    <row r="254" ht="22" customHeight="1">
      <c r="B254" s="326" t="n"/>
      <c r="C254" s="319" t="n"/>
      <c r="D254" s="318" t="n"/>
      <c r="E254" s="320" t="n"/>
      <c r="F254" s="321" t="n"/>
      <c r="G254" s="327" t="n"/>
      <c r="H254" s="321" t="n"/>
      <c r="I254" s="327" t="n"/>
      <c r="J254" s="246">
        <f>IF(AND(L254="Закрыт",ISNUMBER(F254),ISNUMBER(H254)),ROUND(H254-F254,8),"")</f>
        <v/>
      </c>
      <c r="K254" s="247">
        <f>IF(AND(L254="Закрыт",ISNUMBER(G254),ISNUMBER(I254)),ROUND(I254-G254,8),"")</f>
        <v/>
      </c>
      <c r="L254" s="328" t="n"/>
      <c r="M254" s="321" t="n"/>
      <c r="N254" s="327" t="n"/>
    </row>
    <row r="255" ht="22" customHeight="1">
      <c r="B255" s="323" t="n"/>
      <c r="C255" s="314" t="n"/>
      <c r="D255" s="313" t="n"/>
      <c r="E255" s="315" t="n"/>
      <c r="F255" s="316" t="n"/>
      <c r="G255" s="324" t="n"/>
      <c r="H255" s="316" t="n"/>
      <c r="I255" s="324" t="n"/>
      <c r="J255" s="240">
        <f>IF(AND(L255="Закрыт",ISNUMBER(F255),ISNUMBER(H255)),ROUND(H255-F255,8),"")</f>
        <v/>
      </c>
      <c r="K255" s="241">
        <f>IF(AND(L255="Закрыт",ISNUMBER(G255),ISNUMBER(I255)),ROUND(I255-G255,8),"")</f>
        <v/>
      </c>
      <c r="L255" s="325" t="n"/>
      <c r="M255" s="316" t="n"/>
      <c r="N255" s="324" t="n"/>
    </row>
    <row r="256" ht="22" customHeight="1">
      <c r="B256" s="326" t="n"/>
      <c r="C256" s="319" t="n"/>
      <c r="D256" s="318" t="n"/>
      <c r="E256" s="320" t="n"/>
      <c r="F256" s="321" t="n"/>
      <c r="G256" s="327" t="n"/>
      <c r="H256" s="321" t="n"/>
      <c r="I256" s="327" t="n"/>
      <c r="J256" s="246">
        <f>IF(AND(L256="Закрыт",ISNUMBER(F256),ISNUMBER(H256)),ROUND(H256-F256,8),"")</f>
        <v/>
      </c>
      <c r="K256" s="247">
        <f>IF(AND(L256="Закрыт",ISNUMBER(G256),ISNUMBER(I256)),ROUND(I256-G256,8),"")</f>
        <v/>
      </c>
      <c r="L256" s="328" t="n"/>
      <c r="M256" s="321" t="n"/>
      <c r="N256" s="327" t="n"/>
    </row>
    <row r="257" ht="22" customHeight="1">
      <c r="B257" s="323" t="n"/>
      <c r="C257" s="314" t="n"/>
      <c r="D257" s="313" t="n"/>
      <c r="E257" s="315" t="n"/>
      <c r="F257" s="316" t="n"/>
      <c r="G257" s="324" t="n"/>
      <c r="H257" s="316" t="n"/>
      <c r="I257" s="324" t="n"/>
      <c r="J257" s="240">
        <f>IF(AND(L257="Закрыт",ISNUMBER(F257),ISNUMBER(H257)),ROUND(H257-F257,8),"")</f>
        <v/>
      </c>
      <c r="K257" s="241">
        <f>IF(AND(L257="Закрыт",ISNUMBER(G257),ISNUMBER(I257)),ROUND(I257-G257,8),"")</f>
        <v/>
      </c>
      <c r="L257" s="325" t="n"/>
      <c r="M257" s="316" t="n"/>
      <c r="N257" s="324" t="n"/>
    </row>
    <row r="258" ht="22" customHeight="1">
      <c r="B258" s="326" t="n"/>
      <c r="C258" s="319" t="n"/>
      <c r="D258" s="318" t="n"/>
      <c r="E258" s="320" t="n"/>
      <c r="F258" s="321" t="n"/>
      <c r="G258" s="327" t="n"/>
      <c r="H258" s="321" t="n"/>
      <c r="I258" s="327" t="n"/>
      <c r="J258" s="246">
        <f>IF(AND(L258="Закрыт",ISNUMBER(F258),ISNUMBER(H258)),ROUND(H258-F258,8),"")</f>
        <v/>
      </c>
      <c r="K258" s="247">
        <f>IF(AND(L258="Закрыт",ISNUMBER(G258),ISNUMBER(I258)),ROUND(I258-G258,8),"")</f>
        <v/>
      </c>
      <c r="L258" s="328" t="n"/>
      <c r="M258" s="321" t="n"/>
      <c r="N258" s="327" t="n"/>
    </row>
    <row r="259" ht="22" customHeight="1">
      <c r="B259" s="323" t="n"/>
      <c r="C259" s="314" t="n"/>
      <c r="D259" s="313" t="n"/>
      <c r="E259" s="315" t="n"/>
      <c r="F259" s="316" t="n"/>
      <c r="G259" s="324" t="n"/>
      <c r="H259" s="316" t="n"/>
      <c r="I259" s="324" t="n"/>
      <c r="J259" s="240">
        <f>IF(AND(L259="Закрыт",ISNUMBER(F259),ISNUMBER(H259)),ROUND(H259-F259,8),"")</f>
        <v/>
      </c>
      <c r="K259" s="241">
        <f>IF(AND(L259="Закрыт",ISNUMBER(G259),ISNUMBER(I259)),ROUND(I259-G259,8),"")</f>
        <v/>
      </c>
      <c r="L259" s="325" t="n"/>
      <c r="M259" s="316" t="n"/>
      <c r="N259" s="324" t="n"/>
    </row>
    <row r="260" ht="22" customHeight="1">
      <c r="B260" s="326" t="n"/>
      <c r="C260" s="319" t="n"/>
      <c r="D260" s="318" t="n"/>
      <c r="E260" s="320" t="n"/>
      <c r="F260" s="321" t="n"/>
      <c r="G260" s="327" t="n"/>
      <c r="H260" s="321" t="n"/>
      <c r="I260" s="327" t="n"/>
      <c r="J260" s="246">
        <f>IF(AND(L260="Закрыт",ISNUMBER(F260),ISNUMBER(H260)),ROUND(H260-F260,8),"")</f>
        <v/>
      </c>
      <c r="K260" s="247">
        <f>IF(AND(L260="Закрыт",ISNUMBER(G260),ISNUMBER(I260)),ROUND(I260-G260,8),"")</f>
        <v/>
      </c>
      <c r="L260" s="328" t="n"/>
      <c r="M260" s="321" t="n"/>
      <c r="N260" s="327" t="n"/>
    </row>
    <row r="261" ht="22" customHeight="1">
      <c r="B261" s="323" t="n"/>
      <c r="C261" s="314" t="n"/>
      <c r="D261" s="313" t="n"/>
      <c r="E261" s="315" t="n"/>
      <c r="F261" s="316" t="n"/>
      <c r="G261" s="324" t="n"/>
      <c r="H261" s="316" t="n"/>
      <c r="I261" s="324" t="n"/>
      <c r="J261" s="240">
        <f>IF(AND(L261="Закрыт",ISNUMBER(F261),ISNUMBER(H261)),ROUND(H261-F261,8),"")</f>
        <v/>
      </c>
      <c r="K261" s="241">
        <f>IF(AND(L261="Закрыт",ISNUMBER(G261),ISNUMBER(I261)),ROUND(I261-G261,8),"")</f>
        <v/>
      </c>
      <c r="L261" s="325" t="n"/>
      <c r="M261" s="316" t="n"/>
      <c r="N261" s="324" t="n"/>
    </row>
    <row r="262" ht="22" customHeight="1">
      <c r="B262" s="326" t="n"/>
      <c r="C262" s="319" t="n"/>
      <c r="D262" s="318" t="n"/>
      <c r="E262" s="320" t="n"/>
      <c r="F262" s="321" t="n"/>
      <c r="G262" s="327" t="n"/>
      <c r="H262" s="321" t="n"/>
      <c r="I262" s="327" t="n"/>
      <c r="J262" s="246">
        <f>IF(AND(L262="Закрыт",ISNUMBER(F262),ISNUMBER(H262)),ROUND(H262-F262,8),"")</f>
        <v/>
      </c>
      <c r="K262" s="247">
        <f>IF(AND(L262="Закрыт",ISNUMBER(G262),ISNUMBER(I262)),ROUND(I262-G262,8),"")</f>
        <v/>
      </c>
      <c r="L262" s="328" t="n"/>
      <c r="M262" s="321" t="n"/>
      <c r="N262" s="327" t="n"/>
    </row>
    <row r="263" ht="22" customHeight="1">
      <c r="B263" s="323" t="n"/>
      <c r="C263" s="314" t="n"/>
      <c r="D263" s="313" t="n"/>
      <c r="E263" s="315" t="n"/>
      <c r="F263" s="316" t="n"/>
      <c r="G263" s="324" t="n"/>
      <c r="H263" s="316" t="n"/>
      <c r="I263" s="324" t="n"/>
      <c r="J263" s="240">
        <f>IF(AND(L263="Закрыт",ISNUMBER(F263),ISNUMBER(H263)),ROUND(H263-F263,8),"")</f>
        <v/>
      </c>
      <c r="K263" s="241">
        <f>IF(AND(L263="Закрыт",ISNUMBER(G263),ISNUMBER(I263)),ROUND(I263-G263,8),"")</f>
        <v/>
      </c>
      <c r="L263" s="325" t="n"/>
      <c r="M263" s="316" t="n"/>
      <c r="N263" s="324" t="n"/>
    </row>
    <row r="264" ht="22" customHeight="1">
      <c r="B264" s="326" t="n"/>
      <c r="C264" s="319" t="n"/>
      <c r="D264" s="318" t="n"/>
      <c r="E264" s="320" t="n"/>
      <c r="F264" s="321" t="n"/>
      <c r="G264" s="327" t="n"/>
      <c r="H264" s="321" t="n"/>
      <c r="I264" s="327" t="n"/>
      <c r="J264" s="246">
        <f>IF(AND(L264="Закрыт",ISNUMBER(F264),ISNUMBER(H264)),ROUND(H264-F264,8),"")</f>
        <v/>
      </c>
      <c r="K264" s="247">
        <f>IF(AND(L264="Закрыт",ISNUMBER(G264),ISNUMBER(I264)),ROUND(I264-G264,8),"")</f>
        <v/>
      </c>
      <c r="L264" s="328" t="n"/>
      <c r="M264" s="321" t="n"/>
      <c r="N264" s="327" t="n"/>
    </row>
    <row r="265" ht="22" customHeight="1">
      <c r="B265" s="323" t="n"/>
      <c r="C265" s="314" t="n"/>
      <c r="D265" s="313" t="n"/>
      <c r="E265" s="315" t="n"/>
      <c r="F265" s="316" t="n"/>
      <c r="G265" s="324" t="n"/>
      <c r="H265" s="316" t="n"/>
      <c r="I265" s="324" t="n"/>
      <c r="J265" s="240">
        <f>IF(AND(L265="Закрыт",ISNUMBER(F265),ISNUMBER(H265)),ROUND(H265-F265,8),"")</f>
        <v/>
      </c>
      <c r="K265" s="241">
        <f>IF(AND(L265="Закрыт",ISNUMBER(G265),ISNUMBER(I265)),ROUND(I265-G265,8),"")</f>
        <v/>
      </c>
      <c r="L265" s="325" t="n"/>
      <c r="M265" s="316" t="n"/>
      <c r="N265" s="324" t="n"/>
    </row>
    <row r="266" ht="22" customHeight="1">
      <c r="B266" s="326" t="n"/>
      <c r="C266" s="319" t="n"/>
      <c r="D266" s="318" t="n"/>
      <c r="E266" s="320" t="n"/>
      <c r="F266" s="321" t="n"/>
      <c r="G266" s="327" t="n"/>
      <c r="H266" s="321" t="n"/>
      <c r="I266" s="327" t="n"/>
      <c r="J266" s="246">
        <f>IF(AND(L266="Закрыт",ISNUMBER(F266),ISNUMBER(H266)),ROUND(H266-F266,8),"")</f>
        <v/>
      </c>
      <c r="K266" s="247">
        <f>IF(AND(L266="Закрыт",ISNUMBER(G266),ISNUMBER(I266)),ROUND(I266-G266,8),"")</f>
        <v/>
      </c>
      <c r="L266" s="328" t="n"/>
      <c r="M266" s="321" t="n"/>
      <c r="N266" s="327" t="n"/>
    </row>
    <row r="267" ht="22" customHeight="1">
      <c r="B267" s="323" t="n"/>
      <c r="C267" s="314" t="n"/>
      <c r="D267" s="313" t="n"/>
      <c r="E267" s="315" t="n"/>
      <c r="F267" s="316" t="n"/>
      <c r="G267" s="324" t="n"/>
      <c r="H267" s="316" t="n"/>
      <c r="I267" s="324" t="n"/>
      <c r="J267" s="240">
        <f>IF(AND(L267="Закрыт",ISNUMBER(F267),ISNUMBER(H267)),ROUND(H267-F267,8),"")</f>
        <v/>
      </c>
      <c r="K267" s="241">
        <f>IF(AND(L267="Закрыт",ISNUMBER(G267),ISNUMBER(I267)),ROUND(I267-G267,8),"")</f>
        <v/>
      </c>
      <c r="L267" s="325" t="n"/>
      <c r="M267" s="316" t="n"/>
      <c r="N267" s="324" t="n"/>
    </row>
    <row r="268" ht="22" customHeight="1">
      <c r="B268" s="326" t="n"/>
      <c r="C268" s="319" t="n"/>
      <c r="D268" s="318" t="n"/>
      <c r="E268" s="320" t="n"/>
      <c r="F268" s="321" t="n"/>
      <c r="G268" s="327" t="n"/>
      <c r="H268" s="321" t="n"/>
      <c r="I268" s="327" t="n"/>
      <c r="J268" s="246">
        <f>IF(AND(L268="Закрыт",ISNUMBER(F268),ISNUMBER(H268)),ROUND(H268-F268,8),"")</f>
        <v/>
      </c>
      <c r="K268" s="247">
        <f>IF(AND(L268="Закрыт",ISNUMBER(G268),ISNUMBER(I268)),ROUND(I268-G268,8),"")</f>
        <v/>
      </c>
      <c r="L268" s="328" t="n"/>
      <c r="M268" s="321" t="n"/>
      <c r="N268" s="327" t="n"/>
    </row>
    <row r="269" ht="22" customHeight="1">
      <c r="B269" s="323" t="n"/>
      <c r="C269" s="314" t="n"/>
      <c r="D269" s="313" t="n"/>
      <c r="E269" s="315" t="n"/>
      <c r="F269" s="316" t="n"/>
      <c r="G269" s="324" t="n"/>
      <c r="H269" s="316" t="n"/>
      <c r="I269" s="324" t="n"/>
      <c r="J269" s="240">
        <f>IF(AND(L269="Закрыт",ISNUMBER(F269),ISNUMBER(H269)),ROUND(H269-F269,8),"")</f>
        <v/>
      </c>
      <c r="K269" s="241">
        <f>IF(AND(L269="Закрыт",ISNUMBER(G269),ISNUMBER(I269)),ROUND(I269-G269,8),"")</f>
        <v/>
      </c>
      <c r="L269" s="325" t="n"/>
      <c r="M269" s="316" t="n"/>
      <c r="N269" s="324" t="n"/>
    </row>
    <row r="270" ht="22" customHeight="1">
      <c r="B270" s="326" t="n"/>
      <c r="C270" s="319" t="n"/>
      <c r="D270" s="318" t="n"/>
      <c r="E270" s="320" t="n"/>
      <c r="F270" s="321" t="n"/>
      <c r="G270" s="327" t="n"/>
      <c r="H270" s="321" t="n"/>
      <c r="I270" s="327" t="n"/>
      <c r="J270" s="246">
        <f>IF(AND(L270="Закрыт",ISNUMBER(F270),ISNUMBER(H270)),ROUND(H270-F270,8),"")</f>
        <v/>
      </c>
      <c r="K270" s="247">
        <f>IF(AND(L270="Закрыт",ISNUMBER(G270),ISNUMBER(I270)),ROUND(I270-G270,8),"")</f>
        <v/>
      </c>
      <c r="L270" s="328" t="n"/>
      <c r="M270" s="321" t="n"/>
      <c r="N270" s="327" t="n"/>
    </row>
    <row r="271" ht="22" customHeight="1">
      <c r="B271" s="323" t="n"/>
      <c r="C271" s="314" t="n"/>
      <c r="D271" s="313" t="n"/>
      <c r="E271" s="315" t="n"/>
      <c r="F271" s="316" t="n"/>
      <c r="G271" s="324" t="n"/>
      <c r="H271" s="316" t="n"/>
      <c r="I271" s="324" t="n"/>
      <c r="J271" s="240">
        <f>IF(AND(L271="Закрыт",ISNUMBER(F271),ISNUMBER(H271)),ROUND(H271-F271,8),"")</f>
        <v/>
      </c>
      <c r="K271" s="241">
        <f>IF(AND(L271="Закрыт",ISNUMBER(G271),ISNUMBER(I271)),ROUND(I271-G271,8),"")</f>
        <v/>
      </c>
      <c r="L271" s="325" t="n"/>
      <c r="M271" s="316" t="n"/>
      <c r="N271" s="324" t="n"/>
    </row>
    <row r="272" ht="22" customHeight="1">
      <c r="B272" s="326" t="n"/>
      <c r="C272" s="319" t="n"/>
      <c r="D272" s="318" t="n"/>
      <c r="E272" s="320" t="n"/>
      <c r="F272" s="321" t="n"/>
      <c r="G272" s="327" t="n"/>
      <c r="H272" s="321" t="n"/>
      <c r="I272" s="327" t="n"/>
      <c r="J272" s="246">
        <f>IF(AND(L272="Закрыт",ISNUMBER(F272),ISNUMBER(H272)),ROUND(H272-F272,8),"")</f>
        <v/>
      </c>
      <c r="K272" s="247">
        <f>IF(AND(L272="Закрыт",ISNUMBER(G272),ISNUMBER(I272)),ROUND(I272-G272,8),"")</f>
        <v/>
      </c>
      <c r="L272" s="328" t="n"/>
      <c r="M272" s="321" t="n"/>
      <c r="N272" s="327" t="n"/>
    </row>
    <row r="273" ht="22" customHeight="1">
      <c r="B273" s="323" t="n"/>
      <c r="C273" s="314" t="n"/>
      <c r="D273" s="313" t="n"/>
      <c r="E273" s="315" t="n"/>
      <c r="F273" s="316" t="n"/>
      <c r="G273" s="324" t="n"/>
      <c r="H273" s="316" t="n"/>
      <c r="I273" s="324" t="n"/>
      <c r="J273" s="240">
        <f>IF(AND(L273="Закрыт",ISNUMBER(F273),ISNUMBER(H273)),ROUND(H273-F273,8),"")</f>
        <v/>
      </c>
      <c r="K273" s="241">
        <f>IF(AND(L273="Закрыт",ISNUMBER(G273),ISNUMBER(I273)),ROUND(I273-G273,8),"")</f>
        <v/>
      </c>
      <c r="L273" s="325" t="n"/>
      <c r="M273" s="316" t="n"/>
      <c r="N273" s="324" t="n"/>
    </row>
    <row r="274" ht="22" customHeight="1">
      <c r="B274" s="326" t="n"/>
      <c r="C274" s="319" t="n"/>
      <c r="D274" s="318" t="n"/>
      <c r="E274" s="320" t="n"/>
      <c r="F274" s="321" t="n"/>
      <c r="G274" s="327" t="n"/>
      <c r="H274" s="321" t="n"/>
      <c r="I274" s="327" t="n"/>
      <c r="J274" s="246">
        <f>IF(AND(L274="Закрыт",ISNUMBER(F274),ISNUMBER(H274)),ROUND(H274-F274,8),"")</f>
        <v/>
      </c>
      <c r="K274" s="247">
        <f>IF(AND(L274="Закрыт",ISNUMBER(G274),ISNUMBER(I274)),ROUND(I274-G274,8),"")</f>
        <v/>
      </c>
      <c r="L274" s="328" t="n"/>
      <c r="M274" s="321" t="n"/>
      <c r="N274" s="327" t="n"/>
    </row>
    <row r="275" ht="22" customHeight="1">
      <c r="B275" s="323" t="n"/>
      <c r="C275" s="314" t="n"/>
      <c r="D275" s="313" t="n"/>
      <c r="E275" s="315" t="n"/>
      <c r="F275" s="316" t="n"/>
      <c r="G275" s="324" t="n"/>
      <c r="H275" s="316" t="n"/>
      <c r="I275" s="324" t="n"/>
      <c r="J275" s="240">
        <f>IF(AND(L275="Закрыт",ISNUMBER(F275),ISNUMBER(H275)),ROUND(H275-F275,8),"")</f>
        <v/>
      </c>
      <c r="K275" s="241">
        <f>IF(AND(L275="Закрыт",ISNUMBER(G275),ISNUMBER(I275)),ROUND(I275-G275,8),"")</f>
        <v/>
      </c>
      <c r="L275" s="325" t="n"/>
      <c r="M275" s="316" t="n"/>
      <c r="N275" s="324" t="n"/>
    </row>
    <row r="276" ht="22" customHeight="1">
      <c r="B276" s="326" t="n"/>
      <c r="C276" s="319" t="n"/>
      <c r="D276" s="318" t="n"/>
      <c r="E276" s="320" t="n"/>
      <c r="F276" s="321" t="n"/>
      <c r="G276" s="327" t="n"/>
      <c r="H276" s="321" t="n"/>
      <c r="I276" s="327" t="n"/>
      <c r="J276" s="246">
        <f>IF(AND(L276="Закрыт",ISNUMBER(F276),ISNUMBER(H276)),ROUND(H276-F276,8),"")</f>
        <v/>
      </c>
      <c r="K276" s="247">
        <f>IF(AND(L276="Закрыт",ISNUMBER(G276),ISNUMBER(I276)),ROUND(I276-G276,8),"")</f>
        <v/>
      </c>
      <c r="L276" s="328" t="n"/>
      <c r="M276" s="321" t="n"/>
      <c r="N276" s="327" t="n"/>
    </row>
    <row r="277" ht="22" customHeight="1">
      <c r="B277" s="323" t="n"/>
      <c r="C277" s="314" t="n"/>
      <c r="D277" s="313" t="n"/>
      <c r="E277" s="315" t="n"/>
      <c r="F277" s="316" t="n"/>
      <c r="G277" s="324" t="n"/>
      <c r="H277" s="316" t="n"/>
      <c r="I277" s="324" t="n"/>
      <c r="J277" s="240">
        <f>IF(AND(L277="Закрыт",ISNUMBER(F277),ISNUMBER(H277)),ROUND(H277-F277,8),"")</f>
        <v/>
      </c>
      <c r="K277" s="241">
        <f>IF(AND(L277="Закрыт",ISNUMBER(G277),ISNUMBER(I277)),ROUND(I277-G277,8),"")</f>
        <v/>
      </c>
      <c r="L277" s="325" t="n"/>
      <c r="M277" s="316" t="n"/>
      <c r="N277" s="324" t="n"/>
    </row>
    <row r="278" ht="22" customHeight="1">
      <c r="B278" s="326" t="n"/>
      <c r="C278" s="319" t="n"/>
      <c r="D278" s="318" t="n"/>
      <c r="E278" s="320" t="n"/>
      <c r="F278" s="321" t="n"/>
      <c r="G278" s="327" t="n"/>
      <c r="H278" s="321" t="n"/>
      <c r="I278" s="327" t="n"/>
      <c r="J278" s="246">
        <f>IF(AND(L278="Закрыт",ISNUMBER(F278),ISNUMBER(H278)),ROUND(H278-F278,8),"")</f>
        <v/>
      </c>
      <c r="K278" s="247">
        <f>IF(AND(L278="Закрыт",ISNUMBER(G278),ISNUMBER(I278)),ROUND(I278-G278,8),"")</f>
        <v/>
      </c>
      <c r="L278" s="328" t="n"/>
      <c r="M278" s="321" t="n"/>
      <c r="N278" s="327" t="n"/>
    </row>
    <row r="279" ht="22" customHeight="1">
      <c r="B279" s="323" t="n"/>
      <c r="C279" s="314" t="n"/>
      <c r="D279" s="313" t="n"/>
      <c r="E279" s="315" t="n"/>
      <c r="F279" s="316" t="n"/>
      <c r="G279" s="324" t="n"/>
      <c r="H279" s="316" t="n"/>
      <c r="I279" s="324" t="n"/>
      <c r="J279" s="240">
        <f>IF(AND(L279="Закрыт",ISNUMBER(F279),ISNUMBER(H279)),ROUND(H279-F279,8),"")</f>
        <v/>
      </c>
      <c r="K279" s="241">
        <f>IF(AND(L279="Закрыт",ISNUMBER(G279),ISNUMBER(I279)),ROUND(I279-G279,8),"")</f>
        <v/>
      </c>
      <c r="L279" s="325" t="n"/>
      <c r="M279" s="316" t="n"/>
      <c r="N279" s="324" t="n"/>
    </row>
    <row r="280" ht="22" customHeight="1">
      <c r="B280" s="326" t="n"/>
      <c r="C280" s="319" t="n"/>
      <c r="D280" s="318" t="n"/>
      <c r="E280" s="320" t="n"/>
      <c r="F280" s="321" t="n"/>
      <c r="G280" s="327" t="n"/>
      <c r="H280" s="321" t="n"/>
      <c r="I280" s="327" t="n"/>
      <c r="J280" s="246">
        <f>IF(AND(L280="Закрыт",ISNUMBER(F280),ISNUMBER(H280)),ROUND(H280-F280,8),"")</f>
        <v/>
      </c>
      <c r="K280" s="247">
        <f>IF(AND(L280="Закрыт",ISNUMBER(G280),ISNUMBER(I280)),ROUND(I280-G280,8),"")</f>
        <v/>
      </c>
      <c r="L280" s="328" t="n"/>
      <c r="M280" s="321" t="n"/>
      <c r="N280" s="327" t="n"/>
    </row>
    <row r="281" ht="22" customHeight="1">
      <c r="B281" s="323" t="n"/>
      <c r="C281" s="314" t="n"/>
      <c r="D281" s="313" t="n"/>
      <c r="E281" s="315" t="n"/>
      <c r="F281" s="316" t="n"/>
      <c r="G281" s="324" t="n"/>
      <c r="H281" s="316" t="n"/>
      <c r="I281" s="324" t="n"/>
      <c r="J281" s="240">
        <f>IF(AND(L281="Закрыт",ISNUMBER(F281),ISNUMBER(H281)),ROUND(H281-F281,8),"")</f>
        <v/>
      </c>
      <c r="K281" s="241">
        <f>IF(AND(L281="Закрыт",ISNUMBER(G281),ISNUMBER(I281)),ROUND(I281-G281,8),"")</f>
        <v/>
      </c>
      <c r="L281" s="325" t="n"/>
      <c r="M281" s="316" t="n"/>
      <c r="N281" s="324" t="n"/>
    </row>
    <row r="282" ht="22" customHeight="1">
      <c r="B282" s="326" t="n"/>
      <c r="C282" s="319" t="n"/>
      <c r="D282" s="318" t="n"/>
      <c r="E282" s="320" t="n"/>
      <c r="F282" s="321" t="n"/>
      <c r="G282" s="327" t="n"/>
      <c r="H282" s="321" t="n"/>
      <c r="I282" s="327" t="n"/>
      <c r="J282" s="246">
        <f>IF(AND(L282="Закрыт",ISNUMBER(F282),ISNUMBER(H282)),ROUND(H282-F282,8),"")</f>
        <v/>
      </c>
      <c r="K282" s="247">
        <f>IF(AND(L282="Закрыт",ISNUMBER(G282),ISNUMBER(I282)),ROUND(I282-G282,8),"")</f>
        <v/>
      </c>
      <c r="L282" s="328" t="n"/>
      <c r="M282" s="321" t="n"/>
      <c r="N282" s="327" t="n"/>
    </row>
    <row r="283" ht="22" customHeight="1">
      <c r="B283" s="323" t="n"/>
      <c r="C283" s="314" t="n"/>
      <c r="D283" s="313" t="n"/>
      <c r="E283" s="315" t="n"/>
      <c r="F283" s="316" t="n"/>
      <c r="G283" s="324" t="n"/>
      <c r="H283" s="316" t="n"/>
      <c r="I283" s="324" t="n"/>
      <c r="J283" s="240">
        <f>IF(AND(L283="Закрыт",ISNUMBER(F283),ISNUMBER(H283)),ROUND(H283-F283,8),"")</f>
        <v/>
      </c>
      <c r="K283" s="241">
        <f>IF(AND(L283="Закрыт",ISNUMBER(G283),ISNUMBER(I283)),ROUND(I283-G283,8),"")</f>
        <v/>
      </c>
      <c r="L283" s="325" t="n"/>
      <c r="M283" s="316" t="n"/>
      <c r="N283" s="324" t="n"/>
    </row>
    <row r="284" ht="22" customHeight="1">
      <c r="B284" s="326" t="n"/>
      <c r="C284" s="319" t="n"/>
      <c r="D284" s="318" t="n"/>
      <c r="E284" s="320" t="n"/>
      <c r="F284" s="321" t="n"/>
      <c r="G284" s="327" t="n"/>
      <c r="H284" s="321" t="n"/>
      <c r="I284" s="327" t="n"/>
      <c r="J284" s="246">
        <f>IF(AND(L284="Закрыт",ISNUMBER(F284),ISNUMBER(H284)),ROUND(H284-F284,8),"")</f>
        <v/>
      </c>
      <c r="K284" s="247">
        <f>IF(AND(L284="Закрыт",ISNUMBER(G284),ISNUMBER(I284)),ROUND(I284-G284,8),"")</f>
        <v/>
      </c>
      <c r="L284" s="328" t="n"/>
      <c r="M284" s="321" t="n"/>
      <c r="N284" s="327" t="n"/>
    </row>
    <row r="285" ht="22" customHeight="1">
      <c r="B285" s="323" t="n"/>
      <c r="C285" s="314" t="n"/>
      <c r="D285" s="313" t="n"/>
      <c r="E285" s="315" t="n"/>
      <c r="F285" s="316" t="n"/>
      <c r="G285" s="324" t="n"/>
      <c r="H285" s="316" t="n"/>
      <c r="I285" s="324" t="n"/>
      <c r="J285" s="240">
        <f>IF(AND(L285="Закрыт",ISNUMBER(F285),ISNUMBER(H285)),ROUND(H285-F285,8),"")</f>
        <v/>
      </c>
      <c r="K285" s="241">
        <f>IF(AND(L285="Закрыт",ISNUMBER(G285),ISNUMBER(I285)),ROUND(I285-G285,8),"")</f>
        <v/>
      </c>
      <c r="L285" s="325" t="n"/>
      <c r="M285" s="316" t="n"/>
      <c r="N285" s="324" t="n"/>
    </row>
    <row r="286" ht="22" customHeight="1">
      <c r="B286" s="326" t="n"/>
      <c r="C286" s="319" t="n"/>
      <c r="D286" s="318" t="n"/>
      <c r="E286" s="320" t="n"/>
      <c r="F286" s="321" t="n"/>
      <c r="G286" s="327" t="n"/>
      <c r="H286" s="321" t="n"/>
      <c r="I286" s="327" t="n"/>
      <c r="J286" s="246">
        <f>IF(AND(L286="Закрыт",ISNUMBER(F286),ISNUMBER(H286)),ROUND(H286-F286,8),"")</f>
        <v/>
      </c>
      <c r="K286" s="247">
        <f>IF(AND(L286="Закрыт",ISNUMBER(G286),ISNUMBER(I286)),ROUND(I286-G286,8),"")</f>
        <v/>
      </c>
      <c r="L286" s="328" t="n"/>
      <c r="M286" s="321" t="n"/>
      <c r="N286" s="327" t="n"/>
    </row>
    <row r="287" ht="22" customHeight="1">
      <c r="B287" s="323" t="n"/>
      <c r="C287" s="314" t="n"/>
      <c r="D287" s="313" t="n"/>
      <c r="E287" s="315" t="n"/>
      <c r="F287" s="316" t="n"/>
      <c r="G287" s="324" t="n"/>
      <c r="H287" s="316" t="n"/>
      <c r="I287" s="324" t="n"/>
      <c r="J287" s="240">
        <f>IF(AND(L287="Закрыт",ISNUMBER(F287),ISNUMBER(H287)),ROUND(H287-F287,8),"")</f>
        <v/>
      </c>
      <c r="K287" s="241">
        <f>IF(AND(L287="Закрыт",ISNUMBER(G287),ISNUMBER(I287)),ROUND(I287-G287,8),"")</f>
        <v/>
      </c>
      <c r="L287" s="325" t="n"/>
      <c r="M287" s="316" t="n"/>
      <c r="N287" s="324" t="n"/>
    </row>
    <row r="288" ht="22" customHeight="1">
      <c r="B288" s="326" t="n"/>
      <c r="C288" s="319" t="n"/>
      <c r="D288" s="318" t="n"/>
      <c r="E288" s="320" t="n"/>
      <c r="F288" s="321" t="n"/>
      <c r="G288" s="327" t="n"/>
      <c r="H288" s="321" t="n"/>
      <c r="I288" s="327" t="n"/>
      <c r="J288" s="246">
        <f>IF(AND(L288="Закрыт",ISNUMBER(F288),ISNUMBER(H288)),ROUND(H288-F288,8),"")</f>
        <v/>
      </c>
      <c r="K288" s="247">
        <f>IF(AND(L288="Закрыт",ISNUMBER(G288),ISNUMBER(I288)),ROUND(I288-G288,8),"")</f>
        <v/>
      </c>
      <c r="L288" s="328" t="n"/>
      <c r="M288" s="321" t="n"/>
      <c r="N288" s="327" t="n"/>
    </row>
    <row r="289" ht="22" customHeight="1">
      <c r="B289" s="323" t="n"/>
      <c r="C289" s="314" t="n"/>
      <c r="D289" s="313" t="n"/>
      <c r="E289" s="315" t="n"/>
      <c r="F289" s="316" t="n"/>
      <c r="G289" s="324" t="n"/>
      <c r="H289" s="316" t="n"/>
      <c r="I289" s="324" t="n"/>
      <c r="J289" s="240">
        <f>IF(AND(L289="Закрыт",ISNUMBER(F289),ISNUMBER(H289)),ROUND(H289-F289,8),"")</f>
        <v/>
      </c>
      <c r="K289" s="241">
        <f>IF(AND(L289="Закрыт",ISNUMBER(G289),ISNUMBER(I289)),ROUND(I289-G289,8),"")</f>
        <v/>
      </c>
      <c r="L289" s="325" t="n"/>
      <c r="M289" s="316" t="n"/>
      <c r="N289" s="324" t="n"/>
    </row>
    <row r="290" ht="22" customHeight="1">
      <c r="B290" s="326" t="n"/>
      <c r="C290" s="319" t="n"/>
      <c r="D290" s="318" t="n"/>
      <c r="E290" s="320" t="n"/>
      <c r="F290" s="321" t="n"/>
      <c r="G290" s="327" t="n"/>
      <c r="H290" s="321" t="n"/>
      <c r="I290" s="327" t="n"/>
      <c r="J290" s="246">
        <f>IF(AND(L290="Закрыт",ISNUMBER(F290),ISNUMBER(H290)),ROUND(H290-F290,8),"")</f>
        <v/>
      </c>
      <c r="K290" s="247">
        <f>IF(AND(L290="Закрыт",ISNUMBER(G290),ISNUMBER(I290)),ROUND(I290-G290,8),"")</f>
        <v/>
      </c>
      <c r="L290" s="328" t="n"/>
      <c r="M290" s="321" t="n"/>
      <c r="N290" s="327" t="n"/>
    </row>
    <row r="291" ht="22" customHeight="1">
      <c r="B291" s="323" t="n"/>
      <c r="C291" s="314" t="n"/>
      <c r="D291" s="313" t="n"/>
      <c r="E291" s="315" t="n"/>
      <c r="F291" s="316" t="n"/>
      <c r="G291" s="324" t="n"/>
      <c r="H291" s="316" t="n"/>
      <c r="I291" s="324" t="n"/>
      <c r="J291" s="240">
        <f>IF(AND(L291="Закрыт",ISNUMBER(F291),ISNUMBER(H291)),ROUND(H291-F291,8),"")</f>
        <v/>
      </c>
      <c r="K291" s="241">
        <f>IF(AND(L291="Закрыт",ISNUMBER(G291),ISNUMBER(I291)),ROUND(I291-G291,8),"")</f>
        <v/>
      </c>
      <c r="L291" s="325" t="n"/>
      <c r="M291" s="316" t="n"/>
      <c r="N291" s="324" t="n"/>
    </row>
    <row r="292" ht="22" customHeight="1">
      <c r="B292" s="326" t="n"/>
      <c r="C292" s="319" t="n"/>
      <c r="D292" s="318" t="n"/>
      <c r="E292" s="320" t="n"/>
      <c r="F292" s="321" t="n"/>
      <c r="G292" s="327" t="n"/>
      <c r="H292" s="321" t="n"/>
      <c r="I292" s="327" t="n"/>
      <c r="J292" s="246">
        <f>IF(AND(L292="Закрыт",ISNUMBER(F292),ISNUMBER(H292)),ROUND(H292-F292,8),"")</f>
        <v/>
      </c>
      <c r="K292" s="247">
        <f>IF(AND(L292="Закрыт",ISNUMBER(G292),ISNUMBER(I292)),ROUND(I292-G292,8),"")</f>
        <v/>
      </c>
      <c r="L292" s="328" t="n"/>
      <c r="M292" s="321" t="n"/>
      <c r="N292" s="327" t="n"/>
    </row>
    <row r="293" ht="22" customHeight="1">
      <c r="B293" s="323" t="n"/>
      <c r="C293" s="314" t="n"/>
      <c r="D293" s="313" t="n"/>
      <c r="E293" s="315" t="n"/>
      <c r="F293" s="316" t="n"/>
      <c r="G293" s="324" t="n"/>
      <c r="H293" s="316" t="n"/>
      <c r="I293" s="324" t="n"/>
      <c r="J293" s="240">
        <f>IF(AND(L293="Закрыт",ISNUMBER(F293),ISNUMBER(H293)),ROUND(H293-F293,8),"")</f>
        <v/>
      </c>
      <c r="K293" s="241">
        <f>IF(AND(L293="Закрыт",ISNUMBER(G293),ISNUMBER(I293)),ROUND(I293-G293,8),"")</f>
        <v/>
      </c>
      <c r="L293" s="325" t="n"/>
      <c r="M293" s="316" t="n"/>
      <c r="N293" s="324" t="n"/>
    </row>
    <row r="294" ht="22" customHeight="1">
      <c r="B294" s="326" t="n"/>
      <c r="C294" s="319" t="n"/>
      <c r="D294" s="318" t="n"/>
      <c r="E294" s="320" t="n"/>
      <c r="F294" s="321" t="n"/>
      <c r="G294" s="327" t="n"/>
      <c r="H294" s="321" t="n"/>
      <c r="I294" s="327" t="n"/>
      <c r="J294" s="246">
        <f>IF(AND(L294="Закрыт",ISNUMBER(F294),ISNUMBER(H294)),ROUND(H294-F294,8),"")</f>
        <v/>
      </c>
      <c r="K294" s="247">
        <f>IF(AND(L294="Закрыт",ISNUMBER(G294),ISNUMBER(I294)),ROUND(I294-G294,8),"")</f>
        <v/>
      </c>
      <c r="L294" s="328" t="n"/>
      <c r="M294" s="321" t="n"/>
      <c r="N294" s="327" t="n"/>
    </row>
    <row r="295" ht="22" customHeight="1">
      <c r="B295" s="323" t="n"/>
      <c r="C295" s="314" t="n"/>
      <c r="D295" s="313" t="n"/>
      <c r="E295" s="315" t="n"/>
      <c r="F295" s="316" t="n"/>
      <c r="G295" s="324" t="n"/>
      <c r="H295" s="316" t="n"/>
      <c r="I295" s="324" t="n"/>
      <c r="J295" s="240">
        <f>IF(AND(L295="Закрыт",ISNUMBER(F295),ISNUMBER(H295)),ROUND(H295-F295,8),"")</f>
        <v/>
      </c>
      <c r="K295" s="241">
        <f>IF(AND(L295="Закрыт",ISNUMBER(G295),ISNUMBER(I295)),ROUND(I295-G295,8),"")</f>
        <v/>
      </c>
      <c r="L295" s="325" t="n"/>
      <c r="M295" s="316" t="n"/>
      <c r="N295" s="324" t="n"/>
    </row>
    <row r="296" ht="22" customHeight="1">
      <c r="B296" s="326" t="n"/>
      <c r="C296" s="319" t="n"/>
      <c r="D296" s="318" t="n"/>
      <c r="E296" s="320" t="n"/>
      <c r="F296" s="321" t="n"/>
      <c r="G296" s="327" t="n"/>
      <c r="H296" s="321" t="n"/>
      <c r="I296" s="327" t="n"/>
      <c r="J296" s="246">
        <f>IF(AND(L296="Закрыт",ISNUMBER(F296),ISNUMBER(H296)),ROUND(H296-F296,8),"")</f>
        <v/>
      </c>
      <c r="K296" s="247">
        <f>IF(AND(L296="Закрыт",ISNUMBER(G296),ISNUMBER(I296)),ROUND(I296-G296,8),"")</f>
        <v/>
      </c>
      <c r="L296" s="328" t="n"/>
      <c r="M296" s="321" t="n"/>
      <c r="N296" s="327" t="n"/>
    </row>
    <row r="297" ht="22" customHeight="1">
      <c r="B297" s="323" t="n"/>
      <c r="C297" s="314" t="n"/>
      <c r="D297" s="313" t="n"/>
      <c r="E297" s="315" t="n"/>
      <c r="F297" s="316" t="n"/>
      <c r="G297" s="324" t="n"/>
      <c r="H297" s="316" t="n"/>
      <c r="I297" s="324" t="n"/>
      <c r="J297" s="240">
        <f>IF(AND(L297="Закрыт",ISNUMBER(F297),ISNUMBER(H297)),ROUND(H297-F297,8),"")</f>
        <v/>
      </c>
      <c r="K297" s="241">
        <f>IF(AND(L297="Закрыт",ISNUMBER(G297),ISNUMBER(I297)),ROUND(I297-G297,8),"")</f>
        <v/>
      </c>
      <c r="L297" s="325" t="n"/>
      <c r="M297" s="316" t="n"/>
      <c r="N297" s="324" t="n"/>
    </row>
    <row r="298" ht="22" customHeight="1">
      <c r="B298" s="326" t="n"/>
      <c r="C298" s="319" t="n"/>
      <c r="D298" s="318" t="n"/>
      <c r="E298" s="320" t="n"/>
      <c r="F298" s="321" t="n"/>
      <c r="G298" s="327" t="n"/>
      <c r="H298" s="321" t="n"/>
      <c r="I298" s="327" t="n"/>
      <c r="J298" s="246">
        <f>IF(AND(L298="Закрыт",ISNUMBER(F298),ISNUMBER(H298)),ROUND(H298-F298,8),"")</f>
        <v/>
      </c>
      <c r="K298" s="247">
        <f>IF(AND(L298="Закрыт",ISNUMBER(G298),ISNUMBER(I298)),ROUND(I298-G298,8),"")</f>
        <v/>
      </c>
      <c r="L298" s="328" t="n"/>
      <c r="M298" s="321" t="n"/>
      <c r="N298" s="327" t="n"/>
    </row>
    <row r="299" ht="22" customHeight="1">
      <c r="B299" s="323" t="n"/>
      <c r="C299" s="314" t="n"/>
      <c r="D299" s="313" t="n"/>
      <c r="E299" s="315" t="n"/>
      <c r="F299" s="316" t="n"/>
      <c r="G299" s="324" t="n"/>
      <c r="H299" s="316" t="n"/>
      <c r="I299" s="324" t="n"/>
      <c r="J299" s="240">
        <f>IF(AND(L299="Закрыт",ISNUMBER(F299),ISNUMBER(H299)),ROUND(H299-F299,8),"")</f>
        <v/>
      </c>
      <c r="K299" s="241">
        <f>IF(AND(L299="Закрыт",ISNUMBER(G299),ISNUMBER(I299)),ROUND(I299-G299,8),"")</f>
        <v/>
      </c>
      <c r="L299" s="325" t="n"/>
      <c r="M299" s="316" t="n"/>
      <c r="N299" s="324" t="n"/>
    </row>
    <row r="300" ht="22" customHeight="1">
      <c r="B300" s="326" t="n"/>
      <c r="C300" s="319" t="n"/>
      <c r="D300" s="318" t="n"/>
      <c r="E300" s="320" t="n"/>
      <c r="F300" s="321" t="n"/>
      <c r="G300" s="327" t="n"/>
      <c r="H300" s="321" t="n"/>
      <c r="I300" s="327" t="n"/>
      <c r="J300" s="246">
        <f>IF(AND(L300="Закрыт",ISNUMBER(F300),ISNUMBER(H300)),ROUND(H300-F300,8),"")</f>
        <v/>
      </c>
      <c r="K300" s="247">
        <f>IF(AND(L300="Закрыт",ISNUMBER(G300),ISNUMBER(I300)),ROUND(I300-G300,8),"")</f>
        <v/>
      </c>
      <c r="L300" s="328" t="n"/>
      <c r="M300" s="321" t="n"/>
      <c r="N300" s="32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315" t="inlineStr">
        <is>
          <t>ARB/BTC</t>
        </is>
      </c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240">
        <f>IF($B5="","",IF(COUNTIFS(Пул!$E$5:$E$300,$B5,Пул!$L$5:$L$300,"Закрыт")=0,"",ROUND(SUMIFS(Пул!$J$5:$J$300,Пул!$E$5:$E$300,$B5,Пул!$L$5:$L$300,"Закрыт"),8)))</f>
        <v/>
      </c>
      <c r="H5" s="241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320" t="inlineStr">
        <is>
          <t>ARB/ETH</t>
        </is>
      </c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246">
        <f>IF($B6="","",IF(COUNTIFS(Пул!$E$5:$E$300,$B6,Пул!$L$5:$L$300,"Закрыт")=0,"",ROUND(SUMIFS(Пул!$J$5:$J$300,Пул!$E$5:$E$300,$B6,Пул!$L$5:$L$300,"Закрыт"),8)))</f>
        <v/>
      </c>
      <c r="H6" s="247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315" t="inlineStr">
        <is>
          <t>BNB/ETH</t>
        </is>
      </c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240">
        <f>IF($B7="","",IF(COUNTIFS(Пул!$E$5:$E$300,$B7,Пул!$L$5:$L$300,"Закрыт")=0,"",ROUND(SUMIFS(Пул!$J$5:$J$300,Пул!$E$5:$E$300,$B7,Пул!$L$5:$L$300,"Закрыт"),8)))</f>
        <v/>
      </c>
      <c r="H7" s="241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320" t="inlineStr">
        <is>
          <t>BNB/USDT</t>
        </is>
      </c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246">
        <f>IF($B8="","",IF(COUNTIFS(Пул!$E$5:$E$300,$B8,Пул!$L$5:$L$300,"Закрыт")=0,"",ROUND(SUMIFS(Пул!$J$5:$J$300,Пул!$E$5:$E$300,$B8,Пул!$L$5:$L$300,"Закрыт"),8)))</f>
        <v/>
      </c>
      <c r="H8" s="247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315" t="inlineStr">
        <is>
          <t>BTC/USDT</t>
        </is>
      </c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240">
        <f>IF($B9="","",IF(COUNTIFS(Пул!$E$5:$E$300,$B9,Пул!$L$5:$L$300,"Закрыт")=0,"",ROUND(SUMIFS(Пул!$J$5:$J$300,Пул!$E$5:$E$300,$B9,Пул!$L$5:$L$300,"Закрыт"),8)))</f>
        <v/>
      </c>
      <c r="H9" s="241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320" t="inlineStr">
        <is>
          <t>CAKE/BNB</t>
        </is>
      </c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246">
        <f>IF($B10="","",IF(COUNTIFS(Пул!$E$5:$E$300,$B10,Пул!$L$5:$L$300,"Закрыт")=0,"",ROUND(SUMIFS(Пул!$J$5:$J$300,Пул!$E$5:$E$300,$B10,Пул!$L$5:$L$300,"Закрыт"),8)))</f>
        <v/>
      </c>
      <c r="H10" s="247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315" t="inlineStr">
        <is>
          <t>CAKE/USDT</t>
        </is>
      </c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240">
        <f>IF($B11="","",IF(COUNTIFS(Пул!$E$5:$E$300,$B11,Пул!$L$5:$L$300,"Закрыт")=0,"",ROUND(SUMIFS(Пул!$J$5:$J$300,Пул!$E$5:$E$300,$B11,Пул!$L$5:$L$300,"Закрыт"),8)))</f>
        <v/>
      </c>
      <c r="H11" s="241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320" t="inlineStr">
        <is>
          <t>ELIZAOS/SOL</t>
        </is>
      </c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246">
        <f>IF($B12="","",IF(COUNTIFS(Пул!$E$5:$E$300,$B12,Пул!$L$5:$L$300,"Закрыт")=0,"",ROUND(SUMIFS(Пул!$J$5:$J$300,Пул!$E$5:$E$300,$B12,Пул!$L$5:$L$300,"Закрыт"),8)))</f>
        <v/>
      </c>
      <c r="H12" s="247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315" t="inlineStr">
        <is>
          <t>ETH/BTC</t>
        </is>
      </c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240">
        <f>IF($B13="","",IF(COUNTIFS(Пул!$E$5:$E$300,$B13,Пул!$L$5:$L$300,"Закрыт")=0,"",ROUND(SUMIFS(Пул!$J$5:$J$300,Пул!$E$5:$E$300,$B13,Пул!$L$5:$L$300,"Закрыт"),8)))</f>
        <v/>
      </c>
      <c r="H13" s="241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320" t="inlineStr">
        <is>
          <t>ETH/USDT</t>
        </is>
      </c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246">
        <f>IF($B14="","",IF(COUNTIFS(Пул!$E$5:$E$300,$B14,Пул!$L$5:$L$300,"Закрыт")=0,"",ROUND(SUMIFS(Пул!$J$5:$J$300,Пул!$E$5:$E$300,$B14,Пул!$L$5:$L$300,"Закрыт"),8)))</f>
        <v/>
      </c>
      <c r="H14" s="247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315" t="inlineStr">
        <is>
          <t>SOL/ETH</t>
        </is>
      </c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240">
        <f>IF($B15="","",IF(COUNTIFS(Пул!$E$5:$E$300,$B15,Пул!$L$5:$L$300,"Закрыт")=0,"",ROUND(SUMIFS(Пул!$J$5:$J$300,Пул!$E$5:$E$300,$B15,Пул!$L$5:$L$300,"Закрыт"),8)))</f>
        <v/>
      </c>
      <c r="H15" s="241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320" t="inlineStr">
        <is>
          <t>SOL/USDT</t>
        </is>
      </c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246">
        <f>IF($B16="","",IF(COUNTIFS(Пул!$E$5:$E$300,$B16,Пул!$L$5:$L$300,"Закрыт")=0,"",ROUND(SUMIFS(Пул!$J$5:$J$300,Пул!$E$5:$E$300,$B16,Пул!$L$5:$L$300,"Закрыт"),8)))</f>
        <v/>
      </c>
      <c r="H16" s="247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315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240">
        <f>IF($B17="","",IF(COUNTIFS(Пул!$E$5:$E$300,$B17,Пул!$L$5:$L$300,"Закрыт")=0,"",ROUND(SUMIFS(Пул!$J$5:$J$300,Пул!$E$5:$E$300,$B17,Пул!$L$5:$L$300,"Закрыт"),8)))</f>
        <v/>
      </c>
      <c r="H17" s="241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320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246">
        <f>IF($B18="","",IF(COUNTIFS(Пул!$E$5:$E$300,$B18,Пул!$L$5:$L$300,"Закрыт")=0,"",ROUND(SUMIFS(Пул!$J$5:$J$300,Пул!$E$5:$E$300,$B18,Пул!$L$5:$L$300,"Закрыт"),8)))</f>
        <v/>
      </c>
      <c r="H18" s="247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315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240">
        <f>IF($B19="","",IF(COUNTIFS(Пул!$E$5:$E$300,$B19,Пул!$L$5:$L$300,"Закрыт")=0,"",ROUND(SUMIFS(Пул!$J$5:$J$300,Пул!$E$5:$E$300,$B19,Пул!$L$5:$L$300,"Закрыт"),8)))</f>
        <v/>
      </c>
      <c r="H19" s="241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320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246">
        <f>IF($B20="","",IF(COUNTIFS(Пул!$E$5:$E$300,$B20,Пул!$L$5:$L$300,"Закрыт")=0,"",ROUND(SUMIFS(Пул!$J$5:$J$300,Пул!$E$5:$E$300,$B20,Пул!$L$5:$L$300,"Закрыт"),8)))</f>
        <v/>
      </c>
      <c r="H20" s="247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315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240">
        <f>IF($B21="","",IF(COUNTIFS(Пул!$E$5:$E$300,$B21,Пул!$L$5:$L$300,"Закрыт")=0,"",ROUND(SUMIFS(Пул!$J$5:$J$300,Пул!$E$5:$E$300,$B21,Пул!$L$5:$L$300,"Закрыт"),8)))</f>
        <v/>
      </c>
      <c r="H21" s="241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320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246">
        <f>IF($B22="","",IF(COUNTIFS(Пул!$E$5:$E$300,$B22,Пул!$L$5:$L$300,"Закрыт")=0,"",ROUND(SUMIFS(Пул!$J$5:$J$300,Пул!$E$5:$E$300,$B22,Пул!$L$5:$L$300,"Закрыт"),8)))</f>
        <v/>
      </c>
      <c r="H22" s="247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315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240">
        <f>IF($B23="","",IF(COUNTIFS(Пул!$E$5:$E$300,$B23,Пул!$L$5:$L$300,"Закрыт")=0,"",ROUND(SUMIFS(Пул!$J$5:$J$300,Пул!$E$5:$E$300,$B23,Пул!$L$5:$L$300,"Закрыт"),8)))</f>
        <v/>
      </c>
      <c r="H23" s="241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320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246">
        <f>IF($B24="","",IF(COUNTIFS(Пул!$E$5:$E$300,$B24,Пул!$L$5:$L$300,"Закрыт")=0,"",ROUND(SUMIFS(Пул!$J$5:$J$300,Пул!$E$5:$E$300,$B24,Пул!$L$5:$L$300,"Закрыт"),8)))</f>
        <v/>
      </c>
      <c r="H24" s="247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315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240">
        <f>IF($B25="","",IF(COUNTIFS(Пул!$E$5:$E$300,$B25,Пул!$L$5:$L$300,"Закрыт")=0,"",ROUND(SUMIFS(Пул!$J$5:$J$300,Пул!$E$5:$E$300,$B25,Пул!$L$5:$L$300,"Закрыт"),8)))</f>
        <v/>
      </c>
      <c r="H25" s="241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320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246">
        <f>IF($B26="","",IF(COUNTIFS(Пул!$E$5:$E$300,$B26,Пул!$L$5:$L$300,"Закрыт")=0,"",ROUND(SUMIFS(Пул!$J$5:$J$300,Пул!$E$5:$E$300,$B26,Пул!$L$5:$L$300,"Закрыт"),8)))</f>
        <v/>
      </c>
      <c r="H26" s="247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315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240">
        <f>IF($B27="","",IF(COUNTIFS(Пул!$E$5:$E$300,$B27,Пул!$L$5:$L$300,"Закрыт")=0,"",ROUND(SUMIFS(Пул!$J$5:$J$300,Пул!$E$5:$E$300,$B27,Пул!$L$5:$L$300,"Закрыт"),8)))</f>
        <v/>
      </c>
      <c r="H27" s="241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320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246">
        <f>IF($B28="","",IF(COUNTIFS(Пул!$E$5:$E$300,$B28,Пул!$L$5:$L$300,"Закрыт")=0,"",ROUND(SUMIFS(Пул!$J$5:$J$300,Пул!$E$5:$E$300,$B28,Пул!$L$5:$L$300,"Закрыт"),8)))</f>
        <v/>
      </c>
      <c r="H28" s="247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315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240">
        <f>IF($B29="","",IF(COUNTIFS(Пул!$E$5:$E$300,$B29,Пул!$L$5:$L$300,"Закрыт")=0,"",ROUND(SUMIFS(Пул!$J$5:$J$300,Пул!$E$5:$E$300,$B29,Пул!$L$5:$L$300,"Закрыт"),8)))</f>
        <v/>
      </c>
      <c r="H29" s="241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320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246">
        <f>IF($B30="","",IF(COUNTIFS(Пул!$E$5:$E$300,$B30,Пул!$L$5:$L$300,"Закрыт")=0,"",ROUND(SUMIFS(Пул!$J$5:$J$300,Пул!$E$5:$E$300,$B30,Пул!$L$5:$L$300,"Закрыт"),8)))</f>
        <v/>
      </c>
      <c r="H30" s="247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315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240">
        <f>IF($B31="","",IF(COUNTIFS(Пул!$E$5:$E$300,$B31,Пул!$L$5:$L$300,"Закрыт")=0,"",ROUND(SUMIFS(Пул!$J$5:$J$300,Пул!$E$5:$E$300,$B31,Пул!$L$5:$L$300,"Закрыт"),8)))</f>
        <v/>
      </c>
      <c r="H31" s="241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320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246">
        <f>IF($B32="","",IF(COUNTIFS(Пул!$E$5:$E$300,$B32,Пул!$L$5:$L$300,"Закрыт")=0,"",ROUND(SUMIFS(Пул!$J$5:$J$300,Пул!$E$5:$E$300,$B32,Пул!$L$5:$L$300,"Закрыт"),8)))</f>
        <v/>
      </c>
      <c r="H32" s="247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315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240">
        <f>IF($B33="","",IF(COUNTIFS(Пул!$E$5:$E$300,$B33,Пул!$L$5:$L$300,"Закрыт")=0,"",ROUND(SUMIFS(Пул!$J$5:$J$300,Пул!$E$5:$E$300,$B33,Пул!$L$5:$L$300,"Закрыт"),8)))</f>
        <v/>
      </c>
      <c r="H33" s="241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320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246">
        <f>IF($B34="","",IF(COUNTIFS(Пул!$E$5:$E$300,$B34,Пул!$L$5:$L$300,"Закрыт")=0,"",ROUND(SUMIFS(Пул!$J$5:$J$300,Пул!$E$5:$E$300,$B34,Пул!$L$5:$L$300,"Закрыт"),8)))</f>
        <v/>
      </c>
      <c r="H34" s="247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315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240">
        <f>IF($B35="","",IF(COUNTIFS(Пул!$E$5:$E$300,$B35,Пул!$L$5:$L$300,"Закрыт")=0,"",ROUND(SUMIFS(Пул!$J$5:$J$300,Пул!$E$5:$E$300,$B35,Пул!$L$5:$L$300,"Закрыт"),8)))</f>
        <v/>
      </c>
      <c r="H35" s="241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320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246">
        <f>IF($B36="","",IF(COUNTIFS(Пул!$E$5:$E$300,$B36,Пул!$L$5:$L$300,"Закрыт")=0,"",ROUND(SUMIFS(Пул!$J$5:$J$300,Пул!$E$5:$E$300,$B36,Пул!$L$5:$L$300,"Закрыт"),8)))</f>
        <v/>
      </c>
      <c r="H36" s="247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315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240">
        <f>IF($B37="","",IF(COUNTIFS(Пул!$E$5:$E$300,$B37,Пул!$L$5:$L$300,"Закрыт")=0,"",ROUND(SUMIFS(Пул!$J$5:$J$300,Пул!$E$5:$E$300,$B37,Пул!$L$5:$L$300,"Закрыт"),8)))</f>
        <v/>
      </c>
      <c r="H37" s="241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320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246">
        <f>IF($B38="","",IF(COUNTIFS(Пул!$E$5:$E$300,$B38,Пул!$L$5:$L$300,"Закрыт")=0,"",ROUND(SUMIFS(Пул!$J$5:$J$300,Пул!$E$5:$E$300,$B38,Пул!$L$5:$L$300,"Закрыт"),8)))</f>
        <v/>
      </c>
      <c r="H38" s="247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315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240">
        <f>IF($B39="","",IF(COUNTIFS(Пул!$E$5:$E$300,$B39,Пул!$L$5:$L$300,"Закрыт")=0,"",ROUND(SUMIFS(Пул!$J$5:$J$300,Пул!$E$5:$E$300,$B39,Пул!$L$5:$L$300,"Закрыт"),8)))</f>
        <v/>
      </c>
      <c r="H39" s="241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320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246">
        <f>IF($B40="","",IF(COUNTIFS(Пул!$E$5:$E$300,$B40,Пул!$L$5:$L$300,"Закрыт")=0,"",ROUND(SUMIFS(Пул!$J$5:$J$300,Пул!$E$5:$E$300,$B40,Пул!$L$5:$L$300,"Закрыт"),8)))</f>
        <v/>
      </c>
      <c r="H40" s="247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315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240">
        <f>IF($B41="","",IF(COUNTIFS(Пул!$E$5:$E$300,$B41,Пул!$L$5:$L$300,"Закрыт")=0,"",ROUND(SUMIFS(Пул!$J$5:$J$300,Пул!$E$5:$E$300,$B41,Пул!$L$5:$L$300,"Закрыт"),8)))</f>
        <v/>
      </c>
      <c r="H41" s="241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320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246">
        <f>IF($B42="","",IF(COUNTIFS(Пул!$E$5:$E$300,$B42,Пул!$L$5:$L$300,"Закрыт")=0,"",ROUND(SUMIFS(Пул!$J$5:$J$300,Пул!$E$5:$E$300,$B42,Пул!$L$5:$L$300,"Закрыт"),8)))</f>
        <v/>
      </c>
      <c r="H42" s="247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315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240">
        <f>IF($B43="","",IF(COUNTIFS(Пул!$E$5:$E$300,$B43,Пул!$L$5:$L$300,"Закрыт")=0,"",ROUND(SUMIFS(Пул!$J$5:$J$300,Пул!$E$5:$E$300,$B43,Пул!$L$5:$L$300,"Закрыт"),8)))</f>
        <v/>
      </c>
      <c r="H43" s="241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320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246">
        <f>IF($B44="","",IF(COUNTIFS(Пул!$E$5:$E$300,$B44,Пул!$L$5:$L$300,"Закрыт")=0,"",ROUND(SUMIFS(Пул!$J$5:$J$300,Пул!$E$5:$E$300,$B44,Пул!$L$5:$L$300,"Закрыт"),8)))</f>
        <v/>
      </c>
      <c r="H44" s="247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315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240">
        <f>IF($B45="","",IF(COUNTIFS(Пул!$E$5:$E$300,$B45,Пул!$L$5:$L$300,"Закрыт")=0,"",ROUND(SUMIFS(Пул!$J$5:$J$300,Пул!$E$5:$E$300,$B45,Пул!$L$5:$L$300,"Закрыт"),8)))</f>
        <v/>
      </c>
      <c r="H45" s="241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320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246">
        <f>IF($B46="","",IF(COUNTIFS(Пул!$E$5:$E$300,$B46,Пул!$L$5:$L$300,"Закрыт")=0,"",ROUND(SUMIFS(Пул!$J$5:$J$300,Пул!$E$5:$E$300,$B46,Пул!$L$5:$L$300,"Закрыт"),8)))</f>
        <v/>
      </c>
      <c r="H46" s="247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315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240">
        <f>IF($B47="","",IF(COUNTIFS(Пул!$E$5:$E$300,$B47,Пул!$L$5:$L$300,"Закрыт")=0,"",ROUND(SUMIFS(Пул!$J$5:$J$300,Пул!$E$5:$E$300,$B47,Пул!$L$5:$L$300,"Закрыт"),8)))</f>
        <v/>
      </c>
      <c r="H47" s="241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320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246">
        <f>IF($B48="","",IF(COUNTIFS(Пул!$E$5:$E$300,$B48,Пул!$L$5:$L$300,"Закрыт")=0,"",ROUND(SUMIFS(Пул!$J$5:$J$300,Пул!$E$5:$E$300,$B48,Пул!$L$5:$L$300,"Закрыт"),8)))</f>
        <v/>
      </c>
      <c r="H48" s="247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315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240">
        <f>IF($B49="","",IF(COUNTIFS(Пул!$E$5:$E$300,$B49,Пул!$L$5:$L$300,"Закрыт")=0,"",ROUND(SUMIFS(Пул!$J$5:$J$300,Пул!$E$5:$E$300,$B49,Пул!$L$5:$L$300,"Закрыт"),8)))</f>
        <v/>
      </c>
      <c r="H49" s="241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320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246">
        <f>IF($B50="","",IF(COUNTIFS(Пул!$E$5:$E$300,$B50,Пул!$L$5:$L$300,"Закрыт")=0,"",ROUND(SUMIFS(Пул!$J$5:$J$300,Пул!$E$5:$E$300,$B50,Пул!$L$5:$L$300,"Закрыт"),8)))</f>
        <v/>
      </c>
      <c r="H50" s="247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315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240">
        <f>IF($B51="","",IF(COUNTIFS(Пул!$E$5:$E$300,$B51,Пул!$L$5:$L$300,"Закрыт")=0,"",ROUND(SUMIFS(Пул!$J$5:$J$300,Пул!$E$5:$E$300,$B51,Пул!$L$5:$L$300,"Закрыт"),8)))</f>
        <v/>
      </c>
      <c r="H51" s="241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320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246">
        <f>IF($B52="","",IF(COUNTIFS(Пул!$E$5:$E$300,$B52,Пул!$L$5:$L$300,"Закрыт")=0,"",ROUND(SUMIFS(Пул!$J$5:$J$300,Пул!$E$5:$E$300,$B52,Пул!$L$5:$L$300,"Закрыт"),8)))</f>
        <v/>
      </c>
      <c r="H52" s="247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315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240">
        <f>IF($B53="","",IF(COUNTIFS(Пул!$E$5:$E$300,$B53,Пул!$L$5:$L$300,"Закрыт")=0,"",ROUND(SUMIFS(Пул!$J$5:$J$300,Пул!$E$5:$E$300,$B53,Пул!$L$5:$L$300,"Закрыт"),8)))</f>
        <v/>
      </c>
      <c r="H53" s="241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320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246">
        <f>IF($B54="","",IF(COUNTIFS(Пул!$E$5:$E$300,$B54,Пул!$L$5:$L$300,"Закрыт")=0,"",ROUND(SUMIFS(Пул!$J$5:$J$300,Пул!$E$5:$E$300,$B54,Пул!$L$5:$L$300,"Закрыт"),8)))</f>
        <v/>
      </c>
      <c r="H54" s="247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315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240">
        <f>IF($B55="","",IF(COUNTIFS(Пул!$E$5:$E$300,$B55,Пул!$L$5:$L$300,"Закрыт")=0,"",ROUND(SUMIFS(Пул!$J$5:$J$300,Пул!$E$5:$E$300,$B55,Пул!$L$5:$L$300,"Закрыт"),8)))</f>
        <v/>
      </c>
      <c r="H55" s="241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320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246">
        <f>IF($B56="","",IF(COUNTIFS(Пул!$E$5:$E$300,$B56,Пул!$L$5:$L$300,"Закрыт")=0,"",ROUND(SUMIFS(Пул!$J$5:$J$300,Пул!$E$5:$E$300,$B56,Пул!$L$5:$L$300,"Закрыт"),8)))</f>
        <v/>
      </c>
      <c r="H56" s="247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315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240">
        <f>IF($B57="","",IF(COUNTIFS(Пул!$E$5:$E$300,$B57,Пул!$L$5:$L$300,"Закрыт")=0,"",ROUND(SUMIFS(Пул!$J$5:$J$300,Пул!$E$5:$E$300,$B57,Пул!$L$5:$L$300,"Закрыт"),8)))</f>
        <v/>
      </c>
      <c r="H57" s="241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320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246">
        <f>IF($B58="","",IF(COUNTIFS(Пул!$E$5:$E$300,$B58,Пул!$L$5:$L$300,"Закрыт")=0,"",ROUND(SUMIFS(Пул!$J$5:$J$300,Пул!$E$5:$E$300,$B58,Пул!$L$5:$L$300,"Закрыт"),8)))</f>
        <v/>
      </c>
      <c r="H58" s="247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315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240">
        <f>IF($B59="","",IF(COUNTIFS(Пул!$E$5:$E$300,$B59,Пул!$L$5:$L$300,"Закрыт")=0,"",ROUND(SUMIFS(Пул!$J$5:$J$300,Пул!$E$5:$E$300,$B59,Пул!$L$5:$L$300,"Закрыт"),8)))</f>
        <v/>
      </c>
      <c r="H59" s="241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320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246">
        <f>IF($B60="","",IF(COUNTIFS(Пул!$E$5:$E$300,$B60,Пул!$L$5:$L$300,"Закрыт")=0,"",ROUND(SUMIFS(Пул!$J$5:$J$300,Пул!$E$5:$E$300,$B60,Пул!$L$5:$L$300,"Закрыт"),8)))</f>
        <v/>
      </c>
      <c r="H60" s="247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315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240">
        <f>IF($B61="","",IF(COUNTIFS(Пул!$E$5:$E$300,$B61,Пул!$L$5:$L$300,"Закрыт")=0,"",ROUND(SUMIFS(Пул!$J$5:$J$300,Пул!$E$5:$E$300,$B61,Пул!$L$5:$L$300,"Закрыт"),8)))</f>
        <v/>
      </c>
      <c r="H61" s="241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320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246">
        <f>IF($B62="","",IF(COUNTIFS(Пул!$E$5:$E$300,$B62,Пул!$L$5:$L$300,"Закрыт")=0,"",ROUND(SUMIFS(Пул!$J$5:$J$300,Пул!$E$5:$E$300,$B62,Пул!$L$5:$L$300,"Закрыт"),8)))</f>
        <v/>
      </c>
      <c r="H62" s="247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315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240">
        <f>IF($B63="","",IF(COUNTIFS(Пул!$E$5:$E$300,$B63,Пул!$L$5:$L$300,"Закрыт")=0,"",ROUND(SUMIFS(Пул!$J$5:$J$300,Пул!$E$5:$E$300,$B63,Пул!$L$5:$L$300,"Закрыт"),8)))</f>
        <v/>
      </c>
      <c r="H63" s="241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320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246">
        <f>IF($B64="","",IF(COUNTIFS(Пул!$E$5:$E$300,$B64,Пул!$L$5:$L$300,"Закрыт")=0,"",ROUND(SUMIFS(Пул!$J$5:$J$300,Пул!$E$5:$E$300,$B64,Пул!$L$5:$L$300,"Закрыт"),8)))</f>
        <v/>
      </c>
      <c r="H64" s="247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315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240">
        <f>IF($B65="","",IF(COUNTIFS(Пул!$E$5:$E$300,$B65,Пул!$L$5:$L$300,"Закрыт")=0,"",ROUND(SUMIFS(Пул!$J$5:$J$300,Пул!$E$5:$E$300,$B65,Пул!$L$5:$L$300,"Закрыт"),8)))</f>
        <v/>
      </c>
      <c r="H65" s="241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320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246">
        <f>IF($B66="","",IF(COUNTIFS(Пул!$E$5:$E$300,$B66,Пул!$L$5:$L$300,"Закрыт")=0,"",ROUND(SUMIFS(Пул!$J$5:$J$300,Пул!$E$5:$E$300,$B66,Пул!$L$5:$L$300,"Закрыт"),8)))</f>
        <v/>
      </c>
      <c r="H66" s="247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315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240">
        <f>IF($B67="","",IF(COUNTIFS(Пул!$E$5:$E$300,$B67,Пул!$L$5:$L$300,"Закрыт")=0,"",ROUND(SUMIFS(Пул!$J$5:$J$300,Пул!$E$5:$E$300,$B67,Пул!$L$5:$L$300,"Закрыт"),8)))</f>
        <v/>
      </c>
      <c r="H67" s="241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320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246">
        <f>IF($B68="","",IF(COUNTIFS(Пул!$E$5:$E$300,$B68,Пул!$L$5:$L$300,"Закрыт")=0,"",ROUND(SUMIFS(Пул!$J$5:$J$300,Пул!$E$5:$E$300,$B68,Пул!$L$5:$L$300,"Закрыт"),8)))</f>
        <v/>
      </c>
      <c r="H68" s="247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315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240">
        <f>IF($B69="","",IF(COUNTIFS(Пул!$E$5:$E$300,$B69,Пул!$L$5:$L$300,"Закрыт")=0,"",ROUND(SUMIFS(Пул!$J$5:$J$300,Пул!$E$5:$E$300,$B69,Пул!$L$5:$L$300,"Закрыт"),8)))</f>
        <v/>
      </c>
      <c r="H69" s="241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320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246">
        <f>IF($B70="","",IF(COUNTIFS(Пул!$E$5:$E$300,$B70,Пул!$L$5:$L$300,"Закрыт")=0,"",ROUND(SUMIFS(Пул!$J$5:$J$300,Пул!$E$5:$E$300,$B70,Пул!$L$5:$L$300,"Закрыт"),8)))</f>
        <v/>
      </c>
      <c r="H70" s="247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315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240">
        <f>IF($B71="","",IF(COUNTIFS(Пул!$E$5:$E$300,$B71,Пул!$L$5:$L$300,"Закрыт")=0,"",ROUND(SUMIFS(Пул!$J$5:$J$300,Пул!$E$5:$E$300,$B71,Пул!$L$5:$L$300,"Закрыт"),8)))</f>
        <v/>
      </c>
      <c r="H71" s="241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320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246">
        <f>IF($B72="","",IF(COUNTIFS(Пул!$E$5:$E$300,$B72,Пул!$L$5:$L$300,"Закрыт")=0,"",ROUND(SUMIFS(Пул!$J$5:$J$300,Пул!$E$5:$E$300,$B72,Пул!$L$5:$L$300,"Закрыт"),8)))</f>
        <v/>
      </c>
      <c r="H72" s="247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315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240">
        <f>IF($B73="","",IF(COUNTIFS(Пул!$E$5:$E$300,$B73,Пул!$L$5:$L$300,"Закрыт")=0,"",ROUND(SUMIFS(Пул!$J$5:$J$300,Пул!$E$5:$E$300,$B73,Пул!$L$5:$L$300,"Закрыт"),8)))</f>
        <v/>
      </c>
      <c r="H73" s="241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320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246">
        <f>IF($B74="","",IF(COUNTIFS(Пул!$E$5:$E$300,$B74,Пул!$L$5:$L$300,"Закрыт")=0,"",ROUND(SUMIFS(Пул!$J$5:$J$300,Пул!$E$5:$E$300,$B74,Пул!$L$5:$L$300,"Закрыт"),8)))</f>
        <v/>
      </c>
      <c r="H74" s="247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315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240">
        <f>IF($B75="","",IF(COUNTIFS(Пул!$E$5:$E$300,$B75,Пул!$L$5:$L$300,"Закрыт")=0,"",ROUND(SUMIFS(Пул!$J$5:$J$300,Пул!$E$5:$E$300,$B75,Пул!$L$5:$L$300,"Закрыт"),8)))</f>
        <v/>
      </c>
      <c r="H75" s="241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320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246">
        <f>IF($B76="","",IF(COUNTIFS(Пул!$E$5:$E$300,$B76,Пул!$L$5:$L$300,"Закрыт")=0,"",ROUND(SUMIFS(Пул!$J$5:$J$300,Пул!$E$5:$E$300,$B76,Пул!$L$5:$L$300,"Закрыт"),8)))</f>
        <v/>
      </c>
      <c r="H76" s="247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315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240">
        <f>IF($B77="","",IF(COUNTIFS(Пул!$E$5:$E$300,$B77,Пул!$L$5:$L$300,"Закрыт")=0,"",ROUND(SUMIFS(Пул!$J$5:$J$300,Пул!$E$5:$E$300,$B77,Пул!$L$5:$L$300,"Закрыт"),8)))</f>
        <v/>
      </c>
      <c r="H77" s="241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320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246">
        <f>IF($B78="","",IF(COUNTIFS(Пул!$E$5:$E$300,$B78,Пул!$L$5:$L$300,"Закрыт")=0,"",ROUND(SUMIFS(Пул!$J$5:$J$300,Пул!$E$5:$E$300,$B78,Пул!$L$5:$L$300,"Закрыт"),8)))</f>
        <v/>
      </c>
      <c r="H78" s="247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315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240">
        <f>IF($B79="","",IF(COUNTIFS(Пул!$E$5:$E$300,$B79,Пул!$L$5:$L$300,"Закрыт")=0,"",ROUND(SUMIFS(Пул!$J$5:$J$300,Пул!$E$5:$E$300,$B79,Пул!$L$5:$L$300,"Закрыт"),8)))</f>
        <v/>
      </c>
      <c r="H79" s="241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320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246">
        <f>IF($B80="","",IF(COUNTIFS(Пул!$E$5:$E$300,$B80,Пул!$L$5:$L$300,"Закрыт")=0,"",ROUND(SUMIFS(Пул!$J$5:$J$300,Пул!$E$5:$E$300,$B80,Пул!$L$5:$L$300,"Закрыт"),8)))</f>
        <v/>
      </c>
      <c r="H80" s="247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315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240">
        <f>IF($B81="","",IF(COUNTIFS(Пул!$E$5:$E$300,$B81,Пул!$L$5:$L$300,"Закрыт")=0,"",ROUND(SUMIFS(Пул!$J$5:$J$300,Пул!$E$5:$E$300,$B81,Пул!$L$5:$L$300,"Закрыт"),8)))</f>
        <v/>
      </c>
      <c r="H81" s="241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320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246">
        <f>IF($B82="","",IF(COUNTIFS(Пул!$E$5:$E$300,$B82,Пул!$L$5:$L$300,"Закрыт")=0,"",ROUND(SUMIFS(Пул!$J$5:$J$300,Пул!$E$5:$E$300,$B82,Пул!$L$5:$L$300,"Закрыт"),8)))</f>
        <v/>
      </c>
      <c r="H82" s="247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315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240">
        <f>IF($B83="","",IF(COUNTIFS(Пул!$E$5:$E$300,$B83,Пул!$L$5:$L$300,"Закрыт")=0,"",ROUND(SUMIFS(Пул!$J$5:$J$300,Пул!$E$5:$E$300,$B83,Пул!$L$5:$L$300,"Закрыт"),8)))</f>
        <v/>
      </c>
      <c r="H83" s="241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320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246">
        <f>IF($B84="","",IF(COUNTIFS(Пул!$E$5:$E$300,$B84,Пул!$L$5:$L$300,"Закрыт")=0,"",ROUND(SUMIFS(Пул!$J$5:$J$300,Пул!$E$5:$E$300,$B84,Пул!$L$5:$L$300,"Закрыт"),8)))</f>
        <v/>
      </c>
      <c r="H84" s="247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315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240">
        <f>IF($B85="","",IF(COUNTIFS(Пул!$E$5:$E$300,$B85,Пул!$L$5:$L$300,"Закрыт")=0,"",ROUND(SUMIFS(Пул!$J$5:$J$300,Пул!$E$5:$E$300,$B85,Пул!$L$5:$L$300,"Закрыт"),8)))</f>
        <v/>
      </c>
      <c r="H85" s="241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320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246">
        <f>IF($B86="","",IF(COUNTIFS(Пул!$E$5:$E$300,$B86,Пул!$L$5:$L$300,"Закрыт")=0,"",ROUND(SUMIFS(Пул!$J$5:$J$300,Пул!$E$5:$E$300,$B86,Пул!$L$5:$L$300,"Закрыт"),8)))</f>
        <v/>
      </c>
      <c r="H86" s="247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315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240">
        <f>IF($B87="","",IF(COUNTIFS(Пул!$E$5:$E$300,$B87,Пул!$L$5:$L$300,"Закрыт")=0,"",ROUND(SUMIFS(Пул!$J$5:$J$300,Пул!$E$5:$E$300,$B87,Пул!$L$5:$L$300,"Закрыт"),8)))</f>
        <v/>
      </c>
      <c r="H87" s="241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320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246">
        <f>IF($B88="","",IF(COUNTIFS(Пул!$E$5:$E$300,$B88,Пул!$L$5:$L$300,"Закрыт")=0,"",ROUND(SUMIFS(Пул!$J$5:$J$300,Пул!$E$5:$E$300,$B88,Пул!$L$5:$L$300,"Закрыт"),8)))</f>
        <v/>
      </c>
      <c r="H88" s="247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315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240">
        <f>IF($B89="","",IF(COUNTIFS(Пул!$E$5:$E$300,$B89,Пул!$L$5:$L$300,"Закрыт")=0,"",ROUND(SUMIFS(Пул!$J$5:$J$300,Пул!$E$5:$E$300,$B89,Пул!$L$5:$L$300,"Закрыт"),8)))</f>
        <v/>
      </c>
      <c r="H89" s="241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320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246">
        <f>IF($B90="","",IF(COUNTIFS(Пул!$E$5:$E$300,$B90,Пул!$L$5:$L$300,"Закрыт")=0,"",ROUND(SUMIFS(Пул!$J$5:$J$300,Пул!$E$5:$E$300,$B90,Пул!$L$5:$L$300,"Закрыт"),8)))</f>
        <v/>
      </c>
      <c r="H90" s="247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315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240">
        <f>IF($B91="","",IF(COUNTIFS(Пул!$E$5:$E$300,$B91,Пул!$L$5:$L$300,"Закрыт")=0,"",ROUND(SUMIFS(Пул!$J$5:$J$300,Пул!$E$5:$E$300,$B91,Пул!$L$5:$L$300,"Закрыт"),8)))</f>
        <v/>
      </c>
      <c r="H91" s="241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320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246">
        <f>IF($B92="","",IF(COUNTIFS(Пул!$E$5:$E$300,$B92,Пул!$L$5:$L$300,"Закрыт")=0,"",ROUND(SUMIFS(Пул!$J$5:$J$300,Пул!$E$5:$E$300,$B92,Пул!$L$5:$L$300,"Закрыт"),8)))</f>
        <v/>
      </c>
      <c r="H92" s="247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315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240">
        <f>IF($B93="","",IF(COUNTIFS(Пул!$E$5:$E$300,$B93,Пул!$L$5:$L$300,"Закрыт")=0,"",ROUND(SUMIFS(Пул!$J$5:$J$300,Пул!$E$5:$E$300,$B93,Пул!$L$5:$L$300,"Закрыт"),8)))</f>
        <v/>
      </c>
      <c r="H93" s="241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320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246">
        <f>IF($B94="","",IF(COUNTIFS(Пул!$E$5:$E$300,$B94,Пул!$L$5:$L$300,"Закрыт")=0,"",ROUND(SUMIFS(Пул!$J$5:$J$300,Пул!$E$5:$E$300,$B94,Пул!$L$5:$L$300,"Закрыт"),8)))</f>
        <v/>
      </c>
      <c r="H94" s="247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315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240">
        <f>IF($B95="","",IF(COUNTIFS(Пул!$E$5:$E$300,$B95,Пул!$L$5:$L$300,"Закрыт")=0,"",ROUND(SUMIFS(Пул!$J$5:$J$300,Пул!$E$5:$E$300,$B95,Пул!$L$5:$L$300,"Закрыт"),8)))</f>
        <v/>
      </c>
      <c r="H95" s="241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320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246">
        <f>IF($B96="","",IF(COUNTIFS(Пул!$E$5:$E$300,$B96,Пул!$L$5:$L$300,"Закрыт")=0,"",ROUND(SUMIFS(Пул!$J$5:$J$300,Пул!$E$5:$E$300,$B96,Пул!$L$5:$L$300,"Закрыт"),8)))</f>
        <v/>
      </c>
      <c r="H96" s="247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315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240">
        <f>IF($B97="","",IF(COUNTIFS(Пул!$E$5:$E$300,$B97,Пул!$L$5:$L$300,"Закрыт")=0,"",ROUND(SUMIFS(Пул!$J$5:$J$300,Пул!$E$5:$E$300,$B97,Пул!$L$5:$L$300,"Закрыт"),8)))</f>
        <v/>
      </c>
      <c r="H97" s="241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320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246">
        <f>IF($B98="","",IF(COUNTIFS(Пул!$E$5:$E$300,$B98,Пул!$L$5:$L$300,"Закрыт")=0,"",ROUND(SUMIFS(Пул!$J$5:$J$300,Пул!$E$5:$E$300,$B98,Пул!$L$5:$L$300,"Закрыт"),8)))</f>
        <v/>
      </c>
      <c r="H98" s="247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315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240">
        <f>IF($B99="","",IF(COUNTIFS(Пул!$E$5:$E$300,$B99,Пул!$L$5:$L$300,"Закрыт")=0,"",ROUND(SUMIFS(Пул!$J$5:$J$300,Пул!$E$5:$E$300,$B99,Пул!$L$5:$L$300,"Закрыт"),8)))</f>
        <v/>
      </c>
      <c r="H99" s="241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320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246">
        <f>IF($B100="","",IF(COUNTIFS(Пул!$E$5:$E$300,$B100,Пул!$L$5:$L$300,"Закрыт")=0,"",ROUND(SUMIFS(Пул!$J$5:$J$300,Пул!$E$5:$E$300,$B100,Пул!$L$5:$L$300,"Закрыт"),8)))</f>
        <v/>
      </c>
      <c r="H100" s="247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315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240">
        <f>IF($B101="","",IF(COUNTIFS(Пул!$E$5:$E$300,$B101,Пул!$L$5:$L$300,"Закрыт")=0,"",ROUND(SUMIFS(Пул!$J$5:$J$300,Пул!$E$5:$E$300,$B101,Пул!$L$5:$L$300,"Закрыт"),8)))</f>
        <v/>
      </c>
      <c r="H101" s="241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320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246">
        <f>IF($B102="","",IF(COUNTIFS(Пул!$E$5:$E$300,$B102,Пул!$L$5:$L$300,"Закрыт")=0,"",ROUND(SUMIFS(Пул!$J$5:$J$300,Пул!$E$5:$E$300,$B102,Пул!$L$5:$L$300,"Закрыт"),8)))</f>
        <v/>
      </c>
      <c r="H102" s="247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315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240">
        <f>IF($B103="","",IF(COUNTIFS(Пул!$E$5:$E$300,$B103,Пул!$L$5:$L$300,"Закрыт")=0,"",ROUND(SUMIFS(Пул!$J$5:$J$300,Пул!$E$5:$E$300,$B103,Пул!$L$5:$L$300,"Закрыт"),8)))</f>
        <v/>
      </c>
      <c r="H103" s="241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320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246">
        <f>IF($B104="","",IF(COUNTIFS(Пул!$E$5:$E$300,$B104,Пул!$L$5:$L$300,"Закрыт")=0,"",ROUND(SUMIFS(Пул!$J$5:$J$300,Пул!$E$5:$E$300,$B104,Пул!$L$5:$L$300,"Закрыт"),8)))</f>
        <v/>
      </c>
      <c r="H104" s="247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315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240">
        <f>IF($B105="","",IF(COUNTIFS(Пул!$E$5:$E$300,$B105,Пул!$L$5:$L$300,"Закрыт")=0,"",ROUND(SUMIFS(Пул!$J$5:$J$300,Пул!$E$5:$E$300,$B105,Пул!$L$5:$L$300,"Закрыт"),8)))</f>
        <v/>
      </c>
      <c r="H105" s="241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320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246">
        <f>IF($B106="","",IF(COUNTIFS(Пул!$E$5:$E$300,$B106,Пул!$L$5:$L$300,"Закрыт")=0,"",ROUND(SUMIFS(Пул!$J$5:$J$300,Пул!$E$5:$E$300,$B106,Пул!$L$5:$L$300,"Закрыт"),8)))</f>
        <v/>
      </c>
      <c r="H106" s="247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315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240">
        <f>IF($B107="","",IF(COUNTIFS(Пул!$E$5:$E$300,$B107,Пул!$L$5:$L$300,"Закрыт")=0,"",ROUND(SUMIFS(Пул!$J$5:$J$300,Пул!$E$5:$E$300,$B107,Пул!$L$5:$L$300,"Закрыт"),8)))</f>
        <v/>
      </c>
      <c r="H107" s="241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320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246">
        <f>IF($B108="","",IF(COUNTIFS(Пул!$E$5:$E$300,$B108,Пул!$L$5:$L$300,"Закрыт")=0,"",ROUND(SUMIFS(Пул!$J$5:$J$300,Пул!$E$5:$E$300,$B108,Пул!$L$5:$L$300,"Закрыт"),8)))</f>
        <v/>
      </c>
      <c r="H108" s="247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315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240">
        <f>IF($B109="","",IF(COUNTIFS(Пул!$E$5:$E$300,$B109,Пул!$L$5:$L$300,"Закрыт")=0,"",ROUND(SUMIFS(Пул!$J$5:$J$300,Пул!$E$5:$E$300,$B109,Пул!$L$5:$L$300,"Закрыт"),8)))</f>
        <v/>
      </c>
      <c r="H109" s="241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320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246">
        <f>IF($B110="","",IF(COUNTIFS(Пул!$E$5:$E$300,$B110,Пул!$L$5:$L$300,"Закрыт")=0,"",ROUND(SUMIFS(Пул!$J$5:$J$300,Пул!$E$5:$E$300,$B110,Пул!$L$5:$L$300,"Закрыт"),8)))</f>
        <v/>
      </c>
      <c r="H110" s="247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315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240">
        <f>IF($B111="","",IF(COUNTIFS(Пул!$E$5:$E$300,$B111,Пул!$L$5:$L$300,"Закрыт")=0,"",ROUND(SUMIFS(Пул!$J$5:$J$300,Пул!$E$5:$E$300,$B111,Пул!$L$5:$L$300,"Закрыт"),8)))</f>
        <v/>
      </c>
      <c r="H111" s="241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320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246">
        <f>IF($B112="","",IF(COUNTIFS(Пул!$E$5:$E$300,$B112,Пул!$L$5:$L$300,"Закрыт")=0,"",ROUND(SUMIFS(Пул!$J$5:$J$300,Пул!$E$5:$E$300,$B112,Пул!$L$5:$L$300,"Закрыт"),8)))</f>
        <v/>
      </c>
      <c r="H112" s="247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315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240">
        <f>IF($B113="","",IF(COUNTIFS(Пул!$E$5:$E$300,$B113,Пул!$L$5:$L$300,"Закрыт")=0,"",ROUND(SUMIFS(Пул!$J$5:$J$300,Пул!$E$5:$E$300,$B113,Пул!$L$5:$L$300,"Закрыт"),8)))</f>
        <v/>
      </c>
      <c r="H113" s="241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320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246">
        <f>IF($B114="","",IF(COUNTIFS(Пул!$E$5:$E$300,$B114,Пул!$L$5:$L$300,"Закрыт")=0,"",ROUND(SUMIFS(Пул!$J$5:$J$300,Пул!$E$5:$E$300,$B114,Пул!$L$5:$L$300,"Закрыт"),8)))</f>
        <v/>
      </c>
      <c r="H114" s="247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315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240">
        <f>IF($B115="","",IF(COUNTIFS(Пул!$E$5:$E$300,$B115,Пул!$L$5:$L$300,"Закрыт")=0,"",ROUND(SUMIFS(Пул!$J$5:$J$300,Пул!$E$5:$E$300,$B115,Пул!$L$5:$L$300,"Закрыт"),8)))</f>
        <v/>
      </c>
      <c r="H115" s="241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320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246">
        <f>IF($B116="","",IF(COUNTIFS(Пул!$E$5:$E$300,$B116,Пул!$L$5:$L$300,"Закрыт")=0,"",ROUND(SUMIFS(Пул!$J$5:$J$300,Пул!$E$5:$E$300,$B116,Пул!$L$5:$L$300,"Закрыт"),8)))</f>
        <v/>
      </c>
      <c r="H116" s="247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315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240">
        <f>IF($B117="","",IF(COUNTIFS(Пул!$E$5:$E$300,$B117,Пул!$L$5:$L$300,"Закрыт")=0,"",ROUND(SUMIFS(Пул!$J$5:$J$300,Пул!$E$5:$E$300,$B117,Пул!$L$5:$L$300,"Закрыт"),8)))</f>
        <v/>
      </c>
      <c r="H117" s="241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320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246">
        <f>IF($B118="","",IF(COUNTIFS(Пул!$E$5:$E$300,$B118,Пул!$L$5:$L$300,"Закрыт")=0,"",ROUND(SUMIFS(Пул!$J$5:$J$300,Пул!$E$5:$E$300,$B118,Пул!$L$5:$L$300,"Закрыт"),8)))</f>
        <v/>
      </c>
      <c r="H118" s="247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315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240">
        <f>IF($B119="","",IF(COUNTIFS(Пул!$E$5:$E$300,$B119,Пул!$L$5:$L$300,"Закрыт")=0,"",ROUND(SUMIFS(Пул!$J$5:$J$300,Пул!$E$5:$E$300,$B119,Пул!$L$5:$L$300,"Закрыт"),8)))</f>
        <v/>
      </c>
      <c r="H119" s="241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320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246">
        <f>IF($B120="","",IF(COUNTIFS(Пул!$E$5:$E$300,$B120,Пул!$L$5:$L$300,"Закрыт")=0,"",ROUND(SUMIFS(Пул!$J$5:$J$300,Пул!$E$5:$E$300,$B120,Пул!$L$5:$L$300,"Закрыт"),8)))</f>
        <v/>
      </c>
      <c r="H120" s="247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315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240">
        <f>IF($B121="","",IF(COUNTIFS(Пул!$E$5:$E$300,$B121,Пул!$L$5:$L$300,"Закрыт")=0,"",ROUND(SUMIFS(Пул!$J$5:$J$300,Пул!$E$5:$E$300,$B121,Пул!$L$5:$L$300,"Закрыт"),8)))</f>
        <v/>
      </c>
      <c r="H121" s="241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320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246">
        <f>IF($B122="","",IF(COUNTIFS(Пул!$E$5:$E$300,$B122,Пул!$L$5:$L$300,"Закрыт")=0,"",ROUND(SUMIFS(Пул!$J$5:$J$300,Пул!$E$5:$E$300,$B122,Пул!$L$5:$L$300,"Закрыт"),8)))</f>
        <v/>
      </c>
      <c r="H122" s="247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315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240">
        <f>IF($B123="","",IF(COUNTIFS(Пул!$E$5:$E$300,$B123,Пул!$L$5:$L$300,"Закрыт")=0,"",ROUND(SUMIFS(Пул!$J$5:$J$300,Пул!$E$5:$E$300,$B123,Пул!$L$5:$L$300,"Закрыт"),8)))</f>
        <v/>
      </c>
      <c r="H123" s="241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320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246">
        <f>IF($B124="","",IF(COUNTIFS(Пул!$E$5:$E$300,$B124,Пул!$L$5:$L$300,"Закрыт")=0,"",ROUND(SUMIFS(Пул!$J$5:$J$300,Пул!$E$5:$E$300,$B124,Пул!$L$5:$L$300,"Закрыт"),8)))</f>
        <v/>
      </c>
      <c r="H124" s="247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315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240">
        <f>IF($B125="","",IF(COUNTIFS(Пул!$E$5:$E$300,$B125,Пул!$L$5:$L$300,"Закрыт")=0,"",ROUND(SUMIFS(Пул!$J$5:$J$300,Пул!$E$5:$E$300,$B125,Пул!$L$5:$L$300,"Закрыт"),8)))</f>
        <v/>
      </c>
      <c r="H125" s="241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320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246">
        <f>IF($B126="","",IF(COUNTIFS(Пул!$E$5:$E$300,$B126,Пул!$L$5:$L$300,"Закрыт")=0,"",ROUND(SUMIFS(Пул!$J$5:$J$300,Пул!$E$5:$E$300,$B126,Пул!$L$5:$L$300,"Закрыт"),8)))</f>
        <v/>
      </c>
      <c r="H126" s="247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315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240">
        <f>IF($B127="","",IF(COUNTIFS(Пул!$E$5:$E$300,$B127,Пул!$L$5:$L$300,"Закрыт")=0,"",ROUND(SUMIFS(Пул!$J$5:$J$300,Пул!$E$5:$E$300,$B127,Пул!$L$5:$L$300,"Закрыт"),8)))</f>
        <v/>
      </c>
      <c r="H127" s="241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320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246">
        <f>IF($B128="","",IF(COUNTIFS(Пул!$E$5:$E$300,$B128,Пул!$L$5:$L$300,"Закрыт")=0,"",ROUND(SUMIFS(Пул!$J$5:$J$300,Пул!$E$5:$E$300,$B128,Пул!$L$5:$L$300,"Закрыт"),8)))</f>
        <v/>
      </c>
      <c r="H128" s="247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315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240">
        <f>IF($B129="","",IF(COUNTIFS(Пул!$E$5:$E$300,$B129,Пул!$L$5:$L$300,"Закрыт")=0,"",ROUND(SUMIFS(Пул!$J$5:$J$300,Пул!$E$5:$E$300,$B129,Пул!$L$5:$L$300,"Закрыт"),8)))</f>
        <v/>
      </c>
      <c r="H129" s="241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320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246">
        <f>IF($B130="","",IF(COUNTIFS(Пул!$E$5:$E$300,$B130,Пул!$L$5:$L$300,"Закрыт")=0,"",ROUND(SUMIFS(Пул!$J$5:$J$300,Пул!$E$5:$E$300,$B130,Пул!$L$5:$L$300,"Закрыт"),8)))</f>
        <v/>
      </c>
      <c r="H130" s="247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315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240">
        <f>IF($B131="","",IF(COUNTIFS(Пул!$E$5:$E$300,$B131,Пул!$L$5:$L$300,"Закрыт")=0,"",ROUND(SUMIFS(Пул!$J$5:$J$300,Пул!$E$5:$E$300,$B131,Пул!$L$5:$L$300,"Закрыт"),8)))</f>
        <v/>
      </c>
      <c r="H131" s="241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320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246">
        <f>IF($B132="","",IF(COUNTIFS(Пул!$E$5:$E$300,$B132,Пул!$L$5:$L$300,"Закрыт")=0,"",ROUND(SUMIFS(Пул!$J$5:$J$300,Пул!$E$5:$E$300,$B132,Пул!$L$5:$L$300,"Закрыт"),8)))</f>
        <v/>
      </c>
      <c r="H132" s="247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315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240">
        <f>IF($B133="","",IF(COUNTIFS(Пул!$E$5:$E$300,$B133,Пул!$L$5:$L$300,"Закрыт")=0,"",ROUND(SUMIFS(Пул!$J$5:$J$300,Пул!$E$5:$E$300,$B133,Пул!$L$5:$L$300,"Закрыт"),8)))</f>
        <v/>
      </c>
      <c r="H133" s="241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320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246">
        <f>IF($B134="","",IF(COUNTIFS(Пул!$E$5:$E$300,$B134,Пул!$L$5:$L$300,"Закрыт")=0,"",ROUND(SUMIFS(Пул!$J$5:$J$300,Пул!$E$5:$E$300,$B134,Пул!$L$5:$L$300,"Закрыт"),8)))</f>
        <v/>
      </c>
      <c r="H134" s="247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315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240">
        <f>IF($B135="","",IF(COUNTIFS(Пул!$E$5:$E$300,$B135,Пул!$L$5:$L$300,"Закрыт")=0,"",ROUND(SUMIFS(Пул!$J$5:$J$300,Пул!$E$5:$E$300,$B135,Пул!$L$5:$L$300,"Закрыт"),8)))</f>
        <v/>
      </c>
      <c r="H135" s="241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320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246">
        <f>IF($B136="","",IF(COUNTIFS(Пул!$E$5:$E$300,$B136,Пул!$L$5:$L$300,"Закрыт")=0,"",ROUND(SUMIFS(Пул!$J$5:$J$300,Пул!$E$5:$E$300,$B136,Пул!$L$5:$L$300,"Закрыт"),8)))</f>
        <v/>
      </c>
      <c r="H136" s="247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315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240">
        <f>IF($B137="","",IF(COUNTIFS(Пул!$E$5:$E$300,$B137,Пул!$L$5:$L$300,"Закрыт")=0,"",ROUND(SUMIFS(Пул!$J$5:$J$300,Пул!$E$5:$E$300,$B137,Пул!$L$5:$L$300,"Закрыт"),8)))</f>
        <v/>
      </c>
      <c r="H137" s="241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320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246">
        <f>IF($B138="","",IF(COUNTIFS(Пул!$E$5:$E$300,$B138,Пул!$L$5:$L$300,"Закрыт")=0,"",ROUND(SUMIFS(Пул!$J$5:$J$300,Пул!$E$5:$E$300,$B138,Пул!$L$5:$L$300,"Закрыт"),8)))</f>
        <v/>
      </c>
      <c r="H138" s="247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315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240">
        <f>IF($B139="","",IF(COUNTIFS(Пул!$E$5:$E$300,$B139,Пул!$L$5:$L$300,"Закрыт")=0,"",ROUND(SUMIFS(Пул!$J$5:$J$300,Пул!$E$5:$E$300,$B139,Пул!$L$5:$L$300,"Закрыт"),8)))</f>
        <v/>
      </c>
      <c r="H139" s="241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320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246">
        <f>IF($B140="","",IF(COUNTIFS(Пул!$E$5:$E$300,$B140,Пул!$L$5:$L$300,"Закрыт")=0,"",ROUND(SUMIFS(Пул!$J$5:$J$300,Пул!$E$5:$E$300,$B140,Пул!$L$5:$L$300,"Закрыт"),8)))</f>
        <v/>
      </c>
      <c r="H140" s="247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315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240">
        <f>IF($B141="","",IF(COUNTIFS(Пул!$E$5:$E$300,$B141,Пул!$L$5:$L$300,"Закрыт")=0,"",ROUND(SUMIFS(Пул!$J$5:$J$300,Пул!$E$5:$E$300,$B141,Пул!$L$5:$L$300,"Закрыт"),8)))</f>
        <v/>
      </c>
      <c r="H141" s="241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320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246">
        <f>IF($B142="","",IF(COUNTIFS(Пул!$E$5:$E$300,$B142,Пул!$L$5:$L$300,"Закрыт")=0,"",ROUND(SUMIFS(Пул!$J$5:$J$300,Пул!$E$5:$E$300,$B142,Пул!$L$5:$L$300,"Закрыт"),8)))</f>
        <v/>
      </c>
      <c r="H142" s="247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315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240">
        <f>IF($B143="","",IF(COUNTIFS(Пул!$E$5:$E$300,$B143,Пул!$L$5:$L$300,"Закрыт")=0,"",ROUND(SUMIFS(Пул!$J$5:$J$300,Пул!$E$5:$E$300,$B143,Пул!$L$5:$L$300,"Закрыт"),8)))</f>
        <v/>
      </c>
      <c r="H143" s="241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320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246">
        <f>IF($B144="","",IF(COUNTIFS(Пул!$E$5:$E$300,$B144,Пул!$L$5:$L$300,"Закрыт")=0,"",ROUND(SUMIFS(Пул!$J$5:$J$300,Пул!$E$5:$E$300,$B144,Пул!$L$5:$L$300,"Закрыт"),8)))</f>
        <v/>
      </c>
      <c r="H144" s="247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315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240">
        <f>IF($B145="","",IF(COUNTIFS(Пул!$E$5:$E$300,$B145,Пул!$L$5:$L$300,"Закрыт")=0,"",ROUND(SUMIFS(Пул!$J$5:$J$300,Пул!$E$5:$E$300,$B145,Пул!$L$5:$L$300,"Закрыт"),8)))</f>
        <v/>
      </c>
      <c r="H145" s="241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320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246">
        <f>IF($B146="","",IF(COUNTIFS(Пул!$E$5:$E$300,$B146,Пул!$L$5:$L$300,"Закрыт")=0,"",ROUND(SUMIFS(Пул!$J$5:$J$300,Пул!$E$5:$E$300,$B146,Пул!$L$5:$L$300,"Закрыт"),8)))</f>
        <v/>
      </c>
      <c r="H146" s="247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315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240">
        <f>IF($B147="","",IF(COUNTIFS(Пул!$E$5:$E$300,$B147,Пул!$L$5:$L$300,"Закрыт")=0,"",ROUND(SUMIFS(Пул!$J$5:$J$300,Пул!$E$5:$E$300,$B147,Пул!$L$5:$L$300,"Закрыт"),8)))</f>
        <v/>
      </c>
      <c r="H147" s="241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320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246">
        <f>IF($B148="","",IF(COUNTIFS(Пул!$E$5:$E$300,$B148,Пул!$L$5:$L$300,"Закрыт")=0,"",ROUND(SUMIFS(Пул!$J$5:$J$300,Пул!$E$5:$E$300,$B148,Пул!$L$5:$L$300,"Закрыт"),8)))</f>
        <v/>
      </c>
      <c r="H148" s="247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315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240">
        <f>IF($B149="","",IF(COUNTIFS(Пул!$E$5:$E$300,$B149,Пул!$L$5:$L$300,"Закрыт")=0,"",ROUND(SUMIFS(Пул!$J$5:$J$300,Пул!$E$5:$E$300,$B149,Пул!$L$5:$L$300,"Закрыт"),8)))</f>
        <v/>
      </c>
      <c r="H149" s="241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320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246">
        <f>IF($B150="","",IF(COUNTIFS(Пул!$E$5:$E$300,$B150,Пул!$L$5:$L$300,"Закрыт")=0,"",ROUND(SUMIFS(Пул!$J$5:$J$300,Пул!$E$5:$E$300,$B150,Пул!$L$5:$L$300,"Закрыт"),8)))</f>
        <v/>
      </c>
      <c r="H150" s="247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315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240">
        <f>IF($B151="","",IF(COUNTIFS(Пул!$E$5:$E$300,$B151,Пул!$L$5:$L$300,"Закрыт")=0,"",ROUND(SUMIFS(Пул!$J$5:$J$300,Пул!$E$5:$E$300,$B151,Пул!$L$5:$L$300,"Закрыт"),8)))</f>
        <v/>
      </c>
      <c r="H151" s="241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320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246">
        <f>IF($B152="","",IF(COUNTIFS(Пул!$E$5:$E$300,$B152,Пул!$L$5:$L$300,"Закрыт")=0,"",ROUND(SUMIFS(Пул!$J$5:$J$300,Пул!$E$5:$E$300,$B152,Пул!$L$5:$L$300,"Закрыт"),8)))</f>
        <v/>
      </c>
      <c r="H152" s="247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315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240">
        <f>IF($B153="","",IF(COUNTIFS(Пул!$E$5:$E$300,$B153,Пул!$L$5:$L$300,"Закрыт")=0,"",ROUND(SUMIFS(Пул!$J$5:$J$300,Пул!$E$5:$E$300,$B153,Пул!$L$5:$L$300,"Закрыт"),8)))</f>
        <v/>
      </c>
      <c r="H153" s="241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320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246">
        <f>IF($B154="","",IF(COUNTIFS(Пул!$E$5:$E$300,$B154,Пул!$L$5:$L$300,"Закрыт")=0,"",ROUND(SUMIFS(Пул!$J$5:$J$300,Пул!$E$5:$E$300,$B154,Пул!$L$5:$L$300,"Закрыт"),8)))</f>
        <v/>
      </c>
      <c r="H154" s="247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315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240">
        <f>IF($B155="","",IF(COUNTIFS(Пул!$E$5:$E$300,$B155,Пул!$L$5:$L$300,"Закрыт")=0,"",ROUND(SUMIFS(Пул!$J$5:$J$300,Пул!$E$5:$E$300,$B155,Пул!$L$5:$L$300,"Закрыт"),8)))</f>
        <v/>
      </c>
      <c r="H155" s="241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320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246">
        <f>IF($B156="","",IF(COUNTIFS(Пул!$E$5:$E$300,$B156,Пул!$L$5:$L$300,"Закрыт")=0,"",ROUND(SUMIFS(Пул!$J$5:$J$300,Пул!$E$5:$E$300,$B156,Пул!$L$5:$L$300,"Закрыт"),8)))</f>
        <v/>
      </c>
      <c r="H156" s="247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315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240">
        <f>IF($B157="","",IF(COUNTIFS(Пул!$E$5:$E$300,$B157,Пул!$L$5:$L$300,"Закрыт")=0,"",ROUND(SUMIFS(Пул!$J$5:$J$300,Пул!$E$5:$E$300,$B157,Пул!$L$5:$L$300,"Закрыт"),8)))</f>
        <v/>
      </c>
      <c r="H157" s="241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320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246">
        <f>IF($B158="","",IF(COUNTIFS(Пул!$E$5:$E$300,$B158,Пул!$L$5:$L$300,"Закрыт")=0,"",ROUND(SUMIFS(Пул!$J$5:$J$300,Пул!$E$5:$E$300,$B158,Пул!$L$5:$L$300,"Закрыт"),8)))</f>
        <v/>
      </c>
      <c r="H158" s="247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315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240">
        <f>IF($B159="","",IF(COUNTIFS(Пул!$E$5:$E$300,$B159,Пул!$L$5:$L$300,"Закрыт")=0,"",ROUND(SUMIFS(Пул!$J$5:$J$300,Пул!$E$5:$E$300,$B159,Пул!$L$5:$L$300,"Закрыт"),8)))</f>
        <v/>
      </c>
      <c r="H159" s="241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320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246">
        <f>IF($B160="","",IF(COUNTIFS(Пул!$E$5:$E$300,$B160,Пул!$L$5:$L$300,"Закрыт")=0,"",ROUND(SUMIFS(Пул!$J$5:$J$300,Пул!$E$5:$E$300,$B160,Пул!$L$5:$L$300,"Закрыт"),8)))</f>
        <v/>
      </c>
      <c r="H160" s="247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315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240">
        <f>IF($B161="","",IF(COUNTIFS(Пул!$E$5:$E$300,$B161,Пул!$L$5:$L$300,"Закрыт")=0,"",ROUND(SUMIFS(Пул!$J$5:$J$300,Пул!$E$5:$E$300,$B161,Пул!$L$5:$L$300,"Закрыт"),8)))</f>
        <v/>
      </c>
      <c r="H161" s="241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320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246">
        <f>IF($B162="","",IF(COUNTIFS(Пул!$E$5:$E$300,$B162,Пул!$L$5:$L$300,"Закрыт")=0,"",ROUND(SUMIFS(Пул!$J$5:$J$300,Пул!$E$5:$E$300,$B162,Пул!$L$5:$L$300,"Закрыт"),8)))</f>
        <v/>
      </c>
      <c r="H162" s="247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315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240">
        <f>IF($B163="","",IF(COUNTIFS(Пул!$E$5:$E$300,$B163,Пул!$L$5:$L$300,"Закрыт")=0,"",ROUND(SUMIFS(Пул!$J$5:$J$300,Пул!$E$5:$E$300,$B163,Пул!$L$5:$L$300,"Закрыт"),8)))</f>
        <v/>
      </c>
      <c r="H163" s="241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320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246">
        <f>IF($B164="","",IF(COUNTIFS(Пул!$E$5:$E$300,$B164,Пул!$L$5:$L$300,"Закрыт")=0,"",ROUND(SUMIFS(Пул!$J$5:$J$300,Пул!$E$5:$E$300,$B164,Пул!$L$5:$L$300,"Закрыт"),8)))</f>
        <v/>
      </c>
      <c r="H164" s="247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315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240">
        <f>IF($B165="","",IF(COUNTIFS(Пул!$E$5:$E$300,$B165,Пул!$L$5:$L$300,"Закрыт")=0,"",ROUND(SUMIFS(Пул!$J$5:$J$300,Пул!$E$5:$E$300,$B165,Пул!$L$5:$L$300,"Закрыт"),8)))</f>
        <v/>
      </c>
      <c r="H165" s="241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320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246">
        <f>IF($B166="","",IF(COUNTIFS(Пул!$E$5:$E$300,$B166,Пул!$L$5:$L$300,"Закрыт")=0,"",ROUND(SUMIFS(Пул!$J$5:$J$300,Пул!$E$5:$E$300,$B166,Пул!$L$5:$L$300,"Закрыт"),8)))</f>
        <v/>
      </c>
      <c r="H166" s="247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315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240">
        <f>IF($B167="","",IF(COUNTIFS(Пул!$E$5:$E$300,$B167,Пул!$L$5:$L$300,"Закрыт")=0,"",ROUND(SUMIFS(Пул!$J$5:$J$300,Пул!$E$5:$E$300,$B167,Пул!$L$5:$L$300,"Закрыт"),8)))</f>
        <v/>
      </c>
      <c r="H167" s="241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320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246">
        <f>IF($B168="","",IF(COUNTIFS(Пул!$E$5:$E$300,$B168,Пул!$L$5:$L$300,"Закрыт")=0,"",ROUND(SUMIFS(Пул!$J$5:$J$300,Пул!$E$5:$E$300,$B168,Пул!$L$5:$L$300,"Закрыт"),8)))</f>
        <v/>
      </c>
      <c r="H168" s="247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315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240">
        <f>IF($B169="","",IF(COUNTIFS(Пул!$E$5:$E$300,$B169,Пул!$L$5:$L$300,"Закрыт")=0,"",ROUND(SUMIFS(Пул!$J$5:$J$300,Пул!$E$5:$E$300,$B169,Пул!$L$5:$L$300,"Закрыт"),8)))</f>
        <v/>
      </c>
      <c r="H169" s="241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320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246">
        <f>IF($B170="","",IF(COUNTIFS(Пул!$E$5:$E$300,$B170,Пул!$L$5:$L$300,"Закрыт")=0,"",ROUND(SUMIFS(Пул!$J$5:$J$300,Пул!$E$5:$E$300,$B170,Пул!$L$5:$L$300,"Закрыт"),8)))</f>
        <v/>
      </c>
      <c r="H170" s="247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315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240">
        <f>IF($B171="","",IF(COUNTIFS(Пул!$E$5:$E$300,$B171,Пул!$L$5:$L$300,"Закрыт")=0,"",ROUND(SUMIFS(Пул!$J$5:$J$300,Пул!$E$5:$E$300,$B171,Пул!$L$5:$L$300,"Закрыт"),8)))</f>
        <v/>
      </c>
      <c r="H171" s="241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320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246">
        <f>IF($B172="","",IF(COUNTIFS(Пул!$E$5:$E$300,$B172,Пул!$L$5:$L$300,"Закрыт")=0,"",ROUND(SUMIFS(Пул!$J$5:$J$300,Пул!$E$5:$E$300,$B172,Пул!$L$5:$L$300,"Закрыт"),8)))</f>
        <v/>
      </c>
      <c r="H172" s="247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315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240">
        <f>IF($B173="","",IF(COUNTIFS(Пул!$E$5:$E$300,$B173,Пул!$L$5:$L$300,"Закрыт")=0,"",ROUND(SUMIFS(Пул!$J$5:$J$300,Пул!$E$5:$E$300,$B173,Пул!$L$5:$L$300,"Закрыт"),8)))</f>
        <v/>
      </c>
      <c r="H173" s="241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320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246">
        <f>IF($B174="","",IF(COUNTIFS(Пул!$E$5:$E$300,$B174,Пул!$L$5:$L$300,"Закрыт")=0,"",ROUND(SUMIFS(Пул!$J$5:$J$300,Пул!$E$5:$E$300,$B174,Пул!$L$5:$L$300,"Закрыт"),8)))</f>
        <v/>
      </c>
      <c r="H174" s="247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315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240">
        <f>IF($B175="","",IF(COUNTIFS(Пул!$E$5:$E$300,$B175,Пул!$L$5:$L$300,"Закрыт")=0,"",ROUND(SUMIFS(Пул!$J$5:$J$300,Пул!$E$5:$E$300,$B175,Пул!$L$5:$L$300,"Закрыт"),8)))</f>
        <v/>
      </c>
      <c r="H175" s="241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320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246">
        <f>IF($B176="","",IF(COUNTIFS(Пул!$E$5:$E$300,$B176,Пул!$L$5:$L$300,"Закрыт")=0,"",ROUND(SUMIFS(Пул!$J$5:$J$300,Пул!$E$5:$E$300,$B176,Пул!$L$5:$L$300,"Закрыт"),8)))</f>
        <v/>
      </c>
      <c r="H176" s="247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315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240">
        <f>IF($B177="","",IF(COUNTIFS(Пул!$E$5:$E$300,$B177,Пул!$L$5:$L$300,"Закрыт")=0,"",ROUND(SUMIFS(Пул!$J$5:$J$300,Пул!$E$5:$E$300,$B177,Пул!$L$5:$L$300,"Закрыт"),8)))</f>
        <v/>
      </c>
      <c r="H177" s="241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320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246">
        <f>IF($B178="","",IF(COUNTIFS(Пул!$E$5:$E$300,$B178,Пул!$L$5:$L$300,"Закрыт")=0,"",ROUND(SUMIFS(Пул!$J$5:$J$300,Пул!$E$5:$E$300,$B178,Пул!$L$5:$L$300,"Закрыт"),8)))</f>
        <v/>
      </c>
      <c r="H178" s="247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315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240">
        <f>IF($B179="","",IF(COUNTIFS(Пул!$E$5:$E$300,$B179,Пул!$L$5:$L$300,"Закрыт")=0,"",ROUND(SUMIFS(Пул!$J$5:$J$300,Пул!$E$5:$E$300,$B179,Пул!$L$5:$L$300,"Закрыт"),8)))</f>
        <v/>
      </c>
      <c r="H179" s="241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320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246">
        <f>IF($B180="","",IF(COUNTIFS(Пул!$E$5:$E$300,$B180,Пул!$L$5:$L$300,"Закрыт")=0,"",ROUND(SUMIFS(Пул!$J$5:$J$300,Пул!$E$5:$E$300,$B180,Пул!$L$5:$L$300,"Закрыт"),8)))</f>
        <v/>
      </c>
      <c r="H180" s="247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315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240">
        <f>IF($B181="","",IF(COUNTIFS(Пул!$E$5:$E$300,$B181,Пул!$L$5:$L$300,"Закрыт")=0,"",ROUND(SUMIFS(Пул!$J$5:$J$300,Пул!$E$5:$E$300,$B181,Пул!$L$5:$L$300,"Закрыт"),8)))</f>
        <v/>
      </c>
      <c r="H181" s="241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320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246">
        <f>IF($B182="","",IF(COUNTIFS(Пул!$E$5:$E$300,$B182,Пул!$L$5:$L$300,"Закрыт")=0,"",ROUND(SUMIFS(Пул!$J$5:$J$300,Пул!$E$5:$E$300,$B182,Пул!$L$5:$L$300,"Закрыт"),8)))</f>
        <v/>
      </c>
      <c r="H182" s="247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315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240">
        <f>IF($B183="","",IF(COUNTIFS(Пул!$E$5:$E$300,$B183,Пул!$L$5:$L$300,"Закрыт")=0,"",ROUND(SUMIFS(Пул!$J$5:$J$300,Пул!$E$5:$E$300,$B183,Пул!$L$5:$L$300,"Закрыт"),8)))</f>
        <v/>
      </c>
      <c r="H183" s="241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320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246">
        <f>IF($B184="","",IF(COUNTIFS(Пул!$E$5:$E$300,$B184,Пул!$L$5:$L$300,"Закрыт")=0,"",ROUND(SUMIFS(Пул!$J$5:$J$300,Пул!$E$5:$E$300,$B184,Пул!$L$5:$L$300,"Закрыт"),8)))</f>
        <v/>
      </c>
      <c r="H184" s="247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315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240">
        <f>IF($B185="","",IF(COUNTIFS(Пул!$E$5:$E$300,$B185,Пул!$L$5:$L$300,"Закрыт")=0,"",ROUND(SUMIFS(Пул!$J$5:$J$300,Пул!$E$5:$E$300,$B185,Пул!$L$5:$L$300,"Закрыт"),8)))</f>
        <v/>
      </c>
      <c r="H185" s="241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320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246">
        <f>IF($B186="","",IF(COUNTIFS(Пул!$E$5:$E$300,$B186,Пул!$L$5:$L$300,"Закрыт")=0,"",ROUND(SUMIFS(Пул!$J$5:$J$300,Пул!$E$5:$E$300,$B186,Пул!$L$5:$L$300,"Закрыт"),8)))</f>
        <v/>
      </c>
      <c r="H186" s="247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315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240">
        <f>IF($B187="","",IF(COUNTIFS(Пул!$E$5:$E$300,$B187,Пул!$L$5:$L$300,"Закрыт")=0,"",ROUND(SUMIFS(Пул!$J$5:$J$300,Пул!$E$5:$E$300,$B187,Пул!$L$5:$L$300,"Закрыт"),8)))</f>
        <v/>
      </c>
      <c r="H187" s="241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320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246">
        <f>IF($B188="","",IF(COUNTIFS(Пул!$E$5:$E$300,$B188,Пул!$L$5:$L$300,"Закрыт")=0,"",ROUND(SUMIFS(Пул!$J$5:$J$300,Пул!$E$5:$E$300,$B188,Пул!$L$5:$L$300,"Закрыт"),8)))</f>
        <v/>
      </c>
      <c r="H188" s="247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315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240">
        <f>IF($B189="","",IF(COUNTIFS(Пул!$E$5:$E$300,$B189,Пул!$L$5:$L$300,"Закрыт")=0,"",ROUND(SUMIFS(Пул!$J$5:$J$300,Пул!$E$5:$E$300,$B189,Пул!$L$5:$L$300,"Закрыт"),8)))</f>
        <v/>
      </c>
      <c r="H189" s="241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320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246">
        <f>IF($B190="","",IF(COUNTIFS(Пул!$E$5:$E$300,$B190,Пул!$L$5:$L$300,"Закрыт")=0,"",ROUND(SUMIFS(Пул!$J$5:$J$300,Пул!$E$5:$E$300,$B190,Пул!$L$5:$L$300,"Закрыт"),8)))</f>
        <v/>
      </c>
      <c r="H190" s="247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315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240">
        <f>IF($B191="","",IF(COUNTIFS(Пул!$E$5:$E$300,$B191,Пул!$L$5:$L$300,"Закрыт")=0,"",ROUND(SUMIFS(Пул!$J$5:$J$300,Пул!$E$5:$E$300,$B191,Пул!$L$5:$L$300,"Закрыт"),8)))</f>
        <v/>
      </c>
      <c r="H191" s="241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320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246">
        <f>IF($B192="","",IF(COUNTIFS(Пул!$E$5:$E$300,$B192,Пул!$L$5:$L$300,"Закрыт")=0,"",ROUND(SUMIFS(Пул!$J$5:$J$300,Пул!$E$5:$E$300,$B192,Пул!$L$5:$L$300,"Закрыт"),8)))</f>
        <v/>
      </c>
      <c r="H192" s="247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315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240">
        <f>IF($B193="","",IF(COUNTIFS(Пул!$E$5:$E$300,$B193,Пул!$L$5:$L$300,"Закрыт")=0,"",ROUND(SUMIFS(Пул!$J$5:$J$300,Пул!$E$5:$E$300,$B193,Пул!$L$5:$L$300,"Закрыт"),8)))</f>
        <v/>
      </c>
      <c r="H193" s="241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320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246">
        <f>IF($B194="","",IF(COUNTIFS(Пул!$E$5:$E$300,$B194,Пул!$L$5:$L$300,"Закрыт")=0,"",ROUND(SUMIFS(Пул!$J$5:$J$300,Пул!$E$5:$E$300,$B194,Пул!$L$5:$L$300,"Закрыт"),8)))</f>
        <v/>
      </c>
      <c r="H194" s="247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315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240">
        <f>IF($B195="","",IF(COUNTIFS(Пул!$E$5:$E$300,$B195,Пул!$L$5:$L$300,"Закрыт")=0,"",ROUND(SUMIFS(Пул!$J$5:$J$300,Пул!$E$5:$E$300,$B195,Пул!$L$5:$L$300,"Закрыт"),8)))</f>
        <v/>
      </c>
      <c r="H195" s="241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320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246">
        <f>IF($B196="","",IF(COUNTIFS(Пул!$E$5:$E$300,$B196,Пул!$L$5:$L$300,"Закрыт")=0,"",ROUND(SUMIFS(Пул!$J$5:$J$300,Пул!$E$5:$E$300,$B196,Пул!$L$5:$L$300,"Закрыт"),8)))</f>
        <v/>
      </c>
      <c r="H196" s="247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315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240">
        <f>IF($B197="","",IF(COUNTIFS(Пул!$E$5:$E$300,$B197,Пул!$L$5:$L$300,"Закрыт")=0,"",ROUND(SUMIFS(Пул!$J$5:$J$300,Пул!$E$5:$E$300,$B197,Пул!$L$5:$L$300,"Закрыт"),8)))</f>
        <v/>
      </c>
      <c r="H197" s="241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320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246">
        <f>IF($B198="","",IF(COUNTIFS(Пул!$E$5:$E$300,$B198,Пул!$L$5:$L$300,"Закрыт")=0,"",ROUND(SUMIFS(Пул!$J$5:$J$300,Пул!$E$5:$E$300,$B198,Пул!$L$5:$L$300,"Закрыт"),8)))</f>
        <v/>
      </c>
      <c r="H198" s="247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315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240">
        <f>IF($B199="","",IF(COUNTIFS(Пул!$E$5:$E$300,$B199,Пул!$L$5:$L$300,"Закрыт")=0,"",ROUND(SUMIFS(Пул!$J$5:$J$300,Пул!$E$5:$E$300,$B199,Пул!$L$5:$L$300,"Закрыт"),8)))</f>
        <v/>
      </c>
      <c r="H199" s="241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320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246">
        <f>IF($B200="","",IF(COUNTIFS(Пул!$E$5:$E$300,$B200,Пул!$L$5:$L$300,"Закрыт")=0,"",ROUND(SUMIFS(Пул!$J$5:$J$300,Пул!$E$5:$E$300,$B200,Пул!$L$5:$L$300,"Закрыт"),8)))</f>
        <v/>
      </c>
      <c r="H200" s="247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315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240">
        <f>IF($B201="","",IF(COUNTIFS(Пул!$E$5:$E$300,$B201,Пул!$L$5:$L$300,"Закрыт")=0,"",ROUND(SUMIFS(Пул!$J$5:$J$300,Пул!$E$5:$E$300,$B201,Пул!$L$5:$L$300,"Закрыт"),8)))</f>
        <v/>
      </c>
      <c r="H201" s="241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320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246">
        <f>IF($B202="","",IF(COUNTIFS(Пул!$E$5:$E$300,$B202,Пул!$L$5:$L$300,"Закрыт")=0,"",ROUND(SUMIFS(Пул!$J$5:$J$300,Пул!$E$5:$E$300,$B202,Пул!$L$5:$L$300,"Закрыт"),8)))</f>
        <v/>
      </c>
      <c r="H202" s="247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315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240">
        <f>IF($B203="","",IF(COUNTIFS(Пул!$E$5:$E$300,$B203,Пул!$L$5:$L$300,"Закрыт")=0,"",ROUND(SUMIFS(Пул!$J$5:$J$300,Пул!$E$5:$E$300,$B203,Пул!$L$5:$L$300,"Закрыт"),8)))</f>
        <v/>
      </c>
      <c r="H203" s="241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320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246">
        <f>IF($B204="","",IF(COUNTIFS(Пул!$E$5:$E$300,$B204,Пул!$L$5:$L$300,"Закрыт")=0,"",ROUND(SUMIFS(Пул!$J$5:$J$300,Пул!$E$5:$E$300,$B204,Пул!$L$5:$L$300,"Закрыт"),8)))</f>
        <v/>
      </c>
      <c r="H204" s="247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315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240">
        <f>IF($B205="","",IF(COUNTIFS(Пул!$E$5:$E$300,$B205,Пул!$L$5:$L$300,"Закрыт")=0,"",ROUND(SUMIFS(Пул!$J$5:$J$300,Пул!$E$5:$E$300,$B205,Пул!$L$5:$L$300,"Закрыт"),8)))</f>
        <v/>
      </c>
      <c r="H205" s="241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320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246">
        <f>IF($B206="","",IF(COUNTIFS(Пул!$E$5:$E$300,$B206,Пул!$L$5:$L$300,"Закрыт")=0,"",ROUND(SUMIFS(Пул!$J$5:$J$300,Пул!$E$5:$E$300,$B206,Пул!$L$5:$L$300,"Закрыт"),8)))</f>
        <v/>
      </c>
      <c r="H206" s="247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315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240">
        <f>IF($B207="","",IF(COUNTIFS(Пул!$E$5:$E$300,$B207,Пул!$L$5:$L$300,"Закрыт")=0,"",ROUND(SUMIFS(Пул!$J$5:$J$300,Пул!$E$5:$E$300,$B207,Пул!$L$5:$L$300,"Закрыт"),8)))</f>
        <v/>
      </c>
      <c r="H207" s="241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320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246">
        <f>IF($B208="","",IF(COUNTIFS(Пул!$E$5:$E$300,$B208,Пул!$L$5:$L$300,"Закрыт")=0,"",ROUND(SUMIFS(Пул!$J$5:$J$300,Пул!$E$5:$E$300,$B208,Пул!$L$5:$L$300,"Закрыт"),8)))</f>
        <v/>
      </c>
      <c r="H208" s="247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315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240">
        <f>IF($B209="","",IF(COUNTIFS(Пул!$E$5:$E$300,$B209,Пул!$L$5:$L$300,"Закрыт")=0,"",ROUND(SUMIFS(Пул!$J$5:$J$300,Пул!$E$5:$E$300,$B209,Пул!$L$5:$L$300,"Закрыт"),8)))</f>
        <v/>
      </c>
      <c r="H209" s="241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320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246">
        <f>IF($B210="","",IF(COUNTIFS(Пул!$E$5:$E$300,$B210,Пул!$L$5:$L$300,"Закрыт")=0,"",ROUND(SUMIFS(Пул!$J$5:$J$300,Пул!$E$5:$E$300,$B210,Пул!$L$5:$L$300,"Закрыт"),8)))</f>
        <v/>
      </c>
      <c r="H210" s="247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315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240">
        <f>IF($B211="","",IF(COUNTIFS(Пул!$E$5:$E$300,$B211,Пул!$L$5:$L$300,"Закрыт")=0,"",ROUND(SUMIFS(Пул!$J$5:$J$300,Пул!$E$5:$E$300,$B211,Пул!$L$5:$L$300,"Закрыт"),8)))</f>
        <v/>
      </c>
      <c r="H211" s="241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320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246">
        <f>IF($B212="","",IF(COUNTIFS(Пул!$E$5:$E$300,$B212,Пул!$L$5:$L$300,"Закрыт")=0,"",ROUND(SUMIFS(Пул!$J$5:$J$300,Пул!$E$5:$E$300,$B212,Пул!$L$5:$L$300,"Закрыт"),8)))</f>
        <v/>
      </c>
      <c r="H212" s="247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315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240">
        <f>IF($B213="","",IF(COUNTIFS(Пул!$E$5:$E$300,$B213,Пул!$L$5:$L$300,"Закрыт")=0,"",ROUND(SUMIFS(Пул!$J$5:$J$300,Пул!$E$5:$E$300,$B213,Пул!$L$5:$L$300,"Закрыт"),8)))</f>
        <v/>
      </c>
      <c r="H213" s="241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320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246">
        <f>IF($B214="","",IF(COUNTIFS(Пул!$E$5:$E$300,$B214,Пул!$L$5:$L$300,"Закрыт")=0,"",ROUND(SUMIFS(Пул!$J$5:$J$300,Пул!$E$5:$E$300,$B214,Пул!$L$5:$L$300,"Закрыт"),8)))</f>
        <v/>
      </c>
      <c r="H214" s="247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315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240">
        <f>IF($B215="","",IF(COUNTIFS(Пул!$E$5:$E$300,$B215,Пул!$L$5:$L$300,"Закрыт")=0,"",ROUND(SUMIFS(Пул!$J$5:$J$300,Пул!$E$5:$E$300,$B215,Пул!$L$5:$L$300,"Закрыт"),8)))</f>
        <v/>
      </c>
      <c r="H215" s="241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320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246">
        <f>IF($B216="","",IF(COUNTIFS(Пул!$E$5:$E$300,$B216,Пул!$L$5:$L$300,"Закрыт")=0,"",ROUND(SUMIFS(Пул!$J$5:$J$300,Пул!$E$5:$E$300,$B216,Пул!$L$5:$L$300,"Закрыт"),8)))</f>
        <v/>
      </c>
      <c r="H216" s="247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315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240">
        <f>IF($B217="","",IF(COUNTIFS(Пул!$E$5:$E$300,$B217,Пул!$L$5:$L$300,"Закрыт")=0,"",ROUND(SUMIFS(Пул!$J$5:$J$300,Пул!$E$5:$E$300,$B217,Пул!$L$5:$L$300,"Закрыт"),8)))</f>
        <v/>
      </c>
      <c r="H217" s="241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320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246">
        <f>IF($B218="","",IF(COUNTIFS(Пул!$E$5:$E$300,$B218,Пул!$L$5:$L$300,"Закрыт")=0,"",ROUND(SUMIFS(Пул!$J$5:$J$300,Пул!$E$5:$E$300,$B218,Пул!$L$5:$L$300,"Закрыт"),8)))</f>
        <v/>
      </c>
      <c r="H218" s="247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315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240">
        <f>IF($B219="","",IF(COUNTIFS(Пул!$E$5:$E$300,$B219,Пул!$L$5:$L$300,"Закрыт")=0,"",ROUND(SUMIFS(Пул!$J$5:$J$300,Пул!$E$5:$E$300,$B219,Пул!$L$5:$L$300,"Закрыт"),8)))</f>
        <v/>
      </c>
      <c r="H219" s="241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320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246">
        <f>IF($B220="","",IF(COUNTIFS(Пул!$E$5:$E$300,$B220,Пул!$L$5:$L$300,"Закрыт")=0,"",ROUND(SUMIFS(Пул!$J$5:$J$300,Пул!$E$5:$E$300,$B220,Пул!$L$5:$L$300,"Закрыт"),8)))</f>
        <v/>
      </c>
      <c r="H220" s="247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315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240">
        <f>IF($B221="","",IF(COUNTIFS(Пул!$E$5:$E$300,$B221,Пул!$L$5:$L$300,"Закрыт")=0,"",ROUND(SUMIFS(Пул!$J$5:$J$300,Пул!$E$5:$E$300,$B221,Пул!$L$5:$L$300,"Закрыт"),8)))</f>
        <v/>
      </c>
      <c r="H221" s="241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320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246">
        <f>IF($B222="","",IF(COUNTIFS(Пул!$E$5:$E$300,$B222,Пул!$L$5:$L$300,"Закрыт")=0,"",ROUND(SUMIFS(Пул!$J$5:$J$300,Пул!$E$5:$E$300,$B222,Пул!$L$5:$L$300,"Закрыт"),8)))</f>
        <v/>
      </c>
      <c r="H222" s="247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315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240">
        <f>IF($B223="","",IF(COUNTIFS(Пул!$E$5:$E$300,$B223,Пул!$L$5:$L$300,"Закрыт")=0,"",ROUND(SUMIFS(Пул!$J$5:$J$300,Пул!$E$5:$E$300,$B223,Пул!$L$5:$L$300,"Закрыт"),8)))</f>
        <v/>
      </c>
      <c r="H223" s="241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320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246">
        <f>IF($B224="","",IF(COUNTIFS(Пул!$E$5:$E$300,$B224,Пул!$L$5:$L$300,"Закрыт")=0,"",ROUND(SUMIFS(Пул!$J$5:$J$300,Пул!$E$5:$E$300,$B224,Пул!$L$5:$L$300,"Закрыт"),8)))</f>
        <v/>
      </c>
      <c r="H224" s="247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315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240">
        <f>IF($B225="","",IF(COUNTIFS(Пул!$E$5:$E$300,$B225,Пул!$L$5:$L$300,"Закрыт")=0,"",ROUND(SUMIFS(Пул!$J$5:$J$300,Пул!$E$5:$E$300,$B225,Пул!$L$5:$L$300,"Закрыт"),8)))</f>
        <v/>
      </c>
      <c r="H225" s="241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320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246">
        <f>IF($B226="","",IF(COUNTIFS(Пул!$E$5:$E$300,$B226,Пул!$L$5:$L$300,"Закрыт")=0,"",ROUND(SUMIFS(Пул!$J$5:$J$300,Пул!$E$5:$E$300,$B226,Пул!$L$5:$L$300,"Закрыт"),8)))</f>
        <v/>
      </c>
      <c r="H226" s="247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315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240">
        <f>IF($B227="","",IF(COUNTIFS(Пул!$E$5:$E$300,$B227,Пул!$L$5:$L$300,"Закрыт")=0,"",ROUND(SUMIFS(Пул!$J$5:$J$300,Пул!$E$5:$E$300,$B227,Пул!$L$5:$L$300,"Закрыт"),8)))</f>
        <v/>
      </c>
      <c r="H227" s="241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320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246">
        <f>IF($B228="","",IF(COUNTIFS(Пул!$E$5:$E$300,$B228,Пул!$L$5:$L$300,"Закрыт")=0,"",ROUND(SUMIFS(Пул!$J$5:$J$300,Пул!$E$5:$E$300,$B228,Пул!$L$5:$L$300,"Закрыт"),8)))</f>
        <v/>
      </c>
      <c r="H228" s="247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315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240">
        <f>IF($B229="","",IF(COUNTIFS(Пул!$E$5:$E$300,$B229,Пул!$L$5:$L$300,"Закрыт")=0,"",ROUND(SUMIFS(Пул!$J$5:$J$300,Пул!$E$5:$E$300,$B229,Пул!$L$5:$L$300,"Закрыт"),8)))</f>
        <v/>
      </c>
      <c r="H229" s="241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320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246">
        <f>IF($B230="","",IF(COUNTIFS(Пул!$E$5:$E$300,$B230,Пул!$L$5:$L$300,"Закрыт")=0,"",ROUND(SUMIFS(Пул!$J$5:$J$300,Пул!$E$5:$E$300,$B230,Пул!$L$5:$L$300,"Закрыт"),8)))</f>
        <v/>
      </c>
      <c r="H230" s="247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315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240">
        <f>IF($B231="","",IF(COUNTIFS(Пул!$E$5:$E$300,$B231,Пул!$L$5:$L$300,"Закрыт")=0,"",ROUND(SUMIFS(Пул!$J$5:$J$300,Пул!$E$5:$E$300,$B231,Пул!$L$5:$L$300,"Закрыт"),8)))</f>
        <v/>
      </c>
      <c r="H231" s="241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320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246">
        <f>IF($B232="","",IF(COUNTIFS(Пул!$E$5:$E$300,$B232,Пул!$L$5:$L$300,"Закрыт")=0,"",ROUND(SUMIFS(Пул!$J$5:$J$300,Пул!$E$5:$E$300,$B232,Пул!$L$5:$L$300,"Закрыт"),8)))</f>
        <v/>
      </c>
      <c r="H232" s="247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315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240">
        <f>IF($B233="","",IF(COUNTIFS(Пул!$E$5:$E$300,$B233,Пул!$L$5:$L$300,"Закрыт")=0,"",ROUND(SUMIFS(Пул!$J$5:$J$300,Пул!$E$5:$E$300,$B233,Пул!$L$5:$L$300,"Закрыт"),8)))</f>
        <v/>
      </c>
      <c r="H233" s="241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320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246">
        <f>IF($B234="","",IF(COUNTIFS(Пул!$E$5:$E$300,$B234,Пул!$L$5:$L$300,"Закрыт")=0,"",ROUND(SUMIFS(Пул!$J$5:$J$300,Пул!$E$5:$E$300,$B234,Пул!$L$5:$L$300,"Закрыт"),8)))</f>
        <v/>
      </c>
      <c r="H234" s="247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315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240">
        <f>IF($B235="","",IF(COUNTIFS(Пул!$E$5:$E$300,$B235,Пул!$L$5:$L$300,"Закрыт")=0,"",ROUND(SUMIFS(Пул!$J$5:$J$300,Пул!$E$5:$E$300,$B235,Пул!$L$5:$L$300,"Закрыт"),8)))</f>
        <v/>
      </c>
      <c r="H235" s="241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320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246">
        <f>IF($B236="","",IF(COUNTIFS(Пул!$E$5:$E$300,$B236,Пул!$L$5:$L$300,"Закрыт")=0,"",ROUND(SUMIFS(Пул!$J$5:$J$300,Пул!$E$5:$E$300,$B236,Пул!$L$5:$L$300,"Закрыт"),8)))</f>
        <v/>
      </c>
      <c r="H236" s="247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315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240">
        <f>IF($B237="","",IF(COUNTIFS(Пул!$E$5:$E$300,$B237,Пул!$L$5:$L$300,"Закрыт")=0,"",ROUND(SUMIFS(Пул!$J$5:$J$300,Пул!$E$5:$E$300,$B237,Пул!$L$5:$L$300,"Закрыт"),8)))</f>
        <v/>
      </c>
      <c r="H237" s="241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320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246">
        <f>IF($B238="","",IF(COUNTIFS(Пул!$E$5:$E$300,$B238,Пул!$L$5:$L$300,"Закрыт")=0,"",ROUND(SUMIFS(Пул!$J$5:$J$300,Пул!$E$5:$E$300,$B238,Пул!$L$5:$L$300,"Закрыт"),8)))</f>
        <v/>
      </c>
      <c r="H238" s="247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315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240">
        <f>IF($B239="","",IF(COUNTIFS(Пул!$E$5:$E$300,$B239,Пул!$L$5:$L$300,"Закрыт")=0,"",ROUND(SUMIFS(Пул!$J$5:$J$300,Пул!$E$5:$E$300,$B239,Пул!$L$5:$L$300,"Закрыт"),8)))</f>
        <v/>
      </c>
      <c r="H239" s="241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320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246">
        <f>IF($B240="","",IF(COUNTIFS(Пул!$E$5:$E$300,$B240,Пул!$L$5:$L$300,"Закрыт")=0,"",ROUND(SUMIFS(Пул!$J$5:$J$300,Пул!$E$5:$E$300,$B240,Пул!$L$5:$L$300,"Закрыт"),8)))</f>
        <v/>
      </c>
      <c r="H240" s="247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315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240">
        <f>IF($B241="","",IF(COUNTIFS(Пул!$E$5:$E$300,$B241,Пул!$L$5:$L$300,"Закрыт")=0,"",ROUND(SUMIFS(Пул!$J$5:$J$300,Пул!$E$5:$E$300,$B241,Пул!$L$5:$L$300,"Закрыт"),8)))</f>
        <v/>
      </c>
      <c r="H241" s="241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320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246">
        <f>IF($B242="","",IF(COUNTIFS(Пул!$E$5:$E$300,$B242,Пул!$L$5:$L$300,"Закрыт")=0,"",ROUND(SUMIFS(Пул!$J$5:$J$300,Пул!$E$5:$E$300,$B242,Пул!$L$5:$L$300,"Закрыт"),8)))</f>
        <v/>
      </c>
      <c r="H242" s="247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315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240">
        <f>IF($B243="","",IF(COUNTIFS(Пул!$E$5:$E$300,$B243,Пул!$L$5:$L$300,"Закрыт")=0,"",ROUND(SUMIFS(Пул!$J$5:$J$300,Пул!$E$5:$E$300,$B243,Пул!$L$5:$L$300,"Закрыт"),8)))</f>
        <v/>
      </c>
      <c r="H243" s="241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320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246">
        <f>IF($B244="","",IF(COUNTIFS(Пул!$E$5:$E$300,$B244,Пул!$L$5:$L$300,"Закрыт")=0,"",ROUND(SUMIFS(Пул!$J$5:$J$300,Пул!$E$5:$E$300,$B244,Пул!$L$5:$L$300,"Закрыт"),8)))</f>
        <v/>
      </c>
      <c r="H244" s="247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315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240">
        <f>IF($B245="","",IF(COUNTIFS(Пул!$E$5:$E$300,$B245,Пул!$L$5:$L$300,"Закрыт")=0,"",ROUND(SUMIFS(Пул!$J$5:$J$300,Пул!$E$5:$E$300,$B245,Пул!$L$5:$L$300,"Закрыт"),8)))</f>
        <v/>
      </c>
      <c r="H245" s="241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320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246">
        <f>IF($B246="","",IF(COUNTIFS(Пул!$E$5:$E$300,$B246,Пул!$L$5:$L$300,"Закрыт")=0,"",ROUND(SUMIFS(Пул!$J$5:$J$300,Пул!$E$5:$E$300,$B246,Пул!$L$5:$L$300,"Закрыт"),8)))</f>
        <v/>
      </c>
      <c r="H246" s="247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315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240">
        <f>IF($B247="","",IF(COUNTIFS(Пул!$E$5:$E$300,$B247,Пул!$L$5:$L$300,"Закрыт")=0,"",ROUND(SUMIFS(Пул!$J$5:$J$300,Пул!$E$5:$E$300,$B247,Пул!$L$5:$L$300,"Закрыт"),8)))</f>
        <v/>
      </c>
      <c r="H247" s="241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320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246">
        <f>IF($B248="","",IF(COUNTIFS(Пул!$E$5:$E$300,$B248,Пул!$L$5:$L$300,"Закрыт")=0,"",ROUND(SUMIFS(Пул!$J$5:$J$300,Пул!$E$5:$E$300,$B248,Пул!$L$5:$L$300,"Закрыт"),8)))</f>
        <v/>
      </c>
      <c r="H248" s="247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315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240">
        <f>IF($B249="","",IF(COUNTIFS(Пул!$E$5:$E$300,$B249,Пул!$L$5:$L$300,"Закрыт")=0,"",ROUND(SUMIFS(Пул!$J$5:$J$300,Пул!$E$5:$E$300,$B249,Пул!$L$5:$L$300,"Закрыт"),8)))</f>
        <v/>
      </c>
      <c r="H249" s="241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320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246">
        <f>IF($B250="","",IF(COUNTIFS(Пул!$E$5:$E$300,$B250,Пул!$L$5:$L$300,"Закрыт")=0,"",ROUND(SUMIFS(Пул!$J$5:$J$300,Пул!$E$5:$E$300,$B250,Пул!$L$5:$L$300,"Закрыт"),8)))</f>
        <v/>
      </c>
      <c r="H250" s="247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315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240">
        <f>IF($B251="","",IF(COUNTIFS(Пул!$E$5:$E$300,$B251,Пул!$L$5:$L$300,"Закрыт")=0,"",ROUND(SUMIFS(Пул!$J$5:$J$300,Пул!$E$5:$E$300,$B251,Пул!$L$5:$L$300,"Закрыт"),8)))</f>
        <v/>
      </c>
      <c r="H251" s="241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320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246">
        <f>IF($B252="","",IF(COUNTIFS(Пул!$E$5:$E$300,$B252,Пул!$L$5:$L$300,"Закрыт")=0,"",ROUND(SUMIFS(Пул!$J$5:$J$300,Пул!$E$5:$E$300,$B252,Пул!$L$5:$L$300,"Закрыт"),8)))</f>
        <v/>
      </c>
      <c r="H252" s="247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315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240">
        <f>IF($B253="","",IF(COUNTIFS(Пул!$E$5:$E$300,$B253,Пул!$L$5:$L$300,"Закрыт")=0,"",ROUND(SUMIFS(Пул!$J$5:$J$300,Пул!$E$5:$E$300,$B253,Пул!$L$5:$L$300,"Закрыт"),8)))</f>
        <v/>
      </c>
      <c r="H253" s="241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320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246">
        <f>IF($B254="","",IF(COUNTIFS(Пул!$E$5:$E$300,$B254,Пул!$L$5:$L$300,"Закрыт")=0,"",ROUND(SUMIFS(Пул!$J$5:$J$300,Пул!$E$5:$E$300,$B254,Пул!$L$5:$L$300,"Закрыт"),8)))</f>
        <v/>
      </c>
      <c r="H254" s="247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315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240">
        <f>IF($B255="","",IF(COUNTIFS(Пул!$E$5:$E$300,$B255,Пул!$L$5:$L$300,"Закрыт")=0,"",ROUND(SUMIFS(Пул!$J$5:$J$300,Пул!$E$5:$E$300,$B255,Пул!$L$5:$L$300,"Закрыт"),8)))</f>
        <v/>
      </c>
      <c r="H255" s="241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320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246">
        <f>IF($B256="","",IF(COUNTIFS(Пул!$E$5:$E$300,$B256,Пул!$L$5:$L$300,"Закрыт")=0,"",ROUND(SUMIFS(Пул!$J$5:$J$300,Пул!$E$5:$E$300,$B256,Пул!$L$5:$L$300,"Закрыт"),8)))</f>
        <v/>
      </c>
      <c r="H256" s="247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315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240">
        <f>IF($B257="","",IF(COUNTIFS(Пул!$E$5:$E$300,$B257,Пул!$L$5:$L$300,"Закрыт")=0,"",ROUND(SUMIFS(Пул!$J$5:$J$300,Пул!$E$5:$E$300,$B257,Пул!$L$5:$L$300,"Закрыт"),8)))</f>
        <v/>
      </c>
      <c r="H257" s="241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320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246">
        <f>IF($B258="","",IF(COUNTIFS(Пул!$E$5:$E$300,$B258,Пул!$L$5:$L$300,"Закрыт")=0,"",ROUND(SUMIFS(Пул!$J$5:$J$300,Пул!$E$5:$E$300,$B258,Пул!$L$5:$L$300,"Закрыт"),8)))</f>
        <v/>
      </c>
      <c r="H258" s="247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315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240">
        <f>IF($B259="","",IF(COUNTIFS(Пул!$E$5:$E$300,$B259,Пул!$L$5:$L$300,"Закрыт")=0,"",ROUND(SUMIFS(Пул!$J$5:$J$300,Пул!$E$5:$E$300,$B259,Пул!$L$5:$L$300,"Закрыт"),8)))</f>
        <v/>
      </c>
      <c r="H259" s="241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320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246">
        <f>IF($B260="","",IF(COUNTIFS(Пул!$E$5:$E$300,$B260,Пул!$L$5:$L$300,"Закрыт")=0,"",ROUND(SUMIFS(Пул!$J$5:$J$300,Пул!$E$5:$E$300,$B260,Пул!$L$5:$L$300,"Закрыт"),8)))</f>
        <v/>
      </c>
      <c r="H260" s="247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315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240">
        <f>IF($B261="","",IF(COUNTIFS(Пул!$E$5:$E$300,$B261,Пул!$L$5:$L$300,"Закрыт")=0,"",ROUND(SUMIFS(Пул!$J$5:$J$300,Пул!$E$5:$E$300,$B261,Пул!$L$5:$L$300,"Закрыт"),8)))</f>
        <v/>
      </c>
      <c r="H261" s="241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320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246">
        <f>IF($B262="","",IF(COUNTIFS(Пул!$E$5:$E$300,$B262,Пул!$L$5:$L$300,"Закрыт")=0,"",ROUND(SUMIFS(Пул!$J$5:$J$300,Пул!$E$5:$E$300,$B262,Пул!$L$5:$L$300,"Закрыт"),8)))</f>
        <v/>
      </c>
      <c r="H262" s="247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315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240">
        <f>IF($B263="","",IF(COUNTIFS(Пул!$E$5:$E$300,$B263,Пул!$L$5:$L$300,"Закрыт")=0,"",ROUND(SUMIFS(Пул!$J$5:$J$300,Пул!$E$5:$E$300,$B263,Пул!$L$5:$L$300,"Закрыт"),8)))</f>
        <v/>
      </c>
      <c r="H263" s="241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320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246">
        <f>IF($B264="","",IF(COUNTIFS(Пул!$E$5:$E$300,$B264,Пул!$L$5:$L$300,"Закрыт")=0,"",ROUND(SUMIFS(Пул!$J$5:$J$300,Пул!$E$5:$E$300,$B264,Пул!$L$5:$L$300,"Закрыт"),8)))</f>
        <v/>
      </c>
      <c r="H264" s="247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315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240">
        <f>IF($B265="","",IF(COUNTIFS(Пул!$E$5:$E$300,$B265,Пул!$L$5:$L$300,"Закрыт")=0,"",ROUND(SUMIFS(Пул!$J$5:$J$300,Пул!$E$5:$E$300,$B265,Пул!$L$5:$L$300,"Закрыт"),8)))</f>
        <v/>
      </c>
      <c r="H265" s="241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320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246">
        <f>IF($B266="","",IF(COUNTIFS(Пул!$E$5:$E$300,$B266,Пул!$L$5:$L$300,"Закрыт")=0,"",ROUND(SUMIFS(Пул!$J$5:$J$300,Пул!$E$5:$E$300,$B266,Пул!$L$5:$L$300,"Закрыт"),8)))</f>
        <v/>
      </c>
      <c r="H266" s="247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315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240">
        <f>IF($B267="","",IF(COUNTIFS(Пул!$E$5:$E$300,$B267,Пул!$L$5:$L$300,"Закрыт")=0,"",ROUND(SUMIFS(Пул!$J$5:$J$300,Пул!$E$5:$E$300,$B267,Пул!$L$5:$L$300,"Закрыт"),8)))</f>
        <v/>
      </c>
      <c r="H267" s="241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320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246">
        <f>IF($B268="","",IF(COUNTIFS(Пул!$E$5:$E$300,$B268,Пул!$L$5:$L$300,"Закрыт")=0,"",ROUND(SUMIFS(Пул!$J$5:$J$300,Пул!$E$5:$E$300,$B268,Пул!$L$5:$L$300,"Закрыт"),8)))</f>
        <v/>
      </c>
      <c r="H268" s="247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315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240">
        <f>IF($B269="","",IF(COUNTIFS(Пул!$E$5:$E$300,$B269,Пул!$L$5:$L$300,"Закрыт")=0,"",ROUND(SUMIFS(Пул!$J$5:$J$300,Пул!$E$5:$E$300,$B269,Пул!$L$5:$L$300,"Закрыт"),8)))</f>
        <v/>
      </c>
      <c r="H269" s="241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320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246">
        <f>IF($B270="","",IF(COUNTIFS(Пул!$E$5:$E$300,$B270,Пул!$L$5:$L$300,"Закрыт")=0,"",ROUND(SUMIFS(Пул!$J$5:$J$300,Пул!$E$5:$E$300,$B270,Пул!$L$5:$L$300,"Закрыт"),8)))</f>
        <v/>
      </c>
      <c r="H270" s="247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315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240">
        <f>IF($B271="","",IF(COUNTIFS(Пул!$E$5:$E$300,$B271,Пул!$L$5:$L$300,"Закрыт")=0,"",ROUND(SUMIFS(Пул!$J$5:$J$300,Пул!$E$5:$E$300,$B271,Пул!$L$5:$L$300,"Закрыт"),8)))</f>
        <v/>
      </c>
      <c r="H271" s="241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320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246">
        <f>IF($B272="","",IF(COUNTIFS(Пул!$E$5:$E$300,$B272,Пул!$L$5:$L$300,"Закрыт")=0,"",ROUND(SUMIFS(Пул!$J$5:$J$300,Пул!$E$5:$E$300,$B272,Пул!$L$5:$L$300,"Закрыт"),8)))</f>
        <v/>
      </c>
      <c r="H272" s="247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315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240">
        <f>IF($B273="","",IF(COUNTIFS(Пул!$E$5:$E$300,$B273,Пул!$L$5:$L$300,"Закрыт")=0,"",ROUND(SUMIFS(Пул!$J$5:$J$300,Пул!$E$5:$E$300,$B273,Пул!$L$5:$L$300,"Закрыт"),8)))</f>
        <v/>
      </c>
      <c r="H273" s="241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320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246">
        <f>IF($B274="","",IF(COUNTIFS(Пул!$E$5:$E$300,$B274,Пул!$L$5:$L$300,"Закрыт")=0,"",ROUND(SUMIFS(Пул!$J$5:$J$300,Пул!$E$5:$E$300,$B274,Пул!$L$5:$L$300,"Закрыт"),8)))</f>
        <v/>
      </c>
      <c r="H274" s="247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315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240">
        <f>IF($B275="","",IF(COUNTIFS(Пул!$E$5:$E$300,$B275,Пул!$L$5:$L$300,"Закрыт")=0,"",ROUND(SUMIFS(Пул!$J$5:$J$300,Пул!$E$5:$E$300,$B275,Пул!$L$5:$L$300,"Закрыт"),8)))</f>
        <v/>
      </c>
      <c r="H275" s="241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320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246">
        <f>IF($B276="","",IF(COUNTIFS(Пул!$E$5:$E$300,$B276,Пул!$L$5:$L$300,"Закрыт")=0,"",ROUND(SUMIFS(Пул!$J$5:$J$300,Пул!$E$5:$E$300,$B276,Пул!$L$5:$L$300,"Закрыт"),8)))</f>
        <v/>
      </c>
      <c r="H276" s="247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315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240">
        <f>IF($B277="","",IF(COUNTIFS(Пул!$E$5:$E$300,$B277,Пул!$L$5:$L$300,"Закрыт")=0,"",ROUND(SUMIFS(Пул!$J$5:$J$300,Пул!$E$5:$E$300,$B277,Пул!$L$5:$L$300,"Закрыт"),8)))</f>
        <v/>
      </c>
      <c r="H277" s="241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320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246">
        <f>IF($B278="","",IF(COUNTIFS(Пул!$E$5:$E$300,$B278,Пул!$L$5:$L$300,"Закрыт")=0,"",ROUND(SUMIFS(Пул!$J$5:$J$300,Пул!$E$5:$E$300,$B278,Пул!$L$5:$L$300,"Закрыт"),8)))</f>
        <v/>
      </c>
      <c r="H278" s="247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315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240">
        <f>IF($B279="","",IF(COUNTIFS(Пул!$E$5:$E$300,$B279,Пул!$L$5:$L$300,"Закрыт")=0,"",ROUND(SUMIFS(Пул!$J$5:$J$300,Пул!$E$5:$E$300,$B279,Пул!$L$5:$L$300,"Закрыт"),8)))</f>
        <v/>
      </c>
      <c r="H279" s="241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320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246">
        <f>IF($B280="","",IF(COUNTIFS(Пул!$E$5:$E$300,$B280,Пул!$L$5:$L$300,"Закрыт")=0,"",ROUND(SUMIFS(Пул!$J$5:$J$300,Пул!$E$5:$E$300,$B280,Пул!$L$5:$L$300,"Закрыт"),8)))</f>
        <v/>
      </c>
      <c r="H280" s="247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315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240">
        <f>IF($B281="","",IF(COUNTIFS(Пул!$E$5:$E$300,$B281,Пул!$L$5:$L$300,"Закрыт")=0,"",ROUND(SUMIFS(Пул!$J$5:$J$300,Пул!$E$5:$E$300,$B281,Пул!$L$5:$L$300,"Закрыт"),8)))</f>
        <v/>
      </c>
      <c r="H281" s="241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320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246">
        <f>IF($B282="","",IF(COUNTIFS(Пул!$E$5:$E$300,$B282,Пул!$L$5:$L$300,"Закрыт")=0,"",ROUND(SUMIFS(Пул!$J$5:$J$300,Пул!$E$5:$E$300,$B282,Пул!$L$5:$L$300,"Закрыт"),8)))</f>
        <v/>
      </c>
      <c r="H282" s="247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315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240">
        <f>IF($B283="","",IF(COUNTIFS(Пул!$E$5:$E$300,$B283,Пул!$L$5:$L$300,"Закрыт")=0,"",ROUND(SUMIFS(Пул!$J$5:$J$300,Пул!$E$5:$E$300,$B283,Пул!$L$5:$L$300,"Закрыт"),8)))</f>
        <v/>
      </c>
      <c r="H283" s="241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320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246">
        <f>IF($B284="","",IF(COUNTIFS(Пул!$E$5:$E$300,$B284,Пул!$L$5:$L$300,"Закрыт")=0,"",ROUND(SUMIFS(Пул!$J$5:$J$300,Пул!$E$5:$E$300,$B284,Пул!$L$5:$L$300,"Закрыт"),8)))</f>
        <v/>
      </c>
      <c r="H284" s="247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315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240">
        <f>IF($B285="","",IF(COUNTIFS(Пул!$E$5:$E$300,$B285,Пул!$L$5:$L$300,"Закрыт")=0,"",ROUND(SUMIFS(Пул!$J$5:$J$300,Пул!$E$5:$E$300,$B285,Пул!$L$5:$L$300,"Закрыт"),8)))</f>
        <v/>
      </c>
      <c r="H285" s="241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320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246">
        <f>IF($B286="","",IF(COUNTIFS(Пул!$E$5:$E$300,$B286,Пул!$L$5:$L$300,"Закрыт")=0,"",ROUND(SUMIFS(Пул!$J$5:$J$300,Пул!$E$5:$E$300,$B286,Пул!$L$5:$L$300,"Закрыт"),8)))</f>
        <v/>
      </c>
      <c r="H286" s="247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315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240">
        <f>IF($B287="","",IF(COUNTIFS(Пул!$E$5:$E$300,$B287,Пул!$L$5:$L$300,"Закрыт")=0,"",ROUND(SUMIFS(Пул!$J$5:$J$300,Пул!$E$5:$E$300,$B287,Пул!$L$5:$L$300,"Закрыт"),8)))</f>
        <v/>
      </c>
      <c r="H287" s="241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320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246">
        <f>IF($B288="","",IF(COUNTIFS(Пул!$E$5:$E$300,$B288,Пул!$L$5:$L$300,"Закрыт")=0,"",ROUND(SUMIFS(Пул!$J$5:$J$300,Пул!$E$5:$E$300,$B288,Пул!$L$5:$L$300,"Закрыт"),8)))</f>
        <v/>
      </c>
      <c r="H288" s="247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315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240">
        <f>IF($B289="","",IF(COUNTIFS(Пул!$E$5:$E$300,$B289,Пул!$L$5:$L$300,"Закрыт")=0,"",ROUND(SUMIFS(Пул!$J$5:$J$300,Пул!$E$5:$E$300,$B289,Пул!$L$5:$L$300,"Закрыт"),8)))</f>
        <v/>
      </c>
      <c r="H289" s="241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320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246">
        <f>IF($B290="","",IF(COUNTIFS(Пул!$E$5:$E$300,$B290,Пул!$L$5:$L$300,"Закрыт")=0,"",ROUND(SUMIFS(Пул!$J$5:$J$300,Пул!$E$5:$E$300,$B290,Пул!$L$5:$L$300,"Закрыт"),8)))</f>
        <v/>
      </c>
      <c r="H290" s="247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315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240">
        <f>IF($B291="","",IF(COUNTIFS(Пул!$E$5:$E$300,$B291,Пул!$L$5:$L$300,"Закрыт")=0,"",ROUND(SUMIFS(Пул!$J$5:$J$300,Пул!$E$5:$E$300,$B291,Пул!$L$5:$L$300,"Закрыт"),8)))</f>
        <v/>
      </c>
      <c r="H291" s="241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320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246">
        <f>IF($B292="","",IF(COUNTIFS(Пул!$E$5:$E$300,$B292,Пул!$L$5:$L$300,"Закрыт")=0,"",ROUND(SUMIFS(Пул!$J$5:$J$300,Пул!$E$5:$E$300,$B292,Пул!$L$5:$L$300,"Закрыт"),8)))</f>
        <v/>
      </c>
      <c r="H292" s="247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315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240">
        <f>IF($B293="","",IF(COUNTIFS(Пул!$E$5:$E$300,$B293,Пул!$L$5:$L$300,"Закрыт")=0,"",ROUND(SUMIFS(Пул!$J$5:$J$300,Пул!$E$5:$E$300,$B293,Пул!$L$5:$L$300,"Закрыт"),8)))</f>
        <v/>
      </c>
      <c r="H293" s="241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320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246">
        <f>IF($B294="","",IF(COUNTIFS(Пул!$E$5:$E$300,$B294,Пул!$L$5:$L$300,"Закрыт")=0,"",ROUND(SUMIFS(Пул!$J$5:$J$300,Пул!$E$5:$E$300,$B294,Пул!$L$5:$L$300,"Закрыт"),8)))</f>
        <v/>
      </c>
      <c r="H294" s="247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315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240">
        <f>IF($B295="","",IF(COUNTIFS(Пул!$E$5:$E$300,$B295,Пул!$L$5:$L$300,"Закрыт")=0,"",ROUND(SUMIFS(Пул!$J$5:$J$300,Пул!$E$5:$E$300,$B295,Пул!$L$5:$L$300,"Закрыт"),8)))</f>
        <v/>
      </c>
      <c r="H295" s="241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320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246">
        <f>IF($B296="","",IF(COUNTIFS(Пул!$E$5:$E$300,$B296,Пул!$L$5:$L$300,"Закрыт")=0,"",ROUND(SUMIFS(Пул!$J$5:$J$300,Пул!$E$5:$E$300,$B296,Пул!$L$5:$L$300,"Закрыт"),8)))</f>
        <v/>
      </c>
      <c r="H296" s="247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315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240">
        <f>IF($B297="","",IF(COUNTIFS(Пул!$E$5:$E$300,$B297,Пул!$L$5:$L$300,"Закрыт")=0,"",ROUND(SUMIFS(Пул!$J$5:$J$300,Пул!$E$5:$E$300,$B297,Пул!$L$5:$L$300,"Закрыт"),8)))</f>
        <v/>
      </c>
      <c r="H297" s="241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320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246">
        <f>IF($B298="","",IF(COUNTIFS(Пул!$E$5:$E$300,$B298,Пул!$L$5:$L$300,"Закрыт")=0,"",ROUND(SUMIFS(Пул!$J$5:$J$300,Пул!$E$5:$E$300,$B298,Пул!$L$5:$L$300,"Закрыт"),8)))</f>
        <v/>
      </c>
      <c r="H298" s="247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315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240">
        <f>IF($B299="","",IF(COUNTIFS(Пул!$E$5:$E$300,$B299,Пул!$L$5:$L$300,"Закрыт")=0,"",ROUND(SUMIFS(Пул!$J$5:$J$300,Пул!$E$5:$E$300,$B299,Пул!$L$5:$L$300,"Закрыт"),8)))</f>
        <v/>
      </c>
      <c r="H299" s="241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320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246">
        <f>IF($B300="","",IF(COUNTIFS(Пул!$E$5:$E$300,$B300,Пул!$L$5:$L$300,"Закрыт")=0,"",ROUND(SUMIFS(Пул!$J$5:$J$300,Пул!$E$5:$E$300,$B300,Пул!$L$5:$L$300,"Закрыт"),8)))</f>
        <v/>
      </c>
      <c r="H300" s="247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>
        <v>2</v>
      </c>
      <c r="G5" s="317" t="n">
        <v>586.17</v>
      </c>
      <c r="H5" s="271">
        <f>IF(AND(ISNUMBER(F5),ISNUMBER(G5)),F5*G5,"")</f>
        <v/>
      </c>
      <c r="I5" s="316" t="n">
        <v>2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318" t="inlineStr">
        <is>
          <t>T-0006</t>
        </is>
      </c>
      <c r="C6" s="319" t="n">
        <v>46299</v>
      </c>
      <c r="D6" s="318" t="inlineStr">
        <is>
          <t>OKX</t>
        </is>
      </c>
      <c r="E6" s="320" t="inlineStr">
        <is>
          <t>BTC/USDT</t>
        </is>
      </c>
      <c r="F6" s="321" t="n">
        <v>0.05</v>
      </c>
      <c r="G6" s="322" t="n">
        <v>62324.4</v>
      </c>
      <c r="H6" s="271">
        <f>IF(AND(ISNUMBER(F6),ISNUMBER(G6)),F6*G6,"")</f>
        <v/>
      </c>
      <c r="I6" s="321" t="n">
        <v>0.05</v>
      </c>
      <c r="J6" s="322" t="n">
        <v>62874</v>
      </c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313" t="inlineStr">
        <is>
          <t>T-0002</t>
        </is>
      </c>
      <c r="C7" s="314" t="n">
        <v>46297</v>
      </c>
      <c r="D7" s="313" t="inlineStr">
        <is>
          <t>Bybit</t>
        </is>
      </c>
      <c r="E7" s="315" t="inlineStr">
        <is>
          <t>ETH/USDT</t>
        </is>
      </c>
      <c r="F7" s="316" t="n">
        <v>1</v>
      </c>
      <c r="G7" s="317" t="n">
        <v>3206.4</v>
      </c>
      <c r="H7" s="271">
        <f>IF(AND(ISNUMBER(F7),ISNUMBER(G7)),F7*G7,"")</f>
        <v/>
      </c>
      <c r="I7" s="316" t="n">
        <v>1</v>
      </c>
      <c r="J7" s="317" t="n">
        <v>3343.3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318" t="inlineStr">
        <is>
          <t>T-0003</t>
        </is>
      </c>
      <c r="C8" s="319" t="n">
        <v>46298</v>
      </c>
      <c r="D8" s="318" t="inlineStr">
        <is>
          <t>OKX</t>
        </is>
      </c>
      <c r="E8" s="320" t="inlineStr">
        <is>
          <t>SOL/USDT</t>
        </is>
      </c>
      <c r="F8" s="321" t="n">
        <v>20</v>
      </c>
      <c r="G8" s="322" t="n">
        <v>145.29</v>
      </c>
      <c r="H8" s="271">
        <f>IF(AND(ISNUMBER(F8),ISNUMBER(G8)),F8*G8,"")</f>
        <v/>
      </c>
      <c r="I8" s="321" t="n">
        <v>20</v>
      </c>
      <c r="J8" s="322" t="n">
        <v>151.696</v>
      </c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313" t="inlineStr">
        <is>
          <t>L-0013</t>
        </is>
      </c>
      <c r="C9" s="314" t="n">
        <v>46299</v>
      </c>
      <c r="D9" s="313" t="inlineStr">
        <is>
          <t>Binance</t>
        </is>
      </c>
      <c r="E9" s="315" t="inlineStr">
        <is>
          <t>BNB/USDT</t>
        </is>
      </c>
      <c r="F9" s="316" t="n">
        <v>1.5</v>
      </c>
      <c r="G9" s="317" t="n">
        <v>585</v>
      </c>
      <c r="H9" s="271">
        <f>IF(AND(ISNUMBER(F9),ISNUMBER(G9)),F9*G9,"")</f>
        <v/>
      </c>
      <c r="I9" s="316" t="n">
        <v>1.5</v>
      </c>
      <c r="J9" s="317" t="n">
        <v>597</v>
      </c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318" t="inlineStr">
        <is>
          <t>L-0014</t>
        </is>
      </c>
      <c r="C10" s="319" t="n">
        <v>46298</v>
      </c>
      <c r="D10" s="318" t="inlineStr">
        <is>
          <t>OKX</t>
        </is>
      </c>
      <c r="E10" s="320" t="inlineStr">
        <is>
          <t>ETH/USDT</t>
        </is>
      </c>
      <c r="F10" s="321" t="n">
        <v>0.5</v>
      </c>
      <c r="G10" s="322" t="n">
        <v>3210</v>
      </c>
      <c r="H10" s="271">
        <f>IF(AND(ISNUMBER(F10),ISNUMBER(G10)),F10*G10,"")</f>
        <v/>
      </c>
      <c r="I10" s="321" t="n">
        <v>0.5</v>
      </c>
      <c r="J10" s="322" t="n">
        <v>3340</v>
      </c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313" t="inlineStr">
        <is>
          <t>L-0015</t>
        </is>
      </c>
      <c r="C11" s="314" t="n">
        <v>46297</v>
      </c>
      <c r="D11" s="313" t="inlineStr">
        <is>
          <t>Bybit</t>
        </is>
      </c>
      <c r="E11" s="315" t="inlineStr">
        <is>
          <t>SOL/USDT</t>
        </is>
      </c>
      <c r="F11" s="316" t="n">
        <v>10</v>
      </c>
      <c r="G11" s="317" t="n">
        <v>145</v>
      </c>
      <c r="H11" s="271">
        <f>IF(AND(ISNUMBER(F11),ISNUMBER(G11)),F11*G11,"")</f>
        <v/>
      </c>
      <c r="I11" s="316" t="n">
        <v>10</v>
      </c>
      <c r="J11" s="317" t="n">
        <v>150.5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318" t="inlineStr">
        <is>
          <t>T-0018</t>
        </is>
      </c>
      <c r="C12" s="319" t="n">
        <v>46303</v>
      </c>
      <c r="D12" s="318" t="inlineStr">
        <is>
          <t>Binance</t>
        </is>
      </c>
      <c r="E12" s="320" t="inlineStr">
        <is>
          <t>BTC/USDT</t>
        </is>
      </c>
      <c r="F12" s="321" t="n">
        <v>0.2</v>
      </c>
      <c r="G12" s="322" t="n">
        <v>61923.6</v>
      </c>
      <c r="H12" s="271">
        <f>IF(AND(ISNUMBER(F12),ISNUMBER(G12)),F12*G12,"")</f>
        <v/>
      </c>
      <c r="I12" s="321" t="n">
        <v>0.2</v>
      </c>
      <c r="J12" s="322" t="n">
        <v>62375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313" t="inlineStr">
        <is>
          <t>T-0019</t>
        </is>
      </c>
      <c r="C13" s="314" t="n">
        <v>46304</v>
      </c>
      <c r="D13" s="313" t="inlineStr">
        <is>
          <t>Bybit</t>
        </is>
      </c>
      <c r="E13" s="315" t="inlineStr">
        <is>
          <t>ETH/BTC</t>
        </is>
      </c>
      <c r="F13" s="316" t="n">
        <v>2</v>
      </c>
      <c r="G13" s="317" t="n">
        <v>0.0510018</v>
      </c>
      <c r="H13" s="271">
        <f>IF(AND(ISNUMBER(F13),ISNUMBER(G13)),F13*G13,"")</f>
        <v/>
      </c>
      <c r="I13" s="316" t="n">
        <v>2</v>
      </c>
      <c r="J13" s="317" t="n">
        <v>0.0514968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318" t="inlineStr">
        <is>
          <t>T-0020</t>
        </is>
      </c>
      <c r="C14" s="319" t="n">
        <v>46304</v>
      </c>
      <c r="D14" s="318" t="inlineStr">
        <is>
          <t>OKX</t>
        </is>
      </c>
      <c r="E14" s="320" t="inlineStr">
        <is>
          <t>XRP/USDT</t>
        </is>
      </c>
      <c r="F14" s="321" t="n">
        <v>1500</v>
      </c>
      <c r="G14" s="322" t="n">
        <v>2.1543</v>
      </c>
      <c r="H14" s="271">
        <f>IF(AND(ISNUMBER(F14),ISNUMBER(G14)),F14*G14,"")</f>
        <v/>
      </c>
      <c r="I14" s="321" t="n">
        <v>1500</v>
      </c>
      <c r="J14" s="322" t="n">
        <v>2.27544</v>
      </c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313" t="inlineStr">
        <is>
          <t>T-0021</t>
        </is>
      </c>
      <c r="C15" s="314" t="n">
        <v>46304</v>
      </c>
      <c r="D15" s="313" t="inlineStr">
        <is>
          <t>Binance</t>
        </is>
      </c>
      <c r="E15" s="315" t="inlineStr">
        <is>
          <t>DOGE/USDT</t>
        </is>
      </c>
      <c r="F15" s="316" t="n">
        <v>20000</v>
      </c>
      <c r="G15" s="317" t="n">
        <v>0.178356</v>
      </c>
      <c r="H15" s="271">
        <f>IF(AND(ISNUMBER(F15),ISNUMBER(G15)),F15*G15,"")</f>
        <v/>
      </c>
      <c r="I15" s="316" t="n">
        <v>20000</v>
      </c>
      <c r="J15" s="317" t="n">
        <v>0.18463</v>
      </c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318" t="inlineStr">
        <is>
          <t>T-0022</t>
        </is>
      </c>
      <c r="C16" s="319" t="n">
        <v>46304</v>
      </c>
      <c r="D16" s="318" t="inlineStr">
        <is>
          <t>Bybit</t>
        </is>
      </c>
      <c r="E16" s="320" t="inlineStr">
        <is>
          <t>LINK/ETH</t>
        </is>
      </c>
      <c r="F16" s="321" t="n">
        <v>100</v>
      </c>
      <c r="G16" s="322" t="n">
        <v>0.0043587</v>
      </c>
      <c r="H16" s="271">
        <f>IF(AND(ISNUMBER(F16),ISNUMBER(G16)),F16*G16,"")</f>
        <v/>
      </c>
      <c r="I16" s="321" t="n">
        <v>100</v>
      </c>
      <c r="J16" s="322" t="n">
        <v>0.00447104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313" t="inlineStr">
        <is>
          <t>T-0023</t>
        </is>
      </c>
      <c r="C17" s="314" t="n">
        <v>46304</v>
      </c>
      <c r="D17" s="313" t="inlineStr">
        <is>
          <t>Binance</t>
        </is>
      </c>
      <c r="E17" s="315" t="inlineStr">
        <is>
          <t>BNB/ETH</t>
        </is>
      </c>
      <c r="F17" s="316" t="n">
        <v>4</v>
      </c>
      <c r="G17" s="317" t="n">
        <v>0.187875</v>
      </c>
      <c r="H17" s="271">
        <f>IF(AND(ISNUMBER(F17),ISNUMBER(G17)),F17*G17,"")</f>
        <v/>
      </c>
      <c r="I17" s="316" t="n">
        <v>4</v>
      </c>
      <c r="J17" s="317" t="n">
        <v>0.191616</v>
      </c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318" t="inlineStr">
        <is>
          <t>T-0024</t>
        </is>
      </c>
      <c r="C18" s="319" t="n">
        <v>46304</v>
      </c>
      <c r="D18" s="318" t="inlineStr">
        <is>
          <t>Bybit</t>
        </is>
      </c>
      <c r="E18" s="320" t="inlineStr">
        <is>
          <t>BNB/BTC</t>
        </is>
      </c>
      <c r="F18" s="321" t="n">
        <v>3</v>
      </c>
      <c r="G18" s="322" t="n">
        <v>0.009569100000000001</v>
      </c>
      <c r="H18" s="271">
        <f>IF(AND(ISNUMBER(F18),ISNUMBER(G18)),F18*G18,"")</f>
        <v/>
      </c>
      <c r="I18" s="321" t="n">
        <v>3</v>
      </c>
      <c r="J18" s="322" t="n">
        <v>0.00966064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313" t="inlineStr">
        <is>
          <t>T-0025</t>
        </is>
      </c>
      <c r="C19" s="314" t="n">
        <v>46304</v>
      </c>
      <c r="D19" s="313" t="inlineStr">
        <is>
          <t>OKX</t>
        </is>
      </c>
      <c r="E19" s="315" t="inlineStr">
        <is>
          <t>CAKE/ETH</t>
        </is>
      </c>
      <c r="F19" s="316" t="n">
        <v>250</v>
      </c>
      <c r="G19" s="317" t="n">
        <v>0.0007515</v>
      </c>
      <c r="H19" s="271">
        <f>IF(AND(ISNUMBER(F19),ISNUMBER(G19)),F19*G19,"")</f>
        <v/>
      </c>
      <c r="I19" s="316" t="n">
        <v>250</v>
      </c>
      <c r="J19" s="317" t="n">
        <v>0.00078842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318" t="inlineStr">
        <is>
          <t>T-0026</t>
        </is>
      </c>
      <c r="C20" s="319" t="n">
        <v>46304</v>
      </c>
      <c r="D20" s="318" t="inlineStr">
        <is>
          <t>Binance</t>
        </is>
      </c>
      <c r="E20" s="320" t="inlineStr">
        <is>
          <t>DASH/BTC</t>
        </is>
      </c>
      <c r="F20" s="321" t="n">
        <v>12</v>
      </c>
      <c r="G20" s="322" t="n">
        <v>0.00061423</v>
      </c>
      <c r="H20" s="271">
        <f>IF(AND(ISNUMBER(F20),ISNUMBER(G20)),F20*G20,"")</f>
        <v/>
      </c>
      <c r="I20" s="321" t="n">
        <v>12</v>
      </c>
      <c r="J20" s="322" t="n">
        <v>0.00063872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313" t="inlineStr">
        <is>
          <t>T-0027</t>
        </is>
      </c>
      <c r="C21" s="314" t="n">
        <v>46304</v>
      </c>
      <c r="D21" s="313" t="inlineStr">
        <is>
          <t>Bybit</t>
        </is>
      </c>
      <c r="E21" s="315" t="inlineStr">
        <is>
          <t>DASH/LTC</t>
        </is>
      </c>
      <c r="F21" s="316" t="n">
        <v>20</v>
      </c>
      <c r="G21" s="317" t="n">
        <v>0.41082</v>
      </c>
      <c r="H21" s="271">
        <f>IF(AND(ISNUMBER(F21),ISNUMBER(G21)),F21*G21,"")</f>
        <v/>
      </c>
      <c r="I21" s="316" t="n">
        <v>20</v>
      </c>
      <c r="J21" s="317" t="n">
        <v>0.4213556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318" t="inlineStr">
        <is>
          <t>L-0021</t>
        </is>
      </c>
      <c r="C22" s="319" t="n">
        <v>46303</v>
      </c>
      <c r="D22" s="318" t="inlineStr">
        <is>
          <t>Binance</t>
        </is>
      </c>
      <c r="E22" s="320" t="inlineStr">
        <is>
          <t>SOL/USDT</t>
        </is>
      </c>
      <c r="F22" s="321" t="n">
        <v>30</v>
      </c>
      <c r="G22" s="322" t="n">
        <v>148.296</v>
      </c>
      <c r="H22" s="271">
        <f>IF(AND(ISNUMBER(F22),ISNUMBER(G22)),F22*G22,"")</f>
        <v/>
      </c>
      <c r="I22" s="321" t="n">
        <v>30</v>
      </c>
      <c r="J22" s="322" t="n">
        <v>154.69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313" t="inlineStr">
        <is>
          <t>L-0022</t>
        </is>
      </c>
      <c r="C23" s="314" t="n">
        <v>46304</v>
      </c>
      <c r="D23" s="313" t="inlineStr">
        <is>
          <t>Bybit</t>
        </is>
      </c>
      <c r="E23" s="315" t="inlineStr">
        <is>
          <t>BNB/USDT</t>
        </is>
      </c>
      <c r="F23" s="316" t="n">
        <v>5</v>
      </c>
      <c r="G23" s="317" t="n">
        <v>597.192</v>
      </c>
      <c r="H23" s="271">
        <f>IF(AND(ISNUMBER(F23),ISNUMBER(G23)),F23*G23,"")</f>
        <v/>
      </c>
      <c r="I23" s="316" t="n">
        <v>5</v>
      </c>
      <c r="J23" s="317" t="n">
        <v>602.792</v>
      </c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318" t="inlineStr">
        <is>
          <t>L-0023</t>
        </is>
      </c>
      <c r="C24" s="319" t="n">
        <v>46304</v>
      </c>
      <c r="D24" s="318" t="inlineStr">
        <is>
          <t>AAVE</t>
        </is>
      </c>
      <c r="E24" s="320" t="inlineStr">
        <is>
          <t>AAVE/USDT</t>
        </is>
      </c>
      <c r="F24" s="321" t="n">
        <v>12</v>
      </c>
      <c r="G24" s="322" t="n">
        <v>198.396</v>
      </c>
      <c r="H24" s="271">
        <f>IF(AND(ISNUMBER(F24),ISNUMBER(G24)),F24*G24,"")</f>
        <v/>
      </c>
      <c r="I24" s="321" t="n">
        <v>12</v>
      </c>
      <c r="J24" s="322" t="n">
        <v>205.588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313" t="inlineStr">
        <is>
          <t>L-0024</t>
        </is>
      </c>
      <c r="C25" s="314" t="n">
        <v>46304</v>
      </c>
      <c r="D25" s="313" t="inlineStr">
        <is>
          <t>OKX</t>
        </is>
      </c>
      <c r="E25" s="315" t="inlineStr">
        <is>
          <t>ETH/USDT</t>
        </is>
      </c>
      <c r="F25" s="316" t="n">
        <v>1.5</v>
      </c>
      <c r="G25" s="317" t="n">
        <v>3196.38</v>
      </c>
      <c r="H25" s="271">
        <f>IF(AND(ISNUMBER(F25),ISNUMBER(G25)),F25*G25,"")</f>
        <v/>
      </c>
      <c r="I25" s="316" t="n">
        <v>1.5</v>
      </c>
      <c r="J25" s="317" t="n">
        <v>3258.47</v>
      </c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318" t="inlineStr">
        <is>
          <t>L-0025</t>
        </is>
      </c>
      <c r="C26" s="319" t="n">
        <v>46304</v>
      </c>
      <c r="D26" s="318" t="inlineStr">
        <is>
          <t>Binance</t>
        </is>
      </c>
      <c r="E26" s="320" t="inlineStr">
        <is>
          <t>LTC/USDT</t>
        </is>
      </c>
      <c r="F26" s="321" t="n">
        <v>40</v>
      </c>
      <c r="G26" s="322" t="n">
        <v>88.176</v>
      </c>
      <c r="H26" s="271">
        <f>IF(AND(ISNUMBER(F26),ISNUMBER(G26)),F26*G26,"")</f>
        <v/>
      </c>
      <c r="I26" s="321" t="n">
        <v>40</v>
      </c>
      <c r="J26" s="322" t="n">
        <v>90.818</v>
      </c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313" t="inlineStr">
        <is>
          <t>L-0026</t>
        </is>
      </c>
      <c r="C27" s="314" t="n">
        <v>46304</v>
      </c>
      <c r="D27" s="313" t="inlineStr">
        <is>
          <t>Binance</t>
        </is>
      </c>
      <c r="E27" s="315" t="inlineStr">
        <is>
          <t>BNB/ETH</t>
        </is>
      </c>
      <c r="F27" s="316" t="n">
        <v>5</v>
      </c>
      <c r="G27" s="317" t="n">
        <v>0.186372</v>
      </c>
      <c r="H27" s="271">
        <f>IF(AND(ISNUMBER(F27),ISNUMBER(G27)),F27*G27,"")</f>
        <v/>
      </c>
      <c r="I27" s="316" t="n">
        <v>5</v>
      </c>
      <c r="J27" s="317" t="n">
        <v>0.188622</v>
      </c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318" t="inlineStr">
        <is>
          <t>L-0027</t>
        </is>
      </c>
      <c r="C28" s="319" t="n">
        <v>46304</v>
      </c>
      <c r="D28" s="318" t="inlineStr">
        <is>
          <t>Bybit</t>
        </is>
      </c>
      <c r="E28" s="320" t="inlineStr">
        <is>
          <t>CAKE/BTC</t>
        </is>
      </c>
      <c r="F28" s="321" t="n">
        <v>300</v>
      </c>
      <c r="G28" s="322" t="n">
        <v>3.858e-05</v>
      </c>
      <c r="H28" s="271">
        <f>IF(AND(ISNUMBER(F28),ISNUMBER(G28)),F28*G28,"")</f>
        <v/>
      </c>
      <c r="I28" s="321" t="n">
        <v>300</v>
      </c>
      <c r="J28" s="322" t="n">
        <v>3.942e-05</v>
      </c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313" t="inlineStr">
        <is>
          <t>L-0028</t>
        </is>
      </c>
      <c r="C29" s="314" t="n">
        <v>46304</v>
      </c>
      <c r="D29" s="313" t="inlineStr">
        <is>
          <t>AAVE</t>
        </is>
      </c>
      <c r="E29" s="315" t="inlineStr">
        <is>
          <t>ETH/BTC</t>
        </is>
      </c>
      <c r="F29" s="316" t="n">
        <v>1.5</v>
      </c>
      <c r="G29" s="317" t="n">
        <v>0.0513024</v>
      </c>
      <c r="H29" s="271">
        <f>IF(AND(ISNUMBER(F29),ISNUMBER(G29)),F29*G29,"")</f>
        <v/>
      </c>
      <c r="I29" s="316" t="n">
        <v>1.5</v>
      </c>
      <c r="J29" s="317" t="n">
        <v>0.0516964</v>
      </c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318" t="inlineStr">
        <is>
          <t>L-0029</t>
        </is>
      </c>
      <c r="C30" s="319" t="n">
        <v>46304</v>
      </c>
      <c r="D30" s="318" t="inlineStr">
        <is>
          <t>OKX</t>
        </is>
      </c>
      <c r="E30" s="320" t="inlineStr">
        <is>
          <t>BNB/ETH</t>
        </is>
      </c>
      <c r="F30" s="321" t="n">
        <v>4</v>
      </c>
      <c r="G30" s="322" t="n">
        <v>0.187374</v>
      </c>
      <c r="H30" s="271">
        <f>IF(AND(ISNUMBER(F30),ISNUMBER(G30)),F30*G30,"")</f>
        <v/>
      </c>
      <c r="I30" s="321" t="n">
        <v>4</v>
      </c>
      <c r="J30" s="322" t="n">
        <v>0.190119</v>
      </c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313" t="inlineStr">
        <is>
          <t>L-0030</t>
        </is>
      </c>
      <c r="C31" s="314" t="n">
        <v>46304</v>
      </c>
      <c r="D31" s="313" t="inlineStr">
        <is>
          <t>Binance</t>
        </is>
      </c>
      <c r="E31" s="315" t="inlineStr">
        <is>
          <t>BTC/USDT</t>
        </is>
      </c>
      <c r="F31" s="316" t="n">
        <v>0.06</v>
      </c>
      <c r="G31" s="317" t="n">
        <v>62023.8</v>
      </c>
      <c r="H31" s="271">
        <f>IF(AND(ISNUMBER(F31),ISNUMBER(G31)),F31*G31,"")</f>
        <v/>
      </c>
      <c r="I31" s="316" t="n">
        <v>0.06</v>
      </c>
      <c r="J31" s="317" t="n">
        <v>62574.6</v>
      </c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318" t="inlineStr">
        <is>
          <t>T-0028</t>
        </is>
      </c>
      <c r="C32" s="319" t="n">
        <v>46303</v>
      </c>
      <c r="D32" s="318" t="inlineStr">
        <is>
          <t>Binance</t>
        </is>
      </c>
      <c r="E32" s="320" t="inlineStr">
        <is>
          <t>ADA/USDT</t>
        </is>
      </c>
      <c r="F32" s="321" t="n">
        <v>40</v>
      </c>
      <c r="G32" s="322" t="n">
        <v>0.6012</v>
      </c>
      <c r="H32" s="271">
        <f>IF(AND(ISNUMBER(F32),ISNUMBER(G32)),F32*G32,"")</f>
        <v/>
      </c>
      <c r="I32" s="321" t="n">
        <v>40</v>
      </c>
      <c r="J32" s="322" t="n">
        <v>0.65868</v>
      </c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313" t="inlineStr">
        <is>
          <t>T-0029</t>
        </is>
      </c>
      <c r="C33" s="314" t="n">
        <v>46303</v>
      </c>
      <c r="D33" s="313" t="inlineStr">
        <is>
          <t>Bybit</t>
        </is>
      </c>
      <c r="E33" s="315" t="inlineStr">
        <is>
          <t>SOL/USDT</t>
        </is>
      </c>
      <c r="F33" s="316" t="n">
        <v>10</v>
      </c>
      <c r="G33" s="317" t="n">
        <v>150.3</v>
      </c>
      <c r="H33" s="271">
        <f>IF(AND(ISNUMBER(F33),ISNUMBER(G33)),F33*G33,"")</f>
        <v/>
      </c>
      <c r="I33" s="316" t="n">
        <v>10</v>
      </c>
      <c r="J33" s="317" t="n">
        <v>154.69</v>
      </c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318" t="inlineStr">
        <is>
          <t>T-0029</t>
        </is>
      </c>
      <c r="C34" s="319" t="n">
        <v>46304</v>
      </c>
      <c r="D34" s="318" t="inlineStr">
        <is>
          <t>Bybit</t>
        </is>
      </c>
      <c r="E34" s="320" t="inlineStr">
        <is>
          <t>SOL/USDT</t>
        </is>
      </c>
      <c r="F34" s="321" t="n">
        <v>8</v>
      </c>
      <c r="G34" s="322" t="n">
        <v>150.3</v>
      </c>
      <c r="H34" s="271">
        <f>IF(AND(ISNUMBER(F34),ISNUMBER(G34)),F34*G34,"")</f>
        <v/>
      </c>
      <c r="I34" s="321" t="n">
        <v>8</v>
      </c>
      <c r="J34" s="322" t="n">
        <v>157.684</v>
      </c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313" t="inlineStr">
        <is>
          <t>T-0028</t>
        </is>
      </c>
      <c r="C35" s="314" t="n">
        <v>46304</v>
      </c>
      <c r="D35" s="313" t="inlineStr">
        <is>
          <t>Binance</t>
        </is>
      </c>
      <c r="E35" s="315" t="inlineStr">
        <is>
          <t>ADA/USDT</t>
        </is>
      </c>
      <c r="F35" s="316" t="n">
        <v>110</v>
      </c>
      <c r="G35" s="317" t="n">
        <v>0.61941818</v>
      </c>
      <c r="H35" s="271">
        <f>IF(AND(ISNUMBER(F35),ISNUMBER(G35)),F35*G35,"")</f>
        <v/>
      </c>
      <c r="I35" s="316" t="n">
        <v>110</v>
      </c>
      <c r="J35" s="317" t="n">
        <v>0.6986</v>
      </c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/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Лэндинг'!$B$5:$B$300,$B5),8))</f>
        <v/>
      </c>
      <c r="L5" s="177">
        <f>IF(K5="","",IF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/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AAVE/USDT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Лэндинг'!$B$5:$B$300,$B6))</f>
        <v/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/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Лэндинг'!$B$5:$B$300,$B6),8))</f>
        <v/>
      </c>
      <c r="L6" s="183">
        <f>IF(K6="","",IF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/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ADA/USDT</t>
        </is>
      </c>
      <c r="C7" s="240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Лэндинг'!$B$5:$B$300,$B7))</f>
        <v/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/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Лэндинг'!$B$5:$B$300,$B7),8))</f>
        <v/>
      </c>
      <c r="L7" s="177">
        <f>IF(K7="","",IF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/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BNB/BTC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Лэндинг'!$B$5:$B$300,$B8))</f>
        <v/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/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Лэндинг'!$B$5:$B$300,$B8),8))</f>
        <v/>
      </c>
      <c r="L8" s="183">
        <f>IF(K8="","",IF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/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BNB/ETH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Лэндинг'!$B$5:$B$300,$B9))</f>
        <v/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/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Лэндинг'!$B$5:$B$300,$B9),8))</f>
        <v/>
      </c>
      <c r="L9" s="177">
        <f>IF(K9="","",IF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/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BNB/USDT</t>
        </is>
      </c>
      <c r="C10" s="246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Лэндинг'!$B$5:$B$300,$B10))</f>
        <v/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Лэндинг'!$B$5:$B$300,$B10),8)))</f>
        <v/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Лэндинг'!$B$5:$B$300,$B10),8))</f>
        <v/>
      </c>
      <c r="L10" s="183">
        <f>IF(K10="","",IF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/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BTC/USDT</t>
        </is>
      </c>
      <c r="C11" s="240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Лэндинг'!$B$5:$B$300,$B11))</f>
        <v/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Лэндинг'!$B$5:$B$300,$B11),8)))</f>
        <v/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Лэндинг'!$B$5:$B$300,$B11),8))</f>
        <v/>
      </c>
      <c r="L11" s="177">
        <f>IF(K11="","",IF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/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CAKE/BTC</t>
        </is>
      </c>
      <c r="C12" s="246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Лэндинг'!$B$5:$B$300,$B12))</f>
        <v/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Лэндинг'!$B$5:$B$300,$B12),8)))</f>
        <v/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Лэндинг'!$B$5:$B$300,$B12),8))</f>
        <v/>
      </c>
      <c r="L12" s="183">
        <f>IF(K12="","",IF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/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CAKE/ETH</t>
        </is>
      </c>
      <c r="C13" s="240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Лэндинг'!$B$5:$B$300,$B13))</f>
        <v/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Лэндинг'!$B$5:$B$300,$B13),8)))</f>
        <v/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Лэндинг'!$B$5:$B$300,$B13),8))</f>
        <v/>
      </c>
      <c r="L13" s="177">
        <f>IF(K13="","",IF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/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DASH/BTC</t>
        </is>
      </c>
      <c r="C14" s="246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Лэндинг'!$B$5:$B$300,$B14))</f>
        <v/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Лэндинг'!$B$5:$B$300,$B14),8)))</f>
        <v/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Лэндинг'!$B$5:$B$300,$B14),8))</f>
        <v/>
      </c>
      <c r="L14" s="183">
        <f>IF(K14="","",IF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/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DASH/LTC</t>
        </is>
      </c>
      <c r="C15" s="240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Лэндинг'!$B$5:$B$300,$B15))</f>
        <v/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Лэндинг'!$B$5:$B$300,$B15),8)))</f>
        <v/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Лэндинг'!$B$5:$B$300,$B15),8))</f>
        <v/>
      </c>
      <c r="L15" s="177">
        <f>IF(K15="","",IF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/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DOGE/BTC</t>
        </is>
      </c>
      <c r="C16" s="246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Лэндинг'!$B$5:$B$300,$B16))</f>
        <v/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Лэндинг'!$B$5:$B$300,$B16),8)))</f>
        <v/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Лэндинг'!$B$5:$B$300,$B16),8))</f>
        <v/>
      </c>
      <c r="L16" s="183">
        <f>IF(K16="","",IF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/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DOGE/USDT</t>
        </is>
      </c>
      <c r="C17" s="240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Лэндинг'!$B$5:$B$300,$B17))</f>
        <v/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Лэндинг'!$B$5:$B$300,$B17),8)))</f>
        <v/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Лэндинг'!$B$5:$B$300,$B17),8))</f>
        <v/>
      </c>
      <c r="L17" s="177">
        <f>IF(K17="","",IF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/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ETH/BTC</t>
        </is>
      </c>
      <c r="C18" s="246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Лэндинг'!$B$5:$B$300,$B18))</f>
        <v/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Лэндинг'!$B$5:$B$300,$B18),8)))</f>
        <v/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Лэндинг'!$B$5:$B$300,$B18),8))</f>
        <v/>
      </c>
      <c r="L18" s="183">
        <f>IF(K18="","",IF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/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ETH/USDT</t>
        </is>
      </c>
      <c r="C19" s="240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Лэндинг'!$B$5:$B$300,$B19))</f>
        <v/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Лэндинг'!$B$5:$B$300,$B19),8)))</f>
        <v/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Лэндинг'!$B$5:$B$300,$B19),8))</f>
        <v/>
      </c>
      <c r="L19" s="177">
        <f>IF(K19="","",IF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/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LINK/ETH</t>
        </is>
      </c>
      <c r="C20" s="246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Лэндинг'!$B$5:$B$300,$B20))</f>
        <v/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Лэндинг'!$B$5:$B$300,$B20),8)))</f>
        <v/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Лэндинг'!$B$5:$B$300,$B20),8))</f>
        <v/>
      </c>
      <c r="L20" s="183">
        <f>IF(K20="","",IF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/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LTC/BCH</t>
        </is>
      </c>
      <c r="C21" s="240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Лэндинг'!$B$5:$B$300,$B21),8)))</f>
        <v/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Лэндинг'!$B$5:$B$300,$B21),8))</f>
        <v/>
      </c>
      <c r="L21" s="177">
        <f>IF(K21="","",IF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/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LTC/USDT</t>
        </is>
      </c>
      <c r="C22" s="246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Лэндинг'!$B$5:$B$300,$B22))</f>
        <v/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Лэндинг'!$B$5:$B$300,$B22),8)))</f>
        <v/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Лэндинг'!$B$5:$B$300,$B22),8))</f>
        <v/>
      </c>
      <c r="L22" s="183">
        <f>IF(K22="","",IF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/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SOL/USDT</t>
        </is>
      </c>
      <c r="C23" s="240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Лэндинг'!$B$5:$B$300,$B23))</f>
        <v/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Лэндинг'!$B$5:$B$300,$B23),8)))</f>
        <v/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Лэндинг'!$B$5:$B$300,$B23),8))</f>
        <v/>
      </c>
      <c r="L23" s="177">
        <f>IF(K23="","",IF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/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XRP/TRX</t>
        </is>
      </c>
      <c r="C24" s="246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Лэндинг'!$B$5:$B$300,$B24))</f>
        <v/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Лэндинг'!$B$5:$B$300,$B24),8)))</f>
        <v/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Лэндинг'!$B$5:$B$300,$B24),8))</f>
        <v/>
      </c>
      <c r="L24" s="183">
        <f>IF(K24="","",IF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/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XRP/USDT</t>
        </is>
      </c>
      <c r="C25" s="240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Лэндинг'!$B$5:$B$300,$B25))</f>
        <v/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Лэндинг'!$B$5:$B$300,$B25),8)))</f>
        <v/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Лэндинг'!$B$5:$B$300,$B25),8))</f>
        <v/>
      </c>
      <c r="L25" s="177">
        <f>IF(K25="","",IF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/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Лэндинг'!$B$5:$B$300,$B26))</f>
        <v/>
      </c>
      <c r="I26" s="246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Лэндинг'!$B$5:$B$300,$B26),8))</f>
        <v/>
      </c>
      <c r="L26" s="183">
        <f>IF(K26="","",IF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/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Лэндинг'!$B$5:$B$300,$B27))</f>
        <v/>
      </c>
      <c r="I27" s="240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Лэндинг'!$B$5:$B$300,$B27),8))</f>
        <v/>
      </c>
      <c r="L27" s="177">
        <f>IF(K27="","",IF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/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Лэндинг'!$B$5:$B$300,$B28))</f>
        <v/>
      </c>
      <c r="I28" s="246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Лэндинг'!$B$5:$B$300,$B28),8))</f>
        <v/>
      </c>
      <c r="L28" s="183">
        <f>IF(K28="","",IF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/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Лэндинг'!$B$5:$B$300,$B29))</f>
        <v/>
      </c>
      <c r="I29" s="240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Лэндинг'!$B$5:$B$300,$B29),8))</f>
        <v/>
      </c>
      <c r="L29" s="177">
        <f>IF(K29="","",IF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/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Лэндинг'!$B$5:$B$300,$B30))</f>
        <v/>
      </c>
      <c r="I30" s="246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Лэндинг'!$B$5:$B$300,$B30),8))</f>
        <v/>
      </c>
      <c r="L30" s="183">
        <f>IF(K30="","",IF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/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Лэндинг'!$B$5:$B$300,$B31))</f>
        <v/>
      </c>
      <c r="I31" s="240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Лэндинг'!$B$5:$B$300,$B31),8))</f>
        <v/>
      </c>
      <c r="L31" s="177">
        <f>IF(K31="","",IF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31/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Лэндинг'!$B$5:$B$300,$B32))</f>
        <v/>
      </c>
      <c r="I32" s="246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Лэндинг'!$B$5:$B$300,$B32),8))</f>
        <v/>
      </c>
      <c r="L32" s="183">
        <f>IF(K32="","",IF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32/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Лэндинг'!$B$5:$B$300,$B33))</f>
        <v/>
      </c>
      <c r="I33" s="240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Лэндинг'!$B$5:$B$300,$B33),8))</f>
        <v/>
      </c>
      <c r="L33" s="177">
        <f>IF(K33="","",IF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33/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Лэндинг'!$B$5:$B$300,$B34))</f>
        <v/>
      </c>
      <c r="I34" s="246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Лэндинг'!$B$5:$B$300,$B34),8))</f>
        <v/>
      </c>
      <c r="L34" s="183">
        <f>IF(K34="","",IF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34/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Лэндинг'!$B$5:$B$300,$B35))</f>
        <v/>
      </c>
      <c r="I35" s="240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Лэндинг'!$B$5:$B$300,$B35),8))</f>
        <v/>
      </c>
      <c r="L35" s="177">
        <f>IF(K35="","",IF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35/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Лэндинг'!$B$5:$B$300,$B36))</f>
        <v/>
      </c>
      <c r="I36" s="246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Лэндинг'!$B$5:$B$300,$B36),8))</f>
        <v/>
      </c>
      <c r="L36" s="183">
        <f>IF(K36="","",IF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36/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Лэндинг'!$B$5:$B$300,$B37))</f>
        <v/>
      </c>
      <c r="I37" s="240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Лэндинг'!$B$5:$B$300,$B37),8))</f>
        <v/>
      </c>
      <c r="L37" s="177">
        <f>IF(K37="","",IF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37/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Лэндинг'!$B$5:$B$300,$B38))</f>
        <v/>
      </c>
      <c r="I38" s="246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Лэндинг'!$B$5:$B$300,$B38),8))</f>
        <v/>
      </c>
      <c r="L38" s="183">
        <f>IF(K38="","",IF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38/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Лэндинг'!$B$5:$B$300,$B39))</f>
        <v/>
      </c>
      <c r="I39" s="240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Лэндинг'!$B$5:$B$300,$B39),8))</f>
        <v/>
      </c>
      <c r="L39" s="177">
        <f>IF(K39="","",IF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39/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Лэндинг'!$B$5:$B$300,$B40))</f>
        <v/>
      </c>
      <c r="I40" s="246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Лэндинг'!$B$5:$B$300,$B40),8))</f>
        <v/>
      </c>
      <c r="L40" s="183">
        <f>IF(K40="","",IF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40/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Лэндинг'!$B$5:$B$300,$B41))</f>
        <v/>
      </c>
      <c r="I41" s="240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Лэндинг'!$B$5:$B$300,$B41),8))</f>
        <v/>
      </c>
      <c r="L41" s="177">
        <f>IF(K41="","",IF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41/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Лэндинг'!$B$5:$B$300,$B42))</f>
        <v/>
      </c>
      <c r="I42" s="246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Лэндинг'!$B$5:$B$300,$B42),8))</f>
        <v/>
      </c>
      <c r="L42" s="183">
        <f>IF(K42="","",IF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42/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Лэндинг'!$B$5:$B$300,$B43))</f>
        <v/>
      </c>
      <c r="I43" s="240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Лэндинг'!$B$5:$B$300,$B43),8))</f>
        <v/>
      </c>
      <c r="L43" s="177">
        <f>IF(K43="","",IF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43/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Лэндинг'!$B$5:$B$300,$B44))</f>
        <v/>
      </c>
      <c r="I44" s="246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Лэндинг'!$B$5:$B$300,$B44),8))</f>
        <v/>
      </c>
      <c r="L44" s="183">
        <f>IF(K44="","",IF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44/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Лэндинг'!$B$5:$B$300,$B45))</f>
        <v/>
      </c>
      <c r="I45" s="240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Лэндинг'!$B$5:$B$300,$B45),8))</f>
        <v/>
      </c>
      <c r="L45" s="177">
        <f>IF(K45="","",IF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45/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Лэндинг'!$B$5:$B$300,$B46))</f>
        <v/>
      </c>
      <c r="I46" s="246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Лэндинг'!$B$5:$B$300,$B46),8))</f>
        <v/>
      </c>
      <c r="L46" s="183">
        <f>IF(K46="","",IF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46/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Лэндинг'!$B$5:$B$300,$B47))</f>
        <v/>
      </c>
      <c r="I47" s="240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Лэндинг'!$B$5:$B$300,$B47),8))</f>
        <v/>
      </c>
      <c r="L47" s="177">
        <f>IF(K47="","",IF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47/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Лэндинг'!$B$5:$B$300,$B48))</f>
        <v/>
      </c>
      <c r="I48" s="246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Лэндинг'!$B$5:$B$300,$B48),8))</f>
        <v/>
      </c>
      <c r="L48" s="183">
        <f>IF(K48="","",IF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48/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Лэндинг'!$B$5:$B$300,$B49))</f>
        <v/>
      </c>
      <c r="I49" s="240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Лэндинг'!$B$5:$B$300,$B49),8))</f>
        <v/>
      </c>
      <c r="L49" s="177">
        <f>IF(K49="","",IF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49/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Лэндинг'!$B$5:$B$300,$B50))</f>
        <v/>
      </c>
      <c r="I50" s="246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Лэндинг'!$B$5:$B$300,$B50),8))</f>
        <v/>
      </c>
      <c r="L50" s="183">
        <f>IF(K50="","",IF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50/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Лэндинг'!$B$5:$B$300,$B51))</f>
        <v/>
      </c>
      <c r="I51" s="240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Лэндинг'!$B$5:$B$300,$B51),8))</f>
        <v/>
      </c>
      <c r="L51" s="177">
        <f>IF(K51="","",IF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51/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Лэндинг'!$B$5:$B$300,$B52))</f>
        <v/>
      </c>
      <c r="I52" s="246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Лэндинг'!$B$5:$B$300,$B52),8))</f>
        <v/>
      </c>
      <c r="L52" s="183">
        <f>IF(K52="","",IF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52/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Лэндинг'!$B$5:$B$300,$B53))</f>
        <v/>
      </c>
      <c r="I53" s="240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Лэндинг'!$B$5:$B$300,$B53),8))</f>
        <v/>
      </c>
      <c r="L53" s="177">
        <f>IF(K53="","",IF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53/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Лэндинг'!$B$5:$B$300,$B54))</f>
        <v/>
      </c>
      <c r="I54" s="246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Лэндинг'!$B$5:$B$300,$B54),8))</f>
        <v/>
      </c>
      <c r="L54" s="183">
        <f>IF(K54="","",IF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54/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Лэндинг'!$B$5:$B$300,$B55))</f>
        <v/>
      </c>
      <c r="I55" s="240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Лэндинг'!$B$5:$B$300,$B55),8))</f>
        <v/>
      </c>
      <c r="L55" s="177">
        <f>IF(K55="","",IF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55/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Лэндинг'!$B$5:$B$300,$B56))</f>
        <v/>
      </c>
      <c r="I56" s="246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Лэндинг'!$B$5:$B$300,$B56),8))</f>
        <v/>
      </c>
      <c r="L56" s="183">
        <f>IF(K56="","",IF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56/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Лэндинг'!$B$5:$B$300,$B57))</f>
        <v/>
      </c>
      <c r="I57" s="240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Лэндинг'!$B$5:$B$300,$B57),8))</f>
        <v/>
      </c>
      <c r="L57" s="177">
        <f>IF(K57="","",IF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57/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Лэндинг'!$B$5:$B$300,$B58))</f>
        <v/>
      </c>
      <c r="I58" s="246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Лэндинг'!$B$5:$B$300,$B58),8))</f>
        <v/>
      </c>
      <c r="L58" s="183">
        <f>IF(K58="","",IF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58/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Лэндинг'!$B$5:$B$300,$B59))</f>
        <v/>
      </c>
      <c r="I59" s="240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Лэндинг'!$B$5:$B$300,$B59),8))</f>
        <v/>
      </c>
      <c r="L59" s="177">
        <f>IF(K59="","",IF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59/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Лэндинг'!$B$5:$B$300,$B60))</f>
        <v/>
      </c>
      <c r="I60" s="246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Лэндинг'!$B$5:$B$300,$B60),8))</f>
        <v/>
      </c>
      <c r="L60" s="183">
        <f>IF(K60="","",IF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60/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Лэндинг'!$B$5:$B$300,$B61))</f>
        <v/>
      </c>
      <c r="I61" s="240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Лэндинг'!$B$5:$B$300,$B61),8))</f>
        <v/>
      </c>
      <c r="L61" s="177">
        <f>IF(K61="","",IF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61/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Лэндинг'!$B$5:$B$300,$B62))</f>
        <v/>
      </c>
      <c r="I62" s="246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Лэндинг'!$B$5:$B$300,$B62),8))</f>
        <v/>
      </c>
      <c r="L62" s="183">
        <f>IF(K62="","",IF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62/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Лэндинг'!$B$5:$B$300,$B63))</f>
        <v/>
      </c>
      <c r="I63" s="240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Лэндинг'!$B$5:$B$300,$B63),8))</f>
        <v/>
      </c>
      <c r="L63" s="177">
        <f>IF(K63="","",IF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63/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Лэндинг'!$B$5:$B$300,$B64))</f>
        <v/>
      </c>
      <c r="I64" s="246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Лэндинг'!$B$5:$B$300,$B64),8))</f>
        <v/>
      </c>
      <c r="L64" s="183">
        <f>IF(K64="","",IF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64/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Лэндинг'!$B$5:$B$300,$B65))</f>
        <v/>
      </c>
      <c r="I65" s="240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Лэндинг'!$B$5:$B$300,$B65),8))</f>
        <v/>
      </c>
      <c r="L65" s="177">
        <f>IF(K65="","",IF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65/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Лэндинг'!$B$5:$B$300,$B66))</f>
        <v/>
      </c>
      <c r="I66" s="246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Лэндинг'!$B$5:$B$300,$B66),8))</f>
        <v/>
      </c>
      <c r="L66" s="183">
        <f>IF(K66="","",IF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66/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Лэндинг'!$B$5:$B$300,$B67))</f>
        <v/>
      </c>
      <c r="I67" s="240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Лэндинг'!$B$5:$B$300,$B67),8))</f>
        <v/>
      </c>
      <c r="L67" s="177">
        <f>IF(K67="","",IF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67/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Лэндинг'!$B$5:$B$300,$B68))</f>
        <v/>
      </c>
      <c r="I68" s="246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Лэндинг'!$B$5:$B$300,$B68),8))</f>
        <v/>
      </c>
      <c r="L68" s="183">
        <f>IF(K68="","",IF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68/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Лэндинг'!$B$5:$B$300,$B69))</f>
        <v/>
      </c>
      <c r="I69" s="240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Лэндинг'!$B$5:$B$300,$B69),8))</f>
        <v/>
      </c>
      <c r="L69" s="177">
        <f>IF(K69="","",IF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69/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Лэндинг'!$B$5:$B$300,$B70))</f>
        <v/>
      </c>
      <c r="I70" s="246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Лэндинг'!$B$5:$B$300,$B70),8))</f>
        <v/>
      </c>
      <c r="L70" s="183">
        <f>IF(K70="","",IF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70/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Лэндинг'!$B$5:$B$300,$B71))</f>
        <v/>
      </c>
      <c r="I71" s="240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Лэндинг'!$B$5:$B$300,$B71),8))</f>
        <v/>
      </c>
      <c r="L71" s="177">
        <f>IF(K71="","",IF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71/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Лэндинг'!$B$5:$B$300,$B72))</f>
        <v/>
      </c>
      <c r="I72" s="246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Лэндинг'!$B$5:$B$300,$B72),8))</f>
        <v/>
      </c>
      <c r="L72" s="183">
        <f>IF(K72="","",IF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72/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Лэндинг'!$B$5:$B$300,$B73))</f>
        <v/>
      </c>
      <c r="I73" s="240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Лэндинг'!$B$5:$B$300,$B73),8))</f>
        <v/>
      </c>
      <c r="L73" s="177">
        <f>IF(K73="","",IF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73/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Лэндинг'!$B$5:$B$300,$B74))</f>
        <v/>
      </c>
      <c r="I74" s="246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Лэндинг'!$B$5:$B$300,$B74),8))</f>
        <v/>
      </c>
      <c r="L74" s="183">
        <f>IF(K74="","",IF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74/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Лэндинг'!$B$5:$B$300,$B75))</f>
        <v/>
      </c>
      <c r="I75" s="240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Лэндинг'!$B$5:$B$300,$B75),8))</f>
        <v/>
      </c>
      <c r="L75" s="177">
        <f>IF(K75="","",IF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75/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Лэндинг'!$B$5:$B$300,$B76))</f>
        <v/>
      </c>
      <c r="I76" s="246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Лэндинг'!$B$5:$B$300,$B76),8))</f>
        <v/>
      </c>
      <c r="L76" s="183">
        <f>IF(K76="","",IF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76/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Лэндинг'!$B$5:$B$300,$B77))</f>
        <v/>
      </c>
      <c r="I77" s="240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Лэндинг'!$B$5:$B$300,$B77),8))</f>
        <v/>
      </c>
      <c r="L77" s="177">
        <f>IF(K77="","",IF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77/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Лэндинг'!$B$5:$B$300,$B78))</f>
        <v/>
      </c>
      <c r="I78" s="246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Лэндинг'!$B$5:$B$300,$B78),8))</f>
        <v/>
      </c>
      <c r="L78" s="183">
        <f>IF(K78="","",IF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78/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Лэндинг'!$B$5:$B$300,$B79))</f>
        <v/>
      </c>
      <c r="I79" s="240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Лэндинг'!$B$5:$B$300,$B79),8))</f>
        <v/>
      </c>
      <c r="L79" s="177">
        <f>IF(K79="","",IF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79/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Лэндинг'!$B$5:$B$300,$B80))</f>
        <v/>
      </c>
      <c r="I80" s="246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Лэндинг'!$B$5:$B$300,$B80),8))</f>
        <v/>
      </c>
      <c r="L80" s="183">
        <f>IF(K80="","",IF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80/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Лэндинг'!$B$5:$B$300,$B81))</f>
        <v/>
      </c>
      <c r="I81" s="240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Лэндинг'!$B$5:$B$300,$B81),8))</f>
        <v/>
      </c>
      <c r="L81" s="177">
        <f>IF(K81="","",IF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81/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Лэндинг'!$B$5:$B$300,$B82))</f>
        <v/>
      </c>
      <c r="I82" s="246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Лэндинг'!$B$5:$B$300,$B82),8))</f>
        <v/>
      </c>
      <c r="L82" s="183">
        <f>IF(K82="","",IF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82/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Лэндинг'!$B$5:$B$300,$B83))</f>
        <v/>
      </c>
      <c r="I83" s="240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Лэндинг'!$B$5:$B$300,$B83),8))</f>
        <v/>
      </c>
      <c r="L83" s="177">
        <f>IF(K83="","",IF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83/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Лэндинг'!$B$5:$B$300,$B84))</f>
        <v/>
      </c>
      <c r="I84" s="246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Лэндинг'!$B$5:$B$300,$B84),8))</f>
        <v/>
      </c>
      <c r="L84" s="183">
        <f>IF(K84="","",IF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84/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Лэндинг'!$B$5:$B$300,$B85))</f>
        <v/>
      </c>
      <c r="I85" s="240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Лэндинг'!$B$5:$B$300,$B85),8))</f>
        <v/>
      </c>
      <c r="L85" s="177">
        <f>IF(K85="","",IF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85/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Лэндинг'!$B$5:$B$300,$B86))</f>
        <v/>
      </c>
      <c r="I86" s="246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Лэндинг'!$B$5:$B$300,$B86),8))</f>
        <v/>
      </c>
      <c r="L86" s="183">
        <f>IF(K86="","",IF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86/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Лэндинг'!$B$5:$B$300,$B87))</f>
        <v/>
      </c>
      <c r="I87" s="240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Лэндинг'!$B$5:$B$300,$B87),8))</f>
        <v/>
      </c>
      <c r="L87" s="177">
        <f>IF(K87="","",IF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87/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Лэндинг'!$B$5:$B$300,$B88))</f>
        <v/>
      </c>
      <c r="I88" s="246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Лэндинг'!$B$5:$B$300,$B88),8))</f>
        <v/>
      </c>
      <c r="L88" s="183">
        <f>IF(K88="","",IF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88/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Лэндинг'!$B$5:$B$300,$B89))</f>
        <v/>
      </c>
      <c r="I89" s="240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Лэндинг'!$B$5:$B$300,$B89),8))</f>
        <v/>
      </c>
      <c r="L89" s="177">
        <f>IF(K89="","",IF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89/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Лэндинг'!$B$5:$B$300,$B90))</f>
        <v/>
      </c>
      <c r="I90" s="246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Лэндинг'!$B$5:$B$300,$B90),8))</f>
        <v/>
      </c>
      <c r="L90" s="183">
        <f>IF(K90="","",IF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90/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Лэндинг'!$B$5:$B$300,$B91))</f>
        <v/>
      </c>
      <c r="I91" s="240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Лэндинг'!$B$5:$B$300,$B91),8))</f>
        <v/>
      </c>
      <c r="L91" s="177">
        <f>IF(K91="","",IF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91/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Лэндинг'!$B$5:$B$300,$B92))</f>
        <v/>
      </c>
      <c r="I92" s="246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Лэндинг'!$B$5:$B$300,$B92),8))</f>
        <v/>
      </c>
      <c r="L92" s="183">
        <f>IF(K92="","",IF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92/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Лэндинг'!$B$5:$B$300,$B93))</f>
        <v/>
      </c>
      <c r="I93" s="240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Лэндинг'!$B$5:$B$300,$B93),8))</f>
        <v/>
      </c>
      <c r="L93" s="177">
        <f>IF(K93="","",IF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93/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Лэндинг'!$B$5:$B$300,$B94))</f>
        <v/>
      </c>
      <c r="I94" s="246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Лэндинг'!$B$5:$B$300,$B94),8))</f>
        <v/>
      </c>
      <c r="L94" s="183">
        <f>IF(K94="","",IF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94/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Лэндинг'!$B$5:$B$300,$B95))</f>
        <v/>
      </c>
      <c r="I95" s="240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Лэндинг'!$B$5:$B$300,$B95),8))</f>
        <v/>
      </c>
      <c r="L95" s="177">
        <f>IF(K95="","",IF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95/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Лэндинг'!$B$5:$B$300,$B96))</f>
        <v/>
      </c>
      <c r="I96" s="246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Лэндинг'!$B$5:$B$300,$B96),8))</f>
        <v/>
      </c>
      <c r="L96" s="183">
        <f>IF(K96="","",IF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96/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Лэндинг'!$B$5:$B$300,$B97))</f>
        <v/>
      </c>
      <c r="I97" s="240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Лэндинг'!$B$5:$B$300,$B97),8))</f>
        <v/>
      </c>
      <c r="L97" s="177">
        <f>IF(K97="","",IF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97/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Лэндинг'!$B$5:$B$300,$B98))</f>
        <v/>
      </c>
      <c r="I98" s="246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Лэндинг'!$B$5:$B$300,$B98),8))</f>
        <v/>
      </c>
      <c r="L98" s="183">
        <f>IF(K98="","",IF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98/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Лэндинг'!$B$5:$B$300,$B99))</f>
        <v/>
      </c>
      <c r="I99" s="240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Лэндинг'!$B$5:$B$300,$B99),8))</f>
        <v/>
      </c>
      <c r="L99" s="177">
        <f>IF(K99="","",IF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99/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Лэндинг'!$B$5:$B$300,$B100))</f>
        <v/>
      </c>
      <c r="I100" s="246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Лэндинг'!$B$5:$B$300,$B100),8))</f>
        <v/>
      </c>
      <c r="L100" s="183">
        <f>IF(K100="","",IF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100/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Лэндинг'!$B$5:$B$300,$B101))</f>
        <v/>
      </c>
      <c r="I101" s="240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Лэндинг'!$B$5:$B$300,$B101),8))</f>
        <v/>
      </c>
      <c r="L101" s="177">
        <f>IF(K101="","",IF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101/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Лэндинг'!$B$5:$B$300,$B102))</f>
        <v/>
      </c>
      <c r="I102" s="246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Лэндинг'!$B$5:$B$300,$B102),8))</f>
        <v/>
      </c>
      <c r="L102" s="183">
        <f>IF(K102="","",IF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102/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Лэндинг'!$B$5:$B$300,$B103))</f>
        <v/>
      </c>
      <c r="I103" s="240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Лэндинг'!$B$5:$B$300,$B103),8))</f>
        <v/>
      </c>
      <c r="L103" s="177">
        <f>IF(K103="","",IF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103/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Лэндинг'!$B$5:$B$300,$B104))</f>
        <v/>
      </c>
      <c r="I104" s="246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Лэндинг'!$B$5:$B$300,$B104),8))</f>
        <v/>
      </c>
      <c r="L104" s="183">
        <f>IF(K104="","",IF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104/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Лэндинг'!$B$5:$B$300,$B105))</f>
        <v/>
      </c>
      <c r="I105" s="240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Лэндинг'!$B$5:$B$300,$B105),8))</f>
        <v/>
      </c>
      <c r="L105" s="177">
        <f>IF(K105="","",IF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105/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Лэндинг'!$B$5:$B$300,$B106))</f>
        <v/>
      </c>
      <c r="I106" s="246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Лэндинг'!$B$5:$B$300,$B106),8))</f>
        <v/>
      </c>
      <c r="L106" s="183">
        <f>IF(K106="","",IF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106/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Лэндинг'!$B$5:$B$300,$B107))</f>
        <v/>
      </c>
      <c r="I107" s="240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Лэндинг'!$B$5:$B$300,$B107),8))</f>
        <v/>
      </c>
      <c r="L107" s="177">
        <f>IF(K107="","",IF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107/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Лэндинг'!$B$5:$B$300,$B108))</f>
        <v/>
      </c>
      <c r="I108" s="246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Лэндинг'!$B$5:$B$300,$B108),8))</f>
        <v/>
      </c>
      <c r="L108" s="183">
        <f>IF(K108="","",IF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108/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Лэндинг'!$B$5:$B$300,$B109))</f>
        <v/>
      </c>
      <c r="I109" s="240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Лэндинг'!$B$5:$B$300,$B109),8))</f>
        <v/>
      </c>
      <c r="L109" s="177">
        <f>IF(K109="","",IF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109/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Лэндинг'!$B$5:$B$300,$B110))</f>
        <v/>
      </c>
      <c r="I110" s="246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Лэндинг'!$B$5:$B$300,$B110),8))</f>
        <v/>
      </c>
      <c r="L110" s="183">
        <f>IF(K110="","",IF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110/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Лэндинг'!$B$5:$B$300,$B111))</f>
        <v/>
      </c>
      <c r="I111" s="240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Лэндинг'!$B$5:$B$300,$B111),8))</f>
        <v/>
      </c>
      <c r="L111" s="177">
        <f>IF(K111="","",IF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111/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Лэндинг'!$B$5:$B$300,$B112))</f>
        <v/>
      </c>
      <c r="I112" s="246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Лэндинг'!$B$5:$B$300,$B112),8))</f>
        <v/>
      </c>
      <c r="L112" s="183">
        <f>IF(K112="","",IF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112/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Лэндинг'!$B$5:$B$300,$B113))</f>
        <v/>
      </c>
      <c r="I113" s="240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Лэндинг'!$B$5:$B$300,$B113),8))</f>
        <v/>
      </c>
      <c r="L113" s="177">
        <f>IF(K113="","",IF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113/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Лэндинг'!$B$5:$B$300,$B114))</f>
        <v/>
      </c>
      <c r="I114" s="246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Лэндинг'!$B$5:$B$300,$B114),8))</f>
        <v/>
      </c>
      <c r="L114" s="183">
        <f>IF(K114="","",IF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114/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Лэндинг'!$B$5:$B$300,$B115))</f>
        <v/>
      </c>
      <c r="I115" s="240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Лэндинг'!$B$5:$B$300,$B115),8))</f>
        <v/>
      </c>
      <c r="L115" s="177">
        <f>IF(K115="","",IF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115/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Лэндинг'!$B$5:$B$300,$B116))</f>
        <v/>
      </c>
      <c r="I116" s="246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Лэндинг'!$B$5:$B$300,$B116),8))</f>
        <v/>
      </c>
      <c r="L116" s="183">
        <f>IF(K116="","",IF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116/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Лэндинг'!$B$5:$B$300,$B117))</f>
        <v/>
      </c>
      <c r="I117" s="240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Лэндинг'!$B$5:$B$300,$B117),8))</f>
        <v/>
      </c>
      <c r="L117" s="177">
        <f>IF(K117="","",IF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117/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Лэндинг'!$B$5:$B$300,$B118))</f>
        <v/>
      </c>
      <c r="I118" s="246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Лэндинг'!$B$5:$B$300,$B118),8))</f>
        <v/>
      </c>
      <c r="L118" s="183">
        <f>IF(K118="","",IF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118/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Лэндинг'!$B$5:$B$300,$B119))</f>
        <v/>
      </c>
      <c r="I119" s="240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Лэндинг'!$B$5:$B$300,$B119),8))</f>
        <v/>
      </c>
      <c r="L119" s="177">
        <f>IF(K119="","",IF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119/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Лэндинг'!$B$5:$B$300,$B120))</f>
        <v/>
      </c>
      <c r="I120" s="246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Лэндинг'!$B$5:$B$300,$B120),8))</f>
        <v/>
      </c>
      <c r="L120" s="183">
        <f>IF(K120="","",IF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120/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Лэндинг'!$B$5:$B$300,$B121))</f>
        <v/>
      </c>
      <c r="I121" s="240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Лэндинг'!$B$5:$B$300,$B121),8))</f>
        <v/>
      </c>
      <c r="L121" s="177">
        <f>IF(K121="","",IF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121/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Лэндинг'!$B$5:$B$300,$B122))</f>
        <v/>
      </c>
      <c r="I122" s="246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Лэндинг'!$B$5:$B$300,$B122),8))</f>
        <v/>
      </c>
      <c r="L122" s="183">
        <f>IF(K122="","",IF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122/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Лэндинг'!$B$5:$B$300,$B123))</f>
        <v/>
      </c>
      <c r="I123" s="240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Лэндинг'!$B$5:$B$300,$B123),8))</f>
        <v/>
      </c>
      <c r="L123" s="177">
        <f>IF(K123="","",IF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123/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Лэндинг'!$B$5:$B$300,$B124))</f>
        <v/>
      </c>
      <c r="I124" s="246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Лэндинг'!$B$5:$B$300,$B124),8))</f>
        <v/>
      </c>
      <c r="L124" s="183">
        <f>IF(K124="","",IF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124/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Лэндинг'!$B$5:$B$300,$B125))</f>
        <v/>
      </c>
      <c r="I125" s="240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Лэндинг'!$B$5:$B$300,$B125),8))</f>
        <v/>
      </c>
      <c r="L125" s="177">
        <f>IF(K125="","",IF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125/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Лэндинг'!$B$5:$B$300,$B126))</f>
        <v/>
      </c>
      <c r="I126" s="246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Лэндинг'!$B$5:$B$300,$B126),8))</f>
        <v/>
      </c>
      <c r="L126" s="183">
        <f>IF(K126="","",IF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126/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Лэндинг'!$B$5:$B$300,$B127))</f>
        <v/>
      </c>
      <c r="I127" s="240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Лэндинг'!$B$5:$B$300,$B127),8))</f>
        <v/>
      </c>
      <c r="L127" s="177">
        <f>IF(K127="","",IF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127/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Лэндинг'!$B$5:$B$300,$B128))</f>
        <v/>
      </c>
      <c r="I128" s="246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Лэндинг'!$B$5:$B$300,$B128),8))</f>
        <v/>
      </c>
      <c r="L128" s="183">
        <f>IF(K128="","",IF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128/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Лэндинг'!$B$5:$B$300,$B129))</f>
        <v/>
      </c>
      <c r="I129" s="240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Лэндинг'!$B$5:$B$300,$B129),8))</f>
        <v/>
      </c>
      <c r="L129" s="177">
        <f>IF(K129="","",IF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129/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Лэндинг'!$B$5:$B$300,$B130))</f>
        <v/>
      </c>
      <c r="I130" s="246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Лэндинг'!$B$5:$B$300,$B130),8))</f>
        <v/>
      </c>
      <c r="L130" s="183">
        <f>IF(K130="","",IF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130/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Лэндинг'!$B$5:$B$300,$B131))</f>
        <v/>
      </c>
      <c r="I131" s="240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Лэндинг'!$B$5:$B$300,$B131),8))</f>
        <v/>
      </c>
      <c r="L131" s="177">
        <f>IF(K131="","",IF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131/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Лэндинг'!$B$5:$B$300,$B132))</f>
        <v/>
      </c>
      <c r="I132" s="246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Лэндинг'!$B$5:$B$300,$B132),8))</f>
        <v/>
      </c>
      <c r="L132" s="183">
        <f>IF(K132="","",IF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132/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Лэндинг'!$B$5:$B$300,$B133))</f>
        <v/>
      </c>
      <c r="I133" s="240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Лэндинг'!$B$5:$B$300,$B133),8))</f>
        <v/>
      </c>
      <c r="L133" s="177">
        <f>IF(K133="","",IF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133/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Лэндинг'!$B$5:$B$300,$B134))</f>
        <v/>
      </c>
      <c r="I134" s="246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Лэндинг'!$B$5:$B$300,$B134),8))</f>
        <v/>
      </c>
      <c r="L134" s="183">
        <f>IF(K134="","",IF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134/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Лэндинг'!$B$5:$B$300,$B135))</f>
        <v/>
      </c>
      <c r="I135" s="240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Лэндинг'!$B$5:$B$300,$B135),8))</f>
        <v/>
      </c>
      <c r="L135" s="177">
        <f>IF(K135="","",IF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135/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Лэндинг'!$B$5:$B$300,$B136))</f>
        <v/>
      </c>
      <c r="I136" s="246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Лэндинг'!$B$5:$B$300,$B136),8))</f>
        <v/>
      </c>
      <c r="L136" s="183">
        <f>IF(K136="","",IF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136/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Лэндинг'!$B$5:$B$300,$B137))</f>
        <v/>
      </c>
      <c r="I137" s="240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Лэндинг'!$B$5:$B$300,$B137),8))</f>
        <v/>
      </c>
      <c r="L137" s="177">
        <f>IF(K137="","",IF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137/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Лэндинг'!$B$5:$B$300,$B138))</f>
        <v/>
      </c>
      <c r="I138" s="246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Лэндинг'!$B$5:$B$300,$B138),8))</f>
        <v/>
      </c>
      <c r="L138" s="183">
        <f>IF(K138="","",IF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138/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Лэндинг'!$B$5:$B$300,$B139))</f>
        <v/>
      </c>
      <c r="I139" s="240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Лэндинг'!$B$5:$B$300,$B139),8))</f>
        <v/>
      </c>
      <c r="L139" s="177">
        <f>IF(K139="","",IF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139/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Лэндинг'!$B$5:$B$300,$B140))</f>
        <v/>
      </c>
      <c r="I140" s="246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Лэндинг'!$B$5:$B$300,$B140),8))</f>
        <v/>
      </c>
      <c r="L140" s="183">
        <f>IF(K140="","",IF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140/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Лэндинг'!$B$5:$B$300,$B141))</f>
        <v/>
      </c>
      <c r="I141" s="240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Лэндинг'!$B$5:$B$300,$B141),8))</f>
        <v/>
      </c>
      <c r="L141" s="177">
        <f>IF(K141="","",IF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141/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Лэндинг'!$B$5:$B$300,$B142))</f>
        <v/>
      </c>
      <c r="I142" s="246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Лэндинг'!$B$5:$B$300,$B142),8))</f>
        <v/>
      </c>
      <c r="L142" s="183">
        <f>IF(K142="","",IF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142/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Лэндинг'!$B$5:$B$300,$B143))</f>
        <v/>
      </c>
      <c r="I143" s="240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Лэндинг'!$B$5:$B$300,$B143),8))</f>
        <v/>
      </c>
      <c r="L143" s="177">
        <f>IF(K143="","",IF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143/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Лэндинг'!$B$5:$B$300,$B144))</f>
        <v/>
      </c>
      <c r="I144" s="246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Лэндинг'!$B$5:$B$300,$B144),8))</f>
        <v/>
      </c>
      <c r="L144" s="183">
        <f>IF(K144="","",IF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144/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Лэндинг'!$B$5:$B$300,$B145))</f>
        <v/>
      </c>
      <c r="I145" s="240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Лэндинг'!$B$5:$B$300,$B145),8))</f>
        <v/>
      </c>
      <c r="L145" s="177">
        <f>IF(K145="","",IF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145/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Лэндинг'!$B$5:$B$300,$B146))</f>
        <v/>
      </c>
      <c r="I146" s="246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Лэндинг'!$B$5:$B$300,$B146),8))</f>
        <v/>
      </c>
      <c r="L146" s="183">
        <f>IF(K146="","",IF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146/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Лэндинг'!$B$5:$B$300,$B147))</f>
        <v/>
      </c>
      <c r="I147" s="240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Лэндинг'!$B$5:$B$300,$B147),8))</f>
        <v/>
      </c>
      <c r="L147" s="177">
        <f>IF(K147="","",IF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147/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Лэндинг'!$B$5:$B$300,$B148))</f>
        <v/>
      </c>
      <c r="I148" s="246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Лэндинг'!$B$5:$B$300,$B148),8))</f>
        <v/>
      </c>
      <c r="L148" s="183">
        <f>IF(K148="","",IF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148/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Лэндинг'!$B$5:$B$300,$B149))</f>
        <v/>
      </c>
      <c r="I149" s="240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Лэндинг'!$B$5:$B$300,$B149),8))</f>
        <v/>
      </c>
      <c r="L149" s="177">
        <f>IF(K149="","",IF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149/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Лэндинг'!$B$5:$B$300,$B150))</f>
        <v/>
      </c>
      <c r="I150" s="246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Лэндинг'!$B$5:$B$300,$B150),8))</f>
        <v/>
      </c>
      <c r="L150" s="183">
        <f>IF(K150="","",IF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150/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Лэндинг'!$B$5:$B$300,$B151))</f>
        <v/>
      </c>
      <c r="I151" s="240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Лэндинг'!$B$5:$B$300,$B151),8))</f>
        <v/>
      </c>
      <c r="L151" s="177">
        <f>IF(K151="","",IF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151/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Лэндинг'!$B$5:$B$300,$B152))</f>
        <v/>
      </c>
      <c r="I152" s="246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Лэндинг'!$B$5:$B$300,$B152),8))</f>
        <v/>
      </c>
      <c r="L152" s="183">
        <f>IF(K152="","",IF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152/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Лэндинг'!$B$5:$B$300,$B153))</f>
        <v/>
      </c>
      <c r="I153" s="240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Лэндинг'!$B$5:$B$300,$B153),8))</f>
        <v/>
      </c>
      <c r="L153" s="177">
        <f>IF(K153="","",IF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153/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Лэндинг'!$B$5:$B$300,$B154))</f>
        <v/>
      </c>
      <c r="I154" s="246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Лэндинг'!$B$5:$B$300,$B154),8))</f>
        <v/>
      </c>
      <c r="L154" s="183">
        <f>IF(K154="","",IF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154/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Лэндинг'!$B$5:$B$300,$B155))</f>
        <v/>
      </c>
      <c r="I155" s="240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Лэндинг'!$B$5:$B$300,$B155),8))</f>
        <v/>
      </c>
      <c r="L155" s="177">
        <f>IF(K155="","",IF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155/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Лэндинг'!$B$5:$B$300,$B156))</f>
        <v/>
      </c>
      <c r="I156" s="246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Лэндинг'!$B$5:$B$300,$B156),8))</f>
        <v/>
      </c>
      <c r="L156" s="183">
        <f>IF(K156="","",IF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156/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Лэндинг'!$B$5:$B$300,$B157))</f>
        <v/>
      </c>
      <c r="I157" s="240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Лэндинг'!$B$5:$B$300,$B157),8))</f>
        <v/>
      </c>
      <c r="L157" s="177">
        <f>IF(K157="","",IF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157/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Лэндинг'!$B$5:$B$300,$B158))</f>
        <v/>
      </c>
      <c r="I158" s="246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Лэндинг'!$B$5:$B$300,$B158),8))</f>
        <v/>
      </c>
      <c r="L158" s="183">
        <f>IF(K158="","",IF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158/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Лэндинг'!$B$5:$B$300,$B159))</f>
        <v/>
      </c>
      <c r="I159" s="240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Лэндинг'!$B$5:$B$300,$B159),8))</f>
        <v/>
      </c>
      <c r="L159" s="177">
        <f>IF(K159="","",IF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159/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Лэндинг'!$B$5:$B$300,$B160))</f>
        <v/>
      </c>
      <c r="I160" s="246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Лэндинг'!$B$5:$B$300,$B160),8))</f>
        <v/>
      </c>
      <c r="L160" s="183">
        <f>IF(K160="","",IF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160/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Лэндинг'!$B$5:$B$300,$B161))</f>
        <v/>
      </c>
      <c r="I161" s="240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Лэндинг'!$B$5:$B$300,$B161),8))</f>
        <v/>
      </c>
      <c r="L161" s="177">
        <f>IF(K161="","",IF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161/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Лэндинг'!$B$5:$B$300,$B162))</f>
        <v/>
      </c>
      <c r="I162" s="246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Лэндинг'!$B$5:$B$300,$B162),8))</f>
        <v/>
      </c>
      <c r="L162" s="183">
        <f>IF(K162="","",IF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162/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Лэндинг'!$B$5:$B$300,$B163))</f>
        <v/>
      </c>
      <c r="I163" s="240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Лэндинг'!$B$5:$B$300,$B163),8))</f>
        <v/>
      </c>
      <c r="L163" s="177">
        <f>IF(K163="","",IF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163/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Лэндинг'!$B$5:$B$300,$B164))</f>
        <v/>
      </c>
      <c r="I164" s="246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Лэндинг'!$B$5:$B$300,$B164),8))</f>
        <v/>
      </c>
      <c r="L164" s="183">
        <f>IF(K164="","",IF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164/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Лэндинг'!$B$5:$B$300,$B165))</f>
        <v/>
      </c>
      <c r="I165" s="240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Лэндинг'!$B$5:$B$300,$B165),8))</f>
        <v/>
      </c>
      <c r="L165" s="177">
        <f>IF(K165="","",IF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165/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Лэндинг'!$B$5:$B$300,$B166))</f>
        <v/>
      </c>
      <c r="I166" s="246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Лэндинг'!$B$5:$B$300,$B166),8))</f>
        <v/>
      </c>
      <c r="L166" s="183">
        <f>IF(K166="","",IF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166/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Лэндинг'!$B$5:$B$300,$B167))</f>
        <v/>
      </c>
      <c r="I167" s="240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Лэндинг'!$B$5:$B$300,$B167),8))</f>
        <v/>
      </c>
      <c r="L167" s="177">
        <f>IF(K167="","",IF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167/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Лэндинг'!$B$5:$B$300,$B168))</f>
        <v/>
      </c>
      <c r="I168" s="246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Лэндинг'!$B$5:$B$300,$B168),8))</f>
        <v/>
      </c>
      <c r="L168" s="183">
        <f>IF(K168="","",IF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168/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Лэндинг'!$B$5:$B$300,$B169))</f>
        <v/>
      </c>
      <c r="I169" s="240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Лэндинг'!$B$5:$B$300,$B169),8))</f>
        <v/>
      </c>
      <c r="L169" s="177">
        <f>IF(K169="","",IF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169/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Лэндинг'!$B$5:$B$300,$B170))</f>
        <v/>
      </c>
      <c r="I170" s="246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Лэндинг'!$B$5:$B$300,$B170),8))</f>
        <v/>
      </c>
      <c r="L170" s="183">
        <f>IF(K170="","",IF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170/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Лэндинг'!$B$5:$B$300,$B171))</f>
        <v/>
      </c>
      <c r="I171" s="240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Лэндинг'!$B$5:$B$300,$B171),8))</f>
        <v/>
      </c>
      <c r="L171" s="177">
        <f>IF(K171="","",IF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171/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Лэндинг'!$B$5:$B$300,$B172))</f>
        <v/>
      </c>
      <c r="I172" s="246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Лэндинг'!$B$5:$B$300,$B172),8))</f>
        <v/>
      </c>
      <c r="L172" s="183">
        <f>IF(K172="","",IF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172/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Лэндинг'!$B$5:$B$300,$B173))</f>
        <v/>
      </c>
      <c r="I173" s="240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Лэндинг'!$B$5:$B$300,$B173),8))</f>
        <v/>
      </c>
      <c r="L173" s="177">
        <f>IF(K173="","",IF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173/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Лэндинг'!$B$5:$B$300,$B174))</f>
        <v/>
      </c>
      <c r="I174" s="246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Лэндинг'!$B$5:$B$300,$B174),8))</f>
        <v/>
      </c>
      <c r="L174" s="183">
        <f>IF(K174="","",IF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174/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Лэндинг'!$B$5:$B$300,$B175))</f>
        <v/>
      </c>
      <c r="I175" s="240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Лэндинг'!$B$5:$B$300,$B175),8))</f>
        <v/>
      </c>
      <c r="L175" s="177">
        <f>IF(K175="","",IF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175/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Лэндинг'!$B$5:$B$300,$B176))</f>
        <v/>
      </c>
      <c r="I176" s="246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Лэндинг'!$B$5:$B$300,$B176),8))</f>
        <v/>
      </c>
      <c r="L176" s="183">
        <f>IF(K176="","",IF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176/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Лэндинг'!$B$5:$B$300,$B177))</f>
        <v/>
      </c>
      <c r="I177" s="240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Лэндинг'!$B$5:$B$300,$B177),8))</f>
        <v/>
      </c>
      <c r="L177" s="177">
        <f>IF(K177="","",IF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177/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Лэндинг'!$B$5:$B$300,$B178))</f>
        <v/>
      </c>
      <c r="I178" s="246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Лэндинг'!$B$5:$B$300,$B178),8))</f>
        <v/>
      </c>
      <c r="L178" s="183">
        <f>IF(K178="","",IF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178/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Лэндинг'!$B$5:$B$300,$B179))</f>
        <v/>
      </c>
      <c r="I179" s="240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Лэндинг'!$B$5:$B$300,$B179),8))</f>
        <v/>
      </c>
      <c r="L179" s="177">
        <f>IF(K179="","",IF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179/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Лэндинг'!$B$5:$B$300,$B180))</f>
        <v/>
      </c>
      <c r="I180" s="246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Лэндинг'!$B$5:$B$300,$B180),8))</f>
        <v/>
      </c>
      <c r="L180" s="183">
        <f>IF(K180="","",IF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180/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Лэндинг'!$B$5:$B$300,$B181))</f>
        <v/>
      </c>
      <c r="I181" s="240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Лэндинг'!$B$5:$B$300,$B181),8))</f>
        <v/>
      </c>
      <c r="L181" s="177">
        <f>IF(K181="","",IF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181/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Лэндинг'!$B$5:$B$300,$B182))</f>
        <v/>
      </c>
      <c r="I182" s="246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Лэндинг'!$B$5:$B$300,$B182),8))</f>
        <v/>
      </c>
      <c r="L182" s="183">
        <f>IF(K182="","",IF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182/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Лэндинг'!$B$5:$B$300,$B183))</f>
        <v/>
      </c>
      <c r="I183" s="240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Лэндинг'!$B$5:$B$300,$B183),8))</f>
        <v/>
      </c>
      <c r="L183" s="177">
        <f>IF(K183="","",IF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183/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Лэндинг'!$B$5:$B$300,$B184))</f>
        <v/>
      </c>
      <c r="I184" s="246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Лэндинг'!$B$5:$B$300,$B184),8))</f>
        <v/>
      </c>
      <c r="L184" s="183">
        <f>IF(K184="","",IF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184/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Лэндинг'!$B$5:$B$300,$B185))</f>
        <v/>
      </c>
      <c r="I185" s="240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Лэндинг'!$B$5:$B$300,$B185),8))</f>
        <v/>
      </c>
      <c r="L185" s="177">
        <f>IF(K185="","",IF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185/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Лэндинг'!$B$5:$B$300,$B186))</f>
        <v/>
      </c>
      <c r="I186" s="246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Лэндинг'!$B$5:$B$300,$B186),8))</f>
        <v/>
      </c>
      <c r="L186" s="183">
        <f>IF(K186="","",IF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186/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Лэндинг'!$B$5:$B$300,$B187))</f>
        <v/>
      </c>
      <c r="I187" s="240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Лэндинг'!$B$5:$B$300,$B187),8))</f>
        <v/>
      </c>
      <c r="L187" s="177">
        <f>IF(K187="","",IF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187/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Лэндинг'!$B$5:$B$300,$B188))</f>
        <v/>
      </c>
      <c r="I188" s="246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Лэндинг'!$B$5:$B$300,$B188),8))</f>
        <v/>
      </c>
      <c r="L188" s="183">
        <f>IF(K188="","",IF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188/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Лэндинг'!$B$5:$B$300,$B189))</f>
        <v/>
      </c>
      <c r="I189" s="240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Лэндинг'!$B$5:$B$300,$B189),8))</f>
        <v/>
      </c>
      <c r="L189" s="177">
        <f>IF(K189="","",IF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189/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Лэндинг'!$B$5:$B$300,$B190))</f>
        <v/>
      </c>
      <c r="I190" s="246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Лэндинг'!$B$5:$B$300,$B190),8))</f>
        <v/>
      </c>
      <c r="L190" s="183">
        <f>IF(K190="","",IF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190/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Лэндинг'!$B$5:$B$300,$B191))</f>
        <v/>
      </c>
      <c r="I191" s="240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Лэндинг'!$B$5:$B$300,$B191),8))</f>
        <v/>
      </c>
      <c r="L191" s="177">
        <f>IF(K191="","",IF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191/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Лэндинг'!$B$5:$B$300,$B192))</f>
        <v/>
      </c>
      <c r="I192" s="246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Лэндинг'!$B$5:$B$300,$B192),8))</f>
        <v/>
      </c>
      <c r="L192" s="183">
        <f>IF(K192="","",IF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192/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Лэндинг'!$B$5:$B$300,$B193))</f>
        <v/>
      </c>
      <c r="I193" s="240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Лэндинг'!$B$5:$B$300,$B193),8))</f>
        <v/>
      </c>
      <c r="L193" s="177">
        <f>IF(K193="","",IF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193/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Лэндинг'!$B$5:$B$300,$B194))</f>
        <v/>
      </c>
      <c r="I194" s="246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Лэндинг'!$B$5:$B$300,$B194),8))</f>
        <v/>
      </c>
      <c r="L194" s="183">
        <f>IF(K194="","",IF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194/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Лэндинг'!$B$5:$B$300,$B195))</f>
        <v/>
      </c>
      <c r="I195" s="240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Лэндинг'!$B$5:$B$300,$B195),8))</f>
        <v/>
      </c>
      <c r="L195" s="177">
        <f>IF(K195="","",IF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195/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Лэндинг'!$B$5:$B$300,$B196))</f>
        <v/>
      </c>
      <c r="I196" s="246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Лэндинг'!$B$5:$B$300,$B196),8))</f>
        <v/>
      </c>
      <c r="L196" s="183">
        <f>IF(K196="","",IF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196/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Лэндинг'!$B$5:$B$300,$B197))</f>
        <v/>
      </c>
      <c r="I197" s="240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Лэндинг'!$B$5:$B$300,$B197),8))</f>
        <v/>
      </c>
      <c r="L197" s="177">
        <f>IF(K197="","",IF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197/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Лэндинг'!$B$5:$B$300,$B198))</f>
        <v/>
      </c>
      <c r="I198" s="246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Лэндинг'!$B$5:$B$300,$B198),8))</f>
        <v/>
      </c>
      <c r="L198" s="183">
        <f>IF(K198="","",IF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198/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Лэндинг'!$B$5:$B$300,$B199))</f>
        <v/>
      </c>
      <c r="I199" s="240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Лэндинг'!$B$5:$B$300,$B199),8))</f>
        <v/>
      </c>
      <c r="L199" s="177">
        <f>IF(K199="","",IF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199/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Лэндинг'!$B$5:$B$300,$B200))</f>
        <v/>
      </c>
      <c r="I200" s="246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Лэндинг'!$B$5:$B$300,$B200),8))</f>
        <v/>
      </c>
      <c r="L200" s="183">
        <f>IF(K200="","",IF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200/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Лэндинг'!$B$5:$B$300,$B201))</f>
        <v/>
      </c>
      <c r="I201" s="240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Лэндинг'!$B$5:$B$300,$B201),8))</f>
        <v/>
      </c>
      <c r="L201" s="177">
        <f>IF(K201="","",IF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201/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Лэндинг'!$B$5:$B$300,$B202))</f>
        <v/>
      </c>
      <c r="I202" s="246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Лэндинг'!$B$5:$B$300,$B202),8))</f>
        <v/>
      </c>
      <c r="L202" s="183">
        <f>IF(K202="","",IF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202/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Лэндинг'!$B$5:$B$300,$B203))</f>
        <v/>
      </c>
      <c r="I203" s="240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Лэндинг'!$B$5:$B$300,$B203),8))</f>
        <v/>
      </c>
      <c r="L203" s="177">
        <f>IF(K203="","",IF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203/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Лэндинг'!$B$5:$B$300,$B204))</f>
        <v/>
      </c>
      <c r="I204" s="246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Лэндинг'!$B$5:$B$300,$B204),8))</f>
        <v/>
      </c>
      <c r="L204" s="183">
        <f>IF(K204="","",IF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204/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Лэндинг'!$B$5:$B$300,$B205))</f>
        <v/>
      </c>
      <c r="I205" s="240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Лэндинг'!$B$5:$B$300,$B205),8))</f>
        <v/>
      </c>
      <c r="L205" s="177">
        <f>IF(K205="","",IF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205/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Лэндинг'!$B$5:$B$300,$B206))</f>
        <v/>
      </c>
      <c r="I206" s="246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Лэндинг'!$B$5:$B$300,$B206),8))</f>
        <v/>
      </c>
      <c r="L206" s="183">
        <f>IF(K206="","",IF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206/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Лэндинг'!$B$5:$B$300,$B207))</f>
        <v/>
      </c>
      <c r="I207" s="240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Лэндинг'!$B$5:$B$300,$B207),8))</f>
        <v/>
      </c>
      <c r="L207" s="177">
        <f>IF(K207="","",IF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207/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Лэндинг'!$B$5:$B$300,$B208))</f>
        <v/>
      </c>
      <c r="I208" s="246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Лэндинг'!$B$5:$B$300,$B208),8))</f>
        <v/>
      </c>
      <c r="L208" s="183">
        <f>IF(K208="","",IF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208/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Лэндинг'!$B$5:$B$300,$B209))</f>
        <v/>
      </c>
      <c r="I209" s="240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Лэндинг'!$B$5:$B$300,$B209),8))</f>
        <v/>
      </c>
      <c r="L209" s="177">
        <f>IF(K209="","",IF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209/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Лэндинг'!$B$5:$B$300,$B210))</f>
        <v/>
      </c>
      <c r="I210" s="246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Лэндинг'!$B$5:$B$300,$B210),8))</f>
        <v/>
      </c>
      <c r="L210" s="183">
        <f>IF(K210="","",IF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210/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Лэндинг'!$B$5:$B$300,$B211))</f>
        <v/>
      </c>
      <c r="I211" s="240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Лэндинг'!$B$5:$B$300,$B211),8))</f>
        <v/>
      </c>
      <c r="L211" s="177">
        <f>IF(K211="","",IF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211/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Лэндинг'!$B$5:$B$300,$B212))</f>
        <v/>
      </c>
      <c r="I212" s="246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Лэндинг'!$B$5:$B$300,$B212),8))</f>
        <v/>
      </c>
      <c r="L212" s="183">
        <f>IF(K212="","",IF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212/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Лэндинг'!$B$5:$B$300,$B213))</f>
        <v/>
      </c>
      <c r="I213" s="240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Лэндинг'!$B$5:$B$300,$B213),8))</f>
        <v/>
      </c>
      <c r="L213" s="177">
        <f>IF(K213="","",IF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213/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Лэндинг'!$B$5:$B$300,$B214))</f>
        <v/>
      </c>
      <c r="I214" s="246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Лэндинг'!$B$5:$B$300,$B214),8))</f>
        <v/>
      </c>
      <c r="L214" s="183">
        <f>IF(K214="","",IF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214/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Лэндинг'!$B$5:$B$300,$B215))</f>
        <v/>
      </c>
      <c r="I215" s="240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Лэндинг'!$B$5:$B$300,$B215),8))</f>
        <v/>
      </c>
      <c r="L215" s="177">
        <f>IF(K215="","",IF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215/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Лэндинг'!$B$5:$B$300,$B216))</f>
        <v/>
      </c>
      <c r="I216" s="246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Лэндинг'!$B$5:$B$300,$B216),8))</f>
        <v/>
      </c>
      <c r="L216" s="183">
        <f>IF(K216="","",IF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216/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Лэндинг'!$B$5:$B$300,$B217))</f>
        <v/>
      </c>
      <c r="I217" s="240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Лэндинг'!$B$5:$B$300,$B217),8))</f>
        <v/>
      </c>
      <c r="L217" s="177">
        <f>IF(K217="","",IF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217/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Лэндинг'!$B$5:$B$300,$B218))</f>
        <v/>
      </c>
      <c r="I218" s="246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Лэндинг'!$B$5:$B$300,$B218),8))</f>
        <v/>
      </c>
      <c r="L218" s="183">
        <f>IF(K218="","",IF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218/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Лэндинг'!$B$5:$B$300,$B219))</f>
        <v/>
      </c>
      <c r="I219" s="240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Лэндинг'!$B$5:$B$300,$B219),8))</f>
        <v/>
      </c>
      <c r="L219" s="177">
        <f>IF(K219="","",IF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219/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Лэндинг'!$B$5:$B$300,$B220))</f>
        <v/>
      </c>
      <c r="I220" s="246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Лэндинг'!$B$5:$B$300,$B220),8))</f>
        <v/>
      </c>
      <c r="L220" s="183">
        <f>IF(K220="","",IF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220/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Лэндинг'!$B$5:$B$300,$B221))</f>
        <v/>
      </c>
      <c r="I221" s="240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Лэндинг'!$B$5:$B$300,$B221),8))</f>
        <v/>
      </c>
      <c r="L221" s="177">
        <f>IF(K221="","",IF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221/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Лэндинг'!$B$5:$B$300,$B222))</f>
        <v/>
      </c>
      <c r="I222" s="246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Лэндинг'!$B$5:$B$300,$B222),8))</f>
        <v/>
      </c>
      <c r="L222" s="183">
        <f>IF(K222="","",IF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222/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Лэндинг'!$B$5:$B$300,$B223))</f>
        <v/>
      </c>
      <c r="I223" s="240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Лэндинг'!$B$5:$B$300,$B223),8))</f>
        <v/>
      </c>
      <c r="L223" s="177">
        <f>IF(K223="","",IF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223/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Лэндинг'!$B$5:$B$300,$B224))</f>
        <v/>
      </c>
      <c r="I224" s="246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Лэндинг'!$B$5:$B$300,$B224),8))</f>
        <v/>
      </c>
      <c r="L224" s="183">
        <f>IF(K224="","",IF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224/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Лэндинг'!$B$5:$B$300,$B225))</f>
        <v/>
      </c>
      <c r="I225" s="240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Лэндинг'!$B$5:$B$300,$B225),8))</f>
        <v/>
      </c>
      <c r="L225" s="177">
        <f>IF(K225="","",IF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225/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Лэндинг'!$B$5:$B$300,$B226))</f>
        <v/>
      </c>
      <c r="I226" s="246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Лэндинг'!$B$5:$B$300,$B226),8))</f>
        <v/>
      </c>
      <c r="L226" s="183">
        <f>IF(K226="","",IF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226/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Лэндинг'!$B$5:$B$300,$B227))</f>
        <v/>
      </c>
      <c r="I227" s="240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Лэндинг'!$B$5:$B$300,$B227),8))</f>
        <v/>
      </c>
      <c r="L227" s="177">
        <f>IF(K227="","",IF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227/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Лэндинг'!$B$5:$B$300,$B228))</f>
        <v/>
      </c>
      <c r="I228" s="246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Лэндинг'!$B$5:$B$300,$B228),8))</f>
        <v/>
      </c>
      <c r="L228" s="183">
        <f>IF(K228="","",IF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228/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Лэндинг'!$B$5:$B$300,$B229))</f>
        <v/>
      </c>
      <c r="I229" s="240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Лэндинг'!$B$5:$B$300,$B229),8))</f>
        <v/>
      </c>
      <c r="L229" s="177">
        <f>IF(K229="","",IF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229/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Лэндинг'!$B$5:$B$300,$B230))</f>
        <v/>
      </c>
      <c r="I230" s="246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Лэндинг'!$B$5:$B$300,$B230),8))</f>
        <v/>
      </c>
      <c r="L230" s="183">
        <f>IF(K230="","",IF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230/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Лэндинг'!$B$5:$B$300,$B231))</f>
        <v/>
      </c>
      <c r="I231" s="240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Лэндинг'!$B$5:$B$300,$B231),8))</f>
        <v/>
      </c>
      <c r="L231" s="177">
        <f>IF(K231="","",IF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231/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Лэндинг'!$B$5:$B$300,$B232))</f>
        <v/>
      </c>
      <c r="I232" s="246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Лэндинг'!$B$5:$B$300,$B232),8))</f>
        <v/>
      </c>
      <c r="L232" s="183">
        <f>IF(K232="","",IF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232/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Лэндинг'!$B$5:$B$300,$B233))</f>
        <v/>
      </c>
      <c r="I233" s="240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Лэндинг'!$B$5:$B$300,$B233),8))</f>
        <v/>
      </c>
      <c r="L233" s="177">
        <f>IF(K233="","",IF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233/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Лэндинг'!$B$5:$B$300,$B234))</f>
        <v/>
      </c>
      <c r="I234" s="246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Лэндинг'!$B$5:$B$300,$B234),8))</f>
        <v/>
      </c>
      <c r="L234" s="183">
        <f>IF(K234="","",IF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234/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Лэндинг'!$B$5:$B$300,$B235))</f>
        <v/>
      </c>
      <c r="I235" s="240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Лэндинг'!$B$5:$B$300,$B235),8))</f>
        <v/>
      </c>
      <c r="L235" s="177">
        <f>IF(K235="","",IF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235/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Лэндинг'!$B$5:$B$300,$B236))</f>
        <v/>
      </c>
      <c r="I236" s="246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Лэндинг'!$B$5:$B$300,$B236),8))</f>
        <v/>
      </c>
      <c r="L236" s="183">
        <f>IF(K236="","",IF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236/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Лэндинг'!$B$5:$B$300,$B237))</f>
        <v/>
      </c>
      <c r="I237" s="240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Лэндинг'!$B$5:$B$300,$B237),8))</f>
        <v/>
      </c>
      <c r="L237" s="177">
        <f>IF(K237="","",IF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237/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Лэндинг'!$B$5:$B$300,$B238))</f>
        <v/>
      </c>
      <c r="I238" s="246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Лэндинг'!$B$5:$B$300,$B238),8))</f>
        <v/>
      </c>
      <c r="L238" s="183">
        <f>IF(K238="","",IF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238/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Лэндинг'!$B$5:$B$300,$B239))</f>
        <v/>
      </c>
      <c r="I239" s="240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Лэндинг'!$B$5:$B$300,$B239),8))</f>
        <v/>
      </c>
      <c r="L239" s="177">
        <f>IF(K239="","",IF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239/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Лэндинг'!$B$5:$B$300,$B240))</f>
        <v/>
      </c>
      <c r="I240" s="246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Лэндинг'!$B$5:$B$300,$B240),8))</f>
        <v/>
      </c>
      <c r="L240" s="183">
        <f>IF(K240="","",IF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240/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Лэндинг'!$B$5:$B$300,$B241))</f>
        <v/>
      </c>
      <c r="I241" s="240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Лэндинг'!$B$5:$B$300,$B241),8))</f>
        <v/>
      </c>
      <c r="L241" s="177">
        <f>IF(K241="","",IF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241/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Лэндинг'!$B$5:$B$300,$B242))</f>
        <v/>
      </c>
      <c r="I242" s="246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Лэндинг'!$B$5:$B$300,$B242),8))</f>
        <v/>
      </c>
      <c r="L242" s="183">
        <f>IF(K242="","",IF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242/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Лэндинг'!$B$5:$B$300,$B243))</f>
        <v/>
      </c>
      <c r="I243" s="240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Лэндинг'!$B$5:$B$300,$B243),8))</f>
        <v/>
      </c>
      <c r="L243" s="177">
        <f>IF(K243="","",IF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243/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Лэндинг'!$B$5:$B$300,$B244))</f>
        <v/>
      </c>
      <c r="I244" s="246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Лэндинг'!$B$5:$B$300,$B244),8))</f>
        <v/>
      </c>
      <c r="L244" s="183">
        <f>IF(K244="","",IF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244/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Лэндинг'!$B$5:$B$300,$B245))</f>
        <v/>
      </c>
      <c r="I245" s="240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Лэндинг'!$B$5:$B$300,$B245),8))</f>
        <v/>
      </c>
      <c r="L245" s="177">
        <f>IF(K245="","",IF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245/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Лэндинг'!$B$5:$B$300,$B246))</f>
        <v/>
      </c>
      <c r="I246" s="246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Лэндинг'!$B$5:$B$300,$B246),8))</f>
        <v/>
      </c>
      <c r="L246" s="183">
        <f>IF(K246="","",IF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246/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Лэндинг'!$B$5:$B$300,$B247))</f>
        <v/>
      </c>
      <c r="I247" s="240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Лэндинг'!$B$5:$B$300,$B247),8))</f>
        <v/>
      </c>
      <c r="L247" s="177">
        <f>IF(K247="","",IF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247/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Лэндинг'!$B$5:$B$300,$B248))</f>
        <v/>
      </c>
      <c r="I248" s="246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Лэндинг'!$B$5:$B$300,$B248),8))</f>
        <v/>
      </c>
      <c r="L248" s="183">
        <f>IF(K248="","",IF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248/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Лэндинг'!$B$5:$B$300,$B249))</f>
        <v/>
      </c>
      <c r="I249" s="240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Лэндинг'!$B$5:$B$300,$B249),8))</f>
        <v/>
      </c>
      <c r="L249" s="177">
        <f>IF(K249="","",IF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249/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Лэндинг'!$B$5:$B$300,$B250))</f>
        <v/>
      </c>
      <c r="I250" s="246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Лэндинг'!$B$5:$B$300,$B250),8))</f>
        <v/>
      </c>
      <c r="L250" s="183">
        <f>IF(K250="","",IF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250/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Лэндинг'!$B$5:$B$300,$B251))</f>
        <v/>
      </c>
      <c r="I251" s="240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Лэндинг'!$B$5:$B$300,$B251),8))</f>
        <v/>
      </c>
      <c r="L251" s="177">
        <f>IF(K251="","",IF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251/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Лэндинг'!$B$5:$B$300,$B252))</f>
        <v/>
      </c>
      <c r="I252" s="246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Лэндинг'!$B$5:$B$300,$B252),8))</f>
        <v/>
      </c>
      <c r="L252" s="183">
        <f>IF(K252="","",IF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252/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Лэндинг'!$B$5:$B$300,$B253))</f>
        <v/>
      </c>
      <c r="I253" s="240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Лэндинг'!$B$5:$B$300,$B253),8))</f>
        <v/>
      </c>
      <c r="L253" s="177">
        <f>IF(K253="","",IF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253/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Лэндинг'!$B$5:$B$300,$B254))</f>
        <v/>
      </c>
      <c r="I254" s="246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Лэндинг'!$B$5:$B$300,$B254),8))</f>
        <v/>
      </c>
      <c r="L254" s="183">
        <f>IF(K254="","",IF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254/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Лэндинг'!$B$5:$B$300,$B255))</f>
        <v/>
      </c>
      <c r="I255" s="240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Лэндинг'!$B$5:$B$300,$B255),8))</f>
        <v/>
      </c>
      <c r="L255" s="177">
        <f>IF(K255="","",IF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255/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Лэндинг'!$B$5:$B$300,$B256))</f>
        <v/>
      </c>
      <c r="I256" s="246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Лэндинг'!$B$5:$B$300,$B256),8))</f>
        <v/>
      </c>
      <c r="L256" s="183">
        <f>IF(K256="","",IF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256/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Лэндинг'!$B$5:$B$300,$B257))</f>
        <v/>
      </c>
      <c r="I257" s="240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Лэндинг'!$B$5:$B$300,$B257),8))</f>
        <v/>
      </c>
      <c r="L257" s="177">
        <f>IF(K257="","",IF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257/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Лэндинг'!$B$5:$B$300,$B258))</f>
        <v/>
      </c>
      <c r="I258" s="246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Лэндинг'!$B$5:$B$300,$B258),8))</f>
        <v/>
      </c>
      <c r="L258" s="183">
        <f>IF(K258="","",IF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258/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Лэндинг'!$B$5:$B$300,$B259))</f>
        <v/>
      </c>
      <c r="I259" s="240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Лэндинг'!$B$5:$B$300,$B259),8))</f>
        <v/>
      </c>
      <c r="L259" s="177">
        <f>IF(K259="","",IF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259/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Лэндинг'!$B$5:$B$300,$B260))</f>
        <v/>
      </c>
      <c r="I260" s="246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Лэндинг'!$B$5:$B$300,$B260),8))</f>
        <v/>
      </c>
      <c r="L260" s="183">
        <f>IF(K260="","",IF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260/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Лэндинг'!$B$5:$B$300,$B261))</f>
        <v/>
      </c>
      <c r="I261" s="240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Лэндинг'!$B$5:$B$300,$B261),8))</f>
        <v/>
      </c>
      <c r="L261" s="177">
        <f>IF(K261="","",IF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261/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Лэндинг'!$B$5:$B$300,$B262))</f>
        <v/>
      </c>
      <c r="I262" s="246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Лэндинг'!$B$5:$B$300,$B262),8))</f>
        <v/>
      </c>
      <c r="L262" s="183">
        <f>IF(K262="","",IF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262/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Лэндинг'!$B$5:$B$300,$B263))</f>
        <v/>
      </c>
      <c r="I263" s="240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Лэндинг'!$B$5:$B$300,$B263),8))</f>
        <v/>
      </c>
      <c r="L263" s="177">
        <f>IF(K263="","",IF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263/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Лэндинг'!$B$5:$B$300,$B264))</f>
        <v/>
      </c>
      <c r="I264" s="246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Лэндинг'!$B$5:$B$300,$B264),8))</f>
        <v/>
      </c>
      <c r="L264" s="183">
        <f>IF(K264="","",IF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264/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Лэндинг'!$B$5:$B$300,$B265))</f>
        <v/>
      </c>
      <c r="I265" s="240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Лэндинг'!$B$5:$B$300,$B265),8))</f>
        <v/>
      </c>
      <c r="L265" s="177">
        <f>IF(K265="","",IF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265/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Лэндинг'!$B$5:$B$300,$B266))</f>
        <v/>
      </c>
      <c r="I266" s="246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Лэндинг'!$B$5:$B$300,$B266),8))</f>
        <v/>
      </c>
      <c r="L266" s="183">
        <f>IF(K266="","",IF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266/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Лэндинг'!$B$5:$B$300,$B267))</f>
        <v/>
      </c>
      <c r="I267" s="240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Лэндинг'!$B$5:$B$300,$B267),8))</f>
        <v/>
      </c>
      <c r="L267" s="177">
        <f>IF(K267="","",IF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267/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Лэндинг'!$B$5:$B$300,$B268))</f>
        <v/>
      </c>
      <c r="I268" s="246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Лэндинг'!$B$5:$B$300,$B268),8))</f>
        <v/>
      </c>
      <c r="L268" s="183">
        <f>IF(K268="","",IF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268/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Лэндинг'!$B$5:$B$300,$B269))</f>
        <v/>
      </c>
      <c r="I269" s="240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Лэндинг'!$B$5:$B$300,$B269),8))</f>
        <v/>
      </c>
      <c r="L269" s="177">
        <f>IF(K269="","",IF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269/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Лэндинг'!$B$5:$B$300,$B270))</f>
        <v/>
      </c>
      <c r="I270" s="246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Лэндинг'!$B$5:$B$300,$B270),8))</f>
        <v/>
      </c>
      <c r="L270" s="183">
        <f>IF(K270="","",IF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270/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Лэндинг'!$B$5:$B$300,$B271))</f>
        <v/>
      </c>
      <c r="I271" s="240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Лэндинг'!$B$5:$B$300,$B271),8))</f>
        <v/>
      </c>
      <c r="L271" s="177">
        <f>IF(K271="","",IF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271/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Лэндинг'!$B$5:$B$300,$B272))</f>
        <v/>
      </c>
      <c r="I272" s="246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Лэндинг'!$B$5:$B$300,$B272),8))</f>
        <v/>
      </c>
      <c r="L272" s="183">
        <f>IF(K272="","",IF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272/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Лэндинг'!$B$5:$B$300,$B273))</f>
        <v/>
      </c>
      <c r="I273" s="240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Лэндинг'!$B$5:$B$300,$B273),8))</f>
        <v/>
      </c>
      <c r="L273" s="177">
        <f>IF(K273="","",IF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273/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Лэндинг'!$B$5:$B$300,$B274))</f>
        <v/>
      </c>
      <c r="I274" s="246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Лэндинг'!$B$5:$B$300,$B274),8))</f>
        <v/>
      </c>
      <c r="L274" s="183">
        <f>IF(K274="","",IF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274/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Лэндинг'!$B$5:$B$300,$B275))</f>
        <v/>
      </c>
      <c r="I275" s="240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Лэндинг'!$B$5:$B$300,$B275),8))</f>
        <v/>
      </c>
      <c r="L275" s="177">
        <f>IF(K275="","",IF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275/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Лэндинг'!$B$5:$B$300,$B276))</f>
        <v/>
      </c>
      <c r="I276" s="246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Лэндинг'!$B$5:$B$300,$B276),8))</f>
        <v/>
      </c>
      <c r="L276" s="183">
        <f>IF(K276="","",IF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276/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Лэндинг'!$B$5:$B$300,$B277))</f>
        <v/>
      </c>
      <c r="I277" s="240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Лэндинг'!$B$5:$B$300,$B277),8))</f>
        <v/>
      </c>
      <c r="L277" s="177">
        <f>IF(K277="","",IF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277/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Лэндинг'!$B$5:$B$300,$B278))</f>
        <v/>
      </c>
      <c r="I278" s="246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Лэндинг'!$B$5:$B$300,$B278),8))</f>
        <v/>
      </c>
      <c r="L278" s="183">
        <f>IF(K278="","",IF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278/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Лэндинг'!$B$5:$B$300,$B279))</f>
        <v/>
      </c>
      <c r="I279" s="240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Лэндинг'!$B$5:$B$300,$B279),8))</f>
        <v/>
      </c>
      <c r="L279" s="177">
        <f>IF(K279="","",IF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279/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Лэндинг'!$B$5:$B$300,$B280))</f>
        <v/>
      </c>
      <c r="I280" s="246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Лэндинг'!$B$5:$B$300,$B280),8))</f>
        <v/>
      </c>
      <c r="L280" s="183">
        <f>IF(K280="","",IF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280/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Лэндинг'!$B$5:$B$300,$B281))</f>
        <v/>
      </c>
      <c r="I281" s="240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Лэндинг'!$B$5:$B$300,$B281),8))</f>
        <v/>
      </c>
      <c r="L281" s="177">
        <f>IF(K281="","",IF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281/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Лэндинг'!$B$5:$B$300,$B282))</f>
        <v/>
      </c>
      <c r="I282" s="246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Лэндинг'!$B$5:$B$300,$B282),8))</f>
        <v/>
      </c>
      <c r="L282" s="183">
        <f>IF(K282="","",IF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282/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Лэндинг'!$B$5:$B$300,$B283))</f>
        <v/>
      </c>
      <c r="I283" s="240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Лэндинг'!$B$5:$B$300,$B283),8))</f>
        <v/>
      </c>
      <c r="L283" s="177">
        <f>IF(K283="","",IF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283/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Лэндинг'!$B$5:$B$300,$B284))</f>
        <v/>
      </c>
      <c r="I284" s="246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Лэндинг'!$B$5:$B$300,$B284),8))</f>
        <v/>
      </c>
      <c r="L284" s="183">
        <f>IF(K284="","",IF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284/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Лэндинг'!$B$5:$B$300,$B285))</f>
        <v/>
      </c>
      <c r="I285" s="240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Лэндинг'!$B$5:$B$300,$B285),8))</f>
        <v/>
      </c>
      <c r="L285" s="177">
        <f>IF(K285="","",IF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285/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Лэндинг'!$B$5:$B$300,$B286))</f>
        <v/>
      </c>
      <c r="I286" s="246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Лэндинг'!$B$5:$B$300,$B286),8))</f>
        <v/>
      </c>
      <c r="L286" s="183">
        <f>IF(K286="","",IF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286/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Лэндинг'!$B$5:$B$300,$B287))</f>
        <v/>
      </c>
      <c r="I287" s="240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Лэндинг'!$B$5:$B$300,$B287),8))</f>
        <v/>
      </c>
      <c r="L287" s="177">
        <f>IF(K287="","",IF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287/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Лэндинг'!$B$5:$B$300,$B288))</f>
        <v/>
      </c>
      <c r="I288" s="246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Лэндинг'!$B$5:$B$300,$B288),8))</f>
        <v/>
      </c>
      <c r="L288" s="183">
        <f>IF(K288="","",IF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288/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Лэндинг'!$B$5:$B$300,$B289))</f>
        <v/>
      </c>
      <c r="I289" s="240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Лэндинг'!$B$5:$B$300,$B289),8))</f>
        <v/>
      </c>
      <c r="L289" s="177">
        <f>IF(K289="","",IF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289/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Лэндинг'!$B$5:$B$300,$B290))</f>
        <v/>
      </c>
      <c r="I290" s="246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Лэндинг'!$B$5:$B$300,$B290),8))</f>
        <v/>
      </c>
      <c r="L290" s="183">
        <f>IF(K290="","",IF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290/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Лэндинг'!$B$5:$B$300,$B291))</f>
        <v/>
      </c>
      <c r="I291" s="240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Лэндинг'!$B$5:$B$300,$B291),8))</f>
        <v/>
      </c>
      <c r="L291" s="177">
        <f>IF(K291="","",IF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291/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Лэндинг'!$B$5:$B$300,$B292))</f>
        <v/>
      </c>
      <c r="I292" s="246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Лэндинг'!$B$5:$B$300,$B292),8))</f>
        <v/>
      </c>
      <c r="L292" s="183">
        <f>IF(K292="","",IF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292/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Лэндинг'!$B$5:$B$300,$B293))</f>
        <v/>
      </c>
      <c r="I293" s="240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Лэндинг'!$B$5:$B$300,$B293),8))</f>
        <v/>
      </c>
      <c r="L293" s="177">
        <f>IF(K293="","",IF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293/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Лэндинг'!$B$5:$B$300,$B294))</f>
        <v/>
      </c>
      <c r="I294" s="246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Лэндинг'!$B$5:$B$300,$B294),8))</f>
        <v/>
      </c>
      <c r="L294" s="183">
        <f>IF(K294="","",IF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294/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Лэндинг'!$B$5:$B$300,$B295))</f>
        <v/>
      </c>
      <c r="I295" s="240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Лэндинг'!$B$5:$B$300,$B295),8))</f>
        <v/>
      </c>
      <c r="L295" s="177">
        <f>IF(K295="","",IF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295/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Лэндинг'!$B$5:$B$300,$B296))</f>
        <v/>
      </c>
      <c r="I296" s="246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Лэндинг'!$B$5:$B$300,$B296),8))</f>
        <v/>
      </c>
      <c r="L296" s="183">
        <f>IF(K296="","",IF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296/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Лэндинг'!$B$5:$B$300,$B297))</f>
        <v/>
      </c>
      <c r="I297" s="240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Лэндинг'!$B$5:$B$300,$B297),8))</f>
        <v/>
      </c>
      <c r="L297" s="177">
        <f>IF(K297="","",IF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297/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Лэндинг'!$B$5:$B$300,$B298))</f>
        <v/>
      </c>
      <c r="I298" s="246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Лэндинг'!$B$5:$B$300,$B298),8))</f>
        <v/>
      </c>
      <c r="L298" s="183">
        <f>IF(K298="","",IF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298/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Лэндинг'!$B$5:$B$300,$B299))</f>
        <v/>
      </c>
      <c r="I299" s="240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Лэндинг'!$B$5:$B$300,$B299),8))</f>
        <v/>
      </c>
      <c r="L299" s="177">
        <f>IF(K299="","",IF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299/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Лэндинг'!$B$5:$B$300,$B300))</f>
        <v/>
      </c>
      <c r="I300" s="246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Лэндинг'!$B$5:$B$300,$B300),8))</f>
        <v/>
      </c>
      <c r="L300" s="183">
        <f>IF(K300="","",IF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300/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I30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  <c r="I4" s="205" t="inlineStr">
        <is>
          <t>Монеты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29</v>
      </c>
      <c r="I5" s="206" t="inlineStr">
        <is>
          <t>AAVE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30</v>
      </c>
      <c r="I6" s="206" t="inlineStr">
        <is>
          <t>ADA</t>
        </is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 t="n">
        <v>23</v>
      </c>
      <c r="I7" s="206" t="inlineStr">
        <is>
          <t>ARB</t>
        </is>
      </c>
    </row>
    <row r="8" ht="22" customHeight="1">
      <c r="B8" s="206" t="inlineStr">
        <is>
          <t>Uniswap</t>
        </is>
      </c>
      <c r="C8" s="207" t="n"/>
      <c r="I8" s="206" t="inlineStr">
        <is>
          <t>BCH</t>
        </is>
      </c>
    </row>
    <row r="9" ht="22" customHeight="1">
      <c r="B9" s="206" t="inlineStr">
        <is>
          <t>AAVE</t>
        </is>
      </c>
      <c r="C9" s="207" t="n"/>
      <c r="I9" s="206" t="inlineStr">
        <is>
          <t>BNB</t>
        </is>
      </c>
    </row>
    <row r="10" ht="22" customHeight="1">
      <c r="B10" s="206" t="inlineStr">
        <is>
          <t>Raydium</t>
        </is>
      </c>
      <c r="C10" s="207" t="n"/>
      <c r="I10" s="206" t="inlineStr">
        <is>
          <t>BTC</t>
        </is>
      </c>
    </row>
    <row r="11" ht="22" customHeight="1">
      <c r="B11" s="206" t="inlineStr">
        <is>
          <t>PancakeSwap</t>
        </is>
      </c>
      <c r="C11" s="207" t="n"/>
      <c r="I11" s="206" t="inlineStr">
        <is>
          <t>CAKE</t>
        </is>
      </c>
    </row>
    <row r="12" ht="22" customHeight="1">
      <c r="B12" s="206" t="inlineStr">
        <is>
          <t>Orca</t>
        </is>
      </c>
      <c r="C12" s="207" t="n"/>
      <c r="I12" s="206" t="inlineStr">
        <is>
          <t>DASH</t>
        </is>
      </c>
    </row>
    <row r="13">
      <c r="I13" s="206" t="inlineStr">
        <is>
          <t>DOGE</t>
        </is>
      </c>
    </row>
    <row r="14">
      <c r="I14" s="206" t="inlineStr">
        <is>
          <t>ELIZAOS</t>
        </is>
      </c>
    </row>
    <row r="15">
      <c r="I15" s="206" t="inlineStr">
        <is>
          <t>ETH</t>
        </is>
      </c>
    </row>
    <row r="16">
      <c r="I16" s="206" t="inlineStr">
        <is>
          <t>LINK</t>
        </is>
      </c>
    </row>
    <row r="17">
      <c r="I17" s="206" t="inlineStr">
        <is>
          <t>LTC</t>
        </is>
      </c>
    </row>
    <row r="18">
      <c r="I18" s="206" t="inlineStr">
        <is>
          <t>SOL</t>
        </is>
      </c>
    </row>
    <row r="19">
      <c r="I19" s="206" t="inlineStr">
        <is>
          <t>TRX</t>
        </is>
      </c>
    </row>
    <row r="20">
      <c r="I20" s="206" t="inlineStr">
        <is>
          <t>USDT</t>
        </is>
      </c>
    </row>
    <row r="21">
      <c r="I21" s="206" t="inlineStr">
        <is>
          <t>XRP</t>
        </is>
      </c>
    </row>
    <row r="22">
      <c r="I22" s="206" t="n"/>
    </row>
    <row r="23">
      <c r="I23" s="206" t="n"/>
    </row>
    <row r="24">
      <c r="I24" s="206" t="n"/>
    </row>
    <row r="25">
      <c r="I25" s="206" t="n"/>
    </row>
    <row r="26">
      <c r="I26" s="206" t="n"/>
    </row>
    <row r="27">
      <c r="I27" s="206" t="n"/>
    </row>
    <row r="28">
      <c r="I28" s="206" t="n"/>
    </row>
    <row r="29">
      <c r="I29" s="206" t="n"/>
    </row>
    <row r="30">
      <c r="I30" s="206" t="n"/>
    </row>
    <row r="31">
      <c r="I31" s="206" t="n"/>
    </row>
    <row r="32">
      <c r="I32" s="206" t="n"/>
    </row>
    <row r="33">
      <c r="I33" s="206" t="n"/>
    </row>
    <row r="34">
      <c r="I34" s="206" t="n"/>
    </row>
    <row r="35">
      <c r="I35" s="206" t="n"/>
    </row>
    <row r="36">
      <c r="I36" s="206" t="n"/>
    </row>
    <row r="37">
      <c r="I37" s="206" t="n"/>
    </row>
    <row r="38">
      <c r="I38" s="206" t="n"/>
    </row>
    <row r="39">
      <c r="I39" s="206" t="n"/>
    </row>
    <row r="40">
      <c r="I40" s="206" t="n"/>
    </row>
    <row r="41">
      <c r="I41" s="206" t="n"/>
    </row>
    <row r="42">
      <c r="I42" s="206" t="n"/>
    </row>
    <row r="43">
      <c r="I43" s="206" t="n"/>
    </row>
    <row r="44">
      <c r="I44" s="206" t="n"/>
    </row>
    <row r="45">
      <c r="I45" s="206" t="n"/>
    </row>
    <row r="46">
      <c r="I46" s="206" t="n"/>
    </row>
    <row r="47">
      <c r="I47" s="206" t="n"/>
    </row>
    <row r="48">
      <c r="I48" s="206" t="n"/>
    </row>
    <row r="49">
      <c r="I49" s="206" t="n"/>
    </row>
    <row r="50">
      <c r="I50" s="206" t="n"/>
    </row>
    <row r="51">
      <c r="I51" s="206" t="n"/>
    </row>
    <row r="52">
      <c r="I52" s="206" t="n"/>
    </row>
    <row r="53">
      <c r="I53" s="206" t="n"/>
    </row>
    <row r="54">
      <c r="I54" s="206" t="n"/>
    </row>
    <row r="55">
      <c r="I55" s="206" t="n"/>
    </row>
    <row r="56">
      <c r="I56" s="206" t="n"/>
    </row>
    <row r="57">
      <c r="I57" s="206" t="n"/>
    </row>
    <row r="58">
      <c r="I58" s="206" t="n"/>
    </row>
    <row r="59">
      <c r="I59" s="206" t="n"/>
    </row>
    <row r="60">
      <c r="I60" s="206" t="n"/>
    </row>
    <row r="61">
      <c r="I61" s="206" t="n"/>
    </row>
    <row r="62">
      <c r="I62" s="206" t="n"/>
    </row>
    <row r="63">
      <c r="I63" s="206" t="n"/>
    </row>
    <row r="64">
      <c r="I64" s="206" t="n"/>
    </row>
    <row r="65">
      <c r="I65" s="206" t="n"/>
    </row>
    <row r="66">
      <c r="I66" s="206" t="n"/>
    </row>
    <row r="67">
      <c r="I67" s="206" t="n"/>
    </row>
    <row r="68">
      <c r="I68" s="206" t="n"/>
    </row>
    <row r="69">
      <c r="I69" s="206" t="n"/>
    </row>
    <row r="70">
      <c r="I70" s="206" t="n"/>
    </row>
    <row r="71">
      <c r="I71" s="206" t="n"/>
    </row>
    <row r="72">
      <c r="I72" s="206" t="n"/>
    </row>
    <row r="73">
      <c r="I73" s="206" t="n"/>
    </row>
    <row r="74">
      <c r="I74" s="206" t="n"/>
    </row>
    <row r="75">
      <c r="I75" s="206" t="n"/>
    </row>
    <row r="76">
      <c r="I76" s="206" t="n"/>
    </row>
    <row r="77">
      <c r="I77" s="206" t="n"/>
    </row>
    <row r="78">
      <c r="I78" s="206" t="n"/>
    </row>
    <row r="79">
      <c r="I79" s="206" t="n"/>
    </row>
    <row r="80">
      <c r="I80" s="206" t="n"/>
    </row>
    <row r="81">
      <c r="I81" s="206" t="n"/>
    </row>
    <row r="82">
      <c r="I82" s="206" t="n"/>
    </row>
    <row r="83">
      <c r="I83" s="206" t="n"/>
    </row>
    <row r="84">
      <c r="I84" s="206" t="n"/>
    </row>
    <row r="85">
      <c r="I85" s="206" t="n"/>
    </row>
    <row r="86">
      <c r="I86" s="206" t="n"/>
    </row>
    <row r="87">
      <c r="I87" s="206" t="n"/>
    </row>
    <row r="88">
      <c r="I88" s="206" t="n"/>
    </row>
    <row r="89">
      <c r="I89" s="206" t="n"/>
    </row>
    <row r="90">
      <c r="I90" s="206" t="n"/>
    </row>
    <row r="91">
      <c r="I91" s="206" t="n"/>
    </row>
    <row r="92">
      <c r="I92" s="206" t="n"/>
    </row>
    <row r="93">
      <c r="I93" s="206" t="n"/>
    </row>
    <row r="94">
      <c r="I94" s="206" t="n"/>
    </row>
    <row r="95">
      <c r="I95" s="206" t="n"/>
    </row>
    <row r="96">
      <c r="I96" s="206" t="n"/>
    </row>
    <row r="97">
      <c r="I97" s="206" t="n"/>
    </row>
    <row r="98">
      <c r="I98" s="206" t="n"/>
    </row>
    <row r="99">
      <c r="I99" s="206" t="n"/>
    </row>
    <row r="100">
      <c r="I100" s="206" t="n"/>
    </row>
    <row r="101">
      <c r="I101" s="206" t="n"/>
    </row>
    <row r="102">
      <c r="I102" s="206" t="n"/>
    </row>
    <row r="103">
      <c r="I103" s="206" t="n"/>
    </row>
    <row r="104">
      <c r="I104" s="206" t="n"/>
    </row>
    <row r="105">
      <c r="I105" s="206" t="n"/>
    </row>
    <row r="106">
      <c r="I106" s="206" t="n"/>
    </row>
    <row r="107">
      <c r="I107" s="206" t="n"/>
    </row>
    <row r="108">
      <c r="I108" s="206" t="n"/>
    </row>
    <row r="109">
      <c r="I109" s="206" t="n"/>
    </row>
    <row r="110">
      <c r="I110" s="206" t="n"/>
    </row>
    <row r="111">
      <c r="I111" s="206" t="n"/>
    </row>
    <row r="112">
      <c r="I112" s="206" t="n"/>
    </row>
    <row r="113">
      <c r="I113" s="206" t="n"/>
    </row>
    <row r="114">
      <c r="I114" s="206" t="n"/>
    </row>
    <row r="115">
      <c r="I115" s="206" t="n"/>
    </row>
    <row r="116">
      <c r="I116" s="206" t="n"/>
    </row>
    <row r="117">
      <c r="I117" s="206" t="n"/>
    </row>
    <row r="118">
      <c r="I118" s="206" t="n"/>
    </row>
    <row r="119">
      <c r="I119" s="206" t="n"/>
    </row>
    <row r="120">
      <c r="I120" s="206" t="n"/>
    </row>
    <row r="121">
      <c r="I121" s="206" t="n"/>
    </row>
    <row r="122">
      <c r="I122" s="206" t="n"/>
    </row>
    <row r="123">
      <c r="I123" s="206" t="n"/>
    </row>
    <row r="124">
      <c r="I124" s="206" t="n"/>
    </row>
    <row r="125">
      <c r="I125" s="206" t="n"/>
    </row>
    <row r="126">
      <c r="I126" s="206" t="n"/>
    </row>
    <row r="127">
      <c r="I127" s="206" t="n"/>
    </row>
    <row r="128">
      <c r="I128" s="206" t="n"/>
    </row>
    <row r="129">
      <c r="I129" s="206" t="n"/>
    </row>
    <row r="130">
      <c r="I130" s="206" t="n"/>
    </row>
    <row r="131">
      <c r="I131" s="206" t="n"/>
    </row>
    <row r="132">
      <c r="I132" s="206" t="n"/>
    </row>
    <row r="133">
      <c r="I133" s="206" t="n"/>
    </row>
    <row r="134">
      <c r="I134" s="206" t="n"/>
    </row>
    <row r="135">
      <c r="I135" s="206" t="n"/>
    </row>
    <row r="136">
      <c r="I136" s="206" t="n"/>
    </row>
    <row r="137">
      <c r="I137" s="206" t="n"/>
    </row>
    <row r="138">
      <c r="I138" s="206" t="n"/>
    </row>
    <row r="139">
      <c r="I139" s="206" t="n"/>
    </row>
    <row r="140">
      <c r="I140" s="206" t="n"/>
    </row>
    <row r="141">
      <c r="I141" s="206" t="n"/>
    </row>
    <row r="142">
      <c r="I142" s="206" t="n"/>
    </row>
    <row r="143">
      <c r="I143" s="206" t="n"/>
    </row>
    <row r="144">
      <c r="I144" s="206" t="n"/>
    </row>
    <row r="145">
      <c r="I145" s="206" t="n"/>
    </row>
    <row r="146">
      <c r="I146" s="206" t="n"/>
    </row>
    <row r="147">
      <c r="I147" s="206" t="n"/>
    </row>
    <row r="148">
      <c r="I148" s="206" t="n"/>
    </row>
    <row r="149">
      <c r="I149" s="206" t="n"/>
    </row>
    <row r="150">
      <c r="I150" s="206" t="n"/>
    </row>
    <row r="151">
      <c r="I151" s="206" t="n"/>
    </row>
    <row r="152">
      <c r="I152" s="206" t="n"/>
    </row>
    <row r="153">
      <c r="I153" s="206" t="n"/>
    </row>
    <row r="154">
      <c r="I154" s="206" t="n"/>
    </row>
    <row r="155">
      <c r="I155" s="206" t="n"/>
    </row>
    <row r="156">
      <c r="I156" s="206" t="n"/>
    </row>
    <row r="157">
      <c r="I157" s="206" t="n"/>
    </row>
    <row r="158">
      <c r="I158" s="206" t="n"/>
    </row>
    <row r="159">
      <c r="I159" s="206" t="n"/>
    </row>
    <row r="160">
      <c r="I160" s="206" t="n"/>
    </row>
    <row r="161">
      <c r="I161" s="206" t="n"/>
    </row>
    <row r="162">
      <c r="I162" s="206" t="n"/>
    </row>
    <row r="163">
      <c r="I163" s="206" t="n"/>
    </row>
    <row r="164">
      <c r="I164" s="206" t="n"/>
    </row>
    <row r="165">
      <c r="I165" s="206" t="n"/>
    </row>
    <row r="166">
      <c r="I166" s="206" t="n"/>
    </row>
    <row r="167">
      <c r="I167" s="206" t="n"/>
    </row>
    <row r="168">
      <c r="I168" s="206" t="n"/>
    </row>
    <row r="169">
      <c r="I169" s="206" t="n"/>
    </row>
    <row r="170">
      <c r="I170" s="206" t="n"/>
    </row>
    <row r="171">
      <c r="I171" s="206" t="n"/>
    </row>
    <row r="172">
      <c r="I172" s="206" t="n"/>
    </row>
    <row r="173">
      <c r="I173" s="206" t="n"/>
    </row>
    <row r="174">
      <c r="I174" s="206" t="n"/>
    </row>
    <row r="175">
      <c r="I175" s="206" t="n"/>
    </row>
    <row r="176">
      <c r="I176" s="206" t="n"/>
    </row>
    <row r="177">
      <c r="I177" s="206" t="n"/>
    </row>
    <row r="178">
      <c r="I178" s="206" t="n"/>
    </row>
    <row r="179">
      <c r="I179" s="206" t="n"/>
    </row>
    <row r="180">
      <c r="I180" s="206" t="n"/>
    </row>
    <row r="181">
      <c r="I181" s="206" t="n"/>
    </row>
    <row r="182">
      <c r="I182" s="206" t="n"/>
    </row>
    <row r="183">
      <c r="I183" s="206" t="n"/>
    </row>
    <row r="184">
      <c r="I184" s="206" t="n"/>
    </row>
    <row r="185">
      <c r="I185" s="206" t="n"/>
    </row>
    <row r="186">
      <c r="I186" s="206" t="n"/>
    </row>
    <row r="187">
      <c r="I187" s="206" t="n"/>
    </row>
    <row r="188">
      <c r="I188" s="206" t="n"/>
    </row>
    <row r="189">
      <c r="I189" s="206" t="n"/>
    </row>
    <row r="190">
      <c r="I190" s="206" t="n"/>
    </row>
    <row r="191">
      <c r="I191" s="206" t="n"/>
    </row>
    <row r="192">
      <c r="I192" s="206" t="n"/>
    </row>
    <row r="193">
      <c r="I193" s="206" t="n"/>
    </row>
    <row r="194">
      <c r="I194" s="206" t="n"/>
    </row>
    <row r="195">
      <c r="I195" s="206" t="n"/>
    </row>
    <row r="196">
      <c r="I196" s="206" t="n"/>
    </row>
    <row r="197">
      <c r="I197" s="206" t="n"/>
    </row>
    <row r="198">
      <c r="I198" s="206" t="n"/>
    </row>
    <row r="199">
      <c r="I199" s="206" t="n"/>
    </row>
    <row r="200">
      <c r="I200" s="206" t="n"/>
    </row>
    <row r="201">
      <c r="I201" s="206" t="n"/>
    </row>
    <row r="202">
      <c r="I202" s="206" t="n"/>
    </row>
    <row r="203">
      <c r="I203" s="206" t="n"/>
    </row>
    <row r="204">
      <c r="I204" s="206" t="n"/>
    </row>
    <row r="205">
      <c r="I205" s="206" t="n"/>
    </row>
    <row r="206">
      <c r="I206" s="206" t="n"/>
    </row>
    <row r="207">
      <c r="I207" s="206" t="n"/>
    </row>
    <row r="208">
      <c r="I208" s="206" t="n"/>
    </row>
    <row r="209">
      <c r="I209" s="206" t="n"/>
    </row>
    <row r="210">
      <c r="I210" s="206" t="n"/>
    </row>
    <row r="211">
      <c r="I211" s="206" t="n"/>
    </row>
    <row r="212">
      <c r="I212" s="206" t="n"/>
    </row>
    <row r="213">
      <c r="I213" s="206" t="n"/>
    </row>
    <row r="214">
      <c r="I214" s="206" t="n"/>
    </row>
    <row r="215">
      <c r="I215" s="206" t="n"/>
    </row>
    <row r="216">
      <c r="I216" s="206" t="n"/>
    </row>
    <row r="217">
      <c r="I217" s="206" t="n"/>
    </row>
    <row r="218">
      <c r="I218" s="206" t="n"/>
    </row>
    <row r="219">
      <c r="I219" s="206" t="n"/>
    </row>
    <row r="220">
      <c r="I220" s="206" t="n"/>
    </row>
    <row r="221">
      <c r="I221" s="206" t="n"/>
    </row>
    <row r="222">
      <c r="I222" s="206" t="n"/>
    </row>
    <row r="223">
      <c r="I223" s="206" t="n"/>
    </row>
    <row r="224">
      <c r="I224" s="206" t="n"/>
    </row>
    <row r="225">
      <c r="I225" s="206" t="n"/>
    </row>
    <row r="226">
      <c r="I226" s="206" t="n"/>
    </row>
    <row r="227">
      <c r="I227" s="206" t="n"/>
    </row>
    <row r="228">
      <c r="I228" s="206" t="n"/>
    </row>
    <row r="229">
      <c r="I229" s="206" t="n"/>
    </row>
    <row r="230">
      <c r="I230" s="206" t="n"/>
    </row>
    <row r="231">
      <c r="I231" s="206" t="n"/>
    </row>
    <row r="232">
      <c r="I232" s="206" t="n"/>
    </row>
    <row r="233">
      <c r="I233" s="206" t="n"/>
    </row>
    <row r="234">
      <c r="I234" s="206" t="n"/>
    </row>
    <row r="235">
      <c r="I235" s="206" t="n"/>
    </row>
    <row r="236">
      <c r="I236" s="206" t="n"/>
    </row>
    <row r="237">
      <c r="I237" s="206" t="n"/>
    </row>
    <row r="238">
      <c r="I238" s="206" t="n"/>
    </row>
    <row r="239">
      <c r="I239" s="206" t="n"/>
    </row>
    <row r="240">
      <c r="I240" s="206" t="n"/>
    </row>
    <row r="241">
      <c r="I241" s="206" t="n"/>
    </row>
    <row r="242">
      <c r="I242" s="206" t="n"/>
    </row>
    <row r="243">
      <c r="I243" s="206" t="n"/>
    </row>
    <row r="244">
      <c r="I244" s="206" t="n"/>
    </row>
    <row r="245">
      <c r="I245" s="206" t="n"/>
    </row>
    <row r="246">
      <c r="I246" s="206" t="n"/>
    </row>
    <row r="247">
      <c r="I247" s="206" t="n"/>
    </row>
    <row r="248">
      <c r="I248" s="206" t="n"/>
    </row>
    <row r="249">
      <c r="I249" s="206" t="n"/>
    </row>
    <row r="250">
      <c r="I250" s="206" t="n"/>
    </row>
    <row r="251">
      <c r="I251" s="206" t="n"/>
    </row>
    <row r="252">
      <c r="I252" s="206" t="n"/>
    </row>
    <row r="253">
      <c r="I253" s="206" t="n"/>
    </row>
    <row r="254">
      <c r="I254" s="206" t="n"/>
    </row>
    <row r="255">
      <c r="I255" s="206" t="n"/>
    </row>
    <row r="256">
      <c r="I256" s="206" t="n"/>
    </row>
    <row r="257">
      <c r="I257" s="206" t="n"/>
    </row>
    <row r="258">
      <c r="I258" s="206" t="n"/>
    </row>
    <row r="259">
      <c r="I259" s="206" t="n"/>
    </row>
    <row r="260">
      <c r="I260" s="206" t="n"/>
    </row>
    <row r="261">
      <c r="I261" s="206" t="n"/>
    </row>
    <row r="262">
      <c r="I262" s="206" t="n"/>
    </row>
    <row r="263">
      <c r="I263" s="206" t="n"/>
    </row>
    <row r="264">
      <c r="I264" s="206" t="n"/>
    </row>
    <row r="265">
      <c r="I265" s="206" t="n"/>
    </row>
    <row r="266">
      <c r="I266" s="206" t="n"/>
    </row>
    <row r="267">
      <c r="I267" s="206" t="n"/>
    </row>
    <row r="268">
      <c r="I268" s="206" t="n"/>
    </row>
    <row r="269">
      <c r="I269" s="206" t="n"/>
    </row>
    <row r="270">
      <c r="I270" s="206" t="n"/>
    </row>
    <row r="271">
      <c r="I271" s="206" t="n"/>
    </row>
    <row r="272">
      <c r="I272" s="206" t="n"/>
    </row>
    <row r="273">
      <c r="I273" s="206" t="n"/>
    </row>
    <row r="274">
      <c r="I274" s="206" t="n"/>
    </row>
    <row r="275">
      <c r="I275" s="206" t="n"/>
    </row>
    <row r="276">
      <c r="I276" s="206" t="n"/>
    </row>
    <row r="277">
      <c r="I277" s="206" t="n"/>
    </row>
    <row r="278">
      <c r="I278" s="206" t="n"/>
    </row>
    <row r="279">
      <c r="I279" s="206" t="n"/>
    </row>
    <row r="280">
      <c r="I280" s="206" t="n"/>
    </row>
    <row r="281">
      <c r="I281" s="206" t="n"/>
    </row>
    <row r="282">
      <c r="I282" s="206" t="n"/>
    </row>
    <row r="283">
      <c r="I283" s="206" t="n"/>
    </row>
    <row r="284">
      <c r="I284" s="206" t="n"/>
    </row>
    <row r="285">
      <c r="I285" s="206" t="n"/>
    </row>
    <row r="286">
      <c r="I286" s="206" t="n"/>
    </row>
    <row r="287">
      <c r="I287" s="206" t="n"/>
    </row>
    <row r="288">
      <c r="I288" s="206" t="n"/>
    </row>
    <row r="289">
      <c r="I289" s="206" t="n"/>
    </row>
    <row r="290">
      <c r="I290" s="206" t="n"/>
    </row>
    <row r="291">
      <c r="I291" s="206" t="n"/>
    </row>
    <row r="292">
      <c r="I292" s="206" t="n"/>
    </row>
    <row r="293">
      <c r="I293" s="206" t="n"/>
    </row>
    <row r="294">
      <c r="I294" s="206" t="n"/>
    </row>
    <row r="295">
      <c r="I295" s="206" t="n"/>
    </row>
    <row r="296">
      <c r="I296" s="206" t="n"/>
    </row>
    <row r="297">
      <c r="I297" s="206" t="n"/>
    </row>
    <row r="298">
      <c r="I298" s="206" t="n"/>
    </row>
    <row r="299">
      <c r="I299" s="206" t="n"/>
    </row>
    <row r="300">
      <c r="I300" s="206" t="n"/>
    </row>
    <row r="301">
      <c r="I301" s="206" t="n"/>
    </row>
    <row r="302">
      <c r="I302" s="206" t="n"/>
    </row>
    <row r="303">
      <c r="I303" s="206" t="n"/>
    </row>
    <row r="304">
      <c r="I304" s="206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2026-10-10T22:37:32Z</dcterms:modified>
</cp:coreProperties>
</file>