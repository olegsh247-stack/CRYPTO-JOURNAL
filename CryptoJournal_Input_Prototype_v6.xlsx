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  <sheet xmlns:r="http://schemas.openxmlformats.org/officeDocument/2006/relationships" name="Лэндинг" sheetId="4" state="visible" r:id="rId4"/>
    <sheet xmlns:r="http://schemas.openxmlformats.org/officeDocument/2006/relationships" name="ИТОГО Лэндинг" sheetId="5" state="visible" r:id="rId5"/>
    <sheet xmlns:r="http://schemas.openxmlformats.org/officeDocument/2006/relationships" name="Пул" sheetId="6" state="visible" r:id="rId6"/>
    <sheet xmlns:r="http://schemas.openxmlformats.org/officeDocument/2006/relationships" name="ИТОГО ПУЛ" sheetId="7" state="visible" r:id="rId7"/>
    <sheet xmlns:r="http://schemas.openxmlformats.org/officeDocument/2006/relationships" name="Закрытые" sheetId="8" state="visible" r:id="rId8"/>
    <sheet xmlns:r="http://schemas.openxmlformats.org/officeDocument/2006/relationships" name="ИТОГО" sheetId="9" state="visible" r:id="rId9"/>
    <sheet xmlns:r="http://schemas.openxmlformats.org/officeDocument/2006/relationships" name="Справочники" sheetId="10" state="visible" r:id="rId10"/>
  </sheets>
  <definedNames>
    <definedName name="Список_Протокол">OFFSET(Справочники!$B$5,0,0,MAX(1,COUNTA(Справочники!$B$5:$B$104)),1)</definedName>
    <definedName name="Список_Действие_Торговля">OFFSET(Справочники!$C$5,0,0,MAX(1,COUNTA(Справочники!$C$5:$C$104)),1)</definedName>
    <definedName name="_xlnm.Print_Area" localSheetId="0">'Ввод'!$A$1:$K$25</definedName>
    <definedName name="_xlnm._FilterDatabase" localSheetId="1" hidden="1">'Торговля'!$B$4:$M$16</definedName>
    <definedName name="_xlnm.Print_Area" localSheetId="1">'Торговля'!$A$1:$N$17</definedName>
    <definedName name="_xlnm._FilterDatabase" localSheetId="2" hidden="1">'ИТОГО Торговля'!$B$4:$M$12</definedName>
    <definedName name="_xlnm.Print_Area" localSheetId="2">'ИТОГО Торговля'!$A$1:$N$13</definedName>
    <definedName name="_xlnm._FilterDatabase" localSheetId="3" hidden="1">'Лэндинг'!$B$4:$M$12</definedName>
    <definedName name="_xlnm.Print_Area" localSheetId="3">'Лэндинг'!$A$1:$N$13</definedName>
    <definedName name="_xlnm._FilterDatabase" localSheetId="4" hidden="1">'ИТОГО Лэндинг'!$B$4:$M$12</definedName>
    <definedName name="_xlnm.Print_Area" localSheetId="4">'ИТОГО Лэндинг'!$A$1:$N$13</definedName>
    <definedName name="_xlnm._FilterDatabase" localSheetId="5" hidden="1">'Пул'!$B$4:$G$12</definedName>
    <definedName name="_xlnm.Print_Area" localSheetId="5">'Пул'!$A$1:$H$13</definedName>
    <definedName name="_xlnm._FilterDatabase" localSheetId="6" hidden="1">'ИТОГО ПУЛ'!$B$4:$L$12</definedName>
    <definedName name="_xlnm.Print_Area" localSheetId="6">'ИТОГО ПУЛ'!$A$1:$M$13</definedName>
    <definedName name="_xlnm._FilterDatabase" localSheetId="7" hidden="1">'Закрытые'!$B$4:$Q$12</definedName>
    <definedName name="_xlnm.Print_Area" localSheetId="7">'Закрытые'!$A$1:$R$13</definedName>
    <definedName name="_xlnm._FilterDatabase" localSheetId="8" hidden="1">'ИТОГО'!$B$4:$M$12</definedName>
    <definedName name="_xlnm.Print_Area" localSheetId="8">'ИТОГО'!$A$1:$N$13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#,##0.00######;[Red]-#,##0.00######"/>
    <numFmt numFmtId="166" formatCode="yyyy.mm.dd"/>
    <numFmt numFmtId="167" formatCode="#,##0.00######"/>
    <numFmt numFmtId="168" formatCode="0.0##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  <fill>
      <patternFill patternType="solid">
        <fgColor rgb="006D568F"/>
        <bgColor rgb="006D568F"/>
      </patternFill>
    </fill>
    <fill>
      <patternFill patternType="solid">
        <fgColor rgb="002F6F93"/>
      </patternFill>
    </fill>
    <fill>
      <patternFill patternType="solid">
        <fgColor rgb="00FFFDF3"/>
      </patternFill>
    </fill>
    <fill>
      <patternFill patternType="solid">
        <fgColor rgb="00FFF2CC"/>
      </patternFill>
    </fill>
  </fills>
  <borders count="43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  <border>
      <left/>
      <right/>
      <top style="thin">
        <color rgb="006F9EB3"/>
      </top>
      <bottom/>
      <diagonal/>
    </border>
    <border>
      <left/>
      <right style="thin">
        <color rgb="006F9EB3"/>
      </right>
      <top style="thin">
        <color rgb="006F9EB3"/>
      </top>
      <bottom/>
      <diagonal/>
    </border>
    <border>
      <left/>
      <right/>
      <top style="thin">
        <color rgb="006F9EB3"/>
      </top>
      <bottom style="thin">
        <color rgb="006F9EB3"/>
      </bottom>
      <diagonal/>
    </border>
    <border>
      <left/>
      <right style="thin">
        <color rgb="006F9EB3"/>
      </right>
      <top style="thin">
        <color rgb="006F9EB3"/>
      </top>
      <bottom style="thin">
        <color rgb="006F9EB3"/>
      </bottom>
      <diagonal/>
    </border>
    <border>
      <left style="thin">
        <color rgb="006F9EB3"/>
      </left>
      <right/>
      <top/>
      <bottom/>
      <diagonal/>
    </border>
    <border>
      <left/>
      <right style="thin">
        <color rgb="006F9EB3"/>
      </right>
      <top/>
      <bottom/>
      <diagonal/>
    </border>
    <border>
      <left style="thin">
        <color rgb="006F9EB3"/>
      </left>
      <right/>
      <top/>
      <bottom style="thin">
        <color rgb="006F9EB3"/>
      </bottom>
      <diagonal/>
    </border>
    <border>
      <left/>
      <right/>
      <top/>
      <bottom style="thin">
        <color rgb="006F9EB3"/>
      </bottom>
      <diagonal/>
    </border>
    <border>
      <left/>
      <right style="thin">
        <color rgb="006F9EB3"/>
      </right>
      <top/>
      <bottom style="thin">
        <color rgb="006F9EB3"/>
      </bottom>
      <diagonal/>
    </border>
    <border>
      <left/>
      <right/>
      <top/>
      <bottom style="medium">
        <color rgb="008064A2"/>
      </bottom>
      <diagonal/>
    </border>
    <border>
      <left/>
      <right/>
      <top/>
      <bottom style="medium">
        <color rgb="005E9E72"/>
      </bottom>
      <diagonal/>
    </border>
    <border>
      <left style="medium">
        <color rgb="00FFFFFF"/>
      </left>
      <right/>
      <bottom/>
    </border>
    <border>
      <left/>
      <right/>
      <top/>
      <bottom style="medium">
        <color rgb="00255B78"/>
      </bottom>
      <diagonal/>
    </border>
    <border>
      <left style="medium">
        <color rgb="00FFFFFF"/>
      </left>
      <right/>
      <top/>
      <bottom/>
      <diagonal/>
    </border>
    <border>
      <right/>
      <bottom style="medium">
        <color rgb="008064A2"/>
      </bottom>
    </border>
    <border>
      <right/>
      <bottom style="medium">
        <color rgb="005E9E72"/>
      </bottom>
    </border>
    <border>
      <left style="medium">
        <color rgb="00FFFFFF"/>
      </left>
      <right/>
      <bottom style="medium">
        <color rgb="005E9E72"/>
      </bottom>
    </border>
    <border>
      <right/>
      <bottom style="medium">
        <color rgb="00255B78"/>
      </bottom>
    </border>
    <border/>
    <border>
      <left style="thin">
        <color rgb="006F9EB3"/>
      </left>
    </border>
    <border>
      <right style="thin">
        <color rgb="006F9EB3"/>
      </right>
    </border>
  </borders>
  <cellStyleXfs count="1">
    <xf numFmtId="0" fontId="0" fillId="0" borderId="0"/>
  </cellStyleXfs>
  <cellXfs count="2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4" pivotButton="0" quotePrefix="0" xfId="0"/>
    <xf numFmtId="0" fontId="0" fillId="0" borderId="25" pivotButton="0" quotePrefix="0" xfId="0"/>
    <xf numFmtId="2" fontId="4" fillId="4" borderId="1" applyAlignment="1" pivotButton="0" quotePrefix="0" xfId="0">
      <alignment horizontal="right" vertical="center" indent="1"/>
    </xf>
    <xf numFmtId="3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3" fillId="3" borderId="33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2" fillId="5" borderId="37" applyAlignment="1" pivotButton="0" quotePrefix="0" xfId="0">
      <alignment horizontal="left" vertical="center" indent="1"/>
    </xf>
    <xf numFmtId="0" fontId="2" fillId="5" borderId="38" applyAlignment="1" pivotButton="0" quotePrefix="0" xfId="0">
      <alignment horizontal="left" vertical="center" indent="1"/>
    </xf>
    <xf numFmtId="0" fontId="2" fillId="6" borderId="36" applyAlignment="1" pivotButton="0" quotePrefix="0" xfId="0">
      <alignment horizontal="left" vertical="center" indent="1"/>
    </xf>
    <xf numFmtId="0" fontId="2" fillId="3" borderId="39" applyAlignment="1" pivotButton="0" quotePrefix="0" xfId="0">
      <alignment horizontal="left" vertical="center" indent="1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9" borderId="19" applyAlignment="1" pivotButton="0" quotePrefix="0" xfId="0">
      <alignment horizontal="center" vertical="center"/>
    </xf>
    <xf numFmtId="0" fontId="8" fillId="9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4" borderId="1" applyAlignment="1" applyProtection="1" pivotButton="0" quotePrefix="0" xfId="0">
      <alignment horizontal="left" vertical="center" inden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2" fontId="4" fillId="4" borderId="1" applyAlignment="1" applyProtection="1" pivotButton="0" quotePrefix="0" xfId="0">
      <alignment horizontal="right" vertical="center" indent="1"/>
      <protection locked="0" hidden="0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1" fontId="4" fillId="4" borderId="1" applyAlignment="1" applyProtection="1" pivotButton="0" quotePrefix="0" xfId="0">
      <alignment horizontal="right" vertical="center" indent="1"/>
      <protection locked="0" hidden="0"/>
    </xf>
    <xf numFmtId="0" fontId="5" fillId="12" borderId="1" applyAlignment="1" pivotButton="0" quotePrefix="0" xfId="0">
      <alignment horizontal="left" vertical="center" indent="1"/>
    </xf>
    <xf numFmtId="0" fontId="0" fillId="12" borderId="25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0" borderId="40" pivotButton="0" quotePrefix="0" xfId="0"/>
    <xf numFmtId="166" fontId="4" fillId="4" borderId="1" applyAlignment="1" applyProtection="1" pivotButton="0" quotePrefix="0" xfId="0">
      <alignment horizontal="left" vertical="center" indent="1"/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right" vertical="center" indent="1"/>
    </xf>
    <xf numFmtId="0" fontId="4" fillId="4" borderId="6" applyAlignment="1" applyProtection="1" pivotButton="0" quotePrefix="0" xfId="0">
      <alignment horizontal="left" vertical="top" wrapText="1" indent="1"/>
      <protection locked="0" hidden="0"/>
    </xf>
    <xf numFmtId="0" fontId="4" fillId="4" borderId="7" applyAlignment="1" applyProtection="1" pivotButton="0" quotePrefix="0" xfId="0">
      <alignment horizontal="left" vertical="top" wrapText="1" indent="1"/>
      <protection locked="0" hidden="0"/>
    </xf>
    <xf numFmtId="0" fontId="4" fillId="4" borderId="8" applyAlignment="1" applyProtection="1" pivotButton="0" quotePrefix="0" xfId="0">
      <alignment horizontal="left" vertical="top" wrapText="1" indent="1"/>
      <protection locked="0" hidden="0"/>
    </xf>
    <xf numFmtId="0" fontId="4" fillId="4" borderId="41" applyAlignment="1" applyProtection="1" pivotButton="0" quotePrefix="0" xfId="0">
      <alignment horizontal="left" vertical="top" wrapText="1" indent="1"/>
      <protection locked="0" hidden="0"/>
    </xf>
    <xf numFmtId="0" fontId="4" fillId="4" borderId="40" applyAlignment="1" applyProtection="1" pivotButton="0" quotePrefix="0" xfId="0">
      <alignment horizontal="left" vertical="top" wrapText="1" indent="1"/>
      <protection locked="0" hidden="0"/>
    </xf>
    <xf numFmtId="0" fontId="4" fillId="4" borderId="42" applyAlignment="1" applyProtection="1" pivotButton="0" quotePrefix="0" xfId="0">
      <alignment horizontal="left" vertical="top" wrapText="1" indent="1"/>
      <protection locked="0" hidden="0"/>
    </xf>
    <xf numFmtId="0" fontId="4" fillId="4" borderId="9" applyAlignment="1" applyProtection="1" pivotButton="0" quotePrefix="0" xfId="0">
      <alignment horizontal="left" vertical="top" wrapText="1" indent="1"/>
      <protection locked="0" hidden="0"/>
    </xf>
    <xf numFmtId="0" fontId="4" fillId="4" borderId="10" applyAlignment="1" applyProtection="1" pivotButton="0" quotePrefix="0" xfId="0">
      <alignment horizontal="left" vertical="top" wrapText="1" indent="1"/>
      <protection locked="0" hidden="0"/>
    </xf>
    <xf numFmtId="0" fontId="4" fillId="4" borderId="11" applyAlignment="1" applyProtection="1" pivotButton="0" quotePrefix="0" xfId="0">
      <alignment horizontal="left" vertical="top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8" fontId="4" fillId="4" borderId="1" applyAlignment="1" applyProtection="1" pivotButton="0" quotePrefix="0" xfId="0">
      <alignment horizontal="right" vertical="center" indent="1"/>
      <protection locked="0" hidden="0"/>
    </xf>
    <xf numFmtId="167" fontId="4" fillId="4" borderId="1" applyAlignment="1" applyProtection="1" pivotButton="0" quotePrefix="0" xfId="0">
      <alignment horizontal="right" vertical="center" inden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FDE9D9"/>
          <bgColor rgb="00FDE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5B78"/>
    <outlinePr summaryBelow="1" summaryRight="1"/>
    <pageSetUpPr fitToPage="1"/>
  </sheetPr>
  <dimension ref="B1:L24"/>
  <sheetViews>
    <sheetView showGridLines="0" zoomScale="140" zoomScaleNormal="140" workbookViewId="0">
      <selection activeCell="A1" sqref="A1"/>
    </sheetView>
  </sheetViews>
  <sheetFormatPr baseColWidth="8" defaultRowHeight="15"/>
  <cols>
    <col width="2.5" customWidth="1" min="1" max="1"/>
    <col width="11" customWidth="1" min="2" max="2"/>
    <col width="11" customWidth="1" min="3" max="3"/>
    <col width="11" customWidth="1" min="4" max="4"/>
    <col width="11" customWidth="1" min="5" max="5"/>
    <col width="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1" customHeight="1">
      <c r="B1" s="1" t="inlineStr">
        <is>
          <t>CRYPTO JOURNAL • ВВОД</t>
        </is>
      </c>
      <c r="K1" s="207" t="n"/>
      <c r="L1" s="207" t="n"/>
    </row>
    <row r="2" ht="21" customHeight="1">
      <c r="K2" s="207" t="n"/>
      <c r="L2" s="207" t="n"/>
    </row>
    <row r="3" ht="22" customHeight="1">
      <c r="B3" s="2" t="inlineStr">
        <is>
          <t>ОСНОВНЫЕ ДАННЫЕ</t>
        </is>
      </c>
      <c r="G3" s="2" t="inlineStr">
        <is>
          <t>РАЗДЕЛЫ</t>
        </is>
      </c>
      <c r="K3" s="207" t="n"/>
      <c r="L3" s="207" t="n"/>
    </row>
    <row r="4" ht="22" customHeight="1">
      <c r="G4" s="207" t="n"/>
      <c r="H4" s="207" t="n"/>
      <c r="I4" s="207" t="n"/>
      <c r="J4" s="207" t="n"/>
      <c r="K4" s="207" t="n"/>
      <c r="L4" s="207" t="n"/>
    </row>
    <row r="5" ht="22" customHeight="1">
      <c r="B5" s="3" t="inlineStr">
        <is>
          <t>Дата</t>
        </is>
      </c>
      <c r="G5" s="100" t="inlineStr">
        <is>
          <t>ТОРГОВЛЯ</t>
        </is>
      </c>
      <c r="H5" s="55" t="n"/>
      <c r="I5" s="101" t="inlineStr">
        <is>
          <t>ЛЭНДИНГ</t>
        </is>
      </c>
      <c r="J5" s="55" t="n"/>
      <c r="K5" s="207" t="n"/>
      <c r="L5" s="207" t="n"/>
    </row>
    <row r="6" ht="22" customHeight="1">
      <c r="B6" s="208" t="n">
        <v>46299</v>
      </c>
      <c r="C6" s="189" t="n"/>
      <c r="D6" s="189" t="n"/>
      <c r="E6" s="190" t="n"/>
      <c r="G6" s="3" t="inlineStr">
        <is>
          <t>Действие</t>
        </is>
      </c>
      <c r="H6" s="191" t="inlineStr">
        <is>
          <t>Buy</t>
        </is>
      </c>
      <c r="I6" s="9" t="inlineStr">
        <is>
          <t>Действие</t>
        </is>
      </c>
      <c r="J6" s="191" t="inlineStr">
        <is>
          <t>Операция</t>
        </is>
      </c>
      <c r="K6" s="207" t="n"/>
      <c r="L6" s="207" t="n"/>
    </row>
    <row r="7" ht="22" customHeight="1">
      <c r="G7" s="3" t="inlineStr">
        <is>
          <t>Количество</t>
        </is>
      </c>
      <c r="H7" s="225" t="n">
        <v>0.5</v>
      </c>
      <c r="I7" s="9" t="inlineStr">
        <is>
          <t>Количество</t>
        </is>
      </c>
      <c r="J7" s="193" t="n">
        <v>1000</v>
      </c>
      <c r="K7" s="207" t="n"/>
      <c r="L7" s="207" t="n"/>
    </row>
    <row r="8" ht="22" customHeight="1">
      <c r="B8" s="3" t="inlineStr">
        <is>
          <t>Актив 1</t>
        </is>
      </c>
      <c r="C8" s="14" t="inlineStr">
        <is>
          <t>Актив 2</t>
        </is>
      </c>
      <c r="D8" s="61" t="inlineStr">
        <is>
          <t>Пара (авто)</t>
        </is>
      </c>
      <c r="G8" s="3" t="inlineStr">
        <is>
          <t>Курс</t>
        </is>
      </c>
      <c r="H8" s="225" t="n">
        <v>62000</v>
      </c>
      <c r="I8" s="9" t="inlineStr">
        <is>
          <t>Курс</t>
        </is>
      </c>
      <c r="J8" s="192" t="n">
        <v>1</v>
      </c>
      <c r="K8" s="207" t="n"/>
      <c r="L8" s="207" t="n"/>
    </row>
    <row r="9" ht="22" customHeight="1">
      <c r="B9" s="191" t="inlineStr">
        <is>
          <t>ETH</t>
        </is>
      </c>
      <c r="C9" s="191" t="inlineStr">
        <is>
          <t>BTC</t>
        </is>
      </c>
      <c r="D9" s="195">
        <f>IF(AND(TRIM(B9)&lt;&gt;"",TRIM(C9)&lt;&gt;""),UPPER(TRIM(B9))&amp;"/"&amp;UPPER(TRIM(C9)),"")</f>
        <v/>
      </c>
      <c r="E9" s="57" t="n"/>
      <c r="G9" s="3" t="inlineStr">
        <is>
          <t>Сумма (авто)</t>
        </is>
      </c>
      <c r="H9" s="211">
        <f>IF(AND(ISNUMBER(H7),ISNUMBER(H8)),H7*H8*(1-N(J19)/100),"")</f>
        <v/>
      </c>
      <c r="I9" s="9" t="inlineStr">
        <is>
          <t>Сумма</t>
        </is>
      </c>
      <c r="J9" s="193" t="n">
        <v>1000</v>
      </c>
      <c r="K9" s="207" t="n"/>
      <c r="L9" s="207" t="n"/>
    </row>
    <row r="10" ht="22" customHeight="1">
      <c r="B10" s="207" t="n"/>
      <c r="C10" s="207" t="n"/>
      <c r="D10" s="207" t="n"/>
      <c r="E10" s="207" t="n"/>
      <c r="G10" s="3" t="inlineStr">
        <is>
          <t>ID закрыть</t>
        </is>
      </c>
      <c r="H10" s="194" t="inlineStr">
        <is>
          <t>T-0001</t>
        </is>
      </c>
      <c r="I10" s="9" t="inlineStr">
        <is>
          <t>ID закрыть</t>
        </is>
      </c>
      <c r="J10" s="194" t="inlineStr">
        <is>
          <t>L-0001</t>
        </is>
      </c>
      <c r="K10" s="207" t="n"/>
      <c r="L10" s="207" t="n"/>
    </row>
    <row r="11" ht="22" customHeight="1">
      <c r="B11" s="3" t="inlineStr">
        <is>
          <t>Протокол</t>
        </is>
      </c>
      <c r="G11" s="3" t="inlineStr">
        <is>
          <t>Сумма закрыть</t>
        </is>
      </c>
      <c r="H11" s="193" t="n">
        <v>15500</v>
      </c>
      <c r="I11" s="9" t="inlineStr">
        <is>
          <t>Сумма закрыть</t>
        </is>
      </c>
      <c r="J11" s="193" t="n">
        <v>500</v>
      </c>
      <c r="K11" s="207" t="n"/>
      <c r="L11" s="207" t="n"/>
    </row>
    <row r="12" ht="22" customHeight="1">
      <c r="B12" s="191" t="inlineStr">
        <is>
          <t>Binance</t>
        </is>
      </c>
      <c r="C12" s="189" t="n"/>
      <c r="D12" s="189" t="n"/>
      <c r="E12" s="190" t="n"/>
      <c r="G12" s="207" t="n"/>
      <c r="H12" s="207" t="n"/>
      <c r="I12" s="207" t="n"/>
      <c r="J12" s="207" t="n"/>
      <c r="K12" s="207" t="n"/>
      <c r="L12" s="207" t="n"/>
    </row>
    <row r="13" ht="22" customHeight="1">
      <c r="B13" s="207" t="n"/>
      <c r="C13" s="207" t="n"/>
      <c r="D13" s="207" t="n"/>
      <c r="E13" s="207" t="n"/>
      <c r="G13" s="102" t="inlineStr">
        <is>
          <t>ПУЛЫ</t>
        </is>
      </c>
      <c r="H13" s="63" t="n"/>
      <c r="I13" s="63" t="n"/>
      <c r="J13" s="63" t="n"/>
      <c r="K13" s="207" t="n"/>
      <c r="L13" s="207" t="n"/>
    </row>
    <row r="14" ht="22" customHeight="1">
      <c r="B14" s="3" t="inlineStr">
        <is>
          <t>Комментарий</t>
        </is>
      </c>
      <c r="G14" s="3" t="inlineStr">
        <is>
          <t>Действие</t>
        </is>
      </c>
      <c r="H14" s="191" t="inlineStr">
        <is>
          <t>Добавить</t>
        </is>
      </c>
      <c r="I14" s="14" t="inlineStr">
        <is>
          <t>Кол-во 1</t>
        </is>
      </c>
      <c r="J14" s="192" t="n">
        <v>0.1</v>
      </c>
      <c r="K14" s="207" t="n"/>
      <c r="L14" s="207" t="n"/>
    </row>
    <row r="15" ht="22" customHeight="1">
      <c r="B15" s="197" t="inlineStr">
        <is>
          <t>Пробная операция</t>
        </is>
      </c>
      <c r="C15" s="198" t="n"/>
      <c r="D15" s="198" t="n"/>
      <c r="E15" s="199" t="n"/>
      <c r="G15" s="3" t="inlineStr">
        <is>
          <t>ID позиции</t>
        </is>
      </c>
      <c r="H15" s="194" t="inlineStr">
        <is>
          <t>P-0001</t>
        </is>
      </c>
      <c r="I15" s="14" t="inlineStr">
        <is>
          <t>Кол-во 2</t>
        </is>
      </c>
      <c r="J15" s="193" t="n">
        <v>6200</v>
      </c>
      <c r="K15" s="207" t="n"/>
      <c r="L15" s="207" t="n"/>
    </row>
    <row r="16" ht="22" customHeight="1">
      <c r="B16" s="221" t="n"/>
      <c r="C16" s="222" t="n"/>
      <c r="D16" s="222" t="n"/>
      <c r="E16" s="223" t="n"/>
      <c r="G16" s="207" t="n"/>
      <c r="H16" s="207" t="n"/>
      <c r="I16" s="207" t="n"/>
      <c r="J16" s="207" t="n"/>
      <c r="K16" s="207" t="n"/>
      <c r="L16" s="207" t="n"/>
    </row>
    <row r="17" ht="22" customHeight="1">
      <c r="B17" s="221" t="n"/>
      <c r="C17" s="222" t="n"/>
      <c r="D17" s="222" t="n"/>
      <c r="E17" s="223" t="n"/>
      <c r="G17" s="103" t="inlineStr">
        <is>
          <t>Обратный расчёт</t>
        </is>
      </c>
      <c r="H17" s="64" t="n"/>
      <c r="I17" s="64" t="n"/>
      <c r="J17" s="64" t="n"/>
      <c r="K17" s="207" t="n"/>
      <c r="L17" s="207" t="n"/>
    </row>
    <row r="18" ht="22" customHeight="1">
      <c r="B18" s="221" t="n"/>
      <c r="C18" s="222" t="n"/>
      <c r="D18" s="222" t="n"/>
      <c r="E18" s="223" t="n"/>
      <c r="G18" s="3" t="inlineStr">
        <is>
          <t>Сумма</t>
        </is>
      </c>
      <c r="H18" s="61" t="inlineStr">
        <is>
          <t>Курс (авто)</t>
        </is>
      </c>
      <c r="I18" s="61" t="inlineStr">
        <is>
          <t>Сумма (авто)</t>
        </is>
      </c>
      <c r="J18" s="61" t="inlineStr">
        <is>
          <t>Комиссия</t>
        </is>
      </c>
      <c r="K18" s="207" t="n"/>
      <c r="L18" s="207" t="n"/>
    </row>
    <row r="19" ht="22" customHeight="1">
      <c r="B19" s="200" t="n"/>
      <c r="C19" s="201" t="n"/>
      <c r="D19" s="201" t="n"/>
      <c r="E19" s="202" t="n"/>
      <c r="G19" s="193" t="n">
        <v>31000</v>
      </c>
      <c r="H19" s="59" t="n">
        <v>62000</v>
      </c>
      <c r="I19" s="59" t="n">
        <v>31000</v>
      </c>
      <c r="J19" s="224" t="n">
        <v>0.2</v>
      </c>
      <c r="K19" s="207" t="n"/>
      <c r="L19" s="207" t="n"/>
    </row>
    <row r="20" ht="22" customHeight="1">
      <c r="G20" s="207" t="n"/>
      <c r="H20" s="207" t="n"/>
      <c r="I20" s="207" t="n"/>
      <c r="J20" s="207" t="n"/>
      <c r="K20" s="207" t="n"/>
      <c r="L20" s="207" t="n"/>
    </row>
    <row r="21" ht="26" customHeight="1">
      <c r="B21" s="3" t="inlineStr">
        <is>
          <t>СТАТУС</t>
        </is>
      </c>
      <c r="G21" s="26" t="inlineStr">
        <is>
          <t>ЗАПИСАТЬ</t>
        </is>
      </c>
      <c r="I21" s="71" t="inlineStr">
        <is>
          <t>ОЧИСТИТЬ</t>
        </is>
      </c>
      <c r="K21" s="207" t="n"/>
      <c r="L21" s="207" t="n"/>
    </row>
    <row r="22" ht="26" customHeight="1">
      <c r="B22" s="15" t="inlineStr">
        <is>
          <t>Готово к вводу</t>
        </is>
      </c>
      <c r="C22" s="56" t="n"/>
      <c r="D22" s="56" t="n"/>
      <c r="E22" s="57" t="n"/>
      <c r="I22" s="72" t="n"/>
      <c r="K22" s="207" t="n"/>
      <c r="L22" s="207" t="n"/>
    </row>
    <row r="23" ht="22" customHeight="1"/>
    <row r="24" ht="22" customHeight="1">
      <c r="B24" s="29" t="inlineStr">
        <is>
          <t>Прототип v6: списки, проверки и автоматические поля (Пара, Сумма торговли). Макросов и рабочих кнопок нет.</t>
        </is>
      </c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I21:J22"/>
    <mergeCell ref="B6:E6"/>
    <mergeCell ref="B5:E5"/>
    <mergeCell ref="B15:E19"/>
    <mergeCell ref="B3:E3"/>
    <mergeCell ref="B22:E22"/>
    <mergeCell ref="G21:H22"/>
    <mergeCell ref="G17:J17"/>
    <mergeCell ref="B12:E12"/>
    <mergeCell ref="B21:E21"/>
    <mergeCell ref="G5:H5"/>
    <mergeCell ref="I5:J5"/>
    <mergeCell ref="B11:E11"/>
    <mergeCell ref="D9:E9"/>
    <mergeCell ref="B14:E14"/>
    <mergeCell ref="D8:E8"/>
    <mergeCell ref="G13:J13"/>
    <mergeCell ref="B1:J2"/>
    <mergeCell ref="G3:J3"/>
  </mergeCells>
  <dataValidations count="11">
    <dataValidation sqref="H14" showDropDown="0" showInputMessage="0" showErrorMessage="0" allowBlank="1" type="list">
      <formula1>"Добавить,Удалить"</formula1>
    </dataValidation>
    <dataValidation sqref="B6" showDropDown="0" showInputMessage="0" showErrorMessage="1" allowBlank="1" errorTitle="Дата" error="Введите корректную дату (ГГГГ.ММ.ДД)." type="date" operator="greaterThan">
      <formula1>36526</formula1>
    </dataValidation>
    <dataValidation sqref="B12" showDropDown="0" showInputMessage="0" showErrorMessage="1" allowBlank="1" errorTitle="Протокол" error="Выберите значение из списка." type="list">
      <formula1>=Список_Протокол</formula1>
    </dataValidation>
    <dataValidation sqref="H6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B9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=AND(ISERROR(FIND("/",B9)),UPPER(TRIM(B9))&lt;&gt;UPPER(TRIM(C9)))</formula1>
    </dataValidation>
    <dataValidation sqref="C9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=AND(ISERROR(FIND("/",C9)),UPPER(TRIM(C9))&lt;&gt;UPPER(TRIM(B9)))</formula1>
    </dataValidation>
    <dataValidation sqref="J19" showDropDown="0" showInputMessage="0" showErrorMessage="1" allowBlank="1" errorTitle="Комиссия" error="Введите число от 0 до 100 (например, 0.2 — это 0,2%)." type="decimal" operator="between">
      <formula1>0</formula1>
      <formula2>100</formula2>
    </dataValidation>
    <dataValidation sqref="H7 H8" showDropDown="0" showInputMessage="0" showErrorMessage="1" allowBlank="1" errorTitle="Число" error="Введите число больше нуля." type="decimal" operator="greaterThan">
      <formula1>0</formula1>
    </dataValidation>
    <dataValidation sqref="H10" showDropDown="0" showInputMessage="0" showErrorMessage="1" allowBlank="1" errorTitle="ID закрыть" error="Формат ID: T-0001 (буква T, дефис и номер минимум из четырёх цифр)." type="custom">
      <formula1>=IFERROR(AND(EXACT(LEFT(H10,2),"T-"),ISNUMBER(--MID(H10,3,20)),MID(H10,3,20)=TEXT(--MID(H10,3,20),"0000")),FALSE)</formula1>
    </dataValidation>
    <dataValidation sqref="J10" showDropDown="0" showInputMessage="0" showErrorMessage="1" allowBlank="1" errorTitle="ID закрыть" error="Формат ID: L-0001 (буква L, дефис и номер минимум из четырёх цифр)." type="custom">
      <formula1>=IFERROR(AND(EXACT(LEFT(J10,2),"L-"),ISNUMBER(--MID(J10,3,20)),MID(J10,3,20)=TEXT(--MID(J10,3,20),"0000")),FALSE)</formula1>
    </dataValidation>
    <dataValidation sqref="H15" showDropDown="0" showInputMessage="0" showErrorMessage="1" allowBlank="1" errorTitle="ID позиции" error="Формат ID: P-0001 (буква P, дефис и номер минимум из четырёх цифр)." type="custom">
      <formula1>=IFERROR(AND(EXACT(LEFT(H15,2),"P-"),ISNUMBER(--MID(H15,3,20)),MID(H15,3,20)=TEXT(--MID(H15,3,20),"0000")),FALSE)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ТОРГОВЛЯ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inlineStr">
        <is>
          <t>T-0005</t>
        </is>
      </c>
      <c r="C5" s="209" t="n">
        <v>46299</v>
      </c>
      <c r="D5" s="186" t="inlineStr">
        <is>
          <t>Bybit</t>
        </is>
      </c>
      <c r="E5" s="175" t="inlineStr">
        <is>
          <t>BNB/USDT</t>
        </is>
      </c>
      <c r="F5" s="176" t="n"/>
      <c r="G5" s="177" t="n"/>
      <c r="H5" s="178" t="n"/>
      <c r="I5" s="176" t="n">
        <v>3</v>
      </c>
      <c r="J5" s="177" t="n">
        <v>600</v>
      </c>
      <c r="K5" s="178" t="n">
        <v>1796.4</v>
      </c>
      <c r="L5" s="176" t="n"/>
      <c r="M5" s="177" t="n"/>
    </row>
    <row r="6" ht="22" customHeight="1">
      <c r="B6" s="187" t="inlineStr">
        <is>
          <t>T-0001</t>
        </is>
      </c>
      <c r="C6" s="210" t="n">
        <v>46296</v>
      </c>
      <c r="D6" s="187" t="inlineStr">
        <is>
          <t>Binance</t>
        </is>
      </c>
      <c r="E6" s="181" t="inlineStr">
        <is>
          <t>BTC/USDT</t>
        </is>
      </c>
      <c r="F6" s="182" t="n">
        <v>0.1</v>
      </c>
      <c r="G6" s="183" t="n">
        <v>62000</v>
      </c>
      <c r="H6" s="184" t="n">
        <v>6187.6</v>
      </c>
      <c r="I6" s="182" t="n"/>
      <c r="J6" s="183" t="n"/>
      <c r="K6" s="184" t="n"/>
      <c r="L6" s="182" t="n"/>
      <c r="M6" s="183" t="n"/>
    </row>
    <row r="7" ht="22" customHeight="1">
      <c r="B7" s="186" t="inlineStr">
        <is>
          <t>T-0004</t>
        </is>
      </c>
      <c r="C7" s="209" t="n">
        <v>46298</v>
      </c>
      <c r="D7" s="186" t="inlineStr">
        <is>
          <t>Binance</t>
        </is>
      </c>
      <c r="E7" s="175" t="inlineStr">
        <is>
          <t>ETH/BTC</t>
        </is>
      </c>
      <c r="F7" s="176" t="n"/>
      <c r="G7" s="177" t="n"/>
      <c r="H7" s="178" t="n"/>
      <c r="I7" s="176" t="n">
        <v>1.5</v>
      </c>
      <c r="J7" s="177" t="n">
        <v>0.0525</v>
      </c>
      <c r="K7" s="178" t="n">
        <v>0.0785925</v>
      </c>
      <c r="L7" s="176" t="n"/>
      <c r="M7" s="177" t="n"/>
    </row>
    <row r="8" ht="22" customHeight="1">
      <c r="B8" s="187" t="inlineStr">
        <is>
          <t>T-0002</t>
        </is>
      </c>
      <c r="C8" s="210" t="n">
        <v>46297</v>
      </c>
      <c r="D8" s="187" t="inlineStr">
        <is>
          <t>Bybit</t>
        </is>
      </c>
      <c r="E8" s="181" t="inlineStr">
        <is>
          <t>ETH/USDT</t>
        </is>
      </c>
      <c r="F8" s="182" t="n">
        <v>1</v>
      </c>
      <c r="G8" s="183" t="n">
        <v>3200</v>
      </c>
      <c r="H8" s="184" t="n">
        <v>3193.6</v>
      </c>
      <c r="I8" s="182" t="n"/>
      <c r="J8" s="183" t="n"/>
      <c r="K8" s="184" t="n"/>
      <c r="L8" s="182" t="n"/>
      <c r="M8" s="183" t="n"/>
    </row>
    <row r="9" ht="22" customHeight="1">
      <c r="B9" s="186" t="inlineStr">
        <is>
          <t>T-0007</t>
        </is>
      </c>
      <c r="C9" s="209" t="n">
        <v>46300</v>
      </c>
      <c r="D9" s="186" t="inlineStr">
        <is>
          <t>Binance</t>
        </is>
      </c>
      <c r="E9" s="175" t="inlineStr">
        <is>
          <t>ETH/USDT</t>
        </is>
      </c>
      <c r="F9" s="176" t="n">
        <v>1.2</v>
      </c>
      <c r="G9" s="177" t="n">
        <v>3180</v>
      </c>
      <c r="H9" s="178" t="n">
        <v>3808.368</v>
      </c>
      <c r="I9" s="176" t="n"/>
      <c r="J9" s="177" t="n"/>
      <c r="K9" s="178" t="n"/>
      <c r="L9" s="176" t="n"/>
      <c r="M9" s="177" t="n"/>
    </row>
    <row r="10" ht="22" customHeight="1">
      <c r="B10" s="187" t="inlineStr">
        <is>
          <t>T-0008</t>
        </is>
      </c>
      <c r="C10" s="210" t="n">
        <v>46300</v>
      </c>
      <c r="D10" s="187" t="inlineStr">
        <is>
          <t>Bybit</t>
        </is>
      </c>
      <c r="E10" s="181" t="inlineStr">
        <is>
          <t>ETH/USDT</t>
        </is>
      </c>
      <c r="F10" s="182" t="n">
        <v>0.8</v>
      </c>
      <c r="G10" s="183" t="n">
        <v>3250</v>
      </c>
      <c r="H10" s="184" t="n">
        <v>2594.8</v>
      </c>
      <c r="I10" s="182" t="n"/>
      <c r="J10" s="183" t="n"/>
      <c r="K10" s="184" t="n"/>
      <c r="L10" s="182" t="n"/>
      <c r="M10" s="183" t="n"/>
    </row>
    <row r="11" ht="22" customHeight="1">
      <c r="B11" s="186" t="inlineStr">
        <is>
          <t>T-0009</t>
        </is>
      </c>
      <c r="C11" s="209" t="n">
        <v>46301</v>
      </c>
      <c r="D11" s="186" t="inlineStr">
        <is>
          <t>OKX</t>
        </is>
      </c>
      <c r="E11" s="175" t="inlineStr">
        <is>
          <t>ETH/USDT</t>
        </is>
      </c>
      <c r="F11" s="176" t="n"/>
      <c r="G11" s="177" t="n"/>
      <c r="H11" s="178" t="n"/>
      <c r="I11" s="176" t="n">
        <v>1.5</v>
      </c>
      <c r="J11" s="177" t="n">
        <v>3400</v>
      </c>
      <c r="K11" s="178" t="n">
        <v>5089.8</v>
      </c>
      <c r="L11" s="176" t="n"/>
      <c r="M11" s="177" t="n"/>
    </row>
    <row r="12" ht="22" customHeight="1">
      <c r="B12" s="187" t="inlineStr">
        <is>
          <t>T-0010</t>
        </is>
      </c>
      <c r="C12" s="210" t="n">
        <v>46300</v>
      </c>
      <c r="D12" s="187" t="inlineStr">
        <is>
          <t>Binance</t>
        </is>
      </c>
      <c r="E12" s="181" t="inlineStr">
        <is>
          <t>SOL/USDT</t>
        </is>
      </c>
      <c r="F12" s="182" t="n"/>
      <c r="G12" s="183" t="n"/>
      <c r="H12" s="184" t="n"/>
      <c r="I12" s="182" t="n">
        <v>30</v>
      </c>
      <c r="J12" s="183" t="n">
        <v>150</v>
      </c>
      <c r="K12" s="184" t="n">
        <v>4491</v>
      </c>
      <c r="L12" s="182" t="n"/>
      <c r="M12" s="183" t="n"/>
    </row>
    <row r="13" ht="22" customHeight="1">
      <c r="B13" s="186" t="inlineStr">
        <is>
          <t>T-0011</t>
        </is>
      </c>
      <c r="C13" s="209" t="n">
        <v>46301</v>
      </c>
      <c r="D13" s="186" t="inlineStr">
        <is>
          <t>Bybit</t>
        </is>
      </c>
      <c r="E13" s="175" t="inlineStr">
        <is>
          <t>SOL/USDT</t>
        </is>
      </c>
      <c r="F13" s="176" t="n"/>
      <c r="G13" s="177" t="n"/>
      <c r="H13" s="178" t="n"/>
      <c r="I13" s="176" t="n">
        <v>10</v>
      </c>
      <c r="J13" s="177" t="n">
        <v>152</v>
      </c>
      <c r="K13" s="178" t="n">
        <v>1516.96</v>
      </c>
      <c r="L13" s="176" t="n"/>
      <c r="M13" s="177" t="n"/>
    </row>
    <row r="14" ht="22" customHeight="1">
      <c r="B14" s="187" t="inlineStr">
        <is>
          <t>T-0012</t>
        </is>
      </c>
      <c r="C14" s="210" t="n">
        <v>46301</v>
      </c>
      <c r="D14" s="187" t="inlineStr">
        <is>
          <t>OKX</t>
        </is>
      </c>
      <c r="E14" s="181" t="inlineStr">
        <is>
          <t>SOL/USDT</t>
        </is>
      </c>
      <c r="F14" s="182" t="n">
        <v>25</v>
      </c>
      <c r="G14" s="183" t="n">
        <v>146</v>
      </c>
      <c r="H14" s="184" t="n">
        <v>3642.7</v>
      </c>
      <c r="I14" s="182" t="n"/>
      <c r="J14" s="183" t="n"/>
      <c r="K14" s="184" t="n"/>
      <c r="L14" s="182" t="n"/>
      <c r="M14" s="183" t="n"/>
    </row>
    <row r="15" ht="22" customHeight="1">
      <c r="B15" s="186" t="n"/>
      <c r="C15" s="209" t="n"/>
      <c r="D15" s="186" t="n"/>
      <c r="E15" s="175" t="n"/>
      <c r="F15" s="176" t="n"/>
      <c r="G15" s="177" t="n"/>
      <c r="H15" s="178" t="n"/>
      <c r="I15" s="176" t="n"/>
      <c r="J15" s="177" t="n"/>
      <c r="K15" s="178" t="n"/>
      <c r="L15" s="176" t="n"/>
      <c r="M15" s="177" t="n"/>
    </row>
    <row r="16" ht="22" customHeight="1">
      <c r="B16" s="187" t="n"/>
      <c r="C16" s="210" t="n"/>
      <c r="D16" s="187" t="n"/>
      <c r="E16" s="181" t="n"/>
      <c r="F16" s="182" t="n"/>
      <c r="G16" s="183" t="n"/>
      <c r="H16" s="184" t="n"/>
      <c r="I16" s="182" t="n"/>
      <c r="J16" s="183" t="n"/>
      <c r="K16" s="184" t="n"/>
      <c r="L16" s="182" t="n"/>
      <c r="M16" s="183" t="n"/>
    </row>
  </sheetData>
  <autoFilter ref="B4:M16">
    <filterColumn colId="0" hiddenButton="1" showButton="0"/>
    <filterColumn colId="1" hiddenButton="1" showButton="0"/>
    <filterColumn colId="2" hiddenButton="1" showButton="0"/>
    <filterColumn colId="4" hiddenButton="1" showButton="0"/>
    <filterColumn colId="5" hiddenButton="1" showButton="0"/>
    <filterColumn colId="6" hiddenButton="1" showButton="0"/>
    <filterColumn colId="7" hiddenButton="1" showButton="0"/>
    <filterColumn colId="8" hiddenButton="1" showButton="0"/>
    <filterColumn colId="9" hiddenButton="1" showButton="0"/>
    <filterColumn colId="10" hiddenButton="1" showButton="0"/>
    <filterColumn colId="11" hiddenButton="1" showButton="0"/>
  </autoFilter>
  <mergeCells count="1">
    <mergeCell ref="B1:M2"/>
  </mergeCells>
  <conditionalFormatting sqref="B5:M200">
    <cfRule type="expression" priority="1" dxfId="0">
      <formula>AND($B5&lt;&gt;"",COUNTIF(Закрытые!$B$5:$B$200,$B5)&gt;0)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ТОРГОВЛЯ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BNB/USDT</t>
        </is>
      </c>
      <c r="C5" s="176">
        <f>IF(SUMIFS(Торговля!$F$5:$F$200,Торговля!$E$5:$E$200,$B5)+SUMIFS(Закрытые!$G$5:$G$200,Закрытые!$F$5:$F$200,$B5)=0,"",SUMIFS(Торговля!$F$5:$F$200,Торговля!$E$5:$E$200,$B5)+SUMIFS(Закрытые!$G$5:$G$200,Закрытые!$F$5:$F$200,$B5))</f>
        <v/>
      </c>
      <c r="D5" s="177">
        <f>IF(C5="","",(SUMPRODUCT((Торговля!$E$5:$E$200=$B5)*Торговля!$F$5:$F$200*Торговля!$G$5:$G$200)+SUMPRODUCT((Закрытые!$F$5:$F$200=$B5)*Закрытые!$G$5:$G$200*Закрытые!$H$5:$H$200))/C5)</f>
        <v/>
      </c>
      <c r="E5" s="178">
        <f>IF(C5="","",SUMIFS(Торговля!$H$5:$H$200,Торговля!$E$5:$E$200,$B5)+SUMIFS(Закрытые!$I$5:$I$200,Закрытые!$F$5:$F$200,$B5))</f>
        <v/>
      </c>
      <c r="F5" s="176">
        <f>IF(SUMIFS(Торговля!$I$5:$I$200,Торговля!$E$5:$E$200,$B5)+SUMIFS(Закрытые!$J$5:$J$200,Закрытые!$F$5:$F$200,$B5)=0,"",SUMIFS(Торговля!$I$5:$I$200,Торговля!$E$5:$E$200,$B5)+SUMIFS(Закрытые!$J$5:$J$200,Закрытые!$F$5:$F$200,$B5))</f>
        <v/>
      </c>
      <c r="G5" s="177">
        <f>IF(F5="","",(SUMPRODUCT((Торговля!$E$5:$E$200=$B5)*Торговля!$I$5:$I$200*Торговля!$J$5:$J$200)+SUMPRODUCT((Закрытые!$F$5:$F$200=$B5)*Закрытые!$J$5:$J$200*Закрытые!$K$5:$K$200))/F5)</f>
        <v/>
      </c>
      <c r="H5" s="178">
        <f>IF(F5="","",SUMIFS(Торговля!$K$5:$K$200,Торговля!$E$5:$E$200,$B5)+SUMIFS(Закрытые!$L$5:$L$200,Закрытые!$F$5:$F$200,$B5))</f>
        <v/>
      </c>
      <c r="I5" s="176">
        <f>IF(COUNTIFS(Закрытые!$F$5:$F$200,$B5)=0,"",ROUND(SUMIFS(Закрытые!$M$5:$M$200,Закрытые!$F$5:$F$200,$B5),8))</f>
        <v/>
      </c>
      <c r="J5" s="178">
        <f>IF(COUNTIFS(Закрытые!$F$5:$F$200,$B5)=0,"",ROUND(SUMIFS(Закрытые!$M$5:$M$200,Закрытые!$F$5:$F$200,$B5)/SUMIFS(Закрытые!$I$5:$I$200,Закрытые!$F$5:$F$200,$B5)*100,2))</f>
        <v/>
      </c>
      <c r="K5" s="176" t="n"/>
      <c r="L5" s="177" t="n"/>
      <c r="M5" s="177" t="n"/>
    </row>
    <row r="6" ht="22" customHeight="1">
      <c r="B6" s="181" t="inlineStr">
        <is>
          <t>BTC/USDT</t>
        </is>
      </c>
      <c r="C6" s="182">
        <f>IF(SUMIFS(Торговля!$F$5:$F$200,Торговля!$E$5:$E$200,$B6)+SUMIFS(Закрытые!$G$5:$G$200,Закрытые!$F$5:$F$200,$B6)=0,"",SUMIFS(Торговля!$F$5:$F$200,Торговля!$E$5:$E$200,$B6)+SUMIFS(Закрытые!$G$5:$G$200,Закрытые!$F$5:$F$200,$B6))</f>
        <v/>
      </c>
      <c r="D6" s="183">
        <f>IF(C6="","",(SUMPRODUCT((Торговля!$E$5:$E$200=$B6)*Торговля!$F$5:$F$200*Торговля!$G$5:$G$200)+SUMPRODUCT((Закрытые!$F$5:$F$200=$B6)*Закрытые!$G$5:$G$200*Закрытые!$H$5:$H$200))/C6)</f>
        <v/>
      </c>
      <c r="E6" s="184">
        <f>IF(C6="","",SUMIFS(Торговля!$H$5:$H$200,Торговля!$E$5:$E$200,$B6)+SUMIFS(Закрытые!$I$5:$I$200,Закрытые!$F$5:$F$200,$B6))</f>
        <v/>
      </c>
      <c r="F6" s="182">
        <f>IF(SUMIFS(Торговля!$I$5:$I$200,Торговля!$E$5:$E$200,$B6)+SUMIFS(Закрытые!$J$5:$J$200,Закрытые!$F$5:$F$200,$B6)=0,"",SUMIFS(Торговля!$I$5:$I$200,Торговля!$E$5:$E$200,$B6)+SUMIFS(Закрытые!$J$5:$J$200,Закрытые!$F$5:$F$200,$B6))</f>
        <v/>
      </c>
      <c r="G6" s="183">
        <f>IF(F6="","",(SUMPRODUCT((Торговля!$E$5:$E$200=$B6)*Торговля!$I$5:$I$200*Торговля!$J$5:$J$200)+SUMPRODUCT((Закрытые!$F$5:$F$200=$B6)*Закрытые!$J$5:$J$200*Закрытые!$K$5:$K$200))/F6)</f>
        <v/>
      </c>
      <c r="H6" s="184">
        <f>IF(F6="","",SUMIFS(Торговля!$K$5:$K$200,Торговля!$E$5:$E$200,$B6)+SUMIFS(Закрытые!$L$5:$L$200,Закрытые!$F$5:$F$200,$B6))</f>
        <v/>
      </c>
      <c r="I6" s="182">
        <f>IF(COUNTIFS(Закрытые!$F$5:$F$200,$B6)=0,"",ROUND(SUMIFS(Закрытые!$M$5:$M$200,Закрытые!$F$5:$F$200,$B6),8))</f>
        <v/>
      </c>
      <c r="J6" s="184">
        <f>IF(COUNTIFS(Закрытые!$F$5:$F$200,$B6)=0,"",ROUND(SUMIFS(Закрытые!$M$5:$M$200,Закрытые!$F$5:$F$200,$B6)/SUMIFS(Закрытые!$I$5:$I$200,Закрытые!$F$5:$F$200,$B6)*100,2))</f>
        <v/>
      </c>
      <c r="K6" s="182" t="n"/>
      <c r="L6" s="183" t="n"/>
      <c r="M6" s="183" t="n"/>
    </row>
    <row r="7" ht="22" customHeight="1">
      <c r="B7" s="175" t="inlineStr">
        <is>
          <t>ETH/BTC</t>
        </is>
      </c>
      <c r="C7" s="176">
        <f>IF(SUMIFS(Торговля!$F$5:$F$200,Торговля!$E$5:$E$200,$B7)+SUMIFS(Закрытые!$G$5:$G$200,Закрытые!$F$5:$F$200,$B7)=0,"",SUMIFS(Торговля!$F$5:$F$200,Торговля!$E$5:$E$200,$B7)+SUMIFS(Закрытые!$G$5:$G$200,Закрытые!$F$5:$F$200,$B7))</f>
        <v/>
      </c>
      <c r="D7" s="177">
        <f>IF(C7="","",(SUMPRODUCT((Торговля!$E$5:$E$200=$B7)*Торговля!$F$5:$F$200*Торговля!$G$5:$G$200)+SUMPRODUCT((Закрытые!$F$5:$F$200=$B7)*Закрытые!$G$5:$G$200*Закрытые!$H$5:$H$200))/C7)</f>
        <v/>
      </c>
      <c r="E7" s="178">
        <f>IF(C7="","",SUMIFS(Торговля!$H$5:$H$200,Торговля!$E$5:$E$200,$B7)+SUMIFS(Закрытые!$I$5:$I$200,Закрытые!$F$5:$F$200,$B7))</f>
        <v/>
      </c>
      <c r="F7" s="176">
        <f>IF(SUMIFS(Торговля!$I$5:$I$200,Торговля!$E$5:$E$200,$B7)+SUMIFS(Закрытые!$J$5:$J$200,Закрытые!$F$5:$F$200,$B7)=0,"",SUMIFS(Торговля!$I$5:$I$200,Торговля!$E$5:$E$200,$B7)+SUMIFS(Закрытые!$J$5:$J$200,Закрытые!$F$5:$F$200,$B7))</f>
        <v/>
      </c>
      <c r="G7" s="177">
        <f>IF(F7="","",(SUMPRODUCT((Торговля!$E$5:$E$200=$B7)*Торговля!$I$5:$I$200*Торговля!$J$5:$J$200)+SUMPRODUCT((Закрытые!$F$5:$F$200=$B7)*Закрытые!$J$5:$J$200*Закрытые!$K$5:$K$200))/F7)</f>
        <v/>
      </c>
      <c r="H7" s="178">
        <f>IF(F7="","",SUMIFS(Торговля!$K$5:$K$200,Торговля!$E$5:$E$200,$B7)+SUMIFS(Закрытые!$L$5:$L$200,Закрытые!$F$5:$F$200,$B7))</f>
        <v/>
      </c>
      <c r="I7" s="176">
        <f>IF(COUNTIFS(Закрытые!$F$5:$F$200,$B7)=0,"",ROUND(SUMIFS(Закрытые!$M$5:$M$200,Закрытые!$F$5:$F$200,$B7),8))</f>
        <v/>
      </c>
      <c r="J7" s="178">
        <f>IF(COUNTIFS(Закрытые!$F$5:$F$200,$B7)=0,"",ROUND(SUMIFS(Закрытые!$M$5:$M$200,Закрытые!$F$5:$F$200,$B7)/SUMIFS(Закрытые!$I$5:$I$200,Закрытые!$F$5:$F$200,$B7)*100,2))</f>
        <v/>
      </c>
      <c r="K7" s="176" t="n"/>
      <c r="L7" s="177" t="n"/>
      <c r="M7" s="177" t="n"/>
    </row>
    <row r="8" ht="22" customHeight="1">
      <c r="B8" s="181" t="inlineStr">
        <is>
          <t>ETH/USDT</t>
        </is>
      </c>
      <c r="C8" s="182">
        <f>IF(SUMIFS(Торговля!$F$5:$F$200,Торговля!$E$5:$E$200,$B8)+SUMIFS(Закрытые!$G$5:$G$200,Закрытые!$F$5:$F$200,$B8)=0,"",SUMIFS(Торговля!$F$5:$F$200,Торговля!$E$5:$E$200,$B8)+SUMIFS(Закрытые!$G$5:$G$200,Закрытые!$F$5:$F$200,$B8))</f>
        <v/>
      </c>
      <c r="D8" s="183">
        <f>IF(C8="","",(SUMPRODUCT((Торговля!$E$5:$E$200=$B8)*Торговля!$F$5:$F$200*Торговля!$G$5:$G$200)+SUMPRODUCT((Закрытые!$F$5:$F$200=$B8)*Закрытые!$G$5:$G$200*Закрытые!$H$5:$H$200))/C8)</f>
        <v/>
      </c>
      <c r="E8" s="184">
        <f>IF(C8="","",SUMIFS(Торговля!$H$5:$H$200,Торговля!$E$5:$E$200,$B8)+SUMIFS(Закрытые!$I$5:$I$200,Закрытые!$F$5:$F$200,$B8))</f>
        <v/>
      </c>
      <c r="F8" s="182">
        <f>IF(SUMIFS(Торговля!$I$5:$I$200,Торговля!$E$5:$E$200,$B8)+SUMIFS(Закрытые!$J$5:$J$200,Закрытые!$F$5:$F$200,$B8)=0,"",SUMIFS(Торговля!$I$5:$I$200,Торговля!$E$5:$E$200,$B8)+SUMIFS(Закрытые!$J$5:$J$200,Закрытые!$F$5:$F$200,$B8))</f>
        <v/>
      </c>
      <c r="G8" s="183">
        <f>IF(F8="","",(SUMPRODUCT((Торговля!$E$5:$E$200=$B8)*Торговля!$I$5:$I$200*Торговля!$J$5:$J$200)+SUMPRODUCT((Закрытые!$F$5:$F$200=$B8)*Закрытые!$J$5:$J$200*Закрытые!$K$5:$K$200))/F8)</f>
        <v/>
      </c>
      <c r="H8" s="184">
        <f>IF(F8="","",SUMIFS(Торговля!$K$5:$K$200,Торговля!$E$5:$E$200,$B8)+SUMIFS(Закрытые!$L$5:$L$200,Закрытые!$F$5:$F$200,$B8))</f>
        <v/>
      </c>
      <c r="I8" s="182">
        <f>IF(COUNTIFS(Закрытые!$F$5:$F$200,$B8)=0,"",ROUND(SUMIFS(Закрытые!$M$5:$M$200,Закрытые!$F$5:$F$200,$B8),8))</f>
        <v/>
      </c>
      <c r="J8" s="184">
        <f>IF(COUNTIFS(Закрытые!$F$5:$F$200,$B8)=0,"",ROUND(SUMIFS(Закрытые!$M$5:$M$200,Закрытые!$F$5:$F$200,$B8)/SUMIFS(Закрытые!$I$5:$I$200,Закрытые!$F$5:$F$200,$B8)*100,2))</f>
        <v/>
      </c>
      <c r="K8" s="182" t="n"/>
      <c r="L8" s="183" t="n"/>
      <c r="M8" s="183" t="n"/>
    </row>
    <row r="9" ht="22" customHeight="1">
      <c r="B9" s="175" t="inlineStr">
        <is>
          <t>SOL/USDT</t>
        </is>
      </c>
      <c r="C9" s="176">
        <f>IF(SUMIFS(Торговля!$F$5:$F$200,Торговля!$E$5:$E$200,$B9)+SUMIFS(Закрытые!$G$5:$G$200,Закрытые!$F$5:$F$200,$B9)=0,"",SUMIFS(Торговля!$F$5:$F$200,Торговля!$E$5:$E$200,$B9)+SUMIFS(Закрытые!$G$5:$G$200,Закрытые!$F$5:$F$200,$B9))</f>
        <v/>
      </c>
      <c r="D9" s="177">
        <f>IF(C9="","",(SUMPRODUCT((Торговля!$E$5:$E$200=$B9)*Торговля!$F$5:$F$200*Торговля!$G$5:$G$200)+SUMPRODUCT((Закрытые!$F$5:$F$200=$B9)*Закрытые!$G$5:$G$200*Закрытые!$H$5:$H$200))/C9)</f>
        <v/>
      </c>
      <c r="E9" s="178">
        <f>IF(C9="","",SUMIFS(Торговля!$H$5:$H$200,Торговля!$E$5:$E$200,$B9)+SUMIFS(Закрытые!$I$5:$I$200,Закрытые!$F$5:$F$200,$B9))</f>
        <v/>
      </c>
      <c r="F9" s="176">
        <f>IF(SUMIFS(Торговля!$I$5:$I$200,Торговля!$E$5:$E$200,$B9)+SUMIFS(Закрытые!$J$5:$J$200,Закрытые!$F$5:$F$200,$B9)=0,"",SUMIFS(Торговля!$I$5:$I$200,Торговля!$E$5:$E$200,$B9)+SUMIFS(Закрытые!$J$5:$J$200,Закрытые!$F$5:$F$200,$B9))</f>
        <v/>
      </c>
      <c r="G9" s="177">
        <f>IF(F9="","",(SUMPRODUCT((Торговля!$E$5:$E$200=$B9)*Торговля!$I$5:$I$200*Торговля!$J$5:$J$200)+SUMPRODUCT((Закрытые!$F$5:$F$200=$B9)*Закрытые!$J$5:$J$200*Закрытые!$K$5:$K$200))/F9)</f>
        <v/>
      </c>
      <c r="H9" s="178">
        <f>IF(F9="","",SUMIFS(Торговля!$K$5:$K$200,Торговля!$E$5:$E$200,$B9)+SUMIFS(Закрытые!$L$5:$L$200,Закрытые!$F$5:$F$200,$B9))</f>
        <v/>
      </c>
      <c r="I9" s="176">
        <f>IF(COUNTIFS(Закрытые!$F$5:$F$200,$B9)=0,"",ROUND(SUMIFS(Закрытые!$M$5:$M$200,Закрытые!$F$5:$F$200,$B9),8))</f>
        <v/>
      </c>
      <c r="J9" s="178">
        <f>IF(COUNTIFS(Закрытые!$F$5:$F$200,$B9)=0,"",ROUND(SUMIFS(Закрытые!$M$5:$M$200,Закрытые!$F$5:$F$200,$B9)/SUMIFS(Закрытые!$I$5:$I$200,Закрытые!$F$5:$F$200,$B9)*100,2))</f>
        <v/>
      </c>
      <c r="K9" s="176" t="n"/>
      <c r="L9" s="177" t="n"/>
      <c r="M9" s="177" t="n"/>
    </row>
    <row r="10" ht="22" customHeight="1">
      <c r="B10" s="181" t="n"/>
      <c r="C10" s="182" t="n"/>
      <c r="D10" s="183" t="n"/>
      <c r="E10" s="184" t="n"/>
      <c r="F10" s="182" t="n"/>
      <c r="G10" s="183" t="n"/>
      <c r="H10" s="184" t="n"/>
      <c r="I10" s="182" t="n"/>
      <c r="J10" s="184" t="n"/>
      <c r="K10" s="182" t="n"/>
      <c r="L10" s="183" t="n"/>
      <c r="M10" s="183" t="n"/>
    </row>
    <row r="11" ht="22" customHeight="1">
      <c r="B11" s="175" t="n"/>
      <c r="C11" s="176" t="n"/>
      <c r="D11" s="177" t="n"/>
      <c r="E11" s="178" t="n"/>
      <c r="F11" s="176" t="n"/>
      <c r="G11" s="177" t="n"/>
      <c r="H11" s="178" t="n"/>
      <c r="I11" s="176" t="n"/>
      <c r="J11" s="178" t="n"/>
      <c r="K11" s="176" t="n"/>
      <c r="L11" s="177" t="n"/>
      <c r="M11" s="177" t="n"/>
    </row>
    <row r="12" ht="22" customHeight="1">
      <c r="B12" s="181" t="n"/>
      <c r="C12" s="182" t="n"/>
      <c r="D12" s="183" t="n"/>
      <c r="E12" s="184" t="n"/>
      <c r="F12" s="182" t="n"/>
      <c r="G12" s="183" t="n"/>
      <c r="H12" s="184" t="n"/>
      <c r="I12" s="182" t="n"/>
      <c r="J12" s="184" t="n"/>
      <c r="K12" s="182" t="n"/>
      <c r="L12" s="183" t="n"/>
      <c r="M12" s="183" t="n"/>
    </row>
  </sheetData>
  <autoFilter ref="B4:M12">
    <filterColumn colId="1" hiddenButton="1" showButton="0"/>
    <filterColumn colId="2" hiddenButton="1" showButton="0"/>
    <filterColumn colId="3" hiddenButton="1" showButton="0"/>
    <filterColumn colId="4" hiddenButton="1" showButton="0"/>
    <filterColumn colId="5" hiddenButton="1" showButton="0"/>
    <filterColumn colId="6" hiddenButton="1" showButton="0"/>
    <filterColumn colId="7" hiddenButton="1" showButton="0"/>
    <filterColumn colId="8" hiddenButton="1" showButton="0"/>
    <filterColumn colId="9" hiddenButton="1" showButton="0"/>
    <filterColumn colId="10" hiddenButton="1" showButton="0"/>
    <filterColumn colId="11" hiddenButton="1" showButton="0"/>
  </autoFilter>
  <mergeCells count="1">
    <mergeCell ref="B1:M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ЛЭНДИНГ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inlineStr">
        <is>
          <t>L-0005</t>
        </is>
      </c>
      <c r="C5" s="209" t="n">
        <v>46298</v>
      </c>
      <c r="D5" s="186" t="inlineStr">
        <is>
          <t>Bybit</t>
        </is>
      </c>
      <c r="E5" s="175" t="inlineStr">
        <is>
          <t>BNB/USDT</t>
        </is>
      </c>
      <c r="F5" s="176" t="n">
        <v>5</v>
      </c>
      <c r="G5" s="177" t="n">
        <v>590</v>
      </c>
      <c r="H5" s="178" t="n">
        <v>2950</v>
      </c>
      <c r="I5" s="176" t="n">
        <v>5</v>
      </c>
      <c r="J5" s="177" t="n">
        <v>575</v>
      </c>
      <c r="K5" s="178" t="n">
        <v>2875</v>
      </c>
      <c r="L5" s="176">
        <f>IF(AND(AND(ISNUMBER(F5),ISNUMBER(I5),ISNUMBER(H5),ISNUMBER(K5)),F5&gt;0,I5&gt;0,H5&lt;&gt;0),ROUND(MIN(F5,I5)*(K5/I5-H5/F5),8),"")</f>
        <v/>
      </c>
      <c r="M5" s="177">
        <f>IF(AND(AND(ISNUMBER(F5),ISNUMBER(I5),ISNUMBER(H5),ISNUMBER(K5)),F5&gt;0,I5&gt;0,H5&lt;&gt;0),ROUND((K5/I5)/(H5/F5)*100-100,2),"")</f>
        <v/>
      </c>
    </row>
    <row r="6" ht="22" customHeight="1">
      <c r="B6" s="187" t="inlineStr">
        <is>
          <t>L-0002</t>
        </is>
      </c>
      <c r="C6" s="210" t="n">
        <v>46296</v>
      </c>
      <c r="D6" s="187" t="inlineStr">
        <is>
          <t>Bybit</t>
        </is>
      </c>
      <c r="E6" s="181" t="inlineStr">
        <is>
          <t>BTC/USDT</t>
        </is>
      </c>
      <c r="F6" s="182" t="n">
        <v>0.25</v>
      </c>
      <c r="G6" s="183" t="n">
        <v>62000</v>
      </c>
      <c r="H6" s="184" t="n">
        <v>15500</v>
      </c>
      <c r="I6" s="182" t="n">
        <v>0.25</v>
      </c>
      <c r="J6" s="183" t="n">
        <v>64000</v>
      </c>
      <c r="K6" s="184" t="n">
        <v>16000</v>
      </c>
      <c r="L6" s="182">
        <f>IF(AND(AND(ISNUMBER(F6),ISNUMBER(I6),ISNUMBER(H6),ISNUMBER(K6)),F6&gt;0,I6&gt;0,H6&lt;&gt;0),ROUND(MIN(F6,I6)*(K6/I6-H6/F6),8),"")</f>
        <v/>
      </c>
      <c r="M6" s="183">
        <f>IF(AND(AND(ISNUMBER(F6),ISNUMBER(I6),ISNUMBER(H6),ISNUMBER(K6)),F6&gt;0,I6&gt;0,H6&lt;&gt;0),ROUND((K6/I6)/(H6/F6)*100-100,2),"")</f>
        <v/>
      </c>
    </row>
    <row r="7" ht="22" customHeight="1">
      <c r="B7" s="186" t="inlineStr">
        <is>
          <t>L-0006</t>
        </is>
      </c>
      <c r="C7" s="209" t="n">
        <v>46299</v>
      </c>
      <c r="D7" s="186" t="inlineStr">
        <is>
          <t>OKX</t>
        </is>
      </c>
      <c r="E7" s="175" t="inlineStr">
        <is>
          <t>BTC/USDT</t>
        </is>
      </c>
      <c r="F7" s="176" t="n">
        <v>0.1</v>
      </c>
      <c r="G7" s="177" t="n">
        <v>62500</v>
      </c>
      <c r="H7" s="178" t="n">
        <v>6250</v>
      </c>
      <c r="I7" s="176" t="n">
        <v>0.1</v>
      </c>
      <c r="J7" s="177" t="n">
        <v>63100</v>
      </c>
      <c r="K7" s="178" t="n">
        <v>6310</v>
      </c>
      <c r="L7" s="176">
        <f>IF(AND(AND(ISNUMBER(F7),ISNUMBER(I7),ISNUMBER(H7),ISNUMBER(K7)),F7&gt;0,I7&gt;0,H7&lt;&gt;0),ROUND(MIN(F7,I7)*(K7/I7-H7/F7),8),"")</f>
        <v/>
      </c>
      <c r="M7" s="177">
        <f>IF(AND(AND(ISNUMBER(F7),ISNUMBER(I7),ISNUMBER(H7),ISNUMBER(K7)),F7&gt;0,I7&gt;0,H7&lt;&gt;0),ROUND((K7/I7)/(H7/F7)*100-100,2),"")</f>
        <v/>
      </c>
    </row>
    <row r="8" ht="22" customHeight="1">
      <c r="B8" s="187" t="inlineStr">
        <is>
          <t>L-0001</t>
        </is>
      </c>
      <c r="C8" s="210" t="n">
        <v>46296</v>
      </c>
      <c r="D8" s="187" t="inlineStr">
        <is>
          <t>Binance</t>
        </is>
      </c>
      <c r="E8" s="181" t="inlineStr">
        <is>
          <t>ETH/BTC</t>
        </is>
      </c>
      <c r="F8" s="182" t="n">
        <v>0.5</v>
      </c>
      <c r="G8" s="183" t="n">
        <v>0.0521</v>
      </c>
      <c r="H8" s="184" t="n">
        <v>0.02605</v>
      </c>
      <c r="I8" s="182" t="n">
        <v>0.5</v>
      </c>
      <c r="J8" s="183" t="n">
        <v>0.0534</v>
      </c>
      <c r="K8" s="184" t="n">
        <v>0.0267</v>
      </c>
      <c r="L8" s="182">
        <f>IF(AND(AND(ISNUMBER(F8),ISNUMBER(I8),ISNUMBER(H8),ISNUMBER(K8)),F8&gt;0,I8&gt;0,H8&lt;&gt;0),ROUND(MIN(F8,I8)*(K8/I8-H8/F8),8),"")</f>
        <v/>
      </c>
      <c r="M8" s="183">
        <f>IF(AND(AND(ISNUMBER(F8),ISNUMBER(I8),ISNUMBER(H8),ISNUMBER(K8)),F8&gt;0,I8&gt;0,H8&lt;&gt;0),ROUND((K8/I8)/(H8/F8)*100-100,2),"")</f>
        <v/>
      </c>
    </row>
    <row r="9" ht="22" customHeight="1">
      <c r="B9" s="186" t="inlineStr">
        <is>
          <t>L-0007</t>
        </is>
      </c>
      <c r="C9" s="209" t="n">
        <v>46299</v>
      </c>
      <c r="D9" s="186" t="inlineStr">
        <is>
          <t>Binance</t>
        </is>
      </c>
      <c r="E9" s="175" t="inlineStr">
        <is>
          <t>ETH/BTC</t>
        </is>
      </c>
      <c r="F9" s="176" t="n">
        <v>0.8</v>
      </c>
      <c r="G9" s="177" t="n">
        <v>0.0518</v>
      </c>
      <c r="H9" s="178" t="n">
        <v>0.04144</v>
      </c>
      <c r="I9" s="176" t="n">
        <v>0.8</v>
      </c>
      <c r="J9" s="177" t="n">
        <v>0.053</v>
      </c>
      <c r="K9" s="178" t="n">
        <v>0.0424</v>
      </c>
      <c r="L9" s="176">
        <f>IF(AND(AND(ISNUMBER(F9),ISNUMBER(I9),ISNUMBER(H9),ISNUMBER(K9)),F9&gt;0,I9&gt;0,H9&lt;&gt;0),ROUND(MIN(F9,I9)*(K9/I9-H9/F9),8),"")</f>
        <v/>
      </c>
      <c r="M9" s="177">
        <f>IF(AND(AND(ISNUMBER(F9),ISNUMBER(I9),ISNUMBER(H9),ISNUMBER(K9)),F9&gt;0,I9&gt;0,H9&lt;&gt;0),ROUND((K9/I9)/(H9/F9)*100-100,2),"")</f>
        <v/>
      </c>
    </row>
    <row r="10" ht="22" customHeight="1">
      <c r="B10" s="187" t="inlineStr">
        <is>
          <t>L-0004</t>
        </is>
      </c>
      <c r="C10" s="210" t="n">
        <v>46298</v>
      </c>
      <c r="D10" s="187" t="inlineStr">
        <is>
          <t>Binance</t>
        </is>
      </c>
      <c r="E10" s="181" t="inlineStr">
        <is>
          <t>ETH/USDT</t>
        </is>
      </c>
      <c r="F10" s="182" t="n">
        <v>1.2</v>
      </c>
      <c r="G10" s="183" t="n">
        <v>3200</v>
      </c>
      <c r="H10" s="184" t="n">
        <v>3840</v>
      </c>
      <c r="I10" s="182" t="n">
        <v>1.2</v>
      </c>
      <c r="J10" s="183" t="n">
        <v>3350</v>
      </c>
      <c r="K10" s="184" t="n">
        <v>4020</v>
      </c>
      <c r="L10" s="182">
        <f>IF(AND(AND(ISNUMBER(F10),ISNUMBER(I10),ISNUMBER(H10),ISNUMBER(K10)),F10&gt;0,I10&gt;0,H10&lt;&gt;0),ROUND(MIN(F10,I10)*(K10/I10-H10/F10),8),"")</f>
        <v/>
      </c>
      <c r="M10" s="183">
        <f>IF(AND(AND(ISNUMBER(F10),ISNUMBER(I10),ISNUMBER(H10),ISNUMBER(K10)),F10&gt;0,I10&gt;0,H10&lt;&gt;0),ROUND((K10/I10)/(H10/F10)*100-100,2),"")</f>
        <v/>
      </c>
    </row>
    <row r="11" ht="22" customHeight="1">
      <c r="B11" s="186" t="inlineStr">
        <is>
          <t>L-0003</t>
        </is>
      </c>
      <c r="C11" s="209" t="n">
        <v>46297</v>
      </c>
      <c r="D11" s="186" t="inlineStr">
        <is>
          <t>OKX</t>
        </is>
      </c>
      <c r="E11" s="175" t="inlineStr">
        <is>
          <t>SOL/USDT</t>
        </is>
      </c>
      <c r="F11" s="176" t="n">
        <v>20</v>
      </c>
      <c r="G11" s="177" t="n">
        <v>145</v>
      </c>
      <c r="H11" s="178" t="n">
        <v>2900</v>
      </c>
      <c r="I11" s="176" t="n">
        <v>20</v>
      </c>
      <c r="J11" s="177" t="n">
        <v>139</v>
      </c>
      <c r="K11" s="178" t="n">
        <v>2780</v>
      </c>
      <c r="L11" s="176">
        <f>IF(AND(AND(ISNUMBER(F11),ISNUMBER(I11),ISNUMBER(H11),ISNUMBER(K11)),F11&gt;0,I11&gt;0,H11&lt;&gt;0),ROUND(MIN(F11,I11)*(K11/I11-H11/F11),8),"")</f>
        <v/>
      </c>
      <c r="M11" s="177">
        <f>IF(AND(AND(ISNUMBER(F11),ISNUMBER(I11),ISNUMBER(H11),ISNUMBER(K11)),F11&gt;0,I11&gt;0,H11&lt;&gt;0),ROUND((K11/I11)/(H11/F11)*100-100,2),"")</f>
        <v/>
      </c>
    </row>
    <row r="12" ht="22" customHeight="1">
      <c r="B12" s="187" t="inlineStr">
        <is>
          <t>L-0008</t>
        </is>
      </c>
      <c r="C12" s="210" t="n">
        <v>46299</v>
      </c>
      <c r="D12" s="187" t="inlineStr">
        <is>
          <t>Bybit</t>
        </is>
      </c>
      <c r="E12" s="181" t="inlineStr">
        <is>
          <t>SOL/USDT</t>
        </is>
      </c>
      <c r="F12" s="182" t="n">
        <v>15</v>
      </c>
      <c r="G12" s="183" t="n">
        <v>142</v>
      </c>
      <c r="H12" s="184" t="n">
        <v>2130</v>
      </c>
      <c r="I12" s="182" t="n">
        <v>15</v>
      </c>
      <c r="J12" s="183" t="n">
        <v>147</v>
      </c>
      <c r="K12" s="184" t="n">
        <v>2205</v>
      </c>
      <c r="L12" s="182">
        <f>IF(AND(AND(ISNUMBER(F12),ISNUMBER(I12),ISNUMBER(H12),ISNUMBER(K12)),F12&gt;0,I12&gt;0,H12&lt;&gt;0),ROUND(MIN(F12,I12)*(K12/I12-H12/F12),8),"")</f>
        <v/>
      </c>
      <c r="M12" s="183">
        <f>IF(AND(AND(ISNUMBER(F12),ISNUMBER(I12),ISNUMBER(H12),ISNUMBER(K12)),F12&gt;0,I12&gt;0,H12&lt;&gt;0),ROUND((K12/I12)/(H12/F12)*100-100,2),"")</f>
        <v/>
      </c>
    </row>
  </sheetData>
  <autoFilter ref="B4:M12">
    <filterColumn colId="0" hiddenButton="1" showButton="0"/>
    <filterColumn colId="1" hiddenButton="1" showButton="0"/>
    <filterColumn colId="2" hiddenButton="1" showButton="0"/>
    <filterColumn colId="4" hiddenButton="1" showButton="0"/>
    <filterColumn colId="5" hiddenButton="1" showButton="0"/>
    <filterColumn colId="6" hiddenButton="1" showButton="0"/>
    <filterColumn colId="7" hiddenButton="1" showButton="0"/>
    <filterColumn colId="8" hiddenButton="1" showButton="0"/>
    <filterColumn colId="9" hiddenButton="1" showButton="0"/>
    <filterColumn colId="10" hiddenButton="1" showButton="0"/>
    <filterColumn colId="11" hiddenButton="1" showButton="0"/>
  </autoFilter>
  <mergeCells count="1">
    <mergeCell ref="B1:M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ЛЭНДИНГ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>
        <v>70</v>
      </c>
      <c r="L12" s="183" t="n">
        <v>3.29</v>
      </c>
      <c r="M12" s="183" t="n">
        <v>142.28</v>
      </c>
    </row>
  </sheetData>
  <autoFilter ref="B4:M12">
    <filterColumn colId="1" hiddenButton="1" showButton="0"/>
    <filterColumn colId="2" hiddenButton="1" showButton="0"/>
    <filterColumn colId="3" hiddenButton="1" showButton="0"/>
    <filterColumn colId="4" hiddenButton="1" showButton="0"/>
    <filterColumn colId="5" hiddenButton="1" showButton="0"/>
    <filterColumn colId="6" hiddenButton="1" showButton="0"/>
    <filterColumn colId="7" hiddenButton="1" showButton="0"/>
    <filterColumn colId="8" hiddenButton="1" showButton="0"/>
    <filterColumn colId="9" hiddenButton="1" showButton="0"/>
    <filterColumn colId="10" hiddenButton="1" showButton="0"/>
    <filterColumn colId="11" hiddenButton="1" showButton="0"/>
  </autoFilter>
  <mergeCells count="1">
    <mergeCell ref="B1:M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B1:G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1" customHeight="1">
      <c r="B1" s="1" t="inlineStr">
        <is>
          <t>CRYPTO JOURNAL • ПУЛ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9" t="inlineStr">
        <is>
          <t>Актив 1</t>
        </is>
      </c>
      <c r="G4" s="107" t="inlineStr">
        <is>
          <t>Актив 2</t>
        </is>
      </c>
    </row>
    <row r="5" ht="22" customHeight="1">
      <c r="B5" s="186" t="inlineStr">
        <is>
          <t>P-0003</t>
        </is>
      </c>
      <c r="C5" s="209" t="n">
        <v>46297</v>
      </c>
      <c r="D5" s="186" t="inlineStr">
        <is>
          <t>PancakeSwap</t>
        </is>
      </c>
      <c r="E5" s="175" t="inlineStr">
        <is>
          <t>BNB/USDT</t>
        </is>
      </c>
      <c r="F5" s="176" t="n">
        <v>4</v>
      </c>
      <c r="G5" s="177" t="n">
        <v>2360</v>
      </c>
    </row>
    <row r="6" ht="22" customHeight="1">
      <c r="B6" s="187" t="inlineStr">
        <is>
          <t>P-0006</t>
        </is>
      </c>
      <c r="C6" s="210" t="n">
        <v>46299</v>
      </c>
      <c r="D6" s="187" t="inlineStr">
        <is>
          <t>Uniswap</t>
        </is>
      </c>
      <c r="E6" s="181" t="inlineStr">
        <is>
          <t>BTC/USDT</t>
        </is>
      </c>
      <c r="F6" s="182" t="n">
        <v>0.05</v>
      </c>
      <c r="G6" s="183" t="n">
        <v>3125</v>
      </c>
    </row>
    <row r="7" ht="22" customHeight="1">
      <c r="B7" s="186" t="inlineStr">
        <is>
          <t>P-0001</t>
        </is>
      </c>
      <c r="C7" s="209" t="n">
        <v>46296</v>
      </c>
      <c r="D7" s="186" t="inlineStr">
        <is>
          <t>Uniswap</t>
        </is>
      </c>
      <c r="E7" s="175" t="inlineStr">
        <is>
          <t>ETH/BTC</t>
        </is>
      </c>
      <c r="F7" s="176" t="n">
        <v>2</v>
      </c>
      <c r="G7" s="177" t="n">
        <v>0.104</v>
      </c>
    </row>
    <row r="8" ht="22" customHeight="1">
      <c r="B8" s="187" t="inlineStr">
        <is>
          <t>P-0007</t>
        </is>
      </c>
      <c r="C8" s="210" t="n">
        <v>46299</v>
      </c>
      <c r="D8" s="187" t="inlineStr">
        <is>
          <t>PancakeSwap</t>
        </is>
      </c>
      <c r="E8" s="181" t="inlineStr">
        <is>
          <t>ETH/BTC</t>
        </is>
      </c>
      <c r="F8" s="182" t="n">
        <v>1.2</v>
      </c>
      <c r="G8" s="183" t="n">
        <v>0.0624</v>
      </c>
    </row>
    <row r="9" ht="22" customHeight="1">
      <c r="B9" s="186" t="inlineStr">
        <is>
          <t>P-0004</t>
        </is>
      </c>
      <c r="C9" s="209" t="n">
        <v>46298</v>
      </c>
      <c r="D9" s="186" t="inlineStr">
        <is>
          <t>Uniswap</t>
        </is>
      </c>
      <c r="E9" s="175" t="inlineStr">
        <is>
          <t>ETH/USDT</t>
        </is>
      </c>
      <c r="F9" s="176" t="n">
        <v>1.5</v>
      </c>
      <c r="G9" s="177" t="n">
        <v>4800</v>
      </c>
    </row>
    <row r="10" ht="22" customHeight="1">
      <c r="B10" s="187" t="inlineStr">
        <is>
          <t>P-0002</t>
        </is>
      </c>
      <c r="C10" s="210" t="n">
        <v>46296</v>
      </c>
      <c r="D10" s="187" t="inlineStr">
        <is>
          <t>Raydium</t>
        </is>
      </c>
      <c r="E10" s="181" t="inlineStr">
        <is>
          <t>SOL/USDT</t>
        </is>
      </c>
      <c r="F10" s="182" t="n">
        <v>30</v>
      </c>
      <c r="G10" s="183" t="n">
        <v>4350</v>
      </c>
    </row>
    <row r="11" ht="22" customHeight="1">
      <c r="B11" s="186" t="inlineStr">
        <is>
          <t>P-0005</t>
        </is>
      </c>
      <c r="C11" s="209" t="n">
        <v>46298</v>
      </c>
      <c r="D11" s="186" t="inlineStr">
        <is>
          <t>Orca</t>
        </is>
      </c>
      <c r="E11" s="175" t="inlineStr">
        <is>
          <t>SOL/USDT</t>
        </is>
      </c>
      <c r="F11" s="176" t="n">
        <v>12</v>
      </c>
      <c r="G11" s="177" t="n">
        <v>1740</v>
      </c>
    </row>
    <row r="12" ht="22" customHeight="1">
      <c r="B12" s="187" t="inlineStr">
        <is>
          <t>P-0008</t>
        </is>
      </c>
      <c r="C12" s="210" t="n">
        <v>46299</v>
      </c>
      <c r="D12" s="187" t="inlineStr">
        <is>
          <t>Raydium</t>
        </is>
      </c>
      <c r="E12" s="181" t="inlineStr">
        <is>
          <t>SOL/USDT</t>
        </is>
      </c>
      <c r="F12" s="182" t="n">
        <v>25</v>
      </c>
      <c r="G12" s="183" t="n">
        <v>3625</v>
      </c>
    </row>
  </sheetData>
  <autoFilter ref="B4:G12">
    <filterColumn colId="0" hiddenButton="1" showButton="0"/>
    <filterColumn colId="1" hiddenButton="1" showButton="0"/>
    <filterColumn colId="2" hiddenButton="1" showButton="0"/>
    <filterColumn colId="4" hiddenButton="1" showButton="0"/>
    <filterColumn colId="5" hiddenButton="1" showButton="0"/>
  </autoFilter>
  <mergeCells count="1">
    <mergeCell ref="B1:G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L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13" customWidth="1" min="11" max="11"/>
    <col width="14" customWidth="1" min="12" max="12"/>
  </cols>
  <sheetData>
    <row r="1" ht="21" customHeight="1">
      <c r="B1" s="1" t="inlineStr">
        <is>
          <t>CRYPTO JOURNAL • ИТОГО ПУЛ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9" t="inlineStr">
        <is>
          <t>Актив 1</t>
        </is>
      </c>
      <c r="D4" s="170" t="inlineStr">
        <is>
          <t>Актив 2</t>
        </is>
      </c>
      <c r="E4" s="121" t="inlineStr">
        <is>
          <t>Актив 1</t>
        </is>
      </c>
      <c r="F4" s="122" t="inlineStr">
        <is>
          <t>Актив 2</t>
        </is>
      </c>
      <c r="G4" s="163" t="inlineStr">
        <is>
          <t>Дельта 1</t>
        </is>
      </c>
      <c r="H4" s="165" t="inlineStr">
        <is>
          <t>Дельта 2</t>
        </is>
      </c>
      <c r="I4" s="166" t="inlineStr">
        <is>
          <t>Действие</t>
        </is>
      </c>
      <c r="J4" s="167" t="inlineStr">
        <is>
          <t>Кол-во</t>
        </is>
      </c>
      <c r="K4" s="167" t="inlineStr">
        <is>
          <t>Курс</t>
        </is>
      </c>
      <c r="L4" s="167" t="inlineStr">
        <is>
          <t>Сумма</t>
        </is>
      </c>
    </row>
    <row r="5" ht="22" customHeight="1">
      <c r="B5" s="175" t="inlineStr">
        <is>
          <t>ETH/BTC</t>
        </is>
      </c>
      <c r="C5" s="176" t="n">
        <v>2</v>
      </c>
      <c r="D5" s="178" t="n">
        <v>0.104</v>
      </c>
      <c r="E5" s="176" t="n">
        <v>1.96</v>
      </c>
      <c r="F5" s="178" t="n">
        <v>0.1092</v>
      </c>
      <c r="G5" s="176" t="n">
        <v>-0.04</v>
      </c>
      <c r="H5" s="178" t="n">
        <v>0.0052</v>
      </c>
      <c r="I5" s="130" t="inlineStr">
        <is>
          <t>Удалить</t>
        </is>
      </c>
      <c r="J5" s="177" t="n">
        <v>0.5</v>
      </c>
      <c r="K5" s="177" t="n">
        <v>0.052</v>
      </c>
      <c r="L5" s="177" t="n">
        <v>0.026</v>
      </c>
    </row>
    <row r="6" ht="22" customHeight="1">
      <c r="B6" s="181" t="inlineStr">
        <is>
          <t>SOL/USDT</t>
        </is>
      </c>
      <c r="C6" s="182" t="n">
        <v>30</v>
      </c>
      <c r="D6" s="184" t="n">
        <v>4350</v>
      </c>
      <c r="E6" s="182" t="n">
        <v>28.5</v>
      </c>
      <c r="F6" s="184" t="n">
        <v>4560</v>
      </c>
      <c r="G6" s="182" t="n">
        <v>-1.5</v>
      </c>
      <c r="H6" s="184" t="n">
        <v>210</v>
      </c>
      <c r="I6" s="135" t="inlineStr">
        <is>
          <t>Удалить</t>
        </is>
      </c>
      <c r="J6" s="183" t="n">
        <v>10</v>
      </c>
      <c r="K6" s="183" t="n">
        <v>145</v>
      </c>
      <c r="L6" s="183" t="n">
        <v>1450</v>
      </c>
    </row>
    <row r="7" ht="22" customHeight="1">
      <c r="B7" s="175" t="inlineStr">
        <is>
          <t>BNB/USDT</t>
        </is>
      </c>
      <c r="C7" s="176" t="n">
        <v>4</v>
      </c>
      <c r="D7" s="178" t="n">
        <v>2360</v>
      </c>
      <c r="E7" s="176" t="n">
        <v>4.2</v>
      </c>
      <c r="F7" s="178" t="n">
        <v>2300</v>
      </c>
      <c r="G7" s="176" t="n">
        <v>0.2</v>
      </c>
      <c r="H7" s="178" t="n">
        <v>-60</v>
      </c>
      <c r="I7" s="130" t="inlineStr">
        <is>
          <t>Добавить</t>
        </is>
      </c>
      <c r="J7" s="177" t="n">
        <v>1</v>
      </c>
      <c r="K7" s="177" t="n">
        <v>590</v>
      </c>
      <c r="L7" s="177" t="n">
        <v>590</v>
      </c>
    </row>
    <row r="8" ht="22" customHeight="1">
      <c r="B8" s="181" t="inlineStr">
        <is>
          <t>ETH/USDT</t>
        </is>
      </c>
      <c r="C8" s="182" t="n">
        <v>1.5</v>
      </c>
      <c r="D8" s="184" t="n">
        <v>4800</v>
      </c>
      <c r="E8" s="182" t="n">
        <v>1.45</v>
      </c>
      <c r="F8" s="184" t="n">
        <v>4960</v>
      </c>
      <c r="G8" s="182" t="n">
        <v>-0.05</v>
      </c>
      <c r="H8" s="184" t="n">
        <v>160</v>
      </c>
      <c r="I8" s="135" t="inlineStr">
        <is>
          <t>Удалить</t>
        </is>
      </c>
      <c r="J8" s="183" t="n">
        <v>0.5</v>
      </c>
      <c r="K8" s="183" t="n">
        <v>3200</v>
      </c>
      <c r="L8" s="183" t="n">
        <v>1600</v>
      </c>
    </row>
    <row r="9" ht="22" customHeight="1">
      <c r="B9" s="175" t="inlineStr">
        <is>
          <t>SOL/USDT</t>
        </is>
      </c>
      <c r="C9" s="176" t="n">
        <v>12</v>
      </c>
      <c r="D9" s="178" t="n">
        <v>1740</v>
      </c>
      <c r="E9" s="176" t="n">
        <v>12.6</v>
      </c>
      <c r="F9" s="178" t="n">
        <v>1692</v>
      </c>
      <c r="G9" s="176" t="n">
        <v>0.6</v>
      </c>
      <c r="H9" s="178" t="n">
        <v>-48</v>
      </c>
      <c r="I9" s="130" t="inlineStr">
        <is>
          <t>Добавить</t>
        </is>
      </c>
      <c r="J9" s="177" t="n">
        <v>3</v>
      </c>
      <c r="K9" s="177" t="n">
        <v>145</v>
      </c>
      <c r="L9" s="177" t="n">
        <v>435</v>
      </c>
    </row>
    <row r="10" ht="22" customHeight="1">
      <c r="B10" s="181" t="inlineStr">
        <is>
          <t>BTC/USDT</t>
        </is>
      </c>
      <c r="C10" s="182" t="n">
        <v>0.05</v>
      </c>
      <c r="D10" s="184" t="n">
        <v>3125</v>
      </c>
      <c r="E10" s="182" t="n">
        <v>0.048</v>
      </c>
      <c r="F10" s="184" t="n">
        <v>3225</v>
      </c>
      <c r="G10" s="182" t="n">
        <v>-0.002</v>
      </c>
      <c r="H10" s="184" t="n">
        <v>100</v>
      </c>
      <c r="I10" s="135" t="inlineStr">
        <is>
          <t>Удалить</t>
        </is>
      </c>
      <c r="J10" s="183" t="n">
        <v>0.01</v>
      </c>
      <c r="K10" s="183" t="n">
        <v>62500</v>
      </c>
      <c r="L10" s="183" t="n">
        <v>625</v>
      </c>
    </row>
    <row r="11" ht="22" customHeight="1">
      <c r="B11" s="175" t="inlineStr">
        <is>
          <t>ETH/BTC</t>
        </is>
      </c>
      <c r="C11" s="176" t="n">
        <v>1.2</v>
      </c>
      <c r="D11" s="178" t="n">
        <v>0.0624</v>
      </c>
      <c r="E11" s="176" t="n">
        <v>1.25</v>
      </c>
      <c r="F11" s="178" t="n">
        <v>0.0598</v>
      </c>
      <c r="G11" s="176" t="n">
        <v>0.05</v>
      </c>
      <c r="H11" s="178" t="n">
        <v>-0.0026</v>
      </c>
      <c r="I11" s="130" t="inlineStr">
        <is>
          <t>Добавить</t>
        </is>
      </c>
      <c r="J11" s="177" t="n">
        <v>0.3</v>
      </c>
      <c r="K11" s="177" t="n">
        <v>0.052</v>
      </c>
      <c r="L11" s="177" t="n">
        <v>0.0156</v>
      </c>
    </row>
    <row r="12" ht="22" customHeight="1">
      <c r="B12" s="181" t="inlineStr">
        <is>
          <t>SOL/USDT</t>
        </is>
      </c>
      <c r="C12" s="182" t="n">
        <v>25</v>
      </c>
      <c r="D12" s="184" t="n">
        <v>3625</v>
      </c>
      <c r="E12" s="182" t="n">
        <v>24</v>
      </c>
      <c r="F12" s="184" t="n">
        <v>3770</v>
      </c>
      <c r="G12" s="182" t="n">
        <v>-1</v>
      </c>
      <c r="H12" s="184" t="n">
        <v>145</v>
      </c>
      <c r="I12" s="135" t="inlineStr">
        <is>
          <t>Удалить</t>
        </is>
      </c>
      <c r="J12" s="183" t="n">
        <v>5</v>
      </c>
      <c r="K12" s="183" t="n">
        <v>145</v>
      </c>
      <c r="L12" s="183" t="n">
        <v>725</v>
      </c>
    </row>
  </sheetData>
  <autoFilter ref="B4:L12">
    <filterColumn colId="1" hiddenButton="1" showButton="0"/>
    <filterColumn colId="2" hiddenButton="1" showButton="0"/>
    <filterColumn colId="3" hiddenButton="1" showButton="0"/>
    <filterColumn colId="4" hiddenButton="1" showButton="0"/>
    <filterColumn colId="5" hiddenButton="1" showButton="0"/>
    <filterColumn colId="6" hiddenButton="1" showButton="0"/>
    <filterColumn colId="7" hiddenButton="1" showButton="0"/>
    <filterColumn colId="8" hiddenButton="1" showButton="0"/>
    <filterColumn colId="9" hiddenButton="1" showButton="0"/>
    <filterColumn colId="10" hiddenButton="1" showButton="0"/>
  </autoFilter>
  <mergeCells count="1">
    <mergeCell ref="B1:L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244E62"/>
    <outlinePr summaryBelow="1" summaryRight="1"/>
    <pageSetUpPr fitToPage="1"/>
  </sheetPr>
  <dimension ref="B1:Q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8" customWidth="1" min="3" max="3"/>
    <col width="18" customWidth="1" min="4" max="4"/>
    <col width="14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14" customWidth="1" min="17" max="17"/>
  </cols>
  <sheetData>
    <row r="1" ht="21" customHeight="1">
      <c r="B1" s="1" t="inlineStr">
        <is>
          <t>CRYPTO JOURNAL • ЗАКРЫТЫЕ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 открытия</t>
        </is>
      </c>
      <c r="D4" s="161" t="inlineStr">
        <is>
          <t>Дата закрытия</t>
        </is>
      </c>
      <c r="E4" s="161" t="inlineStr">
        <is>
          <t>Протокол</t>
        </is>
      </c>
      <c r="F4" s="162" t="inlineStr">
        <is>
          <t>Пара</t>
        </is>
      </c>
      <c r="G4" s="163" t="inlineStr">
        <is>
          <t>Кол-во</t>
        </is>
      </c>
      <c r="H4" s="185" t="inlineStr">
        <is>
          <t>Курс</t>
        </is>
      </c>
      <c r="I4" s="165" t="inlineStr">
        <is>
          <t>Сумма</t>
        </is>
      </c>
      <c r="J4" s="166" t="inlineStr">
        <is>
          <t>Кол-во</t>
        </is>
      </c>
      <c r="K4" s="167" t="inlineStr">
        <is>
          <t>Курс</t>
        </is>
      </c>
      <c r="L4" s="168" t="inlineStr">
        <is>
          <t>Сумма</t>
        </is>
      </c>
      <c r="M4" s="169" t="inlineStr">
        <is>
          <t>Дельта 1</t>
        </is>
      </c>
      <c r="N4" s="170" t="inlineStr">
        <is>
          <t>Дельта 2</t>
        </is>
      </c>
      <c r="O4" s="171" t="inlineStr">
        <is>
          <t>P&amp;L</t>
        </is>
      </c>
      <c r="P4" s="172" t="inlineStr">
        <is>
          <t>P&amp;L%</t>
        </is>
      </c>
      <c r="Q4" s="172" t="inlineStr">
        <is>
          <t>Break even</t>
        </is>
      </c>
    </row>
    <row r="5" ht="22" customHeight="1">
      <c r="B5" s="186" t="inlineStr">
        <is>
          <t>T-0005</t>
        </is>
      </c>
      <c r="C5" s="209" t="n">
        <v>46299</v>
      </c>
      <c r="D5" s="209" t="n">
        <v>46300</v>
      </c>
      <c r="E5" s="186" t="inlineStr">
        <is>
          <t>Bybit</t>
        </is>
      </c>
      <c r="F5" s="175" t="inlineStr">
        <is>
          <t>BNB/USDT</t>
        </is>
      </c>
      <c r="G5" s="176" t="n">
        <v>2</v>
      </c>
      <c r="H5" s="177" t="n">
        <v>585</v>
      </c>
      <c r="I5" s="178" t="n">
        <v>1167.66</v>
      </c>
      <c r="J5" s="176" t="n">
        <v>2</v>
      </c>
      <c r="K5" s="177" t="n">
        <v>600</v>
      </c>
      <c r="L5" s="178" t="n">
        <v>1197.6</v>
      </c>
      <c r="M5" s="176">
        <f>IF(AND(AND(ISNUMBER(G5),ISNUMBER(J5),ISNUMBER(I5),ISNUMBER(L5)),G5&gt;0,J5&gt;0,I5&lt;&gt;0),ROUND(MIN(G5,J5)*(L5/J5-I5/G5),8),"")</f>
        <v/>
      </c>
      <c r="N5" s="178">
        <f>IF(AND(AND(ISNUMBER(G5),ISNUMBER(J5),ISNUMBER(I5),ISNUMBER(L5)),G5&gt;0,J5&gt;0,I5&lt;&gt;0),ROUND((L5/J5)/(I5/G5)*100-100,2),"")</f>
        <v/>
      </c>
      <c r="O5" s="176" t="n"/>
      <c r="P5" s="177" t="n"/>
      <c r="Q5" s="177" t="n"/>
    </row>
    <row r="6" ht="22" customHeight="1">
      <c r="B6" s="187" t="inlineStr">
        <is>
          <t>T-0006</t>
        </is>
      </c>
      <c r="C6" s="210" t="n">
        <v>46299</v>
      </c>
      <c r="D6" s="210" t="n">
        <v>46300</v>
      </c>
      <c r="E6" s="187" t="inlineStr">
        <is>
          <t>OKX</t>
        </is>
      </c>
      <c r="F6" s="181" t="inlineStr">
        <is>
          <t>BTC/USDT</t>
        </is>
      </c>
      <c r="G6" s="182" t="n">
        <v>0.05</v>
      </c>
      <c r="H6" s="183" t="n">
        <v>62200</v>
      </c>
      <c r="I6" s="184" t="n">
        <v>3103.78</v>
      </c>
      <c r="J6" s="182" t="n">
        <v>0.05</v>
      </c>
      <c r="K6" s="183" t="n">
        <v>63000</v>
      </c>
      <c r="L6" s="184" t="n">
        <v>3143.7</v>
      </c>
      <c r="M6" s="182">
        <f>IF(AND(AND(ISNUMBER(G6),ISNUMBER(J6),ISNUMBER(I6),ISNUMBER(L6)),G6&gt;0,J6&gt;0,I6&lt;&gt;0),ROUND(MIN(G6,J6)*(L6/J6-I6/G6),8),"")</f>
        <v/>
      </c>
      <c r="N6" s="184">
        <f>IF(AND(AND(ISNUMBER(G6),ISNUMBER(J6),ISNUMBER(I6),ISNUMBER(L6)),G6&gt;0,J6&gt;0,I6&lt;&gt;0),ROUND((L6/J6)/(I6/G6)*100-100,2),"")</f>
        <v/>
      </c>
      <c r="O6" s="182" t="n"/>
      <c r="P6" s="183" t="n"/>
      <c r="Q6" s="183" t="n"/>
    </row>
    <row r="7" ht="22" customHeight="1">
      <c r="B7" s="186" t="inlineStr">
        <is>
          <t>T-0002</t>
        </is>
      </c>
      <c r="C7" s="209" t="n">
        <v>46297</v>
      </c>
      <c r="D7" s="209" t="n">
        <v>46299</v>
      </c>
      <c r="E7" s="186" t="inlineStr">
        <is>
          <t>Bybit</t>
        </is>
      </c>
      <c r="F7" s="175" t="inlineStr">
        <is>
          <t>ETH/USDT</t>
        </is>
      </c>
      <c r="G7" s="176" t="n">
        <v>1</v>
      </c>
      <c r="H7" s="177" t="n">
        <v>3200</v>
      </c>
      <c r="I7" s="178" t="n">
        <v>3193.6</v>
      </c>
      <c r="J7" s="176" t="n">
        <v>1</v>
      </c>
      <c r="K7" s="177" t="n">
        <v>3350</v>
      </c>
      <c r="L7" s="178" t="n">
        <v>3343.3</v>
      </c>
      <c r="M7" s="176">
        <f>IF(AND(AND(ISNUMBER(G7),ISNUMBER(J7),ISNUMBER(I7),ISNUMBER(L7)),G7&gt;0,J7&gt;0,I7&lt;&gt;0),ROUND(MIN(G7,J7)*(L7/J7-I7/G7),8),"")</f>
        <v/>
      </c>
      <c r="N7" s="178">
        <f>IF(AND(AND(ISNUMBER(G7),ISNUMBER(J7),ISNUMBER(I7),ISNUMBER(L7)),G7&gt;0,J7&gt;0,I7&lt;&gt;0),ROUND((L7/J7)/(I7/G7)*100-100,2),"")</f>
        <v/>
      </c>
      <c r="O7" s="176" t="n"/>
      <c r="P7" s="177" t="n"/>
      <c r="Q7" s="177" t="n"/>
    </row>
    <row r="8" ht="22" customHeight="1">
      <c r="B8" s="187" t="inlineStr">
        <is>
          <t>T-0003</t>
        </is>
      </c>
      <c r="C8" s="210" t="n">
        <v>46298</v>
      </c>
      <c r="D8" s="210" t="n">
        <v>46300</v>
      </c>
      <c r="E8" s="187" t="inlineStr">
        <is>
          <t>OKX</t>
        </is>
      </c>
      <c r="F8" s="181" t="inlineStr">
        <is>
          <t>SOL/USDT</t>
        </is>
      </c>
      <c r="G8" s="182" t="n">
        <v>20</v>
      </c>
      <c r="H8" s="183" t="n">
        <v>145</v>
      </c>
      <c r="I8" s="184" t="n">
        <v>2894.2</v>
      </c>
      <c r="J8" s="182" t="n">
        <v>20</v>
      </c>
      <c r="K8" s="183" t="n">
        <v>152</v>
      </c>
      <c r="L8" s="184" t="n">
        <v>3033.92</v>
      </c>
      <c r="M8" s="182">
        <f>IF(AND(AND(ISNUMBER(G8),ISNUMBER(J8),ISNUMBER(I8),ISNUMBER(L8)),G8&gt;0,J8&gt;0,I8&lt;&gt;0),ROUND(MIN(G8,J8)*(L8/J8-I8/G8),8),"")</f>
        <v/>
      </c>
      <c r="N8" s="184">
        <f>IF(AND(AND(ISNUMBER(G8),ISNUMBER(J8),ISNUMBER(I8),ISNUMBER(L8)),G8&gt;0,J8&gt;0,I8&lt;&gt;0),ROUND((L8/J8)/(I8/G8)*100-100,2),"")</f>
        <v/>
      </c>
      <c r="O8" s="182" t="n"/>
      <c r="P8" s="183" t="n"/>
      <c r="Q8" s="183" t="n"/>
    </row>
    <row r="9" ht="22" customHeight="1">
      <c r="B9" s="186" t="n"/>
      <c r="C9" s="209" t="n"/>
      <c r="D9" s="209" t="n"/>
      <c r="E9" s="186" t="n"/>
      <c r="F9" s="175" t="n"/>
      <c r="G9" s="176" t="n"/>
      <c r="H9" s="177" t="n"/>
      <c r="I9" s="178" t="n"/>
      <c r="J9" s="176" t="n"/>
      <c r="K9" s="177" t="n"/>
      <c r="L9" s="178" t="n"/>
      <c r="M9" s="176">
        <f>IF(AND(AND(ISNUMBER(G9),ISNUMBER(J9),ISNUMBER(I9),ISNUMBER(L9)),G9&gt;0,J9&gt;0,I9&lt;&gt;0),ROUND(MIN(G9,J9)*(L9/J9-I9/G9),8),"")</f>
        <v/>
      </c>
      <c r="N9" s="178">
        <f>IF(AND(AND(ISNUMBER(G9),ISNUMBER(J9),ISNUMBER(I9),ISNUMBER(L9)),G9&gt;0,J9&gt;0,I9&lt;&gt;0),ROUND((L9/J9)/(I9/G9)*100-100,2),"")</f>
        <v/>
      </c>
      <c r="O9" s="176" t="n"/>
      <c r="P9" s="177" t="n"/>
      <c r="Q9" s="177" t="n"/>
    </row>
    <row r="10" ht="22" customHeight="1">
      <c r="B10" s="187" t="n"/>
      <c r="C10" s="210" t="n"/>
      <c r="D10" s="210" t="n"/>
      <c r="E10" s="187" t="n"/>
      <c r="F10" s="181" t="n"/>
      <c r="G10" s="182" t="n"/>
      <c r="H10" s="183" t="n"/>
      <c r="I10" s="184" t="n"/>
      <c r="J10" s="182" t="n"/>
      <c r="K10" s="183" t="n"/>
      <c r="L10" s="184" t="n"/>
      <c r="M10" s="182">
        <f>IF(AND(AND(ISNUMBER(G10),ISNUMBER(J10),ISNUMBER(I10),ISNUMBER(L10)),G10&gt;0,J10&gt;0,I10&lt;&gt;0),ROUND(MIN(G10,J10)*(L10/J10-I10/G10),8),"")</f>
        <v/>
      </c>
      <c r="N10" s="184">
        <f>IF(AND(AND(ISNUMBER(G10),ISNUMBER(J10),ISNUMBER(I10),ISNUMBER(L10)),G10&gt;0,J10&gt;0,I10&lt;&gt;0),ROUND((L10/J10)/(I10/G10)*100-100,2),"")</f>
        <v/>
      </c>
      <c r="O10" s="182" t="n"/>
      <c r="P10" s="183" t="n"/>
      <c r="Q10" s="183" t="n"/>
    </row>
    <row r="11" ht="22" customHeight="1">
      <c r="B11" s="186" t="n"/>
      <c r="C11" s="209" t="n"/>
      <c r="D11" s="209" t="n"/>
      <c r="E11" s="186" t="n"/>
      <c r="F11" s="175" t="n"/>
      <c r="G11" s="176" t="n"/>
      <c r="H11" s="177" t="n"/>
      <c r="I11" s="178" t="n"/>
      <c r="J11" s="176" t="n"/>
      <c r="K11" s="177" t="n"/>
      <c r="L11" s="178" t="n"/>
      <c r="M11" s="176">
        <f>IF(AND(AND(ISNUMBER(G11),ISNUMBER(J11),ISNUMBER(I11),ISNUMBER(L11)),G11&gt;0,J11&gt;0,I11&lt;&gt;0),ROUND(MIN(G11,J11)*(L11/J11-I11/G11),8),"")</f>
        <v/>
      </c>
      <c r="N11" s="178">
        <f>IF(AND(AND(ISNUMBER(G11),ISNUMBER(J11),ISNUMBER(I11),ISNUMBER(L11)),G11&gt;0,J11&gt;0,I11&lt;&gt;0),ROUND((L11/J11)/(I11/G11)*100-100,2),"")</f>
        <v/>
      </c>
      <c r="O11" s="176" t="n"/>
      <c r="P11" s="177" t="n"/>
      <c r="Q11" s="177" t="n"/>
    </row>
    <row r="12" ht="22" customHeight="1">
      <c r="B12" s="187" t="n"/>
      <c r="C12" s="210" t="n"/>
      <c r="D12" s="210" t="n"/>
      <c r="E12" s="187" t="n"/>
      <c r="F12" s="181" t="n"/>
      <c r="G12" s="182" t="n"/>
      <c r="H12" s="183" t="n"/>
      <c r="I12" s="184" t="n"/>
      <c r="J12" s="182" t="n"/>
      <c r="K12" s="183" t="n"/>
      <c r="L12" s="184" t="n"/>
      <c r="M12" s="182">
        <f>IF(AND(AND(ISNUMBER(G12),ISNUMBER(J12),ISNUMBER(I12),ISNUMBER(L12)),G12&gt;0,J12&gt;0,I12&lt;&gt;0),ROUND(MIN(G12,J12)*(L12/J12-I12/G12),8),"")</f>
        <v/>
      </c>
      <c r="N12" s="184">
        <f>IF(AND(AND(ISNUMBER(G12),ISNUMBER(J12),ISNUMBER(I12),ISNUMBER(L12)),G12&gt;0,J12&gt;0,I12&lt;&gt;0),ROUND((L12/J12)/(I12/G12)*100-100,2),"")</f>
        <v/>
      </c>
      <c r="O12" s="182" t="n"/>
      <c r="P12" s="183" t="n"/>
      <c r="Q12" s="183" t="n"/>
    </row>
  </sheetData>
  <autoFilter ref="B4:Q12">
    <filterColumn colId="0" hiddenButton="1" showButton="0"/>
    <filterColumn colId="1" hiddenButton="1" showButton="0"/>
    <filterColumn colId="2" hiddenButton="1" showButton="0"/>
    <filterColumn colId="3" hiddenButton="1" showButton="0"/>
    <filterColumn colId="5" hiddenButton="1" showButton="0"/>
    <filterColumn colId="6" hiddenButton="1" showButton="0"/>
    <filterColumn colId="7" hiddenButton="1" showButton="0"/>
    <filterColumn colId="8" hiddenButton="1" showButton="0"/>
    <filterColumn colId="9" hiddenButton="1" showButton="0"/>
    <filterColumn colId="10" hiddenButton="1" showButton="0"/>
    <filterColumn colId="11" hiddenButton="1" showButton="0"/>
    <filterColumn colId="12" hiddenButton="1" showButton="0"/>
    <filterColumn colId="13" hiddenButton="1" showButton="0"/>
    <filterColumn colId="14" hiddenButton="1" showButton="0"/>
    <filterColumn colId="15" hiddenButton="1" showButton="0"/>
  </autoFilter>
  <mergeCells count="1">
    <mergeCell ref="B1:Q2"/>
  </mergeCells>
  <conditionalFormatting sqref="B5:Q200">
    <cfRule type="expression" priority="1" dxfId="0">
      <formula>AND($B5&lt;&gt;"",COUNTIF(Торговля!$B$5:$B$200,$B5)&gt;0)</formula>
    </cfRule>
  </conditionalFormatting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>
        <v>70</v>
      </c>
      <c r="L12" s="183" t="n">
        <v>3.29</v>
      </c>
      <c r="M12" s="183" t="n">
        <v>142.28</v>
      </c>
    </row>
  </sheetData>
  <autoFilter ref="B4:M12">
    <filterColumn colId="1" hiddenButton="1" showButton="0"/>
    <filterColumn colId="2" hiddenButton="1" showButton="0"/>
    <filterColumn colId="3" hiddenButton="1" showButton="0"/>
    <filterColumn colId="4" hiddenButton="1" showButton="0"/>
    <filterColumn colId="5" hiddenButton="1" showButton="0"/>
    <filterColumn colId="6" hiddenButton="1" showButton="0"/>
    <filterColumn colId="7" hiddenButton="1" showButton="0"/>
    <filterColumn colId="8" hiddenButton="1" showButton="0"/>
    <filterColumn colId="9" hiddenButton="1" showButton="0"/>
    <filterColumn colId="10" hiddenButton="1" showButton="0"/>
    <filterColumn colId="11" hiddenButton="1" showButton="0"/>
  </autoFilter>
  <mergeCells count="1">
    <mergeCell ref="B1:M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6F9EB3"/>
    <outlinePr summaryBelow="1" summaryRight="1"/>
    <pageSetUpPr fitToPage="1"/>
  </sheetPr>
  <dimension ref="B1:H1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1" customHeight="1">
      <c r="B1" s="1" t="inlineStr">
        <is>
          <t>CRYPTO JOURNAL • СПРАВОЧНИКИ</t>
        </is>
      </c>
    </row>
    <row r="2" ht="21" customHeight="1"/>
    <row r="4" ht="22" customHeight="1">
      <c r="B4" s="205" t="inlineStr">
        <is>
          <t>Протокол</t>
        </is>
      </c>
      <c r="C4" s="205" t="inlineStr">
        <is>
          <t>Действие (Торговля)</t>
        </is>
      </c>
    </row>
    <row r="5" ht="22" customHeight="1">
      <c r="B5" s="206" t="inlineStr">
        <is>
          <t>Binance</t>
        </is>
      </c>
      <c r="C5" s="206" t="inlineStr">
        <is>
          <t>Buy</t>
        </is>
      </c>
    </row>
    <row r="6" ht="22" customHeight="1">
      <c r="B6" s="206" t="inlineStr">
        <is>
          <t>Bybit</t>
        </is>
      </c>
      <c r="C6" s="206" t="inlineStr">
        <is>
          <t>Sell</t>
        </is>
      </c>
    </row>
    <row r="7" ht="22" customHeight="1">
      <c r="B7" s="206" t="inlineStr">
        <is>
          <t>OKX</t>
        </is>
      </c>
      <c r="C7" s="207" t="n"/>
    </row>
    <row r="8" ht="22" customHeight="1">
      <c r="B8" s="206" t="inlineStr">
        <is>
          <t>Uniswap</t>
        </is>
      </c>
      <c r="C8" s="207" t="n"/>
    </row>
    <row r="9" ht="22" customHeight="1">
      <c r="B9" s="206" t="inlineStr">
        <is>
          <t>AAVE</t>
        </is>
      </c>
      <c r="C9" s="207" t="n"/>
    </row>
    <row r="10" ht="22" customHeight="1">
      <c r="B10" s="206" t="inlineStr">
        <is>
          <t>Raydium</t>
        </is>
      </c>
      <c r="C10" s="207" t="n"/>
    </row>
    <row r="11">
      <c r="B11" s="207" t="n"/>
      <c r="C11" s="207" t="n"/>
    </row>
  </sheetData>
  <mergeCells count="1">
    <mergeCell ref="B1:H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2026-10-05T19:06:42Z</dcterms:modified>
</cp:coreProperties>
</file>