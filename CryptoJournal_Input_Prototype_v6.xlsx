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'Торговля'!$B$4:$M$12</definedName>
    <definedName name="_xlnm.Print_Area" localSheetId="1">'Торговля'!$A$1:$N$13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'Пул'!$B$4:$G$12</definedName>
    <definedName name="_xlnm.Print_Area" localSheetId="5">'Пул'!$A$1:$H$13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3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</fills>
  <borders count="43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40" zoomScaleNormal="14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Количество</t>
        </is>
      </c>
      <c r="H7" s="225" t="n">
        <v>0.5</v>
      </c>
      <c r="I7" s="9" t="inlineStr">
        <is>
          <t>Количество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</t>
        </is>
      </c>
      <c r="J8" s="192" t="n">
        <v>1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IF(AND(ISNUMBER(H7),ISNUMBER(H8)),H7*H8*(1-N(J19)/100),"")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3" t="inlineStr">
        <is>
          <t>Сумма</t>
        </is>
      </c>
      <c r="H18" s="61" t="inlineStr">
        <is>
          <t>Курс (авто)</t>
        </is>
      </c>
      <c r="I18" s="61" t="inlineStr">
        <is>
          <t>Сумма (авто)</t>
        </is>
      </c>
      <c r="J18" s="61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193" t="n">
        <v>31000</v>
      </c>
      <c r="H19" s="59" t="n">
        <v>62000</v>
      </c>
      <c r="I19" s="59" t="n">
        <v>31000</v>
      </c>
      <c r="J19" s="224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v6: списки, проверки и автоматические поля (Пара, Сумма торговли).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n">
        <v>1</v>
      </c>
      <c r="C5" s="209" t="n">
        <v>46296</v>
      </c>
      <c r="D5" s="186" t="inlineStr">
        <is>
          <t>Binance</t>
        </is>
      </c>
      <c r="E5" s="175" t="inlineStr">
        <is>
          <t>ETH/BTC</t>
        </is>
      </c>
      <c r="F5" s="176" t="n">
        <v>0.5</v>
      </c>
      <c r="G5" s="177" t="n">
        <v>0.0521</v>
      </c>
      <c r="H5" s="178" t="n">
        <v>0.02605</v>
      </c>
      <c r="I5" s="176" t="n">
        <v>0.5</v>
      </c>
      <c r="J5" s="177" t="n">
        <v>0.0534</v>
      </c>
      <c r="K5" s="178" t="n">
        <v>0.0267</v>
      </c>
      <c r="L5" s="176" t="n">
        <v>0.00065</v>
      </c>
      <c r="M5" s="177" t="n">
        <v>2.5</v>
      </c>
    </row>
    <row r="6" ht="22" customHeight="1">
      <c r="B6" s="187" t="n">
        <v>2</v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 t="n">
        <v>500</v>
      </c>
      <c r="M6" s="183" t="n">
        <v>3.23</v>
      </c>
    </row>
    <row r="7" ht="22" customHeight="1">
      <c r="B7" s="186" t="n">
        <v>3</v>
      </c>
      <c r="C7" s="209" t="n">
        <v>46297</v>
      </c>
      <c r="D7" s="186" t="inlineStr">
        <is>
          <t>OKX</t>
        </is>
      </c>
      <c r="E7" s="175" t="inlineStr">
        <is>
          <t>SOL/USDT</t>
        </is>
      </c>
      <c r="F7" s="176" t="n">
        <v>20</v>
      </c>
      <c r="G7" s="177" t="n">
        <v>145</v>
      </c>
      <c r="H7" s="178" t="n">
        <v>2900</v>
      </c>
      <c r="I7" s="176" t="n">
        <v>20</v>
      </c>
      <c r="J7" s="177" t="n">
        <v>139</v>
      </c>
      <c r="K7" s="178" t="n">
        <v>2780</v>
      </c>
      <c r="L7" s="176" t="n">
        <v>-120</v>
      </c>
      <c r="M7" s="177" t="n">
        <v>-4.14</v>
      </c>
    </row>
    <row r="8" ht="22" customHeight="1">
      <c r="B8" s="187" t="n">
        <v>4</v>
      </c>
      <c r="C8" s="210" t="n">
        <v>46298</v>
      </c>
      <c r="D8" s="187" t="inlineStr">
        <is>
          <t>Binance</t>
        </is>
      </c>
      <c r="E8" s="181" t="inlineStr">
        <is>
          <t>ETH/USDT</t>
        </is>
      </c>
      <c r="F8" s="182" t="n">
        <v>1.2</v>
      </c>
      <c r="G8" s="183" t="n">
        <v>3200</v>
      </c>
      <c r="H8" s="184" t="n">
        <v>3840</v>
      </c>
      <c r="I8" s="182" t="n">
        <v>1.2</v>
      </c>
      <c r="J8" s="183" t="n">
        <v>3350</v>
      </c>
      <c r="K8" s="184" t="n">
        <v>4020</v>
      </c>
      <c r="L8" s="182" t="n">
        <v>180</v>
      </c>
      <c r="M8" s="183" t="n">
        <v>4.69</v>
      </c>
    </row>
    <row r="9" ht="22" customHeight="1">
      <c r="B9" s="186" t="n">
        <v>5</v>
      </c>
      <c r="C9" s="209" t="n">
        <v>46298</v>
      </c>
      <c r="D9" s="186" t="inlineStr">
        <is>
          <t>Bybit</t>
        </is>
      </c>
      <c r="E9" s="175" t="inlineStr">
        <is>
          <t>BNB/USDT</t>
        </is>
      </c>
      <c r="F9" s="176" t="n">
        <v>5</v>
      </c>
      <c r="G9" s="177" t="n">
        <v>590</v>
      </c>
      <c r="H9" s="178" t="n">
        <v>2950</v>
      </c>
      <c r="I9" s="176" t="n">
        <v>5</v>
      </c>
      <c r="J9" s="177" t="n">
        <v>575</v>
      </c>
      <c r="K9" s="178" t="n">
        <v>2875</v>
      </c>
      <c r="L9" s="176" t="n">
        <v>-75</v>
      </c>
      <c r="M9" s="177" t="n">
        <v>-2.54</v>
      </c>
    </row>
    <row r="10" ht="22" customHeight="1">
      <c r="B10" s="187" t="n">
        <v>6</v>
      </c>
      <c r="C10" s="210" t="n">
        <v>46299</v>
      </c>
      <c r="D10" s="187" t="inlineStr">
        <is>
          <t>OKX</t>
        </is>
      </c>
      <c r="E10" s="181" t="inlineStr">
        <is>
          <t>BTC/USDT</t>
        </is>
      </c>
      <c r="F10" s="182" t="n">
        <v>0.1</v>
      </c>
      <c r="G10" s="183" t="n">
        <v>62500</v>
      </c>
      <c r="H10" s="184" t="n">
        <v>6250</v>
      </c>
      <c r="I10" s="182" t="n">
        <v>0.1</v>
      </c>
      <c r="J10" s="183" t="n">
        <v>63100</v>
      </c>
      <c r="K10" s="184" t="n">
        <v>6310</v>
      </c>
      <c r="L10" s="182" t="n">
        <v>60</v>
      </c>
      <c r="M10" s="183" t="n">
        <v>0.96</v>
      </c>
    </row>
    <row r="11" ht="22" customHeight="1">
      <c r="B11" s="186" t="n">
        <v>7</v>
      </c>
      <c r="C11" s="209" t="n">
        <v>46299</v>
      </c>
      <c r="D11" s="186" t="inlineStr">
        <is>
          <t>Binance</t>
        </is>
      </c>
      <c r="E11" s="175" t="inlineStr">
        <is>
          <t>ETH/BTC</t>
        </is>
      </c>
      <c r="F11" s="176" t="n">
        <v>0.8</v>
      </c>
      <c r="G11" s="177" t="n">
        <v>0.0518</v>
      </c>
      <c r="H11" s="178" t="n">
        <v>0.04144</v>
      </c>
      <c r="I11" s="176" t="n">
        <v>0.8</v>
      </c>
      <c r="J11" s="177" t="n">
        <v>0.053</v>
      </c>
      <c r="K11" s="178" t="n">
        <v>0.0424</v>
      </c>
      <c r="L11" s="176" t="n">
        <v>0.00096</v>
      </c>
      <c r="M11" s="177" t="n">
        <v>2.32</v>
      </c>
    </row>
    <row r="12" ht="22" customHeight="1">
      <c r="B12" s="187" t="n">
        <v>8</v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 t="n">
        <v>75</v>
      </c>
      <c r="M12" s="183" t="n">
        <v>3.52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n">
        <v>1</v>
      </c>
      <c r="C5" s="209" t="n">
        <v>46296</v>
      </c>
      <c r="D5" s="186" t="inlineStr">
        <is>
          <t>Binance</t>
        </is>
      </c>
      <c r="E5" s="175" t="inlineStr">
        <is>
          <t>ETH/BTC</t>
        </is>
      </c>
      <c r="F5" s="176" t="n">
        <v>0.5</v>
      </c>
      <c r="G5" s="177" t="n">
        <v>0.0521</v>
      </c>
      <c r="H5" s="178" t="n">
        <v>0.02605</v>
      </c>
      <c r="I5" s="176" t="n">
        <v>0.5</v>
      </c>
      <c r="J5" s="177" t="n">
        <v>0.0534</v>
      </c>
      <c r="K5" s="178" t="n">
        <v>0.0267</v>
      </c>
      <c r="L5" s="176" t="n">
        <v>0.00065</v>
      </c>
      <c r="M5" s="177" t="n">
        <v>2.5</v>
      </c>
    </row>
    <row r="6" ht="22" customHeight="1">
      <c r="B6" s="187" t="n">
        <v>2</v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 t="n">
        <v>500</v>
      </c>
      <c r="M6" s="183" t="n">
        <v>3.23</v>
      </c>
    </row>
    <row r="7" ht="22" customHeight="1">
      <c r="B7" s="186" t="n">
        <v>3</v>
      </c>
      <c r="C7" s="209" t="n">
        <v>46297</v>
      </c>
      <c r="D7" s="186" t="inlineStr">
        <is>
          <t>OKX</t>
        </is>
      </c>
      <c r="E7" s="175" t="inlineStr">
        <is>
          <t>SOL/USDT</t>
        </is>
      </c>
      <c r="F7" s="176" t="n">
        <v>20</v>
      </c>
      <c r="G7" s="177" t="n">
        <v>145</v>
      </c>
      <c r="H7" s="178" t="n">
        <v>2900</v>
      </c>
      <c r="I7" s="176" t="n">
        <v>20</v>
      </c>
      <c r="J7" s="177" t="n">
        <v>139</v>
      </c>
      <c r="K7" s="178" t="n">
        <v>2780</v>
      </c>
      <c r="L7" s="176" t="n">
        <v>-120</v>
      </c>
      <c r="M7" s="177" t="n">
        <v>-4.14</v>
      </c>
    </row>
    <row r="8" ht="22" customHeight="1">
      <c r="B8" s="187" t="n">
        <v>4</v>
      </c>
      <c r="C8" s="210" t="n">
        <v>46298</v>
      </c>
      <c r="D8" s="187" t="inlineStr">
        <is>
          <t>Binance</t>
        </is>
      </c>
      <c r="E8" s="181" t="inlineStr">
        <is>
          <t>ETH/USDT</t>
        </is>
      </c>
      <c r="F8" s="182" t="n">
        <v>1.2</v>
      </c>
      <c r="G8" s="183" t="n">
        <v>3200</v>
      </c>
      <c r="H8" s="184" t="n">
        <v>3840</v>
      </c>
      <c r="I8" s="182" t="n">
        <v>1.2</v>
      </c>
      <c r="J8" s="183" t="n">
        <v>3350</v>
      </c>
      <c r="K8" s="184" t="n">
        <v>4020</v>
      </c>
      <c r="L8" s="182" t="n">
        <v>180</v>
      </c>
      <c r="M8" s="183" t="n">
        <v>4.69</v>
      </c>
    </row>
    <row r="9" ht="22" customHeight="1">
      <c r="B9" s="186" t="n">
        <v>5</v>
      </c>
      <c r="C9" s="209" t="n">
        <v>46298</v>
      </c>
      <c r="D9" s="186" t="inlineStr">
        <is>
          <t>Bybit</t>
        </is>
      </c>
      <c r="E9" s="175" t="inlineStr">
        <is>
          <t>BNB/USDT</t>
        </is>
      </c>
      <c r="F9" s="176" t="n">
        <v>5</v>
      </c>
      <c r="G9" s="177" t="n">
        <v>590</v>
      </c>
      <c r="H9" s="178" t="n">
        <v>2950</v>
      </c>
      <c r="I9" s="176" t="n">
        <v>5</v>
      </c>
      <c r="J9" s="177" t="n">
        <v>575</v>
      </c>
      <c r="K9" s="178" t="n">
        <v>2875</v>
      </c>
      <c r="L9" s="176" t="n">
        <v>-75</v>
      </c>
      <c r="M9" s="177" t="n">
        <v>-2.54</v>
      </c>
    </row>
    <row r="10" ht="22" customHeight="1">
      <c r="B10" s="187" t="n">
        <v>6</v>
      </c>
      <c r="C10" s="210" t="n">
        <v>46299</v>
      </c>
      <c r="D10" s="187" t="inlineStr">
        <is>
          <t>OKX</t>
        </is>
      </c>
      <c r="E10" s="181" t="inlineStr">
        <is>
          <t>BTC/USDT</t>
        </is>
      </c>
      <c r="F10" s="182" t="n">
        <v>0.1</v>
      </c>
      <c r="G10" s="183" t="n">
        <v>62500</v>
      </c>
      <c r="H10" s="184" t="n">
        <v>6250</v>
      </c>
      <c r="I10" s="182" t="n">
        <v>0.1</v>
      </c>
      <c r="J10" s="183" t="n">
        <v>63100</v>
      </c>
      <c r="K10" s="184" t="n">
        <v>6310</v>
      </c>
      <c r="L10" s="182" t="n">
        <v>60</v>
      </c>
      <c r="M10" s="183" t="n">
        <v>0.96</v>
      </c>
    </row>
    <row r="11" ht="22" customHeight="1">
      <c r="B11" s="186" t="n">
        <v>7</v>
      </c>
      <c r="C11" s="209" t="n">
        <v>46299</v>
      </c>
      <c r="D11" s="186" t="inlineStr">
        <is>
          <t>Binance</t>
        </is>
      </c>
      <c r="E11" s="175" t="inlineStr">
        <is>
          <t>ETH/BTC</t>
        </is>
      </c>
      <c r="F11" s="176" t="n">
        <v>0.8</v>
      </c>
      <c r="G11" s="177" t="n">
        <v>0.0518</v>
      </c>
      <c r="H11" s="178" t="n">
        <v>0.04144</v>
      </c>
      <c r="I11" s="176" t="n">
        <v>0.8</v>
      </c>
      <c r="J11" s="177" t="n">
        <v>0.053</v>
      </c>
      <c r="K11" s="178" t="n">
        <v>0.0424</v>
      </c>
      <c r="L11" s="176" t="n">
        <v>0.00096</v>
      </c>
      <c r="M11" s="177" t="n">
        <v>2.32</v>
      </c>
    </row>
    <row r="12" ht="22" customHeight="1">
      <c r="B12" s="187" t="n">
        <v>8</v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 t="n">
        <v>75</v>
      </c>
      <c r="M12" s="183" t="n">
        <v>3.52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G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1" customHeight="1">
      <c r="B1" s="1" t="inlineStr">
        <is>
          <t>CRYPTO JOURNAL • ПУЛ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9" t="inlineStr">
        <is>
          <t>Актив 1</t>
        </is>
      </c>
      <c r="G4" s="107" t="inlineStr">
        <is>
          <t>Актив 2</t>
        </is>
      </c>
    </row>
    <row r="5" ht="22" customHeight="1">
      <c r="B5" s="186" t="n">
        <v>1</v>
      </c>
      <c r="C5" s="209" t="n">
        <v>46296</v>
      </c>
      <c r="D5" s="186" t="inlineStr">
        <is>
          <t>Uniswap</t>
        </is>
      </c>
      <c r="E5" s="175" t="inlineStr">
        <is>
          <t>ETH/BTC</t>
        </is>
      </c>
      <c r="F5" s="176" t="n">
        <v>2</v>
      </c>
      <c r="G5" s="177" t="n">
        <v>0.104</v>
      </c>
    </row>
    <row r="6" ht="22" customHeight="1">
      <c r="B6" s="187" t="n">
        <v>2</v>
      </c>
      <c r="C6" s="210" t="n">
        <v>46296</v>
      </c>
      <c r="D6" s="187" t="inlineStr">
        <is>
          <t>Raydium</t>
        </is>
      </c>
      <c r="E6" s="181" t="inlineStr">
        <is>
          <t>SOL/USDT</t>
        </is>
      </c>
      <c r="F6" s="182" t="n">
        <v>30</v>
      </c>
      <c r="G6" s="183" t="n">
        <v>4350</v>
      </c>
    </row>
    <row r="7" ht="22" customHeight="1">
      <c r="B7" s="186" t="n">
        <v>3</v>
      </c>
      <c r="C7" s="209" t="n">
        <v>46297</v>
      </c>
      <c r="D7" s="186" t="inlineStr">
        <is>
          <t>PancakeSwap</t>
        </is>
      </c>
      <c r="E7" s="175" t="inlineStr">
        <is>
          <t>BNB/USDT</t>
        </is>
      </c>
      <c r="F7" s="176" t="n">
        <v>4</v>
      </c>
      <c r="G7" s="177" t="n">
        <v>2360</v>
      </c>
    </row>
    <row r="8" ht="22" customHeight="1">
      <c r="B8" s="187" t="n">
        <v>4</v>
      </c>
      <c r="C8" s="210" t="n">
        <v>46298</v>
      </c>
      <c r="D8" s="187" t="inlineStr">
        <is>
          <t>Uniswap</t>
        </is>
      </c>
      <c r="E8" s="181" t="inlineStr">
        <is>
          <t>ETH/USDT</t>
        </is>
      </c>
      <c r="F8" s="182" t="n">
        <v>1.5</v>
      </c>
      <c r="G8" s="183" t="n">
        <v>4800</v>
      </c>
    </row>
    <row r="9" ht="22" customHeight="1">
      <c r="B9" s="186" t="n">
        <v>5</v>
      </c>
      <c r="C9" s="209" t="n">
        <v>46298</v>
      </c>
      <c r="D9" s="186" t="inlineStr">
        <is>
          <t>Orca</t>
        </is>
      </c>
      <c r="E9" s="175" t="inlineStr">
        <is>
          <t>SOL/USDT</t>
        </is>
      </c>
      <c r="F9" s="176" t="n">
        <v>12</v>
      </c>
      <c r="G9" s="177" t="n">
        <v>1740</v>
      </c>
    </row>
    <row r="10" ht="22" customHeight="1">
      <c r="B10" s="187" t="n">
        <v>6</v>
      </c>
      <c r="C10" s="210" t="n">
        <v>46299</v>
      </c>
      <c r="D10" s="187" t="inlineStr">
        <is>
          <t>Uniswap</t>
        </is>
      </c>
      <c r="E10" s="181" t="inlineStr">
        <is>
          <t>BTC/USDT</t>
        </is>
      </c>
      <c r="F10" s="182" t="n">
        <v>0.05</v>
      </c>
      <c r="G10" s="183" t="n">
        <v>3125</v>
      </c>
    </row>
    <row r="11" ht="22" customHeight="1">
      <c r="B11" s="186" t="n">
        <v>7</v>
      </c>
      <c r="C11" s="209" t="n">
        <v>46299</v>
      </c>
      <c r="D11" s="186" t="inlineStr">
        <is>
          <t>PancakeSwap</t>
        </is>
      </c>
      <c r="E11" s="175" t="inlineStr">
        <is>
          <t>ETH/BTC</t>
        </is>
      </c>
      <c r="F11" s="176" t="n">
        <v>1.2</v>
      </c>
      <c r="G11" s="177" t="n">
        <v>0.0624</v>
      </c>
    </row>
    <row r="12" ht="22" customHeight="1">
      <c r="B12" s="187" t="n">
        <v>8</v>
      </c>
      <c r="C12" s="210" t="n">
        <v>46299</v>
      </c>
      <c r="D12" s="187" t="inlineStr">
        <is>
          <t>Raydium</t>
        </is>
      </c>
      <c r="E12" s="181" t="inlineStr">
        <is>
          <t>SOL/USDT</t>
        </is>
      </c>
      <c r="F12" s="182" t="n">
        <v>25</v>
      </c>
      <c r="G12" s="183" t="n">
        <v>3625</v>
      </c>
    </row>
  </sheetData>
  <autoFilter ref="B4:G12"/>
  <mergeCells count="1">
    <mergeCell ref="B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9" t="inlineStr">
        <is>
          <t>Актив 1</t>
        </is>
      </c>
      <c r="D4" s="170" t="inlineStr">
        <is>
          <t>Актив 2</t>
        </is>
      </c>
      <c r="E4" s="121" t="inlineStr">
        <is>
          <t>Актив 1</t>
        </is>
      </c>
      <c r="F4" s="122" t="inlineStr">
        <is>
          <t>Актив 2</t>
        </is>
      </c>
      <c r="G4" s="163" t="inlineStr">
        <is>
          <t>Дельта 1</t>
        </is>
      </c>
      <c r="H4" s="165" t="inlineStr">
        <is>
          <t>Дельта 2</t>
        </is>
      </c>
      <c r="I4" s="166" t="inlineStr">
        <is>
          <t>Действие</t>
        </is>
      </c>
      <c r="J4" s="167" t="inlineStr">
        <is>
          <t>Кол-во</t>
        </is>
      </c>
      <c r="K4" s="167" t="inlineStr">
        <is>
          <t>Курс</t>
        </is>
      </c>
      <c r="L4" s="167" t="inlineStr">
        <is>
          <t>Сумма</t>
        </is>
      </c>
    </row>
    <row r="5" ht="22" customHeight="1">
      <c r="B5" s="175" t="inlineStr">
        <is>
          <t>ETH/BTC</t>
        </is>
      </c>
      <c r="C5" s="176" t="n">
        <v>2</v>
      </c>
      <c r="D5" s="178" t="n">
        <v>0.104</v>
      </c>
      <c r="E5" s="176" t="n">
        <v>1.96</v>
      </c>
      <c r="F5" s="178" t="n">
        <v>0.1092</v>
      </c>
      <c r="G5" s="176" t="n">
        <v>-0.04</v>
      </c>
      <c r="H5" s="178" t="n">
        <v>0.0052</v>
      </c>
      <c r="I5" s="130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181" t="inlineStr">
        <is>
          <t>SOL/USDT</t>
        </is>
      </c>
      <c r="C6" s="182" t="n">
        <v>30</v>
      </c>
      <c r="D6" s="184" t="n">
        <v>4350</v>
      </c>
      <c r="E6" s="182" t="n">
        <v>28.5</v>
      </c>
      <c r="F6" s="184" t="n">
        <v>4560</v>
      </c>
      <c r="G6" s="182" t="n">
        <v>-1.5</v>
      </c>
      <c r="H6" s="184" t="n">
        <v>210</v>
      </c>
      <c r="I6" s="135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175" t="inlineStr">
        <is>
          <t>BNB/USDT</t>
        </is>
      </c>
      <c r="C7" s="176" t="n">
        <v>4</v>
      </c>
      <c r="D7" s="178" t="n">
        <v>2360</v>
      </c>
      <c r="E7" s="176" t="n">
        <v>4.2</v>
      </c>
      <c r="F7" s="178" t="n">
        <v>2300</v>
      </c>
      <c r="G7" s="176" t="n">
        <v>0.2</v>
      </c>
      <c r="H7" s="178" t="n">
        <v>-60</v>
      </c>
      <c r="I7" s="130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181" t="inlineStr">
        <is>
          <t>ETH/USDT</t>
        </is>
      </c>
      <c r="C8" s="182" t="n">
        <v>1.5</v>
      </c>
      <c r="D8" s="184" t="n">
        <v>4800</v>
      </c>
      <c r="E8" s="182" t="n">
        <v>1.45</v>
      </c>
      <c r="F8" s="184" t="n">
        <v>4960</v>
      </c>
      <c r="G8" s="182" t="n">
        <v>-0.05</v>
      </c>
      <c r="H8" s="184" t="n">
        <v>160</v>
      </c>
      <c r="I8" s="135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175" t="inlineStr">
        <is>
          <t>SOL/USDT</t>
        </is>
      </c>
      <c r="C9" s="176" t="n">
        <v>12</v>
      </c>
      <c r="D9" s="178" t="n">
        <v>1740</v>
      </c>
      <c r="E9" s="176" t="n">
        <v>12.6</v>
      </c>
      <c r="F9" s="178" t="n">
        <v>1692</v>
      </c>
      <c r="G9" s="176" t="n">
        <v>0.6</v>
      </c>
      <c r="H9" s="178" t="n">
        <v>-48</v>
      </c>
      <c r="I9" s="130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181" t="inlineStr">
        <is>
          <t>BTC/USDT</t>
        </is>
      </c>
      <c r="C10" s="182" t="n">
        <v>0.05</v>
      </c>
      <c r="D10" s="184" t="n">
        <v>3125</v>
      </c>
      <c r="E10" s="182" t="n">
        <v>0.048</v>
      </c>
      <c r="F10" s="184" t="n">
        <v>3225</v>
      </c>
      <c r="G10" s="182" t="n">
        <v>-0.002</v>
      </c>
      <c r="H10" s="184" t="n">
        <v>100</v>
      </c>
      <c r="I10" s="135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175" t="inlineStr">
        <is>
          <t>ETH/BTC</t>
        </is>
      </c>
      <c r="C11" s="176" t="n">
        <v>1.2</v>
      </c>
      <c r="D11" s="178" t="n">
        <v>0.0624</v>
      </c>
      <c r="E11" s="176" t="n">
        <v>1.25</v>
      </c>
      <c r="F11" s="178" t="n">
        <v>0.0598</v>
      </c>
      <c r="G11" s="176" t="n">
        <v>0.05</v>
      </c>
      <c r="H11" s="178" t="n">
        <v>-0.0026</v>
      </c>
      <c r="I11" s="130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181" t="inlineStr">
        <is>
          <t>SOL/USDT</t>
        </is>
      </c>
      <c r="C12" s="182" t="n">
        <v>25</v>
      </c>
      <c r="D12" s="184" t="n">
        <v>3625</v>
      </c>
      <c r="E12" s="182" t="n">
        <v>24</v>
      </c>
      <c r="F12" s="184" t="n">
        <v>3770</v>
      </c>
      <c r="G12" s="182" t="n">
        <v>-1</v>
      </c>
      <c r="H12" s="184" t="n">
        <v>145</v>
      </c>
      <c r="I12" s="135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186" t="n">
        <v>1</v>
      </c>
      <c r="C5" s="209" t="n">
        <v>46296</v>
      </c>
      <c r="D5" s="209" t="n">
        <v>46297</v>
      </c>
      <c r="E5" s="186" t="inlineStr">
        <is>
          <t>Binance</t>
        </is>
      </c>
      <c r="F5" s="175" t="inlineStr">
        <is>
          <t>ETH/BTC</t>
        </is>
      </c>
      <c r="G5" s="176" t="n">
        <v>0.5</v>
      </c>
      <c r="H5" s="177" t="n">
        <v>0.0521</v>
      </c>
      <c r="I5" s="178" t="n">
        <v>0.02605</v>
      </c>
      <c r="J5" s="176" t="n">
        <v>0.5</v>
      </c>
      <c r="K5" s="177" t="n">
        <v>0.0534</v>
      </c>
      <c r="L5" s="178" t="n">
        <v>0.0267</v>
      </c>
      <c r="M5" s="176" t="n">
        <v>0.00065</v>
      </c>
      <c r="N5" s="178" t="n">
        <v>2.5</v>
      </c>
      <c r="O5" s="176" t="n">
        <v>0.00063</v>
      </c>
      <c r="P5" s="177" t="n">
        <v>2.42</v>
      </c>
      <c r="Q5" s="177" t="n">
        <v>0.0522</v>
      </c>
    </row>
    <row r="6" ht="22" customHeight="1">
      <c r="B6" s="187" t="n">
        <v>2</v>
      </c>
      <c r="C6" s="210" t="n">
        <v>46296</v>
      </c>
      <c r="D6" s="210" t="n">
        <v>46298</v>
      </c>
      <c r="E6" s="187" t="inlineStr">
        <is>
          <t>Bybit</t>
        </is>
      </c>
      <c r="F6" s="181" t="inlineStr">
        <is>
          <t>BTC/USDT</t>
        </is>
      </c>
      <c r="G6" s="182" t="n">
        <v>0.25</v>
      </c>
      <c r="H6" s="183" t="n">
        <v>62000</v>
      </c>
      <c r="I6" s="184" t="n">
        <v>15500</v>
      </c>
      <c r="J6" s="182" t="n">
        <v>0.25</v>
      </c>
      <c r="K6" s="183" t="n">
        <v>64000</v>
      </c>
      <c r="L6" s="184" t="n">
        <v>16000</v>
      </c>
      <c r="M6" s="182" t="n">
        <v>500</v>
      </c>
      <c r="N6" s="184" t="n">
        <v>3.23</v>
      </c>
      <c r="O6" s="182" t="n">
        <v>485</v>
      </c>
      <c r="P6" s="183" t="n">
        <v>3.13</v>
      </c>
      <c r="Q6" s="183" t="n">
        <v>62155</v>
      </c>
    </row>
    <row r="7" ht="22" customHeight="1">
      <c r="B7" s="186" t="n">
        <v>3</v>
      </c>
      <c r="C7" s="209" t="n">
        <v>46297</v>
      </c>
      <c r="D7" s="209" t="n">
        <v>46298</v>
      </c>
      <c r="E7" s="186" t="inlineStr">
        <is>
          <t>OKX</t>
        </is>
      </c>
      <c r="F7" s="175" t="inlineStr">
        <is>
          <t>SOL/USDT</t>
        </is>
      </c>
      <c r="G7" s="176" t="n">
        <v>20</v>
      </c>
      <c r="H7" s="177" t="n">
        <v>145</v>
      </c>
      <c r="I7" s="178" t="n">
        <v>2900</v>
      </c>
      <c r="J7" s="176" t="n">
        <v>20</v>
      </c>
      <c r="K7" s="177" t="n">
        <v>139</v>
      </c>
      <c r="L7" s="178" t="n">
        <v>2780</v>
      </c>
      <c r="M7" s="176" t="n">
        <v>-120</v>
      </c>
      <c r="N7" s="178" t="n">
        <v>-4.14</v>
      </c>
      <c r="O7" s="176" t="n">
        <v>-125</v>
      </c>
      <c r="P7" s="177" t="n">
        <v>-4.31</v>
      </c>
      <c r="Q7" s="177" t="n">
        <v>145.3</v>
      </c>
    </row>
    <row r="8" ht="22" customHeight="1">
      <c r="B8" s="187" t="n">
        <v>4</v>
      </c>
      <c r="C8" s="210" t="n">
        <v>46298</v>
      </c>
      <c r="D8" s="210" t="n">
        <v>46301</v>
      </c>
      <c r="E8" s="187" t="inlineStr">
        <is>
          <t>Binance</t>
        </is>
      </c>
      <c r="F8" s="181" t="inlineStr">
        <is>
          <t>ETH/USDT</t>
        </is>
      </c>
      <c r="G8" s="182" t="n">
        <v>1.2</v>
      </c>
      <c r="H8" s="183" t="n">
        <v>3200</v>
      </c>
      <c r="I8" s="184" t="n">
        <v>3840</v>
      </c>
      <c r="J8" s="182" t="n">
        <v>1.2</v>
      </c>
      <c r="K8" s="183" t="n">
        <v>3350</v>
      </c>
      <c r="L8" s="184" t="n">
        <v>4020</v>
      </c>
      <c r="M8" s="182" t="n">
        <v>180</v>
      </c>
      <c r="N8" s="184" t="n">
        <v>4.69</v>
      </c>
      <c r="O8" s="182" t="n">
        <v>175</v>
      </c>
      <c r="P8" s="183" t="n">
        <v>4.56</v>
      </c>
      <c r="Q8" s="183" t="n">
        <v>3203.84</v>
      </c>
    </row>
    <row r="9" ht="22" customHeight="1">
      <c r="B9" s="186" t="n">
        <v>5</v>
      </c>
      <c r="C9" s="209" t="n">
        <v>46298</v>
      </c>
      <c r="D9" s="209" t="n">
        <v>46300</v>
      </c>
      <c r="E9" s="186" t="inlineStr">
        <is>
          <t>Bybit</t>
        </is>
      </c>
      <c r="F9" s="175" t="inlineStr">
        <is>
          <t>BNB/USDT</t>
        </is>
      </c>
      <c r="G9" s="176" t="n">
        <v>5</v>
      </c>
      <c r="H9" s="177" t="n">
        <v>590</v>
      </c>
      <c r="I9" s="178" t="n">
        <v>2950</v>
      </c>
      <c r="J9" s="176" t="n">
        <v>5</v>
      </c>
      <c r="K9" s="177" t="n">
        <v>575</v>
      </c>
      <c r="L9" s="178" t="n">
        <v>2875</v>
      </c>
      <c r="M9" s="176" t="n">
        <v>-75</v>
      </c>
      <c r="N9" s="178" t="n">
        <v>-2.54</v>
      </c>
      <c r="O9" s="176" t="n">
        <v>-80</v>
      </c>
      <c r="P9" s="177" t="n">
        <v>-2.71</v>
      </c>
      <c r="Q9" s="177" t="n">
        <v>590.6</v>
      </c>
    </row>
    <row r="10" ht="22" customHeight="1">
      <c r="B10" s="187" t="n">
        <v>6</v>
      </c>
      <c r="C10" s="210" t="n">
        <v>46299</v>
      </c>
      <c r="D10" s="210" t="n">
        <v>46300</v>
      </c>
      <c r="E10" s="187" t="inlineStr">
        <is>
          <t>OKX</t>
        </is>
      </c>
      <c r="F10" s="181" t="inlineStr">
        <is>
          <t>BTC/USDT</t>
        </is>
      </c>
      <c r="G10" s="182" t="n">
        <v>0.1</v>
      </c>
      <c r="H10" s="183" t="n">
        <v>62500</v>
      </c>
      <c r="I10" s="184" t="n">
        <v>6250</v>
      </c>
      <c r="J10" s="182" t="n">
        <v>0.1</v>
      </c>
      <c r="K10" s="183" t="n">
        <v>63100</v>
      </c>
      <c r="L10" s="184" t="n">
        <v>6310</v>
      </c>
      <c r="M10" s="182" t="n">
        <v>60</v>
      </c>
      <c r="N10" s="184" t="n">
        <v>0.96</v>
      </c>
      <c r="O10" s="182" t="n">
        <v>55</v>
      </c>
      <c r="P10" s="183" t="n">
        <v>0.88</v>
      </c>
      <c r="Q10" s="183" t="n">
        <v>62512.5</v>
      </c>
    </row>
    <row r="11" ht="22" customHeight="1">
      <c r="B11" s="186" t="n">
        <v>7</v>
      </c>
      <c r="C11" s="209" t="n">
        <v>46299</v>
      </c>
      <c r="D11" s="209" t="n">
        <v>46301</v>
      </c>
      <c r="E11" s="186" t="inlineStr">
        <is>
          <t>Binance</t>
        </is>
      </c>
      <c r="F11" s="175" t="inlineStr">
        <is>
          <t>ETH/BTC</t>
        </is>
      </c>
      <c r="G11" s="176" t="n">
        <v>0.8</v>
      </c>
      <c r="H11" s="177" t="n">
        <v>0.0518</v>
      </c>
      <c r="I11" s="178" t="n">
        <v>0.04144</v>
      </c>
      <c r="J11" s="176" t="n">
        <v>0.8</v>
      </c>
      <c r="K11" s="177" t="n">
        <v>0.053</v>
      </c>
      <c r="L11" s="178" t="n">
        <v>0.0424</v>
      </c>
      <c r="M11" s="176" t="n">
        <v>0.00096</v>
      </c>
      <c r="N11" s="178" t="n">
        <v>2.32</v>
      </c>
      <c r="O11" s="176" t="n">
        <v>0.00092</v>
      </c>
      <c r="P11" s="177" t="n">
        <v>2.22</v>
      </c>
      <c r="Q11" s="177" t="n">
        <v>0.05185</v>
      </c>
    </row>
    <row r="12" ht="22" customHeight="1">
      <c r="B12" s="187" t="n">
        <v>8</v>
      </c>
      <c r="C12" s="210" t="n">
        <v>46299</v>
      </c>
      <c r="D12" s="210" t="n">
        <v>46300</v>
      </c>
      <c r="E12" s="187" t="inlineStr">
        <is>
          <t>Bybit</t>
        </is>
      </c>
      <c r="F12" s="181" t="inlineStr">
        <is>
          <t>SOL/USDT</t>
        </is>
      </c>
      <c r="G12" s="182" t="n">
        <v>15</v>
      </c>
      <c r="H12" s="183" t="n">
        <v>142</v>
      </c>
      <c r="I12" s="184" t="n">
        <v>2130</v>
      </c>
      <c r="J12" s="182" t="n">
        <v>15</v>
      </c>
      <c r="K12" s="183" t="n">
        <v>147</v>
      </c>
      <c r="L12" s="184" t="n">
        <v>2205</v>
      </c>
      <c r="M12" s="182" t="n">
        <v>75</v>
      </c>
      <c r="N12" s="184" t="n">
        <v>3.52</v>
      </c>
      <c r="O12" s="182" t="n">
        <v>70</v>
      </c>
      <c r="P12" s="183" t="n">
        <v>3.29</v>
      </c>
      <c r="Q12" s="183" t="n">
        <v>142.28</v>
      </c>
    </row>
  </sheetData>
  <autoFilter ref="B4:Q12"/>
  <mergeCells count="1">
    <mergeCell ref="B1:Q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2026-10-04T19:41:25Z</dcterms:modified>
</cp:coreProperties>
</file>