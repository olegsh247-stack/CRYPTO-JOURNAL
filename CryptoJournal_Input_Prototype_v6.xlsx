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T-0005</t>
        </is>
      </c>
      <c r="C5" s="209" t="n">
        <v>46299</v>
      </c>
      <c r="D5" s="186" t="inlineStr">
        <is>
          <t>Bybit</t>
        </is>
      </c>
      <c r="E5" s="175" t="inlineStr">
        <is>
          <t>BNB/USDT</t>
        </is>
      </c>
      <c r="F5" s="176" t="n">
        <v>2</v>
      </c>
      <c r="G5" s="177" t="n">
        <v>585</v>
      </c>
      <c r="H5" s="178" t="n">
        <v>1167.66</v>
      </c>
      <c r="I5" s="176" t="n">
        <v>5</v>
      </c>
      <c r="J5" s="177" t="n">
        <v>600</v>
      </c>
      <c r="K5" s="178" t="n">
        <v>2994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T-0001</t>
        </is>
      </c>
      <c r="C6" s="210" t="n">
        <v>46296</v>
      </c>
      <c r="D6" s="187" t="inlineStr">
        <is>
          <t>Binance</t>
        </is>
      </c>
      <c r="E6" s="181" t="inlineStr">
        <is>
          <t>BTC/USDT</t>
        </is>
      </c>
      <c r="F6" s="182" t="n">
        <v>0.1</v>
      </c>
      <c r="G6" s="183" t="n">
        <v>62000</v>
      </c>
      <c r="H6" s="184" t="n">
        <v>6187.6</v>
      </c>
      <c r="I6" s="182" t="n"/>
      <c r="J6" s="183" t="n"/>
      <c r="K6" s="184" t="n"/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T-0006</t>
        </is>
      </c>
      <c r="C7" s="209" t="n">
        <v>46299</v>
      </c>
      <c r="D7" s="186" t="inlineStr">
        <is>
          <t>OKX</t>
        </is>
      </c>
      <c r="E7" s="175" t="inlineStr">
        <is>
          <t>BTC/USDT</t>
        </is>
      </c>
      <c r="F7" s="176" t="n">
        <v>0.05</v>
      </c>
      <c r="G7" s="177" t="n">
        <v>62200</v>
      </c>
      <c r="H7" s="178" t="n">
        <v>3103.78</v>
      </c>
      <c r="I7" s="176" t="n">
        <v>0.05</v>
      </c>
      <c r="J7" s="177" t="n">
        <v>63000</v>
      </c>
      <c r="K7" s="178" t="n">
        <v>3143.7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T-0004</t>
        </is>
      </c>
      <c r="C8" s="210" t="n">
        <v>46298</v>
      </c>
      <c r="D8" s="187" t="inlineStr">
        <is>
          <t>Binance</t>
        </is>
      </c>
      <c r="E8" s="181" t="inlineStr">
        <is>
          <t>ETH/BTC</t>
        </is>
      </c>
      <c r="F8" s="182" t="n"/>
      <c r="G8" s="183" t="n"/>
      <c r="H8" s="184" t="n"/>
      <c r="I8" s="182" t="n">
        <v>1.5</v>
      </c>
      <c r="J8" s="183" t="n">
        <v>0.0525</v>
      </c>
      <c r="K8" s="184" t="n">
        <v>0.0785925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T-0002</t>
        </is>
      </c>
      <c r="C9" s="209" t="n">
        <v>46297</v>
      </c>
      <c r="D9" s="186" t="inlineStr">
        <is>
          <t>Bybit</t>
        </is>
      </c>
      <c r="E9" s="175" t="inlineStr">
        <is>
          <t>ETH/USDT</t>
        </is>
      </c>
      <c r="F9" s="176" t="n">
        <v>2</v>
      </c>
      <c r="G9" s="177" t="n">
        <v>3200</v>
      </c>
      <c r="H9" s="178" t="n">
        <v>6387.2</v>
      </c>
      <c r="I9" s="176" t="n">
        <v>1</v>
      </c>
      <c r="J9" s="177" t="n">
        <v>3350</v>
      </c>
      <c r="K9" s="178" t="n">
        <v>3343.3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T-0007</t>
        </is>
      </c>
      <c r="C10" s="210" t="n">
        <v>46300</v>
      </c>
      <c r="D10" s="187" t="inlineStr">
        <is>
          <t>Binance</t>
        </is>
      </c>
      <c r="E10" s="181" t="inlineStr">
        <is>
          <t>ETH/USDT</t>
        </is>
      </c>
      <c r="F10" s="182" t="n">
        <v>1.2</v>
      </c>
      <c r="G10" s="183" t="n">
        <v>3180</v>
      </c>
      <c r="H10" s="184" t="n">
        <v>3808.368</v>
      </c>
      <c r="I10" s="182" t="n"/>
      <c r="J10" s="183" t="n"/>
      <c r="K10" s="184" t="n"/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T-0008</t>
        </is>
      </c>
      <c r="C11" s="209" t="n">
        <v>46300</v>
      </c>
      <c r="D11" s="186" t="inlineStr">
        <is>
          <t>Bybit</t>
        </is>
      </c>
      <c r="E11" s="175" t="inlineStr">
        <is>
          <t>ETH/USDT</t>
        </is>
      </c>
      <c r="F11" s="176" t="n">
        <v>0.8</v>
      </c>
      <c r="G11" s="177" t="n">
        <v>3250</v>
      </c>
      <c r="H11" s="178" t="n">
        <v>2594.8</v>
      </c>
      <c r="I11" s="176" t="n"/>
      <c r="J11" s="177" t="n"/>
      <c r="K11" s="178" t="n"/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T-0009</t>
        </is>
      </c>
      <c r="C12" s="210" t="n">
        <v>46301</v>
      </c>
      <c r="D12" s="187" t="inlineStr">
        <is>
          <t>OKX</t>
        </is>
      </c>
      <c r="E12" s="181" t="inlineStr">
        <is>
          <t>ETH/USDT</t>
        </is>
      </c>
      <c r="F12" s="182" t="n"/>
      <c r="G12" s="183" t="n"/>
      <c r="H12" s="184" t="n"/>
      <c r="I12" s="182" t="n">
        <v>1.5</v>
      </c>
      <c r="J12" s="183" t="n">
        <v>3400</v>
      </c>
      <c r="K12" s="184" t="n">
        <v>5089.8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  <row r="13" ht="22" customHeight="1">
      <c r="B13" s="186" t="inlineStr">
        <is>
          <t>T-0003</t>
        </is>
      </c>
      <c r="C13" s="209" t="n">
        <v>46298</v>
      </c>
      <c r="D13" s="186" t="inlineStr">
        <is>
          <t>OKX</t>
        </is>
      </c>
      <c r="E13" s="175" t="inlineStr">
        <is>
          <t>SOL/USDT</t>
        </is>
      </c>
      <c r="F13" s="176" t="n">
        <v>20</v>
      </c>
      <c r="G13" s="177" t="n">
        <v>145</v>
      </c>
      <c r="H13" s="178" t="n">
        <v>2894.2</v>
      </c>
      <c r="I13" s="176" t="n">
        <v>20</v>
      </c>
      <c r="J13" s="177" t="n">
        <v>152</v>
      </c>
      <c r="K13" s="178" t="n">
        <v>3033.92</v>
      </c>
      <c r="L13" s="176">
        <f>IF(AND(AND(ISNUMBER(F13),ISNUMBER(I13),ISNUMBER(H13),ISNUMBER(K13)),F13&gt;0,I13&gt;0,H13&lt;&gt;0),ROUND(MIN(F13,I13)*(K13/I13-H13/F13),8),"")</f>
        <v/>
      </c>
      <c r="M13" s="177">
        <f>IF(AND(AND(ISNUMBER(F13),ISNUMBER(I13),ISNUMBER(H13),ISNUMBER(K13)),F13&gt;0,I13&gt;0,H13&lt;&gt;0),ROUND((K13/I13)/(H13/F13)*100-100,2),"")</f>
        <v/>
      </c>
    </row>
    <row r="14" ht="22" customHeight="1">
      <c r="B14" s="187" t="inlineStr">
        <is>
          <t>T-0010</t>
        </is>
      </c>
      <c r="C14" s="210" t="n">
        <v>46300</v>
      </c>
      <c r="D14" s="187" t="inlineStr">
        <is>
          <t>Binance</t>
        </is>
      </c>
      <c r="E14" s="181" t="inlineStr">
        <is>
          <t>SOL/USDT</t>
        </is>
      </c>
      <c r="F14" s="182" t="n"/>
      <c r="G14" s="183" t="n"/>
      <c r="H14" s="184" t="n"/>
      <c r="I14" s="182" t="n">
        <v>30</v>
      </c>
      <c r="J14" s="183" t="n">
        <v>150</v>
      </c>
      <c r="K14" s="184" t="n">
        <v>4491</v>
      </c>
      <c r="L14" s="182">
        <f>IF(AND(AND(ISNUMBER(F14),ISNUMBER(I14),ISNUMBER(H14),ISNUMBER(K14)),F14&gt;0,I14&gt;0,H14&lt;&gt;0),ROUND(MIN(F14,I14)*(K14/I14-H14/F14),8),"")</f>
        <v/>
      </c>
      <c r="M14" s="183">
        <f>IF(AND(AND(ISNUMBER(F14),ISNUMBER(I14),ISNUMBER(H14),ISNUMBER(K14)),F14&gt;0,I14&gt;0,H14&lt;&gt;0),ROUND((K14/I14)/(H14/F14)*100-100,2),"")</f>
        <v/>
      </c>
    </row>
    <row r="15" ht="22" customHeight="1">
      <c r="B15" s="186" t="inlineStr">
        <is>
          <t>T-0011</t>
        </is>
      </c>
      <c r="C15" s="209" t="n">
        <v>46301</v>
      </c>
      <c r="D15" s="186" t="inlineStr">
        <is>
          <t>Bybit</t>
        </is>
      </c>
      <c r="E15" s="175" t="inlineStr">
        <is>
          <t>SOL/USDT</t>
        </is>
      </c>
      <c r="F15" s="176" t="n"/>
      <c r="G15" s="177" t="n"/>
      <c r="H15" s="178" t="n"/>
      <c r="I15" s="176" t="n">
        <v>10</v>
      </c>
      <c r="J15" s="177" t="n">
        <v>152</v>
      </c>
      <c r="K15" s="178" t="n">
        <v>1516.96</v>
      </c>
      <c r="L15" s="176">
        <f>IF(AND(AND(ISNUMBER(F15),ISNUMBER(I15),ISNUMBER(H15),ISNUMBER(K15)),F15&gt;0,I15&gt;0,H15&lt;&gt;0),ROUND(MIN(F15,I15)*(K15/I15-H15/F15),8),"")</f>
        <v/>
      </c>
      <c r="M15" s="177">
        <f>IF(AND(AND(ISNUMBER(F15),ISNUMBER(I15),ISNUMBER(H15),ISNUMBER(K15)),F15&gt;0,I15&gt;0,H15&lt;&gt;0),ROUND((K15/I15)/(H15/F15)*100-100,2),"")</f>
        <v/>
      </c>
    </row>
    <row r="16" ht="22" customHeight="1">
      <c r="B16" s="187" t="inlineStr">
        <is>
          <t>T-0012</t>
        </is>
      </c>
      <c r="C16" s="210" t="n">
        <v>46301</v>
      </c>
      <c r="D16" s="187" t="inlineStr">
        <is>
          <t>OKX</t>
        </is>
      </c>
      <c r="E16" s="181" t="inlineStr">
        <is>
          <t>SOL/USDT</t>
        </is>
      </c>
      <c r="F16" s="182" t="n">
        <v>25</v>
      </c>
      <c r="G16" s="183" t="n">
        <v>146</v>
      </c>
      <c r="H16" s="184" t="n">
        <v>3642.7</v>
      </c>
      <c r="I16" s="182" t="n"/>
      <c r="J16" s="183" t="n"/>
      <c r="K16" s="184" t="n"/>
      <c r="L16" s="182">
        <f>IF(AND(AND(ISNUMBER(F16),ISNUMBER(I16),ISNUMBER(H16),ISNUMBER(K16)),F16&gt;0,I16&gt;0,H16&lt;&gt;0),ROUND(MIN(F16,I16)*(K16/I16-H16/F16),8),"")</f>
        <v/>
      </c>
      <c r="M16" s="183">
        <f>IF(AND(AND(ISNUMBER(F16),ISNUMBER(I16),ISNUMBER(H16),ISNUMBER(K16)),F16&gt;0,I16&gt;0,H16&lt;&gt;0),ROUND((K16/I16)/(H16/F16)*100-100,2),"")</f>
        <v/>
      </c>
    </row>
  </sheetData>
  <autoFilter ref="B4:M16">
    <sortState ref="B5:M16">
      <sortCondition ref="E5:E16"/>
    </sortState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BNB/USDT</t>
        </is>
      </c>
      <c r="C5" s="176">
        <f>IF(SUMIFS(Торговля!$F$5:$F$200,Торговля!$E$5:$E$200,$B5)=0,"",SUMIFS(Торговля!$F$5:$F$200,Торговля!$E$5:$E$200,$B5))</f>
        <v/>
      </c>
      <c r="D5" s="177">
        <f>IF(C5="","",SUMPRODUCT((Торговля!$E$5:$E$200=$B5)*Торговля!$F$5:$F$200*Торговля!$G$5:$G$200)/C5)</f>
        <v/>
      </c>
      <c r="E5" s="178">
        <f>IF(C5="","",SUMIFS(Торговля!$H$5:$H$200,Торговля!$E$5:$E$200,$B5))</f>
        <v/>
      </c>
      <c r="F5" s="176">
        <f>IF(SUMIFS(Торговля!$I$5:$I$200,Торговля!$E$5:$E$200,$B5)=0,"",SUMIFS(Торговля!$I$5:$I$200,Торговля!$E$5:$E$200,$B5))</f>
        <v/>
      </c>
      <c r="G5" s="177">
        <f>IF(F5="","",SUMPRODUCT((Торговля!$E$5:$E$200=$B5)*Торговля!$I$5:$I$200*Торговля!$J$5:$J$200)/F5)</f>
        <v/>
      </c>
      <c r="H5" s="178">
        <f>IF(F5="","",SUMIFS(Торговля!$K$5:$K$200,Торговля!$E$5:$E$200,$B5))</f>
        <v/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/>
      <c r="L5" s="177" t="n"/>
      <c r="M5" s="177" t="n"/>
    </row>
    <row r="6" ht="22" customHeight="1">
      <c r="B6" s="181" t="inlineStr">
        <is>
          <t>BTC/USDT</t>
        </is>
      </c>
      <c r="C6" s="182">
        <f>IF(SUMIFS(Торговля!$F$5:$F$200,Торговля!$E$5:$E$200,$B6)=0,"",SUMIFS(Торговля!$F$5:$F$200,Торговля!$E$5:$E$200,$B6))</f>
        <v/>
      </c>
      <c r="D6" s="183">
        <f>IF(C6="","",SUMPRODUCT((Торговля!$E$5:$E$200=$B6)*Торговля!$F$5:$F$200*Торговля!$G$5:$G$200)/C6)</f>
        <v/>
      </c>
      <c r="E6" s="184">
        <f>IF(C6="","",SUMIFS(Торговля!$H$5:$H$200,Торговля!$E$5:$E$200,$B6))</f>
        <v/>
      </c>
      <c r="F6" s="182">
        <f>IF(SUMIFS(Торговля!$I$5:$I$200,Торговля!$E$5:$E$200,$B6)=0,"",SUMIFS(Торговля!$I$5:$I$200,Торговля!$E$5:$E$200,$B6))</f>
        <v/>
      </c>
      <c r="G6" s="183">
        <f>IF(F6="","",SUMPRODUCT((Торговля!$E$5:$E$200=$B6)*Торговля!$I$5:$I$200*Торговля!$J$5:$J$200)/F6)</f>
        <v/>
      </c>
      <c r="H6" s="184">
        <f>IF(F6="","",SUMIFS(Торговля!$K$5:$K$200,Торговля!$E$5:$E$200,$B6))</f>
        <v/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/>
      <c r="L6" s="183" t="n"/>
      <c r="M6" s="183" t="n"/>
    </row>
    <row r="7" ht="22" customHeight="1">
      <c r="B7" s="175" t="inlineStr">
        <is>
          <t>ETH/BTC</t>
        </is>
      </c>
      <c r="C7" s="176">
        <f>IF(SUMIFS(Торговля!$F$5:$F$200,Торговля!$E$5:$E$200,$B7)=0,"",SUMIFS(Торговля!$F$5:$F$200,Торговля!$E$5:$E$200,$B7))</f>
        <v/>
      </c>
      <c r="D7" s="177">
        <f>IF(C7="","",SUMPRODUCT((Торговля!$E$5:$E$200=$B7)*Торговля!$F$5:$F$200*Торговля!$G$5:$G$200)/C7)</f>
        <v/>
      </c>
      <c r="E7" s="178">
        <f>IF(C7="","",SUMIFS(Торговля!$H$5:$H$200,Торговля!$E$5:$E$200,$B7))</f>
        <v/>
      </c>
      <c r="F7" s="176">
        <f>IF(SUMIFS(Торговля!$I$5:$I$200,Торговля!$E$5:$E$200,$B7)=0,"",SUMIFS(Торговля!$I$5:$I$200,Торговля!$E$5:$E$200,$B7))</f>
        <v/>
      </c>
      <c r="G7" s="177">
        <f>IF(F7="","",SUMPRODUCT((Торговля!$E$5:$E$200=$B7)*Торговля!$I$5:$I$200*Торговля!$J$5:$J$200)/F7)</f>
        <v/>
      </c>
      <c r="H7" s="178">
        <f>IF(F7="","",SUMIFS(Торговля!$K$5:$K$200,Торговля!$E$5:$E$200,$B7))</f>
        <v/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/>
      <c r="L7" s="177" t="n"/>
      <c r="M7" s="177" t="n"/>
    </row>
    <row r="8" ht="22" customHeight="1">
      <c r="B8" s="181" t="inlineStr">
        <is>
          <t>ETH/USDT</t>
        </is>
      </c>
      <c r="C8" s="182">
        <f>IF(SUMIFS(Торговля!$F$5:$F$200,Торговля!$E$5:$E$200,$B8)=0,"",SUMIFS(Торговля!$F$5:$F$200,Торговля!$E$5:$E$200,$B8))</f>
        <v/>
      </c>
      <c r="D8" s="183">
        <f>IF(C8="","",SUMPRODUCT((Торговля!$E$5:$E$200=$B8)*Торговля!$F$5:$F$200*Торговля!$G$5:$G$200)/C8)</f>
        <v/>
      </c>
      <c r="E8" s="184">
        <f>IF(C8="","",SUMIFS(Торговля!$H$5:$H$200,Торговля!$E$5:$E$200,$B8))</f>
        <v/>
      </c>
      <c r="F8" s="182">
        <f>IF(SUMIFS(Торговля!$I$5:$I$200,Торговля!$E$5:$E$200,$B8)=0,"",SUMIFS(Торговля!$I$5:$I$200,Торговля!$E$5:$E$200,$B8))</f>
        <v/>
      </c>
      <c r="G8" s="183">
        <f>IF(F8="","",SUMPRODUCT((Торговля!$E$5:$E$200=$B8)*Торговля!$I$5:$I$200*Торговля!$J$5:$J$200)/F8)</f>
        <v/>
      </c>
      <c r="H8" s="184">
        <f>IF(F8="","",SUMIFS(Торговля!$K$5:$K$200,Торговля!$E$5:$E$200,$B8))</f>
        <v/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/>
      <c r="L8" s="183" t="n"/>
      <c r="M8" s="183" t="n"/>
    </row>
    <row r="9" ht="22" customHeight="1">
      <c r="B9" s="175" t="inlineStr">
        <is>
          <t>SOL/USDT</t>
        </is>
      </c>
      <c r="C9" s="176">
        <f>IF(SUMIFS(Торговля!$F$5:$F$200,Торговля!$E$5:$E$200,$B9)=0,"",SUMIFS(Торговля!$F$5:$F$200,Торговля!$E$5:$E$200,$B9))</f>
        <v/>
      </c>
      <c r="D9" s="177">
        <f>IF(C9="","",SUMPRODUCT((Торговля!$E$5:$E$200=$B9)*Торговля!$F$5:$F$200*Торговля!$G$5:$G$200)/C9)</f>
        <v/>
      </c>
      <c r="E9" s="178">
        <f>IF(C9="","",SUMIFS(Торговля!$H$5:$H$200,Торговля!$E$5:$E$200,$B9))</f>
        <v/>
      </c>
      <c r="F9" s="176">
        <f>IF(SUMIFS(Торговля!$I$5:$I$200,Торговля!$E$5:$E$200,$B9)=0,"",SUMIFS(Торговля!$I$5:$I$200,Торговля!$E$5:$E$200,$B9))</f>
        <v/>
      </c>
      <c r="G9" s="177">
        <f>IF(F9="","",SUMPRODUCT((Торговля!$E$5:$E$200=$B9)*Торговля!$I$5:$I$200*Торговля!$J$5:$J$200)/F9)</f>
        <v/>
      </c>
      <c r="H9" s="178">
        <f>IF(F9="","",SUMIFS(Торговля!$K$5:$K$200,Торговля!$E$5:$E$200,$B9))</f>
        <v/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/>
      <c r="L9" s="177" t="n"/>
      <c r="M9" s="177" t="n"/>
    </row>
    <row r="10" ht="22" customHeight="1">
      <c r="B10" s="181" t="n"/>
      <c r="C10" s="182" t="n"/>
      <c r="D10" s="183" t="n"/>
      <c r="E10" s="184" t="n"/>
      <c r="F10" s="182" t="n"/>
      <c r="G10" s="183" t="n"/>
      <c r="H10" s="184" t="n"/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/>
      <c r="L10" s="183" t="n"/>
      <c r="M10" s="183" t="n"/>
    </row>
    <row r="11" ht="22" customHeight="1">
      <c r="B11" s="175" t="n"/>
      <c r="C11" s="176" t="n"/>
      <c r="D11" s="177" t="n"/>
      <c r="E11" s="178" t="n"/>
      <c r="F11" s="176" t="n"/>
      <c r="G11" s="177" t="n"/>
      <c r="H11" s="178" t="n"/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/>
      <c r="L11" s="177" t="n"/>
      <c r="M11" s="177" t="n"/>
    </row>
    <row r="12" ht="22" customHeight="1">
      <c r="B12" s="181" t="n"/>
      <c r="C12" s="182" t="n"/>
      <c r="D12" s="183" t="n"/>
      <c r="E12" s="184" t="n"/>
      <c r="F12" s="182" t="n"/>
      <c r="G12" s="183" t="n"/>
      <c r="H12" s="184" t="n"/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L-0005</t>
        </is>
      </c>
      <c r="C5" s="209" t="n">
        <v>46298</v>
      </c>
      <c r="D5" s="186" t="inlineStr">
        <is>
          <t>Bybit</t>
        </is>
      </c>
      <c r="E5" s="175" t="inlineStr">
        <is>
          <t>BNB/USDT</t>
        </is>
      </c>
      <c r="F5" s="176" t="n">
        <v>5</v>
      </c>
      <c r="G5" s="177" t="n">
        <v>590</v>
      </c>
      <c r="H5" s="178" t="n">
        <v>2950</v>
      </c>
      <c r="I5" s="176" t="n">
        <v>5</v>
      </c>
      <c r="J5" s="177" t="n">
        <v>575</v>
      </c>
      <c r="K5" s="178" t="n">
        <v>2875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L-0002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L-0006</t>
        </is>
      </c>
      <c r="C7" s="209" t="n">
        <v>46299</v>
      </c>
      <c r="D7" s="186" t="inlineStr">
        <is>
          <t>OKX</t>
        </is>
      </c>
      <c r="E7" s="175" t="inlineStr">
        <is>
          <t>BTC/USDT</t>
        </is>
      </c>
      <c r="F7" s="176" t="n">
        <v>0.1</v>
      </c>
      <c r="G7" s="177" t="n">
        <v>62500</v>
      </c>
      <c r="H7" s="178" t="n">
        <v>6250</v>
      </c>
      <c r="I7" s="176" t="n">
        <v>0.1</v>
      </c>
      <c r="J7" s="177" t="n">
        <v>63100</v>
      </c>
      <c r="K7" s="178" t="n">
        <v>6310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L-0001</t>
        </is>
      </c>
      <c r="C8" s="210" t="n">
        <v>46296</v>
      </c>
      <c r="D8" s="187" t="inlineStr">
        <is>
          <t>Binance</t>
        </is>
      </c>
      <c r="E8" s="181" t="inlineStr">
        <is>
          <t>ETH/BTC</t>
        </is>
      </c>
      <c r="F8" s="182" t="n">
        <v>0.5</v>
      </c>
      <c r="G8" s="183" t="n">
        <v>0.0521</v>
      </c>
      <c r="H8" s="184" t="n">
        <v>0.02605</v>
      </c>
      <c r="I8" s="182" t="n">
        <v>0.5</v>
      </c>
      <c r="J8" s="183" t="n">
        <v>0.0534</v>
      </c>
      <c r="K8" s="184" t="n">
        <v>0.0267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L-0007</t>
        </is>
      </c>
      <c r="C9" s="209" t="n">
        <v>46299</v>
      </c>
      <c r="D9" s="186" t="inlineStr">
        <is>
          <t>Binance</t>
        </is>
      </c>
      <c r="E9" s="175" t="inlineStr">
        <is>
          <t>ETH/BTC</t>
        </is>
      </c>
      <c r="F9" s="176" t="n">
        <v>0.8</v>
      </c>
      <c r="G9" s="177" t="n">
        <v>0.0518</v>
      </c>
      <c r="H9" s="178" t="n">
        <v>0.04144</v>
      </c>
      <c r="I9" s="176" t="n">
        <v>0.8</v>
      </c>
      <c r="J9" s="177" t="n">
        <v>0.053</v>
      </c>
      <c r="K9" s="178" t="n">
        <v>0.0424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L-0004</t>
        </is>
      </c>
      <c r="C10" s="210" t="n">
        <v>46298</v>
      </c>
      <c r="D10" s="187" t="inlineStr">
        <is>
          <t>Binance</t>
        </is>
      </c>
      <c r="E10" s="181" t="inlineStr">
        <is>
          <t>ETH/USDT</t>
        </is>
      </c>
      <c r="F10" s="182" t="n">
        <v>1.2</v>
      </c>
      <c r="G10" s="183" t="n">
        <v>3200</v>
      </c>
      <c r="H10" s="184" t="n">
        <v>3840</v>
      </c>
      <c r="I10" s="182" t="n">
        <v>1.2</v>
      </c>
      <c r="J10" s="183" t="n">
        <v>3350</v>
      </c>
      <c r="K10" s="184" t="n">
        <v>4020</v>
      </c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L-0003</t>
        </is>
      </c>
      <c r="C11" s="209" t="n">
        <v>46297</v>
      </c>
      <c r="D11" s="186" t="inlineStr">
        <is>
          <t>OKX</t>
        </is>
      </c>
      <c r="E11" s="175" t="inlineStr">
        <is>
          <t>SOL/USDT</t>
        </is>
      </c>
      <c r="F11" s="176" t="n">
        <v>20</v>
      </c>
      <c r="G11" s="177" t="n">
        <v>145</v>
      </c>
      <c r="H11" s="178" t="n">
        <v>2900</v>
      </c>
      <c r="I11" s="176" t="n">
        <v>20</v>
      </c>
      <c r="J11" s="177" t="n">
        <v>139</v>
      </c>
      <c r="K11" s="178" t="n">
        <v>2780</v>
      </c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L-0008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>
    <sortState ref="B5:M12">
      <sortCondition ref="E5:E12"/>
    </sortState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inlineStr">
        <is>
          <t>P-0003</t>
        </is>
      </c>
      <c r="C5" s="209" t="n">
        <v>46297</v>
      </c>
      <c r="D5" s="186" t="inlineStr">
        <is>
          <t>PancakeSwap</t>
        </is>
      </c>
      <c r="E5" s="175" t="inlineStr">
        <is>
          <t>BNB/USDT</t>
        </is>
      </c>
      <c r="F5" s="176" t="n">
        <v>4</v>
      </c>
      <c r="G5" s="177" t="n">
        <v>2360</v>
      </c>
    </row>
    <row r="6" ht="22" customHeight="1">
      <c r="B6" s="187" t="inlineStr">
        <is>
          <t>P-0006</t>
        </is>
      </c>
      <c r="C6" s="210" t="n">
        <v>46299</v>
      </c>
      <c r="D6" s="187" t="inlineStr">
        <is>
          <t>Uniswap</t>
        </is>
      </c>
      <c r="E6" s="181" t="inlineStr">
        <is>
          <t>BTC/USDT</t>
        </is>
      </c>
      <c r="F6" s="182" t="n">
        <v>0.05</v>
      </c>
      <c r="G6" s="183" t="n">
        <v>3125</v>
      </c>
    </row>
    <row r="7" ht="22" customHeight="1">
      <c r="B7" s="186" t="inlineStr">
        <is>
          <t>P-0001</t>
        </is>
      </c>
      <c r="C7" s="209" t="n">
        <v>46296</v>
      </c>
      <c r="D7" s="186" t="inlineStr">
        <is>
          <t>Uniswap</t>
        </is>
      </c>
      <c r="E7" s="175" t="inlineStr">
        <is>
          <t>ETH/BTC</t>
        </is>
      </c>
      <c r="F7" s="176" t="n">
        <v>2</v>
      </c>
      <c r="G7" s="177" t="n">
        <v>0.104</v>
      </c>
    </row>
    <row r="8" ht="22" customHeight="1">
      <c r="B8" s="187" t="inlineStr">
        <is>
          <t>P-0007</t>
        </is>
      </c>
      <c r="C8" s="210" t="n">
        <v>46299</v>
      </c>
      <c r="D8" s="187" t="inlineStr">
        <is>
          <t>PancakeSwap</t>
        </is>
      </c>
      <c r="E8" s="181" t="inlineStr">
        <is>
          <t>ETH/BTC</t>
        </is>
      </c>
      <c r="F8" s="182" t="n">
        <v>1.2</v>
      </c>
      <c r="G8" s="183" t="n">
        <v>0.0624</v>
      </c>
    </row>
    <row r="9" ht="22" customHeight="1">
      <c r="B9" s="186" t="inlineStr">
        <is>
          <t>P-0004</t>
        </is>
      </c>
      <c r="C9" s="209" t="n">
        <v>46298</v>
      </c>
      <c r="D9" s="186" t="inlineStr">
        <is>
          <t>Uniswap</t>
        </is>
      </c>
      <c r="E9" s="175" t="inlineStr">
        <is>
          <t>ETH/USDT</t>
        </is>
      </c>
      <c r="F9" s="176" t="n">
        <v>1.5</v>
      </c>
      <c r="G9" s="177" t="n">
        <v>4800</v>
      </c>
    </row>
    <row r="10" ht="22" customHeight="1">
      <c r="B10" s="187" t="inlineStr">
        <is>
          <t>P-0002</t>
        </is>
      </c>
      <c r="C10" s="210" t="n">
        <v>46296</v>
      </c>
      <c r="D10" s="187" t="inlineStr">
        <is>
          <t>Raydium</t>
        </is>
      </c>
      <c r="E10" s="181" t="inlineStr">
        <is>
          <t>SOL/USDT</t>
        </is>
      </c>
      <c r="F10" s="182" t="n">
        <v>30</v>
      </c>
      <c r="G10" s="183" t="n">
        <v>4350</v>
      </c>
    </row>
    <row r="11" ht="22" customHeight="1">
      <c r="B11" s="186" t="inlineStr">
        <is>
          <t>P-0005</t>
        </is>
      </c>
      <c r="C11" s="209" t="n">
        <v>46298</v>
      </c>
      <c r="D11" s="186" t="inlineStr">
        <is>
          <t>Orca</t>
        </is>
      </c>
      <c r="E11" s="175" t="inlineStr">
        <is>
          <t>SOL/USDT</t>
        </is>
      </c>
      <c r="F11" s="176" t="n">
        <v>12</v>
      </c>
      <c r="G11" s="177" t="n">
        <v>1740</v>
      </c>
    </row>
    <row r="12" ht="22" customHeight="1">
      <c r="B12" s="187" t="inlineStr">
        <is>
          <t>P-0008</t>
        </is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>
    <sortState ref="B5:G12">
      <sortCondition ref="E5:E12"/>
    </sortState>
  </autoFilter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inlineStr">
        <is>
          <t>T-0006</t>
        </is>
      </c>
      <c r="C5" s="209" t="n">
        <v>46299</v>
      </c>
      <c r="D5" s="209" t="n">
        <v>46300</v>
      </c>
      <c r="E5" s="186" t="inlineStr">
        <is>
          <t>OKX</t>
        </is>
      </c>
      <c r="F5" s="175" t="inlineStr">
        <is>
          <t>BTC/USDT</t>
        </is>
      </c>
      <c r="G5" s="176" t="n">
        <v>0.05</v>
      </c>
      <c r="H5" s="177" t="n">
        <v>62200</v>
      </c>
      <c r="I5" s="178" t="n">
        <v>3103.78</v>
      </c>
      <c r="J5" s="176" t="n">
        <v>0.05</v>
      </c>
      <c r="K5" s="177" t="n">
        <v>63000</v>
      </c>
      <c r="L5" s="178" t="n">
        <v>3143.7</v>
      </c>
      <c r="M5" s="176">
        <f>IF(AND(AND(ISNUMBER(G5),ISNUMBER(J5),ISNUMBER(I5),ISNUMBER(L5)),G5&gt;0,J5&gt;0,I5&lt;&gt;0),ROUND(MIN(G5,J5)*(L5/J5-I5/G5),8),"")</f>
        <v/>
      </c>
      <c r="N5" s="178">
        <f>IF(AND(AND(ISNUMBER(G5),ISNUMBER(J5),ISNUMBER(I5),ISNUMBER(L5)),G5&gt;0,J5&gt;0,I5&lt;&gt;0),ROUND((L5/J5)/(I5/G5)*100-100,2),"")</f>
        <v/>
      </c>
      <c r="O5" s="176" t="n"/>
      <c r="P5" s="177" t="n"/>
      <c r="Q5" s="177" t="n"/>
    </row>
    <row r="6" ht="22" customHeight="1">
      <c r="B6" s="187" t="inlineStr">
        <is>
          <t>T-0003</t>
        </is>
      </c>
      <c r="C6" s="210" t="n">
        <v>46298</v>
      </c>
      <c r="D6" s="210" t="n">
        <v>46300</v>
      </c>
      <c r="E6" s="187" t="inlineStr">
        <is>
          <t>OKX</t>
        </is>
      </c>
      <c r="F6" s="181" t="inlineStr">
        <is>
          <t>SOL/USDT</t>
        </is>
      </c>
      <c r="G6" s="182" t="n">
        <v>20</v>
      </c>
      <c r="H6" s="183" t="n">
        <v>145</v>
      </c>
      <c r="I6" s="184" t="n">
        <v>2894.2</v>
      </c>
      <c r="J6" s="182" t="n">
        <v>20</v>
      </c>
      <c r="K6" s="183" t="n">
        <v>152</v>
      </c>
      <c r="L6" s="184" t="n">
        <v>3033.92</v>
      </c>
      <c r="M6" s="182">
        <f>IF(AND(AND(ISNUMBER(G6),ISNUMBER(J6),ISNUMBER(I6),ISNUMBER(L6)),G6&gt;0,J6&gt;0,I6&lt;&gt;0),ROUND(MIN(G6,J6)*(L6/J6-I6/G6),8),"")</f>
        <v/>
      </c>
      <c r="N6" s="184">
        <f>IF(AND(AND(ISNUMBER(G6),ISNUMBER(J6),ISNUMBER(I6),ISNUMBER(L6)),G6&gt;0,J6&gt;0,I6&lt;&gt;0),ROUND((L6/J6)/(I6/G6)*100-100,2),"")</f>
        <v/>
      </c>
      <c r="O6" s="182" t="n"/>
      <c r="P6" s="183" t="n"/>
      <c r="Q6" s="183" t="n"/>
    </row>
    <row r="7" ht="22" customHeight="1">
      <c r="B7" s="186" t="n"/>
      <c r="C7" s="209" t="n"/>
      <c r="D7" s="209" t="n"/>
      <c r="E7" s="186" t="n"/>
      <c r="F7" s="175" t="n"/>
      <c r="G7" s="176" t="n"/>
      <c r="H7" s="177" t="n"/>
      <c r="I7" s="178" t="n"/>
      <c r="J7" s="176" t="n"/>
      <c r="K7" s="177" t="n"/>
      <c r="L7" s="178" t="n"/>
      <c r="M7" s="176">
        <f>IF(AND(AND(ISNUMBER(G7),ISNUMBER(J7),ISNUMBER(I7),ISNUMBER(L7)),G7&gt;0,J7&gt;0,I7&lt;&gt;0),ROUND(MIN(G7,J7)*(L7/J7-I7/G7),8),"")</f>
        <v/>
      </c>
      <c r="N7" s="178">
        <f>IF(AND(AND(ISNUMBER(G7),ISNUMBER(J7),ISNUMBER(I7),ISNUMBER(L7)),G7&gt;0,J7&gt;0,I7&lt;&gt;0),ROUND((L7/J7)/(I7/G7)*100-100,2),"")</f>
        <v/>
      </c>
      <c r="O7" s="176" t="n"/>
      <c r="P7" s="177" t="n"/>
      <c r="Q7" s="177" t="n"/>
    </row>
    <row r="8" ht="22" customHeight="1">
      <c r="B8" s="187" t="n"/>
      <c r="C8" s="210" t="n"/>
      <c r="D8" s="210" t="n"/>
      <c r="E8" s="187" t="n"/>
      <c r="F8" s="181" t="n"/>
      <c r="G8" s="182" t="n"/>
      <c r="H8" s="183" t="n"/>
      <c r="I8" s="184" t="n"/>
      <c r="J8" s="182" t="n"/>
      <c r="K8" s="183" t="n"/>
      <c r="L8" s="184" t="n"/>
      <c r="M8" s="182">
        <f>IF(AND(AND(ISNUMBER(G8),ISNUMBER(J8),ISNUMBER(I8),ISNUMBER(L8)),G8&gt;0,J8&gt;0,I8&lt;&gt;0),ROUND(MIN(G8,J8)*(L8/J8-I8/G8),8),"")</f>
        <v/>
      </c>
      <c r="N8" s="184">
        <f>IF(AND(AND(ISNUMBER(G8),ISNUMBER(J8),ISNUMBER(I8),ISNUMBER(L8)),G8&gt;0,J8&gt;0,I8&lt;&gt;0),ROUND((L8/J8)/(I8/G8)*100-100,2),"")</f>
        <v/>
      </c>
      <c r="O8" s="182" t="n"/>
      <c r="P8" s="183" t="n"/>
      <c r="Q8" s="183" t="n"/>
    </row>
    <row r="9" ht="22" customHeight="1">
      <c r="B9" s="186" t="n"/>
      <c r="C9" s="209" t="n"/>
      <c r="D9" s="209" t="n"/>
      <c r="E9" s="186" t="n"/>
      <c r="F9" s="175" t="n"/>
      <c r="G9" s="176" t="n"/>
      <c r="H9" s="177" t="n"/>
      <c r="I9" s="178" t="n"/>
      <c r="J9" s="176" t="n"/>
      <c r="K9" s="177" t="n"/>
      <c r="L9" s="178" t="n"/>
      <c r="M9" s="176">
        <f>IF(AND(AND(ISNUMBER(G9),ISNUMBER(J9),ISNUMBER(I9),ISNUMBER(L9)),G9&gt;0,J9&gt;0,I9&lt;&gt;0),ROUND(MIN(G9,J9)*(L9/J9-I9/G9),8),"")</f>
        <v/>
      </c>
      <c r="N9" s="178">
        <f>IF(AND(AND(ISNUMBER(G9),ISNUMBER(J9),ISNUMBER(I9),ISNUMBER(L9)),G9&gt;0,J9&gt;0,I9&lt;&gt;0),ROUND((L9/J9)/(I9/G9)*100-100,2),"")</f>
        <v/>
      </c>
      <c r="O9" s="176" t="n"/>
      <c r="P9" s="177" t="n"/>
      <c r="Q9" s="177" t="n"/>
    </row>
    <row r="10" ht="22" customHeight="1">
      <c r="B10" s="187" t="n"/>
      <c r="C10" s="210" t="n"/>
      <c r="D10" s="210" t="n"/>
      <c r="E10" s="187" t="n"/>
      <c r="F10" s="181" t="n"/>
      <c r="G10" s="182" t="n"/>
      <c r="H10" s="183" t="n"/>
      <c r="I10" s="184" t="n"/>
      <c r="J10" s="182" t="n"/>
      <c r="K10" s="183" t="n"/>
      <c r="L10" s="184" t="n"/>
      <c r="M10" s="182">
        <f>IF(AND(AND(ISNUMBER(G10),ISNUMBER(J10),ISNUMBER(I10),ISNUMBER(L10)),G10&gt;0,J10&gt;0,I10&lt;&gt;0),ROUND(MIN(G10,J10)*(L10/J10-I10/G10),8),"")</f>
        <v/>
      </c>
      <c r="N10" s="184">
        <f>IF(AND(AND(ISNUMBER(G10),ISNUMBER(J10),ISNUMBER(I10),ISNUMBER(L10)),G10&gt;0,J10&gt;0,I10&lt;&gt;0),ROUND((L10/J10)/(I10/G10)*100-100,2),"")</f>
        <v/>
      </c>
      <c r="O10" s="182" t="n"/>
      <c r="P10" s="183" t="n"/>
      <c r="Q10" s="183" t="n"/>
    </row>
    <row r="11" ht="22" customHeight="1">
      <c r="B11" s="186" t="n"/>
      <c r="C11" s="209" t="n"/>
      <c r="D11" s="209" t="n"/>
      <c r="E11" s="186" t="n"/>
      <c r="F11" s="175" t="n"/>
      <c r="G11" s="176" t="n"/>
      <c r="H11" s="177" t="n"/>
      <c r="I11" s="178" t="n"/>
      <c r="J11" s="176" t="n"/>
      <c r="K11" s="177" t="n"/>
      <c r="L11" s="178" t="n"/>
      <c r="M11" s="176">
        <f>IF(AND(AND(ISNUMBER(G11),ISNUMBER(J11),ISNUMBER(I11),ISNUMBER(L11)),G11&gt;0,J11&gt;0,I11&lt;&gt;0),ROUND(MIN(G11,J11)*(L11/J11-I11/G11),8),"")</f>
        <v/>
      </c>
      <c r="N11" s="178">
        <f>IF(AND(AND(ISNUMBER(G11),ISNUMBER(J11),ISNUMBER(I11),ISNUMBER(L11)),G11&gt;0,J11&gt;0,I11&lt;&gt;0),ROUND((L11/J11)/(I11/G11)*100-100,2),"")</f>
        <v/>
      </c>
      <c r="O11" s="176" t="n"/>
      <c r="P11" s="177" t="n"/>
      <c r="Q11" s="177" t="n"/>
    </row>
    <row r="12" ht="22" customHeight="1">
      <c r="B12" s="187" t="n"/>
      <c r="C12" s="210" t="n"/>
      <c r="D12" s="210" t="n"/>
      <c r="E12" s="187" t="n"/>
      <c r="F12" s="181" t="n"/>
      <c r="G12" s="182" t="n"/>
      <c r="H12" s="183" t="n"/>
      <c r="I12" s="184" t="n"/>
      <c r="J12" s="182" t="n"/>
      <c r="K12" s="183" t="n"/>
      <c r="L12" s="184" t="n"/>
      <c r="M12" s="182">
        <f>IF(AND(AND(ISNUMBER(G12),ISNUMBER(J12),ISNUMBER(I12),ISNUMBER(L12)),G12&gt;0,J12&gt;0,I12&lt;&gt;0),ROUND(MIN(G12,J12)*(L12/J12-I12/G12),8),"")</f>
        <v/>
      </c>
      <c r="N12" s="184">
        <f>IF(AND(AND(ISNUMBER(G12),ISNUMBER(J12),ISNUMBER(I12),ISNUMBER(L12)),G12&gt;0,J12&gt;0,I12&lt;&gt;0),ROUND((L12/J12)/(I12/G12)*100-100,2),"")</f>
        <v/>
      </c>
      <c r="O12" s="182" t="n"/>
      <c r="P12" s="183" t="n"/>
      <c r="Q12" s="183" t="n"/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2026-10-04T20:02:04Z</dcterms:modified>
</cp:coreProperties>
</file>