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Торговля" sheetId="2" state="visible" r:id="rId2"/>
    <sheet xmlns:r="http://schemas.openxmlformats.org/officeDocument/2006/relationships" name="ИТОГО Торговля" sheetId="3" state="visible" r:id="rId3"/>
    <sheet xmlns:r="http://schemas.openxmlformats.org/officeDocument/2006/relationships" name="Лэндинг" sheetId="4" state="visible" r:id="rId4"/>
    <sheet xmlns:r="http://schemas.openxmlformats.org/officeDocument/2006/relationships" name="ИТОГО Лэндинг" sheetId="5" state="visible" r:id="rId5"/>
    <sheet xmlns:r="http://schemas.openxmlformats.org/officeDocument/2006/relationships" name="Пул" sheetId="6" state="visible" r:id="rId6"/>
    <sheet xmlns:r="http://schemas.openxmlformats.org/officeDocument/2006/relationships" name="ИТОГО ПУЛ" sheetId="7" state="visible" r:id="rId7"/>
    <sheet xmlns:r="http://schemas.openxmlformats.org/officeDocument/2006/relationships" name="Закрытые" sheetId="8" state="visible" r:id="rId8"/>
    <sheet xmlns:r="http://schemas.openxmlformats.org/officeDocument/2006/relationships" name="ИТОГО" sheetId="9" state="visible" r:id="rId9"/>
    <sheet xmlns:r="http://schemas.openxmlformats.org/officeDocument/2006/relationships" name="Справочники" sheetId="10" state="visible" r:id="rId10"/>
  </sheets>
  <definedNames>
    <definedName name="Список_Тип">OFFSET(Справочники!$B$5,0,0,MAX(1,COUNTA(Справочники!$B$5:$B$104)),1)</definedName>
    <definedName name="Список_Протокол">OFFSET(Справочники!$C$5,0,0,MAX(1,COUNTA(Справочники!$C$5:$C$104)),1)</definedName>
    <definedName name="_xlnm.Print_Area" localSheetId="0">'Ввод'!$A$1:$K$25</definedName>
    <definedName name="_xlnm._FilterDatabase" localSheetId="1" hidden="1">'Торговля'!$B$4:$M$12</definedName>
    <definedName name="_xlnm.Print_Area" localSheetId="1">'Торговля'!$A$1:$N$13</definedName>
    <definedName name="_xlnm._FilterDatabase" localSheetId="2" hidden="1">'ИТОГО Торговля'!$B$4:$M$12</definedName>
    <definedName name="_xlnm.Print_Area" localSheetId="2">'ИТОГО Торговля'!$A$1:$N$13</definedName>
    <definedName name="_xlnm._FilterDatabase" localSheetId="3" hidden="1">'Лэндинг'!$B$4:$M$12</definedName>
    <definedName name="_xlnm.Print_Area" localSheetId="3">'Лэндинг'!$A$1:$N$13</definedName>
    <definedName name="_xlnm._FilterDatabase" localSheetId="4" hidden="1">'ИТОГО Лэндинг'!$B$4:$M$12</definedName>
    <definedName name="_xlnm.Print_Area" localSheetId="4">'ИТОГО Лэндинг'!$A$1:$N$13</definedName>
    <definedName name="_xlnm._FilterDatabase" localSheetId="5" hidden="1">'Пул'!$B$4:$G$12</definedName>
    <definedName name="_xlnm.Print_Area" localSheetId="5">'Пул'!$A$1:$H$13</definedName>
    <definedName name="_xlnm._FilterDatabase" localSheetId="6" hidden="1">'ИТОГО ПУЛ'!$B$4:$L$12</definedName>
    <definedName name="_xlnm.Print_Area" localSheetId="6">'ИТОГО ПУЛ'!$A$1:$M$13</definedName>
    <definedName name="_xlnm._FilterDatabase" localSheetId="7" hidden="1">'Закрытые'!$B$4:$Q$12</definedName>
    <definedName name="_xlnm.Print_Area" localSheetId="7">'Закрытые'!$A$1:$R$13</definedName>
    <definedName name="_xlnm._FilterDatabase" localSheetId="8" hidden="1">'ИТОГО'!$B$4:$M$12</definedName>
    <definedName name="_xlnm.Print_Area" localSheetId="8">'ИТОГО'!$A$1:$N$13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#,##0.00######;[Red]-#,##0.00######"/>
    <numFmt numFmtId="166" formatCode="yyyy.mm.dd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i val="1"/>
      <color rgb="00FFFFFF"/>
      <sz val="12"/>
    </font>
    <font>
      <name val="Calibri"/>
      <b val="1"/>
      <i val="1"/>
      <color rgb="00FFFFFF"/>
      <sz val="10"/>
    </font>
    <font>
      <name val="Calibri"/>
      <color rgb="00244E62"/>
      <sz val="11"/>
    </font>
    <font>
      <name val="Calibri"/>
      <b val="1"/>
      <color rgb="00244E62"/>
      <sz val="11"/>
    </font>
    <font>
      <name val="Calibri"/>
      <b val="1"/>
      <color rgb="00FFFFFF"/>
      <sz val="14"/>
    </font>
    <font>
      <name val="Calibri"/>
      <i val="1"/>
      <color rgb="006F9EB3"/>
      <sz val="9"/>
    </font>
    <font>
      <name val="Calibri"/>
      <b val="1"/>
      <i val="1"/>
      <color rgb="00FFFFFF"/>
      <sz val="11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00255B78"/>
        <bgColor rgb="00255B78"/>
      </patternFill>
    </fill>
    <fill>
      <patternFill patternType="solid">
        <fgColor rgb="002F6F93"/>
        <bgColor rgb="002F6F93"/>
      </patternFill>
    </fill>
    <fill>
      <patternFill patternType="solid">
        <fgColor rgb="00FFFDF3"/>
        <bgColor rgb="00FFFDF3"/>
      </patternFill>
    </fill>
    <fill>
      <patternFill patternType="solid">
        <fgColor rgb="005E9E72"/>
        <bgColor rgb="005E9E72"/>
      </patternFill>
    </fill>
    <fill>
      <patternFill patternType="solid">
        <fgColor rgb="008064A2"/>
        <bgColor rgb="008064A2"/>
      </patternFill>
    </fill>
    <fill>
      <patternFill patternType="solid">
        <fgColor rgb="00FFFFFF"/>
        <bgColor rgb="00FFFFFF"/>
      </patternFill>
    </fill>
    <fill>
      <patternFill patternType="solid">
        <fgColor rgb="00722F37"/>
        <bgColor rgb="00722F37"/>
      </patternFill>
    </fill>
    <fill>
      <patternFill patternType="solid">
        <fgColor rgb="006D568F"/>
        <bgColor rgb="006D568F"/>
      </patternFill>
    </fill>
    <fill>
      <patternFill patternType="solid">
        <fgColor rgb="002F6F93"/>
      </patternFill>
    </fill>
    <fill>
      <patternFill patternType="solid">
        <fgColor rgb="00FFFDF3"/>
      </patternFill>
    </fill>
    <fill>
      <patternFill patternType="solid">
        <fgColor rgb="00FFF2CC"/>
      </patternFill>
    </fill>
  </fills>
  <borders count="41">
    <border>
      <left/>
      <right/>
      <top/>
      <bottom/>
      <diagonal/>
    </border>
    <border>
      <left style="thin">
        <color rgb="006F9EB3"/>
      </left>
      <right style="thin">
        <color rgb="006F9EB3"/>
      </right>
      <top style="thin">
        <color rgb="006F9EB3"/>
      </top>
      <bottom style="thin">
        <color rgb="006F9EB3"/>
      </bottom>
    </border>
    <border>
      <left style="thin">
        <color rgb="006F9EB3"/>
      </left>
      <top style="thin">
        <color rgb="006F9EB3"/>
      </top>
      <bottom style="thin">
        <color rgb="006F9EB3"/>
      </bottom>
    </border>
    <border>
      <top style="thin">
        <color rgb="006F9EB3"/>
      </top>
      <bottom style="thin">
        <color rgb="006F9EB3"/>
      </bottom>
    </border>
    <border>
      <right style="thin">
        <color rgb="006F9EB3"/>
      </right>
      <top style="thin">
        <color rgb="006F9EB3"/>
      </top>
      <bottom style="thin">
        <color rgb="006F9EB3"/>
      </bottom>
    </border>
    <border>
      <left style="medium">
        <color rgb="00FFFFFF"/>
      </left>
    </border>
    <border>
      <left style="thin">
        <color rgb="006F9EB3"/>
      </left>
      <top style="thin">
        <color rgb="006F9EB3"/>
      </top>
    </border>
    <border>
      <top style="thin">
        <color rgb="006F9EB3"/>
      </top>
    </border>
    <border>
      <right style="thin">
        <color rgb="006F9EB3"/>
      </right>
      <top style="thin">
        <color rgb="006F9EB3"/>
      </top>
    </border>
    <border>
      <left style="thin">
        <color rgb="006F9EB3"/>
      </left>
      <bottom style="thin">
        <color rgb="006F9EB3"/>
      </bottom>
    </border>
    <border>
      <bottom style="thin">
        <color rgb="006F9EB3"/>
      </bottom>
    </border>
    <border>
      <right style="thin">
        <color rgb="006F9EB3"/>
      </right>
      <bottom style="thin">
        <color rgb="006F9EB3"/>
      </bottom>
    </border>
    <border>
      <bottom style="medium">
        <color rgb="005E9E72"/>
      </bottom>
    </border>
    <border>
      <left style="medium">
        <color rgb="00FFFFFF"/>
      </left>
      <bottom style="medium">
        <color rgb="005E9E72"/>
      </bottom>
    </border>
    <border>
      <left style="medium">
        <color rgb="00FFFFFF"/>
      </left>
      <bottom/>
    </border>
    <border>
      <bottom style="medium">
        <color rgb="008064A2"/>
      </bottom>
    </border>
    <border>
      <bottom style="medium">
        <color rgb="00255B78"/>
      </bottom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thick">
        <color rgb="00FFFFFF"/>
      </right>
    </border>
    <border>
      <left style="thick">
        <color rgb="00FFFFFF"/>
      </left>
      <right style="medium">
        <color rgb="00FFFFFF"/>
      </right>
    </border>
    <border>
      <left style="thin">
        <color rgb="006F9EB3"/>
      </left>
      <right style="medium">
        <color rgb="00255B78"/>
      </right>
      <top style="thin">
        <color rgb="006F9EB3"/>
      </top>
      <bottom style="thin">
        <color rgb="006F9EB3"/>
      </bottom>
    </border>
    <border>
      <left style="medium">
        <color rgb="00255B78"/>
      </left>
      <right style="thin">
        <color rgb="006F9EB3"/>
      </right>
      <top style="thin">
        <color rgb="006F9EB3"/>
      </top>
      <bottom style="thin">
        <color rgb="006F9EB3"/>
      </bottom>
    </border>
    <border>
      <left/>
      <right/>
      <top style="thin">
        <color rgb="006F9EB3"/>
      </top>
      <bottom/>
      <diagonal/>
    </border>
    <border>
      <left/>
      <right style="thin">
        <color rgb="006F9EB3"/>
      </right>
      <top style="thin">
        <color rgb="006F9EB3"/>
      </top>
      <bottom/>
      <diagonal/>
    </border>
    <border>
      <left/>
      <right/>
      <top style="thin">
        <color rgb="006F9EB3"/>
      </top>
      <bottom style="thin">
        <color rgb="006F9EB3"/>
      </bottom>
      <diagonal/>
    </border>
    <border>
      <left/>
      <right style="thin">
        <color rgb="006F9EB3"/>
      </right>
      <top style="thin">
        <color rgb="006F9EB3"/>
      </top>
      <bottom style="thin">
        <color rgb="006F9EB3"/>
      </bottom>
      <diagonal/>
    </border>
    <border>
      <left style="thin">
        <color rgb="006F9EB3"/>
      </left>
      <right/>
      <top/>
      <bottom/>
      <diagonal/>
    </border>
    <border>
      <left/>
      <right style="thin">
        <color rgb="006F9EB3"/>
      </right>
      <top/>
      <bottom/>
      <diagonal/>
    </border>
    <border>
      <left style="thin">
        <color rgb="006F9EB3"/>
      </left>
      <right/>
      <top/>
      <bottom style="thin">
        <color rgb="006F9EB3"/>
      </bottom>
      <diagonal/>
    </border>
    <border>
      <left/>
      <right/>
      <top/>
      <bottom style="thin">
        <color rgb="006F9EB3"/>
      </bottom>
      <diagonal/>
    </border>
    <border>
      <left/>
      <right style="thin">
        <color rgb="006F9EB3"/>
      </right>
      <top/>
      <bottom style="thin">
        <color rgb="006F9EB3"/>
      </bottom>
      <diagonal/>
    </border>
    <border>
      <left/>
      <right/>
      <top/>
      <bottom style="medium">
        <color rgb="008064A2"/>
      </bottom>
      <diagonal/>
    </border>
    <border>
      <left/>
      <right/>
      <top/>
      <bottom style="medium">
        <color rgb="005E9E72"/>
      </bottom>
      <diagonal/>
    </border>
    <border>
      <left style="medium">
        <color rgb="00FFFFFF"/>
      </left>
      <right/>
      <bottom/>
    </border>
    <border>
      <left/>
      <right/>
      <top/>
      <bottom style="medium">
        <color rgb="00255B78"/>
      </bottom>
      <diagonal/>
    </border>
    <border>
      <left style="medium">
        <color rgb="00FFFFFF"/>
      </left>
      <right/>
      <top/>
      <bottom/>
      <diagonal/>
    </border>
    <border>
      <right/>
      <bottom style="medium">
        <color rgb="008064A2"/>
      </bottom>
    </border>
    <border>
      <right/>
      <bottom style="medium">
        <color rgb="005E9E72"/>
      </bottom>
    </border>
    <border>
      <left style="medium">
        <color rgb="00FFFFFF"/>
      </left>
      <right/>
      <bottom style="medium">
        <color rgb="005E9E72"/>
      </bottom>
    </border>
    <border>
      <right/>
      <bottom style="medium">
        <color rgb="00255B78"/>
      </bottom>
    </border>
    <border/>
  </borders>
  <cellStyleXfs count="1">
    <xf numFmtId="0" fontId="0" fillId="0" borderId="0"/>
  </cellStyleXfs>
  <cellXfs count="2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" fillId="5" borderId="12" applyAlignment="1" pivotButton="0" quotePrefix="0" xfId="0">
      <alignment horizontal="left" vertical="center" indent="1"/>
    </xf>
    <xf numFmtId="0" fontId="2" fillId="5" borderId="13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indent="1"/>
    </xf>
    <xf numFmtId="0" fontId="4" fillId="4" borderId="3" applyAlignment="1" pivotButton="0" quotePrefix="0" xfId="0">
      <alignment horizontal="left" vertical="center" indent="1"/>
    </xf>
    <xf numFmtId="0" fontId="4" fillId="4" borderId="4" applyAlignment="1" pivotButton="0" quotePrefix="0" xfId="0">
      <alignment horizontal="left" vertical="center" indent="1"/>
    </xf>
    <xf numFmtId="0" fontId="3" fillId="3" borderId="14" applyAlignment="1" pivotButton="0" quotePrefix="0" xfId="0">
      <alignment horizontal="left" vertical="center" indent="1"/>
    </xf>
    <xf numFmtId="2" fontId="4" fillId="4" borderId="2" applyAlignment="1" pivotButton="0" quotePrefix="0" xfId="0">
      <alignment horizontal="right" vertical="center" indent="1"/>
    </xf>
    <xf numFmtId="0" fontId="4" fillId="4" borderId="4" applyAlignment="1" pivotButton="0" quotePrefix="0" xfId="0">
      <alignment horizontal="right" vertical="center" indent="1"/>
    </xf>
    <xf numFmtId="3" fontId="4" fillId="4" borderId="2" applyAlignment="1" pivotButton="0" quotePrefix="0" xfId="0">
      <alignment horizontal="right" vertical="center" indent="1"/>
    </xf>
    <xf numFmtId="1" fontId="4" fillId="4" borderId="2" applyAlignment="1" pivotButton="0" quotePrefix="0" xfId="0">
      <alignment horizontal="right" vertical="center" indent="1"/>
    </xf>
    <xf numFmtId="0" fontId="3" fillId="3" borderId="5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left" vertical="center" indent="1"/>
    </xf>
    <xf numFmtId="0" fontId="5" fillId="4" borderId="4" applyAlignment="1" pivotButton="0" quotePrefix="0" xfId="0">
      <alignment horizontal="left" vertical="center" indent="1"/>
    </xf>
    <xf numFmtId="0" fontId="2" fillId="6" borderId="15" applyAlignment="1" pivotButton="0" quotePrefix="0" xfId="0">
      <alignment horizontal="left" vertical="center" indent="1"/>
    </xf>
    <xf numFmtId="0" fontId="2" fillId="3" borderId="16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left" vertical="top" wrapText="1" indent="1"/>
    </xf>
    <xf numFmtId="0" fontId="4" fillId="4" borderId="7" applyAlignment="1" pivotButton="0" quotePrefix="0" xfId="0">
      <alignment horizontal="left" vertical="top" wrapText="1" indent="1"/>
    </xf>
    <xf numFmtId="0" fontId="4" fillId="4" borderId="8" applyAlignment="1" pivotButton="0" quotePrefix="0" xfId="0">
      <alignment horizontal="left" vertical="top" wrapText="1" indent="1"/>
    </xf>
    <xf numFmtId="0" fontId="4" fillId="4" borderId="9" applyAlignment="1" pivotButton="0" quotePrefix="0" xfId="0">
      <alignment horizontal="left" vertical="top" wrapText="1" indent="1"/>
    </xf>
    <xf numFmtId="0" fontId="4" fillId="4" borderId="10" applyAlignment="1" pivotButton="0" quotePrefix="0" xfId="0">
      <alignment horizontal="left" vertical="top" wrapText="1" indent="1"/>
    </xf>
    <xf numFmtId="0" fontId="4" fillId="4" borderId="11" applyAlignment="1" pivotButton="0" quotePrefix="0" xfId="0">
      <alignment horizontal="left" vertical="top" wrapText="1" indent="1"/>
    </xf>
    <xf numFmtId="0" fontId="6" fillId="5" borderId="0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4" pivotButton="0" quotePrefix="0" xfId="0"/>
    <xf numFmtId="0" fontId="0" fillId="0" borderId="25" pivotButton="0" quotePrefix="0" xfId="0"/>
    <xf numFmtId="2" fontId="4" fillId="4" borderId="1" applyAlignment="1" pivotButton="0" quotePrefix="0" xfId="0">
      <alignment horizontal="right" vertical="center" indent="1"/>
    </xf>
    <xf numFmtId="3" fontId="4" fillId="4" borderId="1" applyAlignment="1" pivotButton="0" quotePrefix="0" xfId="0">
      <alignment horizontal="right" vertical="center" indent="1"/>
    </xf>
    <xf numFmtId="1" fontId="4" fillId="4" borderId="1" applyAlignment="1" pivotButton="0" quotePrefix="0" xfId="0">
      <alignment horizontal="right" vertical="center" indent="1"/>
    </xf>
    <xf numFmtId="0" fontId="3" fillId="3" borderId="33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4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6" fillId="3" borderId="33" applyAlignment="1" pivotButton="0" quotePrefix="0" xfId="0">
      <alignment horizontal="center" vertical="center"/>
    </xf>
    <xf numFmtId="0" fontId="0" fillId="0" borderId="35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2" fillId="5" borderId="37" applyAlignment="1" pivotButton="0" quotePrefix="0" xfId="0">
      <alignment horizontal="left" vertical="center" indent="1"/>
    </xf>
    <xf numFmtId="0" fontId="2" fillId="5" borderId="38" applyAlignment="1" pivotButton="0" quotePrefix="0" xfId="0">
      <alignment horizontal="left" vertical="center" indent="1"/>
    </xf>
    <xf numFmtId="0" fontId="2" fillId="6" borderId="36" applyAlignment="1" pivotButton="0" quotePrefix="0" xfId="0">
      <alignment horizontal="left" vertical="center" indent="1"/>
    </xf>
    <xf numFmtId="0" fontId="2" fillId="3" borderId="39" applyAlignment="1" pivotButton="0" quotePrefix="0" xfId="0">
      <alignment horizontal="left" vertical="center" indent="1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9" borderId="19" applyAlignment="1" pivotButton="0" quotePrefix="0" xfId="0">
      <alignment horizontal="center" vertical="center"/>
    </xf>
    <xf numFmtId="0" fontId="8" fillId="9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6" fontId="4" fillId="4" borderId="1" applyAlignment="1" applyProtection="1" pivotButton="0" quotePrefix="0" xfId="0">
      <alignment horizontal="left" vertical="center" inden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indent="1"/>
      <protection locked="0" hidden="0"/>
    </xf>
    <xf numFmtId="2" fontId="4" fillId="4" borderId="1" applyAlignment="1" applyProtection="1" pivotButton="0" quotePrefix="0" xfId="0">
      <alignment horizontal="right" vertical="center" indent="1"/>
      <protection locked="0" hidden="0"/>
    </xf>
    <xf numFmtId="3" fontId="4" fillId="4" borderId="1" applyAlignment="1" applyProtection="1" pivotButton="0" quotePrefix="0" xfId="0">
      <alignment horizontal="right" vertical="center" indent="1"/>
      <protection locked="0" hidden="0"/>
    </xf>
    <xf numFmtId="1" fontId="4" fillId="4" borderId="1" applyAlignment="1" applyProtection="1" pivotButton="0" quotePrefix="0" xfId="0">
      <alignment horizontal="right" vertical="center" indent="1"/>
      <protection locked="0" hidden="0"/>
    </xf>
    <xf numFmtId="0" fontId="5" fillId="12" borderId="1" applyAlignment="1" pivotButton="0" quotePrefix="0" xfId="0">
      <alignment horizontal="left" vertical="center" indent="1"/>
    </xf>
    <xf numFmtId="0" fontId="0" fillId="12" borderId="25" pivotButton="0" quotePrefix="0" xfId="0"/>
    <xf numFmtId="0" fontId="4" fillId="4" borderId="1" applyAlignment="1" applyProtection="1" pivotButton="0" quotePrefix="0" xfId="0">
      <alignment horizontal="left" vertical="top" wrapText="1" inden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9" fillId="0" borderId="40" pivotButton="0" quotePrefix="0" xfId="0"/>
    <xf numFmtId="166" fontId="4" fillId="4" borderId="1" applyAlignment="1" applyProtection="1" pivotButton="0" quotePrefix="0" xfId="0">
      <alignment horizontal="left" vertical="center" indent="1"/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5B78"/>
    <outlinePr summaryBelow="1" summaryRight="1"/>
    <pageSetUpPr fitToPage="1"/>
  </sheetPr>
  <dimension ref="B1:L2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1" customWidth="1" min="2" max="2"/>
    <col width="11" customWidth="1" min="3" max="3"/>
    <col width="11" customWidth="1" min="4" max="4"/>
    <col width="11" customWidth="1" min="5" max="5"/>
    <col width="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1" customHeight="1">
      <c r="B1" s="1" t="inlineStr">
        <is>
          <t>CRYPTO JOURNAL • ВВОД</t>
        </is>
      </c>
      <c r="K1" s="207" t="n"/>
      <c r="L1" s="207" t="n"/>
    </row>
    <row r="2" ht="21" customHeight="1">
      <c r="K2" s="207" t="n"/>
      <c r="L2" s="207" t="n"/>
    </row>
    <row r="3" ht="22" customHeight="1">
      <c r="B3" s="2" t="inlineStr">
        <is>
          <t>ОСНОВНЫЕ ДАННЫЕ</t>
        </is>
      </c>
      <c r="G3" s="2" t="inlineStr">
        <is>
          <t>РАЗДЕЛЫ</t>
        </is>
      </c>
      <c r="K3" s="207" t="n"/>
      <c r="L3" s="207" t="n"/>
    </row>
    <row r="4" ht="22" customHeight="1">
      <c r="G4" s="207" t="n"/>
      <c r="H4" s="207" t="n"/>
      <c r="I4" s="207" t="n"/>
      <c r="J4" s="207" t="n"/>
      <c r="K4" s="207" t="n"/>
      <c r="L4" s="207" t="n"/>
    </row>
    <row r="5" ht="22" customHeight="1">
      <c r="B5" s="3" t="inlineStr">
        <is>
          <t>Дата</t>
        </is>
      </c>
      <c r="G5" s="100" t="inlineStr">
        <is>
          <t>ТОРГОВЛЯ</t>
        </is>
      </c>
      <c r="H5" s="55" t="n"/>
      <c r="I5" s="101" t="inlineStr">
        <is>
          <t>ЛЭНДИНГ</t>
        </is>
      </c>
      <c r="J5" s="55" t="n"/>
      <c r="K5" s="207" t="n"/>
      <c r="L5" s="207" t="n"/>
    </row>
    <row r="6" ht="22" customHeight="1">
      <c r="B6" s="208" t="n">
        <v>46299</v>
      </c>
      <c r="C6" s="189" t="n"/>
      <c r="D6" s="189" t="n"/>
      <c r="E6" s="190" t="n"/>
      <c r="G6" s="3" t="inlineStr">
        <is>
          <t>Действие</t>
        </is>
      </c>
      <c r="H6" s="191" t="inlineStr">
        <is>
          <t>Buy</t>
        </is>
      </c>
      <c r="I6" s="9" t="inlineStr">
        <is>
          <t>Действие</t>
        </is>
      </c>
      <c r="J6" s="191" t="inlineStr">
        <is>
          <t>Операция</t>
        </is>
      </c>
      <c r="K6" s="207" t="n"/>
      <c r="L6" s="207" t="n"/>
    </row>
    <row r="7" ht="22" customHeight="1">
      <c r="G7" s="3" t="inlineStr">
        <is>
          <t>Количество</t>
        </is>
      </c>
      <c r="H7" s="192" t="n">
        <v>0.5</v>
      </c>
      <c r="I7" s="9" t="inlineStr">
        <is>
          <t>Количество</t>
        </is>
      </c>
      <c r="J7" s="193" t="n">
        <v>1000</v>
      </c>
      <c r="K7" s="207" t="n"/>
      <c r="L7" s="207" t="n"/>
    </row>
    <row r="8" ht="22" customHeight="1">
      <c r="B8" s="3" t="inlineStr">
        <is>
          <t>Тип</t>
        </is>
      </c>
      <c r="G8" s="3" t="inlineStr">
        <is>
          <t>Курс</t>
        </is>
      </c>
      <c r="H8" s="193" t="n">
        <v>62000</v>
      </c>
      <c r="I8" s="9" t="inlineStr">
        <is>
          <t>Курс</t>
        </is>
      </c>
      <c r="J8" s="192" t="n">
        <v>1</v>
      </c>
      <c r="K8" s="207" t="n"/>
      <c r="L8" s="207" t="n"/>
    </row>
    <row r="9" ht="22" customHeight="1">
      <c r="B9" s="191" t="inlineStr">
        <is>
          <t>Торговля</t>
        </is>
      </c>
      <c r="C9" s="189" t="n"/>
      <c r="D9" s="189" t="n"/>
      <c r="E9" s="190" t="n"/>
      <c r="G9" s="3" t="inlineStr">
        <is>
          <t>Сумма</t>
        </is>
      </c>
      <c r="H9" s="193" t="n">
        <v>31000</v>
      </c>
      <c r="I9" s="9" t="inlineStr">
        <is>
          <t>Сумма</t>
        </is>
      </c>
      <c r="J9" s="193" t="n">
        <v>1000</v>
      </c>
      <c r="K9" s="207" t="n"/>
      <c r="L9" s="207" t="n"/>
    </row>
    <row r="10" ht="22" customHeight="1">
      <c r="G10" s="3" t="inlineStr">
        <is>
          <t>ID закрыть</t>
        </is>
      </c>
      <c r="H10" s="194" t="n">
        <v>1</v>
      </c>
      <c r="I10" s="9" t="inlineStr">
        <is>
          <t>ID закрыть</t>
        </is>
      </c>
      <c r="J10" s="194" t="n">
        <v>1</v>
      </c>
      <c r="K10" s="207" t="n"/>
      <c r="L10" s="207" t="n"/>
    </row>
    <row r="11" ht="22" customHeight="1">
      <c r="B11" s="3" t="inlineStr">
        <is>
          <t>Актив 1</t>
        </is>
      </c>
      <c r="C11" s="14" t="inlineStr">
        <is>
          <t>Актив 2</t>
        </is>
      </c>
      <c r="D11" s="61" t="inlineStr">
        <is>
          <t>Пара (авто)</t>
        </is>
      </c>
      <c r="G11" s="3" t="inlineStr">
        <is>
          <t>Сумма закрыть</t>
        </is>
      </c>
      <c r="H11" s="193" t="n">
        <v>15500</v>
      </c>
      <c r="I11" s="9" t="inlineStr">
        <is>
          <t>Сумма закрыть</t>
        </is>
      </c>
      <c r="J11" s="193" t="n">
        <v>500</v>
      </c>
      <c r="K11" s="207" t="n"/>
      <c r="L11" s="207" t="n"/>
    </row>
    <row r="12" ht="22" customHeight="1">
      <c r="B12" s="191" t="inlineStr">
        <is>
          <t>ETH</t>
        </is>
      </c>
      <c r="C12" s="191" t="inlineStr">
        <is>
          <t>BTC</t>
        </is>
      </c>
      <c r="D12" s="195">
        <f>IF(AND(TRIM(B12)&lt;&gt;"",TRIM(C12)&lt;&gt;""),UPPER(TRIM(B12))&amp;"/"&amp;UPPER(TRIM(C12)),"")</f>
        <v/>
      </c>
      <c r="E12" s="57" t="n"/>
      <c r="G12" s="207" t="n"/>
      <c r="H12" s="207" t="n"/>
      <c r="I12" s="207" t="n"/>
      <c r="J12" s="207" t="n"/>
      <c r="K12" s="207" t="n"/>
      <c r="L12" s="207" t="n"/>
    </row>
    <row r="13" ht="22" customHeight="1">
      <c r="G13" s="102" t="inlineStr">
        <is>
          <t>ПУЛЫ</t>
        </is>
      </c>
      <c r="H13" s="63" t="n"/>
      <c r="I13" s="63" t="n"/>
      <c r="J13" s="63" t="n"/>
      <c r="K13" s="207" t="n"/>
      <c r="L13" s="207" t="n"/>
    </row>
    <row r="14" ht="22" customHeight="1">
      <c r="B14" s="3" t="inlineStr">
        <is>
          <t>Протокол</t>
        </is>
      </c>
      <c r="G14" s="3" t="inlineStr">
        <is>
          <t>Действие</t>
        </is>
      </c>
      <c r="H14" s="191" t="inlineStr">
        <is>
          <t>Добавить</t>
        </is>
      </c>
      <c r="I14" s="14" t="inlineStr">
        <is>
          <t>Кол-во 1</t>
        </is>
      </c>
      <c r="J14" s="192" t="n">
        <v>0.1</v>
      </c>
      <c r="K14" s="207" t="n"/>
      <c r="L14" s="207" t="n"/>
    </row>
    <row r="15" ht="22" customHeight="1">
      <c r="B15" s="191" t="inlineStr">
        <is>
          <t>Binance</t>
        </is>
      </c>
      <c r="C15" s="189" t="n"/>
      <c r="D15" s="189" t="n"/>
      <c r="E15" s="190" t="n"/>
      <c r="G15" s="3" t="inlineStr">
        <is>
          <t>ID позиции</t>
        </is>
      </c>
      <c r="H15" s="194" t="n">
        <v>1</v>
      </c>
      <c r="I15" s="14" t="inlineStr">
        <is>
          <t>Кол-во 2</t>
        </is>
      </c>
      <c r="J15" s="193" t="n">
        <v>6200</v>
      </c>
      <c r="K15" s="207" t="n"/>
      <c r="L15" s="207" t="n"/>
    </row>
    <row r="16" ht="22" customHeight="1">
      <c r="G16" s="207" t="n"/>
      <c r="H16" s="207" t="n"/>
      <c r="I16" s="207" t="n"/>
      <c r="J16" s="207" t="n"/>
      <c r="K16" s="207" t="n"/>
      <c r="L16" s="207" t="n"/>
    </row>
    <row r="17" ht="22" customHeight="1">
      <c r="B17" s="3" t="inlineStr">
        <is>
          <t>Комментарий</t>
        </is>
      </c>
      <c r="G17" s="103" t="inlineStr">
        <is>
          <t>Обратный расчёт</t>
        </is>
      </c>
      <c r="H17" s="64" t="n"/>
      <c r="I17" s="64" t="n"/>
      <c r="J17" s="64" t="n"/>
      <c r="K17" s="207" t="n"/>
      <c r="L17" s="207" t="n"/>
    </row>
    <row r="18" ht="22" customHeight="1">
      <c r="B18" s="197" t="inlineStr">
        <is>
          <t>Пробная операция</t>
        </is>
      </c>
      <c r="C18" s="198" t="n"/>
      <c r="D18" s="198" t="n"/>
      <c r="E18" s="199" t="n"/>
      <c r="G18" s="3" t="inlineStr">
        <is>
          <t>Сумма</t>
        </is>
      </c>
      <c r="H18" s="61" t="inlineStr">
        <is>
          <t>Курс (авто)</t>
        </is>
      </c>
      <c r="I18" s="61" t="inlineStr">
        <is>
          <t>Сумма (авто)</t>
        </is>
      </c>
      <c r="J18" s="207" t="n"/>
      <c r="K18" s="207" t="n"/>
      <c r="L18" s="207" t="n"/>
    </row>
    <row r="19" ht="22" customHeight="1">
      <c r="B19" s="200" t="n"/>
      <c r="C19" s="201" t="n"/>
      <c r="D19" s="201" t="n"/>
      <c r="E19" s="202" t="n"/>
      <c r="G19" s="193" t="n">
        <v>31000</v>
      </c>
      <c r="H19" s="59" t="n">
        <v>62000</v>
      </c>
      <c r="I19" s="59" t="n">
        <v>31000</v>
      </c>
      <c r="J19" s="207" t="n"/>
      <c r="K19" s="207" t="n"/>
      <c r="L19" s="207" t="n"/>
    </row>
    <row r="20" ht="22" customHeight="1">
      <c r="G20" s="207" t="n"/>
      <c r="H20" s="207" t="n"/>
      <c r="I20" s="207" t="n"/>
      <c r="J20" s="207" t="n"/>
      <c r="K20" s="207" t="n"/>
      <c r="L20" s="207" t="n"/>
    </row>
    <row r="21" ht="26" customHeight="1">
      <c r="B21" s="3" t="inlineStr">
        <is>
          <t>СТАТУС</t>
        </is>
      </c>
      <c r="G21" s="26" t="inlineStr">
        <is>
          <t>ЗАПИСАТЬ</t>
        </is>
      </c>
      <c r="I21" s="71" t="inlineStr">
        <is>
          <t>ОЧИСТИТЬ</t>
        </is>
      </c>
      <c r="K21" s="207" t="n"/>
      <c r="L21" s="207" t="n"/>
    </row>
    <row r="22" ht="26" customHeight="1">
      <c r="B22" s="15" t="inlineStr">
        <is>
          <t>Готово к вводу</t>
        </is>
      </c>
      <c r="C22" s="56" t="n"/>
      <c r="D22" s="56" t="n"/>
      <c r="E22" s="57" t="n"/>
      <c r="I22" s="72" t="n"/>
      <c r="K22" s="207" t="n"/>
      <c r="L22" s="207" t="n"/>
    </row>
    <row r="23" ht="22" customHeight="1"/>
    <row r="24" ht="22" customHeight="1">
      <c r="B24" s="29" t="inlineStr">
        <is>
          <t>Прототип v5: добавлены списки, проверки и автоматическая «Пара». Макросов и рабочих кнопок нет.</t>
        </is>
      </c>
    </row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1">
    <mergeCell ref="B9:E9"/>
    <mergeCell ref="I21:J22"/>
    <mergeCell ref="B18:E19"/>
    <mergeCell ref="B6:E6"/>
    <mergeCell ref="B15:E15"/>
    <mergeCell ref="B5:E5"/>
    <mergeCell ref="D11:E11"/>
    <mergeCell ref="B3:E3"/>
    <mergeCell ref="B22:E22"/>
    <mergeCell ref="G21:H22"/>
    <mergeCell ref="G17:J17"/>
    <mergeCell ref="B21:E21"/>
    <mergeCell ref="G5:H5"/>
    <mergeCell ref="I5:J5"/>
    <mergeCell ref="B14:E14"/>
    <mergeCell ref="D12:E12"/>
    <mergeCell ref="B17:E17"/>
    <mergeCell ref="G13:J13"/>
    <mergeCell ref="B8:E8"/>
    <mergeCell ref="B1:J2"/>
    <mergeCell ref="G3:J3"/>
  </mergeCells>
  <dataValidations count="7">
    <dataValidation sqref="H6" showDropDown="0" showInputMessage="0" showErrorMessage="0" allowBlank="1" type="list">
      <formula1>"Buy,Sell"</formula1>
    </dataValidation>
    <dataValidation sqref="H14" showDropDown="0" showInputMessage="0" showErrorMessage="0" allowBlank="1" type="list">
      <formula1>"Добавить,Удалить"</formula1>
    </dataValidation>
    <dataValidation sqref="B6" showDropDown="0" showInputMessage="0" showErrorMessage="1" allowBlank="1" errorTitle="Дата" error="Введите корректную дату (ГГГГ.ММ.ДД)." type="date" operator="greaterThan">
      <formula1>36526</formula1>
    </dataValidation>
    <dataValidation sqref="B9" showDropDown="0" showInputMessage="0" showErrorMessage="1" allowBlank="1" errorTitle="Тип" error="Выберите значение из списка." type="list">
      <formula1>=Список_Тип</formula1>
    </dataValidation>
    <dataValidation sqref="B15" showDropDown="0" showInputMessage="0" showErrorMessage="1" allowBlank="1" errorTitle="Протокол" error="Выберите значение из списка." type="list">
      <formula1>=Список_Протокол</formula1>
    </dataValidation>
    <dataValidation sqref="B12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=AND(ISERROR(FIND("/",B12)),UPPER(TRIM(B12))&lt;&gt;UPPER(TRIM(C12)))</formula1>
    </dataValidation>
    <dataValidation sqref="C12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=AND(ISERROR(FIND("/",C12)),UPPER(TRIM(C12))&lt;&gt;UPPER(TRIM(B12)))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</cols>
  <sheetData>
    <row r="1" ht="21" customHeight="1">
      <c r="B1" s="1" t="inlineStr">
        <is>
          <t>CRYPTO JOURNAL • ТОРГОВЛЯ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07" t="inlineStr">
        <is>
          <t>Дельта 2</t>
        </is>
      </c>
    </row>
    <row r="5" ht="22" customHeight="1">
      <c r="B5" s="186" t="n">
        <v>1</v>
      </c>
      <c r="C5" s="209" t="n">
        <v>46296</v>
      </c>
      <c r="D5" s="186" t="inlineStr">
        <is>
          <t>Binance</t>
        </is>
      </c>
      <c r="E5" s="175" t="inlineStr">
        <is>
          <t>ETH/BTC</t>
        </is>
      </c>
      <c r="F5" s="176" t="n">
        <v>0.5</v>
      </c>
      <c r="G5" s="177" t="n">
        <v>0.0521</v>
      </c>
      <c r="H5" s="178" t="n">
        <v>0.02605</v>
      </c>
      <c r="I5" s="176" t="n">
        <v>0.5</v>
      </c>
      <c r="J5" s="177" t="n">
        <v>0.0534</v>
      </c>
      <c r="K5" s="178" t="n">
        <v>0.0267</v>
      </c>
      <c r="L5" s="176" t="n">
        <v>0.00065</v>
      </c>
      <c r="M5" s="177" t="n">
        <v>2.5</v>
      </c>
    </row>
    <row r="6" ht="22" customHeight="1">
      <c r="B6" s="187" t="n">
        <v>2</v>
      </c>
      <c r="C6" s="210" t="n">
        <v>46296</v>
      </c>
      <c r="D6" s="187" t="inlineStr">
        <is>
          <t>Bybit</t>
        </is>
      </c>
      <c r="E6" s="181" t="inlineStr">
        <is>
          <t>BTC/USDT</t>
        </is>
      </c>
      <c r="F6" s="182" t="n">
        <v>0.25</v>
      </c>
      <c r="G6" s="183" t="n">
        <v>62000</v>
      </c>
      <c r="H6" s="184" t="n">
        <v>15500</v>
      </c>
      <c r="I6" s="182" t="n">
        <v>0.25</v>
      </c>
      <c r="J6" s="183" t="n">
        <v>64000</v>
      </c>
      <c r="K6" s="184" t="n">
        <v>16000</v>
      </c>
      <c r="L6" s="182" t="n">
        <v>500</v>
      </c>
      <c r="M6" s="183" t="n">
        <v>3.23</v>
      </c>
    </row>
    <row r="7" ht="22" customHeight="1">
      <c r="B7" s="186" t="n">
        <v>3</v>
      </c>
      <c r="C7" s="209" t="n">
        <v>46297</v>
      </c>
      <c r="D7" s="186" t="inlineStr">
        <is>
          <t>OKX</t>
        </is>
      </c>
      <c r="E7" s="175" t="inlineStr">
        <is>
          <t>SOL/USDT</t>
        </is>
      </c>
      <c r="F7" s="176" t="n">
        <v>20</v>
      </c>
      <c r="G7" s="177" t="n">
        <v>145</v>
      </c>
      <c r="H7" s="178" t="n">
        <v>2900</v>
      </c>
      <c r="I7" s="176" t="n">
        <v>20</v>
      </c>
      <c r="J7" s="177" t="n">
        <v>139</v>
      </c>
      <c r="K7" s="178" t="n">
        <v>2780</v>
      </c>
      <c r="L7" s="176" t="n">
        <v>-120</v>
      </c>
      <c r="M7" s="177" t="n">
        <v>-4.14</v>
      </c>
    </row>
    <row r="8" ht="22" customHeight="1">
      <c r="B8" s="187" t="n">
        <v>4</v>
      </c>
      <c r="C8" s="210" t="n">
        <v>46298</v>
      </c>
      <c r="D8" s="187" t="inlineStr">
        <is>
          <t>Binance</t>
        </is>
      </c>
      <c r="E8" s="181" t="inlineStr">
        <is>
          <t>ETH/USDT</t>
        </is>
      </c>
      <c r="F8" s="182" t="n">
        <v>1.2</v>
      </c>
      <c r="G8" s="183" t="n">
        <v>3200</v>
      </c>
      <c r="H8" s="184" t="n">
        <v>3840</v>
      </c>
      <c r="I8" s="182" t="n">
        <v>1.2</v>
      </c>
      <c r="J8" s="183" t="n">
        <v>3350</v>
      </c>
      <c r="K8" s="184" t="n">
        <v>4020</v>
      </c>
      <c r="L8" s="182" t="n">
        <v>180</v>
      </c>
      <c r="M8" s="183" t="n">
        <v>4.69</v>
      </c>
    </row>
    <row r="9" ht="22" customHeight="1">
      <c r="B9" s="186" t="n">
        <v>5</v>
      </c>
      <c r="C9" s="209" t="n">
        <v>46298</v>
      </c>
      <c r="D9" s="186" t="inlineStr">
        <is>
          <t>Bybit</t>
        </is>
      </c>
      <c r="E9" s="175" t="inlineStr">
        <is>
          <t>BNB/USDT</t>
        </is>
      </c>
      <c r="F9" s="176" t="n">
        <v>5</v>
      </c>
      <c r="G9" s="177" t="n">
        <v>590</v>
      </c>
      <c r="H9" s="178" t="n">
        <v>2950</v>
      </c>
      <c r="I9" s="176" t="n">
        <v>5</v>
      </c>
      <c r="J9" s="177" t="n">
        <v>575</v>
      </c>
      <c r="K9" s="178" t="n">
        <v>2875</v>
      </c>
      <c r="L9" s="176" t="n">
        <v>-75</v>
      </c>
      <c r="M9" s="177" t="n">
        <v>-2.54</v>
      </c>
    </row>
    <row r="10" ht="22" customHeight="1">
      <c r="B10" s="187" t="n">
        <v>6</v>
      </c>
      <c r="C10" s="210" t="n">
        <v>46299</v>
      </c>
      <c r="D10" s="187" t="inlineStr">
        <is>
          <t>OKX</t>
        </is>
      </c>
      <c r="E10" s="181" t="inlineStr">
        <is>
          <t>BTC/USDT</t>
        </is>
      </c>
      <c r="F10" s="182" t="n">
        <v>0.1</v>
      </c>
      <c r="G10" s="183" t="n">
        <v>62500</v>
      </c>
      <c r="H10" s="184" t="n">
        <v>6250</v>
      </c>
      <c r="I10" s="182" t="n">
        <v>0.1</v>
      </c>
      <c r="J10" s="183" t="n">
        <v>63100</v>
      </c>
      <c r="K10" s="184" t="n">
        <v>6310</v>
      </c>
      <c r="L10" s="182" t="n">
        <v>60</v>
      </c>
      <c r="M10" s="183" t="n">
        <v>0.96</v>
      </c>
    </row>
    <row r="11" ht="22" customHeight="1">
      <c r="B11" s="186" t="n">
        <v>7</v>
      </c>
      <c r="C11" s="209" t="n">
        <v>46299</v>
      </c>
      <c r="D11" s="186" t="inlineStr">
        <is>
          <t>Binance</t>
        </is>
      </c>
      <c r="E11" s="175" t="inlineStr">
        <is>
          <t>ETH/BTC</t>
        </is>
      </c>
      <c r="F11" s="176" t="n">
        <v>0.8</v>
      </c>
      <c r="G11" s="177" t="n">
        <v>0.0518</v>
      </c>
      <c r="H11" s="178" t="n">
        <v>0.04144</v>
      </c>
      <c r="I11" s="176" t="n">
        <v>0.8</v>
      </c>
      <c r="J11" s="177" t="n">
        <v>0.053</v>
      </c>
      <c r="K11" s="178" t="n">
        <v>0.0424</v>
      </c>
      <c r="L11" s="176" t="n">
        <v>0.00096</v>
      </c>
      <c r="M11" s="177" t="n">
        <v>2.32</v>
      </c>
    </row>
    <row r="12" ht="22" customHeight="1">
      <c r="B12" s="187" t="n">
        <v>8</v>
      </c>
      <c r="C12" s="210" t="n">
        <v>46299</v>
      </c>
      <c r="D12" s="187" t="inlineStr">
        <is>
          <t>Bybit</t>
        </is>
      </c>
      <c r="E12" s="181" t="inlineStr">
        <is>
          <t>SOL/USDT</t>
        </is>
      </c>
      <c r="F12" s="182" t="n">
        <v>15</v>
      </c>
      <c r="G12" s="183" t="n">
        <v>142</v>
      </c>
      <c r="H12" s="184" t="n">
        <v>2130</v>
      </c>
      <c r="I12" s="182" t="n">
        <v>15</v>
      </c>
      <c r="J12" s="183" t="n">
        <v>147</v>
      </c>
      <c r="K12" s="184" t="n">
        <v>2205</v>
      </c>
      <c r="L12" s="182" t="n">
        <v>75</v>
      </c>
      <c r="M12" s="183" t="n">
        <v>3.52</v>
      </c>
    </row>
  </sheetData>
  <autoFilter ref="B4:M12"/>
  <mergeCells count="1">
    <mergeCell ref="B1:M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 ТОРГОВЛЯ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ETH/BTC</t>
        </is>
      </c>
      <c r="C5" s="176" t="n">
        <v>0.5</v>
      </c>
      <c r="D5" s="177" t="n">
        <v>0.0521</v>
      </c>
      <c r="E5" s="178" t="n">
        <v>0.02605</v>
      </c>
      <c r="F5" s="176" t="n">
        <v>0.5</v>
      </c>
      <c r="G5" s="177" t="n">
        <v>0.0534</v>
      </c>
      <c r="H5" s="178" t="n">
        <v>0.0267</v>
      </c>
      <c r="I5" s="176" t="n">
        <v>0.00065</v>
      </c>
      <c r="J5" s="178" t="n">
        <v>2.5</v>
      </c>
      <c r="K5" s="176" t="n">
        <v>0.00063</v>
      </c>
      <c r="L5" s="177" t="n">
        <v>2.42</v>
      </c>
      <c r="M5" s="177" t="n">
        <v>0.0522</v>
      </c>
    </row>
    <row r="6" ht="22" customHeight="1">
      <c r="B6" s="181" t="inlineStr">
        <is>
          <t>BTC/USDT</t>
        </is>
      </c>
      <c r="C6" s="182" t="n">
        <v>0.25</v>
      </c>
      <c r="D6" s="183" t="n">
        <v>62000</v>
      </c>
      <c r="E6" s="184" t="n">
        <v>15500</v>
      </c>
      <c r="F6" s="182" t="n">
        <v>0.25</v>
      </c>
      <c r="G6" s="183" t="n">
        <v>64000</v>
      </c>
      <c r="H6" s="184" t="n">
        <v>16000</v>
      </c>
      <c r="I6" s="182" t="n">
        <v>500</v>
      </c>
      <c r="J6" s="184" t="n">
        <v>3.23</v>
      </c>
      <c r="K6" s="182" t="n">
        <v>485</v>
      </c>
      <c r="L6" s="183" t="n">
        <v>3.13</v>
      </c>
      <c r="M6" s="183" t="n">
        <v>62155</v>
      </c>
    </row>
    <row r="7" ht="22" customHeight="1">
      <c r="B7" s="175" t="inlineStr">
        <is>
          <t>SOL/USDT</t>
        </is>
      </c>
      <c r="C7" s="176" t="n">
        <v>20</v>
      </c>
      <c r="D7" s="177" t="n">
        <v>145</v>
      </c>
      <c r="E7" s="178" t="n">
        <v>2900</v>
      </c>
      <c r="F7" s="176" t="n">
        <v>20</v>
      </c>
      <c r="G7" s="177" t="n">
        <v>139</v>
      </c>
      <c r="H7" s="178" t="n">
        <v>2780</v>
      </c>
      <c r="I7" s="176" t="n">
        <v>-120</v>
      </c>
      <c r="J7" s="178" t="n">
        <v>-4.14</v>
      </c>
      <c r="K7" s="176" t="n">
        <v>-125</v>
      </c>
      <c r="L7" s="177" t="n">
        <v>-4.31</v>
      </c>
      <c r="M7" s="177" t="n">
        <v>145.3</v>
      </c>
    </row>
    <row r="8" ht="22" customHeight="1">
      <c r="B8" s="181" t="inlineStr">
        <is>
          <t>ETH/USDT</t>
        </is>
      </c>
      <c r="C8" s="182" t="n">
        <v>1.2</v>
      </c>
      <c r="D8" s="183" t="n">
        <v>3200</v>
      </c>
      <c r="E8" s="184" t="n">
        <v>3840</v>
      </c>
      <c r="F8" s="182" t="n">
        <v>1.2</v>
      </c>
      <c r="G8" s="183" t="n">
        <v>3350</v>
      </c>
      <c r="H8" s="184" t="n">
        <v>4020</v>
      </c>
      <c r="I8" s="182" t="n">
        <v>180</v>
      </c>
      <c r="J8" s="184" t="n">
        <v>4.69</v>
      </c>
      <c r="K8" s="182" t="n">
        <v>175</v>
      </c>
      <c r="L8" s="183" t="n">
        <v>4.56</v>
      </c>
      <c r="M8" s="183" t="n">
        <v>3203.84</v>
      </c>
    </row>
    <row r="9" ht="22" customHeight="1">
      <c r="B9" s="175" t="inlineStr">
        <is>
          <t>BNB/USDT</t>
        </is>
      </c>
      <c r="C9" s="176" t="n">
        <v>5</v>
      </c>
      <c r="D9" s="177" t="n">
        <v>590</v>
      </c>
      <c r="E9" s="178" t="n">
        <v>2950</v>
      </c>
      <c r="F9" s="176" t="n">
        <v>5</v>
      </c>
      <c r="G9" s="177" t="n">
        <v>575</v>
      </c>
      <c r="H9" s="178" t="n">
        <v>2875</v>
      </c>
      <c r="I9" s="176" t="n">
        <v>-75</v>
      </c>
      <c r="J9" s="178" t="n">
        <v>-2.54</v>
      </c>
      <c r="K9" s="176" t="n">
        <v>-80</v>
      </c>
      <c r="L9" s="177" t="n">
        <v>-2.71</v>
      </c>
      <c r="M9" s="177" t="n">
        <v>590.6</v>
      </c>
    </row>
    <row r="10" ht="22" customHeight="1">
      <c r="B10" s="181" t="inlineStr">
        <is>
          <t>BTC/USDT</t>
        </is>
      </c>
      <c r="C10" s="182" t="n">
        <v>0.1</v>
      </c>
      <c r="D10" s="183" t="n">
        <v>62500</v>
      </c>
      <c r="E10" s="184" t="n">
        <v>6250</v>
      </c>
      <c r="F10" s="182" t="n">
        <v>0.1</v>
      </c>
      <c r="G10" s="183" t="n">
        <v>63100</v>
      </c>
      <c r="H10" s="184" t="n">
        <v>6310</v>
      </c>
      <c r="I10" s="182" t="n">
        <v>60</v>
      </c>
      <c r="J10" s="184" t="n">
        <v>0.96</v>
      </c>
      <c r="K10" s="182" t="n">
        <v>55</v>
      </c>
      <c r="L10" s="183" t="n">
        <v>0.88</v>
      </c>
      <c r="M10" s="183" t="n">
        <v>62512.5</v>
      </c>
    </row>
    <row r="11" ht="22" customHeight="1">
      <c r="B11" s="175" t="inlineStr">
        <is>
          <t>ETH/BTC</t>
        </is>
      </c>
      <c r="C11" s="176" t="n">
        <v>0.8</v>
      </c>
      <c r="D11" s="177" t="n">
        <v>0.0518</v>
      </c>
      <c r="E11" s="178" t="n">
        <v>0.04144</v>
      </c>
      <c r="F11" s="176" t="n">
        <v>0.8</v>
      </c>
      <c r="G11" s="177" t="n">
        <v>0.053</v>
      </c>
      <c r="H11" s="178" t="n">
        <v>0.0424</v>
      </c>
      <c r="I11" s="176" t="n">
        <v>0.00096</v>
      </c>
      <c r="J11" s="178" t="n">
        <v>2.32</v>
      </c>
      <c r="K11" s="176" t="n">
        <v>0.00092</v>
      </c>
      <c r="L11" s="177" t="n">
        <v>2.22</v>
      </c>
      <c r="M11" s="177" t="n">
        <v>0.05185</v>
      </c>
    </row>
    <row r="12" ht="22" customHeight="1">
      <c r="B12" s="181" t="inlineStr">
        <is>
          <t>SOL/USDT</t>
        </is>
      </c>
      <c r="C12" s="182" t="n">
        <v>15</v>
      </c>
      <c r="D12" s="183" t="n">
        <v>142</v>
      </c>
      <c r="E12" s="184" t="n">
        <v>2130</v>
      </c>
      <c r="F12" s="182" t="n">
        <v>15</v>
      </c>
      <c r="G12" s="183" t="n">
        <v>147</v>
      </c>
      <c r="H12" s="184" t="n">
        <v>2205</v>
      </c>
      <c r="I12" s="182" t="n">
        <v>75</v>
      </c>
      <c r="J12" s="184" t="n">
        <v>3.52</v>
      </c>
      <c r="K12" s="182" t="n">
        <v>70</v>
      </c>
      <c r="L12" s="183" t="n">
        <v>3.29</v>
      </c>
      <c r="M12" s="183" t="n">
        <v>142.28</v>
      </c>
    </row>
  </sheetData>
  <autoFilter ref="B4:M12"/>
  <mergeCells count="1">
    <mergeCell ref="B1:M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</cols>
  <sheetData>
    <row r="1" ht="21" customHeight="1">
      <c r="B1" s="1" t="inlineStr">
        <is>
          <t>CRYPTO JOURNAL • ЛЭНДИНГ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07" t="inlineStr">
        <is>
          <t>Дельта 2</t>
        </is>
      </c>
    </row>
    <row r="5" ht="22" customHeight="1">
      <c r="B5" s="186" t="n">
        <v>1</v>
      </c>
      <c r="C5" s="209" t="n">
        <v>46296</v>
      </c>
      <c r="D5" s="186" t="inlineStr">
        <is>
          <t>Binance</t>
        </is>
      </c>
      <c r="E5" s="175" t="inlineStr">
        <is>
          <t>ETH/BTC</t>
        </is>
      </c>
      <c r="F5" s="176" t="n">
        <v>0.5</v>
      </c>
      <c r="G5" s="177" t="n">
        <v>0.0521</v>
      </c>
      <c r="H5" s="178" t="n">
        <v>0.02605</v>
      </c>
      <c r="I5" s="176" t="n">
        <v>0.5</v>
      </c>
      <c r="J5" s="177" t="n">
        <v>0.0534</v>
      </c>
      <c r="K5" s="178" t="n">
        <v>0.0267</v>
      </c>
      <c r="L5" s="176" t="n">
        <v>0.00065</v>
      </c>
      <c r="M5" s="177" t="n">
        <v>2.5</v>
      </c>
    </row>
    <row r="6" ht="22" customHeight="1">
      <c r="B6" s="187" t="n">
        <v>2</v>
      </c>
      <c r="C6" s="210" t="n">
        <v>46296</v>
      </c>
      <c r="D6" s="187" t="inlineStr">
        <is>
          <t>Bybit</t>
        </is>
      </c>
      <c r="E6" s="181" t="inlineStr">
        <is>
          <t>BTC/USDT</t>
        </is>
      </c>
      <c r="F6" s="182" t="n">
        <v>0.25</v>
      </c>
      <c r="G6" s="183" t="n">
        <v>62000</v>
      </c>
      <c r="H6" s="184" t="n">
        <v>15500</v>
      </c>
      <c r="I6" s="182" t="n">
        <v>0.25</v>
      </c>
      <c r="J6" s="183" t="n">
        <v>64000</v>
      </c>
      <c r="K6" s="184" t="n">
        <v>16000</v>
      </c>
      <c r="L6" s="182" t="n">
        <v>500</v>
      </c>
      <c r="M6" s="183" t="n">
        <v>3.23</v>
      </c>
    </row>
    <row r="7" ht="22" customHeight="1">
      <c r="B7" s="186" t="n">
        <v>3</v>
      </c>
      <c r="C7" s="209" t="n">
        <v>46297</v>
      </c>
      <c r="D7" s="186" t="inlineStr">
        <is>
          <t>OKX</t>
        </is>
      </c>
      <c r="E7" s="175" t="inlineStr">
        <is>
          <t>SOL/USDT</t>
        </is>
      </c>
      <c r="F7" s="176" t="n">
        <v>20</v>
      </c>
      <c r="G7" s="177" t="n">
        <v>145</v>
      </c>
      <c r="H7" s="178" t="n">
        <v>2900</v>
      </c>
      <c r="I7" s="176" t="n">
        <v>20</v>
      </c>
      <c r="J7" s="177" t="n">
        <v>139</v>
      </c>
      <c r="K7" s="178" t="n">
        <v>2780</v>
      </c>
      <c r="L7" s="176" t="n">
        <v>-120</v>
      </c>
      <c r="M7" s="177" t="n">
        <v>-4.14</v>
      </c>
    </row>
    <row r="8" ht="22" customHeight="1">
      <c r="B8" s="187" t="n">
        <v>4</v>
      </c>
      <c r="C8" s="210" t="n">
        <v>46298</v>
      </c>
      <c r="D8" s="187" t="inlineStr">
        <is>
          <t>Binance</t>
        </is>
      </c>
      <c r="E8" s="181" t="inlineStr">
        <is>
          <t>ETH/USDT</t>
        </is>
      </c>
      <c r="F8" s="182" t="n">
        <v>1.2</v>
      </c>
      <c r="G8" s="183" t="n">
        <v>3200</v>
      </c>
      <c r="H8" s="184" t="n">
        <v>3840</v>
      </c>
      <c r="I8" s="182" t="n">
        <v>1.2</v>
      </c>
      <c r="J8" s="183" t="n">
        <v>3350</v>
      </c>
      <c r="K8" s="184" t="n">
        <v>4020</v>
      </c>
      <c r="L8" s="182" t="n">
        <v>180</v>
      </c>
      <c r="M8" s="183" t="n">
        <v>4.69</v>
      </c>
    </row>
    <row r="9" ht="22" customHeight="1">
      <c r="B9" s="186" t="n">
        <v>5</v>
      </c>
      <c r="C9" s="209" t="n">
        <v>46298</v>
      </c>
      <c r="D9" s="186" t="inlineStr">
        <is>
          <t>Bybit</t>
        </is>
      </c>
      <c r="E9" s="175" t="inlineStr">
        <is>
          <t>BNB/USDT</t>
        </is>
      </c>
      <c r="F9" s="176" t="n">
        <v>5</v>
      </c>
      <c r="G9" s="177" t="n">
        <v>590</v>
      </c>
      <c r="H9" s="178" t="n">
        <v>2950</v>
      </c>
      <c r="I9" s="176" t="n">
        <v>5</v>
      </c>
      <c r="J9" s="177" t="n">
        <v>575</v>
      </c>
      <c r="K9" s="178" t="n">
        <v>2875</v>
      </c>
      <c r="L9" s="176" t="n">
        <v>-75</v>
      </c>
      <c r="M9" s="177" t="n">
        <v>-2.54</v>
      </c>
    </row>
    <row r="10" ht="22" customHeight="1">
      <c r="B10" s="187" t="n">
        <v>6</v>
      </c>
      <c r="C10" s="210" t="n">
        <v>46299</v>
      </c>
      <c r="D10" s="187" t="inlineStr">
        <is>
          <t>OKX</t>
        </is>
      </c>
      <c r="E10" s="181" t="inlineStr">
        <is>
          <t>BTC/USDT</t>
        </is>
      </c>
      <c r="F10" s="182" t="n">
        <v>0.1</v>
      </c>
      <c r="G10" s="183" t="n">
        <v>62500</v>
      </c>
      <c r="H10" s="184" t="n">
        <v>6250</v>
      </c>
      <c r="I10" s="182" t="n">
        <v>0.1</v>
      </c>
      <c r="J10" s="183" t="n">
        <v>63100</v>
      </c>
      <c r="K10" s="184" t="n">
        <v>6310</v>
      </c>
      <c r="L10" s="182" t="n">
        <v>60</v>
      </c>
      <c r="M10" s="183" t="n">
        <v>0.96</v>
      </c>
    </row>
    <row r="11" ht="22" customHeight="1">
      <c r="B11" s="186" t="n">
        <v>7</v>
      </c>
      <c r="C11" s="209" t="n">
        <v>46299</v>
      </c>
      <c r="D11" s="186" t="inlineStr">
        <is>
          <t>Binance</t>
        </is>
      </c>
      <c r="E11" s="175" t="inlineStr">
        <is>
          <t>ETH/BTC</t>
        </is>
      </c>
      <c r="F11" s="176" t="n">
        <v>0.8</v>
      </c>
      <c r="G11" s="177" t="n">
        <v>0.0518</v>
      </c>
      <c r="H11" s="178" t="n">
        <v>0.04144</v>
      </c>
      <c r="I11" s="176" t="n">
        <v>0.8</v>
      </c>
      <c r="J11" s="177" t="n">
        <v>0.053</v>
      </c>
      <c r="K11" s="178" t="n">
        <v>0.0424</v>
      </c>
      <c r="L11" s="176" t="n">
        <v>0.00096</v>
      </c>
      <c r="M11" s="177" t="n">
        <v>2.32</v>
      </c>
    </row>
    <row r="12" ht="22" customHeight="1">
      <c r="B12" s="187" t="n">
        <v>8</v>
      </c>
      <c r="C12" s="210" t="n">
        <v>46299</v>
      </c>
      <c r="D12" s="187" t="inlineStr">
        <is>
          <t>Bybit</t>
        </is>
      </c>
      <c r="E12" s="181" t="inlineStr">
        <is>
          <t>SOL/USDT</t>
        </is>
      </c>
      <c r="F12" s="182" t="n">
        <v>15</v>
      </c>
      <c r="G12" s="183" t="n">
        <v>142</v>
      </c>
      <c r="H12" s="184" t="n">
        <v>2130</v>
      </c>
      <c r="I12" s="182" t="n">
        <v>15</v>
      </c>
      <c r="J12" s="183" t="n">
        <v>147</v>
      </c>
      <c r="K12" s="184" t="n">
        <v>2205</v>
      </c>
      <c r="L12" s="182" t="n">
        <v>75</v>
      </c>
      <c r="M12" s="183" t="n">
        <v>3.52</v>
      </c>
    </row>
  </sheetData>
  <autoFilter ref="B4:M12"/>
  <mergeCells count="1">
    <mergeCell ref="B1:M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 ЛЭНДИНГ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ETH/BTC</t>
        </is>
      </c>
      <c r="C5" s="176" t="n">
        <v>0.5</v>
      </c>
      <c r="D5" s="177" t="n">
        <v>0.0521</v>
      </c>
      <c r="E5" s="178" t="n">
        <v>0.02605</v>
      </c>
      <c r="F5" s="176" t="n">
        <v>0.5</v>
      </c>
      <c r="G5" s="177" t="n">
        <v>0.0534</v>
      </c>
      <c r="H5" s="178" t="n">
        <v>0.0267</v>
      </c>
      <c r="I5" s="176" t="n">
        <v>0.00065</v>
      </c>
      <c r="J5" s="178" t="n">
        <v>2.5</v>
      </c>
      <c r="K5" s="176" t="n">
        <v>0.00063</v>
      </c>
      <c r="L5" s="177" t="n">
        <v>2.42</v>
      </c>
      <c r="M5" s="177" t="n">
        <v>0.0522</v>
      </c>
    </row>
    <row r="6" ht="22" customHeight="1">
      <c r="B6" s="181" t="inlineStr">
        <is>
          <t>BTC/USDT</t>
        </is>
      </c>
      <c r="C6" s="182" t="n">
        <v>0.25</v>
      </c>
      <c r="D6" s="183" t="n">
        <v>62000</v>
      </c>
      <c r="E6" s="184" t="n">
        <v>15500</v>
      </c>
      <c r="F6" s="182" t="n">
        <v>0.25</v>
      </c>
      <c r="G6" s="183" t="n">
        <v>64000</v>
      </c>
      <c r="H6" s="184" t="n">
        <v>16000</v>
      </c>
      <c r="I6" s="182" t="n">
        <v>500</v>
      </c>
      <c r="J6" s="184" t="n">
        <v>3.23</v>
      </c>
      <c r="K6" s="182" t="n">
        <v>485</v>
      </c>
      <c r="L6" s="183" t="n">
        <v>3.13</v>
      </c>
      <c r="M6" s="183" t="n">
        <v>62155</v>
      </c>
    </row>
    <row r="7" ht="22" customHeight="1">
      <c r="B7" s="175" t="inlineStr">
        <is>
          <t>SOL/USDT</t>
        </is>
      </c>
      <c r="C7" s="176" t="n">
        <v>20</v>
      </c>
      <c r="D7" s="177" t="n">
        <v>145</v>
      </c>
      <c r="E7" s="178" t="n">
        <v>2900</v>
      </c>
      <c r="F7" s="176" t="n">
        <v>20</v>
      </c>
      <c r="G7" s="177" t="n">
        <v>139</v>
      </c>
      <c r="H7" s="178" t="n">
        <v>2780</v>
      </c>
      <c r="I7" s="176" t="n">
        <v>-120</v>
      </c>
      <c r="J7" s="178" t="n">
        <v>-4.14</v>
      </c>
      <c r="K7" s="176" t="n">
        <v>-125</v>
      </c>
      <c r="L7" s="177" t="n">
        <v>-4.31</v>
      </c>
      <c r="M7" s="177" t="n">
        <v>145.3</v>
      </c>
    </row>
    <row r="8" ht="22" customHeight="1">
      <c r="B8" s="181" t="inlineStr">
        <is>
          <t>ETH/USDT</t>
        </is>
      </c>
      <c r="C8" s="182" t="n">
        <v>1.2</v>
      </c>
      <c r="D8" s="183" t="n">
        <v>3200</v>
      </c>
      <c r="E8" s="184" t="n">
        <v>3840</v>
      </c>
      <c r="F8" s="182" t="n">
        <v>1.2</v>
      </c>
      <c r="G8" s="183" t="n">
        <v>3350</v>
      </c>
      <c r="H8" s="184" t="n">
        <v>4020</v>
      </c>
      <c r="I8" s="182" t="n">
        <v>180</v>
      </c>
      <c r="J8" s="184" t="n">
        <v>4.69</v>
      </c>
      <c r="K8" s="182" t="n">
        <v>175</v>
      </c>
      <c r="L8" s="183" t="n">
        <v>4.56</v>
      </c>
      <c r="M8" s="183" t="n">
        <v>3203.84</v>
      </c>
    </row>
    <row r="9" ht="22" customHeight="1">
      <c r="B9" s="175" t="inlineStr">
        <is>
          <t>BNB/USDT</t>
        </is>
      </c>
      <c r="C9" s="176" t="n">
        <v>5</v>
      </c>
      <c r="D9" s="177" t="n">
        <v>590</v>
      </c>
      <c r="E9" s="178" t="n">
        <v>2950</v>
      </c>
      <c r="F9" s="176" t="n">
        <v>5</v>
      </c>
      <c r="G9" s="177" t="n">
        <v>575</v>
      </c>
      <c r="H9" s="178" t="n">
        <v>2875</v>
      </c>
      <c r="I9" s="176" t="n">
        <v>-75</v>
      </c>
      <c r="J9" s="178" t="n">
        <v>-2.54</v>
      </c>
      <c r="K9" s="176" t="n">
        <v>-80</v>
      </c>
      <c r="L9" s="177" t="n">
        <v>-2.71</v>
      </c>
      <c r="M9" s="177" t="n">
        <v>590.6</v>
      </c>
    </row>
    <row r="10" ht="22" customHeight="1">
      <c r="B10" s="181" t="inlineStr">
        <is>
          <t>BTC/USDT</t>
        </is>
      </c>
      <c r="C10" s="182" t="n">
        <v>0.1</v>
      </c>
      <c r="D10" s="183" t="n">
        <v>62500</v>
      </c>
      <c r="E10" s="184" t="n">
        <v>6250</v>
      </c>
      <c r="F10" s="182" t="n">
        <v>0.1</v>
      </c>
      <c r="G10" s="183" t="n">
        <v>63100</v>
      </c>
      <c r="H10" s="184" t="n">
        <v>6310</v>
      </c>
      <c r="I10" s="182" t="n">
        <v>60</v>
      </c>
      <c r="J10" s="184" t="n">
        <v>0.96</v>
      </c>
      <c r="K10" s="182" t="n">
        <v>55</v>
      </c>
      <c r="L10" s="183" t="n">
        <v>0.88</v>
      </c>
      <c r="M10" s="183" t="n">
        <v>62512.5</v>
      </c>
    </row>
    <row r="11" ht="22" customHeight="1">
      <c r="B11" s="175" t="inlineStr">
        <is>
          <t>ETH/BTC</t>
        </is>
      </c>
      <c r="C11" s="176" t="n">
        <v>0.8</v>
      </c>
      <c r="D11" s="177" t="n">
        <v>0.0518</v>
      </c>
      <c r="E11" s="178" t="n">
        <v>0.04144</v>
      </c>
      <c r="F11" s="176" t="n">
        <v>0.8</v>
      </c>
      <c r="G11" s="177" t="n">
        <v>0.053</v>
      </c>
      <c r="H11" s="178" t="n">
        <v>0.0424</v>
      </c>
      <c r="I11" s="176" t="n">
        <v>0.00096</v>
      </c>
      <c r="J11" s="178" t="n">
        <v>2.32</v>
      </c>
      <c r="K11" s="176" t="n">
        <v>0.00092</v>
      </c>
      <c r="L11" s="177" t="n">
        <v>2.22</v>
      </c>
      <c r="M11" s="177" t="n">
        <v>0.05185</v>
      </c>
    </row>
    <row r="12" ht="22" customHeight="1">
      <c r="B12" s="181" t="inlineStr">
        <is>
          <t>SOL/USDT</t>
        </is>
      </c>
      <c r="C12" s="182" t="n">
        <v>15</v>
      </c>
      <c r="D12" s="183" t="n">
        <v>142</v>
      </c>
      <c r="E12" s="184" t="n">
        <v>2130</v>
      </c>
      <c r="F12" s="182" t="n">
        <v>15</v>
      </c>
      <c r="G12" s="183" t="n">
        <v>147</v>
      </c>
      <c r="H12" s="184" t="n">
        <v>2205</v>
      </c>
      <c r="I12" s="182" t="n">
        <v>75</v>
      </c>
      <c r="J12" s="184" t="n">
        <v>3.52</v>
      </c>
      <c r="K12" s="182" t="n">
        <v>70</v>
      </c>
      <c r="L12" s="183" t="n">
        <v>3.29</v>
      </c>
      <c r="M12" s="183" t="n">
        <v>142.28</v>
      </c>
    </row>
  </sheetData>
  <autoFilter ref="B4:M12"/>
  <mergeCells count="1">
    <mergeCell ref="B1:M2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B1:G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1" customHeight="1">
      <c r="B1" s="1" t="inlineStr">
        <is>
          <t>CRYPTO JOURNAL • ПУЛ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9" t="inlineStr">
        <is>
          <t>Актив 1</t>
        </is>
      </c>
      <c r="G4" s="107" t="inlineStr">
        <is>
          <t>Актив 2</t>
        </is>
      </c>
    </row>
    <row r="5" ht="22" customHeight="1">
      <c r="B5" s="186" t="n">
        <v>1</v>
      </c>
      <c r="C5" s="209" t="n">
        <v>46296</v>
      </c>
      <c r="D5" s="186" t="inlineStr">
        <is>
          <t>Uniswap</t>
        </is>
      </c>
      <c r="E5" s="175" t="inlineStr">
        <is>
          <t>ETH/BTC</t>
        </is>
      </c>
      <c r="F5" s="176" t="n">
        <v>2</v>
      </c>
      <c r="G5" s="177" t="n">
        <v>0.104</v>
      </c>
    </row>
    <row r="6" ht="22" customHeight="1">
      <c r="B6" s="187" t="n">
        <v>2</v>
      </c>
      <c r="C6" s="210" t="n">
        <v>46296</v>
      </c>
      <c r="D6" s="187" t="inlineStr">
        <is>
          <t>Raydium</t>
        </is>
      </c>
      <c r="E6" s="181" t="inlineStr">
        <is>
          <t>SOL/USDT</t>
        </is>
      </c>
      <c r="F6" s="182" t="n">
        <v>30</v>
      </c>
      <c r="G6" s="183" t="n">
        <v>4350</v>
      </c>
    </row>
    <row r="7" ht="22" customHeight="1">
      <c r="B7" s="186" t="n">
        <v>3</v>
      </c>
      <c r="C7" s="209" t="n">
        <v>46297</v>
      </c>
      <c r="D7" s="186" t="inlineStr">
        <is>
          <t>PancakeSwap</t>
        </is>
      </c>
      <c r="E7" s="175" t="inlineStr">
        <is>
          <t>BNB/USDT</t>
        </is>
      </c>
      <c r="F7" s="176" t="n">
        <v>4</v>
      </c>
      <c r="G7" s="177" t="n">
        <v>2360</v>
      </c>
    </row>
    <row r="8" ht="22" customHeight="1">
      <c r="B8" s="187" t="n">
        <v>4</v>
      </c>
      <c r="C8" s="210" t="n">
        <v>46298</v>
      </c>
      <c r="D8" s="187" t="inlineStr">
        <is>
          <t>Uniswap</t>
        </is>
      </c>
      <c r="E8" s="181" t="inlineStr">
        <is>
          <t>ETH/USDT</t>
        </is>
      </c>
      <c r="F8" s="182" t="n">
        <v>1.5</v>
      </c>
      <c r="G8" s="183" t="n">
        <v>4800</v>
      </c>
    </row>
    <row r="9" ht="22" customHeight="1">
      <c r="B9" s="186" t="n">
        <v>5</v>
      </c>
      <c r="C9" s="209" t="n">
        <v>46298</v>
      </c>
      <c r="D9" s="186" t="inlineStr">
        <is>
          <t>Orca</t>
        </is>
      </c>
      <c r="E9" s="175" t="inlineStr">
        <is>
          <t>SOL/USDT</t>
        </is>
      </c>
      <c r="F9" s="176" t="n">
        <v>12</v>
      </c>
      <c r="G9" s="177" t="n">
        <v>1740</v>
      </c>
    </row>
    <row r="10" ht="22" customHeight="1">
      <c r="B10" s="187" t="n">
        <v>6</v>
      </c>
      <c r="C10" s="210" t="n">
        <v>46299</v>
      </c>
      <c r="D10" s="187" t="inlineStr">
        <is>
          <t>Uniswap</t>
        </is>
      </c>
      <c r="E10" s="181" t="inlineStr">
        <is>
          <t>BTC/USDT</t>
        </is>
      </c>
      <c r="F10" s="182" t="n">
        <v>0.05</v>
      </c>
      <c r="G10" s="183" t="n">
        <v>3125</v>
      </c>
    </row>
    <row r="11" ht="22" customHeight="1">
      <c r="B11" s="186" t="n">
        <v>7</v>
      </c>
      <c r="C11" s="209" t="n">
        <v>46299</v>
      </c>
      <c r="D11" s="186" t="inlineStr">
        <is>
          <t>PancakeSwap</t>
        </is>
      </c>
      <c r="E11" s="175" t="inlineStr">
        <is>
          <t>ETH/BTC</t>
        </is>
      </c>
      <c r="F11" s="176" t="n">
        <v>1.2</v>
      </c>
      <c r="G11" s="177" t="n">
        <v>0.0624</v>
      </c>
    </row>
    <row r="12" ht="22" customHeight="1">
      <c r="B12" s="187" t="n">
        <v>8</v>
      </c>
      <c r="C12" s="210" t="n">
        <v>46299</v>
      </c>
      <c r="D12" s="187" t="inlineStr">
        <is>
          <t>Raydium</t>
        </is>
      </c>
      <c r="E12" s="181" t="inlineStr">
        <is>
          <t>SOL/USDT</t>
        </is>
      </c>
      <c r="F12" s="182" t="n">
        <v>25</v>
      </c>
      <c r="G12" s="183" t="n">
        <v>3625</v>
      </c>
    </row>
  </sheetData>
  <autoFilter ref="B4:G12"/>
  <mergeCells count="1">
    <mergeCell ref="B1:G2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L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13" customWidth="1" min="11" max="11"/>
    <col width="14" customWidth="1" min="12" max="12"/>
  </cols>
  <sheetData>
    <row r="1" ht="21" customHeight="1">
      <c r="B1" s="1" t="inlineStr">
        <is>
          <t>CRYPTO JOURNAL • ИТОГО ПУЛ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9" t="inlineStr">
        <is>
          <t>Актив 1</t>
        </is>
      </c>
      <c r="D4" s="170" t="inlineStr">
        <is>
          <t>Актив 2</t>
        </is>
      </c>
      <c r="E4" s="121" t="inlineStr">
        <is>
          <t>Актив 1</t>
        </is>
      </c>
      <c r="F4" s="122" t="inlineStr">
        <is>
          <t>Актив 2</t>
        </is>
      </c>
      <c r="G4" s="163" t="inlineStr">
        <is>
          <t>Дельта 1</t>
        </is>
      </c>
      <c r="H4" s="165" t="inlineStr">
        <is>
          <t>Дельта 2</t>
        </is>
      </c>
      <c r="I4" s="166" t="inlineStr">
        <is>
          <t>Действие</t>
        </is>
      </c>
      <c r="J4" s="167" t="inlineStr">
        <is>
          <t>Кол-во</t>
        </is>
      </c>
      <c r="K4" s="167" t="inlineStr">
        <is>
          <t>Курс</t>
        </is>
      </c>
      <c r="L4" s="167" t="inlineStr">
        <is>
          <t>Сумма</t>
        </is>
      </c>
    </row>
    <row r="5" ht="22" customHeight="1">
      <c r="B5" s="175" t="inlineStr">
        <is>
          <t>ETH/BTC</t>
        </is>
      </c>
      <c r="C5" s="176" t="n">
        <v>2</v>
      </c>
      <c r="D5" s="178" t="n">
        <v>0.104</v>
      </c>
      <c r="E5" s="176" t="n">
        <v>1.96</v>
      </c>
      <c r="F5" s="178" t="n">
        <v>0.1092</v>
      </c>
      <c r="G5" s="176" t="n">
        <v>-0.04</v>
      </c>
      <c r="H5" s="178" t="n">
        <v>0.0052</v>
      </c>
      <c r="I5" s="130" t="inlineStr">
        <is>
          <t>Удалить</t>
        </is>
      </c>
      <c r="J5" s="177" t="n">
        <v>0.5</v>
      </c>
      <c r="K5" s="177" t="n">
        <v>0.052</v>
      </c>
      <c r="L5" s="177" t="n">
        <v>0.026</v>
      </c>
    </row>
    <row r="6" ht="22" customHeight="1">
      <c r="B6" s="181" t="inlineStr">
        <is>
          <t>SOL/USDT</t>
        </is>
      </c>
      <c r="C6" s="182" t="n">
        <v>30</v>
      </c>
      <c r="D6" s="184" t="n">
        <v>4350</v>
      </c>
      <c r="E6" s="182" t="n">
        <v>28.5</v>
      </c>
      <c r="F6" s="184" t="n">
        <v>4560</v>
      </c>
      <c r="G6" s="182" t="n">
        <v>-1.5</v>
      </c>
      <c r="H6" s="184" t="n">
        <v>210</v>
      </c>
      <c r="I6" s="135" t="inlineStr">
        <is>
          <t>Удалить</t>
        </is>
      </c>
      <c r="J6" s="183" t="n">
        <v>10</v>
      </c>
      <c r="K6" s="183" t="n">
        <v>145</v>
      </c>
      <c r="L6" s="183" t="n">
        <v>1450</v>
      </c>
    </row>
    <row r="7" ht="22" customHeight="1">
      <c r="B7" s="175" t="inlineStr">
        <is>
          <t>BNB/USDT</t>
        </is>
      </c>
      <c r="C7" s="176" t="n">
        <v>4</v>
      </c>
      <c r="D7" s="178" t="n">
        <v>2360</v>
      </c>
      <c r="E7" s="176" t="n">
        <v>4.2</v>
      </c>
      <c r="F7" s="178" t="n">
        <v>2300</v>
      </c>
      <c r="G7" s="176" t="n">
        <v>0.2</v>
      </c>
      <c r="H7" s="178" t="n">
        <v>-60</v>
      </c>
      <c r="I7" s="130" t="inlineStr">
        <is>
          <t>Добавить</t>
        </is>
      </c>
      <c r="J7" s="177" t="n">
        <v>1</v>
      </c>
      <c r="K7" s="177" t="n">
        <v>590</v>
      </c>
      <c r="L7" s="177" t="n">
        <v>590</v>
      </c>
    </row>
    <row r="8" ht="22" customHeight="1">
      <c r="B8" s="181" t="inlineStr">
        <is>
          <t>ETH/USDT</t>
        </is>
      </c>
      <c r="C8" s="182" t="n">
        <v>1.5</v>
      </c>
      <c r="D8" s="184" t="n">
        <v>4800</v>
      </c>
      <c r="E8" s="182" t="n">
        <v>1.45</v>
      </c>
      <c r="F8" s="184" t="n">
        <v>4960</v>
      </c>
      <c r="G8" s="182" t="n">
        <v>-0.05</v>
      </c>
      <c r="H8" s="184" t="n">
        <v>160</v>
      </c>
      <c r="I8" s="135" t="inlineStr">
        <is>
          <t>Удалить</t>
        </is>
      </c>
      <c r="J8" s="183" t="n">
        <v>0.5</v>
      </c>
      <c r="K8" s="183" t="n">
        <v>3200</v>
      </c>
      <c r="L8" s="183" t="n">
        <v>1600</v>
      </c>
    </row>
    <row r="9" ht="22" customHeight="1">
      <c r="B9" s="175" t="inlineStr">
        <is>
          <t>SOL/USDT</t>
        </is>
      </c>
      <c r="C9" s="176" t="n">
        <v>12</v>
      </c>
      <c r="D9" s="178" t="n">
        <v>1740</v>
      </c>
      <c r="E9" s="176" t="n">
        <v>12.6</v>
      </c>
      <c r="F9" s="178" t="n">
        <v>1692</v>
      </c>
      <c r="G9" s="176" t="n">
        <v>0.6</v>
      </c>
      <c r="H9" s="178" t="n">
        <v>-48</v>
      </c>
      <c r="I9" s="130" t="inlineStr">
        <is>
          <t>Добавить</t>
        </is>
      </c>
      <c r="J9" s="177" t="n">
        <v>3</v>
      </c>
      <c r="K9" s="177" t="n">
        <v>145</v>
      </c>
      <c r="L9" s="177" t="n">
        <v>435</v>
      </c>
    </row>
    <row r="10" ht="22" customHeight="1">
      <c r="B10" s="181" t="inlineStr">
        <is>
          <t>BTC/USDT</t>
        </is>
      </c>
      <c r="C10" s="182" t="n">
        <v>0.05</v>
      </c>
      <c r="D10" s="184" t="n">
        <v>3125</v>
      </c>
      <c r="E10" s="182" t="n">
        <v>0.048</v>
      </c>
      <c r="F10" s="184" t="n">
        <v>3225</v>
      </c>
      <c r="G10" s="182" t="n">
        <v>-0.002</v>
      </c>
      <c r="H10" s="184" t="n">
        <v>100</v>
      </c>
      <c r="I10" s="135" t="inlineStr">
        <is>
          <t>Удалить</t>
        </is>
      </c>
      <c r="J10" s="183" t="n">
        <v>0.01</v>
      </c>
      <c r="K10" s="183" t="n">
        <v>62500</v>
      </c>
      <c r="L10" s="183" t="n">
        <v>625</v>
      </c>
    </row>
    <row r="11" ht="22" customHeight="1">
      <c r="B11" s="175" t="inlineStr">
        <is>
          <t>ETH/BTC</t>
        </is>
      </c>
      <c r="C11" s="176" t="n">
        <v>1.2</v>
      </c>
      <c r="D11" s="178" t="n">
        <v>0.0624</v>
      </c>
      <c r="E11" s="176" t="n">
        <v>1.25</v>
      </c>
      <c r="F11" s="178" t="n">
        <v>0.0598</v>
      </c>
      <c r="G11" s="176" t="n">
        <v>0.05</v>
      </c>
      <c r="H11" s="178" t="n">
        <v>-0.0026</v>
      </c>
      <c r="I11" s="130" t="inlineStr">
        <is>
          <t>Добавить</t>
        </is>
      </c>
      <c r="J11" s="177" t="n">
        <v>0.3</v>
      </c>
      <c r="K11" s="177" t="n">
        <v>0.052</v>
      </c>
      <c r="L11" s="177" t="n">
        <v>0.0156</v>
      </c>
    </row>
    <row r="12" ht="22" customHeight="1">
      <c r="B12" s="181" t="inlineStr">
        <is>
          <t>SOL/USDT</t>
        </is>
      </c>
      <c r="C12" s="182" t="n">
        <v>25</v>
      </c>
      <c r="D12" s="184" t="n">
        <v>3625</v>
      </c>
      <c r="E12" s="182" t="n">
        <v>24</v>
      </c>
      <c r="F12" s="184" t="n">
        <v>3770</v>
      </c>
      <c r="G12" s="182" t="n">
        <v>-1</v>
      </c>
      <c r="H12" s="184" t="n">
        <v>145</v>
      </c>
      <c r="I12" s="135" t="inlineStr">
        <is>
          <t>Удалить</t>
        </is>
      </c>
      <c r="J12" s="183" t="n">
        <v>5</v>
      </c>
      <c r="K12" s="183" t="n">
        <v>145</v>
      </c>
      <c r="L12" s="183" t="n">
        <v>725</v>
      </c>
    </row>
  </sheetData>
  <autoFilter ref="B4:L12"/>
  <mergeCells count="1">
    <mergeCell ref="B1:L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244E62"/>
    <outlinePr summaryBelow="1" summaryRight="1"/>
    <pageSetUpPr fitToPage="1"/>
  </sheetPr>
  <dimension ref="B1:Q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8" customWidth="1" min="3" max="3"/>
    <col width="18" customWidth="1" min="4" max="4"/>
    <col width="14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14" customWidth="1" min="17" max="17"/>
  </cols>
  <sheetData>
    <row r="1" ht="21" customHeight="1">
      <c r="B1" s="1" t="inlineStr">
        <is>
          <t>CRYPTO JOURNAL • ЗАКРЫТЫЕ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 открытия</t>
        </is>
      </c>
      <c r="D4" s="161" t="inlineStr">
        <is>
          <t>Дата закрытия</t>
        </is>
      </c>
      <c r="E4" s="161" t="inlineStr">
        <is>
          <t>Протокол</t>
        </is>
      </c>
      <c r="F4" s="162" t="inlineStr">
        <is>
          <t>Пара</t>
        </is>
      </c>
      <c r="G4" s="163" t="inlineStr">
        <is>
          <t>Кол-во</t>
        </is>
      </c>
      <c r="H4" s="185" t="inlineStr">
        <is>
          <t>Курс</t>
        </is>
      </c>
      <c r="I4" s="165" t="inlineStr">
        <is>
          <t>Сумма</t>
        </is>
      </c>
      <c r="J4" s="166" t="inlineStr">
        <is>
          <t>Кол-во</t>
        </is>
      </c>
      <c r="K4" s="167" t="inlineStr">
        <is>
          <t>Курс</t>
        </is>
      </c>
      <c r="L4" s="168" t="inlineStr">
        <is>
          <t>Сумма</t>
        </is>
      </c>
      <c r="M4" s="169" t="inlineStr">
        <is>
          <t>Дельта 1</t>
        </is>
      </c>
      <c r="N4" s="170" t="inlineStr">
        <is>
          <t>Дельта 2</t>
        </is>
      </c>
      <c r="O4" s="171" t="inlineStr">
        <is>
          <t>P&amp;L</t>
        </is>
      </c>
      <c r="P4" s="172" t="inlineStr">
        <is>
          <t>P&amp;L%</t>
        </is>
      </c>
      <c r="Q4" s="172" t="inlineStr">
        <is>
          <t>Break even</t>
        </is>
      </c>
    </row>
    <row r="5" ht="22" customHeight="1">
      <c r="B5" s="186" t="n">
        <v>1</v>
      </c>
      <c r="C5" s="209" t="n">
        <v>46296</v>
      </c>
      <c r="D5" s="209" t="n">
        <v>46297</v>
      </c>
      <c r="E5" s="186" t="inlineStr">
        <is>
          <t>Binance</t>
        </is>
      </c>
      <c r="F5" s="175" t="inlineStr">
        <is>
          <t>ETH/BTC</t>
        </is>
      </c>
      <c r="G5" s="176" t="n">
        <v>0.5</v>
      </c>
      <c r="H5" s="177" t="n">
        <v>0.0521</v>
      </c>
      <c r="I5" s="178" t="n">
        <v>0.02605</v>
      </c>
      <c r="J5" s="176" t="n">
        <v>0.5</v>
      </c>
      <c r="K5" s="177" t="n">
        <v>0.0534</v>
      </c>
      <c r="L5" s="178" t="n">
        <v>0.0267</v>
      </c>
      <c r="M5" s="176" t="n">
        <v>0.00065</v>
      </c>
      <c r="N5" s="178" t="n">
        <v>2.5</v>
      </c>
      <c r="O5" s="176" t="n">
        <v>0.00063</v>
      </c>
      <c r="P5" s="177" t="n">
        <v>2.42</v>
      </c>
      <c r="Q5" s="177" t="n">
        <v>0.0522</v>
      </c>
    </row>
    <row r="6" ht="22" customHeight="1">
      <c r="B6" s="187" t="n">
        <v>2</v>
      </c>
      <c r="C6" s="210" t="n">
        <v>46296</v>
      </c>
      <c r="D6" s="210" t="n">
        <v>46298</v>
      </c>
      <c r="E6" s="187" t="inlineStr">
        <is>
          <t>Bybit</t>
        </is>
      </c>
      <c r="F6" s="181" t="inlineStr">
        <is>
          <t>BTC/USDT</t>
        </is>
      </c>
      <c r="G6" s="182" t="n">
        <v>0.25</v>
      </c>
      <c r="H6" s="183" t="n">
        <v>62000</v>
      </c>
      <c r="I6" s="184" t="n">
        <v>15500</v>
      </c>
      <c r="J6" s="182" t="n">
        <v>0.25</v>
      </c>
      <c r="K6" s="183" t="n">
        <v>64000</v>
      </c>
      <c r="L6" s="184" t="n">
        <v>16000</v>
      </c>
      <c r="M6" s="182" t="n">
        <v>500</v>
      </c>
      <c r="N6" s="184" t="n">
        <v>3.23</v>
      </c>
      <c r="O6" s="182" t="n">
        <v>485</v>
      </c>
      <c r="P6" s="183" t="n">
        <v>3.13</v>
      </c>
      <c r="Q6" s="183" t="n">
        <v>62155</v>
      </c>
    </row>
    <row r="7" ht="22" customHeight="1">
      <c r="B7" s="186" t="n">
        <v>3</v>
      </c>
      <c r="C7" s="209" t="n">
        <v>46297</v>
      </c>
      <c r="D7" s="209" t="n">
        <v>46298</v>
      </c>
      <c r="E7" s="186" t="inlineStr">
        <is>
          <t>OKX</t>
        </is>
      </c>
      <c r="F7" s="175" t="inlineStr">
        <is>
          <t>SOL/USDT</t>
        </is>
      </c>
      <c r="G7" s="176" t="n">
        <v>20</v>
      </c>
      <c r="H7" s="177" t="n">
        <v>145</v>
      </c>
      <c r="I7" s="178" t="n">
        <v>2900</v>
      </c>
      <c r="J7" s="176" t="n">
        <v>20</v>
      </c>
      <c r="K7" s="177" t="n">
        <v>139</v>
      </c>
      <c r="L7" s="178" t="n">
        <v>2780</v>
      </c>
      <c r="M7" s="176" t="n">
        <v>-120</v>
      </c>
      <c r="N7" s="178" t="n">
        <v>-4.14</v>
      </c>
      <c r="O7" s="176" t="n">
        <v>-125</v>
      </c>
      <c r="P7" s="177" t="n">
        <v>-4.31</v>
      </c>
      <c r="Q7" s="177" t="n">
        <v>145.3</v>
      </c>
    </row>
    <row r="8" ht="22" customHeight="1">
      <c r="B8" s="187" t="n">
        <v>4</v>
      </c>
      <c r="C8" s="210" t="n">
        <v>46298</v>
      </c>
      <c r="D8" s="210" t="n">
        <v>46301</v>
      </c>
      <c r="E8" s="187" t="inlineStr">
        <is>
          <t>Binance</t>
        </is>
      </c>
      <c r="F8" s="181" t="inlineStr">
        <is>
          <t>ETH/USDT</t>
        </is>
      </c>
      <c r="G8" s="182" t="n">
        <v>1.2</v>
      </c>
      <c r="H8" s="183" t="n">
        <v>3200</v>
      </c>
      <c r="I8" s="184" t="n">
        <v>3840</v>
      </c>
      <c r="J8" s="182" t="n">
        <v>1.2</v>
      </c>
      <c r="K8" s="183" t="n">
        <v>3350</v>
      </c>
      <c r="L8" s="184" t="n">
        <v>4020</v>
      </c>
      <c r="M8" s="182" t="n">
        <v>180</v>
      </c>
      <c r="N8" s="184" t="n">
        <v>4.69</v>
      </c>
      <c r="O8" s="182" t="n">
        <v>175</v>
      </c>
      <c r="P8" s="183" t="n">
        <v>4.56</v>
      </c>
      <c r="Q8" s="183" t="n">
        <v>3203.84</v>
      </c>
    </row>
    <row r="9" ht="22" customHeight="1">
      <c r="B9" s="186" t="n">
        <v>5</v>
      </c>
      <c r="C9" s="209" t="n">
        <v>46298</v>
      </c>
      <c r="D9" s="209" t="n">
        <v>46300</v>
      </c>
      <c r="E9" s="186" t="inlineStr">
        <is>
          <t>Bybit</t>
        </is>
      </c>
      <c r="F9" s="175" t="inlineStr">
        <is>
          <t>BNB/USDT</t>
        </is>
      </c>
      <c r="G9" s="176" t="n">
        <v>5</v>
      </c>
      <c r="H9" s="177" t="n">
        <v>590</v>
      </c>
      <c r="I9" s="178" t="n">
        <v>2950</v>
      </c>
      <c r="J9" s="176" t="n">
        <v>5</v>
      </c>
      <c r="K9" s="177" t="n">
        <v>575</v>
      </c>
      <c r="L9" s="178" t="n">
        <v>2875</v>
      </c>
      <c r="M9" s="176" t="n">
        <v>-75</v>
      </c>
      <c r="N9" s="178" t="n">
        <v>-2.54</v>
      </c>
      <c r="O9" s="176" t="n">
        <v>-80</v>
      </c>
      <c r="P9" s="177" t="n">
        <v>-2.71</v>
      </c>
      <c r="Q9" s="177" t="n">
        <v>590.6</v>
      </c>
    </row>
    <row r="10" ht="22" customHeight="1">
      <c r="B10" s="187" t="n">
        <v>6</v>
      </c>
      <c r="C10" s="210" t="n">
        <v>46299</v>
      </c>
      <c r="D10" s="210" t="n">
        <v>46300</v>
      </c>
      <c r="E10" s="187" t="inlineStr">
        <is>
          <t>OKX</t>
        </is>
      </c>
      <c r="F10" s="181" t="inlineStr">
        <is>
          <t>BTC/USDT</t>
        </is>
      </c>
      <c r="G10" s="182" t="n">
        <v>0.1</v>
      </c>
      <c r="H10" s="183" t="n">
        <v>62500</v>
      </c>
      <c r="I10" s="184" t="n">
        <v>6250</v>
      </c>
      <c r="J10" s="182" t="n">
        <v>0.1</v>
      </c>
      <c r="K10" s="183" t="n">
        <v>63100</v>
      </c>
      <c r="L10" s="184" t="n">
        <v>6310</v>
      </c>
      <c r="M10" s="182" t="n">
        <v>60</v>
      </c>
      <c r="N10" s="184" t="n">
        <v>0.96</v>
      </c>
      <c r="O10" s="182" t="n">
        <v>55</v>
      </c>
      <c r="P10" s="183" t="n">
        <v>0.88</v>
      </c>
      <c r="Q10" s="183" t="n">
        <v>62512.5</v>
      </c>
    </row>
    <row r="11" ht="22" customHeight="1">
      <c r="B11" s="186" t="n">
        <v>7</v>
      </c>
      <c r="C11" s="209" t="n">
        <v>46299</v>
      </c>
      <c r="D11" s="209" t="n">
        <v>46301</v>
      </c>
      <c r="E11" s="186" t="inlineStr">
        <is>
          <t>Binance</t>
        </is>
      </c>
      <c r="F11" s="175" t="inlineStr">
        <is>
          <t>ETH/BTC</t>
        </is>
      </c>
      <c r="G11" s="176" t="n">
        <v>0.8</v>
      </c>
      <c r="H11" s="177" t="n">
        <v>0.0518</v>
      </c>
      <c r="I11" s="178" t="n">
        <v>0.04144</v>
      </c>
      <c r="J11" s="176" t="n">
        <v>0.8</v>
      </c>
      <c r="K11" s="177" t="n">
        <v>0.053</v>
      </c>
      <c r="L11" s="178" t="n">
        <v>0.0424</v>
      </c>
      <c r="M11" s="176" t="n">
        <v>0.00096</v>
      </c>
      <c r="N11" s="178" t="n">
        <v>2.32</v>
      </c>
      <c r="O11" s="176" t="n">
        <v>0.00092</v>
      </c>
      <c r="P11" s="177" t="n">
        <v>2.22</v>
      </c>
      <c r="Q11" s="177" t="n">
        <v>0.05185</v>
      </c>
    </row>
    <row r="12" ht="22" customHeight="1">
      <c r="B12" s="187" t="n">
        <v>8</v>
      </c>
      <c r="C12" s="210" t="n">
        <v>46299</v>
      </c>
      <c r="D12" s="210" t="n">
        <v>46300</v>
      </c>
      <c r="E12" s="187" t="inlineStr">
        <is>
          <t>Bybit</t>
        </is>
      </c>
      <c r="F12" s="181" t="inlineStr">
        <is>
          <t>SOL/USDT</t>
        </is>
      </c>
      <c r="G12" s="182" t="n">
        <v>15</v>
      </c>
      <c r="H12" s="183" t="n">
        <v>142</v>
      </c>
      <c r="I12" s="184" t="n">
        <v>2130</v>
      </c>
      <c r="J12" s="182" t="n">
        <v>15</v>
      </c>
      <c r="K12" s="183" t="n">
        <v>147</v>
      </c>
      <c r="L12" s="184" t="n">
        <v>2205</v>
      </c>
      <c r="M12" s="182" t="n">
        <v>75</v>
      </c>
      <c r="N12" s="184" t="n">
        <v>3.52</v>
      </c>
      <c r="O12" s="182" t="n">
        <v>70</v>
      </c>
      <c r="P12" s="183" t="n">
        <v>3.29</v>
      </c>
      <c r="Q12" s="183" t="n">
        <v>142.28</v>
      </c>
    </row>
  </sheetData>
  <autoFilter ref="B4:Q12"/>
  <mergeCells count="1">
    <mergeCell ref="B1:Q2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ETH/BTC</t>
        </is>
      </c>
      <c r="C5" s="176" t="n">
        <v>0.5</v>
      </c>
      <c r="D5" s="177" t="n">
        <v>0.0521</v>
      </c>
      <c r="E5" s="178" t="n">
        <v>0.02605</v>
      </c>
      <c r="F5" s="176" t="n">
        <v>0.5</v>
      </c>
      <c r="G5" s="177" t="n">
        <v>0.0534</v>
      </c>
      <c r="H5" s="178" t="n">
        <v>0.0267</v>
      </c>
      <c r="I5" s="176" t="n">
        <v>0.00065</v>
      </c>
      <c r="J5" s="178" t="n">
        <v>2.5</v>
      </c>
      <c r="K5" s="176" t="n">
        <v>0.00063</v>
      </c>
      <c r="L5" s="177" t="n">
        <v>2.42</v>
      </c>
      <c r="M5" s="177" t="n">
        <v>0.0522</v>
      </c>
    </row>
    <row r="6" ht="22" customHeight="1">
      <c r="B6" s="181" t="inlineStr">
        <is>
          <t>BTC/USDT</t>
        </is>
      </c>
      <c r="C6" s="182" t="n">
        <v>0.25</v>
      </c>
      <c r="D6" s="183" t="n">
        <v>62000</v>
      </c>
      <c r="E6" s="184" t="n">
        <v>15500</v>
      </c>
      <c r="F6" s="182" t="n">
        <v>0.25</v>
      </c>
      <c r="G6" s="183" t="n">
        <v>64000</v>
      </c>
      <c r="H6" s="184" t="n">
        <v>16000</v>
      </c>
      <c r="I6" s="182" t="n">
        <v>500</v>
      </c>
      <c r="J6" s="184" t="n">
        <v>3.23</v>
      </c>
      <c r="K6" s="182" t="n">
        <v>485</v>
      </c>
      <c r="L6" s="183" t="n">
        <v>3.13</v>
      </c>
      <c r="M6" s="183" t="n">
        <v>62155</v>
      </c>
    </row>
    <row r="7" ht="22" customHeight="1">
      <c r="B7" s="175" t="inlineStr">
        <is>
          <t>SOL/USDT</t>
        </is>
      </c>
      <c r="C7" s="176" t="n">
        <v>20</v>
      </c>
      <c r="D7" s="177" t="n">
        <v>145</v>
      </c>
      <c r="E7" s="178" t="n">
        <v>2900</v>
      </c>
      <c r="F7" s="176" t="n">
        <v>20</v>
      </c>
      <c r="G7" s="177" t="n">
        <v>139</v>
      </c>
      <c r="H7" s="178" t="n">
        <v>2780</v>
      </c>
      <c r="I7" s="176" t="n">
        <v>-120</v>
      </c>
      <c r="J7" s="178" t="n">
        <v>-4.14</v>
      </c>
      <c r="K7" s="176" t="n">
        <v>-125</v>
      </c>
      <c r="L7" s="177" t="n">
        <v>-4.31</v>
      </c>
      <c r="M7" s="177" t="n">
        <v>145.3</v>
      </c>
    </row>
    <row r="8" ht="22" customHeight="1">
      <c r="B8" s="181" t="inlineStr">
        <is>
          <t>ETH/USDT</t>
        </is>
      </c>
      <c r="C8" s="182" t="n">
        <v>1.2</v>
      </c>
      <c r="D8" s="183" t="n">
        <v>3200</v>
      </c>
      <c r="E8" s="184" t="n">
        <v>3840</v>
      </c>
      <c r="F8" s="182" t="n">
        <v>1.2</v>
      </c>
      <c r="G8" s="183" t="n">
        <v>3350</v>
      </c>
      <c r="H8" s="184" t="n">
        <v>4020</v>
      </c>
      <c r="I8" s="182" t="n">
        <v>180</v>
      </c>
      <c r="J8" s="184" t="n">
        <v>4.69</v>
      </c>
      <c r="K8" s="182" t="n">
        <v>175</v>
      </c>
      <c r="L8" s="183" t="n">
        <v>4.56</v>
      </c>
      <c r="M8" s="183" t="n">
        <v>3203.84</v>
      </c>
    </row>
    <row r="9" ht="22" customHeight="1">
      <c r="B9" s="175" t="inlineStr">
        <is>
          <t>BNB/USDT</t>
        </is>
      </c>
      <c r="C9" s="176" t="n">
        <v>5</v>
      </c>
      <c r="D9" s="177" t="n">
        <v>590</v>
      </c>
      <c r="E9" s="178" t="n">
        <v>2950</v>
      </c>
      <c r="F9" s="176" t="n">
        <v>5</v>
      </c>
      <c r="G9" s="177" t="n">
        <v>575</v>
      </c>
      <c r="H9" s="178" t="n">
        <v>2875</v>
      </c>
      <c r="I9" s="176" t="n">
        <v>-75</v>
      </c>
      <c r="J9" s="178" t="n">
        <v>-2.54</v>
      </c>
      <c r="K9" s="176" t="n">
        <v>-80</v>
      </c>
      <c r="L9" s="177" t="n">
        <v>-2.71</v>
      </c>
      <c r="M9" s="177" t="n">
        <v>590.6</v>
      </c>
    </row>
    <row r="10" ht="22" customHeight="1">
      <c r="B10" s="181" t="inlineStr">
        <is>
          <t>BTC/USDT</t>
        </is>
      </c>
      <c r="C10" s="182" t="n">
        <v>0.1</v>
      </c>
      <c r="D10" s="183" t="n">
        <v>62500</v>
      </c>
      <c r="E10" s="184" t="n">
        <v>6250</v>
      </c>
      <c r="F10" s="182" t="n">
        <v>0.1</v>
      </c>
      <c r="G10" s="183" t="n">
        <v>63100</v>
      </c>
      <c r="H10" s="184" t="n">
        <v>6310</v>
      </c>
      <c r="I10" s="182" t="n">
        <v>60</v>
      </c>
      <c r="J10" s="184" t="n">
        <v>0.96</v>
      </c>
      <c r="K10" s="182" t="n">
        <v>55</v>
      </c>
      <c r="L10" s="183" t="n">
        <v>0.88</v>
      </c>
      <c r="M10" s="183" t="n">
        <v>62512.5</v>
      </c>
    </row>
    <row r="11" ht="22" customHeight="1">
      <c r="B11" s="175" t="inlineStr">
        <is>
          <t>ETH/BTC</t>
        </is>
      </c>
      <c r="C11" s="176" t="n">
        <v>0.8</v>
      </c>
      <c r="D11" s="177" t="n">
        <v>0.0518</v>
      </c>
      <c r="E11" s="178" t="n">
        <v>0.04144</v>
      </c>
      <c r="F11" s="176" t="n">
        <v>0.8</v>
      </c>
      <c r="G11" s="177" t="n">
        <v>0.053</v>
      </c>
      <c r="H11" s="178" t="n">
        <v>0.0424</v>
      </c>
      <c r="I11" s="176" t="n">
        <v>0.00096</v>
      </c>
      <c r="J11" s="178" t="n">
        <v>2.32</v>
      </c>
      <c r="K11" s="176" t="n">
        <v>0.00092</v>
      </c>
      <c r="L11" s="177" t="n">
        <v>2.22</v>
      </c>
      <c r="M11" s="177" t="n">
        <v>0.05185</v>
      </c>
    </row>
    <row r="12" ht="22" customHeight="1">
      <c r="B12" s="181" t="inlineStr">
        <is>
          <t>SOL/USDT</t>
        </is>
      </c>
      <c r="C12" s="182" t="n">
        <v>15</v>
      </c>
      <c r="D12" s="183" t="n">
        <v>142</v>
      </c>
      <c r="E12" s="184" t="n">
        <v>2130</v>
      </c>
      <c r="F12" s="182" t="n">
        <v>15</v>
      </c>
      <c r="G12" s="183" t="n">
        <v>147</v>
      </c>
      <c r="H12" s="184" t="n">
        <v>2205</v>
      </c>
      <c r="I12" s="182" t="n">
        <v>75</v>
      </c>
      <c r="J12" s="184" t="n">
        <v>3.52</v>
      </c>
      <c r="K12" s="182" t="n">
        <v>70</v>
      </c>
      <c r="L12" s="183" t="n">
        <v>3.29</v>
      </c>
      <c r="M12" s="183" t="n">
        <v>142.28</v>
      </c>
    </row>
  </sheetData>
  <autoFilter ref="B4:M12"/>
  <mergeCells count="1">
    <mergeCell ref="B1:M2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6F9EB3"/>
    <outlinePr summaryBelow="1" summaryRight="1"/>
    <pageSetUpPr fitToPage="1"/>
  </sheetPr>
  <dimension ref="B1:H1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1" customHeight="1">
      <c r="B1" s="1" t="inlineStr">
        <is>
          <t>CRYPTO JOURNAL • СПРАВОЧНИКИ</t>
        </is>
      </c>
    </row>
    <row r="2" ht="21" customHeight="1"/>
    <row r="4" ht="22" customHeight="1">
      <c r="B4" s="205" t="inlineStr">
        <is>
          <t>Тип</t>
        </is>
      </c>
      <c r="C4" s="205" t="inlineStr">
        <is>
          <t>Протокол</t>
        </is>
      </c>
    </row>
    <row r="5" ht="22" customHeight="1">
      <c r="B5" s="206" t="inlineStr">
        <is>
          <t>Торговля</t>
        </is>
      </c>
      <c r="C5" s="206" t="inlineStr">
        <is>
          <t>Binance</t>
        </is>
      </c>
    </row>
    <row r="6" ht="22" customHeight="1">
      <c r="B6" s="206" t="inlineStr">
        <is>
          <t>Лэндинг</t>
        </is>
      </c>
      <c r="C6" s="206" t="inlineStr">
        <is>
          <t>Bybit</t>
        </is>
      </c>
    </row>
    <row r="7" ht="22" customHeight="1">
      <c r="B7" s="206" t="inlineStr">
        <is>
          <t>Пул</t>
        </is>
      </c>
      <c r="C7" s="206" t="inlineStr">
        <is>
          <t>OKX</t>
        </is>
      </c>
    </row>
    <row r="8" ht="22" customHeight="1">
      <c r="C8" s="206" t="inlineStr">
        <is>
          <t>Uniswap</t>
        </is>
      </c>
    </row>
    <row r="9" ht="22" customHeight="1">
      <c r="C9" s="206" t="inlineStr">
        <is>
          <t>AAVE</t>
        </is>
      </c>
    </row>
    <row r="10" ht="22" customHeight="1">
      <c r="C10" s="206" t="inlineStr">
        <is>
          <t>Raydium</t>
        </is>
      </c>
    </row>
  </sheetData>
  <mergeCells count="1">
    <mergeCell ref="B1:H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2026-10-04T12:04:20Z</dcterms:created>
  <dcterms:modified xmlns:dcterms="http://purl.org/dc/terms/" xmlns:xsi="http://www.w3.org/2001/XMLSchema-instance" xsi:type="dcterms:W3CDTF">2026-10-04T18:31:22Z</dcterms:modified>
</cp:coreProperties>
</file>