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Тип">OFFSET(Справочники!$B$5,0,0,MAX(1,COUNTA(Справочники!$B$5:$B$104)),1)</definedName>
    <definedName name="Список_Протокол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'Торговля'!$B$4:$M$12</definedName>
    <definedName name="_xlnm.Print_Area" localSheetId="1">'Торговля'!$A$1:$N$13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#,##0.00######;[Red]-#,##0.00######"/>
    <numFmt numFmtId="166" formatCode="yyyy.mm.dd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3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</fills>
  <borders count="41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</borders>
  <cellStyleXfs count="1">
    <xf numFmtId="0" fontId="0" fillId="0" borderId="0"/>
  </cellStyleXfs>
  <cellXfs count="2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192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Тип</t>
        </is>
      </c>
      <c r="G8" s="3" t="inlineStr">
        <is>
          <t>Курс</t>
        </is>
      </c>
      <c r="H8" s="193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Торговля</t>
        </is>
      </c>
      <c r="C9" s="189" t="n"/>
      <c r="D9" s="189" t="n"/>
      <c r="E9" s="190" t="n"/>
      <c r="G9" s="3" t="inlineStr">
        <is>
          <t>Сумма</t>
        </is>
      </c>
      <c r="H9" s="193" t="n">
        <v>31000</v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G10" s="3" t="inlineStr">
        <is>
          <t>ID закрыть</t>
        </is>
      </c>
      <c r="H10" s="194" t="n">
        <v>1</v>
      </c>
      <c r="I10" s="9" t="inlineStr">
        <is>
          <t>ID закрыть</t>
        </is>
      </c>
      <c r="J10" s="194" t="n">
        <v>1</v>
      </c>
      <c r="K10" s="207" t="n"/>
      <c r="L10" s="207" t="n"/>
    </row>
    <row r="11" ht="22" customHeight="1">
      <c r="B11" s="3" t="inlineStr">
        <is>
          <t>Актив 1</t>
        </is>
      </c>
      <c r="C11" s="14" t="inlineStr">
        <is>
          <t>Актив 2</t>
        </is>
      </c>
      <c r="D11" s="61" t="inlineStr">
        <is>
          <t>Пара (авто)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ETH</t>
        </is>
      </c>
      <c r="C12" s="191" t="inlineStr">
        <is>
          <t>BTC</t>
        </is>
      </c>
      <c r="D12" s="195">
        <f>IF(AND(TRIM(B12)&lt;&gt;"",TRIM(C12)&lt;&gt;""),UPPER(TRIM(B12))&amp;"/"&amp;UPPER(TRIM(C12)),"")</f>
        <v/>
      </c>
      <c r="E12" s="57" t="n"/>
      <c r="G12" s="207" t="n"/>
      <c r="H12" s="207" t="n"/>
      <c r="I12" s="207" t="n"/>
      <c r="J12" s="207" t="n"/>
      <c r="K12" s="207" t="n"/>
      <c r="L12" s="207" t="n"/>
    </row>
    <row r="13" ht="22" customHeight="1"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Протокол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1" t="inlineStr">
        <is>
          <t>Binance</t>
        </is>
      </c>
      <c r="C15" s="189" t="n"/>
      <c r="D15" s="189" t="n"/>
      <c r="E15" s="190" t="n"/>
      <c r="G15" s="3" t="inlineStr">
        <is>
          <t>ID позиции</t>
        </is>
      </c>
      <c r="H15" s="194" t="n">
        <v>1</v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G16" s="207" t="n"/>
      <c r="H16" s="207" t="n"/>
      <c r="I16" s="207" t="n"/>
      <c r="J16" s="207" t="n"/>
      <c r="K16" s="207" t="n"/>
      <c r="L16" s="207" t="n"/>
    </row>
    <row r="17" ht="22" customHeight="1">
      <c r="B17" s="3" t="inlineStr">
        <is>
          <t>Комментарий</t>
        </is>
      </c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197" t="inlineStr">
        <is>
          <t>Пробная операция</t>
        </is>
      </c>
      <c r="C18" s="198" t="n"/>
      <c r="D18" s="198" t="n"/>
      <c r="E18" s="199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207" t="n"/>
      <c r="K18" s="207" t="n"/>
      <c r="L18" s="207" t="n"/>
    </row>
    <row r="19" ht="22" customHeight="1">
      <c r="B19" s="200" t="n"/>
      <c r="C19" s="201" t="n"/>
      <c r="D19" s="201" t="n"/>
      <c r="E19" s="202" t="n"/>
      <c r="G19" s="193" t="n">
        <v>31000</v>
      </c>
      <c r="H19" s="59" t="n">
        <v>62000</v>
      </c>
      <c r="I19" s="59" t="n">
        <v>31000</v>
      </c>
      <c r="J19" s="207" t="n"/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v5: добавлены списки, проверки и автоматическая «Пара».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1">
    <mergeCell ref="B9:E9"/>
    <mergeCell ref="I21:J22"/>
    <mergeCell ref="B18:E19"/>
    <mergeCell ref="B6:E6"/>
    <mergeCell ref="B15:E15"/>
    <mergeCell ref="B5:E5"/>
    <mergeCell ref="D11:E11"/>
    <mergeCell ref="B3:E3"/>
    <mergeCell ref="B22:E22"/>
    <mergeCell ref="G21:H22"/>
    <mergeCell ref="G17:J17"/>
    <mergeCell ref="B21:E21"/>
    <mergeCell ref="G5:H5"/>
    <mergeCell ref="I5:J5"/>
    <mergeCell ref="B14:E14"/>
    <mergeCell ref="D12:E12"/>
    <mergeCell ref="B17:E17"/>
    <mergeCell ref="G13:J13"/>
    <mergeCell ref="B8:E8"/>
    <mergeCell ref="B1:J2"/>
    <mergeCell ref="G3:J3"/>
  </mergeCells>
  <dataValidations count="7">
    <dataValidation sqref="H6" showDropDown="0" showInputMessage="0" showErrorMessage="0" allowBlank="1" type="list">
      <formula1>"Buy,Sell"</formula1>
    </dataValidation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9" showDropDown="0" showInputMessage="0" showErrorMessage="1" allowBlank="1" errorTitle="Тип" error="Выберите значение из списка." type="list">
      <formula1>=Список_Тип</formula1>
    </dataValidation>
    <dataValidation sqref="B1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B12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=AND(ISERROR(FIND("/",B12)),UPPER(TRIM(B12))&lt;&gt;UPPER(TRIM(C12)))</formula1>
    </dataValidation>
    <dataValidation sqref="C12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=AND(ISERROR(FIND("/",C12)),UPPER(TRIM(C12))&lt;&gt;UPPER(TRIM(B12)))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n">
        <v>1</v>
      </c>
      <c r="C5" s="209" t="n">
        <v>46296</v>
      </c>
      <c r="D5" s="186" t="inlineStr">
        <is>
          <t>Uniswap</t>
        </is>
      </c>
      <c r="E5" s="175" t="inlineStr">
        <is>
          <t>ETH/BTC</t>
        </is>
      </c>
      <c r="F5" s="176" t="n">
        <v>2</v>
      </c>
      <c r="G5" s="177" t="n">
        <v>0.104</v>
      </c>
    </row>
    <row r="6" ht="22" customHeight="1">
      <c r="B6" s="187" t="n">
        <v>2</v>
      </c>
      <c r="C6" s="210" t="n">
        <v>46296</v>
      </c>
      <c r="D6" s="187" t="inlineStr">
        <is>
          <t>Raydium</t>
        </is>
      </c>
      <c r="E6" s="181" t="inlineStr">
        <is>
          <t>SOL/USDT</t>
        </is>
      </c>
      <c r="F6" s="182" t="n">
        <v>30</v>
      </c>
      <c r="G6" s="183" t="n">
        <v>4350</v>
      </c>
    </row>
    <row r="7" ht="22" customHeight="1">
      <c r="B7" s="186" t="n">
        <v>3</v>
      </c>
      <c r="C7" s="209" t="n">
        <v>46297</v>
      </c>
      <c r="D7" s="186" t="inlineStr">
        <is>
          <t>PancakeSwap</t>
        </is>
      </c>
      <c r="E7" s="175" t="inlineStr">
        <is>
          <t>BNB/USDT</t>
        </is>
      </c>
      <c r="F7" s="176" t="n">
        <v>4</v>
      </c>
      <c r="G7" s="177" t="n">
        <v>2360</v>
      </c>
    </row>
    <row r="8" ht="22" customHeight="1">
      <c r="B8" s="187" t="n">
        <v>4</v>
      </c>
      <c r="C8" s="210" t="n">
        <v>46298</v>
      </c>
      <c r="D8" s="187" t="inlineStr">
        <is>
          <t>Uniswap</t>
        </is>
      </c>
      <c r="E8" s="181" t="inlineStr">
        <is>
          <t>ETH/USDT</t>
        </is>
      </c>
      <c r="F8" s="182" t="n">
        <v>1.5</v>
      </c>
      <c r="G8" s="183" t="n">
        <v>4800</v>
      </c>
    </row>
    <row r="9" ht="22" customHeight="1">
      <c r="B9" s="186" t="n">
        <v>5</v>
      </c>
      <c r="C9" s="209" t="n">
        <v>46298</v>
      </c>
      <c r="D9" s="186" t="inlineStr">
        <is>
          <t>Orca</t>
        </is>
      </c>
      <c r="E9" s="175" t="inlineStr">
        <is>
          <t>SOL/USDT</t>
        </is>
      </c>
      <c r="F9" s="176" t="n">
        <v>12</v>
      </c>
      <c r="G9" s="177" t="n">
        <v>1740</v>
      </c>
    </row>
    <row r="10" ht="22" customHeight="1">
      <c r="B10" s="187" t="n">
        <v>6</v>
      </c>
      <c r="C10" s="210" t="n">
        <v>46299</v>
      </c>
      <c r="D10" s="187" t="inlineStr">
        <is>
          <t>Uniswap</t>
        </is>
      </c>
      <c r="E10" s="181" t="inlineStr">
        <is>
          <t>BTC/USDT</t>
        </is>
      </c>
      <c r="F10" s="182" t="n">
        <v>0.05</v>
      </c>
      <c r="G10" s="183" t="n">
        <v>3125</v>
      </c>
    </row>
    <row r="11" ht="22" customHeight="1">
      <c r="B11" s="186" t="n">
        <v>7</v>
      </c>
      <c r="C11" s="209" t="n">
        <v>46299</v>
      </c>
      <c r="D11" s="186" t="inlineStr">
        <is>
          <t>PancakeSwap</t>
        </is>
      </c>
      <c r="E11" s="175" t="inlineStr">
        <is>
          <t>ETH/BTC</t>
        </is>
      </c>
      <c r="F11" s="176" t="n">
        <v>1.2</v>
      </c>
      <c r="G11" s="177" t="n">
        <v>0.0624</v>
      </c>
    </row>
    <row r="12" ht="22" customHeight="1">
      <c r="B12" s="187" t="n">
        <v>8</v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/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n">
        <v>1</v>
      </c>
      <c r="C5" s="209" t="n">
        <v>46296</v>
      </c>
      <c r="D5" s="209" t="n">
        <v>46297</v>
      </c>
      <c r="E5" s="186" t="inlineStr">
        <is>
          <t>Binance</t>
        </is>
      </c>
      <c r="F5" s="175" t="inlineStr">
        <is>
          <t>ETH/BTC</t>
        </is>
      </c>
      <c r="G5" s="176" t="n">
        <v>0.5</v>
      </c>
      <c r="H5" s="177" t="n">
        <v>0.0521</v>
      </c>
      <c r="I5" s="178" t="n">
        <v>0.02605</v>
      </c>
      <c r="J5" s="176" t="n">
        <v>0.5</v>
      </c>
      <c r="K5" s="177" t="n">
        <v>0.0534</v>
      </c>
      <c r="L5" s="178" t="n">
        <v>0.0267</v>
      </c>
      <c r="M5" s="176" t="n">
        <v>0.00065</v>
      </c>
      <c r="N5" s="178" t="n">
        <v>2.5</v>
      </c>
      <c r="O5" s="176" t="n">
        <v>0.00063</v>
      </c>
      <c r="P5" s="177" t="n">
        <v>2.42</v>
      </c>
      <c r="Q5" s="177" t="n">
        <v>0.0522</v>
      </c>
    </row>
    <row r="6" ht="22" customHeight="1">
      <c r="B6" s="187" t="n">
        <v>2</v>
      </c>
      <c r="C6" s="210" t="n">
        <v>46296</v>
      </c>
      <c r="D6" s="210" t="n">
        <v>46298</v>
      </c>
      <c r="E6" s="187" t="inlineStr">
        <is>
          <t>Bybit</t>
        </is>
      </c>
      <c r="F6" s="181" t="inlineStr">
        <is>
          <t>BTC/USDT</t>
        </is>
      </c>
      <c r="G6" s="182" t="n">
        <v>0.25</v>
      </c>
      <c r="H6" s="183" t="n">
        <v>62000</v>
      </c>
      <c r="I6" s="184" t="n">
        <v>15500</v>
      </c>
      <c r="J6" s="182" t="n">
        <v>0.25</v>
      </c>
      <c r="K6" s="183" t="n">
        <v>64000</v>
      </c>
      <c r="L6" s="184" t="n">
        <v>16000</v>
      </c>
      <c r="M6" s="182" t="n">
        <v>500</v>
      </c>
      <c r="N6" s="184" t="n">
        <v>3.23</v>
      </c>
      <c r="O6" s="182" t="n">
        <v>485</v>
      </c>
      <c r="P6" s="183" t="n">
        <v>3.13</v>
      </c>
      <c r="Q6" s="183" t="n">
        <v>62155</v>
      </c>
    </row>
    <row r="7" ht="22" customHeight="1">
      <c r="B7" s="186" t="n">
        <v>3</v>
      </c>
      <c r="C7" s="209" t="n">
        <v>46297</v>
      </c>
      <c r="D7" s="209" t="n">
        <v>46298</v>
      </c>
      <c r="E7" s="186" t="inlineStr">
        <is>
          <t>OKX</t>
        </is>
      </c>
      <c r="F7" s="175" t="inlineStr">
        <is>
          <t>SOL/USDT</t>
        </is>
      </c>
      <c r="G7" s="176" t="n">
        <v>20</v>
      </c>
      <c r="H7" s="177" t="n">
        <v>145</v>
      </c>
      <c r="I7" s="178" t="n">
        <v>2900</v>
      </c>
      <c r="J7" s="176" t="n">
        <v>20</v>
      </c>
      <c r="K7" s="177" t="n">
        <v>139</v>
      </c>
      <c r="L7" s="178" t="n">
        <v>2780</v>
      </c>
      <c r="M7" s="176" t="n">
        <v>-120</v>
      </c>
      <c r="N7" s="178" t="n">
        <v>-4.14</v>
      </c>
      <c r="O7" s="176" t="n">
        <v>-125</v>
      </c>
      <c r="P7" s="177" t="n">
        <v>-4.31</v>
      </c>
      <c r="Q7" s="177" t="n">
        <v>145.3</v>
      </c>
    </row>
    <row r="8" ht="22" customHeight="1">
      <c r="B8" s="187" t="n">
        <v>4</v>
      </c>
      <c r="C8" s="210" t="n">
        <v>46298</v>
      </c>
      <c r="D8" s="210" t="n">
        <v>46301</v>
      </c>
      <c r="E8" s="187" t="inlineStr">
        <is>
          <t>Binance</t>
        </is>
      </c>
      <c r="F8" s="181" t="inlineStr">
        <is>
          <t>ETH/USDT</t>
        </is>
      </c>
      <c r="G8" s="182" t="n">
        <v>1.2</v>
      </c>
      <c r="H8" s="183" t="n">
        <v>3200</v>
      </c>
      <c r="I8" s="184" t="n">
        <v>3840</v>
      </c>
      <c r="J8" s="182" t="n">
        <v>1.2</v>
      </c>
      <c r="K8" s="183" t="n">
        <v>3350</v>
      </c>
      <c r="L8" s="184" t="n">
        <v>4020</v>
      </c>
      <c r="M8" s="182" t="n">
        <v>180</v>
      </c>
      <c r="N8" s="184" t="n">
        <v>4.69</v>
      </c>
      <c r="O8" s="182" t="n">
        <v>175</v>
      </c>
      <c r="P8" s="183" t="n">
        <v>4.56</v>
      </c>
      <c r="Q8" s="183" t="n">
        <v>3203.84</v>
      </c>
    </row>
    <row r="9" ht="22" customHeight="1">
      <c r="B9" s="186" t="n">
        <v>5</v>
      </c>
      <c r="C9" s="209" t="n">
        <v>46298</v>
      </c>
      <c r="D9" s="209" t="n">
        <v>46300</v>
      </c>
      <c r="E9" s="186" t="inlineStr">
        <is>
          <t>Bybit</t>
        </is>
      </c>
      <c r="F9" s="175" t="inlineStr">
        <is>
          <t>BNB/USDT</t>
        </is>
      </c>
      <c r="G9" s="176" t="n">
        <v>5</v>
      </c>
      <c r="H9" s="177" t="n">
        <v>590</v>
      </c>
      <c r="I9" s="178" t="n">
        <v>2950</v>
      </c>
      <c r="J9" s="176" t="n">
        <v>5</v>
      </c>
      <c r="K9" s="177" t="n">
        <v>575</v>
      </c>
      <c r="L9" s="178" t="n">
        <v>2875</v>
      </c>
      <c r="M9" s="176" t="n">
        <v>-75</v>
      </c>
      <c r="N9" s="178" t="n">
        <v>-2.54</v>
      </c>
      <c r="O9" s="176" t="n">
        <v>-80</v>
      </c>
      <c r="P9" s="177" t="n">
        <v>-2.71</v>
      </c>
      <c r="Q9" s="177" t="n">
        <v>590.6</v>
      </c>
    </row>
    <row r="10" ht="22" customHeight="1">
      <c r="B10" s="187" t="n">
        <v>6</v>
      </c>
      <c r="C10" s="210" t="n">
        <v>46299</v>
      </c>
      <c r="D10" s="210" t="n">
        <v>46300</v>
      </c>
      <c r="E10" s="187" t="inlineStr">
        <is>
          <t>OKX</t>
        </is>
      </c>
      <c r="F10" s="181" t="inlineStr">
        <is>
          <t>BTC/USDT</t>
        </is>
      </c>
      <c r="G10" s="182" t="n">
        <v>0.1</v>
      </c>
      <c r="H10" s="183" t="n">
        <v>62500</v>
      </c>
      <c r="I10" s="184" t="n">
        <v>6250</v>
      </c>
      <c r="J10" s="182" t="n">
        <v>0.1</v>
      </c>
      <c r="K10" s="183" t="n">
        <v>63100</v>
      </c>
      <c r="L10" s="184" t="n">
        <v>6310</v>
      </c>
      <c r="M10" s="182" t="n">
        <v>60</v>
      </c>
      <c r="N10" s="184" t="n">
        <v>0.96</v>
      </c>
      <c r="O10" s="182" t="n">
        <v>55</v>
      </c>
      <c r="P10" s="183" t="n">
        <v>0.88</v>
      </c>
      <c r="Q10" s="183" t="n">
        <v>62512.5</v>
      </c>
    </row>
    <row r="11" ht="22" customHeight="1">
      <c r="B11" s="186" t="n">
        <v>7</v>
      </c>
      <c r="C11" s="209" t="n">
        <v>46299</v>
      </c>
      <c r="D11" s="209" t="n">
        <v>46301</v>
      </c>
      <c r="E11" s="186" t="inlineStr">
        <is>
          <t>Binance</t>
        </is>
      </c>
      <c r="F11" s="175" t="inlineStr">
        <is>
          <t>ETH/BTC</t>
        </is>
      </c>
      <c r="G11" s="176" t="n">
        <v>0.8</v>
      </c>
      <c r="H11" s="177" t="n">
        <v>0.0518</v>
      </c>
      <c r="I11" s="178" t="n">
        <v>0.04144</v>
      </c>
      <c r="J11" s="176" t="n">
        <v>0.8</v>
      </c>
      <c r="K11" s="177" t="n">
        <v>0.053</v>
      </c>
      <c r="L11" s="178" t="n">
        <v>0.0424</v>
      </c>
      <c r="M11" s="176" t="n">
        <v>0.00096</v>
      </c>
      <c r="N11" s="178" t="n">
        <v>2.32</v>
      </c>
      <c r="O11" s="176" t="n">
        <v>0.00092</v>
      </c>
      <c r="P11" s="177" t="n">
        <v>2.22</v>
      </c>
      <c r="Q11" s="177" t="n">
        <v>0.05185</v>
      </c>
    </row>
    <row r="12" ht="22" customHeight="1">
      <c r="B12" s="187" t="n">
        <v>8</v>
      </c>
      <c r="C12" s="210" t="n">
        <v>46299</v>
      </c>
      <c r="D12" s="210" t="n">
        <v>46300</v>
      </c>
      <c r="E12" s="187" t="inlineStr">
        <is>
          <t>Bybit</t>
        </is>
      </c>
      <c r="F12" s="181" t="inlineStr">
        <is>
          <t>SOL/USDT</t>
        </is>
      </c>
      <c r="G12" s="182" t="n">
        <v>15</v>
      </c>
      <c r="H12" s="183" t="n">
        <v>142</v>
      </c>
      <c r="I12" s="184" t="n">
        <v>2130</v>
      </c>
      <c r="J12" s="182" t="n">
        <v>15</v>
      </c>
      <c r="K12" s="183" t="n">
        <v>147</v>
      </c>
      <c r="L12" s="184" t="n">
        <v>2205</v>
      </c>
      <c r="M12" s="182" t="n">
        <v>75</v>
      </c>
      <c r="N12" s="184" t="n">
        <v>3.52</v>
      </c>
      <c r="O12" s="182" t="n">
        <v>70</v>
      </c>
      <c r="P12" s="183" t="n">
        <v>3.29</v>
      </c>
      <c r="Q12" s="183" t="n">
        <v>142.28</v>
      </c>
    </row>
  </sheetData>
  <autoFilter ref="B4:Q12"/>
  <mergeCells count="1">
    <mergeCell ref="B1:Q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Тип</t>
        </is>
      </c>
      <c r="C4" s="205" t="inlineStr">
        <is>
          <t>Протокол</t>
        </is>
      </c>
    </row>
    <row r="5" ht="22" customHeight="1">
      <c r="B5" s="206" t="inlineStr">
        <is>
          <t>Торговля</t>
        </is>
      </c>
      <c r="C5" s="206" t="inlineStr">
        <is>
          <t>Binance</t>
        </is>
      </c>
    </row>
    <row r="6" ht="22" customHeight="1">
      <c r="B6" s="206" t="inlineStr">
        <is>
          <t>Лэндинг</t>
        </is>
      </c>
      <c r="C6" s="206" t="inlineStr">
        <is>
          <t>Bybit</t>
        </is>
      </c>
    </row>
    <row r="7" ht="22" customHeight="1">
      <c r="B7" s="206" t="inlineStr">
        <is>
          <t>Пул</t>
        </is>
      </c>
      <c r="C7" s="206" t="inlineStr">
        <is>
          <t>OKX</t>
        </is>
      </c>
    </row>
    <row r="8" ht="22" customHeight="1">
      <c r="C8" s="206" t="inlineStr">
        <is>
          <t>Uniswap</t>
        </is>
      </c>
    </row>
    <row r="9" ht="22" customHeight="1">
      <c r="C9" s="206" t="inlineStr">
        <is>
          <t>AAVE</t>
        </is>
      </c>
    </row>
    <row r="10" ht="22" customHeight="1">
      <c r="C10" s="206" t="inlineStr">
        <is>
          <t>Raydium</t>
        </is>
      </c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2026-10-04T18:51:22Z</dcterms:modified>
</cp:coreProperties>
</file>