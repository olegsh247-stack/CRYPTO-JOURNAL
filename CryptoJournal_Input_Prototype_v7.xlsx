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'Ввод'!$A$1:$K$25</definedName>
    <definedName name="_xlnm._FilterDatabase" localSheetId="1" hidden="1">'Торговля'!$B$4:$N$16</definedName>
    <definedName name="_xlnm.Print_Area" localSheetId="1">'Торговля'!$A$1:$N$17</definedName>
    <definedName name="_xlnm._FilterDatabase" localSheetId="2" hidden="1">'ИТОГО Торговля'!$B$4:$M$12</definedName>
    <definedName name="_xlnm.Print_Area" localSheetId="2">'ИТОГО Торговля'!$A$1:$N$13</definedName>
    <definedName name="_xlnm._FilterDatabase" localSheetId="3" hidden="1">'Лэндинг'!$B$4:$N$16</definedName>
    <definedName name="_xlnm.Print_Area" localSheetId="3">'Лэндинг'!$A$1:$N$17</definedName>
    <definedName name="_xlnm._FilterDatabase" localSheetId="4" hidden="1">'ИТОГО Лэндинг'!$B$4:$M$12</definedName>
    <definedName name="_xlnm.Print_Area" localSheetId="4">'ИТОГО Лэндинг'!$A$1:$N$13</definedName>
    <definedName name="_xlnm._FilterDatabase" localSheetId="5" hidden="1">'Пул'!$B$4:$K$12</definedName>
    <definedName name="_xlnm.Print_Area" localSheetId="5">'Пул'!$A$1:$K$13</definedName>
    <definedName name="_xlnm._FilterDatabase" localSheetId="6" hidden="1">'ИТОГО ПУЛ'!$B$4:$L$12</definedName>
    <definedName name="_xlnm.Print_Area" localSheetId="6">'ИТОГО ПУЛ'!$A$1:$M$13</definedName>
    <definedName name="_xlnm._FilterDatabase" localSheetId="7" hidden="1">'Закрытые'!$B$4:$O$12</definedName>
    <definedName name="_xlnm.Print_Area" localSheetId="7">'Закрытые'!$A$1:$P$13</definedName>
    <definedName name="_xlnm._FilterDatabase" localSheetId="8" hidden="1">'ИТОГО'!$B$4:$M$12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</fonts>
  <fills count="19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</fills>
  <borders count="51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</borders>
  <cellStyleXfs count="1">
    <xf numFmtId="0" fontId="0" fillId="0" borderId="0"/>
  </cellStyleXfs>
  <cellXfs count="27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L24"/>
  <sheetViews>
    <sheetView showGridLines="0" zoomScale="100" zoomScaleNormal="100" workbookViewId="0">
      <selection activeCell="A1" sqref="A1"/>
    </sheetView>
  </sheetViews>
  <sheetFormatPr baseColWidth="8" defaultRowHeight="15"/>
  <cols>
    <col width="2.5" customWidth="1" min="1" max="1"/>
    <col width="11" customWidth="1" min="2" max="2"/>
    <col width="11" customWidth="1" min="3" max="3"/>
    <col width="11" customWidth="1" min="4" max="4"/>
    <col width="11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1" customHeight="1">
      <c r="B1" s="1" t="inlineStr">
        <is>
          <t>CRYPTO JOURNAL • ВВОД</t>
        </is>
      </c>
      <c r="K1" s="207" t="n"/>
      <c r="L1" s="207" t="n"/>
    </row>
    <row r="2" ht="21" customHeight="1">
      <c r="K2" s="207" t="n"/>
      <c r="L2" s="207" t="n"/>
    </row>
    <row r="3" ht="22" customHeight="1">
      <c r="B3" s="2" t="inlineStr">
        <is>
          <t>ОСНОВНЫЕ ДАННЫЕ</t>
        </is>
      </c>
      <c r="G3" s="2" t="inlineStr">
        <is>
          <t>РАЗДЕЛЫ</t>
        </is>
      </c>
      <c r="K3" s="207" t="n"/>
      <c r="L3" s="207" t="n"/>
    </row>
    <row r="4" ht="22" customHeight="1">
      <c r="G4" s="207" t="n"/>
      <c r="H4" s="207" t="n"/>
      <c r="I4" s="207" t="n"/>
      <c r="J4" s="207" t="n"/>
      <c r="K4" s="207" t="n"/>
      <c r="L4" s="207" t="n"/>
    </row>
    <row r="5" ht="22" customHeight="1">
      <c r="B5" s="3" t="inlineStr">
        <is>
          <t>Дата</t>
        </is>
      </c>
      <c r="G5" s="100" t="inlineStr">
        <is>
          <t>ТОРГОВЛЯ</t>
        </is>
      </c>
      <c r="H5" s="55" t="n"/>
      <c r="I5" s="101" t="inlineStr">
        <is>
          <t>ЛЭНДИНГ</t>
        </is>
      </c>
      <c r="J5" s="55" t="n"/>
      <c r="K5" s="207" t="n"/>
      <c r="L5" s="207" t="n"/>
    </row>
    <row r="6" ht="22" customHeight="1">
      <c r="B6" s="208" t="n">
        <v>46299</v>
      </c>
      <c r="C6" s="189" t="n"/>
      <c r="D6" s="189" t="n"/>
      <c r="E6" s="190" t="n"/>
      <c r="G6" s="3" t="inlineStr">
        <is>
          <t>Действие</t>
        </is>
      </c>
      <c r="H6" s="191" t="inlineStr">
        <is>
          <t>Buy</t>
        </is>
      </c>
      <c r="I6" s="9" t="inlineStr">
        <is>
          <t>Действие</t>
        </is>
      </c>
      <c r="J6" s="191" t="inlineStr">
        <is>
          <t>Операция</t>
        </is>
      </c>
      <c r="K6" s="207" t="n"/>
      <c r="L6" s="207" t="n"/>
    </row>
    <row r="7" ht="22" customHeight="1">
      <c r="G7" s="3" t="inlineStr">
        <is>
          <t>Кол-во</t>
        </is>
      </c>
      <c r="H7" s="225" t="n">
        <v>0.5</v>
      </c>
      <c r="I7" s="9" t="inlineStr">
        <is>
          <t>Кол-во</t>
        </is>
      </c>
      <c r="J7" s="193" t="n">
        <v>1000</v>
      </c>
      <c r="K7" s="207" t="n"/>
      <c r="L7" s="207" t="n"/>
    </row>
    <row r="8" ht="22" customHeight="1">
      <c r="B8" s="3" t="inlineStr">
        <is>
          <t>Актив 1</t>
        </is>
      </c>
      <c r="C8" s="14" t="inlineStr">
        <is>
          <t>Актив 2</t>
        </is>
      </c>
      <c r="D8" s="61" t="inlineStr">
        <is>
          <t>Пара (авто)</t>
        </is>
      </c>
      <c r="G8" s="3" t="inlineStr">
        <is>
          <t>Курс</t>
        </is>
      </c>
      <c r="H8" s="225" t="n">
        <v>62000</v>
      </c>
      <c r="I8" s="9" t="inlineStr">
        <is>
          <t>Курс (авто)</t>
        </is>
      </c>
      <c r="J8" s="211">
        <f>IF(AND(ISNUMBER(J7),ISNUMBER(J9),J7&lt;&gt;0,1-N(J19)/100&lt;&gt;0),J9/(J7*(1-N(J19)/100)),"")</f>
        <v/>
      </c>
      <c r="K8" s="207" t="n"/>
      <c r="L8" s="207" t="n"/>
    </row>
    <row r="9" ht="22" customHeight="1">
      <c r="B9" s="191" t="inlineStr">
        <is>
          <t>ETH</t>
        </is>
      </c>
      <c r="C9" s="191" t="inlineStr">
        <is>
          <t>BTC</t>
        </is>
      </c>
      <c r="D9" s="195">
        <f>IF(AND(TRIM(B9)&lt;&gt;"",TRIM(C9)&lt;&gt;""),UPPER(TRIM(B9))&amp;"/"&amp;UPPER(TRIM(C9)),"")</f>
        <v/>
      </c>
      <c r="E9" s="57" t="n"/>
      <c r="G9" s="3" t="inlineStr">
        <is>
          <t>Сумма (авто)</t>
        </is>
      </c>
      <c r="H9" s="211">
        <f>IF(AND(ISNUMBER(H7),ISNUMBER(H8),OR(H6="Buy",H6="Sell")),H7*H8*(1+IF(H6="Buy",1,-1)*N(J19)/100),"")</f>
        <v/>
      </c>
      <c r="I9" s="9" t="inlineStr">
        <is>
          <t>Сумма</t>
        </is>
      </c>
      <c r="J9" s="193" t="n">
        <v>1000</v>
      </c>
      <c r="K9" s="207" t="n"/>
      <c r="L9" s="207" t="n"/>
    </row>
    <row r="10" ht="22" customHeight="1">
      <c r="B10" s="207" t="n"/>
      <c r="C10" s="207" t="n"/>
      <c r="D10" s="207" t="n"/>
      <c r="E10" s="207" t="n"/>
      <c r="G10" s="3" t="inlineStr">
        <is>
          <t>ID закрыть</t>
        </is>
      </c>
      <c r="H10" s="194" t="inlineStr">
        <is>
          <t>T-0001</t>
        </is>
      </c>
      <c r="I10" s="9" t="inlineStr">
        <is>
          <t>ID закрыть</t>
        </is>
      </c>
      <c r="J10" s="194" t="inlineStr">
        <is>
          <t>L-0001</t>
        </is>
      </c>
      <c r="K10" s="207" t="n"/>
      <c r="L10" s="207" t="n"/>
    </row>
    <row r="11" ht="22" customHeight="1">
      <c r="B11" s="3" t="inlineStr">
        <is>
          <t>Протокол</t>
        </is>
      </c>
      <c r="G11" s="3" t="inlineStr">
        <is>
          <t>Сумма закрыть</t>
        </is>
      </c>
      <c r="H11" s="193" t="n">
        <v>15500</v>
      </c>
      <c r="I11" s="9" t="inlineStr">
        <is>
          <t>Сумма закрыть</t>
        </is>
      </c>
      <c r="J11" s="193" t="n">
        <v>500</v>
      </c>
      <c r="K11" s="207" t="n"/>
      <c r="L11" s="207" t="n"/>
    </row>
    <row r="12" ht="22" customHeight="1">
      <c r="B12" s="191" t="inlineStr">
        <is>
          <t>Binance</t>
        </is>
      </c>
      <c r="C12" s="189" t="n"/>
      <c r="D12" s="189" t="n"/>
      <c r="E12" s="190" t="n"/>
      <c r="G12" s="207" t="n"/>
      <c r="H12" s="207" t="n"/>
      <c r="I12" s="207" t="n"/>
      <c r="J12" s="207" t="n"/>
      <c r="K12" s="207" t="n"/>
      <c r="L12" s="207" t="n"/>
    </row>
    <row r="13" ht="22" customHeight="1">
      <c r="B13" s="207" t="n"/>
      <c r="C13" s="207" t="n"/>
      <c r="D13" s="207" t="n"/>
      <c r="E13" s="207" t="n"/>
      <c r="G13" s="102" t="inlineStr">
        <is>
          <t>ПУЛЫ</t>
        </is>
      </c>
      <c r="H13" s="63" t="n"/>
      <c r="I13" s="63" t="n"/>
      <c r="J13" s="63" t="n"/>
      <c r="K13" s="207" t="n"/>
      <c r="L13" s="207" t="n"/>
    </row>
    <row r="14" ht="22" customHeight="1">
      <c r="B14" s="3" t="inlineStr">
        <is>
          <t>Комментарий</t>
        </is>
      </c>
      <c r="G14" s="3" t="inlineStr">
        <is>
          <t>Действие</t>
        </is>
      </c>
      <c r="H14" s="191" t="inlineStr">
        <is>
          <t>Добавить</t>
        </is>
      </c>
      <c r="I14" s="14" t="inlineStr">
        <is>
          <t>Кол-во 1</t>
        </is>
      </c>
      <c r="J14" s="192" t="n">
        <v>0.1</v>
      </c>
      <c r="K14" s="207" t="n"/>
      <c r="L14" s="207" t="n"/>
    </row>
    <row r="15" ht="22" customHeight="1">
      <c r="B15" s="197" t="inlineStr">
        <is>
          <t>Пробная операция</t>
        </is>
      </c>
      <c r="C15" s="198" t="n"/>
      <c r="D15" s="198" t="n"/>
      <c r="E15" s="199" t="n"/>
      <c r="G15" s="3" t="inlineStr">
        <is>
          <t>ID позиции</t>
        </is>
      </c>
      <c r="H15" s="194" t="inlineStr">
        <is>
          <t>P-0001</t>
        </is>
      </c>
      <c r="I15" s="14" t="inlineStr">
        <is>
          <t>Кол-во 2</t>
        </is>
      </c>
      <c r="J15" s="193" t="n">
        <v>6200</v>
      </c>
      <c r="K15" s="207" t="n"/>
      <c r="L15" s="207" t="n"/>
    </row>
    <row r="16" ht="22" customHeight="1">
      <c r="B16" s="221" t="n"/>
      <c r="C16" s="222" t="n"/>
      <c r="D16" s="222" t="n"/>
      <c r="E16" s="223" t="n"/>
      <c r="G16" s="207" t="n"/>
      <c r="H16" s="207" t="n"/>
      <c r="I16" s="207" t="n"/>
      <c r="J16" s="207" t="n"/>
      <c r="K16" s="207" t="n"/>
      <c r="L16" s="207" t="n"/>
    </row>
    <row r="17" ht="22" customHeight="1">
      <c r="B17" s="221" t="n"/>
      <c r="C17" s="222" t="n"/>
      <c r="D17" s="222" t="n"/>
      <c r="E17" s="223" t="n"/>
      <c r="G17" s="103" t="inlineStr">
        <is>
          <t>Обратный расчёт</t>
        </is>
      </c>
      <c r="H17" s="64" t="n"/>
      <c r="I17" s="64" t="n"/>
      <c r="J17" s="64" t="n"/>
      <c r="K17" s="207" t="n"/>
      <c r="L17" s="207" t="n"/>
    </row>
    <row r="18" ht="22" customHeight="1">
      <c r="B18" s="221" t="n"/>
      <c r="C18" s="222" t="n"/>
      <c r="D18" s="222" t="n"/>
      <c r="E18" s="223" t="n"/>
      <c r="G18" s="264" t="inlineStr">
        <is>
          <t>Сумма</t>
        </is>
      </c>
      <c r="H18" s="265" t="inlineStr">
        <is>
          <t>Курс</t>
        </is>
      </c>
      <c r="I18" s="265" t="inlineStr">
        <is>
          <t>Кол-во (авто)</t>
        </is>
      </c>
      <c r="J18" s="265" t="inlineStr">
        <is>
          <t>Комиссия</t>
        </is>
      </c>
      <c r="K18" s="207" t="n"/>
      <c r="L18" s="207" t="n"/>
    </row>
    <row r="19" ht="22" customHeight="1">
      <c r="B19" s="200" t="n"/>
      <c r="C19" s="201" t="n"/>
      <c r="D19" s="201" t="n"/>
      <c r="E19" s="202" t="n"/>
      <c r="G19" s="266" t="n">
        <v>31000</v>
      </c>
      <c r="H19" s="266" t="n">
        <v>62000</v>
      </c>
      <c r="I19" s="269">
        <f>IF(AND(ISNUMBER(G19),ISNUMBER(H19),H19&lt;&gt;0,1-N(J19)/100&lt;&gt;0),G19/(H19*(1-N(J19)/100)),"")</f>
        <v/>
      </c>
      <c r="J19" s="266" t="n">
        <v>0.2</v>
      </c>
      <c r="K19" s="207" t="n"/>
      <c r="L19" s="207" t="n"/>
    </row>
    <row r="20" ht="22" customHeight="1">
      <c r="G20" s="207" t="n"/>
      <c r="H20" s="207" t="n"/>
      <c r="I20" s="207" t="n"/>
      <c r="J20" s="207" t="n"/>
      <c r="K20" s="207" t="n"/>
      <c r="L20" s="207" t="n"/>
    </row>
    <row r="21" ht="26" customHeight="1">
      <c r="B21" s="3" t="inlineStr">
        <is>
          <t>СТАТУС</t>
        </is>
      </c>
      <c r="G21" s="26" t="inlineStr">
        <is>
          <t>ЗАПИСАТЬ</t>
        </is>
      </c>
      <c r="I21" s="71" t="inlineStr">
        <is>
          <t>ОЧИСТИТЬ</t>
        </is>
      </c>
      <c r="K21" s="207" t="n"/>
      <c r="L21" s="207" t="n"/>
    </row>
    <row r="22" ht="26" customHeight="1">
      <c r="B22" s="15" t="inlineStr">
        <is>
          <t>Готово к вводу</t>
        </is>
      </c>
      <c r="C22" s="56" t="n"/>
      <c r="D22" s="56" t="n"/>
      <c r="E22" s="57" t="n"/>
      <c r="I22" s="72" t="n"/>
      <c r="K22" s="207" t="n"/>
      <c r="L22" s="207" t="n"/>
    </row>
    <row r="23" ht="22" customHeight="1"/>
    <row r="24" ht="22" customHeight="1">
      <c r="B24" s="29" t="inlineStr">
        <is>
          <t>Прототип v7: Обратный расчёт — Сумма и Курс вручную, Кол-во (авто) с учётом комиссии. Макросов и рабочих кнопок нет.</t>
        </is>
      </c>
    </row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I21:J22"/>
    <mergeCell ref="B6:E6"/>
    <mergeCell ref="B5:E5"/>
    <mergeCell ref="B15:E19"/>
    <mergeCell ref="B3:E3"/>
    <mergeCell ref="B22:E22"/>
    <mergeCell ref="G21:H22"/>
    <mergeCell ref="G17:J17"/>
    <mergeCell ref="B12:E12"/>
    <mergeCell ref="B21:E21"/>
    <mergeCell ref="G5:H5"/>
    <mergeCell ref="I5:J5"/>
    <mergeCell ref="B11:E11"/>
    <mergeCell ref="D9:E9"/>
    <mergeCell ref="B14:E14"/>
    <mergeCell ref="D8:E8"/>
    <mergeCell ref="G13:J13"/>
    <mergeCell ref="B1:J2"/>
    <mergeCell ref="G3:J3"/>
  </mergeCells>
  <dataValidations count="11">
    <dataValidation sqref="H14" showDropDown="0" showInputMessage="0" showErrorMessage="0" allowBlank="1" type="list">
      <formula1>"Добавить,Удалить"</formula1>
    </dataValidation>
    <dataValidation sqref="B6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B12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H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B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=AND(ISERROR(FIND("/",B9)),UPPER(TRIM(B9))&lt;&gt;UPPER(TRIM(C9)))</formula1>
    </dataValidation>
    <dataValidation sqref="C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=AND(ISERROR(FIND("/",C9)),UPPER(TRIM(C9))&lt;&gt;UPPER(TRIM(B9)))</formula1>
    </dataValidation>
    <dataValidation sqref="J19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H7 H8" showDropDown="0" showInputMessage="0" showErrorMessage="1" allowBlank="1" errorTitle="Число" error="Введите число больше нуля." type="decimal" operator="greaterThan">
      <formula1>0</formula1>
    </dataValidation>
    <dataValidation sqref="H10" showDropDown="0" showInputMessage="0" showErrorMessage="1" allowBlank="1" errorTitle="ID закрыть" error="Формат ID: T-0001 (буква T, дефис и номер минимум из четырёх цифр)." type="custom">
      <formula1>=IFERROR(AND(EXACT(LEFT(H10,2),"T-"),ISNUMBER(--MID(H10,3,20)),MID(H10,3,20)=TEXT(--MID(H10,3,20),"0000")),FALSE)</formula1>
    </dataValidation>
    <dataValidation sqref="J10" showDropDown="0" showInputMessage="0" showErrorMessage="1" allowBlank="1" errorTitle="ID закрыть" error="Формат ID: L-0001 (буква L, дефис и номер минимум из четырёх цифр)." type="custom">
      <formula1>=IFERROR(AND(EXACT(LEFT(J10,2),"L-"),ISNUMBER(--MID(J10,3,20)),MID(J10,3,20)=TEXT(--MID(J10,3,20),"0000")),FALSE)</formula1>
    </dataValidation>
    <dataValidation sqref="H15" showDropDown="0" showInputMessage="0" showErrorMessage="1" allowBlank="1" errorTitle="ID позиции" error="Формат ID: P-0001 (буква P, дефис и номер минимум из четырёх цифр)." type="custom">
      <formula1>=IFERROR(AND(EXACT(LEFT(H15,2),"P-"),ISNUMBER(--MID(H15,3,20)),MID(H15,3,20)=TEXT(--MID(H15,3,20),"0000")),FALSE)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1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IF(AND(ISNUMBER(F5),ISNUMBER(G5),F5&gt;0,1-N(Ввод!$J$19)/100&gt;0),G5/(1-N(Ввод!$J$19)/100),IF(AND(ISNUMBER(I5),ISNUMBER(J5),I5&gt;0),J5/(1+N(Ввод!$J$19)/100),""))</f>
        <v/>
      </c>
    </row>
    <row r="6" ht="22" customHeight="1">
      <c r="B6" s="244" t="inlineStr">
        <is>
          <t>T-0001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/>
      </c>
      <c r="I6" s="246" t="n"/>
      <c r="J6" s="183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IF(AND(ISNUMBER(F6),ISNUMBER(G6),F6&gt;0,1-N(Ввод!$J$19)/100&gt;0),G6/(1-N(Ввод!$J$19)/100),IF(AND(ISNUMBER(I6),ISNUMBER(J6),I6&gt;0),J6/(1+N(Ввод!$J$19)/100),""))</f>
        <v/>
      </c>
    </row>
    <row r="7" ht="22" customHeight="1">
      <c r="B7" s="238" t="inlineStr">
        <is>
          <t>T-0004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IF(AND(ISNUMBER(F7),ISNUMBER(G7),F7&gt;0,1-N(Ввод!$J$19)/100&gt;0),G7/(1-N(Ввод!$J$19)/100),IF(AND(ISNUMBER(I7),ISNUMBER(J7),I7&gt;0),J7/(1+N(Ввод!$J$19)/100),""))</f>
        <v/>
      </c>
    </row>
    <row r="8" ht="22" customHeight="1">
      <c r="B8" s="244" t="inlineStr">
        <is>
          <t>T-0002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/>
      </c>
      <c r="I8" s="246" t="n"/>
      <c r="J8" s="183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IF(AND(ISNUMBER(F8),ISNUMBER(G8),F8&gt;0,1-N(Ввод!$J$19)/100&gt;0),G8/(1-N(Ввод!$J$19)/100),IF(AND(ISNUMBER(I8),ISNUMBER(J8),I8&gt;0),J8/(1+N(Ввод!$J$19)/100),""))</f>
        <v/>
      </c>
    </row>
    <row r="9" ht="22" customHeight="1">
      <c r="B9" s="238" t="inlineStr">
        <is>
          <t>T-0007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/>
      </c>
      <c r="I9" s="240" t="n"/>
      <c r="J9" s="17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IF(AND(ISNUMBER(F9),ISNUMBER(G9),F9&gt;0,1-N(Ввод!$J$19)/100&gt;0),G9/(1-N(Ввод!$J$19)/100),IF(AND(ISNUMBER(I9),ISNUMBER(J9),I9&gt;0),J9/(1+N(Ввод!$J$19)/100),""))</f>
        <v/>
      </c>
    </row>
    <row r="10" ht="22" customHeight="1">
      <c r="B10" s="244" t="inlineStr">
        <is>
          <t>T-0008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/>
      </c>
      <c r="I10" s="246" t="n"/>
      <c r="J10" s="183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IF(AND(ISNUMBER(F10),ISNUMBER(G10),F10&gt;0,1-N(Ввод!$J$19)/100&gt;0),G10/(1-N(Ввод!$J$19)/100),IF(AND(ISNUMBER(I10),ISNUMBER(J10),I10&gt;0),J10/(1+N(Ввод!$J$19)/100),""))</f>
        <v/>
      </c>
    </row>
    <row r="11" ht="22" customHeight="1">
      <c r="B11" s="238" t="inlineStr">
        <is>
          <t>T-0009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IF(AND(ISNUMBER(F11),ISNUMBER(G11),F11&gt;0,1-N(Ввод!$J$19)/100&gt;0),G11/(1-N(Ввод!$J$19)/100),IF(AND(ISNUMBER(I11),ISNUMBER(J11),I11&gt;0),J11/(1+N(Ввод!$J$19)/100),""))</f>
        <v/>
      </c>
    </row>
    <row r="12" ht="22" customHeight="1">
      <c r="B12" s="244" t="inlineStr">
        <is>
          <t>T-0010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IF(AND(ISNUMBER(F12),ISNUMBER(G12),F12&gt;0,1-N(Ввод!$J$19)/100&gt;0),G12/(1-N(Ввод!$J$19)/100),IF(AND(ISNUMBER(I12),ISNUMBER(J12),I12&gt;0),J12/(1+N(Ввод!$J$19)/100),""))</f>
        <v/>
      </c>
    </row>
    <row r="13" ht="22" customHeight="1">
      <c r="B13" s="238" t="inlineStr">
        <is>
          <t>T-0011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IF(AND(ISNUMBER(F13),ISNUMBER(G13),F13&gt;0,1-N(Ввод!$J$19)/100&gt;0),G13/(1-N(Ввод!$J$19)/100),IF(AND(ISNUMBER(I13),ISNUMBER(J13),I13&gt;0),J13/(1+N(Ввод!$J$19)/100),""))</f>
        <v/>
      </c>
    </row>
    <row r="14" ht="22" customHeight="1">
      <c r="B14" s="244" t="inlineStr">
        <is>
          <t>T-0012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/>
      </c>
      <c r="I14" s="246" t="n"/>
      <c r="J14" s="183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IF(AND(ISNUMBER(F14),ISNUMBER(G14),F14&gt;0,1-N(Ввод!$J$19)/100&gt;0),G14/(1-N(Ввод!$J$19)/100),IF(AND(ISNUMBER(I14),ISNUMBER(J14),I14&gt;0),J14/(1+N(Ввод!$J$19)/100),""))</f>
        <v/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71">
        <f>IF(AND(ISNUMBER(F15),ISNUMBER(G15)),F15*G15,"")</f>
        <v/>
      </c>
      <c r="I15" s="240" t="n"/>
      <c r="J15" s="17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IF(AND(ISNUMBER(F15),ISNUMBER(G15),F15&gt;0,1-N(Ввод!$J$19)/100&gt;0),G15/(1-N(Ввод!$J$19)/100),IF(AND(ISNUMBER(I15),ISNUMBER(J15),I15&gt;0),J15/(1+N(Ввод!$J$19)/100),""))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71">
        <f>IF(AND(ISNUMBER(F16),ISNUMBER(G16)),F16*G16,"")</f>
        <v/>
      </c>
      <c r="I16" s="246" t="n"/>
      <c r="J16" s="183" t="n"/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IF(AND(ISNUMBER(F16),ISNUMBER(G16),F16&gt;0,1-N(Ввод!$J$19)/100&gt;0),G16/(1-N(Ввод!$J$19)/100),IF(AND(ISNUMBER(I16),ISNUMBER(J16),I16&gt;0),J16/(1+N(Ввод!$J$19)/100),""))</f>
        <v/>
      </c>
    </row>
  </sheetData>
  <autoFilter ref="B4:N16"/>
  <mergeCells count="1">
    <mergeCell ref="B1:N2"/>
  </mergeCells>
  <conditionalFormatting sqref="B5:N200">
    <cfRule type="expression" priority="1" dxfId="0">
      <formula>AND($B5&lt;&gt;"",COUNTIF(Закрытые!$B$5:$B$200,$B5)&gt;0)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SUMIFS(Торговля!$F$5:$F$200,Торговля!$E$5:$E$200,$B5)+SUMIFS(Закрытые!$F$5:$F$200,Закрытые!$E$5:$E$200,$B5,Закрытые!$B$5:$B$200,"T-*")=0,"",SUMIFS(Торговля!$F$5:$F$200,Торговля!$E$5:$E$200,$B5)+SUMIFS(Закрытые!$F$5:$F$200,Закрытые!$E$5:$E$200,$B5,Закрытые!$B$5:$B$200,"T-*"))</f>
        <v/>
      </c>
      <c r="D5" s="177">
        <f>IF(C5="","",(SUMPRODUCT((Торговля!$E$5:$E$200=$B5)*Торговля!$F$5:$F$200*Торговля!$G$5:$G$200)+SUMPRODUCT((Закрытые!$E$5:$E$200=$B5)*(LEFT(Закрытые!$B$5:$B$200,2)="T-")*Закрытые!$F$5:$F$200*Закрытые!$G$5:$G$200))/C5)</f>
        <v/>
      </c>
      <c r="E5" s="241">
        <f>IF(C5="","",SUMIFS(Торговля!$H$5:$H$200,Торговля!$E$5:$E$200,$B5)+SUMIFS(Закрытые!$H$5:$H$200,Закрытые!$E$5:$E$200,$B5,Закрытые!$B$5:$B$200,"T-*"))</f>
        <v/>
      </c>
      <c r="F5" s="240">
        <f>IF(SUMIFS(Торговля!$I$5:$I$200,Торговля!$E$5:$E$200,$B5)+SUMIFS(Закрытые!$I$5:$I$200,Закрытые!$E$5:$E$200,$B5,Закрытые!$B$5:$B$200,"T-*")=0,"",SUMIFS(Торговля!$I$5:$I$200,Торговля!$E$5:$E$200,$B5)+SUMIFS(Закрытые!$I$5:$I$200,Закрытые!$E$5:$E$200,$B5,Закрытые!$B$5:$B$200,"T-*"))</f>
        <v/>
      </c>
      <c r="G5" s="177">
        <f>IF(F5="","",(SUMPRODUCT((Торговля!$E$5:$E$200=$B5)*Торговля!$I$5:$I$200*Торговля!$J$5:$J$200)+SUMPRODUCT((Закрытые!$E$5:$E$200=$B5)*(LEFT(Закрытые!$B$5:$B$200,2)="T-")*Закрытые!$I$5:$I$200*Закрытые!$J$5:$J$200))/F5)</f>
        <v/>
      </c>
      <c r="H5" s="241">
        <f>IF(F5="","",SUMIFS(Торговля!$K$5:$K$200,Торговля!$E$5:$E$200,$B5)+SUMIFS(Закрытые!$K$5:$K$200,Закрытые!$E$5:$E$200,$B5,Закрытые!$B$5:$B$200,"T-*"))</f>
        <v/>
      </c>
      <c r="I5" s="240">
        <f>IF($B5="","",IF(COUNTIFS(Торговля!$E$5:$E$200,$B5)+COUNTIFS(Закрытые!$E$5:$E$200,$B5,Закрытые!$B$5:$B$200,"T-*")=0,"",ROUND(SUMIFS(Торговля!$L$5:$L$200,Торговля!$E$5:$E$200,$B5)+SUMIFS(Закрытые!$L$5:$L$200,Закрытые!$E$5:$E$200,$B5,Закрытые!$B$5:$B$200,"T-*"),8)))</f>
        <v/>
      </c>
      <c r="J5" s="241">
        <f>IF($B5="","",IF(COUNTIFS(Торговля!$E$5:$E$200,$B5)+COUNTIFS(Закрытые!$E$5:$E$200,$B5,Закрытые!$B$5:$B$200,"T-*")=0,"",ROUND(SUMIFS(Торговля!$M$5:$M$200,Торговля!$E$5:$E$200,$B5)+SUMIFS(Закрытые!$M$5:$M$200,Закрытые!$E$5:$E$200,$B5,Закрытые!$B$5:$B$200,"T-*"),8)))</f>
        <v/>
      </c>
      <c r="K5" s="240">
        <f>IF(MIN(N(C5),N(F5))&lt;=0,"",ROUND(MIN(N(C5),N(F5))*(N(G5)-N(D5)),8))</f>
        <v/>
      </c>
      <c r="L5" s="177">
        <f>IF(MIN(N(C5),N(F5))&lt;=0,"",IF(N(D5)=0,"",ROUND((N(G5)/N(D5)-1)*100,2)))</f>
        <v/>
      </c>
      <c r="M5" s="177">
        <f>IF(OR(ROUND(N(C5)-N(F5),8)=0,1-N(Ввод!$J$19)/100&lt;=0),"",IF(N(C5)&gt;N(F5),(N(E5)-N(H5))/((N(C5)-N(F5))*(1-N(Ввод!$J$19)/100)),(N(H5)-N(E5))/((N(F5)-N(C5))*(1+N(Ввод!$J$19)/100))))</f>
        <v/>
      </c>
    </row>
    <row r="6" ht="22" customHeight="1">
      <c r="B6" s="245" t="inlineStr">
        <is>
          <t>BTC/USDT</t>
        </is>
      </c>
      <c r="C6" s="246">
        <f>IF(SUMIFS(Торговля!$F$5:$F$200,Торговля!$E$5:$E$200,$B6)+SUMIFS(Закрытые!$F$5:$F$200,Закрытые!$E$5:$E$200,$B6,Закрытые!$B$5:$B$200,"T-*")=0,"",SUMIFS(Торговля!$F$5:$F$200,Торговля!$E$5:$E$200,$B6)+SUMIFS(Закрытые!$F$5:$F$200,Закрытые!$E$5:$E$200,$B6,Закрытые!$B$5:$B$200,"T-*"))</f>
        <v/>
      </c>
      <c r="D6" s="183">
        <f>IF(C6="","",(SUMPRODUCT((Торговля!$E$5:$E$200=$B6)*Торговля!$F$5:$F$200*Торговля!$G$5:$G$200)+SUMPRODUCT((Закрытые!$E$5:$E$200=$B6)*(LEFT(Закрытые!$B$5:$B$200,2)="T-")*Закрытые!$F$5:$F$200*Закрытые!$G$5:$G$200))/C6)</f>
        <v/>
      </c>
      <c r="E6" s="247">
        <f>IF(C6="","",SUMIFS(Торговля!$H$5:$H$200,Торговля!$E$5:$E$200,$B6)+SUMIFS(Закрытые!$H$5:$H$200,Закрытые!$E$5:$E$200,$B6,Закрытые!$B$5:$B$200,"T-*"))</f>
        <v/>
      </c>
      <c r="F6" s="246">
        <f>IF(SUMIFS(Торговля!$I$5:$I$200,Торговля!$E$5:$E$200,$B6)+SUMIFS(Закрытые!$I$5:$I$200,Закрытые!$E$5:$E$200,$B6,Закрытые!$B$5:$B$200,"T-*")=0,"",SUMIFS(Торговля!$I$5:$I$200,Торговля!$E$5:$E$200,$B6)+SUMIFS(Закрытые!$I$5:$I$200,Закрытые!$E$5:$E$200,$B6,Закрытые!$B$5:$B$200,"T-*"))</f>
        <v/>
      </c>
      <c r="G6" s="183">
        <f>IF(F6="","",(SUMPRODUCT((Торговля!$E$5:$E$200=$B6)*Торговля!$I$5:$I$200*Торговля!$J$5:$J$200)+SUMPRODUCT((Закрытые!$E$5:$E$200=$B6)*(LEFT(Закрытые!$B$5:$B$200,2)="T-")*Закрытые!$I$5:$I$200*Закрытые!$J$5:$J$200))/F6)</f>
        <v/>
      </c>
      <c r="H6" s="247">
        <f>IF(F6="","",SUMIFS(Торговля!$K$5:$K$200,Торговля!$E$5:$E$200,$B6)+SUMIFS(Закрытые!$K$5:$K$200,Закрытые!$E$5:$E$200,$B6,Закрытые!$B$5:$B$200,"T-*"))</f>
        <v/>
      </c>
      <c r="I6" s="246">
        <f>IF($B6="","",IF(COUNTIFS(Торговля!$E$5:$E$200,$B6)+COUNTIFS(Закрытые!$E$5:$E$200,$B6,Закрытые!$B$5:$B$200,"T-*")=0,"",ROUND(SUMIFS(Торговля!$L$5:$L$200,Торговля!$E$5:$E$200,$B6)+SUMIFS(Закрытые!$L$5:$L$200,Закрытые!$E$5:$E$200,$B6,Закрытые!$B$5:$B$200,"T-*"),8)))</f>
        <v/>
      </c>
      <c r="J6" s="247">
        <f>IF($B6="","",IF(COUNTIFS(Торговля!$E$5:$E$200,$B6)+COUNTIFS(Закрытые!$E$5:$E$200,$B6,Закрытые!$B$5:$B$200,"T-*")=0,"",ROUND(SUMIFS(Торговля!$M$5:$M$200,Торговля!$E$5:$E$200,$B6)+SUMIFS(Закрытые!$M$5:$M$200,Закрытые!$E$5:$E$200,$B6,Закрытые!$B$5:$B$200,"T-*"),8)))</f>
        <v/>
      </c>
      <c r="K6" s="246">
        <f>IF(MIN(N(C6),N(F6))&lt;=0,"",ROUND(MIN(N(C6),N(F6))*(N(G6)-N(D6)),8))</f>
        <v/>
      </c>
      <c r="L6" s="183">
        <f>IF(MIN(N(C6),N(F6))&lt;=0,"",IF(N(D6)=0,"",ROUND((N(G6)/N(D6)-1)*100,2)))</f>
        <v/>
      </c>
      <c r="M6" s="183">
        <f>IF(OR(ROUND(N(C6)-N(F6),8)=0,1-N(Ввод!$J$19)/100&lt;=0),"",IF(N(C6)&gt;N(F6),(N(E6)-N(H6))/((N(C6)-N(F6))*(1-N(Ввод!$J$19)/100)),(N(H6)-N(E6))/((N(F6)-N(C6))*(1+N(Ввод!$J$19)/100))))</f>
        <v/>
      </c>
    </row>
    <row r="7" ht="22" customHeight="1">
      <c r="B7" s="239" t="inlineStr">
        <is>
          <t>ETH/BTC</t>
        </is>
      </c>
      <c r="C7" s="240">
        <f>IF(SUMIFS(Торговля!$F$5:$F$200,Торговля!$E$5:$E$200,$B7)+SUMIFS(Закрытые!$F$5:$F$200,Закрытые!$E$5:$E$200,$B7,Закрытые!$B$5:$B$200,"T-*")=0,"",SUMIFS(Торговля!$F$5:$F$200,Торговля!$E$5:$E$200,$B7)+SUMIFS(Закрытые!$F$5:$F$200,Закрытые!$E$5:$E$200,$B7,Закрытые!$B$5:$B$200,"T-*"))</f>
        <v/>
      </c>
      <c r="D7" s="177">
        <f>IF(C7="","",(SUMPRODUCT((Торговля!$E$5:$E$200=$B7)*Торговля!$F$5:$F$200*Торговля!$G$5:$G$200)+SUMPRODUCT((Закрытые!$E$5:$E$200=$B7)*(LEFT(Закрытые!$B$5:$B$200,2)="T-")*Закрытые!$F$5:$F$200*Закрытые!$G$5:$G$200))/C7)</f>
        <v/>
      </c>
      <c r="E7" s="241">
        <f>IF(C7="","",SUMIFS(Торговля!$H$5:$H$200,Торговля!$E$5:$E$200,$B7)+SUMIFS(Закрытые!$H$5:$H$200,Закрытые!$E$5:$E$200,$B7,Закрытые!$B$5:$B$200,"T-*"))</f>
        <v/>
      </c>
      <c r="F7" s="240">
        <f>IF(SUMIFS(Торговля!$I$5:$I$200,Торговля!$E$5:$E$200,$B7)+SUMIFS(Закрытые!$I$5:$I$200,Закрытые!$E$5:$E$200,$B7,Закрытые!$B$5:$B$200,"T-*")=0,"",SUMIFS(Торговля!$I$5:$I$200,Торговля!$E$5:$E$200,$B7)+SUMIFS(Закрытые!$I$5:$I$200,Закрытые!$E$5:$E$200,$B7,Закрытые!$B$5:$B$200,"T-*"))</f>
        <v/>
      </c>
      <c r="G7" s="177">
        <f>IF(F7="","",(SUMPRODUCT((Торговля!$E$5:$E$200=$B7)*Торговля!$I$5:$I$200*Торговля!$J$5:$J$200)+SUMPRODUCT((Закрытые!$E$5:$E$200=$B7)*(LEFT(Закрытые!$B$5:$B$200,2)="T-")*Закрытые!$I$5:$I$200*Закрытые!$J$5:$J$200))/F7)</f>
        <v/>
      </c>
      <c r="H7" s="241">
        <f>IF(F7="","",SUMIFS(Торговля!$K$5:$K$200,Торговля!$E$5:$E$200,$B7)+SUMIFS(Закрытые!$K$5:$K$200,Закрытые!$E$5:$E$200,$B7,Закрытые!$B$5:$B$200,"T-*"))</f>
        <v/>
      </c>
      <c r="I7" s="240">
        <f>IF($B7="","",IF(COUNTIFS(Торговля!$E$5:$E$200,$B7)+COUNTIFS(Закрытые!$E$5:$E$200,$B7,Закрытые!$B$5:$B$200,"T-*")=0,"",ROUND(SUMIFS(Торговля!$L$5:$L$200,Торговля!$E$5:$E$200,$B7)+SUMIFS(Закрытые!$L$5:$L$200,Закрытые!$E$5:$E$200,$B7,Закрытые!$B$5:$B$200,"T-*"),8)))</f>
        <v/>
      </c>
      <c r="J7" s="241">
        <f>IF($B7="","",IF(COUNTIFS(Торговля!$E$5:$E$200,$B7)+COUNTIFS(Закрытые!$E$5:$E$200,$B7,Закрытые!$B$5:$B$200,"T-*")=0,"",ROUND(SUMIFS(Торговля!$M$5:$M$200,Торговля!$E$5:$E$200,$B7)+SUMIFS(Закрытые!$M$5:$M$200,Закрытые!$E$5:$E$200,$B7,Закрытые!$B$5:$B$200,"T-*"),8)))</f>
        <v/>
      </c>
      <c r="K7" s="240">
        <f>IF(MIN(N(C7),N(F7))&lt;=0,"",ROUND(MIN(N(C7),N(F7))*(N(G7)-N(D7)),8))</f>
        <v/>
      </c>
      <c r="L7" s="177">
        <f>IF(MIN(N(C7),N(F7))&lt;=0,"",IF(N(D7)=0,"",ROUND((N(G7)/N(D7)-1)*100,2)))</f>
        <v/>
      </c>
      <c r="M7" s="177">
        <f>IF(OR(ROUND(N(C7)-N(F7),8)=0,1-N(Ввод!$J$19)/100&lt;=0),"",IF(N(C7)&gt;N(F7),(N(E7)-N(H7))/((N(C7)-N(F7))*(1-N(Ввод!$J$19)/100)),(N(H7)-N(E7))/((N(F7)-N(C7))*(1+N(Ввод!$J$19)/100))))</f>
        <v/>
      </c>
    </row>
    <row r="8" ht="22" customHeight="1">
      <c r="B8" s="245" t="inlineStr">
        <is>
          <t>ETH/USDT</t>
        </is>
      </c>
      <c r="C8" s="246">
        <f>IF(SUMIFS(Торговля!$F$5:$F$200,Торговля!$E$5:$E$200,$B8)+SUMIFS(Закрытые!$F$5:$F$200,Закрытые!$E$5:$E$200,$B8,Закрытые!$B$5:$B$200,"T-*")=0,"",SUMIFS(Торговля!$F$5:$F$200,Торговля!$E$5:$E$200,$B8)+SUMIFS(Закрытые!$F$5:$F$200,Закрытые!$E$5:$E$200,$B8,Закрытые!$B$5:$B$200,"T-*"))</f>
        <v/>
      </c>
      <c r="D8" s="183">
        <f>IF(C8="","",(SUMPRODUCT((Торговля!$E$5:$E$200=$B8)*Торговля!$F$5:$F$200*Торговля!$G$5:$G$200)+SUMPRODUCT((Закрытые!$E$5:$E$200=$B8)*(LEFT(Закрытые!$B$5:$B$200,2)="T-")*Закрытые!$F$5:$F$200*Закрытые!$G$5:$G$200))/C8)</f>
        <v/>
      </c>
      <c r="E8" s="247">
        <f>IF(C8="","",SUMIFS(Торговля!$H$5:$H$200,Торговля!$E$5:$E$200,$B8)+SUMIFS(Закрытые!$H$5:$H$200,Закрытые!$E$5:$E$200,$B8,Закрытые!$B$5:$B$200,"T-*"))</f>
        <v/>
      </c>
      <c r="F8" s="246">
        <f>IF(SUMIFS(Торговля!$I$5:$I$200,Торговля!$E$5:$E$200,$B8)+SUMIFS(Закрытые!$I$5:$I$200,Закрытые!$E$5:$E$200,$B8,Закрытые!$B$5:$B$200,"T-*")=0,"",SUMIFS(Торговля!$I$5:$I$200,Торговля!$E$5:$E$200,$B8)+SUMIFS(Закрытые!$I$5:$I$200,Закрытые!$E$5:$E$200,$B8,Закрытые!$B$5:$B$200,"T-*"))</f>
        <v/>
      </c>
      <c r="G8" s="183">
        <f>IF(F8="","",(SUMPRODUCT((Торговля!$E$5:$E$200=$B8)*Торговля!$I$5:$I$200*Торговля!$J$5:$J$200)+SUMPRODUCT((Закрытые!$E$5:$E$200=$B8)*(LEFT(Закрытые!$B$5:$B$200,2)="T-")*Закрытые!$I$5:$I$200*Закрытые!$J$5:$J$200))/F8)</f>
        <v/>
      </c>
      <c r="H8" s="247">
        <f>IF(F8="","",SUMIFS(Торговля!$K$5:$K$200,Торговля!$E$5:$E$200,$B8)+SUMIFS(Закрытые!$K$5:$K$200,Закрытые!$E$5:$E$200,$B8,Закрытые!$B$5:$B$200,"T-*"))</f>
        <v/>
      </c>
      <c r="I8" s="246">
        <f>IF($B8="","",IF(COUNTIFS(Торговля!$E$5:$E$200,$B8)+COUNTIFS(Закрытые!$E$5:$E$200,$B8,Закрытые!$B$5:$B$200,"T-*")=0,"",ROUND(SUMIFS(Торговля!$L$5:$L$200,Торговля!$E$5:$E$200,$B8)+SUMIFS(Закрытые!$L$5:$L$200,Закрытые!$E$5:$E$200,$B8,Закрытые!$B$5:$B$200,"T-*"),8)))</f>
        <v/>
      </c>
      <c r="J8" s="247">
        <f>IF($B8="","",IF(COUNTIFS(Торговля!$E$5:$E$200,$B8)+COUNTIFS(Закрытые!$E$5:$E$200,$B8,Закрытые!$B$5:$B$200,"T-*")=0,"",ROUND(SUMIFS(Торговля!$M$5:$M$200,Торговля!$E$5:$E$200,$B8)+SUMIFS(Закрытые!$M$5:$M$200,Закрытые!$E$5:$E$200,$B8,Закрытые!$B$5:$B$200,"T-*"),8)))</f>
        <v/>
      </c>
      <c r="K8" s="246">
        <f>IF(MIN(N(C8),N(F8))&lt;=0,"",ROUND(MIN(N(C8),N(F8))*(N(G8)-N(D8)),8))</f>
        <v/>
      </c>
      <c r="L8" s="183">
        <f>IF(MIN(N(C8),N(F8))&lt;=0,"",IF(N(D8)=0,"",ROUND((N(G8)/N(D8)-1)*100,2)))</f>
        <v/>
      </c>
      <c r="M8" s="183">
        <f>IF(OR(ROUND(N(C8)-N(F8),8)=0,1-N(Ввод!$J$19)/100&lt;=0),"",IF(N(C8)&gt;N(F8),(N(E8)-N(H8))/((N(C8)-N(F8))*(1-N(Ввод!$J$19)/100)),(N(H8)-N(E8))/((N(F8)-N(C8))*(1+N(Ввод!$J$19)/100))))</f>
        <v/>
      </c>
    </row>
    <row r="9" ht="22" customHeight="1">
      <c r="B9" s="239" t="inlineStr">
        <is>
          <t>SOL/USDT</t>
        </is>
      </c>
      <c r="C9" s="240">
        <f>IF(SUMIFS(Торговля!$F$5:$F$200,Торговля!$E$5:$E$200,$B9)+SUMIFS(Закрытые!$F$5:$F$200,Закрытые!$E$5:$E$200,$B9,Закрытые!$B$5:$B$200,"T-*")=0,"",SUMIFS(Торговля!$F$5:$F$200,Торговля!$E$5:$E$200,$B9)+SUMIFS(Закрытые!$F$5:$F$200,Закрытые!$E$5:$E$200,$B9,Закрытые!$B$5:$B$200,"T-*"))</f>
        <v/>
      </c>
      <c r="D9" s="177">
        <f>IF(C9="","",(SUMPRODUCT((Торговля!$E$5:$E$200=$B9)*Торговля!$F$5:$F$200*Торговля!$G$5:$G$200)+SUMPRODUCT((Закрытые!$E$5:$E$200=$B9)*(LEFT(Закрытые!$B$5:$B$200,2)="T-")*Закрытые!$F$5:$F$200*Закрытые!$G$5:$G$200))/C9)</f>
        <v/>
      </c>
      <c r="E9" s="241">
        <f>IF(C9="","",SUMIFS(Торговля!$H$5:$H$200,Торговля!$E$5:$E$200,$B9)+SUMIFS(Закрытые!$H$5:$H$200,Закрытые!$E$5:$E$200,$B9,Закрытые!$B$5:$B$200,"T-*"))</f>
        <v/>
      </c>
      <c r="F9" s="240">
        <f>IF(SUMIFS(Торговля!$I$5:$I$200,Торговля!$E$5:$E$200,$B9)+SUMIFS(Закрытые!$I$5:$I$200,Закрытые!$E$5:$E$200,$B9,Закрытые!$B$5:$B$200,"T-*")=0,"",SUMIFS(Торговля!$I$5:$I$200,Торговля!$E$5:$E$200,$B9)+SUMIFS(Закрытые!$I$5:$I$200,Закрытые!$E$5:$E$200,$B9,Закрытые!$B$5:$B$200,"T-*"))</f>
        <v/>
      </c>
      <c r="G9" s="177">
        <f>IF(F9="","",(SUMPRODUCT((Торговля!$E$5:$E$200=$B9)*Торговля!$I$5:$I$200*Торговля!$J$5:$J$200)+SUMPRODUCT((Закрытые!$E$5:$E$200=$B9)*(LEFT(Закрытые!$B$5:$B$200,2)="T-")*Закрытые!$I$5:$I$200*Закрытые!$J$5:$J$200))/F9)</f>
        <v/>
      </c>
      <c r="H9" s="241">
        <f>IF(F9="","",SUMIFS(Торговля!$K$5:$K$200,Торговля!$E$5:$E$200,$B9)+SUMIFS(Закрытые!$K$5:$K$200,Закрытые!$E$5:$E$200,$B9,Закрытые!$B$5:$B$200,"T-*"))</f>
        <v/>
      </c>
      <c r="I9" s="240">
        <f>IF($B9="","",IF(COUNTIFS(Торговля!$E$5:$E$200,$B9)+COUNTIFS(Закрытые!$E$5:$E$200,$B9,Закрытые!$B$5:$B$200,"T-*")=0,"",ROUND(SUMIFS(Торговля!$L$5:$L$200,Торговля!$E$5:$E$200,$B9)+SUMIFS(Закрытые!$L$5:$L$200,Закрытые!$E$5:$E$200,$B9,Закрытые!$B$5:$B$200,"T-*"),8)))</f>
        <v/>
      </c>
      <c r="J9" s="241">
        <f>IF($B9="","",IF(COUNTIFS(Торговля!$E$5:$E$200,$B9)+COUNTIFS(Закрытые!$E$5:$E$200,$B9,Закрытые!$B$5:$B$200,"T-*")=0,"",ROUND(SUMIFS(Торговля!$M$5:$M$200,Торговля!$E$5:$E$200,$B9)+SUMIFS(Закрытые!$M$5:$M$200,Закрытые!$E$5:$E$200,$B9,Закрытые!$B$5:$B$200,"T-*"),8)))</f>
        <v/>
      </c>
      <c r="K9" s="240">
        <f>IF(MIN(N(C9),N(F9))&lt;=0,"",ROUND(MIN(N(C9),N(F9))*(N(G9)-N(D9)),8))</f>
        <v/>
      </c>
      <c r="L9" s="177">
        <f>IF(MIN(N(C9),N(F9))&lt;=0,"",IF(N(D9)=0,"",ROUND((N(G9)/N(D9)-1)*100,2)))</f>
        <v/>
      </c>
      <c r="M9" s="177">
        <f>IF(OR(ROUND(N(C9)-N(F9),8)=0,1-N(Ввод!$J$19)/100&lt;=0),"",IF(N(C9)&gt;N(F9),(N(E9)-N(H9))/((N(C9)-N(F9))*(1-N(Ввод!$J$19)/100)),(N(H9)-N(E9))/((N(F9)-N(C9))*(1+N(Ввод!$J$19)/100))))</f>
        <v/>
      </c>
    </row>
    <row r="10" ht="22" customHeight="1">
      <c r="B10" s="245" t="n"/>
      <c r="C10" s="246">
        <f>IF(SUMIFS(Торговля!$F$5:$F$200,Торговля!$E$5:$E$200,$B10)+SUMIFS(Закрытые!$F$5:$F$200,Закрытые!$E$5:$E$200,$B10,Закрытые!$B$5:$B$200,"T-*")=0,"",SUMIFS(Торговля!$F$5:$F$200,Торговля!$E$5:$E$200,$B10)+SUMIFS(Закрытые!$F$5:$F$200,Закрытые!$E$5:$E$200,$B10,Закрытые!$B$5:$B$200,"T-*"))</f>
        <v/>
      </c>
      <c r="D10" s="183">
        <f>IF(C10="","",(SUMPRODUCT((Торговля!$E$5:$E$200=$B10)*Торговля!$F$5:$F$200*Торговля!$G$5:$G$200)+SUMPRODUCT((Закрытые!$E$5:$E$200=$B10)*(LEFT(Закрытые!$B$5:$B$200,2)="T-")*Закрытые!$F$5:$F$200*Закрытые!$G$5:$G$200))/C10)</f>
        <v/>
      </c>
      <c r="E10" s="247">
        <f>IF(C10="","",SUMIFS(Торговля!$H$5:$H$200,Торговля!$E$5:$E$200,$B10)+SUMIFS(Закрытые!$H$5:$H$200,Закрытые!$E$5:$E$200,$B10,Закрытые!$B$5:$B$200,"T-*"))</f>
        <v/>
      </c>
      <c r="F10" s="246">
        <f>IF(SUMIFS(Торговля!$I$5:$I$200,Торговля!$E$5:$E$200,$B10)+SUMIFS(Закрытые!$I$5:$I$200,Закрытые!$E$5:$E$200,$B10,Закрытые!$B$5:$B$200,"T-*")=0,"",SUMIFS(Торговля!$I$5:$I$200,Торговля!$E$5:$E$200,$B10)+SUMIFS(Закрытые!$I$5:$I$200,Закрытые!$E$5:$E$200,$B10,Закрытые!$B$5:$B$200,"T-*"))</f>
        <v/>
      </c>
      <c r="G10" s="183">
        <f>IF(F10="","",(SUMPRODUCT((Торговля!$E$5:$E$200=$B10)*Торговля!$I$5:$I$200*Торговля!$J$5:$J$200)+SUMPRODUCT((Закрытые!$E$5:$E$200=$B10)*(LEFT(Закрытые!$B$5:$B$200,2)="T-")*Закрытые!$I$5:$I$200*Закрытые!$J$5:$J$200))/F10)</f>
        <v/>
      </c>
      <c r="H10" s="247">
        <f>IF(F10="","",SUMIFS(Торговля!$K$5:$K$200,Торговля!$E$5:$E$200,$B10)+SUMIFS(Закрытые!$K$5:$K$200,Закрытые!$E$5:$E$200,$B10,Закрытые!$B$5:$B$200,"T-*"))</f>
        <v/>
      </c>
      <c r="I10" s="246">
        <f>IF($B10="","",IF(COUNTIFS(Торговля!$E$5:$E$200,$B10)+COUNTIFS(Закрытые!$E$5:$E$200,$B10,Закрытые!$B$5:$B$200,"T-*")=0,"",ROUND(SUMIFS(Торговля!$L$5:$L$200,Торговля!$E$5:$E$200,$B10)+SUMIFS(Закрытые!$L$5:$L$200,Закрытые!$E$5:$E$200,$B10,Закрытые!$B$5:$B$200,"T-*"),8)))</f>
        <v/>
      </c>
      <c r="J10" s="247">
        <f>IF($B10="","",IF(COUNTIFS(Торговля!$E$5:$E$200,$B10)+COUNTIFS(Закрытые!$E$5:$E$200,$B10,Закрытые!$B$5:$B$200,"T-*")=0,"",ROUND(SUMIFS(Торговля!$M$5:$M$200,Торговля!$E$5:$E$200,$B10)+SUMIFS(Закрытые!$M$5:$M$200,Закрытые!$E$5:$E$200,$B10,Закрытые!$B$5:$B$200,"T-*"),8)))</f>
        <v/>
      </c>
      <c r="K10" s="246">
        <f>IF(MIN(N(C10),N(F10))&lt;=0,"",ROUND(MIN(N(C10),N(F10))*(N(G10)-N(D10)),8))</f>
        <v/>
      </c>
      <c r="L10" s="183">
        <f>IF(MIN(N(C10),N(F10))&lt;=0,"",IF(N(D10)=0,"",ROUND((N(G10)/N(D10)-1)*100,2)))</f>
        <v/>
      </c>
      <c r="M10" s="183">
        <f>IF(OR(ROUND(N(C10)-N(F10),8)=0,1-N(Ввод!$J$19)/100&lt;=0),"",IF(N(C10)&gt;N(F10),(N(E10)-N(H10))/((N(C10)-N(F10))*(1-N(Ввод!$J$19)/100)),(N(H10)-N(E10))/((N(F10)-N(C10))*(1+N(Ввод!$J$19)/100))))</f>
        <v/>
      </c>
    </row>
    <row r="11" ht="22" customHeight="1">
      <c r="B11" s="239" t="n"/>
      <c r="C11" s="240">
        <f>IF(SUMIFS(Торговля!$F$5:$F$200,Торговля!$E$5:$E$200,$B11)+SUMIFS(Закрытые!$F$5:$F$200,Закрытые!$E$5:$E$200,$B11,Закрытые!$B$5:$B$200,"T-*")=0,"",SUMIFS(Торговля!$F$5:$F$200,Торговля!$E$5:$E$200,$B11)+SUMIFS(Закрытые!$F$5:$F$200,Закрытые!$E$5:$E$200,$B11,Закрытые!$B$5:$B$200,"T-*"))</f>
        <v/>
      </c>
      <c r="D11" s="177">
        <f>IF(C11="","",(SUMPRODUCT((Торговля!$E$5:$E$200=$B11)*Торговля!$F$5:$F$200*Торговля!$G$5:$G$200)+SUMPRODUCT((Закрытые!$E$5:$E$200=$B11)*(LEFT(Закрытые!$B$5:$B$200,2)="T-")*Закрытые!$F$5:$F$200*Закрытые!$G$5:$G$200))/C11)</f>
        <v/>
      </c>
      <c r="E11" s="241">
        <f>IF(C11="","",SUMIFS(Торговля!$H$5:$H$200,Торговля!$E$5:$E$200,$B11)+SUMIFS(Закрытые!$H$5:$H$200,Закрытые!$E$5:$E$200,$B11,Закрытые!$B$5:$B$200,"T-*"))</f>
        <v/>
      </c>
      <c r="F11" s="240">
        <f>IF(SUMIFS(Торговля!$I$5:$I$200,Торговля!$E$5:$E$200,$B11)+SUMIFS(Закрытые!$I$5:$I$200,Закрытые!$E$5:$E$200,$B11,Закрытые!$B$5:$B$200,"T-*")=0,"",SUMIFS(Торговля!$I$5:$I$200,Торговля!$E$5:$E$200,$B11)+SUMIFS(Закрытые!$I$5:$I$200,Закрытые!$E$5:$E$200,$B11,Закрытые!$B$5:$B$200,"T-*"))</f>
        <v/>
      </c>
      <c r="G11" s="177">
        <f>IF(F11="","",(SUMPRODUCT((Торговля!$E$5:$E$200=$B11)*Торговля!$I$5:$I$200*Торговля!$J$5:$J$200)+SUMPRODUCT((Закрытые!$E$5:$E$200=$B11)*(LEFT(Закрытые!$B$5:$B$200,2)="T-")*Закрытые!$I$5:$I$200*Закрытые!$J$5:$J$200))/F11)</f>
        <v/>
      </c>
      <c r="H11" s="241">
        <f>IF(F11="","",SUMIFS(Торговля!$K$5:$K$200,Торговля!$E$5:$E$200,$B11)+SUMIFS(Закрытые!$K$5:$K$200,Закрытые!$E$5:$E$200,$B11,Закрытые!$B$5:$B$200,"T-*"))</f>
        <v/>
      </c>
      <c r="I11" s="240">
        <f>IF($B11="","",IF(COUNTIFS(Торговля!$E$5:$E$200,$B11)+COUNTIFS(Закрытые!$E$5:$E$200,$B11,Закрытые!$B$5:$B$200,"T-*")=0,"",ROUND(SUMIFS(Торговля!$L$5:$L$200,Торговля!$E$5:$E$200,$B11)+SUMIFS(Закрытые!$L$5:$L$200,Закрытые!$E$5:$E$200,$B11,Закрытые!$B$5:$B$200,"T-*"),8)))</f>
        <v/>
      </c>
      <c r="J11" s="241">
        <f>IF($B11="","",IF(COUNTIFS(Торговля!$E$5:$E$200,$B11)+COUNTIFS(Закрытые!$E$5:$E$200,$B11,Закрытые!$B$5:$B$200,"T-*")=0,"",ROUND(SUMIFS(Торговля!$M$5:$M$200,Торговля!$E$5:$E$200,$B11)+SUMIFS(Закрытые!$M$5:$M$200,Закрытые!$E$5:$E$200,$B11,Закрытые!$B$5:$B$200,"T-*"),8)))</f>
        <v/>
      </c>
      <c r="K11" s="240">
        <f>IF(MIN(N(C11),N(F11))&lt;=0,"",ROUND(MIN(N(C11),N(F11))*(N(G11)-N(D11)),8))</f>
        <v/>
      </c>
      <c r="L11" s="177">
        <f>IF(MIN(N(C11),N(F11))&lt;=0,"",IF(N(D11)=0,"",ROUND((N(G11)/N(D11)-1)*100,2)))</f>
        <v/>
      </c>
      <c r="M11" s="177">
        <f>IF(OR(ROUND(N(C11)-N(F11),8)=0,1-N(Ввод!$J$19)/100&lt;=0),"",IF(N(C11)&gt;N(F11),(N(E11)-N(H11))/((N(C11)-N(F11))*(1-N(Ввод!$J$19)/100)),(N(H11)-N(E11))/((N(F11)-N(C11))*(1+N(Ввод!$J$19)/100))))</f>
        <v/>
      </c>
    </row>
    <row r="12" ht="22" customHeight="1">
      <c r="B12" s="245" t="n"/>
      <c r="C12" s="246">
        <f>IF(SUMIFS(Торговля!$F$5:$F$200,Торговля!$E$5:$E$200,$B12)+SUMIFS(Закрытые!$F$5:$F$200,Закрытые!$E$5:$E$200,$B12,Закрытые!$B$5:$B$200,"T-*")=0,"",SUMIFS(Торговля!$F$5:$F$200,Торговля!$E$5:$E$200,$B12)+SUMIFS(Закрытые!$F$5:$F$200,Закрытые!$E$5:$E$200,$B12,Закрытые!$B$5:$B$200,"T-*"))</f>
        <v/>
      </c>
      <c r="D12" s="183">
        <f>IF(C12="","",(SUMPRODUCT((Торговля!$E$5:$E$200=$B12)*Торговля!$F$5:$F$200*Торговля!$G$5:$G$200)+SUMPRODUCT((Закрытые!$E$5:$E$200=$B12)*(LEFT(Закрытые!$B$5:$B$200,2)="T-")*Закрытые!$F$5:$F$200*Закрытые!$G$5:$G$200))/C12)</f>
        <v/>
      </c>
      <c r="E12" s="247">
        <f>IF(C12="","",SUMIFS(Торговля!$H$5:$H$200,Торговля!$E$5:$E$200,$B12)+SUMIFS(Закрытые!$H$5:$H$200,Закрытые!$E$5:$E$200,$B12,Закрытые!$B$5:$B$200,"T-*"))</f>
        <v/>
      </c>
      <c r="F12" s="246">
        <f>IF(SUMIFS(Торговля!$I$5:$I$200,Торговля!$E$5:$E$200,$B12)+SUMIFS(Закрытые!$I$5:$I$200,Закрытые!$E$5:$E$200,$B12,Закрытые!$B$5:$B$200,"T-*")=0,"",SUMIFS(Торговля!$I$5:$I$200,Торговля!$E$5:$E$200,$B12)+SUMIFS(Закрытые!$I$5:$I$200,Закрытые!$E$5:$E$200,$B12,Закрытые!$B$5:$B$200,"T-*"))</f>
        <v/>
      </c>
      <c r="G12" s="183">
        <f>IF(F12="","",(SUMPRODUCT((Торговля!$E$5:$E$200=$B12)*Торговля!$I$5:$I$200*Торговля!$J$5:$J$200)+SUMPRODUCT((Закрытые!$E$5:$E$200=$B12)*(LEFT(Закрытые!$B$5:$B$200,2)="T-")*Закрытые!$I$5:$I$200*Закрытые!$J$5:$J$200))/F12)</f>
        <v/>
      </c>
      <c r="H12" s="247">
        <f>IF(F12="","",SUMIFS(Торговля!$K$5:$K$200,Торговля!$E$5:$E$200,$B12)+SUMIFS(Закрытые!$K$5:$K$200,Закрытые!$E$5:$E$200,$B12,Закрытые!$B$5:$B$200,"T-*"))</f>
        <v/>
      </c>
      <c r="I12" s="246">
        <f>IF($B12="","",IF(COUNTIFS(Торговля!$E$5:$E$200,$B12)+COUNTIFS(Закрытые!$E$5:$E$200,$B12,Закрытые!$B$5:$B$200,"T-*")=0,"",ROUND(SUMIFS(Торговля!$L$5:$L$200,Торговля!$E$5:$E$200,$B12)+SUMIFS(Закрытые!$L$5:$L$200,Закрытые!$E$5:$E$200,$B12,Закрытые!$B$5:$B$200,"T-*"),8)))</f>
        <v/>
      </c>
      <c r="J12" s="247">
        <f>IF($B12="","",IF(COUNTIFS(Торговля!$E$5:$E$200,$B12)+COUNTIFS(Закрытые!$E$5:$E$200,$B12,Закрытые!$B$5:$B$200,"T-*")=0,"",ROUND(SUMIFS(Торговля!$M$5:$M$200,Торговля!$E$5:$E$200,$B12)+SUMIFS(Закрытые!$M$5:$M$200,Закрытые!$E$5:$E$200,$B12,Закрытые!$B$5:$B$200,"T-*"),8)))</f>
        <v/>
      </c>
      <c r="K12" s="246">
        <f>IF(MIN(N(C12),N(F12))&lt;=0,"",ROUND(MIN(N(C12),N(F12))*(N(G12)-N(D12)),8))</f>
        <v/>
      </c>
      <c r="L12" s="183">
        <f>IF(MIN(N(C12),N(F12))&lt;=0,"",IF(N(D12)=0,"",ROUND((N(G12)/N(D12)-1)*100,2)))</f>
        <v/>
      </c>
      <c r="M12" s="183">
        <f>IF(OR(ROUND(N(C12)-N(F12),8)=0,1-N(Ввод!$J$19)/100&lt;=0),"",IF(N(C12)&gt;N(F12),(N(E12)-N(H12))/((N(C12)-N(F12))*(1-N(Ввод!$J$19)/100)),(N(H12)-N(E12))/((N(F12)-N(C12))*(1+N(Ввод!$J$19)/100))))</f>
        <v/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1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L-0005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IF(AND(ISNUMBER(F5),ISNUMBER(G5),F5&gt;0,1-N(Ввод!$J$19)/100&gt;0),G5/(1-N(Ввод!$J$19)/100),IF(AND(ISNUMBER(I5),ISNUMBER(J5),I5&gt;0),J5/(1+N(Ввод!$J$19)/100),""))</f>
        <v/>
      </c>
    </row>
    <row r="6" ht="22" customHeight="1">
      <c r="B6" s="244" t="inlineStr">
        <is>
          <t>L-0001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/>
      </c>
      <c r="I6" s="246" t="n"/>
      <c r="J6" s="183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IF(AND(ISNUMBER(F6),ISNUMBER(G6),F6&gt;0,1-N(Ввод!$J$19)/100&gt;0),G6/(1-N(Ввод!$J$19)/100),IF(AND(ISNUMBER(I6),ISNUMBER(J6),I6&gt;0),J6/(1+N(Ввод!$J$19)/100),""))</f>
        <v/>
      </c>
    </row>
    <row r="7" ht="22" customHeight="1">
      <c r="B7" s="238" t="inlineStr">
        <is>
          <t>L-0004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IF(AND(ISNUMBER(F7),ISNUMBER(G7),F7&gt;0,1-N(Ввод!$J$19)/100&gt;0),G7/(1-N(Ввод!$J$19)/100),IF(AND(ISNUMBER(I7),ISNUMBER(J7),I7&gt;0),J7/(1+N(Ввод!$J$19)/100),""))</f>
        <v/>
      </c>
    </row>
    <row r="8" ht="22" customHeight="1">
      <c r="B8" s="244" t="inlineStr">
        <is>
          <t>L-0002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/>
      </c>
      <c r="I8" s="246" t="n"/>
      <c r="J8" s="183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IF(AND(ISNUMBER(F8),ISNUMBER(G8),F8&gt;0,1-N(Ввод!$J$19)/100&gt;0),G8/(1-N(Ввод!$J$19)/100),IF(AND(ISNUMBER(I8),ISNUMBER(J8),I8&gt;0),J8/(1+N(Ввод!$J$19)/100),""))</f>
        <v/>
      </c>
    </row>
    <row r="9" ht="22" customHeight="1">
      <c r="B9" s="238" t="inlineStr">
        <is>
          <t>L-0007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/>
      </c>
      <c r="I9" s="240" t="n"/>
      <c r="J9" s="17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IF(AND(ISNUMBER(F9),ISNUMBER(G9),F9&gt;0,1-N(Ввод!$J$19)/100&gt;0),G9/(1-N(Ввод!$J$19)/100),IF(AND(ISNUMBER(I9),ISNUMBER(J9),I9&gt;0),J9/(1+N(Ввод!$J$19)/100),""))</f>
        <v/>
      </c>
    </row>
    <row r="10" ht="22" customHeight="1">
      <c r="B10" s="244" t="inlineStr">
        <is>
          <t>L-0008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/>
      </c>
      <c r="I10" s="246" t="n"/>
      <c r="J10" s="183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IF(AND(ISNUMBER(F10),ISNUMBER(G10),F10&gt;0,1-N(Ввод!$J$19)/100&gt;0),G10/(1-N(Ввод!$J$19)/100),IF(AND(ISNUMBER(I10),ISNUMBER(J10),I10&gt;0),J10/(1+N(Ввод!$J$19)/100),""))</f>
        <v/>
      </c>
    </row>
    <row r="11" ht="22" customHeight="1">
      <c r="B11" s="238" t="inlineStr">
        <is>
          <t>L-0009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IF(AND(ISNUMBER(F11),ISNUMBER(G11),F11&gt;0,1-N(Ввод!$J$19)/100&gt;0),G11/(1-N(Ввод!$J$19)/100),IF(AND(ISNUMBER(I11),ISNUMBER(J11),I11&gt;0),J11/(1+N(Ввод!$J$19)/100),""))</f>
        <v/>
      </c>
    </row>
    <row r="12" ht="22" customHeight="1">
      <c r="B12" s="244" t="inlineStr">
        <is>
          <t>L-0010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IF(AND(ISNUMBER(F12),ISNUMBER(G12),F12&gt;0,1-N(Ввод!$J$19)/100&gt;0),G12/(1-N(Ввод!$J$19)/100),IF(AND(ISNUMBER(I12),ISNUMBER(J12),I12&gt;0),J12/(1+N(Ввод!$J$19)/100),""))</f>
        <v/>
      </c>
    </row>
    <row r="13" ht="22" customHeight="1">
      <c r="B13" s="238" t="inlineStr">
        <is>
          <t>L-0011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IF(AND(ISNUMBER(F13),ISNUMBER(G13),F13&gt;0,1-N(Ввод!$J$19)/100&gt;0),G13/(1-N(Ввод!$J$19)/100),IF(AND(ISNUMBER(I13),ISNUMBER(J13),I13&gt;0),J13/(1+N(Ввод!$J$19)/100),""))</f>
        <v/>
      </c>
    </row>
    <row r="14" ht="22" customHeight="1">
      <c r="B14" s="244" t="inlineStr">
        <is>
          <t>L-0012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/>
      </c>
      <c r="I14" s="246" t="n"/>
      <c r="J14" s="183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IF(AND(ISNUMBER(F14),ISNUMBER(G14),F14&gt;0,1-N(Ввод!$J$19)/100&gt;0),G14/(1-N(Ввод!$J$19)/100),IF(AND(ISNUMBER(I14),ISNUMBER(J14),I14&gt;0),J14/(1+N(Ввод!$J$19)/100),""))</f>
        <v/>
      </c>
    </row>
    <row r="15" ht="22" customHeight="1">
      <c r="B15" s="238" t="n"/>
      <c r="C15" s="237" t="n"/>
      <c r="D15" s="238" t="n"/>
      <c r="E15" s="239" t="n"/>
      <c r="F15" s="240" t="n"/>
      <c r="G15" s="177" t="n"/>
      <c r="H15" s="271">
        <f>IF(AND(ISNUMBER(F15),ISNUMBER(G15)),F15*G15,"")</f>
        <v/>
      </c>
      <c r="I15" s="240" t="n"/>
      <c r="J15" s="17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IF(AND(ISNUMBER(F15),ISNUMBER(G15),F15&gt;0,1-N(Ввод!$J$19)/100&gt;0),G15/(1-N(Ввод!$J$19)/100),IF(AND(ISNUMBER(I15),ISNUMBER(J15),I15&gt;0),J15/(1+N(Ввод!$J$19)/100),""))</f>
        <v/>
      </c>
    </row>
    <row r="16" ht="22" customHeight="1">
      <c r="B16" s="244" t="n"/>
      <c r="C16" s="243" t="n"/>
      <c r="D16" s="244" t="n"/>
      <c r="E16" s="245" t="n"/>
      <c r="F16" s="246" t="n"/>
      <c r="G16" s="183" t="n"/>
      <c r="H16" s="271">
        <f>IF(AND(ISNUMBER(F16),ISNUMBER(G16)),F16*G16,"")</f>
        <v/>
      </c>
      <c r="I16" s="246" t="n"/>
      <c r="J16" s="183" t="n"/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IF(AND(ISNUMBER(F16),ISNUMBER(G16),F16&gt;0,1-N(Ввод!$J$19)/100&gt;0),G16/(1-N(Ввод!$J$19)/100),IF(AND(ISNUMBER(I16),ISNUMBER(J16),I16&gt;0),J16/(1+N(Ввод!$J$19)/100),""))</f>
        <v/>
      </c>
    </row>
  </sheetData>
  <autoFilter ref="B4:N16"/>
  <mergeCells count="1">
    <mergeCell ref="B1:N2"/>
  </mergeCells>
  <conditionalFormatting sqref="B5:N200">
    <cfRule type="expression" priority="1" dxfId="0">
      <formula>AND($B5&lt;&gt;"",COUNTIF(Закрытые!$B$5:$B$200,$B5)&gt;0)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BNB/USDT</t>
        </is>
      </c>
      <c r="C5" s="240">
        <f>IF(SUMIFS(Лэндинг!$F$5:$F$200,Лэндинг!$E$5:$E$200,$B5)+SUMIFS(Закрытые!$F$5:$F$200,Закрытые!$E$5:$E$200,$B5,Закрытые!$B$5:$B$200,"L-*")=0,"",SUMIFS(Лэндинг!$F$5:$F$200,Лэндинг!$E$5:$E$200,$B5)+SUMIFS(Закрытые!$F$5:$F$200,Закрытые!$E$5:$E$200,$B5,Закрытые!$B$5:$B$200,"L-*"))</f>
        <v/>
      </c>
      <c r="D5" s="177">
        <f>IF(C5="","",(SUMPRODUCT((Лэндинг!$E$5:$E$200=$B5)*Лэндинг!$F$5:$F$200*Лэндинг!$G$5:$G$200)+SUMPRODUCT((Закрытые!$E$5:$E$200=$B5)*(LEFT(Закрытые!$B$5:$B$200,2)="L-")*Закрытые!$F$5:$F$200*Закрытые!$G$5:$G$200))/C5)</f>
        <v/>
      </c>
      <c r="E5" s="241">
        <f>IF(C5="","",SUMIFS(Лэндинг!$H$5:$H$200,Лэндинг!$E$5:$E$200,$B5)+SUMIFS(Закрытые!$H$5:$H$200,Закрытые!$E$5:$E$200,$B5,Закрытые!$B$5:$B$200,"L-*"))</f>
        <v/>
      </c>
      <c r="F5" s="240">
        <f>IF(SUMIFS(Лэндинг!$I$5:$I$200,Лэндинг!$E$5:$E$200,$B5)+SUMIFS(Закрытые!$I$5:$I$200,Закрытые!$E$5:$E$200,$B5,Закрытые!$B$5:$B$200,"L-*")=0,"",SUMIFS(Лэндинг!$I$5:$I$200,Лэндинг!$E$5:$E$200,$B5)+SUMIFS(Закрытые!$I$5:$I$200,Закрытые!$E$5:$E$200,$B5,Закрытые!$B$5:$B$200,"L-*"))</f>
        <v/>
      </c>
      <c r="G5" s="177">
        <f>IF(F5="","",(SUMPRODUCT((Лэндинг!$E$5:$E$200=$B5)*Лэндинг!$I$5:$I$200*Лэндинг!$J$5:$J$200)+SUMPRODUCT((Закрытые!$E$5:$E$200=$B5)*(LEFT(Закрытые!$B$5:$B$200,2)="L-")*Закрытые!$I$5:$I$200*Закрытые!$J$5:$J$200))/F5)</f>
        <v/>
      </c>
      <c r="H5" s="241">
        <f>IF(F5="","",SUMIFS(Лэндинг!$K$5:$K$200,Лэндинг!$E$5:$E$200,$B5)+SUMIFS(Закрытые!$K$5:$K$200,Закрытые!$E$5:$E$200,$B5,Закрытые!$B$5:$B$200,"L-*"))</f>
        <v/>
      </c>
      <c r="I5" s="240">
        <f>IF($B5="","",IF(COUNTIFS(Лэндинг!$E$5:$E$200,$B5)+COUNTIFS(Закрытые!$E$5:$E$200,$B5,Закрытые!$B$5:$B$200,"L-*")=0,"",ROUND(SUMIFS(Лэндинг!$L$5:$L$200,Лэндинг!$E$5:$E$200,$B5)+SUMIFS(Закрытые!$L$5:$L$200,Закрытые!$E$5:$E$200,$B5,Закрытые!$B$5:$B$200,"L-*"),8)))</f>
        <v/>
      </c>
      <c r="J5" s="241">
        <f>IF($B5="","",IF(COUNTIFS(Лэндинг!$E$5:$E$200,$B5)+COUNTIFS(Закрытые!$E$5:$E$200,$B5,Закрытые!$B$5:$B$200,"L-*")=0,"",ROUND(SUMIFS(Лэндинг!$M$5:$M$200,Лэндинг!$E$5:$E$200,$B5)+SUMIFS(Закрытые!$M$5:$M$200,Закрытые!$E$5:$E$200,$B5,Закрытые!$B$5:$B$200,"L-*"),8)))</f>
        <v/>
      </c>
      <c r="K5" s="240">
        <f>IF(MIN(N(C5),N(F5))&lt;=0,"",ROUND(MIN(N(C5),N(F5))*(N(G5)-N(D5)),8))</f>
        <v/>
      </c>
      <c r="L5" s="177">
        <f>IF(MIN(N(C5),N(F5))&lt;=0,"",IF(N(D5)=0,"",ROUND((N(G5)/N(D5)-1)*100,2)))</f>
        <v/>
      </c>
      <c r="M5" s="177">
        <f>IF(OR(ROUND(N(C5)-N(F5),8)=0,1-N(Ввод!$J$19)/100&lt;=0),"",IF(N(C5)&gt;N(F5),(N(E5)-N(H5))/((N(C5)-N(F5))*(1-N(Ввод!$J$19)/100)),(N(H5)-N(E5))/((N(F5)-N(C5))*(1+N(Ввод!$J$19)/100))))</f>
        <v/>
      </c>
    </row>
    <row r="6" ht="22" customHeight="1">
      <c r="B6" s="245" t="inlineStr">
        <is>
          <t>BTC/USDT</t>
        </is>
      </c>
      <c r="C6" s="246">
        <f>IF(SUMIFS(Лэндинг!$F$5:$F$200,Лэндинг!$E$5:$E$200,$B6)+SUMIFS(Закрытые!$F$5:$F$200,Закрытые!$E$5:$E$200,$B6,Закрытые!$B$5:$B$200,"L-*")=0,"",SUMIFS(Лэндинг!$F$5:$F$200,Лэндинг!$E$5:$E$200,$B6)+SUMIFS(Закрытые!$F$5:$F$200,Закрытые!$E$5:$E$200,$B6,Закрытые!$B$5:$B$200,"L-*"))</f>
        <v/>
      </c>
      <c r="D6" s="183">
        <f>IF(C6="","",(SUMPRODUCT((Лэндинг!$E$5:$E$200=$B6)*Лэндинг!$F$5:$F$200*Лэндинг!$G$5:$G$200)+SUMPRODUCT((Закрытые!$E$5:$E$200=$B6)*(LEFT(Закрытые!$B$5:$B$200,2)="L-")*Закрытые!$F$5:$F$200*Закрытые!$G$5:$G$200))/C6)</f>
        <v/>
      </c>
      <c r="E6" s="247">
        <f>IF(C6="","",SUMIFS(Лэндинг!$H$5:$H$200,Лэндинг!$E$5:$E$200,$B6)+SUMIFS(Закрытые!$H$5:$H$200,Закрытые!$E$5:$E$200,$B6,Закрытые!$B$5:$B$200,"L-*"))</f>
        <v/>
      </c>
      <c r="F6" s="246">
        <f>IF(SUMIFS(Лэндинг!$I$5:$I$200,Лэндинг!$E$5:$E$200,$B6)+SUMIFS(Закрытые!$I$5:$I$200,Закрытые!$E$5:$E$200,$B6,Закрытые!$B$5:$B$200,"L-*")=0,"",SUMIFS(Лэндинг!$I$5:$I$200,Лэндинг!$E$5:$E$200,$B6)+SUMIFS(Закрытые!$I$5:$I$200,Закрытые!$E$5:$E$200,$B6,Закрытые!$B$5:$B$200,"L-*"))</f>
        <v/>
      </c>
      <c r="G6" s="183">
        <f>IF(F6="","",(SUMPRODUCT((Лэндинг!$E$5:$E$200=$B6)*Лэндинг!$I$5:$I$200*Лэндинг!$J$5:$J$200)+SUMPRODUCT((Закрытые!$E$5:$E$200=$B6)*(LEFT(Закрытые!$B$5:$B$200,2)="L-")*Закрытые!$I$5:$I$200*Закрытые!$J$5:$J$200))/F6)</f>
        <v/>
      </c>
      <c r="H6" s="247">
        <f>IF(F6="","",SUMIFS(Лэндинг!$K$5:$K$200,Лэндинг!$E$5:$E$200,$B6)+SUMIFS(Закрытые!$K$5:$K$200,Закрытые!$E$5:$E$200,$B6,Закрытые!$B$5:$B$200,"L-*"))</f>
        <v/>
      </c>
      <c r="I6" s="246">
        <f>IF($B6="","",IF(COUNTIFS(Лэндинг!$E$5:$E$200,$B6)+COUNTIFS(Закрытые!$E$5:$E$200,$B6,Закрытые!$B$5:$B$200,"L-*")=0,"",ROUND(SUMIFS(Лэндинг!$L$5:$L$200,Лэндинг!$E$5:$E$200,$B6)+SUMIFS(Закрытые!$L$5:$L$200,Закрытые!$E$5:$E$200,$B6,Закрытые!$B$5:$B$200,"L-*"),8)))</f>
        <v/>
      </c>
      <c r="J6" s="247">
        <f>IF($B6="","",IF(COUNTIFS(Лэндинг!$E$5:$E$200,$B6)+COUNTIFS(Закрытые!$E$5:$E$200,$B6,Закрытые!$B$5:$B$200,"L-*")=0,"",ROUND(SUMIFS(Лэндинг!$M$5:$M$200,Лэндинг!$E$5:$E$200,$B6)+SUMIFS(Закрытые!$M$5:$M$200,Закрытые!$E$5:$E$200,$B6,Закрытые!$B$5:$B$200,"L-*"),8)))</f>
        <v/>
      </c>
      <c r="K6" s="246">
        <f>IF(MIN(N(C6),N(F6))&lt;=0,"",ROUND(MIN(N(C6),N(F6))*(N(G6)-N(D6)),8))</f>
        <v/>
      </c>
      <c r="L6" s="183">
        <f>IF(MIN(N(C6),N(F6))&lt;=0,"",IF(N(D6)=0,"",ROUND((N(G6)/N(D6)-1)*100,2)))</f>
        <v/>
      </c>
      <c r="M6" s="183">
        <f>IF(OR(ROUND(N(C6)-N(F6),8)=0,1-N(Ввод!$J$19)/100&lt;=0),"",IF(N(C6)&gt;N(F6),(N(E6)-N(H6))/((N(C6)-N(F6))*(1-N(Ввод!$J$19)/100)),(N(H6)-N(E6))/((N(F6)-N(C6))*(1+N(Ввод!$J$19)/100))))</f>
        <v/>
      </c>
    </row>
    <row r="7" ht="22" customHeight="1">
      <c r="B7" s="239" t="inlineStr">
        <is>
          <t>ETH/BTC</t>
        </is>
      </c>
      <c r="C7" s="240">
        <f>IF(SUMIFS(Лэндинг!$F$5:$F$200,Лэндинг!$E$5:$E$200,$B7)+SUMIFS(Закрытые!$F$5:$F$200,Закрытые!$E$5:$E$200,$B7,Закрытые!$B$5:$B$200,"L-*")=0,"",SUMIFS(Лэндинг!$F$5:$F$200,Лэндинг!$E$5:$E$200,$B7)+SUMIFS(Закрытые!$F$5:$F$200,Закрытые!$E$5:$E$200,$B7,Закрытые!$B$5:$B$200,"L-*"))</f>
        <v/>
      </c>
      <c r="D7" s="177">
        <f>IF(C7="","",(SUMPRODUCT((Лэндинг!$E$5:$E$200=$B7)*Лэндинг!$F$5:$F$200*Лэндинг!$G$5:$G$200)+SUMPRODUCT((Закрытые!$E$5:$E$200=$B7)*(LEFT(Закрытые!$B$5:$B$200,2)="L-")*Закрытые!$F$5:$F$200*Закрытые!$G$5:$G$200))/C7)</f>
        <v/>
      </c>
      <c r="E7" s="241">
        <f>IF(C7="","",SUMIFS(Лэндинг!$H$5:$H$200,Лэндинг!$E$5:$E$200,$B7)+SUMIFS(Закрытые!$H$5:$H$200,Закрытые!$E$5:$E$200,$B7,Закрытые!$B$5:$B$200,"L-*"))</f>
        <v/>
      </c>
      <c r="F7" s="240">
        <f>IF(SUMIFS(Лэндинг!$I$5:$I$200,Лэндинг!$E$5:$E$200,$B7)+SUMIFS(Закрытые!$I$5:$I$200,Закрытые!$E$5:$E$200,$B7,Закрытые!$B$5:$B$200,"L-*")=0,"",SUMIFS(Лэндинг!$I$5:$I$200,Лэндинг!$E$5:$E$200,$B7)+SUMIFS(Закрытые!$I$5:$I$200,Закрытые!$E$5:$E$200,$B7,Закрытые!$B$5:$B$200,"L-*"))</f>
        <v/>
      </c>
      <c r="G7" s="177">
        <f>IF(F7="","",(SUMPRODUCT((Лэндинг!$E$5:$E$200=$B7)*Лэндинг!$I$5:$I$200*Лэндинг!$J$5:$J$200)+SUMPRODUCT((Закрытые!$E$5:$E$200=$B7)*(LEFT(Закрытые!$B$5:$B$200,2)="L-")*Закрытые!$I$5:$I$200*Закрытые!$J$5:$J$200))/F7)</f>
        <v/>
      </c>
      <c r="H7" s="241">
        <f>IF(F7="","",SUMIFS(Лэндинг!$K$5:$K$200,Лэндинг!$E$5:$E$200,$B7)+SUMIFS(Закрытые!$K$5:$K$200,Закрытые!$E$5:$E$200,$B7,Закрытые!$B$5:$B$200,"L-*"))</f>
        <v/>
      </c>
      <c r="I7" s="240">
        <f>IF($B7="","",IF(COUNTIFS(Лэндинг!$E$5:$E$200,$B7)+COUNTIFS(Закрытые!$E$5:$E$200,$B7,Закрытые!$B$5:$B$200,"L-*")=0,"",ROUND(SUMIFS(Лэндинг!$L$5:$L$200,Лэндинг!$E$5:$E$200,$B7)+SUMIFS(Закрытые!$L$5:$L$200,Закрытые!$E$5:$E$200,$B7,Закрытые!$B$5:$B$200,"L-*"),8)))</f>
        <v/>
      </c>
      <c r="J7" s="241">
        <f>IF($B7="","",IF(COUNTIFS(Лэндинг!$E$5:$E$200,$B7)+COUNTIFS(Закрытые!$E$5:$E$200,$B7,Закрытые!$B$5:$B$200,"L-*")=0,"",ROUND(SUMIFS(Лэндинг!$M$5:$M$200,Лэндинг!$E$5:$E$200,$B7)+SUMIFS(Закрытые!$M$5:$M$200,Закрытые!$E$5:$E$200,$B7,Закрытые!$B$5:$B$200,"L-*"),8)))</f>
        <v/>
      </c>
      <c r="K7" s="240">
        <f>IF(MIN(N(C7),N(F7))&lt;=0,"",ROUND(MIN(N(C7),N(F7))*(N(G7)-N(D7)),8))</f>
        <v/>
      </c>
      <c r="L7" s="177">
        <f>IF(MIN(N(C7),N(F7))&lt;=0,"",IF(N(D7)=0,"",ROUND((N(G7)/N(D7)-1)*100,2)))</f>
        <v/>
      </c>
      <c r="M7" s="177">
        <f>IF(OR(ROUND(N(C7)-N(F7),8)=0,1-N(Ввод!$J$19)/100&lt;=0),"",IF(N(C7)&gt;N(F7),(N(E7)-N(H7))/((N(C7)-N(F7))*(1-N(Ввод!$J$19)/100)),(N(H7)-N(E7))/((N(F7)-N(C7))*(1+N(Ввод!$J$19)/100))))</f>
        <v/>
      </c>
    </row>
    <row r="8" ht="22" customHeight="1">
      <c r="B8" s="245" t="inlineStr">
        <is>
          <t>ETH/USDT</t>
        </is>
      </c>
      <c r="C8" s="246">
        <f>IF(SUMIFS(Лэндинг!$F$5:$F$200,Лэндинг!$E$5:$E$200,$B8)+SUMIFS(Закрытые!$F$5:$F$200,Закрытые!$E$5:$E$200,$B8,Закрытые!$B$5:$B$200,"L-*")=0,"",SUMIFS(Лэндинг!$F$5:$F$200,Лэндинг!$E$5:$E$200,$B8)+SUMIFS(Закрытые!$F$5:$F$200,Закрытые!$E$5:$E$200,$B8,Закрытые!$B$5:$B$200,"L-*"))</f>
        <v/>
      </c>
      <c r="D8" s="183">
        <f>IF(C8="","",(SUMPRODUCT((Лэндинг!$E$5:$E$200=$B8)*Лэндинг!$F$5:$F$200*Лэндинг!$G$5:$G$200)+SUMPRODUCT((Закрытые!$E$5:$E$200=$B8)*(LEFT(Закрытые!$B$5:$B$200,2)="L-")*Закрытые!$F$5:$F$200*Закрытые!$G$5:$G$200))/C8)</f>
        <v/>
      </c>
      <c r="E8" s="247">
        <f>IF(C8="","",SUMIFS(Лэндинг!$H$5:$H$200,Лэндинг!$E$5:$E$200,$B8)+SUMIFS(Закрытые!$H$5:$H$200,Закрытые!$E$5:$E$200,$B8,Закрытые!$B$5:$B$200,"L-*"))</f>
        <v/>
      </c>
      <c r="F8" s="246">
        <f>IF(SUMIFS(Лэндинг!$I$5:$I$200,Лэндинг!$E$5:$E$200,$B8)+SUMIFS(Закрытые!$I$5:$I$200,Закрытые!$E$5:$E$200,$B8,Закрытые!$B$5:$B$200,"L-*")=0,"",SUMIFS(Лэндинг!$I$5:$I$200,Лэндинг!$E$5:$E$200,$B8)+SUMIFS(Закрытые!$I$5:$I$200,Закрытые!$E$5:$E$200,$B8,Закрытые!$B$5:$B$200,"L-*"))</f>
        <v/>
      </c>
      <c r="G8" s="183">
        <f>IF(F8="","",(SUMPRODUCT((Лэндинг!$E$5:$E$200=$B8)*Лэндинг!$I$5:$I$200*Лэндинг!$J$5:$J$200)+SUMPRODUCT((Закрытые!$E$5:$E$200=$B8)*(LEFT(Закрытые!$B$5:$B$200,2)="L-")*Закрытые!$I$5:$I$200*Закрытые!$J$5:$J$200))/F8)</f>
        <v/>
      </c>
      <c r="H8" s="247">
        <f>IF(F8="","",SUMIFS(Лэндинг!$K$5:$K$200,Лэндинг!$E$5:$E$200,$B8)+SUMIFS(Закрытые!$K$5:$K$200,Закрытые!$E$5:$E$200,$B8,Закрытые!$B$5:$B$200,"L-*"))</f>
        <v/>
      </c>
      <c r="I8" s="246">
        <f>IF($B8="","",IF(COUNTIFS(Лэндинг!$E$5:$E$200,$B8)+COUNTIFS(Закрытые!$E$5:$E$200,$B8,Закрытые!$B$5:$B$200,"L-*")=0,"",ROUND(SUMIFS(Лэндинг!$L$5:$L$200,Лэндинг!$E$5:$E$200,$B8)+SUMIFS(Закрытые!$L$5:$L$200,Закрытые!$E$5:$E$200,$B8,Закрытые!$B$5:$B$200,"L-*"),8)))</f>
        <v/>
      </c>
      <c r="J8" s="247">
        <f>IF($B8="","",IF(COUNTIFS(Лэндинг!$E$5:$E$200,$B8)+COUNTIFS(Закрытые!$E$5:$E$200,$B8,Закрытые!$B$5:$B$200,"L-*")=0,"",ROUND(SUMIFS(Лэндинг!$M$5:$M$200,Лэндинг!$E$5:$E$200,$B8)+SUMIFS(Закрытые!$M$5:$M$200,Закрытые!$E$5:$E$200,$B8,Закрытые!$B$5:$B$200,"L-*"),8)))</f>
        <v/>
      </c>
      <c r="K8" s="246">
        <f>IF(MIN(N(C8),N(F8))&lt;=0,"",ROUND(MIN(N(C8),N(F8))*(N(G8)-N(D8)),8))</f>
        <v/>
      </c>
      <c r="L8" s="183">
        <f>IF(MIN(N(C8),N(F8))&lt;=0,"",IF(N(D8)=0,"",ROUND((N(G8)/N(D8)-1)*100,2)))</f>
        <v/>
      </c>
      <c r="M8" s="183">
        <f>IF(OR(ROUND(N(C8)-N(F8),8)=0,1-N(Ввод!$J$19)/100&lt;=0),"",IF(N(C8)&gt;N(F8),(N(E8)-N(H8))/((N(C8)-N(F8))*(1-N(Ввод!$J$19)/100)),(N(H8)-N(E8))/((N(F8)-N(C8))*(1+N(Ввод!$J$19)/100))))</f>
        <v/>
      </c>
    </row>
    <row r="9" ht="22" customHeight="1">
      <c r="B9" s="239" t="inlineStr">
        <is>
          <t>SOL/USDT</t>
        </is>
      </c>
      <c r="C9" s="240">
        <f>IF(SUMIFS(Лэндинг!$F$5:$F$200,Лэндинг!$E$5:$E$200,$B9)+SUMIFS(Закрытые!$F$5:$F$200,Закрытые!$E$5:$E$200,$B9,Закрытые!$B$5:$B$200,"L-*")=0,"",SUMIFS(Лэндинг!$F$5:$F$200,Лэндинг!$E$5:$E$200,$B9)+SUMIFS(Закрытые!$F$5:$F$200,Закрытые!$E$5:$E$200,$B9,Закрытые!$B$5:$B$200,"L-*"))</f>
        <v/>
      </c>
      <c r="D9" s="177">
        <f>IF(C9="","",(SUMPRODUCT((Лэндинг!$E$5:$E$200=$B9)*Лэндинг!$F$5:$F$200*Лэндинг!$G$5:$G$200)+SUMPRODUCT((Закрытые!$E$5:$E$200=$B9)*(LEFT(Закрытые!$B$5:$B$200,2)="L-")*Закрытые!$F$5:$F$200*Закрытые!$G$5:$G$200))/C9)</f>
        <v/>
      </c>
      <c r="E9" s="241">
        <f>IF(C9="","",SUMIFS(Лэндинг!$H$5:$H$200,Лэндинг!$E$5:$E$200,$B9)+SUMIFS(Закрытые!$H$5:$H$200,Закрытые!$E$5:$E$200,$B9,Закрытые!$B$5:$B$200,"L-*"))</f>
        <v/>
      </c>
      <c r="F9" s="240">
        <f>IF(SUMIFS(Лэндинг!$I$5:$I$200,Лэндинг!$E$5:$E$200,$B9)+SUMIFS(Закрытые!$I$5:$I$200,Закрытые!$E$5:$E$200,$B9,Закрытые!$B$5:$B$200,"L-*")=0,"",SUMIFS(Лэндинг!$I$5:$I$200,Лэндинг!$E$5:$E$200,$B9)+SUMIFS(Закрытые!$I$5:$I$200,Закрытые!$E$5:$E$200,$B9,Закрытые!$B$5:$B$200,"L-*"))</f>
        <v/>
      </c>
      <c r="G9" s="177">
        <f>IF(F9="","",(SUMPRODUCT((Лэндинг!$E$5:$E$200=$B9)*Лэндинг!$I$5:$I$200*Лэндинг!$J$5:$J$200)+SUMPRODUCT((Закрытые!$E$5:$E$200=$B9)*(LEFT(Закрытые!$B$5:$B$200,2)="L-")*Закрытые!$I$5:$I$200*Закрытые!$J$5:$J$200))/F9)</f>
        <v/>
      </c>
      <c r="H9" s="241">
        <f>IF(F9="","",SUMIFS(Лэндинг!$K$5:$K$200,Лэндинг!$E$5:$E$200,$B9)+SUMIFS(Закрытые!$K$5:$K$200,Закрытые!$E$5:$E$200,$B9,Закрытые!$B$5:$B$200,"L-*"))</f>
        <v/>
      </c>
      <c r="I9" s="240">
        <f>IF($B9="","",IF(COUNTIFS(Лэндинг!$E$5:$E$200,$B9)+COUNTIFS(Закрытые!$E$5:$E$200,$B9,Закрытые!$B$5:$B$200,"L-*")=0,"",ROUND(SUMIFS(Лэндинг!$L$5:$L$200,Лэндинг!$E$5:$E$200,$B9)+SUMIFS(Закрытые!$L$5:$L$200,Закрытые!$E$5:$E$200,$B9,Закрытые!$B$5:$B$200,"L-*"),8)))</f>
        <v/>
      </c>
      <c r="J9" s="241">
        <f>IF($B9="","",IF(COUNTIFS(Лэндинг!$E$5:$E$200,$B9)+COUNTIFS(Закрытые!$E$5:$E$200,$B9,Закрытые!$B$5:$B$200,"L-*")=0,"",ROUND(SUMIFS(Лэндинг!$M$5:$M$200,Лэндинг!$E$5:$E$200,$B9)+SUMIFS(Закрытые!$M$5:$M$200,Закрытые!$E$5:$E$200,$B9,Закрытые!$B$5:$B$200,"L-*"),8)))</f>
        <v/>
      </c>
      <c r="K9" s="240">
        <f>IF(MIN(N(C9),N(F9))&lt;=0,"",ROUND(MIN(N(C9),N(F9))*(N(G9)-N(D9)),8))</f>
        <v/>
      </c>
      <c r="L9" s="177">
        <f>IF(MIN(N(C9),N(F9))&lt;=0,"",IF(N(D9)=0,"",ROUND((N(G9)/N(D9)-1)*100,2)))</f>
        <v/>
      </c>
      <c r="M9" s="177">
        <f>IF(OR(ROUND(N(C9)-N(F9),8)=0,1-N(Ввод!$J$19)/100&lt;=0),"",IF(N(C9)&gt;N(F9),(N(E9)-N(H9))/((N(C9)-N(F9))*(1-N(Ввод!$J$19)/100)),(N(H9)-N(E9))/((N(F9)-N(C9))*(1+N(Ввод!$J$19)/100))))</f>
        <v/>
      </c>
    </row>
    <row r="10" ht="22" customHeight="1">
      <c r="B10" s="245" t="n"/>
      <c r="C10" s="246">
        <f>IF(SUMIFS(Лэндинг!$F$5:$F$200,Лэндинг!$E$5:$E$200,$B10)+SUMIFS(Закрытые!$F$5:$F$200,Закрытые!$E$5:$E$200,$B10,Закрытые!$B$5:$B$200,"L-*")=0,"",SUMIFS(Лэндинг!$F$5:$F$200,Лэндинг!$E$5:$E$200,$B10)+SUMIFS(Закрытые!$F$5:$F$200,Закрытые!$E$5:$E$200,$B10,Закрытые!$B$5:$B$200,"L-*"))</f>
        <v/>
      </c>
      <c r="D10" s="183">
        <f>IF(C10="","",(SUMPRODUCT((Лэндинг!$E$5:$E$200=$B10)*Лэндинг!$F$5:$F$200*Лэндинг!$G$5:$G$200)+SUMPRODUCT((Закрытые!$E$5:$E$200=$B10)*(LEFT(Закрытые!$B$5:$B$200,2)="L-")*Закрытые!$F$5:$F$200*Закрытые!$G$5:$G$200))/C10)</f>
        <v/>
      </c>
      <c r="E10" s="247">
        <f>IF(C10="","",SUMIFS(Лэндинг!$H$5:$H$200,Лэндинг!$E$5:$E$200,$B10)+SUMIFS(Закрытые!$H$5:$H$200,Закрытые!$E$5:$E$200,$B10,Закрытые!$B$5:$B$200,"L-*"))</f>
        <v/>
      </c>
      <c r="F10" s="246">
        <f>IF(SUMIFS(Лэндинг!$I$5:$I$200,Лэндинг!$E$5:$E$200,$B10)+SUMIFS(Закрытые!$I$5:$I$200,Закрытые!$E$5:$E$200,$B10,Закрытые!$B$5:$B$200,"L-*")=0,"",SUMIFS(Лэндинг!$I$5:$I$200,Лэндинг!$E$5:$E$200,$B10)+SUMIFS(Закрытые!$I$5:$I$200,Закрытые!$E$5:$E$200,$B10,Закрытые!$B$5:$B$200,"L-*"))</f>
        <v/>
      </c>
      <c r="G10" s="183">
        <f>IF(F10="","",(SUMPRODUCT((Лэндинг!$E$5:$E$200=$B10)*Лэндинг!$I$5:$I$200*Лэндинг!$J$5:$J$200)+SUMPRODUCT((Закрытые!$E$5:$E$200=$B10)*(LEFT(Закрытые!$B$5:$B$200,2)="L-")*Закрытые!$I$5:$I$200*Закрытые!$J$5:$J$200))/F10)</f>
        <v/>
      </c>
      <c r="H10" s="247">
        <f>IF(F10="","",SUMIFS(Лэндинг!$K$5:$K$200,Лэндинг!$E$5:$E$200,$B10)+SUMIFS(Закрытые!$K$5:$K$200,Закрытые!$E$5:$E$200,$B10,Закрытые!$B$5:$B$200,"L-*"))</f>
        <v/>
      </c>
      <c r="I10" s="246">
        <f>IF($B10="","",IF(COUNTIFS(Лэндинг!$E$5:$E$200,$B10)+COUNTIFS(Закрытые!$E$5:$E$200,$B10,Закрытые!$B$5:$B$200,"L-*")=0,"",ROUND(SUMIFS(Лэндинг!$L$5:$L$200,Лэндинг!$E$5:$E$200,$B10)+SUMIFS(Закрытые!$L$5:$L$200,Закрытые!$E$5:$E$200,$B10,Закрытые!$B$5:$B$200,"L-*"),8)))</f>
        <v/>
      </c>
      <c r="J10" s="247">
        <f>IF($B10="","",IF(COUNTIFS(Лэндинг!$E$5:$E$200,$B10)+COUNTIFS(Закрытые!$E$5:$E$200,$B10,Закрытые!$B$5:$B$200,"L-*")=0,"",ROUND(SUMIFS(Лэндинг!$M$5:$M$200,Лэндинг!$E$5:$E$200,$B10)+SUMIFS(Закрытые!$M$5:$M$200,Закрытые!$E$5:$E$200,$B10,Закрытые!$B$5:$B$200,"L-*"),8)))</f>
        <v/>
      </c>
      <c r="K10" s="246">
        <f>IF(MIN(N(C10),N(F10))&lt;=0,"",ROUND(MIN(N(C10),N(F10))*(N(G10)-N(D10)),8))</f>
        <v/>
      </c>
      <c r="L10" s="183">
        <f>IF(MIN(N(C10),N(F10))&lt;=0,"",IF(N(D10)=0,"",ROUND((N(G10)/N(D10)-1)*100,2)))</f>
        <v/>
      </c>
      <c r="M10" s="183">
        <f>IF(OR(ROUND(N(C10)-N(F10),8)=0,1-N(Ввод!$J$19)/100&lt;=0),"",IF(N(C10)&gt;N(F10),(N(E10)-N(H10))/((N(C10)-N(F10))*(1-N(Ввод!$J$19)/100)),(N(H10)-N(E10))/((N(F10)-N(C10))*(1+N(Ввод!$J$19)/100))))</f>
        <v/>
      </c>
    </row>
    <row r="11" ht="22" customHeight="1">
      <c r="B11" s="239" t="n"/>
      <c r="C11" s="240">
        <f>IF(SUMIFS(Лэндинг!$F$5:$F$200,Лэндинг!$E$5:$E$200,$B11)+SUMIFS(Закрытые!$F$5:$F$200,Закрытые!$E$5:$E$200,$B11,Закрытые!$B$5:$B$200,"L-*")=0,"",SUMIFS(Лэндинг!$F$5:$F$200,Лэндинг!$E$5:$E$200,$B11)+SUMIFS(Закрытые!$F$5:$F$200,Закрытые!$E$5:$E$200,$B11,Закрытые!$B$5:$B$200,"L-*"))</f>
        <v/>
      </c>
      <c r="D11" s="177">
        <f>IF(C11="","",(SUMPRODUCT((Лэндинг!$E$5:$E$200=$B11)*Лэндинг!$F$5:$F$200*Лэндинг!$G$5:$G$200)+SUMPRODUCT((Закрытые!$E$5:$E$200=$B11)*(LEFT(Закрытые!$B$5:$B$200,2)="L-")*Закрытые!$F$5:$F$200*Закрытые!$G$5:$G$200))/C11)</f>
        <v/>
      </c>
      <c r="E11" s="241">
        <f>IF(C11="","",SUMIFS(Лэндинг!$H$5:$H$200,Лэндинг!$E$5:$E$200,$B11)+SUMIFS(Закрытые!$H$5:$H$200,Закрытые!$E$5:$E$200,$B11,Закрытые!$B$5:$B$200,"L-*"))</f>
        <v/>
      </c>
      <c r="F11" s="240">
        <f>IF(SUMIFS(Лэндинг!$I$5:$I$200,Лэндинг!$E$5:$E$200,$B11)+SUMIFS(Закрытые!$I$5:$I$200,Закрытые!$E$5:$E$200,$B11,Закрытые!$B$5:$B$200,"L-*")=0,"",SUMIFS(Лэндинг!$I$5:$I$200,Лэндинг!$E$5:$E$200,$B11)+SUMIFS(Закрытые!$I$5:$I$200,Закрытые!$E$5:$E$200,$B11,Закрытые!$B$5:$B$200,"L-*"))</f>
        <v/>
      </c>
      <c r="G11" s="177">
        <f>IF(F11="","",(SUMPRODUCT((Лэндинг!$E$5:$E$200=$B11)*Лэндинг!$I$5:$I$200*Лэндинг!$J$5:$J$200)+SUMPRODUCT((Закрытые!$E$5:$E$200=$B11)*(LEFT(Закрытые!$B$5:$B$200,2)="L-")*Закрытые!$I$5:$I$200*Закрытые!$J$5:$J$200))/F11)</f>
        <v/>
      </c>
      <c r="H11" s="241">
        <f>IF(F11="","",SUMIFS(Лэндинг!$K$5:$K$200,Лэндинг!$E$5:$E$200,$B11)+SUMIFS(Закрытые!$K$5:$K$200,Закрытые!$E$5:$E$200,$B11,Закрытые!$B$5:$B$200,"L-*"))</f>
        <v/>
      </c>
      <c r="I11" s="240">
        <f>IF($B11="","",IF(COUNTIFS(Лэндинг!$E$5:$E$200,$B11)+COUNTIFS(Закрытые!$E$5:$E$200,$B11,Закрытые!$B$5:$B$200,"L-*")=0,"",ROUND(SUMIFS(Лэндинг!$L$5:$L$200,Лэндинг!$E$5:$E$200,$B11)+SUMIFS(Закрытые!$L$5:$L$200,Закрытые!$E$5:$E$200,$B11,Закрытые!$B$5:$B$200,"L-*"),8)))</f>
        <v/>
      </c>
      <c r="J11" s="241">
        <f>IF($B11="","",IF(COUNTIFS(Лэндинг!$E$5:$E$200,$B11)+COUNTIFS(Закрытые!$E$5:$E$200,$B11,Закрытые!$B$5:$B$200,"L-*")=0,"",ROUND(SUMIFS(Лэндинг!$M$5:$M$200,Лэндинг!$E$5:$E$200,$B11)+SUMIFS(Закрытые!$M$5:$M$200,Закрытые!$E$5:$E$200,$B11,Закрытые!$B$5:$B$200,"L-*"),8)))</f>
        <v/>
      </c>
      <c r="K11" s="240">
        <f>IF(MIN(N(C11),N(F11))&lt;=0,"",ROUND(MIN(N(C11),N(F11))*(N(G11)-N(D11)),8))</f>
        <v/>
      </c>
      <c r="L11" s="177">
        <f>IF(MIN(N(C11),N(F11))&lt;=0,"",IF(N(D11)=0,"",ROUND((N(G11)/N(D11)-1)*100,2)))</f>
        <v/>
      </c>
      <c r="M11" s="177">
        <f>IF(OR(ROUND(N(C11)-N(F11),8)=0,1-N(Ввод!$J$19)/100&lt;=0),"",IF(N(C11)&gt;N(F11),(N(E11)-N(H11))/((N(C11)-N(F11))*(1-N(Ввод!$J$19)/100)),(N(H11)-N(E11))/((N(F11)-N(C11))*(1+N(Ввод!$J$19)/100))))</f>
        <v/>
      </c>
    </row>
    <row r="12" ht="22" customHeight="1">
      <c r="B12" s="245" t="n"/>
      <c r="C12" s="246">
        <f>IF(SUMIFS(Лэндинг!$F$5:$F$200,Лэндинг!$E$5:$E$200,$B12)+SUMIFS(Закрытые!$F$5:$F$200,Закрытые!$E$5:$E$200,$B12,Закрытые!$B$5:$B$200,"L-*")=0,"",SUMIFS(Лэндинг!$F$5:$F$200,Лэндинг!$E$5:$E$200,$B12)+SUMIFS(Закрытые!$F$5:$F$200,Закрытые!$E$5:$E$200,$B12,Закрытые!$B$5:$B$200,"L-*"))</f>
        <v/>
      </c>
      <c r="D12" s="183">
        <f>IF(C12="","",(SUMPRODUCT((Лэндинг!$E$5:$E$200=$B12)*Лэндинг!$F$5:$F$200*Лэндинг!$G$5:$G$200)+SUMPRODUCT((Закрытые!$E$5:$E$200=$B12)*(LEFT(Закрытые!$B$5:$B$200,2)="L-")*Закрытые!$F$5:$F$200*Закрытые!$G$5:$G$200))/C12)</f>
        <v/>
      </c>
      <c r="E12" s="247">
        <f>IF(C12="","",SUMIFS(Лэндинг!$H$5:$H$200,Лэндинг!$E$5:$E$200,$B12)+SUMIFS(Закрытые!$H$5:$H$200,Закрытые!$E$5:$E$200,$B12,Закрытые!$B$5:$B$200,"L-*"))</f>
        <v/>
      </c>
      <c r="F12" s="246">
        <f>IF(SUMIFS(Лэндинг!$I$5:$I$200,Лэндинг!$E$5:$E$200,$B12)+SUMIFS(Закрытые!$I$5:$I$200,Закрытые!$E$5:$E$200,$B12,Закрытые!$B$5:$B$200,"L-*")=0,"",SUMIFS(Лэндинг!$I$5:$I$200,Лэндинг!$E$5:$E$200,$B12)+SUMIFS(Закрытые!$I$5:$I$200,Закрытые!$E$5:$E$200,$B12,Закрытые!$B$5:$B$200,"L-*"))</f>
        <v/>
      </c>
      <c r="G12" s="183">
        <f>IF(F12="","",(SUMPRODUCT((Лэндинг!$E$5:$E$200=$B12)*Лэндинг!$I$5:$I$200*Лэндинг!$J$5:$J$200)+SUMPRODUCT((Закрытые!$E$5:$E$200=$B12)*(LEFT(Закрытые!$B$5:$B$200,2)="L-")*Закрытые!$I$5:$I$200*Закрытые!$J$5:$J$200))/F12)</f>
        <v/>
      </c>
      <c r="H12" s="247">
        <f>IF(F12="","",SUMIFS(Лэндинг!$K$5:$K$200,Лэндинг!$E$5:$E$200,$B12)+SUMIFS(Закрытые!$K$5:$K$200,Закрытые!$E$5:$E$200,$B12,Закрытые!$B$5:$B$200,"L-*"))</f>
        <v/>
      </c>
      <c r="I12" s="246">
        <f>IF($B12="","",IF(COUNTIFS(Лэндинг!$E$5:$E$200,$B12)+COUNTIFS(Закрытые!$E$5:$E$200,$B12,Закрытые!$B$5:$B$200,"L-*")=0,"",ROUND(SUMIFS(Лэндинг!$L$5:$L$200,Лэндинг!$E$5:$E$200,$B12)+SUMIFS(Закрытые!$L$5:$L$200,Закрытые!$E$5:$E$200,$B12,Закрытые!$B$5:$B$200,"L-*"),8)))</f>
        <v/>
      </c>
      <c r="J12" s="247">
        <f>IF($B12="","",IF(COUNTIFS(Лэндинг!$E$5:$E$200,$B12)+COUNTIFS(Закрытые!$E$5:$E$200,$B12,Закрытые!$B$5:$B$200,"L-*")=0,"",ROUND(SUMIFS(Лэндинг!$M$5:$M$200,Лэндинг!$E$5:$E$200,$B12)+SUMIFS(Закрытые!$M$5:$M$200,Закрытые!$E$5:$E$200,$B12,Закрытые!$B$5:$B$200,"L-*"),8)))</f>
        <v/>
      </c>
      <c r="K12" s="246">
        <f>IF(MIN(N(C12),N(F12))&lt;=0,"",ROUND(MIN(N(C12),N(F12))*(N(G12)-N(D12)),8))</f>
        <v/>
      </c>
      <c r="L12" s="183">
        <f>IF(MIN(N(C12),N(F12))&lt;=0,"",IF(N(D12)=0,"",ROUND((N(G12)/N(D12)-1)*100,2)))</f>
        <v/>
      </c>
      <c r="M12" s="183">
        <f>IF(OR(ROUND(N(C12)-N(F12),8)=0,1-N(Ввод!$J$19)/100&lt;=0),"",IF(N(C12)&gt;N(F12),(N(E12)-N(H12))/((N(C12)-N(F12))*(1-N(Ввод!$J$19)/100)),(N(H12)-N(E12))/((N(F12)-N(C12))*(1+N(Ввод!$J$19)/100))))</f>
        <v/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K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</row>
    <row r="5" ht="22" customHeight="1">
      <c r="B5" s="236" t="inlineStr">
        <is>
          <t>P-0003</t>
        </is>
      </c>
      <c r="C5" s="237" t="n">
        <v>46297</v>
      </c>
      <c r="D5" s="238" t="inlineStr">
        <is>
          <t>PancakeSwap</t>
        </is>
      </c>
      <c r="E5" s="239" t="inlineStr">
        <is>
          <t>BNB/USDT</t>
        </is>
      </c>
      <c r="F5" s="240" t="n">
        <v>4</v>
      </c>
      <c r="G5" s="241" t="n">
        <v>2360</v>
      </c>
      <c r="H5" s="240" t="n">
        <v>4.2</v>
      </c>
      <c r="I5" s="241" t="n">
        <v>2300</v>
      </c>
      <c r="J5" s="240">
        <f>IF(AND(ISNUMBER(F5),ISNUMBER(H5)),ROUND(H5-F5,8),"")</f>
        <v/>
      </c>
      <c r="K5" s="241">
        <f>IF(AND(ISNUMBER(G5),ISNUMBER(I5)),ROUND(I5-G5,8),"")</f>
        <v/>
      </c>
    </row>
    <row r="6" ht="22" customHeight="1">
      <c r="B6" s="242" t="inlineStr">
        <is>
          <t>P-0006</t>
        </is>
      </c>
      <c r="C6" s="243" t="n">
        <v>46299</v>
      </c>
      <c r="D6" s="244" t="inlineStr">
        <is>
          <t>Uniswap</t>
        </is>
      </c>
      <c r="E6" s="245" t="inlineStr">
        <is>
          <t>BTC/USDT</t>
        </is>
      </c>
      <c r="F6" s="246" t="n">
        <v>0.05</v>
      </c>
      <c r="G6" s="247" t="n">
        <v>3125</v>
      </c>
      <c r="H6" s="246" t="n"/>
      <c r="I6" s="247" t="n"/>
      <c r="J6" s="246">
        <f>IF(AND(ISNUMBER(F6),ISNUMBER(H6)),ROUND(H6-F6,8),"")</f>
        <v/>
      </c>
      <c r="K6" s="247">
        <f>IF(AND(ISNUMBER(G6),ISNUMBER(I6)),ROUND(I6-G6,8),"")</f>
        <v/>
      </c>
    </row>
    <row r="7" ht="22" customHeight="1">
      <c r="B7" s="236" t="inlineStr">
        <is>
          <t>P-0001</t>
        </is>
      </c>
      <c r="C7" s="237" t="n">
        <v>46296</v>
      </c>
      <c r="D7" s="238" t="inlineStr">
        <is>
          <t>Uniswap</t>
        </is>
      </c>
      <c r="E7" s="239" t="inlineStr">
        <is>
          <t>ETH/BTC</t>
        </is>
      </c>
      <c r="F7" s="240" t="n">
        <v>2</v>
      </c>
      <c r="G7" s="241" t="n">
        <v>0.104</v>
      </c>
      <c r="H7" s="240" t="n">
        <v>1.96</v>
      </c>
      <c r="I7" s="241" t="n">
        <v>0.1092</v>
      </c>
      <c r="J7" s="240">
        <f>IF(AND(ISNUMBER(F7),ISNUMBER(H7)),ROUND(H7-F7,8),"")</f>
        <v/>
      </c>
      <c r="K7" s="241">
        <f>IF(AND(ISNUMBER(G7),ISNUMBER(I7)),ROUND(I7-G7,8),"")</f>
        <v/>
      </c>
    </row>
    <row r="8" ht="22" customHeight="1">
      <c r="B8" s="242" t="inlineStr">
        <is>
          <t>P-0007</t>
        </is>
      </c>
      <c r="C8" s="243" t="n">
        <v>46299</v>
      </c>
      <c r="D8" s="244" t="inlineStr">
        <is>
          <t>PancakeSwap</t>
        </is>
      </c>
      <c r="E8" s="245" t="inlineStr">
        <is>
          <t>ETH/BTC</t>
        </is>
      </c>
      <c r="F8" s="246" t="n">
        <v>1.2</v>
      </c>
      <c r="G8" s="247" t="n">
        <v>0.0624</v>
      </c>
      <c r="H8" s="246" t="n"/>
      <c r="I8" s="247" t="n"/>
      <c r="J8" s="246">
        <f>IF(AND(ISNUMBER(F8),ISNUMBER(H8)),ROUND(H8-F8,8),"")</f>
        <v/>
      </c>
      <c r="K8" s="247">
        <f>IF(AND(ISNUMBER(G8),ISNUMBER(I8)),ROUND(I8-G8,8),"")</f>
        <v/>
      </c>
    </row>
    <row r="9" ht="22" customHeight="1">
      <c r="B9" s="236" t="inlineStr">
        <is>
          <t>P-0004</t>
        </is>
      </c>
      <c r="C9" s="237" t="n">
        <v>46298</v>
      </c>
      <c r="D9" s="238" t="inlineStr">
        <is>
          <t>Uniswap</t>
        </is>
      </c>
      <c r="E9" s="239" t="inlineStr">
        <is>
          <t>ETH/USDT</t>
        </is>
      </c>
      <c r="F9" s="240" t="n">
        <v>1.5</v>
      </c>
      <c r="G9" s="241" t="n">
        <v>4800</v>
      </c>
      <c r="H9" s="240" t="n"/>
      <c r="I9" s="241" t="n"/>
      <c r="J9" s="240">
        <f>IF(AND(ISNUMBER(F9),ISNUMBER(H9)),ROUND(H9-F9,8),"")</f>
        <v/>
      </c>
      <c r="K9" s="241">
        <f>IF(AND(ISNUMBER(G9),ISNUMBER(I9)),ROUND(I9-G9,8),"")</f>
        <v/>
      </c>
    </row>
    <row r="10" ht="22" customHeight="1">
      <c r="B10" s="242" t="inlineStr">
        <is>
          <t>P-0002</t>
        </is>
      </c>
      <c r="C10" s="243" t="n">
        <v>46296</v>
      </c>
      <c r="D10" s="244" t="inlineStr">
        <is>
          <t>Raydium</t>
        </is>
      </c>
      <c r="E10" s="245" t="inlineStr">
        <is>
          <t>SOL/USDT</t>
        </is>
      </c>
      <c r="F10" s="246" t="n">
        <v>30</v>
      </c>
      <c r="G10" s="247" t="n">
        <v>4350</v>
      </c>
      <c r="H10" s="246" t="n">
        <v>28.5</v>
      </c>
      <c r="I10" s="247" t="n">
        <v>4560</v>
      </c>
      <c r="J10" s="246">
        <f>IF(AND(ISNUMBER(F10),ISNUMBER(H10)),ROUND(H10-F10,8),"")</f>
        <v/>
      </c>
      <c r="K10" s="247">
        <f>IF(AND(ISNUMBER(G10),ISNUMBER(I10)),ROUND(I10-G10,8),"")</f>
        <v/>
      </c>
    </row>
    <row r="11" ht="22" customHeight="1">
      <c r="B11" s="236" t="inlineStr">
        <is>
          <t>P-0005</t>
        </is>
      </c>
      <c r="C11" s="237" t="n">
        <v>46298</v>
      </c>
      <c r="D11" s="238" t="inlineStr">
        <is>
          <t>Orca</t>
        </is>
      </c>
      <c r="E11" s="239" t="inlineStr">
        <is>
          <t>SOL/USDT</t>
        </is>
      </c>
      <c r="F11" s="240" t="n">
        <v>12</v>
      </c>
      <c r="G11" s="241" t="n">
        <v>1740</v>
      </c>
      <c r="H11" s="240" t="n">
        <v>12.6</v>
      </c>
      <c r="I11" s="241" t="n">
        <v>1688</v>
      </c>
      <c r="J11" s="240">
        <f>IF(AND(ISNUMBER(F11),ISNUMBER(H11)),ROUND(H11-F11,8),"")</f>
        <v/>
      </c>
      <c r="K11" s="241">
        <f>IF(AND(ISNUMBER(G11),ISNUMBER(I11)),ROUND(I11-G11,8),"")</f>
        <v/>
      </c>
    </row>
    <row r="12" ht="22" customHeight="1">
      <c r="B12" s="242" t="inlineStr">
        <is>
          <t>P-0008</t>
        </is>
      </c>
      <c r="C12" s="243" t="n">
        <v>46299</v>
      </c>
      <c r="D12" s="244" t="inlineStr">
        <is>
          <t>Raydium</t>
        </is>
      </c>
      <c r="E12" s="245" t="inlineStr">
        <is>
          <t>SOL/USDT</t>
        </is>
      </c>
      <c r="F12" s="246" t="n">
        <v>25</v>
      </c>
      <c r="G12" s="247" t="n">
        <v>3625</v>
      </c>
      <c r="H12" s="246" t="n"/>
      <c r="I12" s="247" t="n"/>
      <c r="J12" s="246">
        <f>IF(AND(ISNUMBER(F12),ISNUMBER(H12)),ROUND(H12-F12,8),"")</f>
        <v/>
      </c>
      <c r="K12" s="247">
        <f>IF(AND(ISNUMBER(G12),ISNUMBER(I12)),ROUND(I12-G12,8),"")</f>
        <v/>
      </c>
    </row>
  </sheetData>
  <autoFilter ref="B4:K12"/>
  <mergeCells count="1">
    <mergeCell ref="B1:K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239" t="inlineStr">
        <is>
          <t>BNB/USDT</t>
        </is>
      </c>
      <c r="C5" s="240">
        <f>IF($B5="","",IF(COUNTIFS(Пул!$E$5:$E$200,$B5,Пул!$F$5:$F$200,"&lt;&gt;")=0,"",ROUND(SUMIFS(Пул!$F$5:$F$200,Пул!$E$5:$E$200,$B5),8)))</f>
        <v/>
      </c>
      <c r="D5" s="241">
        <f>IF($B5="","",IF(COUNTIFS(Пул!$E$5:$E$200,$B5,Пул!$G$5:$G$200,"&lt;&gt;")=0,"",ROUND(SUMIFS(Пул!$G$5:$G$200,Пул!$E$5:$E$200,$B5),8)))</f>
        <v/>
      </c>
      <c r="E5" s="240">
        <f>IF($B5="","",IF(COUNTIFS(Пул!$E$5:$E$200,$B5,Пул!$H$5:$H$200,"&lt;&gt;")=0,"",ROUND(SUMIFS(Пул!$H$5:$H$200,Пул!$E$5:$E$200,$B5),8)))</f>
        <v/>
      </c>
      <c r="F5" s="241">
        <f>IF($B5="","",IF(COUNTIFS(Пул!$E$5:$E$200,$B5,Пул!$I$5:$I$200,"&lt;&gt;")=0,"",ROUND(SUMIFS(Пул!$I$5:$I$200,Пул!$E$5:$E$200,$B5),8)))</f>
        <v/>
      </c>
      <c r="G5" s="240">
        <f>IF($B5="","",IF(COUNTIFS(Пул!$E$5:$E$200,$B5,Пул!$H$5:$H$200,"&lt;&gt;")=0,"",ROUND(SUMIFS(Пул!$J$5:$J$200,Пул!$E$5:$E$200,$B5),8)))</f>
        <v/>
      </c>
      <c r="H5" s="241">
        <f>IF($B5="","",IF(COUNTIFS(Пул!$E$5:$E$200,$B5,Пул!$I$5:$I$200,"&lt;&gt;")=0,"",ROUND(SUMIFS(Пул!$K$5:$K$200,Пул!$E$5:$E$200,$B5),8)))</f>
        <v/>
      </c>
      <c r="I5" s="236">
        <f>IF(AND(ISNUMBER(G5),ISNUMBER(H5)),IF(AND(G5&gt;0,H5&lt;0),"Buy",IF(AND(G5&lt;0,H5&gt;0),"Sell","")),"")</f>
        <v/>
      </c>
      <c r="J5" s="177">
        <f>IF(I5="Buy",G5,IF(I5="Sell",-G5,""))</f>
        <v/>
      </c>
      <c r="K5" s="177">
        <f>IF(AND(ISNUMBER(J5),ISNUMBER(L5),N(J5)&lt;&gt;0),ROUND(L5/J5,8),"")</f>
        <v/>
      </c>
      <c r="L5" s="177">
        <f>IF(I5="Buy",-H5,IF(I5="Sell",H5,""))</f>
        <v/>
      </c>
    </row>
    <row r="6" ht="22" customHeight="1">
      <c r="B6" s="245" t="inlineStr">
        <is>
          <t>BTC/USDT</t>
        </is>
      </c>
      <c r="C6" s="246">
        <f>IF($B6="","",IF(COUNTIFS(Пул!$E$5:$E$200,$B6,Пул!$F$5:$F$200,"&lt;&gt;")=0,"",ROUND(SUMIFS(Пул!$F$5:$F$200,Пул!$E$5:$E$200,$B6),8)))</f>
        <v/>
      </c>
      <c r="D6" s="247">
        <f>IF($B6="","",IF(COUNTIFS(Пул!$E$5:$E$200,$B6,Пул!$G$5:$G$200,"&lt;&gt;")=0,"",ROUND(SUMIFS(Пул!$G$5:$G$200,Пул!$E$5:$E$200,$B6),8)))</f>
        <v/>
      </c>
      <c r="E6" s="246">
        <f>IF($B6="","",IF(COUNTIFS(Пул!$E$5:$E$200,$B6,Пул!$H$5:$H$200,"&lt;&gt;")=0,"",ROUND(SUMIFS(Пул!$H$5:$H$200,Пул!$E$5:$E$200,$B6),8)))</f>
        <v/>
      </c>
      <c r="F6" s="247">
        <f>IF($B6="","",IF(COUNTIFS(Пул!$E$5:$E$200,$B6,Пул!$I$5:$I$200,"&lt;&gt;")=0,"",ROUND(SUMIFS(Пул!$I$5:$I$200,Пул!$E$5:$E$200,$B6),8)))</f>
        <v/>
      </c>
      <c r="G6" s="246">
        <f>IF($B6="","",IF(COUNTIFS(Пул!$E$5:$E$200,$B6,Пул!$H$5:$H$200,"&lt;&gt;")=0,"",ROUND(SUMIFS(Пул!$J$5:$J$200,Пул!$E$5:$E$200,$B6),8)))</f>
        <v/>
      </c>
      <c r="H6" s="247">
        <f>IF($B6="","",IF(COUNTIFS(Пул!$E$5:$E$200,$B6,Пул!$I$5:$I$200,"&lt;&gt;")=0,"",ROUND(SUMIFS(Пул!$K$5:$K$200,Пул!$E$5:$E$200,$B6),8)))</f>
        <v/>
      </c>
      <c r="I6" s="242">
        <f>IF(AND(ISNUMBER(G6),ISNUMBER(H6)),IF(AND(G6&gt;0,H6&lt;0),"Buy",IF(AND(G6&lt;0,H6&gt;0),"Sell","")),"")</f>
        <v/>
      </c>
      <c r="J6" s="183">
        <f>IF(I6="Buy",G6,IF(I6="Sell",-G6,""))</f>
        <v/>
      </c>
      <c r="K6" s="183">
        <f>IF(AND(ISNUMBER(J6),ISNUMBER(L6),N(J6)&lt;&gt;0),ROUND(L6/J6,8),"")</f>
        <v/>
      </c>
      <c r="L6" s="183">
        <f>IF(I6="Buy",-H6,IF(I6="Sell",H6,""))</f>
        <v/>
      </c>
    </row>
    <row r="7" ht="22" customHeight="1">
      <c r="B7" s="239" t="inlineStr">
        <is>
          <t>ETH/BTC</t>
        </is>
      </c>
      <c r="C7" s="240">
        <f>IF($B7="","",IF(COUNTIFS(Пул!$E$5:$E$200,$B7,Пул!$F$5:$F$200,"&lt;&gt;")=0,"",ROUND(SUMIFS(Пул!$F$5:$F$200,Пул!$E$5:$E$200,$B7),8)))</f>
        <v/>
      </c>
      <c r="D7" s="241">
        <f>IF($B7="","",IF(COUNTIFS(Пул!$E$5:$E$200,$B7,Пул!$G$5:$G$200,"&lt;&gt;")=0,"",ROUND(SUMIFS(Пул!$G$5:$G$200,Пул!$E$5:$E$200,$B7),8)))</f>
        <v/>
      </c>
      <c r="E7" s="240">
        <f>IF($B7="","",IF(COUNTIFS(Пул!$E$5:$E$200,$B7,Пул!$H$5:$H$200,"&lt;&gt;")=0,"",ROUND(SUMIFS(Пул!$H$5:$H$200,Пул!$E$5:$E$200,$B7),8)))</f>
        <v/>
      </c>
      <c r="F7" s="241">
        <f>IF($B7="","",IF(COUNTIFS(Пул!$E$5:$E$200,$B7,Пул!$I$5:$I$200,"&lt;&gt;")=0,"",ROUND(SUMIFS(Пул!$I$5:$I$200,Пул!$E$5:$E$200,$B7),8)))</f>
        <v/>
      </c>
      <c r="G7" s="240">
        <f>IF($B7="","",IF(COUNTIFS(Пул!$E$5:$E$200,$B7,Пул!$H$5:$H$200,"&lt;&gt;")=0,"",ROUND(SUMIFS(Пул!$J$5:$J$200,Пул!$E$5:$E$200,$B7),8)))</f>
        <v/>
      </c>
      <c r="H7" s="241">
        <f>IF($B7="","",IF(COUNTIFS(Пул!$E$5:$E$200,$B7,Пул!$I$5:$I$200,"&lt;&gt;")=0,"",ROUND(SUMIFS(Пул!$K$5:$K$200,Пул!$E$5:$E$200,$B7),8)))</f>
        <v/>
      </c>
      <c r="I7" s="236">
        <f>IF(AND(ISNUMBER(G7),ISNUMBER(H7)),IF(AND(G7&gt;0,H7&lt;0),"Buy",IF(AND(G7&lt;0,H7&gt;0),"Sell","")),"")</f>
        <v/>
      </c>
      <c r="J7" s="177">
        <f>IF(I7="Buy",G7,IF(I7="Sell",-G7,""))</f>
        <v/>
      </c>
      <c r="K7" s="177">
        <f>IF(AND(ISNUMBER(J7),ISNUMBER(L7),N(J7)&lt;&gt;0),ROUND(L7/J7,8),"")</f>
        <v/>
      </c>
      <c r="L7" s="177">
        <f>IF(I7="Buy",-H7,IF(I7="Sell",H7,""))</f>
        <v/>
      </c>
    </row>
    <row r="8" ht="22" customHeight="1">
      <c r="B8" s="245" t="inlineStr">
        <is>
          <t>ETH/USDT</t>
        </is>
      </c>
      <c r="C8" s="246">
        <f>IF($B8="","",IF(COUNTIFS(Пул!$E$5:$E$200,$B8,Пул!$F$5:$F$200,"&lt;&gt;")=0,"",ROUND(SUMIFS(Пул!$F$5:$F$200,Пул!$E$5:$E$200,$B8),8)))</f>
        <v/>
      </c>
      <c r="D8" s="247">
        <f>IF($B8="","",IF(COUNTIFS(Пул!$E$5:$E$200,$B8,Пул!$G$5:$G$200,"&lt;&gt;")=0,"",ROUND(SUMIFS(Пул!$G$5:$G$200,Пул!$E$5:$E$200,$B8),8)))</f>
        <v/>
      </c>
      <c r="E8" s="246">
        <f>IF($B8="","",IF(COUNTIFS(Пул!$E$5:$E$200,$B8,Пул!$H$5:$H$200,"&lt;&gt;")=0,"",ROUND(SUMIFS(Пул!$H$5:$H$200,Пул!$E$5:$E$200,$B8),8)))</f>
        <v/>
      </c>
      <c r="F8" s="247">
        <f>IF($B8="","",IF(COUNTIFS(Пул!$E$5:$E$200,$B8,Пул!$I$5:$I$200,"&lt;&gt;")=0,"",ROUND(SUMIFS(Пул!$I$5:$I$200,Пул!$E$5:$E$200,$B8),8)))</f>
        <v/>
      </c>
      <c r="G8" s="246">
        <f>IF($B8="","",IF(COUNTIFS(Пул!$E$5:$E$200,$B8,Пул!$H$5:$H$200,"&lt;&gt;")=0,"",ROUND(SUMIFS(Пул!$J$5:$J$200,Пул!$E$5:$E$200,$B8),8)))</f>
        <v/>
      </c>
      <c r="H8" s="247">
        <f>IF($B8="","",IF(COUNTIFS(Пул!$E$5:$E$200,$B8,Пул!$I$5:$I$200,"&lt;&gt;")=0,"",ROUND(SUMIFS(Пул!$K$5:$K$200,Пул!$E$5:$E$200,$B8),8)))</f>
        <v/>
      </c>
      <c r="I8" s="242">
        <f>IF(AND(ISNUMBER(G8),ISNUMBER(H8)),IF(AND(G8&gt;0,H8&lt;0),"Buy",IF(AND(G8&lt;0,H8&gt;0),"Sell","")),"")</f>
        <v/>
      </c>
      <c r="J8" s="183">
        <f>IF(I8="Buy",G8,IF(I8="Sell",-G8,""))</f>
        <v/>
      </c>
      <c r="K8" s="183">
        <f>IF(AND(ISNUMBER(J8),ISNUMBER(L8),N(J8)&lt;&gt;0),ROUND(L8/J8,8),"")</f>
        <v/>
      </c>
      <c r="L8" s="183">
        <f>IF(I8="Buy",-H8,IF(I8="Sell",H8,""))</f>
        <v/>
      </c>
    </row>
    <row r="9" ht="22" customHeight="1">
      <c r="B9" s="239" t="inlineStr">
        <is>
          <t>SOL/USDT</t>
        </is>
      </c>
      <c r="C9" s="240">
        <f>IF($B9="","",IF(COUNTIFS(Пул!$E$5:$E$200,$B9,Пул!$F$5:$F$200,"&lt;&gt;")=0,"",ROUND(SUMIFS(Пул!$F$5:$F$200,Пул!$E$5:$E$200,$B9),8)))</f>
        <v/>
      </c>
      <c r="D9" s="241">
        <f>IF($B9="","",IF(COUNTIFS(Пул!$E$5:$E$200,$B9,Пул!$G$5:$G$200,"&lt;&gt;")=0,"",ROUND(SUMIFS(Пул!$G$5:$G$200,Пул!$E$5:$E$200,$B9),8)))</f>
        <v/>
      </c>
      <c r="E9" s="240">
        <f>IF($B9="","",IF(COUNTIFS(Пул!$E$5:$E$200,$B9,Пул!$H$5:$H$200,"&lt;&gt;")=0,"",ROUND(SUMIFS(Пул!$H$5:$H$200,Пул!$E$5:$E$200,$B9),8)))</f>
        <v/>
      </c>
      <c r="F9" s="241">
        <f>IF($B9="","",IF(COUNTIFS(Пул!$E$5:$E$200,$B9,Пул!$I$5:$I$200,"&lt;&gt;")=0,"",ROUND(SUMIFS(Пул!$I$5:$I$200,Пул!$E$5:$E$200,$B9),8)))</f>
        <v/>
      </c>
      <c r="G9" s="240">
        <f>IF($B9="","",IF(COUNTIFS(Пул!$E$5:$E$200,$B9,Пул!$H$5:$H$200,"&lt;&gt;")=0,"",ROUND(SUMIFS(Пул!$J$5:$J$200,Пул!$E$5:$E$200,$B9),8)))</f>
        <v/>
      </c>
      <c r="H9" s="241">
        <f>IF($B9="","",IF(COUNTIFS(Пул!$E$5:$E$200,$B9,Пул!$I$5:$I$200,"&lt;&gt;")=0,"",ROUND(SUMIFS(Пул!$K$5:$K$200,Пул!$E$5:$E$200,$B9),8)))</f>
        <v/>
      </c>
      <c r="I9" s="236">
        <f>IF(AND(ISNUMBER(G9),ISNUMBER(H9)),IF(AND(G9&gt;0,H9&lt;0),"Buy",IF(AND(G9&lt;0,H9&gt;0),"Sell","")),"")</f>
        <v/>
      </c>
      <c r="J9" s="177">
        <f>IF(I9="Buy",G9,IF(I9="Sell",-G9,""))</f>
        <v/>
      </c>
      <c r="K9" s="177">
        <f>IF(AND(ISNUMBER(J9),ISNUMBER(L9),N(J9)&lt;&gt;0),ROUND(L9/J9,8),"")</f>
        <v/>
      </c>
      <c r="L9" s="177">
        <f>IF(I9="Buy",-H9,IF(I9="Sell",H9,""))</f>
        <v/>
      </c>
    </row>
    <row r="10" ht="22" customHeight="1">
      <c r="B10" s="245" t="n"/>
      <c r="C10" s="246">
        <f>IF($B10="","",IF(COUNTIFS(Пул!$E$5:$E$200,$B10,Пул!$F$5:$F$200,"&lt;&gt;")=0,"",ROUND(SUMIFS(Пул!$F$5:$F$200,Пул!$E$5:$E$200,$B10),8)))</f>
        <v/>
      </c>
      <c r="D10" s="247">
        <f>IF($B10="","",IF(COUNTIFS(Пул!$E$5:$E$200,$B10,Пул!$G$5:$G$200,"&lt;&gt;")=0,"",ROUND(SUMIFS(Пул!$G$5:$G$200,Пул!$E$5:$E$200,$B10),8)))</f>
        <v/>
      </c>
      <c r="E10" s="246">
        <f>IF($B10="","",IF(COUNTIFS(Пул!$E$5:$E$200,$B10,Пул!$H$5:$H$200,"&lt;&gt;")=0,"",ROUND(SUMIFS(Пул!$H$5:$H$200,Пул!$E$5:$E$200,$B10),8)))</f>
        <v/>
      </c>
      <c r="F10" s="247">
        <f>IF($B10="","",IF(COUNTIFS(Пул!$E$5:$E$200,$B10,Пул!$I$5:$I$200,"&lt;&gt;")=0,"",ROUND(SUMIFS(Пул!$I$5:$I$200,Пул!$E$5:$E$200,$B10),8)))</f>
        <v/>
      </c>
      <c r="G10" s="246">
        <f>IF($B10="","",IF(COUNTIFS(Пул!$E$5:$E$200,$B10,Пул!$H$5:$H$200,"&lt;&gt;")=0,"",ROUND(SUMIFS(Пул!$J$5:$J$200,Пул!$E$5:$E$200,$B10),8)))</f>
        <v/>
      </c>
      <c r="H10" s="247">
        <f>IF($B10="","",IF(COUNTIFS(Пул!$E$5:$E$200,$B10,Пул!$I$5:$I$200,"&lt;&gt;")=0,"",ROUND(SUMIFS(Пул!$K$5:$K$200,Пул!$E$5:$E$200,$B10),8)))</f>
        <v/>
      </c>
      <c r="I10" s="242">
        <f>IF(AND(ISNUMBER(G10),ISNUMBER(H10)),IF(AND(G10&gt;0,H10&lt;0),"Buy",IF(AND(G10&lt;0,H10&gt;0),"Sell","")),"")</f>
        <v/>
      </c>
      <c r="J10" s="183">
        <f>IF(I10="Buy",G10,IF(I10="Sell",-G10,""))</f>
        <v/>
      </c>
      <c r="K10" s="183">
        <f>IF(AND(ISNUMBER(J10),ISNUMBER(L10),N(J10)&lt;&gt;0),ROUND(L10/J10,8),"")</f>
        <v/>
      </c>
      <c r="L10" s="183">
        <f>IF(I10="Buy",-H10,IF(I10="Sell",H10,""))</f>
        <v/>
      </c>
    </row>
    <row r="11" ht="22" customHeight="1">
      <c r="B11" s="239" t="n"/>
      <c r="C11" s="240">
        <f>IF($B11="","",IF(COUNTIFS(Пул!$E$5:$E$200,$B11,Пул!$F$5:$F$200,"&lt;&gt;")=0,"",ROUND(SUMIFS(Пул!$F$5:$F$200,Пул!$E$5:$E$200,$B11),8)))</f>
        <v/>
      </c>
      <c r="D11" s="241">
        <f>IF($B11="","",IF(COUNTIFS(Пул!$E$5:$E$200,$B11,Пул!$G$5:$G$200,"&lt;&gt;")=0,"",ROUND(SUMIFS(Пул!$G$5:$G$200,Пул!$E$5:$E$200,$B11),8)))</f>
        <v/>
      </c>
      <c r="E11" s="240">
        <f>IF($B11="","",IF(COUNTIFS(Пул!$E$5:$E$200,$B11,Пул!$H$5:$H$200,"&lt;&gt;")=0,"",ROUND(SUMIFS(Пул!$H$5:$H$200,Пул!$E$5:$E$200,$B11),8)))</f>
        <v/>
      </c>
      <c r="F11" s="241">
        <f>IF($B11="","",IF(COUNTIFS(Пул!$E$5:$E$200,$B11,Пул!$I$5:$I$200,"&lt;&gt;")=0,"",ROUND(SUMIFS(Пул!$I$5:$I$200,Пул!$E$5:$E$200,$B11),8)))</f>
        <v/>
      </c>
      <c r="G11" s="240">
        <f>IF($B11="","",IF(COUNTIFS(Пул!$E$5:$E$200,$B11,Пул!$H$5:$H$200,"&lt;&gt;")=0,"",ROUND(SUMIFS(Пул!$J$5:$J$200,Пул!$E$5:$E$200,$B11),8)))</f>
        <v/>
      </c>
      <c r="H11" s="241">
        <f>IF($B11="","",IF(COUNTIFS(Пул!$E$5:$E$200,$B11,Пул!$I$5:$I$200,"&lt;&gt;")=0,"",ROUND(SUMIFS(Пул!$K$5:$K$200,Пул!$E$5:$E$200,$B11),8)))</f>
        <v/>
      </c>
      <c r="I11" s="236">
        <f>IF(AND(ISNUMBER(G11),ISNUMBER(H11)),IF(AND(G11&gt;0,H11&lt;0),"Buy",IF(AND(G11&lt;0,H11&gt;0),"Sell","")),"")</f>
        <v/>
      </c>
      <c r="J11" s="177">
        <f>IF(I11="Buy",G11,IF(I11="Sell",-G11,""))</f>
        <v/>
      </c>
      <c r="K11" s="177">
        <f>IF(AND(ISNUMBER(J11),ISNUMBER(L11),N(J11)&lt;&gt;0),ROUND(L11/J11,8),"")</f>
        <v/>
      </c>
      <c r="L11" s="177">
        <f>IF(I11="Buy",-H11,IF(I11="Sell",H11,""))</f>
        <v/>
      </c>
    </row>
    <row r="12" ht="22" customHeight="1">
      <c r="B12" s="245" t="n"/>
      <c r="C12" s="246">
        <f>IF($B12="","",IF(COUNTIFS(Пул!$E$5:$E$200,$B12,Пул!$F$5:$F$200,"&lt;&gt;")=0,"",ROUND(SUMIFS(Пул!$F$5:$F$200,Пул!$E$5:$E$200,$B12),8)))</f>
        <v/>
      </c>
      <c r="D12" s="247">
        <f>IF($B12="","",IF(COUNTIFS(Пул!$E$5:$E$200,$B12,Пул!$G$5:$G$200,"&lt;&gt;")=0,"",ROUND(SUMIFS(Пул!$G$5:$G$200,Пул!$E$5:$E$200,$B12),8)))</f>
        <v/>
      </c>
      <c r="E12" s="246">
        <f>IF($B12="","",IF(COUNTIFS(Пул!$E$5:$E$200,$B12,Пул!$H$5:$H$200,"&lt;&gt;")=0,"",ROUND(SUMIFS(Пул!$H$5:$H$200,Пул!$E$5:$E$200,$B12),8)))</f>
        <v/>
      </c>
      <c r="F12" s="247">
        <f>IF($B12="","",IF(COUNTIFS(Пул!$E$5:$E$200,$B12,Пул!$I$5:$I$200,"&lt;&gt;")=0,"",ROUND(SUMIFS(Пул!$I$5:$I$200,Пул!$E$5:$E$200,$B12),8)))</f>
        <v/>
      </c>
      <c r="G12" s="246">
        <f>IF($B12="","",IF(COUNTIFS(Пул!$E$5:$E$200,$B12,Пул!$H$5:$H$200,"&lt;&gt;")=0,"",ROUND(SUMIFS(Пул!$J$5:$J$200,Пул!$E$5:$E$200,$B12),8)))</f>
        <v/>
      </c>
      <c r="H12" s="247">
        <f>IF($B12="","",IF(COUNTIFS(Пул!$E$5:$E$200,$B12,Пул!$I$5:$I$200,"&lt;&gt;")=0,"",ROUND(SUMIFS(Пул!$K$5:$K$200,Пул!$E$5:$E$200,$B12),8)))</f>
        <v/>
      </c>
      <c r="I12" s="242">
        <f>IF(AND(ISNUMBER(G12),ISNUMBER(H12)),IF(AND(G12&gt;0,H12&lt;0),"Buy",IF(AND(G12&lt;0,H12&gt;0),"Sell","")),"")</f>
        <v/>
      </c>
      <c r="J12" s="183">
        <f>IF(I12="Buy",G12,IF(I12="Sell",-G12,""))</f>
        <v/>
      </c>
      <c r="K12" s="183">
        <f>IF(AND(ISNUMBER(J12),ISNUMBER(L12),N(J12)&lt;&gt;0),ROUND(L12/J12,8),"")</f>
        <v/>
      </c>
      <c r="L12" s="183">
        <f>IF(I12="Buy",-H12,IF(I12="Sell",H12,""))</f>
        <v/>
      </c>
    </row>
  </sheetData>
  <autoFilter ref="B4:L12"/>
  <mergeCells count="1">
    <mergeCell ref="B1:L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13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>
        <v>2</v>
      </c>
      <c r="G5" s="177" t="n">
        <v>586.17</v>
      </c>
      <c r="H5" s="241" t="n">
        <v>1172.34</v>
      </c>
      <c r="I5" s="240" t="n">
        <v>2</v>
      </c>
      <c r="J5" s="177" t="n">
        <v>598.8</v>
      </c>
      <c r="K5" s="241" t="n">
        <v>1197.6</v>
      </c>
      <c r="L5" s="240">
        <f>IF(COUNT(F5,I5)=0,"",N(F5)-N(I5))</f>
        <v/>
      </c>
      <c r="M5" s="241">
        <f>IF(COUNT(H5,K5)=0,"",N(K5)-N(H5))</f>
        <v/>
      </c>
      <c r="N5" s="240">
        <f>IF(AND(ISNUMBER(F5),ISNUMBER(I5),ISNUMBER(H5),ISNUMBER(K5),F5&gt;0,I5&gt;0,H5&lt;&gt;0),ROUND(MIN(F5,I5)*(K5/I5-H5/F5),8),"")</f>
        <v/>
      </c>
      <c r="O5" s="177">
        <f>IF(ISNUMBER(N5),ROUND(N5/(MIN(F5,I5)*H5/F5)*100,2),"")</f>
        <v/>
      </c>
      <c r="P5" s="207" t="n"/>
      <c r="Q5" s="207" t="n"/>
    </row>
    <row r="6" ht="22" customHeight="1">
      <c r="B6" s="244" t="inlineStr">
        <is>
          <t>T-0006</t>
        </is>
      </c>
      <c r="C6" s="243" t="n">
        <v>46299</v>
      </c>
      <c r="D6" s="244" t="inlineStr">
        <is>
          <t>OKX</t>
        </is>
      </c>
      <c r="E6" s="245" t="inlineStr">
        <is>
          <t>BTC/USDT</t>
        </is>
      </c>
      <c r="F6" s="246" t="n">
        <v>0.05</v>
      </c>
      <c r="G6" s="183" t="n">
        <v>62324.4</v>
      </c>
      <c r="H6" s="247" t="n">
        <v>3116.22</v>
      </c>
      <c r="I6" s="246" t="n">
        <v>0.05</v>
      </c>
      <c r="J6" s="183" t="n">
        <v>62874</v>
      </c>
      <c r="K6" s="247" t="n">
        <v>3143.7</v>
      </c>
      <c r="L6" s="246">
        <f>IF(COUNT(F6,I6)=0,"",N(F6)-N(I6))</f>
        <v/>
      </c>
      <c r="M6" s="247">
        <f>IF(COUNT(H6,K6)=0,"",N(K6)-N(H6))</f>
        <v/>
      </c>
      <c r="N6" s="246">
        <f>IF(AND(ISNUMBER(F6),ISNUMBER(I6),ISNUMBER(H6),ISNUMBER(K6),F6&gt;0,I6&gt;0,H6&lt;&gt;0),ROUND(MIN(F6,I6)*(K6/I6-H6/F6),8),"")</f>
        <v/>
      </c>
      <c r="O6" s="183">
        <f>IF(ISNUMBER(N6),ROUND(N6/(MIN(F6,I6)*H6/F6)*100,2),"")</f>
        <v/>
      </c>
      <c r="P6" s="207" t="n"/>
      <c r="Q6" s="207" t="n"/>
    </row>
    <row r="7" ht="22" customHeight="1">
      <c r="B7" s="238" t="inlineStr">
        <is>
          <t>T-0002</t>
        </is>
      </c>
      <c r="C7" s="237" t="n">
        <v>46297</v>
      </c>
      <c r="D7" s="238" t="inlineStr">
        <is>
          <t>Bybit</t>
        </is>
      </c>
      <c r="E7" s="239" t="inlineStr">
        <is>
          <t>ETH/USDT</t>
        </is>
      </c>
      <c r="F7" s="240" t="n">
        <v>1</v>
      </c>
      <c r="G7" s="177" t="n">
        <v>3206.4</v>
      </c>
      <c r="H7" s="241" t="n">
        <v>3206.4</v>
      </c>
      <c r="I7" s="240" t="n">
        <v>1</v>
      </c>
      <c r="J7" s="177" t="n">
        <v>3343.3</v>
      </c>
      <c r="K7" s="241" t="n">
        <v>3343.3</v>
      </c>
      <c r="L7" s="240">
        <f>IF(COUNT(F7,I7)=0,"",N(F7)-N(I7))</f>
        <v/>
      </c>
      <c r="M7" s="241">
        <f>IF(COUNT(H7,K7)=0,"",N(K7)-N(H7))</f>
        <v/>
      </c>
      <c r="N7" s="240">
        <f>IF(AND(ISNUMBER(F7),ISNUMBER(I7),ISNUMBER(H7),ISNUMBER(K7),F7&gt;0,I7&gt;0,H7&lt;&gt;0),ROUND(MIN(F7,I7)*(K7/I7-H7/F7),8),"")</f>
        <v/>
      </c>
      <c r="O7" s="177">
        <f>IF(ISNUMBER(N7),ROUND(N7/(MIN(F7,I7)*H7/F7)*100,2),"")</f>
        <v/>
      </c>
      <c r="P7" s="207" t="n"/>
      <c r="Q7" s="207" t="n"/>
    </row>
    <row r="8" ht="22" customHeight="1">
      <c r="B8" s="244" t="inlineStr">
        <is>
          <t>T-0003</t>
        </is>
      </c>
      <c r="C8" s="243" t="n">
        <v>46298</v>
      </c>
      <c r="D8" s="244" t="inlineStr">
        <is>
          <t>OKX</t>
        </is>
      </c>
      <c r="E8" s="245" t="inlineStr">
        <is>
          <t>SOL/USDT</t>
        </is>
      </c>
      <c r="F8" s="246" t="n">
        <v>20</v>
      </c>
      <c r="G8" s="183" t="n">
        <v>145.29</v>
      </c>
      <c r="H8" s="247" t="n">
        <v>2905.8</v>
      </c>
      <c r="I8" s="246" t="n">
        <v>20</v>
      </c>
      <c r="J8" s="183" t="n">
        <v>151.696</v>
      </c>
      <c r="K8" s="247" t="n">
        <v>3033.92</v>
      </c>
      <c r="L8" s="246">
        <f>IF(COUNT(F8,I8)=0,"",N(F8)-N(I8))</f>
        <v/>
      </c>
      <c r="M8" s="247">
        <f>IF(COUNT(H8,K8)=0,"",N(K8)-N(H8))</f>
        <v/>
      </c>
      <c r="N8" s="246">
        <f>IF(AND(ISNUMBER(F8),ISNUMBER(I8),ISNUMBER(H8),ISNUMBER(K8),F8&gt;0,I8&gt;0,H8&lt;&gt;0),ROUND(MIN(F8,I8)*(K8/I8-H8/F8),8),"")</f>
        <v/>
      </c>
      <c r="O8" s="183">
        <f>IF(ISNUMBER(N8),ROUND(N8/(MIN(F8,I8)*H8/F8)*100,2),"")</f>
        <v/>
      </c>
      <c r="P8" s="207" t="n"/>
      <c r="Q8" s="207" t="n"/>
    </row>
    <row r="9" ht="22" customHeight="1">
      <c r="B9" s="238" t="inlineStr">
        <is>
          <t>L-0013</t>
        </is>
      </c>
      <c r="C9" s="237" t="n">
        <v>46299</v>
      </c>
      <c r="D9" s="238" t="inlineStr">
        <is>
          <t>Binance</t>
        </is>
      </c>
      <c r="E9" s="239" t="inlineStr">
        <is>
          <t>BNB/USDT</t>
        </is>
      </c>
      <c r="F9" s="240" t="n">
        <v>1.5</v>
      </c>
      <c r="G9" s="177" t="n">
        <v>585</v>
      </c>
      <c r="H9" s="241" t="n">
        <v>877.5</v>
      </c>
      <c r="I9" s="240" t="n">
        <v>1.5</v>
      </c>
      <c r="J9" s="177" t="n">
        <v>597</v>
      </c>
      <c r="K9" s="241" t="n">
        <v>895.5</v>
      </c>
      <c r="L9" s="240">
        <f>IF(COUNT(F9,I9)=0,"",N(F9)-N(I9))</f>
        <v/>
      </c>
      <c r="M9" s="241">
        <f>IF(COUNT(H9,K9)=0,"",N(K9)-N(H9))</f>
        <v/>
      </c>
      <c r="N9" s="240">
        <f>IF(AND(ISNUMBER(F9),ISNUMBER(I9),ISNUMBER(H9),ISNUMBER(K9),F9&gt;0,I9&gt;0,H9&lt;&gt;0),ROUND(MIN(F9,I9)*(K9/I9-H9/F9),8),"")</f>
        <v/>
      </c>
      <c r="O9" s="177">
        <f>IF(ISNUMBER(N9),ROUND(N9/(MIN(F9,I9)*H9/F9)*100,2),"")</f>
        <v/>
      </c>
      <c r="P9" s="207" t="n"/>
      <c r="Q9" s="207" t="n"/>
    </row>
    <row r="10" ht="22" customHeight="1">
      <c r="B10" s="244" t="inlineStr">
        <is>
          <t>L-0014</t>
        </is>
      </c>
      <c r="C10" s="243" t="n">
        <v>46298</v>
      </c>
      <c r="D10" s="244" t="inlineStr">
        <is>
          <t>OKX</t>
        </is>
      </c>
      <c r="E10" s="245" t="inlineStr">
        <is>
          <t>ETH/USDT</t>
        </is>
      </c>
      <c r="F10" s="246" t="n">
        <v>0.5</v>
      </c>
      <c r="G10" s="183" t="n">
        <v>3210</v>
      </c>
      <c r="H10" s="247" t="n">
        <v>1605</v>
      </c>
      <c r="I10" s="246" t="n">
        <v>0.5</v>
      </c>
      <c r="J10" s="183" t="n">
        <v>3340</v>
      </c>
      <c r="K10" s="247" t="n">
        <v>1670</v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IF(AND(ISNUMBER(F10),ISNUMBER(I10),ISNUMBER(H10),ISNUMBER(K10),F10&gt;0,I10&gt;0,H10&lt;&gt;0),ROUND(MIN(F10,I10)*(K10/I10-H10/F10),8),"")</f>
        <v/>
      </c>
      <c r="O10" s="183">
        <f>IF(ISNUMBER(N10),ROUND(N10/(MIN(F10,I10)*H10/F10)*100,2),"")</f>
        <v/>
      </c>
      <c r="P10" s="207" t="n"/>
      <c r="Q10" s="207" t="n"/>
    </row>
    <row r="11" ht="22" customHeight="1">
      <c r="B11" s="238" t="inlineStr">
        <is>
          <t>L-0015</t>
        </is>
      </c>
      <c r="C11" s="237" t="n">
        <v>46297</v>
      </c>
      <c r="D11" s="238" t="inlineStr">
        <is>
          <t>Bybit</t>
        </is>
      </c>
      <c r="E11" s="239" t="inlineStr">
        <is>
          <t>SOL/USDT</t>
        </is>
      </c>
      <c r="F11" s="240" t="n">
        <v>10</v>
      </c>
      <c r="G11" s="177" t="n">
        <v>145</v>
      </c>
      <c r="H11" s="241" t="n">
        <v>1450</v>
      </c>
      <c r="I11" s="240" t="n">
        <v>10</v>
      </c>
      <c r="J11" s="177" t="n">
        <v>150.5</v>
      </c>
      <c r="K11" s="241" t="n">
        <v>1505</v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IF(AND(ISNUMBER(F11),ISNUMBER(I11),ISNUMBER(H11),ISNUMBER(K11),F11&gt;0,I11&gt;0,H11&lt;&gt;0),ROUND(MIN(F11,I11)*(K11/I11-H11/F11),8),"")</f>
        <v/>
      </c>
      <c r="O11" s="177">
        <f>IF(ISNUMBER(N11),ROUND(N11/(MIN(F11,I11)*H11/F11)*100,2),"")</f>
        <v/>
      </c>
      <c r="P11" s="207" t="n"/>
      <c r="Q11" s="207" t="n"/>
    </row>
    <row r="12" ht="22" customHeight="1">
      <c r="B12" s="244" t="n"/>
      <c r="C12" s="243" t="n"/>
      <c r="D12" s="244" t="n"/>
      <c r="E12" s="245" t="n"/>
      <c r="F12" s="246" t="n"/>
      <c r="G12" s="183" t="n"/>
      <c r="H12" s="247" t="n"/>
      <c r="I12" s="246" t="n"/>
      <c r="J12" s="183" t="n"/>
      <c r="K12" s="247" t="n"/>
      <c r="L12" s="246">
        <f>IF(COUNT(F12,I12)=0,"",N(F12)-N(I12))</f>
        <v/>
      </c>
      <c r="M12" s="247">
        <f>IF(COUNT(H12,K12)=0,"",N(K12)-N(H12))</f>
        <v/>
      </c>
      <c r="N12" s="246">
        <f>IF(AND(ISNUMBER(F12),ISNUMBER(I12),ISNUMBER(H12),ISNUMBER(K12),F12&gt;0,I12&gt;0,H12&lt;&gt;0),ROUND(MIN(F12,I12)*(K12/I12-H12/F12),8),"")</f>
        <v/>
      </c>
      <c r="O12" s="183">
        <f>IF(ISNUMBER(N12),ROUND(N12/(MIN(F12,I12)*H12/F12)*100,2),"")</f>
        <v/>
      </c>
      <c r="P12" s="207" t="n"/>
      <c r="Q12" s="207" t="n"/>
    </row>
    <row r="13">
      <c r="P13" s="207" t="n"/>
      <c r="Q13" s="207" t="n"/>
    </row>
  </sheetData>
  <autoFilter ref="B4:O12"/>
  <mergeCells count="1">
    <mergeCell ref="B1:O2"/>
  </mergeCells>
  <conditionalFormatting sqref="B5:O200">
    <cfRule type="expression" priority="1" dxfId="0">
      <formula>AND($B5&lt;&gt;"",COUNTIF(Торговля!$B$5:$B$200,$B5)+COUNTIF(Лэндинг!$B$5:$B$200,$B5)&gt;0)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ETH/BTC</t>
        </is>
      </c>
      <c r="C5" s="240" t="n">
        <v>0.5</v>
      </c>
      <c r="D5" s="177" t="n">
        <v>0.0521</v>
      </c>
      <c r="E5" s="241" t="n">
        <v>0.02605</v>
      </c>
      <c r="F5" s="240" t="n">
        <v>0.5</v>
      </c>
      <c r="G5" s="177" t="n">
        <v>0.0534</v>
      </c>
      <c r="H5" s="241" t="n">
        <v>0.0267</v>
      </c>
      <c r="I5" s="240">
        <f>IF(AND(AND(ISNUMBER(C5),ISNUMBER(F5),ISNUMBER(E5),ISNUMBER(H5)),C5&gt;0,F5&gt;0,E5&lt;&gt;0),ROUND(MIN(C5,F5)*(H5/F5-E5/C5),8),"")</f>
        <v/>
      </c>
      <c r="J5" s="241">
        <f>IF(AND(AND(ISNUMBER(C5),ISNUMBER(F5),ISNUMBER(E5),ISNUMBER(H5)),C5&gt;0,F5&gt;0,E5&lt;&gt;0),ROUND((H5/F5)/(E5/C5)*100-100,2),"")</f>
        <v/>
      </c>
      <c r="K5" s="240" t="n">
        <v>0.00063</v>
      </c>
      <c r="L5" s="177" t="n">
        <v>2.42</v>
      </c>
      <c r="M5" s="177" t="n">
        <v>0.0522</v>
      </c>
    </row>
    <row r="6" ht="22" customHeight="1">
      <c r="B6" s="245" t="inlineStr">
        <is>
          <t>BTC/USDT</t>
        </is>
      </c>
      <c r="C6" s="246" t="n">
        <v>0.25</v>
      </c>
      <c r="D6" s="183" t="n">
        <v>62000</v>
      </c>
      <c r="E6" s="247" t="n">
        <v>15500</v>
      </c>
      <c r="F6" s="246" t="n">
        <v>0.25</v>
      </c>
      <c r="G6" s="183" t="n">
        <v>64000</v>
      </c>
      <c r="H6" s="247" t="n">
        <v>16000</v>
      </c>
      <c r="I6" s="246">
        <f>IF(AND(AND(ISNUMBER(C6),ISNUMBER(F6),ISNUMBER(E6),ISNUMBER(H6)),C6&gt;0,F6&gt;0,E6&lt;&gt;0),ROUND(MIN(C6,F6)*(H6/F6-E6/C6),8),"")</f>
        <v/>
      </c>
      <c r="J6" s="247">
        <f>IF(AND(AND(ISNUMBER(C6),ISNUMBER(F6),ISNUMBER(E6),ISNUMBER(H6)),C6&gt;0,F6&gt;0,E6&lt;&gt;0),ROUND((H6/F6)/(E6/C6)*100-100,2),"")</f>
        <v/>
      </c>
      <c r="K6" s="246" t="n">
        <v>485</v>
      </c>
      <c r="L6" s="183" t="n">
        <v>3.13</v>
      </c>
      <c r="M6" s="183" t="n">
        <v>62155</v>
      </c>
    </row>
    <row r="7" ht="22" customHeight="1">
      <c r="B7" s="239" t="inlineStr">
        <is>
          <t>SOL/USDT</t>
        </is>
      </c>
      <c r="C7" s="240" t="n">
        <v>20</v>
      </c>
      <c r="D7" s="177" t="n">
        <v>145</v>
      </c>
      <c r="E7" s="241" t="n">
        <v>2900</v>
      </c>
      <c r="F7" s="240" t="n">
        <v>20</v>
      </c>
      <c r="G7" s="177" t="n">
        <v>139</v>
      </c>
      <c r="H7" s="241" t="n">
        <v>2780</v>
      </c>
      <c r="I7" s="240">
        <f>IF(AND(AND(ISNUMBER(C7),ISNUMBER(F7),ISNUMBER(E7),ISNUMBER(H7)),C7&gt;0,F7&gt;0,E7&lt;&gt;0),ROUND(MIN(C7,F7)*(H7/F7-E7/C7),8),"")</f>
        <v/>
      </c>
      <c r="J7" s="241">
        <f>IF(AND(AND(ISNUMBER(C7),ISNUMBER(F7),ISNUMBER(E7),ISNUMBER(H7)),C7&gt;0,F7&gt;0,E7&lt;&gt;0),ROUND((H7/F7)/(E7/C7)*100-100,2),"")</f>
        <v/>
      </c>
      <c r="K7" s="240" t="n">
        <v>-125</v>
      </c>
      <c r="L7" s="177" t="n">
        <v>-4.31</v>
      </c>
      <c r="M7" s="177" t="n">
        <v>145.3</v>
      </c>
    </row>
    <row r="8" ht="22" customHeight="1">
      <c r="B8" s="245" t="inlineStr">
        <is>
          <t>ETH/USDT</t>
        </is>
      </c>
      <c r="C8" s="246" t="n">
        <v>1.2</v>
      </c>
      <c r="D8" s="183" t="n">
        <v>3200</v>
      </c>
      <c r="E8" s="247" t="n">
        <v>3840</v>
      </c>
      <c r="F8" s="246" t="n">
        <v>1.2</v>
      </c>
      <c r="G8" s="183" t="n">
        <v>3350</v>
      </c>
      <c r="H8" s="247" t="n">
        <v>4020</v>
      </c>
      <c r="I8" s="246">
        <f>IF(AND(AND(ISNUMBER(C8),ISNUMBER(F8),ISNUMBER(E8),ISNUMBER(H8)),C8&gt;0,F8&gt;0,E8&lt;&gt;0),ROUND(MIN(C8,F8)*(H8/F8-E8/C8),8),"")</f>
        <v/>
      </c>
      <c r="J8" s="247">
        <f>IF(AND(AND(ISNUMBER(C8),ISNUMBER(F8),ISNUMBER(E8),ISNUMBER(H8)),C8&gt;0,F8&gt;0,E8&lt;&gt;0),ROUND((H8/F8)/(E8/C8)*100-100,2),"")</f>
        <v/>
      </c>
      <c r="K8" s="246" t="n">
        <v>175</v>
      </c>
      <c r="L8" s="183" t="n">
        <v>4.56</v>
      </c>
      <c r="M8" s="183" t="n">
        <v>3203.84</v>
      </c>
    </row>
    <row r="9" ht="22" customHeight="1">
      <c r="B9" s="239" t="inlineStr">
        <is>
          <t>BNB/USDT</t>
        </is>
      </c>
      <c r="C9" s="240" t="n">
        <v>5</v>
      </c>
      <c r="D9" s="177" t="n">
        <v>590</v>
      </c>
      <c r="E9" s="241" t="n">
        <v>2950</v>
      </c>
      <c r="F9" s="240" t="n">
        <v>5</v>
      </c>
      <c r="G9" s="177" t="n">
        <v>575</v>
      </c>
      <c r="H9" s="241" t="n">
        <v>2875</v>
      </c>
      <c r="I9" s="240">
        <f>IF(AND(AND(ISNUMBER(C9),ISNUMBER(F9),ISNUMBER(E9),ISNUMBER(H9)),C9&gt;0,F9&gt;0,E9&lt;&gt;0),ROUND(MIN(C9,F9)*(H9/F9-E9/C9),8),"")</f>
        <v/>
      </c>
      <c r="J9" s="241">
        <f>IF(AND(AND(ISNUMBER(C9),ISNUMBER(F9),ISNUMBER(E9),ISNUMBER(H9)),C9&gt;0,F9&gt;0,E9&lt;&gt;0),ROUND((H9/F9)/(E9/C9)*100-100,2),"")</f>
        <v/>
      </c>
      <c r="K9" s="240" t="n">
        <v>-80</v>
      </c>
      <c r="L9" s="177" t="n">
        <v>-2.71</v>
      </c>
      <c r="M9" s="177" t="n">
        <v>590.6</v>
      </c>
    </row>
    <row r="10" ht="22" customHeight="1">
      <c r="B10" s="245" t="inlineStr">
        <is>
          <t>BTC/USDT</t>
        </is>
      </c>
      <c r="C10" s="246" t="n">
        <v>0.1</v>
      </c>
      <c r="D10" s="183" t="n">
        <v>62500</v>
      </c>
      <c r="E10" s="247" t="n">
        <v>6250</v>
      </c>
      <c r="F10" s="246" t="n">
        <v>0.1</v>
      </c>
      <c r="G10" s="183" t="n">
        <v>63100</v>
      </c>
      <c r="H10" s="247" t="n">
        <v>6310</v>
      </c>
      <c r="I10" s="246">
        <f>IF(AND(AND(ISNUMBER(C10),ISNUMBER(F10),ISNUMBER(E10),ISNUMBER(H10)),C10&gt;0,F10&gt;0,E10&lt;&gt;0),ROUND(MIN(C10,F10)*(H10/F10-E10/C10),8),"")</f>
        <v/>
      </c>
      <c r="J10" s="247">
        <f>IF(AND(AND(ISNUMBER(C10),ISNUMBER(F10),ISNUMBER(E10),ISNUMBER(H10)),C10&gt;0,F10&gt;0,E10&lt;&gt;0),ROUND((H10/F10)/(E10/C10)*100-100,2),"")</f>
        <v/>
      </c>
      <c r="K10" s="246" t="n">
        <v>55</v>
      </c>
      <c r="L10" s="183" t="n">
        <v>0.88</v>
      </c>
      <c r="M10" s="183" t="n">
        <v>62512.5</v>
      </c>
    </row>
    <row r="11" ht="22" customHeight="1">
      <c r="B11" s="239" t="inlineStr">
        <is>
          <t>ETH/BTC</t>
        </is>
      </c>
      <c r="C11" s="240" t="n">
        <v>0.8</v>
      </c>
      <c r="D11" s="177" t="n">
        <v>0.0518</v>
      </c>
      <c r="E11" s="241" t="n">
        <v>0.04144</v>
      </c>
      <c r="F11" s="240" t="n">
        <v>0.8</v>
      </c>
      <c r="G11" s="177" t="n">
        <v>0.053</v>
      </c>
      <c r="H11" s="241" t="n">
        <v>0.0424</v>
      </c>
      <c r="I11" s="240">
        <f>IF(AND(AND(ISNUMBER(C11),ISNUMBER(F11),ISNUMBER(E11),ISNUMBER(H11)),C11&gt;0,F11&gt;0,E11&lt;&gt;0),ROUND(MIN(C11,F11)*(H11/F11-E11/C11),8),"")</f>
        <v/>
      </c>
      <c r="J11" s="241">
        <f>IF(AND(AND(ISNUMBER(C11),ISNUMBER(F11),ISNUMBER(E11),ISNUMBER(H11)),C11&gt;0,F11&gt;0,E11&lt;&gt;0),ROUND((H11/F11)/(E11/C11)*100-100,2),"")</f>
        <v/>
      </c>
      <c r="K11" s="240" t="n">
        <v>0.00092</v>
      </c>
      <c r="L11" s="177" t="n">
        <v>2.22</v>
      </c>
      <c r="M11" s="177" t="n">
        <v>0.05185</v>
      </c>
    </row>
    <row r="12" ht="22" customHeight="1">
      <c r="B12" s="245" t="inlineStr">
        <is>
          <t>SOL/USDT</t>
        </is>
      </c>
      <c r="C12" s="246" t="n">
        <v>15</v>
      </c>
      <c r="D12" s="183" t="n">
        <v>142</v>
      </c>
      <c r="E12" s="247" t="n">
        <v>2130</v>
      </c>
      <c r="F12" s="246" t="n">
        <v>15</v>
      </c>
      <c r="G12" s="183" t="n">
        <v>147</v>
      </c>
      <c r="H12" s="247" t="n">
        <v>2205</v>
      </c>
      <c r="I12" s="246">
        <f>IF(AND(AND(ISNUMBER(C12),ISNUMBER(F12),ISNUMBER(E12),ISNUMBER(H12)),C12&gt;0,F12&gt;0,E12&lt;&gt;0),ROUND(MIN(C12,F12)*(H12/F12-E12/C12),8),"")</f>
        <v/>
      </c>
      <c r="J12" s="247">
        <f>IF(AND(AND(ISNUMBER(C12),ISNUMBER(F12),ISNUMBER(E12),ISNUMBER(H12)),C12&gt;0,F12&gt;0,E12&lt;&gt;0),ROUND((H12/F12)/(E12/C12)*100-100,2),"")</f>
        <v/>
      </c>
      <c r="K12" s="246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</row>
    <row r="6" ht="22" customHeight="1">
      <c r="B6" s="206" t="inlineStr">
        <is>
          <t>Bybit</t>
        </is>
      </c>
      <c r="C6" s="206" t="inlineStr">
        <is>
          <t>Sell</t>
        </is>
      </c>
    </row>
    <row r="7" ht="22" customHeight="1">
      <c r="B7" s="206" t="inlineStr">
        <is>
          <t>OKX</t>
        </is>
      </c>
      <c r="C7" s="207" t="n"/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>
      <c r="B11" s="207" t="n"/>
      <c r="C11" s="207" t="n"/>
    </row>
  </sheetData>
  <mergeCells count="1">
    <mergeCell ref="B1:H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2026-10-07T08:56:46Z</dcterms:modified>
</cp:coreProperties>
</file>